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<sst xmlns="http://schemas.openxmlformats.org/spreadsheetml/2006/main" count="1876" uniqueCount="58">
  <si>
    <t>PURCHASE ORDER LIST</t>
    <phoneticPr fontId="4" type="noConversion"/>
  </si>
  <si>
    <t>PO#</t>
    <phoneticPr fontId="4" type="noConversion"/>
  </si>
  <si>
    <t>SWK-QF-06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</si>
  <si>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</si>
  <si>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</si>
  <si>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</si>
  <si>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</si>
  <si>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</si>
  <si>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</si>
  <si>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</si>
  <si>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</si>
  <si>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</si>
  <si>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</si>
  <si>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</si>
  <si>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</si>
  <si>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</si>
  <si>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</si>
  <si>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</si>
  <si>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</si>
  <si>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</si>
  <si>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</si>
  <si>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</si>
  <si>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</si>
  <si>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</si>
  <si>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</si>
  <si>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</si>
  <si>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</si>
  <si>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</si>
  <si>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</si>
  <si>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</si>
  <si>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</si>
  <si>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</si>
  <si>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</si>
  <si>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</si>
  <si>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</si>
  <si>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</si>
  <si>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</si>
  <si>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</si>
  <si>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SWKSNF5513PINK</t>
  </si>
  <si>
    <t>SUPER MASSIVE BOUND KIDS_W</t>
  </si>
  <si>
    <t>SNAPBACK</t>
  </si>
  <si>
    <t>K</t>
  </si>
  <si>
    <t>14FW SMB_36_FLAT_PK_F_KIDS</t>
  </si>
  <si>
    <t>SWKSNF5513</t>
  </si>
  <si>
    <t>PINK</t>
  </si>
  <si>
    <t/>
  </si>
  <si>
    <t>SWKSNF5504BLACK</t>
  </si>
  <si>
    <t>14FW SMB_39_FLAT_BK_F_KIDS</t>
  </si>
  <si>
    <t>SWKSNF5504</t>
  </si>
  <si>
    <t>BLACK</t>
  </si>
  <si>
    <t>SWKSNF5504PINK</t>
  </si>
  <si>
    <t>14FW SMB_39_FLAT_PK_F_KIDS</t>
  </si>
  <si>
    <t>SWKERF5514PINK</t>
  </si>
  <si>
    <t>EARCAP</t>
  </si>
  <si>
    <t>14FW SMB_40_FLAT_PK_F_KIDS</t>
  </si>
  <si>
    <t>SWKERF5514</t>
  </si>
  <si>
    <t>FW</t>
  </si>
  <si>
    <t>RXK-KIDS-14FW-SWK-QF-06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</si>
</sst>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4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122464</xdr:rowOff>
    </xdr:from>
    <xdr:to>
      <xdr:col>7</xdr:col>
      <xdr:colOff>648856</xdr:colOff>
      <xdr:row>7</xdr:row>
      <xdr:rowOff>546579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401744089"/>
          <a:ext cx="540000" cy="424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122464</xdr:rowOff>
    </xdr:from>
    <xdr:to>
      <xdr:col>7</xdr:col>
      <xdr:colOff>648856</xdr:colOff>
      <xdr:row>8</xdr:row>
      <xdr:rowOff>530377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402410839"/>
          <a:ext cx="540000" cy="4079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9</xdr:row>
      <xdr:rowOff>122464</xdr:rowOff>
    </xdr:from>
    <xdr:to>
      <xdr:col>7</xdr:col>
      <xdr:colOff>648856</xdr:colOff>
      <xdr:row>9</xdr:row>
      <xdr:rowOff>557295</xdr:rowOff>
    </xdr:to>
    <xdr:pic>
      <xdr:nvPicPr>
        <xdr:cNvPr id="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405744589"/>
          <a:ext cx="540000" cy="4348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95249</xdr:colOff>
      <xdr:row>10</xdr:row>
      <xdr:rowOff>122463</xdr:rowOff>
    </xdr:from>
    <xdr:to>
      <xdr:col>7</xdr:col>
      <xdr:colOff>635249</xdr:colOff>
      <xdr:row>10</xdr:row>
      <xdr:rowOff>526374</xdr:rowOff>
    </xdr:to>
    <xdr:pic>
      <xdr:nvPicPr>
        <xdr:cNvPr id="5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05374" y="406411338"/>
          <a:ext cx="540000" cy="4039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57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3</v>
      </c>
      <c r="AG3" s="37">
        <v>41771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14</v>
      </c>
      <c r="AD6" s="54"/>
      <c r="AE6" s="55" t="s">
        <v>15</v>
      </c>
      <c r="AF6" s="55"/>
      <c r="AG6" s="49" t="s">
        <v>16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 t="s">
        <v>27</v>
      </c>
      <c r="X7" s="61" t="s">
        <v>28</v>
      </c>
      <c r="Y7" s="61" t="s">
        <v>29</v>
      </c>
      <c r="Z7" s="61" t="s">
        <v>30</v>
      </c>
      <c r="AA7" s="61" t="s">
        <v>31</v>
      </c>
      <c r="AB7" s="61" t="s">
        <v>32</v>
      </c>
      <c r="AC7" s="63" t="s">
        <v>33</v>
      </c>
      <c r="AD7" s="64" t="s">
        <v>34</v>
      </c>
      <c r="AE7" s="65" t="s">
        <v>35</v>
      </c>
      <c r="AF7" s="65" t="s">
        <v>36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300</v>
      </c>
      <c r="Z8" s="74">
        <v>150</v>
      </c>
      <c r="AA8" s="74" t="s">
        <v>45</v>
      </c>
      <c r="AB8" s="75">
        <f t="shared" ref="AB8:AB39" si="0">SUM(L8:AA8)</f>
        <v>450</v>
      </c>
      <c r="AC8" s="76">
        <v>0</v>
      </c>
      <c r="AD8" s="77">
        <v>0</v>
      </c>
      <c r="AE8" s="78">
        <v>0</v>
      </c>
      <c r="AF8" s="78">
        <v>41876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>
        <v>300</v>
      </c>
      <c r="Y9" s="74">
        <v>100</v>
      </c>
      <c r="Z9" s="74">
        <v>50</v>
      </c>
      <c r="AA9" s="74" t="s">
        <v>45</v>
      </c>
      <c r="AB9" s="75">
        <f t="shared" si="0"/>
        <v>450</v>
      </c>
      <c r="AC9" s="76">
        <v>0</v>
      </c>
      <c r="AD9" s="77">
        <v>0</v>
      </c>
      <c r="AE9" s="78">
        <v>0</v>
      </c>
      <c r="AF9" s="78">
        <v>41876</v>
      </c>
      <c r="AG9" s="73"/>
    </row>
    <row r="10" spans="1:38" ht="52.5" customHeight="1">
      <c r="A10" s="67">
        <v>3</v>
      </c>
      <c r="B10" s="68" t="s">
        <v>50</v>
      </c>
      <c r="D10" s="70">
        <v>3</v>
      </c>
      <c r="E10" s="71" t="s">
        <v>39</v>
      </c>
      <c r="F10" s="71" t="s">
        <v>40</v>
      </c>
      <c r="G10" s="71" t="s">
        <v>41</v>
      </c>
      <c r="H10" s="72"/>
      <c r="I10" s="73" t="s">
        <v>51</v>
      </c>
      <c r="J10" s="70" t="s">
        <v>48</v>
      </c>
      <c r="K10" s="70" t="s">
        <v>44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>
        <v>300</v>
      </c>
      <c r="Y10" s="74">
        <v>100</v>
      </c>
      <c r="Z10" s="74">
        <v>50</v>
      </c>
      <c r="AA10" s="74" t="s">
        <v>45</v>
      </c>
      <c r="AB10" s="75">
        <f t="shared" si="0"/>
        <v>450</v>
      </c>
      <c r="AC10" s="76">
        <v>0</v>
      </c>
      <c r="AD10" s="77">
        <v>0</v>
      </c>
      <c r="AE10" s="78">
        <v>0</v>
      </c>
      <c r="AF10" s="78">
        <v>41876</v>
      </c>
      <c r="AG10" s="73"/>
    </row>
    <row r="11" spans="1:38" ht="52.5" customHeight="1">
      <c r="A11" s="67">
        <v>4</v>
      </c>
      <c r="B11" s="68" t="s">
        <v>52</v>
      </c>
      <c r="D11" s="70">
        <v>4</v>
      </c>
      <c r="E11" s="71" t="s">
        <v>39</v>
      </c>
      <c r="F11" s="71" t="s">
        <v>53</v>
      </c>
      <c r="G11" s="71" t="s">
        <v>41</v>
      </c>
      <c r="H11" s="72"/>
      <c r="I11" s="73" t="s">
        <v>54</v>
      </c>
      <c r="J11" s="70" t="s">
        <v>55</v>
      </c>
      <c r="K11" s="70" t="s">
        <v>44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>
        <v>250</v>
      </c>
      <c r="Y11" s="74">
        <v>80</v>
      </c>
      <c r="Z11" s="74">
        <v>40</v>
      </c>
      <c r="AA11" s="74" t="s">
        <v>45</v>
      </c>
      <c r="AB11" s="75">
        <f t="shared" si="0"/>
        <v>370</v>
      </c>
      <c r="AC11" s="76">
        <v>0</v>
      </c>
      <c r="AD11" s="77">
        <v>0</v>
      </c>
      <c r="AE11" s="78">
        <v>0</v>
      </c>
      <c r="AF11" s="78">
        <v>41876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37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850</v>
      </c>
      <c r="Y77" s="93">
        <f t="shared" si="4"/>
        <v>580</v>
      </c>
      <c r="Z77" s="93">
        <f t="shared" si="4"/>
        <v>290</v>
      </c>
      <c r="AA77" s="93">
        <f t="shared" si="4"/>
        <v>0</v>
      </c>
      <c r="AB77" s="93">
        <f>SUM(AB8:AB76)</f>
        <v>1720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23" priority="20" stopIfTrue="1">
      <formula>$H12="TTL"</formula>
    </cfRule>
  </conditionalFormatting>
  <conditionalFormatting sqref="H28">
    <cfRule type="expression" dxfId="22" priority="19" stopIfTrue="1">
      <formula>$H28="TTL"</formula>
    </cfRule>
  </conditionalFormatting>
  <conditionalFormatting sqref="H12:H29">
    <cfRule type="expression" dxfId="21" priority="18" stopIfTrue="1">
      <formula>$H12="TTL"</formula>
    </cfRule>
  </conditionalFormatting>
  <conditionalFormatting sqref="H28">
    <cfRule type="expression" dxfId="20" priority="17" stopIfTrue="1">
      <formula>$H28="TTL"</formula>
    </cfRule>
  </conditionalFormatting>
  <conditionalFormatting sqref="H12:H30">
    <cfRule type="expression" dxfId="19" priority="16" stopIfTrue="1">
      <formula>$H12="TTL"</formula>
    </cfRule>
  </conditionalFormatting>
  <conditionalFormatting sqref="H12:H18">
    <cfRule type="expression" dxfId="17" priority="14" stopIfTrue="1">
      <formula>$H12="TTL"</formula>
    </cfRule>
  </conditionalFormatting>
  <conditionalFormatting sqref="H12:H14">
    <cfRule type="expression" dxfId="16" priority="13" stopIfTrue="1">
      <formula>$H12="TTL"</formula>
    </cfRule>
  </conditionalFormatting>
  <conditionalFormatting sqref="H12:H15">
    <cfRule type="expression" dxfId="15" priority="12" stopIfTrue="1">
      <formula>$H12="TTL"</formula>
    </cfRule>
  </conditionalFormatting>
  <conditionalFormatting sqref="H12:H32">
    <cfRule type="expression" dxfId="14" priority="11" stopIfTrue="1">
      <formula>$H12="TTL"</formula>
    </cfRule>
  </conditionalFormatting>
  <conditionalFormatting sqref="H12:H15">
    <cfRule type="expression" dxfId="13" priority="10" stopIfTrue="1">
      <formula>$H12="TTL"</formula>
    </cfRule>
  </conditionalFormatting>
  <conditionalFormatting sqref="H12">
    <cfRule type="expression" dxfId="11" priority="8" stopIfTrue="1">
      <formula>$H12="TTL"</formula>
    </cfRule>
  </conditionalFormatting>
  <conditionalFormatting sqref="H12:H14">
    <cfRule type="expression" dxfId="9" priority="6" stopIfTrue="1">
      <formula>$H12="TTL"</formula>
    </cfRule>
  </conditionalFormatting>
  <conditionalFormatting sqref="H12">
    <cfRule type="expression" dxfId="8" priority="5" stopIfTrue="1">
      <formula>$I12="TTL"</formula>
    </cfRule>
  </conditionalFormatting>
  <conditionalFormatting sqref="H9:H11">
    <cfRule type="expression" dxfId="7" priority="4" stopIfTrue="1">
      <formula>$I9="TTL"</formula>
    </cfRule>
  </conditionalFormatting>
  <conditionalFormatting sqref="H8">
    <cfRule type="expression" dxfId="5" priority="3" stopIfTrue="1">
      <formula>$I8="TTL"</formula>
    </cfRule>
  </conditionalFormatting>
  <conditionalFormatting sqref="H9:H11">
    <cfRule type="expression" dxfId="3" priority="2">
      <formula>$I9="TTL"</formula>
    </cfRule>
  </conditionalFormatting>
  <conditionalFormatting sqref="H9:H11">
    <cfRule type="expression" dxfId="1" priority="1" stopIfTrue="1">
      <formula>$M9="TTL"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2014-05-12T06:31:47Z</dcterms:created>
  <dcterms:modified xsi:type="dcterms:W3CDTF">2014-05-12T06:32:34Z</dcterms:modified>
</cp:coreProperties>
</file>