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<sst xmlns="http://schemas.openxmlformats.org/spreadsheetml/2006/main" count="1851" uniqueCount="73">
  <si>
    <t>PURCHASE ORDER LIST</t>
    <phoneticPr fontId="4" type="noConversion"/>
  </si>
  <si>
    <t>PO#</t>
    <phoneticPr fontId="4" type="noConversion"/>
  </si>
  <si>
    <t>SWK-동일모자-17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</si>
  <si>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</si>
  <si>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</si>
  <si>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</si>
  <si>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</si>
  <si>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</si>
  <si>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</si>
  <si>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</si>
  <si>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</si>
  <si>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</si>
  <si>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</si>
  <si>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</si>
  <si>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</si>
  <si>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</si>
  <si>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</si>
  <si>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</si>
  <si>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</si>
  <si>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</si>
  <si>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</si>
  <si>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</si>
  <si>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</si>
  <si>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</si>
  <si>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</si>
  <si>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</si>
  <si>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</si>
  <si>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</si>
  <si>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</si>
  <si>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</si>
  <si>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</si>
  <si>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</si>
  <si>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</si>
  <si>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</si>
  <si>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</si>
  <si>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</si>
  <si>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</si>
  <si>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</si>
  <si>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SWKSNF5505BROWN</t>
  </si>
  <si>
    <t>SUPER MASSIVE BOUND KIDS_W</t>
  </si>
  <si>
    <t>SNAPBACK</t>
  </si>
  <si>
    <t>K</t>
  </si>
  <si>
    <t>14FW SMB_20_FLAT_BW_F_KIDS</t>
  </si>
  <si>
    <t>SWKSNF5505</t>
  </si>
  <si>
    <t>BROWN</t>
  </si>
  <si>
    <t/>
  </si>
  <si>
    <t>SWKSNF5506PINK</t>
  </si>
  <si>
    <t>14FW SMB_44_FLAT_PK_F_KIDS</t>
  </si>
  <si>
    <t>SWKSNF5506</t>
  </si>
  <si>
    <t>PINK</t>
  </si>
  <si>
    <t>SWKSNF5514PINK</t>
  </si>
  <si>
    <t>14FW SMB_20_FLAT_PK_F_KIDS</t>
  </si>
  <si>
    <t>SWKSNF5514</t>
  </si>
  <si>
    <t>SWKERF5515PINK</t>
  </si>
  <si>
    <t>EARCAP</t>
  </si>
  <si>
    <t>14FW SMB_11_CURVED_PK_F_KIDS</t>
  </si>
  <si>
    <t>SWKERF5515</t>
  </si>
  <si>
    <t>SWKERF5516PINK</t>
  </si>
  <si>
    <t>14FW SMB_15_CURVED_PK_F_KIDS</t>
  </si>
  <si>
    <t>SWKERF5516NAVY</t>
  </si>
  <si>
    <t>14FW SMB_16_CURVED_NY_F_KIDS</t>
  </si>
  <si>
    <t>NAVY</t>
  </si>
  <si>
    <t>SWKERF5534PINK</t>
  </si>
  <si>
    <t>14FW SMB_17_CURVED_PK_F_KIDS</t>
  </si>
  <si>
    <t>SWKERF5534</t>
  </si>
  <si>
    <t>SWKERF5535PURPLE</t>
  </si>
  <si>
    <t>14FW SMB_43_FLAT_PP_F_KIDS</t>
  </si>
  <si>
    <t>SWKERF5535</t>
  </si>
  <si>
    <t>PURPLE</t>
  </si>
  <si>
    <t>FW</t>
  </si>
  <si>
    <t>RXK-KIDS-14FW-SWK-동일모자-17</t>
    <phoneticPr fontId="4" type="noConversion"/>
  </si>
  <si>
    <t>SWKERF5516</t>
    <phoneticPr fontId="3" type="noConversion"/>
  </si>
  <si>
    <t>SWKERF5536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</si>
</sst>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1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122464</xdr:rowOff>
    </xdr:from>
    <xdr:to>
      <xdr:col>7</xdr:col>
      <xdr:colOff>662463</xdr:colOff>
      <xdr:row>7</xdr:row>
      <xdr:rowOff>533233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410411839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531963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411078588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560049</xdr:rowOff>
    </xdr:to>
    <xdr:pic>
      <xdr:nvPicPr>
        <xdr:cNvPr id="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414412338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122463</xdr:rowOff>
    </xdr:from>
    <xdr:to>
      <xdr:col>7</xdr:col>
      <xdr:colOff>648856</xdr:colOff>
      <xdr:row>9</xdr:row>
      <xdr:rowOff>527463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41374558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122463</xdr:rowOff>
    </xdr:from>
    <xdr:to>
      <xdr:col>7</xdr:col>
      <xdr:colOff>648856</xdr:colOff>
      <xdr:row>11</xdr:row>
      <xdr:rowOff>527463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18981" y="41707933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122463</xdr:rowOff>
    </xdr:from>
    <xdr:to>
      <xdr:col>7</xdr:col>
      <xdr:colOff>648856</xdr:colOff>
      <xdr:row>12</xdr:row>
      <xdr:rowOff>541054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18981" y="417746088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13</xdr:row>
      <xdr:rowOff>122464</xdr:rowOff>
    </xdr:from>
    <xdr:to>
      <xdr:col>7</xdr:col>
      <xdr:colOff>648856</xdr:colOff>
      <xdr:row>13</xdr:row>
      <xdr:rowOff>523033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8981" y="420413089"/>
          <a:ext cx="540000" cy="4005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14</xdr:row>
      <xdr:rowOff>136070</xdr:rowOff>
    </xdr:from>
    <xdr:to>
      <xdr:col>7</xdr:col>
      <xdr:colOff>648856</xdr:colOff>
      <xdr:row>14</xdr:row>
      <xdr:rowOff>533084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18981" y="421093445"/>
          <a:ext cx="540000" cy="3970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77" sqref="AG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5"/>
      <c r="B3" s="23"/>
      <c r="D3" s="25" t="s">
        <v>1</v>
      </c>
      <c r="E3" s="86" t="s">
        <v>70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41771</v>
      </c>
      <c r="AL3" s="34"/>
    </row>
    <row r="4" spans="1:38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6"/>
      <c r="AC6" s="97" t="s">
        <v>14</v>
      </c>
      <c r="AD6" s="97"/>
      <c r="AE6" s="98" t="s">
        <v>15</v>
      </c>
      <c r="AF6" s="98"/>
      <c r="AG6" s="89" t="s">
        <v>16</v>
      </c>
      <c r="AH6" s="43"/>
    </row>
    <row r="7" spans="1:38" s="53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0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 t="s">
        <v>45</v>
      </c>
      <c r="X8" s="61">
        <v>300</v>
      </c>
      <c r="Y8" s="61">
        <v>100</v>
      </c>
      <c r="Z8" s="61">
        <v>50</v>
      </c>
      <c r="AA8" s="61" t="s">
        <v>45</v>
      </c>
      <c r="AB8" s="62">
        <f t="shared" ref="AB8:AB39" si="0">SUM(L8:AA8)</f>
        <v>450</v>
      </c>
      <c r="AC8" s="63">
        <v>0</v>
      </c>
      <c r="AD8" s="64">
        <v>0</v>
      </c>
      <c r="AE8" s="65">
        <v>0</v>
      </c>
      <c r="AF8" s="65">
        <v>41876</v>
      </c>
      <c r="AG8" s="60"/>
      <c r="AH8" s="34"/>
    </row>
    <row r="9" spans="1:38" ht="52.5" customHeight="1">
      <c r="A9" s="54">
        <v>2</v>
      </c>
      <c r="B9" s="55" t="s">
        <v>46</v>
      </c>
      <c r="D9" s="57">
        <v>2</v>
      </c>
      <c r="E9" s="58" t="s">
        <v>39</v>
      </c>
      <c r="F9" s="58" t="s">
        <v>40</v>
      </c>
      <c r="G9" s="58" t="s">
        <v>41</v>
      </c>
      <c r="H9" s="59"/>
      <c r="I9" s="60" t="s">
        <v>47</v>
      </c>
      <c r="J9" s="57" t="s">
        <v>48</v>
      </c>
      <c r="K9" s="57" t="s">
        <v>49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 t="s">
        <v>45</v>
      </c>
      <c r="X9" s="61">
        <v>300</v>
      </c>
      <c r="Y9" s="61">
        <v>100</v>
      </c>
      <c r="Z9" s="61">
        <v>50</v>
      </c>
      <c r="AA9" s="61" t="s">
        <v>45</v>
      </c>
      <c r="AB9" s="62">
        <f t="shared" si="0"/>
        <v>450</v>
      </c>
      <c r="AC9" s="63">
        <v>0</v>
      </c>
      <c r="AD9" s="64">
        <v>0</v>
      </c>
      <c r="AE9" s="65">
        <v>0</v>
      </c>
      <c r="AF9" s="65">
        <v>41876</v>
      </c>
      <c r="AG9" s="60"/>
    </row>
    <row r="10" spans="1:38" ht="52.5" customHeight="1">
      <c r="A10" s="54">
        <v>3</v>
      </c>
      <c r="B10" s="55" t="s">
        <v>50</v>
      </c>
      <c r="D10" s="57">
        <v>3</v>
      </c>
      <c r="E10" s="58" t="s">
        <v>39</v>
      </c>
      <c r="F10" s="58" t="s">
        <v>40</v>
      </c>
      <c r="G10" s="58" t="s">
        <v>41</v>
      </c>
      <c r="H10" s="59"/>
      <c r="I10" s="60" t="s">
        <v>51</v>
      </c>
      <c r="J10" s="57" t="s">
        <v>52</v>
      </c>
      <c r="K10" s="57" t="s">
        <v>49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>
        <v>300</v>
      </c>
      <c r="Z10" s="61">
        <v>150</v>
      </c>
      <c r="AA10" s="61" t="s">
        <v>45</v>
      </c>
      <c r="AB10" s="62">
        <f t="shared" si="0"/>
        <v>450</v>
      </c>
      <c r="AC10" s="63">
        <v>0</v>
      </c>
      <c r="AD10" s="64">
        <v>0</v>
      </c>
      <c r="AE10" s="65">
        <v>0</v>
      </c>
      <c r="AF10" s="65">
        <v>41876</v>
      </c>
      <c r="AG10" s="60"/>
    </row>
    <row r="11" spans="1:38" ht="52.5" customHeight="1">
      <c r="A11" s="54">
        <v>4</v>
      </c>
      <c r="B11" s="55" t="s">
        <v>53</v>
      </c>
      <c r="D11" s="57">
        <v>4</v>
      </c>
      <c r="E11" s="58" t="s">
        <v>39</v>
      </c>
      <c r="F11" s="58" t="s">
        <v>54</v>
      </c>
      <c r="G11" s="58" t="s">
        <v>41</v>
      </c>
      <c r="H11" s="59"/>
      <c r="I11" s="60" t="s">
        <v>55</v>
      </c>
      <c r="J11" s="57" t="s">
        <v>56</v>
      </c>
      <c r="K11" s="57" t="s">
        <v>49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>
        <v>100</v>
      </c>
      <c r="Z11" s="61">
        <v>50</v>
      </c>
      <c r="AA11" s="61" t="s">
        <v>45</v>
      </c>
      <c r="AB11" s="62">
        <f t="shared" si="0"/>
        <v>150</v>
      </c>
      <c r="AC11" s="63">
        <v>0</v>
      </c>
      <c r="AD11" s="64">
        <v>0</v>
      </c>
      <c r="AE11" s="65">
        <v>0</v>
      </c>
      <c r="AF11" s="65">
        <v>41876</v>
      </c>
      <c r="AG11" s="60"/>
    </row>
    <row r="12" spans="1:38" ht="52.5" customHeight="1">
      <c r="A12" s="54">
        <v>5</v>
      </c>
      <c r="B12" s="55" t="s">
        <v>57</v>
      </c>
      <c r="D12" s="57">
        <v>5</v>
      </c>
      <c r="E12" s="58" t="s">
        <v>39</v>
      </c>
      <c r="F12" s="58" t="s">
        <v>54</v>
      </c>
      <c r="G12" s="58" t="s">
        <v>41</v>
      </c>
      <c r="H12" s="59"/>
      <c r="I12" s="60" t="s">
        <v>58</v>
      </c>
      <c r="J12" s="57" t="s">
        <v>71</v>
      </c>
      <c r="K12" s="57" t="s">
        <v>49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>
        <v>250</v>
      </c>
      <c r="Y12" s="61">
        <v>100</v>
      </c>
      <c r="Z12" s="61">
        <v>50</v>
      </c>
      <c r="AA12" s="61" t="s">
        <v>45</v>
      </c>
      <c r="AB12" s="62">
        <f t="shared" si="0"/>
        <v>400</v>
      </c>
      <c r="AC12" s="63">
        <v>0</v>
      </c>
      <c r="AD12" s="64">
        <v>0</v>
      </c>
      <c r="AE12" s="65">
        <v>0</v>
      </c>
      <c r="AF12" s="65">
        <v>41876</v>
      </c>
      <c r="AG12" s="60"/>
    </row>
    <row r="13" spans="1:38" ht="52.5" customHeight="1">
      <c r="A13" s="54">
        <v>6</v>
      </c>
      <c r="B13" s="55" t="s">
        <v>59</v>
      </c>
      <c r="D13" s="57">
        <v>6</v>
      </c>
      <c r="E13" s="58" t="s">
        <v>39</v>
      </c>
      <c r="F13" s="58" t="s">
        <v>54</v>
      </c>
      <c r="G13" s="58" t="s">
        <v>41</v>
      </c>
      <c r="H13" s="59"/>
      <c r="I13" s="60" t="s">
        <v>60</v>
      </c>
      <c r="J13" s="99" t="s">
        <v>72</v>
      </c>
      <c r="K13" s="57" t="s">
        <v>61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>
        <v>100</v>
      </c>
      <c r="Z13" s="61">
        <v>50</v>
      </c>
      <c r="AA13" s="61" t="s">
        <v>45</v>
      </c>
      <c r="AB13" s="62">
        <f t="shared" si="0"/>
        <v>150</v>
      </c>
      <c r="AC13" s="63">
        <v>0</v>
      </c>
      <c r="AD13" s="64">
        <v>0</v>
      </c>
      <c r="AE13" s="65">
        <v>0</v>
      </c>
      <c r="AF13" s="65">
        <v>41876</v>
      </c>
      <c r="AG13" s="60"/>
    </row>
    <row r="14" spans="1:38" ht="52.5" customHeight="1">
      <c r="A14" s="54">
        <v>7</v>
      </c>
      <c r="B14" s="55" t="s">
        <v>62</v>
      </c>
      <c r="D14" s="57">
        <v>7</v>
      </c>
      <c r="E14" s="58" t="s">
        <v>39</v>
      </c>
      <c r="F14" s="58" t="s">
        <v>54</v>
      </c>
      <c r="G14" s="58" t="s">
        <v>41</v>
      </c>
      <c r="H14" s="59"/>
      <c r="I14" s="60" t="s">
        <v>63</v>
      </c>
      <c r="J14" s="57" t="s">
        <v>64</v>
      </c>
      <c r="K14" s="57" t="s">
        <v>49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>
        <v>250</v>
      </c>
      <c r="Y14" s="61">
        <v>250</v>
      </c>
      <c r="Z14" s="61">
        <v>100</v>
      </c>
      <c r="AA14" s="61" t="s">
        <v>45</v>
      </c>
      <c r="AB14" s="62">
        <f t="shared" si="0"/>
        <v>600</v>
      </c>
      <c r="AC14" s="63">
        <v>0</v>
      </c>
      <c r="AD14" s="64">
        <v>0</v>
      </c>
      <c r="AE14" s="65">
        <v>0</v>
      </c>
      <c r="AF14" s="65">
        <v>41876</v>
      </c>
      <c r="AG14" s="60"/>
    </row>
    <row r="15" spans="1:38" ht="52.5" customHeight="1">
      <c r="A15" s="54">
        <v>8</v>
      </c>
      <c r="B15" s="55" t="s">
        <v>65</v>
      </c>
      <c r="D15" s="57">
        <v>8</v>
      </c>
      <c r="E15" s="58" t="s">
        <v>39</v>
      </c>
      <c r="F15" s="58" t="s">
        <v>54</v>
      </c>
      <c r="G15" s="58" t="s">
        <v>41</v>
      </c>
      <c r="H15" s="59"/>
      <c r="I15" s="60" t="s">
        <v>66</v>
      </c>
      <c r="J15" s="57" t="s">
        <v>67</v>
      </c>
      <c r="K15" s="57" t="s">
        <v>68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>
        <v>250</v>
      </c>
      <c r="Z15" s="61">
        <v>100</v>
      </c>
      <c r="AA15" s="61" t="s">
        <v>45</v>
      </c>
      <c r="AB15" s="62">
        <f t="shared" si="0"/>
        <v>350</v>
      </c>
      <c r="AC15" s="63">
        <v>0</v>
      </c>
      <c r="AD15" s="64">
        <v>0</v>
      </c>
      <c r="AE15" s="65">
        <v>0</v>
      </c>
      <c r="AF15" s="65">
        <v>41876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7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7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7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7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7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7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7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7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7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7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7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7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7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7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7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7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7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7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7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7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8"/>
      <c r="D53" s="69">
        <v>0</v>
      </c>
      <c r="E53" s="58" t="s">
        <v>45</v>
      </c>
      <c r="F53" s="70" t="s">
        <v>45</v>
      </c>
      <c r="G53" s="70" t="s">
        <v>45</v>
      </c>
      <c r="H53" s="71"/>
      <c r="I53" s="72" t="s">
        <v>45</v>
      </c>
      <c r="J53" s="69" t="s">
        <v>45</v>
      </c>
      <c r="K53" s="69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2"/>
      <c r="AH53" s="73"/>
      <c r="AI53" s="74"/>
      <c r="AJ53" s="74"/>
      <c r="AK53" s="74"/>
      <c r="AL53" s="74"/>
      <c r="AM53" s="74"/>
    </row>
    <row r="54" spans="1:39" ht="52.5" hidden="1" customHeight="1">
      <c r="A54" s="54">
        <v>47</v>
      </c>
      <c r="B54" s="55" t="s">
        <v>45</v>
      </c>
      <c r="C54" s="68"/>
      <c r="D54" s="69">
        <v>0</v>
      </c>
      <c r="E54" s="58" t="s">
        <v>45</v>
      </c>
      <c r="F54" s="70" t="s">
        <v>45</v>
      </c>
      <c r="G54" s="70" t="s">
        <v>45</v>
      </c>
      <c r="H54" s="71"/>
      <c r="I54" s="72" t="s">
        <v>45</v>
      </c>
      <c r="J54" s="69" t="s">
        <v>45</v>
      </c>
      <c r="K54" s="69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2"/>
      <c r="AH54" s="73"/>
      <c r="AI54" s="74"/>
      <c r="AJ54" s="74"/>
      <c r="AK54" s="74"/>
      <c r="AL54" s="74"/>
      <c r="AM54" s="74"/>
    </row>
    <row r="55" spans="1:39" ht="52.5" hidden="1" customHeight="1">
      <c r="A55" s="54">
        <v>48</v>
      </c>
      <c r="B55" s="55" t="s">
        <v>45</v>
      </c>
      <c r="C55" s="68"/>
      <c r="D55" s="69">
        <v>0</v>
      </c>
      <c r="E55" s="58" t="s">
        <v>45</v>
      </c>
      <c r="F55" s="70" t="s">
        <v>45</v>
      </c>
      <c r="G55" s="70" t="s">
        <v>45</v>
      </c>
      <c r="H55" s="71"/>
      <c r="I55" s="72" t="s">
        <v>45</v>
      </c>
      <c r="J55" s="69" t="s">
        <v>45</v>
      </c>
      <c r="K55" s="69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2"/>
      <c r="AH55" s="73"/>
      <c r="AI55" s="74"/>
      <c r="AJ55" s="74"/>
      <c r="AK55" s="74"/>
      <c r="AL55" s="74"/>
      <c r="AM55" s="74"/>
    </row>
    <row r="56" spans="1:39" ht="52.5" hidden="1" customHeight="1">
      <c r="A56" s="54">
        <v>49</v>
      </c>
      <c r="B56" s="55" t="s">
        <v>45</v>
      </c>
      <c r="C56" s="68"/>
      <c r="D56" s="69">
        <v>0</v>
      </c>
      <c r="E56" s="58" t="s">
        <v>45</v>
      </c>
      <c r="F56" s="70" t="s">
        <v>45</v>
      </c>
      <c r="G56" s="70" t="s">
        <v>45</v>
      </c>
      <c r="H56" s="71"/>
      <c r="I56" s="72" t="s">
        <v>45</v>
      </c>
      <c r="J56" s="69" t="s">
        <v>45</v>
      </c>
      <c r="K56" s="69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2"/>
      <c r="AH56" s="73"/>
      <c r="AI56" s="74"/>
      <c r="AJ56" s="74"/>
      <c r="AK56" s="74"/>
      <c r="AL56" s="74"/>
      <c r="AM56" s="74"/>
    </row>
    <row r="57" spans="1:39" ht="52.5" hidden="1" customHeight="1">
      <c r="A57" s="54">
        <v>50</v>
      </c>
      <c r="B57" s="55" t="s">
        <v>45</v>
      </c>
      <c r="C57" s="68"/>
      <c r="D57" s="69">
        <v>0</v>
      </c>
      <c r="E57" s="58" t="s">
        <v>45</v>
      </c>
      <c r="F57" s="70" t="s">
        <v>45</v>
      </c>
      <c r="G57" s="70" t="s">
        <v>45</v>
      </c>
      <c r="H57" s="71"/>
      <c r="I57" s="72" t="s">
        <v>45</v>
      </c>
      <c r="J57" s="69" t="s">
        <v>45</v>
      </c>
      <c r="K57" s="69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2"/>
      <c r="AH57" s="73"/>
      <c r="AI57" s="74"/>
      <c r="AJ57" s="74"/>
      <c r="AK57" s="74"/>
      <c r="AL57" s="74"/>
      <c r="AM57" s="74"/>
    </row>
    <row r="58" spans="1:39" ht="52.5" hidden="1" customHeight="1">
      <c r="A58" s="54">
        <v>51</v>
      </c>
      <c r="B58" s="55" t="s">
        <v>45</v>
      </c>
      <c r="C58" s="68"/>
      <c r="D58" s="69">
        <v>0</v>
      </c>
      <c r="E58" s="58" t="s">
        <v>45</v>
      </c>
      <c r="F58" s="70" t="s">
        <v>45</v>
      </c>
      <c r="G58" s="70" t="s">
        <v>45</v>
      </c>
      <c r="H58" s="71"/>
      <c r="I58" s="72" t="s">
        <v>45</v>
      </c>
      <c r="J58" s="69" t="s">
        <v>45</v>
      </c>
      <c r="K58" s="69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2"/>
      <c r="AH58" s="73"/>
      <c r="AI58" s="74"/>
      <c r="AJ58" s="74"/>
      <c r="AK58" s="74"/>
      <c r="AL58" s="74"/>
      <c r="AM58" s="74"/>
    </row>
    <row r="59" spans="1:39" ht="52.5" hidden="1" customHeight="1">
      <c r="A59" s="54">
        <v>52</v>
      </c>
      <c r="B59" s="55" t="s">
        <v>45</v>
      </c>
      <c r="C59" s="68"/>
      <c r="D59" s="69">
        <v>0</v>
      </c>
      <c r="E59" s="58" t="s">
        <v>45</v>
      </c>
      <c r="F59" s="70" t="s">
        <v>45</v>
      </c>
      <c r="G59" s="70" t="s">
        <v>45</v>
      </c>
      <c r="H59" s="71"/>
      <c r="I59" s="72" t="s">
        <v>45</v>
      </c>
      <c r="J59" s="69" t="s">
        <v>45</v>
      </c>
      <c r="K59" s="69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2"/>
      <c r="AH59" s="73"/>
      <c r="AI59" s="74"/>
      <c r="AJ59" s="74"/>
      <c r="AK59" s="74"/>
      <c r="AL59" s="74"/>
      <c r="AM59" s="74"/>
    </row>
    <row r="60" spans="1:39" ht="52.5" hidden="1" customHeight="1">
      <c r="A60" s="54">
        <v>53</v>
      </c>
      <c r="B60" s="55" t="s">
        <v>45</v>
      </c>
      <c r="C60" s="68"/>
      <c r="D60" s="69">
        <v>0</v>
      </c>
      <c r="E60" s="58" t="s">
        <v>45</v>
      </c>
      <c r="F60" s="70" t="s">
        <v>45</v>
      </c>
      <c r="G60" s="70" t="s">
        <v>45</v>
      </c>
      <c r="H60" s="71"/>
      <c r="I60" s="72" t="s">
        <v>45</v>
      </c>
      <c r="J60" s="69" t="s">
        <v>45</v>
      </c>
      <c r="K60" s="69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2"/>
      <c r="AH60" s="73"/>
      <c r="AI60" s="74"/>
      <c r="AJ60" s="74"/>
      <c r="AK60" s="74"/>
      <c r="AL60" s="74"/>
      <c r="AM60" s="74"/>
    </row>
    <row r="61" spans="1:39" ht="52.5" hidden="1" customHeight="1">
      <c r="A61" s="54">
        <v>54</v>
      </c>
      <c r="B61" s="55" t="s">
        <v>45</v>
      </c>
      <c r="C61" s="68"/>
      <c r="D61" s="69">
        <v>0</v>
      </c>
      <c r="E61" s="58" t="s">
        <v>45</v>
      </c>
      <c r="F61" s="70" t="s">
        <v>45</v>
      </c>
      <c r="G61" s="70" t="s">
        <v>45</v>
      </c>
      <c r="H61" s="71"/>
      <c r="I61" s="72" t="s">
        <v>45</v>
      </c>
      <c r="J61" s="69" t="s">
        <v>45</v>
      </c>
      <c r="K61" s="69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2"/>
      <c r="AH61" s="73"/>
      <c r="AI61" s="74"/>
      <c r="AJ61" s="74"/>
      <c r="AK61" s="74"/>
      <c r="AL61" s="74"/>
      <c r="AM61" s="74"/>
    </row>
    <row r="62" spans="1:39" ht="52.5" hidden="1" customHeight="1">
      <c r="A62" s="54">
        <v>55</v>
      </c>
      <c r="B62" s="55" t="s">
        <v>45</v>
      </c>
      <c r="C62" s="68"/>
      <c r="D62" s="69">
        <v>0</v>
      </c>
      <c r="E62" s="58" t="s">
        <v>45</v>
      </c>
      <c r="F62" s="70" t="s">
        <v>45</v>
      </c>
      <c r="G62" s="70" t="s">
        <v>45</v>
      </c>
      <c r="H62" s="71"/>
      <c r="I62" s="72" t="s">
        <v>45</v>
      </c>
      <c r="J62" s="69" t="s">
        <v>45</v>
      </c>
      <c r="K62" s="69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2"/>
      <c r="AH62" s="73"/>
      <c r="AI62" s="74"/>
      <c r="AJ62" s="74"/>
      <c r="AK62" s="74"/>
      <c r="AL62" s="74"/>
      <c r="AM62" s="74"/>
    </row>
    <row r="63" spans="1:39" ht="52.5" hidden="1" customHeight="1">
      <c r="A63" s="54">
        <v>56</v>
      </c>
      <c r="B63" s="55" t="s">
        <v>45</v>
      </c>
      <c r="C63" s="68"/>
      <c r="D63" s="69">
        <v>0</v>
      </c>
      <c r="E63" s="58" t="s">
        <v>45</v>
      </c>
      <c r="F63" s="70" t="s">
        <v>45</v>
      </c>
      <c r="G63" s="70" t="s">
        <v>45</v>
      </c>
      <c r="H63" s="71"/>
      <c r="I63" s="72" t="s">
        <v>45</v>
      </c>
      <c r="J63" s="69" t="s">
        <v>45</v>
      </c>
      <c r="K63" s="69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2"/>
      <c r="AH63" s="73"/>
      <c r="AI63" s="74"/>
      <c r="AJ63" s="74"/>
      <c r="AK63" s="74"/>
      <c r="AL63" s="74"/>
      <c r="AM63" s="74"/>
    </row>
    <row r="64" spans="1:39" ht="52.5" hidden="1" customHeight="1">
      <c r="A64" s="54">
        <v>57</v>
      </c>
      <c r="B64" s="55" t="s">
        <v>45</v>
      </c>
      <c r="C64" s="68"/>
      <c r="D64" s="69">
        <v>0</v>
      </c>
      <c r="E64" s="58" t="s">
        <v>45</v>
      </c>
      <c r="F64" s="70" t="s">
        <v>45</v>
      </c>
      <c r="G64" s="70" t="s">
        <v>45</v>
      </c>
      <c r="H64" s="71"/>
      <c r="I64" s="72" t="s">
        <v>45</v>
      </c>
      <c r="J64" s="69" t="s">
        <v>45</v>
      </c>
      <c r="K64" s="69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2"/>
      <c r="AH64" s="73"/>
      <c r="AI64" s="74"/>
      <c r="AJ64" s="74"/>
      <c r="AK64" s="74"/>
      <c r="AL64" s="74"/>
      <c r="AM64" s="74"/>
    </row>
    <row r="65" spans="1:39" ht="52.5" hidden="1" customHeight="1">
      <c r="A65" s="54">
        <v>58</v>
      </c>
      <c r="B65" s="55" t="s">
        <v>45</v>
      </c>
      <c r="C65" s="68"/>
      <c r="D65" s="69">
        <v>0</v>
      </c>
      <c r="E65" s="58" t="s">
        <v>45</v>
      </c>
      <c r="F65" s="70" t="s">
        <v>45</v>
      </c>
      <c r="G65" s="70" t="s">
        <v>45</v>
      </c>
      <c r="H65" s="71"/>
      <c r="I65" s="72" t="s">
        <v>45</v>
      </c>
      <c r="J65" s="69" t="s">
        <v>45</v>
      </c>
      <c r="K65" s="69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2"/>
      <c r="AH65" s="73"/>
      <c r="AI65" s="74"/>
      <c r="AJ65" s="74"/>
      <c r="AK65" s="74"/>
      <c r="AL65" s="74"/>
      <c r="AM65" s="74"/>
    </row>
    <row r="66" spans="1:39" ht="52.5" hidden="1" customHeight="1">
      <c r="A66" s="54">
        <v>59</v>
      </c>
      <c r="B66" s="55" t="s">
        <v>45</v>
      </c>
      <c r="C66" s="68"/>
      <c r="D66" s="69">
        <v>0</v>
      </c>
      <c r="E66" s="58" t="s">
        <v>45</v>
      </c>
      <c r="F66" s="70" t="s">
        <v>45</v>
      </c>
      <c r="G66" s="70" t="s">
        <v>45</v>
      </c>
      <c r="H66" s="71"/>
      <c r="I66" s="72" t="s">
        <v>45</v>
      </c>
      <c r="J66" s="69" t="s">
        <v>45</v>
      </c>
      <c r="K66" s="69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2"/>
      <c r="AH66" s="73"/>
      <c r="AI66" s="74"/>
      <c r="AJ66" s="74"/>
      <c r="AK66" s="74"/>
      <c r="AL66" s="74"/>
      <c r="AM66" s="74"/>
    </row>
    <row r="67" spans="1:39" ht="52.5" hidden="1" customHeight="1">
      <c r="A67" s="54">
        <v>60</v>
      </c>
      <c r="B67" s="55" t="s">
        <v>45</v>
      </c>
      <c r="C67" s="68"/>
      <c r="D67" s="69">
        <v>0</v>
      </c>
      <c r="E67" s="58" t="s">
        <v>45</v>
      </c>
      <c r="F67" s="70" t="s">
        <v>45</v>
      </c>
      <c r="G67" s="70" t="s">
        <v>45</v>
      </c>
      <c r="H67" s="71"/>
      <c r="I67" s="72" t="s">
        <v>45</v>
      </c>
      <c r="J67" s="69" t="s">
        <v>45</v>
      </c>
      <c r="K67" s="69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2"/>
      <c r="AH67" s="73"/>
      <c r="AI67" s="74"/>
      <c r="AJ67" s="74"/>
      <c r="AK67" s="74"/>
      <c r="AL67" s="74"/>
      <c r="AM67" s="74"/>
    </row>
    <row r="68" spans="1:39" ht="52.5" hidden="1" customHeight="1">
      <c r="A68" s="54">
        <v>61</v>
      </c>
      <c r="B68" s="55" t="s">
        <v>45</v>
      </c>
      <c r="C68" s="68"/>
      <c r="D68" s="69">
        <v>0</v>
      </c>
      <c r="E68" s="58" t="s">
        <v>45</v>
      </c>
      <c r="F68" s="70" t="s">
        <v>45</v>
      </c>
      <c r="G68" s="70" t="s">
        <v>45</v>
      </c>
      <c r="H68" s="59"/>
      <c r="I68" s="72" t="s">
        <v>45</v>
      </c>
      <c r="J68" s="69" t="s">
        <v>45</v>
      </c>
      <c r="K68" s="69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2"/>
      <c r="AH68" s="73"/>
      <c r="AI68" s="74"/>
      <c r="AJ68" s="74"/>
      <c r="AK68" s="74"/>
      <c r="AL68" s="74"/>
      <c r="AM68" s="74"/>
    </row>
    <row r="69" spans="1:39" ht="52.5" hidden="1" customHeight="1">
      <c r="A69" s="54">
        <v>62</v>
      </c>
      <c r="B69" s="55" t="s">
        <v>45</v>
      </c>
      <c r="C69" s="68"/>
      <c r="D69" s="69">
        <v>0</v>
      </c>
      <c r="E69" s="58" t="s">
        <v>45</v>
      </c>
      <c r="F69" s="70" t="s">
        <v>45</v>
      </c>
      <c r="G69" s="70" t="s">
        <v>45</v>
      </c>
      <c r="H69" s="59"/>
      <c r="I69" s="72" t="s">
        <v>45</v>
      </c>
      <c r="J69" s="69" t="s">
        <v>45</v>
      </c>
      <c r="K69" s="69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6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2"/>
      <c r="AH69" s="73"/>
      <c r="AI69" s="74"/>
      <c r="AJ69" s="74"/>
      <c r="AK69" s="74"/>
      <c r="AL69" s="74"/>
      <c r="AM69" s="74"/>
    </row>
    <row r="70" spans="1:39" ht="52.5" hidden="1" customHeight="1">
      <c r="A70" s="54">
        <v>63</v>
      </c>
      <c r="B70" s="55" t="s">
        <v>45</v>
      </c>
      <c r="C70" s="68"/>
      <c r="D70" s="69">
        <v>0</v>
      </c>
      <c r="E70" s="58" t="s">
        <v>45</v>
      </c>
      <c r="F70" s="70" t="s">
        <v>45</v>
      </c>
      <c r="G70" s="70" t="s">
        <v>45</v>
      </c>
      <c r="H70" s="59"/>
      <c r="I70" s="72" t="s">
        <v>45</v>
      </c>
      <c r="J70" s="69" t="s">
        <v>45</v>
      </c>
      <c r="K70" s="69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6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2"/>
      <c r="AH70" s="73"/>
      <c r="AI70" s="74"/>
      <c r="AJ70" s="74"/>
      <c r="AK70" s="74"/>
      <c r="AL70" s="74"/>
      <c r="AM70" s="74"/>
    </row>
    <row r="71" spans="1:39" ht="52.5" hidden="1" customHeight="1">
      <c r="A71" s="54">
        <v>64</v>
      </c>
      <c r="B71" s="55" t="s">
        <v>45</v>
      </c>
      <c r="C71" s="68"/>
      <c r="D71" s="69">
        <v>0</v>
      </c>
      <c r="E71" s="58" t="s">
        <v>45</v>
      </c>
      <c r="F71" s="70" t="s">
        <v>45</v>
      </c>
      <c r="G71" s="70" t="s">
        <v>45</v>
      </c>
      <c r="H71" s="59"/>
      <c r="I71" s="72" t="s">
        <v>45</v>
      </c>
      <c r="J71" s="69" t="s">
        <v>45</v>
      </c>
      <c r="K71" s="69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6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2"/>
      <c r="AH71" s="73"/>
      <c r="AI71" s="74"/>
      <c r="AJ71" s="74"/>
      <c r="AK71" s="74"/>
      <c r="AL71" s="74"/>
      <c r="AM71" s="74"/>
    </row>
    <row r="72" spans="1:39" ht="52.5" hidden="1" customHeight="1">
      <c r="A72" s="54">
        <v>65</v>
      </c>
      <c r="B72" s="55" t="s">
        <v>45</v>
      </c>
      <c r="C72" s="68"/>
      <c r="D72" s="69">
        <v>0</v>
      </c>
      <c r="E72" s="58" t="s">
        <v>45</v>
      </c>
      <c r="F72" s="70" t="s">
        <v>45</v>
      </c>
      <c r="G72" s="70" t="s">
        <v>45</v>
      </c>
      <c r="H72" s="59"/>
      <c r="I72" s="72" t="s">
        <v>45</v>
      </c>
      <c r="J72" s="69" t="s">
        <v>45</v>
      </c>
      <c r="K72" s="69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6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2"/>
      <c r="AH72" s="73"/>
      <c r="AI72" s="74"/>
      <c r="AJ72" s="74"/>
      <c r="AK72" s="74"/>
      <c r="AL72" s="74"/>
      <c r="AM72" s="74"/>
    </row>
    <row r="73" spans="1:39" ht="52.5" hidden="1" customHeight="1">
      <c r="A73" s="54">
        <v>66</v>
      </c>
      <c r="B73" s="55" t="s">
        <v>45</v>
      </c>
      <c r="C73" s="68"/>
      <c r="D73" s="69">
        <v>0</v>
      </c>
      <c r="E73" s="58" t="s">
        <v>45</v>
      </c>
      <c r="F73" s="70" t="s">
        <v>45</v>
      </c>
      <c r="G73" s="70" t="s">
        <v>45</v>
      </c>
      <c r="H73" s="59"/>
      <c r="I73" s="72" t="s">
        <v>45</v>
      </c>
      <c r="J73" s="69" t="s">
        <v>45</v>
      </c>
      <c r="K73" s="69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6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2"/>
      <c r="AH73" s="73"/>
      <c r="AI73" s="74"/>
      <c r="AJ73" s="74"/>
      <c r="AK73" s="74"/>
      <c r="AL73" s="74"/>
      <c r="AM73" s="74"/>
    </row>
    <row r="74" spans="1:39" ht="52.5" hidden="1" customHeight="1">
      <c r="A74" s="54">
        <v>67</v>
      </c>
      <c r="B74" s="55" t="s">
        <v>45</v>
      </c>
      <c r="C74" s="68"/>
      <c r="D74" s="69">
        <v>0</v>
      </c>
      <c r="E74" s="58" t="s">
        <v>45</v>
      </c>
      <c r="F74" s="70" t="s">
        <v>45</v>
      </c>
      <c r="G74" s="70" t="s">
        <v>45</v>
      </c>
      <c r="H74" s="59"/>
      <c r="I74" s="72" t="s">
        <v>45</v>
      </c>
      <c r="J74" s="69" t="s">
        <v>45</v>
      </c>
      <c r="K74" s="69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6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2"/>
      <c r="AH74" s="73"/>
      <c r="AI74" s="74"/>
      <c r="AJ74" s="74"/>
      <c r="AK74" s="74"/>
      <c r="AL74" s="74"/>
      <c r="AM74" s="74"/>
    </row>
    <row r="75" spans="1:39" ht="52.5" hidden="1" customHeight="1">
      <c r="A75" s="54">
        <v>68</v>
      </c>
      <c r="B75" s="55" t="s">
        <v>45</v>
      </c>
      <c r="C75" s="68"/>
      <c r="D75" s="69">
        <v>0</v>
      </c>
      <c r="E75" s="58" t="s">
        <v>45</v>
      </c>
      <c r="F75" s="70" t="s">
        <v>45</v>
      </c>
      <c r="G75" s="70" t="s">
        <v>45</v>
      </c>
      <c r="H75" s="59"/>
      <c r="I75" s="72" t="s">
        <v>45</v>
      </c>
      <c r="J75" s="69" t="s">
        <v>45</v>
      </c>
      <c r="K75" s="69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6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2"/>
      <c r="AH75" s="73"/>
      <c r="AI75" s="74"/>
      <c r="AJ75" s="74"/>
      <c r="AK75" s="74"/>
      <c r="AL75" s="74"/>
      <c r="AM75" s="74"/>
    </row>
    <row r="76" spans="1:39" ht="52.5" hidden="1" customHeight="1">
      <c r="A76" s="54">
        <v>69</v>
      </c>
      <c r="B76" s="55" t="s">
        <v>45</v>
      </c>
      <c r="C76" s="68"/>
      <c r="D76" s="69">
        <v>0</v>
      </c>
      <c r="E76" s="58" t="s">
        <v>45</v>
      </c>
      <c r="F76" s="70" t="s">
        <v>45</v>
      </c>
      <c r="G76" s="70" t="s">
        <v>45</v>
      </c>
      <c r="H76" s="59"/>
      <c r="I76" s="72" t="s">
        <v>45</v>
      </c>
      <c r="J76" s="69" t="s">
        <v>45</v>
      </c>
      <c r="K76" s="69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6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2"/>
      <c r="AH76" s="73"/>
      <c r="AI76" s="74"/>
      <c r="AJ76" s="74"/>
      <c r="AK76" s="74"/>
      <c r="AL76" s="74"/>
      <c r="AM76" s="74"/>
    </row>
    <row r="77" spans="1:39" ht="21.75" customHeight="1">
      <c r="A77" s="54"/>
      <c r="B77" s="55"/>
      <c r="D77" s="91" t="s">
        <v>37</v>
      </c>
      <c r="E77" s="91"/>
      <c r="F77" s="77"/>
      <c r="G77" s="77"/>
      <c r="H77" s="77"/>
      <c r="I77" s="77"/>
      <c r="J77" s="77"/>
      <c r="K77" s="77"/>
      <c r="L77" s="78">
        <f t="shared" ref="L77:Q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 t="shared" si="3"/>
        <v>0</v>
      </c>
      <c r="Q77" s="78">
        <f t="shared" si="3"/>
        <v>0</v>
      </c>
      <c r="R77" s="78">
        <f>SUM(R8:R76)</f>
        <v>0</v>
      </c>
      <c r="S77" s="78">
        <f>SUM(S8:S76)</f>
        <v>0</v>
      </c>
      <c r="T77" s="78">
        <f t="shared" ref="T77:AA77" si="4">SUM(T8:T76)</f>
        <v>0</v>
      </c>
      <c r="U77" s="78">
        <f t="shared" si="4"/>
        <v>0</v>
      </c>
      <c r="V77" s="78">
        <f t="shared" si="4"/>
        <v>0</v>
      </c>
      <c r="W77" s="78">
        <f t="shared" si="4"/>
        <v>0</v>
      </c>
      <c r="X77" s="78">
        <f t="shared" si="4"/>
        <v>1100</v>
      </c>
      <c r="Y77" s="78">
        <f t="shared" si="4"/>
        <v>1300</v>
      </c>
      <c r="Z77" s="78">
        <f t="shared" si="4"/>
        <v>600</v>
      </c>
      <c r="AA77" s="78">
        <f t="shared" si="4"/>
        <v>0</v>
      </c>
      <c r="AB77" s="78">
        <f>SUM(AB8:AB76)</f>
        <v>3000</v>
      </c>
      <c r="AC77" s="79">
        <f>SUMPRODUCT($AB8:$AB68,$AC8:$AC68)</f>
        <v>0</v>
      </c>
      <c r="AD77" s="80">
        <f>SUMPRODUCT($AB8:$AB68,AD8:AD68)</f>
        <v>0</v>
      </c>
      <c r="AE77" s="81"/>
      <c r="AF77" s="81"/>
      <c r="AG77" s="82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6:H29 H68:H76">
    <cfRule type="expression" dxfId="10" priority="20" stopIfTrue="1">
      <formula>$H16="TTL"</formula>
    </cfRule>
  </conditionalFormatting>
  <conditionalFormatting sqref="H28">
    <cfRule type="expression" dxfId="9" priority="19" stopIfTrue="1">
      <formula>$H28="TTL"</formula>
    </cfRule>
  </conditionalFormatting>
  <conditionalFormatting sqref="H16:H29">
    <cfRule type="expression" dxfId="8" priority="18" stopIfTrue="1">
      <formula>$H16="TTL"</formula>
    </cfRule>
  </conditionalFormatting>
  <conditionalFormatting sqref="H28">
    <cfRule type="expression" dxfId="7" priority="17" stopIfTrue="1">
      <formula>$H28="TTL"</formula>
    </cfRule>
  </conditionalFormatting>
  <conditionalFormatting sqref="H16:H30">
    <cfRule type="expression" dxfId="6" priority="16" stopIfTrue="1">
      <formula>$H16="TTL"</formula>
    </cfRule>
  </conditionalFormatting>
  <conditionalFormatting sqref="H16:H18">
    <cfRule type="expression" dxfId="5" priority="14" stopIfTrue="1">
      <formula>$H16="TTL"</formula>
    </cfRule>
  </conditionalFormatting>
  <conditionalFormatting sqref="H16:H32">
    <cfRule type="expression" dxfId="4" priority="11" stopIfTrue="1">
      <formula>$H16="TTL"</formula>
    </cfRule>
  </conditionalFormatting>
  <conditionalFormatting sqref="H11:H13 H8:H9">
    <cfRule type="expression" dxfId="3" priority="4" stopIfTrue="1">
      <formula>$I8="TTL"</formula>
    </cfRule>
  </conditionalFormatting>
  <conditionalFormatting sqref="H11:H13 H8:H9">
    <cfRule type="expression" dxfId="2" priority="3">
      <formula>$I8="TTL"</formula>
    </cfRule>
  </conditionalFormatting>
  <conditionalFormatting sqref="H11:H13 H8:H9">
    <cfRule type="expression" dxfId="1" priority="2" stopIfTrue="1">
      <formula>$M8="TTL"</formula>
    </cfRule>
  </conditionalFormatting>
  <conditionalFormatting sqref="H14:H15 H10">
    <cfRule type="expression" dxfId="0" priority="1" stopIfTrue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2014-05-12T06:33:33Z</dcterms:created>
  <dcterms:modified xsi:type="dcterms:W3CDTF">2014-05-13T00:23:26Z</dcterms:modified>
</cp:coreProperties>
</file>