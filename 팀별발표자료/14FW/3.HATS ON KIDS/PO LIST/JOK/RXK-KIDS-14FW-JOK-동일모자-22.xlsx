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<sst xmlns="http://schemas.openxmlformats.org/spreadsheetml/2006/main" count="1870" uniqueCount="64">
  <si>
    <t>PURCHASE ORDER LIST</t>
    <phoneticPr fontId="4" type="noConversion"/>
  </si>
  <si>
    <t>PO#</t>
    <phoneticPr fontId="4" type="noConversion"/>
  </si>
  <si>
    <t>JOK-동일모자-22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</si>
  <si>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</si>
  <si>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</si>
  <si>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</si>
  <si>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</si>
  <si>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</si>
  <si>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</si>
  <si>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</si>
  <si>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</si>
  <si>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</si>
  <si>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</si>
  <si>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</si>
  <si>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</si>
  <si>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</si>
  <si>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</si>
  <si>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</si>
  <si>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</si>
  <si>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</si>
  <si>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</si>
  <si>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</si>
  <si>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</si>
  <si>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</si>
  <si>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</si>
  <si>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</si>
  <si>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</si>
  <si>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</si>
  <si>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</si>
  <si>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</si>
  <si>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</si>
  <si>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</si>
  <si>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</si>
  <si>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</si>
  <si>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</si>
  <si>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</si>
  <si>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</si>
  <si>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</si>
  <si>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JOKBAF3509PINK</t>
  </si>
  <si>
    <t>JOIE BETE KIDS</t>
  </si>
  <si>
    <t>BASIC CAP</t>
  </si>
  <si>
    <t>K</t>
  </si>
  <si>
    <t>14FW JOIE BETE_33_PK_KIDS</t>
  </si>
  <si>
    <t>JOKBAF3509</t>
  </si>
  <si>
    <t>PINK</t>
  </si>
  <si>
    <t/>
  </si>
  <si>
    <t>JOKBAF3510YELLOW</t>
  </si>
  <si>
    <t>14FW JOIE BETE_34_YL_KIDS</t>
  </si>
  <si>
    <t>JOKBAF3510</t>
  </si>
  <si>
    <t>YELLOW</t>
  </si>
  <si>
    <t>JOKBAF3511GREY</t>
  </si>
  <si>
    <t>14FW JOIE BETE_35_GY_KIDS</t>
  </si>
  <si>
    <t>JOKBAF3511</t>
  </si>
  <si>
    <t>GREY</t>
  </si>
  <si>
    <t>JOKBAF3512PURPLE</t>
  </si>
  <si>
    <t>14FW JOIE BETE_36_PP_KIDS</t>
  </si>
  <si>
    <t>JOKBAF3512</t>
  </si>
  <si>
    <t>PURPLE</t>
  </si>
  <si>
    <t>JOKBAF5513PINK</t>
  </si>
  <si>
    <t>14FW JOIE BETE_02_PK_KIDS</t>
  </si>
  <si>
    <t>JOKBAF5513</t>
  </si>
  <si>
    <t>FW</t>
  </si>
  <si>
    <t>RXK-KIDS-14FW-JOK-동일모자-22</t>
    <phoneticPr fontId="4" type="noConversion"/>
  </si>
  <si>
    <t>칼라변경 PINK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</si>
</sst>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6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127000</xdr:colOff>
      <xdr:row>8</xdr:row>
      <xdr:rowOff>98879</xdr:rowOff>
    </xdr:from>
    <xdr:to>
      <xdr:col>7</xdr:col>
      <xdr:colOff>667000</xdr:colOff>
      <xdr:row>8</xdr:row>
      <xdr:rowOff>539926</xdr:rowOff>
    </xdr:to>
    <xdr:pic>
      <xdr:nvPicPr>
        <xdr:cNvPr id="2" name="그림 1" descr="2014-04-14_181135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37125" y="453727004"/>
          <a:ext cx="540000" cy="441047"/>
        </a:xfrm>
        <a:prstGeom prst="rect">
          <a:avLst/>
        </a:prstGeom>
      </xdr:spPr>
    </xdr:pic>
    <xdr:clientData/>
  </xdr:twoCellAnchor>
  <xdr:twoCellAnchor>
    <xdr:from>
      <xdr:col>7</xdr:col>
      <xdr:colOff>127000</xdr:colOff>
      <xdr:row>7</xdr:row>
      <xdr:rowOff>85272</xdr:rowOff>
    </xdr:from>
    <xdr:to>
      <xdr:col>7</xdr:col>
      <xdr:colOff>667000</xdr:colOff>
      <xdr:row>7</xdr:row>
      <xdr:rowOff>583466</xdr:rowOff>
    </xdr:to>
    <xdr:pic>
      <xdr:nvPicPr>
        <xdr:cNvPr id="3" name="그림 2" descr="2014-04-16_111346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37125" y="453046647"/>
          <a:ext cx="540000" cy="498194"/>
        </a:xfrm>
        <a:prstGeom prst="rect">
          <a:avLst/>
        </a:prstGeom>
      </xdr:spPr>
    </xdr:pic>
    <xdr:clientData/>
  </xdr:twoCellAnchor>
  <xdr:twoCellAnchor>
    <xdr:from>
      <xdr:col>7</xdr:col>
      <xdr:colOff>127000</xdr:colOff>
      <xdr:row>10</xdr:row>
      <xdr:rowOff>139700</xdr:rowOff>
    </xdr:from>
    <xdr:to>
      <xdr:col>7</xdr:col>
      <xdr:colOff>667000</xdr:colOff>
      <xdr:row>10</xdr:row>
      <xdr:rowOff>558416</xdr:rowOff>
    </xdr:to>
    <xdr:pic>
      <xdr:nvPicPr>
        <xdr:cNvPr id="4" name="그림 3" descr="2014-04-14_181144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37125" y="457768325"/>
          <a:ext cx="540000" cy="418716"/>
        </a:xfrm>
        <a:prstGeom prst="rect">
          <a:avLst/>
        </a:prstGeom>
      </xdr:spPr>
    </xdr:pic>
    <xdr:clientData/>
  </xdr:twoCellAnchor>
  <xdr:twoCellAnchor>
    <xdr:from>
      <xdr:col>7</xdr:col>
      <xdr:colOff>127000</xdr:colOff>
      <xdr:row>9</xdr:row>
      <xdr:rowOff>98879</xdr:rowOff>
    </xdr:from>
    <xdr:to>
      <xdr:col>7</xdr:col>
      <xdr:colOff>667000</xdr:colOff>
      <xdr:row>9</xdr:row>
      <xdr:rowOff>574079</xdr:rowOff>
    </xdr:to>
    <xdr:pic>
      <xdr:nvPicPr>
        <xdr:cNvPr id="5" name="그림 4" descr="2014-04-14_181129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37125" y="457060754"/>
          <a:ext cx="540000" cy="475200"/>
        </a:xfrm>
        <a:prstGeom prst="rect">
          <a:avLst/>
        </a:prstGeom>
      </xdr:spPr>
    </xdr:pic>
    <xdr:clientData/>
  </xdr:twoCellAnchor>
  <xdr:twoCellAnchor>
    <xdr:from>
      <xdr:col>7</xdr:col>
      <xdr:colOff>153308</xdr:colOff>
      <xdr:row>11</xdr:row>
      <xdr:rowOff>88901</xdr:rowOff>
    </xdr:from>
    <xdr:to>
      <xdr:col>7</xdr:col>
      <xdr:colOff>609547</xdr:colOff>
      <xdr:row>11</xdr:row>
      <xdr:rowOff>592901</xdr:rowOff>
    </xdr:to>
    <xdr:pic>
      <xdr:nvPicPr>
        <xdr:cNvPr id="6" name="그림 5" descr="14FW JOIE BETE_02_PK_KIDS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963433" y="460384526"/>
          <a:ext cx="456239" cy="50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61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62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3</v>
      </c>
      <c r="AG3" s="37">
        <v>41782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14</v>
      </c>
      <c r="AD6" s="54"/>
      <c r="AE6" s="55" t="s">
        <v>15</v>
      </c>
      <c r="AF6" s="55"/>
      <c r="AG6" s="49" t="s">
        <v>16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 t="s">
        <v>27</v>
      </c>
      <c r="X7" s="61" t="s">
        <v>28</v>
      </c>
      <c r="Y7" s="61" t="s">
        <v>29</v>
      </c>
      <c r="Z7" s="61" t="s">
        <v>30</v>
      </c>
      <c r="AA7" s="61" t="s">
        <v>31</v>
      </c>
      <c r="AB7" s="61" t="s">
        <v>32</v>
      </c>
      <c r="AC7" s="63" t="s">
        <v>33</v>
      </c>
      <c r="AD7" s="64" t="s">
        <v>34</v>
      </c>
      <c r="AE7" s="65" t="s">
        <v>35</v>
      </c>
      <c r="AF7" s="65" t="s">
        <v>36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72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 t="s">
        <v>45</v>
      </c>
      <c r="X8" s="74">
        <v>300</v>
      </c>
      <c r="Y8" s="74">
        <v>120</v>
      </c>
      <c r="Z8" s="74">
        <v>60</v>
      </c>
      <c r="AA8" s="74" t="s">
        <v>45</v>
      </c>
      <c r="AB8" s="75">
        <f t="shared" ref="AB8:AB39" si="0">SUM(L8:AA8)</f>
        <v>480</v>
      </c>
      <c r="AC8" s="76">
        <v>0</v>
      </c>
      <c r="AD8" s="77">
        <v>0</v>
      </c>
      <c r="AE8" s="78">
        <v>0</v>
      </c>
      <c r="AF8" s="78">
        <v>41851</v>
      </c>
      <c r="AG8" s="73" t="s">
        <v>63</v>
      </c>
      <c r="AH8" s="38"/>
    </row>
    <row r="9" spans="1:38" ht="52.5" customHeight="1">
      <c r="A9" s="67">
        <v>2</v>
      </c>
      <c r="B9" s="68" t="s">
        <v>46</v>
      </c>
      <c r="D9" s="70">
        <v>2</v>
      </c>
      <c r="E9" s="71" t="s">
        <v>39</v>
      </c>
      <c r="F9" s="71" t="s">
        <v>40</v>
      </c>
      <c r="G9" s="71" t="s">
        <v>41</v>
      </c>
      <c r="H9" s="72"/>
      <c r="I9" s="73" t="s">
        <v>47</v>
      </c>
      <c r="J9" s="70" t="s">
        <v>48</v>
      </c>
      <c r="K9" s="70" t="s">
        <v>49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 t="s">
        <v>45</v>
      </c>
      <c r="X9" s="74">
        <v>300</v>
      </c>
      <c r="Y9" s="74">
        <v>120</v>
      </c>
      <c r="Z9" s="74">
        <v>60</v>
      </c>
      <c r="AA9" s="74" t="s">
        <v>45</v>
      </c>
      <c r="AB9" s="75">
        <f t="shared" si="0"/>
        <v>480</v>
      </c>
      <c r="AC9" s="76">
        <v>0</v>
      </c>
      <c r="AD9" s="77">
        <v>0</v>
      </c>
      <c r="AE9" s="78">
        <v>0</v>
      </c>
      <c r="AF9" s="78">
        <v>41851</v>
      </c>
      <c r="AG9" s="73"/>
    </row>
    <row r="10" spans="1:38" ht="52.5" customHeight="1">
      <c r="A10" s="67">
        <v>3</v>
      </c>
      <c r="B10" s="68" t="s">
        <v>50</v>
      </c>
      <c r="D10" s="70">
        <v>3</v>
      </c>
      <c r="E10" s="71" t="s">
        <v>39</v>
      </c>
      <c r="F10" s="71" t="s">
        <v>40</v>
      </c>
      <c r="G10" s="71" t="s">
        <v>41</v>
      </c>
      <c r="H10" s="72"/>
      <c r="I10" s="73" t="s">
        <v>51</v>
      </c>
      <c r="J10" s="70" t="s">
        <v>52</v>
      </c>
      <c r="K10" s="70" t="s">
        <v>53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 t="s">
        <v>45</v>
      </c>
      <c r="X10" s="74">
        <v>250</v>
      </c>
      <c r="Y10" s="74">
        <v>100</v>
      </c>
      <c r="Z10" s="74">
        <v>50</v>
      </c>
      <c r="AA10" s="74" t="s">
        <v>45</v>
      </c>
      <c r="AB10" s="75">
        <f t="shared" si="0"/>
        <v>400</v>
      </c>
      <c r="AC10" s="76">
        <v>0</v>
      </c>
      <c r="AD10" s="77">
        <v>0</v>
      </c>
      <c r="AE10" s="78">
        <v>0</v>
      </c>
      <c r="AF10" s="78">
        <v>41851</v>
      </c>
      <c r="AG10" s="73"/>
    </row>
    <row r="11" spans="1:38" ht="52.5" customHeight="1">
      <c r="A11" s="67">
        <v>4</v>
      </c>
      <c r="B11" s="68" t="s">
        <v>54</v>
      </c>
      <c r="D11" s="70">
        <v>4</v>
      </c>
      <c r="E11" s="71" t="s">
        <v>39</v>
      </c>
      <c r="F11" s="71" t="s">
        <v>40</v>
      </c>
      <c r="G11" s="71" t="s">
        <v>41</v>
      </c>
      <c r="H11" s="72"/>
      <c r="I11" s="73" t="s">
        <v>55</v>
      </c>
      <c r="J11" s="70" t="s">
        <v>56</v>
      </c>
      <c r="K11" s="70" t="s">
        <v>57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 t="s">
        <v>45</v>
      </c>
      <c r="X11" s="74">
        <v>250</v>
      </c>
      <c r="Y11" s="74">
        <v>100</v>
      </c>
      <c r="Z11" s="74">
        <v>50</v>
      </c>
      <c r="AA11" s="74" t="s">
        <v>45</v>
      </c>
      <c r="AB11" s="75">
        <f t="shared" si="0"/>
        <v>400</v>
      </c>
      <c r="AC11" s="76">
        <v>0</v>
      </c>
      <c r="AD11" s="77">
        <v>0</v>
      </c>
      <c r="AE11" s="78">
        <v>0</v>
      </c>
      <c r="AF11" s="78">
        <v>41851</v>
      </c>
      <c r="AG11" s="73"/>
    </row>
    <row r="12" spans="1:38" ht="52.5" customHeight="1">
      <c r="A12" s="67">
        <v>5</v>
      </c>
      <c r="B12" s="68" t="s">
        <v>58</v>
      </c>
      <c r="D12" s="70">
        <v>5</v>
      </c>
      <c r="E12" s="71" t="s">
        <v>39</v>
      </c>
      <c r="F12" s="71" t="s">
        <v>40</v>
      </c>
      <c r="G12" s="71" t="s">
        <v>41</v>
      </c>
      <c r="H12" s="72"/>
      <c r="I12" s="73" t="s">
        <v>59</v>
      </c>
      <c r="J12" s="70" t="s">
        <v>60</v>
      </c>
      <c r="K12" s="70" t="s">
        <v>44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 t="s">
        <v>45</v>
      </c>
      <c r="X12" s="74" t="s">
        <v>45</v>
      </c>
      <c r="Y12" s="74">
        <v>100</v>
      </c>
      <c r="Z12" s="74">
        <v>50</v>
      </c>
      <c r="AA12" s="74" t="s">
        <v>45</v>
      </c>
      <c r="AB12" s="75">
        <f t="shared" si="0"/>
        <v>150</v>
      </c>
      <c r="AC12" s="76">
        <v>0</v>
      </c>
      <c r="AD12" s="77">
        <v>0</v>
      </c>
      <c r="AE12" s="78">
        <v>0</v>
      </c>
      <c r="AF12" s="78">
        <v>41851</v>
      </c>
      <c r="AG12" s="73"/>
    </row>
    <row r="13" spans="1:38" ht="52.5" hidden="1" customHeight="1">
      <c r="A13" s="67">
        <v>6</v>
      </c>
      <c r="B13" s="68" t="s">
        <v>45</v>
      </c>
      <c r="D13" s="70">
        <v>0</v>
      </c>
      <c r="E13" s="71" t="s">
        <v>45</v>
      </c>
      <c r="F13" s="71" t="s">
        <v>45</v>
      </c>
      <c r="G13" s="71" t="s">
        <v>45</v>
      </c>
      <c r="H13" s="80"/>
      <c r="I13" s="73" t="s">
        <v>45</v>
      </c>
      <c r="J13" s="70" t="s">
        <v>45</v>
      </c>
      <c r="K13" s="70" t="s">
        <v>45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0</v>
      </c>
      <c r="AC13" s="76" t="s">
        <v>45</v>
      </c>
      <c r="AD13" s="77" t="s">
        <v>45</v>
      </c>
      <c r="AE13" s="78" t="s">
        <v>45</v>
      </c>
      <c r="AF13" s="78" t="s">
        <v>45</v>
      </c>
      <c r="AG13" s="73"/>
    </row>
    <row r="14" spans="1:38" ht="52.5" hidden="1" customHeight="1">
      <c r="A14" s="67">
        <v>7</v>
      </c>
      <c r="B14" s="68" t="s">
        <v>45</v>
      </c>
      <c r="D14" s="70">
        <v>0</v>
      </c>
      <c r="E14" s="71" t="s">
        <v>45</v>
      </c>
      <c r="F14" s="71" t="s">
        <v>45</v>
      </c>
      <c r="G14" s="71" t="s">
        <v>45</v>
      </c>
      <c r="H14" s="80"/>
      <c r="I14" s="73" t="s">
        <v>45</v>
      </c>
      <c r="J14" s="70" t="s">
        <v>45</v>
      </c>
      <c r="K14" s="70" t="s">
        <v>45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0</v>
      </c>
      <c r="AC14" s="76" t="s">
        <v>45</v>
      </c>
      <c r="AD14" s="77" t="s">
        <v>45</v>
      </c>
      <c r="AE14" s="78" t="s">
        <v>45</v>
      </c>
      <c r="AF14" s="78" t="s">
        <v>45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1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1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1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1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1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1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1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1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1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1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1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1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1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1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1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1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1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1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1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1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2"/>
      <c r="D53" s="83">
        <v>0</v>
      </c>
      <c r="E53" s="71" t="s">
        <v>45</v>
      </c>
      <c r="F53" s="84" t="s">
        <v>45</v>
      </c>
      <c r="G53" s="84" t="s">
        <v>45</v>
      </c>
      <c r="H53" s="85"/>
      <c r="I53" s="86" t="s">
        <v>45</v>
      </c>
      <c r="J53" s="83" t="s">
        <v>45</v>
      </c>
      <c r="K53" s="83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45</v>
      </c>
      <c r="C54" s="82"/>
      <c r="D54" s="83">
        <v>0</v>
      </c>
      <c r="E54" s="71" t="s">
        <v>45</v>
      </c>
      <c r="F54" s="84" t="s">
        <v>45</v>
      </c>
      <c r="G54" s="84" t="s">
        <v>45</v>
      </c>
      <c r="H54" s="85"/>
      <c r="I54" s="86" t="s">
        <v>45</v>
      </c>
      <c r="J54" s="83" t="s">
        <v>45</v>
      </c>
      <c r="K54" s="83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45</v>
      </c>
      <c r="C55" s="82"/>
      <c r="D55" s="83">
        <v>0</v>
      </c>
      <c r="E55" s="71" t="s">
        <v>45</v>
      </c>
      <c r="F55" s="84" t="s">
        <v>45</v>
      </c>
      <c r="G55" s="84" t="s">
        <v>45</v>
      </c>
      <c r="H55" s="85"/>
      <c r="I55" s="86" t="s">
        <v>45</v>
      </c>
      <c r="J55" s="83" t="s">
        <v>45</v>
      </c>
      <c r="K55" s="83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45</v>
      </c>
      <c r="C56" s="82"/>
      <c r="D56" s="83">
        <v>0</v>
      </c>
      <c r="E56" s="71" t="s">
        <v>45</v>
      </c>
      <c r="F56" s="84" t="s">
        <v>45</v>
      </c>
      <c r="G56" s="84" t="s">
        <v>45</v>
      </c>
      <c r="H56" s="85"/>
      <c r="I56" s="86" t="s">
        <v>45</v>
      </c>
      <c r="J56" s="83" t="s">
        <v>45</v>
      </c>
      <c r="K56" s="83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45</v>
      </c>
      <c r="C57" s="82"/>
      <c r="D57" s="83">
        <v>0</v>
      </c>
      <c r="E57" s="71" t="s">
        <v>45</v>
      </c>
      <c r="F57" s="84" t="s">
        <v>45</v>
      </c>
      <c r="G57" s="84" t="s">
        <v>45</v>
      </c>
      <c r="H57" s="85"/>
      <c r="I57" s="86" t="s">
        <v>45</v>
      </c>
      <c r="J57" s="83" t="s">
        <v>45</v>
      </c>
      <c r="K57" s="83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45</v>
      </c>
      <c r="C58" s="82"/>
      <c r="D58" s="83">
        <v>0</v>
      </c>
      <c r="E58" s="71" t="s">
        <v>45</v>
      </c>
      <c r="F58" s="84" t="s">
        <v>45</v>
      </c>
      <c r="G58" s="84" t="s">
        <v>45</v>
      </c>
      <c r="H58" s="85"/>
      <c r="I58" s="86" t="s">
        <v>45</v>
      </c>
      <c r="J58" s="83" t="s">
        <v>45</v>
      </c>
      <c r="K58" s="83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45</v>
      </c>
      <c r="C59" s="82"/>
      <c r="D59" s="83">
        <v>0</v>
      </c>
      <c r="E59" s="71" t="s">
        <v>45</v>
      </c>
      <c r="F59" s="84" t="s">
        <v>45</v>
      </c>
      <c r="G59" s="84" t="s">
        <v>45</v>
      </c>
      <c r="H59" s="85"/>
      <c r="I59" s="86" t="s">
        <v>45</v>
      </c>
      <c r="J59" s="83" t="s">
        <v>45</v>
      </c>
      <c r="K59" s="83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45</v>
      </c>
      <c r="C60" s="82"/>
      <c r="D60" s="83">
        <v>0</v>
      </c>
      <c r="E60" s="71" t="s">
        <v>45</v>
      </c>
      <c r="F60" s="84" t="s">
        <v>45</v>
      </c>
      <c r="G60" s="84" t="s">
        <v>45</v>
      </c>
      <c r="H60" s="85"/>
      <c r="I60" s="86" t="s">
        <v>45</v>
      </c>
      <c r="J60" s="83" t="s">
        <v>45</v>
      </c>
      <c r="K60" s="83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45</v>
      </c>
      <c r="C61" s="82"/>
      <c r="D61" s="83">
        <v>0</v>
      </c>
      <c r="E61" s="71" t="s">
        <v>45</v>
      </c>
      <c r="F61" s="84" t="s">
        <v>45</v>
      </c>
      <c r="G61" s="84" t="s">
        <v>45</v>
      </c>
      <c r="H61" s="85"/>
      <c r="I61" s="86" t="s">
        <v>45</v>
      </c>
      <c r="J61" s="83" t="s">
        <v>45</v>
      </c>
      <c r="K61" s="83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45</v>
      </c>
      <c r="C62" s="82"/>
      <c r="D62" s="83">
        <v>0</v>
      </c>
      <c r="E62" s="71" t="s">
        <v>45</v>
      </c>
      <c r="F62" s="84" t="s">
        <v>45</v>
      </c>
      <c r="G62" s="84" t="s">
        <v>45</v>
      </c>
      <c r="H62" s="85"/>
      <c r="I62" s="86" t="s">
        <v>45</v>
      </c>
      <c r="J62" s="83" t="s">
        <v>45</v>
      </c>
      <c r="K62" s="83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45</v>
      </c>
      <c r="C63" s="82"/>
      <c r="D63" s="83">
        <v>0</v>
      </c>
      <c r="E63" s="71" t="s">
        <v>45</v>
      </c>
      <c r="F63" s="84" t="s">
        <v>45</v>
      </c>
      <c r="G63" s="84" t="s">
        <v>45</v>
      </c>
      <c r="H63" s="85"/>
      <c r="I63" s="86" t="s">
        <v>45</v>
      </c>
      <c r="J63" s="83" t="s">
        <v>45</v>
      </c>
      <c r="K63" s="83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45</v>
      </c>
      <c r="C64" s="82"/>
      <c r="D64" s="83">
        <v>0</v>
      </c>
      <c r="E64" s="71" t="s">
        <v>45</v>
      </c>
      <c r="F64" s="84" t="s">
        <v>45</v>
      </c>
      <c r="G64" s="84" t="s">
        <v>45</v>
      </c>
      <c r="H64" s="85"/>
      <c r="I64" s="86" t="s">
        <v>45</v>
      </c>
      <c r="J64" s="83" t="s">
        <v>45</v>
      </c>
      <c r="K64" s="83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45</v>
      </c>
      <c r="C65" s="82"/>
      <c r="D65" s="83">
        <v>0</v>
      </c>
      <c r="E65" s="71" t="s">
        <v>45</v>
      </c>
      <c r="F65" s="84" t="s">
        <v>45</v>
      </c>
      <c r="G65" s="84" t="s">
        <v>45</v>
      </c>
      <c r="H65" s="85"/>
      <c r="I65" s="86" t="s">
        <v>45</v>
      </c>
      <c r="J65" s="83" t="s">
        <v>45</v>
      </c>
      <c r="K65" s="83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45</v>
      </c>
      <c r="C66" s="82"/>
      <c r="D66" s="83">
        <v>0</v>
      </c>
      <c r="E66" s="71" t="s">
        <v>45</v>
      </c>
      <c r="F66" s="84" t="s">
        <v>45</v>
      </c>
      <c r="G66" s="84" t="s">
        <v>45</v>
      </c>
      <c r="H66" s="85"/>
      <c r="I66" s="86" t="s">
        <v>45</v>
      </c>
      <c r="J66" s="83" t="s">
        <v>45</v>
      </c>
      <c r="K66" s="83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45</v>
      </c>
      <c r="C67" s="82"/>
      <c r="D67" s="83">
        <v>0</v>
      </c>
      <c r="E67" s="71" t="s">
        <v>45</v>
      </c>
      <c r="F67" s="84" t="s">
        <v>45</v>
      </c>
      <c r="G67" s="84" t="s">
        <v>45</v>
      </c>
      <c r="H67" s="85"/>
      <c r="I67" s="86" t="s">
        <v>45</v>
      </c>
      <c r="J67" s="83" t="s">
        <v>45</v>
      </c>
      <c r="K67" s="83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45</v>
      </c>
      <c r="C68" s="82"/>
      <c r="D68" s="83">
        <v>0</v>
      </c>
      <c r="E68" s="71" t="s">
        <v>45</v>
      </c>
      <c r="F68" s="84" t="s">
        <v>45</v>
      </c>
      <c r="G68" s="84" t="s">
        <v>45</v>
      </c>
      <c r="H68" s="72"/>
      <c r="I68" s="86" t="s">
        <v>45</v>
      </c>
      <c r="J68" s="83" t="s">
        <v>45</v>
      </c>
      <c r="K68" s="83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45</v>
      </c>
      <c r="C69" s="82"/>
      <c r="D69" s="83">
        <v>0</v>
      </c>
      <c r="E69" s="71" t="s">
        <v>45</v>
      </c>
      <c r="F69" s="84" t="s">
        <v>45</v>
      </c>
      <c r="G69" s="84" t="s">
        <v>45</v>
      </c>
      <c r="H69" s="72"/>
      <c r="I69" s="86" t="s">
        <v>45</v>
      </c>
      <c r="J69" s="83" t="s">
        <v>45</v>
      </c>
      <c r="K69" s="83" t="s">
        <v>45</v>
      </c>
      <c r="L69" s="89" t="s">
        <v>45</v>
      </c>
      <c r="M69" s="89" t="s">
        <v>45</v>
      </c>
      <c r="N69" s="89" t="s">
        <v>45</v>
      </c>
      <c r="O69" s="89" t="s">
        <v>45</v>
      </c>
      <c r="P69" s="89" t="s">
        <v>45</v>
      </c>
      <c r="Q69" s="89" t="s">
        <v>45</v>
      </c>
      <c r="R69" s="89" t="s">
        <v>45</v>
      </c>
      <c r="S69" s="89" t="s">
        <v>45</v>
      </c>
      <c r="T69" s="89" t="s">
        <v>45</v>
      </c>
      <c r="U69" s="89" t="s">
        <v>45</v>
      </c>
      <c r="V69" s="89" t="s">
        <v>45</v>
      </c>
      <c r="W69" s="89" t="s">
        <v>45</v>
      </c>
      <c r="X69" s="89" t="s">
        <v>45</v>
      </c>
      <c r="Y69" s="89" t="s">
        <v>45</v>
      </c>
      <c r="Z69" s="89" t="s">
        <v>45</v>
      </c>
      <c r="AA69" s="89" t="s">
        <v>45</v>
      </c>
      <c r="AB69" s="90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45</v>
      </c>
      <c r="C70" s="82"/>
      <c r="D70" s="83">
        <v>0</v>
      </c>
      <c r="E70" s="71" t="s">
        <v>45</v>
      </c>
      <c r="F70" s="84" t="s">
        <v>45</v>
      </c>
      <c r="G70" s="84" t="s">
        <v>45</v>
      </c>
      <c r="H70" s="72"/>
      <c r="I70" s="86" t="s">
        <v>45</v>
      </c>
      <c r="J70" s="83" t="s">
        <v>45</v>
      </c>
      <c r="K70" s="83" t="s">
        <v>45</v>
      </c>
      <c r="L70" s="89" t="s">
        <v>45</v>
      </c>
      <c r="M70" s="89" t="s">
        <v>45</v>
      </c>
      <c r="N70" s="89" t="s">
        <v>45</v>
      </c>
      <c r="O70" s="89" t="s">
        <v>45</v>
      </c>
      <c r="P70" s="89" t="s">
        <v>45</v>
      </c>
      <c r="Q70" s="89" t="s">
        <v>45</v>
      </c>
      <c r="R70" s="89" t="s">
        <v>45</v>
      </c>
      <c r="S70" s="89" t="s">
        <v>45</v>
      </c>
      <c r="T70" s="89" t="s">
        <v>45</v>
      </c>
      <c r="U70" s="89" t="s">
        <v>45</v>
      </c>
      <c r="V70" s="89" t="s">
        <v>45</v>
      </c>
      <c r="W70" s="89" t="s">
        <v>45</v>
      </c>
      <c r="X70" s="89" t="s">
        <v>45</v>
      </c>
      <c r="Y70" s="89" t="s">
        <v>45</v>
      </c>
      <c r="Z70" s="89" t="s">
        <v>45</v>
      </c>
      <c r="AA70" s="89" t="s">
        <v>45</v>
      </c>
      <c r="AB70" s="90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45</v>
      </c>
      <c r="C71" s="82"/>
      <c r="D71" s="83">
        <v>0</v>
      </c>
      <c r="E71" s="71" t="s">
        <v>45</v>
      </c>
      <c r="F71" s="84" t="s">
        <v>45</v>
      </c>
      <c r="G71" s="84" t="s">
        <v>45</v>
      </c>
      <c r="H71" s="72"/>
      <c r="I71" s="86" t="s">
        <v>45</v>
      </c>
      <c r="J71" s="83" t="s">
        <v>45</v>
      </c>
      <c r="K71" s="83" t="s">
        <v>45</v>
      </c>
      <c r="L71" s="89" t="s">
        <v>45</v>
      </c>
      <c r="M71" s="89" t="s">
        <v>45</v>
      </c>
      <c r="N71" s="89" t="s">
        <v>45</v>
      </c>
      <c r="O71" s="89" t="s">
        <v>45</v>
      </c>
      <c r="P71" s="89" t="s">
        <v>45</v>
      </c>
      <c r="Q71" s="89" t="s">
        <v>45</v>
      </c>
      <c r="R71" s="89" t="s">
        <v>45</v>
      </c>
      <c r="S71" s="89" t="s">
        <v>45</v>
      </c>
      <c r="T71" s="89" t="s">
        <v>45</v>
      </c>
      <c r="U71" s="89" t="s">
        <v>45</v>
      </c>
      <c r="V71" s="89" t="s">
        <v>45</v>
      </c>
      <c r="W71" s="89" t="s">
        <v>45</v>
      </c>
      <c r="X71" s="89" t="s">
        <v>45</v>
      </c>
      <c r="Y71" s="89" t="s">
        <v>45</v>
      </c>
      <c r="Z71" s="89" t="s">
        <v>45</v>
      </c>
      <c r="AA71" s="89" t="s">
        <v>45</v>
      </c>
      <c r="AB71" s="90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45</v>
      </c>
      <c r="C72" s="82"/>
      <c r="D72" s="83">
        <v>0</v>
      </c>
      <c r="E72" s="71" t="s">
        <v>45</v>
      </c>
      <c r="F72" s="84" t="s">
        <v>45</v>
      </c>
      <c r="G72" s="84" t="s">
        <v>45</v>
      </c>
      <c r="H72" s="72"/>
      <c r="I72" s="86" t="s">
        <v>45</v>
      </c>
      <c r="J72" s="83" t="s">
        <v>45</v>
      </c>
      <c r="K72" s="83" t="s">
        <v>45</v>
      </c>
      <c r="L72" s="89" t="s">
        <v>45</v>
      </c>
      <c r="M72" s="89" t="s">
        <v>45</v>
      </c>
      <c r="N72" s="89" t="s">
        <v>45</v>
      </c>
      <c r="O72" s="89" t="s">
        <v>45</v>
      </c>
      <c r="P72" s="89" t="s">
        <v>45</v>
      </c>
      <c r="Q72" s="89" t="s">
        <v>45</v>
      </c>
      <c r="R72" s="89" t="s">
        <v>45</v>
      </c>
      <c r="S72" s="89" t="s">
        <v>45</v>
      </c>
      <c r="T72" s="89" t="s">
        <v>45</v>
      </c>
      <c r="U72" s="89" t="s">
        <v>45</v>
      </c>
      <c r="V72" s="89" t="s">
        <v>45</v>
      </c>
      <c r="W72" s="89" t="s">
        <v>45</v>
      </c>
      <c r="X72" s="89" t="s">
        <v>45</v>
      </c>
      <c r="Y72" s="89" t="s">
        <v>45</v>
      </c>
      <c r="Z72" s="89" t="s">
        <v>45</v>
      </c>
      <c r="AA72" s="89" t="s">
        <v>45</v>
      </c>
      <c r="AB72" s="90">
        <f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45</v>
      </c>
      <c r="C73" s="82"/>
      <c r="D73" s="83">
        <v>0</v>
      </c>
      <c r="E73" s="71" t="s">
        <v>45</v>
      </c>
      <c r="F73" s="84" t="s">
        <v>45</v>
      </c>
      <c r="G73" s="84" t="s">
        <v>45</v>
      </c>
      <c r="H73" s="72"/>
      <c r="I73" s="86" t="s">
        <v>45</v>
      </c>
      <c r="J73" s="83" t="s">
        <v>45</v>
      </c>
      <c r="K73" s="83" t="s">
        <v>45</v>
      </c>
      <c r="L73" s="89" t="s">
        <v>45</v>
      </c>
      <c r="M73" s="89" t="s">
        <v>45</v>
      </c>
      <c r="N73" s="89" t="s">
        <v>45</v>
      </c>
      <c r="O73" s="89" t="s">
        <v>45</v>
      </c>
      <c r="P73" s="89" t="s">
        <v>45</v>
      </c>
      <c r="Q73" s="89" t="s">
        <v>45</v>
      </c>
      <c r="R73" s="89" t="s">
        <v>45</v>
      </c>
      <c r="S73" s="89" t="s">
        <v>45</v>
      </c>
      <c r="T73" s="89" t="s">
        <v>45</v>
      </c>
      <c r="U73" s="89" t="s">
        <v>45</v>
      </c>
      <c r="V73" s="89" t="s">
        <v>45</v>
      </c>
      <c r="W73" s="89" t="s">
        <v>45</v>
      </c>
      <c r="X73" s="89" t="s">
        <v>45</v>
      </c>
      <c r="Y73" s="89" t="s">
        <v>45</v>
      </c>
      <c r="Z73" s="89" t="s">
        <v>45</v>
      </c>
      <c r="AA73" s="89" t="s">
        <v>45</v>
      </c>
      <c r="AB73" s="90">
        <f>SUM(L73:AA73)</f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45</v>
      </c>
      <c r="C74" s="82"/>
      <c r="D74" s="83">
        <v>0</v>
      </c>
      <c r="E74" s="71" t="s">
        <v>45</v>
      </c>
      <c r="F74" s="84" t="s">
        <v>45</v>
      </c>
      <c r="G74" s="84" t="s">
        <v>45</v>
      </c>
      <c r="H74" s="72"/>
      <c r="I74" s="86" t="s">
        <v>45</v>
      </c>
      <c r="J74" s="83" t="s">
        <v>45</v>
      </c>
      <c r="K74" s="83" t="s">
        <v>45</v>
      </c>
      <c r="L74" s="89" t="s">
        <v>45</v>
      </c>
      <c r="M74" s="89" t="s">
        <v>45</v>
      </c>
      <c r="N74" s="89" t="s">
        <v>45</v>
      </c>
      <c r="O74" s="89" t="s">
        <v>45</v>
      </c>
      <c r="P74" s="89" t="s">
        <v>45</v>
      </c>
      <c r="Q74" s="89" t="s">
        <v>45</v>
      </c>
      <c r="R74" s="89" t="s">
        <v>45</v>
      </c>
      <c r="S74" s="89" t="s">
        <v>45</v>
      </c>
      <c r="T74" s="89" t="s">
        <v>45</v>
      </c>
      <c r="U74" s="89" t="s">
        <v>45</v>
      </c>
      <c r="V74" s="89" t="s">
        <v>45</v>
      </c>
      <c r="W74" s="89" t="s">
        <v>45</v>
      </c>
      <c r="X74" s="89" t="s">
        <v>45</v>
      </c>
      <c r="Y74" s="89" t="s">
        <v>45</v>
      </c>
      <c r="Z74" s="89" t="s">
        <v>45</v>
      </c>
      <c r="AA74" s="89" t="s">
        <v>45</v>
      </c>
      <c r="AB74" s="90">
        <f>SUM(L74:AA74)</f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45</v>
      </c>
      <c r="C75" s="82"/>
      <c r="D75" s="83">
        <v>0</v>
      </c>
      <c r="E75" s="71" t="s">
        <v>45</v>
      </c>
      <c r="F75" s="84" t="s">
        <v>45</v>
      </c>
      <c r="G75" s="84" t="s">
        <v>45</v>
      </c>
      <c r="H75" s="72"/>
      <c r="I75" s="86" t="s">
        <v>45</v>
      </c>
      <c r="J75" s="83" t="s">
        <v>45</v>
      </c>
      <c r="K75" s="83" t="s">
        <v>45</v>
      </c>
      <c r="L75" s="89" t="s">
        <v>45</v>
      </c>
      <c r="M75" s="89" t="s">
        <v>45</v>
      </c>
      <c r="N75" s="89" t="s">
        <v>45</v>
      </c>
      <c r="O75" s="89" t="s">
        <v>45</v>
      </c>
      <c r="P75" s="89" t="s">
        <v>45</v>
      </c>
      <c r="Q75" s="89" t="s">
        <v>45</v>
      </c>
      <c r="R75" s="89" t="s">
        <v>45</v>
      </c>
      <c r="S75" s="89" t="s">
        <v>45</v>
      </c>
      <c r="T75" s="89" t="s">
        <v>45</v>
      </c>
      <c r="U75" s="89" t="s">
        <v>45</v>
      </c>
      <c r="V75" s="89" t="s">
        <v>45</v>
      </c>
      <c r="W75" s="89" t="s">
        <v>45</v>
      </c>
      <c r="X75" s="89" t="s">
        <v>45</v>
      </c>
      <c r="Y75" s="89" t="s">
        <v>45</v>
      </c>
      <c r="Z75" s="89" t="s">
        <v>45</v>
      </c>
      <c r="AA75" s="89" t="s">
        <v>45</v>
      </c>
      <c r="AB75" s="90">
        <f>SUM(L75:AA75)</f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45</v>
      </c>
      <c r="C76" s="82"/>
      <c r="D76" s="83">
        <v>0</v>
      </c>
      <c r="E76" s="71" t="s">
        <v>45</v>
      </c>
      <c r="F76" s="84" t="s">
        <v>45</v>
      </c>
      <c r="G76" s="84" t="s">
        <v>45</v>
      </c>
      <c r="H76" s="72"/>
      <c r="I76" s="86" t="s">
        <v>45</v>
      </c>
      <c r="J76" s="83" t="s">
        <v>45</v>
      </c>
      <c r="K76" s="83" t="s">
        <v>45</v>
      </c>
      <c r="L76" s="89" t="s">
        <v>45</v>
      </c>
      <c r="M76" s="89" t="s">
        <v>45</v>
      </c>
      <c r="N76" s="89" t="s">
        <v>45</v>
      </c>
      <c r="O76" s="89" t="s">
        <v>45</v>
      </c>
      <c r="P76" s="89" t="s">
        <v>45</v>
      </c>
      <c r="Q76" s="89" t="s">
        <v>45</v>
      </c>
      <c r="R76" s="89" t="s">
        <v>45</v>
      </c>
      <c r="S76" s="89" t="s">
        <v>45</v>
      </c>
      <c r="T76" s="89" t="s">
        <v>45</v>
      </c>
      <c r="U76" s="89" t="s">
        <v>45</v>
      </c>
      <c r="V76" s="89" t="s">
        <v>45</v>
      </c>
      <c r="W76" s="89" t="s">
        <v>45</v>
      </c>
      <c r="X76" s="89" t="s">
        <v>45</v>
      </c>
      <c r="Y76" s="89" t="s">
        <v>45</v>
      </c>
      <c r="Z76" s="89" t="s">
        <v>45</v>
      </c>
      <c r="AA76" s="89" t="s">
        <v>45</v>
      </c>
      <c r="AB76" s="90">
        <f>SUM(L76:AA76)</f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37</v>
      </c>
      <c r="E77" s="91"/>
      <c r="F77" s="92"/>
      <c r="G77" s="92"/>
      <c r="H77" s="92"/>
      <c r="I77" s="92"/>
      <c r="J77" s="92"/>
      <c r="K77" s="92"/>
      <c r="L77" s="93">
        <f t="shared" ref="L77:Q77" si="2">SUM(L8:L76)</f>
        <v>0</v>
      </c>
      <c r="M77" s="93">
        <f t="shared" si="2"/>
        <v>0</v>
      </c>
      <c r="N77" s="93">
        <f t="shared" si="2"/>
        <v>0</v>
      </c>
      <c r="O77" s="93">
        <f t="shared" si="2"/>
        <v>0</v>
      </c>
      <c r="P77" s="93">
        <f t="shared" si="2"/>
        <v>0</v>
      </c>
      <c r="Q77" s="93">
        <f t="shared" si="2"/>
        <v>0</v>
      </c>
      <c r="R77" s="93">
        <f>SUM(R8:R76)</f>
        <v>0</v>
      </c>
      <c r="S77" s="93">
        <f>SUM(S8:S76)</f>
        <v>0</v>
      </c>
      <c r="T77" s="93">
        <f t="shared" ref="T77:AA77" si="3">SUM(T8:T76)</f>
        <v>0</v>
      </c>
      <c r="U77" s="93">
        <f t="shared" si="3"/>
        <v>0</v>
      </c>
      <c r="V77" s="93">
        <f t="shared" si="3"/>
        <v>0</v>
      </c>
      <c r="W77" s="93">
        <f t="shared" si="3"/>
        <v>0</v>
      </c>
      <c r="X77" s="93">
        <f t="shared" si="3"/>
        <v>1100</v>
      </c>
      <c r="Y77" s="93">
        <f t="shared" si="3"/>
        <v>540</v>
      </c>
      <c r="Z77" s="93">
        <f t="shared" si="3"/>
        <v>270</v>
      </c>
      <c r="AA77" s="93">
        <f t="shared" si="3"/>
        <v>0</v>
      </c>
      <c r="AB77" s="93">
        <f>SUM(AB8:AB76)</f>
        <v>1910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>
      <c r="A126" s="67"/>
      <c r="B126" s="68"/>
    </row>
    <row r="127" spans="1:2">
      <c r="A127" s="67"/>
      <c r="B127" s="68"/>
    </row>
    <row r="128" spans="1:2">
      <c r="A128" s="67"/>
      <c r="B128" s="68"/>
    </row>
    <row r="129" spans="1:2">
      <c r="A129" s="67"/>
      <c r="B129" s="68"/>
    </row>
    <row r="130" spans="1:2">
      <c r="A130" s="67"/>
      <c r="B130" s="68"/>
    </row>
    <row r="131" spans="1:2">
      <c r="A131" s="67"/>
      <c r="B131" s="68"/>
    </row>
    <row r="132" spans="1:2">
      <c r="A132" s="67"/>
      <c r="B132" s="68"/>
    </row>
    <row r="133" spans="1:2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3:H29 H68:H76">
    <cfRule type="expression" dxfId="25" priority="21" stopIfTrue="1">
      <formula>$H13="TTL"</formula>
    </cfRule>
  </conditionalFormatting>
  <conditionalFormatting sqref="H28">
    <cfRule type="expression" dxfId="24" priority="20" stopIfTrue="1">
      <formula>$H28="TTL"</formula>
    </cfRule>
  </conditionalFormatting>
  <conditionalFormatting sqref="H13:H29">
    <cfRule type="expression" dxfId="23" priority="19" stopIfTrue="1">
      <formula>$H13="TTL"</formula>
    </cfRule>
  </conditionalFormatting>
  <conditionalFormatting sqref="H28">
    <cfRule type="expression" dxfId="22" priority="18" stopIfTrue="1">
      <formula>$H28="TTL"</formula>
    </cfRule>
  </conditionalFormatting>
  <conditionalFormatting sqref="H13:H30">
    <cfRule type="expression" dxfId="21" priority="17" stopIfTrue="1">
      <formula>$H13="TTL"</formula>
    </cfRule>
  </conditionalFormatting>
  <conditionalFormatting sqref="H13:H18">
    <cfRule type="expression" dxfId="19" priority="15" stopIfTrue="1">
      <formula>$H13="TTL"</formula>
    </cfRule>
  </conditionalFormatting>
  <conditionalFormatting sqref="H13:H14">
    <cfRule type="expression" dxfId="18" priority="14" stopIfTrue="1">
      <formula>$H13="TTL"</formula>
    </cfRule>
  </conditionalFormatting>
  <conditionalFormatting sqref="H13:H15">
    <cfRule type="expression" dxfId="17" priority="13" stopIfTrue="1">
      <formula>$H13="TTL"</formula>
    </cfRule>
  </conditionalFormatting>
  <conditionalFormatting sqref="H13:H32">
    <cfRule type="expression" dxfId="16" priority="12" stopIfTrue="1">
      <formula>$H13="TTL"</formula>
    </cfRule>
  </conditionalFormatting>
  <conditionalFormatting sqref="H13:H15">
    <cfRule type="expression" dxfId="15" priority="11" stopIfTrue="1">
      <formula>$H13="TTL"</formula>
    </cfRule>
  </conditionalFormatting>
  <conditionalFormatting sqref="H13:H14">
    <cfRule type="expression" dxfId="11" priority="7" stopIfTrue="1">
      <formula>$H13="TTL"</formula>
    </cfRule>
  </conditionalFormatting>
  <conditionalFormatting sqref="H9">
    <cfRule type="expression" dxfId="9" priority="5">
      <formula>$I9="TTL"</formula>
    </cfRule>
  </conditionalFormatting>
  <conditionalFormatting sqref="H8">
    <cfRule type="expression" dxfId="7" priority="4">
      <formula>$I8="TTL"</formula>
    </cfRule>
  </conditionalFormatting>
  <conditionalFormatting sqref="H11">
    <cfRule type="expression" dxfId="5" priority="3">
      <formula>$I11="TTL"</formula>
    </cfRule>
  </conditionalFormatting>
  <conditionalFormatting sqref="H10">
    <cfRule type="expression" dxfId="3" priority="2">
      <formula>$I10="TTL"</formula>
    </cfRule>
  </conditionalFormatting>
  <conditionalFormatting sqref="H12">
    <cfRule type="expression" dxfId="1" priority="1" stopIfTrue="1">
      <formula>$I12="TTL"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2014-05-23T00:30:34Z</dcterms:created>
  <dcterms:modified xsi:type="dcterms:W3CDTF">2014-05-23T00:33:18Z</dcterms:modified>
</cp:coreProperties>
</file>