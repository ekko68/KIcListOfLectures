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<sst xmlns="http://schemas.openxmlformats.org/spreadsheetml/2006/main" count="1878" uniqueCount="60">
  <si>
    <t>PURCHASE ORDER LIST</t>
    <phoneticPr fontId="4" type="noConversion"/>
  </si>
  <si>
    <t>PO#</t>
    <phoneticPr fontId="4" type="noConversion"/>
  </si>
  <si>
    <t>RXK-KIDS-14FW-ELK-동일모자-11</t>
    <phoneticPr fontId="4" type="noConversion"/>
  </si>
  <si>
    <t>ELK-동일모자-11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</si>
  <si>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</si>
  <si>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</si>
  <si>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</si>
  <si>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</si>
  <si>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</si>
  <si>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</si>
  <si>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</si>
  <si>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</si>
  <si>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</si>
  <si>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</si>
  <si>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</si>
  <si>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</si>
  <si>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</si>
  <si>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</si>
  <si>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</si>
  <si>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</si>
  <si>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</si>
  <si>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</si>
  <si>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</si>
  <si>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</si>
  <si>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</si>
  <si>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</si>
  <si>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</si>
  <si>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</si>
  <si>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</si>
  <si>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</si>
  <si>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</si>
  <si>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</si>
  <si>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</si>
  <si>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</si>
  <si>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</si>
  <si>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</si>
  <si>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</si>
  <si>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</si>
  <si>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ELKBAF5518PURPLE</t>
  </si>
  <si>
    <t>ELSTINKO KIDS</t>
  </si>
  <si>
    <t>BASIC CAP</t>
  </si>
  <si>
    <t>K</t>
  </si>
  <si>
    <t>14FW ELS_47_SNAP_PP_KIDS</t>
  </si>
  <si>
    <t>ELKBAF5518</t>
  </si>
  <si>
    <t>PURPLE</t>
  </si>
  <si>
    <t/>
  </si>
  <si>
    <t>ELKERF5519RED</t>
  </si>
  <si>
    <t>EARCAP</t>
  </si>
  <si>
    <t>14FW ELS_45_SNAP_RD_KIDS</t>
  </si>
  <si>
    <t>ELKERF5519</t>
  </si>
  <si>
    <t>RED</t>
  </si>
  <si>
    <t>ELKERF5520BLUE</t>
  </si>
  <si>
    <t>14FW ELS 41_SNAP_BL_KIDS</t>
  </si>
  <si>
    <t>ELKERF5520</t>
  </si>
  <si>
    <t>BLUE</t>
  </si>
  <si>
    <t>ELKERF5521GREY</t>
  </si>
  <si>
    <t>14FW ELS 42_SNAP_GY_KIDS</t>
  </si>
  <si>
    <t>ELKERF5521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</si>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</sst>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163286</xdr:colOff>
      <xdr:row>7</xdr:row>
      <xdr:rowOff>95249</xdr:rowOff>
    </xdr:from>
    <xdr:to>
      <xdr:col>7</xdr:col>
      <xdr:colOff>631019</xdr:colOff>
      <xdr:row>7</xdr:row>
      <xdr:rowOff>599249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2711" y="1790699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95250</xdr:colOff>
      <xdr:row>8</xdr:row>
      <xdr:rowOff>108855</xdr:rowOff>
    </xdr:from>
    <xdr:to>
      <xdr:col>7</xdr:col>
      <xdr:colOff>635250</xdr:colOff>
      <xdr:row>8</xdr:row>
      <xdr:rowOff>546957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14675" y="2471055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81641</xdr:rowOff>
    </xdr:from>
    <xdr:to>
      <xdr:col>7</xdr:col>
      <xdr:colOff>638888</xdr:colOff>
      <xdr:row>9</xdr:row>
      <xdr:rowOff>585641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41888" y="3110591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10</xdr:row>
      <xdr:rowOff>108857</xdr:rowOff>
    </xdr:from>
    <xdr:to>
      <xdr:col>7</xdr:col>
      <xdr:colOff>635249</xdr:colOff>
      <xdr:row>10</xdr:row>
      <xdr:rowOff>535974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14674" y="3804557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41750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120</v>
      </c>
      <c r="Z8" s="74">
        <v>60</v>
      </c>
      <c r="AA8" s="74" t="s">
        <v>45</v>
      </c>
      <c r="AB8" s="75">
        <f t="shared" ref="AB8:AB39" si="0">SUM(L8:AA8)</f>
        <v>180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47</v>
      </c>
      <c r="G9" s="71" t="s">
        <v>41</v>
      </c>
      <c r="H9" s="100"/>
      <c r="I9" s="73" t="s">
        <v>48</v>
      </c>
      <c r="J9" s="70" t="s">
        <v>49</v>
      </c>
      <c r="K9" s="70" t="s">
        <v>50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400</v>
      </c>
      <c r="Y9" s="74">
        <v>100</v>
      </c>
      <c r="Z9" s="74">
        <v>50</v>
      </c>
      <c r="AA9" s="74" t="s">
        <v>45</v>
      </c>
      <c r="AB9" s="75">
        <f t="shared" si="0"/>
        <v>550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customHeight="1">
      <c r="A10" s="67">
        <v>3</v>
      </c>
      <c r="B10" s="68" t="s">
        <v>51</v>
      </c>
      <c r="D10" s="70">
        <v>3</v>
      </c>
      <c r="E10" s="71" t="s">
        <v>39</v>
      </c>
      <c r="F10" s="71" t="s">
        <v>47</v>
      </c>
      <c r="G10" s="71" t="s">
        <v>41</v>
      </c>
      <c r="H10" s="100"/>
      <c r="I10" s="73" t="s">
        <v>52</v>
      </c>
      <c r="J10" s="70" t="s">
        <v>53</v>
      </c>
      <c r="K10" s="70" t="s">
        <v>54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>
        <v>120</v>
      </c>
      <c r="Z10" s="74">
        <v>60</v>
      </c>
      <c r="AA10" s="74" t="s">
        <v>45</v>
      </c>
      <c r="AB10" s="75">
        <f t="shared" si="0"/>
        <v>180</v>
      </c>
      <c r="AC10" s="76">
        <v>0</v>
      </c>
      <c r="AD10" s="77">
        <v>0</v>
      </c>
      <c r="AE10" s="78">
        <v>0</v>
      </c>
      <c r="AF10" s="78">
        <v>41879</v>
      </c>
      <c r="AG10" s="73"/>
    </row>
    <row r="11" spans="1:38" ht="52.5" customHeight="1">
      <c r="A11" s="67">
        <v>4</v>
      </c>
      <c r="B11" s="68" t="s">
        <v>55</v>
      </c>
      <c r="D11" s="70">
        <v>4</v>
      </c>
      <c r="E11" s="71" t="s">
        <v>39</v>
      </c>
      <c r="F11" s="71" t="s">
        <v>47</v>
      </c>
      <c r="G11" s="71" t="s">
        <v>41</v>
      </c>
      <c r="H11" s="100"/>
      <c r="I11" s="73" t="s">
        <v>56</v>
      </c>
      <c r="J11" s="70" t="s">
        <v>57</v>
      </c>
      <c r="K11" s="70" t="s">
        <v>58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>
        <v>120</v>
      </c>
      <c r="Z11" s="74">
        <v>60</v>
      </c>
      <c r="AA11" s="74" t="s">
        <v>45</v>
      </c>
      <c r="AB11" s="75">
        <f t="shared" si="0"/>
        <v>180</v>
      </c>
      <c r="AC11" s="76">
        <v>0</v>
      </c>
      <c r="AD11" s="77">
        <v>0</v>
      </c>
      <c r="AE11" s="78">
        <v>0</v>
      </c>
      <c r="AF11" s="78">
        <v>41879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400</v>
      </c>
      <c r="Y77" s="93">
        <f t="shared" si="4"/>
        <v>460</v>
      </c>
      <c r="Z77" s="93">
        <f t="shared" si="4"/>
        <v>230</v>
      </c>
      <c r="AA77" s="93">
        <f t="shared" si="4"/>
        <v>0</v>
      </c>
      <c r="AB77" s="93">
        <f>SUM(AB8:AB76)</f>
        <v>1090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6" priority="17" stopIfTrue="1">
      <formula>$H12="TTL"</formula>
    </cfRule>
  </conditionalFormatting>
  <conditionalFormatting sqref="H28">
    <cfRule type="expression" dxfId="15" priority="16" stopIfTrue="1">
      <formula>$H28="TTL"</formula>
    </cfRule>
  </conditionalFormatting>
  <conditionalFormatting sqref="H12:H29">
    <cfRule type="expression" dxfId="14" priority="15" stopIfTrue="1">
      <formula>$H12="TTL"</formula>
    </cfRule>
  </conditionalFormatting>
  <conditionalFormatting sqref="H28">
    <cfRule type="expression" dxfId="13" priority="14" stopIfTrue="1">
      <formula>$H28="TTL"</formula>
    </cfRule>
  </conditionalFormatting>
  <conditionalFormatting sqref="H12:H30">
    <cfRule type="expression" dxfId="12" priority="13" stopIfTrue="1">
      <formula>$H12="TTL"</formula>
    </cfRule>
  </conditionalFormatting>
  <conditionalFormatting sqref="H12:H18">
    <cfRule type="expression" dxfId="10" priority="11" stopIfTrue="1">
      <formula>$H12="TTL"</formula>
    </cfRule>
  </conditionalFormatting>
  <conditionalFormatting sqref="H12:H14">
    <cfRule type="expression" dxfId="9" priority="10" stopIfTrue="1">
      <formula>$H12="TTL"</formula>
    </cfRule>
  </conditionalFormatting>
  <conditionalFormatting sqref="H12:H15">
    <cfRule type="expression" dxfId="8" priority="9" stopIfTrue="1">
      <formula>$H12="TTL"</formula>
    </cfRule>
  </conditionalFormatting>
  <conditionalFormatting sqref="H12:H32">
    <cfRule type="expression" dxfId="7" priority="8" stopIfTrue="1">
      <formula>$H12="TTL"</formula>
    </cfRule>
  </conditionalFormatting>
  <conditionalFormatting sqref="H12:H15">
    <cfRule type="expression" dxfId="6" priority="7" stopIfTrue="1">
      <formula>$H12="TTL"</formula>
    </cfRule>
  </conditionalFormatting>
  <conditionalFormatting sqref="H12">
    <cfRule type="expression" dxfId="4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2014-04-21T06:40:41Z</dcterms:created>
  <dcterms:modified xsi:type="dcterms:W3CDTF">2014-04-21T06:51:58Z</dcterms:modified>
</cp:coreProperties>
</file>