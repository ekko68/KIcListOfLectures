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<sst xmlns="http://schemas.openxmlformats.org/spreadsheetml/2006/main" count="1883" uniqueCount="61">
  <si>
    <t>PURCHASE ORDER LIST</t>
    <phoneticPr fontId="4" type="noConversion"/>
  </si>
  <si>
    <t>PO#</t>
    <phoneticPr fontId="4" type="noConversion"/>
  </si>
  <si>
    <t>RXK-KIDS-14FW-ELK-FOREMOST-11</t>
    <phoneticPr fontId="4" type="noConversion"/>
  </si>
  <si>
    <t>ELK-FOREMOST-11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</si>
  <si>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</si>
  <si>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</si>
  <si>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</si>
  <si>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</si>
  <si>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</si>
  <si>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</si>
  <si>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</si>
  <si>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</si>
  <si>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</si>
  <si>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</si>
  <si>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</si>
  <si>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</si>
  <si>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</si>
  <si>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</si>
  <si>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</si>
  <si>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</si>
  <si>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</si>
  <si>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</si>
  <si>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</si>
  <si>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</si>
  <si>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</si>
  <si>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</si>
  <si>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</si>
  <si>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</si>
  <si>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</si>
  <si>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</si>
  <si>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</si>
  <si>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</si>
  <si>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</si>
  <si>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</si>
  <si>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</si>
  <si>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</si>
  <si>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</si>
  <si>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</si>
  <si>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ELKTPF5515RED</t>
  </si>
  <si>
    <t>ELSTINKO KIDS</t>
  </si>
  <si>
    <t>TROOPER</t>
  </si>
  <si>
    <t>K</t>
  </si>
  <si>
    <t>14FW ELS 40_TROOPER_RD_KIDS</t>
  </si>
  <si>
    <t>ELKTPF5515</t>
  </si>
  <si>
    <t>RED</t>
  </si>
  <si>
    <t/>
  </si>
  <si>
    <t>ELKEDF5522YELLOW</t>
  </si>
  <si>
    <t>MITTEN</t>
  </si>
  <si>
    <t>14FW ELS_32_SKI GLOBE_YE_KIDS</t>
  </si>
  <si>
    <t>ELKEDF5522</t>
  </si>
  <si>
    <t>YELLOW</t>
  </si>
  <si>
    <t>ELKEDF5523BLACK</t>
  </si>
  <si>
    <t>14FW ELS_33_SKI GLOBE_BK_KIDS</t>
  </si>
  <si>
    <t>ELKEDF5523</t>
  </si>
  <si>
    <t>BLACK</t>
  </si>
  <si>
    <t>ELKEDF5524PINK</t>
  </si>
  <si>
    <t>14FW ELS_72_SKI GLOBE_PK_KIDS</t>
  </si>
  <si>
    <t>ELKEDF5524</t>
  </si>
  <si>
    <t>PINK</t>
  </si>
  <si>
    <t>FW</t>
  </si>
  <si>
    <t>OSM: 3세~5세
OML: 5세~9세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</si>
</sst>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1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1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204105</xdr:colOff>
      <xdr:row>7</xdr:row>
      <xdr:rowOff>68035</xdr:rowOff>
    </xdr:from>
    <xdr:to>
      <xdr:col>7</xdr:col>
      <xdr:colOff>591393</xdr:colOff>
      <xdr:row>7</xdr:row>
      <xdr:rowOff>608035</xdr:rowOff>
    </xdr:to>
    <xdr:pic>
      <xdr:nvPicPr>
        <xdr:cNvPr id="2" name="그림 1" descr="40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23530" y="1763485"/>
          <a:ext cx="387288" cy="540000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8</xdr:row>
      <xdr:rowOff>122464</xdr:rowOff>
    </xdr:from>
    <xdr:to>
      <xdr:col>7</xdr:col>
      <xdr:colOff>662463</xdr:colOff>
      <xdr:row>8</xdr:row>
      <xdr:rowOff>557141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141888" y="2484664"/>
          <a:ext cx="540000" cy="4346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9</xdr:row>
      <xdr:rowOff>122464</xdr:rowOff>
    </xdr:from>
    <xdr:to>
      <xdr:col>7</xdr:col>
      <xdr:colOff>662463</xdr:colOff>
      <xdr:row>9</xdr:row>
      <xdr:rowOff>608029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141888" y="3151414"/>
          <a:ext cx="540000" cy="4855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10</xdr:row>
      <xdr:rowOff>122464</xdr:rowOff>
    </xdr:from>
    <xdr:to>
      <xdr:col>7</xdr:col>
      <xdr:colOff>662463</xdr:colOff>
      <xdr:row>10</xdr:row>
      <xdr:rowOff>525319</xdr:rowOff>
    </xdr:to>
    <xdr:pic>
      <xdr:nvPicPr>
        <xdr:cNvPr id="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141888" y="3818164"/>
          <a:ext cx="540000" cy="4028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59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41750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100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>
        <v>150</v>
      </c>
      <c r="X8" s="74" t="s">
        <v>45</v>
      </c>
      <c r="Y8" s="74" t="s">
        <v>45</v>
      </c>
      <c r="Z8" s="74" t="s">
        <v>45</v>
      </c>
      <c r="AA8" s="74" t="s">
        <v>45</v>
      </c>
      <c r="AB8" s="75">
        <f t="shared" ref="AB8:AB39" si="0">SUM(L8:AA8)</f>
        <v>150</v>
      </c>
      <c r="AC8" s="76">
        <v>0</v>
      </c>
      <c r="AD8" s="77">
        <v>0</v>
      </c>
      <c r="AE8" s="78">
        <v>0</v>
      </c>
      <c r="AF8" s="78">
        <v>41907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47</v>
      </c>
      <c r="G9" s="71" t="s">
        <v>41</v>
      </c>
      <c r="H9" s="100"/>
      <c r="I9" s="73" t="s">
        <v>48</v>
      </c>
      <c r="J9" s="70" t="s">
        <v>49</v>
      </c>
      <c r="K9" s="70" t="s">
        <v>50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 t="s">
        <v>45</v>
      </c>
      <c r="Y9" s="74">
        <v>80</v>
      </c>
      <c r="Z9" s="74">
        <v>80</v>
      </c>
      <c r="AA9" s="74" t="s">
        <v>45</v>
      </c>
      <c r="AB9" s="75">
        <f t="shared" si="0"/>
        <v>160</v>
      </c>
      <c r="AC9" s="76">
        <v>0</v>
      </c>
      <c r="AD9" s="77">
        <v>0</v>
      </c>
      <c r="AE9" s="78">
        <v>0</v>
      </c>
      <c r="AF9" s="78">
        <v>41907</v>
      </c>
      <c r="AG9" s="73" t="s">
        <v>60</v>
      </c>
    </row>
    <row r="10" spans="1:38" ht="52.5" customHeight="1">
      <c r="A10" s="67">
        <v>3</v>
      </c>
      <c r="B10" s="68" t="s">
        <v>51</v>
      </c>
      <c r="D10" s="70">
        <v>3</v>
      </c>
      <c r="E10" s="71" t="s">
        <v>39</v>
      </c>
      <c r="F10" s="71" t="s">
        <v>47</v>
      </c>
      <c r="G10" s="71" t="s">
        <v>41</v>
      </c>
      <c r="H10" s="72"/>
      <c r="I10" s="73" t="s">
        <v>52</v>
      </c>
      <c r="J10" s="70" t="s">
        <v>53</v>
      </c>
      <c r="K10" s="70" t="s">
        <v>54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>
        <v>80</v>
      </c>
      <c r="Z10" s="74">
        <v>80</v>
      </c>
      <c r="AA10" s="74" t="s">
        <v>45</v>
      </c>
      <c r="AB10" s="75">
        <f t="shared" si="0"/>
        <v>160</v>
      </c>
      <c r="AC10" s="76">
        <v>0</v>
      </c>
      <c r="AD10" s="77">
        <v>0</v>
      </c>
      <c r="AE10" s="78">
        <v>0</v>
      </c>
      <c r="AF10" s="78">
        <v>41907</v>
      </c>
      <c r="AG10" s="73" t="s">
        <v>60</v>
      </c>
    </row>
    <row r="11" spans="1:38" ht="52.5" customHeight="1">
      <c r="A11" s="67">
        <v>4</v>
      </c>
      <c r="B11" s="68" t="s">
        <v>55</v>
      </c>
      <c r="D11" s="70">
        <v>4</v>
      </c>
      <c r="E11" s="71" t="s">
        <v>39</v>
      </c>
      <c r="F11" s="71" t="s">
        <v>47</v>
      </c>
      <c r="G11" s="71" t="s">
        <v>41</v>
      </c>
      <c r="H11" s="72"/>
      <c r="I11" s="73" t="s">
        <v>56</v>
      </c>
      <c r="J11" s="70" t="s">
        <v>57</v>
      </c>
      <c r="K11" s="70" t="s">
        <v>58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>
        <v>80</v>
      </c>
      <c r="Z11" s="74">
        <v>80</v>
      </c>
      <c r="AA11" s="74" t="s">
        <v>45</v>
      </c>
      <c r="AB11" s="75">
        <f t="shared" si="0"/>
        <v>160</v>
      </c>
      <c r="AC11" s="76">
        <v>0</v>
      </c>
      <c r="AD11" s="77">
        <v>0</v>
      </c>
      <c r="AE11" s="78">
        <v>0</v>
      </c>
      <c r="AF11" s="78">
        <v>41907</v>
      </c>
      <c r="AG11" s="73" t="s">
        <v>60</v>
      </c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>SUM(R8:R76)</f>
        <v>0</v>
      </c>
      <c r="S77" s="93">
        <f>SUM(S8:S76)</f>
        <v>0</v>
      </c>
      <c r="T77" s="93">
        <f t="shared" ref="T77:AA77" si="4">SUM(T8:T76)</f>
        <v>0</v>
      </c>
      <c r="U77" s="93">
        <f t="shared" si="4"/>
        <v>0</v>
      </c>
      <c r="V77" s="93">
        <f t="shared" si="4"/>
        <v>0</v>
      </c>
      <c r="W77" s="93">
        <f t="shared" si="4"/>
        <v>150</v>
      </c>
      <c r="X77" s="93">
        <f t="shared" si="4"/>
        <v>0</v>
      </c>
      <c r="Y77" s="93">
        <f t="shared" si="4"/>
        <v>240</v>
      </c>
      <c r="Z77" s="93">
        <f t="shared" si="4"/>
        <v>240</v>
      </c>
      <c r="AA77" s="93">
        <f t="shared" si="4"/>
        <v>0</v>
      </c>
      <c r="AB77" s="93">
        <f>SUM(AB8:AB76)</f>
        <v>630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>
      <c r="A126" s="67"/>
      <c r="B126" s="68"/>
    </row>
    <row r="127" spans="1:2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2:H29 H68:H76">
    <cfRule type="expression" dxfId="17" priority="18" stopIfTrue="1">
      <formula>$H12="TTL"</formula>
    </cfRule>
  </conditionalFormatting>
  <conditionalFormatting sqref="H28">
    <cfRule type="expression" dxfId="16" priority="17" stopIfTrue="1">
      <formula>$H28="TTL"</formula>
    </cfRule>
  </conditionalFormatting>
  <conditionalFormatting sqref="H12:H29">
    <cfRule type="expression" dxfId="15" priority="16" stopIfTrue="1">
      <formula>$H12="TTL"</formula>
    </cfRule>
  </conditionalFormatting>
  <conditionalFormatting sqref="H28">
    <cfRule type="expression" dxfId="14" priority="15" stopIfTrue="1">
      <formula>$H28="TTL"</formula>
    </cfRule>
  </conditionalFormatting>
  <conditionalFormatting sqref="H12:H30">
    <cfRule type="expression" dxfId="13" priority="14" stopIfTrue="1">
      <formula>$H12="TTL"</formula>
    </cfRule>
  </conditionalFormatting>
  <conditionalFormatting sqref="H12:H18">
    <cfRule type="expression" dxfId="11" priority="12" stopIfTrue="1">
      <formula>$H12="TTL"</formula>
    </cfRule>
  </conditionalFormatting>
  <conditionalFormatting sqref="H12:H14">
    <cfRule type="expression" dxfId="10" priority="11" stopIfTrue="1">
      <formula>$H12="TTL"</formula>
    </cfRule>
  </conditionalFormatting>
  <conditionalFormatting sqref="H12:H15">
    <cfRule type="expression" dxfId="9" priority="10" stopIfTrue="1">
      <formula>$H12="TTL"</formula>
    </cfRule>
  </conditionalFormatting>
  <conditionalFormatting sqref="H12:H32">
    <cfRule type="expression" dxfId="8" priority="9" stopIfTrue="1">
      <formula>$H12="TTL"</formula>
    </cfRule>
  </conditionalFormatting>
  <conditionalFormatting sqref="H12:H15">
    <cfRule type="expression" dxfId="7" priority="8" stopIfTrue="1">
      <formula>$H12="TTL"</formula>
    </cfRule>
  </conditionalFormatting>
  <conditionalFormatting sqref="H12">
    <cfRule type="expression" dxfId="5" priority="6" stopIfTrue="1">
      <formula>$H12="TTL"</formula>
    </cfRule>
  </conditionalFormatting>
  <conditionalFormatting sqref="H12:H14">
    <cfRule type="expression" dxfId="3" priority="4" stopIfTrue="1">
      <formula>$H12="TTL"</formula>
    </cfRule>
  </conditionalFormatting>
  <conditionalFormatting sqref="H12">
    <cfRule type="expression" dxfId="2" priority="3" stopIfTrue="1">
      <formula>$I12="TTL"</formula>
    </cfRule>
  </conditionalFormatting>
  <conditionalFormatting sqref="H8:H11">
    <cfRule type="expression" dxfId="1" priority="2">
      <formula>$I8="TTL"</formula>
    </cfRule>
  </conditionalFormatting>
  <conditionalFormatting sqref="H10:H11">
    <cfRule type="expression" dxfId="0" priority="1" stopIfTrue="1">
      <formula>$I10="TTL"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2014-04-21T06:39:13Z</dcterms:created>
  <dcterms:modified xsi:type="dcterms:W3CDTF">2014-04-21T06:50:47Z</dcterms:modified>
</cp:coreProperties>
</file>