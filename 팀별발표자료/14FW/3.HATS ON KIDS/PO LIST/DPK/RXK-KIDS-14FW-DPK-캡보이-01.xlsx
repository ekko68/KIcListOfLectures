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D77" i="1" s="1"/>
  <c r="AB8" i="1"/>
  <c r="AC77" i="1" s="1"/>
  <c r="AB77" i="1" l="1"/>
</calcChain>
</file>

<file path=xl/sharedStrings.xml><?xml version="1.0" encoding="utf-8"?>
<sst xmlns="http://schemas.openxmlformats.org/spreadsheetml/2006/main" count="1879" uniqueCount="59">
  <si>
    <t>PURCHASE ORDER LIST</t>
    <phoneticPr fontId="4" type="noConversion"/>
  </si>
  <si>
    <t>PO#</t>
    <phoneticPr fontId="4" type="noConversion"/>
  </si>
  <si>
    <t>RXK-KIDS-14FW-DPK-캡보이-01</t>
    <phoneticPr fontId="4" type="noConversion"/>
  </si>
  <si>
    <t>DPK-캡보이-01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</si>
  <si>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</si>
  <si>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</si>
  <si>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</si>
  <si>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</si>
  <si>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</si>
  <si>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</si>
  <si>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</si>
  <si>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</si>
  <si>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</si>
  <si>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</si>
  <si>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</si>
  <si>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</si>
  <si>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</si>
  <si>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</si>
  <si>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</si>
  <si>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</si>
  <si>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</si>
  <si>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</si>
  <si>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</si>
  <si>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</si>
  <si>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</si>
  <si>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</si>
  <si>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</si>
  <si>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</si>
  <si>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</si>
  <si>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</si>
  <si>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</si>
  <si>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</si>
  <si>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</si>
  <si>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</si>
  <si>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</si>
  <si>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</si>
  <si>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</si>
  <si>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</si>
  <si>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DPKSNF3501PINK</t>
  </si>
  <si>
    <t>DISNEY PRINCESS KIDS</t>
  </si>
  <si>
    <t>SNAPBACK</t>
  </si>
  <si>
    <t>K</t>
  </si>
  <si>
    <t>14SS FROZEN SNAP_01_PK_KIDS</t>
  </si>
  <si>
    <t>DPKSNF3501</t>
  </si>
  <si>
    <t>PINK</t>
  </si>
  <si>
    <t/>
  </si>
  <si>
    <t>DPKSNF3502BLUE</t>
  </si>
  <si>
    <t>14SS FROZEN SNAP_02_BL_KIDS</t>
  </si>
  <si>
    <t>DPKSNF3502</t>
  </si>
  <si>
    <t>BLUE</t>
  </si>
  <si>
    <t>DPKSNF3503PURPLE</t>
  </si>
  <si>
    <t>14SS FROZEN SNAP_04_PP_KIDS</t>
  </si>
  <si>
    <t>DPKSNF3503</t>
  </si>
  <si>
    <t>PURPLE</t>
  </si>
  <si>
    <t>DPKSNF3504MINT</t>
  </si>
  <si>
    <t>14SS FROZEN SNAP_05_MT_KIDS</t>
  </si>
  <si>
    <t>DPKSNF3504</t>
  </si>
  <si>
    <t>MINT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</si>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</sst>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95250</xdr:rowOff>
    </xdr:from>
    <xdr:to>
      <xdr:col>7</xdr:col>
      <xdr:colOff>648856</xdr:colOff>
      <xdr:row>7</xdr:row>
      <xdr:rowOff>547189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28281" y="179070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95249</xdr:rowOff>
    </xdr:from>
    <xdr:to>
      <xdr:col>7</xdr:col>
      <xdr:colOff>648856</xdr:colOff>
      <xdr:row>8</xdr:row>
      <xdr:rowOff>546188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28281" y="2457449"/>
          <a:ext cx="540000" cy="450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95249</xdr:rowOff>
    </xdr:from>
    <xdr:to>
      <xdr:col>7</xdr:col>
      <xdr:colOff>648856</xdr:colOff>
      <xdr:row>9</xdr:row>
      <xdr:rowOff>547188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128281" y="3124199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95250</xdr:rowOff>
    </xdr:from>
    <xdr:to>
      <xdr:col>7</xdr:col>
      <xdr:colOff>648856</xdr:colOff>
      <xdr:row>10</xdr:row>
      <xdr:rowOff>547189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128281" y="445770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41736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80</v>
      </c>
      <c r="Z8" s="74">
        <v>40</v>
      </c>
      <c r="AA8" s="74" t="s">
        <v>45</v>
      </c>
      <c r="AB8" s="75">
        <f t="shared" ref="AB8:AB39" si="0">SUM(L8:AA8)</f>
        <v>120</v>
      </c>
      <c r="AC8" s="76">
        <v>0</v>
      </c>
      <c r="AD8" s="77">
        <v>0</v>
      </c>
      <c r="AE8" s="78">
        <v>0</v>
      </c>
      <c r="AF8" s="78">
        <v>41774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80</v>
      </c>
      <c r="Z9" s="74">
        <v>40</v>
      </c>
      <c r="AA9" s="74" t="s">
        <v>45</v>
      </c>
      <c r="AB9" s="75">
        <f t="shared" si="0"/>
        <v>120</v>
      </c>
      <c r="AC9" s="76">
        <v>0</v>
      </c>
      <c r="AD9" s="77">
        <v>0</v>
      </c>
      <c r="AE9" s="78">
        <v>0</v>
      </c>
      <c r="AF9" s="78">
        <v>41774</v>
      </c>
      <c r="AG9" s="73"/>
    </row>
    <row r="10" spans="1:38" ht="52.5" customHeight="1">
      <c r="A10" s="67">
        <v>3</v>
      </c>
      <c r="B10" s="68" t="s">
        <v>50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51</v>
      </c>
      <c r="J10" s="70" t="s">
        <v>52</v>
      </c>
      <c r="K10" s="70" t="s">
        <v>53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>
        <v>80</v>
      </c>
      <c r="Z10" s="74">
        <v>40</v>
      </c>
      <c r="AA10" s="74" t="s">
        <v>45</v>
      </c>
      <c r="AB10" s="75">
        <f t="shared" si="0"/>
        <v>120</v>
      </c>
      <c r="AC10" s="76">
        <v>0</v>
      </c>
      <c r="AD10" s="77">
        <v>0</v>
      </c>
      <c r="AE10" s="78">
        <v>0</v>
      </c>
      <c r="AF10" s="78">
        <v>41774</v>
      </c>
      <c r="AG10" s="73"/>
    </row>
    <row r="11" spans="1:38" ht="52.5" customHeight="1">
      <c r="A11" s="67">
        <v>4</v>
      </c>
      <c r="B11" s="68" t="s">
        <v>54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55</v>
      </c>
      <c r="J11" s="70" t="s">
        <v>56</v>
      </c>
      <c r="K11" s="70" t="s">
        <v>57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>
        <v>80</v>
      </c>
      <c r="Z11" s="74">
        <v>40</v>
      </c>
      <c r="AA11" s="74" t="s">
        <v>45</v>
      </c>
      <c r="AB11" s="75">
        <f t="shared" si="0"/>
        <v>120</v>
      </c>
      <c r="AC11" s="76">
        <v>0</v>
      </c>
      <c r="AD11" s="77">
        <v>0</v>
      </c>
      <c r="AE11" s="78">
        <v>0</v>
      </c>
      <c r="AF11" s="78">
        <v>41774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320</v>
      </c>
      <c r="Z77" s="93">
        <f t="shared" si="4"/>
        <v>160</v>
      </c>
      <c r="AA77" s="93">
        <f t="shared" si="4"/>
        <v>0</v>
      </c>
      <c r="AB77" s="93">
        <f>SUM(AB8:AB76)</f>
        <v>480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7" priority="17" stopIfTrue="1">
      <formula>$H12="TTL"</formula>
    </cfRule>
  </conditionalFormatting>
  <conditionalFormatting sqref="H28">
    <cfRule type="expression" dxfId="16" priority="16" stopIfTrue="1">
      <formula>$H28="TTL"</formula>
    </cfRule>
  </conditionalFormatting>
  <conditionalFormatting sqref="H12:H29">
    <cfRule type="expression" dxfId="15" priority="15" stopIfTrue="1">
      <formula>$H12="TTL"</formula>
    </cfRule>
  </conditionalFormatting>
  <conditionalFormatting sqref="H28">
    <cfRule type="expression" dxfId="14" priority="14" stopIfTrue="1">
      <formula>$H28="TTL"</formula>
    </cfRule>
  </conditionalFormatting>
  <conditionalFormatting sqref="H12:H30">
    <cfRule type="expression" dxfId="13" priority="13" stopIfTrue="1">
      <formula>$H12="TTL"</formula>
    </cfRule>
  </conditionalFormatting>
  <conditionalFormatting sqref="H12:H18">
    <cfRule type="expression" dxfId="11" priority="11" stopIfTrue="1">
      <formula>$H12="TTL"</formula>
    </cfRule>
  </conditionalFormatting>
  <conditionalFormatting sqref="H12:H14">
    <cfRule type="expression" dxfId="10" priority="10" stopIfTrue="1">
      <formula>$H12="TTL"</formula>
    </cfRule>
  </conditionalFormatting>
  <conditionalFormatting sqref="H12:H15">
    <cfRule type="expression" dxfId="9" priority="9" stopIfTrue="1">
      <formula>$H12="TTL"</formula>
    </cfRule>
  </conditionalFormatting>
  <conditionalFormatting sqref="H12:H32">
    <cfRule type="expression" dxfId="8" priority="8" stopIfTrue="1">
      <formula>$H12="TTL"</formula>
    </cfRule>
  </conditionalFormatting>
  <conditionalFormatting sqref="H12:H15">
    <cfRule type="expression" dxfId="7" priority="7" stopIfTrue="1">
      <formula>$H12="TTL"</formula>
    </cfRule>
  </conditionalFormatting>
  <conditionalFormatting sqref="H12">
    <cfRule type="expression" dxfId="5" priority="5" stopIfTrue="1">
      <formula>$H12="TTL"</formula>
    </cfRule>
  </conditionalFormatting>
  <conditionalFormatting sqref="H12:H14">
    <cfRule type="expression" dxfId="3" priority="3" stopIfTrue="1">
      <formula>$H12="TTL"</formula>
    </cfRule>
  </conditionalFormatting>
  <conditionalFormatting sqref="H12">
    <cfRule type="expression" dxfId="2" priority="2" stopIfTrue="1">
      <formula>$I12="TTL"</formula>
    </cfRule>
  </conditionalFormatting>
  <conditionalFormatting sqref="H8:H11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2014-04-04T08:51:59Z</dcterms:created>
  <dcterms:modified xsi:type="dcterms:W3CDTF">2014-04-04T08:52:53Z</dcterms:modified>
</cp:coreProperties>
</file>