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<sst xmlns="http://schemas.openxmlformats.org/spreadsheetml/2006/main" count="1867" uniqueCount="62">
  <si>
    <t>PURCHASE ORDER LIST</t>
    <phoneticPr fontId="4" type="noConversion"/>
  </si>
  <si>
    <t>PO#</t>
    <phoneticPr fontId="4" type="noConversion"/>
  </si>
  <si>
    <t>HCK-동일모자-15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</si>
  <si>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</si>
  <si>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</si>
  <si>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</si>
  <si>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</si>
  <si>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</si>
  <si>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</si>
  <si>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</si>
  <si>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</si>
  <si>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</si>
  <si>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</si>
  <si>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</si>
  <si>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</si>
  <si>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</si>
  <si>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</si>
  <si>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</si>
  <si>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</si>
  <si>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</si>
  <si>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</si>
  <si>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</si>
  <si>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</si>
  <si>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</si>
  <si>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</si>
  <si>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</si>
  <si>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</si>
  <si>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</si>
  <si>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</si>
  <si>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</si>
  <si>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</si>
  <si>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</si>
  <si>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</si>
  <si>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</si>
  <si>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</si>
  <si>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</si>
  <si>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</si>
  <si>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HCKMIF5504NAVY</t>
  </si>
  <si>
    <t>H.COUSTIC KIDS</t>
  </si>
  <si>
    <t>MILITARY CAP</t>
  </si>
  <si>
    <t>K</t>
  </si>
  <si>
    <t>14FW H.coustic CAP-09_NV_KIDS</t>
  </si>
  <si>
    <t>HCKMIF5504</t>
  </si>
  <si>
    <t>NAVY</t>
  </si>
  <si>
    <t/>
  </si>
  <si>
    <t>HCKMIF3506BLACK</t>
  </si>
  <si>
    <t>14FW H.coustic CAP-11_BK_KIDS</t>
  </si>
  <si>
    <t>HCKMIF3506</t>
  </si>
  <si>
    <t>BLACK</t>
  </si>
  <si>
    <t>HCKMIF3506KHAKI</t>
  </si>
  <si>
    <t>14FW H.coustic CAP-11_KH_KIDS</t>
  </si>
  <si>
    <t>KHAKI</t>
  </si>
  <si>
    <t>HCKMIF3506NAVY</t>
  </si>
  <si>
    <t>14FW H.coustic CAP-11_NY_KIDS</t>
  </si>
  <si>
    <t>HCKMIF3507GREY</t>
  </si>
  <si>
    <t>14FW H.coustic CAP-12_GY_KIDS</t>
  </si>
  <si>
    <t>HCKMIF3507</t>
  </si>
  <si>
    <t>GREY</t>
  </si>
  <si>
    <t>HCKMIF3507BLACK</t>
  </si>
  <si>
    <t>14FW H.coustic CAP-12_BK_KIDS</t>
  </si>
  <si>
    <t>FW</t>
  </si>
  <si>
    <t>RXK-KIDS-14FW-HCK-동일모자-15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</si>
</sst>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3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571995</xdr:rowOff>
    </xdr:to>
    <xdr:pic>
      <xdr:nvPicPr>
        <xdr:cNvPr id="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28281" y="2471056"/>
          <a:ext cx="540000" cy="46313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8</xdr:row>
      <xdr:rowOff>108857</xdr:rowOff>
    </xdr:from>
    <xdr:to>
      <xdr:col>7</xdr:col>
      <xdr:colOff>648856</xdr:colOff>
      <xdr:row>8</xdr:row>
      <xdr:rowOff>557562</xdr:rowOff>
    </xdr:to>
    <xdr:pic>
      <xdr:nvPicPr>
        <xdr:cNvPr id="3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28281" y="380455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9</xdr:row>
      <xdr:rowOff>108857</xdr:rowOff>
    </xdr:from>
    <xdr:to>
      <xdr:col>7</xdr:col>
      <xdr:colOff>648856</xdr:colOff>
      <xdr:row>9</xdr:row>
      <xdr:rowOff>557562</xdr:rowOff>
    </xdr:to>
    <xdr:pic>
      <xdr:nvPicPr>
        <xdr:cNvPr id="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28281" y="447130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10</xdr:row>
      <xdr:rowOff>108857</xdr:rowOff>
    </xdr:from>
    <xdr:to>
      <xdr:col>7</xdr:col>
      <xdr:colOff>648856</xdr:colOff>
      <xdr:row>10</xdr:row>
      <xdr:rowOff>557562</xdr:rowOff>
    </xdr:to>
    <xdr:pic>
      <xdr:nvPicPr>
        <xdr:cNvPr id="5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28281" y="5138057"/>
          <a:ext cx="540000" cy="4487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11</xdr:row>
      <xdr:rowOff>108856</xdr:rowOff>
    </xdr:from>
    <xdr:to>
      <xdr:col>7</xdr:col>
      <xdr:colOff>648856</xdr:colOff>
      <xdr:row>11</xdr:row>
      <xdr:rowOff>548786</xdr:rowOff>
    </xdr:to>
    <xdr:pic>
      <xdr:nvPicPr>
        <xdr:cNvPr id="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28281" y="5804806"/>
          <a:ext cx="540000" cy="439930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108856</xdr:colOff>
      <xdr:row>12</xdr:row>
      <xdr:rowOff>108856</xdr:rowOff>
    </xdr:from>
    <xdr:to>
      <xdr:col>7</xdr:col>
      <xdr:colOff>648856</xdr:colOff>
      <xdr:row>12</xdr:row>
      <xdr:rowOff>548786</xdr:rowOff>
    </xdr:to>
    <xdr:pic>
      <xdr:nvPicPr>
        <xdr:cNvPr id="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128281" y="6471556"/>
          <a:ext cx="540000" cy="43993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60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9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96"/>
      <c r="B3" s="23"/>
      <c r="D3" s="25" t="s">
        <v>1</v>
      </c>
      <c r="E3" s="97" t="s">
        <v>61</v>
      </c>
      <c r="F3" s="98"/>
      <c r="G3" s="98"/>
      <c r="H3" s="9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41752</v>
      </c>
      <c r="AL3" s="34"/>
    </row>
    <row r="4" spans="1:38" s="36" customFormat="1">
      <c r="A4" s="9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9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96"/>
      <c r="B6" s="23"/>
      <c r="C6" s="44"/>
      <c r="D6" s="86" t="s">
        <v>5</v>
      </c>
      <c r="E6" s="86" t="s">
        <v>6</v>
      </c>
      <c r="F6" s="86" t="s">
        <v>7</v>
      </c>
      <c r="G6" s="86" t="s">
        <v>8</v>
      </c>
      <c r="H6" s="86" t="s">
        <v>9</v>
      </c>
      <c r="I6" s="86" t="s">
        <v>10</v>
      </c>
      <c r="J6" s="89" t="s">
        <v>11</v>
      </c>
      <c r="K6" s="89" t="s">
        <v>12</v>
      </c>
      <c r="L6" s="91" t="s">
        <v>13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3"/>
      <c r="AC6" s="94" t="s">
        <v>14</v>
      </c>
      <c r="AD6" s="94"/>
      <c r="AE6" s="95" t="s">
        <v>15</v>
      </c>
      <c r="AF6" s="95"/>
      <c r="AG6" s="86" t="s">
        <v>16</v>
      </c>
      <c r="AH6" s="43"/>
    </row>
    <row r="7" spans="1:38" s="53" customFormat="1" ht="23.25" customHeight="1">
      <c r="A7" s="46"/>
      <c r="B7" s="23"/>
      <c r="C7" s="44"/>
      <c r="D7" s="87"/>
      <c r="E7" s="87"/>
      <c r="F7" s="87"/>
      <c r="G7" s="87"/>
      <c r="H7" s="87"/>
      <c r="I7" s="87"/>
      <c r="J7" s="90"/>
      <c r="K7" s="90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87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67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 t="s">
        <v>44</v>
      </c>
      <c r="X8" s="61" t="s">
        <v>44</v>
      </c>
      <c r="Y8" s="61">
        <v>150</v>
      </c>
      <c r="Z8" s="61">
        <v>150</v>
      </c>
      <c r="AA8" s="61" t="s">
        <v>44</v>
      </c>
      <c r="AB8" s="62">
        <f t="shared" ref="AB8:AB39" si="0">SUM(L8:AA8)</f>
        <v>300</v>
      </c>
      <c r="AC8" s="63">
        <v>0</v>
      </c>
      <c r="AD8" s="64">
        <v>0</v>
      </c>
      <c r="AE8" s="65">
        <v>0</v>
      </c>
      <c r="AF8" s="65">
        <v>41824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47</v>
      </c>
      <c r="K9" s="57" t="s">
        <v>48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 t="s">
        <v>44</v>
      </c>
      <c r="X9" s="61" t="s">
        <v>44</v>
      </c>
      <c r="Y9" s="61">
        <v>150</v>
      </c>
      <c r="Z9" s="61">
        <v>150</v>
      </c>
      <c r="AA9" s="61" t="s">
        <v>44</v>
      </c>
      <c r="AB9" s="62">
        <f t="shared" si="0"/>
        <v>300</v>
      </c>
      <c r="AC9" s="63">
        <v>0</v>
      </c>
      <c r="AD9" s="64">
        <v>0</v>
      </c>
      <c r="AE9" s="65">
        <v>0</v>
      </c>
      <c r="AF9" s="65">
        <v>41824</v>
      </c>
      <c r="AG9" s="60"/>
    </row>
    <row r="10" spans="1:38" ht="52.5" customHeight="1">
      <c r="A10" s="54">
        <v>3</v>
      </c>
      <c r="B10" s="55" t="s">
        <v>49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50</v>
      </c>
      <c r="J10" s="57" t="s">
        <v>47</v>
      </c>
      <c r="K10" s="57" t="s">
        <v>51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 t="s">
        <v>44</v>
      </c>
      <c r="X10" s="61" t="s">
        <v>44</v>
      </c>
      <c r="Y10" s="61">
        <v>150</v>
      </c>
      <c r="Z10" s="61">
        <v>150</v>
      </c>
      <c r="AA10" s="61" t="s">
        <v>44</v>
      </c>
      <c r="AB10" s="62">
        <f t="shared" si="0"/>
        <v>300</v>
      </c>
      <c r="AC10" s="63">
        <v>0</v>
      </c>
      <c r="AD10" s="64">
        <v>0</v>
      </c>
      <c r="AE10" s="65">
        <v>0</v>
      </c>
      <c r="AF10" s="65">
        <v>41824</v>
      </c>
      <c r="AG10" s="60"/>
    </row>
    <row r="11" spans="1:38" ht="52.5" customHeight="1">
      <c r="A11" s="54">
        <v>4</v>
      </c>
      <c r="B11" s="55" t="s">
        <v>52</v>
      </c>
      <c r="D11" s="57">
        <v>4</v>
      </c>
      <c r="E11" s="58" t="s">
        <v>38</v>
      </c>
      <c r="F11" s="58" t="s">
        <v>39</v>
      </c>
      <c r="G11" s="58" t="s">
        <v>40</v>
      </c>
      <c r="H11" s="59"/>
      <c r="I11" s="60" t="s">
        <v>53</v>
      </c>
      <c r="J11" s="57" t="s">
        <v>47</v>
      </c>
      <c r="K11" s="57" t="s">
        <v>43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 t="s">
        <v>44</v>
      </c>
      <c r="X11" s="61" t="s">
        <v>44</v>
      </c>
      <c r="Y11" s="61">
        <v>150</v>
      </c>
      <c r="Z11" s="61">
        <v>150</v>
      </c>
      <c r="AA11" s="61" t="s">
        <v>44</v>
      </c>
      <c r="AB11" s="62">
        <f t="shared" si="0"/>
        <v>300</v>
      </c>
      <c r="AC11" s="63">
        <v>0</v>
      </c>
      <c r="AD11" s="64">
        <v>0</v>
      </c>
      <c r="AE11" s="65">
        <v>0</v>
      </c>
      <c r="AF11" s="65">
        <v>41824</v>
      </c>
      <c r="AG11" s="60"/>
    </row>
    <row r="12" spans="1:38" ht="52.5" customHeight="1">
      <c r="A12" s="54">
        <v>5</v>
      </c>
      <c r="B12" s="55" t="s">
        <v>54</v>
      </c>
      <c r="D12" s="57">
        <v>5</v>
      </c>
      <c r="E12" s="58" t="s">
        <v>38</v>
      </c>
      <c r="F12" s="58" t="s">
        <v>39</v>
      </c>
      <c r="G12" s="58" t="s">
        <v>40</v>
      </c>
      <c r="H12" s="59"/>
      <c r="I12" s="60" t="s">
        <v>55</v>
      </c>
      <c r="J12" s="57" t="s">
        <v>56</v>
      </c>
      <c r="K12" s="57" t="s">
        <v>57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 t="s">
        <v>44</v>
      </c>
      <c r="X12" s="61" t="s">
        <v>44</v>
      </c>
      <c r="Y12" s="61">
        <v>150</v>
      </c>
      <c r="Z12" s="61">
        <v>150</v>
      </c>
      <c r="AA12" s="61" t="s">
        <v>44</v>
      </c>
      <c r="AB12" s="62">
        <f t="shared" si="0"/>
        <v>300</v>
      </c>
      <c r="AC12" s="63">
        <v>0</v>
      </c>
      <c r="AD12" s="64">
        <v>0</v>
      </c>
      <c r="AE12" s="65">
        <v>0</v>
      </c>
      <c r="AF12" s="65">
        <v>41824</v>
      </c>
      <c r="AG12" s="60"/>
    </row>
    <row r="13" spans="1:38" ht="52.5" customHeight="1">
      <c r="A13" s="54">
        <v>6</v>
      </c>
      <c r="B13" s="55" t="s">
        <v>58</v>
      </c>
      <c r="D13" s="57">
        <v>6</v>
      </c>
      <c r="E13" s="58" t="s">
        <v>38</v>
      </c>
      <c r="F13" s="58" t="s">
        <v>39</v>
      </c>
      <c r="G13" s="58" t="s">
        <v>40</v>
      </c>
      <c r="H13" s="59"/>
      <c r="I13" s="60" t="s">
        <v>59</v>
      </c>
      <c r="J13" s="57" t="s">
        <v>56</v>
      </c>
      <c r="K13" s="57" t="s">
        <v>48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 t="s">
        <v>44</v>
      </c>
      <c r="X13" s="61" t="s">
        <v>44</v>
      </c>
      <c r="Y13" s="61">
        <v>150</v>
      </c>
      <c r="Z13" s="61">
        <v>150</v>
      </c>
      <c r="AA13" s="61" t="s">
        <v>44</v>
      </c>
      <c r="AB13" s="62">
        <f t="shared" si="0"/>
        <v>300</v>
      </c>
      <c r="AC13" s="63">
        <v>0</v>
      </c>
      <c r="AD13" s="64">
        <v>0</v>
      </c>
      <c r="AE13" s="65">
        <v>0</v>
      </c>
      <c r="AF13" s="65">
        <v>41824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88" t="s">
        <v>32</v>
      </c>
      <c r="E77" s="88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0</v>
      </c>
      <c r="T77" s="79">
        <f t="shared" ref="T77:AA77" si="4">SUM(T8:T76)</f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900</v>
      </c>
      <c r="Z77" s="79">
        <f t="shared" si="4"/>
        <v>900</v>
      </c>
      <c r="AA77" s="79">
        <f t="shared" si="4"/>
        <v>0</v>
      </c>
      <c r="AB77" s="79">
        <f>SUM(AB8:AB76)</f>
        <v>1800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G6:AG7"/>
    <mergeCell ref="D77:E77"/>
    <mergeCell ref="I6:I7"/>
    <mergeCell ref="J6:J7"/>
    <mergeCell ref="K6:K7"/>
    <mergeCell ref="L6:AB6"/>
    <mergeCell ref="AC6:AD6"/>
    <mergeCell ref="AE6:AF6"/>
  </mergeCells>
  <phoneticPr fontId="3" type="noConversion"/>
  <conditionalFormatting sqref="H14:H29 H68:H76">
    <cfRule type="expression" dxfId="12" priority="18" stopIfTrue="1">
      <formula>$H14="TTL"</formula>
    </cfRule>
  </conditionalFormatting>
  <conditionalFormatting sqref="H28">
    <cfRule type="expression" dxfId="11" priority="17" stopIfTrue="1">
      <formula>$H28="TTL"</formula>
    </cfRule>
  </conditionalFormatting>
  <conditionalFormatting sqref="H14:H29">
    <cfRule type="expression" dxfId="10" priority="16" stopIfTrue="1">
      <formula>$H14="TTL"</formula>
    </cfRule>
  </conditionalFormatting>
  <conditionalFormatting sqref="H28">
    <cfRule type="expression" dxfId="9" priority="15" stopIfTrue="1">
      <formula>$H28="TTL"</formula>
    </cfRule>
  </conditionalFormatting>
  <conditionalFormatting sqref="H14:H30">
    <cfRule type="expression" dxfId="8" priority="14" stopIfTrue="1">
      <formula>$H14="TTL"</formula>
    </cfRule>
  </conditionalFormatting>
  <conditionalFormatting sqref="H14:H18">
    <cfRule type="expression" dxfId="7" priority="12" stopIfTrue="1">
      <formula>$H14="TTL"</formula>
    </cfRule>
  </conditionalFormatting>
  <conditionalFormatting sqref="H14">
    <cfRule type="expression" dxfId="6" priority="11" stopIfTrue="1">
      <formula>$H14="TTL"</formula>
    </cfRule>
  </conditionalFormatting>
  <conditionalFormatting sqref="H14:H15">
    <cfRule type="expression" dxfId="5" priority="10" stopIfTrue="1">
      <formula>$H14="TTL"</formula>
    </cfRule>
  </conditionalFormatting>
  <conditionalFormatting sqref="H14:H32">
    <cfRule type="expression" dxfId="4" priority="9" stopIfTrue="1">
      <formula>$H14="TTL"</formula>
    </cfRule>
  </conditionalFormatting>
  <conditionalFormatting sqref="H14:H15">
    <cfRule type="expression" dxfId="3" priority="8" stopIfTrue="1">
      <formula>$H14="TTL"</formula>
    </cfRule>
  </conditionalFormatting>
  <conditionalFormatting sqref="H14">
    <cfRule type="expression" dxfId="2" priority="4" stopIfTrue="1">
      <formula>$H14="TTL"</formula>
    </cfRule>
  </conditionalFormatting>
  <conditionalFormatting sqref="H10:H12 H8">
    <cfRule type="expression" dxfId="1" priority="2" stopIfTrue="1">
      <formula>$I8="TTL"</formula>
    </cfRule>
  </conditionalFormatting>
  <conditionalFormatting sqref="H8:H13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2014-04-23T01:55:43Z</cp:lastPrinted>
  <dcterms:created xsi:type="dcterms:W3CDTF">2014-04-22T09:01:56Z</dcterms:created>
  <dcterms:modified xsi:type="dcterms:W3CDTF">2014-04-23T02:04:56Z</dcterms:modified>
</cp:coreProperties>
</file>