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320" yWindow="1200" windowWidth="27075" windowHeight="1119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<sst xmlns="http://schemas.openxmlformats.org/spreadsheetml/2006/main" count="1868" uniqueCount="64">
  <si>
    <t>PURCHASE ORDER LIST</t>
    <phoneticPr fontId="4" type="noConversion"/>
  </si>
  <si>
    <t>PO#</t>
    <phoneticPr fontId="4" type="noConversion"/>
  </si>
  <si>
    <t>RXK-KIDS-14FW-SBK-FOREMOST-08</t>
    <phoneticPr fontId="4" type="noConversion"/>
  </si>
  <si>
    <t>SBK-FOREMOST-08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</si>
  <si>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</si>
  <si>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</si>
  <si>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</si>
  <si>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</si>
  <si>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</si>
  <si>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</si>
  <si>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</si>
  <si>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</si>
  <si>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</si>
  <si>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</si>
  <si>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</si>
  <si>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</si>
  <si>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</si>
  <si>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</si>
  <si>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</si>
  <si>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</si>
  <si>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</si>
  <si>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</si>
  <si>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</si>
  <si>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</si>
  <si>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</si>
  <si>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</si>
  <si>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</si>
  <si>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</si>
  <si>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</si>
  <si>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</si>
  <si>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</si>
  <si>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</si>
  <si>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</si>
  <si>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</si>
  <si>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</si>
  <si>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</si>
  <si>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</si>
  <si>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</si>
  <si>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SBKBAF5511GREY</t>
  </si>
  <si>
    <t>SMITH BRIDGE_KIDS</t>
  </si>
  <si>
    <t>BASIC CAP</t>
  </si>
  <si>
    <t>K</t>
  </si>
  <si>
    <t>14FW-JILL-BY_11_GY_KIDS</t>
  </si>
  <si>
    <t>SBKBAF5511</t>
  </si>
  <si>
    <t>GREY</t>
  </si>
  <si>
    <t/>
  </si>
  <si>
    <t>SBKBAF5512BEIGE</t>
  </si>
  <si>
    <t>14FW-JILL-BY_04_BG_KIDS</t>
  </si>
  <si>
    <t>SBKBAF5512</t>
  </si>
  <si>
    <t>BEIGE</t>
  </si>
  <si>
    <t>SBKMIF5514RED</t>
  </si>
  <si>
    <t>MILITARY CAP</t>
  </si>
  <si>
    <t>14FW-JILL-BY_31_RE_KIDS</t>
  </si>
  <si>
    <t>SBKMIF5514</t>
  </si>
  <si>
    <t>RED</t>
  </si>
  <si>
    <t>SBKMIF5515NAVY</t>
  </si>
  <si>
    <t>14FW-JILL-BY_19_NV_KIDS</t>
  </si>
  <si>
    <t>SBKMIF5515</t>
  </si>
  <si>
    <t>NAVY</t>
  </si>
  <si>
    <t>SBKMIF5509KHAKI</t>
  </si>
  <si>
    <t>13FW-JILLBY-31_KH_KIDS (JILMIE5318KH)</t>
  </si>
  <si>
    <t>SBKMIF5509</t>
  </si>
  <si>
    <t>KHAKI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</si>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</sst>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2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111125</xdr:colOff>
      <xdr:row>7</xdr:row>
      <xdr:rowOff>63500</xdr:rowOff>
    </xdr:from>
    <xdr:to>
      <xdr:col>7</xdr:col>
      <xdr:colOff>651125</xdr:colOff>
      <xdr:row>7</xdr:row>
      <xdr:rowOff>627715</xdr:rowOff>
    </xdr:to>
    <xdr:pic>
      <xdr:nvPicPr>
        <xdr:cNvPr id="2" name="그림 1" descr="K-145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21250" y="156321125"/>
          <a:ext cx="540000" cy="564215"/>
        </a:xfrm>
        <a:prstGeom prst="rect">
          <a:avLst/>
        </a:prstGeom>
      </xdr:spPr>
    </xdr:pic>
    <xdr:clientData/>
  </xdr:twoCellAnchor>
  <xdr:twoCellAnchor>
    <xdr:from>
      <xdr:col>7</xdr:col>
      <xdr:colOff>111125</xdr:colOff>
      <xdr:row>8</xdr:row>
      <xdr:rowOff>63500</xdr:rowOff>
    </xdr:from>
    <xdr:to>
      <xdr:col>7</xdr:col>
      <xdr:colOff>615125</xdr:colOff>
      <xdr:row>8</xdr:row>
      <xdr:rowOff>590101</xdr:rowOff>
    </xdr:to>
    <xdr:pic>
      <xdr:nvPicPr>
        <xdr:cNvPr id="3" name="그림 2" descr="K-146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21250" y="156987875"/>
          <a:ext cx="504000" cy="526601"/>
        </a:xfrm>
        <a:prstGeom prst="rect">
          <a:avLst/>
        </a:prstGeom>
      </xdr:spPr>
    </xdr:pic>
    <xdr:clientData/>
  </xdr:twoCellAnchor>
  <xdr:twoCellAnchor>
    <xdr:from>
      <xdr:col>7</xdr:col>
      <xdr:colOff>111125</xdr:colOff>
      <xdr:row>9</xdr:row>
      <xdr:rowOff>127000</xdr:rowOff>
    </xdr:from>
    <xdr:to>
      <xdr:col>7</xdr:col>
      <xdr:colOff>651125</xdr:colOff>
      <xdr:row>9</xdr:row>
      <xdr:rowOff>556060</xdr:rowOff>
    </xdr:to>
    <xdr:pic>
      <xdr:nvPicPr>
        <xdr:cNvPr id="4" name="그림 3" descr="K-164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21250" y="160385125"/>
          <a:ext cx="540000" cy="429060"/>
        </a:xfrm>
        <a:prstGeom prst="rect">
          <a:avLst/>
        </a:prstGeom>
      </xdr:spPr>
    </xdr:pic>
    <xdr:clientData/>
  </xdr:twoCellAnchor>
  <xdr:twoCellAnchor>
    <xdr:from>
      <xdr:col>7</xdr:col>
      <xdr:colOff>111125</xdr:colOff>
      <xdr:row>10</xdr:row>
      <xdr:rowOff>127000</xdr:rowOff>
    </xdr:from>
    <xdr:to>
      <xdr:col>7</xdr:col>
      <xdr:colOff>651125</xdr:colOff>
      <xdr:row>10</xdr:row>
      <xdr:rowOff>558040</xdr:rowOff>
    </xdr:to>
    <xdr:pic>
      <xdr:nvPicPr>
        <xdr:cNvPr id="5" name="그림 4" descr="K-166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21250" y="161051875"/>
          <a:ext cx="540000" cy="431040"/>
        </a:xfrm>
        <a:prstGeom prst="rect">
          <a:avLst/>
        </a:prstGeom>
      </xdr:spPr>
    </xdr:pic>
    <xdr:clientData/>
  </xdr:twoCellAnchor>
  <xdr:twoCellAnchor>
    <xdr:from>
      <xdr:col>7</xdr:col>
      <xdr:colOff>111125</xdr:colOff>
      <xdr:row>11</xdr:row>
      <xdr:rowOff>111125</xdr:rowOff>
    </xdr:from>
    <xdr:to>
      <xdr:col>7</xdr:col>
      <xdr:colOff>651125</xdr:colOff>
      <xdr:row>11</xdr:row>
      <xdr:rowOff>537477</xdr:rowOff>
    </xdr:to>
    <xdr:pic>
      <xdr:nvPicPr>
        <xdr:cNvPr id="6" name="그림 5" descr="K-165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21250" y="163036250"/>
          <a:ext cx="540000" cy="4263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F93" sqref="F9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63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4</v>
      </c>
      <c r="AG3" s="37">
        <v>41739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15</v>
      </c>
      <c r="AD6" s="54"/>
      <c r="AE6" s="55" t="s">
        <v>16</v>
      </c>
      <c r="AF6" s="55"/>
      <c r="AG6" s="49" t="s">
        <v>17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 t="s">
        <v>28</v>
      </c>
      <c r="X7" s="61" t="s">
        <v>29</v>
      </c>
      <c r="Y7" s="61" t="s">
        <v>30</v>
      </c>
      <c r="Z7" s="61" t="s">
        <v>31</v>
      </c>
      <c r="AA7" s="61" t="s">
        <v>32</v>
      </c>
      <c r="AB7" s="61" t="s">
        <v>33</v>
      </c>
      <c r="AC7" s="63" t="s">
        <v>34</v>
      </c>
      <c r="AD7" s="64" t="s">
        <v>35</v>
      </c>
      <c r="AE7" s="65" t="s">
        <v>36</v>
      </c>
      <c r="AF7" s="65" t="s">
        <v>37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72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>
        <v>200</v>
      </c>
      <c r="Y8" s="74">
        <v>60</v>
      </c>
      <c r="Z8" s="74">
        <v>30</v>
      </c>
      <c r="AA8" s="74" t="s">
        <v>45</v>
      </c>
      <c r="AB8" s="75">
        <f t="shared" ref="AB8:AB39" si="0">SUM(L8:AA8)</f>
        <v>290</v>
      </c>
      <c r="AC8" s="76">
        <v>0</v>
      </c>
      <c r="AD8" s="77">
        <v>0</v>
      </c>
      <c r="AE8" s="78">
        <v>0</v>
      </c>
      <c r="AF8" s="78">
        <v>41864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48</v>
      </c>
      <c r="K9" s="70" t="s">
        <v>49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>
        <v>250</v>
      </c>
      <c r="Y9" s="74">
        <v>70</v>
      </c>
      <c r="Z9" s="74">
        <v>50</v>
      </c>
      <c r="AA9" s="74" t="s">
        <v>45</v>
      </c>
      <c r="AB9" s="75">
        <f t="shared" si="0"/>
        <v>370</v>
      </c>
      <c r="AC9" s="76">
        <v>0</v>
      </c>
      <c r="AD9" s="77">
        <v>0</v>
      </c>
      <c r="AE9" s="78">
        <v>0</v>
      </c>
      <c r="AF9" s="78">
        <v>41864</v>
      </c>
      <c r="AG9" s="73"/>
    </row>
    <row r="10" spans="1:38" ht="52.5" customHeight="1">
      <c r="A10" s="67">
        <v>3</v>
      </c>
      <c r="B10" s="68" t="s">
        <v>50</v>
      </c>
      <c r="D10" s="70">
        <v>3</v>
      </c>
      <c r="E10" s="71" t="s">
        <v>39</v>
      </c>
      <c r="F10" s="71" t="s">
        <v>51</v>
      </c>
      <c r="G10" s="71" t="s">
        <v>41</v>
      </c>
      <c r="H10" s="72"/>
      <c r="I10" s="73" t="s">
        <v>52</v>
      </c>
      <c r="J10" s="70" t="s">
        <v>53</v>
      </c>
      <c r="K10" s="70" t="s">
        <v>54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>
        <v>200</v>
      </c>
      <c r="Y10" s="74">
        <v>150</v>
      </c>
      <c r="Z10" s="74">
        <v>100</v>
      </c>
      <c r="AA10" s="74" t="s">
        <v>45</v>
      </c>
      <c r="AB10" s="75">
        <f t="shared" si="0"/>
        <v>450</v>
      </c>
      <c r="AC10" s="76">
        <v>0</v>
      </c>
      <c r="AD10" s="77">
        <v>0</v>
      </c>
      <c r="AE10" s="78">
        <v>0</v>
      </c>
      <c r="AF10" s="78">
        <v>41864</v>
      </c>
      <c r="AG10" s="73"/>
    </row>
    <row r="11" spans="1:38" ht="52.5" customHeight="1">
      <c r="A11" s="67">
        <v>4</v>
      </c>
      <c r="B11" s="68" t="s">
        <v>55</v>
      </c>
      <c r="D11" s="70">
        <v>4</v>
      </c>
      <c r="E11" s="71" t="s">
        <v>39</v>
      </c>
      <c r="F11" s="71" t="s">
        <v>51</v>
      </c>
      <c r="G11" s="71" t="s">
        <v>41</v>
      </c>
      <c r="H11" s="72"/>
      <c r="I11" s="73" t="s">
        <v>56</v>
      </c>
      <c r="J11" s="70" t="s">
        <v>57</v>
      </c>
      <c r="K11" s="70" t="s">
        <v>58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>
        <v>200</v>
      </c>
      <c r="Y11" s="74">
        <v>150</v>
      </c>
      <c r="Z11" s="74">
        <v>100</v>
      </c>
      <c r="AA11" s="74" t="s">
        <v>45</v>
      </c>
      <c r="AB11" s="75">
        <f t="shared" si="0"/>
        <v>450</v>
      </c>
      <c r="AC11" s="76">
        <v>0</v>
      </c>
      <c r="AD11" s="77">
        <v>0</v>
      </c>
      <c r="AE11" s="78">
        <v>0</v>
      </c>
      <c r="AF11" s="78">
        <v>41864</v>
      </c>
      <c r="AG11" s="73"/>
    </row>
    <row r="12" spans="1:38" ht="52.5" customHeight="1">
      <c r="A12" s="67">
        <v>5</v>
      </c>
      <c r="B12" s="68" t="s">
        <v>59</v>
      </c>
      <c r="D12" s="70">
        <v>5</v>
      </c>
      <c r="E12" s="71" t="s">
        <v>39</v>
      </c>
      <c r="F12" s="71" t="s">
        <v>51</v>
      </c>
      <c r="G12" s="71" t="s">
        <v>41</v>
      </c>
      <c r="H12" s="72"/>
      <c r="I12" s="73" t="s">
        <v>60</v>
      </c>
      <c r="J12" s="70" t="s">
        <v>61</v>
      </c>
      <c r="K12" s="70" t="s">
        <v>62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>
        <v>200</v>
      </c>
      <c r="Y12" s="74">
        <v>150</v>
      </c>
      <c r="Z12" s="74">
        <v>100</v>
      </c>
      <c r="AA12" s="74" t="s">
        <v>45</v>
      </c>
      <c r="AB12" s="75">
        <f t="shared" si="0"/>
        <v>450</v>
      </c>
      <c r="AC12" s="76">
        <v>0</v>
      </c>
      <c r="AD12" s="77">
        <v>0</v>
      </c>
      <c r="AE12" s="78">
        <v>0</v>
      </c>
      <c r="AF12" s="78">
        <v>41864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33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 t="shared" ref="R77:AA77" si="4">SUM(R8:R76)</f>
        <v>0</v>
      </c>
      <c r="S77" s="93">
        <f>SUM(S8:S76)</f>
        <v>0</v>
      </c>
      <c r="T77" s="93">
        <f t="shared" si="4"/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1050</v>
      </c>
      <c r="Y77" s="93">
        <f t="shared" si="4"/>
        <v>580</v>
      </c>
      <c r="Z77" s="93">
        <f t="shared" si="4"/>
        <v>380</v>
      </c>
      <c r="AA77" s="93">
        <f t="shared" si="4"/>
        <v>0</v>
      </c>
      <c r="AB77" s="93">
        <f>SUM(AB8:AB76)</f>
        <v>2010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3:H29 H68:H76">
    <cfRule type="expression" dxfId="21" priority="19" stopIfTrue="1">
      <formula>$H13="TTL"</formula>
    </cfRule>
  </conditionalFormatting>
  <conditionalFormatting sqref="H28">
    <cfRule type="expression" dxfId="20" priority="18" stopIfTrue="1">
      <formula>$H28="TTL"</formula>
    </cfRule>
  </conditionalFormatting>
  <conditionalFormatting sqref="H13:H29">
    <cfRule type="expression" dxfId="19" priority="17" stopIfTrue="1">
      <formula>$H13="TTL"</formula>
    </cfRule>
  </conditionalFormatting>
  <conditionalFormatting sqref="H28">
    <cfRule type="expression" dxfId="18" priority="16" stopIfTrue="1">
      <formula>$H28="TTL"</formula>
    </cfRule>
  </conditionalFormatting>
  <conditionalFormatting sqref="H13:H30">
    <cfRule type="expression" dxfId="17" priority="15" stopIfTrue="1">
      <formula>$H13="TTL"</formula>
    </cfRule>
  </conditionalFormatting>
  <conditionalFormatting sqref="H13:H18">
    <cfRule type="expression" dxfId="15" priority="13" stopIfTrue="1">
      <formula>$H13="TTL"</formula>
    </cfRule>
  </conditionalFormatting>
  <conditionalFormatting sqref="H13:H14">
    <cfRule type="expression" dxfId="14" priority="12" stopIfTrue="1">
      <formula>$H13="TTL"</formula>
    </cfRule>
  </conditionalFormatting>
  <conditionalFormatting sqref="H13:H15">
    <cfRule type="expression" dxfId="13" priority="11" stopIfTrue="1">
      <formula>$H13="TTL"</formula>
    </cfRule>
  </conditionalFormatting>
  <conditionalFormatting sqref="H13:H32">
    <cfRule type="expression" dxfId="12" priority="10" stopIfTrue="1">
      <formula>$H13="TTL"</formula>
    </cfRule>
  </conditionalFormatting>
  <conditionalFormatting sqref="H13:H15">
    <cfRule type="expression" dxfId="11" priority="9" stopIfTrue="1">
      <formula>$H13="TTL"</formula>
    </cfRule>
  </conditionalFormatting>
  <conditionalFormatting sqref="H13:H14">
    <cfRule type="expression" dxfId="7" priority="5" stopIfTrue="1">
      <formula>$H13="TTL"</formula>
    </cfRule>
  </conditionalFormatting>
  <conditionalFormatting sqref="H8:H9">
    <cfRule type="expression" dxfId="5" priority="3" stopIfTrue="1">
      <formula>$I8="TTL"</formula>
    </cfRule>
  </conditionalFormatting>
  <conditionalFormatting sqref="H10:H11">
    <cfRule type="expression" dxfId="3" priority="2" stopIfTrue="1">
      <formula>$I10="TTL"</formula>
    </cfRule>
  </conditionalFormatting>
  <conditionalFormatting sqref="H12">
    <cfRule type="expression" dxfId="1" priority="1" stopIfTrue="1">
      <formula>$I12="TTL"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2014-04-10T02:58:18Z</dcterms:created>
  <dcterms:modified xsi:type="dcterms:W3CDTF">2014-04-10T02:59:27Z</dcterms:modified>
</cp:coreProperties>
</file>