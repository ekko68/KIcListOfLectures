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<sst xmlns="http://schemas.openxmlformats.org/spreadsheetml/2006/main" count="1878" uniqueCount="60">
  <si>
    <t>PURCHASE ORDER LIST</t>
    <phoneticPr fontId="4" type="noConversion"/>
  </si>
  <si>
    <t>PO#</t>
    <phoneticPr fontId="4" type="noConversion"/>
  </si>
  <si>
    <t>RXK-KIDS-14FW-SBK-Y&amp;Y-03</t>
    <phoneticPr fontId="4" type="noConversion"/>
  </si>
  <si>
    <t>SBK-Y&amp;Y-03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</si>
  <si>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</si>
  <si>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</si>
  <si>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</si>
  <si>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</si>
  <si>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</si>
  <si>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</si>
  <si>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</si>
  <si>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</si>
  <si>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</si>
  <si>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</si>
  <si>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</si>
  <si>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</si>
  <si>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</si>
  <si>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</si>
  <si>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</si>
  <si>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</si>
  <si>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</si>
  <si>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</si>
  <si>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</si>
  <si>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</si>
  <si>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</si>
  <si>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</si>
  <si>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</si>
  <si>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</si>
  <si>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</si>
  <si>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</si>
  <si>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</si>
  <si>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</si>
  <si>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</si>
  <si>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</si>
  <si>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</si>
  <si>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</si>
  <si>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</si>
  <si>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</si>
  <si>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SBKEBF5553PINK</t>
  </si>
  <si>
    <t>SMITH BRIDGE_KIDS</t>
  </si>
  <si>
    <t>EARFLAP BEANIE</t>
  </si>
  <si>
    <t>K</t>
  </si>
  <si>
    <t>14FW-JILLBY-KNIT-41-PK_KIDS</t>
  </si>
  <si>
    <t>SBKEBF5553</t>
  </si>
  <si>
    <t>PINK</t>
  </si>
  <si>
    <t/>
  </si>
  <si>
    <t>SBKEBF5553MINT</t>
  </si>
  <si>
    <t>14FW-JILLBY-KNIT-41-MT_KIDS</t>
  </si>
  <si>
    <t>MINT</t>
  </si>
  <si>
    <t>SBKEBF5554PURPLE</t>
  </si>
  <si>
    <t>14FW-JILLBY-KNIT-55-PP_KIDS</t>
  </si>
  <si>
    <t>SBKEBF5554</t>
  </si>
  <si>
    <t>PURPLE</t>
  </si>
  <si>
    <t>SBKEBF5554BLACK</t>
  </si>
  <si>
    <t>14FW-JILLBY-KNIT-55-BK_KIDS</t>
  </si>
  <si>
    <t>BLACK</t>
  </si>
  <si>
    <t>SBKEBF5554RED</t>
  </si>
  <si>
    <t>14FW-JILLBY-KNIT-55-RD_KIDS</t>
  </si>
  <si>
    <t>RED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</si>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</sst>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2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190499</xdr:colOff>
      <xdr:row>9</xdr:row>
      <xdr:rowOff>68035</xdr:rowOff>
    </xdr:from>
    <xdr:to>
      <xdr:col>7</xdr:col>
      <xdr:colOff>581803</xdr:colOff>
      <xdr:row>9</xdr:row>
      <xdr:rowOff>608035</xdr:rowOff>
    </xdr:to>
    <xdr:pic>
      <xdr:nvPicPr>
        <xdr:cNvPr id="2" name="그림 1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r="59770"/>
        <a:stretch/>
      </xdr:blipFill>
      <xdr:spPr>
        <a:xfrm>
          <a:off x="5000624" y="369018910"/>
          <a:ext cx="391304" cy="540000"/>
        </a:xfrm>
        <a:prstGeom prst="rect">
          <a:avLst/>
        </a:prstGeom>
      </xdr:spPr>
    </xdr:pic>
    <xdr:clientData/>
  </xdr:twoCellAnchor>
  <xdr:twoCellAnchor>
    <xdr:from>
      <xdr:col>7</xdr:col>
      <xdr:colOff>190498</xdr:colOff>
      <xdr:row>10</xdr:row>
      <xdr:rowOff>68035</xdr:rowOff>
    </xdr:from>
    <xdr:to>
      <xdr:col>7</xdr:col>
      <xdr:colOff>537082</xdr:colOff>
      <xdr:row>10</xdr:row>
      <xdr:rowOff>608035</xdr:rowOff>
    </xdr:to>
    <xdr:pic>
      <xdr:nvPicPr>
        <xdr:cNvPr id="3" name="그림 2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35632" r="28736"/>
        <a:stretch/>
      </xdr:blipFill>
      <xdr:spPr>
        <a:xfrm>
          <a:off x="5000623" y="369685660"/>
          <a:ext cx="346584" cy="540000"/>
        </a:xfrm>
        <a:prstGeom prst="rect">
          <a:avLst/>
        </a:prstGeom>
      </xdr:spPr>
    </xdr:pic>
    <xdr:clientData/>
  </xdr:twoCellAnchor>
  <xdr:twoCellAnchor>
    <xdr:from>
      <xdr:col>7</xdr:col>
      <xdr:colOff>190499</xdr:colOff>
      <xdr:row>11</xdr:row>
      <xdr:rowOff>68035</xdr:rowOff>
    </xdr:from>
    <xdr:to>
      <xdr:col>7</xdr:col>
      <xdr:colOff>503542</xdr:colOff>
      <xdr:row>11</xdr:row>
      <xdr:rowOff>608035</xdr:rowOff>
    </xdr:to>
    <xdr:pic>
      <xdr:nvPicPr>
        <xdr:cNvPr id="4" name="그림 3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67816"/>
        <a:stretch/>
      </xdr:blipFill>
      <xdr:spPr>
        <a:xfrm>
          <a:off x="5000624" y="370352410"/>
          <a:ext cx="313043" cy="540000"/>
        </a:xfrm>
        <a:prstGeom prst="rect">
          <a:avLst/>
        </a:prstGeom>
      </xdr:spPr>
    </xdr:pic>
    <xdr:clientData/>
  </xdr:twoCellAnchor>
  <xdr:twoCellAnchor>
    <xdr:from>
      <xdr:col>7</xdr:col>
      <xdr:colOff>272142</xdr:colOff>
      <xdr:row>7</xdr:row>
      <xdr:rowOff>68035</xdr:rowOff>
    </xdr:from>
    <xdr:to>
      <xdr:col>7</xdr:col>
      <xdr:colOff>571500</xdr:colOff>
      <xdr:row>7</xdr:row>
      <xdr:rowOff>608035</xdr:rowOff>
    </xdr:to>
    <xdr:pic>
      <xdr:nvPicPr>
        <xdr:cNvPr id="5" name="그림 4" descr="Capture_391.png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r="45750"/>
        <a:stretch/>
      </xdr:blipFill>
      <xdr:spPr>
        <a:xfrm>
          <a:off x="5082267" y="367685410"/>
          <a:ext cx="299358" cy="540000"/>
        </a:xfrm>
        <a:prstGeom prst="rect">
          <a:avLst/>
        </a:prstGeom>
      </xdr:spPr>
    </xdr:pic>
    <xdr:clientData/>
  </xdr:twoCellAnchor>
  <xdr:twoCellAnchor>
    <xdr:from>
      <xdr:col>7</xdr:col>
      <xdr:colOff>258537</xdr:colOff>
      <xdr:row>8</xdr:row>
      <xdr:rowOff>68035</xdr:rowOff>
    </xdr:from>
    <xdr:to>
      <xdr:col>7</xdr:col>
      <xdr:colOff>530954</xdr:colOff>
      <xdr:row>8</xdr:row>
      <xdr:rowOff>608035</xdr:rowOff>
    </xdr:to>
    <xdr:pic>
      <xdr:nvPicPr>
        <xdr:cNvPr id="6" name="그림 5" descr="Capture_391.png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50633"/>
        <a:stretch/>
      </xdr:blipFill>
      <xdr:spPr>
        <a:xfrm>
          <a:off x="5068662" y="368352160"/>
          <a:ext cx="272417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41761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>
        <v>200</v>
      </c>
      <c r="X8" s="74" t="s">
        <v>45</v>
      </c>
      <c r="Y8" s="74" t="s">
        <v>45</v>
      </c>
      <c r="Z8" s="74" t="s">
        <v>45</v>
      </c>
      <c r="AA8" s="74" t="s">
        <v>45</v>
      </c>
      <c r="AB8" s="75">
        <f t="shared" ref="AB8:AB39" si="0">SUM(L8:AA8)</f>
        <v>200</v>
      </c>
      <c r="AC8" s="76">
        <v>0</v>
      </c>
      <c r="AD8" s="77">
        <v>0</v>
      </c>
      <c r="AE8" s="78">
        <v>0</v>
      </c>
      <c r="AF8" s="78">
        <v>41907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43</v>
      </c>
      <c r="K9" s="70" t="s">
        <v>48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>
        <v>200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200</v>
      </c>
      <c r="AC9" s="76">
        <v>0</v>
      </c>
      <c r="AD9" s="77">
        <v>0</v>
      </c>
      <c r="AE9" s="78">
        <v>0</v>
      </c>
      <c r="AF9" s="78">
        <v>41907</v>
      </c>
      <c r="AG9" s="73"/>
    </row>
    <row r="10" spans="1:38" ht="52.5" customHeight="1">
      <c r="A10" s="67">
        <v>3</v>
      </c>
      <c r="B10" s="68" t="s">
        <v>49</v>
      </c>
      <c r="D10" s="70">
        <v>3</v>
      </c>
      <c r="E10" s="71" t="s">
        <v>39</v>
      </c>
      <c r="F10" s="71" t="s">
        <v>40</v>
      </c>
      <c r="G10" s="71" t="s">
        <v>41</v>
      </c>
      <c r="H10" s="72"/>
      <c r="I10" s="73" t="s">
        <v>50</v>
      </c>
      <c r="J10" s="70" t="s">
        <v>51</v>
      </c>
      <c r="K10" s="70" t="s">
        <v>52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>
        <v>80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80</v>
      </c>
      <c r="AC10" s="76">
        <v>0</v>
      </c>
      <c r="AD10" s="77">
        <v>0</v>
      </c>
      <c r="AE10" s="78">
        <v>0</v>
      </c>
      <c r="AF10" s="78">
        <v>41907</v>
      </c>
      <c r="AG10" s="73"/>
    </row>
    <row r="11" spans="1:38" ht="52.5" customHeight="1">
      <c r="A11" s="67">
        <v>4</v>
      </c>
      <c r="B11" s="68" t="s">
        <v>53</v>
      </c>
      <c r="D11" s="70">
        <v>4</v>
      </c>
      <c r="E11" s="71" t="s">
        <v>39</v>
      </c>
      <c r="F11" s="71" t="s">
        <v>40</v>
      </c>
      <c r="G11" s="71" t="s">
        <v>41</v>
      </c>
      <c r="H11" s="72"/>
      <c r="I11" s="73" t="s">
        <v>54</v>
      </c>
      <c r="J11" s="70" t="s">
        <v>51</v>
      </c>
      <c r="K11" s="70" t="s">
        <v>55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>
        <v>80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80</v>
      </c>
      <c r="AC11" s="76">
        <v>0</v>
      </c>
      <c r="AD11" s="77">
        <v>0</v>
      </c>
      <c r="AE11" s="78">
        <v>0</v>
      </c>
      <c r="AF11" s="78">
        <v>41907</v>
      </c>
      <c r="AG11" s="73"/>
    </row>
    <row r="12" spans="1:38" ht="52.5" customHeight="1">
      <c r="A12" s="67">
        <v>5</v>
      </c>
      <c r="B12" s="68" t="s">
        <v>56</v>
      </c>
      <c r="D12" s="70">
        <v>5</v>
      </c>
      <c r="E12" s="71" t="s">
        <v>39</v>
      </c>
      <c r="F12" s="71" t="s">
        <v>40</v>
      </c>
      <c r="G12" s="71" t="s">
        <v>41</v>
      </c>
      <c r="H12" s="72"/>
      <c r="I12" s="73" t="s">
        <v>57</v>
      </c>
      <c r="J12" s="70" t="s">
        <v>51</v>
      </c>
      <c r="K12" s="70" t="s">
        <v>58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>
        <v>80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80</v>
      </c>
      <c r="AC12" s="76">
        <v>0</v>
      </c>
      <c r="AD12" s="77">
        <v>0</v>
      </c>
      <c r="AE12" s="78">
        <v>0</v>
      </c>
      <c r="AF12" s="78">
        <v>41907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>SUM(R8:R76)</f>
        <v>0</v>
      </c>
      <c r="S77" s="93">
        <f>SUM(S8:S76)</f>
        <v>0</v>
      </c>
      <c r="T77" s="93">
        <f t="shared" ref="T77:AA77" si="4">SUM(T8:T76)</f>
        <v>0</v>
      </c>
      <c r="U77" s="93">
        <f t="shared" si="4"/>
        <v>0</v>
      </c>
      <c r="V77" s="93">
        <f t="shared" si="4"/>
        <v>0</v>
      </c>
      <c r="W77" s="93">
        <f t="shared" si="4"/>
        <v>640</v>
      </c>
      <c r="X77" s="93">
        <f t="shared" si="4"/>
        <v>0</v>
      </c>
      <c r="Y77" s="93">
        <f t="shared" si="4"/>
        <v>0</v>
      </c>
      <c r="Z77" s="93">
        <f t="shared" si="4"/>
        <v>0</v>
      </c>
      <c r="AA77" s="93">
        <f t="shared" si="4"/>
        <v>0</v>
      </c>
      <c r="AB77" s="93">
        <f>SUM(AB8:AB76)</f>
        <v>640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3:H29 H68:H76">
    <cfRule type="expression" dxfId="21" priority="19" stopIfTrue="1">
      <formula>$H13="TTL"</formula>
    </cfRule>
  </conditionalFormatting>
  <conditionalFormatting sqref="H28">
    <cfRule type="expression" dxfId="20" priority="18" stopIfTrue="1">
      <formula>$H28="TTL"</formula>
    </cfRule>
  </conditionalFormatting>
  <conditionalFormatting sqref="H13:H29">
    <cfRule type="expression" dxfId="19" priority="17" stopIfTrue="1">
      <formula>$H13="TTL"</formula>
    </cfRule>
  </conditionalFormatting>
  <conditionalFormatting sqref="H28">
    <cfRule type="expression" dxfId="18" priority="16" stopIfTrue="1">
      <formula>$H28="TTL"</formula>
    </cfRule>
  </conditionalFormatting>
  <conditionalFormatting sqref="H13:H30">
    <cfRule type="expression" dxfId="17" priority="15" stopIfTrue="1">
      <formula>$H13="TTL"</formula>
    </cfRule>
  </conditionalFormatting>
  <conditionalFormatting sqref="H13:H18">
    <cfRule type="expression" dxfId="15" priority="13" stopIfTrue="1">
      <formula>$H13="TTL"</formula>
    </cfRule>
  </conditionalFormatting>
  <conditionalFormatting sqref="H13:H14">
    <cfRule type="expression" dxfId="14" priority="12" stopIfTrue="1">
      <formula>$H13="TTL"</formula>
    </cfRule>
  </conditionalFormatting>
  <conditionalFormatting sqref="H13:H15">
    <cfRule type="expression" dxfId="13" priority="11" stopIfTrue="1">
      <formula>$H13="TTL"</formula>
    </cfRule>
  </conditionalFormatting>
  <conditionalFormatting sqref="H13:H32">
    <cfRule type="expression" dxfId="12" priority="10" stopIfTrue="1">
      <formula>$H13="TTL"</formula>
    </cfRule>
  </conditionalFormatting>
  <conditionalFormatting sqref="H13:H15">
    <cfRule type="expression" dxfId="11" priority="9" stopIfTrue="1">
      <formula>$H13="TTL"</formula>
    </cfRule>
  </conditionalFormatting>
  <conditionalFormatting sqref="H13:H14">
    <cfRule type="expression" dxfId="7" priority="5" stopIfTrue="1">
      <formula>$H13="TTL"</formula>
    </cfRule>
  </conditionalFormatting>
  <conditionalFormatting sqref="H8:H12">
    <cfRule type="expression" dxfId="5" priority="3" stopIfTrue="1">
      <formula>$I8="TTL"</formula>
    </cfRule>
  </conditionalFormatting>
  <conditionalFormatting sqref="H8:H12">
    <cfRule type="expression" dxfId="3" priority="2">
      <formula>$I8="TTL"</formula>
    </cfRule>
  </conditionalFormatting>
  <conditionalFormatting sqref="H8:H12">
    <cfRule type="expression" dxfId="1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2014-05-02T07:20:41Z</dcterms:created>
  <dcterms:modified xsi:type="dcterms:W3CDTF">2014-05-02T07:21:32Z</dcterms:modified>
</cp:coreProperties>
</file>