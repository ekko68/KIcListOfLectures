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00" yWindow="1770" windowWidth="26595" windowHeight="1062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<sst xmlns="http://schemas.openxmlformats.org/spreadsheetml/2006/main" count="1858" uniqueCount="73">
  <si>
    <t>PURCHASE ORDER LIST</t>
    <phoneticPr fontId="4" type="noConversion"/>
  </si>
  <si>
    <t>PO#</t>
    <phoneticPr fontId="4" type="noConversion"/>
  </si>
  <si>
    <t>RXK-KIDS-14FW-SBK-FOREMOST-14</t>
    <phoneticPr fontId="4" type="noConversion"/>
  </si>
  <si>
    <t>SBK-FOREMOST-14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</si>
  <si>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</si>
  <si>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</si>
  <si>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</si>
  <si>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</si>
  <si>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</si>
  <si>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</si>
  <si>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</si>
  <si>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</si>
  <si>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</si>
  <si>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</si>
  <si>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</si>
  <si>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</si>
  <si>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</si>
  <si>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</si>
  <si>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</si>
  <si>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</si>
  <si>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</si>
  <si>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</si>
  <si>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</si>
  <si>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</si>
  <si>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</si>
  <si>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</si>
  <si>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</si>
  <si>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</si>
  <si>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</si>
  <si>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</si>
  <si>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</si>
  <si>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</si>
  <si>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</si>
  <si>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</si>
  <si>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</si>
  <si>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</si>
  <si>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</si>
  <si>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</si>
  <si>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SBKBEF5534BLACK</t>
  </si>
  <si>
    <t>SMITH BRIDGE_KIDS</t>
  </si>
  <si>
    <t>BEANIE</t>
  </si>
  <si>
    <t>K</t>
  </si>
  <si>
    <t>14FW-JILLBY-KNIT-12_BK_KIDS</t>
  </si>
  <si>
    <t>SBKBEF5534</t>
  </si>
  <si>
    <t>BLACK</t>
  </si>
  <si>
    <t/>
  </si>
  <si>
    <t>SBKBEF5534BLUE</t>
  </si>
  <si>
    <t>14FW-JILLBY-KNIT-12_BL_KIDS</t>
  </si>
  <si>
    <t>BLUE</t>
  </si>
  <si>
    <t>SBKBEF5534PURPLE</t>
  </si>
  <si>
    <t>14FW-JILLBY-KNIT-12_PP_KIDS</t>
  </si>
  <si>
    <t>PURPLE</t>
  </si>
  <si>
    <t>SBKBEF5535BLUE</t>
  </si>
  <si>
    <t>14FW-JILLBY-KNIT-16_BL_KIDS</t>
  </si>
  <si>
    <t>SBKBEF5535</t>
  </si>
  <si>
    <t>SBKBEF5536KHAKI</t>
  </si>
  <si>
    <t>14FW-JILLBY-KNIT_02_KH_KIDS</t>
  </si>
  <si>
    <t>SBKBEF5536</t>
  </si>
  <si>
    <t>KHAKI</t>
  </si>
  <si>
    <t>SBKBEF5536RED</t>
  </si>
  <si>
    <t>14FW-JILLBY-KNIT_02_RE_KIDS</t>
  </si>
  <si>
    <t>RED</t>
  </si>
  <si>
    <t>SBKBEF5538BLACK</t>
  </si>
  <si>
    <t>14FW-JILLBY-KNIT-61-BK_KIDS</t>
  </si>
  <si>
    <t>SBKBEF5538</t>
  </si>
  <si>
    <t>SBKBEF5540GREY</t>
  </si>
  <si>
    <t>14FW-JILLBY-KNIT-46_GY_KIDS</t>
  </si>
  <si>
    <t>SBKBEF5540</t>
  </si>
  <si>
    <t>GREY</t>
  </si>
  <si>
    <t>SBKBEF5540PINK</t>
  </si>
  <si>
    <t>14FW-JILLBY-KNIT-46_PK_KIDS</t>
  </si>
  <si>
    <t>PINK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</si>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</sst>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9" borderId="0" applyNumberFormat="0" applyBorder="0" applyAlignment="0" applyProtection="0"/>
    <xf numFmtId="0" fontId="11" fillId="14" borderId="0" applyNumberFormat="0" applyBorder="0" applyAlignment="0" applyProtection="0"/>
    <xf numFmtId="0" fontId="11" fillId="17" borderId="0" applyNumberFormat="0" applyBorder="0" applyAlignment="0" applyProtection="0"/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4" fillId="20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7" borderId="0" applyNumberFormat="0" applyBorder="0" applyAlignment="0" applyProtection="0"/>
    <xf numFmtId="0" fontId="17" fillId="7" borderId="0" applyNumberFormat="0" applyBorder="0" applyAlignment="0" applyProtection="0"/>
    <xf numFmtId="0" fontId="18" fillId="18" borderId="8" applyNumberFormat="0" applyAlignment="0" applyProtection="0"/>
    <xf numFmtId="0" fontId="19" fillId="28" borderId="9" applyNumberFormat="0" applyAlignment="0" applyProtection="0"/>
    <xf numFmtId="0" fontId="20" fillId="0" borderId="0" applyNumberFormat="0" applyFill="0" applyBorder="0" applyAlignment="0" applyProtection="0"/>
    <xf numFmtId="0" fontId="21" fillId="8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1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19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3" borderId="15" applyNumberFormat="0" applyFont="0" applyAlignment="0" applyProtection="0"/>
    <xf numFmtId="0" fontId="30" fillId="18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1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154782</xdr:colOff>
      <xdr:row>7</xdr:row>
      <xdr:rowOff>83328</xdr:rowOff>
    </xdr:from>
    <xdr:to>
      <xdr:col>7</xdr:col>
      <xdr:colOff>582281</xdr:colOff>
      <xdr:row>7</xdr:row>
      <xdr:rowOff>551328</xdr:rowOff>
    </xdr:to>
    <xdr:pic>
      <xdr:nvPicPr>
        <xdr:cNvPr id="2" name="그림 1" descr="Capture_769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r="68164" b="9252"/>
        <a:stretch/>
      </xdr:blipFill>
      <xdr:spPr>
        <a:xfrm>
          <a:off x="4964907" y="329029203"/>
          <a:ext cx="427499" cy="468000"/>
        </a:xfrm>
        <a:prstGeom prst="rect">
          <a:avLst/>
        </a:prstGeom>
      </xdr:spPr>
    </xdr:pic>
    <xdr:clientData/>
  </xdr:twoCellAnchor>
  <xdr:twoCellAnchor>
    <xdr:from>
      <xdr:col>7</xdr:col>
      <xdr:colOff>130967</xdr:colOff>
      <xdr:row>8</xdr:row>
      <xdr:rowOff>95234</xdr:rowOff>
    </xdr:from>
    <xdr:to>
      <xdr:col>7</xdr:col>
      <xdr:colOff>598967</xdr:colOff>
      <xdr:row>8</xdr:row>
      <xdr:rowOff>563234</xdr:rowOff>
    </xdr:to>
    <xdr:pic>
      <xdr:nvPicPr>
        <xdr:cNvPr id="3" name="그림 2" descr="Capture_769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32506" r="33647" b="11870"/>
        <a:stretch/>
      </xdr:blipFill>
      <xdr:spPr>
        <a:xfrm>
          <a:off x="4941092" y="329707859"/>
          <a:ext cx="468000" cy="468000"/>
        </a:xfrm>
        <a:prstGeom prst="rect">
          <a:avLst/>
        </a:prstGeom>
      </xdr:spPr>
    </xdr:pic>
    <xdr:clientData/>
  </xdr:twoCellAnchor>
  <xdr:twoCellAnchor>
    <xdr:from>
      <xdr:col>7</xdr:col>
      <xdr:colOff>130966</xdr:colOff>
      <xdr:row>9</xdr:row>
      <xdr:rowOff>95234</xdr:rowOff>
    </xdr:from>
    <xdr:to>
      <xdr:col>7</xdr:col>
      <xdr:colOff>605522</xdr:colOff>
      <xdr:row>9</xdr:row>
      <xdr:rowOff>563234</xdr:rowOff>
    </xdr:to>
    <xdr:pic>
      <xdr:nvPicPr>
        <xdr:cNvPr id="4" name="그림 3" descr="Capture_769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66018" b="12743"/>
        <a:stretch/>
      </xdr:blipFill>
      <xdr:spPr>
        <a:xfrm>
          <a:off x="4941091" y="330374609"/>
          <a:ext cx="474556" cy="468000"/>
        </a:xfrm>
        <a:prstGeom prst="rect">
          <a:avLst/>
        </a:prstGeom>
      </xdr:spPr>
    </xdr:pic>
    <xdr:clientData/>
  </xdr:twoCellAnchor>
  <xdr:twoCellAnchor>
    <xdr:from>
      <xdr:col>7</xdr:col>
      <xdr:colOff>142873</xdr:colOff>
      <xdr:row>10</xdr:row>
      <xdr:rowOff>59530</xdr:rowOff>
    </xdr:from>
    <xdr:to>
      <xdr:col>7</xdr:col>
      <xdr:colOff>596980</xdr:colOff>
      <xdr:row>10</xdr:row>
      <xdr:rowOff>599530</xdr:rowOff>
    </xdr:to>
    <xdr:pic>
      <xdr:nvPicPr>
        <xdr:cNvPr id="5" name="그림 4" descr="Capture_770.png"/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r="50980"/>
        <a:stretch/>
      </xdr:blipFill>
      <xdr:spPr>
        <a:xfrm>
          <a:off x="4952998" y="331005655"/>
          <a:ext cx="454107" cy="540000"/>
        </a:xfrm>
        <a:prstGeom prst="rect">
          <a:avLst/>
        </a:prstGeom>
      </xdr:spPr>
    </xdr:pic>
    <xdr:clientData/>
  </xdr:twoCellAnchor>
  <xdr:twoCellAnchor>
    <xdr:from>
      <xdr:col>7</xdr:col>
      <xdr:colOff>154778</xdr:colOff>
      <xdr:row>11</xdr:row>
      <xdr:rowOff>71435</xdr:rowOff>
    </xdr:from>
    <xdr:to>
      <xdr:col>7</xdr:col>
      <xdr:colOff>611701</xdr:colOff>
      <xdr:row>11</xdr:row>
      <xdr:rowOff>611435</xdr:rowOff>
    </xdr:to>
    <xdr:pic>
      <xdr:nvPicPr>
        <xdr:cNvPr id="6" name="그림 5" descr="Capture_774.png"/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r="49634"/>
        <a:stretch/>
      </xdr:blipFill>
      <xdr:spPr>
        <a:xfrm>
          <a:off x="4964903" y="331684310"/>
          <a:ext cx="456923" cy="540000"/>
        </a:xfrm>
        <a:prstGeom prst="rect">
          <a:avLst/>
        </a:prstGeom>
      </xdr:spPr>
    </xdr:pic>
    <xdr:clientData/>
  </xdr:twoCellAnchor>
  <xdr:twoCellAnchor>
    <xdr:from>
      <xdr:col>7</xdr:col>
      <xdr:colOff>154778</xdr:colOff>
      <xdr:row>12</xdr:row>
      <xdr:rowOff>71436</xdr:rowOff>
    </xdr:from>
    <xdr:to>
      <xdr:col>7</xdr:col>
      <xdr:colOff>625825</xdr:colOff>
      <xdr:row>12</xdr:row>
      <xdr:rowOff>611436</xdr:rowOff>
    </xdr:to>
    <xdr:pic>
      <xdr:nvPicPr>
        <xdr:cNvPr id="7" name="그림 6" descr="Capture_774.png"/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l="48077"/>
        <a:stretch/>
      </xdr:blipFill>
      <xdr:spPr>
        <a:xfrm>
          <a:off x="4964903" y="332351061"/>
          <a:ext cx="471047" cy="540000"/>
        </a:xfrm>
        <a:prstGeom prst="rect">
          <a:avLst/>
        </a:prstGeom>
      </xdr:spPr>
    </xdr:pic>
    <xdr:clientData/>
  </xdr:twoCellAnchor>
  <xdr:twoCellAnchor>
    <xdr:from>
      <xdr:col>7</xdr:col>
      <xdr:colOff>154779</xdr:colOff>
      <xdr:row>13</xdr:row>
      <xdr:rowOff>71436</xdr:rowOff>
    </xdr:from>
    <xdr:to>
      <xdr:col>7</xdr:col>
      <xdr:colOff>548268</xdr:colOff>
      <xdr:row>13</xdr:row>
      <xdr:rowOff>611436</xdr:rowOff>
    </xdr:to>
    <xdr:pic>
      <xdr:nvPicPr>
        <xdr:cNvPr id="8" name="그림 7" descr="Capture_779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64904" y="333017811"/>
          <a:ext cx="393489" cy="540000"/>
        </a:xfrm>
        <a:prstGeom prst="rect">
          <a:avLst/>
        </a:prstGeom>
      </xdr:spPr>
    </xdr:pic>
    <xdr:clientData/>
  </xdr:twoCellAnchor>
  <xdr:twoCellAnchor>
    <xdr:from>
      <xdr:col>7</xdr:col>
      <xdr:colOff>154777</xdr:colOff>
      <xdr:row>14</xdr:row>
      <xdr:rowOff>71435</xdr:rowOff>
    </xdr:from>
    <xdr:to>
      <xdr:col>7</xdr:col>
      <xdr:colOff>612404</xdr:colOff>
      <xdr:row>14</xdr:row>
      <xdr:rowOff>611435</xdr:rowOff>
    </xdr:to>
    <xdr:pic>
      <xdr:nvPicPr>
        <xdr:cNvPr id="9" name="그림 8" descr="Capture_777.png"/>
        <xdr:cNvPicPr>
          <a:picLocks noChangeAspect="1"/>
        </xdr:cNvPicPr>
      </xdr:nvPicPr>
      <xdr:blipFill rotWithShape="1">
        <a:blip xmlns:r="http://schemas.openxmlformats.org/officeDocument/2006/relationships" r:embed="rId5" cstate="print"/>
        <a:srcRect r="65747"/>
        <a:stretch/>
      </xdr:blipFill>
      <xdr:spPr>
        <a:xfrm>
          <a:off x="4964902" y="333684560"/>
          <a:ext cx="457627" cy="540000"/>
        </a:xfrm>
        <a:prstGeom prst="rect">
          <a:avLst/>
        </a:prstGeom>
      </xdr:spPr>
    </xdr:pic>
    <xdr:clientData/>
  </xdr:twoCellAnchor>
  <xdr:twoCellAnchor>
    <xdr:from>
      <xdr:col>7</xdr:col>
      <xdr:colOff>154778</xdr:colOff>
      <xdr:row>15</xdr:row>
      <xdr:rowOff>71436</xdr:rowOff>
    </xdr:from>
    <xdr:to>
      <xdr:col>7</xdr:col>
      <xdr:colOff>603016</xdr:colOff>
      <xdr:row>15</xdr:row>
      <xdr:rowOff>611436</xdr:rowOff>
    </xdr:to>
    <xdr:pic>
      <xdr:nvPicPr>
        <xdr:cNvPr id="10" name="그림 9" descr="Capture_777.png"/>
        <xdr:cNvPicPr>
          <a:picLocks noChangeAspect="1"/>
        </xdr:cNvPicPr>
      </xdr:nvPicPr>
      <xdr:blipFill rotWithShape="1">
        <a:blip xmlns:r="http://schemas.openxmlformats.org/officeDocument/2006/relationships" r:embed="rId5" cstate="print"/>
        <a:srcRect l="66450"/>
        <a:stretch/>
      </xdr:blipFill>
      <xdr:spPr>
        <a:xfrm>
          <a:off x="4964903" y="334351311"/>
          <a:ext cx="448238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filterMode="1">
    <tabColor rgb="FFFFC000"/>
  </sheetPr>
  <dimension ref="A1:AM211"/>
  <sheetViews>
    <sheetView showGridLines="0" showZeros="0" tabSelected="1" zoomScale="75" zoomScaleNormal="75" workbookViewId="0">
      <pane xSplit="11" ySplit="8" topLeftCell="P9" activePane="bottomRight" state="frozen"/>
      <selection activeCell="AA13" sqref="AA13"/>
      <selection pane="topRight" activeCell="AA13" sqref="AA13"/>
      <selection pane="bottomLeft" activeCell="AA13" sqref="AA13"/>
      <selection pane="bottomRight" activeCell="AG77" sqref="AG77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72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41751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72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>
        <v>200</v>
      </c>
      <c r="X8" s="74" t="s">
        <v>45</v>
      </c>
      <c r="Y8" s="74" t="s">
        <v>45</v>
      </c>
      <c r="Z8" s="74" t="s">
        <v>45</v>
      </c>
      <c r="AA8" s="74" t="s">
        <v>45</v>
      </c>
      <c r="AB8" s="75">
        <f t="shared" ref="AB8:AB39" si="0">SUM(L8:AA8)</f>
        <v>200</v>
      </c>
      <c r="AC8" s="76">
        <v>0</v>
      </c>
      <c r="AD8" s="77">
        <v>0</v>
      </c>
      <c r="AE8" s="78">
        <v>0</v>
      </c>
      <c r="AF8" s="78">
        <v>41869</v>
      </c>
      <c r="AG8" s="73"/>
      <c r="AH8" s="38"/>
    </row>
    <row r="9" spans="1:38" ht="52.5" customHeight="1">
      <c r="A9" s="67">
        <v>2</v>
      </c>
      <c r="B9" s="68" t="s">
        <v>46</v>
      </c>
      <c r="D9" s="70">
        <v>2</v>
      </c>
      <c r="E9" s="71" t="s">
        <v>39</v>
      </c>
      <c r="F9" s="71" t="s">
        <v>40</v>
      </c>
      <c r="G9" s="71" t="s">
        <v>41</v>
      </c>
      <c r="H9" s="72"/>
      <c r="I9" s="73" t="s">
        <v>47</v>
      </c>
      <c r="J9" s="70" t="s">
        <v>43</v>
      </c>
      <c r="K9" s="70" t="s">
        <v>48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>
        <v>200</v>
      </c>
      <c r="X9" s="74" t="s">
        <v>45</v>
      </c>
      <c r="Y9" s="74" t="s">
        <v>45</v>
      </c>
      <c r="Z9" s="74" t="s">
        <v>45</v>
      </c>
      <c r="AA9" s="74" t="s">
        <v>45</v>
      </c>
      <c r="AB9" s="75">
        <f t="shared" si="0"/>
        <v>200</v>
      </c>
      <c r="AC9" s="76">
        <v>0</v>
      </c>
      <c r="AD9" s="77">
        <v>0</v>
      </c>
      <c r="AE9" s="78">
        <v>0</v>
      </c>
      <c r="AF9" s="78">
        <v>41869</v>
      </c>
      <c r="AG9" s="73"/>
    </row>
    <row r="10" spans="1:38" ht="52.5" customHeight="1">
      <c r="A10" s="67">
        <v>3</v>
      </c>
      <c r="B10" s="68" t="s">
        <v>49</v>
      </c>
      <c r="D10" s="70">
        <v>3</v>
      </c>
      <c r="E10" s="71" t="s">
        <v>39</v>
      </c>
      <c r="F10" s="71" t="s">
        <v>40</v>
      </c>
      <c r="G10" s="71" t="s">
        <v>41</v>
      </c>
      <c r="H10" s="72"/>
      <c r="I10" s="73" t="s">
        <v>50</v>
      </c>
      <c r="J10" s="70" t="s">
        <v>43</v>
      </c>
      <c r="K10" s="70" t="s">
        <v>51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>
        <v>200</v>
      </c>
      <c r="X10" s="74" t="s">
        <v>45</v>
      </c>
      <c r="Y10" s="74" t="s">
        <v>45</v>
      </c>
      <c r="Z10" s="74" t="s">
        <v>45</v>
      </c>
      <c r="AA10" s="74" t="s">
        <v>45</v>
      </c>
      <c r="AB10" s="75">
        <f t="shared" si="0"/>
        <v>200</v>
      </c>
      <c r="AC10" s="76">
        <v>0</v>
      </c>
      <c r="AD10" s="77">
        <v>0</v>
      </c>
      <c r="AE10" s="78">
        <v>0</v>
      </c>
      <c r="AF10" s="78">
        <v>41869</v>
      </c>
      <c r="AG10" s="73"/>
    </row>
    <row r="11" spans="1:38" ht="52.5" customHeight="1">
      <c r="A11" s="67">
        <v>4</v>
      </c>
      <c r="B11" s="68" t="s">
        <v>52</v>
      </c>
      <c r="D11" s="70">
        <v>4</v>
      </c>
      <c r="E11" s="71" t="s">
        <v>39</v>
      </c>
      <c r="F11" s="71" t="s">
        <v>40</v>
      </c>
      <c r="G11" s="71" t="s">
        <v>41</v>
      </c>
      <c r="H11" s="72"/>
      <c r="I11" s="73" t="s">
        <v>53</v>
      </c>
      <c r="J11" s="70" t="s">
        <v>54</v>
      </c>
      <c r="K11" s="70" t="s">
        <v>48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>
        <v>200</v>
      </c>
      <c r="X11" s="74" t="s">
        <v>45</v>
      </c>
      <c r="Y11" s="74" t="s">
        <v>45</v>
      </c>
      <c r="Z11" s="74" t="s">
        <v>45</v>
      </c>
      <c r="AA11" s="74" t="s">
        <v>45</v>
      </c>
      <c r="AB11" s="75">
        <f t="shared" si="0"/>
        <v>200</v>
      </c>
      <c r="AC11" s="76">
        <v>0</v>
      </c>
      <c r="AD11" s="77">
        <v>0</v>
      </c>
      <c r="AE11" s="78">
        <v>0</v>
      </c>
      <c r="AF11" s="78">
        <v>41869</v>
      </c>
      <c r="AG11" s="73"/>
    </row>
    <row r="12" spans="1:38" ht="52.5" customHeight="1">
      <c r="A12" s="67">
        <v>5</v>
      </c>
      <c r="B12" s="68" t="s">
        <v>55</v>
      </c>
      <c r="D12" s="70">
        <v>5</v>
      </c>
      <c r="E12" s="71" t="s">
        <v>39</v>
      </c>
      <c r="F12" s="71" t="s">
        <v>40</v>
      </c>
      <c r="G12" s="71" t="s">
        <v>41</v>
      </c>
      <c r="H12" s="72"/>
      <c r="I12" s="73" t="s">
        <v>56</v>
      </c>
      <c r="J12" s="70" t="s">
        <v>57</v>
      </c>
      <c r="K12" s="70" t="s">
        <v>58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>
        <v>250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250</v>
      </c>
      <c r="AC12" s="76">
        <v>0</v>
      </c>
      <c r="AD12" s="77">
        <v>0</v>
      </c>
      <c r="AE12" s="78">
        <v>0</v>
      </c>
      <c r="AF12" s="78">
        <v>41869</v>
      </c>
      <c r="AG12" s="73"/>
    </row>
    <row r="13" spans="1:38" ht="52.5" customHeight="1">
      <c r="A13" s="67">
        <v>6</v>
      </c>
      <c r="B13" s="68" t="s">
        <v>59</v>
      </c>
      <c r="D13" s="70">
        <v>6</v>
      </c>
      <c r="E13" s="71" t="s">
        <v>39</v>
      </c>
      <c r="F13" s="71" t="s">
        <v>40</v>
      </c>
      <c r="G13" s="71" t="s">
        <v>41</v>
      </c>
      <c r="H13" s="72"/>
      <c r="I13" s="73" t="s">
        <v>60</v>
      </c>
      <c r="J13" s="70" t="s">
        <v>57</v>
      </c>
      <c r="K13" s="70" t="s">
        <v>61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>
        <v>250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250</v>
      </c>
      <c r="AC13" s="76">
        <v>0</v>
      </c>
      <c r="AD13" s="77">
        <v>0</v>
      </c>
      <c r="AE13" s="78">
        <v>0</v>
      </c>
      <c r="AF13" s="78">
        <v>41869</v>
      </c>
      <c r="AG13" s="73"/>
    </row>
    <row r="14" spans="1:38" ht="52.5" customHeight="1">
      <c r="A14" s="67">
        <v>7</v>
      </c>
      <c r="B14" s="68" t="s">
        <v>62</v>
      </c>
      <c r="D14" s="70">
        <v>7</v>
      </c>
      <c r="E14" s="71" t="s">
        <v>39</v>
      </c>
      <c r="F14" s="71" t="s">
        <v>40</v>
      </c>
      <c r="G14" s="71" t="s">
        <v>41</v>
      </c>
      <c r="H14" s="72"/>
      <c r="I14" s="73" t="s">
        <v>63</v>
      </c>
      <c r="J14" s="70" t="s">
        <v>64</v>
      </c>
      <c r="K14" s="70" t="s">
        <v>44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>
        <v>200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200</v>
      </c>
      <c r="AC14" s="76">
        <v>0</v>
      </c>
      <c r="AD14" s="77">
        <v>0</v>
      </c>
      <c r="AE14" s="78">
        <v>0</v>
      </c>
      <c r="AF14" s="78">
        <v>41869</v>
      </c>
      <c r="AG14" s="73"/>
    </row>
    <row r="15" spans="1:38" ht="52.5" customHeight="1">
      <c r="A15" s="67">
        <v>8</v>
      </c>
      <c r="B15" s="68" t="s">
        <v>65</v>
      </c>
      <c r="D15" s="70">
        <v>8</v>
      </c>
      <c r="E15" s="71" t="s">
        <v>39</v>
      </c>
      <c r="F15" s="71" t="s">
        <v>40</v>
      </c>
      <c r="G15" s="71" t="s">
        <v>41</v>
      </c>
      <c r="H15" s="72"/>
      <c r="I15" s="73" t="s">
        <v>66</v>
      </c>
      <c r="J15" s="70" t="s">
        <v>67</v>
      </c>
      <c r="K15" s="70" t="s">
        <v>68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>
        <v>200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200</v>
      </c>
      <c r="AC15" s="76">
        <v>0</v>
      </c>
      <c r="AD15" s="77">
        <v>0</v>
      </c>
      <c r="AE15" s="78">
        <v>0</v>
      </c>
      <c r="AF15" s="78">
        <v>41869</v>
      </c>
      <c r="AG15" s="73"/>
    </row>
    <row r="16" spans="1:38" ht="52.5" customHeight="1">
      <c r="A16" s="67">
        <v>9</v>
      </c>
      <c r="B16" s="68" t="s">
        <v>69</v>
      </c>
      <c r="D16" s="70">
        <v>9</v>
      </c>
      <c r="E16" s="71" t="s">
        <v>39</v>
      </c>
      <c r="F16" s="71" t="s">
        <v>40</v>
      </c>
      <c r="G16" s="71" t="s">
        <v>41</v>
      </c>
      <c r="H16" s="72"/>
      <c r="I16" s="73" t="s">
        <v>70</v>
      </c>
      <c r="J16" s="70" t="s">
        <v>67</v>
      </c>
      <c r="K16" s="70" t="s">
        <v>71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>
        <v>200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200</v>
      </c>
      <c r="AC16" s="76">
        <v>0</v>
      </c>
      <c r="AD16" s="77">
        <v>0</v>
      </c>
      <c r="AE16" s="78">
        <v>0</v>
      </c>
      <c r="AF16" s="78">
        <v>41869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0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0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0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0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0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0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0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0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0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0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0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0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0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0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0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0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0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0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0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0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1"/>
      <c r="D53" s="82">
        <v>0</v>
      </c>
      <c r="E53" s="71" t="s">
        <v>45</v>
      </c>
      <c r="F53" s="83" t="s">
        <v>45</v>
      </c>
      <c r="G53" s="83" t="s">
        <v>45</v>
      </c>
      <c r="H53" s="84"/>
      <c r="I53" s="85" t="s">
        <v>45</v>
      </c>
      <c r="J53" s="82" t="s">
        <v>45</v>
      </c>
      <c r="K53" s="82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5"/>
      <c r="AH53" s="86"/>
      <c r="AI53" s="87"/>
      <c r="AJ53" s="87"/>
      <c r="AK53" s="87"/>
      <c r="AL53" s="87"/>
      <c r="AM53" s="87"/>
    </row>
    <row r="54" spans="1:39" ht="52.5" hidden="1" customHeight="1">
      <c r="A54" s="67">
        <v>47</v>
      </c>
      <c r="B54" s="68" t="s">
        <v>45</v>
      </c>
      <c r="C54" s="81"/>
      <c r="D54" s="82">
        <v>0</v>
      </c>
      <c r="E54" s="71" t="s">
        <v>45</v>
      </c>
      <c r="F54" s="83" t="s">
        <v>45</v>
      </c>
      <c r="G54" s="83" t="s">
        <v>45</v>
      </c>
      <c r="H54" s="84"/>
      <c r="I54" s="85" t="s">
        <v>45</v>
      </c>
      <c r="J54" s="82" t="s">
        <v>45</v>
      </c>
      <c r="K54" s="82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5"/>
      <c r="AH54" s="86"/>
      <c r="AI54" s="87"/>
      <c r="AJ54" s="87"/>
      <c r="AK54" s="87"/>
      <c r="AL54" s="87"/>
      <c r="AM54" s="87"/>
    </row>
    <row r="55" spans="1:39" ht="52.5" hidden="1" customHeight="1">
      <c r="A55" s="67">
        <v>48</v>
      </c>
      <c r="B55" s="68" t="s">
        <v>45</v>
      </c>
      <c r="C55" s="81"/>
      <c r="D55" s="82">
        <v>0</v>
      </c>
      <c r="E55" s="71" t="s">
        <v>45</v>
      </c>
      <c r="F55" s="83" t="s">
        <v>45</v>
      </c>
      <c r="G55" s="83" t="s">
        <v>45</v>
      </c>
      <c r="H55" s="84"/>
      <c r="I55" s="85" t="s">
        <v>45</v>
      </c>
      <c r="J55" s="82" t="s">
        <v>45</v>
      </c>
      <c r="K55" s="82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5"/>
      <c r="AH55" s="86"/>
      <c r="AI55" s="87"/>
      <c r="AJ55" s="87"/>
      <c r="AK55" s="87"/>
      <c r="AL55" s="87"/>
      <c r="AM55" s="87"/>
    </row>
    <row r="56" spans="1:39" ht="52.5" hidden="1" customHeight="1">
      <c r="A56" s="67">
        <v>49</v>
      </c>
      <c r="B56" s="68" t="s">
        <v>45</v>
      </c>
      <c r="C56" s="81"/>
      <c r="D56" s="82">
        <v>0</v>
      </c>
      <c r="E56" s="71" t="s">
        <v>45</v>
      </c>
      <c r="F56" s="83" t="s">
        <v>45</v>
      </c>
      <c r="G56" s="83" t="s">
        <v>45</v>
      </c>
      <c r="H56" s="84"/>
      <c r="I56" s="85" t="s">
        <v>45</v>
      </c>
      <c r="J56" s="82" t="s">
        <v>45</v>
      </c>
      <c r="K56" s="82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5"/>
      <c r="AH56" s="86"/>
      <c r="AI56" s="87"/>
      <c r="AJ56" s="87"/>
      <c r="AK56" s="87"/>
      <c r="AL56" s="87"/>
      <c r="AM56" s="87"/>
    </row>
    <row r="57" spans="1:39" ht="52.5" hidden="1" customHeight="1">
      <c r="A57" s="67">
        <v>50</v>
      </c>
      <c r="B57" s="68" t="s">
        <v>45</v>
      </c>
      <c r="C57" s="81"/>
      <c r="D57" s="82">
        <v>0</v>
      </c>
      <c r="E57" s="71" t="s">
        <v>45</v>
      </c>
      <c r="F57" s="83" t="s">
        <v>45</v>
      </c>
      <c r="G57" s="83" t="s">
        <v>45</v>
      </c>
      <c r="H57" s="84"/>
      <c r="I57" s="85" t="s">
        <v>45</v>
      </c>
      <c r="J57" s="82" t="s">
        <v>45</v>
      </c>
      <c r="K57" s="82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5"/>
      <c r="AH57" s="86"/>
      <c r="AI57" s="87"/>
      <c r="AJ57" s="87"/>
      <c r="AK57" s="87"/>
      <c r="AL57" s="87"/>
      <c r="AM57" s="87"/>
    </row>
    <row r="58" spans="1:39" ht="52.5" hidden="1" customHeight="1">
      <c r="A58" s="67">
        <v>51</v>
      </c>
      <c r="B58" s="68" t="s">
        <v>45</v>
      </c>
      <c r="C58" s="81"/>
      <c r="D58" s="82">
        <v>0</v>
      </c>
      <c r="E58" s="71" t="s">
        <v>45</v>
      </c>
      <c r="F58" s="83" t="s">
        <v>45</v>
      </c>
      <c r="G58" s="83" t="s">
        <v>45</v>
      </c>
      <c r="H58" s="84"/>
      <c r="I58" s="85" t="s">
        <v>45</v>
      </c>
      <c r="J58" s="82" t="s">
        <v>45</v>
      </c>
      <c r="K58" s="82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5"/>
      <c r="AH58" s="86"/>
      <c r="AI58" s="87"/>
      <c r="AJ58" s="87"/>
      <c r="AK58" s="87"/>
      <c r="AL58" s="87"/>
      <c r="AM58" s="87"/>
    </row>
    <row r="59" spans="1:39" ht="52.5" hidden="1" customHeight="1">
      <c r="A59" s="67">
        <v>52</v>
      </c>
      <c r="B59" s="68" t="s">
        <v>45</v>
      </c>
      <c r="C59" s="81"/>
      <c r="D59" s="82">
        <v>0</v>
      </c>
      <c r="E59" s="71" t="s">
        <v>45</v>
      </c>
      <c r="F59" s="83" t="s">
        <v>45</v>
      </c>
      <c r="G59" s="83" t="s">
        <v>45</v>
      </c>
      <c r="H59" s="84"/>
      <c r="I59" s="85" t="s">
        <v>45</v>
      </c>
      <c r="J59" s="82" t="s">
        <v>45</v>
      </c>
      <c r="K59" s="82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5"/>
      <c r="AH59" s="86"/>
      <c r="AI59" s="87"/>
      <c r="AJ59" s="87"/>
      <c r="AK59" s="87"/>
      <c r="AL59" s="87"/>
      <c r="AM59" s="87"/>
    </row>
    <row r="60" spans="1:39" ht="52.5" hidden="1" customHeight="1">
      <c r="A60" s="67">
        <v>53</v>
      </c>
      <c r="B60" s="68" t="s">
        <v>45</v>
      </c>
      <c r="C60" s="81"/>
      <c r="D60" s="82">
        <v>0</v>
      </c>
      <c r="E60" s="71" t="s">
        <v>45</v>
      </c>
      <c r="F60" s="83" t="s">
        <v>45</v>
      </c>
      <c r="G60" s="83" t="s">
        <v>45</v>
      </c>
      <c r="H60" s="84"/>
      <c r="I60" s="85" t="s">
        <v>45</v>
      </c>
      <c r="J60" s="82" t="s">
        <v>45</v>
      </c>
      <c r="K60" s="82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5"/>
      <c r="AH60" s="86"/>
      <c r="AI60" s="87"/>
      <c r="AJ60" s="87"/>
      <c r="AK60" s="87"/>
      <c r="AL60" s="87"/>
      <c r="AM60" s="87"/>
    </row>
    <row r="61" spans="1:39" ht="52.5" hidden="1" customHeight="1">
      <c r="A61" s="67">
        <v>54</v>
      </c>
      <c r="B61" s="68" t="s">
        <v>45</v>
      </c>
      <c r="C61" s="81"/>
      <c r="D61" s="82">
        <v>0</v>
      </c>
      <c r="E61" s="71" t="s">
        <v>45</v>
      </c>
      <c r="F61" s="83" t="s">
        <v>45</v>
      </c>
      <c r="G61" s="83" t="s">
        <v>45</v>
      </c>
      <c r="H61" s="84"/>
      <c r="I61" s="85" t="s">
        <v>45</v>
      </c>
      <c r="J61" s="82" t="s">
        <v>45</v>
      </c>
      <c r="K61" s="82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5"/>
      <c r="AH61" s="86"/>
      <c r="AI61" s="87"/>
      <c r="AJ61" s="87"/>
      <c r="AK61" s="87"/>
      <c r="AL61" s="87"/>
      <c r="AM61" s="87"/>
    </row>
    <row r="62" spans="1:39" ht="52.5" hidden="1" customHeight="1">
      <c r="A62" s="67">
        <v>55</v>
      </c>
      <c r="B62" s="68" t="s">
        <v>45</v>
      </c>
      <c r="C62" s="81"/>
      <c r="D62" s="82">
        <v>0</v>
      </c>
      <c r="E62" s="71" t="s">
        <v>45</v>
      </c>
      <c r="F62" s="83" t="s">
        <v>45</v>
      </c>
      <c r="G62" s="83" t="s">
        <v>45</v>
      </c>
      <c r="H62" s="84"/>
      <c r="I62" s="85" t="s">
        <v>45</v>
      </c>
      <c r="J62" s="82" t="s">
        <v>45</v>
      </c>
      <c r="K62" s="82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5"/>
      <c r="AH62" s="86"/>
      <c r="AI62" s="87"/>
      <c r="AJ62" s="87"/>
      <c r="AK62" s="87"/>
      <c r="AL62" s="87"/>
      <c r="AM62" s="87"/>
    </row>
    <row r="63" spans="1:39" ht="52.5" hidden="1" customHeight="1">
      <c r="A63" s="67">
        <v>56</v>
      </c>
      <c r="B63" s="68" t="s">
        <v>45</v>
      </c>
      <c r="C63" s="81"/>
      <c r="D63" s="82">
        <v>0</v>
      </c>
      <c r="E63" s="71" t="s">
        <v>45</v>
      </c>
      <c r="F63" s="83" t="s">
        <v>45</v>
      </c>
      <c r="G63" s="83" t="s">
        <v>45</v>
      </c>
      <c r="H63" s="84"/>
      <c r="I63" s="85" t="s">
        <v>45</v>
      </c>
      <c r="J63" s="82" t="s">
        <v>45</v>
      </c>
      <c r="K63" s="82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5"/>
      <c r="AH63" s="86"/>
      <c r="AI63" s="87"/>
      <c r="AJ63" s="87"/>
      <c r="AK63" s="87"/>
      <c r="AL63" s="87"/>
      <c r="AM63" s="87"/>
    </row>
    <row r="64" spans="1:39" ht="52.5" hidden="1" customHeight="1">
      <c r="A64" s="67">
        <v>57</v>
      </c>
      <c r="B64" s="68" t="s">
        <v>45</v>
      </c>
      <c r="C64" s="81"/>
      <c r="D64" s="82">
        <v>0</v>
      </c>
      <c r="E64" s="71" t="s">
        <v>45</v>
      </c>
      <c r="F64" s="83" t="s">
        <v>45</v>
      </c>
      <c r="G64" s="83" t="s">
        <v>45</v>
      </c>
      <c r="H64" s="84"/>
      <c r="I64" s="85" t="s">
        <v>45</v>
      </c>
      <c r="J64" s="82" t="s">
        <v>45</v>
      </c>
      <c r="K64" s="82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5"/>
      <c r="AH64" s="86"/>
      <c r="AI64" s="87"/>
      <c r="AJ64" s="87"/>
      <c r="AK64" s="87"/>
      <c r="AL64" s="87"/>
      <c r="AM64" s="87"/>
    </row>
    <row r="65" spans="1:39" ht="52.5" hidden="1" customHeight="1">
      <c r="A65" s="67">
        <v>58</v>
      </c>
      <c r="B65" s="68" t="s">
        <v>45</v>
      </c>
      <c r="C65" s="81"/>
      <c r="D65" s="82">
        <v>0</v>
      </c>
      <c r="E65" s="71" t="s">
        <v>45</v>
      </c>
      <c r="F65" s="83" t="s">
        <v>45</v>
      </c>
      <c r="G65" s="83" t="s">
        <v>45</v>
      </c>
      <c r="H65" s="84"/>
      <c r="I65" s="85" t="s">
        <v>45</v>
      </c>
      <c r="J65" s="82" t="s">
        <v>45</v>
      </c>
      <c r="K65" s="82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5"/>
      <c r="AH65" s="86"/>
      <c r="AI65" s="87"/>
      <c r="AJ65" s="87"/>
      <c r="AK65" s="87"/>
      <c r="AL65" s="87"/>
      <c r="AM65" s="87"/>
    </row>
    <row r="66" spans="1:39" ht="52.5" hidden="1" customHeight="1">
      <c r="A66" s="67">
        <v>59</v>
      </c>
      <c r="B66" s="68" t="s">
        <v>45</v>
      </c>
      <c r="C66" s="81"/>
      <c r="D66" s="82">
        <v>0</v>
      </c>
      <c r="E66" s="71" t="s">
        <v>45</v>
      </c>
      <c r="F66" s="83" t="s">
        <v>45</v>
      </c>
      <c r="G66" s="83" t="s">
        <v>45</v>
      </c>
      <c r="H66" s="84"/>
      <c r="I66" s="85" t="s">
        <v>45</v>
      </c>
      <c r="J66" s="82" t="s">
        <v>45</v>
      </c>
      <c r="K66" s="82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5"/>
      <c r="AH66" s="86"/>
      <c r="AI66" s="87"/>
      <c r="AJ66" s="87"/>
      <c r="AK66" s="87"/>
      <c r="AL66" s="87"/>
      <c r="AM66" s="87"/>
    </row>
    <row r="67" spans="1:39" ht="52.5" hidden="1" customHeight="1">
      <c r="A67" s="67">
        <v>60</v>
      </c>
      <c r="B67" s="68" t="s">
        <v>45</v>
      </c>
      <c r="C67" s="81"/>
      <c r="D67" s="82">
        <v>0</v>
      </c>
      <c r="E67" s="71" t="s">
        <v>45</v>
      </c>
      <c r="F67" s="83" t="s">
        <v>45</v>
      </c>
      <c r="G67" s="83" t="s">
        <v>45</v>
      </c>
      <c r="H67" s="84"/>
      <c r="I67" s="85" t="s">
        <v>45</v>
      </c>
      <c r="J67" s="82" t="s">
        <v>45</v>
      </c>
      <c r="K67" s="82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5"/>
      <c r="AH67" s="86"/>
      <c r="AI67" s="87"/>
      <c r="AJ67" s="87"/>
      <c r="AK67" s="87"/>
      <c r="AL67" s="87"/>
      <c r="AM67" s="87"/>
    </row>
    <row r="68" spans="1:39" ht="52.5" hidden="1" customHeight="1">
      <c r="A68" s="67">
        <v>61</v>
      </c>
      <c r="B68" s="68" t="s">
        <v>45</v>
      </c>
      <c r="C68" s="81"/>
      <c r="D68" s="82">
        <v>0</v>
      </c>
      <c r="E68" s="71" t="s">
        <v>45</v>
      </c>
      <c r="F68" s="83" t="s">
        <v>45</v>
      </c>
      <c r="G68" s="83" t="s">
        <v>45</v>
      </c>
      <c r="H68" s="72"/>
      <c r="I68" s="85" t="s">
        <v>45</v>
      </c>
      <c r="J68" s="82" t="s">
        <v>45</v>
      </c>
      <c r="K68" s="82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5"/>
      <c r="AH68" s="86"/>
      <c r="AI68" s="87"/>
      <c r="AJ68" s="87"/>
      <c r="AK68" s="87"/>
      <c r="AL68" s="87"/>
      <c r="AM68" s="87"/>
    </row>
    <row r="69" spans="1:39" ht="52.5" hidden="1" customHeight="1">
      <c r="A69" s="67">
        <v>62</v>
      </c>
      <c r="B69" s="68" t="s">
        <v>45</v>
      </c>
      <c r="C69" s="81"/>
      <c r="D69" s="82">
        <v>0</v>
      </c>
      <c r="E69" s="71" t="s">
        <v>45</v>
      </c>
      <c r="F69" s="83" t="s">
        <v>45</v>
      </c>
      <c r="G69" s="83" t="s">
        <v>45</v>
      </c>
      <c r="H69" s="72"/>
      <c r="I69" s="85" t="s">
        <v>45</v>
      </c>
      <c r="J69" s="82" t="s">
        <v>45</v>
      </c>
      <c r="K69" s="82" t="s">
        <v>45</v>
      </c>
      <c r="L69" s="88" t="s">
        <v>45</v>
      </c>
      <c r="M69" s="88" t="s">
        <v>45</v>
      </c>
      <c r="N69" s="88" t="s">
        <v>45</v>
      </c>
      <c r="O69" s="88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9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5"/>
      <c r="AH69" s="86"/>
      <c r="AI69" s="87"/>
      <c r="AJ69" s="87"/>
      <c r="AK69" s="87"/>
      <c r="AL69" s="87"/>
      <c r="AM69" s="87"/>
    </row>
    <row r="70" spans="1:39" ht="52.5" hidden="1" customHeight="1">
      <c r="A70" s="67">
        <v>63</v>
      </c>
      <c r="B70" s="68" t="s">
        <v>45</v>
      </c>
      <c r="C70" s="81"/>
      <c r="D70" s="82">
        <v>0</v>
      </c>
      <c r="E70" s="71" t="s">
        <v>45</v>
      </c>
      <c r="F70" s="83" t="s">
        <v>45</v>
      </c>
      <c r="G70" s="83" t="s">
        <v>45</v>
      </c>
      <c r="H70" s="72"/>
      <c r="I70" s="85" t="s">
        <v>45</v>
      </c>
      <c r="J70" s="82" t="s">
        <v>45</v>
      </c>
      <c r="K70" s="82" t="s">
        <v>45</v>
      </c>
      <c r="L70" s="88" t="s">
        <v>45</v>
      </c>
      <c r="M70" s="88" t="s">
        <v>45</v>
      </c>
      <c r="N70" s="88" t="s">
        <v>45</v>
      </c>
      <c r="O70" s="88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9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5"/>
      <c r="AH70" s="86"/>
      <c r="AI70" s="87"/>
      <c r="AJ70" s="87"/>
      <c r="AK70" s="87"/>
      <c r="AL70" s="87"/>
      <c r="AM70" s="87"/>
    </row>
    <row r="71" spans="1:39" ht="52.5" hidden="1" customHeight="1">
      <c r="A71" s="67">
        <v>64</v>
      </c>
      <c r="B71" s="68" t="s">
        <v>45</v>
      </c>
      <c r="C71" s="81"/>
      <c r="D71" s="82">
        <v>0</v>
      </c>
      <c r="E71" s="71" t="s">
        <v>45</v>
      </c>
      <c r="F71" s="83" t="s">
        <v>45</v>
      </c>
      <c r="G71" s="83" t="s">
        <v>45</v>
      </c>
      <c r="H71" s="72"/>
      <c r="I71" s="85" t="s">
        <v>45</v>
      </c>
      <c r="J71" s="82" t="s">
        <v>45</v>
      </c>
      <c r="K71" s="82" t="s">
        <v>45</v>
      </c>
      <c r="L71" s="88" t="s">
        <v>45</v>
      </c>
      <c r="M71" s="88" t="s">
        <v>45</v>
      </c>
      <c r="N71" s="88" t="s">
        <v>45</v>
      </c>
      <c r="O71" s="88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9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5"/>
      <c r="AH71" s="86"/>
      <c r="AI71" s="87"/>
      <c r="AJ71" s="87"/>
      <c r="AK71" s="87"/>
      <c r="AL71" s="87"/>
      <c r="AM71" s="87"/>
    </row>
    <row r="72" spans="1:39" ht="52.5" hidden="1" customHeight="1">
      <c r="A72" s="67">
        <v>65</v>
      </c>
      <c r="B72" s="68" t="s">
        <v>45</v>
      </c>
      <c r="C72" s="81"/>
      <c r="D72" s="82">
        <v>0</v>
      </c>
      <c r="E72" s="71" t="s">
        <v>45</v>
      </c>
      <c r="F72" s="83" t="s">
        <v>45</v>
      </c>
      <c r="G72" s="83" t="s">
        <v>45</v>
      </c>
      <c r="H72" s="72"/>
      <c r="I72" s="85" t="s">
        <v>45</v>
      </c>
      <c r="J72" s="82" t="s">
        <v>45</v>
      </c>
      <c r="K72" s="82" t="s">
        <v>45</v>
      </c>
      <c r="L72" s="88" t="s">
        <v>45</v>
      </c>
      <c r="M72" s="88" t="s">
        <v>45</v>
      </c>
      <c r="N72" s="88" t="s">
        <v>45</v>
      </c>
      <c r="O72" s="88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9">
        <f t="shared" ref="AB72:AB76" si="2"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5"/>
      <c r="AH72" s="86"/>
      <c r="AI72" s="87"/>
      <c r="AJ72" s="87"/>
      <c r="AK72" s="87"/>
      <c r="AL72" s="87"/>
      <c r="AM72" s="87"/>
    </row>
    <row r="73" spans="1:39" ht="52.5" hidden="1" customHeight="1">
      <c r="A73" s="67">
        <v>66</v>
      </c>
      <c r="B73" s="68" t="s">
        <v>45</v>
      </c>
      <c r="C73" s="81"/>
      <c r="D73" s="82">
        <v>0</v>
      </c>
      <c r="E73" s="71" t="s">
        <v>45</v>
      </c>
      <c r="F73" s="83" t="s">
        <v>45</v>
      </c>
      <c r="G73" s="83" t="s">
        <v>45</v>
      </c>
      <c r="H73" s="72"/>
      <c r="I73" s="85" t="s">
        <v>45</v>
      </c>
      <c r="J73" s="82" t="s">
        <v>45</v>
      </c>
      <c r="K73" s="82" t="s">
        <v>45</v>
      </c>
      <c r="L73" s="88" t="s">
        <v>45</v>
      </c>
      <c r="M73" s="88" t="s">
        <v>45</v>
      </c>
      <c r="N73" s="88" t="s">
        <v>45</v>
      </c>
      <c r="O73" s="88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9">
        <f t="shared" si="2"/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5"/>
      <c r="AH73" s="86"/>
      <c r="AI73" s="87"/>
      <c r="AJ73" s="87"/>
      <c r="AK73" s="87"/>
      <c r="AL73" s="87"/>
      <c r="AM73" s="87"/>
    </row>
    <row r="74" spans="1:39" ht="52.5" hidden="1" customHeight="1">
      <c r="A74" s="67">
        <v>67</v>
      </c>
      <c r="B74" s="68" t="s">
        <v>45</v>
      </c>
      <c r="C74" s="81"/>
      <c r="D74" s="82">
        <v>0</v>
      </c>
      <c r="E74" s="71" t="s">
        <v>45</v>
      </c>
      <c r="F74" s="83" t="s">
        <v>45</v>
      </c>
      <c r="G74" s="83" t="s">
        <v>45</v>
      </c>
      <c r="H74" s="72"/>
      <c r="I74" s="85" t="s">
        <v>45</v>
      </c>
      <c r="J74" s="82" t="s">
        <v>45</v>
      </c>
      <c r="K74" s="82" t="s">
        <v>45</v>
      </c>
      <c r="L74" s="88" t="s">
        <v>45</v>
      </c>
      <c r="M74" s="88" t="s">
        <v>45</v>
      </c>
      <c r="N74" s="88" t="s">
        <v>45</v>
      </c>
      <c r="O74" s="88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9">
        <f t="shared" si="2"/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5"/>
      <c r="AH74" s="86"/>
      <c r="AI74" s="87"/>
      <c r="AJ74" s="87"/>
      <c r="AK74" s="87"/>
      <c r="AL74" s="87"/>
      <c r="AM74" s="87"/>
    </row>
    <row r="75" spans="1:39" ht="52.5" hidden="1" customHeight="1">
      <c r="A75" s="67">
        <v>68</v>
      </c>
      <c r="B75" s="68" t="s">
        <v>45</v>
      </c>
      <c r="C75" s="81"/>
      <c r="D75" s="82">
        <v>0</v>
      </c>
      <c r="E75" s="71" t="s">
        <v>45</v>
      </c>
      <c r="F75" s="83" t="s">
        <v>45</v>
      </c>
      <c r="G75" s="83" t="s">
        <v>45</v>
      </c>
      <c r="H75" s="72"/>
      <c r="I75" s="85" t="s">
        <v>45</v>
      </c>
      <c r="J75" s="82" t="s">
        <v>45</v>
      </c>
      <c r="K75" s="82" t="s">
        <v>45</v>
      </c>
      <c r="L75" s="88" t="s">
        <v>45</v>
      </c>
      <c r="M75" s="88" t="s">
        <v>45</v>
      </c>
      <c r="N75" s="88" t="s">
        <v>45</v>
      </c>
      <c r="O75" s="88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9">
        <f t="shared" si="2"/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5"/>
      <c r="AH75" s="86"/>
      <c r="AI75" s="87"/>
      <c r="AJ75" s="87"/>
      <c r="AK75" s="87"/>
      <c r="AL75" s="87"/>
      <c r="AM75" s="87"/>
    </row>
    <row r="76" spans="1:39" ht="52.5" hidden="1" customHeight="1">
      <c r="A76" s="67">
        <v>69</v>
      </c>
      <c r="B76" s="68" t="s">
        <v>45</v>
      </c>
      <c r="C76" s="81"/>
      <c r="D76" s="82">
        <v>0</v>
      </c>
      <c r="E76" s="71" t="s">
        <v>45</v>
      </c>
      <c r="F76" s="83" t="s">
        <v>45</v>
      </c>
      <c r="G76" s="83" t="s">
        <v>45</v>
      </c>
      <c r="H76" s="72"/>
      <c r="I76" s="85" t="s">
        <v>45</v>
      </c>
      <c r="J76" s="82" t="s">
        <v>45</v>
      </c>
      <c r="K76" s="82" t="s">
        <v>45</v>
      </c>
      <c r="L76" s="88" t="s">
        <v>45</v>
      </c>
      <c r="M76" s="88" t="s">
        <v>45</v>
      </c>
      <c r="N76" s="88" t="s">
        <v>45</v>
      </c>
      <c r="O76" s="88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9">
        <f t="shared" si="2"/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5"/>
      <c r="AH76" s="86"/>
      <c r="AI76" s="87"/>
      <c r="AJ76" s="87"/>
      <c r="AK76" s="87"/>
      <c r="AL76" s="87"/>
      <c r="AM76" s="87"/>
    </row>
    <row r="77" spans="1:39" ht="21.75" customHeight="1">
      <c r="A77" s="67"/>
      <c r="B77" s="68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Q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 t="shared" si="3"/>
        <v>0</v>
      </c>
      <c r="Q77" s="92">
        <f t="shared" si="3"/>
        <v>0</v>
      </c>
      <c r="R77" s="92">
        <f>SUM(R8:R76)</f>
        <v>0</v>
      </c>
      <c r="S77" s="92">
        <f>SUM(S8:S76)</f>
        <v>0</v>
      </c>
      <c r="T77" s="92">
        <f t="shared" ref="T77:AA77" si="4">SUM(T8:T76)</f>
        <v>0</v>
      </c>
      <c r="U77" s="92">
        <f t="shared" si="4"/>
        <v>0</v>
      </c>
      <c r="V77" s="92">
        <f t="shared" si="4"/>
        <v>0</v>
      </c>
      <c r="W77" s="92">
        <f t="shared" si="4"/>
        <v>1900</v>
      </c>
      <c r="X77" s="92">
        <f t="shared" si="4"/>
        <v>0</v>
      </c>
      <c r="Y77" s="92">
        <f t="shared" si="4"/>
        <v>0</v>
      </c>
      <c r="Z77" s="92">
        <f t="shared" si="4"/>
        <v>0</v>
      </c>
      <c r="AA77" s="92">
        <f t="shared" si="4"/>
        <v>0</v>
      </c>
      <c r="AB77" s="92">
        <f>SUM(AB8:AB76)</f>
        <v>1900</v>
      </c>
      <c r="AC77" s="93">
        <f>SUMPRODUCT($AB8:$AB68,$AC8:$AC68)</f>
        <v>0</v>
      </c>
      <c r="AD77" s="94">
        <f>SUMPRODUCT($AB8:$AB68,AD8:AD68)</f>
        <v>0</v>
      </c>
      <c r="AE77" s="95"/>
      <c r="AF77" s="95"/>
      <c r="AG77" s="96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 ht="13.5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7:H29 H68:H76">
    <cfRule type="expression" dxfId="20" priority="21" stopIfTrue="1">
      <formula>$H17="TTL"</formula>
    </cfRule>
  </conditionalFormatting>
  <conditionalFormatting sqref="H28">
    <cfRule type="expression" dxfId="19" priority="20" stopIfTrue="1">
      <formula>$H28="TTL"</formula>
    </cfRule>
  </conditionalFormatting>
  <conditionalFormatting sqref="H17:H29">
    <cfRule type="expression" dxfId="18" priority="19" stopIfTrue="1">
      <formula>$H17="TTL"</formula>
    </cfRule>
  </conditionalFormatting>
  <conditionalFormatting sqref="H28">
    <cfRule type="expression" dxfId="17" priority="18" stopIfTrue="1">
      <formula>$H28="TTL"</formula>
    </cfRule>
  </conditionalFormatting>
  <conditionalFormatting sqref="H17:H30">
    <cfRule type="expression" dxfId="16" priority="17" stopIfTrue="1">
      <formula>$H17="TTL"</formula>
    </cfRule>
  </conditionalFormatting>
  <conditionalFormatting sqref="H17:H18">
    <cfRule type="expression" dxfId="14" priority="15" stopIfTrue="1">
      <formula>$H17="TTL"</formula>
    </cfRule>
  </conditionalFormatting>
  <conditionalFormatting sqref="H17:H32">
    <cfRule type="expression" dxfId="11" priority="12" stopIfTrue="1">
      <formula>$H17="TTL"</formula>
    </cfRule>
  </conditionalFormatting>
  <conditionalFormatting sqref="H8:H11">
    <cfRule type="expression" dxfId="4" priority="5">
      <formula>$I8="TTL"</formula>
    </cfRule>
  </conditionalFormatting>
  <conditionalFormatting sqref="H12:H13">
    <cfRule type="expression" dxfId="3" priority="4">
      <formula>$I12="TTL"</formula>
    </cfRule>
  </conditionalFormatting>
  <conditionalFormatting sqref="H14">
    <cfRule type="expression" dxfId="2" priority="3">
      <formula>$I14="TTL"</formula>
    </cfRule>
  </conditionalFormatting>
  <conditionalFormatting sqref="H15">
    <cfRule type="expression" dxfId="1" priority="2">
      <formula>$I15="TTL"</formula>
    </cfRule>
  </conditionalFormatting>
  <conditionalFormatting sqref="H16">
    <cfRule type="expression" dxfId="0" priority="1">
      <formula>$I16="TTL"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2014-04-21T08:29:04Z</cp:lastPrinted>
  <dcterms:created xsi:type="dcterms:W3CDTF">2014-04-21T08:25:45Z</dcterms:created>
  <dcterms:modified xsi:type="dcterms:W3CDTF">2014-04-21T08:48:13Z</dcterms:modified>
</cp:coreProperties>
</file>