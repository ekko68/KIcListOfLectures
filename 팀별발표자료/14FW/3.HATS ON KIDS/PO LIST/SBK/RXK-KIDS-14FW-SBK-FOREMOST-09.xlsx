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60" yWindow="1485" windowWidth="26835" windowHeight="1090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D77" i="1" s="1"/>
  <c r="AB8" i="1"/>
  <c r="AC77" i="1" s="1"/>
  <c r="AB77" i="1" l="1"/>
</calcChain>
</file>

<file path=xl/sharedStrings.xml><?xml version="1.0" encoding="utf-8"?>
<sst xmlns="http://schemas.openxmlformats.org/spreadsheetml/2006/main" count="1896" uniqueCount="47">
  <si>
    <t>PURCHASE ORDER LIST</t>
    <phoneticPr fontId="4" type="noConversion"/>
  </si>
  <si>
    <t>PO#</t>
    <phoneticPr fontId="4" type="noConversion"/>
  </si>
  <si>
    <t>RXK-KIDS-14FW-SBK-FOREMOST-09</t>
    <phoneticPr fontId="4" type="noConversion"/>
  </si>
  <si>
    <t>SBK-FOREMOST-09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</si>
  <si>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</si>
  <si>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</si>
  <si>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</si>
  <si>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</si>
  <si>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</si>
  <si>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</si>
  <si>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</si>
  <si>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</si>
  <si>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</si>
  <si>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</si>
  <si>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</si>
  <si>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</si>
  <si>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</si>
  <si>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</si>
  <si>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</si>
  <si>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</si>
  <si>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</si>
  <si>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</si>
  <si>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</si>
  <si>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</si>
  <si>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</si>
  <si>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</si>
  <si>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</si>
  <si>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</si>
  <si>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</si>
  <si>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</si>
  <si>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</si>
  <si>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</si>
  <si>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</si>
  <si>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</si>
  <si>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</si>
  <si>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</si>
  <si>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</si>
  <si>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</si>
  <si>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SBKERF5519PINK</t>
  </si>
  <si>
    <t>SMITH BRIDGE_KIDS</t>
  </si>
  <si>
    <t>EARCAP</t>
  </si>
  <si>
    <t>K</t>
  </si>
  <si>
    <t>14FW-JILL-
BY_13_PK_KIDS</t>
  </si>
  <si>
    <t>SBKERF5519</t>
  </si>
  <si>
    <t>PINK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</si>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</sst>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127000</xdr:colOff>
      <xdr:row>7</xdr:row>
      <xdr:rowOff>79375</xdr:rowOff>
    </xdr:from>
    <xdr:to>
      <xdr:col>7</xdr:col>
      <xdr:colOff>631000</xdr:colOff>
      <xdr:row>7</xdr:row>
      <xdr:rowOff>585586</xdr:rowOff>
    </xdr:to>
    <xdr:pic>
      <xdr:nvPicPr>
        <xdr:cNvPr id="2" name="그림 1" descr="K-150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37125" y="167005000"/>
          <a:ext cx="504000" cy="5062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41739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 t="s">
        <v>45</v>
      </c>
      <c r="X8" s="74">
        <v>250</v>
      </c>
      <c r="Y8" s="74">
        <v>200</v>
      </c>
      <c r="Z8" s="74">
        <v>150</v>
      </c>
      <c r="AA8" s="74" t="s">
        <v>45</v>
      </c>
      <c r="AB8" s="75">
        <f t="shared" ref="AB8:AB39" si="0">SUM(L8:AA8)</f>
        <v>600</v>
      </c>
      <c r="AC8" s="76">
        <v>0</v>
      </c>
      <c r="AD8" s="77">
        <v>0</v>
      </c>
      <c r="AE8" s="78">
        <v>0</v>
      </c>
      <c r="AF8" s="78">
        <v>41879</v>
      </c>
      <c r="AG8" s="73"/>
      <c r="AH8" s="38"/>
    </row>
    <row r="9" spans="1:38" ht="52.5" hidden="1" customHeight="1">
      <c r="A9" s="67">
        <v>2</v>
      </c>
      <c r="B9" s="68" t="s">
        <v>45</v>
      </c>
      <c r="D9" s="70">
        <v>0</v>
      </c>
      <c r="E9" s="71" t="s">
        <v>45</v>
      </c>
      <c r="F9" s="71" t="s">
        <v>45</v>
      </c>
      <c r="G9" s="71" t="s">
        <v>45</v>
      </c>
      <c r="H9" s="72"/>
      <c r="I9" s="73" t="s">
        <v>45</v>
      </c>
      <c r="J9" s="70" t="s">
        <v>45</v>
      </c>
      <c r="K9" s="70" t="s">
        <v>45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 t="s">
        <v>45</v>
      </c>
      <c r="X9" s="74" t="s">
        <v>45</v>
      </c>
      <c r="Y9" s="74" t="s">
        <v>45</v>
      </c>
      <c r="Z9" s="74" t="s">
        <v>45</v>
      </c>
      <c r="AA9" s="74" t="s">
        <v>45</v>
      </c>
      <c r="AB9" s="75">
        <f t="shared" si="0"/>
        <v>0</v>
      </c>
      <c r="AC9" s="76" t="s">
        <v>45</v>
      </c>
      <c r="AD9" s="77" t="s">
        <v>45</v>
      </c>
      <c r="AE9" s="78" t="s">
        <v>45</v>
      </c>
      <c r="AF9" s="78" t="s">
        <v>45</v>
      </c>
      <c r="AG9" s="73"/>
    </row>
    <row r="10" spans="1:38" ht="52.5" hidden="1" customHeight="1">
      <c r="A10" s="67">
        <v>3</v>
      </c>
      <c r="B10" s="68" t="s">
        <v>45</v>
      </c>
      <c r="D10" s="70">
        <v>0</v>
      </c>
      <c r="E10" s="71" t="s">
        <v>45</v>
      </c>
      <c r="F10" s="71" t="s">
        <v>45</v>
      </c>
      <c r="G10" s="71" t="s">
        <v>45</v>
      </c>
      <c r="H10" s="72"/>
      <c r="I10" s="73" t="s">
        <v>45</v>
      </c>
      <c r="J10" s="70" t="s">
        <v>45</v>
      </c>
      <c r="K10" s="70" t="s">
        <v>45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 t="s">
        <v>45</v>
      </c>
      <c r="Y10" s="74" t="s">
        <v>45</v>
      </c>
      <c r="Z10" s="74" t="s">
        <v>45</v>
      </c>
      <c r="AA10" s="74" t="s">
        <v>45</v>
      </c>
      <c r="AB10" s="75">
        <f t="shared" si="0"/>
        <v>0</v>
      </c>
      <c r="AC10" s="76" t="s">
        <v>45</v>
      </c>
      <c r="AD10" s="77" t="s">
        <v>45</v>
      </c>
      <c r="AE10" s="78" t="s">
        <v>45</v>
      </c>
      <c r="AF10" s="78" t="s">
        <v>45</v>
      </c>
      <c r="AG10" s="73"/>
    </row>
    <row r="11" spans="1:38" ht="52.5" hidden="1" customHeight="1">
      <c r="A11" s="67">
        <v>4</v>
      </c>
      <c r="B11" s="68" t="s">
        <v>45</v>
      </c>
      <c r="D11" s="70">
        <v>0</v>
      </c>
      <c r="E11" s="71" t="s">
        <v>45</v>
      </c>
      <c r="F11" s="71" t="s">
        <v>45</v>
      </c>
      <c r="G11" s="71" t="s">
        <v>45</v>
      </c>
      <c r="H11" s="72"/>
      <c r="I11" s="73" t="s">
        <v>45</v>
      </c>
      <c r="J11" s="70" t="s">
        <v>45</v>
      </c>
      <c r="K11" s="70" t="s">
        <v>45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 t="s">
        <v>45</v>
      </c>
      <c r="Y11" s="74" t="s">
        <v>45</v>
      </c>
      <c r="Z11" s="74" t="s">
        <v>45</v>
      </c>
      <c r="AA11" s="74" t="s">
        <v>45</v>
      </c>
      <c r="AB11" s="75">
        <f t="shared" si="0"/>
        <v>0</v>
      </c>
      <c r="AC11" s="76" t="s">
        <v>45</v>
      </c>
      <c r="AD11" s="77" t="s">
        <v>45</v>
      </c>
      <c r="AE11" s="78" t="s">
        <v>45</v>
      </c>
      <c r="AF11" s="78" t="s">
        <v>45</v>
      </c>
      <c r="AG11" s="73"/>
    </row>
    <row r="12" spans="1:38" ht="52.5" hidden="1" customHeight="1">
      <c r="A12" s="67">
        <v>5</v>
      </c>
      <c r="B12" s="68" t="s">
        <v>45</v>
      </c>
      <c r="D12" s="70">
        <v>0</v>
      </c>
      <c r="E12" s="71" t="s">
        <v>45</v>
      </c>
      <c r="F12" s="71" t="s">
        <v>45</v>
      </c>
      <c r="G12" s="71" t="s">
        <v>45</v>
      </c>
      <c r="H12" s="72"/>
      <c r="I12" s="73" t="s">
        <v>45</v>
      </c>
      <c r="J12" s="70" t="s">
        <v>45</v>
      </c>
      <c r="K12" s="70" t="s">
        <v>45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0</v>
      </c>
      <c r="AC12" s="76" t="s">
        <v>45</v>
      </c>
      <c r="AD12" s="77" t="s">
        <v>45</v>
      </c>
      <c r="AE12" s="78" t="s">
        <v>45</v>
      </c>
      <c r="AF12" s="78" t="s">
        <v>45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 t="shared" ref="AB72:AB76" si="2"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 t="shared" si="2"/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 t="shared" si="2"/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 t="shared" si="2"/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 t="shared" si="2"/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33</v>
      </c>
      <c r="E77" s="91"/>
      <c r="F77" s="92"/>
      <c r="G77" s="92"/>
      <c r="H77" s="92"/>
      <c r="I77" s="92"/>
      <c r="J77" s="92"/>
      <c r="K77" s="92"/>
      <c r="L77" s="93">
        <f t="shared" ref="L77:Q77" si="3">SUM(L8:L76)</f>
        <v>0</v>
      </c>
      <c r="M77" s="93">
        <f t="shared" si="3"/>
        <v>0</v>
      </c>
      <c r="N77" s="93">
        <f t="shared" si="3"/>
        <v>0</v>
      </c>
      <c r="O77" s="93">
        <f t="shared" si="3"/>
        <v>0</v>
      </c>
      <c r="P77" s="93">
        <f t="shared" si="3"/>
        <v>0</v>
      </c>
      <c r="Q77" s="93">
        <f t="shared" si="3"/>
        <v>0</v>
      </c>
      <c r="R77" s="93">
        <f t="shared" ref="R77:AA77" si="4">SUM(R8:R76)</f>
        <v>0</v>
      </c>
      <c r="S77" s="93">
        <f>SUM(S8:S76)</f>
        <v>0</v>
      </c>
      <c r="T77" s="93">
        <f t="shared" si="4"/>
        <v>0</v>
      </c>
      <c r="U77" s="93">
        <f t="shared" si="4"/>
        <v>0</v>
      </c>
      <c r="V77" s="93">
        <f t="shared" si="4"/>
        <v>0</v>
      </c>
      <c r="W77" s="93">
        <f t="shared" si="4"/>
        <v>0</v>
      </c>
      <c r="X77" s="93">
        <f t="shared" si="4"/>
        <v>250</v>
      </c>
      <c r="Y77" s="93">
        <f t="shared" si="4"/>
        <v>200</v>
      </c>
      <c r="Z77" s="93">
        <f t="shared" si="4"/>
        <v>150</v>
      </c>
      <c r="AA77" s="93">
        <f t="shared" si="4"/>
        <v>0</v>
      </c>
      <c r="AB77" s="93">
        <f>SUM(AB8:AB76)</f>
        <v>600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9:H29 H68:H76">
    <cfRule type="expression" dxfId="17" priority="17" stopIfTrue="1">
      <formula>$H9="TTL"</formula>
    </cfRule>
  </conditionalFormatting>
  <conditionalFormatting sqref="H28">
    <cfRule type="expression" dxfId="16" priority="16" stopIfTrue="1">
      <formula>$H28="TTL"</formula>
    </cfRule>
  </conditionalFormatting>
  <conditionalFormatting sqref="H9:H29">
    <cfRule type="expression" dxfId="15" priority="15" stopIfTrue="1">
      <formula>$H9="TTL"</formula>
    </cfRule>
  </conditionalFormatting>
  <conditionalFormatting sqref="H28">
    <cfRule type="expression" dxfId="14" priority="14" stopIfTrue="1">
      <formula>$H28="TTL"</formula>
    </cfRule>
  </conditionalFormatting>
  <conditionalFormatting sqref="H9:H30">
    <cfRule type="expression" dxfId="13" priority="13" stopIfTrue="1">
      <formula>$H9="TTL"</formula>
    </cfRule>
  </conditionalFormatting>
  <conditionalFormatting sqref="H9:H10">
    <cfRule type="expression" dxfId="12" priority="12" stopIfTrue="1">
      <formula>$H9="TTL"</formula>
    </cfRule>
  </conditionalFormatting>
  <conditionalFormatting sqref="H9:H18">
    <cfRule type="expression" dxfId="11" priority="11" stopIfTrue="1">
      <formula>$H9="TTL"</formula>
    </cfRule>
  </conditionalFormatting>
  <conditionalFormatting sqref="H9:H14">
    <cfRule type="expression" dxfId="10" priority="10" stopIfTrue="1">
      <formula>$H9="TTL"</formula>
    </cfRule>
  </conditionalFormatting>
  <conditionalFormatting sqref="H9:H15">
    <cfRule type="expression" dxfId="9" priority="9" stopIfTrue="1">
      <formula>$H9="TTL"</formula>
    </cfRule>
  </conditionalFormatting>
  <conditionalFormatting sqref="H9:H32">
    <cfRule type="expression" dxfId="8" priority="8" stopIfTrue="1">
      <formula>$H9="TTL"</formula>
    </cfRule>
  </conditionalFormatting>
  <conditionalFormatting sqref="H9:H15">
    <cfRule type="expression" dxfId="7" priority="7" stopIfTrue="1">
      <formula>$H9="TTL"</formula>
    </cfRule>
  </conditionalFormatting>
  <conditionalFormatting sqref="H9:H11">
    <cfRule type="expression" dxfId="6" priority="6" stopIfTrue="1">
      <formula>$H9="TTL"</formula>
    </cfRule>
  </conditionalFormatting>
  <conditionalFormatting sqref="H9:H12">
    <cfRule type="expression" dxfId="5" priority="5" stopIfTrue="1">
      <formula>$H9="TTL"</formula>
    </cfRule>
  </conditionalFormatting>
  <conditionalFormatting sqref="H9">
    <cfRule type="expression" dxfId="4" priority="4" stopIfTrue="1">
      <formula>$H9="TTL"</formula>
    </cfRule>
  </conditionalFormatting>
  <conditionalFormatting sqref="H9:H14">
    <cfRule type="expression" dxfId="3" priority="3" stopIfTrue="1">
      <formula>$H9="TTL"</formula>
    </cfRule>
  </conditionalFormatting>
  <conditionalFormatting sqref="H9:H12">
    <cfRule type="expression" dxfId="2" priority="2" stopIfTrue="1">
      <formula>$I9="TTL"</formula>
    </cfRule>
  </conditionalFormatting>
  <conditionalFormatting sqref="H8">
    <cfRule type="expression" dxfId="1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2014-04-10T02:59:58Z</dcterms:created>
  <dcterms:modified xsi:type="dcterms:W3CDTF">2014-04-10T03:00:39Z</dcterms:modified>
</cp:coreProperties>
</file>