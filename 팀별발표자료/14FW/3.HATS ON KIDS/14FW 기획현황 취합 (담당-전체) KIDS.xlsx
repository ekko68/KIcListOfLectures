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hidePivotFieldList="1" defaultThemeVersion="124226"/>
  <bookViews>
    <workbookView xWindow="675" yWindow="225" windowWidth="20880" windowHeight="9960"/>
  </bookViews>
  <sheets>
    <sheet name="PIV" sheetId="4" r:id="rId1"/>
    <sheet name="기획현황취합" sheetId="1" r:id="rId2"/>
  </sheets>
  <definedNames>
    <definedName name="_xlnm._FilterDatabase" localSheetId="1" hidden="1">기획현황취합!$A$2:$BV$1389</definedName>
  </definedNames>
  <calcPr calcId="125725" calcMode="manual"/>
  <pivotCaches>
    <pivotCache cacheId="114" r:id="rId3"/>
  </pivotCaches>
</workbook>
</file>

<file path=xl/calcChain.xml><?xml version="1.0" encoding="utf-8"?>
<calcChain xmlns="http://schemas.openxmlformats.org/spreadsheetml/2006/main">
  <c r="A5" i="1"/>
  <c r="B5"/>
  <c r="C5"/>
  <c r="D5"/>
  <c r="A6"/>
  <c r="B6"/>
  <c r="C6"/>
  <c r="D6"/>
  <c r="A7"/>
  <c r="B7"/>
  <c r="C7"/>
  <c r="D7"/>
  <c r="A8"/>
  <c r="B8"/>
  <c r="C8"/>
  <c r="D8"/>
  <c r="A9"/>
  <c r="B9"/>
  <c r="C9"/>
  <c r="D9"/>
  <c r="A10"/>
  <c r="B10"/>
  <c r="C10"/>
  <c r="D10"/>
  <c r="A11"/>
  <c r="B11"/>
  <c r="C11"/>
  <c r="D11"/>
  <c r="A12"/>
  <c r="B12"/>
  <c r="C12"/>
  <c r="D12"/>
  <c r="A13"/>
  <c r="B13"/>
  <c r="C13"/>
  <c r="D13"/>
  <c r="A14"/>
  <c r="B14"/>
  <c r="C14"/>
  <c r="D14"/>
  <c r="A15"/>
  <c r="B15"/>
  <c r="C15"/>
  <c r="D15"/>
  <c r="A16"/>
  <c r="B16"/>
  <c r="C16"/>
  <c r="D16"/>
  <c r="A17"/>
  <c r="B17"/>
  <c r="C17"/>
  <c r="D17"/>
  <c r="A18"/>
  <c r="B18"/>
  <c r="C18"/>
  <c r="D18"/>
  <c r="A19"/>
  <c r="B19"/>
  <c r="C19"/>
  <c r="D19"/>
  <c r="A20"/>
  <c r="B20"/>
  <c r="C20"/>
  <c r="D20"/>
  <c r="A21"/>
  <c r="B21"/>
  <c r="C21"/>
  <c r="D21"/>
  <c r="A22"/>
  <c r="B22"/>
  <c r="C22"/>
  <c r="D22"/>
  <c r="A23"/>
  <c r="B23"/>
  <c r="C23"/>
  <c r="D23"/>
  <c r="A24"/>
  <c r="B24"/>
  <c r="C24"/>
  <c r="D24"/>
  <c r="A25"/>
  <c r="B25"/>
  <c r="C25"/>
  <c r="D25"/>
  <c r="A26"/>
  <c r="B26"/>
  <c r="C26"/>
  <c r="D26"/>
  <c r="A27"/>
  <c r="B27"/>
  <c r="C27"/>
  <c r="D27"/>
  <c r="A28"/>
  <c r="B28"/>
  <c r="C28"/>
  <c r="D28"/>
  <c r="A29"/>
  <c r="B29"/>
  <c r="C29"/>
  <c r="D29"/>
  <c r="A30"/>
  <c r="B30"/>
  <c r="C30"/>
  <c r="D30"/>
  <c r="A31"/>
  <c r="B31"/>
  <c r="C31"/>
  <c r="D31"/>
  <c r="A32"/>
  <c r="B32"/>
  <c r="C32"/>
  <c r="D32"/>
  <c r="A33"/>
  <c r="B33"/>
  <c r="C33"/>
  <c r="D33"/>
  <c r="A34"/>
  <c r="B34"/>
  <c r="C34"/>
  <c r="D34"/>
  <c r="A35"/>
  <c r="B35"/>
  <c r="C35"/>
  <c r="D35"/>
  <c r="A36"/>
  <c r="B36"/>
  <c r="C36"/>
  <c r="D36"/>
  <c r="A37"/>
  <c r="B37"/>
  <c r="C37"/>
  <c r="D37"/>
  <c r="A38"/>
  <c r="B38"/>
  <c r="C38"/>
  <c r="D38"/>
  <c r="A39"/>
  <c r="B39"/>
  <c r="C39"/>
  <c r="D39"/>
  <c r="A40"/>
  <c r="B40"/>
  <c r="C40"/>
  <c r="D40"/>
  <c r="A41"/>
  <c r="B41"/>
  <c r="C41"/>
  <c r="D41"/>
  <c r="A42"/>
  <c r="B42"/>
  <c r="C42"/>
  <c r="D42"/>
  <c r="A43"/>
  <c r="B43"/>
  <c r="C43"/>
  <c r="D43"/>
  <c r="A44"/>
  <c r="B44"/>
  <c r="C44"/>
  <c r="D44"/>
  <c r="A45"/>
  <c r="B45"/>
  <c r="C45"/>
  <c r="D45"/>
  <c r="A46"/>
  <c r="B46"/>
  <c r="C46"/>
  <c r="D46"/>
  <c r="A47"/>
  <c r="B47"/>
  <c r="C47"/>
  <c r="D47"/>
  <c r="A48"/>
  <c r="B48"/>
  <c r="C48"/>
  <c r="D48"/>
  <c r="A49"/>
  <c r="B49"/>
  <c r="C49"/>
  <c r="D49"/>
  <c r="A50"/>
  <c r="B50"/>
  <c r="C50"/>
  <c r="D50"/>
  <c r="A51"/>
  <c r="B51"/>
  <c r="C51"/>
  <c r="D51"/>
  <c r="A52"/>
  <c r="B52"/>
  <c r="C52"/>
  <c r="D52"/>
  <c r="A53"/>
  <c r="B53"/>
  <c r="C53"/>
  <c r="D53"/>
  <c r="A54"/>
  <c r="B54"/>
  <c r="C54"/>
  <c r="D54"/>
  <c r="A55"/>
  <c r="B55"/>
  <c r="C55"/>
  <c r="D55"/>
  <c r="A56"/>
  <c r="B56"/>
  <c r="C56"/>
  <c r="D56"/>
  <c r="A57"/>
  <c r="B57"/>
  <c r="C57"/>
  <c r="D57"/>
  <c r="A58"/>
  <c r="B58"/>
  <c r="C58"/>
  <c r="D58"/>
  <c r="A59"/>
  <c r="B59"/>
  <c r="C59"/>
  <c r="D59"/>
  <c r="A60"/>
  <c r="B60"/>
  <c r="C60"/>
  <c r="D60"/>
  <c r="A61"/>
  <c r="B61"/>
  <c r="C61"/>
  <c r="D61"/>
  <c r="A62"/>
  <c r="B62"/>
  <c r="C62"/>
  <c r="D62"/>
  <c r="A63"/>
  <c r="B63"/>
  <c r="C63"/>
  <c r="D63"/>
  <c r="A64"/>
  <c r="B64"/>
  <c r="C64"/>
  <c r="D64"/>
  <c r="A65"/>
  <c r="B65"/>
  <c r="C65"/>
  <c r="D65"/>
  <c r="A66"/>
  <c r="B66"/>
  <c r="C66"/>
  <c r="D66"/>
  <c r="A67"/>
  <c r="B67"/>
  <c r="C67"/>
  <c r="D67"/>
  <c r="A68"/>
  <c r="B68"/>
  <c r="C68"/>
  <c r="D68"/>
  <c r="A69"/>
  <c r="B69"/>
  <c r="C69"/>
  <c r="D69"/>
  <c r="A70"/>
  <c r="B70"/>
  <c r="C70"/>
  <c r="D70"/>
  <c r="A71"/>
  <c r="B71"/>
  <c r="C71"/>
  <c r="D71"/>
  <c r="A72"/>
  <c r="B72"/>
  <c r="C72"/>
  <c r="D72"/>
  <c r="A73"/>
  <c r="B73"/>
  <c r="C73"/>
  <c r="D73"/>
  <c r="A74"/>
  <c r="B74"/>
  <c r="C74"/>
  <c r="D74"/>
  <c r="A75"/>
  <c r="B75"/>
  <c r="C75"/>
  <c r="D75"/>
  <c r="A76"/>
  <c r="B76"/>
  <c r="C76"/>
  <c r="D76"/>
  <c r="A77"/>
  <c r="B77"/>
  <c r="C77"/>
  <c r="D77"/>
  <c r="A78"/>
  <c r="B78"/>
  <c r="C78"/>
  <c r="D78"/>
  <c r="A79"/>
  <c r="B79"/>
  <c r="C79"/>
  <c r="D79"/>
  <c r="A80"/>
  <c r="B80"/>
  <c r="C80"/>
  <c r="D80"/>
  <c r="A81"/>
  <c r="B81"/>
  <c r="C81"/>
  <c r="D81"/>
  <c r="A82"/>
  <c r="B82"/>
  <c r="C82"/>
  <c r="D82"/>
  <c r="A83"/>
  <c r="B83"/>
  <c r="C83"/>
  <c r="D83"/>
  <c r="A84"/>
  <c r="B84"/>
  <c r="C84"/>
  <c r="D84"/>
  <c r="A85"/>
  <c r="B85"/>
  <c r="C85"/>
  <c r="D85"/>
  <c r="A86"/>
  <c r="B86"/>
  <c r="C86"/>
  <c r="D86"/>
  <c r="A87"/>
  <c r="B87"/>
  <c r="C87"/>
  <c r="D87"/>
  <c r="A88"/>
  <c r="B88"/>
  <c r="C88"/>
  <c r="D88"/>
  <c r="A89"/>
  <c r="B89"/>
  <c r="C89"/>
  <c r="D89"/>
  <c r="A90"/>
  <c r="B90"/>
  <c r="C90"/>
  <c r="D90"/>
  <c r="A91"/>
  <c r="B91"/>
  <c r="C91"/>
  <c r="D91"/>
  <c r="A92"/>
  <c r="B92"/>
  <c r="C92"/>
  <c r="D92"/>
  <c r="A93"/>
  <c r="B93"/>
  <c r="C93"/>
  <c r="D93"/>
  <c r="A94"/>
  <c r="B94"/>
  <c r="C94"/>
  <c r="D94"/>
  <c r="A95"/>
  <c r="B95"/>
  <c r="C95"/>
  <c r="D95"/>
  <c r="A96"/>
  <c r="B96"/>
  <c r="C96"/>
  <c r="D96"/>
  <c r="A97"/>
  <c r="B97"/>
  <c r="C97"/>
  <c r="D97"/>
  <c r="A98"/>
  <c r="B98"/>
  <c r="C98"/>
  <c r="D98"/>
  <c r="A99"/>
  <c r="B99"/>
  <c r="C99"/>
  <c r="D99"/>
  <c r="A100"/>
  <c r="B100"/>
  <c r="C100"/>
  <c r="D100"/>
  <c r="A101"/>
  <c r="B101"/>
  <c r="C101"/>
  <c r="D101"/>
  <c r="A102"/>
  <c r="B102"/>
  <c r="C102"/>
  <c r="D102"/>
  <c r="A103"/>
  <c r="B103"/>
  <c r="C103"/>
  <c r="D103"/>
  <c r="A104"/>
  <c r="B104"/>
  <c r="C104"/>
  <c r="D104"/>
  <c r="A105"/>
  <c r="B105"/>
  <c r="C105"/>
  <c r="D105"/>
  <c r="A106"/>
  <c r="B106"/>
  <c r="C106"/>
  <c r="D106"/>
  <c r="A107"/>
  <c r="B107"/>
  <c r="C107"/>
  <c r="D107"/>
  <c r="A108"/>
  <c r="B108"/>
  <c r="C108"/>
  <c r="D108"/>
  <c r="A109"/>
  <c r="B109"/>
  <c r="C109"/>
  <c r="D109"/>
  <c r="A110"/>
  <c r="B110"/>
  <c r="C110"/>
  <c r="D110"/>
  <c r="A111"/>
  <c r="B111"/>
  <c r="C111"/>
  <c r="D111"/>
  <c r="A112"/>
  <c r="B112"/>
  <c r="C112"/>
  <c r="D112"/>
  <c r="A113"/>
  <c r="B113"/>
  <c r="C113"/>
  <c r="D113"/>
  <c r="A114"/>
  <c r="B114"/>
  <c r="C114"/>
  <c r="D114"/>
  <c r="A115"/>
  <c r="B115"/>
  <c r="C115"/>
  <c r="D115"/>
  <c r="A116"/>
  <c r="B116"/>
  <c r="C116"/>
  <c r="D116"/>
  <c r="A117"/>
  <c r="B117"/>
  <c r="C117"/>
  <c r="D117"/>
  <c r="A118"/>
  <c r="B118"/>
  <c r="C118"/>
  <c r="D118"/>
  <c r="A119"/>
  <c r="B119"/>
  <c r="C119"/>
  <c r="D119"/>
  <c r="A120"/>
  <c r="B120"/>
  <c r="C120"/>
  <c r="D120"/>
  <c r="A121"/>
  <c r="B121"/>
  <c r="C121"/>
  <c r="D121"/>
  <c r="A122"/>
  <c r="B122"/>
  <c r="C122"/>
  <c r="D122"/>
  <c r="A123"/>
  <c r="B123"/>
  <c r="C123"/>
  <c r="D123"/>
  <c r="A124"/>
  <c r="B124"/>
  <c r="C124"/>
  <c r="D124"/>
  <c r="A125"/>
  <c r="B125"/>
  <c r="C125"/>
  <c r="D125"/>
  <c r="A126"/>
  <c r="B126"/>
  <c r="C126"/>
  <c r="D126"/>
  <c r="A127"/>
  <c r="B127"/>
  <c r="C127"/>
  <c r="D127"/>
  <c r="A128"/>
  <c r="B128"/>
  <c r="C128"/>
  <c r="D128"/>
  <c r="A129"/>
  <c r="B129"/>
  <c r="C129"/>
  <c r="D129"/>
  <c r="A130"/>
  <c r="B130"/>
  <c r="C130"/>
  <c r="D130"/>
  <c r="A131"/>
  <c r="B131"/>
  <c r="C131"/>
  <c r="D131"/>
  <c r="A132"/>
  <c r="B132"/>
  <c r="C132"/>
  <c r="D132"/>
  <c r="A133"/>
  <c r="B133"/>
  <c r="C133"/>
  <c r="D133"/>
  <c r="A134"/>
  <c r="B134"/>
  <c r="C134"/>
  <c r="D134"/>
  <c r="A135"/>
  <c r="B135"/>
  <c r="C135"/>
  <c r="D135"/>
  <c r="A136"/>
  <c r="B136"/>
  <c r="C136"/>
  <c r="D136"/>
  <c r="A137"/>
  <c r="B137"/>
  <c r="C137"/>
  <c r="D137"/>
  <c r="A138"/>
  <c r="B138"/>
  <c r="C138"/>
  <c r="D138"/>
  <c r="A139"/>
  <c r="B139"/>
  <c r="C139"/>
  <c r="D139"/>
  <c r="A140"/>
  <c r="B140"/>
  <c r="C140"/>
  <c r="D140"/>
  <c r="A141"/>
  <c r="B141"/>
  <c r="C141"/>
  <c r="D141"/>
  <c r="A142"/>
  <c r="B142"/>
  <c r="C142"/>
  <c r="D142"/>
  <c r="A143"/>
  <c r="B143"/>
  <c r="C143"/>
  <c r="D143"/>
  <c r="A144"/>
  <c r="B144"/>
  <c r="C144"/>
  <c r="D144"/>
  <c r="A145"/>
  <c r="B145"/>
  <c r="C145"/>
  <c r="D145"/>
  <c r="A146"/>
  <c r="B146"/>
  <c r="C146"/>
  <c r="D146"/>
  <c r="A147"/>
  <c r="B147"/>
  <c r="C147"/>
  <c r="D147"/>
  <c r="A148"/>
  <c r="B148"/>
  <c r="C148"/>
  <c r="D148"/>
  <c r="A149"/>
  <c r="B149"/>
  <c r="C149"/>
  <c r="D149"/>
  <c r="A150"/>
  <c r="B150"/>
  <c r="C150"/>
  <c r="D150"/>
  <c r="A151"/>
  <c r="B151"/>
  <c r="C151"/>
  <c r="D151"/>
  <c r="A152"/>
  <c r="B152"/>
  <c r="C152"/>
  <c r="D152"/>
  <c r="A153"/>
  <c r="B153"/>
  <c r="C153"/>
  <c r="D153"/>
  <c r="A154"/>
  <c r="B154"/>
  <c r="C154"/>
  <c r="D154"/>
  <c r="A155"/>
  <c r="B155"/>
  <c r="C155"/>
  <c r="D155"/>
  <c r="A156"/>
  <c r="B156"/>
  <c r="C156"/>
  <c r="D156"/>
  <c r="A157"/>
  <c r="B157"/>
  <c r="C157"/>
  <c r="D157"/>
  <c r="A158"/>
  <c r="B158"/>
  <c r="C158"/>
  <c r="D158"/>
  <c r="A159"/>
  <c r="B159"/>
  <c r="C159"/>
  <c r="D159"/>
  <c r="A160"/>
  <c r="B160"/>
  <c r="C160"/>
  <c r="D160"/>
  <c r="A161"/>
  <c r="B161"/>
  <c r="C161"/>
  <c r="D161"/>
  <c r="A162"/>
  <c r="B162"/>
  <c r="C162"/>
  <c r="D162"/>
  <c r="A163"/>
  <c r="B163"/>
  <c r="C163"/>
  <c r="D163"/>
  <c r="A164"/>
  <c r="B164"/>
  <c r="C164"/>
  <c r="D164"/>
  <c r="A165"/>
  <c r="B165"/>
  <c r="C165"/>
  <c r="D165"/>
  <c r="A166"/>
  <c r="B166"/>
  <c r="C166"/>
  <c r="D166"/>
  <c r="A167"/>
  <c r="B167"/>
  <c r="C167"/>
  <c r="D167"/>
  <c r="A168"/>
  <c r="B168"/>
  <c r="C168"/>
  <c r="D168"/>
  <c r="A169"/>
  <c r="B169"/>
  <c r="C169"/>
  <c r="D169"/>
  <c r="A170"/>
  <c r="B170"/>
  <c r="C170"/>
  <c r="D170"/>
  <c r="A171"/>
  <c r="B171"/>
  <c r="C171"/>
  <c r="D171"/>
  <c r="A172"/>
  <c r="B172"/>
  <c r="C172"/>
  <c r="D172"/>
  <c r="A173"/>
  <c r="B173"/>
  <c r="C173"/>
  <c r="D173"/>
  <c r="A174"/>
  <c r="B174"/>
  <c r="C174"/>
  <c r="D174"/>
  <c r="A175"/>
  <c r="B175"/>
  <c r="C175"/>
  <c r="D175"/>
  <c r="A176"/>
  <c r="B176"/>
  <c r="C176"/>
  <c r="D176"/>
  <c r="A177"/>
  <c r="B177"/>
  <c r="C177"/>
  <c r="D177"/>
  <c r="A178"/>
  <c r="B178"/>
  <c r="C178"/>
  <c r="D178"/>
  <c r="A179"/>
  <c r="B179"/>
  <c r="C179"/>
  <c r="D179"/>
  <c r="A180"/>
  <c r="B180"/>
  <c r="C180"/>
  <c r="D180"/>
  <c r="A181"/>
  <c r="B181"/>
  <c r="C181"/>
  <c r="D181"/>
  <c r="A182"/>
  <c r="B182"/>
  <c r="C182"/>
  <c r="D182"/>
  <c r="A183"/>
  <c r="B183"/>
  <c r="C183"/>
  <c r="D183"/>
  <c r="A184"/>
  <c r="B184"/>
  <c r="C184"/>
  <c r="D184"/>
  <c r="A185"/>
  <c r="B185"/>
  <c r="C185"/>
  <c r="D185"/>
  <c r="A186"/>
  <c r="B186"/>
  <c r="C186"/>
  <c r="D186"/>
  <c r="A187"/>
  <c r="B187"/>
  <c r="C187"/>
  <c r="D187"/>
  <c r="A188"/>
  <c r="B188"/>
  <c r="C188"/>
  <c r="D188"/>
  <c r="A189"/>
  <c r="B189"/>
  <c r="C189"/>
  <c r="D189"/>
  <c r="A190"/>
  <c r="B190"/>
  <c r="C190"/>
  <c r="D190"/>
  <c r="A191"/>
  <c r="B191"/>
  <c r="C191"/>
  <c r="D191"/>
  <c r="A192"/>
  <c r="B192"/>
  <c r="C192"/>
  <c r="D192"/>
  <c r="A193"/>
  <c r="B193"/>
  <c r="C193"/>
  <c r="D193"/>
  <c r="A194"/>
  <c r="B194"/>
  <c r="C194"/>
  <c r="D194"/>
  <c r="A195"/>
  <c r="B195"/>
  <c r="C195"/>
  <c r="D195"/>
  <c r="A196"/>
  <c r="B196"/>
  <c r="C196"/>
  <c r="D196"/>
  <c r="A197"/>
  <c r="B197"/>
  <c r="C197"/>
  <c r="D197"/>
  <c r="A198"/>
  <c r="B198"/>
  <c r="C198"/>
  <c r="D198"/>
  <c r="A199"/>
  <c r="B199"/>
  <c r="C199"/>
  <c r="D199"/>
  <c r="A200"/>
  <c r="B200"/>
  <c r="C200"/>
  <c r="D200"/>
  <c r="A201"/>
  <c r="B201"/>
  <c r="C201"/>
  <c r="D201"/>
  <c r="A202"/>
  <c r="B202"/>
  <c r="C202"/>
  <c r="D202"/>
  <c r="A203"/>
  <c r="B203"/>
  <c r="C203"/>
  <c r="D203"/>
  <c r="A204"/>
  <c r="B204"/>
  <c r="C204"/>
  <c r="D204"/>
  <c r="A205"/>
  <c r="B205"/>
  <c r="C205"/>
  <c r="D205"/>
  <c r="A206"/>
  <c r="B206"/>
  <c r="C206"/>
  <c r="D206"/>
  <c r="A207"/>
  <c r="B207"/>
  <c r="C207"/>
  <c r="D207"/>
  <c r="A208"/>
  <c r="B208"/>
  <c r="C208"/>
  <c r="D208"/>
  <c r="A209"/>
  <c r="B209"/>
  <c r="C209"/>
  <c r="D209"/>
  <c r="A210"/>
  <c r="B210"/>
  <c r="C210"/>
  <c r="D210"/>
  <c r="A211"/>
  <c r="B211"/>
  <c r="C211"/>
  <c r="D211"/>
  <c r="A212"/>
  <c r="B212"/>
  <c r="C212"/>
  <c r="D212"/>
  <c r="A213"/>
  <c r="B213"/>
  <c r="C213"/>
  <c r="D213"/>
  <c r="A214"/>
  <c r="B214"/>
  <c r="C214"/>
  <c r="D214"/>
  <c r="A215"/>
  <c r="B215"/>
  <c r="C215"/>
  <c r="D215"/>
  <c r="A216"/>
  <c r="B216"/>
  <c r="C216"/>
  <c r="D216"/>
  <c r="A217"/>
  <c r="B217"/>
  <c r="C217"/>
  <c r="D217"/>
  <c r="A218"/>
  <c r="B218"/>
  <c r="C218"/>
  <c r="D218"/>
  <c r="A219"/>
  <c r="B219"/>
  <c r="C219"/>
  <c r="D219"/>
  <c r="A220"/>
  <c r="B220"/>
  <c r="C220"/>
  <c r="D220"/>
  <c r="A221"/>
  <c r="B221"/>
  <c r="C221"/>
  <c r="D221"/>
  <c r="A222"/>
  <c r="B222"/>
  <c r="C222"/>
  <c r="D222"/>
  <c r="A223"/>
  <c r="B223"/>
  <c r="C223"/>
  <c r="D223"/>
  <c r="A224"/>
  <c r="B224"/>
  <c r="C224"/>
  <c r="D224"/>
  <c r="A225"/>
  <c r="B225"/>
  <c r="C225"/>
  <c r="D225"/>
  <c r="A226"/>
  <c r="B226"/>
  <c r="C226"/>
  <c r="D226"/>
  <c r="A227"/>
  <c r="B227"/>
  <c r="C227"/>
  <c r="D227"/>
  <c r="A228"/>
  <c r="B228"/>
  <c r="C228"/>
  <c r="D228"/>
  <c r="A229"/>
  <c r="B229"/>
  <c r="C229"/>
  <c r="D229"/>
  <c r="A230"/>
  <c r="B230"/>
  <c r="C230"/>
  <c r="D230"/>
  <c r="A231"/>
  <c r="B231"/>
  <c r="C231"/>
  <c r="D231"/>
  <c r="A232"/>
  <c r="B232"/>
  <c r="C232"/>
  <c r="D232"/>
  <c r="A233"/>
  <c r="B233"/>
  <c r="C233"/>
  <c r="D233"/>
  <c r="A234"/>
  <c r="B234"/>
  <c r="C234"/>
  <c r="D234"/>
  <c r="A235"/>
  <c r="B235"/>
  <c r="C235"/>
  <c r="D235"/>
  <c r="A236"/>
  <c r="B236"/>
  <c r="C236"/>
  <c r="D236"/>
  <c r="A237"/>
  <c r="B237"/>
  <c r="C237"/>
  <c r="D237"/>
  <c r="A238"/>
  <c r="B238"/>
  <c r="C238"/>
  <c r="D238"/>
  <c r="A239"/>
  <c r="B239"/>
  <c r="C239"/>
  <c r="D239"/>
  <c r="A240"/>
  <c r="B240"/>
  <c r="C240"/>
  <c r="D240"/>
  <c r="A241"/>
  <c r="B241"/>
  <c r="C241"/>
  <c r="D241"/>
  <c r="A242"/>
  <c r="B242"/>
  <c r="C242"/>
  <c r="D242"/>
  <c r="A243"/>
  <c r="B243"/>
  <c r="C243"/>
  <c r="D243"/>
  <c r="A244"/>
  <c r="B244"/>
  <c r="C244"/>
  <c r="D244"/>
  <c r="A245"/>
  <c r="B245"/>
  <c r="C245"/>
  <c r="D245"/>
  <c r="A246"/>
  <c r="B246"/>
  <c r="C246"/>
  <c r="D246"/>
  <c r="A247"/>
  <c r="B247"/>
  <c r="C247"/>
  <c r="D247"/>
  <c r="A248"/>
  <c r="B248"/>
  <c r="C248"/>
  <c r="D248"/>
  <c r="A249"/>
  <c r="B249"/>
  <c r="C249"/>
  <c r="D249"/>
  <c r="A250"/>
  <c r="B250"/>
  <c r="C250"/>
  <c r="D250"/>
  <c r="A251"/>
  <c r="B251"/>
  <c r="C251"/>
  <c r="D251"/>
  <c r="A252"/>
  <c r="B252"/>
  <c r="C252"/>
  <c r="D252"/>
  <c r="A253"/>
  <c r="B253"/>
  <c r="C253"/>
  <c r="D253"/>
  <c r="A254"/>
  <c r="B254"/>
  <c r="C254"/>
  <c r="D254"/>
  <c r="A255"/>
  <c r="B255"/>
  <c r="C255"/>
  <c r="D255"/>
  <c r="A256"/>
  <c r="B256"/>
  <c r="C256"/>
  <c r="D256"/>
  <c r="A257"/>
  <c r="B257"/>
  <c r="C257"/>
  <c r="D257"/>
  <c r="A258"/>
  <c r="B258"/>
  <c r="C258"/>
  <c r="D258"/>
  <c r="A259"/>
  <c r="B259"/>
  <c r="C259"/>
  <c r="D259"/>
  <c r="A260"/>
  <c r="B260"/>
  <c r="C260"/>
  <c r="D260"/>
  <c r="A261"/>
  <c r="B261"/>
  <c r="C261"/>
  <c r="D261"/>
  <c r="A262"/>
  <c r="B262"/>
  <c r="C262"/>
  <c r="D262"/>
  <c r="A263"/>
  <c r="B263"/>
  <c r="C263"/>
  <c r="D263"/>
  <c r="A264"/>
  <c r="B264"/>
  <c r="C264"/>
  <c r="D264"/>
  <c r="A265"/>
  <c r="B265"/>
  <c r="C265"/>
  <c r="D265"/>
  <c r="A266"/>
  <c r="B266"/>
  <c r="C266"/>
  <c r="D266"/>
  <c r="A267"/>
  <c r="B267"/>
  <c r="C267"/>
  <c r="D267"/>
  <c r="A268"/>
  <c r="B268"/>
  <c r="C268"/>
  <c r="D268"/>
  <c r="A269"/>
  <c r="B269"/>
  <c r="C269"/>
  <c r="D269"/>
  <c r="A270"/>
  <c r="B270"/>
  <c r="C270"/>
  <c r="D270"/>
  <c r="A271"/>
  <c r="B271"/>
  <c r="C271"/>
  <c r="D271"/>
  <c r="A272"/>
  <c r="B272"/>
  <c r="C272"/>
  <c r="D272"/>
  <c r="A273"/>
  <c r="B273"/>
  <c r="C273"/>
  <c r="D273"/>
  <c r="A274"/>
  <c r="B274"/>
  <c r="C274"/>
  <c r="D274"/>
  <c r="A275"/>
  <c r="B275"/>
  <c r="C275"/>
  <c r="D275"/>
  <c r="A276"/>
  <c r="B276"/>
  <c r="C276"/>
  <c r="D276"/>
  <c r="A277"/>
  <c r="B277"/>
  <c r="C277"/>
  <c r="D277"/>
  <c r="A278"/>
  <c r="B278"/>
  <c r="C278"/>
  <c r="D278"/>
  <c r="A279"/>
  <c r="B279"/>
  <c r="C279"/>
  <c r="D279"/>
  <c r="A280"/>
  <c r="B280"/>
  <c r="C280"/>
  <c r="D280"/>
  <c r="A281"/>
  <c r="B281"/>
  <c r="C281"/>
  <c r="D281"/>
  <c r="A282"/>
  <c r="B282"/>
  <c r="C282"/>
  <c r="D282"/>
  <c r="A283"/>
  <c r="B283"/>
  <c r="C283"/>
  <c r="D283"/>
  <c r="A284"/>
  <c r="B284"/>
  <c r="C284"/>
  <c r="D284"/>
  <c r="A285"/>
  <c r="B285"/>
  <c r="C285"/>
  <c r="D285"/>
  <c r="A286"/>
  <c r="B286"/>
  <c r="C286"/>
  <c r="D286"/>
  <c r="A287"/>
  <c r="B287"/>
  <c r="C287"/>
  <c r="D287"/>
  <c r="A288"/>
  <c r="B288"/>
  <c r="C288"/>
  <c r="D288"/>
  <c r="A289"/>
  <c r="B289"/>
  <c r="C289"/>
  <c r="D289"/>
  <c r="A290"/>
  <c r="B290"/>
  <c r="C290"/>
  <c r="D290"/>
  <c r="A291"/>
  <c r="B291"/>
  <c r="C291"/>
  <c r="D291"/>
  <c r="A292"/>
  <c r="B292"/>
  <c r="C292"/>
  <c r="D292"/>
  <c r="A293"/>
  <c r="B293"/>
  <c r="C293"/>
  <c r="D293"/>
  <c r="A294"/>
  <c r="B294"/>
  <c r="C294"/>
  <c r="D294"/>
  <c r="A295"/>
  <c r="B295"/>
  <c r="C295"/>
  <c r="D295"/>
  <c r="A296"/>
  <c r="B296"/>
  <c r="C296"/>
  <c r="D296"/>
  <c r="A297"/>
  <c r="B297"/>
  <c r="C297"/>
  <c r="D297"/>
  <c r="A298"/>
  <c r="B298"/>
  <c r="C298"/>
  <c r="D298"/>
  <c r="A299"/>
  <c r="B299"/>
  <c r="C299"/>
  <c r="D299"/>
  <c r="A300"/>
  <c r="B300"/>
  <c r="C300"/>
  <c r="D300"/>
  <c r="A301"/>
  <c r="B301"/>
  <c r="C301"/>
  <c r="D301"/>
  <c r="A302"/>
  <c r="B302"/>
  <c r="C302"/>
  <c r="D302"/>
  <c r="A303"/>
  <c r="B303"/>
  <c r="C303"/>
  <c r="D303"/>
  <c r="A304"/>
  <c r="B304"/>
  <c r="C304"/>
  <c r="D304"/>
  <c r="A305"/>
  <c r="B305"/>
  <c r="C305"/>
  <c r="D305"/>
  <c r="A306"/>
  <c r="B306"/>
  <c r="C306"/>
  <c r="D306"/>
  <c r="A307"/>
  <c r="B307"/>
  <c r="C307"/>
  <c r="D307"/>
  <c r="A308"/>
  <c r="B308"/>
  <c r="C308"/>
  <c r="D308"/>
  <c r="A309"/>
  <c r="B309"/>
  <c r="C309"/>
  <c r="D309"/>
  <c r="A310"/>
  <c r="B310"/>
  <c r="C310"/>
  <c r="D310"/>
  <c r="A311"/>
  <c r="B311"/>
  <c r="C311"/>
  <c r="D311"/>
  <c r="A312"/>
  <c r="B312"/>
  <c r="C312"/>
  <c r="D312"/>
  <c r="A313"/>
  <c r="B313"/>
  <c r="C313"/>
  <c r="D313"/>
  <c r="A314"/>
  <c r="B314"/>
  <c r="C314"/>
  <c r="D314"/>
  <c r="A315"/>
  <c r="B315"/>
  <c r="C315"/>
  <c r="D315"/>
  <c r="A316"/>
  <c r="B316"/>
  <c r="C316"/>
  <c r="D316"/>
  <c r="A317"/>
  <c r="B317"/>
  <c r="C317"/>
  <c r="D317"/>
  <c r="A318"/>
  <c r="B318"/>
  <c r="C318"/>
  <c r="D318"/>
  <c r="A319"/>
  <c r="B319"/>
  <c r="C319"/>
  <c r="D319"/>
  <c r="A320"/>
  <c r="B320"/>
  <c r="C320"/>
  <c r="D320"/>
  <c r="A321"/>
  <c r="B321"/>
  <c r="C321"/>
  <c r="D321"/>
  <c r="A322"/>
  <c r="B322"/>
  <c r="C322"/>
  <c r="D322"/>
  <c r="A323"/>
  <c r="B323"/>
  <c r="C323"/>
  <c r="D323"/>
  <c r="A324"/>
  <c r="B324"/>
  <c r="C324"/>
  <c r="D324"/>
  <c r="A325"/>
  <c r="B325"/>
  <c r="C325"/>
  <c r="D325"/>
  <c r="A326"/>
  <c r="B326"/>
  <c r="C326"/>
  <c r="D326"/>
  <c r="A327"/>
  <c r="B327"/>
  <c r="C327"/>
  <c r="D327"/>
  <c r="A328"/>
  <c r="B328"/>
  <c r="C328"/>
  <c r="D328"/>
  <c r="A329"/>
  <c r="B329"/>
  <c r="C329"/>
  <c r="D329"/>
  <c r="A330"/>
  <c r="B330"/>
  <c r="C330"/>
  <c r="D330"/>
  <c r="A331"/>
  <c r="B331"/>
  <c r="C331"/>
  <c r="D331"/>
  <c r="A332"/>
  <c r="B332"/>
  <c r="C332"/>
  <c r="D332"/>
  <c r="A333"/>
  <c r="B333"/>
  <c r="C333"/>
  <c r="D333"/>
  <c r="A334"/>
  <c r="B334"/>
  <c r="C334"/>
  <c r="D334"/>
  <c r="A335"/>
  <c r="B335"/>
  <c r="C335"/>
  <c r="D335"/>
  <c r="A336"/>
  <c r="B336"/>
  <c r="C336"/>
  <c r="D336"/>
  <c r="A337"/>
  <c r="B337"/>
  <c r="C337"/>
  <c r="D337"/>
  <c r="A338"/>
  <c r="B338"/>
  <c r="C338"/>
  <c r="D338"/>
  <c r="A339"/>
  <c r="B339"/>
  <c r="C339"/>
  <c r="D339"/>
  <c r="A340"/>
  <c r="B340"/>
  <c r="C340"/>
  <c r="D340"/>
  <c r="A341"/>
  <c r="B341"/>
  <c r="C341"/>
  <c r="D341"/>
  <c r="A342"/>
  <c r="B342"/>
  <c r="C342"/>
  <c r="D342"/>
  <c r="A343"/>
  <c r="B343"/>
  <c r="C343"/>
  <c r="D343"/>
  <c r="A344"/>
  <c r="B344"/>
  <c r="C344"/>
  <c r="D344"/>
  <c r="A345"/>
  <c r="B345"/>
  <c r="C345"/>
  <c r="D345"/>
  <c r="A346"/>
  <c r="B346"/>
  <c r="C346"/>
  <c r="D346"/>
  <c r="A347"/>
  <c r="B347"/>
  <c r="C347"/>
  <c r="D347"/>
  <c r="A348"/>
  <c r="B348"/>
  <c r="C348"/>
  <c r="D348"/>
  <c r="A349"/>
  <c r="B349"/>
  <c r="C349"/>
  <c r="D349"/>
  <c r="A350"/>
  <c r="B350"/>
  <c r="C350"/>
  <c r="D350"/>
  <c r="A351"/>
  <c r="B351"/>
  <c r="C351"/>
  <c r="D351"/>
  <c r="A352"/>
  <c r="B352"/>
  <c r="C352"/>
  <c r="D352"/>
  <c r="A353"/>
  <c r="B353"/>
  <c r="C353"/>
  <c r="D353"/>
  <c r="A354"/>
  <c r="B354"/>
  <c r="C354"/>
  <c r="D354"/>
  <c r="A355"/>
  <c r="B355"/>
  <c r="C355"/>
  <c r="D355"/>
  <c r="A356"/>
  <c r="B356"/>
  <c r="C356"/>
  <c r="D356"/>
  <c r="A357"/>
  <c r="B357"/>
  <c r="C357"/>
  <c r="D357"/>
  <c r="A358"/>
  <c r="B358"/>
  <c r="C358"/>
  <c r="D358"/>
  <c r="A359"/>
  <c r="B359"/>
  <c r="C359"/>
  <c r="D359"/>
  <c r="A360"/>
  <c r="B360"/>
  <c r="C360"/>
  <c r="D360"/>
  <c r="A361"/>
  <c r="B361"/>
  <c r="C361"/>
  <c r="D361"/>
  <c r="A362"/>
  <c r="B362"/>
  <c r="C362"/>
  <c r="D362"/>
  <c r="A363"/>
  <c r="B363"/>
  <c r="C363"/>
  <c r="D363"/>
  <c r="A364"/>
  <c r="B364"/>
  <c r="C364"/>
  <c r="D364"/>
  <c r="A365"/>
  <c r="B365"/>
  <c r="C365"/>
  <c r="D365"/>
  <c r="A366"/>
  <c r="B366"/>
  <c r="C366"/>
  <c r="D366"/>
  <c r="A367"/>
  <c r="B367"/>
  <c r="C367"/>
  <c r="D367"/>
  <c r="A368"/>
  <c r="B368"/>
  <c r="C368"/>
  <c r="D368"/>
  <c r="A369"/>
  <c r="B369"/>
  <c r="C369"/>
  <c r="D369"/>
  <c r="A370"/>
  <c r="B370"/>
  <c r="C370"/>
  <c r="D370"/>
  <c r="A371"/>
  <c r="B371"/>
  <c r="C371"/>
  <c r="D371"/>
  <c r="A372"/>
  <c r="B372"/>
  <c r="C372"/>
  <c r="D372"/>
  <c r="A373"/>
  <c r="B373"/>
  <c r="C373"/>
  <c r="D373"/>
  <c r="A374"/>
  <c r="B374"/>
  <c r="C374"/>
  <c r="D374"/>
  <c r="A375"/>
  <c r="B375"/>
  <c r="C375"/>
  <c r="D375"/>
  <c r="A376"/>
  <c r="B376"/>
  <c r="C376"/>
  <c r="D376"/>
  <c r="A377"/>
  <c r="B377"/>
  <c r="C377"/>
  <c r="D377"/>
  <c r="A378"/>
  <c r="B378"/>
  <c r="C378"/>
  <c r="D378"/>
  <c r="A379"/>
  <c r="B379"/>
  <c r="C379"/>
  <c r="D379"/>
  <c r="A380"/>
  <c r="B380"/>
  <c r="C380"/>
  <c r="D380"/>
  <c r="A381"/>
  <c r="B381"/>
  <c r="C381"/>
  <c r="D381"/>
  <c r="A382"/>
  <c r="B382"/>
  <c r="C382"/>
  <c r="D382"/>
  <c r="A383"/>
  <c r="B383"/>
  <c r="C383"/>
  <c r="D383"/>
  <c r="A384"/>
  <c r="B384"/>
  <c r="C384"/>
  <c r="D384"/>
  <c r="A385"/>
  <c r="B385"/>
  <c r="C385"/>
  <c r="D385"/>
  <c r="A386"/>
  <c r="B386"/>
  <c r="C386"/>
  <c r="D386"/>
  <c r="A387"/>
  <c r="B387"/>
  <c r="C387"/>
  <c r="D387"/>
  <c r="A388"/>
  <c r="B388"/>
  <c r="C388"/>
  <c r="D388"/>
  <c r="A389"/>
  <c r="B389"/>
  <c r="C389"/>
  <c r="D389"/>
  <c r="A390"/>
  <c r="B390"/>
  <c r="C390"/>
  <c r="D390"/>
  <c r="A391"/>
  <c r="B391"/>
  <c r="C391"/>
  <c r="D391"/>
  <c r="A392"/>
  <c r="B392"/>
  <c r="C392"/>
  <c r="D392"/>
  <c r="A393"/>
  <c r="B393"/>
  <c r="C393"/>
  <c r="D393"/>
  <c r="A394"/>
  <c r="B394"/>
  <c r="C394"/>
  <c r="D394"/>
  <c r="A395"/>
  <c r="B395"/>
  <c r="C395"/>
  <c r="D395"/>
  <c r="A396"/>
  <c r="B396"/>
  <c r="C396"/>
  <c r="D396"/>
  <c r="A397"/>
  <c r="B397"/>
  <c r="C397"/>
  <c r="D397"/>
  <c r="A398"/>
  <c r="B398"/>
  <c r="C398"/>
  <c r="D398"/>
  <c r="A399"/>
  <c r="B399"/>
  <c r="C399"/>
  <c r="D399"/>
  <c r="A400"/>
  <c r="B400"/>
  <c r="C400"/>
  <c r="D400"/>
  <c r="A401"/>
  <c r="B401"/>
  <c r="C401"/>
  <c r="D401"/>
  <c r="A402"/>
  <c r="B402"/>
  <c r="C402"/>
  <c r="D402"/>
  <c r="A403"/>
  <c r="B403"/>
  <c r="C403"/>
  <c r="D403"/>
  <c r="A404"/>
  <c r="B404"/>
  <c r="C404"/>
  <c r="D404"/>
  <c r="A405"/>
  <c r="B405"/>
  <c r="C405"/>
  <c r="D405"/>
  <c r="A406"/>
  <c r="B406"/>
  <c r="C406"/>
  <c r="D406"/>
  <c r="A407"/>
  <c r="B407"/>
  <c r="C407"/>
  <c r="D407"/>
  <c r="A408"/>
  <c r="B408"/>
  <c r="C408"/>
  <c r="D408"/>
  <c r="A409"/>
  <c r="B409"/>
  <c r="C409"/>
  <c r="D409"/>
  <c r="A410"/>
  <c r="B410"/>
  <c r="C410"/>
  <c r="D410"/>
  <c r="A411"/>
  <c r="B411"/>
  <c r="C411"/>
  <c r="D411"/>
  <c r="A412"/>
  <c r="B412"/>
  <c r="C412"/>
  <c r="D412"/>
  <c r="A413"/>
  <c r="B413"/>
  <c r="C413"/>
  <c r="D413"/>
  <c r="A414"/>
  <c r="B414"/>
  <c r="C414"/>
  <c r="D414"/>
  <c r="A415"/>
  <c r="B415"/>
  <c r="C415"/>
  <c r="D415"/>
  <c r="A416"/>
  <c r="B416"/>
  <c r="C416"/>
  <c r="D416"/>
  <c r="A417"/>
  <c r="B417"/>
  <c r="C417"/>
  <c r="D417"/>
  <c r="A418"/>
  <c r="B418"/>
  <c r="C418"/>
  <c r="D418"/>
  <c r="A419"/>
  <c r="B419"/>
  <c r="C419"/>
  <c r="D419"/>
  <c r="A420"/>
  <c r="B420"/>
  <c r="C420"/>
  <c r="D420"/>
  <c r="A421"/>
  <c r="B421"/>
  <c r="C421"/>
  <c r="D421"/>
  <c r="A422"/>
  <c r="B422"/>
  <c r="C422"/>
  <c r="D422"/>
  <c r="A423"/>
  <c r="B423"/>
  <c r="C423"/>
  <c r="D423"/>
  <c r="A424"/>
  <c r="B424"/>
  <c r="C424"/>
  <c r="D424"/>
  <c r="A425"/>
  <c r="B425"/>
  <c r="C425"/>
  <c r="D425"/>
  <c r="A426"/>
  <c r="B426"/>
  <c r="C426"/>
  <c r="D426"/>
  <c r="A427"/>
  <c r="B427"/>
  <c r="C427"/>
  <c r="D427"/>
  <c r="A428"/>
  <c r="B428"/>
  <c r="C428"/>
  <c r="D428"/>
  <c r="A429"/>
  <c r="B429"/>
  <c r="C429"/>
  <c r="D429"/>
  <c r="A430"/>
  <c r="B430"/>
  <c r="C430"/>
  <c r="D430"/>
  <c r="A431"/>
  <c r="B431"/>
  <c r="C431"/>
  <c r="D431"/>
  <c r="A432"/>
  <c r="B432"/>
  <c r="C432"/>
  <c r="D432"/>
  <c r="A433"/>
  <c r="B433"/>
  <c r="C433"/>
  <c r="D433"/>
  <c r="A434"/>
  <c r="B434"/>
  <c r="C434"/>
  <c r="D434"/>
  <c r="A435"/>
  <c r="B435"/>
  <c r="C435"/>
  <c r="D435"/>
  <c r="A436"/>
  <c r="B436"/>
  <c r="C436"/>
  <c r="D436"/>
  <c r="A437"/>
  <c r="B437"/>
  <c r="C437"/>
  <c r="D437"/>
  <c r="A438"/>
  <c r="B438"/>
  <c r="C438"/>
  <c r="D438"/>
  <c r="A439"/>
  <c r="B439"/>
  <c r="C439"/>
  <c r="D439"/>
  <c r="A440"/>
  <c r="B440"/>
  <c r="C440"/>
  <c r="D440"/>
  <c r="A441"/>
  <c r="B441"/>
  <c r="C441"/>
  <c r="D441"/>
  <c r="A442"/>
  <c r="B442"/>
  <c r="C442"/>
  <c r="D442"/>
  <c r="A443"/>
  <c r="B443"/>
  <c r="C443"/>
  <c r="D443"/>
  <c r="A444"/>
  <c r="B444"/>
  <c r="C444"/>
  <c r="D444"/>
  <c r="A445"/>
  <c r="B445"/>
  <c r="C445"/>
  <c r="D445"/>
  <c r="A446"/>
  <c r="B446"/>
  <c r="C446"/>
  <c r="D446"/>
  <c r="A447"/>
  <c r="B447"/>
  <c r="C447"/>
  <c r="D447"/>
  <c r="A448"/>
  <c r="B448"/>
  <c r="C448"/>
  <c r="D448"/>
  <c r="A449"/>
  <c r="B449"/>
  <c r="C449"/>
  <c r="D449"/>
  <c r="A450"/>
  <c r="B450"/>
  <c r="C450"/>
  <c r="D450"/>
  <c r="A451"/>
  <c r="B451"/>
  <c r="C451"/>
  <c r="D451"/>
  <c r="A452"/>
  <c r="B452"/>
  <c r="C452"/>
  <c r="D452"/>
  <c r="A453"/>
  <c r="B453"/>
  <c r="C453"/>
  <c r="D453"/>
  <c r="A454"/>
  <c r="B454"/>
  <c r="C454"/>
  <c r="D454"/>
  <c r="A455"/>
  <c r="B455"/>
  <c r="C455"/>
  <c r="D455"/>
  <c r="A456"/>
  <c r="B456"/>
  <c r="C456"/>
  <c r="D456"/>
  <c r="A457"/>
  <c r="B457"/>
  <c r="C457"/>
  <c r="D457"/>
  <c r="A458"/>
  <c r="B458"/>
  <c r="C458"/>
  <c r="D458"/>
  <c r="A459"/>
  <c r="B459"/>
  <c r="C459"/>
  <c r="D459"/>
  <c r="A460"/>
  <c r="B460"/>
  <c r="C460"/>
  <c r="D460"/>
  <c r="A461"/>
  <c r="B461"/>
  <c r="C461"/>
  <c r="D461"/>
  <c r="A462"/>
  <c r="B462"/>
  <c r="C462"/>
  <c r="D462"/>
  <c r="A463"/>
  <c r="B463"/>
  <c r="C463"/>
  <c r="D463"/>
  <c r="A464"/>
  <c r="B464"/>
  <c r="C464"/>
  <c r="D464"/>
  <c r="A465"/>
  <c r="B465"/>
  <c r="C465"/>
  <c r="D465"/>
  <c r="A466"/>
  <c r="B466"/>
  <c r="C466"/>
  <c r="D466"/>
  <c r="A467"/>
  <c r="B467"/>
  <c r="C467"/>
  <c r="D467"/>
  <c r="A468"/>
  <c r="B468"/>
  <c r="C468"/>
  <c r="D468"/>
  <c r="A469"/>
  <c r="B469"/>
  <c r="C469"/>
  <c r="D469"/>
  <c r="A470"/>
  <c r="B470"/>
  <c r="C470"/>
  <c r="D470"/>
  <c r="A471"/>
  <c r="B471"/>
  <c r="C471"/>
  <c r="D471"/>
  <c r="A472"/>
  <c r="B472"/>
  <c r="C472"/>
  <c r="D472"/>
  <c r="A473"/>
  <c r="B473"/>
  <c r="C473"/>
  <c r="D473"/>
  <c r="A474"/>
  <c r="B474"/>
  <c r="C474"/>
  <c r="D474"/>
  <c r="A475"/>
  <c r="B475"/>
  <c r="C475"/>
  <c r="D475"/>
  <c r="A476"/>
  <c r="B476"/>
  <c r="C476"/>
  <c r="D476"/>
  <c r="A477"/>
  <c r="B477"/>
  <c r="C477"/>
  <c r="D477"/>
  <c r="A478"/>
  <c r="B478"/>
  <c r="C478"/>
  <c r="D478"/>
  <c r="A479"/>
  <c r="B479"/>
  <c r="C479"/>
  <c r="D479"/>
  <c r="A480"/>
  <c r="B480"/>
  <c r="C480"/>
  <c r="D480"/>
  <c r="A481"/>
  <c r="B481"/>
  <c r="C481"/>
  <c r="D481"/>
  <c r="A482"/>
  <c r="B482"/>
  <c r="C482"/>
  <c r="D482"/>
  <c r="A483"/>
  <c r="B483"/>
  <c r="C483"/>
  <c r="D483"/>
  <c r="A484"/>
  <c r="B484"/>
  <c r="C484"/>
  <c r="D484"/>
  <c r="A485"/>
  <c r="B485"/>
  <c r="C485"/>
  <c r="D485"/>
  <c r="A486"/>
  <c r="B486"/>
  <c r="C486"/>
  <c r="D486"/>
  <c r="A487"/>
  <c r="B487"/>
  <c r="C487"/>
  <c r="D487"/>
  <c r="A488"/>
  <c r="B488"/>
  <c r="C488"/>
  <c r="D488"/>
  <c r="A489"/>
  <c r="B489"/>
  <c r="C489"/>
  <c r="D489"/>
  <c r="A490"/>
  <c r="B490"/>
  <c r="C490"/>
  <c r="D490"/>
  <c r="A491"/>
  <c r="B491"/>
  <c r="C491"/>
  <c r="D491"/>
  <c r="A492"/>
  <c r="B492"/>
  <c r="C492"/>
  <c r="D492"/>
  <c r="A493"/>
  <c r="B493"/>
  <c r="C493"/>
  <c r="D493"/>
  <c r="A494"/>
  <c r="B494"/>
  <c r="C494"/>
  <c r="D494"/>
  <c r="A495"/>
  <c r="B495"/>
  <c r="C495"/>
  <c r="D495"/>
  <c r="A496"/>
  <c r="B496"/>
  <c r="C496"/>
  <c r="D496"/>
  <c r="A497"/>
  <c r="B497"/>
  <c r="C497"/>
  <c r="D497"/>
  <c r="A498"/>
  <c r="B498"/>
  <c r="C498"/>
  <c r="D498"/>
  <c r="A499"/>
  <c r="B499"/>
  <c r="C499"/>
  <c r="D499"/>
  <c r="A500"/>
  <c r="B500"/>
  <c r="C500"/>
  <c r="D500"/>
  <c r="A501"/>
  <c r="B501"/>
  <c r="C501"/>
  <c r="D501"/>
  <c r="A502"/>
  <c r="B502"/>
  <c r="C502"/>
  <c r="D502"/>
  <c r="A503"/>
  <c r="B503"/>
  <c r="C503"/>
  <c r="D503"/>
  <c r="A504"/>
  <c r="B504"/>
  <c r="C504"/>
  <c r="D504"/>
  <c r="A505"/>
  <c r="B505"/>
  <c r="C505"/>
  <c r="D505"/>
  <c r="A506"/>
  <c r="B506"/>
  <c r="C506"/>
  <c r="D506"/>
  <c r="A507"/>
  <c r="B507"/>
  <c r="C507"/>
  <c r="D507"/>
  <c r="A508"/>
  <c r="B508"/>
  <c r="C508"/>
  <c r="D508"/>
  <c r="A509"/>
  <c r="B509"/>
  <c r="C509"/>
  <c r="D509"/>
  <c r="A510"/>
  <c r="B510"/>
  <c r="C510"/>
  <c r="D510"/>
  <c r="A511"/>
  <c r="B511"/>
  <c r="C511"/>
  <c r="D511"/>
  <c r="A512"/>
  <c r="B512"/>
  <c r="C512"/>
  <c r="D512"/>
  <c r="A513"/>
  <c r="B513"/>
  <c r="C513"/>
  <c r="D513"/>
  <c r="A514"/>
  <c r="B514"/>
  <c r="C514"/>
  <c r="D514"/>
  <c r="A515"/>
  <c r="B515"/>
  <c r="C515"/>
  <c r="D515"/>
  <c r="A516"/>
  <c r="B516"/>
  <c r="C516"/>
  <c r="D516"/>
  <c r="A517"/>
  <c r="B517"/>
  <c r="C517"/>
  <c r="D517"/>
  <c r="A518"/>
  <c r="B518"/>
  <c r="C518"/>
  <c r="D518"/>
  <c r="A519"/>
  <c r="B519"/>
  <c r="C519"/>
  <c r="D519"/>
  <c r="A520"/>
  <c r="B520"/>
  <c r="C520"/>
  <c r="D520"/>
  <c r="A521"/>
  <c r="B521"/>
  <c r="C521"/>
  <c r="D521"/>
  <c r="A522"/>
  <c r="B522"/>
  <c r="C522"/>
  <c r="D522"/>
  <c r="A523"/>
  <c r="B523"/>
  <c r="C523"/>
  <c r="D523"/>
  <c r="A524"/>
  <c r="B524"/>
  <c r="C524"/>
  <c r="D524"/>
  <c r="A525"/>
  <c r="B525"/>
  <c r="C525"/>
  <c r="D525"/>
  <c r="A526"/>
  <c r="B526"/>
  <c r="C526"/>
  <c r="D526"/>
  <c r="A527"/>
  <c r="B527"/>
  <c r="C527"/>
  <c r="D527"/>
  <c r="A528"/>
  <c r="B528"/>
  <c r="C528"/>
  <c r="D528"/>
  <c r="A529"/>
  <c r="B529"/>
  <c r="C529"/>
  <c r="D529"/>
  <c r="A530"/>
  <c r="B530"/>
  <c r="C530"/>
  <c r="D530"/>
  <c r="A531"/>
  <c r="B531"/>
  <c r="C531"/>
  <c r="D531"/>
  <c r="A532"/>
  <c r="B532"/>
  <c r="C532"/>
  <c r="D532"/>
  <c r="A533"/>
  <c r="B533"/>
  <c r="C533"/>
  <c r="D533"/>
  <c r="A534"/>
  <c r="B534"/>
  <c r="C534"/>
  <c r="D534"/>
  <c r="A535"/>
  <c r="B535"/>
  <c r="C535"/>
  <c r="D535"/>
  <c r="A536"/>
  <c r="B536"/>
  <c r="C536"/>
  <c r="D536"/>
  <c r="A537"/>
  <c r="B537"/>
  <c r="C537"/>
  <c r="D537"/>
  <c r="A538"/>
  <c r="B538"/>
  <c r="C538"/>
  <c r="D538"/>
  <c r="A539"/>
  <c r="B539"/>
  <c r="C539"/>
  <c r="D539"/>
  <c r="A540"/>
  <c r="B540"/>
  <c r="C540"/>
  <c r="D540"/>
  <c r="A541"/>
  <c r="B541"/>
  <c r="C541"/>
  <c r="D541"/>
  <c r="A542"/>
  <c r="B542"/>
  <c r="C542"/>
  <c r="D542"/>
  <c r="A543"/>
  <c r="B543"/>
  <c r="C543"/>
  <c r="D543"/>
  <c r="A544"/>
  <c r="B544"/>
  <c r="C544"/>
  <c r="D544"/>
  <c r="A545"/>
  <c r="B545"/>
  <c r="C545"/>
  <c r="D545"/>
  <c r="A546"/>
  <c r="B546"/>
  <c r="C546"/>
  <c r="D546"/>
  <c r="A547"/>
  <c r="B547"/>
  <c r="C547"/>
  <c r="D547"/>
  <c r="A548"/>
  <c r="B548"/>
  <c r="C548"/>
  <c r="D548"/>
  <c r="A549"/>
  <c r="B549"/>
  <c r="C549"/>
  <c r="D549"/>
  <c r="A550"/>
  <c r="B550"/>
  <c r="C550"/>
  <c r="D550"/>
  <c r="A551"/>
  <c r="B551"/>
  <c r="C551"/>
  <c r="D551"/>
  <c r="A552"/>
  <c r="B552"/>
  <c r="C552"/>
  <c r="D552"/>
  <c r="A553"/>
  <c r="B553"/>
  <c r="C553"/>
  <c r="D553"/>
  <c r="A554"/>
  <c r="B554"/>
  <c r="C554"/>
  <c r="D554"/>
  <c r="A555"/>
  <c r="B555"/>
  <c r="C555"/>
  <c r="D555"/>
  <c r="A556"/>
  <c r="B556"/>
  <c r="C556"/>
  <c r="D556"/>
  <c r="A557"/>
  <c r="B557"/>
  <c r="C557"/>
  <c r="D557"/>
  <c r="A558"/>
  <c r="B558"/>
  <c r="C558"/>
  <c r="D558"/>
  <c r="A559"/>
  <c r="B559"/>
  <c r="C559"/>
  <c r="D559"/>
  <c r="A560"/>
  <c r="B560"/>
  <c r="C560"/>
  <c r="D560"/>
  <c r="A561"/>
  <c r="B561"/>
  <c r="C561"/>
  <c r="D561"/>
  <c r="A562"/>
  <c r="B562"/>
  <c r="C562"/>
  <c r="D562"/>
  <c r="A563"/>
  <c r="B563"/>
  <c r="C563"/>
  <c r="D563"/>
  <c r="A564"/>
  <c r="B564"/>
  <c r="C564"/>
  <c r="D564"/>
  <c r="A565"/>
  <c r="B565"/>
  <c r="C565"/>
  <c r="D565"/>
  <c r="A566"/>
  <c r="B566"/>
  <c r="C566"/>
  <c r="D566"/>
  <c r="A567"/>
  <c r="B567"/>
  <c r="C567"/>
  <c r="D567"/>
  <c r="A568"/>
  <c r="B568"/>
  <c r="C568"/>
  <c r="D568"/>
  <c r="A569"/>
  <c r="B569"/>
  <c r="C569"/>
  <c r="D569"/>
  <c r="A570"/>
  <c r="B570"/>
  <c r="C570"/>
  <c r="D570"/>
  <c r="A571"/>
  <c r="B571"/>
  <c r="C571"/>
  <c r="D571"/>
  <c r="A572"/>
  <c r="B572"/>
  <c r="C572"/>
  <c r="D572"/>
  <c r="A573"/>
  <c r="B573"/>
  <c r="C573"/>
  <c r="D573"/>
  <c r="A574"/>
  <c r="B574"/>
  <c r="C574"/>
  <c r="D574"/>
  <c r="A575"/>
  <c r="B575"/>
  <c r="C575"/>
  <c r="D575"/>
  <c r="A576"/>
  <c r="B576"/>
  <c r="C576"/>
  <c r="D576"/>
  <c r="A577"/>
  <c r="B577"/>
  <c r="C577"/>
  <c r="D577"/>
  <c r="A578"/>
  <c r="B578"/>
  <c r="C578"/>
  <c r="D578"/>
  <c r="A579"/>
  <c r="B579"/>
  <c r="C579"/>
  <c r="D579"/>
  <c r="A580"/>
  <c r="B580"/>
  <c r="C580"/>
  <c r="D580"/>
  <c r="A581"/>
  <c r="B581"/>
  <c r="C581"/>
  <c r="D581"/>
  <c r="A582"/>
  <c r="B582"/>
  <c r="C582"/>
  <c r="D582"/>
  <c r="A583"/>
  <c r="B583"/>
  <c r="C583"/>
  <c r="D583"/>
  <c r="A584"/>
  <c r="B584"/>
  <c r="C584"/>
  <c r="D584"/>
  <c r="A585"/>
  <c r="B585"/>
  <c r="C585"/>
  <c r="D585"/>
  <c r="A586"/>
  <c r="B586"/>
  <c r="C586"/>
  <c r="D586"/>
  <c r="A587"/>
  <c r="B587"/>
  <c r="C587"/>
  <c r="D587"/>
  <c r="A588"/>
  <c r="B588"/>
  <c r="C588"/>
  <c r="D588"/>
  <c r="A589"/>
  <c r="B589"/>
  <c r="C589"/>
  <c r="D589"/>
  <c r="A590"/>
  <c r="B590"/>
  <c r="C590"/>
  <c r="D590"/>
  <c r="A591"/>
  <c r="B591"/>
  <c r="C591"/>
  <c r="D591"/>
  <c r="A592"/>
  <c r="B592"/>
  <c r="C592"/>
  <c r="D592"/>
  <c r="A593"/>
  <c r="B593"/>
  <c r="C593"/>
  <c r="D593"/>
  <c r="A594"/>
  <c r="B594"/>
  <c r="C594"/>
  <c r="D594"/>
  <c r="A595"/>
  <c r="B595"/>
  <c r="C595"/>
  <c r="D595"/>
  <c r="A596"/>
  <c r="B596"/>
  <c r="C596"/>
  <c r="D596"/>
  <c r="A597"/>
  <c r="B597"/>
  <c r="C597"/>
  <c r="D597"/>
  <c r="A598"/>
  <c r="B598"/>
  <c r="C598"/>
  <c r="D598"/>
  <c r="A599"/>
  <c r="B599"/>
  <c r="C599"/>
  <c r="D599"/>
  <c r="A600"/>
  <c r="B600"/>
  <c r="C600"/>
  <c r="D600"/>
  <c r="A601"/>
  <c r="B601"/>
  <c r="C601"/>
  <c r="D601"/>
  <c r="A602"/>
  <c r="B602"/>
  <c r="C602"/>
  <c r="D602"/>
  <c r="A603"/>
  <c r="B603"/>
  <c r="C603"/>
  <c r="D603"/>
  <c r="A604"/>
  <c r="B604"/>
  <c r="C604"/>
  <c r="D604"/>
  <c r="A605"/>
  <c r="B605"/>
  <c r="C605"/>
  <c r="D605"/>
  <c r="A606"/>
  <c r="B606"/>
  <c r="C606"/>
  <c r="D606"/>
  <c r="A607"/>
  <c r="B607"/>
  <c r="C607"/>
  <c r="D607"/>
  <c r="A608"/>
  <c r="B608"/>
  <c r="C608"/>
  <c r="D608"/>
  <c r="A609"/>
  <c r="B609"/>
  <c r="C609"/>
  <c r="D609"/>
  <c r="A610"/>
  <c r="B610"/>
  <c r="C610"/>
  <c r="D610"/>
  <c r="A611"/>
  <c r="B611"/>
  <c r="C611"/>
  <c r="D611"/>
  <c r="A612"/>
  <c r="B612"/>
  <c r="C612"/>
  <c r="D612"/>
  <c r="A613"/>
  <c r="B613"/>
  <c r="C613"/>
  <c r="D613"/>
  <c r="A614"/>
  <c r="B614"/>
  <c r="C614"/>
  <c r="D614"/>
  <c r="A615"/>
  <c r="B615"/>
  <c r="C615"/>
  <c r="D615"/>
  <c r="A616"/>
  <c r="B616"/>
  <c r="C616"/>
  <c r="D616"/>
  <c r="A617"/>
  <c r="B617"/>
  <c r="C617"/>
  <c r="D617"/>
  <c r="A618"/>
  <c r="B618"/>
  <c r="C618"/>
  <c r="D618"/>
  <c r="A619"/>
  <c r="B619"/>
  <c r="C619"/>
  <c r="D619"/>
  <c r="A620"/>
  <c r="B620"/>
  <c r="C620"/>
  <c r="D620"/>
  <c r="A621"/>
  <c r="B621"/>
  <c r="C621"/>
  <c r="D621"/>
  <c r="A622"/>
  <c r="B622"/>
  <c r="C622"/>
  <c r="D622"/>
  <c r="A623"/>
  <c r="B623"/>
  <c r="C623"/>
  <c r="D623"/>
  <c r="A624"/>
  <c r="B624"/>
  <c r="C624"/>
  <c r="D624"/>
  <c r="A625"/>
  <c r="B625"/>
  <c r="C625"/>
  <c r="D625"/>
  <c r="A626"/>
  <c r="B626"/>
  <c r="C626"/>
  <c r="D626"/>
  <c r="A627"/>
  <c r="B627"/>
  <c r="C627"/>
  <c r="D627"/>
  <c r="A628"/>
  <c r="B628"/>
  <c r="C628"/>
  <c r="D628"/>
  <c r="A629"/>
  <c r="B629"/>
  <c r="C629"/>
  <c r="D629"/>
  <c r="A630"/>
  <c r="B630"/>
  <c r="C630"/>
  <c r="D630"/>
  <c r="A631"/>
  <c r="B631"/>
  <c r="C631"/>
  <c r="D631"/>
  <c r="A632"/>
  <c r="B632"/>
  <c r="C632"/>
  <c r="D632"/>
  <c r="A633"/>
  <c r="B633"/>
  <c r="C633"/>
  <c r="D633"/>
  <c r="A634"/>
  <c r="B634"/>
  <c r="C634"/>
  <c r="D634"/>
  <c r="A635"/>
  <c r="B635"/>
  <c r="C635"/>
  <c r="D635"/>
  <c r="A636"/>
  <c r="B636"/>
  <c r="C636"/>
  <c r="D636"/>
  <c r="A637"/>
  <c r="B637"/>
  <c r="C637"/>
  <c r="D637"/>
  <c r="A638"/>
  <c r="B638"/>
  <c r="C638"/>
  <c r="D638"/>
  <c r="A639"/>
  <c r="B639"/>
  <c r="C639"/>
  <c r="D639"/>
  <c r="A640"/>
  <c r="B640"/>
  <c r="C640"/>
  <c r="D640"/>
  <c r="A641"/>
  <c r="B641"/>
  <c r="C641"/>
  <c r="D641"/>
  <c r="A642"/>
  <c r="B642"/>
  <c r="C642"/>
  <c r="D642"/>
  <c r="A643"/>
  <c r="B643"/>
  <c r="C643"/>
  <c r="D643"/>
  <c r="A644"/>
  <c r="B644"/>
  <c r="C644"/>
  <c r="D644"/>
  <c r="A645"/>
  <c r="B645"/>
  <c r="C645"/>
  <c r="D645"/>
  <c r="A646"/>
  <c r="B646"/>
  <c r="C646"/>
  <c r="D646"/>
  <c r="A647"/>
  <c r="B647"/>
  <c r="C647"/>
  <c r="D647"/>
  <c r="A648"/>
  <c r="B648"/>
  <c r="C648"/>
  <c r="D648"/>
  <c r="A649"/>
  <c r="B649"/>
  <c r="C649"/>
  <c r="D649"/>
  <c r="A650"/>
  <c r="B650"/>
  <c r="C650"/>
  <c r="D650"/>
  <c r="A651"/>
  <c r="B651"/>
  <c r="C651"/>
  <c r="D651"/>
  <c r="A652"/>
  <c r="B652"/>
  <c r="C652"/>
  <c r="D652"/>
  <c r="A653"/>
  <c r="B653"/>
  <c r="C653"/>
  <c r="D653"/>
  <c r="A654"/>
  <c r="B654"/>
  <c r="C654"/>
  <c r="D654"/>
  <c r="A655"/>
  <c r="B655"/>
  <c r="C655"/>
  <c r="D655"/>
  <c r="A656"/>
  <c r="B656"/>
  <c r="C656"/>
  <c r="D656"/>
  <c r="A657"/>
  <c r="B657"/>
  <c r="C657"/>
  <c r="D657"/>
  <c r="A658"/>
  <c r="B658"/>
  <c r="C658"/>
  <c r="D658"/>
  <c r="A659"/>
  <c r="B659"/>
  <c r="C659"/>
  <c r="D659"/>
  <c r="A660"/>
  <c r="B660"/>
  <c r="C660"/>
  <c r="D660"/>
  <c r="A661"/>
  <c r="B661"/>
  <c r="C661"/>
  <c r="D661"/>
  <c r="A662"/>
  <c r="B662"/>
  <c r="C662"/>
  <c r="D662"/>
  <c r="A663"/>
  <c r="B663"/>
  <c r="C663"/>
  <c r="D663"/>
  <c r="A664"/>
  <c r="B664"/>
  <c r="C664"/>
  <c r="D664"/>
  <c r="A665"/>
  <c r="B665"/>
  <c r="C665"/>
  <c r="D665"/>
  <c r="A666"/>
  <c r="B666"/>
  <c r="C666"/>
  <c r="D666"/>
  <c r="A667"/>
  <c r="B667"/>
  <c r="C667"/>
  <c r="D667"/>
  <c r="A668"/>
  <c r="B668"/>
  <c r="C668"/>
  <c r="D668"/>
  <c r="A669"/>
  <c r="B669"/>
  <c r="C669"/>
  <c r="D669"/>
  <c r="A670"/>
  <c r="B670"/>
  <c r="C670"/>
  <c r="D670"/>
  <c r="A671"/>
  <c r="B671"/>
  <c r="C671"/>
  <c r="D671"/>
  <c r="A672"/>
  <c r="B672"/>
  <c r="C672"/>
  <c r="D672"/>
  <c r="A673"/>
  <c r="B673"/>
  <c r="C673"/>
  <c r="D673"/>
  <c r="A674"/>
  <c r="B674"/>
  <c r="C674"/>
  <c r="D674"/>
  <c r="A675"/>
  <c r="B675"/>
  <c r="C675"/>
  <c r="D675"/>
  <c r="A676"/>
  <c r="B676"/>
  <c r="C676"/>
  <c r="D676"/>
  <c r="A677"/>
  <c r="B677"/>
  <c r="C677"/>
  <c r="D677"/>
  <c r="A678"/>
  <c r="B678"/>
  <c r="C678"/>
  <c r="D678"/>
  <c r="A679"/>
  <c r="B679"/>
  <c r="C679"/>
  <c r="D679"/>
  <c r="A680"/>
  <c r="B680"/>
  <c r="C680"/>
  <c r="D680"/>
  <c r="A681"/>
  <c r="B681"/>
  <c r="C681"/>
  <c r="D681"/>
  <c r="A682"/>
  <c r="B682"/>
  <c r="C682"/>
  <c r="D682"/>
  <c r="A683"/>
  <c r="B683"/>
  <c r="C683"/>
  <c r="D683"/>
  <c r="A684"/>
  <c r="B684"/>
  <c r="C684"/>
  <c r="D684"/>
  <c r="A685"/>
  <c r="B685"/>
  <c r="C685"/>
  <c r="D685"/>
  <c r="A686"/>
  <c r="B686"/>
  <c r="C686"/>
  <c r="D686"/>
  <c r="A687"/>
  <c r="B687"/>
  <c r="C687"/>
  <c r="D687"/>
  <c r="A688"/>
  <c r="B688"/>
  <c r="C688"/>
  <c r="D688"/>
  <c r="A689"/>
  <c r="B689"/>
  <c r="C689"/>
  <c r="D689"/>
  <c r="A690"/>
  <c r="B690"/>
  <c r="C690"/>
  <c r="D690"/>
  <c r="A691"/>
  <c r="B691"/>
  <c r="C691"/>
  <c r="D691"/>
  <c r="A692"/>
  <c r="B692"/>
  <c r="C692"/>
  <c r="D692"/>
  <c r="A693"/>
  <c r="B693"/>
  <c r="C693"/>
  <c r="D693"/>
  <c r="A694"/>
  <c r="B694"/>
  <c r="C694"/>
  <c r="D694"/>
  <c r="A695"/>
  <c r="B695"/>
  <c r="C695"/>
  <c r="D695"/>
  <c r="A696"/>
  <c r="B696"/>
  <c r="C696"/>
  <c r="D696"/>
  <c r="A697"/>
  <c r="B697"/>
  <c r="C697"/>
  <c r="D697"/>
  <c r="A698"/>
  <c r="B698"/>
  <c r="C698"/>
  <c r="D698"/>
  <c r="A699"/>
  <c r="B699"/>
  <c r="C699"/>
  <c r="D699"/>
  <c r="A700"/>
  <c r="B700"/>
  <c r="C700"/>
  <c r="D700"/>
  <c r="A701"/>
  <c r="B701"/>
  <c r="C701"/>
  <c r="D701"/>
  <c r="A702"/>
  <c r="B702"/>
  <c r="C702"/>
  <c r="D702"/>
  <c r="A703"/>
  <c r="B703"/>
  <c r="C703"/>
  <c r="D703"/>
  <c r="A704"/>
  <c r="B704"/>
  <c r="C704"/>
  <c r="D704"/>
  <c r="A705"/>
  <c r="B705"/>
  <c r="C705"/>
  <c r="D705"/>
  <c r="A706"/>
  <c r="B706"/>
  <c r="C706"/>
  <c r="D706"/>
  <c r="A707"/>
  <c r="B707"/>
  <c r="C707"/>
  <c r="D707"/>
  <c r="A708"/>
  <c r="B708"/>
  <c r="C708"/>
  <c r="D708"/>
  <c r="A709"/>
  <c r="B709"/>
  <c r="C709"/>
  <c r="D709"/>
  <c r="A710"/>
  <c r="B710"/>
  <c r="C710"/>
  <c r="D710"/>
  <c r="A711"/>
  <c r="B711"/>
  <c r="C711"/>
  <c r="D711"/>
  <c r="A712"/>
  <c r="B712"/>
  <c r="C712"/>
  <c r="D712"/>
  <c r="A713"/>
  <c r="B713"/>
  <c r="C713"/>
  <c r="D713"/>
  <c r="A714"/>
  <c r="B714"/>
  <c r="C714"/>
  <c r="D714"/>
  <c r="A715"/>
  <c r="B715"/>
  <c r="C715"/>
  <c r="D715"/>
  <c r="A716"/>
  <c r="B716"/>
  <c r="C716"/>
  <c r="D716"/>
  <c r="A717"/>
  <c r="B717"/>
  <c r="C717"/>
  <c r="D717"/>
  <c r="A718"/>
  <c r="B718"/>
  <c r="C718"/>
  <c r="D718"/>
  <c r="A719"/>
  <c r="B719"/>
  <c r="C719"/>
  <c r="D719"/>
  <c r="A720"/>
  <c r="B720"/>
  <c r="C720"/>
  <c r="D720"/>
  <c r="A721"/>
  <c r="B721"/>
  <c r="C721"/>
  <c r="D721"/>
  <c r="A722"/>
  <c r="B722"/>
  <c r="C722"/>
  <c r="D722"/>
  <c r="A723"/>
  <c r="B723"/>
  <c r="C723"/>
  <c r="D723"/>
  <c r="A724"/>
  <c r="B724"/>
  <c r="C724"/>
  <c r="D724"/>
  <c r="A725"/>
  <c r="B725"/>
  <c r="C725"/>
  <c r="D725"/>
  <c r="A726"/>
  <c r="B726"/>
  <c r="C726"/>
  <c r="D726"/>
  <c r="A727"/>
  <c r="B727"/>
  <c r="C727"/>
  <c r="D727"/>
  <c r="A728"/>
  <c r="B728"/>
  <c r="C728"/>
  <c r="D728"/>
  <c r="A729"/>
  <c r="B729"/>
  <c r="C729"/>
  <c r="D729"/>
  <c r="A730"/>
  <c r="B730"/>
  <c r="C730"/>
  <c r="D730"/>
  <c r="A731"/>
  <c r="B731"/>
  <c r="C731"/>
  <c r="D731"/>
  <c r="A732"/>
  <c r="B732"/>
  <c r="C732"/>
  <c r="D732"/>
  <c r="A733"/>
  <c r="B733"/>
  <c r="C733"/>
  <c r="D733"/>
  <c r="A734"/>
  <c r="B734"/>
  <c r="C734"/>
  <c r="D734"/>
  <c r="A735"/>
  <c r="B735"/>
  <c r="C735"/>
  <c r="D735"/>
  <c r="A736"/>
  <c r="B736"/>
  <c r="C736"/>
  <c r="D736"/>
  <c r="A737"/>
  <c r="B737"/>
  <c r="C737"/>
  <c r="D737"/>
  <c r="A738"/>
  <c r="B738"/>
  <c r="C738"/>
  <c r="D738"/>
  <c r="A739"/>
  <c r="B739"/>
  <c r="C739"/>
  <c r="D739"/>
  <c r="A740"/>
  <c r="B740"/>
  <c r="C740"/>
  <c r="D740"/>
  <c r="A741"/>
  <c r="B741"/>
  <c r="C741"/>
  <c r="D741"/>
  <c r="A742"/>
  <c r="B742"/>
  <c r="C742"/>
  <c r="D742"/>
  <c r="A743"/>
  <c r="B743"/>
  <c r="C743"/>
  <c r="D743"/>
  <c r="A744"/>
  <c r="B744"/>
  <c r="C744"/>
  <c r="D744"/>
  <c r="A745"/>
  <c r="B745"/>
  <c r="C745"/>
  <c r="D745"/>
  <c r="A746"/>
  <c r="B746"/>
  <c r="C746"/>
  <c r="D746"/>
  <c r="A747"/>
  <c r="B747"/>
  <c r="C747"/>
  <c r="D747"/>
  <c r="A748"/>
  <c r="B748"/>
  <c r="C748"/>
  <c r="D748"/>
  <c r="A749"/>
  <c r="B749"/>
  <c r="C749"/>
  <c r="D749"/>
  <c r="A750"/>
  <c r="B750"/>
  <c r="C750"/>
  <c r="D750"/>
  <c r="A751"/>
  <c r="B751"/>
  <c r="C751"/>
  <c r="D751"/>
  <c r="A752"/>
  <c r="B752"/>
  <c r="C752"/>
  <c r="D752"/>
  <c r="A753"/>
  <c r="B753"/>
  <c r="C753"/>
  <c r="D753"/>
  <c r="A754"/>
  <c r="B754"/>
  <c r="C754"/>
  <c r="D754"/>
  <c r="A755"/>
  <c r="B755"/>
  <c r="C755"/>
  <c r="D755"/>
  <c r="A756"/>
  <c r="B756"/>
  <c r="C756"/>
  <c r="D756"/>
  <c r="A757"/>
  <c r="B757"/>
  <c r="C757"/>
  <c r="D757"/>
  <c r="A758"/>
  <c r="B758"/>
  <c r="C758"/>
  <c r="D758"/>
  <c r="A759"/>
  <c r="B759"/>
  <c r="C759"/>
  <c r="D759"/>
  <c r="A760"/>
  <c r="B760"/>
  <c r="C760"/>
  <c r="D760"/>
  <c r="A761"/>
  <c r="B761"/>
  <c r="C761"/>
  <c r="D761"/>
  <c r="A762"/>
  <c r="B762"/>
  <c r="C762"/>
  <c r="D762"/>
  <c r="A763"/>
  <c r="B763"/>
  <c r="C763"/>
  <c r="D763"/>
  <c r="A764"/>
  <c r="B764"/>
  <c r="C764"/>
  <c r="D764"/>
  <c r="A765"/>
  <c r="B765"/>
  <c r="C765"/>
  <c r="D765"/>
  <c r="A766"/>
  <c r="B766"/>
  <c r="C766"/>
  <c r="D766"/>
  <c r="A767"/>
  <c r="B767"/>
  <c r="C767"/>
  <c r="D767"/>
  <c r="A768"/>
  <c r="B768"/>
  <c r="C768"/>
  <c r="D768"/>
  <c r="A769"/>
  <c r="B769"/>
  <c r="C769"/>
  <c r="D769"/>
  <c r="A770"/>
  <c r="B770"/>
  <c r="C770"/>
  <c r="D770"/>
  <c r="A771"/>
  <c r="B771"/>
  <c r="C771"/>
  <c r="D771"/>
  <c r="A772"/>
  <c r="B772"/>
  <c r="C772"/>
  <c r="D772"/>
  <c r="A773"/>
  <c r="B773"/>
  <c r="C773"/>
  <c r="D773"/>
  <c r="A774"/>
  <c r="B774"/>
  <c r="C774"/>
  <c r="D774"/>
  <c r="A775"/>
  <c r="B775"/>
  <c r="C775"/>
  <c r="D775"/>
  <c r="A776"/>
  <c r="B776"/>
  <c r="C776"/>
  <c r="D776"/>
  <c r="A777"/>
  <c r="B777"/>
  <c r="C777"/>
  <c r="D777"/>
  <c r="A778"/>
  <c r="B778"/>
  <c r="C778"/>
  <c r="D778"/>
  <c r="A779"/>
  <c r="B779"/>
  <c r="C779"/>
  <c r="D779"/>
  <c r="A780"/>
  <c r="B780"/>
  <c r="C780"/>
  <c r="D780"/>
  <c r="A781"/>
  <c r="B781"/>
  <c r="C781"/>
  <c r="D781"/>
  <c r="A782"/>
  <c r="B782"/>
  <c r="C782"/>
  <c r="D782"/>
  <c r="A783"/>
  <c r="B783"/>
  <c r="C783"/>
  <c r="D783"/>
  <c r="A784"/>
  <c r="B784"/>
  <c r="C784"/>
  <c r="D784"/>
  <c r="A785"/>
  <c r="B785"/>
  <c r="C785"/>
  <c r="D785"/>
  <c r="A786"/>
  <c r="B786"/>
  <c r="C786"/>
  <c r="D786"/>
  <c r="A787"/>
  <c r="B787"/>
  <c r="C787"/>
  <c r="D787"/>
  <c r="A788"/>
  <c r="B788"/>
  <c r="C788"/>
  <c r="D788"/>
  <c r="A789"/>
  <c r="B789"/>
  <c r="C789"/>
  <c r="D789"/>
  <c r="A790"/>
  <c r="B790"/>
  <c r="C790"/>
  <c r="D790"/>
  <c r="A791"/>
  <c r="B791"/>
  <c r="C791"/>
  <c r="D791"/>
  <c r="A792"/>
  <c r="B792"/>
  <c r="C792"/>
  <c r="D792"/>
  <c r="A793"/>
  <c r="B793"/>
  <c r="C793"/>
  <c r="D793"/>
  <c r="A794"/>
  <c r="B794"/>
  <c r="C794"/>
  <c r="D794"/>
  <c r="A795"/>
  <c r="B795"/>
  <c r="C795"/>
  <c r="D795"/>
  <c r="A796"/>
  <c r="B796"/>
  <c r="C796"/>
  <c r="D796"/>
  <c r="A797"/>
  <c r="B797"/>
  <c r="C797"/>
  <c r="D797"/>
  <c r="A798"/>
  <c r="B798"/>
  <c r="C798"/>
  <c r="D798"/>
  <c r="A799"/>
  <c r="B799"/>
  <c r="C799"/>
  <c r="D799"/>
  <c r="A800"/>
  <c r="B800"/>
  <c r="C800"/>
  <c r="D800"/>
  <c r="A801"/>
  <c r="B801"/>
  <c r="C801"/>
  <c r="D801"/>
  <c r="A802"/>
  <c r="B802"/>
  <c r="C802"/>
  <c r="D802"/>
  <c r="A803"/>
  <c r="B803"/>
  <c r="C803"/>
  <c r="D803"/>
  <c r="A804"/>
  <c r="B804"/>
  <c r="C804"/>
  <c r="D804"/>
  <c r="A805"/>
  <c r="B805"/>
  <c r="C805"/>
  <c r="D805"/>
  <c r="A806"/>
  <c r="B806"/>
  <c r="C806"/>
  <c r="D806"/>
  <c r="A807"/>
  <c r="B807"/>
  <c r="C807"/>
  <c r="D807"/>
  <c r="A808"/>
  <c r="B808"/>
  <c r="C808"/>
  <c r="D808"/>
  <c r="A809"/>
  <c r="B809"/>
  <c r="C809"/>
  <c r="D809"/>
  <c r="A810"/>
  <c r="B810"/>
  <c r="C810"/>
  <c r="D810"/>
  <c r="A811"/>
  <c r="B811"/>
  <c r="C811"/>
  <c r="D811"/>
  <c r="A812"/>
  <c r="B812"/>
  <c r="C812"/>
  <c r="D812"/>
  <c r="A813"/>
  <c r="B813"/>
  <c r="C813"/>
  <c r="D813"/>
  <c r="A814"/>
  <c r="B814"/>
  <c r="C814"/>
  <c r="D814"/>
  <c r="A815"/>
  <c r="B815"/>
  <c r="C815"/>
  <c r="D815"/>
  <c r="A816"/>
  <c r="B816"/>
  <c r="C816"/>
  <c r="D816"/>
  <c r="A817"/>
  <c r="B817"/>
  <c r="C817"/>
  <c r="D817"/>
  <c r="A818"/>
  <c r="B818"/>
  <c r="C818"/>
  <c r="D818"/>
  <c r="A819"/>
  <c r="B819"/>
  <c r="C819"/>
  <c r="D819"/>
  <c r="A820"/>
  <c r="B820"/>
  <c r="C820"/>
  <c r="D820"/>
  <c r="A821"/>
  <c r="B821"/>
  <c r="C821"/>
  <c r="D821"/>
  <c r="A822"/>
  <c r="B822"/>
  <c r="C822"/>
  <c r="D822"/>
  <c r="A823"/>
  <c r="B823"/>
  <c r="C823"/>
  <c r="D823"/>
  <c r="A824"/>
  <c r="B824"/>
  <c r="C824"/>
  <c r="D824"/>
  <c r="A825"/>
  <c r="B825"/>
  <c r="C825"/>
  <c r="D825"/>
  <c r="A826"/>
  <c r="B826"/>
  <c r="C826"/>
  <c r="D826"/>
  <c r="A827"/>
  <c r="B827"/>
  <c r="C827"/>
  <c r="D827"/>
  <c r="A828"/>
  <c r="B828"/>
  <c r="C828"/>
  <c r="D828"/>
  <c r="A829"/>
  <c r="B829"/>
  <c r="C829"/>
  <c r="D829"/>
  <c r="A830"/>
  <c r="B830"/>
  <c r="C830"/>
  <c r="D830"/>
  <c r="A831"/>
  <c r="B831"/>
  <c r="C831"/>
  <c r="D831"/>
  <c r="A832"/>
  <c r="B832"/>
  <c r="C832"/>
  <c r="D832"/>
  <c r="A833"/>
  <c r="B833"/>
  <c r="C833"/>
  <c r="D833"/>
  <c r="A834"/>
  <c r="B834"/>
  <c r="C834"/>
  <c r="D834"/>
  <c r="A835"/>
  <c r="B835"/>
  <c r="C835"/>
  <c r="D835"/>
  <c r="A836"/>
  <c r="B836"/>
  <c r="C836"/>
  <c r="D836"/>
  <c r="A837"/>
  <c r="B837"/>
  <c r="C837"/>
  <c r="D837"/>
  <c r="A838"/>
  <c r="B838"/>
  <c r="C838"/>
  <c r="D838"/>
  <c r="A839"/>
  <c r="B839"/>
  <c r="C839"/>
  <c r="D839"/>
  <c r="A840"/>
  <c r="B840"/>
  <c r="C840"/>
  <c r="D840"/>
  <c r="A841"/>
  <c r="B841"/>
  <c r="C841"/>
  <c r="D841"/>
  <c r="A842"/>
  <c r="B842"/>
  <c r="C842"/>
  <c r="D842"/>
  <c r="A843"/>
  <c r="B843"/>
  <c r="C843"/>
  <c r="D843"/>
  <c r="A844"/>
  <c r="B844"/>
  <c r="C844"/>
  <c r="D844"/>
  <c r="A845"/>
  <c r="B845"/>
  <c r="C845"/>
  <c r="D845"/>
  <c r="A846"/>
  <c r="B846"/>
  <c r="C846"/>
  <c r="D846"/>
  <c r="A847"/>
  <c r="B847"/>
  <c r="C847"/>
  <c r="D847"/>
  <c r="A848"/>
  <c r="B848"/>
  <c r="C848"/>
  <c r="D848"/>
  <c r="A849"/>
  <c r="B849"/>
  <c r="C849"/>
  <c r="D849"/>
  <c r="A850"/>
  <c r="B850"/>
  <c r="C850"/>
  <c r="D850"/>
  <c r="A851"/>
  <c r="B851"/>
  <c r="C851"/>
  <c r="D851"/>
  <c r="A852"/>
  <c r="B852"/>
  <c r="C852"/>
  <c r="D852"/>
  <c r="A853"/>
  <c r="B853"/>
  <c r="C853"/>
  <c r="D853"/>
  <c r="A854"/>
  <c r="B854"/>
  <c r="C854"/>
  <c r="D854"/>
  <c r="A855"/>
  <c r="B855"/>
  <c r="C855"/>
  <c r="D855"/>
  <c r="A856"/>
  <c r="B856"/>
  <c r="C856"/>
  <c r="D856"/>
  <c r="A857"/>
  <c r="B857"/>
  <c r="C857"/>
  <c r="D857"/>
  <c r="A858"/>
  <c r="B858"/>
  <c r="C858"/>
  <c r="D858"/>
  <c r="A859"/>
  <c r="B859"/>
  <c r="C859"/>
  <c r="D859"/>
  <c r="A860"/>
  <c r="B860"/>
  <c r="C860"/>
  <c r="D860"/>
  <c r="A861"/>
  <c r="B861"/>
  <c r="C861"/>
  <c r="D861"/>
  <c r="A862"/>
  <c r="B862"/>
  <c r="C862"/>
  <c r="D862"/>
  <c r="A863"/>
  <c r="B863"/>
  <c r="C863"/>
  <c r="D863"/>
  <c r="A864"/>
  <c r="B864"/>
  <c r="C864"/>
  <c r="D864"/>
  <c r="A865"/>
  <c r="B865"/>
  <c r="C865"/>
  <c r="D865"/>
  <c r="A866"/>
  <c r="B866"/>
  <c r="C866"/>
  <c r="D866"/>
  <c r="A867"/>
  <c r="B867"/>
  <c r="C867"/>
  <c r="D867"/>
  <c r="A868"/>
  <c r="B868"/>
  <c r="C868"/>
  <c r="D868"/>
  <c r="A869"/>
  <c r="B869"/>
  <c r="C869"/>
  <c r="D869"/>
  <c r="A870"/>
  <c r="B870"/>
  <c r="C870"/>
  <c r="D870"/>
  <c r="A871"/>
  <c r="B871"/>
  <c r="C871"/>
  <c r="D871"/>
  <c r="A872"/>
  <c r="B872"/>
  <c r="C872"/>
  <c r="D872"/>
  <c r="A873"/>
  <c r="B873"/>
  <c r="C873"/>
  <c r="D873"/>
  <c r="A874"/>
  <c r="B874"/>
  <c r="C874"/>
  <c r="D874"/>
  <c r="A875"/>
  <c r="B875"/>
  <c r="C875"/>
  <c r="D875"/>
  <c r="A876"/>
  <c r="B876"/>
  <c r="C876"/>
  <c r="D876"/>
  <c r="A877"/>
  <c r="B877"/>
  <c r="C877"/>
  <c r="D877"/>
  <c r="A878"/>
  <c r="B878"/>
  <c r="C878"/>
  <c r="D878"/>
  <c r="A879"/>
  <c r="B879"/>
  <c r="C879"/>
  <c r="D879"/>
  <c r="A880"/>
  <c r="B880"/>
  <c r="C880"/>
  <c r="D880"/>
  <c r="A881"/>
  <c r="B881"/>
  <c r="C881"/>
  <c r="D881"/>
  <c r="A882"/>
  <c r="B882"/>
  <c r="C882"/>
  <c r="D882"/>
  <c r="A883"/>
  <c r="B883"/>
  <c r="C883"/>
  <c r="D883"/>
  <c r="A884"/>
  <c r="B884"/>
  <c r="C884"/>
  <c r="D884"/>
  <c r="A885"/>
  <c r="B885"/>
  <c r="C885"/>
  <c r="D885"/>
  <c r="A886"/>
  <c r="B886"/>
  <c r="C886"/>
  <c r="D886"/>
  <c r="A887"/>
  <c r="B887"/>
  <c r="C887"/>
  <c r="D887"/>
  <c r="A888"/>
  <c r="B888"/>
  <c r="C888"/>
  <c r="D888"/>
  <c r="A889"/>
  <c r="B889"/>
  <c r="C889"/>
  <c r="D889"/>
  <c r="A890"/>
  <c r="B890"/>
  <c r="C890"/>
  <c r="D890"/>
  <c r="A891"/>
  <c r="B891"/>
  <c r="C891"/>
  <c r="D891"/>
  <c r="A892"/>
  <c r="B892"/>
  <c r="C892"/>
  <c r="D892"/>
  <c r="A893"/>
  <c r="B893"/>
  <c r="C893"/>
  <c r="D893"/>
  <c r="A894"/>
  <c r="B894"/>
  <c r="C894"/>
  <c r="D894"/>
  <c r="A895"/>
  <c r="B895"/>
  <c r="C895"/>
  <c r="D895"/>
  <c r="A896"/>
  <c r="B896"/>
  <c r="C896"/>
  <c r="D896"/>
  <c r="A897"/>
  <c r="B897"/>
  <c r="C897"/>
  <c r="D897"/>
  <c r="A898"/>
  <c r="B898"/>
  <c r="C898"/>
  <c r="D898"/>
  <c r="A899"/>
  <c r="B899"/>
  <c r="C899"/>
  <c r="D899"/>
  <c r="A900"/>
  <c r="B900"/>
  <c r="C900"/>
  <c r="D900"/>
  <c r="A901"/>
  <c r="B901"/>
  <c r="C901"/>
  <c r="D901"/>
  <c r="A902"/>
  <c r="B902"/>
  <c r="C902"/>
  <c r="D902"/>
  <c r="A903"/>
  <c r="B903"/>
  <c r="C903"/>
  <c r="D903"/>
  <c r="A904"/>
  <c r="B904"/>
  <c r="C904"/>
  <c r="D904"/>
  <c r="A905"/>
  <c r="B905"/>
  <c r="C905"/>
  <c r="D905"/>
  <c r="A906"/>
  <c r="B906"/>
  <c r="C906"/>
  <c r="D906"/>
  <c r="A907"/>
  <c r="B907"/>
  <c r="C907"/>
  <c r="D907"/>
  <c r="A908"/>
  <c r="B908"/>
  <c r="C908"/>
  <c r="D908"/>
  <c r="A909"/>
  <c r="B909"/>
  <c r="C909"/>
  <c r="D909"/>
  <c r="A910"/>
  <c r="B910"/>
  <c r="C910"/>
  <c r="D910"/>
  <c r="A911"/>
  <c r="B911"/>
  <c r="C911"/>
  <c r="D911"/>
  <c r="A912"/>
  <c r="B912"/>
  <c r="C912"/>
  <c r="D912"/>
  <c r="A913"/>
  <c r="B913"/>
  <c r="C913"/>
  <c r="D913"/>
  <c r="A914"/>
  <c r="B914"/>
  <c r="C914"/>
  <c r="D914"/>
  <c r="A915"/>
  <c r="B915"/>
  <c r="C915"/>
  <c r="D915"/>
  <c r="A916"/>
  <c r="B916"/>
  <c r="C916"/>
  <c r="D916"/>
  <c r="A917"/>
  <c r="B917"/>
  <c r="C917"/>
  <c r="D917"/>
  <c r="A918"/>
  <c r="B918"/>
  <c r="C918"/>
  <c r="D918"/>
  <c r="A919"/>
  <c r="B919"/>
  <c r="C919"/>
  <c r="D919"/>
  <c r="A920"/>
  <c r="B920"/>
  <c r="C920"/>
  <c r="D920"/>
  <c r="A921"/>
  <c r="B921"/>
  <c r="C921"/>
  <c r="D921"/>
  <c r="A922"/>
  <c r="B922"/>
  <c r="C922"/>
  <c r="D922"/>
  <c r="A923"/>
  <c r="B923"/>
  <c r="C923"/>
  <c r="D923"/>
  <c r="A924"/>
  <c r="B924"/>
  <c r="C924"/>
  <c r="D924"/>
  <c r="A925"/>
  <c r="B925"/>
  <c r="C925"/>
  <c r="D925"/>
  <c r="A926"/>
  <c r="B926"/>
  <c r="C926"/>
  <c r="D926"/>
  <c r="A927"/>
  <c r="B927"/>
  <c r="C927"/>
  <c r="D927"/>
  <c r="A928"/>
  <c r="B928"/>
  <c r="C928"/>
  <c r="D928"/>
  <c r="A929"/>
  <c r="B929"/>
  <c r="C929"/>
  <c r="D929"/>
  <c r="A930"/>
  <c r="B930"/>
  <c r="C930"/>
  <c r="D930"/>
  <c r="A931"/>
  <c r="B931"/>
  <c r="C931"/>
  <c r="D931"/>
  <c r="A932"/>
  <c r="B932"/>
  <c r="C932"/>
  <c r="D932"/>
  <c r="A933"/>
  <c r="B933"/>
  <c r="C933"/>
  <c r="D933"/>
  <c r="A934"/>
  <c r="B934"/>
  <c r="C934"/>
  <c r="D934"/>
  <c r="A935"/>
  <c r="B935"/>
  <c r="C935"/>
  <c r="D935"/>
  <c r="A936"/>
  <c r="B936"/>
  <c r="C936"/>
  <c r="D936"/>
  <c r="A937"/>
  <c r="B937"/>
  <c r="C937"/>
  <c r="D937"/>
  <c r="A938"/>
  <c r="B938"/>
  <c r="C938"/>
  <c r="D938"/>
  <c r="A939"/>
  <c r="B939"/>
  <c r="C939"/>
  <c r="D939"/>
  <c r="A940"/>
  <c r="B940"/>
  <c r="C940"/>
  <c r="D940"/>
  <c r="A941"/>
  <c r="B941"/>
  <c r="C941"/>
  <c r="D941"/>
  <c r="A942"/>
  <c r="B942"/>
  <c r="C942"/>
  <c r="D942"/>
  <c r="A943"/>
  <c r="B943"/>
  <c r="C943"/>
  <c r="D943"/>
  <c r="A944"/>
  <c r="B944"/>
  <c r="C944"/>
  <c r="D944"/>
  <c r="A945"/>
  <c r="B945"/>
  <c r="C945"/>
  <c r="D945"/>
  <c r="A946"/>
  <c r="B946"/>
  <c r="C946"/>
  <c r="D946"/>
  <c r="A947"/>
  <c r="B947"/>
  <c r="C947"/>
  <c r="D947"/>
  <c r="A948"/>
  <c r="B948"/>
  <c r="C948"/>
  <c r="D948"/>
  <c r="A949"/>
  <c r="B949"/>
  <c r="C949"/>
  <c r="D949"/>
  <c r="A950"/>
  <c r="B950"/>
  <c r="C950"/>
  <c r="D950"/>
  <c r="A951"/>
  <c r="B951"/>
  <c r="C951"/>
  <c r="D951"/>
  <c r="A952"/>
  <c r="B952"/>
  <c r="C952"/>
  <c r="D952"/>
  <c r="A953"/>
  <c r="B953"/>
  <c r="C953"/>
  <c r="D953"/>
  <c r="A954"/>
  <c r="B954"/>
  <c r="C954"/>
  <c r="D954"/>
  <c r="A955"/>
  <c r="B955"/>
  <c r="C955"/>
  <c r="D955"/>
  <c r="A956"/>
  <c r="B956"/>
  <c r="C956"/>
  <c r="D956"/>
  <c r="A957"/>
  <c r="B957"/>
  <c r="C957"/>
  <c r="D957"/>
  <c r="A958"/>
  <c r="B958"/>
  <c r="C958"/>
  <c r="D958"/>
  <c r="A959"/>
  <c r="B959"/>
  <c r="C959"/>
  <c r="D959"/>
  <c r="A960"/>
  <c r="B960"/>
  <c r="C960"/>
  <c r="D960"/>
  <c r="A961"/>
  <c r="B961"/>
  <c r="C961"/>
  <c r="D961"/>
  <c r="A962"/>
  <c r="B962"/>
  <c r="C962"/>
  <c r="D962"/>
  <c r="A963"/>
  <c r="B963"/>
  <c r="C963"/>
  <c r="D963"/>
  <c r="A964"/>
  <c r="B964"/>
  <c r="C964"/>
  <c r="D964"/>
  <c r="A965"/>
  <c r="B965"/>
  <c r="C965"/>
  <c r="D965"/>
  <c r="A966"/>
  <c r="B966"/>
  <c r="C966"/>
  <c r="D966"/>
  <c r="A967"/>
  <c r="B967"/>
  <c r="C967"/>
  <c r="D967"/>
  <c r="A968"/>
  <c r="B968"/>
  <c r="C968"/>
  <c r="D968"/>
  <c r="A969"/>
  <c r="B969"/>
  <c r="C969"/>
  <c r="D969"/>
  <c r="A970"/>
  <c r="B970"/>
  <c r="C970"/>
  <c r="D970"/>
  <c r="A971"/>
  <c r="B971"/>
  <c r="C971"/>
  <c r="D971"/>
  <c r="A972"/>
  <c r="B972"/>
  <c r="C972"/>
  <c r="D972"/>
  <c r="A973"/>
  <c r="B973"/>
  <c r="C973"/>
  <c r="D973"/>
  <c r="A974"/>
  <c r="B974"/>
  <c r="C974"/>
  <c r="D974"/>
  <c r="A975"/>
  <c r="B975"/>
  <c r="C975"/>
  <c r="D975"/>
  <c r="A976"/>
  <c r="B976"/>
  <c r="C976"/>
  <c r="D976"/>
  <c r="A977"/>
  <c r="B977"/>
  <c r="C977"/>
  <c r="D977"/>
  <c r="A978"/>
  <c r="B978"/>
  <c r="C978"/>
  <c r="D978"/>
  <c r="A979"/>
  <c r="B979"/>
  <c r="C979"/>
  <c r="D979"/>
  <c r="A980"/>
  <c r="B980"/>
  <c r="C980"/>
  <c r="D980"/>
  <c r="A981"/>
  <c r="B981"/>
  <c r="C981"/>
  <c r="D981"/>
  <c r="A982"/>
  <c r="B982"/>
  <c r="C982"/>
  <c r="D982"/>
  <c r="A983"/>
  <c r="B983"/>
  <c r="C983"/>
  <c r="D983"/>
  <c r="A984"/>
  <c r="B984"/>
  <c r="C984"/>
  <c r="D984"/>
  <c r="A985"/>
  <c r="B985"/>
  <c r="C985"/>
  <c r="D985"/>
  <c r="A986"/>
  <c r="B986"/>
  <c r="C986"/>
  <c r="D986"/>
  <c r="A987"/>
  <c r="B987"/>
  <c r="C987"/>
  <c r="D987"/>
  <c r="A988"/>
  <c r="B988"/>
  <c r="C988"/>
  <c r="D988"/>
  <c r="A989"/>
  <c r="B989"/>
  <c r="C989"/>
  <c r="D989"/>
  <c r="A990"/>
  <c r="B990"/>
  <c r="C990"/>
  <c r="D990"/>
  <c r="A991"/>
  <c r="B991"/>
  <c r="C991"/>
  <c r="D991"/>
  <c r="A992"/>
  <c r="B992"/>
  <c r="C992"/>
  <c r="D992"/>
  <c r="A993"/>
  <c r="B993"/>
  <c r="C993"/>
  <c r="D993"/>
  <c r="A994"/>
  <c r="B994"/>
  <c r="C994"/>
  <c r="D994"/>
  <c r="A995"/>
  <c r="B995"/>
  <c r="C995"/>
  <c r="D995"/>
  <c r="A996"/>
  <c r="B996"/>
  <c r="C996"/>
  <c r="D996"/>
  <c r="A997"/>
  <c r="B997"/>
  <c r="C997"/>
  <c r="D997"/>
  <c r="A998"/>
  <c r="B998"/>
  <c r="C998"/>
  <c r="D998"/>
  <c r="A999"/>
  <c r="B999"/>
  <c r="C999"/>
  <c r="D999"/>
  <c r="A1000"/>
  <c r="B1000"/>
  <c r="C1000"/>
  <c r="D1000"/>
  <c r="A1001"/>
  <c r="B1001"/>
  <c r="C1001"/>
  <c r="D1001"/>
  <c r="A1002"/>
  <c r="B1002"/>
  <c r="C1002"/>
  <c r="D1002"/>
  <c r="A1003"/>
  <c r="B1003"/>
  <c r="C1003"/>
  <c r="D1003"/>
  <c r="A1004"/>
  <c r="B1004"/>
  <c r="C1004"/>
  <c r="D1004"/>
  <c r="A1005"/>
  <c r="B1005"/>
  <c r="C1005"/>
  <c r="D1005"/>
  <c r="A1006"/>
  <c r="B1006"/>
  <c r="C1006"/>
  <c r="D1006"/>
  <c r="A1007"/>
  <c r="B1007"/>
  <c r="C1007"/>
  <c r="D1007"/>
  <c r="A1008"/>
  <c r="B1008"/>
  <c r="C1008"/>
  <c r="D1008"/>
  <c r="A1009"/>
  <c r="B1009"/>
  <c r="C1009"/>
  <c r="D1009"/>
  <c r="A1010"/>
  <c r="B1010"/>
  <c r="C1010"/>
  <c r="D1010"/>
  <c r="A1011"/>
  <c r="B1011"/>
  <c r="C1011"/>
  <c r="D1011"/>
  <c r="A1012"/>
  <c r="B1012"/>
  <c r="C1012"/>
  <c r="D1012"/>
  <c r="A1013"/>
  <c r="B1013"/>
  <c r="C1013"/>
  <c r="D1013"/>
  <c r="A1014"/>
  <c r="B1014"/>
  <c r="C1014"/>
  <c r="D1014"/>
  <c r="A1015"/>
  <c r="B1015"/>
  <c r="C1015"/>
  <c r="D1015"/>
  <c r="A1016"/>
  <c r="B1016"/>
  <c r="C1016"/>
  <c r="D1016"/>
  <c r="A1017"/>
  <c r="B1017"/>
  <c r="C1017"/>
  <c r="D1017"/>
  <c r="A1018"/>
  <c r="B1018"/>
  <c r="C1018"/>
  <c r="D1018"/>
  <c r="A1019"/>
  <c r="B1019"/>
  <c r="C1019"/>
  <c r="D1019"/>
  <c r="A1020"/>
  <c r="B1020"/>
  <c r="C1020"/>
  <c r="D1020"/>
  <c r="A1021"/>
  <c r="B1021"/>
  <c r="C1021"/>
  <c r="D1021"/>
  <c r="A1022"/>
  <c r="B1022"/>
  <c r="C1022"/>
  <c r="D1022"/>
  <c r="A1023"/>
  <c r="B1023"/>
  <c r="C1023"/>
  <c r="D1023"/>
  <c r="A1024"/>
  <c r="B1024"/>
  <c r="C1024"/>
  <c r="D1024"/>
  <c r="A1025"/>
  <c r="B1025"/>
  <c r="C1025"/>
  <c r="D1025"/>
  <c r="A1026"/>
  <c r="B1026"/>
  <c r="C1026"/>
  <c r="D1026"/>
  <c r="A1027"/>
  <c r="B1027"/>
  <c r="C1027"/>
  <c r="D1027"/>
  <c r="A1028"/>
  <c r="B1028"/>
  <c r="C1028"/>
  <c r="D1028"/>
  <c r="A1029"/>
  <c r="B1029"/>
  <c r="C1029"/>
  <c r="D1029"/>
  <c r="A1030"/>
  <c r="B1030"/>
  <c r="C1030"/>
  <c r="D1030"/>
  <c r="A1031"/>
  <c r="B1031"/>
  <c r="C1031"/>
  <c r="D1031"/>
  <c r="A1032"/>
  <c r="B1032"/>
  <c r="C1032"/>
  <c r="D1032"/>
  <c r="A1033"/>
  <c r="B1033"/>
  <c r="C1033"/>
  <c r="D1033"/>
  <c r="A1034"/>
  <c r="B1034"/>
  <c r="C1034"/>
  <c r="D1034"/>
  <c r="A1035"/>
  <c r="B1035"/>
  <c r="C1035"/>
  <c r="D1035"/>
  <c r="A1036"/>
  <c r="B1036"/>
  <c r="C1036"/>
  <c r="D1036"/>
  <c r="A1037"/>
  <c r="B1037"/>
  <c r="C1037"/>
  <c r="D1037"/>
  <c r="A1038"/>
  <c r="B1038"/>
  <c r="C1038"/>
  <c r="D1038"/>
  <c r="A1039"/>
  <c r="B1039"/>
  <c r="C1039"/>
  <c r="D1039"/>
  <c r="A1040"/>
  <c r="B1040"/>
  <c r="C1040"/>
  <c r="D1040"/>
  <c r="A1041"/>
  <c r="B1041"/>
  <c r="C1041"/>
  <c r="D1041"/>
  <c r="A1042"/>
  <c r="B1042"/>
  <c r="C1042"/>
  <c r="D1042"/>
  <c r="A1043"/>
  <c r="B1043"/>
  <c r="C1043"/>
  <c r="D1043"/>
  <c r="A1044"/>
  <c r="B1044"/>
  <c r="C1044"/>
  <c r="D1044"/>
  <c r="A1045"/>
  <c r="B1045"/>
  <c r="C1045"/>
  <c r="D1045"/>
  <c r="A1046"/>
  <c r="B1046"/>
  <c r="C1046"/>
  <c r="D1046"/>
  <c r="A1047"/>
  <c r="B1047"/>
  <c r="C1047"/>
  <c r="D1047"/>
  <c r="A1048"/>
  <c r="B1048"/>
  <c r="C1048"/>
  <c r="D1048"/>
  <c r="A1049"/>
  <c r="B1049"/>
  <c r="C1049"/>
  <c r="D1049"/>
  <c r="A1050"/>
  <c r="B1050"/>
  <c r="C1050"/>
  <c r="D1050"/>
  <c r="A1051"/>
  <c r="B1051"/>
  <c r="C1051"/>
  <c r="D1051"/>
  <c r="A1052"/>
  <c r="B1052"/>
  <c r="C1052"/>
  <c r="D1052"/>
  <c r="A1053"/>
  <c r="B1053"/>
  <c r="C1053"/>
  <c r="D1053"/>
  <c r="A1054"/>
  <c r="B1054"/>
  <c r="C1054"/>
  <c r="D1054"/>
  <c r="A1055"/>
  <c r="B1055"/>
  <c r="C1055"/>
  <c r="D1055"/>
  <c r="A1056"/>
  <c r="B1056"/>
  <c r="C1056"/>
  <c r="D1056"/>
  <c r="A1057"/>
  <c r="B1057"/>
  <c r="C1057"/>
  <c r="D1057"/>
  <c r="A1058"/>
  <c r="B1058"/>
  <c r="C1058"/>
  <c r="D1058"/>
  <c r="A1059"/>
  <c r="B1059"/>
  <c r="C1059"/>
  <c r="D1059"/>
  <c r="A1060"/>
  <c r="B1060"/>
  <c r="C1060"/>
  <c r="D1060"/>
  <c r="A1061"/>
  <c r="B1061"/>
  <c r="C1061"/>
  <c r="D1061"/>
  <c r="A1062"/>
  <c r="B1062"/>
  <c r="C1062"/>
  <c r="D1062"/>
  <c r="A1063"/>
  <c r="B1063"/>
  <c r="C1063"/>
  <c r="D1063"/>
  <c r="A1064"/>
  <c r="B1064"/>
  <c r="C1064"/>
  <c r="D1064"/>
  <c r="A1065"/>
  <c r="B1065"/>
  <c r="C1065"/>
  <c r="D1065"/>
  <c r="A1066"/>
  <c r="B1066"/>
  <c r="C1066"/>
  <c r="D1066"/>
  <c r="A1067"/>
  <c r="B1067"/>
  <c r="C1067"/>
  <c r="D1067"/>
  <c r="A1068"/>
  <c r="B1068"/>
  <c r="C1068"/>
  <c r="D1068"/>
  <c r="A1069"/>
  <c r="B1069"/>
  <c r="C1069"/>
  <c r="D1069"/>
  <c r="A1070"/>
  <c r="B1070"/>
  <c r="C1070"/>
  <c r="D1070"/>
  <c r="A1071"/>
  <c r="B1071"/>
  <c r="C1071"/>
  <c r="D1071"/>
  <c r="A1072"/>
  <c r="B1072"/>
  <c r="C1072"/>
  <c r="D1072"/>
  <c r="A1073"/>
  <c r="B1073"/>
  <c r="C1073"/>
  <c r="D1073"/>
  <c r="A1074"/>
  <c r="B1074"/>
  <c r="C1074"/>
  <c r="D1074"/>
  <c r="A1075"/>
  <c r="B1075"/>
  <c r="C1075"/>
  <c r="D1075"/>
  <c r="A1076"/>
  <c r="B1076"/>
  <c r="C1076"/>
  <c r="D1076"/>
  <c r="A1077"/>
  <c r="B1077"/>
  <c r="C1077"/>
  <c r="D1077"/>
  <c r="A1078"/>
  <c r="B1078"/>
  <c r="C1078"/>
  <c r="D1078"/>
  <c r="A1079"/>
  <c r="B1079"/>
  <c r="C1079"/>
  <c r="D1079"/>
  <c r="A1080"/>
  <c r="B1080"/>
  <c r="C1080"/>
  <c r="D1080"/>
  <c r="A1081"/>
  <c r="B1081"/>
  <c r="C1081"/>
  <c r="D1081"/>
  <c r="A1082"/>
  <c r="B1082"/>
  <c r="C1082"/>
  <c r="D1082"/>
  <c r="A1083"/>
  <c r="B1083"/>
  <c r="C1083"/>
  <c r="D1083"/>
  <c r="A1084"/>
  <c r="B1084"/>
  <c r="C1084"/>
  <c r="D1084"/>
  <c r="A1085"/>
  <c r="B1085"/>
  <c r="C1085"/>
  <c r="D1085"/>
  <c r="A1086"/>
  <c r="B1086"/>
  <c r="C1086"/>
  <c r="D1086"/>
  <c r="A1087"/>
  <c r="B1087"/>
  <c r="C1087"/>
  <c r="D1087"/>
  <c r="A1088"/>
  <c r="B1088"/>
  <c r="C1088"/>
  <c r="D1088"/>
  <c r="A1089"/>
  <c r="B1089"/>
  <c r="C1089"/>
  <c r="D1089"/>
  <c r="A1090"/>
  <c r="B1090"/>
  <c r="C1090"/>
  <c r="D1090"/>
  <c r="A1091"/>
  <c r="B1091"/>
  <c r="C1091"/>
  <c r="D1091"/>
  <c r="A1092"/>
  <c r="B1092"/>
  <c r="C1092"/>
  <c r="D1092"/>
  <c r="A1093"/>
  <c r="B1093"/>
  <c r="C1093"/>
  <c r="D1093"/>
  <c r="A1094"/>
  <c r="B1094"/>
  <c r="C1094"/>
  <c r="D1094"/>
  <c r="A1095"/>
  <c r="B1095"/>
  <c r="C1095"/>
  <c r="D1095"/>
  <c r="A1096"/>
  <c r="B1096"/>
  <c r="C1096"/>
  <c r="D1096"/>
  <c r="A1097"/>
  <c r="B1097"/>
  <c r="C1097"/>
  <c r="D1097"/>
  <c r="A1098"/>
  <c r="B1098"/>
  <c r="C1098"/>
  <c r="D1098"/>
  <c r="A1099"/>
  <c r="B1099"/>
  <c r="C1099"/>
  <c r="D1099"/>
  <c r="A1100"/>
  <c r="B1100"/>
  <c r="C1100"/>
  <c r="D1100"/>
  <c r="A1101"/>
  <c r="B1101"/>
  <c r="C1101"/>
  <c r="D1101"/>
  <c r="A1102"/>
  <c r="B1102"/>
  <c r="C1102"/>
  <c r="D1102"/>
  <c r="A1103"/>
  <c r="B1103"/>
  <c r="C1103"/>
  <c r="D1103"/>
  <c r="A1104"/>
  <c r="B1104"/>
  <c r="C1104"/>
  <c r="D1104"/>
  <c r="A1105"/>
  <c r="B1105"/>
  <c r="C1105"/>
  <c r="D1105"/>
  <c r="A1106"/>
  <c r="B1106"/>
  <c r="C1106"/>
  <c r="D1106"/>
  <c r="A1107"/>
  <c r="B1107"/>
  <c r="C1107"/>
  <c r="D1107"/>
  <c r="A1108"/>
  <c r="B1108"/>
  <c r="C1108"/>
  <c r="D1108"/>
  <c r="A1109"/>
  <c r="B1109"/>
  <c r="C1109"/>
  <c r="D1109"/>
  <c r="A1110"/>
  <c r="B1110"/>
  <c r="C1110"/>
  <c r="D1110"/>
  <c r="A1111"/>
  <c r="B1111"/>
  <c r="C1111"/>
  <c r="D1111"/>
  <c r="A1112"/>
  <c r="B1112"/>
  <c r="C1112"/>
  <c r="D1112"/>
  <c r="A1113"/>
  <c r="B1113"/>
  <c r="C1113"/>
  <c r="D1113"/>
  <c r="A1114"/>
  <c r="B1114"/>
  <c r="C1114"/>
  <c r="D1114"/>
  <c r="A1115"/>
  <c r="B1115"/>
  <c r="C1115"/>
  <c r="D1115"/>
  <c r="A1116"/>
  <c r="B1116"/>
  <c r="C1116"/>
  <c r="D1116"/>
  <c r="A1117"/>
  <c r="B1117"/>
  <c r="C1117"/>
  <c r="D1117"/>
  <c r="A1118"/>
  <c r="B1118"/>
  <c r="C1118"/>
  <c r="D1118"/>
  <c r="A1119"/>
  <c r="B1119"/>
  <c r="C1119"/>
  <c r="D1119"/>
  <c r="A1120"/>
  <c r="B1120"/>
  <c r="C1120"/>
  <c r="D1120"/>
  <c r="A1121"/>
  <c r="B1121"/>
  <c r="C1121"/>
  <c r="D1121"/>
  <c r="A1122"/>
  <c r="B1122"/>
  <c r="C1122"/>
  <c r="D1122"/>
  <c r="A1123"/>
  <c r="B1123"/>
  <c r="C1123"/>
  <c r="D1123"/>
  <c r="A1124"/>
  <c r="B1124"/>
  <c r="C1124"/>
  <c r="D1124"/>
  <c r="A1125"/>
  <c r="B1125"/>
  <c r="C1125"/>
  <c r="D1125"/>
  <c r="A1126"/>
  <c r="B1126"/>
  <c r="C1126"/>
  <c r="D1126"/>
  <c r="A1127"/>
  <c r="B1127"/>
  <c r="C1127"/>
  <c r="D1127"/>
  <c r="A1128"/>
  <c r="B1128"/>
  <c r="C1128"/>
  <c r="D1128"/>
  <c r="A1129"/>
  <c r="B1129"/>
  <c r="C1129"/>
  <c r="D1129"/>
  <c r="A1130"/>
  <c r="B1130"/>
  <c r="C1130"/>
  <c r="D1130"/>
  <c r="A1131"/>
  <c r="B1131"/>
  <c r="C1131"/>
  <c r="D1131"/>
  <c r="A1132"/>
  <c r="B1132"/>
  <c r="C1132"/>
  <c r="D1132"/>
  <c r="A1133"/>
  <c r="B1133"/>
  <c r="C1133"/>
  <c r="D1133"/>
  <c r="A1134"/>
  <c r="B1134"/>
  <c r="C1134"/>
  <c r="D1134"/>
  <c r="A1135"/>
  <c r="B1135"/>
  <c r="C1135"/>
  <c r="D1135"/>
  <c r="A1136"/>
  <c r="B1136"/>
  <c r="C1136"/>
  <c r="D1136"/>
  <c r="A1137"/>
  <c r="B1137"/>
  <c r="C1137"/>
  <c r="D1137"/>
  <c r="A1138"/>
  <c r="B1138"/>
  <c r="C1138"/>
  <c r="D1138"/>
  <c r="A1139"/>
  <c r="B1139"/>
  <c r="C1139"/>
  <c r="D1139"/>
  <c r="A1140"/>
  <c r="B1140"/>
  <c r="C1140"/>
  <c r="D1140"/>
  <c r="A1141"/>
  <c r="B1141"/>
  <c r="C1141"/>
  <c r="D1141"/>
  <c r="A1142"/>
  <c r="B1142"/>
  <c r="C1142"/>
  <c r="D1142"/>
  <c r="A1143"/>
  <c r="B1143"/>
  <c r="C1143"/>
  <c r="D1143"/>
  <c r="A1144"/>
  <c r="B1144"/>
  <c r="C1144"/>
  <c r="D1144"/>
  <c r="A1145"/>
  <c r="B1145"/>
  <c r="C1145"/>
  <c r="D1145"/>
  <c r="A1146"/>
  <c r="B1146"/>
  <c r="C1146"/>
  <c r="D1146"/>
  <c r="A1147"/>
  <c r="B1147"/>
  <c r="C1147"/>
  <c r="D1147"/>
  <c r="A1148"/>
  <c r="B1148"/>
  <c r="C1148"/>
  <c r="D1148"/>
  <c r="A1149"/>
  <c r="B1149"/>
  <c r="C1149"/>
  <c r="D1149"/>
  <c r="A1150"/>
  <c r="B1150"/>
  <c r="C1150"/>
  <c r="D1150"/>
  <c r="A1151"/>
  <c r="B1151"/>
  <c r="C1151"/>
  <c r="D1151"/>
  <c r="A1152"/>
  <c r="B1152"/>
  <c r="C1152"/>
  <c r="D1152"/>
  <c r="A1153"/>
  <c r="B1153"/>
  <c r="C1153"/>
  <c r="D1153"/>
  <c r="A1154"/>
  <c r="B1154"/>
  <c r="C1154"/>
  <c r="D1154"/>
  <c r="A1155"/>
  <c r="B1155"/>
  <c r="C1155"/>
  <c r="D1155"/>
  <c r="A1156"/>
  <c r="B1156"/>
  <c r="C1156"/>
  <c r="D1156"/>
  <c r="A1157"/>
  <c r="B1157"/>
  <c r="C1157"/>
  <c r="D1157"/>
  <c r="A1158"/>
  <c r="B1158"/>
  <c r="C1158"/>
  <c r="D1158"/>
  <c r="A1159"/>
  <c r="B1159"/>
  <c r="C1159"/>
  <c r="D1159"/>
  <c r="A1160"/>
  <c r="B1160"/>
  <c r="C1160"/>
  <c r="D1160"/>
  <c r="A1161"/>
  <c r="B1161"/>
  <c r="C1161"/>
  <c r="D1161"/>
  <c r="A1162"/>
  <c r="B1162"/>
  <c r="C1162"/>
  <c r="D1162"/>
  <c r="A1163"/>
  <c r="B1163"/>
  <c r="C1163"/>
  <c r="D1163"/>
  <c r="A1164"/>
  <c r="B1164"/>
  <c r="C1164"/>
  <c r="D1164"/>
  <c r="A1165"/>
  <c r="B1165"/>
  <c r="C1165"/>
  <c r="D1165"/>
  <c r="A1166"/>
  <c r="B1166"/>
  <c r="C1166"/>
  <c r="D1166"/>
  <c r="A1167"/>
  <c r="B1167"/>
  <c r="C1167"/>
  <c r="D1167"/>
  <c r="A1168"/>
  <c r="B1168"/>
  <c r="C1168"/>
  <c r="D1168"/>
  <c r="A1169"/>
  <c r="B1169"/>
  <c r="C1169"/>
  <c r="D1169"/>
  <c r="A1170"/>
  <c r="B1170"/>
  <c r="C1170"/>
  <c r="D1170"/>
  <c r="A1171"/>
  <c r="B1171"/>
  <c r="C1171"/>
  <c r="D1171"/>
  <c r="A1172"/>
  <c r="B1172"/>
  <c r="C1172"/>
  <c r="D1172"/>
  <c r="A1173"/>
  <c r="B1173"/>
  <c r="C1173"/>
  <c r="D1173"/>
  <c r="A1174"/>
  <c r="B1174"/>
  <c r="C1174"/>
  <c r="D1174"/>
  <c r="A1175"/>
  <c r="B1175"/>
  <c r="C1175"/>
  <c r="D1175"/>
  <c r="A1176"/>
  <c r="B1176"/>
  <c r="C1176"/>
  <c r="D1176"/>
  <c r="A1177"/>
  <c r="B1177"/>
  <c r="C1177"/>
  <c r="D1177"/>
  <c r="A1178"/>
  <c r="B1178"/>
  <c r="C1178"/>
  <c r="D1178"/>
  <c r="A1179"/>
  <c r="B1179"/>
  <c r="C1179"/>
  <c r="D1179"/>
  <c r="A1180"/>
  <c r="B1180"/>
  <c r="C1180"/>
  <c r="D1180"/>
  <c r="A1181"/>
  <c r="B1181"/>
  <c r="C1181"/>
  <c r="D1181"/>
  <c r="A1182"/>
  <c r="B1182"/>
  <c r="C1182"/>
  <c r="D1182"/>
  <c r="A1183"/>
  <c r="B1183"/>
  <c r="C1183"/>
  <c r="D1183"/>
  <c r="A1184"/>
  <c r="B1184"/>
  <c r="C1184"/>
  <c r="D1184"/>
  <c r="A1185"/>
  <c r="B1185"/>
  <c r="C1185"/>
  <c r="D1185"/>
  <c r="A1186"/>
  <c r="B1186"/>
  <c r="C1186"/>
  <c r="D1186"/>
  <c r="A1187"/>
  <c r="B1187"/>
  <c r="C1187"/>
  <c r="D1187"/>
  <c r="A1188"/>
  <c r="B1188"/>
  <c r="C1188"/>
  <c r="D1188"/>
  <c r="A1189"/>
  <c r="B1189"/>
  <c r="C1189"/>
  <c r="D1189"/>
  <c r="A1190"/>
  <c r="B1190"/>
  <c r="C1190"/>
  <c r="D1190"/>
  <c r="A1191"/>
  <c r="B1191"/>
  <c r="C1191"/>
  <c r="D1191"/>
  <c r="A1192"/>
  <c r="B1192"/>
  <c r="C1192"/>
  <c r="D1192"/>
  <c r="A1193"/>
  <c r="B1193"/>
  <c r="C1193"/>
  <c r="D1193"/>
  <c r="A1194"/>
  <c r="B1194"/>
  <c r="C1194"/>
  <c r="D1194"/>
  <c r="A1195"/>
  <c r="B1195"/>
  <c r="C1195"/>
  <c r="D1195"/>
  <c r="A1196"/>
  <c r="B1196"/>
  <c r="C1196"/>
  <c r="D1196"/>
  <c r="A1197"/>
  <c r="B1197"/>
  <c r="C1197"/>
  <c r="D1197"/>
  <c r="A1198"/>
  <c r="B1198"/>
  <c r="C1198"/>
  <c r="D1198"/>
  <c r="A1199"/>
  <c r="B1199"/>
  <c r="C1199"/>
  <c r="D1199"/>
  <c r="A1200"/>
  <c r="B1200"/>
  <c r="C1200"/>
  <c r="D1200"/>
  <c r="A1201"/>
  <c r="B1201"/>
  <c r="C1201"/>
  <c r="D1201"/>
  <c r="A1202"/>
  <c r="B1202"/>
  <c r="C1202"/>
  <c r="D1202"/>
  <c r="A1203"/>
  <c r="B1203"/>
  <c r="C1203"/>
  <c r="D1203"/>
  <c r="A1204"/>
  <c r="B1204"/>
  <c r="C1204"/>
  <c r="D1204"/>
  <c r="A1205"/>
  <c r="B1205"/>
  <c r="C1205"/>
  <c r="D1205"/>
  <c r="A1206"/>
  <c r="B1206"/>
  <c r="C1206"/>
  <c r="D1206"/>
  <c r="A1207"/>
  <c r="B1207"/>
  <c r="C1207"/>
  <c r="D1207"/>
  <c r="A1208"/>
  <c r="B1208"/>
  <c r="C1208"/>
  <c r="D1208"/>
  <c r="A1209"/>
  <c r="B1209"/>
  <c r="C1209"/>
  <c r="D1209"/>
  <c r="A1210"/>
  <c r="B1210"/>
  <c r="C1210"/>
  <c r="D1210"/>
  <c r="A1211"/>
  <c r="B1211"/>
  <c r="C1211"/>
  <c r="D1211"/>
  <c r="A1212"/>
  <c r="B1212"/>
  <c r="C1212"/>
  <c r="D1212"/>
  <c r="A1213"/>
  <c r="B1213"/>
  <c r="C1213"/>
  <c r="D1213"/>
  <c r="A1214"/>
  <c r="B1214"/>
  <c r="C1214"/>
  <c r="D1214"/>
  <c r="A1215"/>
  <c r="B1215"/>
  <c r="C1215"/>
  <c r="D1215"/>
  <c r="A1216"/>
  <c r="B1216"/>
  <c r="C1216"/>
  <c r="D1216"/>
  <c r="A1217"/>
  <c r="B1217"/>
  <c r="C1217"/>
  <c r="D1217"/>
  <c r="A1218"/>
  <c r="B1218"/>
  <c r="C1218"/>
  <c r="D1218"/>
  <c r="A1219"/>
  <c r="B1219"/>
  <c r="C1219"/>
  <c r="D1219"/>
  <c r="A1220"/>
  <c r="B1220"/>
  <c r="C1220"/>
  <c r="D1220"/>
  <c r="A1221"/>
  <c r="B1221"/>
  <c r="C1221"/>
  <c r="D1221"/>
  <c r="A1222"/>
  <c r="B1222"/>
  <c r="C1222"/>
  <c r="D1222"/>
  <c r="A1223"/>
  <c r="B1223"/>
  <c r="C1223"/>
  <c r="D1223"/>
  <c r="A1224"/>
  <c r="B1224"/>
  <c r="C1224"/>
  <c r="D1224"/>
  <c r="A1225"/>
  <c r="B1225"/>
  <c r="C1225"/>
  <c r="D1225"/>
  <c r="A1226"/>
  <c r="B1226"/>
  <c r="C1226"/>
  <c r="D1226"/>
  <c r="A1227"/>
  <c r="B1227"/>
  <c r="C1227"/>
  <c r="D1227"/>
  <c r="A1228"/>
  <c r="B1228"/>
  <c r="C1228"/>
  <c r="D1228"/>
  <c r="A1229"/>
  <c r="B1229"/>
  <c r="C1229"/>
  <c r="D1229"/>
  <c r="A1230"/>
  <c r="B1230"/>
  <c r="C1230"/>
  <c r="D1230"/>
  <c r="A1231"/>
  <c r="B1231"/>
  <c r="C1231"/>
  <c r="D1231"/>
  <c r="A1232"/>
  <c r="B1232"/>
  <c r="C1232"/>
  <c r="D1232"/>
  <c r="A1233"/>
  <c r="B1233"/>
  <c r="C1233"/>
  <c r="D1233"/>
  <c r="A1234"/>
  <c r="B1234"/>
  <c r="C1234"/>
  <c r="D1234"/>
  <c r="A1235"/>
  <c r="B1235"/>
  <c r="C1235"/>
  <c r="D1235"/>
  <c r="A1236"/>
  <c r="B1236"/>
  <c r="C1236"/>
  <c r="D1236"/>
  <c r="A1237"/>
  <c r="B1237"/>
  <c r="C1237"/>
  <c r="D1237"/>
  <c r="A1238"/>
  <c r="B1238"/>
  <c r="C1238"/>
  <c r="D1238"/>
  <c r="A1239"/>
  <c r="B1239"/>
  <c r="C1239"/>
  <c r="D1239"/>
  <c r="A1240"/>
  <c r="B1240"/>
  <c r="C1240"/>
  <c r="D1240"/>
  <c r="A1241"/>
  <c r="B1241"/>
  <c r="C1241"/>
  <c r="D1241"/>
  <c r="A1242"/>
  <c r="B1242"/>
  <c r="C1242"/>
  <c r="D1242"/>
  <c r="A1243"/>
  <c r="B1243"/>
  <c r="C1243"/>
  <c r="D1243"/>
  <c r="A1244"/>
  <c r="B1244"/>
  <c r="C1244"/>
  <c r="D1244"/>
  <c r="A1245"/>
  <c r="B1245"/>
  <c r="C1245"/>
  <c r="D1245"/>
  <c r="A1246"/>
  <c r="B1246"/>
  <c r="C1246"/>
  <c r="D1246"/>
  <c r="A1247"/>
  <c r="B1247"/>
  <c r="C1247"/>
  <c r="D1247"/>
  <c r="A1248"/>
  <c r="B1248"/>
  <c r="C1248"/>
  <c r="D1248"/>
  <c r="A1249"/>
  <c r="B1249"/>
  <c r="C1249"/>
  <c r="D1249"/>
  <c r="A1250"/>
  <c r="B1250"/>
  <c r="C1250"/>
  <c r="D1250"/>
  <c r="A1251"/>
  <c r="B1251"/>
  <c r="C1251"/>
  <c r="D1251"/>
  <c r="A1252"/>
  <c r="B1252"/>
  <c r="C1252"/>
  <c r="D1252"/>
  <c r="A1253"/>
  <c r="B1253"/>
  <c r="C1253"/>
  <c r="D1253"/>
  <c r="A1254"/>
  <c r="B1254"/>
  <c r="C1254"/>
  <c r="D1254"/>
  <c r="A1255"/>
  <c r="B1255"/>
  <c r="C1255"/>
  <c r="D1255"/>
  <c r="A1256"/>
  <c r="B1256"/>
  <c r="C1256"/>
  <c r="D1256"/>
  <c r="A1257"/>
  <c r="B1257"/>
  <c r="C1257"/>
  <c r="D1257"/>
  <c r="A1258"/>
  <c r="B1258"/>
  <c r="C1258"/>
  <c r="D1258"/>
  <c r="A1259"/>
  <c r="B1259"/>
  <c r="C1259"/>
  <c r="D1259"/>
  <c r="A1260"/>
  <c r="B1260"/>
  <c r="C1260"/>
  <c r="D1260"/>
  <c r="A1261"/>
  <c r="B1261"/>
  <c r="C1261"/>
  <c r="D1261"/>
  <c r="A1262"/>
  <c r="B1262"/>
  <c r="C1262"/>
  <c r="D1262"/>
  <c r="A1263"/>
  <c r="B1263"/>
  <c r="C1263"/>
  <c r="D1263"/>
  <c r="A1264"/>
  <c r="B1264"/>
  <c r="C1264"/>
  <c r="D1264"/>
  <c r="A1265"/>
  <c r="B1265"/>
  <c r="C1265"/>
  <c r="D1265"/>
  <c r="A1266"/>
  <c r="B1266"/>
  <c r="C1266"/>
  <c r="D1266"/>
  <c r="A1267"/>
  <c r="B1267"/>
  <c r="C1267"/>
  <c r="D1267"/>
  <c r="A1268"/>
  <c r="B1268"/>
  <c r="C1268"/>
  <c r="D1268"/>
  <c r="A1269"/>
  <c r="B1269"/>
  <c r="C1269"/>
  <c r="D1269"/>
  <c r="A1270"/>
  <c r="B1270"/>
  <c r="C1270"/>
  <c r="D1270"/>
  <c r="A1271"/>
  <c r="B1271"/>
  <c r="C1271"/>
  <c r="D1271"/>
  <c r="A1272"/>
  <c r="B1272"/>
  <c r="C1272"/>
  <c r="D1272"/>
  <c r="A1273"/>
  <c r="B1273"/>
  <c r="C1273"/>
  <c r="D1273"/>
  <c r="A1274"/>
  <c r="B1274"/>
  <c r="C1274"/>
  <c r="D1274"/>
  <c r="A1275"/>
  <c r="B1275"/>
  <c r="C1275"/>
  <c r="D1275"/>
  <c r="A1276"/>
  <c r="B1276"/>
  <c r="C1276"/>
  <c r="D1276"/>
  <c r="A1277"/>
  <c r="B1277"/>
  <c r="C1277"/>
  <c r="D1277"/>
  <c r="A1278"/>
  <c r="B1278"/>
  <c r="C1278"/>
  <c r="D1278"/>
  <c r="A1279"/>
  <c r="B1279"/>
  <c r="C1279"/>
  <c r="D1279"/>
  <c r="A1280"/>
  <c r="B1280"/>
  <c r="C1280"/>
  <c r="D1280"/>
  <c r="A1281"/>
  <c r="B1281"/>
  <c r="C1281"/>
  <c r="D1281"/>
  <c r="A1282"/>
  <c r="B1282"/>
  <c r="C1282"/>
  <c r="D1282"/>
  <c r="A1283"/>
  <c r="B1283"/>
  <c r="C1283"/>
  <c r="D1283"/>
  <c r="A1284"/>
  <c r="B1284"/>
  <c r="C1284"/>
  <c r="D1284"/>
  <c r="A1285"/>
  <c r="B1285"/>
  <c r="C1285"/>
  <c r="D1285"/>
  <c r="A1286"/>
  <c r="B1286"/>
  <c r="C1286"/>
  <c r="D1286"/>
  <c r="A1287"/>
  <c r="B1287"/>
  <c r="C1287"/>
  <c r="D1287"/>
  <c r="A1288"/>
  <c r="B1288"/>
  <c r="C1288"/>
  <c r="D1288"/>
  <c r="A1289"/>
  <c r="B1289"/>
  <c r="C1289"/>
  <c r="D1289"/>
  <c r="A1290"/>
  <c r="B1290"/>
  <c r="C1290"/>
  <c r="D1290"/>
  <c r="A1291"/>
  <c r="B1291"/>
  <c r="C1291"/>
  <c r="D1291"/>
  <c r="A1292"/>
  <c r="B1292"/>
  <c r="C1292"/>
  <c r="D1292"/>
  <c r="A1293"/>
  <c r="B1293"/>
  <c r="C1293"/>
  <c r="D1293"/>
  <c r="A1294"/>
  <c r="B1294"/>
  <c r="C1294"/>
  <c r="D1294"/>
  <c r="A1295"/>
  <c r="B1295"/>
  <c r="C1295"/>
  <c r="D1295"/>
  <c r="A1296"/>
  <c r="B1296"/>
  <c r="C1296"/>
  <c r="D1296"/>
  <c r="A1297"/>
  <c r="B1297"/>
  <c r="C1297"/>
  <c r="D1297"/>
  <c r="A1298"/>
  <c r="B1298"/>
  <c r="C1298"/>
  <c r="D1298"/>
  <c r="A1299"/>
  <c r="B1299"/>
  <c r="C1299"/>
  <c r="D1299"/>
  <c r="A1300"/>
  <c r="B1300"/>
  <c r="C1300"/>
  <c r="D1300"/>
  <c r="A1301"/>
  <c r="B1301"/>
  <c r="C1301"/>
  <c r="D1301"/>
  <c r="A1302"/>
  <c r="B1302"/>
  <c r="C1302"/>
  <c r="D1302"/>
  <c r="A1303"/>
  <c r="B1303"/>
  <c r="C1303"/>
  <c r="D1303"/>
  <c r="A1304"/>
  <c r="B1304"/>
  <c r="C1304"/>
  <c r="D1304"/>
  <c r="A1305"/>
  <c r="B1305"/>
  <c r="C1305"/>
  <c r="D1305"/>
  <c r="A1306"/>
  <c r="B1306"/>
  <c r="C1306"/>
  <c r="D1306"/>
  <c r="A1307"/>
  <c r="B1307"/>
  <c r="C1307"/>
  <c r="D1307"/>
  <c r="A1308"/>
  <c r="B1308"/>
  <c r="C1308"/>
  <c r="D1308"/>
  <c r="A1309"/>
  <c r="B1309"/>
  <c r="C1309"/>
  <c r="D1309"/>
  <c r="A1310"/>
  <c r="B1310"/>
  <c r="C1310"/>
  <c r="D1310"/>
  <c r="A1311"/>
  <c r="B1311"/>
  <c r="C1311"/>
  <c r="D1311"/>
  <c r="A1312"/>
  <c r="B1312"/>
  <c r="C1312"/>
  <c r="D1312"/>
  <c r="A1313"/>
  <c r="B1313"/>
  <c r="C1313"/>
  <c r="D1313"/>
  <c r="A1314"/>
  <c r="B1314"/>
  <c r="C1314"/>
  <c r="D1314"/>
  <c r="A1315"/>
  <c r="B1315"/>
  <c r="C1315"/>
  <c r="D1315"/>
  <c r="A1316"/>
  <c r="B1316"/>
  <c r="C1316"/>
  <c r="D1316"/>
  <c r="A1317"/>
  <c r="B1317"/>
  <c r="C1317"/>
  <c r="D1317"/>
  <c r="A1318"/>
  <c r="B1318"/>
  <c r="C1318"/>
  <c r="D1318"/>
  <c r="A1319"/>
  <c r="B1319"/>
  <c r="C1319"/>
  <c r="D1319"/>
  <c r="A1320"/>
  <c r="B1320"/>
  <c r="C1320"/>
  <c r="D1320"/>
  <c r="A1321"/>
  <c r="B1321"/>
  <c r="C1321"/>
  <c r="D1321"/>
  <c r="A1322"/>
  <c r="B1322"/>
  <c r="C1322"/>
  <c r="D1322"/>
  <c r="A1323"/>
  <c r="B1323"/>
  <c r="C1323"/>
  <c r="D1323"/>
  <c r="A1324"/>
  <c r="B1324"/>
  <c r="C1324"/>
  <c r="D1324"/>
  <c r="A1325"/>
  <c r="B1325"/>
  <c r="C1325"/>
  <c r="D1325"/>
  <c r="A1326"/>
  <c r="B1326"/>
  <c r="C1326"/>
  <c r="D1326"/>
  <c r="A1327"/>
  <c r="B1327"/>
  <c r="C1327"/>
  <c r="D1327"/>
  <c r="A1328"/>
  <c r="B1328"/>
  <c r="C1328"/>
  <c r="D1328"/>
  <c r="A1329"/>
  <c r="B1329"/>
  <c r="C1329"/>
  <c r="D1329"/>
  <c r="A1330"/>
  <c r="B1330"/>
  <c r="C1330"/>
  <c r="D1330"/>
  <c r="A1331"/>
  <c r="B1331"/>
  <c r="C1331"/>
  <c r="D1331"/>
  <c r="A1332"/>
  <c r="B1332"/>
  <c r="C1332"/>
  <c r="D1332"/>
  <c r="A1333"/>
  <c r="B1333"/>
  <c r="C1333"/>
  <c r="D1333"/>
  <c r="A1334"/>
  <c r="B1334"/>
  <c r="C1334"/>
  <c r="D1334"/>
  <c r="A1335"/>
  <c r="B1335"/>
  <c r="C1335"/>
  <c r="D1335"/>
  <c r="A1336"/>
  <c r="B1336"/>
  <c r="C1336"/>
  <c r="D1336"/>
  <c r="A1337"/>
  <c r="B1337"/>
  <c r="C1337"/>
  <c r="D1337"/>
  <c r="A1338"/>
  <c r="B1338"/>
  <c r="C1338"/>
  <c r="D1338"/>
  <c r="A1339"/>
  <c r="B1339"/>
  <c r="C1339"/>
  <c r="D1339"/>
  <c r="A1340"/>
  <c r="B1340"/>
  <c r="C1340"/>
  <c r="D1340"/>
  <c r="A1341"/>
  <c r="B1341"/>
  <c r="C1341"/>
  <c r="D1341"/>
  <c r="A1342"/>
  <c r="B1342"/>
  <c r="C1342"/>
  <c r="D1342"/>
  <c r="A1343"/>
  <c r="B1343"/>
  <c r="C1343"/>
  <c r="D1343"/>
  <c r="A1344"/>
  <c r="B1344"/>
  <c r="C1344"/>
  <c r="D1344"/>
  <c r="A1345"/>
  <c r="B1345"/>
  <c r="C1345"/>
  <c r="D1345"/>
  <c r="A1346"/>
  <c r="B1346"/>
  <c r="C1346"/>
  <c r="D1346"/>
  <c r="A1347"/>
  <c r="B1347"/>
  <c r="C1347"/>
  <c r="D1347"/>
  <c r="A1348"/>
  <c r="B1348"/>
  <c r="C1348"/>
  <c r="D1348"/>
  <c r="A1349"/>
  <c r="B1349"/>
  <c r="C1349"/>
  <c r="D1349"/>
  <c r="A1350"/>
  <c r="B1350"/>
  <c r="C1350"/>
  <c r="D1350"/>
  <c r="A1351"/>
  <c r="B1351"/>
  <c r="C1351"/>
  <c r="D1351"/>
  <c r="A1352"/>
  <c r="B1352"/>
  <c r="C1352"/>
  <c r="D1352"/>
  <c r="A1353"/>
  <c r="B1353"/>
  <c r="C1353"/>
  <c r="D1353"/>
  <c r="A1354"/>
  <c r="B1354"/>
  <c r="C1354"/>
  <c r="D1354"/>
  <c r="A1355"/>
  <c r="B1355"/>
  <c r="C1355"/>
  <c r="D1355"/>
  <c r="A1356"/>
  <c r="B1356"/>
  <c r="C1356"/>
  <c r="D1356"/>
  <c r="A1357"/>
  <c r="B1357"/>
  <c r="C1357"/>
  <c r="D1357"/>
  <c r="A1358"/>
  <c r="B1358"/>
  <c r="C1358"/>
  <c r="D1358"/>
  <c r="A1359"/>
  <c r="B1359"/>
  <c r="C1359"/>
  <c r="D1359"/>
  <c r="A1360"/>
  <c r="B1360"/>
  <c r="C1360"/>
  <c r="D1360"/>
  <c r="A1361"/>
  <c r="B1361"/>
  <c r="C1361"/>
  <c r="D1361"/>
  <c r="A1362"/>
  <c r="B1362"/>
  <c r="C1362"/>
  <c r="D1362"/>
  <c r="A1363"/>
  <c r="B1363"/>
  <c r="C1363"/>
  <c r="D1363"/>
  <c r="A1364"/>
  <c r="B1364"/>
  <c r="C1364"/>
  <c r="D1364"/>
  <c r="A1365"/>
  <c r="B1365"/>
  <c r="C1365"/>
  <c r="D1365"/>
  <c r="A1366"/>
  <c r="B1366"/>
  <c r="C1366"/>
  <c r="D1366"/>
  <c r="A1367"/>
  <c r="B1367"/>
  <c r="C1367"/>
  <c r="D1367"/>
  <c r="A1368"/>
  <c r="B1368"/>
  <c r="C1368"/>
  <c r="D1368"/>
  <c r="A1369"/>
  <c r="B1369"/>
  <c r="C1369"/>
  <c r="D1369"/>
  <c r="A1370"/>
  <c r="B1370"/>
  <c r="C1370"/>
  <c r="D1370"/>
  <c r="A1371"/>
  <c r="B1371"/>
  <c r="C1371"/>
  <c r="D1371"/>
  <c r="A1372"/>
  <c r="B1372"/>
  <c r="C1372"/>
  <c r="D1372"/>
  <c r="A1373"/>
  <c r="B1373"/>
  <c r="C1373"/>
  <c r="D1373"/>
  <c r="A1374"/>
  <c r="B1374"/>
  <c r="C1374"/>
  <c r="D1374"/>
  <c r="A1375"/>
  <c r="B1375"/>
  <c r="C1375"/>
  <c r="D1375"/>
  <c r="A1376"/>
  <c r="B1376"/>
  <c r="C1376"/>
  <c r="D1376"/>
  <c r="A1377"/>
  <c r="B1377"/>
  <c r="C1377"/>
  <c r="D1377"/>
  <c r="A1378"/>
  <c r="B1378"/>
  <c r="C1378"/>
  <c r="D1378"/>
  <c r="A1379"/>
  <c r="B1379"/>
  <c r="C1379"/>
  <c r="D1379"/>
  <c r="A1380"/>
  <c r="B1380"/>
  <c r="C1380"/>
  <c r="D1380"/>
  <c r="A1381"/>
  <c r="B1381"/>
  <c r="C1381"/>
  <c r="D1381"/>
  <c r="A1382"/>
  <c r="B1382"/>
  <c r="C1382"/>
  <c r="D1382"/>
  <c r="A1383"/>
  <c r="B1383"/>
  <c r="C1383"/>
  <c r="D1383"/>
  <c r="A1384"/>
  <c r="B1384"/>
  <c r="C1384"/>
  <c r="D1384"/>
  <c r="A1385"/>
  <c r="B1385"/>
  <c r="C1385"/>
  <c r="D1385"/>
  <c r="A1386"/>
  <c r="B1386"/>
  <c r="C1386"/>
  <c r="D1386"/>
  <c r="A1387"/>
  <c r="B1387"/>
  <c r="C1387"/>
  <c r="D1387"/>
  <c r="A1388"/>
  <c r="B1388"/>
  <c r="C1388"/>
  <c r="D1388"/>
  <c r="A1389"/>
  <c r="B1389"/>
  <c r="C1389"/>
  <c r="D1389"/>
  <c r="A1390"/>
  <c r="B1390"/>
  <c r="C1390"/>
  <c r="D1390"/>
  <c r="A1391"/>
  <c r="B1391"/>
  <c r="C1391"/>
  <c r="D1391"/>
  <c r="A1392"/>
  <c r="B1392"/>
  <c r="C1392"/>
  <c r="D1392"/>
  <c r="A1393"/>
  <c r="B1393"/>
  <c r="C1393"/>
  <c r="D1393"/>
  <c r="A1394"/>
  <c r="B1394"/>
  <c r="C1394"/>
  <c r="D1394"/>
  <c r="A1395"/>
  <c r="B1395"/>
  <c r="C1395"/>
  <c r="D1395"/>
  <c r="A1396"/>
  <c r="B1396"/>
  <c r="C1396"/>
  <c r="D1396"/>
  <c r="A1397"/>
  <c r="B1397"/>
  <c r="C1397"/>
  <c r="D1397"/>
  <c r="A1398"/>
  <c r="B1398"/>
  <c r="C1398"/>
  <c r="D1398"/>
  <c r="A1399"/>
  <c r="B1399"/>
  <c r="C1399"/>
  <c r="D1399"/>
  <c r="A1400"/>
  <c r="B1400"/>
  <c r="C1400"/>
  <c r="D1400"/>
  <c r="A1401"/>
  <c r="B1401"/>
  <c r="C1401"/>
  <c r="D1401"/>
  <c r="A1402"/>
  <c r="B1402"/>
  <c r="C1402"/>
  <c r="D1402"/>
  <c r="A1403"/>
  <c r="B1403"/>
  <c r="C1403"/>
  <c r="D1403"/>
  <c r="A1404"/>
  <c r="B1404"/>
  <c r="C1404"/>
  <c r="D1404"/>
  <c r="A1405"/>
  <c r="B1405"/>
  <c r="C1405"/>
  <c r="D1405"/>
  <c r="A1406"/>
  <c r="B1406"/>
  <c r="C1406"/>
  <c r="D1406"/>
  <c r="A1407"/>
  <c r="B1407"/>
  <c r="C1407"/>
  <c r="D1407"/>
  <c r="A1408"/>
  <c r="B1408"/>
  <c r="C1408"/>
  <c r="D1408"/>
  <c r="A1409"/>
  <c r="B1409"/>
  <c r="C1409"/>
  <c r="D1409"/>
  <c r="A1410"/>
  <c r="B1410"/>
  <c r="C1410"/>
  <c r="D1410"/>
  <c r="A1411"/>
  <c r="B1411"/>
  <c r="C1411"/>
  <c r="D1411"/>
  <c r="A1412"/>
  <c r="B1412"/>
  <c r="C1412"/>
  <c r="D1412"/>
  <c r="A1413"/>
  <c r="B1413"/>
  <c r="C1413"/>
  <c r="D1413"/>
  <c r="A1414"/>
  <c r="B1414"/>
  <c r="C1414"/>
  <c r="D1414"/>
  <c r="A1415"/>
  <c r="B1415"/>
  <c r="C1415"/>
  <c r="D1415"/>
  <c r="A1416"/>
  <c r="B1416"/>
  <c r="C1416"/>
  <c r="D1416"/>
  <c r="A1417"/>
  <c r="B1417"/>
  <c r="C1417"/>
  <c r="D1417"/>
  <c r="A1418"/>
  <c r="B1418"/>
  <c r="C1418"/>
  <c r="D1418"/>
  <c r="A1419"/>
  <c r="B1419"/>
  <c r="C1419"/>
  <c r="D1419"/>
  <c r="A1420"/>
  <c r="B1420"/>
  <c r="C1420"/>
  <c r="D1420"/>
  <c r="A1421"/>
  <c r="B1421"/>
  <c r="C1421"/>
  <c r="D1421"/>
  <c r="A1422"/>
  <c r="B1422"/>
  <c r="C1422"/>
  <c r="D1422"/>
  <c r="A1423"/>
  <c r="B1423"/>
  <c r="C1423"/>
  <c r="D1423"/>
  <c r="A1424"/>
  <c r="B1424"/>
  <c r="C1424"/>
  <c r="D1424"/>
  <c r="A1425"/>
  <c r="B1425"/>
  <c r="C1425"/>
  <c r="D1425"/>
  <c r="A1426"/>
  <c r="B1426"/>
  <c r="C1426"/>
  <c r="D1426"/>
  <c r="A1427"/>
  <c r="B1427"/>
  <c r="C1427"/>
  <c r="D1427"/>
  <c r="A1428"/>
  <c r="B1428"/>
  <c r="C1428"/>
  <c r="D1428"/>
  <c r="A1429"/>
  <c r="B1429"/>
  <c r="C1429"/>
  <c r="D1429"/>
  <c r="A1430"/>
  <c r="B1430"/>
  <c r="C1430"/>
  <c r="D1430"/>
  <c r="A1431"/>
  <c r="B1431"/>
  <c r="C1431"/>
  <c r="D1431"/>
  <c r="A1432"/>
  <c r="B1432"/>
  <c r="C1432"/>
  <c r="D1432"/>
  <c r="A1433"/>
  <c r="B1433"/>
  <c r="C1433"/>
  <c r="D1433"/>
  <c r="A1434"/>
  <c r="B1434"/>
  <c r="C1434"/>
  <c r="D1434"/>
  <c r="A1435"/>
  <c r="B1435"/>
  <c r="C1435"/>
  <c r="D1435"/>
  <c r="A1436"/>
  <c r="B1436"/>
  <c r="C1436"/>
  <c r="D1436"/>
  <c r="A1437"/>
  <c r="B1437"/>
  <c r="C1437"/>
  <c r="D1437"/>
  <c r="A1438"/>
  <c r="B1438"/>
  <c r="C1438"/>
  <c r="D1438"/>
  <c r="A1439"/>
  <c r="B1439"/>
  <c r="C1439"/>
  <c r="D1439"/>
  <c r="A1440"/>
  <c r="B1440"/>
  <c r="C1440"/>
  <c r="D1440"/>
  <c r="A1441"/>
  <c r="B1441"/>
  <c r="C1441"/>
  <c r="D1441"/>
  <c r="A1442"/>
  <c r="B1442"/>
  <c r="C1442"/>
  <c r="D1442"/>
  <c r="A1443"/>
  <c r="B1443"/>
  <c r="C1443"/>
  <c r="D1443"/>
  <c r="A1444"/>
  <c r="B1444"/>
  <c r="C1444"/>
  <c r="D1444"/>
  <c r="A1445"/>
  <c r="B1445"/>
  <c r="C1445"/>
  <c r="D1445"/>
  <c r="A1446"/>
  <c r="B1446"/>
  <c r="C1446"/>
  <c r="D1446"/>
  <c r="A1447"/>
  <c r="B1447"/>
  <c r="C1447"/>
  <c r="D1447"/>
  <c r="A1448"/>
  <c r="B1448"/>
  <c r="C1448"/>
  <c r="D1448"/>
  <c r="A1449"/>
  <c r="B1449"/>
  <c r="C1449"/>
  <c r="D1449"/>
  <c r="A1450"/>
  <c r="B1450"/>
  <c r="C1450"/>
  <c r="D1450"/>
  <c r="A1451"/>
  <c r="B1451"/>
  <c r="C1451"/>
  <c r="D1451"/>
  <c r="A1452"/>
  <c r="B1452"/>
  <c r="C1452"/>
  <c r="D1452"/>
  <c r="A1453"/>
  <c r="B1453"/>
  <c r="C1453"/>
  <c r="D1453"/>
  <c r="A1454"/>
  <c r="B1454"/>
  <c r="C1454"/>
  <c r="D1454"/>
  <c r="A1455"/>
  <c r="B1455"/>
  <c r="C1455"/>
  <c r="D1455"/>
  <c r="A1456"/>
  <c r="B1456"/>
  <c r="C1456"/>
  <c r="D1456"/>
  <c r="A1457"/>
  <c r="B1457"/>
  <c r="C1457"/>
  <c r="D1457"/>
  <c r="A1458"/>
  <c r="B1458"/>
  <c r="C1458"/>
  <c r="D1458"/>
  <c r="A1459"/>
  <c r="B1459"/>
  <c r="C1459"/>
  <c r="D1459"/>
  <c r="A1460"/>
  <c r="B1460"/>
  <c r="C1460"/>
  <c r="D1460"/>
  <c r="A1461"/>
  <c r="B1461"/>
  <c r="C1461"/>
  <c r="D1461"/>
  <c r="A1462"/>
  <c r="B1462"/>
  <c r="C1462"/>
  <c r="D1462"/>
  <c r="A1463"/>
  <c r="B1463"/>
  <c r="C1463"/>
  <c r="D1463"/>
  <c r="A1464"/>
  <c r="B1464"/>
  <c r="C1464"/>
  <c r="D1464"/>
  <c r="A1465"/>
  <c r="B1465"/>
  <c r="C1465"/>
  <c r="D1465"/>
  <c r="A1466"/>
  <c r="B1466"/>
  <c r="C1466"/>
  <c r="D1466"/>
  <c r="A1467"/>
  <c r="B1467"/>
  <c r="C1467"/>
  <c r="D1467"/>
  <c r="A1468"/>
  <c r="B1468"/>
  <c r="C1468"/>
  <c r="D1468"/>
  <c r="A1469"/>
  <c r="B1469"/>
  <c r="C1469"/>
  <c r="D1469"/>
  <c r="A1470"/>
  <c r="B1470"/>
  <c r="C1470"/>
  <c r="D1470"/>
  <c r="A1471"/>
  <c r="B1471"/>
  <c r="C1471"/>
  <c r="D1471"/>
  <c r="A1472"/>
  <c r="B1472"/>
  <c r="C1472"/>
  <c r="D1472"/>
  <c r="A1473"/>
  <c r="B1473"/>
  <c r="C1473"/>
  <c r="D1473"/>
  <c r="A1474"/>
  <c r="B1474"/>
  <c r="C1474"/>
  <c r="D1474"/>
  <c r="A1475"/>
  <c r="B1475"/>
  <c r="C1475"/>
  <c r="D1475"/>
  <c r="A1476"/>
  <c r="B1476"/>
  <c r="C1476"/>
  <c r="D1476"/>
  <c r="A1477"/>
  <c r="B1477"/>
  <c r="C1477"/>
  <c r="D1477"/>
  <c r="A1478"/>
  <c r="B1478"/>
  <c r="C1478"/>
  <c r="D1478"/>
  <c r="A1479"/>
  <c r="B1479"/>
  <c r="C1479"/>
  <c r="D1479"/>
  <c r="A1480"/>
  <c r="B1480"/>
  <c r="C1480"/>
  <c r="D1480"/>
  <c r="A1481"/>
  <c r="B1481"/>
  <c r="C1481"/>
  <c r="D1481"/>
  <c r="A1482"/>
  <c r="B1482"/>
  <c r="C1482"/>
  <c r="D1482"/>
  <c r="A1483"/>
  <c r="B1483"/>
  <c r="C1483"/>
  <c r="D1483"/>
  <c r="A1484"/>
  <c r="B1484"/>
  <c r="C1484"/>
  <c r="D1484"/>
  <c r="A1485"/>
  <c r="B1485"/>
  <c r="C1485"/>
  <c r="D1485"/>
  <c r="A1486"/>
  <c r="B1486"/>
  <c r="C1486"/>
  <c r="D1486"/>
  <c r="A1487"/>
  <c r="B1487"/>
  <c r="C1487"/>
  <c r="D1487"/>
  <c r="A1488"/>
  <c r="B1488"/>
  <c r="C1488"/>
  <c r="D1488"/>
  <c r="A1489"/>
  <c r="B1489"/>
  <c r="C1489"/>
  <c r="D1489"/>
  <c r="A1490"/>
  <c r="B1490"/>
  <c r="C1490"/>
  <c r="D1490"/>
  <c r="A1491"/>
  <c r="B1491"/>
  <c r="C1491"/>
  <c r="D1491"/>
  <c r="A1492"/>
  <c r="B1492"/>
  <c r="C1492"/>
  <c r="D1492"/>
  <c r="A1493"/>
  <c r="B1493"/>
  <c r="C1493"/>
  <c r="D1493"/>
  <c r="A1494"/>
  <c r="B1494"/>
  <c r="C1494"/>
  <c r="D1494"/>
  <c r="A1495"/>
  <c r="B1495"/>
  <c r="C1495"/>
  <c r="D1495"/>
  <c r="A1496"/>
  <c r="B1496"/>
  <c r="C1496"/>
  <c r="D1496"/>
  <c r="A1497"/>
  <c r="B1497"/>
  <c r="C1497"/>
  <c r="D1497"/>
  <c r="A1498"/>
  <c r="B1498"/>
  <c r="C1498"/>
  <c r="D1498"/>
  <c r="A1499"/>
  <c r="B1499"/>
  <c r="C1499"/>
  <c r="D1499"/>
  <c r="A1500"/>
  <c r="B1500"/>
  <c r="C1500"/>
  <c r="D1500"/>
  <c r="A1501"/>
  <c r="B1501"/>
  <c r="C1501"/>
  <c r="D1501"/>
  <c r="A1502"/>
  <c r="B1502"/>
  <c r="C1502"/>
  <c r="D1502"/>
  <c r="A1503"/>
  <c r="B1503"/>
  <c r="C1503"/>
  <c r="D1503"/>
  <c r="A1504"/>
  <c r="B1504"/>
  <c r="C1504"/>
  <c r="D1504"/>
  <c r="A1505"/>
  <c r="B1505"/>
  <c r="C1505"/>
  <c r="D1505"/>
  <c r="A1506"/>
  <c r="B1506"/>
  <c r="C1506"/>
  <c r="D1506"/>
  <c r="A1507"/>
  <c r="B1507"/>
  <c r="C1507"/>
  <c r="D1507"/>
  <c r="A1508"/>
  <c r="B1508"/>
  <c r="C1508"/>
  <c r="D1508"/>
  <c r="A1509"/>
  <c r="B1509"/>
  <c r="C1509"/>
  <c r="D1509"/>
  <c r="A1510"/>
  <c r="B1510"/>
  <c r="C1510"/>
  <c r="D1510"/>
  <c r="A1511"/>
  <c r="B1511"/>
  <c r="C1511"/>
  <c r="D1511"/>
  <c r="A1512"/>
  <c r="B1512"/>
  <c r="C1512"/>
  <c r="D1512"/>
  <c r="A1513"/>
  <c r="B1513"/>
  <c r="C1513"/>
  <c r="D1513"/>
  <c r="A1514"/>
  <c r="B1514"/>
  <c r="C1514"/>
  <c r="D1514"/>
  <c r="A1515"/>
  <c r="B1515"/>
  <c r="C1515"/>
  <c r="D1515"/>
  <c r="A1516"/>
  <c r="B1516"/>
  <c r="C1516"/>
  <c r="D1516"/>
  <c r="A1517"/>
  <c r="B1517"/>
  <c r="C1517"/>
  <c r="D1517"/>
  <c r="A1518"/>
  <c r="B1518"/>
  <c r="C1518"/>
  <c r="D1518"/>
  <c r="A1519"/>
  <c r="B1519"/>
  <c r="C1519"/>
  <c r="D1519"/>
  <c r="A1520"/>
  <c r="B1520"/>
  <c r="C1520"/>
  <c r="D1520"/>
  <c r="A1521"/>
  <c r="B1521"/>
  <c r="C1521"/>
  <c r="D1521"/>
  <c r="A1522"/>
  <c r="B1522"/>
  <c r="C1522"/>
  <c r="D1522"/>
  <c r="A1523"/>
  <c r="B1523"/>
  <c r="C1523"/>
  <c r="D1523"/>
  <c r="A1524"/>
  <c r="B1524"/>
  <c r="C1524"/>
  <c r="D1524"/>
  <c r="A1525"/>
  <c r="B1525"/>
  <c r="C1525"/>
  <c r="D1525"/>
  <c r="A1526"/>
  <c r="B1526"/>
  <c r="C1526"/>
  <c r="D1526"/>
  <c r="A1527"/>
  <c r="B1527"/>
  <c r="C1527"/>
  <c r="D1527"/>
  <c r="A1528"/>
  <c r="B1528"/>
  <c r="C1528"/>
  <c r="D1528"/>
  <c r="A1529"/>
  <c r="B1529"/>
  <c r="C1529"/>
  <c r="D1529"/>
  <c r="A1530"/>
  <c r="B1530"/>
  <c r="C1530"/>
  <c r="D1530"/>
  <c r="A1531"/>
  <c r="B1531"/>
  <c r="C1531"/>
  <c r="D1531"/>
  <c r="A1532"/>
  <c r="B1532"/>
  <c r="C1532"/>
  <c r="D1532"/>
  <c r="A1533"/>
  <c r="B1533"/>
  <c r="C1533"/>
  <c r="D1533"/>
  <c r="A1534"/>
  <c r="B1534"/>
  <c r="C1534"/>
  <c r="D1534"/>
  <c r="A1535"/>
  <c r="B1535"/>
  <c r="C1535"/>
  <c r="D1535"/>
  <c r="A1536"/>
  <c r="B1536"/>
  <c r="C1536"/>
  <c r="D1536"/>
  <c r="A1537"/>
  <c r="B1537"/>
  <c r="C1537"/>
  <c r="D1537"/>
  <c r="A1538"/>
  <c r="B1538"/>
  <c r="C1538"/>
  <c r="D1538"/>
  <c r="A1539"/>
  <c r="B1539"/>
  <c r="C1539"/>
  <c r="D1539"/>
  <c r="A1540"/>
  <c r="B1540"/>
  <c r="C1540"/>
  <c r="D1540"/>
  <c r="A1541"/>
  <c r="B1541"/>
  <c r="C1541"/>
  <c r="D1541"/>
  <c r="A1542"/>
  <c r="B1542"/>
  <c r="C1542"/>
  <c r="D1542"/>
  <c r="A1543"/>
  <c r="B1543"/>
  <c r="C1543"/>
  <c r="D1543"/>
  <c r="A1544"/>
  <c r="B1544"/>
  <c r="C1544"/>
  <c r="D1544"/>
  <c r="A1545"/>
  <c r="B1545"/>
  <c r="C1545"/>
  <c r="D1545"/>
  <c r="A1546"/>
  <c r="B1546"/>
  <c r="C1546"/>
  <c r="D1546"/>
  <c r="A1547"/>
  <c r="B1547"/>
  <c r="C1547"/>
  <c r="D1547"/>
  <c r="A1548"/>
  <c r="B1548"/>
  <c r="C1548"/>
  <c r="D1548"/>
  <c r="A1549"/>
  <c r="B1549"/>
  <c r="C1549"/>
  <c r="D1549"/>
  <c r="A1550"/>
  <c r="B1550"/>
  <c r="C1550"/>
  <c r="D1550"/>
  <c r="A1551"/>
  <c r="B1551"/>
  <c r="C1551"/>
  <c r="D1551"/>
  <c r="A1552"/>
  <c r="B1552"/>
  <c r="C1552"/>
  <c r="D1552"/>
  <c r="A1553"/>
  <c r="B1553"/>
  <c r="C1553"/>
  <c r="D1553"/>
  <c r="A1554"/>
  <c r="B1554"/>
  <c r="C1554"/>
  <c r="D1554"/>
  <c r="A1555"/>
  <c r="B1555"/>
  <c r="C1555"/>
  <c r="D1555"/>
  <c r="A1556"/>
  <c r="B1556"/>
  <c r="C1556"/>
  <c r="D1556"/>
  <c r="A1557"/>
  <c r="B1557"/>
  <c r="C1557"/>
  <c r="D1557"/>
  <c r="A1558"/>
  <c r="B1558"/>
  <c r="C1558"/>
  <c r="D1558"/>
  <c r="A1559"/>
  <c r="B1559"/>
  <c r="C1559"/>
  <c r="D1559"/>
  <c r="A1560"/>
  <c r="B1560"/>
  <c r="C1560"/>
  <c r="D1560"/>
  <c r="A1561"/>
  <c r="B1561"/>
  <c r="C1561"/>
  <c r="D1561"/>
  <c r="A1562"/>
  <c r="B1562"/>
  <c r="C1562"/>
  <c r="D1562"/>
  <c r="A1563"/>
  <c r="B1563"/>
  <c r="C1563"/>
  <c r="D1563"/>
  <c r="A1564"/>
  <c r="B1564"/>
  <c r="C1564"/>
  <c r="D1564"/>
  <c r="A1565"/>
  <c r="B1565"/>
  <c r="C1565"/>
  <c r="D1565"/>
  <c r="A1566"/>
  <c r="B1566"/>
  <c r="C1566"/>
  <c r="D1566"/>
  <c r="A1567"/>
  <c r="B1567"/>
  <c r="C1567"/>
  <c r="D1567"/>
  <c r="A1568"/>
  <c r="B1568"/>
  <c r="C1568"/>
  <c r="D1568"/>
  <c r="A1569"/>
  <c r="B1569"/>
  <c r="C1569"/>
  <c r="D1569"/>
  <c r="A1570"/>
  <c r="B1570"/>
  <c r="C1570"/>
  <c r="D1570"/>
  <c r="A1571"/>
  <c r="B1571"/>
  <c r="C1571"/>
  <c r="D1571"/>
  <c r="A1572"/>
  <c r="B1572"/>
  <c r="C1572"/>
  <c r="D1572"/>
  <c r="A1573"/>
  <c r="B1573"/>
  <c r="C1573"/>
  <c r="D1573"/>
  <c r="A1574"/>
  <c r="B1574"/>
  <c r="C1574"/>
  <c r="D1574"/>
  <c r="A1575"/>
  <c r="B1575"/>
  <c r="C1575"/>
  <c r="D1575"/>
  <c r="A1576"/>
  <c r="B1576"/>
  <c r="C1576"/>
  <c r="D1576"/>
  <c r="A1577"/>
  <c r="B1577"/>
  <c r="C1577"/>
  <c r="D1577"/>
  <c r="A1578"/>
  <c r="B1578"/>
  <c r="C1578"/>
  <c r="D1578"/>
  <c r="A1579"/>
  <c r="B1579"/>
  <c r="C1579"/>
  <c r="D1579"/>
  <c r="A1580"/>
  <c r="B1580"/>
  <c r="C1580"/>
  <c r="D1580"/>
  <c r="A1581"/>
  <c r="B1581"/>
  <c r="C1581"/>
  <c r="D1581"/>
  <c r="A1582"/>
  <c r="B1582"/>
  <c r="C1582"/>
  <c r="D1582"/>
  <c r="A1583"/>
  <c r="B1583"/>
  <c r="C1583"/>
  <c r="D1583"/>
  <c r="A1584"/>
  <c r="B1584"/>
  <c r="C1584"/>
  <c r="D1584"/>
  <c r="A1585"/>
  <c r="B1585"/>
  <c r="C1585"/>
  <c r="D1585"/>
  <c r="A1586"/>
  <c r="B1586"/>
  <c r="C1586"/>
  <c r="D1586"/>
  <c r="A1587"/>
  <c r="B1587"/>
  <c r="C1587"/>
  <c r="D1587"/>
  <c r="A1588"/>
  <c r="B1588"/>
  <c r="C1588"/>
  <c r="D1588"/>
  <c r="A1589"/>
  <c r="B1589"/>
  <c r="C1589"/>
  <c r="D1589"/>
  <c r="A1590"/>
  <c r="B1590"/>
  <c r="C1590"/>
  <c r="D1590"/>
  <c r="A1591"/>
  <c r="B1591"/>
  <c r="C1591"/>
  <c r="D1591"/>
  <c r="A1592"/>
  <c r="B1592"/>
  <c r="C1592"/>
  <c r="D1592"/>
  <c r="A1593"/>
  <c r="B1593"/>
  <c r="C1593"/>
  <c r="D1593"/>
  <c r="A4" l="1"/>
  <c r="B4"/>
  <c r="C4"/>
  <c r="D4"/>
  <c r="K1" l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AF1" s="1"/>
  <c r="AG1" s="1"/>
  <c r="AH1" l="1"/>
  <c r="AI1" s="1"/>
  <c r="AJ1" s="1"/>
  <c r="AK1" s="1"/>
  <c r="AL1" s="1"/>
  <c r="AM1" s="1"/>
  <c r="AN1" s="1"/>
  <c r="AO1" s="1"/>
  <c r="AP1" s="1"/>
  <c r="AQ1" s="1"/>
  <c r="AR1" s="1"/>
  <c r="AS1" s="1"/>
  <c r="AT1" s="1"/>
  <c r="AU1" s="1"/>
  <c r="AV1" s="1"/>
  <c r="AW1" s="1"/>
  <c r="AX1" s="1"/>
  <c r="AY1" s="1"/>
  <c r="AZ1" s="1"/>
  <c r="BA1" s="1"/>
  <c r="BB1" s="1"/>
  <c r="BC1" s="1"/>
  <c r="BD1" s="1"/>
  <c r="BE1" s="1"/>
  <c r="BF1" s="1"/>
  <c r="BG1" s="1"/>
  <c r="BH1" s="1"/>
  <c r="BI1" s="1"/>
  <c r="BJ1" s="1"/>
  <c r="BK1" s="1"/>
  <c r="BL1" s="1"/>
  <c r="BM1" s="1"/>
  <c r="BN1" s="1"/>
  <c r="BO1" s="1"/>
  <c r="BP1" s="1"/>
  <c r="BQ1" s="1"/>
  <c r="BR1" s="1"/>
  <c r="BS1" s="1"/>
  <c r="BT1" s="1"/>
  <c r="BU1" s="1"/>
  <c r="BV1" s="1"/>
  <c r="C3" l="1"/>
  <c r="D3"/>
  <c r="A3" l="1"/>
  <c r="B3"/>
</calcChain>
</file>

<file path=xl/sharedStrings.xml><?xml version="1.0" encoding="utf-8"?>
<sst xmlns="http://schemas.openxmlformats.org/spreadsheetml/2006/main" count="42998" uniqueCount="6351">
  <si>
    <t>브랜드/업체/차수/순서</t>
  </si>
  <si>
    <t>요약</t>
  </si>
  <si>
    <t>총합계</t>
  </si>
  <si>
    <t>브랜드/품목</t>
  </si>
  <si>
    <t>브랜드/품목</t>
    <phoneticPr fontId="2" type="noConversion"/>
  </si>
  <si>
    <t>원자재 공급여부</t>
    <phoneticPr fontId="2" type="noConversion"/>
  </si>
  <si>
    <t>원자재 공급완료</t>
    <phoneticPr fontId="2" type="noConversion"/>
  </si>
  <si>
    <t>발주월</t>
    <phoneticPr fontId="2" type="noConversion"/>
  </si>
  <si>
    <t>누계 발주현황</t>
    <phoneticPr fontId="2" type="noConversion"/>
  </si>
  <si>
    <t>입고월</t>
    <phoneticPr fontId="2" type="noConversion"/>
  </si>
  <si>
    <t>수량</t>
  </si>
  <si>
    <t>브랜드</t>
  </si>
  <si>
    <t>브랜드명</t>
  </si>
  <si>
    <t>년도</t>
  </si>
  <si>
    <t>시즌</t>
  </si>
  <si>
    <t>품목</t>
  </si>
  <si>
    <t>품목명</t>
  </si>
  <si>
    <t>성별</t>
  </si>
  <si>
    <t>순번</t>
  </si>
  <si>
    <t>순번2</t>
  </si>
  <si>
    <t>품번</t>
  </si>
  <si>
    <t>품번수</t>
  </si>
  <si>
    <t>품명(=샘플명)</t>
  </si>
  <si>
    <t>색상</t>
  </si>
  <si>
    <t>색상명</t>
  </si>
  <si>
    <t>품번색상</t>
  </si>
  <si>
    <t>오더차수</t>
  </si>
  <si>
    <t>색상수</t>
  </si>
  <si>
    <t>혼용율</t>
  </si>
  <si>
    <t>사이즈타입</t>
  </si>
  <si>
    <t>사이즈</t>
  </si>
  <si>
    <t>업체명</t>
  </si>
  <si>
    <t>차수</t>
  </si>
  <si>
    <t>차수2</t>
  </si>
  <si>
    <t>분류</t>
  </si>
  <si>
    <t>국가</t>
  </si>
  <si>
    <t>수입/내수</t>
  </si>
  <si>
    <t>TAG가목표</t>
  </si>
  <si>
    <t>TAG가조정</t>
  </si>
  <si>
    <t>원가목표</t>
  </si>
  <si>
    <t>원가조정</t>
  </si>
  <si>
    <t>원가차이</t>
  </si>
  <si>
    <t>공급원자재</t>
  </si>
  <si>
    <t>공급부자재</t>
  </si>
  <si>
    <t>공급기타</t>
  </si>
  <si>
    <t>공급계</t>
  </si>
  <si>
    <t>해외(FOB, USD, JPY)</t>
  </si>
  <si>
    <t>국내(KRW)</t>
  </si>
  <si>
    <t>발주일</t>
  </si>
  <si>
    <t>선적일</t>
  </si>
  <si>
    <t>목표납기일</t>
  </si>
  <si>
    <t>1차입고일</t>
  </si>
  <si>
    <t>2차입고일</t>
  </si>
  <si>
    <t>3차입고일</t>
  </si>
  <si>
    <t>4차입고일</t>
  </si>
  <si>
    <t>5차입고일</t>
  </si>
  <si>
    <t>1차입고수량</t>
  </si>
  <si>
    <t>2차입고수량</t>
  </si>
  <si>
    <t>3차입고수량</t>
  </si>
  <si>
    <t>차이수량</t>
  </si>
  <si>
    <t>TOTAL수량</t>
  </si>
  <si>
    <t>TOTAL원가금액</t>
  </si>
  <si>
    <t>TOTALTAG가금액</t>
  </si>
  <si>
    <t>MU</t>
  </si>
  <si>
    <t xml:space="preserve"> 수량</t>
  </si>
  <si>
    <t>(모두)</t>
  </si>
  <si>
    <t>원가확정여부</t>
  </si>
  <si>
    <t>원가확정여부</t>
    <phoneticPr fontId="2" type="noConversion"/>
  </si>
  <si>
    <t>납기확정여부</t>
    <phoneticPr fontId="2" type="noConversion"/>
  </si>
  <si>
    <t>데이터</t>
  </si>
  <si>
    <t xml:space="preserve"> 원가금액</t>
  </si>
  <si>
    <t xml:space="preserve"> TAG가금액</t>
  </si>
  <si>
    <t xml:space="preserve"> 배수</t>
  </si>
  <si>
    <t>계약납기일</t>
    <phoneticPr fontId="2" type="noConversion"/>
  </si>
  <si>
    <t>구분</t>
  </si>
  <si>
    <t>브랜드/업체/차수</t>
  </si>
  <si>
    <t>브랜드/업체/차수/품번색상</t>
  </si>
  <si>
    <t>순서</t>
  </si>
  <si>
    <t>브랜드/업체/차수/순서/품번색상/사이즈</t>
  </si>
  <si>
    <t>브랜드/순번</t>
  </si>
  <si>
    <t>공란</t>
  </si>
  <si>
    <t>이미지</t>
    <phoneticPr fontId="2" type="noConversion"/>
  </si>
  <si>
    <t>(비어 있음)</t>
  </si>
  <si>
    <t>14FWPB</t>
  </si>
  <si>
    <t>F</t>
  </si>
  <si>
    <t>UM</t>
  </si>
  <si>
    <t>UMPIRE</t>
  </si>
  <si>
    <t>K</t>
  </si>
  <si>
    <t>14FWPB 06_FLAT_RE_KIDS</t>
  </si>
  <si>
    <t>RE</t>
  </si>
  <si>
    <t>RED</t>
  </si>
  <si>
    <t/>
  </si>
  <si>
    <t>XSS</t>
  </si>
  <si>
    <t>성진</t>
  </si>
  <si>
    <t>02</t>
  </si>
  <si>
    <t>M</t>
  </si>
  <si>
    <t>CN</t>
  </si>
  <si>
    <t>OSM</t>
  </si>
  <si>
    <t>OML</t>
  </si>
  <si>
    <t xml:space="preserve"> 14FWP</t>
  </si>
  <si>
    <t xml:space="preserve"> 14FWPB 01_FLAT_PK_KIDS  </t>
  </si>
  <si>
    <t>PK</t>
  </si>
  <si>
    <t>PINK</t>
  </si>
  <si>
    <t>0</t>
  </si>
  <si>
    <t>0-</t>
  </si>
  <si>
    <t>TTL</t>
  </si>
  <si>
    <t>ER</t>
  </si>
  <si>
    <t>EARCAP</t>
  </si>
  <si>
    <t>14FWPB 05_FLAT_NY_KIDS</t>
  </si>
  <si>
    <t>NY</t>
  </si>
  <si>
    <t>NAVY</t>
  </si>
  <si>
    <t>동일모자</t>
  </si>
  <si>
    <t>06</t>
  </si>
  <si>
    <t xml:space="preserve"> 14FWPB 02_FLAT_PK_KIDS</t>
  </si>
  <si>
    <t>F-CAP</t>
  </si>
  <si>
    <t>DPK</t>
  </si>
  <si>
    <t>DPK-캡보이-01</t>
  </si>
  <si>
    <t>DPK-캡보이-01DPKSNF3501PK</t>
  </si>
  <si>
    <t>DPK-캡보이-011</t>
  </si>
  <si>
    <t>DPK-캡보이-011-DPKSNF3501PINKOSM</t>
  </si>
  <si>
    <t>DPK의류외501</t>
  </si>
  <si>
    <t>14SS F</t>
  </si>
  <si>
    <t>DISNEY PRINCESS KIDS</t>
  </si>
  <si>
    <t>3</t>
  </si>
  <si>
    <t>SN</t>
  </si>
  <si>
    <t>SNAPBACK</t>
  </si>
  <si>
    <t>DPKSNF3501</t>
  </si>
  <si>
    <t>14SS FROZEN SNAP_01_PK_KIDS</t>
  </si>
  <si>
    <t>DPKSNF3501PK</t>
  </si>
  <si>
    <t>캡보이</t>
  </si>
  <si>
    <t>01</t>
  </si>
  <si>
    <t>KR</t>
  </si>
  <si>
    <t>DPK-캡보이-011-DPKSNF3501PINKOML</t>
  </si>
  <si>
    <t>DPK-캡보이-01DPKSNF3502BL</t>
  </si>
  <si>
    <t>DPK-캡보이-012</t>
  </si>
  <si>
    <t>DPK-캡보이-012-DPKSNF3502BLUEOSM</t>
  </si>
  <si>
    <t>DPK의류외502</t>
  </si>
  <si>
    <t>DPKSNF3502</t>
  </si>
  <si>
    <t>14SS FROZEN SNAP_02_BL_KIDS</t>
  </si>
  <si>
    <t>BL</t>
  </si>
  <si>
    <t>BLUE</t>
  </si>
  <si>
    <t>DPKSNF3502BL</t>
  </si>
  <si>
    <t>DPK-캡보이-012-DPKSNF3502BLUEOML</t>
  </si>
  <si>
    <t>DPK-캡보이-01DPKSNF3503PP</t>
  </si>
  <si>
    <t>DPK-캡보이-013</t>
  </si>
  <si>
    <t>DPK-캡보이-013-DPKSNF3503PURPLEOSM</t>
  </si>
  <si>
    <t>DPK의류외503</t>
  </si>
  <si>
    <t>DPKSNF3503</t>
  </si>
  <si>
    <t>14SS FROZEN SNAP_04_PP_KIDS</t>
  </si>
  <si>
    <t>PP</t>
  </si>
  <si>
    <t>PURPLE</t>
  </si>
  <si>
    <t>DPKSNF3503PP</t>
  </si>
  <si>
    <t>DPK-캡보이-013-DPKSNF3503PURPLEOML</t>
  </si>
  <si>
    <t>DPK-캡보이-01DPKSNF3504MT</t>
  </si>
  <si>
    <t>DPK-캡보이-014</t>
  </si>
  <si>
    <t>DPK-캡보이-014-DPKSNF3504MINTOSM</t>
  </si>
  <si>
    <t>DPK의류외504</t>
  </si>
  <si>
    <t>DPKSNF3504</t>
  </si>
  <si>
    <t>14SS FROZEN SNAP_05_MT_KIDS</t>
  </si>
  <si>
    <t>MT</t>
  </si>
  <si>
    <t>MINT</t>
  </si>
  <si>
    <t>DPKSNF3504MT</t>
  </si>
  <si>
    <t>DPK-캡보이-014-DPKSNF3504MINTOML</t>
  </si>
  <si>
    <t>DPK-캡보이-01 TTL</t>
  </si>
  <si>
    <t>SBK</t>
  </si>
  <si>
    <t>SBK-FOREMOST-08</t>
  </si>
  <si>
    <t>SBK-FOREMOST-08SBKBAF5511GY</t>
  </si>
  <si>
    <t>SBK-FOREMOST-081</t>
  </si>
  <si>
    <t>SBK-FOREMOST-081-SBKBAF5511GREYXSS</t>
  </si>
  <si>
    <t>SBK의류외511</t>
  </si>
  <si>
    <t>14FW-J</t>
  </si>
  <si>
    <t>SMITH BRIDGE_KIDS</t>
  </si>
  <si>
    <t>BA</t>
  </si>
  <si>
    <t>BASIC CAP</t>
  </si>
  <si>
    <t>SBKBAF5511</t>
  </si>
  <si>
    <t>14FW-JILL-BY_11_GY_KIDS</t>
  </si>
  <si>
    <t>GY</t>
  </si>
  <si>
    <t>GREY</t>
  </si>
  <si>
    <t>SBKBAF5511GY</t>
  </si>
  <si>
    <t>FOREMOST</t>
  </si>
  <si>
    <t>08</t>
  </si>
  <si>
    <t>SBK-FOREMOST-081-SBKBAF5511GREYOSM</t>
  </si>
  <si>
    <t>SBK-FOREMOST-081-SBKBAF5511GREYOML</t>
  </si>
  <si>
    <t>SBK-FOREMOST-08SBKBAF5512BG</t>
  </si>
  <si>
    <t>SBK-FOREMOST-082</t>
  </si>
  <si>
    <t>SBK-FOREMOST-082-SBKBAF5512BEIGEXSS</t>
  </si>
  <si>
    <t>SBK의류외512</t>
  </si>
  <si>
    <t>SBKBAF5512</t>
  </si>
  <si>
    <t>14FW-JILL-BY_04_BG_KIDS</t>
  </si>
  <si>
    <t>BG</t>
  </si>
  <si>
    <t>BEIGE</t>
  </si>
  <si>
    <t>SBKBAF5512BG</t>
  </si>
  <si>
    <t>SBK-FOREMOST-082-SBKBAF5512BEIGEOSM</t>
  </si>
  <si>
    <t>SBK-FOREMOST-082-SBKBAF5512BEIGEOML</t>
  </si>
  <si>
    <t>SBK-FOREMOST-08SBKMIF5514RE</t>
  </si>
  <si>
    <t>SBK-FOREMOST-083</t>
  </si>
  <si>
    <t>SBK-FOREMOST-083-SBKMIF5514REDXSS</t>
  </si>
  <si>
    <t>SBK의류외514</t>
  </si>
  <si>
    <t>MI</t>
  </si>
  <si>
    <t>MILITARY CAP</t>
  </si>
  <si>
    <t>SBKMIF5514</t>
  </si>
  <si>
    <t>14FW-JILL-BY_31_RE_KIDS</t>
  </si>
  <si>
    <t>SBKMIF5514RE</t>
  </si>
  <si>
    <t>SBK-FOREMOST-083-SBKMIF5514REDOSM</t>
  </si>
  <si>
    <t>SBK-FOREMOST-083-SBKMIF5514REDOML</t>
  </si>
  <si>
    <t>SBK-FOREMOST-08SBKMIF5515NY</t>
  </si>
  <si>
    <t>SBK-FOREMOST-084</t>
  </si>
  <si>
    <t>SBK-FOREMOST-084-SBKMIF5515NAVYXSS</t>
  </si>
  <si>
    <t>SBK의류외515</t>
  </si>
  <si>
    <t>SBKMIF5515</t>
  </si>
  <si>
    <t>14FW-JILL-BY_19_NV_KIDS</t>
  </si>
  <si>
    <t>SBKMIF5515NY</t>
  </si>
  <si>
    <t>SBK-FOREMOST-084-SBKMIF5515NAVYOSM</t>
  </si>
  <si>
    <t>SBK-FOREMOST-084-SBKMIF5515NAVYOML</t>
  </si>
  <si>
    <t>SBK-FOREMOST-08SBKMIF5509KH</t>
  </si>
  <si>
    <t>SBK-FOREMOST-085</t>
  </si>
  <si>
    <t>SBK-FOREMOST-085-SBKMIF5509KHAKIXSS</t>
  </si>
  <si>
    <t>SBK의류외509</t>
  </si>
  <si>
    <t>13FW-J</t>
  </si>
  <si>
    <t>SBKMIF5509</t>
  </si>
  <si>
    <t>13FW-JILLBY-31_KH_KIDS (JILMIE5318KH)</t>
  </si>
  <si>
    <t>KH</t>
  </si>
  <si>
    <t>KHAKI</t>
  </si>
  <si>
    <t>SBKMIF5509KH</t>
  </si>
  <si>
    <t>SBK-FOREMOST-085-SBKMIF5509KHAKIOSM</t>
  </si>
  <si>
    <t>SBK-FOREMOST-085-SBKMIF5509KHAKIOML</t>
  </si>
  <si>
    <t>SBK-FOREMOST-08 TTL</t>
  </si>
  <si>
    <t>SBK-FOREMOST-09</t>
  </si>
  <si>
    <t>SBK-FOREMOST-09SBKERF5519PK</t>
  </si>
  <si>
    <t>SBK-FOREMOST-091</t>
  </si>
  <si>
    <t>SBK-FOREMOST-091-SBKERF5519PINKXSS</t>
  </si>
  <si>
    <t>SBK의류외519</t>
  </si>
  <si>
    <t>SBKERF5519</t>
  </si>
  <si>
    <t>14FW-JILL-
BY_13_PK_KIDS</t>
  </si>
  <si>
    <t>SBKERF5519PK</t>
  </si>
  <si>
    <t>09</t>
  </si>
  <si>
    <t>SBK-FOREMOST-091-SBKERF5519PINKOSM</t>
  </si>
  <si>
    <t>SBK-FOREMOST-091-SBKERF5519PINKOML</t>
  </si>
  <si>
    <t>SBK-FOREMOST-09 TTL</t>
  </si>
  <si>
    <t>SBK-Y&amp;Y-02</t>
  </si>
  <si>
    <t>SBK-Y&amp;Y-02SBKBEF5531BK</t>
  </si>
  <si>
    <t>SBK-Y&amp;Y-021</t>
  </si>
  <si>
    <t>SBK-Y&amp;Y-021-SBKBEF5531BLACKFRE</t>
  </si>
  <si>
    <t>SBK의류외531</t>
  </si>
  <si>
    <t>BE</t>
  </si>
  <si>
    <t>BEANIE</t>
  </si>
  <si>
    <t>SBKBEF5531</t>
  </si>
  <si>
    <t>14FW-JILLBY-KNIT-67_BK_KIDS</t>
  </si>
  <si>
    <t>BK</t>
  </si>
  <si>
    <t>BLACK</t>
  </si>
  <si>
    <t>SBKBEF5531BK</t>
  </si>
  <si>
    <t>FRE</t>
  </si>
  <si>
    <t>Y&amp;Y</t>
  </si>
  <si>
    <t>SBK-Y&amp;Y-02SBKBEF5531GY</t>
  </si>
  <si>
    <t>SBK-Y&amp;Y-022</t>
  </si>
  <si>
    <t>SBK-Y&amp;Y-022-SBKBEF5531GREYFRE</t>
  </si>
  <si>
    <t>14FW-JILLBY-KNIT-67_GY_KIDS</t>
  </si>
  <si>
    <t>SBKBEF5531GY</t>
  </si>
  <si>
    <t>SBK-Y&amp;Y-02SBKBEF5531BL</t>
  </si>
  <si>
    <t>SBK-Y&amp;Y-023</t>
  </si>
  <si>
    <t>SBK-Y&amp;Y-023-SBKBEF5531BLUEFRE</t>
  </si>
  <si>
    <t>14FW-JILLBY-KNIT-67_BL_KIDS</t>
  </si>
  <si>
    <t>SBKBEF5531BL</t>
  </si>
  <si>
    <t>SBK-Y&amp;Y-02SBKBEF5531RE</t>
  </si>
  <si>
    <t>SBK-Y&amp;Y-024</t>
  </si>
  <si>
    <t>SBK-Y&amp;Y-024-SBKBEF5531REDFRE</t>
  </si>
  <si>
    <t>14FW-JILLBY-KNIT-67_RE_KIDS</t>
  </si>
  <si>
    <t>SBKBEF5531RE</t>
  </si>
  <si>
    <t>SBK-Y&amp;Y-02SBKBEF5531PK</t>
  </si>
  <si>
    <t>SBK-Y&amp;Y-025</t>
  </si>
  <si>
    <t>SBK-Y&amp;Y-025-SBKBEF5531PINKFRE</t>
  </si>
  <si>
    <t>14FW-JILLBY-KNIT-67_PK_KIDS</t>
  </si>
  <si>
    <t>SBKBEF5531PK</t>
  </si>
  <si>
    <t>SBK-Y&amp;Y-02SBKBEF5532YE</t>
  </si>
  <si>
    <t>SBK-Y&amp;Y-026</t>
  </si>
  <si>
    <t>SBK-Y&amp;Y-026-SBKBEF5532YELLOWFRE</t>
  </si>
  <si>
    <t>SBK의류외532</t>
  </si>
  <si>
    <t>SBKBEF5532</t>
  </si>
  <si>
    <t>14FW-JILLBY-KNIT_01_YE_KIDS</t>
  </si>
  <si>
    <t>YE</t>
  </si>
  <si>
    <t>YELLOW</t>
  </si>
  <si>
    <t>SBKBEF5532YE</t>
  </si>
  <si>
    <t>SBK-Y&amp;Y-02SBKBEF5532BL</t>
  </si>
  <si>
    <t>SBK-Y&amp;Y-027</t>
  </si>
  <si>
    <t>SBK-Y&amp;Y-027-SBKBEF5532BLUEFRE</t>
  </si>
  <si>
    <t>14FW-JILLBY-KNIT_01_BL_KIDS</t>
  </si>
  <si>
    <t>SBKBEF5532BL</t>
  </si>
  <si>
    <t>SBK-Y&amp;Y-02SBKBEF5532RE</t>
  </si>
  <si>
    <t>SBK-Y&amp;Y-028</t>
  </si>
  <si>
    <t>SBK-Y&amp;Y-028-SBKBEF5532REDFRE</t>
  </si>
  <si>
    <t>14FW-JILLBY-KNIT_01_RE_KIDS</t>
  </si>
  <si>
    <t>SBKBEF5532RE</t>
  </si>
  <si>
    <t>SBK-Y&amp;Y-02SBKBEF5532GR</t>
  </si>
  <si>
    <t>SBK-Y&amp;Y-029</t>
  </si>
  <si>
    <t>SBK-Y&amp;Y-029-SBKBEF5532GREENFRE</t>
  </si>
  <si>
    <t>14FW-JILLBY-KNIT_01_GR_KIDS</t>
  </si>
  <si>
    <t>GR</t>
  </si>
  <si>
    <t>GREEN</t>
  </si>
  <si>
    <t>SBKBEF5532GR</t>
  </si>
  <si>
    <t>SBK-Y&amp;Y-02SBKBEF5532IV</t>
  </si>
  <si>
    <t>SBK-Y&amp;Y-0210</t>
  </si>
  <si>
    <t>SBK-Y&amp;Y-0210-SBKBEF5532IVORYFRE</t>
  </si>
  <si>
    <t>14FW-JILLBY-KNIT_01_IV_KIDS</t>
  </si>
  <si>
    <t>IV</t>
  </si>
  <si>
    <t>IVORY</t>
  </si>
  <si>
    <t>SBKBEF5532IV</t>
  </si>
  <si>
    <t>SBK-Y&amp;Y-02SBKBEF5532GY</t>
  </si>
  <si>
    <t>SBK-Y&amp;Y-0211</t>
  </si>
  <si>
    <t>SBK-Y&amp;Y-0211-SBKBEF5532GREYFRE</t>
  </si>
  <si>
    <t>14FW-JILLBY-KNIT_01_GY_KIDS</t>
  </si>
  <si>
    <t>SBKBEF5532GY</t>
  </si>
  <si>
    <t>SBK-Y&amp;Y-02SBKBEF5532BK</t>
  </si>
  <si>
    <t>SBK-Y&amp;Y-0212</t>
  </si>
  <si>
    <t>SBK-Y&amp;Y-0212-SBKBEF5532BLACKFRE</t>
  </si>
  <si>
    <t>14FW-JILLBY-KNIT_01_BK_KIDS</t>
  </si>
  <si>
    <t>SBKBEF5532BK</t>
  </si>
  <si>
    <t>SBK-Y&amp;Y-02SBKBEF5533BL</t>
  </si>
  <si>
    <t>SBK-Y&amp;Y-0213</t>
  </si>
  <si>
    <t>SBK-Y&amp;Y-0213-SBKBEF5533BLUEFRE</t>
  </si>
  <si>
    <t>SBK의류외533</t>
  </si>
  <si>
    <t>SBKBEF5533</t>
  </si>
  <si>
    <t>14FW-JILLBY-KNIT-48_BL_KIDS</t>
  </si>
  <si>
    <t>SBKBEF5533BL</t>
  </si>
  <si>
    <t>SBK-Y&amp;Y-02SBKBEF5533RE</t>
  </si>
  <si>
    <t>SBK-Y&amp;Y-0214</t>
  </si>
  <si>
    <t>SBK-Y&amp;Y-0214-SBKBEF5533REDFRE</t>
  </si>
  <si>
    <t>14FW-JILLBY-KNIT-48_RE_KIDS</t>
  </si>
  <si>
    <t>SBKBEF5533RE</t>
  </si>
  <si>
    <t>SBK-Y&amp;Y-02 TTL</t>
  </si>
  <si>
    <t>SBK-FOREMOST-14</t>
  </si>
  <si>
    <t>SBK-FOREMOST-14SBKBEF5534BK</t>
  </si>
  <si>
    <t>SBK-FOREMOST-141</t>
  </si>
  <si>
    <t>SBK-FOREMOST-141-SBKBEF5534BLACKFRE</t>
  </si>
  <si>
    <t>SBK의류외534</t>
  </si>
  <si>
    <t>SBKBEF5534</t>
  </si>
  <si>
    <t>14FW-JILLBY-KNIT-12_BK_KIDS</t>
  </si>
  <si>
    <t>SBKBEF5534BK</t>
  </si>
  <si>
    <t>SBK-FOREMOST-14SBKBEF5534BL</t>
  </si>
  <si>
    <t>SBK-FOREMOST-142</t>
  </si>
  <si>
    <t>SBK-FOREMOST-142-SBKBEF5534BLUEFRE</t>
  </si>
  <si>
    <t>14FW-JILLBY-KNIT-12_BL_KIDS</t>
  </si>
  <si>
    <t>SBKBEF5534BL</t>
  </si>
  <si>
    <t>SBK-FOREMOST-14SBKBEF5534PP</t>
  </si>
  <si>
    <t>SBK-FOREMOST-143</t>
  </si>
  <si>
    <t>SBK-FOREMOST-143-SBKBEF5534PURPLEFRE</t>
  </si>
  <si>
    <t>14FW-JILLBY-KNIT-12_PP_KIDS</t>
  </si>
  <si>
    <t>SBKBEF5534PP</t>
  </si>
  <si>
    <t>SBK-FOREMOST-14SBKBEF5535BL</t>
  </si>
  <si>
    <t>SBK-FOREMOST-144</t>
  </si>
  <si>
    <t>SBK-FOREMOST-144-SBKBEF5535BLUEFRE</t>
  </si>
  <si>
    <t>SBK의류외535</t>
  </si>
  <si>
    <t>SBKBEF5535</t>
  </si>
  <si>
    <t>14FW-JILLBY-KNIT-16_BL_KIDS</t>
  </si>
  <si>
    <t>SBKBEF5535BL</t>
  </si>
  <si>
    <t>SBK-FOREMOST-14SBKBEF5536KH</t>
  </si>
  <si>
    <t>SBK-FOREMOST-145</t>
  </si>
  <si>
    <t>SBK-FOREMOST-145-SBKBEF5536KHAKIFRE</t>
  </si>
  <si>
    <t>SBK의류외536</t>
  </si>
  <si>
    <t>SBKBEF5536</t>
  </si>
  <si>
    <t>14FW-JILLBY-KNIT_02_KH_KIDS</t>
  </si>
  <si>
    <t>SBKBEF5536KH</t>
  </si>
  <si>
    <t>SBK-FOREMOST-14SBKBEF5536RE</t>
  </si>
  <si>
    <t>SBK-FOREMOST-146</t>
  </si>
  <si>
    <t>SBK-FOREMOST-146-SBKBEF5536REDFRE</t>
  </si>
  <si>
    <t>14FW-JILLBY-KNIT_02_RE_KIDS</t>
  </si>
  <si>
    <t>SBKBEF5536RE</t>
  </si>
  <si>
    <t>SBK-FOREMOST-14SBKBEF5538BK</t>
  </si>
  <si>
    <t>SBK-FOREMOST-147</t>
  </si>
  <si>
    <t>SBK-FOREMOST-147-SBKBEF5538BLACKFRE</t>
  </si>
  <si>
    <t>SBK의류외538</t>
  </si>
  <si>
    <t>SBKBEF5538</t>
  </si>
  <si>
    <t>14FW-JILLBY-KNIT-61-BK_KIDS</t>
  </si>
  <si>
    <t>SBKBEF5538BK</t>
  </si>
  <si>
    <t>SBK-FOREMOST-14SBKBEF5540GY</t>
  </si>
  <si>
    <t>SBK-FOREMOST-148</t>
  </si>
  <si>
    <t>SBK-FOREMOST-148-SBKBEF5540GREYFRE</t>
  </si>
  <si>
    <t>SBK의류외540</t>
  </si>
  <si>
    <t>SBKBEF5540</t>
  </si>
  <si>
    <t>14FW-JILLBY-KNIT-46_GY_KIDS</t>
  </si>
  <si>
    <t>SBKBEF5540GY</t>
  </si>
  <si>
    <t>SBK-FOREMOST-14SBKBEF5540PK</t>
  </si>
  <si>
    <t>SBK-FOREMOST-149</t>
  </si>
  <si>
    <t>SBK-FOREMOST-149-SBKBEF5540PINKFRE</t>
  </si>
  <si>
    <t>14FW-JILLBY-KNIT-46_PK_KIDS</t>
  </si>
  <si>
    <t>SBKBEF5540PK</t>
  </si>
  <si>
    <t>SBK-FOREMOST-14 TTL</t>
  </si>
  <si>
    <t>F-HAT</t>
  </si>
  <si>
    <t>JOK</t>
  </si>
  <si>
    <t>JOK-FOREMOST-02</t>
  </si>
  <si>
    <t>JOK-FOREMOST-02JOKEBF5803BL</t>
  </si>
  <si>
    <t>JOK-FOREMOST-021</t>
  </si>
  <si>
    <t>JOK-FOREMOST-021-JOKEBF5803BLUEFRE</t>
  </si>
  <si>
    <t>JOK의류외803</t>
  </si>
  <si>
    <t>13FW J</t>
  </si>
  <si>
    <t>JOIE BETE KIDS</t>
  </si>
  <si>
    <t>EB</t>
  </si>
  <si>
    <t>EARFLAP BEANIE</t>
  </si>
  <si>
    <t>JOKEBF5803</t>
  </si>
  <si>
    <t>13FW JOIE BETE_03_BL_KIDS</t>
  </si>
  <si>
    <t>JOKEBF5803BL</t>
  </si>
  <si>
    <t>R1</t>
  </si>
  <si>
    <t>확정</t>
  </si>
  <si>
    <t>JOK-FOREMOST-02JOKEBF5804RE</t>
  </si>
  <si>
    <t>JOK-FOREMOST-022</t>
  </si>
  <si>
    <t>JOK-FOREMOST-022-JOKEBF5804REDFRE</t>
  </si>
  <si>
    <t>JOK의류외804</t>
  </si>
  <si>
    <t>JOKEBF5804</t>
  </si>
  <si>
    <t>13FW JOIE BETE_03_RD_KIDS</t>
  </si>
  <si>
    <t>JOKEBF5804RE</t>
  </si>
  <si>
    <t>JOK-FOREMOST-02JOKVBF5806NY</t>
  </si>
  <si>
    <t>JOK-FOREMOST-023</t>
  </si>
  <si>
    <t>JOK-FOREMOST-023-JOKVBF5806NAVYFRE</t>
  </si>
  <si>
    <t>JOK의류외806</t>
  </si>
  <si>
    <t>VB</t>
  </si>
  <si>
    <t>VISOR BEANIE</t>
  </si>
  <si>
    <t>JOKVBF5806</t>
  </si>
  <si>
    <t>13FW JOIE BETE_09_NY_KIDS</t>
  </si>
  <si>
    <t>JOKVBF5806NY</t>
  </si>
  <si>
    <t>JOK-FOREMOST-02JOKVBF5806PK</t>
  </si>
  <si>
    <t>JOK-FOREMOST-024</t>
  </si>
  <si>
    <t>JOK-FOREMOST-024-JOKVBF5806PINKFRE</t>
  </si>
  <si>
    <t>13FW JOIE BETE_09_PK_KIDS</t>
  </si>
  <si>
    <t>JOKVBF5806PK</t>
  </si>
  <si>
    <t>JOK-FOREMOST-02 TTL</t>
  </si>
  <si>
    <t>SPORTS</t>
  </si>
  <si>
    <t>NOK</t>
  </si>
  <si>
    <t>NOK-FOREMOST-03</t>
  </si>
  <si>
    <t>NOK-FOREMOST-03NOKERF5501CL</t>
  </si>
  <si>
    <t>NOK-FOREMOST-031</t>
  </si>
  <si>
    <t>NOK-FOREMOST-031-NOKERF5501CAMELXSS</t>
  </si>
  <si>
    <t>NOK의류외501</t>
  </si>
  <si>
    <t>14FW N</t>
  </si>
  <si>
    <t>NOVENT KIDS</t>
  </si>
  <si>
    <t>NOKERF5501</t>
  </si>
  <si>
    <t>14FW NV 02_WIRE_MU_KIDS</t>
  </si>
  <si>
    <t>CL</t>
  </si>
  <si>
    <t>CAMEL</t>
  </si>
  <si>
    <t>NOKERF5501CL</t>
  </si>
  <si>
    <t>03</t>
  </si>
  <si>
    <t>NOK-FOREMOST-031-NOKERF5501CAMELOSM</t>
  </si>
  <si>
    <t>NOK-FOREMOST-031-NOKERF5501CAMELOML</t>
  </si>
  <si>
    <t>NOK-FOREMOST-03NOKBAF5502GY</t>
  </si>
  <si>
    <t>NOK-FOREMOST-032</t>
  </si>
  <si>
    <t>NOK-FOREMOST-032-NOKBAF5502GREYOSM</t>
  </si>
  <si>
    <t>NOK의류외502</t>
  </si>
  <si>
    <t>NOKBAF5502</t>
  </si>
  <si>
    <t>14FW NV 05_CAMP_GY_KIDS</t>
  </si>
  <si>
    <t>NOKBAF5502GY</t>
  </si>
  <si>
    <t>NOK-FOREMOST-032-NOKBAF5502GREYOML</t>
  </si>
  <si>
    <t>NOK-FOREMOST-03NOKFAF5503BW</t>
  </si>
  <si>
    <t>NOK-FOREMOST-033</t>
  </si>
  <si>
    <t>NOK-FOREMOST-033-NOKFAF5503BROWNOSM</t>
  </si>
  <si>
    <t>NOK의류외503</t>
  </si>
  <si>
    <t>FA</t>
  </si>
  <si>
    <t>FASHION HAT</t>
  </si>
  <si>
    <t>NOKFAF5503</t>
  </si>
  <si>
    <t>14FW NV 06_HAT_BR_KIDS</t>
  </si>
  <si>
    <t>BW</t>
  </si>
  <si>
    <t>BROWN</t>
  </si>
  <si>
    <t>NOKFAF5503BW</t>
  </si>
  <si>
    <t>NOK-FOREMOST-033-NOKFAF5503BROWNOML</t>
  </si>
  <si>
    <t>NOK-FOREMOST-03 TTL</t>
  </si>
  <si>
    <t>NOK-FOREMOST-04</t>
  </si>
  <si>
    <t>NOK-FOREMOST-04NOKERF5506BK</t>
  </si>
  <si>
    <t>NOK-FOREMOST-041</t>
  </si>
  <si>
    <t>NOK-FOREMOST-041-NOKERF5506BLACKOSM</t>
  </si>
  <si>
    <t>NOK의류외506</t>
  </si>
  <si>
    <t>NOKERF5506</t>
  </si>
  <si>
    <t>14FW NV 13_WIRE_BK_KIDS</t>
  </si>
  <si>
    <t>NOKERF5506BK</t>
  </si>
  <si>
    <t>04</t>
  </si>
  <si>
    <t>NOK-FOREMOST-041-NOKERF5506BLACKOML</t>
  </si>
  <si>
    <t>NOK-FOREMOST-04NOKERF5506PK</t>
  </si>
  <si>
    <t>NOK-FOREMOST-042</t>
  </si>
  <si>
    <t>NOK-FOREMOST-042-NOKERF5506PINKOSM</t>
  </si>
  <si>
    <t>14FW NV 13_WIRE_PK_KIDS</t>
  </si>
  <si>
    <t>NOKERF5506PK</t>
  </si>
  <si>
    <t>NOK-FOREMOST-042-NOKERF5506PINKOML</t>
  </si>
  <si>
    <t>NOK-FOREMOST-04 TTL</t>
  </si>
  <si>
    <t>NOK의류외508</t>
  </si>
  <si>
    <t>TP</t>
  </si>
  <si>
    <t>TROOPER</t>
  </si>
  <si>
    <t>NOKTPF5508</t>
  </si>
  <si>
    <t>14FW NV 07_TROOPER_BK_KIDS</t>
  </si>
  <si>
    <t>NOKTPF5508BK</t>
  </si>
  <si>
    <t>05</t>
  </si>
  <si>
    <t>NOK-EVERRICH TEXTILE-01</t>
  </si>
  <si>
    <t>NOK-EVERRICH TEXTILE-01NOKTPF5511BK</t>
  </si>
  <si>
    <t>NOK-EVERRICH TEXTILE-011</t>
  </si>
  <si>
    <t>NOK의류외511</t>
  </si>
  <si>
    <t>NOKTPF5511</t>
  </si>
  <si>
    <t>14FW NV 09_TROOPER_BK_KIDS</t>
  </si>
  <si>
    <t>NOKTPF5511BK</t>
  </si>
  <si>
    <t>EVERRICH TEXTILE</t>
  </si>
  <si>
    <t>NOK-EVERRICH TEXTILE-01NOKTPF5511RE</t>
  </si>
  <si>
    <t>NOK-EVERRICH TEXTILE-012</t>
  </si>
  <si>
    <t>14FW NV 09_TROOPER_RE_KIDS</t>
  </si>
  <si>
    <t>NOKTPF5511RE</t>
  </si>
  <si>
    <t>NOK-EVERRICH TEXTILE-01NOKTPF5511PK</t>
  </si>
  <si>
    <t>NOK-EVERRICH TEXTILE-013</t>
  </si>
  <si>
    <t>14FW NV 09_TROOPER_PK_KIDS</t>
  </si>
  <si>
    <t>NOKTPF5511PK</t>
  </si>
  <si>
    <t>NOK-EVERRICH TEXTILE-01 TTL</t>
  </si>
  <si>
    <t>BRK</t>
  </si>
  <si>
    <t>BRK-동일모자-07</t>
  </si>
  <si>
    <t>BRK-동일모자-07BRKBAF5501GY</t>
  </si>
  <si>
    <t>BRK-동일모자-071</t>
  </si>
  <si>
    <t>BRK-동일모자-071-BRKBAF5501GREYXSS</t>
  </si>
  <si>
    <t>BRK의류외501</t>
  </si>
  <si>
    <t>14FW B</t>
  </si>
  <si>
    <t>BROWN SQURE KIDS</t>
  </si>
  <si>
    <t>BRKBAF5501</t>
  </si>
  <si>
    <t>14FW BROWN_SQURE_CAP-01-GY_KIDS</t>
  </si>
  <si>
    <t>BRKBAF5501GY</t>
  </si>
  <si>
    <t>07</t>
  </si>
  <si>
    <t>BRK-동일모자-071-BRKBAF5501GREYOSM</t>
  </si>
  <si>
    <t>BRK-동일모자-071-BRKBAF5501GREYOML</t>
  </si>
  <si>
    <t>BRK-동일모자-07BRKBAF5501PK</t>
  </si>
  <si>
    <t>BRK-동일모자-072</t>
  </si>
  <si>
    <t>BRK-동일모자-072-BRKBAF5501PINKXSS</t>
  </si>
  <si>
    <t>14FW BROWN_SQURE_CAP-01-PK_KIDS</t>
  </si>
  <si>
    <t>BRKBAF5501PK</t>
  </si>
  <si>
    <t>BRK-동일모자-072-BRKBAF5501PINKOSM</t>
  </si>
  <si>
    <t>BRK-동일모자-072-BRKBAF5501PINKOML</t>
  </si>
  <si>
    <t>BRK-동일모자-07 TTL</t>
  </si>
  <si>
    <t>BRK-동일모자-08</t>
  </si>
  <si>
    <t>BRK-동일모자-08BRKERF5504WH</t>
  </si>
  <si>
    <t>BRK-동일모자-081</t>
  </si>
  <si>
    <t>BRK-동일모자-081-BRKERF5504WHITEXSS</t>
  </si>
  <si>
    <t>BRK의류외504</t>
  </si>
  <si>
    <t>BRKERF5504</t>
  </si>
  <si>
    <t>14FW BROWN_SQURE_CAP-06-WH_KIDS</t>
  </si>
  <si>
    <t>WH</t>
  </si>
  <si>
    <t>WHITE</t>
  </si>
  <si>
    <t>BRKERF5504WH</t>
  </si>
  <si>
    <t>BRK-동일모자-081-BRKERF5504WHITEOSM</t>
  </si>
  <si>
    <t>BRK-동일모자-081-BRKERF5504WHITEOML</t>
  </si>
  <si>
    <t>BRK-동일모자-08BRKERF5505RE</t>
  </si>
  <si>
    <t>BRK-동일모자-082</t>
  </si>
  <si>
    <t>BRK-동일모자-082-BRKERF5505REDOSM</t>
  </si>
  <si>
    <t>BRK의류외505</t>
  </si>
  <si>
    <t>BRKERF5505</t>
  </si>
  <si>
    <t>14FW BROWN_SQURE_CAP-08-RD_KIDS</t>
  </si>
  <si>
    <t>BRKERF5505RE</t>
  </si>
  <si>
    <t>BRK-동일모자-082-BRKERF5505REDOML</t>
  </si>
  <si>
    <t>BRK-동일모자-08BRKERF5506BK</t>
  </si>
  <si>
    <t>BRK-동일모자-083</t>
  </si>
  <si>
    <t>BRK-동일모자-083-BRKERF5506BLACKOSM</t>
  </si>
  <si>
    <t>BRK의류외506</t>
  </si>
  <si>
    <t>BRKERF5506</t>
  </si>
  <si>
    <t>14FW BROWN_SQURE_CAP-09-BK_KIDS</t>
  </si>
  <si>
    <t>BRKERF5506BK</t>
  </si>
  <si>
    <t>BRK-동일모자-083-BRKERF5506BLACKOML</t>
  </si>
  <si>
    <t>BRK-동일모자-08 TTL</t>
  </si>
  <si>
    <t>JOK-동일모자-10</t>
  </si>
  <si>
    <t>JOK-동일모자-10JOKERF5501IV</t>
  </si>
  <si>
    <t>JOK-동일모자-101</t>
  </si>
  <si>
    <t>JOK-동일모자-101-JOKERF5501IVORYFRE</t>
  </si>
  <si>
    <t>JOK의류외501</t>
  </si>
  <si>
    <t>14FW J</t>
  </si>
  <si>
    <t>JOKERF5501</t>
  </si>
  <si>
    <t>14FW JOIE BETE_01_IV_KIDS</t>
  </si>
  <si>
    <t>JOKERF5501IV</t>
  </si>
  <si>
    <t>JOK-동일모자-10 TTL</t>
  </si>
  <si>
    <t>JOK-KIDS FIRST TOYS-01</t>
  </si>
  <si>
    <t>JOK-KIDS FIRST TOYS-01JOKEBF5502PK</t>
  </si>
  <si>
    <t>JOK-KIDS FIRST TOYS-011</t>
  </si>
  <si>
    <t>JOK-KIDS FIRST TOYS-011-JOKEBF5502PINKXSS</t>
  </si>
  <si>
    <t>JOK의류외502</t>
  </si>
  <si>
    <t>JOKEBF5502</t>
  </si>
  <si>
    <t>14FW JOIE BETE_15_PK_KIDS</t>
  </si>
  <si>
    <t>JOKEBF5502PK</t>
  </si>
  <si>
    <t>KIDS FIRST TOYS</t>
  </si>
  <si>
    <t>JOK-KIDS FIRST TOYS-011-JOKEBF5502PINKFRE</t>
  </si>
  <si>
    <t>전략</t>
  </si>
  <si>
    <t>JOK-ACC</t>
  </si>
  <si>
    <t>JOK-KIDS FIRST TOYS-01JOKMUF5503PK</t>
  </si>
  <si>
    <t>JOK-KIDS FIRST TOYS-012</t>
  </si>
  <si>
    <t>JOK-KIDS FIRST TOYS-012-JOKMUF5503PINKFRE</t>
  </si>
  <si>
    <t>JOK의류외503</t>
  </si>
  <si>
    <t>MUFFLER</t>
  </si>
  <si>
    <t>JOKMUF5503</t>
  </si>
  <si>
    <t>14FW JOIE BETE_16_PK_KIDS</t>
  </si>
  <si>
    <t>JOKMUF5503PK</t>
  </si>
  <si>
    <t>JOK-KIDS FIRST TOYS-01JOKEDF5504PK</t>
  </si>
  <si>
    <t>JOK-KIDS FIRST TOYS-013</t>
  </si>
  <si>
    <t>JOK-KIDS FIRST TOYS-013-JOKEDF5504PINKOSM</t>
  </si>
  <si>
    <t>JOK의류외504</t>
  </si>
  <si>
    <t>ED</t>
  </si>
  <si>
    <t>MITTEN</t>
  </si>
  <si>
    <t>JOKEDF5504</t>
  </si>
  <si>
    <t>14FW JOIE BETE_17_PK_KIDS</t>
  </si>
  <si>
    <t>JOKEDF5504PK</t>
  </si>
  <si>
    <t>JOK-KIDS FIRST TOYS-013-JOKEDF5504PINKOML</t>
  </si>
  <si>
    <t>JOK-KIDS FIRST TOYS-01JOKEBF5505BL</t>
  </si>
  <si>
    <t>JOK-KIDS FIRST TOYS-014</t>
  </si>
  <si>
    <t>JOK-KIDS FIRST TOYS-014-JOKEBF5505BLUEXSS</t>
  </si>
  <si>
    <t>JOK의류외505</t>
  </si>
  <si>
    <t>JOKEBF5505</t>
  </si>
  <si>
    <t>14FW JOIE BETE_18_BL_KIDS</t>
  </si>
  <si>
    <t>JOKEBF5505BL</t>
  </si>
  <si>
    <t>JOK-KIDS FIRST TOYS-014-JOKEBF5505BLUEFRE</t>
  </si>
  <si>
    <t>JOK-KIDS FIRST TOYS-01JOKMUF5506BL</t>
  </si>
  <si>
    <t>JOK-KIDS FIRST TOYS-015</t>
  </si>
  <si>
    <t>JOK-KIDS FIRST TOYS-015-JOKMUF5506BLUEFRE</t>
  </si>
  <si>
    <t>JOK의류외506</t>
  </si>
  <si>
    <t>JOKMUF5506</t>
  </si>
  <si>
    <t>14FW JOIE BETE_19_BL_KIDS</t>
  </si>
  <si>
    <t>JOKMUF5506BL</t>
  </si>
  <si>
    <t>JOK-KIDS FIRST TOYS-01JOKEDF5507BL</t>
  </si>
  <si>
    <t>JOK-KIDS FIRST TOYS-016</t>
  </si>
  <si>
    <t>JOK-KIDS FIRST TOYS-016-JOKEDF5507BLUEOSM</t>
  </si>
  <si>
    <t>JOK의류외507</t>
  </si>
  <si>
    <t>JOKEDF5507</t>
  </si>
  <si>
    <t>14FW JOIE BETE_20_BL_KIDS</t>
  </si>
  <si>
    <t>JOKEDF5507BL</t>
  </si>
  <si>
    <t>JOK-KIDS FIRST TOYS-016-JOKEDF5507BLUEOML</t>
  </si>
  <si>
    <t>JOK-KIDS FIRST TOYS-01JOKEBF5508IV</t>
  </si>
  <si>
    <t>JOK-KIDS FIRST TOYS-017</t>
  </si>
  <si>
    <t>JOK-KIDS FIRST TOYS-017-JOKEBF5508IVORYXSS</t>
  </si>
  <si>
    <t>JOK의류외508</t>
  </si>
  <si>
    <t>JOKEBF5508</t>
  </si>
  <si>
    <t>14FW JOIE BETE_34_IV_KIDS
(JOIEBE5808IV)</t>
  </si>
  <si>
    <t>JOKEBF5508IV</t>
  </si>
  <si>
    <t>JOK-KIDS FIRST TOYS-017-JOKEBF5508IVORYFRE</t>
  </si>
  <si>
    <t>JOK-KIDS FIRST TOYS-01 TTL</t>
  </si>
  <si>
    <t>VBK-의류</t>
  </si>
  <si>
    <t>VBK-EVERGREEN-01</t>
  </si>
  <si>
    <t>VBK-EVERGREEN-01VBKTLF4503NY</t>
  </si>
  <si>
    <t>VBK-EVERGREEN-011</t>
  </si>
  <si>
    <t>VBK-EVERGREEN-011-VBKTLF4503NAVYXXS</t>
  </si>
  <si>
    <t>VBK의류503</t>
  </si>
  <si>
    <t>VBK</t>
  </si>
  <si>
    <t>14FW V</t>
  </si>
  <si>
    <t>VITAL BLUE KIDS</t>
  </si>
  <si>
    <t>TL</t>
  </si>
  <si>
    <t>LONG SLEEVES</t>
  </si>
  <si>
    <t>VBKTLF4503</t>
  </si>
  <si>
    <t>14FW VB_MTM_03_NV_KIDS</t>
  </si>
  <si>
    <t>VBKTLF4503NY</t>
  </si>
  <si>
    <t>XXS</t>
  </si>
  <si>
    <t>EVERGREEN</t>
  </si>
  <si>
    <t>VBK-EVERGREEN-011-VBKTLF4503NAVYOXS</t>
  </si>
  <si>
    <t>OXS</t>
  </si>
  <si>
    <t>VBK-EVERGREEN-011-VBKTLF4503NAVYOSS</t>
  </si>
  <si>
    <t>OSS</t>
  </si>
  <si>
    <t>VBK-EVERGREEN-011-VBKTLF4503NAVYOMM</t>
  </si>
  <si>
    <t>OMM</t>
  </si>
  <si>
    <t>VBK-EVERGREEN-011-VBKTLF4503NAVYOLL</t>
  </si>
  <si>
    <t>OLL</t>
  </si>
  <si>
    <t>VBK-EVERGREEN-011-VBKTLF4503NAVYOXL</t>
  </si>
  <si>
    <t>OXL</t>
  </si>
  <si>
    <t>VBK-EVERGREEN-01VBKTLF4503BU</t>
  </si>
  <si>
    <t>VBK-EVERGREEN-012</t>
  </si>
  <si>
    <t>VBK-EVERGREEN-012-VBKTLF4503BURGUNDYXXS</t>
  </si>
  <si>
    <t>14FW VB_MTM_03_BG_KIDS</t>
  </si>
  <si>
    <t>BU</t>
  </si>
  <si>
    <t>BURGUNDY</t>
  </si>
  <si>
    <t>VBKTLF4503BU</t>
  </si>
  <si>
    <t>VBK-EVERGREEN-012-VBKTLF4503BURGUNDYOXS</t>
  </si>
  <si>
    <t>VBK-EVERGREEN-012-VBKTLF4503BURGUNDYOSS</t>
  </si>
  <si>
    <t>VBK-EVERGREEN-012-VBKTLF4503BURGUNDYOMM</t>
  </si>
  <si>
    <t>VBK-EVERGREEN-012-VBKTLF4503BURGUNDYOLL</t>
  </si>
  <si>
    <t>VBK-EVERGREEN-012-VBKTLF4503BURGUNDYOXL</t>
  </si>
  <si>
    <t>VBK-EVERGREEN-01 TTL</t>
  </si>
  <si>
    <t>ELK-의류</t>
  </si>
  <si>
    <t>ELK-대경-01</t>
  </si>
  <si>
    <t>ELK-대경-01ELKJPF5502RE</t>
  </si>
  <si>
    <t>ELK-대경-011</t>
  </si>
  <si>
    <t>ELK-대경-011-ELKJPF5502REDOXS</t>
  </si>
  <si>
    <t>ELK의류502</t>
  </si>
  <si>
    <t>ELK</t>
  </si>
  <si>
    <t>14FW_E</t>
  </si>
  <si>
    <t>ELSTINKO KIDS</t>
  </si>
  <si>
    <t>JP</t>
  </si>
  <si>
    <t>JUMPER</t>
  </si>
  <si>
    <t>ELKJPF5502</t>
  </si>
  <si>
    <t>14FW_ELSTINKO_DOWN_JUMPER_05_RD_KIDS</t>
  </si>
  <si>
    <t>ELKJPF5502RE</t>
  </si>
  <si>
    <t>대경</t>
  </si>
  <si>
    <t>IN</t>
  </si>
  <si>
    <t>ELK-대경-011-ELKJPF5502REDOSS</t>
  </si>
  <si>
    <t>ELK-대경-011-ELKJPF5502REDOMM</t>
  </si>
  <si>
    <t>ELK-대경-011-ELKJPF5502REDOLL</t>
  </si>
  <si>
    <t>ELK-대경-01ELKJPF5502YE</t>
  </si>
  <si>
    <t>ELK-대경-012</t>
  </si>
  <si>
    <t>ELK-대경-012-ELKJPF5502YELLOWOXS</t>
  </si>
  <si>
    <t>14FW_ELSTINKO_DOWN_JUMPER_05_YE_KIDS</t>
  </si>
  <si>
    <t>ELKJPF5502YE</t>
  </si>
  <si>
    <t>ELK-대경-012-ELKJPF5502YELLOWOSS</t>
  </si>
  <si>
    <t>ELK-대경-012-ELKJPF5502YELLOWOMM</t>
  </si>
  <si>
    <t>ELK-대경-012-ELKJPF5502YELLOWOLL</t>
  </si>
  <si>
    <t>ELK-대경-01ELKJPF5502BL</t>
  </si>
  <si>
    <t>ELK-대경-013</t>
  </si>
  <si>
    <t>ELK-대경-013-ELKJPF5502BLUEOXS</t>
  </si>
  <si>
    <t>14FW_ELSTINKO_DOWN_JUMPER_05_BL_KIDS</t>
  </si>
  <si>
    <t>ELKJPF5502BL</t>
  </si>
  <si>
    <t>ELK-대경-013-ELKJPF5502BLUEOSS</t>
  </si>
  <si>
    <t>ELK-대경-013-ELKJPF5502BLUEOMM</t>
  </si>
  <si>
    <t>ELK-대경-013-ELKJPF5502BLUEOLL</t>
  </si>
  <si>
    <t>ELK-대경-014</t>
  </si>
  <si>
    <t>ELK의류503</t>
  </si>
  <si>
    <t>14FW E</t>
  </si>
  <si>
    <t>14FW ELSTINKO_PANTS_04_BK_KIDS</t>
  </si>
  <si>
    <t>ELK-대경-01ELKJPF5529PK</t>
  </si>
  <si>
    <t>ELK-대경-015</t>
  </si>
  <si>
    <t>ELK-대경-015-ELKJPF5529PINKOXS</t>
  </si>
  <si>
    <t>ELK의류529</t>
  </si>
  <si>
    <t>ELKJPF5529</t>
  </si>
  <si>
    <t>14FW_ELSTINKO_PADDING_JUMPER_06_PK_KIDS</t>
  </si>
  <si>
    <t>ELKJPF5529PK</t>
  </si>
  <si>
    <t>ELK-대경-015-ELKJPF5529PINKOSS</t>
  </si>
  <si>
    <t>ELK-대경-015-ELKJPF5529PINKOMM</t>
  </si>
  <si>
    <t>ELK-대경-015-ELKJPF5529PINKOLL</t>
  </si>
  <si>
    <t>ELK-대경-01ELKJPF5529OR</t>
  </si>
  <si>
    <t>ELK-대경-016</t>
  </si>
  <si>
    <t>ELK-대경-016-ELKJPF5529ORANGEOXS</t>
  </si>
  <si>
    <t>14FW_ELSTINKO_PADDING_JUMPER_06_OR_KIDS</t>
  </si>
  <si>
    <t>OR</t>
  </si>
  <si>
    <t>ORANGE</t>
  </si>
  <si>
    <t>ELKJPF5529OR</t>
  </si>
  <si>
    <t>ELK-대경-016-ELKJPF5529ORANGEOSS</t>
  </si>
  <si>
    <t>ELK-대경-016-ELKJPF5529ORANGEOMM</t>
  </si>
  <si>
    <t>ELK-대경-016-ELKJPF5529ORANGEOLL</t>
  </si>
  <si>
    <t>ELK-대경-01ELKVEF5530RE</t>
  </si>
  <si>
    <t>ELK-대경-017</t>
  </si>
  <si>
    <t>ELK-대경-017-ELKVEF5530REDOXS</t>
  </si>
  <si>
    <t>ELK의류530</t>
  </si>
  <si>
    <t>VE</t>
  </si>
  <si>
    <t>VEST (조끼)</t>
  </si>
  <si>
    <t>ELKVEF5530</t>
  </si>
  <si>
    <t>14FW_ELSTINKO_VEST_RED_01_KIDS</t>
  </si>
  <si>
    <t>ELKVEF5530RE</t>
  </si>
  <si>
    <t>ELK-대경-017-ELKVEF5530REDOSS</t>
  </si>
  <si>
    <t>ELK-대경-017-ELKVEF5530REDOMM</t>
  </si>
  <si>
    <t>ELK-대경-017-ELKVEF5530REDOLL</t>
  </si>
  <si>
    <t>ELK-대경-01 TTL</t>
  </si>
  <si>
    <t>ELK-EVERGREEN-02</t>
  </si>
  <si>
    <t>ELK-EVERGREEN-02ELKTLF4506BL</t>
  </si>
  <si>
    <t>ELK-EVERGREEN-021</t>
  </si>
  <si>
    <t>ELK-EVERGREEN-021-ELKTLF4506BLUEXXS</t>
  </si>
  <si>
    <t>ELK의류506</t>
  </si>
  <si>
    <t>ELKTLF4506</t>
  </si>
  <si>
    <t>14FW_ELSTINKO_MTM_05_BL_KIDS</t>
  </si>
  <si>
    <t>ELKTLF4506BL</t>
  </si>
  <si>
    <t>ELK-EVERGREEN-021-ELKTLF4506BLUEOXS</t>
  </si>
  <si>
    <t>ELK-EVERGREEN-021-ELKTLF4506BLUEOSS</t>
  </si>
  <si>
    <t>ELK-EVERGREEN-021-ELKTLF4506BLUEOMM</t>
  </si>
  <si>
    <t>ELK-EVERGREEN-021-ELKTLF4506BLUEOLL</t>
  </si>
  <si>
    <t>ELK-EVERGREEN-021-ELKTLF4506BLUEOXL</t>
  </si>
  <si>
    <t>ELK-EVERGREEN-02ELKTLF4506YE</t>
  </si>
  <si>
    <t>ELK-EVERGREEN-022</t>
  </si>
  <si>
    <t>ELK-EVERGREEN-022-ELKTLF4506YELLOWXXS</t>
  </si>
  <si>
    <t>14FW_ELSTINKO_MTM_05_YE_KIDS</t>
  </si>
  <si>
    <t>ELKTLF4506YE</t>
  </si>
  <si>
    <t>ELK-EVERGREEN-022-ELKTLF4506YELLOWOXS</t>
  </si>
  <si>
    <t>ELK-EVERGREEN-022-ELKTLF4506YELLOWOSS</t>
  </si>
  <si>
    <t>ELK-EVERGREEN-022-ELKTLF4506YELLOWOMM</t>
  </si>
  <si>
    <t>ELK-EVERGREEN-022-ELKTLF4506YELLOWOLL</t>
  </si>
  <si>
    <t>ELK-EVERGREEN-022-ELKTLF4506YELLOWOXL</t>
  </si>
  <si>
    <t>ELK-EVERGREEN-023</t>
  </si>
  <si>
    <t>ELK의류507</t>
  </si>
  <si>
    <t>PT</t>
  </si>
  <si>
    <t>PANTS</t>
  </si>
  <si>
    <t>14FW ELSTINKO_PANTS_02_RE_KIDS</t>
  </si>
  <si>
    <t>ELK-EVERGREEN-024</t>
  </si>
  <si>
    <t>14FW ELSTINKO_PANTS_02_YE_KIDS</t>
  </si>
  <si>
    <t>ELK-EVERGREEN-02 TTL</t>
  </si>
  <si>
    <t>ELK-아트인드림-03</t>
  </si>
  <si>
    <t>ELK-아트인드림-03ELKRPF5590GY</t>
  </si>
  <si>
    <t>ELK-아트인드림-031</t>
  </si>
  <si>
    <t>ELK-아트인드림-031-ELKRPF5590GREY03M</t>
  </si>
  <si>
    <t>ELK의류590</t>
  </si>
  <si>
    <t>RP</t>
  </si>
  <si>
    <t>ROMPER (롬퍼)</t>
  </si>
  <si>
    <t>I</t>
  </si>
  <si>
    <t>ELKRPF5590</t>
  </si>
  <si>
    <t>14FW_ELSTINKO_ROMPER_01_GY_BABY</t>
  </si>
  <si>
    <t>ELKRPF5590GY</t>
  </si>
  <si>
    <t>03M</t>
  </si>
  <si>
    <t>아트인드림</t>
  </si>
  <si>
    <t>ELK-아트인드림-031-ELKRPF5590GREY06M</t>
  </si>
  <si>
    <t>06M</t>
  </si>
  <si>
    <t>ELK-아트인드림-031-ELKRPF5590GREY12M</t>
  </si>
  <si>
    <t>12M</t>
  </si>
  <si>
    <t>18M</t>
  </si>
  <si>
    <t>ELK-아트인드림-03ELKRPF5590PK</t>
  </si>
  <si>
    <t>ELK-아트인드림-032</t>
  </si>
  <si>
    <t>ELK-아트인드림-032-ELKRPF5590PINK03M</t>
  </si>
  <si>
    <t>14FW_ELSTINKO_ROMPER_01_PK_BABY</t>
  </si>
  <si>
    <t>ELKRPF5590PK</t>
  </si>
  <si>
    <t>ELK-아트인드림-032-ELKRPF5590PINK06M</t>
  </si>
  <si>
    <t>ELK-아트인드림-032-ELKRPF5590PINK12M</t>
  </si>
  <si>
    <t>ELK-아트인드림-03ELKRPF5591PK</t>
  </si>
  <si>
    <t>ELK-아트인드림-033</t>
  </si>
  <si>
    <t>ELK-아트인드림-033-ELKRPF5591PINK03M</t>
  </si>
  <si>
    <t>ELK의류591</t>
  </si>
  <si>
    <t>ELKRPF5591</t>
  </si>
  <si>
    <t>14FW_ELSTINKO_ROMPER_02_PK_BABY</t>
  </si>
  <si>
    <t>ELKRPF5591PK</t>
  </si>
  <si>
    <t>ELK-아트인드림-033-ELKRPF5591PINK06M</t>
  </si>
  <si>
    <t>ELK-아트인드림-033-ELKRPF5591PINK12M</t>
  </si>
  <si>
    <t>ELK-아트인드림-033-ELKRPF5591PINK18M</t>
  </si>
  <si>
    <t>ELK-아트인드림-03ELKRPF5592BL</t>
  </si>
  <si>
    <t>ELK-아트인드림-034</t>
  </si>
  <si>
    <t>ELK-아트인드림-034-ELKRPF5592BLUE03M</t>
  </si>
  <si>
    <t>ELK의류592</t>
  </si>
  <si>
    <t>ELKRPF5592</t>
  </si>
  <si>
    <t>14FW_ELSTINKO_ROMPER_03_BL_BABY</t>
  </si>
  <si>
    <t>ELKRPF5592BL</t>
  </si>
  <si>
    <t>ELK-아트인드림-034-ELKRPF5592BLUE06M</t>
  </si>
  <si>
    <t>ELK-아트인드림-034-ELKRPF5592BLUE12M</t>
  </si>
  <si>
    <t>ELK-아트인드림-034-ELKRPF5592BLUE18M</t>
  </si>
  <si>
    <t>ELK-아트인드림-03ELKRPF5593MT</t>
  </si>
  <si>
    <t>ELK-아트인드림-035</t>
  </si>
  <si>
    <t>ELK의류593</t>
  </si>
  <si>
    <t>ELKRPF5593</t>
  </si>
  <si>
    <t>14FW_ELSTINKO_ROMPER_04_MT_BABY</t>
  </si>
  <si>
    <t>ELKRPF5593MT</t>
  </si>
  <si>
    <t>ELK-아트인드림-035-ELKRPF5593MINT06M</t>
  </si>
  <si>
    <t>ELK-아트인드림-035-ELKRPF5593MINT12M</t>
  </si>
  <si>
    <t>ELK-아트인드림-03 TTL</t>
  </si>
  <si>
    <t>ELK-대경-02</t>
  </si>
  <si>
    <t>ELK-대경-02ELKJPF5594NY</t>
  </si>
  <si>
    <t>ELK-대경-021</t>
  </si>
  <si>
    <t>ELK의류594</t>
  </si>
  <si>
    <t>ELKJPF5594</t>
  </si>
  <si>
    <t>14FW_ELSTINKO_ROMPER_05_EBONY_BABY</t>
  </si>
  <si>
    <t>ELKJPF5594NY</t>
  </si>
  <si>
    <t>ELK-대경-021-ELKJPF5594NAVY06M</t>
  </si>
  <si>
    <t>ELK-대경-021-ELKJPF5594NAVY12M</t>
  </si>
  <si>
    <t>ELK-대경-021-ELKJPF5594NAVY18M</t>
  </si>
  <si>
    <t>ELK-대경-02 TTL</t>
  </si>
  <si>
    <t>ELK-대경-03</t>
  </si>
  <si>
    <t>ELK-대경-03ELKTLF5511MT</t>
  </si>
  <si>
    <t>ELK-대경-031</t>
  </si>
  <si>
    <t>ELK-대경-031-ELKTLF5511MINTXXS</t>
  </si>
  <si>
    <t>ELK의류511</t>
  </si>
  <si>
    <t>ELKTLF5511</t>
  </si>
  <si>
    <t>14FW_ELSTINKO_MTM_21_MT_KIDS</t>
  </si>
  <si>
    <t>ELKTLF5511MT</t>
  </si>
  <si>
    <t>ELK-대경-031-ELKTLF5511MINTOXS</t>
  </si>
  <si>
    <t>ELK-대경-031-ELKTLF5511MINTOSS</t>
  </si>
  <si>
    <t>ELK-대경-031-ELKTLF5511MINTOMM</t>
  </si>
  <si>
    <t>ELK-대경-031-ELKTLF5511MINTOLL</t>
  </si>
  <si>
    <t>ELK-대경-031-ELKTLF5511MINTOXL</t>
  </si>
  <si>
    <t>ELK-대경-03ELKTLF5511PK</t>
  </si>
  <si>
    <t>ELK-대경-032</t>
  </si>
  <si>
    <t>ELK-대경-032-ELKTLF5511PINKXXS</t>
  </si>
  <si>
    <t>14FW_ELSTINKO_MTM_21_PK_KIDS</t>
  </si>
  <si>
    <t>ELKTLF5511PK</t>
  </si>
  <si>
    <t>ELK-대경-032-ELKTLF5511PINKOXS</t>
  </si>
  <si>
    <t>ELK-대경-032-ELKTLF5511PINKOSS</t>
  </si>
  <si>
    <t>ELK-대경-032-ELKTLF5511PINKOMM</t>
  </si>
  <si>
    <t>ELK-대경-032-ELKTLF5511PINKOLL</t>
  </si>
  <si>
    <t>ELK-대경-032-ELKTLF5511PINKOXL</t>
  </si>
  <si>
    <t>ELK-대경-03ELKHPF5513MT</t>
  </si>
  <si>
    <t>ELK-대경-033</t>
  </si>
  <si>
    <t>ELK-대경-033-ELKHPF5513MINTXXS</t>
  </si>
  <si>
    <t>ELK의류513</t>
  </si>
  <si>
    <t>HP</t>
  </si>
  <si>
    <t>HOODED JUMPER</t>
  </si>
  <si>
    <t>ELKHPF5513</t>
  </si>
  <si>
    <t>14FW_ELSTINKO_HOODZIP_01_MT_KIDS</t>
  </si>
  <si>
    <t>ELKHPF5513MT</t>
  </si>
  <si>
    <t>ELK-대경-033-ELKHPF5513MINTOXS</t>
  </si>
  <si>
    <t>ELK-대경-033-ELKHPF5513MINTOSS</t>
  </si>
  <si>
    <t>ELK-대경-033-ELKHPF5513MINTOMM</t>
  </si>
  <si>
    <t>ELK-대경-033-ELKHPF5513MINTOLL</t>
  </si>
  <si>
    <t>ELK-대경-033-ELKHPF5513MINTOXL</t>
  </si>
  <si>
    <t>ELK-대경-03ELKHPF5514PK</t>
  </si>
  <si>
    <t>ELK-대경-034</t>
  </si>
  <si>
    <t>ELK-대경-034-ELKHPF5514PINKXXS</t>
  </si>
  <si>
    <t>ELK의류514</t>
  </si>
  <si>
    <t>ELKHPF5514</t>
  </si>
  <si>
    <t>14FW_ELSTINKO_HOODZIP_02_PK_KIDS</t>
  </si>
  <si>
    <t>ELKHPF5514PK</t>
  </si>
  <si>
    <t>ELK-대경-034-ELKHPF5514PINKOXS</t>
  </si>
  <si>
    <t>ELK-대경-034-ELKHPF5514PINKOSS</t>
  </si>
  <si>
    <t>ELK-대경-034-ELKHPF5514PINKOMM</t>
  </si>
  <si>
    <t>ELK-대경-034-ELKHPF5514PINKOLL</t>
  </si>
  <si>
    <t>ELK-대경-034-ELKHPF5514PINKOXL</t>
  </si>
  <si>
    <t>ELK-대경-03ELKHPF5515RE</t>
  </si>
  <si>
    <t>ELK-대경-035</t>
  </si>
  <si>
    <t>ELK-대경-035-ELKHPF5515REDXXS</t>
  </si>
  <si>
    <t>ELK의류515</t>
  </si>
  <si>
    <t>ELKHPF5515</t>
  </si>
  <si>
    <t>14FW_ELSTINKO_HOODZIP_09_RE_KIDS</t>
  </si>
  <si>
    <t>ELKHPF5515RE</t>
  </si>
  <si>
    <t>ELK-대경-035-ELKHPF5515REDOXS</t>
  </si>
  <si>
    <t>ELK-대경-035-ELKHPF5515REDOSS</t>
  </si>
  <si>
    <t>ELK-대경-035-ELKHPF5515REDOMM</t>
  </si>
  <si>
    <t>ELK-대경-035-ELKHPF5515REDOLL</t>
  </si>
  <si>
    <t>ELK-대경-035-ELKHPF5515REDOXL</t>
  </si>
  <si>
    <t>ELK-대경-03ELKJPF5516BL</t>
  </si>
  <si>
    <t>ELK-대경-036</t>
  </si>
  <si>
    <t>ELK-대경-036-ELKJPF5516BLUEXXS</t>
  </si>
  <si>
    <t>ELK의류516</t>
  </si>
  <si>
    <t>ELKJPF5516</t>
  </si>
  <si>
    <t>14FW_ELSTINKO_JUMPER_01_BL_KIDS</t>
  </si>
  <si>
    <t>ELKJPF5516BL</t>
  </si>
  <si>
    <t>ELK-대경-036-ELKJPF5516BLUEOXS</t>
  </si>
  <si>
    <t>ELK-대경-036-ELKJPF5516BLUEOSS</t>
  </si>
  <si>
    <t>ELK-대경-036-ELKJPF5516BLUEOMM</t>
  </si>
  <si>
    <t>ELK-대경-036-ELKJPF5516BLUEOLL</t>
  </si>
  <si>
    <t>ELK-대경-036-ELKJPF5516BLUEOXL</t>
  </si>
  <si>
    <t>ELK-대경-03ELKJPF5516PK</t>
  </si>
  <si>
    <t>ELK-대경-037</t>
  </si>
  <si>
    <t>ELK-대경-037-ELKJPF5516PINKXXS</t>
  </si>
  <si>
    <t>14FW_ELSTINKO_JUMPER_01_PK_KIDS</t>
  </si>
  <si>
    <t>ELKJPF5516PK</t>
  </si>
  <si>
    <t>ELK-대경-037-ELKJPF5516PINKOXS</t>
  </si>
  <si>
    <t>ELK-대경-037-ELKJPF5516PINKOSS</t>
  </si>
  <si>
    <t>ELK-대경-037-ELKJPF5516PINKOMM</t>
  </si>
  <si>
    <t>ELK-대경-037-ELKJPF5516PINKOLL</t>
  </si>
  <si>
    <t>ELK-대경-037-ELKJPF5516PINKOXL</t>
  </si>
  <si>
    <t>ELK-대경-03 TTL</t>
  </si>
  <si>
    <t>ELK-아트인드림-04</t>
  </si>
  <si>
    <t>ELK-아트인드림-04ELKTHF5517BK</t>
  </si>
  <si>
    <t>ELK-아트인드림-041</t>
  </si>
  <si>
    <t>ELK-아트인드림-041-ELKTHF5517BLACKXXS</t>
  </si>
  <si>
    <t>ELK의류517</t>
  </si>
  <si>
    <t>TH</t>
  </si>
  <si>
    <t>HOODED T-SHIRTS</t>
  </si>
  <si>
    <t>ELKTHF5517</t>
  </si>
  <si>
    <t>14FW_ELSTINKO_HOOD_21_BK_KIDS</t>
  </si>
  <si>
    <t>ELKTHF5517BK</t>
  </si>
  <si>
    <t>ELK-아트인드림-041-ELKTHF5517BLACKOXS</t>
  </si>
  <si>
    <t>ELK-아트인드림-041-ELKTHF5517BLACKOSS</t>
  </si>
  <si>
    <t>ELK-아트인드림-041-ELKTHF5517BLACKOMM</t>
  </si>
  <si>
    <t>ELK-아트인드림-041-ELKTHF5517BLACKOLL</t>
  </si>
  <si>
    <t>ELK-아트인드림-041-ELKTHF5517BLACKOXL</t>
  </si>
  <si>
    <t>ELK-아트인드림-04ELKTHF5517RE</t>
  </si>
  <si>
    <t>ELK-아트인드림-042</t>
  </si>
  <si>
    <t>ELK-아트인드림-042-ELKTHF5517REDXXS</t>
  </si>
  <si>
    <t>14FW_ELSTINKO_HOOD_21_RE_KIDS</t>
  </si>
  <si>
    <t>ELKTHF5517RE</t>
  </si>
  <si>
    <t>ELK-아트인드림-042-ELKTHF5517REDOXS</t>
  </si>
  <si>
    <t>ELK-아트인드림-042-ELKTHF5517REDOSS</t>
  </si>
  <si>
    <t>ELK-아트인드림-042-ELKTHF5517REDOMM</t>
  </si>
  <si>
    <t>ELK-아트인드림-042-ELKTHF5517REDOLL</t>
  </si>
  <si>
    <t>ELK-아트인드림-042-ELKTHF5517REDOXL</t>
  </si>
  <si>
    <t>ELK-아트인드림-04ELKTHF5518YE</t>
  </si>
  <si>
    <t>ELK-아트인드림-043</t>
  </si>
  <si>
    <t>ELK-아트인드림-043-ELKTHF5518YELLOWXXS</t>
  </si>
  <si>
    <t>ELK의류518</t>
  </si>
  <si>
    <t>ELKTHF5518</t>
  </si>
  <si>
    <t>14FW_ELSTINKO_HOOD_03_YE_KIDS</t>
  </si>
  <si>
    <t>ELKTHF5518YE</t>
  </si>
  <si>
    <t>ELK-아트인드림-043-ELKTHF5518YELLOWOXS</t>
  </si>
  <si>
    <t>ELK-아트인드림-043-ELKTHF5518YELLOWOSS</t>
  </si>
  <si>
    <t>ELK-아트인드림-043-ELKTHF5518YELLOWOMM</t>
  </si>
  <si>
    <t>ELK-아트인드림-043-ELKTHF5518YELLOWOLL</t>
  </si>
  <si>
    <t>ELK-아트인드림-043-ELKTHF5518YELLOWOXL</t>
  </si>
  <si>
    <t>ELK-아트인드림-04 TTL</t>
  </si>
  <si>
    <t>ELK-EVERGREEN-03</t>
  </si>
  <si>
    <t>ELK-EVERGREEN-03ELKTLF5510NY</t>
  </si>
  <si>
    <t>ELK-EVERGREEN-031</t>
  </si>
  <si>
    <t>ELK-EVERGREEN-031-ELKTLF5510NAVYXXS</t>
  </si>
  <si>
    <t>ELK의류510</t>
  </si>
  <si>
    <t>ELKTLF5510</t>
  </si>
  <si>
    <t>14FW_ELSTINKO_MTM_14_NY_KIDS</t>
  </si>
  <si>
    <t>ELKTLF5510NY</t>
  </si>
  <si>
    <t>ELK-EVERGREEN-031-ELKTLF5510NAVYOXS</t>
  </si>
  <si>
    <t>ELK-EVERGREEN-031-ELKTLF5510NAVYOSS</t>
  </si>
  <si>
    <t>ELK-EVERGREEN-031-ELKTLF5510NAVYOMM</t>
  </si>
  <si>
    <t>ELK-EVERGREEN-031-ELKTLF5510NAVYOLL</t>
  </si>
  <si>
    <t>ELK-EVERGREEN-031-ELKTLF5510NAVYOXL</t>
  </si>
  <si>
    <t>ELK-EVERGREEN-03ELKTLF5521RE</t>
  </si>
  <si>
    <t>ELK-EVERGREEN-032</t>
  </si>
  <si>
    <t>ELK-EVERGREEN-032-ELKTLF5521REDXXS</t>
  </si>
  <si>
    <t>ELK의류521</t>
  </si>
  <si>
    <t>ELKTLF5521</t>
  </si>
  <si>
    <t>14FW_ELSTINKO_MTM_13_RE_KIDS</t>
  </si>
  <si>
    <t>ELKTLF5521RE</t>
  </si>
  <si>
    <t>ELK-EVERGREEN-032-ELKTLF5521REDOXS</t>
  </si>
  <si>
    <t>ELK-EVERGREEN-032-ELKTLF5521REDOSS</t>
  </si>
  <si>
    <t>ELK-EVERGREEN-032-ELKTLF5521REDOMM</t>
  </si>
  <si>
    <t>ELK-EVERGREEN-032-ELKTLF5521REDOLL</t>
  </si>
  <si>
    <t>ELK-EVERGREEN-032-ELKTLF5521REDOXL</t>
  </si>
  <si>
    <t>ELK-EVERGREEN-03ELKTHF5522BL</t>
  </si>
  <si>
    <t>ELK-EVERGREEN-033</t>
  </si>
  <si>
    <t>ELK-EVERGREEN-033-ELKTHF5522BLUEXXS</t>
  </si>
  <si>
    <t>ELK의류522</t>
  </si>
  <si>
    <t>ELKTHF5522</t>
  </si>
  <si>
    <t>14FW_ELSTINKO_HOOD_01_BL_KIDS</t>
  </si>
  <si>
    <t>ELKTHF5522BL</t>
  </si>
  <si>
    <t>ELK-EVERGREEN-033-ELKTHF5522BLUEOXS</t>
  </si>
  <si>
    <t>ELK-EVERGREEN-033-ELKTHF5522BLUEOSS</t>
  </si>
  <si>
    <t>ELK-EVERGREEN-033-ELKTHF5522BLUEOMM</t>
  </si>
  <si>
    <t>ELK-EVERGREEN-033-ELKTHF5522BLUEOLL</t>
  </si>
  <si>
    <t>ELK-EVERGREEN-033-ELKTHF5522BLUEOXL</t>
  </si>
  <si>
    <t>ELK-EVERGREEN-03ELKTHF5522PK</t>
  </si>
  <si>
    <t>ELK-EVERGREEN-034</t>
  </si>
  <si>
    <t>ELK-EVERGREEN-034-ELKTHF5522PINKXXS</t>
  </si>
  <si>
    <t>14FW_ELSTINKO_HOOD_01_PK_KIDS</t>
  </si>
  <si>
    <t>ELKTHF5522PK</t>
  </si>
  <si>
    <t>ELK-EVERGREEN-034-ELKTHF5522PINKOXS</t>
  </si>
  <si>
    <t>ELK-EVERGREEN-034-ELKTHF5522PINKOSS</t>
  </si>
  <si>
    <t>ELK-EVERGREEN-034-ELKTHF5522PINKOMM</t>
  </si>
  <si>
    <t>ELK-EVERGREEN-034-ELKTHF5522PINKOLL</t>
  </si>
  <si>
    <t>ELK-EVERGREEN-034-ELKTHF5522PINKOXL</t>
  </si>
  <si>
    <t>ELK-EVERGREEN-03ELKPTF5524BK</t>
  </si>
  <si>
    <t>ELK-EVERGREEN-035</t>
  </si>
  <si>
    <t>ELK-EVERGREEN-035-ELKPTF5524BLACKOXS</t>
  </si>
  <si>
    <t>ELK의류524</t>
  </si>
  <si>
    <t>ELKPTF5524</t>
  </si>
  <si>
    <t>14FW ELSTINKO_PANTS_03_BK_KIDS</t>
  </si>
  <si>
    <t>ELKPTF5524BK</t>
  </si>
  <si>
    <t>ELK-EVERGREEN-035-ELKPTF5524BLACKOSS</t>
  </si>
  <si>
    <t>ELK-EVERGREEN-035-ELKPTF5524BLACKOMM</t>
  </si>
  <si>
    <t>ELK-EVERGREEN-035-ELKPTF5524BLACKOLL</t>
  </si>
  <si>
    <t>ELK-EVERGREEN-035-ELKPTF5524BLACKOXL</t>
  </si>
  <si>
    <t>ELK-EVERGREEN-03 TTL</t>
  </si>
  <si>
    <t>ELK의류526</t>
  </si>
  <si>
    <t>ELKTLF5526</t>
  </si>
  <si>
    <t>14FW_ELSTINKO_MTM_20_BK_KIDS</t>
  </si>
  <si>
    <t>ELKTLF5526BK</t>
  </si>
  <si>
    <t>VT</t>
  </si>
  <si>
    <t>URK</t>
  </si>
  <si>
    <t>URK-J&amp;F-01</t>
  </si>
  <si>
    <t>URK-J&amp;F-01URKSNF3503NY</t>
  </si>
  <si>
    <t>URK-J&amp;F-011</t>
  </si>
  <si>
    <t>URK-J&amp;F-011-URKSNF3503NAVYOSM</t>
  </si>
  <si>
    <t>URK의류외503</t>
  </si>
  <si>
    <t>14SS_U</t>
  </si>
  <si>
    <t>URBAN SWAGGER KIDS</t>
  </si>
  <si>
    <t>URKSNF3503</t>
  </si>
  <si>
    <t>14SS_URBAN SWAGGER_69_FLAT_NV_KIDS</t>
  </si>
  <si>
    <t>URKSNF3503NY</t>
  </si>
  <si>
    <t>J&amp;F</t>
  </si>
  <si>
    <t>URK-J&amp;F-011-URKSNF3503NAVYOML</t>
  </si>
  <si>
    <t>URK-J&amp;F-01URKSNF3503YE</t>
  </si>
  <si>
    <t>URK-J&amp;F-012</t>
  </si>
  <si>
    <t>URK-J&amp;F-012-URKSNF3503YELLOWOSM</t>
  </si>
  <si>
    <t>14SS_URBAN SWAGGER_69_FLAT_YL_KIDS</t>
  </si>
  <si>
    <t>URKSNF3503YE</t>
  </si>
  <si>
    <t>URK-J&amp;F-012-URKSNF3503YELLOWOML</t>
  </si>
  <si>
    <t>URK-J&amp;F-01 TTL</t>
  </si>
  <si>
    <t>URK-QF-03</t>
  </si>
  <si>
    <t>URK-QF-03URKSNF3505BL</t>
  </si>
  <si>
    <t>URK-QF-031</t>
  </si>
  <si>
    <t>URK-QF-031-URKSNF3505BLUEXSS</t>
  </si>
  <si>
    <t>URK의류외505</t>
  </si>
  <si>
    <t>URKSNF3505</t>
  </si>
  <si>
    <t>14SS_URBAN SWAGGER_42_FLAT_BL_KIDS</t>
  </si>
  <si>
    <t>URKSNF3505BL</t>
  </si>
  <si>
    <t>QF</t>
  </si>
  <si>
    <t>URK-QF-031-URKSNF3505BLUEOSM</t>
  </si>
  <si>
    <t>URK-QF-031-URKSNF3505BLUEOML</t>
  </si>
  <si>
    <t>URK-QF-03URKSNF3506BK</t>
  </si>
  <si>
    <t>URK-QF-032</t>
  </si>
  <si>
    <t>URK-QF-032-URKSNF3506BLACKXSS</t>
  </si>
  <si>
    <t>URK의류외506</t>
  </si>
  <si>
    <t>URKSNF3506</t>
  </si>
  <si>
    <t>14SS_URBAN SWAGGER_39_FLAT_BK_KIDS</t>
  </si>
  <si>
    <t>URKSNF3506BK</t>
  </si>
  <si>
    <t>URK-QF-032-URKSNF3506BLACKOSM</t>
  </si>
  <si>
    <t>URK-QF-032-URKSNF3506BLACKOML</t>
  </si>
  <si>
    <t>URK-QF-03URKSNF3507GY</t>
  </si>
  <si>
    <t>URK-QF-033</t>
  </si>
  <si>
    <t>URK-QF-033-URKSNF3507GREYXSS</t>
  </si>
  <si>
    <t>URK의류외507</t>
  </si>
  <si>
    <t>URKSNF3507</t>
  </si>
  <si>
    <t>14SS_URBAN SWAGGER_40_FLAT_GY_KIDS</t>
  </si>
  <si>
    <t>URKSNF3507GY</t>
  </si>
  <si>
    <t>URK-QF-033-URKSNF3507GREYOSM</t>
  </si>
  <si>
    <t>URK-QF-033-URKSNF3507GREYOML</t>
  </si>
  <si>
    <t>URK-QF-03URKSNF3507BK</t>
  </si>
  <si>
    <t>URK-QF-034</t>
  </si>
  <si>
    <t>URK-QF-034-URKSNF3507BLACKOSM</t>
  </si>
  <si>
    <t>14SS_URBAN SWAGGER_40_FLAT_BK_KIDS</t>
  </si>
  <si>
    <t>URKSNF3507BK</t>
  </si>
  <si>
    <t>URK-QF-034-URKSNF3507BLACKOML</t>
  </si>
  <si>
    <t>URK-QF-03 TTL</t>
  </si>
  <si>
    <t>URK-QF-04</t>
  </si>
  <si>
    <t>URK-QF-04URKSNF3508GY</t>
  </si>
  <si>
    <t>URK-QF-041</t>
  </si>
  <si>
    <t>URK-QF-041-URKSNF3508GREYXSS</t>
  </si>
  <si>
    <t>URK의류외508</t>
  </si>
  <si>
    <t>14FW_U</t>
  </si>
  <si>
    <t>URKSNF3508</t>
  </si>
  <si>
    <t>14FW_URBAN SWAGGER_02_FLAT_GY_KIDS</t>
  </si>
  <si>
    <t>URKSNF3508GY</t>
  </si>
  <si>
    <t>URK-QF-041-URKSNF3508GREYOSM</t>
  </si>
  <si>
    <t>URK-QF-041-URKSNF3508GREYOML</t>
  </si>
  <si>
    <t>URK-QF-04URKSNF3509BK</t>
  </si>
  <si>
    <t>URK-QF-042</t>
  </si>
  <si>
    <t>URK-QF-042-URKSNF3509BLACKXSS</t>
  </si>
  <si>
    <t>URK의류외509</t>
  </si>
  <si>
    <t>URKSNF3509</t>
  </si>
  <si>
    <t>14FW_URBAN SWAGGER_03_FLAT_BK_KIDS</t>
  </si>
  <si>
    <t>URKSNF3509BK</t>
  </si>
  <si>
    <t>URK-QF-042-URKSNF3509BLACKOSM</t>
  </si>
  <si>
    <t>URK-QF-042-URKSNF3509BLACKOML</t>
  </si>
  <si>
    <t>URK-QF-04URKSNF3510PK</t>
  </si>
  <si>
    <t>URK-QF-043</t>
  </si>
  <si>
    <t>URK-QF-043-URKSNF3510PINKXSS</t>
  </si>
  <si>
    <t>URK의류외510</t>
  </si>
  <si>
    <t>URKSNF3510</t>
  </si>
  <si>
    <t>14FW_URBAN SWAGGER_09_FLAT_PK_KIDS</t>
  </si>
  <si>
    <t>URKSNF3510PK</t>
  </si>
  <si>
    <t>URK-QF-043-URKSNF3510PINKOSM</t>
  </si>
  <si>
    <t>URK-QF-043-URKSNF3510PINKOML</t>
  </si>
  <si>
    <t>URK-QF-04 TTL</t>
  </si>
  <si>
    <t>URK-캡보이2-02</t>
  </si>
  <si>
    <t>URK-캡보이2-02URKSNF3511RE</t>
  </si>
  <si>
    <t>URK-캡보이2-021</t>
  </si>
  <si>
    <t>URK-캡보이2-021-URKSNF3511REDOSM</t>
  </si>
  <si>
    <t>URK의류외511</t>
  </si>
  <si>
    <t>URKSNF3511</t>
  </si>
  <si>
    <t>14FW_URBAN SWAGGER_13_FLAT_RD_KIDS</t>
  </si>
  <si>
    <t>URKSNF3511RE</t>
  </si>
  <si>
    <t>캡보이2</t>
  </si>
  <si>
    <t>URK-캡보이2-021-URKSNF3511REDOML</t>
  </si>
  <si>
    <t>URK-캡보이2-02URKSNF3511GY</t>
  </si>
  <si>
    <t>URK-캡보이2-022</t>
  </si>
  <si>
    <t>URK-캡보이2-022-URKSNF3511GREYOSM</t>
  </si>
  <si>
    <t>14FW_URBAN SWAGGER_13_FLAT_GY_KIDS</t>
  </si>
  <si>
    <t>URKSNF3511GY</t>
  </si>
  <si>
    <t>URK-캡보이2-022-URKSNF3511GREYOML</t>
  </si>
  <si>
    <t>URK-캡보이2-02 TTL</t>
  </si>
  <si>
    <t>URK-QF-05</t>
  </si>
  <si>
    <t>URK-QF-05URKERF5517BK</t>
  </si>
  <si>
    <t>URK-QF-051</t>
  </si>
  <si>
    <t>URK-QF-051-URKERF5517BLACKOSM</t>
  </si>
  <si>
    <t>URK의류외517</t>
  </si>
  <si>
    <t>URKERF5517</t>
  </si>
  <si>
    <t>14FW_URBAN SWAGGER_20_EAR FLAP_BK_KIDS</t>
  </si>
  <si>
    <t>URKERF5517BK</t>
  </si>
  <si>
    <t>URK-QF-051-URKERF5517BLACKOML</t>
  </si>
  <si>
    <t>URK-QF-05URKERF5518GY</t>
  </si>
  <si>
    <t>URK-QF-052</t>
  </si>
  <si>
    <t>URK-QF-052-URKERF5518GREYOSM</t>
  </si>
  <si>
    <t>URK의류외518</t>
  </si>
  <si>
    <t>URKERF5518</t>
  </si>
  <si>
    <t>14FW_URBAN SWAGGER_21_EAR FLAP_GY_KIDS</t>
  </si>
  <si>
    <t>URKERF5518GY</t>
  </si>
  <si>
    <t>URK-QF-052-URKERF5518GREYOML</t>
  </si>
  <si>
    <t>URK-QF-05 TTL</t>
  </si>
  <si>
    <t>VBK-FOREMOST-06</t>
  </si>
  <si>
    <t>VBK-FOREMOST-06VBKBAF5504BK</t>
  </si>
  <si>
    <t>VBK-FOREMOST-061</t>
  </si>
  <si>
    <t>VBK-FOREMOST-061-VBKBAF5504BLACKOSM</t>
  </si>
  <si>
    <t>VBK의류외504</t>
  </si>
  <si>
    <t>VBKBAF5504</t>
  </si>
  <si>
    <t>14FW VB 02_WIRE_BK_KIDS</t>
  </si>
  <si>
    <t>VBKBAF5504BK</t>
  </si>
  <si>
    <t>VBK-FOREMOST-061-VBKBAF5504BLACKOML</t>
  </si>
  <si>
    <t>VBK-FOREMOST-06VBKBAF5504PK</t>
  </si>
  <si>
    <t>VBK-FOREMOST-062</t>
  </si>
  <si>
    <t>VBK-FOREMOST-062-VBKBAF5504PINKOSM</t>
  </si>
  <si>
    <t>14FW VB 02_WIRE_PK_KIDS</t>
  </si>
  <si>
    <t>VBKBAF5504PK</t>
  </si>
  <si>
    <t>VBK-FOREMOST-062-VBKBAF5504PINKOML</t>
  </si>
  <si>
    <t>VBK-FOREMOST-06 TTL</t>
  </si>
  <si>
    <t>VBK-FOREMOST-07</t>
  </si>
  <si>
    <t>VBK-FOREMOST-07VBKERF5506GY</t>
  </si>
  <si>
    <t>VBK-FOREMOST-071</t>
  </si>
  <si>
    <t>VBK-FOREMOST-071-VBKERF5506GREYOSM</t>
  </si>
  <si>
    <t>VBK의류외506</t>
  </si>
  <si>
    <t>VBKERF5506</t>
  </si>
  <si>
    <t>14FW VB 04_WIRE_GY_KIDS</t>
  </si>
  <si>
    <t>VBKERF5506GY</t>
  </si>
  <si>
    <t>VBK-FOREMOST-071-VBKERF5506GREYOML</t>
  </si>
  <si>
    <t>VBK-FOREMOST-07VBKERF5507GY</t>
  </si>
  <si>
    <t>VBK-FOREMOST-072</t>
  </si>
  <si>
    <t>VBK-FOREMOST-072-VBKERF5507GREYOSM</t>
  </si>
  <si>
    <t>VBK의류외507</t>
  </si>
  <si>
    <t>VBKERF5507</t>
  </si>
  <si>
    <t>14FW VB 11_WIRE_GY_KIDS</t>
  </si>
  <si>
    <t>VBKERF5507GY</t>
  </si>
  <si>
    <t>VBK-FOREMOST-072-VBKERF5507GREYOML</t>
  </si>
  <si>
    <t>VBK-FOREMOST-07VBKERF5508PK</t>
  </si>
  <si>
    <t>VBK-FOREMOST-073</t>
  </si>
  <si>
    <t>VBK-FOREMOST-073-VBKERF5508PINKXSS</t>
  </si>
  <si>
    <t>VBK의류외508</t>
  </si>
  <si>
    <t>VBKERF5508</t>
  </si>
  <si>
    <t>14FW VB 07_WIRE_PK_KIDS</t>
  </si>
  <si>
    <t>VBKERF5508PK</t>
  </si>
  <si>
    <t>VBK-FOREMOST-073-VBKERF5508PINKOSM</t>
  </si>
  <si>
    <t>VBK-FOREMOST-073-VBKERF5508PINKOML</t>
  </si>
  <si>
    <t>VBK-FOREMOST-07VBKERF5508YE</t>
  </si>
  <si>
    <t>VBK-FOREMOST-074</t>
  </si>
  <si>
    <t>VBK-FOREMOST-074-VBKERF5508YELLOWXSS</t>
  </si>
  <si>
    <t>14FW VB 07_WIRE_YE_KIDS</t>
  </si>
  <si>
    <t>VBKERF5508YE</t>
  </si>
  <si>
    <t>VBK-FOREMOST-074-VBKERF5508YELLOWOSM</t>
  </si>
  <si>
    <t>VBK-FOREMOST-074-VBKERF5508YELLOWOML</t>
  </si>
  <si>
    <t>VBK-FOREMOST-07 TTL</t>
  </si>
  <si>
    <t>HCK</t>
  </si>
  <si>
    <t>HCK-동일모자-09</t>
  </si>
  <si>
    <t>HCK-동일모자-09HCKMIF5501NY</t>
  </si>
  <si>
    <t>HCK-동일모자-091</t>
  </si>
  <si>
    <t>HCK-동일모자-091-HCKMIF5501NAVYXSS</t>
  </si>
  <si>
    <t>HCK의류외501</t>
  </si>
  <si>
    <t>14FW H</t>
  </si>
  <si>
    <t>H.COUSTIC KIDS</t>
  </si>
  <si>
    <t>HCKMIF5501</t>
  </si>
  <si>
    <t>14FW H.coustic CAP-04_NY_KIDS</t>
  </si>
  <si>
    <t>HCKMIF5501NY</t>
  </si>
  <si>
    <t>HCK-동일모자-091-HCKMIF5501NAVYOSM</t>
  </si>
  <si>
    <t>HCK-동일모자-091-HCKMIF5501NAVYOML</t>
  </si>
  <si>
    <t>HCK-동일모자-09 TTL</t>
  </si>
  <si>
    <t>URK의류외519</t>
  </si>
  <si>
    <t>URKBEF5519</t>
  </si>
  <si>
    <t>14FW_URBAN SWAGGER_03_KNIT_BK_KIDS</t>
  </si>
  <si>
    <t>URKBEF5519BK</t>
  </si>
  <si>
    <t>14FW_URBAN SWAGGER_03_KNIT_RE_KIDS</t>
  </si>
  <si>
    <t>URKBEF5519RE</t>
  </si>
  <si>
    <t>ELK-FOREMOST-01</t>
  </si>
  <si>
    <t>ELK-FOREMOST-01ELKTPF5821MT</t>
  </si>
  <si>
    <t>ELK-FOREMOST-011</t>
  </si>
  <si>
    <t>ELK-FOREMOST-011-ELKTPF5821MINTFRE</t>
  </si>
  <si>
    <t>ELK의류외821</t>
  </si>
  <si>
    <t>13FW E</t>
  </si>
  <si>
    <t>ELKTPF5821</t>
  </si>
  <si>
    <t>13FW ELS 
22_WIRE_MIT_KIDS</t>
  </si>
  <si>
    <t>ELKTPF5821MT</t>
  </si>
  <si>
    <t>ELK-FOREMOST-01ELKTPF5801NY</t>
  </si>
  <si>
    <t>ELK-FOREMOST-012</t>
  </si>
  <si>
    <t>ELK-FOREMOST-012-ELKTPF5801NAVYFRE</t>
  </si>
  <si>
    <t>ELK의류외801</t>
  </si>
  <si>
    <t>ELKTPF5801</t>
  </si>
  <si>
    <t>13FW ELS 07_TROOPER_NV_KIDS</t>
  </si>
  <si>
    <t>ELKTPF5801NY</t>
  </si>
  <si>
    <t>ELK-FOREMOST-01 TTL</t>
  </si>
  <si>
    <t>ELK-성진-05</t>
  </si>
  <si>
    <t>ELK-성진-05ELKSNF5503RE</t>
  </si>
  <si>
    <t>ELK-성진-051</t>
  </si>
  <si>
    <t>ELK-성진-051-ELKSNF5503REDXSS</t>
  </si>
  <si>
    <t>ELK의류외503</t>
  </si>
  <si>
    <t>ELKSNF5503</t>
  </si>
  <si>
    <t>14FW ELS_06_SNAP_RD_KIDS</t>
  </si>
  <si>
    <t>ELKSNF5503RE</t>
  </si>
  <si>
    <t>ELK-성진-051-ELKSNF5503REDOSM</t>
  </si>
  <si>
    <t>ELK-성진-051-ELKSNF5503REDOML</t>
  </si>
  <si>
    <t>ELK-성진-05 TTL</t>
  </si>
  <si>
    <t>ELK-동일모자-03</t>
  </si>
  <si>
    <t>ELK-동일모자-03ELKBAF5506GR</t>
  </si>
  <si>
    <t>ELK-동일모자-031</t>
  </si>
  <si>
    <t>ELK-동일모자-031-ELKBAF5506GREENOSM</t>
  </si>
  <si>
    <t>ELK의류외506</t>
  </si>
  <si>
    <t>ELKBAF5506</t>
  </si>
  <si>
    <t>14FW ELS_53_SNAP_GR_KIDS</t>
  </si>
  <si>
    <t>ELKBAF5506GR</t>
  </si>
  <si>
    <t>ELK-동일모자-031-ELKBAF5506GREENOML</t>
  </si>
  <si>
    <t>ELK-동일모자-03ELKBAF5507RE</t>
  </si>
  <si>
    <t>ELK-동일모자-032</t>
  </si>
  <si>
    <t>ELK-동일모자-032-ELKBAF5507REDXSS</t>
  </si>
  <si>
    <t>ELK의류외507</t>
  </si>
  <si>
    <t>ELKBAF5507</t>
  </si>
  <si>
    <t>14FW ELS_52_SNAP_RD_KIDS</t>
  </si>
  <si>
    <t>ELKBAF5507RE</t>
  </si>
  <si>
    <t>ELK-동일모자-032-ELKBAF5507REDOSM</t>
  </si>
  <si>
    <t>ELK-동일모자-032-ELKBAF5507REDOML</t>
  </si>
  <si>
    <t>ELK-동일모자-03ELKBAF5508PK</t>
  </si>
  <si>
    <t>ELK-동일모자-033</t>
  </si>
  <si>
    <t>ELK-동일모자-033-ELKBAF5508PINKXSS</t>
  </si>
  <si>
    <t>ELK의류외508</t>
  </si>
  <si>
    <t>ELKBAF5508</t>
  </si>
  <si>
    <t>14FW ELS_52_SNAP_PK_KIDS</t>
  </si>
  <si>
    <t>ELKBAF5508PK</t>
  </si>
  <si>
    <t>ELK-동일모자-033-ELKBAF5508PINKOSM</t>
  </si>
  <si>
    <t>ELK-동일모자-033-ELKBAF5508PINKOML</t>
  </si>
  <si>
    <t>ELK-동일모자-03 TTL</t>
  </si>
  <si>
    <t>ELK-동일모자-04</t>
  </si>
  <si>
    <t>ELK-동일모자-04ELKERF5511GR</t>
  </si>
  <si>
    <t>ELK-동일모자-041</t>
  </si>
  <si>
    <t>ELK-동일모자-041-ELKERF5511GREENOSM</t>
  </si>
  <si>
    <t>ELK의류외511</t>
  </si>
  <si>
    <t>ELKERF5511</t>
  </si>
  <si>
    <t>14FW ELS_02_SNAP_GR_KIDS</t>
  </si>
  <si>
    <t>ELKERF5511GR</t>
  </si>
  <si>
    <t>ELK-동일모자-041-ELKERF5511GREENOML</t>
  </si>
  <si>
    <t>ELK-동일모자-04ELKERF5512RE</t>
  </si>
  <si>
    <t>ELK-동일모자-042</t>
  </si>
  <si>
    <t>ELK-동일모자-042-ELKERF5512REDOSM</t>
  </si>
  <si>
    <t>ELK의류외512</t>
  </si>
  <si>
    <t>ELKERF5512</t>
  </si>
  <si>
    <t>14FW ELS_01_SNAP_RD_KIDS</t>
  </si>
  <si>
    <t>ELKERF5512RE</t>
  </si>
  <si>
    <t>ELK-동일모자-042-ELKERF5512REDOML</t>
  </si>
  <si>
    <t>ELK-동일모자-04ELKERF5513PK</t>
  </si>
  <si>
    <t>ELK-동일모자-043</t>
  </si>
  <si>
    <t>ELK-동일모자-043-ELKERF5513PINKOSM</t>
  </si>
  <si>
    <t>ELK의류외513</t>
  </si>
  <si>
    <t>ELKERF5513</t>
  </si>
  <si>
    <t>14FW ELS_05_SNAP_PK_KIDS</t>
  </si>
  <si>
    <t>ELKERF5513PK</t>
  </si>
  <si>
    <t>ELK-동일모자-043-ELKERF5513PINKOML</t>
  </si>
  <si>
    <t>ELK-동일모자-04 TTL</t>
  </si>
  <si>
    <t>ELK-FOREMOST-10</t>
  </si>
  <si>
    <t>ELK-FOREMOST-10ELKERF5516OR</t>
  </si>
  <si>
    <t>ELK-FOREMOST-101</t>
  </si>
  <si>
    <t>ELK-FOREMOST-101-ELKERF5516ORANGEXSS</t>
  </si>
  <si>
    <t>ELK의류외516</t>
  </si>
  <si>
    <t>ELKERF5516</t>
  </si>
  <si>
    <t>14FW ELS 39_TROOPER_OR_KIDS</t>
  </si>
  <si>
    <t>ELKERF5516OR</t>
  </si>
  <si>
    <t>ELK-FOREMOST-101-ELKERF5516ORANGEOSM</t>
  </si>
  <si>
    <t>ELK-FOREMOST-101-ELKERF5516ORANGEOML</t>
  </si>
  <si>
    <t>ELK-FOREMOST-10ELKTPF5517BK</t>
  </si>
  <si>
    <t>ELK-FOREMOST-102</t>
  </si>
  <si>
    <t>ELK-FOREMOST-102-ELKTPF5517BLACKFRE</t>
  </si>
  <si>
    <t>ELK의류외517</t>
  </si>
  <si>
    <t>ELKTPF5517</t>
  </si>
  <si>
    <t>14FW ELS_48_TROOPER_BK_KIDS</t>
  </si>
  <si>
    <t>ELKTPF5517BK</t>
  </si>
  <si>
    <t>ELK-FOREMOST-10 TTL</t>
  </si>
  <si>
    <t>ELK-FOREMOST-11</t>
  </si>
  <si>
    <t>ELK-FOREMOST-11ELKTPF5515RE</t>
  </si>
  <si>
    <t>ELK-FOREMOST-111</t>
  </si>
  <si>
    <t>ELK-FOREMOST-111-ELKTPF5515REDFRE</t>
  </si>
  <si>
    <t>ELK의류외515</t>
  </si>
  <si>
    <t>ELKTPF5515</t>
  </si>
  <si>
    <t>14FW ELS 40_TROOPER_RD_KIDS</t>
  </si>
  <si>
    <t>ELKTPF5515RE</t>
  </si>
  <si>
    <t>ELK-ACC</t>
  </si>
  <si>
    <t>ELK-FOREMOST-11ELKEDF5522YE</t>
  </si>
  <si>
    <t>ELK-FOREMOST-112</t>
  </si>
  <si>
    <t>ELK-FOREMOST-112-ELKEDF5522YELLOWOSM</t>
  </si>
  <si>
    <t>ELK의류외522</t>
  </si>
  <si>
    <t>ELKEDF5522</t>
  </si>
  <si>
    <t>14FW ELS_32_SKI GLOBE_YE_KIDS</t>
  </si>
  <si>
    <t>ELKEDF5522YE</t>
  </si>
  <si>
    <t>ELK-FOREMOST-112-ELKEDF5522YELLOWOML</t>
  </si>
  <si>
    <t>ELK-FOREMOST-11ELKEDF5523BK</t>
  </si>
  <si>
    <t>ELK-FOREMOST-113</t>
  </si>
  <si>
    <t>ELK-FOREMOST-113-ELKEDF5523BLACKOSM</t>
  </si>
  <si>
    <t>ELK의류외523</t>
  </si>
  <si>
    <t>ELKEDF5523</t>
  </si>
  <si>
    <t>14FW ELS_33_SKI GLOBE_BK_KIDS</t>
  </si>
  <si>
    <t>ELKEDF5523BK</t>
  </si>
  <si>
    <t>ELK-FOREMOST-113-ELKEDF5523BLACKOML</t>
  </si>
  <si>
    <t>ELK-FOREMOST-11ELKEDF5524PK</t>
  </si>
  <si>
    <t>ELK-FOREMOST-114</t>
  </si>
  <si>
    <t>ELK-FOREMOST-114-ELKEDF5524PINKOSM</t>
  </si>
  <si>
    <t>ELK의류외524</t>
  </si>
  <si>
    <t>ELKEDF5524</t>
  </si>
  <si>
    <t>14FW ELS_72_SKI GLOBE_PK_KIDS</t>
  </si>
  <si>
    <t>ELKEDF5524PK</t>
  </si>
  <si>
    <t>ELK-FOREMOST-114-ELKEDF5524PINKOML</t>
  </si>
  <si>
    <t>ELK-FOREMOST-11 TTL</t>
  </si>
  <si>
    <t>ELK-동일모자-11</t>
  </si>
  <si>
    <t>ELK-동일모자-11ELKBAF5518PP</t>
  </si>
  <si>
    <t>ELK-동일모자-111</t>
  </si>
  <si>
    <t>ELK-동일모자-111-ELKBAF5518PURPLEOSM</t>
  </si>
  <si>
    <t>ELK의류외518</t>
  </si>
  <si>
    <t>ELKBAF5518</t>
  </si>
  <si>
    <t>14FW ELS_47_SNAP_PP_KIDS</t>
  </si>
  <si>
    <t>ELKBAF5518PP</t>
  </si>
  <si>
    <t>ELK-동일모자-111-ELKBAF5518PURPLEOML</t>
  </si>
  <si>
    <t>ELK-동일모자-11ELKERF5519RE</t>
  </si>
  <si>
    <t>ELK-동일모자-112</t>
  </si>
  <si>
    <t>ELK-동일모자-112-ELKERF5519REDXSS</t>
  </si>
  <si>
    <t>ELK의류외519</t>
  </si>
  <si>
    <t>ELKERF5519</t>
  </si>
  <si>
    <t>14FW ELS_45_SNAP_RD_KIDS</t>
  </si>
  <si>
    <t>ELKERF5519RE</t>
  </si>
  <si>
    <t>ELK-동일모자-112-ELKERF5519REDOSM</t>
  </si>
  <si>
    <t>ELK-동일모자-112-ELKERF5519REDOML</t>
  </si>
  <si>
    <t>ELK-동일모자-11ELKERF5520BL</t>
  </si>
  <si>
    <t>ELK-동일모자-113</t>
  </si>
  <si>
    <t>ELK-동일모자-113-ELKERF5520BLUEOSM</t>
  </si>
  <si>
    <t>ELK의류외520</t>
  </si>
  <si>
    <t>ELKERF5520</t>
  </si>
  <si>
    <t>14FW ELS 41_SNAP_BL_KIDS</t>
  </si>
  <si>
    <t>ELKERF5520BL</t>
  </si>
  <si>
    <t>ELK-동일모자-113-ELKERF5520BLUEOML</t>
  </si>
  <si>
    <t>ELK-동일모자-11ELKERF5521GY</t>
  </si>
  <si>
    <t>ELK-동일모자-114</t>
  </si>
  <si>
    <t>ELK-동일모자-114-ELKERF5521GREYOSM</t>
  </si>
  <si>
    <t>ELK의류외521</t>
  </si>
  <si>
    <t>ELKERF5521</t>
  </si>
  <si>
    <t>14FW ELS 42_SNAP_GY_KIDS</t>
  </si>
  <si>
    <t>ELKERF5521GY</t>
  </si>
  <si>
    <t>ELK-동일모자-114-ELKERF5521GREYOML</t>
  </si>
  <si>
    <t>ELK-동일모자-11 TTL</t>
  </si>
  <si>
    <t>ELK-동일모자-14</t>
  </si>
  <si>
    <t>ELK-동일모자-14ELKTPF5514MT</t>
  </si>
  <si>
    <t>ELK-동일모자-141</t>
  </si>
  <si>
    <t>ELK-동일모자-141-ELKTPF5514MINTFRE</t>
  </si>
  <si>
    <t>ELK의류외514</t>
  </si>
  <si>
    <t>ELKTPF5514</t>
  </si>
  <si>
    <t>14FW ELS 37_TROOPER_MT_KIDS</t>
  </si>
  <si>
    <t>ELKTPF5514MT</t>
  </si>
  <si>
    <t>ELK-동일모자-14ELKTPF5514OR</t>
  </si>
  <si>
    <t>ELK-동일모자-142</t>
  </si>
  <si>
    <t>ELK-동일모자-142-ELKTPF5514ORANGEFRE</t>
  </si>
  <si>
    <t>14FW ELS 37_TROOPER_OR_KIDS</t>
  </si>
  <si>
    <t>ELKTPF5514OR</t>
  </si>
  <si>
    <t>ELK-동일모자-14 TTL</t>
  </si>
  <si>
    <t>SMK</t>
  </si>
  <si>
    <t>SMK-성진-01</t>
  </si>
  <si>
    <t>SMK-성진-01SMKFIF3634RE</t>
  </si>
  <si>
    <t>SMK-성진-011</t>
  </si>
  <si>
    <t>SMK-성진-011-SMKFIF3634REDOSM</t>
  </si>
  <si>
    <t>SMK의류외634</t>
  </si>
  <si>
    <t>12FW S</t>
  </si>
  <si>
    <t>SUPER MASSIVE BOUND KIDS</t>
  </si>
  <si>
    <t>FI</t>
  </si>
  <si>
    <t>FITTED CAP</t>
  </si>
  <si>
    <t>SMKFIF3634</t>
  </si>
  <si>
    <t>12FW SMB_02_FLAT_RD_KIDS</t>
  </si>
  <si>
    <t>SMKFIF3634RE</t>
  </si>
  <si>
    <t>SMK-성진-011-SMKFIF3634REDOML</t>
  </si>
  <si>
    <t>SMK-성진-01 TTL</t>
  </si>
  <si>
    <t>SMK-성진-04</t>
  </si>
  <si>
    <t>SMK-성진-04SMKFLF3501BK</t>
  </si>
  <si>
    <t>SMK-성진-041</t>
  </si>
  <si>
    <t>SMK-성진-041-SMKFLF3501BLACKXSS</t>
  </si>
  <si>
    <t>SMK의류외501</t>
  </si>
  <si>
    <t>14FW S</t>
  </si>
  <si>
    <t>FL</t>
  </si>
  <si>
    <t>FLEX CAP</t>
  </si>
  <si>
    <t>SMKFLF3501</t>
  </si>
  <si>
    <t>14FW SMB_06_CURVED_BK_N_KIDS</t>
  </si>
  <si>
    <t>SMKFLF3501BK</t>
  </si>
  <si>
    <t>SMK-성진-041-SMKFLF3501BLACKOSM</t>
  </si>
  <si>
    <t>SMK-성진-041-SMKFLF3501BLACKOML</t>
  </si>
  <si>
    <t>SMK-성진-04 TTL</t>
  </si>
  <si>
    <t>SMK-동일모자-01</t>
  </si>
  <si>
    <t>SMK-동일모자-01SMKBAF3503GR</t>
  </si>
  <si>
    <t>SMK-동일모자-011</t>
  </si>
  <si>
    <t>SMK-동일모자-011-SMKBAF3503GREENXSS</t>
  </si>
  <si>
    <t>SMK의류외503</t>
  </si>
  <si>
    <t>SMKBAF3503</t>
  </si>
  <si>
    <t>14FW SMB_07_CURVED_GR_N_KIDS</t>
  </si>
  <si>
    <t>SMKBAF3503GR</t>
  </si>
  <si>
    <t>SMK-동일모자-011-SMKBAF3503GREENOSM</t>
  </si>
  <si>
    <t>SMK-동일모자-011-SMKBAF3503GREENOML</t>
  </si>
  <si>
    <t>SMK-동일모자-01SMKBAF3503OR</t>
  </si>
  <si>
    <t>SMK-동일모자-012</t>
  </si>
  <si>
    <t>SMK-동일모자-012-SMKBAF3503ORANGEXSS</t>
  </si>
  <si>
    <t>14FW SMB_07_CURVED_OR_N</t>
  </si>
  <si>
    <t>SMKBAF3503OR</t>
  </si>
  <si>
    <t>SMK-동일모자-012-SMKBAF3503ORANGEOSM</t>
  </si>
  <si>
    <t>14FW SMB_07_CURVED_OR_N_KIDS</t>
  </si>
  <si>
    <t>SMK-동일모자-012-SMKBAF3503ORANGEOML</t>
  </si>
  <si>
    <t>SMK-동일모자-01 TTL</t>
  </si>
  <si>
    <t>SMK-QF-01</t>
  </si>
  <si>
    <t>SMK-QF-01SMKSNF3502BL</t>
  </si>
  <si>
    <t>SMK-QF-011</t>
  </si>
  <si>
    <t>SMK-QF-011-SMKSNF3502BLUEOSM</t>
  </si>
  <si>
    <t>SMK의류외502</t>
  </si>
  <si>
    <t>SMKSNF3502</t>
  </si>
  <si>
    <t>14FW SMB_02_FLAT_BL_N_KIDS</t>
  </si>
  <si>
    <t>SMKSNF3502BL</t>
  </si>
  <si>
    <t>SMK-QF-011-SMKSNF3502BLUEOML</t>
  </si>
  <si>
    <t>SMK-QF-01 TTL</t>
  </si>
  <si>
    <t>SWK</t>
  </si>
  <si>
    <t>SWK-QF-02</t>
  </si>
  <si>
    <t>SWK-QF-02SWKSNF3503PP</t>
  </si>
  <si>
    <t>SWK-QF-021</t>
  </si>
  <si>
    <t>SWK-QF-021-SWKSNF3503PURPLEXSS</t>
  </si>
  <si>
    <t>SWK의류외503</t>
  </si>
  <si>
    <t>SUPER MASSIVE BOUND KIDS_W</t>
  </si>
  <si>
    <t>SWKSNF3503</t>
  </si>
  <si>
    <t>14FW SMB_05_FLAT_L/PP_F_KIDS</t>
  </si>
  <si>
    <t>SWKSNF3503PP</t>
  </si>
  <si>
    <t>SWK-QF-021-SWKSNF3503PURPLEOSM</t>
  </si>
  <si>
    <t>SWK-QF-021-SWKSNF3503PURPLEOML</t>
  </si>
  <si>
    <t>SWK-QF-02SWKSNF3503PK</t>
  </si>
  <si>
    <t>SWK-QF-022</t>
  </si>
  <si>
    <t>SWK-QF-022-SWKSNF3503PINKXSS</t>
  </si>
  <si>
    <t>14FW SMB_05_FLAT_PK_F_KIDS</t>
  </si>
  <si>
    <t>SWKSNF3503PK</t>
  </si>
  <si>
    <t>SWK-QF-022-SWKSNF3503PINKOSM</t>
  </si>
  <si>
    <t>SWK-QF-022-SWKSNF3503PINKOML</t>
  </si>
  <si>
    <t>SWK-QF-02 TTL</t>
  </si>
  <si>
    <t>SMK-캡보이2-01</t>
  </si>
  <si>
    <t>SMK-캡보이2-01SMKERF5505NY</t>
  </si>
  <si>
    <t>SMK-캡보이2-011</t>
  </si>
  <si>
    <t>SMK-캡보이2-011-SMKERF5505NAVYOSM</t>
  </si>
  <si>
    <t>SMK의류외505</t>
  </si>
  <si>
    <t>SMKERF5505</t>
  </si>
  <si>
    <t>14FW SMB_01_CURVED_NY_N_KIDS</t>
  </si>
  <si>
    <t>SMKERF5505NY</t>
  </si>
  <si>
    <t>SMK-캡보이2-011-SMKERF5505NAVYOML</t>
  </si>
  <si>
    <t>SMK-캡보이2-01 TTL</t>
  </si>
  <si>
    <t>SMK-동일모자-02</t>
  </si>
  <si>
    <t>SMK-동일모자-02SMKERF5506NY</t>
  </si>
  <si>
    <t>SMK-동일모자-021</t>
  </si>
  <si>
    <t>SMK-동일모자-021-SMKERF5506NAVYOSM</t>
  </si>
  <si>
    <t>SMK의류외506</t>
  </si>
  <si>
    <t>SMKERF5506</t>
  </si>
  <si>
    <t>14FW SMB_08_CURVED_NY_N_KIDS</t>
  </si>
  <si>
    <t>SMKERF5506NY</t>
  </si>
  <si>
    <t>SMK-동일모자-021-SMKERF5506NAVYOML</t>
  </si>
  <si>
    <t>SMK-동일모자-02 TTL</t>
  </si>
  <si>
    <t>SWK-동일모자-05</t>
  </si>
  <si>
    <t>SWK-동일모자-05SWKERF5506YE</t>
  </si>
  <si>
    <t>SWK-동일모자-051</t>
  </si>
  <si>
    <t>SWK-동일모자-051-SWKERF5506YELLOWOSM</t>
  </si>
  <si>
    <t>SWK의류외506</t>
  </si>
  <si>
    <t>SWKERF5506</t>
  </si>
  <si>
    <t>14FW SMB_08_CURVED_YE_F_KIDS</t>
  </si>
  <si>
    <t>SWKERF5506YE</t>
  </si>
  <si>
    <t>SWK-동일모자-051-SWKERF5506YELLOWOML</t>
  </si>
  <si>
    <t>SWK-동일모자-05 TTL</t>
  </si>
  <si>
    <t>WTK</t>
  </si>
  <si>
    <t>WTK-동일모자-12</t>
  </si>
  <si>
    <t>WTK-동일모자-121</t>
  </si>
  <si>
    <t>14FW W</t>
  </si>
  <si>
    <t>WITAILOR KIDS</t>
  </si>
  <si>
    <t>WTK-동일모자-12WTKBAF5504RE</t>
  </si>
  <si>
    <t>WTK-동일모자-122</t>
  </si>
  <si>
    <t>WTK의류외504</t>
  </si>
  <si>
    <t>WTKBAF5504</t>
  </si>
  <si>
    <t>14FW WITAILOR CAP-05-RD_KIDS</t>
  </si>
  <si>
    <t>WTKBAF5504RE</t>
  </si>
  <si>
    <t>WTK-동일모자-12WTKBAF5505BW</t>
  </si>
  <si>
    <t>WTK-동일모자-123</t>
  </si>
  <si>
    <t>WTK의류외505</t>
  </si>
  <si>
    <t>WTKBAF5505</t>
  </si>
  <si>
    <t>14FW WITAILOR CAP-06-BR_KIDS</t>
  </si>
  <si>
    <t>WTKBAF5505BW</t>
  </si>
  <si>
    <t>WTK-동일모자-12WTKBAF5506BG</t>
  </si>
  <si>
    <t>WTK의류외506</t>
  </si>
  <si>
    <t>WTKBAF5506</t>
  </si>
  <si>
    <t>14FW WITAILOR CAP-16-BG_KIDS</t>
  </si>
  <si>
    <t>WTKBAF5506BG</t>
  </si>
  <si>
    <t>WTK-동일모자-12 TTL</t>
  </si>
  <si>
    <t>WTK-동일모자-13</t>
  </si>
  <si>
    <t>WTK-동일모자-13WTKERF5511BG</t>
  </si>
  <si>
    <t>WTK-동일모자-131</t>
  </si>
  <si>
    <t>WTK-동일모자-131-WTKERF5511BEIGEOSM</t>
  </si>
  <si>
    <t>WTK의류외511</t>
  </si>
  <si>
    <t>WTKERF5511</t>
  </si>
  <si>
    <t>14FW WITAILOR CAP-14-BG_KIDS</t>
  </si>
  <si>
    <t>WTKERF5511BG</t>
  </si>
  <si>
    <t>WTK-동일모자-131-WTKERF5511BEIGEOML</t>
  </si>
  <si>
    <t>WTK-동일모자-13WTKERF5512PK</t>
  </si>
  <si>
    <t>WTK-동일모자-132</t>
  </si>
  <si>
    <t>WTK-동일모자-132-WTKERF5512PINKOSM</t>
  </si>
  <si>
    <t>WTK의류외512</t>
  </si>
  <si>
    <t>WTKERF5512</t>
  </si>
  <si>
    <t>14FW WITAILOR CAP-15-PK_KIDS</t>
  </si>
  <si>
    <t>WTKERF5512PK</t>
  </si>
  <si>
    <t>WTK-동일모자-132-WTKERF5512PINKOML</t>
  </si>
  <si>
    <t>WTK-동일모자-13 TTL</t>
  </si>
  <si>
    <t>SMK-FOREMOST-12</t>
  </si>
  <si>
    <t>SMK-FOREMOST-12SMKBEF5507GR</t>
  </si>
  <si>
    <t>SMK-FOREMOST-121</t>
  </si>
  <si>
    <t>SMK-FOREMOST-121-SMKBEF5507GREENFRE</t>
  </si>
  <si>
    <t>SMK의류외507</t>
  </si>
  <si>
    <t>SMKBEF5507</t>
  </si>
  <si>
    <t>14FW SMB_04_KNIT_N_KIDS_GR</t>
  </si>
  <si>
    <t>SMKBEF5507GR</t>
  </si>
  <si>
    <t>SMK-FOREMOST-12SMKBEF5507RE</t>
  </si>
  <si>
    <t>SMK-FOREMOST-122</t>
  </si>
  <si>
    <t>SMK-FOREMOST-122-SMKBEF5507REDFRE</t>
  </si>
  <si>
    <t>14FW SMB_04_KNIT_N_KIDS_RE</t>
  </si>
  <si>
    <t>SMKBEF5507RE</t>
  </si>
  <si>
    <t>SMK-FOREMOST-12SMKBEF5507PK</t>
  </si>
  <si>
    <t>SMK-FOREMOST-123</t>
  </si>
  <si>
    <t>SMK-FOREMOST-123-SMKBEF5507PINKFRE</t>
  </si>
  <si>
    <t>14FW SMB_04_KNIT_N_KIDS_PK</t>
  </si>
  <si>
    <t>SMKBEF5507PK</t>
  </si>
  <si>
    <t>SMK-FOREMOST-12SMKBEF5508PK</t>
  </si>
  <si>
    <t>SMK-FOREMOST-124</t>
  </si>
  <si>
    <t>SMK-FOREMOST-124-SMKBEF5508PINKFRE</t>
  </si>
  <si>
    <t>SMK의류외508</t>
  </si>
  <si>
    <t>SMKBEF5508</t>
  </si>
  <si>
    <t>14FW SMB_03_KNIT_N_KIDS_PK</t>
  </si>
  <si>
    <t>SMKBEF5508PK</t>
  </si>
  <si>
    <t>SMK-FOREMOST-12SMKBEF5508RE</t>
  </si>
  <si>
    <t>SMK-FOREMOST-125</t>
  </si>
  <si>
    <t>SMK-FOREMOST-125-SMKBEF5508REDFRE</t>
  </si>
  <si>
    <t>14FW SMB_03_KNIT_N_KIDS_RE</t>
  </si>
  <si>
    <t>SMKBEF5508RE</t>
  </si>
  <si>
    <t>SMK-FOREMOST-126</t>
  </si>
  <si>
    <t>SMK의류외510</t>
  </si>
  <si>
    <t>SMKBEF5510</t>
  </si>
  <si>
    <t>14FW SMB_02_KNIT_N_KIDS_NY</t>
  </si>
  <si>
    <t>SMK-FOREMOST-12 TTL</t>
  </si>
  <si>
    <t>SWK-FOREMOST-13</t>
  </si>
  <si>
    <t>SWK-FOREMOST-13SWKBEF5509PK</t>
  </si>
  <si>
    <t>SWK-FOREMOST-131</t>
  </si>
  <si>
    <t>SWK-FOREMOST-131-SWKBEF5509PINKFRE</t>
  </si>
  <si>
    <t>SWK의류외509</t>
  </si>
  <si>
    <t>SWKBEF5509</t>
  </si>
  <si>
    <t>14FW SMB_05_KNIT_F_KIDS_PK</t>
  </si>
  <si>
    <t>SWKBEF5509PK</t>
  </si>
  <si>
    <t>SWK-FOREMOST-13SWKBEF5509BL</t>
  </si>
  <si>
    <t>SWK-FOREMOST-132</t>
  </si>
  <si>
    <t>SWK-FOREMOST-132-SWKBEF5509BLUEFRE</t>
  </si>
  <si>
    <t>14FW SMB_05_KNIT_F_KIDS_BL</t>
  </si>
  <si>
    <t>SWKBEF5509BL</t>
  </si>
  <si>
    <t>SWK-FOREMOST-13SWKBEF5511PK</t>
  </si>
  <si>
    <t>SWK-FOREMOST-133</t>
  </si>
  <si>
    <t>SWK-FOREMOST-133-SWKBEF5511PINKFRE</t>
  </si>
  <si>
    <t>SWK의류외511</t>
  </si>
  <si>
    <t>SWKBEF5511</t>
  </si>
  <si>
    <t>14FW SMB_01_KNIT_F_KIDS_PK</t>
  </si>
  <si>
    <t>SWKBEF5511PK</t>
  </si>
  <si>
    <t>SWK-FOREMOST-13 TTL</t>
  </si>
  <si>
    <t>SMK-Y&amp;Y-01</t>
  </si>
  <si>
    <t>SMK-Y&amp;Y-01SMKBEF5512BK</t>
  </si>
  <si>
    <t>SMK-Y&amp;Y-011</t>
  </si>
  <si>
    <t>SMK-Y&amp;Y-011-SMKBEF5512BLACKFRE</t>
  </si>
  <si>
    <t>SMK의류외512</t>
  </si>
  <si>
    <t>SMKBEF5512</t>
  </si>
  <si>
    <t>14FW SMB_12_KNIT_N_KIDS_BK</t>
  </si>
  <si>
    <t>SMKBEF5512BK</t>
  </si>
  <si>
    <t>SMK-Y&amp;Y-01SMKBEF5512PP</t>
  </si>
  <si>
    <t>SMK-Y&amp;Y-012</t>
  </si>
  <si>
    <t>SMK-Y&amp;Y-012-SMKBEF5512PURPLEFRE</t>
  </si>
  <si>
    <t>14FW SMB_12_KNIT_N_KIDS_PP</t>
  </si>
  <si>
    <t>SMKBEF5512PP</t>
  </si>
  <si>
    <t>SMK-Y&amp;Y-01SMKBEF5512PK</t>
  </si>
  <si>
    <t>SMK-Y&amp;Y-013</t>
  </si>
  <si>
    <t>SMK-Y&amp;Y-013-SMKBEF5512PINKFRE</t>
  </si>
  <si>
    <t>14FW SMB_12_KNIT_N_KIDS_PK</t>
  </si>
  <si>
    <t>SMKBEF5512PK</t>
  </si>
  <si>
    <t>SMK-Y&amp;Y-01SMKBEF5512RE</t>
  </si>
  <si>
    <t>SMK-Y&amp;Y-014</t>
  </si>
  <si>
    <t>SMK-Y&amp;Y-014-SMKBEF5512REDFRE</t>
  </si>
  <si>
    <t>14FW SMB_12_KNIT_N_KIDS_RE</t>
  </si>
  <si>
    <t>SMKBEF5512RE</t>
  </si>
  <si>
    <t>SMK-Y&amp;Y-01 TTL</t>
  </si>
  <si>
    <t>동일모자 요약</t>
  </si>
  <si>
    <t>FOREMOST 요약</t>
  </si>
  <si>
    <t>KIDS FIRST TOYS 요약</t>
  </si>
  <si>
    <t>JOK 요약</t>
  </si>
  <si>
    <t>EVERRICH TEXTILE 요약</t>
  </si>
  <si>
    <t>NOK 요약</t>
  </si>
  <si>
    <t>대경 요약</t>
  </si>
  <si>
    <t>아트인드림 요약</t>
  </si>
  <si>
    <t>EVERGREEN 요약</t>
  </si>
  <si>
    <t>ELK-의류 요약</t>
  </si>
  <si>
    <t>성진 요약</t>
  </si>
  <si>
    <t>ELK 요약</t>
  </si>
  <si>
    <t>ELK-ACC 요약</t>
  </si>
  <si>
    <t>VBK 요약</t>
  </si>
  <si>
    <t>Y&amp;Y 요약</t>
  </si>
  <si>
    <t>QF 요약</t>
  </si>
  <si>
    <t>캡보이2 요약</t>
  </si>
  <si>
    <t>SMK 요약</t>
  </si>
  <si>
    <t>WTK 요약</t>
  </si>
  <si>
    <t>HCK 요약</t>
  </si>
  <si>
    <t>J&amp;F 요약</t>
  </si>
  <si>
    <t>URK 요약</t>
  </si>
  <si>
    <t>BRK 요약</t>
  </si>
  <si>
    <t>JOK-ACC 요약</t>
  </si>
  <si>
    <t>캡보이 요약</t>
  </si>
  <si>
    <t>DPK 요약</t>
  </si>
  <si>
    <t>SBK 요약</t>
  </si>
  <si>
    <t>VBK-의류 요약</t>
  </si>
  <si>
    <t>SWK 요약</t>
  </si>
  <si>
    <t>SMK-FOREMOST-121-SMKBEF5507GREENXSS</t>
  </si>
  <si>
    <t>SMK-FOREMOST-122-SMKBEF5507REDXSS</t>
  </si>
  <si>
    <t>SMK-FOREMOST-123-SMKBEF5507PINKXSS</t>
  </si>
  <si>
    <t>SMK-FOREMOST-124-SMKBEF5508PINKXSS</t>
  </si>
  <si>
    <t>SMK-FOREMOST-125-SMKBEF5508REDXSS</t>
  </si>
  <si>
    <t>SWK-FOREMOST-133-SWKBEF5511PINKXSS</t>
  </si>
  <si>
    <t>SBK-FOREMOST-16</t>
  </si>
  <si>
    <t>SBK-FOREMOST-161</t>
  </si>
  <si>
    <t>SBK의류외551</t>
  </si>
  <si>
    <t>SBKEBF5551</t>
  </si>
  <si>
    <t>14FW-JILLBY-KNIT-05-WH_KIDS</t>
  </si>
  <si>
    <t>SBKEBF5551WH</t>
  </si>
  <si>
    <t>SBK-FOREMOST-162</t>
  </si>
  <si>
    <t>14FW-JILLBY-KNIT-05-YE_KIDS</t>
  </si>
  <si>
    <t>SBKEBF5551YE</t>
  </si>
  <si>
    <t>SBK-FOREMOST-16SBKEBF5547BG</t>
  </si>
  <si>
    <t>SBK-FOREMOST-163</t>
  </si>
  <si>
    <t>SBK의류외547</t>
  </si>
  <si>
    <t>SBKEBF5547</t>
  </si>
  <si>
    <t>14FW-JILLBY-KNIT-23-BG_KIDS</t>
  </si>
  <si>
    <t>SBKEBF5547BG</t>
  </si>
  <si>
    <t>SBK-FOREMOST-16SBKEBF5547GY</t>
  </si>
  <si>
    <t>SBK-FOREMOST-164</t>
  </si>
  <si>
    <t>14FW-JILLBY-KNIT-23-GY_KIDS</t>
  </si>
  <si>
    <t>SBKEBF5547GY</t>
  </si>
  <si>
    <t>SBK-FOREMOST-16SBKEBF5549BG</t>
  </si>
  <si>
    <t>SBK-FOREMOST-165</t>
  </si>
  <si>
    <t>SBK의류외549</t>
  </si>
  <si>
    <t>SBKEBF5549</t>
  </si>
  <si>
    <t>14FW-JILLBY-KNIT-56-BG_KIDS</t>
  </si>
  <si>
    <t>SBKEBF5549BG</t>
  </si>
  <si>
    <t>SBK-FOREMOST-16SBKEBF5549RE</t>
  </si>
  <si>
    <t>SBK-FOREMOST-166</t>
  </si>
  <si>
    <t>14FW-JILLBY-KNIT-56-RD_KIDS</t>
  </si>
  <si>
    <t>SBKEBF5549RE</t>
  </si>
  <si>
    <t>SBK-FOREMOST-167</t>
  </si>
  <si>
    <t>SBK의류외545</t>
  </si>
  <si>
    <t>SBKEBF5545</t>
  </si>
  <si>
    <t>14FW-JILLBY-KNIT-30-PK_KIDS</t>
  </si>
  <si>
    <t>SBKEBF5545PK</t>
  </si>
  <si>
    <t>SBK-FOREMOST-168</t>
  </si>
  <si>
    <t>14FW-JILLBY-KNIT-30-NV_KIDS</t>
  </si>
  <si>
    <t>SBKEBF5545NY</t>
  </si>
  <si>
    <t>SBK-FOREMOST-169</t>
  </si>
  <si>
    <t>SBK의류외550</t>
  </si>
  <si>
    <t>SBKEBF5550</t>
  </si>
  <si>
    <t>14FW-JILLBY-KNIT-59-MT_KIDS</t>
  </si>
  <si>
    <t>SBKEBF5550MT</t>
  </si>
  <si>
    <t>SBK-FOREMOST-16SBKEBF5546GY</t>
  </si>
  <si>
    <t>SBK-FOREMOST-1610</t>
  </si>
  <si>
    <t>SBK의류외546</t>
  </si>
  <si>
    <t>SBKEBF5546</t>
  </si>
  <si>
    <t>14FW-JILLBY-KNIT-54-GY_KIDS</t>
  </si>
  <si>
    <t>SBKEBF5546GY</t>
  </si>
  <si>
    <t>SBK-FOREMOST-16SBKEBF5546BL</t>
  </si>
  <si>
    <t>SBK-FOREMOST-1611</t>
  </si>
  <si>
    <t>14FW-JILLBY-KNIT-54-BL</t>
  </si>
  <si>
    <t>SBKEBF5546BL</t>
  </si>
  <si>
    <t>SBK-FOREMOST-16SBKEBF5541BG</t>
  </si>
  <si>
    <t>SBK의류외541</t>
  </si>
  <si>
    <t>SBKEBF5541</t>
  </si>
  <si>
    <t>14FW-JILLBY-KNIT-62-BG_KIDS</t>
  </si>
  <si>
    <t>SBKEBF5541BG</t>
  </si>
  <si>
    <t>SBK-FOREMOST-16SBKEBF5541IV</t>
  </si>
  <si>
    <t>14FW-JILLBY-KNIT-62-IV_KIDS</t>
  </si>
  <si>
    <t>SBKEBF5541IV</t>
  </si>
  <si>
    <t>SBK-FOREMOST-16SBKBEF5543NY</t>
  </si>
  <si>
    <t>SBK의류외543</t>
  </si>
  <si>
    <t>SBKBEF5543</t>
  </si>
  <si>
    <t>14FW-JILLBY-KNIT-45-NV_KIDS</t>
  </si>
  <si>
    <t>SBKBEF5543NY</t>
  </si>
  <si>
    <t>SBK-FOREMOST-16SBKBEF5543PP</t>
  </si>
  <si>
    <t>14FW-JILLBY-KNIT-45-PP_KIDS</t>
  </si>
  <si>
    <t>SBKBEF5543PP</t>
  </si>
  <si>
    <t>SBK-FOREMOST-16SBKBEF5543RE</t>
  </si>
  <si>
    <t>14FW-JILLBY-KNIT-45-RD_KIDS</t>
  </si>
  <si>
    <t>SBKBEF5543RE</t>
  </si>
  <si>
    <t>SBK-FOREMOST-16 TTL</t>
  </si>
  <si>
    <t>SBK-Y&amp;Y-03</t>
  </si>
  <si>
    <t>SBK-Y&amp;Y-03SBKEBF5553PK</t>
  </si>
  <si>
    <t>SBK-Y&amp;Y-031</t>
  </si>
  <si>
    <t>SBK-Y&amp;Y-031-SBKEBF5553PINKFRE</t>
  </si>
  <si>
    <t>SBK의류외553</t>
  </si>
  <si>
    <t>SBKEBF5553</t>
  </si>
  <si>
    <t>14FW-JILLBY-KNIT-41-PK_KIDS</t>
  </si>
  <si>
    <t>SBKEBF5553PK</t>
  </si>
  <si>
    <t>SBK-Y&amp;Y-03SBKEBF5553MT</t>
  </si>
  <si>
    <t>SBK-Y&amp;Y-032</t>
  </si>
  <si>
    <t>SBK-Y&amp;Y-032-SBKEBF5553MINTFRE</t>
  </si>
  <si>
    <t>14FW-JILLBY-KNIT-41-MT_KIDS</t>
  </si>
  <si>
    <t>SBKEBF5553MT</t>
  </si>
  <si>
    <t>SBK-Y&amp;Y-03SBKEBF5554PP</t>
  </si>
  <si>
    <t>SBK-Y&amp;Y-033</t>
  </si>
  <si>
    <t>SBK-Y&amp;Y-033-SBKEBF5554PURPLEFRE</t>
  </si>
  <si>
    <t>SBK의류외554</t>
  </si>
  <si>
    <t>SBKEBF5554</t>
  </si>
  <si>
    <t>14FW-JILLBY-KNIT-55-PP_KIDS</t>
  </si>
  <si>
    <t>SBKEBF5554PP</t>
  </si>
  <si>
    <t>SBK-Y&amp;Y-03SBKEBF5554BK</t>
  </si>
  <si>
    <t>SBK-Y&amp;Y-034</t>
  </si>
  <si>
    <t>SBK-Y&amp;Y-034-SBKEBF5554BLACKFRE</t>
  </si>
  <si>
    <t>14FW-JILLBY-KNIT-55-BK_KIDS</t>
  </si>
  <si>
    <t>SBKEBF5554BK</t>
  </si>
  <si>
    <t>SBK-Y&amp;Y-03SBKEBF5554RE</t>
  </si>
  <si>
    <t>SBK-Y&amp;Y-035</t>
  </si>
  <si>
    <t>SBK-Y&amp;Y-035-SBKEBF5554REDFRE</t>
  </si>
  <si>
    <t>14FW-JILLBY-KNIT-55-RD_KIDS</t>
  </si>
  <si>
    <t>SBKEBF5554RE</t>
  </si>
  <si>
    <t>SBK-Y&amp;Y-03 TTL</t>
  </si>
  <si>
    <t>POK</t>
  </si>
  <si>
    <t>POK-동일모자-16</t>
  </si>
  <si>
    <t>POK-동일모자-16POKBAF3501PK</t>
  </si>
  <si>
    <t>POK-동일모자-161</t>
  </si>
  <si>
    <t>POK-동일모자-161-POKBAF3501PINKXSS</t>
  </si>
  <si>
    <t>POK의류외501</t>
  </si>
  <si>
    <t>14SS P</t>
  </si>
  <si>
    <t>ROBOCARPOLI KIDS</t>
  </si>
  <si>
    <t>POKBAF3501</t>
  </si>
  <si>
    <t>14SS POLI 05_SNAP_PK_KIDS</t>
  </si>
  <si>
    <t>POKBAF3501PK</t>
  </si>
  <si>
    <t>POK-동일모자-16POKBAF3502YE</t>
  </si>
  <si>
    <t>POK-동일모자-162</t>
  </si>
  <si>
    <t>POK-동일모자-162-POKBAF3502YELLOWXSS</t>
  </si>
  <si>
    <t>POK의류외502</t>
  </si>
  <si>
    <t>POKBAF3502</t>
  </si>
  <si>
    <t>14SS POLI 06_SNAP_YE_KIDS</t>
  </si>
  <si>
    <t>POKBAF3502YE</t>
  </si>
  <si>
    <t>POK-동일모자-16 TTL</t>
  </si>
  <si>
    <t>ELK-아트인드림-05</t>
  </si>
  <si>
    <t>ELK-아트인드림-05ELKTLF5526BK</t>
  </si>
  <si>
    <t>ELK-아트인드림-051</t>
  </si>
  <si>
    <t>ELK-아트인드림-051-ELKTLF5526BLACKXXS</t>
  </si>
  <si>
    <t>ELK-아트인드림-051-ELKTLF5526BLACKOXS</t>
  </si>
  <si>
    <t>ELK-아트인드림-051-ELKTLF5526BLACKOSS</t>
  </si>
  <si>
    <t>ELK-아트인드림-051-ELKTLF5526BLACKOMM</t>
  </si>
  <si>
    <t>ELK-아트인드림-051-ELKTLF5526BLACKOLL</t>
  </si>
  <si>
    <t>ELK-아트인드림-051-ELKTLF5526BLACKOXL</t>
  </si>
  <si>
    <t>ELK-아트인드림-05 TTL</t>
  </si>
  <si>
    <t>14FW_P</t>
  </si>
  <si>
    <t>14FW_PLAYBOY_MTM_04_NY_KIDS</t>
  </si>
  <si>
    <t>14FW_PLAYBOY_HOODZIP _04_BK_KIDS</t>
  </si>
  <si>
    <t>14FW_PLAYBOY_MTM_05_GY_KIDS</t>
  </si>
  <si>
    <t>14FW_PLAYBOY_MTM_05_BK_KIDS</t>
  </si>
  <si>
    <t>14FW P</t>
  </si>
  <si>
    <t>14FW PLAYBOY_PANTS_01_BK_KIDS</t>
  </si>
  <si>
    <t>14FW PLAYBOY_HOOD_02_BK_KIDS</t>
  </si>
  <si>
    <t>HCK-동일모자-15</t>
  </si>
  <si>
    <t>HCK-동일모자-15HCKMIF5504NY</t>
  </si>
  <si>
    <t>HCK-동일모자-151</t>
  </si>
  <si>
    <t>HCK-동일모자-151-HCKMIF5504NAVYOSM</t>
  </si>
  <si>
    <t>HCK의류외504</t>
  </si>
  <si>
    <t>HCKMIF5504</t>
  </si>
  <si>
    <t>14FW H.coustic CAP-09_NV_KIDS</t>
  </si>
  <si>
    <t>HCKMIF5504NY</t>
  </si>
  <si>
    <t>HCK-동일모자-151-HCKMIF5504NAVYOML</t>
  </si>
  <si>
    <t>HCK-동일모자-15HCKMIF3506BK</t>
  </si>
  <si>
    <t>HCK-동일모자-152</t>
  </si>
  <si>
    <t>HCK-동일모자-152-HCKMIF3506BLACKOSM</t>
  </si>
  <si>
    <t>HCK의류외506</t>
  </si>
  <si>
    <t>HCKMIF3506</t>
  </si>
  <si>
    <t>14FW H.coustic CAP-11_BK_KIDS</t>
  </si>
  <si>
    <t>HCKMIF3506BK</t>
  </si>
  <si>
    <t>HCK-동일모자-152-HCKMIF3506BLACKOML</t>
  </si>
  <si>
    <t>HCK-동일모자-15HCKMIF3506KH</t>
  </si>
  <si>
    <t>HCK-동일모자-153</t>
  </si>
  <si>
    <t>HCK-동일모자-153-HCKMIF3506KHAKIOSM</t>
  </si>
  <si>
    <t>14FW H.coustic CAP-11_KH_KIDS</t>
  </si>
  <si>
    <t>HCKMIF3506KH</t>
  </si>
  <si>
    <t>HCK-동일모자-153-HCKMIF3506KHAKIOML</t>
  </si>
  <si>
    <t>HCK-동일모자-15HCKMIF3506NY</t>
  </si>
  <si>
    <t>HCK-동일모자-154</t>
  </si>
  <si>
    <t>HCK-동일모자-154-HCKMIF3506NAVYOSM</t>
  </si>
  <si>
    <t>14FW H.coustic CAP-11_NY_KIDS</t>
  </si>
  <si>
    <t>HCKMIF3506NY</t>
  </si>
  <si>
    <t>HCK-동일모자-154-HCKMIF3506NAVYOML</t>
  </si>
  <si>
    <t>HCK-동일모자-15HCKMIF3507GY</t>
  </si>
  <si>
    <t>HCK-동일모자-155</t>
  </si>
  <si>
    <t>HCK-동일모자-155-HCKMIF3507GREYOSM</t>
  </si>
  <si>
    <t>HCK의류외507</t>
  </si>
  <si>
    <t>HCKMIF3507</t>
  </si>
  <si>
    <t>14FW H.coustic CAP-12_GY_KIDS</t>
  </si>
  <si>
    <t>HCKMIF3507GY</t>
  </si>
  <si>
    <t>HCK-동일모자-155-HCKMIF3507GREYOML</t>
  </si>
  <si>
    <t>HCK-동일모자-15HCKMIF3507BK</t>
  </si>
  <si>
    <t>HCK-동일모자-156</t>
  </si>
  <si>
    <t>HCK-동일모자-156-HCKMIF3507BLACKOSM</t>
  </si>
  <si>
    <t>14FW H.coustic CAP-12_BK_KIDS</t>
  </si>
  <si>
    <t>HCKMIF3507BK</t>
  </si>
  <si>
    <t>HCK-동일모자-156-HCKMIF3507BLACKOML</t>
  </si>
  <si>
    <t>HCK-동일모자-15 TTL</t>
  </si>
  <si>
    <t>ELK-가방</t>
  </si>
  <si>
    <t>ELK-바이칼-01</t>
  </si>
  <si>
    <t>ELK-바이칼-011</t>
  </si>
  <si>
    <t>BP</t>
  </si>
  <si>
    <t>BACK PACK</t>
  </si>
  <si>
    <t>ELKBPF3503</t>
  </si>
  <si>
    <t>14FW ELS BACKPACK_05_BL_TOD</t>
  </si>
  <si>
    <t>바이칼</t>
  </si>
  <si>
    <t>ELK-바이칼-01 TTL</t>
  </si>
  <si>
    <t>바이칼 요약</t>
  </si>
  <si>
    <t>ELK-가방 요약</t>
  </si>
  <si>
    <t>POK 요약</t>
  </si>
  <si>
    <t>SWK-QF-06</t>
  </si>
  <si>
    <t>SWK-QF-06SWKSNF5513PK</t>
  </si>
  <si>
    <t>SWK-QF-061</t>
  </si>
  <si>
    <t>SWK-QF-061-SWKSNF5513PINKOSM</t>
  </si>
  <si>
    <t>SWK의류외513</t>
  </si>
  <si>
    <t>SWKSNF5513</t>
  </si>
  <si>
    <t>14FW SMB_36_FLAT_PK_F_KIDS</t>
  </si>
  <si>
    <t>SWKSNF5513PK</t>
  </si>
  <si>
    <t>SWK-QF-061-SWKSNF5513PINKOML</t>
  </si>
  <si>
    <t>SWK-QF-06SWKSNF5504BK</t>
  </si>
  <si>
    <t>SWK-QF-062</t>
  </si>
  <si>
    <t>SWK-QF-062-SWKSNF5504BLACKOSM</t>
  </si>
  <si>
    <t>SWK의류외504</t>
  </si>
  <si>
    <t>SWKSNF5504</t>
  </si>
  <si>
    <t>14FW SMB_39_FLAT_BK_F_KIDS</t>
  </si>
  <si>
    <t>SWKSNF5504BK</t>
  </si>
  <si>
    <t>SWK-QF-062-SWKSNF5504BLACKOML</t>
  </si>
  <si>
    <t>SWK-QF-062-SWKSNF5504BLACKXSS</t>
  </si>
  <si>
    <t>SWK-QF-06SWKSNF5504PK</t>
  </si>
  <si>
    <t>SWK-QF-063</t>
  </si>
  <si>
    <t>SWK-QF-063-SWKSNF5504PINKOSM</t>
  </si>
  <si>
    <t>14FW SMB_39_FLAT_PK_F_KIDS</t>
  </si>
  <si>
    <t>SWKSNF5504PK</t>
  </si>
  <si>
    <t>SWK-QF-063-SWKSNF5504PINKOML</t>
  </si>
  <si>
    <t>SWK-QF-063-SWKSNF5504PINKXSS</t>
  </si>
  <si>
    <t>SWK-QF-06SWKERF5514PK</t>
  </si>
  <si>
    <t>SWK-QF-064</t>
  </si>
  <si>
    <t>SWK-QF-064-SWKERF5514PINKOSM</t>
  </si>
  <si>
    <t>SWK의류외514</t>
  </si>
  <si>
    <t>SWKERF5514</t>
  </si>
  <si>
    <t>14FW SMB_40_FLAT_PK_F_KIDS</t>
  </si>
  <si>
    <t>SWKERF5514PK</t>
  </si>
  <si>
    <t>SWK-QF-064-SWKERF5514PINKOML</t>
  </si>
  <si>
    <t>SWK-QF-064-SWKERF5514PINKXSS</t>
  </si>
  <si>
    <t>SWK-QF-06 TTL</t>
  </si>
  <si>
    <t>SWK-동일모자-17</t>
  </si>
  <si>
    <t>SWK-동일모자-17SWKSNF5505BW</t>
  </si>
  <si>
    <t>SWK-동일모자-171</t>
  </si>
  <si>
    <t>SWK-동일모자-171-SWKSNF5505BROWNOSM</t>
  </si>
  <si>
    <t>SWK의류외505</t>
  </si>
  <si>
    <t>SWKSNF5505</t>
  </si>
  <si>
    <t>14FW SMB_20_FLAT_BW_F_KIDS</t>
  </si>
  <si>
    <t>SWKSNF5505BW</t>
  </si>
  <si>
    <t>SWK-동일모자-171-SWKSNF5505BROWNOML</t>
  </si>
  <si>
    <t>SWK-동일모자-171-SWKSNF5505BROWNXSS</t>
  </si>
  <si>
    <t>SWK-동일모자-17SWKSNF5506PK</t>
  </si>
  <si>
    <t>SWK-동일모자-172</t>
  </si>
  <si>
    <t>SWK-동일모자-172-SWKSNF5506PINKOSM</t>
  </si>
  <si>
    <t>SWKSNF5506</t>
  </si>
  <si>
    <t>14FW SMB_44_FLAT_PK_F_KIDS</t>
  </si>
  <si>
    <t>SWKSNF5506PK</t>
  </si>
  <si>
    <t>SWK-동일모자-172-SWKSNF5506PINKOML</t>
  </si>
  <si>
    <t>SWK-동일모자-172-SWKSNF5506PINKXSS</t>
  </si>
  <si>
    <t>SWK-동일모자-17SWKSNF5514PK</t>
  </si>
  <si>
    <t>SWK-동일모자-173</t>
  </si>
  <si>
    <t>SWK-동일모자-173-SWKSNF5514PINKOSM</t>
  </si>
  <si>
    <t>SWKSNF5514</t>
  </si>
  <si>
    <t>14FW SMB_20_FLAT_PK_F_KIDS</t>
  </si>
  <si>
    <t>SWKSNF5514PK</t>
  </si>
  <si>
    <t>SWK-동일모자-173-SWKSNF5514PINKOML</t>
  </si>
  <si>
    <t>SWK-동일모자-17SWKERF5515PK</t>
  </si>
  <si>
    <t>SWK-동일모자-174</t>
  </si>
  <si>
    <t>SWK-동일모자-174-SWKERF5515PINKOSM</t>
  </si>
  <si>
    <t>SWK의류외515</t>
  </si>
  <si>
    <t>SWKERF5515</t>
  </si>
  <si>
    <t>14FW SMB_11_CURVED_PK_F_KIDS</t>
  </si>
  <si>
    <t>SWKERF5515PK</t>
  </si>
  <si>
    <t>SWK-동일모자-174-SWKERF5515PINKOML</t>
  </si>
  <si>
    <t>SWK-동일모자-17SWKERF5516PK</t>
  </si>
  <si>
    <t>SWK-동일모자-175</t>
  </si>
  <si>
    <t>SWK-동일모자-175-SWKERF5516PINKOSM</t>
  </si>
  <si>
    <t>SWK의류외516</t>
  </si>
  <si>
    <t>SWKERF5516</t>
  </si>
  <si>
    <t>14FW SMB_15_CURVED_PK_F_KIDS</t>
  </si>
  <si>
    <t>SWKERF5516PK</t>
  </si>
  <si>
    <t>SWK-동일모자-175-SWKERF5516PINKOML</t>
  </si>
  <si>
    <t>SWK-동일모자-175-SWKERF5516PINKXSS</t>
  </si>
  <si>
    <t>SWK-동일모자-17SWKERF5536NY</t>
  </si>
  <si>
    <t>SWK-동일모자-176</t>
  </si>
  <si>
    <t>SWK-동일모자-176-SWKERF5536NAVYOSM</t>
  </si>
  <si>
    <t>SWK의류외536</t>
  </si>
  <si>
    <t>SWKERF5536</t>
  </si>
  <si>
    <t>14FW SMB_16_CURVED_NY_F_KIDS</t>
  </si>
  <si>
    <t>SWKERF5536NY</t>
  </si>
  <si>
    <t>SWK-동일모자-176-SWKERF5536NAVYOML</t>
  </si>
  <si>
    <t>SWK-동일모자-177</t>
  </si>
  <si>
    <t>SWK-동일모자-17SWKERF5535PP</t>
  </si>
  <si>
    <t>SWK의류외535</t>
  </si>
  <si>
    <t>SWKERF5535</t>
  </si>
  <si>
    <t>14FW SMB_43_FLAT_PP_F_KIDS</t>
  </si>
  <si>
    <t>SWKERF5535PP</t>
  </si>
  <si>
    <t>SWK-동일모자-17 TTL</t>
  </si>
  <si>
    <t>SWK-성진-06</t>
  </si>
  <si>
    <t>SWK-성진-06SWKSNF5507NY</t>
  </si>
  <si>
    <t>SWK-성진-061</t>
  </si>
  <si>
    <t>SWK-성진-061-SWKSNF5507NAVYOSM</t>
  </si>
  <si>
    <t>SWK의류외507</t>
  </si>
  <si>
    <t>SWKSNF5507</t>
  </si>
  <si>
    <t>14FW SMB_18_FLAT_NV_F_KIDS</t>
  </si>
  <si>
    <t>SWKSNF5507NY</t>
  </si>
  <si>
    <t>SWK-성진-061-SWKSNF5507NAVYOML</t>
  </si>
  <si>
    <t>SWK-성진-06SWKSNF5507PK</t>
  </si>
  <si>
    <t>SWK-성진-062</t>
  </si>
  <si>
    <t>SWK-성진-062-SWKSNF5507PINKOSM</t>
  </si>
  <si>
    <t>14FW SMB_18_FLAT_PK_F_KIDS</t>
  </si>
  <si>
    <t>SWKSNF5507PK</t>
  </si>
  <si>
    <t>SWK-성진-062-SWKSNF5507PINKOML</t>
  </si>
  <si>
    <t>SWK-성진-062-SWKSNF5507PINKXSS</t>
  </si>
  <si>
    <t>SWK-성진-06SWKSNF5507BL</t>
  </si>
  <si>
    <t>SWK-성진-063</t>
  </si>
  <si>
    <t>SWK-성진-063-SWKSNF5507BLUEXSS</t>
  </si>
  <si>
    <t>14FW SMB_18_FLAT_BL_F_KIDS</t>
  </si>
  <si>
    <t>SWKSNF5507BL</t>
  </si>
  <si>
    <t>SWK-성진-06SWKSNF5508NY</t>
  </si>
  <si>
    <t>SWK-성진-064</t>
  </si>
  <si>
    <t>SWK-성진-064-SWKSNF5508NAVYOSM</t>
  </si>
  <si>
    <t>SWK의류외508</t>
  </si>
  <si>
    <t>SWKSNF5508</t>
  </si>
  <si>
    <t>14FW SMB_31_FLAT_NY_F_KIDS</t>
  </si>
  <si>
    <t>SWKSNF5508NY</t>
  </si>
  <si>
    <t>SWK-성진-064-SWKSNF5508NAVYOML</t>
  </si>
  <si>
    <t>SWK-성진-06SWKSNF5508PK</t>
  </si>
  <si>
    <t>SWK-성진-065</t>
  </si>
  <si>
    <t>SWK-성진-065-SWKSNF5508PINKOSM</t>
  </si>
  <si>
    <t>14FW SMB_31_FLAT_PK_F_KIDS</t>
  </si>
  <si>
    <t>SWKSNF5508PK</t>
  </si>
  <si>
    <t>SWK-성진-065-SWKSNF5508PINKOML</t>
  </si>
  <si>
    <t>SWK-성진-065-SWKSNF5508PINKXSS</t>
  </si>
  <si>
    <t>SWK-성진-06SWKSNF5508RE</t>
  </si>
  <si>
    <t>SWK-성진-066</t>
  </si>
  <si>
    <t>SWK-성진-066-SWKSNF5508REDXSS</t>
  </si>
  <si>
    <t>14FW SMB_31_FLAT_RE_F_KIDS</t>
  </si>
  <si>
    <t>SWKSNF5508RE</t>
  </si>
  <si>
    <t>SWK-성진-06SWKSNF5515OR</t>
  </si>
  <si>
    <t>SWK-성진-067</t>
  </si>
  <si>
    <t>SWK-성진-067-SWKSNF5515ORANGEOSM</t>
  </si>
  <si>
    <t>SWKSNF5515</t>
  </si>
  <si>
    <t>14FW SMB_10_FLAT_OR_F_KIDS</t>
  </si>
  <si>
    <t>SWKSNF5515OR</t>
  </si>
  <si>
    <t>SWK-성진-067-SWKSNF5515ORANGEOML</t>
  </si>
  <si>
    <t>SWK-성진-06 TTL</t>
  </si>
  <si>
    <t>SWK-성진-07</t>
  </si>
  <si>
    <t>SWK-성진-07SWKERF5517PK</t>
  </si>
  <si>
    <t>SWK-성진-071</t>
  </si>
  <si>
    <t>SWK-성진-071-SWKERF5517PINKOSM</t>
  </si>
  <si>
    <t>SWK의류외517</t>
  </si>
  <si>
    <t>SWKERF5517</t>
  </si>
  <si>
    <t>14FW SMB_17_FLAT_PK_F_KIDS</t>
  </si>
  <si>
    <t>SWKERF5517PK</t>
  </si>
  <si>
    <t>SWK-성진-071-SWKERF5517PINKOML</t>
  </si>
  <si>
    <t>SWK-성진-071-SWKERF5517PINKXSS</t>
  </si>
  <si>
    <t>SWK-성진-07 TTL</t>
  </si>
  <si>
    <t>SMK-QF-07</t>
  </si>
  <si>
    <t>SMK-QF-07SMKSNF5516RE</t>
  </si>
  <si>
    <t>SMK-QF-071</t>
  </si>
  <si>
    <t>SMK-QF-071-SMKSNF5516REDOSM</t>
  </si>
  <si>
    <t>SMK의류외516</t>
  </si>
  <si>
    <t>SMKSNF5516</t>
  </si>
  <si>
    <t>14FW SMB_22_FLAT_RD_N_KIDS</t>
  </si>
  <si>
    <t>SMKSNF5516RE</t>
  </si>
  <si>
    <t>SMK-QF-071-SMKSNF5516REDOML</t>
  </si>
  <si>
    <t>SMK-QF-07SMKSNF5517NY</t>
  </si>
  <si>
    <t>SMK-QF-072</t>
  </si>
  <si>
    <t>SMK-QF-072-SMKSNF5517NAVYOSM</t>
  </si>
  <si>
    <t>SMK의류외517</t>
  </si>
  <si>
    <t>SMKSNF5517</t>
  </si>
  <si>
    <t>14FW SMB_23_FLAT_NV_N_KIDS</t>
  </si>
  <si>
    <t>SMKSNF5517NY</t>
  </si>
  <si>
    <t>SMK-QF-072-SMKSNF5517NAVYOML</t>
  </si>
  <si>
    <t>SMK-QF-07SMKERF5518PK</t>
  </si>
  <si>
    <t>SMK-QF-073</t>
  </si>
  <si>
    <t>SMK-QF-073-SMKERF5518PINKOSM</t>
  </si>
  <si>
    <t>SMK의류외518</t>
  </si>
  <si>
    <t>SMKERF5518</t>
  </si>
  <si>
    <t>14FW SMB_14_FLAT_PK_N_KIDS</t>
  </si>
  <si>
    <t>SMKERF5518PK</t>
  </si>
  <si>
    <t>SMK-QF-073-SMKERF5518PINKOML</t>
  </si>
  <si>
    <t>SMK-QF-07SMKERF5520BK</t>
  </si>
  <si>
    <t>SMK-QF-074</t>
  </si>
  <si>
    <t>SMK-QF-074-SMKERF5520BLACKOSM</t>
  </si>
  <si>
    <t>SMK의류외520</t>
  </si>
  <si>
    <t>SMKERF5520</t>
  </si>
  <si>
    <t>14FW SMB_33_FLAT_BK_N_KIDS</t>
  </si>
  <si>
    <t>SMKERF5520BK</t>
  </si>
  <si>
    <t>SMK-QF-074-SMKERF5520BLACKOML</t>
  </si>
  <si>
    <t>SMK-QF-07SMKERF5521NY</t>
  </si>
  <si>
    <t>SMK-QF-075</t>
  </si>
  <si>
    <t>SMK-QF-075-SMKERF5521NAVYOSM</t>
  </si>
  <si>
    <t>SMK의류외521</t>
  </si>
  <si>
    <t>SMKERF5521</t>
  </si>
  <si>
    <t>14FW SMB_25_FLAT_NV_N_KIDS</t>
  </si>
  <si>
    <t>SMKERF5521NY</t>
  </si>
  <si>
    <t>SMK-QF-075-SMKERF5521NAVYOML</t>
  </si>
  <si>
    <t>SMK-QF-07SMKERF5522RE</t>
  </si>
  <si>
    <t>SMK-QF-076</t>
  </si>
  <si>
    <t>SMK-QF-076-SMKERF5522REDOSM</t>
  </si>
  <si>
    <t>SMK의류외522</t>
  </si>
  <si>
    <t>SMKERF5522</t>
  </si>
  <si>
    <t>14FW SMB_26_FLAT_RD_N_KIDS</t>
  </si>
  <si>
    <t>SMKERF5522RE</t>
  </si>
  <si>
    <t>SMK-QF-076-SMKERF5522REDOML</t>
  </si>
  <si>
    <t>SMK-QF-07 TTL</t>
  </si>
  <si>
    <t>SMK-동일모자-18</t>
  </si>
  <si>
    <t>SMK-동일모자-18SMKBAF5526GY</t>
  </si>
  <si>
    <t>SMK-동일모자-181</t>
  </si>
  <si>
    <t>SMK-동일모자-181-SMKBAF5526GREYOSM</t>
  </si>
  <si>
    <t>SMK의류외526</t>
  </si>
  <si>
    <t>SMKBAF5526</t>
  </si>
  <si>
    <t>14FW SMB_20_CURVED_GY_N_KIDS</t>
  </si>
  <si>
    <t>SMKBAF5526GY</t>
  </si>
  <si>
    <t>SMK-동일모자-181-SMKBAF5526GREYOML</t>
  </si>
  <si>
    <t>SMK-동일모자-18 TTL</t>
  </si>
  <si>
    <t>SMK-동일모자-19</t>
  </si>
  <si>
    <t>SMK-동일모자-19SMKERF5529NY</t>
  </si>
  <si>
    <t>SMK-동일모자-191</t>
  </si>
  <si>
    <t>SMK-동일모자-191-SMKERF5529NAVYOSM</t>
  </si>
  <si>
    <t>SMK의류외529</t>
  </si>
  <si>
    <t>SMKERF5529</t>
  </si>
  <si>
    <t>14FW SMB_12_CURVED_NV_N_KIDS</t>
  </si>
  <si>
    <t>SMKERF5529NY</t>
  </si>
  <si>
    <t>SMK-동일모자-191-SMKERF5529NAVYOML</t>
  </si>
  <si>
    <t>SMK-동일모자-19 TTL</t>
  </si>
  <si>
    <t>SMK-성진-08</t>
  </si>
  <si>
    <t>SMK-성진-08SMKFIF3705BK</t>
  </si>
  <si>
    <t>SMK-성진-081</t>
  </si>
  <si>
    <t>SMK-성진-081-SMKFIF3705BLACKOSM</t>
  </si>
  <si>
    <t>SMK의류외705</t>
  </si>
  <si>
    <t>13SS S</t>
  </si>
  <si>
    <t>SMKFIF3705</t>
  </si>
  <si>
    <t>13SS SMB CAP_01_FLAT_BK</t>
  </si>
  <si>
    <t>SMKFIF3705BK</t>
  </si>
  <si>
    <t>SMK-성진-081-SMKFIF3705BLACKOML</t>
  </si>
  <si>
    <t>SMK-성진-081-SMKFIF3705BLACKXSS</t>
  </si>
  <si>
    <t>SMK-성진-08 TTL</t>
  </si>
  <si>
    <t>POK-캡보이2-03</t>
  </si>
  <si>
    <t>POK-캡보이2-03POKFIF3901BL</t>
  </si>
  <si>
    <t>POK-캡보이2-031</t>
  </si>
  <si>
    <t>POK-캡보이2-031-POKFIF3901BLUEOSM</t>
  </si>
  <si>
    <t>POK의류외901</t>
  </si>
  <si>
    <t>14SS R</t>
  </si>
  <si>
    <t>POKFIF3901</t>
  </si>
  <si>
    <t>14SS RP 01_FLAT_BL_KIDS</t>
  </si>
  <si>
    <t>POKFIF3901BL</t>
  </si>
  <si>
    <t>POK-캡보이2-031-POKFIF3901BLUEOML</t>
  </si>
  <si>
    <t>POK-캡보이2-03POKFIF3902RE</t>
  </si>
  <si>
    <t>POK-캡보이2-032</t>
  </si>
  <si>
    <t>POK-캡보이2-032-POKFIF3902REDOSM</t>
  </si>
  <si>
    <t>POK의류외902</t>
  </si>
  <si>
    <t>POKFIF3902</t>
  </si>
  <si>
    <t>14SS RP 02_FLAT_RD_KIDS</t>
  </si>
  <si>
    <t>POKFIF3902RE</t>
  </si>
  <si>
    <t>POK-캡보이2-032-POKFIF3902REDOML</t>
  </si>
  <si>
    <t>POK-캡보이2-03POKFIF3903PK</t>
  </si>
  <si>
    <t>POK-캡보이2-033</t>
  </si>
  <si>
    <t>POK-캡보이2-033-POKFIF3903PINKOSM</t>
  </si>
  <si>
    <t>POK의류외903</t>
  </si>
  <si>
    <t>POKFIF3903</t>
  </si>
  <si>
    <t>14SS RP 03_FLAT_PK_KIDS</t>
  </si>
  <si>
    <t>POKFIF3903PK</t>
  </si>
  <si>
    <t>POK-캡보이2-033-POKFIF3903PINKOML</t>
  </si>
  <si>
    <t>POK-캡보이2-03POKFIF3904GR</t>
  </si>
  <si>
    <t>POK-캡보이2-034</t>
  </si>
  <si>
    <t>POK-캡보이2-034-POKFIF3904GREENOSM</t>
  </si>
  <si>
    <t>POK의류외904</t>
  </si>
  <si>
    <t>POKFIF3904</t>
  </si>
  <si>
    <t>14SS RP 04_FLAT_GR_KIDS</t>
  </si>
  <si>
    <t>POKFIF3904GR</t>
  </si>
  <si>
    <t>POK-캡보이2-034-POKFIF3904GREENOML</t>
  </si>
  <si>
    <t>POK-캡보이2-03 TTL</t>
  </si>
  <si>
    <t>ELK-바이칼-01ELKBPF3501BL</t>
  </si>
  <si>
    <t>ELK-바이칼-011-ELKBPF3501BLUEOSS</t>
  </si>
  <si>
    <t>ELK의류외501</t>
  </si>
  <si>
    <t>ELKBPF3501</t>
  </si>
  <si>
    <t>ELKBPF3501BL</t>
  </si>
  <si>
    <t>ELK-바이칼-01ELKBPF3502PK</t>
  </si>
  <si>
    <t>ELK-바이칼-012</t>
  </si>
  <si>
    <t>ELK-바이칼-012-ELKBPF3502PINKOSS</t>
  </si>
  <si>
    <t>ELK의류외502</t>
  </si>
  <si>
    <t>ELKBPF3502</t>
  </si>
  <si>
    <t>14FW ELS BACKPACK_05_PK_TOD</t>
  </si>
  <si>
    <t>ELKBPF3502PK</t>
  </si>
  <si>
    <t>ELK-바이칼-01ELKBPF3503PP</t>
  </si>
  <si>
    <t>ELK-바이칼-013</t>
  </si>
  <si>
    <t>ELK-바이칼-013-ELKBPF3503PURPLEOMM</t>
  </si>
  <si>
    <t>14FW ELS BACKPACK_04_PP_KIDS</t>
  </si>
  <si>
    <t>ELKBPF3503PP</t>
  </si>
  <si>
    <t>ELK-동일모자-20</t>
  </si>
  <si>
    <t>ELK-동일모자-20ELKBAF3841BK</t>
  </si>
  <si>
    <t>ELK-동일모자-201</t>
  </si>
  <si>
    <t>ELK-동일모자-201-ELKBAF3841BLACKOSM</t>
  </si>
  <si>
    <t>ELK의류외841</t>
  </si>
  <si>
    <t>ELKBAF3841</t>
  </si>
  <si>
    <t>13FW ELS 36_SNAP_BK_KIDS</t>
  </si>
  <si>
    <t>ELKBAF3841BK</t>
  </si>
  <si>
    <t>ELK-동일모자-201-ELKBAF3841BLACKOML</t>
  </si>
  <si>
    <t>ELK-동일모자-20ELKBAF3841RE</t>
  </si>
  <si>
    <t>ELK-동일모자-202</t>
  </si>
  <si>
    <t>ELK-동일모자-202-ELKBAF3841REDOSM</t>
  </si>
  <si>
    <t>13FW ELS 36_SNAP_RD_KIDS</t>
  </si>
  <si>
    <t>ELKBAF3841RE</t>
  </si>
  <si>
    <t>ELK-동일모자-202-ELKBAF3841REDOML</t>
  </si>
  <si>
    <t>ELK-동일모자-20 TTL</t>
  </si>
  <si>
    <t>ELK-동일모자-21</t>
  </si>
  <si>
    <t>ELK-동일모자-21ELKBAF3531GY</t>
  </si>
  <si>
    <t>ELK-동일모자-211</t>
  </si>
  <si>
    <t>ELK-동일모자-211-ELKBAF3531GREYOSM</t>
  </si>
  <si>
    <t>ELK의류외531</t>
  </si>
  <si>
    <t>ELKBAF3531</t>
  </si>
  <si>
    <t>14FW ELS_61_SNAP_GY_KIDS</t>
  </si>
  <si>
    <t>ELKBAF3531GY</t>
  </si>
  <si>
    <t>ELK-동일모자-211-ELKBAF3531GREYOML</t>
  </si>
  <si>
    <t>ELK-동일모자-21ELKERF5532PK</t>
  </si>
  <si>
    <t>ELK-동일모자-212</t>
  </si>
  <si>
    <t>ELK-동일모자-212-ELKERF5532PINKOSM</t>
  </si>
  <si>
    <t>ELK의류외532</t>
  </si>
  <si>
    <t>ELKERF5532</t>
  </si>
  <si>
    <t>14FW ELS_62_CURVED PK_KIDS</t>
  </si>
  <si>
    <t>ELKERF5532PK</t>
  </si>
  <si>
    <t>ELK-동일모자-212-ELKERF5532PINKOML</t>
  </si>
  <si>
    <t>ELK-동일모자-21 TTL</t>
  </si>
  <si>
    <t xml:space="preserve">확정 </t>
  </si>
  <si>
    <t>JOK-동일모자-22</t>
  </si>
  <si>
    <t>JOK-동일모자-22JOKBAF3509PK</t>
  </si>
  <si>
    <t>JOK-동일모자-221</t>
  </si>
  <si>
    <t>JOK-동일모자-221-JOKBAF3509PINKXSS</t>
  </si>
  <si>
    <t>JOK의류외509</t>
  </si>
  <si>
    <t>JOKBAF3509</t>
  </si>
  <si>
    <t>14FW JOIE BETE_33_PK_KIDS</t>
  </si>
  <si>
    <t>JOKBAF3509PK</t>
  </si>
  <si>
    <t>JOK-동일모자-221-JOKBAF3509PINKOSM</t>
  </si>
  <si>
    <t>JOK-동일모자-221-JOKBAF3509PINKOML</t>
  </si>
  <si>
    <t>JOK-동일모자-22JOKBAF3510YE</t>
  </si>
  <si>
    <t>JOK-동일모자-222</t>
  </si>
  <si>
    <t>JOK-동일모자-222-JOKBAF3510YELLOWXSS</t>
  </si>
  <si>
    <t>JOK의류외510</t>
  </si>
  <si>
    <t>JOKBAF3510</t>
  </si>
  <si>
    <t>14FW JOIE BETE_34_YL_KIDS</t>
  </si>
  <si>
    <t>JOKBAF3510YE</t>
  </si>
  <si>
    <t>JOK-동일모자-222-JOKBAF3510YELLOWOSM</t>
  </si>
  <si>
    <t>JOK-동일모자-222-JOKBAF3510YELLOWOML</t>
  </si>
  <si>
    <t>JOK-동일모자-22JOKBAF3511GY</t>
  </si>
  <si>
    <t>JOK-동일모자-223</t>
  </si>
  <si>
    <t>JOK-동일모자-223-JOKBAF3511GREYXSS</t>
  </si>
  <si>
    <t>JOK의류외511</t>
  </si>
  <si>
    <t>JOKBAF3511</t>
  </si>
  <si>
    <t>14FW JOIE BETE_35_GY_KIDS</t>
  </si>
  <si>
    <t>JOKBAF3511GY</t>
  </si>
  <si>
    <t>JOK-동일모자-223-JOKBAF3511GREYOSM</t>
  </si>
  <si>
    <t>JOK-동일모자-223-JOKBAF3511GREYOML</t>
  </si>
  <si>
    <t>JOK-동일모자-22JOKBAF3512PP</t>
  </si>
  <si>
    <t>JOK-동일모자-224</t>
  </si>
  <si>
    <t>JOK-동일모자-224-JOKBAF3512PURPLEXSS</t>
  </si>
  <si>
    <t>JOK의류외512</t>
  </si>
  <si>
    <t>JOKBAF3512</t>
  </si>
  <si>
    <t>14FW JOIE BETE_36_PP_KIDS</t>
  </si>
  <si>
    <t>JOKBAF3512PP</t>
  </si>
  <si>
    <t>JOK-동일모자-224-JOKBAF3512PURPLEOSM</t>
  </si>
  <si>
    <t>JOK-동일모자-224-JOKBAF3512PURPLEOML</t>
  </si>
  <si>
    <t>JOK-동일모자-22JOKBAF5513PK</t>
  </si>
  <si>
    <t>JOK-동일모자-225</t>
  </si>
  <si>
    <t>JOK-동일모자-225-JOKBAF5513PINKOSM</t>
  </si>
  <si>
    <t>JOK의류외513</t>
  </si>
  <si>
    <t>JOKBAF5513</t>
  </si>
  <si>
    <t>14FW JOIE BETE_02_PK_KIDS</t>
  </si>
  <si>
    <t>JOKBAF5513PK</t>
  </si>
  <si>
    <t>JOK-동일모자-225-JOKBAF5513PINKOML</t>
  </si>
  <si>
    <t>JOK-동일모자-22 TTL</t>
  </si>
  <si>
    <t>POK-FOREMOST-18</t>
  </si>
  <si>
    <t>POK-FOREMOST-18POKEBF5503PK</t>
  </si>
  <si>
    <t>POK-FOREMOST-181</t>
  </si>
  <si>
    <t>POK-FOREMOST-181-POKEBF5503PINKFRE</t>
  </si>
  <si>
    <t>POK의류외503</t>
  </si>
  <si>
    <t>POKEBF5503</t>
  </si>
  <si>
    <t>14FW POLI-01_PK_KNIT-KIDS</t>
  </si>
  <si>
    <t>POKEBF5503PK</t>
  </si>
  <si>
    <t>POK-FOREMOST-18POKEBF5504BL</t>
  </si>
  <si>
    <t>POK-FOREMOST-182</t>
  </si>
  <si>
    <t>POK-FOREMOST-182-POKEBF5504BLUEFRE</t>
  </si>
  <si>
    <t>POK의류외504</t>
  </si>
  <si>
    <t>POKEBF5504</t>
  </si>
  <si>
    <t>14FW POLI-02_BL_KNIT-KIDS</t>
  </si>
  <si>
    <t>POKEBF5504BL</t>
  </si>
  <si>
    <t>POK-FOREMOST-18 TTL</t>
  </si>
  <si>
    <t>DPK-FOREMOST-19</t>
  </si>
  <si>
    <t>DPK-FOREMOST-19DPKEBF5508PK</t>
  </si>
  <si>
    <t>DPK-FOREMOST-191</t>
  </si>
  <si>
    <t>DPK-FOREMOST-191-DPKEBF5508PINKFRE</t>
  </si>
  <si>
    <t>DPK의류외508</t>
  </si>
  <si>
    <t>14FW D</t>
  </si>
  <si>
    <t>DPKEBF5508</t>
  </si>
  <si>
    <t>14FW DISNEY 04_SNAP_PK_KIDS</t>
  </si>
  <si>
    <t>DPKEBF5508PK</t>
  </si>
  <si>
    <t>DPK-FOREMOST-19 TTL</t>
  </si>
  <si>
    <t>VBK-FOREMOST-17</t>
  </si>
  <si>
    <t>VBK-FOREMOST-17VBKBAF3603RE</t>
  </si>
  <si>
    <t>VBK-FOREMOST-171</t>
  </si>
  <si>
    <t>VBK-FOREMOST-171-VBKBAF3603REDOSM</t>
  </si>
  <si>
    <t>VBK의류외603</t>
  </si>
  <si>
    <t>13SS V</t>
  </si>
  <si>
    <t>VBKBAF3603</t>
  </si>
  <si>
    <t>13SS VB 16_CURVED_RD_KIDS</t>
  </si>
  <si>
    <t>VBKBAF3603RE</t>
  </si>
  <si>
    <t>VBK-FOREMOST-17VBKBAF3603GR</t>
  </si>
  <si>
    <t>VBK-FOREMOST-172</t>
  </si>
  <si>
    <t>VBK-FOREMOST-172-VBKBAF3603GREENOSM</t>
  </si>
  <si>
    <t>13SS VB 16_CURVED_GR_KIDS</t>
  </si>
  <si>
    <t>VBKBAF3603GR</t>
  </si>
  <si>
    <t>VBK-FOREMOST-172-VBKBAF3603GREENOML</t>
  </si>
  <si>
    <t>VBK-FOREMOST-17 TTL</t>
  </si>
  <si>
    <t>WTK-동일모자-121-WTKBAF5504REDOSM</t>
  </si>
  <si>
    <t>WTK-동일모자-121-WTKBAF5504REDOML</t>
  </si>
  <si>
    <t>WTK-동일모자-122-WTKBAF5505BROWNOSM</t>
  </si>
  <si>
    <t>WTK-동일모자-122-WTKBAF5505BROWNOML</t>
  </si>
  <si>
    <t>WTK-동일모자-123-WTKBAF5506BEIGEOSM</t>
  </si>
  <si>
    <t>WTK-동일모자-123-WTKBAF5506BEIGEOML</t>
  </si>
  <si>
    <t>JOK-가방</t>
  </si>
  <si>
    <t>JOK-KIDS FIRST TOYS-02</t>
  </si>
  <si>
    <t>JOK-KIDS FIRST TOYS-02JOKBPF3514BL</t>
  </si>
  <si>
    <t>JOK-KIDS FIRST TOYS-021</t>
  </si>
  <si>
    <t>JOK-KIDS FIRST TOYS-021-JOKBPF3514BLUEFRE</t>
  </si>
  <si>
    <t>JOK의류외514</t>
  </si>
  <si>
    <t>JOKBPF3514</t>
  </si>
  <si>
    <t>14FW JOIE BETE_29_BL_KIDS</t>
  </si>
  <si>
    <t>JOKBPF3514BL</t>
  </si>
  <si>
    <t>JOK-KIDS FIRST TOYS-02JOKBPF3515GY</t>
  </si>
  <si>
    <t>JOK-KIDS FIRST TOYS-022</t>
  </si>
  <si>
    <t>JOK-KIDS FIRST TOYS-022-JOKBPF3515GREYFRE</t>
  </si>
  <si>
    <t>JOK의류외515</t>
  </si>
  <si>
    <t>JOKBPF3515</t>
  </si>
  <si>
    <t>14FW JOIE BETE_30_GY_KIDS</t>
  </si>
  <si>
    <t>JOKBPF3515GY</t>
  </si>
  <si>
    <t>JOK-KIDS FIRST TOYS-02JOKBPF3516PK</t>
  </si>
  <si>
    <t>JOK-KIDS FIRST TOYS-023</t>
  </si>
  <si>
    <t>JOK-KIDS FIRST TOYS-023-JOKBPF3516PINKFRE</t>
  </si>
  <si>
    <t>JOK의류외516</t>
  </si>
  <si>
    <t>JOKBPF3516</t>
  </si>
  <si>
    <t>14FW JOIE BETE_31_PK_KIDS</t>
  </si>
  <si>
    <t>JOKBPF3516PK</t>
  </si>
  <si>
    <t>JOK-KIDS FIRST TOYS-02JOKBPF3517IV</t>
  </si>
  <si>
    <t>JOK-KIDS FIRST TOYS-024</t>
  </si>
  <si>
    <t>JOK-KIDS FIRST TOYS-024-JOKBPF3517IVORYFRE</t>
  </si>
  <si>
    <t>JOK의류외517</t>
  </si>
  <si>
    <t>JOKBPF3517</t>
  </si>
  <si>
    <t>14FW JOIE BETE_32_IV_KIDS</t>
  </si>
  <si>
    <t>JOKBPF3517IV</t>
  </si>
  <si>
    <t>JOK-KIDS FIRST TOYS-02JOKACF3518IV</t>
  </si>
  <si>
    <t>JOK-KIDS FIRST TOYS-025</t>
  </si>
  <si>
    <t>JOK-KIDS FIRST TOYS-025-JOKACF3518IVORYFRE</t>
  </si>
  <si>
    <t>JOK의류외518</t>
  </si>
  <si>
    <t>AC</t>
  </si>
  <si>
    <t>ACC</t>
  </si>
  <si>
    <t>JOKACF3518</t>
  </si>
  <si>
    <t>14FW JOIE BETE_26_IV_KIDS</t>
  </si>
  <si>
    <t>JOKACF3518IV</t>
  </si>
  <si>
    <t>JOK-KIDS FIRST TOYS-02JOKACF3519YE</t>
  </si>
  <si>
    <t>JOK-KIDS FIRST TOYS-026</t>
  </si>
  <si>
    <t>JOK-KIDS FIRST TOYS-026-JOKACF3519YELLOWFRE</t>
  </si>
  <si>
    <t>JOK의류외519</t>
  </si>
  <si>
    <t>JOKACF3519</t>
  </si>
  <si>
    <t>14FW JOIE BETE_24_YL_KIDS</t>
  </si>
  <si>
    <t>JOKACF3519YE</t>
  </si>
  <si>
    <t>JOK-KIDS FIRST TOYS-02JOKACF3520PK</t>
  </si>
  <si>
    <t>JOK-KIDS FIRST TOYS-027</t>
  </si>
  <si>
    <t>JOK-KIDS FIRST TOYS-027-JOKACF3520PINKFRE</t>
  </si>
  <si>
    <t>JOK의류외520</t>
  </si>
  <si>
    <t>JOKACF3520</t>
  </si>
  <si>
    <t>14FW JOIE BETE_23_PK_KIDS</t>
  </si>
  <si>
    <t>JOKACF3520PK</t>
  </si>
  <si>
    <t>JOK-KIDS FIRST TOYS-02JOKACF3521GR</t>
  </si>
  <si>
    <t>JOK-KIDS FIRST TOYS-028</t>
  </si>
  <si>
    <t>JOK-KIDS FIRST TOYS-028-JOKACF3521GREENFRE</t>
  </si>
  <si>
    <t>JOK의류외521</t>
  </si>
  <si>
    <t>JOKACF3521</t>
  </si>
  <si>
    <t>14FW JOIE BETE_25_GR_KIDS</t>
  </si>
  <si>
    <t>JOKACF3521GR</t>
  </si>
  <si>
    <t>JOK-KIDS FIRST TOYS-02JOKACF3522GY</t>
  </si>
  <si>
    <t>JOK-KIDS FIRST TOYS-029</t>
  </si>
  <si>
    <t>JOK-KIDS FIRST TOYS-029-JOKACF3522GREYFRE</t>
  </si>
  <si>
    <t>JOK의류외522</t>
  </si>
  <si>
    <t>JOKACF3522</t>
  </si>
  <si>
    <t>14FW JOIE BETE_27_GY_KIDS</t>
  </si>
  <si>
    <t>JOKACF3522GY</t>
  </si>
  <si>
    <t>JOK-KIDS FIRST TOYS-02 TTL</t>
  </si>
  <si>
    <t>JOK-FOREMOST-20</t>
  </si>
  <si>
    <t>JOK-FOREMOST-20JOKEBF5523IV</t>
  </si>
  <si>
    <t>JOK-FOREMOST-201</t>
  </si>
  <si>
    <t>JOK-FOREMOST-201-JOKEBF5523IVORYFRE</t>
  </si>
  <si>
    <t>JOK의류외523</t>
  </si>
  <si>
    <t>JOKEBF5523</t>
  </si>
  <si>
    <t>14FW JOIEBETE_KNIT_04_IV</t>
  </si>
  <si>
    <t>JOKEBF5523IV</t>
  </si>
  <si>
    <t>JOK-FOREMOST-20JOKEBF5523BL</t>
  </si>
  <si>
    <t>JOK-FOREMOST-202</t>
  </si>
  <si>
    <t>JOK-FOREMOST-202-JOKEBF5523BLUEFRE</t>
  </si>
  <si>
    <t>14FW JOIEBETE_KNIT_04_BL</t>
  </si>
  <si>
    <t>JOKEBF5523BL</t>
  </si>
  <si>
    <t>JOK-FOREMOST-20 TTL</t>
  </si>
  <si>
    <t>ELK-EVERGREEN-02ELKPTF4507RE</t>
  </si>
  <si>
    <t>ELK-EVERGREEN-023-ELKPTF4507REDOXS</t>
  </si>
  <si>
    <t>ELKPTF4507</t>
  </si>
  <si>
    <t>ELKPTF4507RE</t>
  </si>
  <si>
    <t>ELK-EVERGREEN-023-ELKPTF4507REDOSS</t>
  </si>
  <si>
    <t>ELK-EVERGREEN-023-ELKPTF4507REDOMM</t>
  </si>
  <si>
    <t>ELK-EVERGREEN-023-ELKPTF4507REDOLL</t>
  </si>
  <si>
    <t>ELK-EVERGREEN-023-ELKPTF4507REDOXL</t>
  </si>
  <si>
    <t>ELK-EVERGREEN-02ELKPTF4507YE</t>
  </si>
  <si>
    <t>ELK-EVERGREEN-024-ELKPTF4507YELLOWOXS</t>
  </si>
  <si>
    <t>ELKPTF4507YE</t>
  </si>
  <si>
    <t>ELK-EVERGREEN-024-ELKPTF4507YELLOWOSS</t>
  </si>
  <si>
    <t>ELK-EVERGREEN-024-ELKPTF4507YELLOWOMM</t>
  </si>
  <si>
    <t>ELK-EVERGREEN-024-ELKPTF4507YELLOWOLL</t>
  </si>
  <si>
    <t>ELK-EVERGREEN-024-ELKPTF4507YELLOWOXL</t>
  </si>
  <si>
    <t>PNK-의류</t>
  </si>
  <si>
    <t>PNK-대경-04</t>
  </si>
  <si>
    <t>PNK-대경-04PNKTLF4501NY</t>
  </si>
  <si>
    <t>PNK-대경-041</t>
  </si>
  <si>
    <t>PNK-대경-041-PNKTLF4501NAVYXXS</t>
  </si>
  <si>
    <t>PNK의류501</t>
  </si>
  <si>
    <t>PNK</t>
  </si>
  <si>
    <t>PLAY NEWYORK KIDS</t>
  </si>
  <si>
    <t>PNKTLF4501</t>
  </si>
  <si>
    <t>PNKTLF4501NY</t>
  </si>
  <si>
    <t>PNK-대경-041-PNKTLF4501NAVYOXS</t>
  </si>
  <si>
    <t>PNK-대경-041-PNKTLF4501NAVYOSS</t>
  </si>
  <si>
    <t>PNK-대경-041-PNKTLF4501NAVYOMM</t>
  </si>
  <si>
    <t>PNK-대경-041-PNKTLF4501NAVYOLL</t>
  </si>
  <si>
    <t>PNK-대경-041-PNKTLF4501NAVYOXL</t>
  </si>
  <si>
    <t>PNK-대경-04PNKHPF5506BK</t>
  </si>
  <si>
    <t>PNK-대경-042</t>
  </si>
  <si>
    <t>PNK-대경-042-PNKHPF5506BLACKXXS</t>
  </si>
  <si>
    <t>PNK의류506</t>
  </si>
  <si>
    <t>PNKHPF5506</t>
  </si>
  <si>
    <t>PNKHPF5506BK</t>
  </si>
  <si>
    <t>PNK-대경-042-PNKHPF5506BLACKOXS</t>
  </si>
  <si>
    <t>PNK-대경-042-PNKHPF5506BLACKOSS</t>
  </si>
  <si>
    <t>PNK-대경-042-PNKHPF5506BLACKOMM</t>
  </si>
  <si>
    <t>PNK-대경-042-PNKHPF5506BLACKOLL</t>
  </si>
  <si>
    <t>PNK-대경-042-PNKHPF5506BLACKOXL</t>
  </si>
  <si>
    <t>PNK-대경-04 TTL</t>
  </si>
  <si>
    <t>PNK-EVERGREEN-04</t>
  </si>
  <si>
    <t>PNK-EVERGREEN-04PNKTLF5508GY</t>
  </si>
  <si>
    <t>PNK-EVERGREEN-041</t>
  </si>
  <si>
    <t>PNK-EVERGREEN-041-PNKTLF5508GREYXXS</t>
  </si>
  <si>
    <t>PNK의류508</t>
  </si>
  <si>
    <t>PNKTLF5508</t>
  </si>
  <si>
    <t>PNKTLF5508GY</t>
  </si>
  <si>
    <t>PNK-EVERGREEN-041-PNKTLF5508GREYOXS</t>
  </si>
  <si>
    <t>PNK-EVERGREEN-041-PNKTLF5508GREYOSS</t>
  </si>
  <si>
    <t>PNK-EVERGREEN-041-PNKTLF5508GREYOMM</t>
  </si>
  <si>
    <t>PNK-EVERGREEN-041-PNKTLF5508GREYOLL</t>
  </si>
  <si>
    <t>PNK-EVERGREEN-041-PNKTLF5508GREYOXL</t>
  </si>
  <si>
    <t>PNK-EVERGREEN-04PNKTLF5508BK</t>
  </si>
  <si>
    <t>PNK-EVERGREEN-042</t>
  </si>
  <si>
    <t>PNK-EVERGREEN-042-PNKTLF5508BLACKXXS</t>
  </si>
  <si>
    <t>PNKTLF5508BK</t>
  </si>
  <si>
    <t>PNK-EVERGREEN-042-PNKTLF5508BLACKOXS</t>
  </si>
  <si>
    <t>PNK-EVERGREEN-042-PNKTLF5508BLACKOSS</t>
  </si>
  <si>
    <t>PNK-EVERGREEN-042-PNKTLF5508BLACKOMM</t>
  </si>
  <si>
    <t>PNK-EVERGREEN-042-PNKTLF5508BLACKOLL</t>
  </si>
  <si>
    <t>PNK-EVERGREEN-042-PNKTLF5508BLACKOXL</t>
  </si>
  <si>
    <t>PNK-EVERGREEN-04PNKPTF5508BK</t>
  </si>
  <si>
    <t>PNK-EVERGREEN-043</t>
  </si>
  <si>
    <t>PNK-EVERGREEN-043-PNKPTF5508BLACKOXS</t>
  </si>
  <si>
    <t>PNKPTF5508</t>
  </si>
  <si>
    <t>PNKPTF5508BK</t>
  </si>
  <si>
    <t>PNK-EVERGREEN-043-PNKPTF5508BLACKOSS</t>
  </si>
  <si>
    <t>PNK-EVERGREEN-043-PNKPTF5508BLACKOMM</t>
  </si>
  <si>
    <t>PNK-EVERGREEN-043-PNKPTF5508BLACKOLL</t>
  </si>
  <si>
    <t>PNK-EVERGREEN-043-PNKPTF5508BLACKOXL</t>
  </si>
  <si>
    <t>PNK-EVERGREEN-04 TTL</t>
  </si>
  <si>
    <t>PNK-아트인드림-06</t>
  </si>
  <si>
    <t>PNK-아트인드림-06PNKTHF5505BK</t>
  </si>
  <si>
    <t>PNK-아트인드림-061</t>
  </si>
  <si>
    <t>PNK-아트인드림-061-PNKTHF5505BLACKXXS</t>
  </si>
  <si>
    <t>PNK의류505</t>
  </si>
  <si>
    <t>PNKTHF5505</t>
  </si>
  <si>
    <t>PNKTHF5505BK</t>
  </si>
  <si>
    <t>PNK-아트인드림-061-PNKTHF5505BLACKOXS</t>
  </si>
  <si>
    <t>PNK-아트인드림-061-PNKTHF5505BLACKOSS</t>
  </si>
  <si>
    <t>PNK-아트인드림-061-PNKTHF5505BLACKOMM</t>
  </si>
  <si>
    <t>PNK-아트인드림-061-PNKTHF5505BLACKOLL</t>
  </si>
  <si>
    <t>PNK-아트인드림-061-PNKTHF5505BLACKOXL</t>
  </si>
  <si>
    <t>PNK-아트인드림-06 TTL</t>
  </si>
  <si>
    <t>면 61% 레이온 36% 폴리우레탄 3%</t>
  </si>
  <si>
    <t>겉감1: 아크릴 85% 울 15% 겉감2: 폴리우레탄 100%</t>
  </si>
  <si>
    <t>면 100%</t>
  </si>
  <si>
    <t>겉감1: 아크릴 90% 울 10% 겉감2: 면 100%</t>
  </si>
  <si>
    <t>겉감1: 아크릴 100% 겉감2: 면 100%</t>
  </si>
  <si>
    <t>면 97% 폴리우레탄 3%</t>
  </si>
  <si>
    <t>폴리에스터 100%</t>
  </si>
  <si>
    <t>JOK-가방 요약</t>
  </si>
  <si>
    <t>PNK-의류 요약</t>
  </si>
  <si>
    <t>SMK-성진-09</t>
  </si>
  <si>
    <t>SMK-성진-09SMKBAF3729NY</t>
  </si>
  <si>
    <t>SMK-성진-091</t>
  </si>
  <si>
    <t>SMK-성진-091-SMKBAF3729NAVYXSS</t>
  </si>
  <si>
    <t>SMK의류외729</t>
  </si>
  <si>
    <t>SMKBAF3729</t>
  </si>
  <si>
    <t>13SS SMB_23_CURVED_NY_KIDS</t>
  </si>
  <si>
    <t>SMKBAF3729NY</t>
  </si>
  <si>
    <t>SMK-성진-091-SMKBAF3729NAVYOSM</t>
  </si>
  <si>
    <t>SMK-성진-091-SMKBAF3729NAVYOML</t>
  </si>
  <si>
    <t>SMK-성진-09 TTL</t>
  </si>
  <si>
    <t>NOK-EVERRICH TEXTILE-01NOKTPF5508BK</t>
  </si>
  <si>
    <t>NOK-EVERRICH TEXTILE-011-NOKTPF5508BLACKFRE</t>
  </si>
  <si>
    <t>NOK-EVERRICH TEXTILE-012-NOKTPF5511BLACKFRE</t>
  </si>
  <si>
    <t>NOK-EVERRICH TEXTILE-013-NOKTPF5511REDFRE</t>
  </si>
  <si>
    <t>NOK-EVERRICH TEXTILE-014</t>
  </si>
  <si>
    <t>NOK-EVERRICH TEXTILE-014-NOKTPF5511PINKFRE</t>
  </si>
  <si>
    <t>URK-캡보이2-04</t>
  </si>
  <si>
    <t>URK-캡보이2-04URKFIF3807BK</t>
  </si>
  <si>
    <t>URK-캡보이2-041</t>
  </si>
  <si>
    <t>URK-캡보이2-041-URKFIF3807BLACKOSM</t>
  </si>
  <si>
    <t>URK의류외807</t>
  </si>
  <si>
    <t>13FW_U</t>
  </si>
  <si>
    <t>URKFIF3807</t>
  </si>
  <si>
    <t>13FW_URBAN SWAGGER_02_FLAT_BK_KIDS</t>
  </si>
  <si>
    <t>URKFIF3807BK</t>
  </si>
  <si>
    <t>URK-캡보이2-041-URKFIF3807BLACKOML</t>
  </si>
  <si>
    <t>URK-캡보이2-04 TTL</t>
  </si>
  <si>
    <t>ELK-대경-01ELKPTF5503BK</t>
  </si>
  <si>
    <t>ELK-대경-014-ELKPTF5503BLACKOXS</t>
  </si>
  <si>
    <t>ELKPTF5503</t>
  </si>
  <si>
    <t>ELKPTF5503BK</t>
  </si>
  <si>
    <t>ELK-대경-014-ELKPTF5503BLACKOSS</t>
  </si>
  <si>
    <t>ELK-대경-014-ELKPTF5503BLACKOMM</t>
  </si>
  <si>
    <t>ELK-대경-014-ELKPTF5503BLACKOLL</t>
  </si>
  <si>
    <t>ELK-대경-014-ELKPTF5503BLACKOXL</t>
  </si>
  <si>
    <t>ELK-아트인드림-07</t>
  </si>
  <si>
    <t>ELK-아트인드림-07ELKBEF3533PK</t>
  </si>
  <si>
    <t>ELK-아트인드림-071</t>
  </si>
  <si>
    <t>ELK-아트인드림-071-ELKBEF3533PINKFRE</t>
  </si>
  <si>
    <t>ELK의류외533</t>
  </si>
  <si>
    <t>ELKBEF3533</t>
  </si>
  <si>
    <t>14FW ELSTINKO_HAT_01_PI_BABY</t>
  </si>
  <si>
    <t>ELKBEF3533PK</t>
  </si>
  <si>
    <t>ELK-아트인드림-07ELKBEF3534BL</t>
  </si>
  <si>
    <t>ELK-아트인드림-072</t>
  </si>
  <si>
    <t>ELK-아트인드림-072-ELKBEF3534BLUEFRE</t>
  </si>
  <si>
    <t>ELK의류외534</t>
  </si>
  <si>
    <t>ELKBEF3534</t>
  </si>
  <si>
    <t>14FW ELSTINKO_HAT_02_BL_BABY</t>
  </si>
  <si>
    <t>ELKBEF3534BL</t>
  </si>
  <si>
    <t>ELK-아트인드림-07ELKBBF4595PK</t>
  </si>
  <si>
    <t>ELK-아트인드림-073</t>
  </si>
  <si>
    <t>ELK-아트인드림-073-ELKBBF4595PINKFRE</t>
  </si>
  <si>
    <t>ELK의류595</t>
  </si>
  <si>
    <t>BB</t>
  </si>
  <si>
    <t>BIB (턱받이)</t>
  </si>
  <si>
    <t>ELKBBF4595</t>
  </si>
  <si>
    <t>14FW ELSTINKO_BIB_01_PI_BABY</t>
  </si>
  <si>
    <t>ELKBBF4595PK</t>
  </si>
  <si>
    <t>ELK-아트인드림-07ELKBBF4596BL</t>
  </si>
  <si>
    <t>ELK-아트인드림-074</t>
  </si>
  <si>
    <t>ELK-아트인드림-074-ELKBBF4596BLUEFRE</t>
  </si>
  <si>
    <t>ELK의류596</t>
  </si>
  <si>
    <t>ELKBBF4596</t>
  </si>
  <si>
    <t>14FW ELSTINKO_BIB_02_BL_BABY</t>
  </si>
  <si>
    <t>ELKBBF4596BL</t>
  </si>
  <si>
    <t>ELK-아트인드림-07 TTL</t>
  </si>
  <si>
    <t>URK-Y&amp;Y-04</t>
  </si>
  <si>
    <t>URK-Y&amp;Y-04URKBEF5519BK</t>
  </si>
  <si>
    <t>URK-Y&amp;Y-041</t>
  </si>
  <si>
    <t>URK-Y&amp;Y-041-URKBEF5519BLACKFRE</t>
  </si>
  <si>
    <t>URK-Y&amp;Y-04URKBEF5519RE</t>
  </si>
  <si>
    <t>URK-Y&amp;Y-042</t>
  </si>
  <si>
    <t>URK-Y&amp;Y-042-URKBEF5519REDFRE</t>
  </si>
  <si>
    <t>URK-Y&amp;Y-04 TTL</t>
  </si>
  <si>
    <t>겉감 1: 면 75%, 폴리에스터 25%/겉감 2 :폴리에스터 65%, 아크릴 35%</t>
  </si>
  <si>
    <t>겉감 1 :  폴리에스터 100% /겉감 2 :  아크릴 80%,  폴리에스터 20%</t>
  </si>
  <si>
    <t>면 70% , 폴리에스터 30%</t>
  </si>
  <si>
    <t>폴리에스터 85 % , 아크릴 15%</t>
  </si>
  <si>
    <t>울 40%, 폴리에스터 40%, 아크릴 20%</t>
  </si>
  <si>
    <t>DPK-가방</t>
  </si>
  <si>
    <t>DPK-바이칼-02</t>
  </si>
  <si>
    <t>DPK-바이칼-02DPKBPF3501PK</t>
  </si>
  <si>
    <t>DPK-바이칼-021</t>
  </si>
  <si>
    <t>DPK-바이칼-021-DPKBPF3501PINKOMM</t>
  </si>
  <si>
    <t>DPKBPF3501</t>
  </si>
  <si>
    <t>14FW DISNEY_BP_07_PK_KIDS</t>
  </si>
  <si>
    <t>DPKBPF3501PK</t>
  </si>
  <si>
    <t>DPK-바이칼-02DPKBPF3502PK</t>
  </si>
  <si>
    <t>DPK-바이칼-022</t>
  </si>
  <si>
    <t>DPK-바이칼-022-DPKBPF3502PINKOMM</t>
  </si>
  <si>
    <t>DPKBPF3502</t>
  </si>
  <si>
    <t>14FW DISNEY_BP_08_PK_KIDS</t>
  </si>
  <si>
    <t>DPKBPF3502PK</t>
  </si>
  <si>
    <t>DPK-바이칼-02DPKBPF3503NY</t>
  </si>
  <si>
    <t>DPK-바이칼-023</t>
  </si>
  <si>
    <t>DPK-바이칼-023-DPKBPF3503NAVYOMM</t>
  </si>
  <si>
    <t>DPKBPF3503</t>
  </si>
  <si>
    <t>14FW DISNEY_BP_09_NV_KIDS</t>
  </si>
  <si>
    <t>DPKBPF3503NY</t>
  </si>
  <si>
    <t>DPK-바이칼-02 TTL</t>
  </si>
  <si>
    <t>DPK-가방 요약</t>
  </si>
  <si>
    <t>PNK-성진-02</t>
  </si>
  <si>
    <t>PNK-성진-02PNKUMF5501RE</t>
  </si>
  <si>
    <t>PNK-성진-021</t>
  </si>
  <si>
    <t>PNK-성진-021-PNKUMF5501REDXSS</t>
  </si>
  <si>
    <t>PNK의류외501</t>
  </si>
  <si>
    <t>PNKUMF5501</t>
  </si>
  <si>
    <t>PNKUMF5501RE</t>
  </si>
  <si>
    <t>PNK-성진-021-PNKUMF5501REDOSM</t>
  </si>
  <si>
    <t>PNK-성진-021-PNKUMF5501REDOML</t>
  </si>
  <si>
    <t>PNK-성진-02PNKUMF5501PK</t>
  </si>
  <si>
    <t>PNK-성진-022</t>
  </si>
  <si>
    <t>PNK-성진-022-PNKUMF5501PINKXSS</t>
  </si>
  <si>
    <t>PNKUMF5501PK</t>
  </si>
  <si>
    <t>PNK-성진-022-PNKUMF5501PINKOSM</t>
  </si>
  <si>
    <t>PNK-성진-022-PNKUMF5501PINKOML</t>
  </si>
  <si>
    <t>PNK-성진-02 TTL</t>
  </si>
  <si>
    <t>PNK-동일모자-06</t>
  </si>
  <si>
    <t>PNK-동일모자-06PNKERF5503NY</t>
  </si>
  <si>
    <t>PNK-동일모자-061</t>
  </si>
  <si>
    <t>PNK-동일모자-061-PNKERF5503NAVYOSM</t>
  </si>
  <si>
    <t>PNK의류외503</t>
  </si>
  <si>
    <t>PNKERF5503</t>
  </si>
  <si>
    <t>PNKERF5503NY</t>
  </si>
  <si>
    <t>PNK-동일모자-061-PNKERF5503NAVYOML</t>
  </si>
  <si>
    <t>PNK-동일모자-06PNKERF5503PK</t>
  </si>
  <si>
    <t>PNKERF5503PK</t>
  </si>
  <si>
    <t>PNK-동일모자-06 TTL</t>
  </si>
  <si>
    <t>PNK 요약</t>
  </si>
  <si>
    <t>면15%, 폴리에스터 85%</t>
  </si>
  <si>
    <t>겉감 1: 울 50%, 폴리에스터 30%, 아크릴 20% / 겉감 2:  아크릴 100%</t>
  </si>
  <si>
    <t xml:space="preserve">겉감 1:  울40%, 폴리에스터 60%  /겉감 2: 아크릴 100% </t>
  </si>
  <si>
    <t xml:space="preserve">겉감 1:  울40%, 폴리에스터 60%/겉감 2:  아크릴 100% </t>
  </si>
  <si>
    <t>겉감 1: 울 50%, 폴리에스터 30%, 아크릴 20% /겉감 2:  아크릴 100%</t>
  </si>
  <si>
    <t>겉감 1:  울40%, 폴리에스터 60%/겉감 2: 아크릴 100%</t>
  </si>
  <si>
    <t>겉감 1:  폴리에스터 100%/겉감 2 : 면 100%</t>
  </si>
  <si>
    <t>겉감 1: 아크릴 100%/겉감 2: 면 100%</t>
  </si>
  <si>
    <t>겉감 1: 울 40%, 폴리에스터 60%/겉감2 : 폴리에스터 95%, 나일론 5%</t>
  </si>
  <si>
    <t>겉감 1: 면 80%, 폴리에스터 20%/겉감 2: 아크릴 80%, 폴리에스터 20%</t>
  </si>
  <si>
    <t>겉감 : 폴리에스터 100%/안감 : 아크릴 80%, 폴리에스터 20%</t>
  </si>
  <si>
    <t>면100%</t>
  </si>
  <si>
    <t>겉감 1: 면 100%/겉감 2: 울 40%, 폴리에스터 60%</t>
  </si>
  <si>
    <t>겉감 1: 울 40%, 폴리에스터 60% / 겉감2 : 폴리에스터 80%, 아크릴 20%</t>
  </si>
  <si>
    <t>ELK-바이칼-03</t>
  </si>
  <si>
    <t>ELK-바이칼-03ELKSBF3801BK</t>
  </si>
  <si>
    <t>ELK-바이칼-031</t>
  </si>
  <si>
    <t>ELK-바이칼-031-ELKSBF3801BLACKFRE</t>
  </si>
  <si>
    <t>SB</t>
  </si>
  <si>
    <t>SHOULDER BAG</t>
  </si>
  <si>
    <t>ELKSBF3801</t>
  </si>
  <si>
    <t>13FW ELStinko SHOEBAG_01_BK_KIDS</t>
  </si>
  <si>
    <t>ELKSBF3801BK</t>
  </si>
  <si>
    <t>ELK-바이칼-03 TTL</t>
  </si>
  <si>
    <t>ELK-바이칼-04</t>
  </si>
  <si>
    <t>ELK-바이칼-04ELKBPF3505BK</t>
  </si>
  <si>
    <t>ELK-바이칼-041</t>
  </si>
  <si>
    <t>ELK-바이칼-041-ELKBPF3505BLACKOMM</t>
  </si>
  <si>
    <t>ELK의류외505</t>
  </si>
  <si>
    <t>ELKBPF3505</t>
  </si>
  <si>
    <t>14FW ELS BACKPACK_07_BK_KIDS</t>
  </si>
  <si>
    <t>ELKBPF3505BK</t>
  </si>
  <si>
    <t>ELK-바이칼-04 TTL</t>
  </si>
  <si>
    <t>SBK-FOREMOST-161-SBKEBF5547BEIGEFRE</t>
  </si>
  <si>
    <t>SBK-FOREMOST-162-SBKEBF5547GREYFRE</t>
  </si>
  <si>
    <t>SBK-FOREMOST-163-SBKEBF5549BEIGEFRE</t>
  </si>
  <si>
    <t>SBK-FOREMOST-164-SBKEBF5549REDFRE</t>
  </si>
  <si>
    <t>SBK-FOREMOST-165-SBKEBF5546GREYFRE</t>
  </si>
  <si>
    <t>SBK-FOREMOST-166-SBKEBF5546BLUEFRE</t>
  </si>
  <si>
    <t>SBK-FOREMOST-167-SBKEBF5541BEIGEFRE</t>
  </si>
  <si>
    <t>SBK-FOREMOST-168-SBKEBF5541IVORYFRE</t>
  </si>
  <si>
    <t>SBK-FOREMOST-169-SBKBEF5543NAVYFRE</t>
  </si>
  <si>
    <t>SBK-FOREMOST-1610-SBKBEF5543PURPLEFRE</t>
  </si>
  <si>
    <t>SBK-FOREMOST-1611-SBKBEF5543REDFRE</t>
  </si>
  <si>
    <t>SBK-FOREMOST-21</t>
  </si>
  <si>
    <t>SBK-FOREMOST-21SBKEBF5551WH</t>
  </si>
  <si>
    <t>SBK-FOREMOST-211</t>
  </si>
  <si>
    <t>SBK-FOREMOST-211-SBKEBF5551WHITEFRE</t>
  </si>
  <si>
    <t>SBK-FOREMOST-211-SBKEBF5551WHITEXSS</t>
  </si>
  <si>
    <t>SBK-FOREMOST-21SBKEBF5551YE</t>
  </si>
  <si>
    <t>SBK-FOREMOST-212</t>
  </si>
  <si>
    <t>SBK-FOREMOST-212-SBKEBF5551YELLOWFRE</t>
  </si>
  <si>
    <t>SBK-FOREMOST-212-SBKEBF5551YELLOWXSS</t>
  </si>
  <si>
    <t>SBK-FOREMOST-213</t>
  </si>
  <si>
    <t>SBK-FOREMOST-21SBKEBF5550MT</t>
  </si>
  <si>
    <t>SBK-FOREMOST-21 TTL</t>
  </si>
  <si>
    <t>겉감: 울50%   폴리에스터 50%</t>
  </si>
  <si>
    <t>겉감1:  울 20% 폴리에스터  80%     겉감2:  면  98 % 스판 2%</t>
  </si>
  <si>
    <t>겉감1 : 울  20% 폴리에스터80%  겉감2: # 면 96% 스판4%</t>
  </si>
  <si>
    <t xml:space="preserve">겉감 : 울  20%  폴리에스터 80% </t>
  </si>
  <si>
    <t>폴리에스터 40% 아크릴 20% 레이온 20% 울 20%</t>
  </si>
  <si>
    <t>울 50% 폴리에스터 50%</t>
  </si>
  <si>
    <t>울 80% 나이론 20%</t>
  </si>
  <si>
    <t>아크릴 100%</t>
  </si>
  <si>
    <t>울 50% 아크릴 50%</t>
  </si>
  <si>
    <t>울 100%</t>
  </si>
  <si>
    <t>SBK-FOREMOST-213-SBKEBF5550MINTFRE</t>
  </si>
  <si>
    <t>SBK-FOREMOST-213-SBKEBF5550MINTXSS</t>
  </si>
  <si>
    <t>SBK-FOREMOST-22</t>
  </si>
  <si>
    <t>SBK-FOREMOST-22SBKEBF5545PK</t>
  </si>
  <si>
    <t>SBK-FOREMOST-221</t>
  </si>
  <si>
    <t>SBK-FOREMOST-221-SBKEBF5545PINKFRE</t>
  </si>
  <si>
    <t>SBK-FOREMOST-22SBKEBF5545NY</t>
  </si>
  <si>
    <t>SBK-FOREMOST-222</t>
  </si>
  <si>
    <t>SBK-FOREMOST-222-SBKEBF5545NAVYFRE</t>
  </si>
  <si>
    <t>SBK-FOREMOST-22 TTL</t>
  </si>
  <si>
    <t>JOK의류외524</t>
  </si>
  <si>
    <t>JOKBEF5524</t>
  </si>
  <si>
    <t>14FW JOIEBETE_KNIT_01_YL</t>
  </si>
  <si>
    <t>JOKBEF5524YE</t>
  </si>
  <si>
    <t>JOK의류외525</t>
  </si>
  <si>
    <t>JOKBEF5525</t>
  </si>
  <si>
    <t>14FW JOIEBETE_KNIT_02_MT</t>
  </si>
  <si>
    <t>JOKBEF5525MT</t>
  </si>
  <si>
    <t>울30% 아크릴 70%</t>
  </si>
  <si>
    <t>겉감: 아크릴 100%
안감 : 폴라폴리스 100%</t>
  </si>
  <si>
    <t>겉감 : 울 30% 폴리에스터 70%
안감 : 폴라폴리스 100%</t>
  </si>
  <si>
    <t>PNK-동일모자-062</t>
  </si>
  <si>
    <t>PNK-동일모자-062-PNKERF5503PINKOSM</t>
  </si>
  <si>
    <t>PNK-동일모자-062-PNKERF5503PINKOML</t>
  </si>
  <si>
    <t xml:space="preserve"> </t>
  </si>
  <si>
    <t>ELH</t>
  </si>
  <si>
    <t>ELH-림스스포츠-01</t>
  </si>
  <si>
    <t>ELH-림스스포츠-01ELHBAF3649KH</t>
  </si>
  <si>
    <t>ELH-림스스포츠-011</t>
  </si>
  <si>
    <t>ELH-림스스포츠-011-ELHBAF3649KHAKIFRE</t>
  </si>
  <si>
    <t>ELH의류외649</t>
  </si>
  <si>
    <t>ELSBAD</t>
  </si>
  <si>
    <t>ELS HATSON</t>
  </si>
  <si>
    <t>ELHBAF3649</t>
  </si>
  <si>
    <t>ELSBAD3649KHFRE</t>
  </si>
  <si>
    <t>ELHBAF3649KH</t>
  </si>
  <si>
    <t>림스스포츠</t>
  </si>
  <si>
    <t>ELHBAF3649PK</t>
  </si>
  <si>
    <t>ELH의류외640</t>
  </si>
  <si>
    <t>ELHFIF3640</t>
  </si>
  <si>
    <t>ELHFIF3640GR</t>
  </si>
  <si>
    <t>ELH-림스스포츠-01 TTL</t>
  </si>
  <si>
    <t>ELH-동일모자-23</t>
  </si>
  <si>
    <t>ELH-동일모자-231</t>
  </si>
  <si>
    <t>ELH-동일모자-23ELHBAF3649PK</t>
  </si>
  <si>
    <t>ELSBAE</t>
  </si>
  <si>
    <t>ELSBAE3649PKFRE</t>
  </si>
  <si>
    <t>ELH-동일모자-23 TTL</t>
  </si>
  <si>
    <t>ELH-FOREMOST-23</t>
  </si>
  <si>
    <t>ELH-FOREMOST-23ELHFAF3818BL</t>
  </si>
  <si>
    <t>ELH-FOREMOST-231</t>
  </si>
  <si>
    <t>ELH-FOREMOST-231-ELHFAF3818BLUEFRE</t>
  </si>
  <si>
    <t>ELH의류외818</t>
  </si>
  <si>
    <t>ELSFAE</t>
  </si>
  <si>
    <t>ELHFAF3818</t>
  </si>
  <si>
    <t>ELSFAE3818BLFRE</t>
  </si>
  <si>
    <t>ELHFAF3818BL</t>
  </si>
  <si>
    <t>ELH-FOREMOST-23 TTL</t>
  </si>
  <si>
    <t>ELH-성진-10</t>
  </si>
  <si>
    <t>ELH-성진-10ELHBAF3811LI</t>
  </si>
  <si>
    <t>ELH-성진-101</t>
  </si>
  <si>
    <t>ELH-성진-101-ELHBAF3811LIMEFRE</t>
  </si>
  <si>
    <t>ELH의류외811</t>
  </si>
  <si>
    <t>ELHBAF3811</t>
  </si>
  <si>
    <t>ELSBAE3811LIFRE</t>
  </si>
  <si>
    <t>LI</t>
  </si>
  <si>
    <t>LIME</t>
  </si>
  <si>
    <t>ELHBAF3811LI</t>
  </si>
  <si>
    <t>ELH-성진-10ELHBAF3811PK</t>
  </si>
  <si>
    <t>ELH-성진-102</t>
  </si>
  <si>
    <t>ELH-성진-102-ELHBAF3811PINKFRE</t>
  </si>
  <si>
    <t>ELSBAE3811PKFRE</t>
  </si>
  <si>
    <t>ELHBAF3811PK</t>
  </si>
  <si>
    <t>ELH-성진-10ELHBAF3812NY</t>
  </si>
  <si>
    <t>ELH-성진-103</t>
  </si>
  <si>
    <t>ELH-성진-103-ELHBAF3812NAVYFRE</t>
  </si>
  <si>
    <t>ELH의류외812</t>
  </si>
  <si>
    <t>ELHBAF3812</t>
  </si>
  <si>
    <t>ELSBAE3812NYFRE</t>
  </si>
  <si>
    <t>ELHBAF3812NY</t>
  </si>
  <si>
    <t>ELH-성진-10ELHFIF3642BL</t>
  </si>
  <si>
    <t>ELH-성진-104</t>
  </si>
  <si>
    <t>ELH의류외642</t>
  </si>
  <si>
    <t>ELSFIF</t>
  </si>
  <si>
    <t>ELHFIF3642</t>
  </si>
  <si>
    <t>ELHFIF3642BL</t>
  </si>
  <si>
    <t>ELH-성진-10ELHFIF3720GY</t>
  </si>
  <si>
    <t>ELH-성진-105</t>
  </si>
  <si>
    <t>ELH의류외720</t>
  </si>
  <si>
    <t>ELHFIF3720</t>
  </si>
  <si>
    <t>ELHFIF3720GY</t>
  </si>
  <si>
    <t>ELH-성진-10ELHFIF3720PK</t>
  </si>
  <si>
    <t>ELH-성진-106</t>
  </si>
  <si>
    <t>ELHFIF3720PK</t>
  </si>
  <si>
    <t>ELH-성진-10ELHFIF3640GR</t>
  </si>
  <si>
    <t>ELH-성진-107</t>
  </si>
  <si>
    <t>ELSFIE</t>
  </si>
  <si>
    <t>ELSFIE3640GRFRE</t>
  </si>
  <si>
    <t>ELH-성진-108</t>
  </si>
  <si>
    <t>ELSFIE3642BLFRE</t>
  </si>
  <si>
    <t>ELH-성진-10ELHFIF3712BL</t>
  </si>
  <si>
    <t>ELH-성진-109</t>
  </si>
  <si>
    <t>ELH의류외712</t>
  </si>
  <si>
    <t>ELHFIF3712</t>
  </si>
  <si>
    <t>ELSFIE3712BLFRE</t>
  </si>
  <si>
    <t>ELHFIF3712BL</t>
  </si>
  <si>
    <t>ELH-성진-10ELHFIF3714GR</t>
  </si>
  <si>
    <t>ELH-성진-1010</t>
  </si>
  <si>
    <t>ELH의류외714</t>
  </si>
  <si>
    <t>ELHFIF3714</t>
  </si>
  <si>
    <t>ELSFIE3714GRFRE</t>
  </si>
  <si>
    <t>ELHFIF3714GR</t>
  </si>
  <si>
    <t>ELH-성진-1011</t>
  </si>
  <si>
    <t>ELSFIE3720GYFRE</t>
  </si>
  <si>
    <t>ELSFIE3720PKFRE</t>
  </si>
  <si>
    <t>ELH-성진-10ELHFIF3826KH</t>
  </si>
  <si>
    <t>ELH의류외826</t>
  </si>
  <si>
    <t>ELHFIF3826</t>
  </si>
  <si>
    <t>ELSFIE3826KHFRE</t>
  </si>
  <si>
    <t>ELHFIF3826KH</t>
  </si>
  <si>
    <t>ELH-성진-10ELHFIF3826RE</t>
  </si>
  <si>
    <t>ELSFIE3826REFRE</t>
  </si>
  <si>
    <t>ELHFIF3826RE</t>
  </si>
  <si>
    <t>ELH-성진-10 TTL</t>
  </si>
  <si>
    <t>ELH-캡보이-03</t>
  </si>
  <si>
    <t>ELH-캡보이-031</t>
  </si>
  <si>
    <t>ELH의류외726</t>
  </si>
  <si>
    <t>ELHFIF3726</t>
  </si>
  <si>
    <t>ELH-캡보이-032</t>
  </si>
  <si>
    <t>ELH-캡보이-03ELHFIF3721MT</t>
  </si>
  <si>
    <t>ELH-캡보이-033</t>
  </si>
  <si>
    <t>ELH의류외721</t>
  </si>
  <si>
    <t>ELHFIF3721</t>
  </si>
  <si>
    <t>ELSFIE3721MTFRE</t>
  </si>
  <si>
    <t>ELHFIF3721MT</t>
  </si>
  <si>
    <t>ELH-캡보이-03ELHFIF3721OR</t>
  </si>
  <si>
    <t>ELH-캡보이-034</t>
  </si>
  <si>
    <t>ELSFIE3721ORFRE</t>
  </si>
  <si>
    <t>ELHFIF3721OR</t>
  </si>
  <si>
    <t>ELH-캡보이-03ELHFIF3726BL</t>
  </si>
  <si>
    <t>ELSFIE3726BLFRE</t>
  </si>
  <si>
    <t>ELHFIF3726BL</t>
  </si>
  <si>
    <t>ELH-캡보이-03ELHFIF3727OR</t>
  </si>
  <si>
    <t>ELH의류외727</t>
  </si>
  <si>
    <t>ELHFIF3727</t>
  </si>
  <si>
    <t>ELSFIE3727ORFRE</t>
  </si>
  <si>
    <t>ELHFIF3727OR</t>
  </si>
  <si>
    <t>ELH-캡보이-03 TTL</t>
  </si>
  <si>
    <t>NOH</t>
  </si>
  <si>
    <t>NOH-FOREMOST-24</t>
  </si>
  <si>
    <t>NOH-FOREMOST-24NOHFAF3605BG</t>
  </si>
  <si>
    <t>NOH-FOREMOST-241</t>
  </si>
  <si>
    <t>NOH-FOREMOST-241-NOHFAF3605BEIGEFRE</t>
  </si>
  <si>
    <t>NOH의류외605</t>
  </si>
  <si>
    <t>NOVFAE</t>
  </si>
  <si>
    <t>NOV HATSON</t>
  </si>
  <si>
    <t>NOHFAF3605</t>
  </si>
  <si>
    <t>NOVFAE3605BGFRE</t>
  </si>
  <si>
    <t>NOHFAF3605BG</t>
  </si>
  <si>
    <t>NOH-FOREMOST-24NOHMIF3602RE</t>
  </si>
  <si>
    <t>NOH-FOREMOST-242</t>
  </si>
  <si>
    <t>NOH의류외602</t>
  </si>
  <si>
    <t>NOHMIF3602</t>
  </si>
  <si>
    <t>NOHMIF3602RE</t>
  </si>
  <si>
    <t>NOH-FOREMOST-242-NOHMIF3602REDFRE</t>
  </si>
  <si>
    <t>NOVMIE</t>
  </si>
  <si>
    <t>NOVMIE3602REFRE</t>
  </si>
  <si>
    <t>NOH-FOREMOST-24 TTL</t>
  </si>
  <si>
    <t>SMH</t>
  </si>
  <si>
    <t>SMH-성진-11</t>
  </si>
  <si>
    <t>SMH-성진-11SMHFIF3702RE</t>
  </si>
  <si>
    <t>SMH-성진-111</t>
  </si>
  <si>
    <t>SMH-성진-111-SMHFIF3702REDFRE</t>
  </si>
  <si>
    <t>SMH의류외702</t>
  </si>
  <si>
    <t>SMBFIE</t>
  </si>
  <si>
    <t>SMB HATSON</t>
  </si>
  <si>
    <t>SMHFIF3702</t>
  </si>
  <si>
    <t>SMBFIE3702REFRE</t>
  </si>
  <si>
    <t>SMHFIF3702RE</t>
  </si>
  <si>
    <t>SMH-성진-11SMHFLF3740KH</t>
  </si>
  <si>
    <t>SMH-성진-112</t>
  </si>
  <si>
    <t>SMH-성진-112-SMHFLF3740KHAKIFRE</t>
  </si>
  <si>
    <t>SMH의류외740</t>
  </si>
  <si>
    <t>SMBFLE</t>
  </si>
  <si>
    <t>SMHFLF3740</t>
  </si>
  <si>
    <t>SMBFLE3740KHFRE</t>
  </si>
  <si>
    <t>SMHFLF3740KH</t>
  </si>
  <si>
    <t>SMH-성진-11SMHFLF3744GR</t>
  </si>
  <si>
    <t>SMH-성진-113</t>
  </si>
  <si>
    <t>SMH-성진-113-SMHFLF3744GREENFRE</t>
  </si>
  <si>
    <t>SMH의류외744</t>
  </si>
  <si>
    <t>SMHFLF3744</t>
  </si>
  <si>
    <t>SMBFLE3744GRFRE</t>
  </si>
  <si>
    <t>SMHFLF3744GR</t>
  </si>
  <si>
    <t>SMH-성진-11SMHFLF3744RE</t>
  </si>
  <si>
    <t>SMH-성진-114</t>
  </si>
  <si>
    <t>SMH-성진-114-SMHFLF3744REDFRE</t>
  </si>
  <si>
    <t>SMBFLE3744REFRE</t>
  </si>
  <si>
    <t>SMHFLF3744RE</t>
  </si>
  <si>
    <t>SMH-성진-11SMHFLF3814BU</t>
  </si>
  <si>
    <t>SMH-성진-115</t>
  </si>
  <si>
    <t>SMH-성진-115-SMHFLF3814BURGUNDYFRE</t>
  </si>
  <si>
    <t>SMH의류외814</t>
  </si>
  <si>
    <t>SMHFLF3814</t>
  </si>
  <si>
    <t>SMBFLE3814BUFRE</t>
  </si>
  <si>
    <t>SMHFLF3814BU</t>
  </si>
  <si>
    <t>SMH-성진-11SMHFLF3816BU</t>
  </si>
  <si>
    <t>SMH-성진-116</t>
  </si>
  <si>
    <t>SMH-성진-116-SMHFLF3816BURGUNDYFRE</t>
  </si>
  <si>
    <t>SMH의류외816</t>
  </si>
  <si>
    <t>SMHFLF3816</t>
  </si>
  <si>
    <t>SMBFLE3816BUFRE</t>
  </si>
  <si>
    <t>SMHFLF3816BU</t>
  </si>
  <si>
    <t>SMH-성진-11SMHFLF3819NY</t>
  </si>
  <si>
    <t>SMH-성진-117</t>
  </si>
  <si>
    <t>SMH-성진-117-SMHFLF3819NAVYFRE</t>
  </si>
  <si>
    <t>SMH의류외819</t>
  </si>
  <si>
    <t>SMHFLF3819</t>
  </si>
  <si>
    <t>SMBFLE3819NYFRE</t>
  </si>
  <si>
    <t>SMHFLF3819NY</t>
  </si>
  <si>
    <t>SMH-성진-11SMHFLF3872BK</t>
  </si>
  <si>
    <t>SMH-성진-118</t>
  </si>
  <si>
    <t>SMH-성진-118-SMHFLF3872BLACKFRE</t>
  </si>
  <si>
    <t>SMH의류외872</t>
  </si>
  <si>
    <t>SMHFLF3872</t>
  </si>
  <si>
    <t>SMBFLE3872BKFRE</t>
  </si>
  <si>
    <t>SMHFLF3872BK</t>
  </si>
  <si>
    <t>SMH-성진-11 TTL</t>
  </si>
  <si>
    <t>VBH</t>
  </si>
  <si>
    <t>VBH-FOREMOST-25</t>
  </si>
  <si>
    <t>VBH-FOREMOST-25VBHBAF3811NY</t>
  </si>
  <si>
    <t>VBH-FOREMOST-251</t>
  </si>
  <si>
    <t>VBH-FOREMOST-251-VBHBAF3811NAVYFRE</t>
  </si>
  <si>
    <t>VBH의류외811</t>
  </si>
  <si>
    <t>VBLBAE</t>
  </si>
  <si>
    <t>VBL HATSON</t>
  </si>
  <si>
    <t>VBHBAF3811</t>
  </si>
  <si>
    <t>VBLBAE3811NYFRE</t>
  </si>
  <si>
    <t>VBHBAF3811NY</t>
  </si>
  <si>
    <t>VBH-FOREMOST-25VBHBAF3812BK</t>
  </si>
  <si>
    <t>VBH-FOREMOST-252</t>
  </si>
  <si>
    <t>VBH-FOREMOST-252-VBHBAF3812BLACKFRE</t>
  </si>
  <si>
    <t>VBH의류외812</t>
  </si>
  <si>
    <t>VBHBAF3812</t>
  </si>
  <si>
    <t>VBLBAE3812BKFRE</t>
  </si>
  <si>
    <t>VBHBAF3812BK</t>
  </si>
  <si>
    <t>VBH-FOREMOST-25VBHBAF3813BL</t>
  </si>
  <si>
    <t>VBH-FOREMOST-253</t>
  </si>
  <si>
    <t>VBH-FOREMOST-253-VBHBAF3813BLUEFRE</t>
  </si>
  <si>
    <t>VBH의류외813</t>
  </si>
  <si>
    <t>VBHBAF3813</t>
  </si>
  <si>
    <t>VBLBAE3813BLFRE</t>
  </si>
  <si>
    <t>VBHBAF3813BL</t>
  </si>
  <si>
    <t>VBH-FOREMOST-25 TTL</t>
  </si>
  <si>
    <t>ELH-성진-12</t>
  </si>
  <si>
    <t>ELH-성진-12ELHFIF3620BK</t>
  </si>
  <si>
    <t>ELH-성진-121</t>
  </si>
  <si>
    <t>ELH-성진-121-ELHFIF3620BLACKOSM</t>
  </si>
  <si>
    <t>ELH의류외620</t>
  </si>
  <si>
    <t>ELHFIF3620</t>
  </si>
  <si>
    <t>ELSFIF0620BKOSM</t>
  </si>
  <si>
    <t>ELHFIF3620BK</t>
  </si>
  <si>
    <t>ELH-성진-12ELHFIF3620RE</t>
  </si>
  <si>
    <t>ELH-성진-122</t>
  </si>
  <si>
    <t>ELH-성진-122-ELHFIF3620REDOSM</t>
  </si>
  <si>
    <t>ELSFIF0620REOSM</t>
  </si>
  <si>
    <t>ELHFIF3620RE</t>
  </si>
  <si>
    <t>ELH-성진-122-ELHFIF3620REDOML</t>
  </si>
  <si>
    <t>ELSFIF0620REOML</t>
  </si>
  <si>
    <t>ELH-성진-12ELHFIF3620YE</t>
  </si>
  <si>
    <t>ELH-성진-123</t>
  </si>
  <si>
    <t>ELH-성진-123-ELHFIF3620YELLOWOSM</t>
  </si>
  <si>
    <t>ELSFIF0620YEOSM</t>
  </si>
  <si>
    <t>ELHFIF3620YE</t>
  </si>
  <si>
    <t>ELH-성진-12ELHFIF3643PK</t>
  </si>
  <si>
    <t>ELH-성진-124</t>
  </si>
  <si>
    <t>ELH-성진-124-ELHFIF3643PINKOSM</t>
  </si>
  <si>
    <t>ELH의류외643</t>
  </si>
  <si>
    <t>ELHFIF3643</t>
  </si>
  <si>
    <t>ELSFIF0643PKOSM</t>
  </si>
  <si>
    <t>ELHFIF3643PK</t>
  </si>
  <si>
    <t>ELH-성진-124-ELHFIF3643PINKOML</t>
  </si>
  <si>
    <t>ELSFIF0643PKOML</t>
  </si>
  <si>
    <t>ELH-성진-12ELHFIF3710GY</t>
  </si>
  <si>
    <t>ELH-성진-125</t>
  </si>
  <si>
    <t>ELH-성진-125-ELHFIF3710GREYOSM</t>
  </si>
  <si>
    <t>ELH의류외710</t>
  </si>
  <si>
    <t>ELHFIF3710</t>
  </si>
  <si>
    <t>ELSFIF0710GYOSM</t>
  </si>
  <si>
    <t>ELHFIF3710GY</t>
  </si>
  <si>
    <t>ELH-성진-125-ELHFIF3710GREYOML</t>
  </si>
  <si>
    <t>ELSFIF0710GYOML</t>
  </si>
  <si>
    <t>ELH-성진-12ELHFIF3911YE</t>
  </si>
  <si>
    <t>ELH-성진-126</t>
  </si>
  <si>
    <t>ELH-성진-126-ELHFIF3911YELLOWOSM</t>
  </si>
  <si>
    <t>ELH의류외911</t>
  </si>
  <si>
    <t>ELHFIF3911</t>
  </si>
  <si>
    <t>ELSFIF0911YEOSM</t>
  </si>
  <si>
    <t>ELHFIF3911YE</t>
  </si>
  <si>
    <t>ELH-성진-126-ELHFIF3911YELLOWOML</t>
  </si>
  <si>
    <t>ELSFIF0911YEOML</t>
  </si>
  <si>
    <t>ELH-성진-12ELHFIF3922MT</t>
  </si>
  <si>
    <t>ELH-성진-127</t>
  </si>
  <si>
    <t>ELH-성진-127-ELHFIF3922MINTOSM</t>
  </si>
  <si>
    <t>ELH의류외922</t>
  </si>
  <si>
    <t>ELHFIF3922</t>
  </si>
  <si>
    <t>ELSFIF0922MTOSM</t>
  </si>
  <si>
    <t>ELHFIF3922MT</t>
  </si>
  <si>
    <t>ELH-성진-127-ELHFIF3922MINTOML</t>
  </si>
  <si>
    <t>ELSFIF0922MTOML</t>
  </si>
  <si>
    <t>ELH-성진-12ELHFIF3923PK</t>
  </si>
  <si>
    <t>ELH-성진-128</t>
  </si>
  <si>
    <t>ELH-성진-128-ELHFIF3923PINKOSM</t>
  </si>
  <si>
    <t>ELH의류외923</t>
  </si>
  <si>
    <t>ELHFIF3923</t>
  </si>
  <si>
    <t>ELSFIF0923PKOSM</t>
  </si>
  <si>
    <t>ELHFIF3923PK</t>
  </si>
  <si>
    <t>ELH-성진-12 TTL</t>
  </si>
  <si>
    <t>JIH</t>
  </si>
  <si>
    <t>JIH-QF-08</t>
  </si>
  <si>
    <t>JIH-QF-08JIHFIF3925NY</t>
  </si>
  <si>
    <t>JIH-QF-081</t>
  </si>
  <si>
    <t>JIH-QF-081-JIHFIF3925NAVYOSM</t>
  </si>
  <si>
    <t>JIH의류외925</t>
  </si>
  <si>
    <t>JILFIF</t>
  </si>
  <si>
    <t>JIL HATSON</t>
  </si>
  <si>
    <t>JIHFIF3925</t>
  </si>
  <si>
    <t>JILFIF0925NYOSM</t>
  </si>
  <si>
    <t>JIHFIF3925NY</t>
  </si>
  <si>
    <t>JIH-QF-081-JIHFIF3925NAVYOML</t>
  </si>
  <si>
    <t>JILFIF0925NYOML</t>
  </si>
  <si>
    <t>JIH-QF-08JIHFIF3926OR</t>
  </si>
  <si>
    <t>JIH-QF-082</t>
  </si>
  <si>
    <t>JIH-QF-082-JIHFIF3926ORANGEOSM</t>
  </si>
  <si>
    <t>JIH의류외926</t>
  </si>
  <si>
    <t>JIHFIF3926</t>
  </si>
  <si>
    <t>JILFIF0926OROSM</t>
  </si>
  <si>
    <t>JIHFIF3926OR</t>
  </si>
  <si>
    <t>JIH-QF-082-JIHFIF3926ORANGEOML</t>
  </si>
  <si>
    <t>JILFIF0926OROML</t>
  </si>
  <si>
    <t>JIH-QF-08 TTL</t>
  </si>
  <si>
    <t>JIH-성진-13</t>
  </si>
  <si>
    <t>JIH-성진-13JIHFIF3928WH</t>
  </si>
  <si>
    <t>JIH-성진-131</t>
  </si>
  <si>
    <t>JIH-성진-131-JIHFIF3928WHITEOSM</t>
  </si>
  <si>
    <t>JIH의류외928</t>
  </si>
  <si>
    <t>JIHFIF3928</t>
  </si>
  <si>
    <t>JILFIF0928WHOSM</t>
  </si>
  <si>
    <t>JIHFIF3928WH</t>
  </si>
  <si>
    <t>JIH-성진-13JIHFIF3929YE</t>
  </si>
  <si>
    <t>JIH-성진-132</t>
  </si>
  <si>
    <t>JIH-성진-132-JIHFIF3929YELLOWOSM</t>
  </si>
  <si>
    <t>JIH의류외929</t>
  </si>
  <si>
    <t>JIHFIF3929</t>
  </si>
  <si>
    <t>JILFIF0929YEOSM</t>
  </si>
  <si>
    <t>JIHFIF3929YE</t>
  </si>
  <si>
    <t>JIH-성진-13 TTL</t>
  </si>
  <si>
    <t>JOH</t>
  </si>
  <si>
    <t>JOH-동일모자-24</t>
  </si>
  <si>
    <t>JOH-동일모자-24JOHBAF3901YE</t>
  </si>
  <si>
    <t>JOH-동일모자-241</t>
  </si>
  <si>
    <t>JOH-동일모자-241-JOHBAF3901YELLOWFRE</t>
  </si>
  <si>
    <t>JOH의류외901</t>
  </si>
  <si>
    <t>JOIBAF</t>
  </si>
  <si>
    <t>JOI HATSON</t>
  </si>
  <si>
    <t>JOHBAF3901</t>
  </si>
  <si>
    <t>JOIBAF0901YEFRE</t>
  </si>
  <si>
    <t>JOHBAF3901YE</t>
  </si>
  <si>
    <t>JOH-동일모자-24 TTL</t>
  </si>
  <si>
    <t>SMH-성진-14</t>
  </si>
  <si>
    <t>SMH-성진-14SMHBAF3729NY</t>
  </si>
  <si>
    <t>SMH-성진-141</t>
  </si>
  <si>
    <t>SMH-성진-141-SMHBAF3729NAVYOSM</t>
  </si>
  <si>
    <t>SMH의류외729</t>
  </si>
  <si>
    <t>SMBBAF</t>
  </si>
  <si>
    <t>SMHBAF3729</t>
  </si>
  <si>
    <t>SMBBAF0729NYOSM</t>
  </si>
  <si>
    <t>SMHBAF3729NY</t>
  </si>
  <si>
    <t>SMH-성진-14 TTL</t>
  </si>
  <si>
    <t>SMH-QF-09</t>
  </si>
  <si>
    <t>SMH-QF-09SMHFIF3957NY</t>
  </si>
  <si>
    <t>SMH-QF-091</t>
  </si>
  <si>
    <t>SMH-QF-091-SMHFIF3957NAVYOSM</t>
  </si>
  <si>
    <t>SMH의류외957</t>
  </si>
  <si>
    <t>SMBFIF</t>
  </si>
  <si>
    <t>SMHFIF3957</t>
  </si>
  <si>
    <t>SMBFIF0957NYOSM</t>
  </si>
  <si>
    <t>SMHFIF3957NY</t>
  </si>
  <si>
    <t>SMH-QF-091-SMHFIF3957NAVYOML</t>
  </si>
  <si>
    <t>SMBFIF0957NYOML</t>
  </si>
  <si>
    <t>SMH-QF-09SMHFIF3958PK</t>
  </si>
  <si>
    <t>SMH-QF-092</t>
  </si>
  <si>
    <t>SMH-QF-092-SMHFIF3958PINKOSM</t>
  </si>
  <si>
    <t>SMH의류외958</t>
  </si>
  <si>
    <t>SMHFIF3958</t>
  </si>
  <si>
    <t>SMBFIF0958PKOSM</t>
  </si>
  <si>
    <t>SMHFIF3958PK</t>
  </si>
  <si>
    <t>SMH-QF-09 TTL</t>
  </si>
  <si>
    <t>URH</t>
  </si>
  <si>
    <t>URH-QF-10</t>
  </si>
  <si>
    <t>URH-QF-10URHFIF3909BL</t>
  </si>
  <si>
    <t>URH-QF-101</t>
  </si>
  <si>
    <t>URH-QF-101-URHFIF3909BLUEOSM</t>
  </si>
  <si>
    <t>URH의류외909</t>
  </si>
  <si>
    <t>URBFIF</t>
  </si>
  <si>
    <t>URB HATSON</t>
  </si>
  <si>
    <t>URHFIF3909</t>
  </si>
  <si>
    <t>URBFIF0909BLOSM</t>
  </si>
  <si>
    <t>URHFIF3909BL</t>
  </si>
  <si>
    <t>URH-QF-101-URHFIF3909BLUEOML</t>
  </si>
  <si>
    <t>URBFIF0909BLOML</t>
  </si>
  <si>
    <t>URH-QF-10 TTL</t>
  </si>
  <si>
    <t>VBH-FOREMOST-26</t>
  </si>
  <si>
    <t>VBH-FOREMOST-26VBHBAF3907OR</t>
  </si>
  <si>
    <t>VBH-FOREMOST-261</t>
  </si>
  <si>
    <t>VBH-FOREMOST-261-VBHBAF3907ORANGEOSM</t>
  </si>
  <si>
    <t>VBH의류외907</t>
  </si>
  <si>
    <t>VBLBAF</t>
  </si>
  <si>
    <t>VBHBAF3907</t>
  </si>
  <si>
    <t>VBLBAF0907OROSM</t>
  </si>
  <si>
    <t>VBHBAF3907OR</t>
  </si>
  <si>
    <t>VBH-FOREMOST-261-VBHBAF3907ORANGEOML</t>
  </si>
  <si>
    <t>VBLBAF0907OROML</t>
  </si>
  <si>
    <t>VBH-FOREMOST-26VBHBAF3919LI</t>
  </si>
  <si>
    <t>VBH-FOREMOST-262</t>
  </si>
  <si>
    <t>VBH-FOREMOST-262-VBHBAF3919LIMEOSM</t>
  </si>
  <si>
    <t>VBH의류외919</t>
  </si>
  <si>
    <t>VBHBAF3919</t>
  </si>
  <si>
    <t>VBLBAF0919LIOSM</t>
  </si>
  <si>
    <t>VBHBAF3919LI</t>
  </si>
  <si>
    <t>VBH-FOREMOST-262-VBHBAF3919LIMEOML</t>
  </si>
  <si>
    <t>VBLBAF0919LIOML</t>
  </si>
  <si>
    <t>VBH-FOREMOST-26VBHBAF3919OR</t>
  </si>
  <si>
    <t>VBH-FOREMOST-263</t>
  </si>
  <si>
    <t>VBH-FOREMOST-263-VBHBAF3919ORANGEOSM</t>
  </si>
  <si>
    <t>VBLBAF0919OROSM</t>
  </si>
  <si>
    <t>VBHBAF3919OR</t>
  </si>
  <si>
    <t>VBH-FOREMOST-263-VBHBAF3919ORANGEOML</t>
  </si>
  <si>
    <t>VBLBAF0919OROML</t>
  </si>
  <si>
    <t>VBH-FOREMOST-26VBHBAF3919PK</t>
  </si>
  <si>
    <t>VBH-FOREMOST-264</t>
  </si>
  <si>
    <t>VBH-FOREMOST-264-VBHBAF3919PINKOSM</t>
  </si>
  <si>
    <t>VBLBAF0919PKOSM</t>
  </si>
  <si>
    <t>VBHBAF3919PK</t>
  </si>
  <si>
    <t>VBH-FOREMOST-264-VBHBAF3919PINKOML</t>
  </si>
  <si>
    <t>VBLBAF0919PKOML</t>
  </si>
  <si>
    <t>VBH-FOREMOST-26 TTL</t>
  </si>
  <si>
    <t>ELH-의류</t>
  </si>
  <si>
    <t>ELH-대경-05</t>
  </si>
  <si>
    <t>ELH-대경-05ELHHPF4704NY</t>
  </si>
  <si>
    <t>ELH-대경-051</t>
  </si>
  <si>
    <t>ELH-대경-051-ELHHPF4704NAVYOSS</t>
  </si>
  <si>
    <t>ELH의류704</t>
  </si>
  <si>
    <t>ELSHPE</t>
  </si>
  <si>
    <t>ELHHPF4704</t>
  </si>
  <si>
    <t>ELSHPE1704NYOSS</t>
  </si>
  <si>
    <t>ELHHPF4704NY</t>
  </si>
  <si>
    <t>ELH-대경-051-ELHHPF4704NAVYOMM</t>
  </si>
  <si>
    <t>ELSHPE1704NYOMM</t>
  </si>
  <si>
    <t>ELH-대경-051-ELHHPF4704NAVYOLL</t>
  </si>
  <si>
    <t>ELSHPE1704NYOLL</t>
  </si>
  <si>
    <t>ELH-대경-051-ELHHPF4704NAVYOXL</t>
  </si>
  <si>
    <t>ELSHPE1704NYOXL</t>
  </si>
  <si>
    <t>ELH-대경-05ELHHPF4704OR</t>
  </si>
  <si>
    <t>ELH-대경-052</t>
  </si>
  <si>
    <t>ELH-대경-052-ELHHPF4704ORANGEOSS</t>
  </si>
  <si>
    <t>ELSHPE1704OROSS</t>
  </si>
  <si>
    <t>ELHHPF4704OR</t>
  </si>
  <si>
    <t>ELH-대경-052-ELHHPF4704ORANGEOMM</t>
  </si>
  <si>
    <t>ELSHPE1704OROMM</t>
  </si>
  <si>
    <t>ELH-대경-052-ELHHPF4704ORANGEOLL</t>
  </si>
  <si>
    <t>ELSHPE1704OROLL</t>
  </si>
  <si>
    <t>ELH-대경-052-ELHHPF4704ORANGEOXL</t>
  </si>
  <si>
    <t>ELSHPE1704OROXL</t>
  </si>
  <si>
    <t>ELH-대경-05ELHHPF4705KH</t>
  </si>
  <si>
    <t>ELH-대경-053</t>
  </si>
  <si>
    <t>ELH-대경-053-ELHHPF4705KHAKIOSS</t>
  </si>
  <si>
    <t>ELH의류705</t>
  </si>
  <si>
    <t>ELHHPF4705</t>
  </si>
  <si>
    <t>ELSHPE1705KHOSS</t>
  </si>
  <si>
    <t>ELHHPF4705KH</t>
  </si>
  <si>
    <t>ELH-대경-053-ELHHPF4705KHAKIOMM</t>
  </si>
  <si>
    <t>ELSHPE1705KHOMM</t>
  </si>
  <si>
    <t>ELH-대경-053-ELHHPF4705KHAKIOLL</t>
  </si>
  <si>
    <t>ELSHPE1705KHOLL</t>
  </si>
  <si>
    <t>ELH-대경-053-ELHHPF4705KHAKIOXL</t>
  </si>
  <si>
    <t>ELSHPE1705KHOXL</t>
  </si>
  <si>
    <t>ELH-대경-05ELHHPF4719OR</t>
  </si>
  <si>
    <t>ELH-대경-054</t>
  </si>
  <si>
    <t>ELH-대경-054-ELHHPF4719ORANGEOSS</t>
  </si>
  <si>
    <t>ELH의류719</t>
  </si>
  <si>
    <t>ELHHPF4719</t>
  </si>
  <si>
    <t>ELSHPE1719OROSS</t>
  </si>
  <si>
    <t>ELHHPF4719OR</t>
  </si>
  <si>
    <t>ELH-대경-054-ELHHPF4719ORANGEOMM</t>
  </si>
  <si>
    <t>ELSHPE1719OROMM</t>
  </si>
  <si>
    <t>ELH-대경-054-ELHHPF4719ORANGEOLL</t>
  </si>
  <si>
    <t>ELSHPE1719OROLL</t>
  </si>
  <si>
    <t>ELH-대경-054-ELHHPF4719ORANGEOXL</t>
  </si>
  <si>
    <t>ELSHPE1719OROXL</t>
  </si>
  <si>
    <t>ELH-대경-05ELHHPF4720BL</t>
  </si>
  <si>
    <t>ELH-대경-055</t>
  </si>
  <si>
    <t>ELH-대경-055-ELHHPF4720BLUEOSS</t>
  </si>
  <si>
    <t>ELH의류720</t>
  </si>
  <si>
    <t>ELHHPF4720</t>
  </si>
  <si>
    <t>ELSHPE1720BLOSS</t>
  </si>
  <si>
    <t>ELHHPF4720BL</t>
  </si>
  <si>
    <t>ELH-대경-055-ELHHPF4720BLUEOMM</t>
  </si>
  <si>
    <t>ELSHPE1720BLOMM</t>
  </si>
  <si>
    <t>ELH-대경-055-ELHHPF4720BLUEOLL</t>
  </si>
  <si>
    <t>ELSHPE1720BLOLL</t>
  </si>
  <si>
    <t>ELH-대경-055-ELHHPF4720BLUEOXL</t>
  </si>
  <si>
    <t>ELSHPE1720BLOXL</t>
  </si>
  <si>
    <t>ELH-대경-05ELHJSF4638BK</t>
  </si>
  <si>
    <t>ELH-대경-056</t>
  </si>
  <si>
    <t>ELH-대경-056-ELHJSF4638BLACKOSS</t>
  </si>
  <si>
    <t>ELH의류638</t>
  </si>
  <si>
    <t>ELSJSE</t>
  </si>
  <si>
    <t>JS</t>
  </si>
  <si>
    <t>JUMPSUIT</t>
  </si>
  <si>
    <t>ELHJSF4638</t>
  </si>
  <si>
    <t>ELSJSE1638BKOSS</t>
  </si>
  <si>
    <t>ELHJSF4638BK</t>
  </si>
  <si>
    <t>ELH-대경-056-ELHJSF4638BLACKOMM</t>
  </si>
  <si>
    <t>ELSJSE1638BKOMM</t>
  </si>
  <si>
    <t>ELH-대경-056-ELHJSF4638BLACKOLL</t>
  </si>
  <si>
    <t>ELSJSE1638BKOLL</t>
  </si>
  <si>
    <t>ELH-대경-05ELHJSF4638PK</t>
  </si>
  <si>
    <t>ELH-대경-057</t>
  </si>
  <si>
    <t>ELH-대경-057-ELHJSF4638PINKOSS</t>
  </si>
  <si>
    <t>ELSJSE1638PKOSS</t>
  </si>
  <si>
    <t>ELHJSF4638PK</t>
  </si>
  <si>
    <t>ELH-대경-057-ELHJSF4638PINKOMM</t>
  </si>
  <si>
    <t>ELSJSE1638PKOMM</t>
  </si>
  <si>
    <t>ELH-대경-057-ELHJSF4638PINKOLL</t>
  </si>
  <si>
    <t>ELSJSE1638PKOLL</t>
  </si>
  <si>
    <t>ELH-대경-05ELHJSF4728PK</t>
  </si>
  <si>
    <t>ELH-대경-058</t>
  </si>
  <si>
    <t>ELH-대경-058-ELHJSF4728PINKOSS</t>
  </si>
  <si>
    <t>ELH의류728</t>
  </si>
  <si>
    <t>ELHJSF4728</t>
  </si>
  <si>
    <t>ELSJSE1728PKOSS</t>
  </si>
  <si>
    <t>ELHJSF4728PK</t>
  </si>
  <si>
    <t>ELH-대경-058-ELHJSF4728PINKOMM</t>
  </si>
  <si>
    <t>ELSJSE1728PKOMM</t>
  </si>
  <si>
    <t>ELH-대경-058-ELHJSF4728PINKOLL</t>
  </si>
  <si>
    <t>ELSJSE1728PKOLL</t>
  </si>
  <si>
    <t>ELH-대경-05ELHJSF4728YE</t>
  </si>
  <si>
    <t>ELH-대경-059</t>
  </si>
  <si>
    <t>ELH-대경-059-ELHJSF4728YELLOWOSS</t>
  </si>
  <si>
    <t>ELSJSE1728YEOSS</t>
  </si>
  <si>
    <t>ELHJSF4728YE</t>
  </si>
  <si>
    <t>ELH-대경-059-ELHJSF4728YELLOWOMM</t>
  </si>
  <si>
    <t>ELSJSE1728YEOMM</t>
  </si>
  <si>
    <t>ELH-대경-059-ELHJSF4728YELLOWOLL</t>
  </si>
  <si>
    <t>ELSJSE1728YEOLL</t>
  </si>
  <si>
    <t>ELH-대경-05ELHPTF4729KH</t>
  </si>
  <si>
    <t>ELH-대경-0510</t>
  </si>
  <si>
    <t>ELH-대경-0510-ELHPTF4729KHAKIOSS</t>
  </si>
  <si>
    <t>ELH의류729</t>
  </si>
  <si>
    <t>ELSPTE</t>
  </si>
  <si>
    <t>ELHPTF4729</t>
  </si>
  <si>
    <t>ELSPTE1729KHOSS</t>
  </si>
  <si>
    <t>ELHPTF4729KH</t>
  </si>
  <si>
    <t>ELH-대경-0510-ELHPTF4729KHAKIOMM</t>
  </si>
  <si>
    <t>ELSPTE1729KHOMM</t>
  </si>
  <si>
    <t>ELH-대경-0510-ELHPTF4729KHAKIOLL</t>
  </si>
  <si>
    <t>ELSPTE1729KHOLL</t>
  </si>
  <si>
    <t>ELH-대경-0510-ELHPTF4729KHAKIOXL</t>
  </si>
  <si>
    <t>ELSPTE1729KHOXL</t>
  </si>
  <si>
    <t>ELH-대경-05ELHTHF4701PK</t>
  </si>
  <si>
    <t>ELH-대경-0511</t>
  </si>
  <si>
    <t>ELH-대경-0511-ELHTHF4701PINKOSS</t>
  </si>
  <si>
    <t>ELH의류701</t>
  </si>
  <si>
    <t>ELSTHE</t>
  </si>
  <si>
    <t>ELHTHF4701</t>
  </si>
  <si>
    <t>ELSTHE1701PKOSS</t>
  </si>
  <si>
    <t>ELHTHF4701PK</t>
  </si>
  <si>
    <t>ELH-대경-0511-ELHTHF4701PINKOMM</t>
  </si>
  <si>
    <t>ELSTHE1701PKOMM</t>
  </si>
  <si>
    <t>ELH-대경-0511-ELHTHF4701PINKOLL</t>
  </si>
  <si>
    <t>ELSTHE1701PKOLL</t>
  </si>
  <si>
    <t>ELH-대경-05ELHTHF4702PK</t>
  </si>
  <si>
    <t>ELH-대경-0512</t>
  </si>
  <si>
    <t>ELH-대경-0512-ELHTHF4702PINKOSS</t>
  </si>
  <si>
    <t>ELH의류702</t>
  </si>
  <si>
    <t>ELHTHF4702</t>
  </si>
  <si>
    <t>ELSTHE1702PKOSS</t>
  </si>
  <si>
    <t>ELHTHF4702PK</t>
  </si>
  <si>
    <t>ELH-대경-0512-ELHTHF4702PINKOMM</t>
  </si>
  <si>
    <t>ELSTHE1702PKOMM</t>
  </si>
  <si>
    <t>ELH-대경-0512-ELHTHF4702PINKOLL</t>
  </si>
  <si>
    <t>ELSTHE1702PKOLL</t>
  </si>
  <si>
    <t>ELH-대경-05ELHTHF4703BL</t>
  </si>
  <si>
    <t>ELH-대경-0513</t>
  </si>
  <si>
    <t>ELH-대경-0513-ELHTHF4703BLUEOSS</t>
  </si>
  <si>
    <t>ELH의류703</t>
  </si>
  <si>
    <t>ELHTHF4703</t>
  </si>
  <si>
    <t>ELSTHE1703BLOSS</t>
  </si>
  <si>
    <t>ELHTHF4703BL</t>
  </si>
  <si>
    <t>ELH-대경-0513-ELHTHF4703BLUEOMM</t>
  </si>
  <si>
    <t>ELSTHE1703BLOMM</t>
  </si>
  <si>
    <t>ELH-대경-0513-ELHTHF4703BLUEOLL</t>
  </si>
  <si>
    <t>ELSTHE1703BLOLL</t>
  </si>
  <si>
    <t>ELH-대경-0513-ELHTHF4703BLUEOXL</t>
  </si>
  <si>
    <t>ELSTHE1703BLOXL</t>
  </si>
  <si>
    <t>ELH-대경-05ELHTHF4721BK</t>
  </si>
  <si>
    <t>ELH-대경-0514</t>
  </si>
  <si>
    <t>ELH-대경-0514-ELHTHF4721BLACKOSS</t>
  </si>
  <si>
    <t>ELH의류721</t>
  </si>
  <si>
    <t>ELHTHF4721</t>
  </si>
  <si>
    <t>ELSTHE1721BKOSS</t>
  </si>
  <si>
    <t>ELHTHF4721BK</t>
  </si>
  <si>
    <t>ELH-대경-0514-ELHTHF4721BLACKOMM</t>
  </si>
  <si>
    <t>ELSTHE1721BKOMM</t>
  </si>
  <si>
    <t>ELH-대경-0514-ELHTHF4721BLACKOLL</t>
  </si>
  <si>
    <t>ELSTHE1721BKOLL</t>
  </si>
  <si>
    <t>ELH-대경-0514-ELHTHF4721BLACKOXL</t>
  </si>
  <si>
    <t>ELSTHE1721BKOXL</t>
  </si>
  <si>
    <t>ELH-대경-05ELHTHF4725GY</t>
  </si>
  <si>
    <t>ELH-대경-0515</t>
  </si>
  <si>
    <t>ELH-대경-0515-ELHTHF4725GREYOSS</t>
  </si>
  <si>
    <t>ELH의류725</t>
  </si>
  <si>
    <t>ELHTHF4725</t>
  </si>
  <si>
    <t>ELSTHE1725GYOSS</t>
  </si>
  <si>
    <t>ELHTHF4725GY</t>
  </si>
  <si>
    <t>ELH-대경-0515-ELHTHF4725GREYOMM</t>
  </si>
  <si>
    <t>ELSTHE1725GYOMM</t>
  </si>
  <si>
    <t>ELH-대경-0515-ELHTHF4725GREYOLL</t>
  </si>
  <si>
    <t>ELSTHE1725GYOLL</t>
  </si>
  <si>
    <t>ELH-대경-0515-ELHTHF4725GREYOXL</t>
  </si>
  <si>
    <t>ELSTHE1725GYOXL</t>
  </si>
  <si>
    <t>ELH-대경-05ELHTHF4725MT</t>
  </si>
  <si>
    <t>ELH-대경-0516</t>
  </si>
  <si>
    <t>ELH-대경-0516-ELHTHF4725MINTOSS</t>
  </si>
  <si>
    <t>ELSTHE1725MTOSS</t>
  </si>
  <si>
    <t>ELHTHF4725MT</t>
  </si>
  <si>
    <t>ELH-대경-0516-ELHTHF4725MINTOMM</t>
  </si>
  <si>
    <t>ELSTHE1725MTOMM</t>
  </si>
  <si>
    <t>ELH-대경-0516-ELHTHF4725MINTOLL</t>
  </si>
  <si>
    <t>ELSTHE1725MTOLL</t>
  </si>
  <si>
    <t>ELH-대경-0516-ELHTHF4725MINTOXL</t>
  </si>
  <si>
    <t>ELSTHE1725MTOXL</t>
  </si>
  <si>
    <t>ELH-대경-05ELHTHF4725PK</t>
  </si>
  <si>
    <t>ELH-대경-0517</t>
  </si>
  <si>
    <t>ELH-대경-0517-ELHTHF4725PINKOSS</t>
  </si>
  <si>
    <t>ELSTHE1725PKOSS</t>
  </si>
  <si>
    <t>ELHTHF4725PK</t>
  </si>
  <si>
    <t>ELH-대경-0517-ELHTHF4725PINKOMM</t>
  </si>
  <si>
    <t>ELSTHE1725PKOMM</t>
  </si>
  <si>
    <t>ELH-대경-0517-ELHTHF4725PINKOLL</t>
  </si>
  <si>
    <t>ELSTHE1725PKOLL</t>
  </si>
  <si>
    <t>ELH-대경-05ELHTHF4726NY</t>
  </si>
  <si>
    <t>ELH-대경-0518</t>
  </si>
  <si>
    <t>ELH-대경-0518-ELHTHF4726NAVYOSS</t>
  </si>
  <si>
    <t>ELH의류726</t>
  </si>
  <si>
    <t>ELHTHF4726</t>
  </si>
  <si>
    <t>ELSTHE1726NYOSS</t>
  </si>
  <si>
    <t>ELHTHF4726NY</t>
  </si>
  <si>
    <t>ELH-대경-0518-ELHTHF4726NAVYOMM</t>
  </si>
  <si>
    <t>ELSTHE1726NYOMM</t>
  </si>
  <si>
    <t>ELH-대경-0518-ELHTHF4726NAVYOLL</t>
  </si>
  <si>
    <t>ELSTHE1726NYOLL</t>
  </si>
  <si>
    <t>ELH-대경-0518-ELHTHF4726NAVYOXL</t>
  </si>
  <si>
    <t>ELSTHE1726NYOXL</t>
  </si>
  <si>
    <t>ELH-대경-05ELHTHF4726RE</t>
  </si>
  <si>
    <t>ELH-대경-0519</t>
  </si>
  <si>
    <t>ELH-대경-0519-ELHTHF4726REDOSS</t>
  </si>
  <si>
    <t>ELSTHE1726REOSS</t>
  </si>
  <si>
    <t>ELHTHF4726RE</t>
  </si>
  <si>
    <t>ELH-대경-0519-ELHTHF4726REDOMM</t>
  </si>
  <si>
    <t>ELSTHE1726REOMM</t>
  </si>
  <si>
    <t>ELH-대경-0519-ELHTHF4726REDOLL</t>
  </si>
  <si>
    <t>ELSTHE1726REOLL</t>
  </si>
  <si>
    <t>ELH-대경-0519-ELHTHF4726REDOXL</t>
  </si>
  <si>
    <t>ELSTHE1726REOXL</t>
  </si>
  <si>
    <t>ELH-대경-05ELHTHF4726YE</t>
  </si>
  <si>
    <t>ELH-대경-0520</t>
  </si>
  <si>
    <t>ELH-대경-0520-ELHTHF4726YELLOWOSS</t>
  </si>
  <si>
    <t>ELSTHE1726YEOSS</t>
  </si>
  <si>
    <t>ELHTHF4726YE</t>
  </si>
  <si>
    <t>ELH-대경-0520-ELHTHF4726YELLOWOMM</t>
  </si>
  <si>
    <t>ELSTHE1726YEOMM</t>
  </si>
  <si>
    <t>ELH-대경-0520-ELHTHF4726YELLOWOLL</t>
  </si>
  <si>
    <t>ELSTHE1726YEOLL</t>
  </si>
  <si>
    <t>ELH-대경-0520-ELHTHF4726YELLOWOXL</t>
  </si>
  <si>
    <t>ELSTHE1726YEOXL</t>
  </si>
  <si>
    <t>ELH-대경-05ELHTHF4727BK</t>
  </si>
  <si>
    <t>ELH-대경-0521</t>
  </si>
  <si>
    <t>ELH-대경-0521-ELHTHF4727BLACKOSS</t>
  </si>
  <si>
    <t>ELH의류727</t>
  </si>
  <si>
    <t>ELHTHF4727</t>
  </si>
  <si>
    <t>ELSTHE1727BKOSS</t>
  </si>
  <si>
    <t>ELHTHF4727BK</t>
  </si>
  <si>
    <t>ELH-대경-0521-ELHTHF4727BLACKOMM</t>
  </si>
  <si>
    <t>ELSTHE1727BKOMM</t>
  </si>
  <si>
    <t>ELH-대경-0521-ELHTHF4727BLACKOLL</t>
  </si>
  <si>
    <t>ELSTHE1727BKOLL</t>
  </si>
  <si>
    <t>ELH-대경-0521-ELHTHF4727BLACKOXL</t>
  </si>
  <si>
    <t>ELSTHE1727BKOXL</t>
  </si>
  <si>
    <t>ELH-대경-05ELHTLF4706RE</t>
  </si>
  <si>
    <t>ELH-대경-0522</t>
  </si>
  <si>
    <t>ELH-대경-0522-ELHTLF4706REDOSS</t>
  </si>
  <si>
    <t>ELH의류706</t>
  </si>
  <si>
    <t>ELSTLE</t>
  </si>
  <si>
    <t>ELHTLF4706</t>
  </si>
  <si>
    <t>ELSTLE1706REOSS</t>
  </si>
  <si>
    <t>ELHTLF4706RE</t>
  </si>
  <si>
    <t>ELH-대경-0522-ELHTLF4706REDOMM</t>
  </si>
  <si>
    <t>ELSTLE1706REOMM</t>
  </si>
  <si>
    <t>ELH-대경-0522-ELHTLF4706REDOLL</t>
  </si>
  <si>
    <t>ELSTLE1706REOLL</t>
  </si>
  <si>
    <t>ELH-대경-05ELHTLF4707PK</t>
  </si>
  <si>
    <t>ELH-대경-0523</t>
  </si>
  <si>
    <t>ELH-대경-0523-ELHTLF4707PINKOSS</t>
  </si>
  <si>
    <t>ELH의류707</t>
  </si>
  <si>
    <t>ELHTLF4707</t>
  </si>
  <si>
    <t>ELSTLE1707PKOSS</t>
  </si>
  <si>
    <t>ELHTLF4707PK</t>
  </si>
  <si>
    <t>ELH-대경-0523-ELHTLF4707PINKOMM</t>
  </si>
  <si>
    <t>ELSTLE1707PKOMM</t>
  </si>
  <si>
    <t>ELH-대경-0523-ELHTLF4707PINKOLL</t>
  </si>
  <si>
    <t>ELSTLE1707PKOLL</t>
  </si>
  <si>
    <t>ELH-대경-05ELHTLF4708OR</t>
  </si>
  <si>
    <t>ELH-대경-0524</t>
  </si>
  <si>
    <t>ELH-대경-0524-ELHTLF4708ORANGEOSS</t>
  </si>
  <si>
    <t>ELH의류708</t>
  </si>
  <si>
    <t>ELHTLF4708</t>
  </si>
  <si>
    <t>ELSTLE1708OROSS</t>
  </si>
  <si>
    <t>ELHTLF4708OR</t>
  </si>
  <si>
    <t>ELH-대경-0524-ELHTLF4708ORANGEOMM</t>
  </si>
  <si>
    <t>ELSTLE1708OROMM</t>
  </si>
  <si>
    <t>ELH-대경-0524-ELHTLF4708ORANGEOLL</t>
  </si>
  <si>
    <t>ELSTLE1708OROLL</t>
  </si>
  <si>
    <t>ELH-대경-05ELHTLF4722BW</t>
  </si>
  <si>
    <t>ELH-대경-0525</t>
  </si>
  <si>
    <t>ELH-대경-0525-ELHTLF4722BROWNOSS</t>
  </si>
  <si>
    <t>ELH의류722</t>
  </si>
  <si>
    <t>ELHTLF4722</t>
  </si>
  <si>
    <t>ELSTLE1722BWOSS</t>
  </si>
  <si>
    <t>ELHTLF4722BW</t>
  </si>
  <si>
    <t>ELH-대경-0525-ELHTLF4722BROWNOMM</t>
  </si>
  <si>
    <t>ELSTLE1722BWOMM</t>
  </si>
  <si>
    <t>ELH-대경-0525-ELHTLF4722BROWNOLL</t>
  </si>
  <si>
    <t>ELSTLE1722BWOLL</t>
  </si>
  <si>
    <t>ELH-대경-05ELHTLF4723BK</t>
  </si>
  <si>
    <t>ELH-대경-0526</t>
  </si>
  <si>
    <t>ELH-대경-0526-ELHTLF4723BLACKOSS</t>
  </si>
  <si>
    <t>ELH의류723</t>
  </si>
  <si>
    <t>ELHTLF4723</t>
  </si>
  <si>
    <t>ELSTLE1723BKOSS</t>
  </si>
  <si>
    <t>ELHTLF4723BK</t>
  </si>
  <si>
    <t>ELH-대경-0526-ELHTLF4723BLACKOMM</t>
  </si>
  <si>
    <t>ELSTLE1723BKOMM</t>
  </si>
  <si>
    <t>ELH-대경-0526-ELHTLF4723BLACKOLL</t>
  </si>
  <si>
    <t>ELSTLE1723BKOLL</t>
  </si>
  <si>
    <t>ELH-대경-05 TTL</t>
  </si>
  <si>
    <t>ELH-EVERGREEN-05</t>
  </si>
  <si>
    <t>ELH-EVERGREEN-05ELHPTF4755YE</t>
  </si>
  <si>
    <t>ELH-EVERGREEN-051</t>
  </si>
  <si>
    <t>ELH-EVERGREEN-051-ELHPTF4755YELLOWOSS</t>
  </si>
  <si>
    <t>ELH의류755</t>
  </si>
  <si>
    <t>ELHPTF4755</t>
  </si>
  <si>
    <t>ELSPTE1755YEOSS</t>
  </si>
  <si>
    <t>ELHPTF4755YE</t>
  </si>
  <si>
    <t>ELH-EVERGREEN-051-ELHPTF4755YELLOWOMM</t>
  </si>
  <si>
    <t>ELSPTE1755YEOMM</t>
  </si>
  <si>
    <t>ELH-EVERGREEN-05 TTL</t>
  </si>
  <si>
    <t>ELH-아트인드림-08</t>
  </si>
  <si>
    <t>ELH-아트인드림-08ELHPTF4757GY</t>
  </si>
  <si>
    <t>ELH-아트인드림-081</t>
  </si>
  <si>
    <t>ELH-아트인드림-081-ELHPTF4757GREYOSS</t>
  </si>
  <si>
    <t>ELH의류757</t>
  </si>
  <si>
    <t>ELHPTF4757</t>
  </si>
  <si>
    <t>ELSPTE1757GYOSS</t>
  </si>
  <si>
    <t>ELHPTF4757GY</t>
  </si>
  <si>
    <t>ELH-아트인드림-081-ELHPTF4757GREYOMM</t>
  </si>
  <si>
    <t>ELSPTE1757GYOMM</t>
  </si>
  <si>
    <t>ELH-아트인드림-08 TTL</t>
  </si>
  <si>
    <t>ELH-아트인드림-09</t>
  </si>
  <si>
    <t>ELH-아트인드림-09ELHJPF4832BK</t>
  </si>
  <si>
    <t>ELH-아트인드림-091</t>
  </si>
  <si>
    <t>ELH-아트인드림-091-ELHJPF4832BLACKOXS</t>
  </si>
  <si>
    <t>ELH의류832</t>
  </si>
  <si>
    <t>ELSJPE</t>
  </si>
  <si>
    <t>ELHJPF4832</t>
  </si>
  <si>
    <t>ELSJPE4832BKOXS</t>
  </si>
  <si>
    <t>ELHJPF4832BK</t>
  </si>
  <si>
    <t>ELH-아트인드림-091-ELHJPF4832BLACKOMM</t>
  </si>
  <si>
    <t>ELSJPE4832BKOMM</t>
  </si>
  <si>
    <t>ELH-아트인드림-091-ELHJPF4832BLACKOXL</t>
  </si>
  <si>
    <t>ELSJPE4832BKOXL</t>
  </si>
  <si>
    <t>ELH-아트인드림-09ELHJPF4832BW</t>
  </si>
  <si>
    <t>ELH-아트인드림-092</t>
  </si>
  <si>
    <t>ELH-아트인드림-092-ELHJPF4832BROWNOXS</t>
  </si>
  <si>
    <t>ELSJPE4832BWOXS</t>
  </si>
  <si>
    <t>ELHJPF4832BW</t>
  </si>
  <si>
    <t>ELH-아트인드림-092-ELHJPF4832BROWNOMM</t>
  </si>
  <si>
    <t>ELSJPE4832BWOMM</t>
  </si>
  <si>
    <t>ELH-아트인드림-092-ELHJPF4832BROWNOXL</t>
  </si>
  <si>
    <t>ELSJPE4832BWOXL</t>
  </si>
  <si>
    <t>ELH-아트인드림-09ELHJPF4832RE</t>
  </si>
  <si>
    <t>ELH-아트인드림-093</t>
  </si>
  <si>
    <t>ELH-아트인드림-093-ELHJPF4832REDOXS</t>
  </si>
  <si>
    <t>ELSJPE4832REOXS</t>
  </si>
  <si>
    <t>ELHJPF4832RE</t>
  </si>
  <si>
    <t>ELH-아트인드림-093-ELHJPF4832REDOMM</t>
  </si>
  <si>
    <t>ELSJPE4832REOMM</t>
  </si>
  <si>
    <t>ELH-아트인드림-093-ELHJPF4832REDOXL</t>
  </si>
  <si>
    <t>ELSJPE4832REOXL</t>
  </si>
  <si>
    <t>ELH-아트인드림-09ELHPTF4833BK</t>
  </si>
  <si>
    <t>ELH-아트인드림-094</t>
  </si>
  <si>
    <t>ELH-아트인드림-094-ELHPTF4833BLACKOXS</t>
  </si>
  <si>
    <t>ELH의류833</t>
  </si>
  <si>
    <t>ELHPTF4833</t>
  </si>
  <si>
    <t>ELSPTE4833BKOXS</t>
  </si>
  <si>
    <t>ELHPTF4833BK</t>
  </si>
  <si>
    <t>ELH-아트인드림-094-ELHPTF4833BLACKOMM</t>
  </si>
  <si>
    <t>ELSPTE4833BKOMM</t>
  </si>
  <si>
    <t>ELH-아트인드림-094-ELHPTF4833BLACKOXL</t>
  </si>
  <si>
    <t>ELSPTE4833BKOXL</t>
  </si>
  <si>
    <t>ELH-아트인드림-09ELHPTF4833BW</t>
  </si>
  <si>
    <t>ELH-아트인드림-095</t>
  </si>
  <si>
    <t>ELH-아트인드림-095-ELHPTF4833BROWNOXS</t>
  </si>
  <si>
    <t>ELSPTE4833BWOXS</t>
  </si>
  <si>
    <t>ELHPTF4833BW</t>
  </si>
  <si>
    <t>ELH-아트인드림-095-ELHPTF4833BROWNOMM</t>
  </si>
  <si>
    <t>ELSPTE4833BWOMM</t>
  </si>
  <si>
    <t>ELH-아트인드림-095-ELHPTF4833BROWNOXL</t>
  </si>
  <si>
    <t>ELSPTE4833BWOXL</t>
  </si>
  <si>
    <t>ELH-아트인드림-09ELHPTF4833RE</t>
  </si>
  <si>
    <t>ELH-아트인드림-096</t>
  </si>
  <si>
    <t>ELH-아트인드림-096-ELHPTF4833REDOXS</t>
  </si>
  <si>
    <t>ELSPTE4833REOXS</t>
  </si>
  <si>
    <t>ELHPTF4833RE</t>
  </si>
  <si>
    <t>ELH-아트인드림-096-ELHPTF4833REDOMM</t>
  </si>
  <si>
    <t>ELSPTE4833REOMM</t>
  </si>
  <si>
    <t>ELH-아트인드림-096-ELHPTF4833REDOXL</t>
  </si>
  <si>
    <t>ELSPTE4833REOXL</t>
  </si>
  <si>
    <t>ELH-아트인드림-09 TTL</t>
  </si>
  <si>
    <t>ELH-EVERGREEN-06</t>
  </si>
  <si>
    <t>ELH-EVERGREEN-06ELHHPF4923RE</t>
  </si>
  <si>
    <t>ELH-EVERGREEN-061</t>
  </si>
  <si>
    <t>ELH-EVERGREEN-061-ELHHPF4923REDOXS</t>
  </si>
  <si>
    <t>ELH의류923</t>
  </si>
  <si>
    <t>ELSHPF</t>
  </si>
  <si>
    <t>ELHHPF4923</t>
  </si>
  <si>
    <t>ELSHPF1923REOXS</t>
  </si>
  <si>
    <t>ELHHPF4923RE</t>
  </si>
  <si>
    <t>ELH-EVERGREEN-061-ELHHPF4923REDOSS</t>
  </si>
  <si>
    <t>ELSHPF1923REOSS</t>
  </si>
  <si>
    <t>ELH-EVERGREEN-061-ELHHPF4923REDOMM</t>
  </si>
  <si>
    <t>ELSHPF1923REOMM</t>
  </si>
  <si>
    <t>ELH-EVERGREEN-061-ELHHPF4923REDOLL</t>
  </si>
  <si>
    <t>ELSHPF1923REOLL</t>
  </si>
  <si>
    <t>ELH-EVERGREEN-061-ELHHPF4923REDOXL</t>
  </si>
  <si>
    <t>ELSHPF1923REOXL</t>
  </si>
  <si>
    <t>ELH-EVERGREEN-061-ELHHPF4923REDXXS</t>
  </si>
  <si>
    <t>ELSHPF1923REXXS</t>
  </si>
  <si>
    <t>ELH-EVERGREEN-06ELHTHF4930YE</t>
  </si>
  <si>
    <t>ELH-EVERGREEN-062</t>
  </si>
  <si>
    <t>ELH-EVERGREEN-062-ELHTHF4930YELLOWOXS</t>
  </si>
  <si>
    <t>ELH의류930</t>
  </si>
  <si>
    <t>ELSTHF</t>
  </si>
  <si>
    <t>ELHTHF4930</t>
  </si>
  <si>
    <t>ELSTHF1930YEOXS</t>
  </si>
  <si>
    <t>ELHTHF4930YE</t>
  </si>
  <si>
    <t>ELH-EVERGREEN-062-ELHTHF4930YELLOWOSS</t>
  </si>
  <si>
    <t>ELSTHF1930YEOSS</t>
  </si>
  <si>
    <t>ELH-EVERGREEN-062-ELHTHF4930YELLOWOMM</t>
  </si>
  <si>
    <t>ELSTHF1930YEOMM</t>
  </si>
  <si>
    <t>ELH-EVERGREEN-062-ELHTHF4930YELLOWOLL</t>
  </si>
  <si>
    <t>ELSTHF1930YEOLL</t>
  </si>
  <si>
    <t>ELH-EVERGREEN-062-ELHTHF4930YELLOWOXL</t>
  </si>
  <si>
    <t>ELSTHF1930YEOXL</t>
  </si>
  <si>
    <t>ELH-EVERGREEN-062-ELHTHF4930YELLOWXXS</t>
  </si>
  <si>
    <t>ELSTHF1930YEXXS</t>
  </si>
  <si>
    <t>ELH-EVERGREEN-06 TTL</t>
  </si>
  <si>
    <t>ELH-아트인드림-10</t>
  </si>
  <si>
    <t>ELH-아트인드림-10ELHPTF4986BK</t>
  </si>
  <si>
    <t>ELH-아트인드림-101</t>
  </si>
  <si>
    <t>ELH-아트인드림-101-ELHPTF4986BLACKOXS</t>
  </si>
  <si>
    <t>ELH의류986</t>
  </si>
  <si>
    <t>ELSPTF</t>
  </si>
  <si>
    <t>ELHPTF4986</t>
  </si>
  <si>
    <t>ELSPTF1986BKOXS</t>
  </si>
  <si>
    <t>ELHPTF4986BK</t>
  </si>
  <si>
    <t>ELH-아트인드림-101-ELHPTF4986BLACKOMM</t>
  </si>
  <si>
    <t>ELSPTF1986BKOMM</t>
  </si>
  <si>
    <t>ELH-아트인드림-101-ELHPTF4986BLACKOXL</t>
  </si>
  <si>
    <t>ELSPTF1986BKOXL</t>
  </si>
  <si>
    <t>ELH-아트인드림-10ELHPTF4987KH</t>
  </si>
  <si>
    <t>ELH-아트인드림-102</t>
  </si>
  <si>
    <t>ELH-아트인드림-102-ELHPTF4987KHAKIOXS</t>
  </si>
  <si>
    <t>ELH의류987</t>
  </si>
  <si>
    <t>ELHPTF4987</t>
  </si>
  <si>
    <t>ELSPTF1987KHOXS</t>
  </si>
  <si>
    <t>ELHPTF4987KH</t>
  </si>
  <si>
    <t>ELH-아트인드림-102-ELHPTF4987KHAKIOMM</t>
  </si>
  <si>
    <t>ELSPTF1987KHOMM</t>
  </si>
  <si>
    <t>ELH-아트인드림-102-ELHPTF4987KHAKIOXL</t>
  </si>
  <si>
    <t>ELSPTF1987KHOXL</t>
  </si>
  <si>
    <t>ELH-아트인드림-10 TTL</t>
  </si>
  <si>
    <t>ELH-대경-06</t>
  </si>
  <si>
    <t>ELH-대경-06ELHHPF4924YE</t>
  </si>
  <si>
    <t>ELH-대경-061</t>
  </si>
  <si>
    <t>ELH-대경-061-ELHHPF4924YELLOWOXS</t>
  </si>
  <si>
    <t>ELH의류924</t>
  </si>
  <si>
    <t>ELHHPF4924</t>
  </si>
  <si>
    <t>ELSHPF1924YEOXS</t>
  </si>
  <si>
    <t>ELHHPF4924YE</t>
  </si>
  <si>
    <t>ELH-대경-061-ELHHPF4924YELLOWOSS</t>
  </si>
  <si>
    <t>ELSHPF1924YEOSS</t>
  </si>
  <si>
    <t>ELH-대경-061-ELHHPF4924YELLOWOMM</t>
  </si>
  <si>
    <t>ELSHPF1924YEOMM</t>
  </si>
  <si>
    <t>ELH-대경-061-ELHHPF4924YELLOWOLL</t>
  </si>
  <si>
    <t>ELSHPF1924YEOLL</t>
  </si>
  <si>
    <t>ELH-대경-061-ELHHPF4924YELLOWOXL</t>
  </si>
  <si>
    <t>ELSHPF1924YEOXL</t>
  </si>
  <si>
    <t>ELH-대경-061-ELHHPF4924YELLOWXXS</t>
  </si>
  <si>
    <t>ELSHPF1924YEXXS</t>
  </si>
  <si>
    <t>ELH-대경-06ELHHPF4926GY</t>
  </si>
  <si>
    <t>ELH-대경-062</t>
  </si>
  <si>
    <t>ELH-대경-062-ELHHPF4926GREYOXS</t>
  </si>
  <si>
    <t>ELH의류926</t>
  </si>
  <si>
    <t>ELHHPF4926</t>
  </si>
  <si>
    <t>ELSHPF1926GYOXS</t>
  </si>
  <si>
    <t>ELHHPF4926GY</t>
  </si>
  <si>
    <t>ELH-대경-062-ELHHPF4926GREYOSS</t>
  </si>
  <si>
    <t>ELSHPF1926GYOSS</t>
  </si>
  <si>
    <t>ELH-대경-062-ELHHPF4926GREYOMM</t>
  </si>
  <si>
    <t>ELSHPF1926GYOMM</t>
  </si>
  <si>
    <t>ELH-대경-062-ELHHPF4926GREYOLL</t>
  </si>
  <si>
    <t>ELSHPF1926GYOLL</t>
  </si>
  <si>
    <t>ELH-대경-062-ELHHPF4926GREYOXL</t>
  </si>
  <si>
    <t>ELSHPF1926GYOXL</t>
  </si>
  <si>
    <t>ELH-대경-062-ELHHPF4926GREYXXS</t>
  </si>
  <si>
    <t>ELSHPF1926GYXXS</t>
  </si>
  <si>
    <t>ELH-대경-06ELHJPF4928BL</t>
  </si>
  <si>
    <t>ELH-대경-063</t>
  </si>
  <si>
    <t>ELH-대경-063-ELHJPF4928BLUEOXS</t>
  </si>
  <si>
    <t>ELH의류928</t>
  </si>
  <si>
    <t>ELSJPF</t>
  </si>
  <si>
    <t>ELHJPF4928</t>
  </si>
  <si>
    <t>ELSJPF1928BLOXS</t>
  </si>
  <si>
    <t>ELHJPF4928BL</t>
  </si>
  <si>
    <t>ELH-대경-063-ELHJPF4928BLUEOSS</t>
  </si>
  <si>
    <t>ELSJPF1928BLOSS</t>
  </si>
  <si>
    <t>ELH-대경-063-ELHJPF4928BLUEOMM</t>
  </si>
  <si>
    <t>ELSJPF1928BLOMM</t>
  </si>
  <si>
    <t>ELH-대경-063-ELHJPF4928BLUEOLL</t>
  </si>
  <si>
    <t>ELSJPF1928BLOLL</t>
  </si>
  <si>
    <t>ELH-대경-063-ELHJPF4928BLUEOXL</t>
  </si>
  <si>
    <t>ELSJPF1928BLOXL</t>
  </si>
  <si>
    <t>ELH-대경-063-ELHJPF4928BLUEXXS</t>
  </si>
  <si>
    <t>ELSJPF1928BLXXS</t>
  </si>
  <si>
    <t>ELH-대경-06ELHJPF4928RE</t>
  </si>
  <si>
    <t>ELH-대경-064</t>
  </si>
  <si>
    <t>ELH-대경-064-ELHJPF4928REDOXS</t>
  </si>
  <si>
    <t>ELSJPF1928REOXS</t>
  </si>
  <si>
    <t>ELHJPF4928RE</t>
  </si>
  <si>
    <t>ELH-대경-064-ELHJPF4928REDOSS</t>
  </si>
  <si>
    <t>ELSJPF1928REOSS</t>
  </si>
  <si>
    <t>ELH-대경-064-ELHJPF4928REDOMM</t>
  </si>
  <si>
    <t>ELSJPF1928REOMM</t>
  </si>
  <si>
    <t>ELH-대경-064-ELHJPF4928REDOLL</t>
  </si>
  <si>
    <t>ELSJPF1928REOLL</t>
  </si>
  <si>
    <t>ELH-대경-064-ELHJPF4928REDOXL</t>
  </si>
  <si>
    <t>ELSJPF1928REOXL</t>
  </si>
  <si>
    <t>ELH-대경-064-ELHJPF4928REDXXS</t>
  </si>
  <si>
    <t>ELSJPF1928REXXS</t>
  </si>
  <si>
    <t>ELH-대경-06ELHJSF4949GY</t>
  </si>
  <si>
    <t>ELH-대경-065</t>
  </si>
  <si>
    <t>ELH-대경-065-ELHJSF4949GREYOXS</t>
  </si>
  <si>
    <t>ELH의류949</t>
  </si>
  <si>
    <t>ELSJSF</t>
  </si>
  <si>
    <t>ELHJSF4949</t>
  </si>
  <si>
    <t>ELSJSF1949GYOXS</t>
  </si>
  <si>
    <t>ELHJSF4949GY</t>
  </si>
  <si>
    <t>ELH-대경-065-ELHJSF4949GREYOSS</t>
  </si>
  <si>
    <t>ELSJSF1949GYOSS</t>
  </si>
  <si>
    <t>ELH-대경-065-ELHJSF4949GREYOMM</t>
  </si>
  <si>
    <t>ELSJSF1949GYOMM</t>
  </si>
  <si>
    <t>ELH-대경-065-ELHJSF4949GREYOLL</t>
  </si>
  <si>
    <t>ELSJSF1949GYOLL</t>
  </si>
  <si>
    <t>ELH-대경-065-ELHJSF4949GREYOXL</t>
  </si>
  <si>
    <t>ELSJSF1949GYOXL</t>
  </si>
  <si>
    <t>ELH-대경-065-ELHJSF4949GREYXXS</t>
  </si>
  <si>
    <t>ELSJSF1949GYXXS</t>
  </si>
  <si>
    <t>ELH-대경-06ELHJSF4950BK</t>
  </si>
  <si>
    <t>ELH-대경-066</t>
  </si>
  <si>
    <t>ELH-대경-066-ELHJSF4950BLACKOXS</t>
  </si>
  <si>
    <t>ELH의류950</t>
  </si>
  <si>
    <t>ELHJSF4950</t>
  </si>
  <si>
    <t>ELSJSF1950BKOXS</t>
  </si>
  <si>
    <t>ELHJSF4950BK</t>
  </si>
  <si>
    <t>ELH-대경-066-ELHJSF4950BLACKOSS</t>
  </si>
  <si>
    <t>ELSJSF1950BKOSS</t>
  </si>
  <si>
    <t>ELH-대경-066-ELHJSF4950BLACKOMM</t>
  </si>
  <si>
    <t>ELSJSF1950BKOMM</t>
  </si>
  <si>
    <t>ELH-대경-066-ELHJSF4950BLACKOLL</t>
  </si>
  <si>
    <t>ELSJSF1950BKOLL</t>
  </si>
  <si>
    <t>ELH-대경-066-ELHJSF4950BLACKOXL</t>
  </si>
  <si>
    <t>ELSJSF1950BKOXL</t>
  </si>
  <si>
    <t>ELH-대경-066-ELHJSF4950BLACKXXS</t>
  </si>
  <si>
    <t>ELSJSF1950BKXXS</t>
  </si>
  <si>
    <t>ELH-대경-06ELHTHF4932MT</t>
  </si>
  <si>
    <t>ELH-대경-067</t>
  </si>
  <si>
    <t>ELH-대경-067-ELHTHF4932MINTOXS</t>
  </si>
  <si>
    <t>ELH의류932</t>
  </si>
  <si>
    <t>ELHTHF4932</t>
  </si>
  <si>
    <t>ELSTHF1932MTOXS</t>
  </si>
  <si>
    <t>ELHTHF4932MT</t>
  </si>
  <si>
    <t>ELH-대경-067-ELHTHF4932MINTOSS</t>
  </si>
  <si>
    <t>ELSTHF1932MTOSS</t>
  </si>
  <si>
    <t>ELH-대경-067-ELHTHF4932MINTOMM</t>
  </si>
  <si>
    <t>ELSTHF1932MTOMM</t>
  </si>
  <si>
    <t>ELH-대경-067-ELHTHF4932MINTOLL</t>
  </si>
  <si>
    <t>ELSTHF1932MTOLL</t>
  </si>
  <si>
    <t>ELH-대경-067-ELHTHF4932MINTOXL</t>
  </si>
  <si>
    <t>ELSTHF1932MTOXL</t>
  </si>
  <si>
    <t>ELH-대경-067-ELHTHF4932MINTXXS</t>
  </si>
  <si>
    <t>ELSTHF1932MTXXS</t>
  </si>
  <si>
    <t>ELH-대경-06ELHTHF4933PK</t>
  </si>
  <si>
    <t>ELH-대경-068</t>
  </si>
  <si>
    <t>ELH-대경-068-ELHTHF4933PINKOXS</t>
  </si>
  <si>
    <t>ELH의류933</t>
  </si>
  <si>
    <t>ELHTHF4933</t>
  </si>
  <si>
    <t>ELSTHF1933PKOXS</t>
  </si>
  <si>
    <t>ELHTHF4933PK</t>
  </si>
  <si>
    <t>ELH-대경-068-ELHTHF4933PINKOSS</t>
  </si>
  <si>
    <t>ELSTHF1933PKOSS</t>
  </si>
  <si>
    <t>ELH-대경-068-ELHTHF4933PINKOMM</t>
  </si>
  <si>
    <t>ELSTHF1933PKOMM</t>
  </si>
  <si>
    <t>ELH-대경-068-ELHTHF4933PINKOLL</t>
  </si>
  <si>
    <t>ELSTHF1933PKOLL</t>
  </si>
  <si>
    <t>ELH-대경-068-ELHTHF4933PINKOXL</t>
  </si>
  <si>
    <t>ELSTHF1933PKOXL</t>
  </si>
  <si>
    <t>ELH-대경-068-ELHTHF4933PINKXXS</t>
  </si>
  <si>
    <t>ELSTHF1933PKXXS</t>
  </si>
  <si>
    <t>ELH-대경-06ELHTHF4935BK</t>
  </si>
  <si>
    <t>ELH-대경-069</t>
  </si>
  <si>
    <t>ELH-대경-069-ELHTHF4935BLACKOXS</t>
  </si>
  <si>
    <t>ELH의류935</t>
  </si>
  <si>
    <t>ELHTHF4935</t>
  </si>
  <si>
    <t>ELSTHF1935BKOXS</t>
  </si>
  <si>
    <t>ELHTHF4935BK</t>
  </si>
  <si>
    <t>ELH-대경-069-ELHTHF4935BLACKOSS</t>
  </si>
  <si>
    <t>ELSTHF1935BKOSS</t>
  </si>
  <si>
    <t>ELH-대경-069-ELHTHF4935BLACKOMM</t>
  </si>
  <si>
    <t>ELSTHF1935BKOMM</t>
  </si>
  <si>
    <t>ELH-대경-069-ELHTHF4935BLACKOLL</t>
  </si>
  <si>
    <t>ELSTHF1935BKOLL</t>
  </si>
  <si>
    <t>ELH-대경-069-ELHTHF4935BLACKOXL</t>
  </si>
  <si>
    <t>ELSTHF1935BKOXL</t>
  </si>
  <si>
    <t>ELH-대경-069-ELHTHF4935BLACKXXS</t>
  </si>
  <si>
    <t>ELSTHF1935BKXXS</t>
  </si>
  <si>
    <t>ELH-대경-06ELHTLF4936OR</t>
  </si>
  <si>
    <t>ELH-대경-0610</t>
  </si>
  <si>
    <t>ELH-대경-0610-ELHTLF4936ORANGEOXS</t>
  </si>
  <si>
    <t>ELH의류936</t>
  </si>
  <si>
    <t>ELSTLF</t>
  </si>
  <si>
    <t>ELHTLF4936</t>
  </si>
  <si>
    <t>ELSTLF1936OROXS</t>
  </si>
  <si>
    <t>ELHTLF4936OR</t>
  </si>
  <si>
    <t>ELH-대경-0610-ELHTLF4936ORANGEOSS</t>
  </si>
  <si>
    <t>ELSTLF1936OROSS</t>
  </si>
  <si>
    <t>ELH-대경-0610-ELHTLF4936ORANGEOMM</t>
  </si>
  <si>
    <t>ELSTLF1936OROMM</t>
  </si>
  <si>
    <t>ELH-대경-0610-ELHTLF4936ORANGEOLL</t>
  </si>
  <si>
    <t>ELSTLF1936OROLL</t>
  </si>
  <si>
    <t>ELH-대경-0610-ELHTLF4936ORANGEOXL</t>
  </si>
  <si>
    <t>ELSTLF1936OROXL</t>
  </si>
  <si>
    <t>ELH-대경-0610-ELHTLF4936ORANGEXXS</t>
  </si>
  <si>
    <t>ELSTLF1936ORXXS</t>
  </si>
  <si>
    <t>ELH-대경-06ELHTLF4938BK</t>
  </si>
  <si>
    <t>ELH-대경-0611</t>
  </si>
  <si>
    <t>ELH-대경-0611-ELHTLF4938BLACKOXS</t>
  </si>
  <si>
    <t>ELH의류938</t>
  </si>
  <si>
    <t>ELHTLF4938</t>
  </si>
  <si>
    <t>ELSTLF1938BKOXS</t>
  </si>
  <si>
    <t>ELHTLF4938BK</t>
  </si>
  <si>
    <t>ELH-대경-0611-ELHTLF4938BLACKOSS</t>
  </si>
  <si>
    <t>ELSTLF1938BKOSS</t>
  </si>
  <si>
    <t>ELH-대경-0611-ELHTLF4938BLACKOMM</t>
  </si>
  <si>
    <t>ELSTLF1938BKOMM</t>
  </si>
  <si>
    <t>ELH-대경-0611-ELHTLF4938BLACKOLL</t>
  </si>
  <si>
    <t>ELSTLF1938BKOLL</t>
  </si>
  <si>
    <t>ELH-대경-0611-ELHTLF4938BLACKOXL</t>
  </si>
  <si>
    <t>ELSTLF1938BKOXL</t>
  </si>
  <si>
    <t>ELH-대경-0611-ELHTLF4938BLACKXXS</t>
  </si>
  <si>
    <t>ELSTLF1938BKXXS</t>
  </si>
  <si>
    <t>ELH-대경-06 TTL</t>
  </si>
  <si>
    <t>PLH-의류</t>
  </si>
  <si>
    <t>PLH-아트인드림-11</t>
  </si>
  <si>
    <t>PLH-아트인드림-11PLHJPF4901BK</t>
  </si>
  <si>
    <t>PLH-아트인드림-111</t>
  </si>
  <si>
    <t>PLH-아트인드림-111-PLHJPF4901BLACKOXS</t>
  </si>
  <si>
    <t>PLH의류901</t>
  </si>
  <si>
    <t>PLH</t>
  </si>
  <si>
    <t>PLAJPF</t>
  </si>
  <si>
    <t>PLA HATSON</t>
  </si>
  <si>
    <t>PLHJPF4901</t>
  </si>
  <si>
    <t>PLAJPF1901BKOXS</t>
  </si>
  <si>
    <t>PLHJPF4901BK</t>
  </si>
  <si>
    <t>PLH-아트인드림-111-PLHJPF4901BLACKOMM</t>
  </si>
  <si>
    <t>PLAJPF1901BKOMM</t>
  </si>
  <si>
    <t>PLH-아트인드림-111-PLHJPF4901BLACKOXL</t>
  </si>
  <si>
    <t>PLAJPF1901BKOXL</t>
  </si>
  <si>
    <t>PLH-아트인드림-111-PLHJPF4901BLACKXXS</t>
  </si>
  <si>
    <t>PLAJPF1901BKXXS</t>
  </si>
  <si>
    <t>PLH-아트인드림-11PLHTLF4902WH</t>
  </si>
  <si>
    <t>PLH-아트인드림-112</t>
  </si>
  <si>
    <t>PLH-아트인드림-112-PLHTLF4902WHITEOXS</t>
  </si>
  <si>
    <t>PLH의류902</t>
  </si>
  <si>
    <t>PLATLF</t>
  </si>
  <si>
    <t>PLHTLF4902</t>
  </si>
  <si>
    <t>PLATLF1902WHOXS</t>
  </si>
  <si>
    <t>PLHTLF4902WH</t>
  </si>
  <si>
    <t>PLH-아트인드림-112-PLHTLF4902WHITEOSS</t>
  </si>
  <si>
    <t>PLATLF1902WHOSS</t>
  </si>
  <si>
    <t>PLH-아트인드림-112-PLHTLF4902WHITEOMM</t>
  </si>
  <si>
    <t>PLATLF1902WHOMM</t>
  </si>
  <si>
    <t>PLH-아트인드림-112-PLHTLF4902WHITEOLL</t>
  </si>
  <si>
    <t>PLATLF1902WHOLL</t>
  </si>
  <si>
    <t>PLH-아트인드림-112-PLHTLF4902WHITEOXL</t>
  </si>
  <si>
    <t>PLATLF1902WHOXL</t>
  </si>
  <si>
    <t>PLH-아트인드림-112-PLHTLF4902WHITEXXS</t>
  </si>
  <si>
    <t>PLATLF1902WHXXS</t>
  </si>
  <si>
    <t>PLH-아트인드림-11PLHTLF4903BK</t>
  </si>
  <si>
    <t>PLH-아트인드림-113</t>
  </si>
  <si>
    <t>PLH-아트인드림-113-PLHTLF4903BLACKOXS</t>
  </si>
  <si>
    <t>PLH의류903</t>
  </si>
  <si>
    <t>PLHTLF4903</t>
  </si>
  <si>
    <t>PLATLF1903BKOXS</t>
  </si>
  <si>
    <t>PLHTLF4903BK</t>
  </si>
  <si>
    <t>PLH-아트인드림-113-PLHTLF4903BLACKOSS</t>
  </si>
  <si>
    <t>PLATLF1903BKOSS</t>
  </si>
  <si>
    <t>PLH-아트인드림-113-PLHTLF4903BLACKOMM</t>
  </si>
  <si>
    <t>PLATLF1903BKOMM</t>
  </si>
  <si>
    <t>PLH-아트인드림-113-PLHTLF4903BLACKOLL</t>
  </si>
  <si>
    <t>PLATLF1903BKOLL</t>
  </si>
  <si>
    <t>PLH-아트인드림-113-PLHTLF4903BLACKOXL</t>
  </si>
  <si>
    <t>PLATLF1903BKOXL</t>
  </si>
  <si>
    <t>PLH-아트인드림-113-PLHTLF4903BLACKXXS</t>
  </si>
  <si>
    <t>PLATLF1903BKXXS</t>
  </si>
  <si>
    <t>PLH-아트인드림-11 TTL</t>
  </si>
  <si>
    <t>SMK-FOREMOST-12SMKBEF5510BK</t>
  </si>
  <si>
    <t>SMK-FOREMOST-126-SMKBEF5510BLACKFRE</t>
  </si>
  <si>
    <t>SMKBEF5510BK</t>
  </si>
  <si>
    <t>SMK-FOREMOST-126-SMKBEF5510BLACKXSS</t>
  </si>
  <si>
    <t>겉감1:울50 폴리에스터50
겉감2:울97 폴리에스터3</t>
  </si>
  <si>
    <t>겉감1:폴리에스터100
겉감2:폴리에스터100</t>
  </si>
  <si>
    <t>겉감1: 폴리에스터 100%
겉감2: 폴리에스터100%</t>
  </si>
  <si>
    <t xml:space="preserve">겉감1:울50 폴리에스터50
겉감2:울50 폴리에스터50
겉감3:폴리에스터100
</t>
  </si>
  <si>
    <t>겉감1:폴리에스터100
겉감2:폴리우레탄100
겉감3:폴리에스터100</t>
  </si>
  <si>
    <t>겉감1:울60 폴리에스터40
겉감2:폴리에스터100
겉감3:폴리에스터100</t>
  </si>
  <si>
    <t>DPK의류외509</t>
  </si>
  <si>
    <t>14FW F</t>
  </si>
  <si>
    <t>DPKERF5509</t>
  </si>
  <si>
    <t>14FW FROZEN SNAP_03_PK_KIDS</t>
  </si>
  <si>
    <t>DPKERF5509PK</t>
  </si>
  <si>
    <t>림스스포츠 요약</t>
  </si>
  <si>
    <t>ELH 요약</t>
  </si>
  <si>
    <t>NOH 요약</t>
  </si>
  <si>
    <t>SMH 요약</t>
  </si>
  <si>
    <t>VBH 요약</t>
  </si>
  <si>
    <t>JIH 요약</t>
  </si>
  <si>
    <t>JOH 요약</t>
  </si>
  <si>
    <t>URH 요약</t>
  </si>
  <si>
    <t>ELH-의류 요약</t>
  </si>
  <si>
    <t>PLH-의류 요약</t>
  </si>
  <si>
    <t>ELH-동일모자-231-ELHBAF3649PINKFRE</t>
  </si>
  <si>
    <t>ELH-성진-104-ELHFIF3640GREENFRE</t>
  </si>
  <si>
    <t>ELH-성진-105-ELHFIF3642BLUEFRE</t>
  </si>
  <si>
    <t>ELH-성진-106-ELHFIF3712BLUEFRE</t>
  </si>
  <si>
    <t>ELH-성진-107-ELHFIF3714GREENFRE</t>
  </si>
  <si>
    <t>ELH-성진-108-ELHFIF3720GREYFRE</t>
  </si>
  <si>
    <t>ELH-성진-109-ELHFIF3720PINKFRE</t>
  </si>
  <si>
    <t>ELH-성진-1010-ELHFIF3826KHAKIFRE</t>
  </si>
  <si>
    <t>ELH-성진-1011-ELHFIF3826REDFRE</t>
  </si>
  <si>
    <t>ELH-캡보이-031-ELHFIF3721MINTFRE</t>
  </si>
  <si>
    <t>ELH-캡보이-032-ELHFIF3721ORANGEFRE</t>
  </si>
  <si>
    <t>ELH-캡보이-033-ELHFIF3726BLUEFRE</t>
  </si>
  <si>
    <t>ELH-캡보이-034-ELHFIF3727ORANGEFRE</t>
  </si>
  <si>
    <t>ELH-가방</t>
  </si>
  <si>
    <t>ELH-바이칼-05</t>
  </si>
  <si>
    <t>ELH-바이칼-05ELHCRF3901YE</t>
  </si>
  <si>
    <t>ELH-바이칼-051</t>
  </si>
  <si>
    <t>ELH-바이칼-051-ELHCRF3901YELLOWFRE</t>
  </si>
  <si>
    <t>ELH의류외901</t>
  </si>
  <si>
    <t>ELSCRF</t>
  </si>
  <si>
    <t>CR</t>
  </si>
  <si>
    <t>CARRIER (캐리어)</t>
  </si>
  <si>
    <t>ELHCRF3901</t>
  </si>
  <si>
    <t>ELSCRF0901YEFRE</t>
  </si>
  <si>
    <t>ELHCRF3901YE</t>
  </si>
  <si>
    <t>ELH-바이칼-05ELHCRF3902BK</t>
  </si>
  <si>
    <t>ELH-바이칼-052</t>
  </si>
  <si>
    <t>ELH-바이칼-052-ELHCRF3902BLACKFRE</t>
  </si>
  <si>
    <t>ELH의류외902</t>
  </si>
  <si>
    <t>ELHCRF3902</t>
  </si>
  <si>
    <t>ELSCRF0902BKFRE</t>
  </si>
  <si>
    <t>ELHCRF3902BK</t>
  </si>
  <si>
    <t>ELH-바이칼-05ELHCRF3913PK</t>
  </si>
  <si>
    <t>ELH-바이칼-053</t>
  </si>
  <si>
    <t>ELH-바이칼-053-ELHCRF3913PINKFRE</t>
  </si>
  <si>
    <t>ELH의류외913</t>
  </si>
  <si>
    <t>ELHCRF3913</t>
  </si>
  <si>
    <t>ELSCRF0913PKFRE</t>
  </si>
  <si>
    <t>ELHCRF3913PK</t>
  </si>
  <si>
    <t>ELH-바이칼-05 TTL</t>
  </si>
  <si>
    <t>DPK-QF-12</t>
  </si>
  <si>
    <t>DPK-QF-12DPKSNF3504MT</t>
  </si>
  <si>
    <t>DPK-QF-121</t>
  </si>
  <si>
    <t>DPK-QF-121-DPKSNF3504MINTOSM</t>
  </si>
  <si>
    <t>DPK-QF-121-DPKSNF3504MINTOML</t>
  </si>
  <si>
    <t>DPK-QF-12 TTL</t>
  </si>
  <si>
    <t>DPK-QF-11</t>
  </si>
  <si>
    <t>DPK-QF-11DPKERF5509PK</t>
  </si>
  <si>
    <t>DPK-QF-111</t>
  </si>
  <si>
    <t>DPK-QF-111-DPKERF5509PINKOSM</t>
  </si>
  <si>
    <t>DPK-QF-111-DPKERF5509PINKOML</t>
  </si>
  <si>
    <t>DPK-QF-11 TTL</t>
  </si>
  <si>
    <t>ELH-가방 요약</t>
  </si>
  <si>
    <t>울 20 레이온 20% 나이론 48 앙고라 12%</t>
  </si>
  <si>
    <t>울 30 나이론 35% 아크릴 35%</t>
  </si>
  <si>
    <t>DPH</t>
  </si>
  <si>
    <t>DPH-캡보이-04</t>
  </si>
  <si>
    <t>DPH-캡보이-04DPHSNF3501PK</t>
  </si>
  <si>
    <t>DPH-캡보이-041</t>
  </si>
  <si>
    <t>DPH-캡보이-041-DPHSNF3501PINKOSM</t>
  </si>
  <si>
    <t>DPH의류외501</t>
  </si>
  <si>
    <t>DPSSNF</t>
  </si>
  <si>
    <t>DPS HATSON</t>
  </si>
  <si>
    <t>DPHSNF3501</t>
  </si>
  <si>
    <t>DPSSNF3501PKOSM</t>
  </si>
  <si>
    <t>DPHSNF3501PK</t>
  </si>
  <si>
    <t>DPH-캡보이-041-DPHSNF3501PINKOML</t>
  </si>
  <si>
    <t>DPSSNF3501PKOML</t>
  </si>
  <si>
    <t>DPH-캡보이-04 TTL</t>
  </si>
  <si>
    <t>ELH-바이칼-06</t>
  </si>
  <si>
    <t>ELH-바이칼-06ELHBPF3601BK</t>
  </si>
  <si>
    <t>ELH-바이칼-061</t>
  </si>
  <si>
    <t>ELH-바이칼-061-ELHBPF3601BLACKOMM</t>
  </si>
  <si>
    <t>ELH의류외601</t>
  </si>
  <si>
    <t>ELSBPF</t>
  </si>
  <si>
    <t>ELHBPF3601</t>
  </si>
  <si>
    <t>ELSBPF0601BKOMM</t>
  </si>
  <si>
    <t>ELHBPF3601BK</t>
  </si>
  <si>
    <t>ELH-바이칼-06ELHBPF3915BK</t>
  </si>
  <si>
    <t>ELH-바이칼-062</t>
  </si>
  <si>
    <t>ELH-바이칼-062-ELHBPF3915BLACKOSS</t>
  </si>
  <si>
    <t>ELH의류외915</t>
  </si>
  <si>
    <t>ELHBPF3915</t>
  </si>
  <si>
    <t>ELSBPF0915BKOSS</t>
  </si>
  <si>
    <t>ELHBPF3915BK</t>
  </si>
  <si>
    <t>ELH-바이칼-06ELHBPF3916YE</t>
  </si>
  <si>
    <t>ELH-바이칼-063</t>
  </si>
  <si>
    <t>ELH-바이칼-063-ELHBPF3916YELLOWOSS</t>
  </si>
  <si>
    <t>ELH의류외916</t>
  </si>
  <si>
    <t>ELHBPF3916</t>
  </si>
  <si>
    <t>ELSBPF0916YEOSS</t>
  </si>
  <si>
    <t>ELHBPF3916YE</t>
  </si>
  <si>
    <t>ELH-바이칼-06ELHCRF3903BK</t>
  </si>
  <si>
    <t>ELH-바이칼-064</t>
  </si>
  <si>
    <t>ELH-바이칼-064-ELHCRF3903BLACKFRE</t>
  </si>
  <si>
    <t>ELH의류외903</t>
  </si>
  <si>
    <t>ELHCRF3903</t>
  </si>
  <si>
    <t>ELSCRF0903BKFRE</t>
  </si>
  <si>
    <t>ELHCRF3903BK</t>
  </si>
  <si>
    <t>ELH-바이칼-06ELHCRF3904YE</t>
  </si>
  <si>
    <t>ELH-바이칼-065</t>
  </si>
  <si>
    <t>ELH-바이칼-065-ELHCRF3904YELLOWFRE</t>
  </si>
  <si>
    <t>ELH의류외904</t>
  </si>
  <si>
    <t>ELHCRF3904</t>
  </si>
  <si>
    <t>ELSCRF0904YEFRE</t>
  </si>
  <si>
    <t>ELHCRF3904YE</t>
  </si>
  <si>
    <t>ELH-바이칼-06ELHCRF3905PK</t>
  </si>
  <si>
    <t>ELH-바이칼-066</t>
  </si>
  <si>
    <t>ELH-바이칼-066-ELHCRF3905PINKFRE</t>
  </si>
  <si>
    <t>ELH의류외905</t>
  </si>
  <si>
    <t>ELHCRF3905</t>
  </si>
  <si>
    <t>ELSCRF0905PKFRE</t>
  </si>
  <si>
    <t>ELHCRF3905PK</t>
  </si>
  <si>
    <t>ELH-바이칼-06 TTL</t>
  </si>
  <si>
    <t>ELH-성진-15</t>
  </si>
  <si>
    <t>ELH-성진-15ELHFIF3661BK</t>
  </si>
  <si>
    <t>ELH-성진-151</t>
  </si>
  <si>
    <t>ELH-성진-151-ELHFIF3661BLACKFRE</t>
  </si>
  <si>
    <t>ELH의류외661</t>
  </si>
  <si>
    <t>ELHFIF3661</t>
  </si>
  <si>
    <t>ELSFIE3661BKFRE</t>
  </si>
  <si>
    <t>ELHFIF3661BK</t>
  </si>
  <si>
    <t>ELH-성진-15 TTL</t>
  </si>
  <si>
    <t>SMH-성진-16</t>
  </si>
  <si>
    <t>SMH-성진-16SMHFIF3705BK</t>
  </si>
  <si>
    <t>SMH-성진-161</t>
  </si>
  <si>
    <t>SMH-성진-161-SMHFIF3705BLACKOSM</t>
  </si>
  <si>
    <t>SMH의류외705</t>
  </si>
  <si>
    <t>SMHFIF3705</t>
  </si>
  <si>
    <t>SMBFIF3705BKOSM</t>
  </si>
  <si>
    <t>SMHFIF3705BK</t>
  </si>
  <si>
    <t>SMH-성진-16 TTL</t>
  </si>
  <si>
    <t>DPH 요약</t>
  </si>
  <si>
    <t>\</t>
  </si>
  <si>
    <t>ELH-대경-07</t>
  </si>
  <si>
    <t>ELH-대경-07ELHHPF5804BK</t>
  </si>
  <si>
    <t>ELH-대경-071</t>
  </si>
  <si>
    <t>ELH-대경-071-ELHHPF5804BLACKOXS</t>
  </si>
  <si>
    <t>ELH의류804</t>
  </si>
  <si>
    <t>ELHHPF5804</t>
  </si>
  <si>
    <t>ELSHPE5804BKOXS</t>
  </si>
  <si>
    <t>ELHHPF5804BK</t>
  </si>
  <si>
    <t>ELH-대경-071-ELHHPF5804BLACKOMM</t>
  </si>
  <si>
    <t>ELSHPE5804BKOMM</t>
  </si>
  <si>
    <t>ELH-대경-071-ELHHPF5804BLACKOXL</t>
  </si>
  <si>
    <t>ELSHPE5804BKOXL</t>
  </si>
  <si>
    <t>ELH-대경-07ELHHPF5823BK</t>
  </si>
  <si>
    <t>ELH-대경-072</t>
  </si>
  <si>
    <t>ELH-대경-072-ELHHPF5823BLACKOXS</t>
  </si>
  <si>
    <t>ELH의류823</t>
  </si>
  <si>
    <t>ELHHPF5823</t>
  </si>
  <si>
    <t>ELSHPE5823BKOXS</t>
  </si>
  <si>
    <t>ELHHPF5823BK</t>
  </si>
  <si>
    <t>ELH-대경-072-ELHHPF5823BLACKOSS</t>
  </si>
  <si>
    <t>ELSHPE5823BKOSS</t>
  </si>
  <si>
    <t>ELH-대경-072-ELHHPF5823BLACKOMM</t>
  </si>
  <si>
    <t>ELSHPE5823BKOMM</t>
  </si>
  <si>
    <t>ELH-대경-072-ELHHPF5823BLACKOXL</t>
  </si>
  <si>
    <t>ELSHPE5823BKOXL</t>
  </si>
  <si>
    <t>ELH-대경-07ELHJPF5801BU</t>
  </si>
  <si>
    <t>ELH-대경-073</t>
  </si>
  <si>
    <t>ELH-대경-073-ELHJPF5801BURGUNDYOXS</t>
  </si>
  <si>
    <t>ELH의류801</t>
  </si>
  <si>
    <t>ELHJPF5801</t>
  </si>
  <si>
    <t>ELSJPE5801BUOXS</t>
  </si>
  <si>
    <t>ELHJPF5801BU</t>
  </si>
  <si>
    <t>ELH-대경-073-ELHJPF5801BURGUNDYOMM</t>
  </si>
  <si>
    <t>ELSJPE5801BUOMM</t>
  </si>
  <si>
    <t>ELH-대경-073-ELHJPF5801BURGUNDYOXL</t>
  </si>
  <si>
    <t>ELSJPE5801BUOXL</t>
  </si>
  <si>
    <t>ELH-대경-07ELHJPF5826GR</t>
  </si>
  <si>
    <t>ELH-대경-074</t>
  </si>
  <si>
    <t>ELH-대경-074-ELHJPF5826GREENOXS</t>
  </si>
  <si>
    <t>ELH의류826</t>
  </si>
  <si>
    <t>ELHJPF5826</t>
  </si>
  <si>
    <t>ELSJPE5826GROXS</t>
  </si>
  <si>
    <t>ELHJPF5826GR</t>
  </si>
  <si>
    <t>ELH-대경-074-ELHJPF5826GREENOMM</t>
  </si>
  <si>
    <t>ELSJPE5826GROMM</t>
  </si>
  <si>
    <t>ELH-대경-074-ELHJPF5826GREENOXL</t>
  </si>
  <si>
    <t>ELSJPE5826GROXL</t>
  </si>
  <si>
    <t>ELH-대경-07ELHJSF5827BW</t>
  </si>
  <si>
    <t>ELH-대경-075</t>
  </si>
  <si>
    <t>ELH-대경-075-ELHJSF5827BROWNOXS</t>
  </si>
  <si>
    <t>ELH의류827</t>
  </si>
  <si>
    <t>ELHJSF5827</t>
  </si>
  <si>
    <t>ELSJSE5827BWOXS</t>
  </si>
  <si>
    <t>ELHJSF5827BW</t>
  </si>
  <si>
    <t>ELH-대경-075-ELHJSF5827BROWNOMM</t>
  </si>
  <si>
    <t>ELSJSE5827BWOMM</t>
  </si>
  <si>
    <t>ELH-대경-075-ELHJSF5827BROWNOXL</t>
  </si>
  <si>
    <t>ELSJSE5827BWOXL</t>
  </si>
  <si>
    <t>ELH-대경-07ELHTHF5806LI</t>
  </si>
  <si>
    <t>ELH-대경-076</t>
  </si>
  <si>
    <t>ELH-대경-076-ELHTHF5806LIMEOXS</t>
  </si>
  <si>
    <t>ELH의류806</t>
  </si>
  <si>
    <t>ELHTHF5806</t>
  </si>
  <si>
    <t>ELSTHE5806LIOXS</t>
  </si>
  <si>
    <t>ELHTHF5806LI</t>
  </si>
  <si>
    <t>ELH-대경-076-ELHTHF5806LIMEOSS</t>
  </si>
  <si>
    <t>ELSTHE5806LIOSS</t>
  </si>
  <si>
    <t>ELH-대경-076-ELHTHF5806LIMEOMM</t>
  </si>
  <si>
    <t>ELSTHE5806LIOMM</t>
  </si>
  <si>
    <t>ELH-대경-076-ELHTHF5806LIMEOXL</t>
  </si>
  <si>
    <t>ELSTHE5806LIOXL</t>
  </si>
  <si>
    <t>ELH-대경-07ELHTHF5806MT</t>
  </si>
  <si>
    <t>ELH-대경-077</t>
  </si>
  <si>
    <t>ELH-대경-077-ELHTHF5806MINTOXS</t>
  </si>
  <si>
    <t>ELSTHE5806MTOXS</t>
  </si>
  <si>
    <t>ELHTHF5806MT</t>
  </si>
  <si>
    <t>ELH-대경-077-ELHTHF5806MINTOSS</t>
  </si>
  <si>
    <t>ELSTHE5806MTOSS</t>
  </si>
  <si>
    <t>ELH-대경-077-ELHTHF5806MINTOMM</t>
  </si>
  <si>
    <t>ELSTHE5806MTOMM</t>
  </si>
  <si>
    <t>ELH-대경-077-ELHTHF5806MINTOXL</t>
  </si>
  <si>
    <t>ELSTHE5806MTOXL</t>
  </si>
  <si>
    <t>ELH-대경-07ELHTHF5815BW</t>
  </si>
  <si>
    <t>ELH-대경-078</t>
  </si>
  <si>
    <t>ELH-대경-078-ELHTHF5815BROWNOXS</t>
  </si>
  <si>
    <t>ELH의류815</t>
  </si>
  <si>
    <t>ELHTHF5815</t>
  </si>
  <si>
    <t>ELSTHE5815BWOXS</t>
  </si>
  <si>
    <t>ELHTHF5815BW</t>
  </si>
  <si>
    <t>ELH-대경-078-ELHTHF5815BROWNOSS</t>
  </si>
  <si>
    <t>ELSTHE5815BWOSS</t>
  </si>
  <si>
    <t>ELH-대경-078-ELHTHF5815BROWNOMM</t>
  </si>
  <si>
    <t>ELSTHE5815BWOMM</t>
  </si>
  <si>
    <t>ELH-대경-078-ELHTHF5815BROWNOXL</t>
  </si>
  <si>
    <t>ELSTHE5815BWOXL</t>
  </si>
  <si>
    <t>ELH-대경-07 TTL</t>
  </si>
  <si>
    <t>PLH-대경-08</t>
  </si>
  <si>
    <t>PLH-대경-08PLHJPF5806BK</t>
  </si>
  <si>
    <t>PLH-대경-081</t>
  </si>
  <si>
    <t>PLH-대경-081-PLHJPF5806BLACKOXS</t>
  </si>
  <si>
    <t>PLH의류806</t>
  </si>
  <si>
    <t>PLAJPE</t>
  </si>
  <si>
    <t>PLHJPF5806</t>
  </si>
  <si>
    <t>PLAJPE5806BKOXS</t>
  </si>
  <si>
    <t>PLHJPF5806BK</t>
  </si>
  <si>
    <t>PLH-대경-081-PLHJPF5806BLACKOMM</t>
  </si>
  <si>
    <t>PLAJPE5806BKOMM</t>
  </si>
  <si>
    <t>PLH-대경-081-PLHJPF5806BLACKOXL</t>
  </si>
  <si>
    <t>PLAJPE5806BKOXL</t>
  </si>
  <si>
    <t>PLH-대경-08PLHTLF5801BK</t>
  </si>
  <si>
    <t>PLH-대경-082</t>
  </si>
  <si>
    <t>PLH-대경-082-PLHTLF5801BLACKOXS</t>
  </si>
  <si>
    <t>PLH의류801</t>
  </si>
  <si>
    <t>PLATLE</t>
  </si>
  <si>
    <t>PLHTLF5801</t>
  </si>
  <si>
    <t>PLATLE5801BKOXS</t>
  </si>
  <si>
    <t>PLHTLF5801BK</t>
  </si>
  <si>
    <t>PLH-대경-082-PLHTLF5801BLACKOSS</t>
  </si>
  <si>
    <t>PLATLE5801BKOSS</t>
  </si>
  <si>
    <t>PLH-대경-082-PLHTLF5801BLACKOMM</t>
  </si>
  <si>
    <t>PLATLE5801BKOMM</t>
  </si>
  <si>
    <t>PLH-대경-082-PLHTLF5801BLACKOXL</t>
  </si>
  <si>
    <t>PLATLE5801BKOXL</t>
  </si>
  <si>
    <t>PLH-대경-08PLHTLF5802BK</t>
  </si>
  <si>
    <t>PLH-대경-083</t>
  </si>
  <si>
    <t>PLH-대경-083-PLHTLF5802BLACKOXS</t>
  </si>
  <si>
    <t>PLH의류802</t>
  </si>
  <si>
    <t>PLHTLF5802</t>
  </si>
  <si>
    <t>PLATLE5802BKOXS</t>
  </si>
  <si>
    <t>PLHTLF5802BK</t>
  </si>
  <si>
    <t>PLH-대경-083-PLHTLF5802BLACKOSS</t>
  </si>
  <si>
    <t>PLATLE5802BKOSS</t>
  </si>
  <si>
    <t>PLH-대경-083-PLHTLF5802BLACKOMM</t>
  </si>
  <si>
    <t>PLATLE5802BKOMM</t>
  </si>
  <si>
    <t>PLH-대경-083-PLHTLF5802BLACKOXL</t>
  </si>
  <si>
    <t>PLATLE5802BKOXL</t>
  </si>
  <si>
    <t>PLH-대경-08 TTL</t>
  </si>
  <si>
    <t>ELH-써니-01</t>
  </si>
  <si>
    <t>ELH-써니-01ELHHPF5821BW</t>
  </si>
  <si>
    <t>ELH-써니-011</t>
  </si>
  <si>
    <t>ELH-써니-011-ELHHPF5821BROWNOXS</t>
  </si>
  <si>
    <t>ELH의류821</t>
  </si>
  <si>
    <t>ELHHPF5821</t>
  </si>
  <si>
    <t>ELSHPE5821BWOXS</t>
  </si>
  <si>
    <t>ELHHPF5821BW</t>
  </si>
  <si>
    <t>써니</t>
  </si>
  <si>
    <t>ELH-써니-011-ELHHPF5821BROWNOSS</t>
  </si>
  <si>
    <t>ELSHPE5821BWOSS</t>
  </si>
  <si>
    <t>ELH-써니-011-ELHHPF5821BROWNOMM</t>
  </si>
  <si>
    <t>ELSHPE5821BWOMM</t>
  </si>
  <si>
    <t>ELH-써니-011-ELHHPF5821BROWNOXL</t>
  </si>
  <si>
    <t>ELSHPE5821BWOXL</t>
  </si>
  <si>
    <t>ELH-써니-01ELHHPF5822RE</t>
  </si>
  <si>
    <t>ELH-써니-012</t>
  </si>
  <si>
    <t>ELH-써니-012-ELHHPF5822REDOXS</t>
  </si>
  <si>
    <t>ELH의류822</t>
  </si>
  <si>
    <t>ELHHPF5822</t>
  </si>
  <si>
    <t>ELSHPE5822REOXS</t>
  </si>
  <si>
    <t>ELHHPF5822RE</t>
  </si>
  <si>
    <t>ELH-써니-012-ELHHPF5822REDOSS</t>
  </si>
  <si>
    <t>ELSHPE5822REOSS</t>
  </si>
  <si>
    <t>ELH-써니-012-ELHHPF5822REDOMM</t>
  </si>
  <si>
    <t>ELSHPE5822REOMM</t>
  </si>
  <si>
    <t>ELH-써니-012-ELHHPF5822REDOXL</t>
  </si>
  <si>
    <t>ELSHPE5822REOXL</t>
  </si>
  <si>
    <t>ELH-써니-01ELHTLF5810BL</t>
  </si>
  <si>
    <t>ELH-써니-013</t>
  </si>
  <si>
    <t>ELH-써니-013-ELHTLF5810BLUEOXS</t>
  </si>
  <si>
    <t>ELH의류810</t>
  </si>
  <si>
    <t>ELHTLF5810</t>
  </si>
  <si>
    <t>ELSTLE5810BLOXS</t>
  </si>
  <si>
    <t>ELHTLF5810BL</t>
  </si>
  <si>
    <t>ELH-써니-013-ELHTLF5810BLUEOSS</t>
  </si>
  <si>
    <t>ELSTLE5810BLOSS</t>
  </si>
  <si>
    <t>ELH-써니-013-ELHTLF5810BLUEOMM</t>
  </si>
  <si>
    <t>ELSTLE5810BLOMM</t>
  </si>
  <si>
    <t>ELH-써니-013-ELHTLF5810BLUEOXL</t>
  </si>
  <si>
    <t>ELSTLE5810BLOXL</t>
  </si>
  <si>
    <t>ELH-써니-01ELHTLF5810RE</t>
  </si>
  <si>
    <t>ELH-써니-014</t>
  </si>
  <si>
    <t>ELH-써니-014-ELHTLF5810REDOXS</t>
  </si>
  <si>
    <t>ELSTLE5810REOXS</t>
  </si>
  <si>
    <t>ELHTLF5810RE</t>
  </si>
  <si>
    <t>ELH-써니-014-ELHTLF5810REDOSS</t>
  </si>
  <si>
    <t>ELSTLE5810REOSS</t>
  </si>
  <si>
    <t>ELH-써니-014-ELHTLF5810REDOMM</t>
  </si>
  <si>
    <t>ELSTLE5810REOMM</t>
  </si>
  <si>
    <t>ELH-써니-014-ELHTLF5810REDOXL</t>
  </si>
  <si>
    <t>ELSTLE5810REOXL</t>
  </si>
  <si>
    <t>ELH-써니-01 TTL</t>
  </si>
  <si>
    <t>ELH-아트인드림-12</t>
  </si>
  <si>
    <t>ELH-아트인드림-12ELHPTF5830BK</t>
  </si>
  <si>
    <t>ELH-아트인드림-121</t>
  </si>
  <si>
    <t>ELH-아트인드림-121-ELHPTF5830BLACKOXS</t>
  </si>
  <si>
    <t>ELH의류830</t>
  </si>
  <si>
    <t>ELHPTF5830</t>
  </si>
  <si>
    <t>ELSPTE5830BKOXS</t>
  </si>
  <si>
    <t>ELHPTF5830BK</t>
  </si>
  <si>
    <t>ELH-아트인드림-121-ELHPTF5830BLACKOMM</t>
  </si>
  <si>
    <t>ELSPTE5830BKOMM</t>
  </si>
  <si>
    <t>ELH-아트인드림-121-ELHPTF5830BLACKOXL</t>
  </si>
  <si>
    <t>ELSPTE5830BKOXL</t>
  </si>
  <si>
    <t>ELH-아트인드림-12ELHPTF5831BW</t>
  </si>
  <si>
    <t>ELH-아트인드림-122</t>
  </si>
  <si>
    <t>ELH-아트인드림-122-ELHPTF5831BROWNOXS</t>
  </si>
  <si>
    <t>ELH의류831</t>
  </si>
  <si>
    <t>ELHPTF5831</t>
  </si>
  <si>
    <t>ELSPTE5831BWOXS</t>
  </si>
  <si>
    <t>ELHPTF5831BW</t>
  </si>
  <si>
    <t>ELH-아트인드림-122-ELHPTF5831BROWNOMM</t>
  </si>
  <si>
    <t>ELSPTE5831BWOMM</t>
  </si>
  <si>
    <t>ELH-아트인드림-122-ELHPTF5831BROWNOXL</t>
  </si>
  <si>
    <t>ELSPTE5831BWOXL</t>
  </si>
  <si>
    <t>ELH-아트인드림-12ELHTHF5813NY</t>
  </si>
  <si>
    <t>ELH-아트인드림-123</t>
  </si>
  <si>
    <t>ELH-아트인드림-123-ELHTHF5813NAVYOXS</t>
  </si>
  <si>
    <t>ELH의류813</t>
  </si>
  <si>
    <t>ELHTHF5813</t>
  </si>
  <si>
    <t>ELSTHE5813NYOXS</t>
  </si>
  <si>
    <t>ELHTHF5813NY</t>
  </si>
  <si>
    <t>ELH-아트인드림-123-ELHTHF5813NAVYOSS</t>
  </si>
  <si>
    <t>ELSTHE5813NYOSS</t>
  </si>
  <si>
    <t>ELH-아트인드림-123-ELHTHF5813NAVYOMM</t>
  </si>
  <si>
    <t>ELSTHE5813NYOMM</t>
  </si>
  <si>
    <t>ELH-아트인드림-123-ELHTHF5813NAVYOXL</t>
  </si>
  <si>
    <t>ELSTHE5813NYOXL</t>
  </si>
  <si>
    <t>ELH-아트인드림-12 TTL</t>
  </si>
  <si>
    <t>PLH-아트인드림-13</t>
  </si>
  <si>
    <t>PLH-아트인드림-13PLHJPF5807BL</t>
  </si>
  <si>
    <t>PLH-아트인드림-131</t>
  </si>
  <si>
    <t>PLH-아트인드림-131-PLHJPF5807BLUEOXS</t>
  </si>
  <si>
    <t>PLH의류807</t>
  </si>
  <si>
    <t>PLHJPF5807</t>
  </si>
  <si>
    <t>PLAJPE5807BLOXS</t>
  </si>
  <si>
    <t>PLHJPF5807BL</t>
  </si>
  <si>
    <t>PLH-아트인드림-131-PLHJPF5807BLUEOMM</t>
  </si>
  <si>
    <t>PLAJPE5807BLOMM</t>
  </si>
  <si>
    <t>PLH-아트인드림-131-PLHJPF5807BLUEOXL</t>
  </si>
  <si>
    <t>PLAJPE5807BLOXL</t>
  </si>
  <si>
    <t>PLH-아트인드림-13PLHTLF5803BK</t>
  </si>
  <si>
    <t>PLH-아트인드림-132</t>
  </si>
  <si>
    <t>PLH-아트인드림-132-PLHTLF5803BLACKOXS</t>
  </si>
  <si>
    <t>PLH의류803</t>
  </si>
  <si>
    <t>PLHTLF5803</t>
  </si>
  <si>
    <t>PLATLE5803BKOXS</t>
  </si>
  <si>
    <t>PLHTLF5803BK</t>
  </si>
  <si>
    <t>PLH-아트인드림-132-PLHTLF5803BLACKOSS</t>
  </si>
  <si>
    <t>PLATLE5803BKOSS</t>
  </si>
  <si>
    <t>PLH-아트인드림-132-PLHTLF5803BLACKOMM</t>
  </si>
  <si>
    <t>PLATLE5803BKOMM</t>
  </si>
  <si>
    <t>PLH-아트인드림-132-PLHTLF5803BLACKOXL</t>
  </si>
  <si>
    <t>PLATLE5803BKOXL</t>
  </si>
  <si>
    <t>PLH-아트인드림-13PLHTLF5804RE</t>
  </si>
  <si>
    <t>PLH-아트인드림-133</t>
  </si>
  <si>
    <t>PLH-아트인드림-133-PLHTLF5804REDOXS</t>
  </si>
  <si>
    <t>PLH의류804</t>
  </si>
  <si>
    <t>PLHTLF5804</t>
  </si>
  <si>
    <t>PLATLE5804REOXS</t>
  </si>
  <si>
    <t>PLHTLF5804RE</t>
  </si>
  <si>
    <t>PLH-아트인드림-133-PLHTLF5804REDOSS</t>
  </si>
  <si>
    <t>PLATLE5804REOSS</t>
  </si>
  <si>
    <t>PLH-아트인드림-133-PLHTLF5804REDOMM</t>
  </si>
  <si>
    <t>PLATLE5804REOMM</t>
  </si>
  <si>
    <t>PLH-아트인드림-133-PLHTLF5804REDOXL</t>
  </si>
  <si>
    <t>PLATLE5804REOXL</t>
  </si>
  <si>
    <t>PLH-아트인드림-13 TTL</t>
  </si>
  <si>
    <t>ELH-EVERGREEN-07</t>
  </si>
  <si>
    <t>ELH-EVERGREEN-07ELHTHF5814BK</t>
  </si>
  <si>
    <t>ELH-EVERGREEN-071</t>
  </si>
  <si>
    <t>ELH-EVERGREEN-071-ELHTHF5814BLACKOXS</t>
  </si>
  <si>
    <t>ELH의류814</t>
  </si>
  <si>
    <t>ELHTHF5814</t>
  </si>
  <si>
    <t>ELSTHE5814BKOXS</t>
  </si>
  <si>
    <t>ELHTHF5814BK</t>
  </si>
  <si>
    <t>ELH-EVERGREEN-071-ELHTHF5814BLACKOSS</t>
  </si>
  <si>
    <t>ELSTHE5814BKOSS</t>
  </si>
  <si>
    <t>ELH-EVERGREEN-071-ELHTHF5814BLACKOMM</t>
  </si>
  <si>
    <t>ELSTHE5814BKOMM</t>
  </si>
  <si>
    <t>ELH-EVERGREEN-071-ELHTHF5814BLACKOXL</t>
  </si>
  <si>
    <t>ELSTHE5814BKOXL</t>
  </si>
  <si>
    <t>ELH-EVERGREEN-07ELHTHF5818NY</t>
  </si>
  <si>
    <t>ELH-EVERGREEN-072</t>
  </si>
  <si>
    <t>ELH-EVERGREEN-072-ELHTHF5818NAVYOXS</t>
  </si>
  <si>
    <t>ELH의류818</t>
  </si>
  <si>
    <t>ELHTHF5818</t>
  </si>
  <si>
    <t>ELSTHE5818NYOXS</t>
  </si>
  <si>
    <t>ELHTHF5818NY</t>
  </si>
  <si>
    <t>ELH-EVERGREEN-072-ELHTHF5818NAVYOSS</t>
  </si>
  <si>
    <t>ELSTHE5818NYOSS</t>
  </si>
  <si>
    <t>ELH-EVERGREEN-072-ELHTHF5818NAVYOMM</t>
  </si>
  <si>
    <t>ELSTHE5818NYOMM</t>
  </si>
  <si>
    <t>ELH-EVERGREEN-072-ELHTHF5818NAVYOXL</t>
  </si>
  <si>
    <t>ELSTHE5818NYOXL</t>
  </si>
  <si>
    <t>ELH-EVERGREEN-07ELHTLF5807RE</t>
  </si>
  <si>
    <t>ELH-EVERGREEN-073</t>
  </si>
  <si>
    <t>ELH-EVERGREEN-073-ELHTLF5807REDOXS</t>
  </si>
  <si>
    <t>ELH의류807</t>
  </si>
  <si>
    <t>ELHTLF5807</t>
  </si>
  <si>
    <t>ELSTLE5807REOXS</t>
  </si>
  <si>
    <t>ELHTLF5807RE</t>
  </si>
  <si>
    <t>ELH-EVERGREEN-073-ELHTLF5807REDOSS</t>
  </si>
  <si>
    <t>ELSTLE5807REOSS</t>
  </si>
  <si>
    <t>ELH-EVERGREEN-073-ELHTLF5807REDOMM</t>
  </si>
  <si>
    <t>ELSTLE5807REOMM</t>
  </si>
  <si>
    <t>ELH-EVERGREEN-073-ELHTLF5807REDOXL</t>
  </si>
  <si>
    <t>ELSTLE5807REOXL</t>
  </si>
  <si>
    <t>ELH-EVERGREEN-07ELHTLF5808BK</t>
  </si>
  <si>
    <t>ELH-EVERGREEN-074</t>
  </si>
  <si>
    <t>ELH-EVERGREEN-074-ELHTLF5808BLACKOXS</t>
  </si>
  <si>
    <t>ELH의류808</t>
  </si>
  <si>
    <t>ELHTLF5808</t>
  </si>
  <si>
    <t>ELSTLE5808BKOXS</t>
  </si>
  <si>
    <t>ELHTLF5808BK</t>
  </si>
  <si>
    <t>ELH-EVERGREEN-074-ELHTLF5808BLACKOSS</t>
  </si>
  <si>
    <t>ELSTLE5808BKOSS</t>
  </si>
  <si>
    <t>ELH-EVERGREEN-074-ELHTLF5808BLACKOMM</t>
  </si>
  <si>
    <t>ELSTLE5808BKOMM</t>
  </si>
  <si>
    <t>ELH-EVERGREEN-074-ELHTLF5808BLACKOXL</t>
  </si>
  <si>
    <t>ELSTLE5808BKOXL</t>
  </si>
  <si>
    <t>ELH-EVERGREEN-07ELHTLF5809YE</t>
  </si>
  <si>
    <t>ELH-EVERGREEN-075</t>
  </si>
  <si>
    <t>ELH-EVERGREEN-075-ELHTLF5809YELLOWOXS</t>
  </si>
  <si>
    <t>ELH의류809</t>
  </si>
  <si>
    <t>ELHTLF5809</t>
  </si>
  <si>
    <t>ELSTLE5809YEOXS</t>
  </si>
  <si>
    <t>ELHTLF5809YE</t>
  </si>
  <si>
    <t>ELH-EVERGREEN-075-ELHTLF5809YELLOWOSS</t>
  </si>
  <si>
    <t>ELSTLE5809YEOSS</t>
  </si>
  <si>
    <t>ELH-EVERGREEN-075-ELHTLF5809YELLOWOMM</t>
  </si>
  <si>
    <t>ELSTLE5809YEOMM</t>
  </si>
  <si>
    <t>ELH-EVERGREEN-075-ELHTLF5809YELLOWOXL</t>
  </si>
  <si>
    <t>ELSTLE5809YEOXL</t>
  </si>
  <si>
    <t>ELH-EVERGREEN-07 TTL</t>
  </si>
  <si>
    <t>써니 요약</t>
  </si>
  <si>
    <t>JOK-PRANCE-01</t>
  </si>
  <si>
    <t>JOK-PRANCE-01JOKBEF5524YE</t>
  </si>
  <si>
    <t>JOK-PRANCE-011</t>
  </si>
  <si>
    <t>JOK-PRANCE-011-JOKBEF5524YELLOWFRE</t>
  </si>
  <si>
    <t>PRANCE</t>
  </si>
  <si>
    <t>JOK-PRANCE-01JOKBEF5525MT</t>
  </si>
  <si>
    <t>JOK-PRANCE-012</t>
  </si>
  <si>
    <t>JOK-PRANCE-012-JOKBEF5525MINTFRE</t>
  </si>
  <si>
    <t>JOK-PRANCE-01 TTL</t>
  </si>
  <si>
    <t>PRANCE 요약</t>
  </si>
  <si>
    <t>ELH-FOREMOST-27</t>
  </si>
  <si>
    <t>ELH-FOREMOST-27ELHBEF5802GR</t>
  </si>
  <si>
    <t>ELH-FOREMOST-271</t>
  </si>
  <si>
    <t>ELH-FOREMOST-271-ELHBEF5802GREENFRE</t>
  </si>
  <si>
    <t>ELH의류외802</t>
  </si>
  <si>
    <t>ELSBEE</t>
  </si>
  <si>
    <t>ELHBEF5802</t>
  </si>
  <si>
    <t>ELSBEE5802GRFRE</t>
  </si>
  <si>
    <t>ELHBEF5802GR</t>
  </si>
  <si>
    <t>ELH-FOREMOST-27ELHBEF5803BL</t>
  </si>
  <si>
    <t>ELH-FOREMOST-272</t>
  </si>
  <si>
    <t>ELH-FOREMOST-272-ELHBEF5803BLUEFRE</t>
  </si>
  <si>
    <t>ELH의류외803</t>
  </si>
  <si>
    <t>ELHBEF5803</t>
  </si>
  <si>
    <t>ELSBEE5803BLFRE</t>
  </si>
  <si>
    <t>ELHBEF5803BL</t>
  </si>
  <si>
    <t>ELH-FOREMOST-27ELHBEF5804BK</t>
  </si>
  <si>
    <t>ELH-FOREMOST-273</t>
  </si>
  <si>
    <t>ELH-FOREMOST-273-ELHBEF5804BLACKFRE</t>
  </si>
  <si>
    <t>ELH의류외804</t>
  </si>
  <si>
    <t>ELHBEF5804</t>
  </si>
  <si>
    <t>ELSBEE5804BKFRE</t>
  </si>
  <si>
    <t>ELHBEF5804BK</t>
  </si>
  <si>
    <t>ELH-FOREMOST-27ELHBEF5804GR</t>
  </si>
  <si>
    <t>ELH-FOREMOST-274</t>
  </si>
  <si>
    <t>ELH-FOREMOST-274-ELHBEF5804GREENFRE</t>
  </si>
  <si>
    <t>ELSBEE5804GRFRE</t>
  </si>
  <si>
    <t>ELHBEF5804GR</t>
  </si>
  <si>
    <t>ELH-FOREMOST-27ELHBEF5804PK</t>
  </si>
  <si>
    <t>ELH-FOREMOST-275</t>
  </si>
  <si>
    <t>ELH-FOREMOST-275-ELHBEF5804PINKFRE</t>
  </si>
  <si>
    <t>ELSBEE5804PKFRE</t>
  </si>
  <si>
    <t>ELHBEF5804PK</t>
  </si>
  <si>
    <t>ELH-FOREMOST-27ELHBEF5838MT</t>
  </si>
  <si>
    <t>ELH-FOREMOST-276</t>
  </si>
  <si>
    <t>ELH-FOREMOST-276-ELHBEF5838MINTFRE</t>
  </si>
  <si>
    <t>ELH의류외838</t>
  </si>
  <si>
    <t>ELHBEF5838</t>
  </si>
  <si>
    <t>ELSBEE5838MTFRE</t>
  </si>
  <si>
    <t>ELHBEF5838MT</t>
  </si>
  <si>
    <t>ELH-FOREMOST-277</t>
  </si>
  <si>
    <t>ELH의류외839</t>
  </si>
  <si>
    <t>ELHBEF5839</t>
  </si>
  <si>
    <t>ELSBEE5839BLFRE</t>
  </si>
  <si>
    <t>ELH-FOREMOST-27ELHEBF5828GY</t>
  </si>
  <si>
    <t>ELH-FOREMOST-278</t>
  </si>
  <si>
    <t>ELH-FOREMOST-278-ELHEBF5828GREYFRE</t>
  </si>
  <si>
    <t>ELH의류외828</t>
  </si>
  <si>
    <t>ELSEBE</t>
  </si>
  <si>
    <t>ELHEBF5828</t>
  </si>
  <si>
    <t>ELSEBE5828GYFRE</t>
  </si>
  <si>
    <t>ELHEBF5828GY</t>
  </si>
  <si>
    <t>ELH-FOREMOST-27ELHEBF5828MT</t>
  </si>
  <si>
    <t>ELH-FOREMOST-279</t>
  </si>
  <si>
    <t>ELH-FOREMOST-279-ELHEBF5828MINTFRE</t>
  </si>
  <si>
    <t>ELSEBE5828MTFRE</t>
  </si>
  <si>
    <t>ELHEBF5828MT</t>
  </si>
  <si>
    <t>ELH-FOREMOST-27ELHEBF5829BL</t>
  </si>
  <si>
    <t>ELH-FOREMOST-2710</t>
  </si>
  <si>
    <t>ELH-FOREMOST-2710-ELHEBF5829BLUEFRE</t>
  </si>
  <si>
    <t>ELH의류외829</t>
  </si>
  <si>
    <t>ELHEBF5829</t>
  </si>
  <si>
    <t>ELSEBE5829BLFRE</t>
  </si>
  <si>
    <t>ELHEBF5829BL</t>
  </si>
  <si>
    <t>ELH-FOREMOST-27ELHEBF5829MT</t>
  </si>
  <si>
    <t>ELH-FOREMOST-2711</t>
  </si>
  <si>
    <t>ELH-FOREMOST-2711-ELHEBF5829MINTFRE</t>
  </si>
  <si>
    <t>ELSEBE5829MTFRE</t>
  </si>
  <si>
    <t>ELHEBF5829MT</t>
  </si>
  <si>
    <t>ELH-FOREMOST-27ELHEBF5829NY</t>
  </si>
  <si>
    <t>ELH-FOREMOST-2712</t>
  </si>
  <si>
    <t>ELH-FOREMOST-2712-ELHEBF5829NAVYFRE</t>
  </si>
  <si>
    <t>ELSEBE5829NYFRE</t>
  </si>
  <si>
    <t>ELHEBF5829NY</t>
  </si>
  <si>
    <t>ELH-FOREMOST-27ELHEBF5830BL</t>
  </si>
  <si>
    <t>ELH-FOREMOST-2713</t>
  </si>
  <si>
    <t>ELH-FOREMOST-2713-ELHEBF5830BLUEFRE</t>
  </si>
  <si>
    <t>ELH의류외830</t>
  </si>
  <si>
    <t>ELHEBF5830</t>
  </si>
  <si>
    <t>ELSEBE5830BLFRE</t>
  </si>
  <si>
    <t>ELHEBF5830BL</t>
  </si>
  <si>
    <t>ELH-FOREMOST-27ELHEBF5840PK</t>
  </si>
  <si>
    <t>ELH-FOREMOST-2714</t>
  </si>
  <si>
    <t>ELH-FOREMOST-2714-ELHEBF5840PINKFRE</t>
  </si>
  <si>
    <t>ELH의류외840</t>
  </si>
  <si>
    <t>ELHEBF5840</t>
  </si>
  <si>
    <t>ELSEBE5840PKFRE</t>
  </si>
  <si>
    <t>ELHEBF5840PK</t>
  </si>
  <si>
    <t>ELH-FOREMOST-27ELHTPF5608BU</t>
  </si>
  <si>
    <t>ELH-FOREMOST-2715</t>
  </si>
  <si>
    <t>ELH-FOREMOST-2715-ELHTPF5608BURGUNDYFRE</t>
  </si>
  <si>
    <t>ELH의류외608</t>
  </si>
  <si>
    <t>ELSTPE</t>
  </si>
  <si>
    <t>ELHTPF5608</t>
  </si>
  <si>
    <t>ELSTPE5608BUFRE</t>
  </si>
  <si>
    <t>ELHTPF5608BU</t>
  </si>
  <si>
    <t>ELH-FOREMOST-27ELHTPF5648NY</t>
  </si>
  <si>
    <t>ELH-FOREMOST-2716</t>
  </si>
  <si>
    <t>ELH-FOREMOST-2716-ELHTPF5648NAVYFRE</t>
  </si>
  <si>
    <t>ELH의류외648</t>
  </si>
  <si>
    <t>ELHTPF5648</t>
  </si>
  <si>
    <t>ELSTPE5648NYFRE</t>
  </si>
  <si>
    <t>ELHTPF5648NY</t>
  </si>
  <si>
    <t>ELH-FOREMOST-27ELHTPF5648PK</t>
  </si>
  <si>
    <t>ELH-FOREMOST-2717</t>
  </si>
  <si>
    <t>ELH-FOREMOST-2717-ELHTPF5648PINKFRE</t>
  </si>
  <si>
    <t>ELSTPE5648PKFRE</t>
  </si>
  <si>
    <t>ELHTPF5648PK</t>
  </si>
  <si>
    <t>ELH-FOREMOST-27ELHTPF5824NY</t>
  </si>
  <si>
    <t>ELH-FOREMOST-2718</t>
  </si>
  <si>
    <t>ELH-FOREMOST-2718-ELHTPF5824NAVYFRE</t>
  </si>
  <si>
    <t>ELH의류외824</t>
  </si>
  <si>
    <t>ELHTPF5824</t>
  </si>
  <si>
    <t>ELSTPE5824NYFRE</t>
  </si>
  <si>
    <t>ELHTPF5824NY</t>
  </si>
  <si>
    <t>ELH-FOREMOST-27ELHTPF5831NY</t>
  </si>
  <si>
    <t>ELH-FOREMOST-2719</t>
  </si>
  <si>
    <t>ELH-FOREMOST-2719-ELHTPF5831NAVYFRE</t>
  </si>
  <si>
    <t>ELH의류외831</t>
  </si>
  <si>
    <t>ELHTPF5831</t>
  </si>
  <si>
    <t>ELSTPE5831NYFRE</t>
  </si>
  <si>
    <t>ELHTPF5831NY</t>
  </si>
  <si>
    <t>ELH-FOREMOST-27ELHTPF5831OR</t>
  </si>
  <si>
    <t>ELH-FOREMOST-2720</t>
  </si>
  <si>
    <t>ELH-FOREMOST-2720-ELHTPF5831ORANGEFRE</t>
  </si>
  <si>
    <t>ELSTPE5831ORFRE</t>
  </si>
  <si>
    <t>ELHTPF5831OR</t>
  </si>
  <si>
    <t>ELH-FOREMOST-27ELHVBF5822OR</t>
  </si>
  <si>
    <t>ELH-FOREMOST-2721</t>
  </si>
  <si>
    <t>ELH-FOREMOST-2721-ELHVBF5822ORANGEFRE</t>
  </si>
  <si>
    <t>ELH의류외822</t>
  </si>
  <si>
    <t>ELSVBE</t>
  </si>
  <si>
    <t>ELHVBF5822</t>
  </si>
  <si>
    <t>ELSVBE5822ORFRE</t>
  </si>
  <si>
    <t>ELHVBF5822OR</t>
  </si>
  <si>
    <t>ELH-FOREMOST-27 TTL</t>
  </si>
  <si>
    <t>ELH-동일모자-25</t>
  </si>
  <si>
    <t>ELH-동일모자-25ELHERF5644RE</t>
  </si>
  <si>
    <t>ELH-동일모자-251</t>
  </si>
  <si>
    <t>ELH-동일모자-251-ELHERF5644REDFRE</t>
  </si>
  <si>
    <t>ELH의류외644</t>
  </si>
  <si>
    <t>ELSERE</t>
  </si>
  <si>
    <t>ELHERF5644</t>
  </si>
  <si>
    <t>ELSERE5644REFRE</t>
  </si>
  <si>
    <t>ELHERF5644RE</t>
  </si>
  <si>
    <t>ELH-동일모자-25ELHERF5645BK</t>
  </si>
  <si>
    <t>ELH-동일모자-252</t>
  </si>
  <si>
    <t>ELH-동일모자-252-ELHERF5645BLACKFRE</t>
  </si>
  <si>
    <t>ELH의류외645</t>
  </si>
  <si>
    <t>ELHERF5645</t>
  </si>
  <si>
    <t>ELSERE5645BKFRE</t>
  </si>
  <si>
    <t>ELHERF5645BK</t>
  </si>
  <si>
    <t>ELH-동일모자-25ELHERF5832GY</t>
  </si>
  <si>
    <t>ELH-동일모자-253</t>
  </si>
  <si>
    <t>ELH-동일모자-253-ELHERF5832GREYFRE</t>
  </si>
  <si>
    <t>ELH의류외832</t>
  </si>
  <si>
    <t>ELHERF5832</t>
  </si>
  <si>
    <t>ELSERE5832GYFRE</t>
  </si>
  <si>
    <t>ELHERF5832GY</t>
  </si>
  <si>
    <t>ELH-동일모자-25ELHERF5833NY</t>
  </si>
  <si>
    <t>ELH-동일모자-254</t>
  </si>
  <si>
    <t>ELH-동일모자-254-ELHERF5833NAVYFRE</t>
  </si>
  <si>
    <t>ELH의류외833</t>
  </si>
  <si>
    <t>ELHERF5833</t>
  </si>
  <si>
    <t>ELSERE5833NYFRE</t>
  </si>
  <si>
    <t>ELHERF5833NY</t>
  </si>
  <si>
    <t>ELH-동일모자-25ELHERF5834YE</t>
  </si>
  <si>
    <t>ELH-동일모자-255</t>
  </si>
  <si>
    <t>ELH-동일모자-255-ELHERF5834YELLOWFRE</t>
  </si>
  <si>
    <t>ELH의류외834</t>
  </si>
  <si>
    <t>ELHERF5834</t>
  </si>
  <si>
    <t>ELSERE5834YEFRE</t>
  </si>
  <si>
    <t>ELHERF5834YE</t>
  </si>
  <si>
    <t>ELH-동일모자-25 TTL</t>
  </si>
  <si>
    <t>ELH-성진-17</t>
  </si>
  <si>
    <t>ELH-성진-17ELHERF5810PK</t>
  </si>
  <si>
    <t>ELH-성진-171</t>
  </si>
  <si>
    <t>ELH-성진-171-ELHERF5810PINKFRE</t>
  </si>
  <si>
    <t>ELH의류외810</t>
  </si>
  <si>
    <t>ELHERF5810</t>
  </si>
  <si>
    <t>ELSERE5810PKFRE</t>
  </si>
  <si>
    <t>ELHERF5810PK</t>
  </si>
  <si>
    <t>ELH-성진-17ELHERF5810YE</t>
  </si>
  <si>
    <t>ELH-성진-172</t>
  </si>
  <si>
    <t>ELH-성진-172-ELHERF5810YELLOWFRE</t>
  </si>
  <si>
    <t>ELSERE5810YEFRE</t>
  </si>
  <si>
    <t>ELHERF5810YE</t>
  </si>
  <si>
    <t>ELH-성진-17 TTL</t>
  </si>
  <si>
    <t>ELH-캡보이-05</t>
  </si>
  <si>
    <t>ELH-캡보이-05ELHERF5816BL</t>
  </si>
  <si>
    <t>ELH-캡보이-051</t>
  </si>
  <si>
    <t>ELH-캡보이-051-ELHERF5816BLUEFRE</t>
  </si>
  <si>
    <t>ELH의류외816</t>
  </si>
  <si>
    <t>ELHERF5816</t>
  </si>
  <si>
    <t>ELSERE5816BLFRE</t>
  </si>
  <si>
    <t>ELHERF5816BL</t>
  </si>
  <si>
    <t>ELH-캡보이-05ELHFIF5647BK</t>
  </si>
  <si>
    <t>ELH-캡보이-052</t>
  </si>
  <si>
    <t>ELH-캡보이-052-ELHFIF5647BLACKFRE</t>
  </si>
  <si>
    <t>ELH의류외647</t>
  </si>
  <si>
    <t>ELHFIF5647</t>
  </si>
  <si>
    <t>ELSFIE5647BKFRE</t>
  </si>
  <si>
    <t>ELHFIF5647BK</t>
  </si>
  <si>
    <t>ELH-캡보이-05ELHERF5643GR</t>
  </si>
  <si>
    <t>ELH-캡보이-053</t>
  </si>
  <si>
    <t>ELH-캡보이-053-ELHERF5643GREENFRE</t>
  </si>
  <si>
    <t>ELSERD</t>
  </si>
  <si>
    <t>ELHERF5643</t>
  </si>
  <si>
    <t>ELSERD3643GRFRE</t>
  </si>
  <si>
    <t>ELHERF5643GR</t>
  </si>
  <si>
    <t>ELH-캡보이-05ELHERF5652GY</t>
  </si>
  <si>
    <t>ELH-캡보이-054</t>
  </si>
  <si>
    <t>ELH-캡보이-054-ELHERF5652GREYFRE</t>
  </si>
  <si>
    <t>ELH의류외652</t>
  </si>
  <si>
    <t>ELHERF5652</t>
  </si>
  <si>
    <t>ELSERD3652GYFRE</t>
  </si>
  <si>
    <t>ELHERF5652GY</t>
  </si>
  <si>
    <t>ELH-캡보이-05ELHERF5664PK</t>
  </si>
  <si>
    <t>ELH-캡보이-055</t>
  </si>
  <si>
    <t>ELH-캡보이-055-ELHERF5664PINKFRE</t>
  </si>
  <si>
    <t>ELH의류외664</t>
  </si>
  <si>
    <t>ELHERF5664</t>
  </si>
  <si>
    <t>ELSERD3664PKFRE</t>
  </si>
  <si>
    <t>ELHERF5664PK</t>
  </si>
  <si>
    <t>ELH-캡보이-05ELHERF5665MT</t>
  </si>
  <si>
    <t>ELH-캡보이-056</t>
  </si>
  <si>
    <t>ELH-캡보이-056-ELHERF5665MINTFRE</t>
  </si>
  <si>
    <t>ELH의류외665</t>
  </si>
  <si>
    <t>ELHERF5665</t>
  </si>
  <si>
    <t>ELSERD3665MTFRE</t>
  </si>
  <si>
    <t>ELHERF5665MT</t>
  </si>
  <si>
    <t>ELH-캡보이-05ELHFIF5669PP</t>
  </si>
  <si>
    <t>ELH-캡보이-057</t>
  </si>
  <si>
    <t>ELH-캡보이-057-ELHFIF5669PURPLEFRE</t>
  </si>
  <si>
    <t>ELH의류외669</t>
  </si>
  <si>
    <t>ELSFID</t>
  </si>
  <si>
    <t>ELHFIF5669</t>
  </si>
  <si>
    <t>ELSFID3669PPFRE</t>
  </si>
  <si>
    <t>ELHFIF5669PP</t>
  </si>
  <si>
    <t>ELH-캡보이-05 TTL</t>
  </si>
  <si>
    <t>JIH-FOREMOST-28</t>
  </si>
  <si>
    <t>JIH-FOREMOST-28JIHBAF5808KH</t>
  </si>
  <si>
    <t>JIH-FOREMOST-281</t>
  </si>
  <si>
    <t>JIH-FOREMOST-281-JIHBAF5808KHAKIFRE</t>
  </si>
  <si>
    <t>JIH의류외808</t>
  </si>
  <si>
    <t>JILBAE</t>
  </si>
  <si>
    <t>JIHBAF5808</t>
  </si>
  <si>
    <t>JILBAE5808KHFRE</t>
  </si>
  <si>
    <t>JIHBAF5808KH</t>
  </si>
  <si>
    <t>JIH-FOREMOST-28JIHBEF5855KH</t>
  </si>
  <si>
    <t>JIH-FOREMOST-282</t>
  </si>
  <si>
    <t>JIH-FOREMOST-282-JIHBEF5855KHAKIFRE</t>
  </si>
  <si>
    <t>JIH의류외855</t>
  </si>
  <si>
    <t>JILBEE</t>
  </si>
  <si>
    <t>JIHBEF5855</t>
  </si>
  <si>
    <t>JILBEE5855KHFRE</t>
  </si>
  <si>
    <t>JIHBEF5855KH</t>
  </si>
  <si>
    <t>JIH-FOREMOST-28JIHBEF5855RE</t>
  </si>
  <si>
    <t>JIH-FOREMOST-283</t>
  </si>
  <si>
    <t>JIH-FOREMOST-283-JIHBEF5855REDFRE</t>
  </si>
  <si>
    <t>JILBEE5855REFRE</t>
  </si>
  <si>
    <t>JIHBEF5855RE</t>
  </si>
  <si>
    <t>JIH-FOREMOST-28JIHBEF5856BK</t>
  </si>
  <si>
    <t>JIH-FOREMOST-284</t>
  </si>
  <si>
    <t>JIH-FOREMOST-284-JIHBEF5856BLACKFRE</t>
  </si>
  <si>
    <t>JIH의류외856</t>
  </si>
  <si>
    <t>JIHBEF5856</t>
  </si>
  <si>
    <t>JILBEE5856BKFRE</t>
  </si>
  <si>
    <t>JIHBEF5856BK</t>
  </si>
  <si>
    <t>JIH-FOREMOST-28JIHBEF5856MT</t>
  </si>
  <si>
    <t>JIH-FOREMOST-285</t>
  </si>
  <si>
    <t>JIH-FOREMOST-285-JIHBEF5856MINTFRE</t>
  </si>
  <si>
    <t>JILBEE5856MTFRE</t>
  </si>
  <si>
    <t>JIHBEF5856MT</t>
  </si>
  <si>
    <t>JIH-FOREMOST-28JIHBEF5856NY</t>
  </si>
  <si>
    <t>JIH-FOREMOST-286</t>
  </si>
  <si>
    <t>JIH-FOREMOST-286-JIHBEF5856NAVYFRE</t>
  </si>
  <si>
    <t>JILBEE5856NYFRE</t>
  </si>
  <si>
    <t>JIHBEF5856NY</t>
  </si>
  <si>
    <t>JIH-FOREMOST-28JIHEBF5850BW</t>
  </si>
  <si>
    <t>JIH-FOREMOST-287</t>
  </si>
  <si>
    <t>JIH-FOREMOST-287-JIHEBF5850BROWNFRE</t>
  </si>
  <si>
    <t>JIH의류외850</t>
  </si>
  <si>
    <t>JILEBE</t>
  </si>
  <si>
    <t>JIHEBF5850</t>
  </si>
  <si>
    <t>JILEBE5850BWFRE</t>
  </si>
  <si>
    <t>JIHEBF5850BW</t>
  </si>
  <si>
    <t>JIH-FOREMOST-28JIHEBF5850NY</t>
  </si>
  <si>
    <t>JIH-FOREMOST-288</t>
  </si>
  <si>
    <t>JIH-FOREMOST-288-JIHEBF5850NAVYFRE</t>
  </si>
  <si>
    <t>JILEBE5850NYFRE</t>
  </si>
  <si>
    <t>JIHEBF5850NY</t>
  </si>
  <si>
    <t>JIH-FOREMOST-28JIHERF5806MT</t>
  </si>
  <si>
    <t>JIH-FOREMOST-289</t>
  </si>
  <si>
    <t>JIH-FOREMOST-289-JIHERF5806MINTFRE</t>
  </si>
  <si>
    <t>JIH의류외806</t>
  </si>
  <si>
    <t>JILERE</t>
  </si>
  <si>
    <t>JIHERF5806</t>
  </si>
  <si>
    <t>JILERE5806MTFRE</t>
  </si>
  <si>
    <t>JIHERF5806MT</t>
  </si>
  <si>
    <t>JIH-FOREMOST-28JIHERF5806YE</t>
  </si>
  <si>
    <t>JIH-FOREMOST-2810</t>
  </si>
  <si>
    <t>JIH-FOREMOST-2810-JIHERF5806YELLOWFRE</t>
  </si>
  <si>
    <t>JILERE5806YEFRE</t>
  </si>
  <si>
    <t>JIHERF5806YE</t>
  </si>
  <si>
    <t>JIH-FOREMOST-28JIHTPF5833GR</t>
  </si>
  <si>
    <t>JIH-FOREMOST-2811</t>
  </si>
  <si>
    <t>JIH-FOREMOST-2811-JIHTPF5833GREENFRE</t>
  </si>
  <si>
    <t>JIH의류외833</t>
  </si>
  <si>
    <t>JILTPE</t>
  </si>
  <si>
    <t>JIHTPF5833</t>
  </si>
  <si>
    <t>JILTPE5833GRFRE</t>
  </si>
  <si>
    <t>JIHTPF5833GR</t>
  </si>
  <si>
    <t>JIH-FOREMOST-28JIHTPF5833RE</t>
  </si>
  <si>
    <t>JIH-FOREMOST-2812</t>
  </si>
  <si>
    <t>JIH-FOREMOST-2812-JIHTPF5833REDFRE</t>
  </si>
  <si>
    <t>JILTPE5833REFRE</t>
  </si>
  <si>
    <t>JIHTPF5833RE</t>
  </si>
  <si>
    <t>JIH-FOREMOST-28JIHTPF5834BK</t>
  </si>
  <si>
    <t>JIH-FOREMOST-2813</t>
  </si>
  <si>
    <t>JIH-FOREMOST-2813-JIHTPF5834BLACKFRE</t>
  </si>
  <si>
    <t>JIH의류외834</t>
  </si>
  <si>
    <t>JIHTPF5834</t>
  </si>
  <si>
    <t>JILTPE5834BKFRE</t>
  </si>
  <si>
    <t>JIHTPF5834BK</t>
  </si>
  <si>
    <t>JIH-FOREMOST-28 TTL</t>
  </si>
  <si>
    <t>JIH-NT SENHONG-01</t>
  </si>
  <si>
    <t>JIH-NT SENHONG-01JIHBEF5842GR</t>
  </si>
  <si>
    <t>JIH-NT SENHONG-011</t>
  </si>
  <si>
    <t>JIH-NT SENHONG-011-JIHBEF5842GREENFRE</t>
  </si>
  <si>
    <t>JIH의류외842</t>
  </si>
  <si>
    <t>JIHBEF5842</t>
  </si>
  <si>
    <t>JILBEE5842GRFRE</t>
  </si>
  <si>
    <t>JIHBEF5842GR</t>
  </si>
  <si>
    <t>NT SENHONG</t>
  </si>
  <si>
    <t>JIH-NT SENHONG-01JIHBEF5842NY</t>
  </si>
  <si>
    <t>JIH-NT SENHONG-012</t>
  </si>
  <si>
    <t>JIH-NT SENHONG-012-JIHBEF5842NAVYFRE</t>
  </si>
  <si>
    <t>JILBEE5842NYFRE</t>
  </si>
  <si>
    <t>JIHBEF5842NY</t>
  </si>
  <si>
    <t>JIH-NT SENHONG-01 TTL</t>
  </si>
  <si>
    <t>JIH-Y&amp;Y-05</t>
  </si>
  <si>
    <t>JIH-Y&amp;Y-05JIHBEF5844MT</t>
  </si>
  <si>
    <t>JIH-Y&amp;Y-051</t>
  </si>
  <si>
    <t>JIH-Y&amp;Y-051-JIHBEF5844MINTFRE</t>
  </si>
  <si>
    <t>JIH의류외844</t>
  </si>
  <si>
    <t>JIHBEF5844</t>
  </si>
  <si>
    <t>JILBEE5844MTFRE</t>
  </si>
  <si>
    <t>JIHBEF5844MT</t>
  </si>
  <si>
    <t>JIH-Y&amp;Y-05JIHBEF5844RE</t>
  </si>
  <si>
    <t>JIH-Y&amp;Y-052</t>
  </si>
  <si>
    <t>JIH-Y&amp;Y-052-JIHBEF5844REDFRE</t>
  </si>
  <si>
    <t>JILBEE5844REFRE</t>
  </si>
  <si>
    <t>JIHBEF5844RE</t>
  </si>
  <si>
    <t>JIH-Y&amp;Y-05JIHBEF5849BK</t>
  </si>
  <si>
    <t>JIH-Y&amp;Y-053</t>
  </si>
  <si>
    <t>JIH-Y&amp;Y-053-JIHBEF5849BLACKFRE</t>
  </si>
  <si>
    <t>JIH의류외849</t>
  </si>
  <si>
    <t>JIHBEF5849</t>
  </si>
  <si>
    <t>JILBEE5849BKFRE</t>
  </si>
  <si>
    <t>JIHBEF5849BK</t>
  </si>
  <si>
    <t>JIH-Y&amp;Y-05JIHEBF5843RE</t>
  </si>
  <si>
    <t>JIH-Y&amp;Y-054</t>
  </si>
  <si>
    <t>JIH-Y&amp;Y-054-JIHEBF5843REDFRE</t>
  </si>
  <si>
    <t>JIH의류외843</t>
  </si>
  <si>
    <t>JIHEBF5843</t>
  </si>
  <si>
    <t>JILEBE5843REFRE</t>
  </si>
  <si>
    <t>JIHEBF5843RE</t>
  </si>
  <si>
    <t>JIH-Y&amp;Y-05 TTL</t>
  </si>
  <si>
    <t>JIH-ELEGANCE-01</t>
  </si>
  <si>
    <t>JIH-ELEGANCE-01JIHFAF5604BK</t>
  </si>
  <si>
    <t>JIH-ELEGANCE-011</t>
  </si>
  <si>
    <t>JIH-ELEGANCE-011-JIHFAF5604BLACKFRE</t>
  </si>
  <si>
    <t>JIH의류외604</t>
  </si>
  <si>
    <t>JILFAE</t>
  </si>
  <si>
    <t>JIHFAF5604</t>
  </si>
  <si>
    <t>JILFAE5604BKFRE</t>
  </si>
  <si>
    <t>JIHFAF5604BK</t>
  </si>
  <si>
    <t>ELEGANCE</t>
  </si>
  <si>
    <t>JIH-ELEGANCE-01 TTL</t>
  </si>
  <si>
    <t>JOH-FOREMOST-29</t>
  </si>
  <si>
    <t>JOH-FOREMOST-29JOHEBF5604YE</t>
  </si>
  <si>
    <t>JOH-FOREMOST-291</t>
  </si>
  <si>
    <t>JOH-FOREMOST-291-JOHEBF5604YELLOWFRE</t>
  </si>
  <si>
    <t>JOH의류외604</t>
  </si>
  <si>
    <t>JOIEBE</t>
  </si>
  <si>
    <t>JOHEBF5604</t>
  </si>
  <si>
    <t>JOIEBE5604YEFRE</t>
  </si>
  <si>
    <t>JOHEBF5604YE</t>
  </si>
  <si>
    <t>JOH-FOREMOST-29JOHEBF5606BW</t>
  </si>
  <si>
    <t>JOH-FOREMOST-292</t>
  </si>
  <si>
    <t>JOH-FOREMOST-292-JOHEBF5606BROWNFRE</t>
  </si>
  <si>
    <t>JOH의류외606</t>
  </si>
  <si>
    <t>JOHEBF5606</t>
  </si>
  <si>
    <t>JOIEBE5606BWFRE</t>
  </si>
  <si>
    <t>JOHEBF5606BW</t>
  </si>
  <si>
    <t>JOH-FOREMOST-29JOHEBF5805GY</t>
  </si>
  <si>
    <t>JOH-FOREMOST-293</t>
  </si>
  <si>
    <t>JOH-FOREMOST-293-JOHEBF5805GREYFRE</t>
  </si>
  <si>
    <t>JOH의류외805</t>
  </si>
  <si>
    <t>JOHEBF5805</t>
  </si>
  <si>
    <t>JOIEBE5805GYFRE</t>
  </si>
  <si>
    <t>JOHEBF5805GY</t>
  </si>
  <si>
    <t>JOH-FOREMOST-29JOHEBF5807BL</t>
  </si>
  <si>
    <t>JOH-FOREMOST-294</t>
  </si>
  <si>
    <t>JOH-FOREMOST-294-JOHEBF5807BLUEFRE</t>
  </si>
  <si>
    <t>JOH의류외807</t>
  </si>
  <si>
    <t>JOHEBF5807</t>
  </si>
  <si>
    <t>JOIEBE5807BLFRE</t>
  </si>
  <si>
    <t>JOHEBF5807BL</t>
  </si>
  <si>
    <t>JOH-FOREMOST-29JOHEBF5817MT</t>
  </si>
  <si>
    <t>JOH-FOREMOST-295</t>
  </si>
  <si>
    <t>JOH-FOREMOST-295-JOHEBF5817MINTFRE</t>
  </si>
  <si>
    <t>JOH의류외817</t>
  </si>
  <si>
    <t>JOHEBF5817</t>
  </si>
  <si>
    <t>JOIEBE5817MTFRE</t>
  </si>
  <si>
    <t>JOHEBF5817MT</t>
  </si>
  <si>
    <t>JOH-ACC</t>
  </si>
  <si>
    <t>JOH-FOREMOST-29JOHMUF5814KH</t>
  </si>
  <si>
    <t>JOH-FOREMOST-296</t>
  </si>
  <si>
    <t>JOH-FOREMOST-296-JOHMUF5814KHAKIFRE</t>
  </si>
  <si>
    <t>JOH의류외814</t>
  </si>
  <si>
    <t>JOIMUE</t>
  </si>
  <si>
    <t>JOHMUF5814</t>
  </si>
  <si>
    <t>JOIMUE5814KHFRE</t>
  </si>
  <si>
    <t>JOHMUF5814KH</t>
  </si>
  <si>
    <t>JOH-FOREMOST-29JOHMUF5816MT</t>
  </si>
  <si>
    <t>JOH-FOREMOST-297</t>
  </si>
  <si>
    <t>JOH-FOREMOST-297-JOHMUF5816MINTFRE</t>
  </si>
  <si>
    <t>JOH의류외816</t>
  </si>
  <si>
    <t>JOHMUF5816</t>
  </si>
  <si>
    <t>JOIMUE5816MTFRE</t>
  </si>
  <si>
    <t>JOHMUF5816MT</t>
  </si>
  <si>
    <t>JOH-FOREMOST-29JOHMUF5818BL</t>
  </si>
  <si>
    <t>JOH-FOREMOST-298</t>
  </si>
  <si>
    <t>JOH-FOREMOST-298-JOHMUF5818BLUEFRE</t>
  </si>
  <si>
    <t>JOH의류외818</t>
  </si>
  <si>
    <t>JOHMUF5818</t>
  </si>
  <si>
    <t>JOIMUE5818BLFRE</t>
  </si>
  <si>
    <t>JOHMUF5818BL</t>
  </si>
  <si>
    <t>JOH-FOREMOST-29JOHEBF5601BG</t>
  </si>
  <si>
    <t>JOH-FOREMOST-299</t>
  </si>
  <si>
    <t>JOH-FOREMOST-299-JOHEBF5601BEIGEFRE</t>
  </si>
  <si>
    <t>JOH의류외601</t>
  </si>
  <si>
    <t>JOIEBD</t>
  </si>
  <si>
    <t>JOHEBF5601</t>
  </si>
  <si>
    <t>JOIEBD3601BGFRE</t>
  </si>
  <si>
    <t>JOHEBF5601BG</t>
  </si>
  <si>
    <t>JOH-FOREMOST-299-JOHEBF5601BEIGEOLL</t>
  </si>
  <si>
    <t>JOIEBD3601BGOLL</t>
  </si>
  <si>
    <t>JOH-FOREMOST-2910</t>
  </si>
  <si>
    <t>JOH-FOREMOST-2910-JOHEBF5604YELLOWFRE</t>
  </si>
  <si>
    <t>JOIEBD3604YEFRE</t>
  </si>
  <si>
    <t>JOH-FOREMOST-29JOHEBF5605OR</t>
  </si>
  <si>
    <t>JOH-FOREMOST-2911</t>
  </si>
  <si>
    <t>JOH-FOREMOST-2911-JOHEBF5605ORANGEFRE</t>
  </si>
  <si>
    <t>JOH의류외605</t>
  </si>
  <si>
    <t>JOHEBF5605</t>
  </si>
  <si>
    <t>JOIEBD3605ORFRE</t>
  </si>
  <si>
    <t>JOHEBF5605OR</t>
  </si>
  <si>
    <t>JOH-FOREMOST-2912</t>
  </si>
  <si>
    <t>JOH-FOREMOST-2912-JOHEBF5606BROWNFRE</t>
  </si>
  <si>
    <t>JOIEBD3606BWFRE</t>
  </si>
  <si>
    <t>JOH-FOREMOST-29JOHEBF5612BG</t>
  </si>
  <si>
    <t>JOH-FOREMOST-2913</t>
  </si>
  <si>
    <t>JOH-FOREMOST-2913-JOHEBF5612BEIGEFRE</t>
  </si>
  <si>
    <t>JOH의류외612</t>
  </si>
  <si>
    <t>JOHEBF5612</t>
  </si>
  <si>
    <t>JOIEBD3612BGFRE</t>
  </si>
  <si>
    <t>JOHEBF5612BG</t>
  </si>
  <si>
    <t>JOH-FOREMOST-29 TTL</t>
  </si>
  <si>
    <t>JOH-KIDS FIRST TOYS-03</t>
  </si>
  <si>
    <t>JOH-KIDS FIRST TOYS-03JOHEBF5808IV</t>
  </si>
  <si>
    <t>JOH-KIDS FIRST TOYS-031</t>
  </si>
  <si>
    <t>JOH-KIDS FIRST TOYS-031-JOHEBF5808IVORYFRE</t>
  </si>
  <si>
    <t>JOH의류외808</t>
  </si>
  <si>
    <t>JOHEBF5808</t>
  </si>
  <si>
    <t>JOIEBE5808IVFRE</t>
  </si>
  <si>
    <t>JOHEBF5808IV</t>
  </si>
  <si>
    <t>JOH-KIDS FIRST TOYS-03JOHEBF5809BL</t>
  </si>
  <si>
    <t>JOH-KIDS FIRST TOYS-032</t>
  </si>
  <si>
    <t>JOH-KIDS FIRST TOYS-032-JOHEBF5809BLUEFRE</t>
  </si>
  <si>
    <t>JOH의류외809</t>
  </si>
  <si>
    <t>JOHEBF5809</t>
  </si>
  <si>
    <t>JOIEBE5809BLFRE</t>
  </si>
  <si>
    <t>JOHEBF5809BL</t>
  </si>
  <si>
    <t>JOH-KIDS FIRST TOYS-03JOHEBF5812YE</t>
  </si>
  <si>
    <t>JOH-KIDS FIRST TOYS-033</t>
  </si>
  <si>
    <t>JOH-KIDS FIRST TOYS-033-JOHEBF5812YELLOWFRE</t>
  </si>
  <si>
    <t>JOH의류외812</t>
  </si>
  <si>
    <t>JOHEBF5812</t>
  </si>
  <si>
    <t>JOIEBE5812YEFRE</t>
  </si>
  <si>
    <t>JOHEBF5812YE</t>
  </si>
  <si>
    <t>JOH-KIDS FIRST TOYS-03JOHTPF5653IV</t>
  </si>
  <si>
    <t>JOH-KIDS FIRST TOYS-034</t>
  </si>
  <si>
    <t>JOH-KIDS FIRST TOYS-034-JOHTPF5653IVORYFRE</t>
  </si>
  <si>
    <t>JOH의류외653</t>
  </si>
  <si>
    <t>JOITPD</t>
  </si>
  <si>
    <t>JOHTPF5653</t>
  </si>
  <si>
    <t>JOITPD3653IVFRE</t>
  </si>
  <si>
    <t>JOHTPF5653IV</t>
  </si>
  <si>
    <t>JOH-KIDS FIRST TOYS-03JOHTPF5656GR</t>
  </si>
  <si>
    <t>JOH-KIDS FIRST TOYS-035</t>
  </si>
  <si>
    <t>JOH-KIDS FIRST TOYS-035-JOHTPF5656GREENFRE</t>
  </si>
  <si>
    <t>JOH의류외656</t>
  </si>
  <si>
    <t>JOHTPF5656</t>
  </si>
  <si>
    <t>JOITPD3656GRFRE</t>
  </si>
  <si>
    <t>JOHTPF5656GR</t>
  </si>
  <si>
    <t>JOH-KIDS FIRST TOYS-03 TTL</t>
  </si>
  <si>
    <t>JOH-동일모자-26</t>
  </si>
  <si>
    <t>JOH-동일모자-26JOHERF5801PK</t>
  </si>
  <si>
    <t>JOH-동일모자-261</t>
  </si>
  <si>
    <t>JOH-동일모자-261-JOHERF5801PINKFRE</t>
  </si>
  <si>
    <t>JOH의류외801</t>
  </si>
  <si>
    <t>JOIERE</t>
  </si>
  <si>
    <t>JOHERF5801</t>
  </si>
  <si>
    <t>JOIERE5801PKFRE</t>
  </si>
  <si>
    <t>JOHERF5801PK</t>
  </si>
  <si>
    <t>JOH-동일모자-26JOHERF5802OR</t>
  </si>
  <si>
    <t>JOH-동일모자-262</t>
  </si>
  <si>
    <t>JOH-동일모자-262-JOHERF5802ORANGEFRE</t>
  </si>
  <si>
    <t>JOH의류외802</t>
  </si>
  <si>
    <t>JOHERF5802</t>
  </si>
  <si>
    <t>JOIERE5802ORFRE</t>
  </si>
  <si>
    <t>JOHERF5802OR</t>
  </si>
  <si>
    <t>JOH-동일모자-26 TTL</t>
  </si>
  <si>
    <t>NOH-FOREMOST-30</t>
  </si>
  <si>
    <t>NOH-FOREMOST-30NOHBAF5803OR</t>
  </si>
  <si>
    <t>NOH-FOREMOST-301</t>
  </si>
  <si>
    <t>NOH-FOREMOST-301-NOHBAF5803ORANGEFRE</t>
  </si>
  <si>
    <t>NOH의류외803</t>
  </si>
  <si>
    <t>NOVBAE</t>
  </si>
  <si>
    <t>NOHBAF5803</t>
  </si>
  <si>
    <t>NOVBAE5803ORFRE</t>
  </si>
  <si>
    <t>NOHBAF5803OR</t>
  </si>
  <si>
    <t>NOH-FOREMOST-30NOHBAF5804BL</t>
  </si>
  <si>
    <t>NOH-FOREMOST-302</t>
  </si>
  <si>
    <t>NOH-FOREMOST-302-NOHBAF5804BLUEFRE</t>
  </si>
  <si>
    <t>NOH의류외804</t>
  </si>
  <si>
    <t>NOHBAF5804</t>
  </si>
  <si>
    <t>NOVBAE5804BLFRE</t>
  </si>
  <si>
    <t>NOHBAF5804BL</t>
  </si>
  <si>
    <t>NOH-FOREMOST-30NOHBAF5819NY</t>
  </si>
  <si>
    <t>NOH-FOREMOST-303</t>
  </si>
  <si>
    <t>NOH-FOREMOST-303-NOHBAF5819NAVYFRE</t>
  </si>
  <si>
    <t>NOH의류외819</t>
  </si>
  <si>
    <t>NOHBAF5819</t>
  </si>
  <si>
    <t>NOVBAE5819NYFRE</t>
  </si>
  <si>
    <t>NOHBAF5819NY</t>
  </si>
  <si>
    <t>NOH-FOREMOST-30NOHMIF5820KH</t>
  </si>
  <si>
    <t>NOH-FOREMOST-304</t>
  </si>
  <si>
    <t>NOH-FOREMOST-304-NOHMIF5820KHAKIFRE</t>
  </si>
  <si>
    <t>NOH의류외820</t>
  </si>
  <si>
    <t>NOHMIF5820</t>
  </si>
  <si>
    <t>NOVMIE5820KHFRE</t>
  </si>
  <si>
    <t>NOHMIF5820KH</t>
  </si>
  <si>
    <t>NOH-FOREMOST-30NOHTPF5807PP</t>
  </si>
  <si>
    <t>NOH-FOREMOST-305</t>
  </si>
  <si>
    <t>NOH-FOREMOST-305-NOHTPF5807PURPLEFRE</t>
  </si>
  <si>
    <t>NOH의류외807</t>
  </si>
  <si>
    <t>NOVTPE</t>
  </si>
  <si>
    <t>NOHTPF5807</t>
  </si>
  <si>
    <t>NOVTPE5807PPFRE</t>
  </si>
  <si>
    <t>NOHTPF5807PP</t>
  </si>
  <si>
    <t>NOH-FOREMOST-30NOHTPF5809OR</t>
  </si>
  <si>
    <t>NOH-FOREMOST-306</t>
  </si>
  <si>
    <t>NOH-FOREMOST-306-NOHTPF5809ORANGEFRE</t>
  </si>
  <si>
    <t>NOH의류외809</t>
  </si>
  <si>
    <t>NOHTPF5809</t>
  </si>
  <si>
    <t>NOVTPE5809ORFRE</t>
  </si>
  <si>
    <t>NOHTPF5809OR</t>
  </si>
  <si>
    <t>NOH-FOREMOST-30NOHTPF5809PK</t>
  </si>
  <si>
    <t>NOH-FOREMOST-307</t>
  </si>
  <si>
    <t>NOH-FOREMOST-307-NOHTPF5809PINKFRE</t>
  </si>
  <si>
    <t>NOVTPE5809PKFRE</t>
  </si>
  <si>
    <t>NOHTPF5809PK</t>
  </si>
  <si>
    <t>NOH-FOREMOST-30 TTL</t>
  </si>
  <si>
    <t>SMH-Y&amp;Y-06</t>
  </si>
  <si>
    <t>SMH-Y&amp;Y-06SMHBEF5863RE</t>
  </si>
  <si>
    <t>SMH-Y&amp;Y-061</t>
  </si>
  <si>
    <t>SMH-Y&amp;Y-061-SMHBEF5863REDFRE</t>
  </si>
  <si>
    <t>SMH의류외863</t>
  </si>
  <si>
    <t>SMBBEE</t>
  </si>
  <si>
    <t>SMHBEF5863</t>
  </si>
  <si>
    <t>SMBBEE5863REFRE</t>
  </si>
  <si>
    <t>SMHBEF5863RE</t>
  </si>
  <si>
    <t>SMH-Y&amp;Y-06 TTL</t>
  </si>
  <si>
    <t>SMH-QF-13</t>
  </si>
  <si>
    <t>SMH-QF-13SMHFIF5855OR</t>
  </si>
  <si>
    <t>SMH-QF-131</t>
  </si>
  <si>
    <t>SMH-QF-131-SMHFIF5855ORANGEFRE</t>
  </si>
  <si>
    <t>SMH의류외855</t>
  </si>
  <si>
    <t>SMHFIF5855</t>
  </si>
  <si>
    <t>SMBFIE5855ORFRE</t>
  </si>
  <si>
    <t>SMHFIF5855OR</t>
  </si>
  <si>
    <t>SMH-QF-13SMHFIF5860YE</t>
  </si>
  <si>
    <t>SMH-QF-132</t>
  </si>
  <si>
    <t>SMH-QF-132-SMHFIF5860YELLOWFRE</t>
  </si>
  <si>
    <t>SMH의류외860</t>
  </si>
  <si>
    <t>SMHFIF5860</t>
  </si>
  <si>
    <t>SMBFIE5860YEFRE</t>
  </si>
  <si>
    <t>SMHFIF5860YE</t>
  </si>
  <si>
    <t>SMH-QF-13 TTL</t>
  </si>
  <si>
    <t>SMH-캡보이-06</t>
  </si>
  <si>
    <t>SMH-캡보이-06SMHBAF5636PK</t>
  </si>
  <si>
    <t>SMH-캡보이-061</t>
  </si>
  <si>
    <t>SMH-캡보이-061-SMHBAF5636PINKFRE</t>
  </si>
  <si>
    <t>SMH의류외636</t>
  </si>
  <si>
    <t>SMBBAD</t>
  </si>
  <si>
    <t>SMHBAF5636</t>
  </si>
  <si>
    <t>SMBBAD3636PKFRE</t>
  </si>
  <si>
    <t>SMHBAF5636PK</t>
  </si>
  <si>
    <t>SMH-캡보이-06SMHBAF5637YE</t>
  </si>
  <si>
    <t>SMH-캡보이-062</t>
  </si>
  <si>
    <t>SMH-캡보이-062-SMHBAF5637YELLOWFRE</t>
  </si>
  <si>
    <t>SMH의류외637</t>
  </si>
  <si>
    <t>SMHBAF5637</t>
  </si>
  <si>
    <t>SMBBAD3637YEFRE</t>
  </si>
  <si>
    <t>SMHBAF5637YE</t>
  </si>
  <si>
    <t>SMH-캡보이-06 TTL</t>
  </si>
  <si>
    <t>SMH-FOREMOST-31</t>
  </si>
  <si>
    <t>SMH-FOREMOST-31SMHBEF5628PK</t>
  </si>
  <si>
    <t>SMH-FOREMOST-311</t>
  </si>
  <si>
    <t>SMH-FOREMOST-311-SMHBEF5628PINKFRE</t>
  </si>
  <si>
    <t>SMH의류외628</t>
  </si>
  <si>
    <t>SMBBED</t>
  </si>
  <si>
    <t>SMHBEF5628</t>
  </si>
  <si>
    <t>SMBBED3628PKFRE</t>
  </si>
  <si>
    <t>SMHBEF5628PK</t>
  </si>
  <si>
    <t>SMH-FOREMOST-31SMHBEF5630BL</t>
  </si>
  <si>
    <t>SMH-FOREMOST-312</t>
  </si>
  <si>
    <t>SMH-FOREMOST-312-SMHBEF5630BLUEFRE</t>
  </si>
  <si>
    <t>SMH의류외630</t>
  </si>
  <si>
    <t>SMHBEF5630</t>
  </si>
  <si>
    <t>SMBBED3630BLFRE</t>
  </si>
  <si>
    <t>SMHBEF5630BL</t>
  </si>
  <si>
    <t>SMH-FOREMOST-31 TTL</t>
  </si>
  <si>
    <t>VBH-FOREMOST-32</t>
  </si>
  <si>
    <t>VBH-FOREMOST-32VBHBAF5802BK</t>
  </si>
  <si>
    <t>VBH-FOREMOST-321</t>
  </si>
  <si>
    <t>VBH-FOREMOST-321-VBHBAF5802BLACKFRE</t>
  </si>
  <si>
    <t>VBH의류외802</t>
  </si>
  <si>
    <t>VBHBAF5802</t>
  </si>
  <si>
    <t>VBLBAE5802BKFRE</t>
  </si>
  <si>
    <t>VBHBAF5802BK</t>
  </si>
  <si>
    <t>VBH-FOREMOST-32VBHERF5814BK</t>
  </si>
  <si>
    <t>VBH-FOREMOST-322</t>
  </si>
  <si>
    <t>VBH-FOREMOST-322-VBHERF5814BLACKFRE</t>
  </si>
  <si>
    <t>VBH의류외814</t>
  </si>
  <si>
    <t>VBLERE</t>
  </si>
  <si>
    <t>VBHERF5814</t>
  </si>
  <si>
    <t>VBLERE5814BKFRE</t>
  </si>
  <si>
    <t>VBHERF5814BK</t>
  </si>
  <si>
    <t>VBH-FOREMOST-32 TTL</t>
  </si>
  <si>
    <t>VBH-캡보이-07</t>
  </si>
  <si>
    <t>VBH-캡보이-07VBHERF5801OR</t>
  </si>
  <si>
    <t>VBH-캡보이-071</t>
  </si>
  <si>
    <t>VBH-캡보이-071-VBHERF5801ORANGEFRE</t>
  </si>
  <si>
    <t>VBH의류외801</t>
  </si>
  <si>
    <t>VBHERF5801</t>
  </si>
  <si>
    <t>VBLERE5801ORFRE</t>
  </si>
  <si>
    <t>VBHERF5801OR</t>
  </si>
  <si>
    <t>VBH-캡보이-07 TTL</t>
  </si>
  <si>
    <t>WTH</t>
  </si>
  <si>
    <t>WTH-캡보이-08</t>
  </si>
  <si>
    <t>WTH-캡보이-08WTHERF5806OR</t>
  </si>
  <si>
    <t>WTH-캡보이-081</t>
  </si>
  <si>
    <t>WTH-캡보이-081-WTHERF5806ORANGEFRE</t>
  </si>
  <si>
    <t>WTH의류외806</t>
  </si>
  <si>
    <t>WTRERE</t>
  </si>
  <si>
    <t>WTR HATSON</t>
  </si>
  <si>
    <t>WTHERF5806</t>
  </si>
  <si>
    <t>WTRERE5806ORFRE</t>
  </si>
  <si>
    <t>WTHERF5806OR</t>
  </si>
  <si>
    <t>WTH-캡보이-08 TTL</t>
  </si>
  <si>
    <t>ELEGANCE 요약</t>
  </si>
  <si>
    <t>NT SENHONG 요약</t>
  </si>
  <si>
    <t>JOH-ACC 요약</t>
  </si>
  <si>
    <t>WTH 요약</t>
  </si>
  <si>
    <t>ELH-FOREMOST-27ELHBEF5839BL</t>
  </si>
  <si>
    <t>ELH-FOREMOST-277-ELHBEF5839BLUEFRE</t>
  </si>
  <si>
    <t>ELHBEF5839BL</t>
  </si>
  <si>
    <t>ELH-아트인드림-14</t>
  </si>
  <si>
    <t>ELH-아트인드림-14ELHHPF5636BW</t>
  </si>
  <si>
    <t>ELH-아트인드림-141</t>
  </si>
  <si>
    <t>ELH-아트인드림-141-ELHHPF5636BROWNOSS</t>
  </si>
  <si>
    <t>ELH의류636</t>
  </si>
  <si>
    <t>ELSHPD</t>
  </si>
  <si>
    <t>ELHHPF5636</t>
  </si>
  <si>
    <t>ELSHPD3636BWOSS</t>
  </si>
  <si>
    <t>ELHHPF5636BW</t>
  </si>
  <si>
    <t>ELH-아트인드림-141-ELHHPF5636BROWNOMM</t>
  </si>
  <si>
    <t>ELSHPD3636BWOMM</t>
  </si>
  <si>
    <t>ELH-아트인드림-14ELHTHF5635OR</t>
  </si>
  <si>
    <t>ELH-아트인드림-142</t>
  </si>
  <si>
    <t>ELH-아트인드림-142-ELHTHF5635ORANGEOSS</t>
  </si>
  <si>
    <t>ELH의류635</t>
  </si>
  <si>
    <t>ELSTHD</t>
  </si>
  <si>
    <t>ELHTHF5635</t>
  </si>
  <si>
    <t>ELSTHD3635OROSS</t>
  </si>
  <si>
    <t>ELHTHF5635OR</t>
  </si>
  <si>
    <t>ELH-아트인드림-14ELHTLF5639PK</t>
  </si>
  <si>
    <t>ELH-아트인드림-143</t>
  </si>
  <si>
    <t>ELH-아트인드림-143-ELHTLF5639PINKOSS</t>
  </si>
  <si>
    <t>ELH의류639</t>
  </si>
  <si>
    <t>ELSTLD</t>
  </si>
  <si>
    <t>ELHTLF5639</t>
  </si>
  <si>
    <t>ELSTLD3639PKOSS</t>
  </si>
  <si>
    <t>ELHTLF5639PK</t>
  </si>
  <si>
    <t>ELH-아트인드림-14 TTL</t>
  </si>
  <si>
    <t>ELH-EVERGREEN-08</t>
  </si>
  <si>
    <t>ELH-EVERGREEN-08ELHTHF5617NY</t>
  </si>
  <si>
    <t>ELH-EVERGREEN-081</t>
  </si>
  <si>
    <t>ELH-EVERGREEN-081-ELHTHF5617NAVYOMM</t>
  </si>
  <si>
    <t>ELH의류617</t>
  </si>
  <si>
    <t>ELHTHF5617</t>
  </si>
  <si>
    <t>ELSTHD3617NYOMM</t>
  </si>
  <si>
    <t>ELHTHF5617NY</t>
  </si>
  <si>
    <t>ELH-EVERGREEN-081-ELHTHF5617NAVYOSS</t>
  </si>
  <si>
    <t>ELSTHD3617NYOSS</t>
  </si>
  <si>
    <t>ELH-EVERGREEN-08ELHTHF5617RE</t>
  </si>
  <si>
    <t>ELH-EVERGREEN-082</t>
  </si>
  <si>
    <t>ELH-EVERGREEN-082-ELHTHF5617REDOSS</t>
  </si>
  <si>
    <t>ELSTHD3617REOSS</t>
  </si>
  <si>
    <t>ELHTHF5617RE</t>
  </si>
  <si>
    <t>ELH-EVERGREEN-08ELHTHF5618MT</t>
  </si>
  <si>
    <t>ELH-EVERGREEN-083</t>
  </si>
  <si>
    <t>ELH-EVERGREEN-083-ELHTHF5618MINTOSS</t>
  </si>
  <si>
    <t>ELH의류618</t>
  </si>
  <si>
    <t>ELHTHF5618</t>
  </si>
  <si>
    <t>ELSTHD3618MTOSS</t>
  </si>
  <si>
    <t>ELHTHF5618MT</t>
  </si>
  <si>
    <t>ELH-EVERGREEN-08ELHTHF5625GY</t>
  </si>
  <si>
    <t>ELH-EVERGREEN-084</t>
  </si>
  <si>
    <t>ELH-EVERGREEN-084-ELHTHF5625GREYOSS</t>
  </si>
  <si>
    <t>ELH의류625</t>
  </si>
  <si>
    <t>ELHTHF5625</t>
  </si>
  <si>
    <t>ELSTHD3625GYOSS</t>
  </si>
  <si>
    <t>ELHTHF5625GY</t>
  </si>
  <si>
    <t>ELH-EVERGREEN-084-ELHTHF5625GREYOMM</t>
  </si>
  <si>
    <t>ELSTHD3625GYOMM</t>
  </si>
  <si>
    <t>ELH-EVERGREEN-08ELHTHF5625PK</t>
  </si>
  <si>
    <t>ELH-EVERGREEN-085</t>
  </si>
  <si>
    <t>ELH-EVERGREEN-085-ELHTHF5625PINKOSS</t>
  </si>
  <si>
    <t>ELSTHD3625PKOSS</t>
  </si>
  <si>
    <t>ELHTHF5625PK</t>
  </si>
  <si>
    <t>ELH-EVERGREEN-085-ELHTHF5625PINKOMM</t>
  </si>
  <si>
    <t>ELSTHD3625PKOMM</t>
  </si>
  <si>
    <t>ELH-EVERGREEN-08ELHTLF5607YE</t>
  </si>
  <si>
    <t>ELH-EVERGREEN-086</t>
  </si>
  <si>
    <t>ELH-EVERGREEN-086-ELHTLF5607YELLOWOMM</t>
  </si>
  <si>
    <t>ELH의류607</t>
  </si>
  <si>
    <t>ELHTLF5607</t>
  </si>
  <si>
    <t>ELSTLD3607YEOMM</t>
  </si>
  <si>
    <t>ELHTLF5607YE</t>
  </si>
  <si>
    <t>ELH-EVERGREEN-08 TTL</t>
  </si>
  <si>
    <t>ELH-현주실업-01</t>
  </si>
  <si>
    <t>ELH-현주실업-01ELHTHF5628MT</t>
  </si>
  <si>
    <t>ELH-현주실업-011</t>
  </si>
  <si>
    <t>ELH-현주실업-011-ELHTHF5628MINTOSS</t>
  </si>
  <si>
    <t>ELH의류628</t>
  </si>
  <si>
    <t>ELHTHF5628</t>
  </si>
  <si>
    <t>ELSTHD3628MTOSS</t>
  </si>
  <si>
    <t>ELHTHF5628MT</t>
  </si>
  <si>
    <t>현주실업</t>
  </si>
  <si>
    <t>ELH-현주실업-011-ELHTHF5628MINTOMM</t>
  </si>
  <si>
    <t>ELSTHD3628MTOMM</t>
  </si>
  <si>
    <t>ELH-현주실업-01ELHTHF5629PK</t>
  </si>
  <si>
    <t>ELH-현주실업-012</t>
  </si>
  <si>
    <t>ELH-현주실업-012-ELHTHF5629PINKOSS</t>
  </si>
  <si>
    <t>ELH의류629</t>
  </si>
  <si>
    <t>ELHTHF5629</t>
  </si>
  <si>
    <t>ELSTHD3629PKOSS</t>
  </si>
  <si>
    <t>ELHTHF5629PK</t>
  </si>
  <si>
    <t>ELH-현주실업-01 TTL</t>
  </si>
  <si>
    <t>ELH-FOREMOST-33</t>
  </si>
  <si>
    <t>ELH-FOREMOST-33ELHTPF5608BU</t>
  </si>
  <si>
    <t>ELH-FOREMOST-331</t>
  </si>
  <si>
    <t>ELH-FOREMOST-331-ELHTPF5608BURGUNDYFRE</t>
  </si>
  <si>
    <t>R2</t>
  </si>
  <si>
    <t>ELH-FOREMOST-33ELHTPF5648NY</t>
  </si>
  <si>
    <t>ELH-FOREMOST-332</t>
  </si>
  <si>
    <t>ELH-FOREMOST-332-ELHTPF5648NAVYFRE</t>
  </si>
  <si>
    <t>ELH-FOREMOST-33 TTL</t>
  </si>
  <si>
    <t>현주실업 요약</t>
  </si>
  <si>
    <t>SBK-FOREMOST-34</t>
  </si>
  <si>
    <t>SBK-FOREMOST-34SBKBAF5511GY</t>
  </si>
  <si>
    <t>SBK-FOREMOST-341</t>
  </si>
  <si>
    <t>SBK-FOREMOST-341-SBKBAF5511GREYXSS</t>
  </si>
  <si>
    <t>SBK-FOREMOST-341-SBKBAF5511GREYOSM</t>
  </si>
  <si>
    <t>SBK-FOREMOST-341-SBKBAF5511GREYOML</t>
  </si>
  <si>
    <t>SBK-FOREMOST-34SBKERF5519PK</t>
  </si>
  <si>
    <t>SBK-FOREMOST-342</t>
  </si>
  <si>
    <t>SBK-FOREMOST-342-SBKERF5519PINKXSS</t>
  </si>
  <si>
    <t>SBK-FOREMOST-342-SBKERF5519PINKOSM</t>
  </si>
  <si>
    <t>SBK-FOREMOST-342-SBKERF5519PINKOML</t>
  </si>
  <si>
    <t>SBK-FOREMOST-34 TTL</t>
  </si>
  <si>
    <t>ELH-FOREMOST-35</t>
  </si>
  <si>
    <t>ELH-FOREMOST-35ELHBEF5802GR</t>
  </si>
  <si>
    <t>ELH-FOREMOST-351</t>
  </si>
  <si>
    <t>ELH-FOREMOST-351-ELHBEF5802GREENFRE</t>
  </si>
  <si>
    <t>ELH-FOREMOST-35ELHBEF5803BL</t>
  </si>
  <si>
    <t>ELH-FOREMOST-352</t>
  </si>
  <si>
    <t>ELH-FOREMOST-352-ELHBEF5803BLUEFRE</t>
  </si>
  <si>
    <t>ELH-FOREMOST-35ELHBEF5804BK</t>
  </si>
  <si>
    <t>ELH-FOREMOST-353</t>
  </si>
  <si>
    <t>ELH-FOREMOST-353-ELHBEF5804BLACKFRE</t>
  </si>
  <si>
    <t>ELH-FOREMOST-35ELHBEF5804GR</t>
  </si>
  <si>
    <t>ELH-FOREMOST-354</t>
  </si>
  <si>
    <t>ELH-FOREMOST-354-ELHBEF5804GREENFRE</t>
  </si>
  <si>
    <t>ELH-FOREMOST-35ELHBEF5804PK</t>
  </si>
  <si>
    <t>ELH-FOREMOST-355</t>
  </si>
  <si>
    <t>ELH-FOREMOST-355-ELHBEF5804PINKFRE</t>
  </si>
  <si>
    <t>ELH-FOREMOST-35ELHBEF5838MT</t>
  </si>
  <si>
    <t>ELH-FOREMOST-356</t>
  </si>
  <si>
    <t>ELH-FOREMOST-356-ELHBEF5838MINTFRE</t>
  </si>
  <si>
    <t>ELH-FOREMOST-35ELHBEF5839BL</t>
  </si>
  <si>
    <t>ELH-FOREMOST-357</t>
  </si>
  <si>
    <t>ELH-FOREMOST-357-ELHBEF5839BLUEFRE</t>
  </si>
  <si>
    <t>ELH-FOREMOST-35ELHEBF5828GY</t>
  </si>
  <si>
    <t>ELH-FOREMOST-358</t>
  </si>
  <si>
    <t>ELH-FOREMOST-358-ELHEBF5828GREYFRE</t>
  </si>
  <si>
    <t>ELH-FOREMOST-35ELHEBF5828MT</t>
  </si>
  <si>
    <t>ELH-FOREMOST-359</t>
  </si>
  <si>
    <t>ELH-FOREMOST-359-ELHEBF5828MINTFRE</t>
  </si>
  <si>
    <t>ELH-FOREMOST-35ELHEBF5829BL</t>
  </si>
  <si>
    <t>ELH-FOREMOST-3510</t>
  </si>
  <si>
    <t>ELH-FOREMOST-3510-ELHEBF5829BLUEFRE</t>
  </si>
  <si>
    <t>ELH-FOREMOST-35ELHEBF5829MT</t>
  </si>
  <si>
    <t>ELH-FOREMOST-3511</t>
  </si>
  <si>
    <t>ELH-FOREMOST-3511-ELHEBF5829MINTFRE</t>
  </si>
  <si>
    <t>ELH-FOREMOST-35ELHEBF5829NY</t>
  </si>
  <si>
    <t>ELH-FOREMOST-3512</t>
  </si>
  <si>
    <t>ELH-FOREMOST-3512-ELHEBF5829NAVYFRE</t>
  </si>
  <si>
    <t>ELH-FOREMOST-35ELHEBF5830BL</t>
  </si>
  <si>
    <t>ELH-FOREMOST-3513</t>
  </si>
  <si>
    <t>ELH-FOREMOST-3513-ELHEBF5830BLUEFRE</t>
  </si>
  <si>
    <t>ELH-FOREMOST-35ELHEBF5840PK</t>
  </si>
  <si>
    <t>ELH-FOREMOST-3514</t>
  </si>
  <si>
    <t>ELH-FOREMOST-3514-ELHEBF5840PINKFRE</t>
  </si>
  <si>
    <t>ELH-FOREMOST-35ELHTPF5831NY</t>
  </si>
  <si>
    <t>ELH-FOREMOST-3515</t>
  </si>
  <si>
    <t>ELH-FOREMOST-3515-ELHTPF5831NAVYFRE</t>
  </si>
  <si>
    <t>ELH-FOREMOST-35ELHTPF5831OR</t>
  </si>
  <si>
    <t>ELH-FOREMOST-3516</t>
  </si>
  <si>
    <t>ELH-FOREMOST-3516-ELHTPF5831ORANGEFRE</t>
  </si>
  <si>
    <t>ELH-FOREMOST-35ELHVBF5822OR</t>
  </si>
  <si>
    <t>ELH-FOREMOST-3517</t>
  </si>
  <si>
    <t>ELH-FOREMOST-3517-ELHVBF5822ORANGEFRE</t>
  </si>
  <si>
    <t>ELH-FOREMOST-35 TTL</t>
  </si>
  <si>
    <t>ELH-동일모자-27</t>
  </si>
  <si>
    <t>ELH-동일모자-27ELHERF5833NY</t>
  </si>
  <si>
    <t>ELH-동일모자-271</t>
  </si>
  <si>
    <t>ELH-동일모자-271-ELHERF5833NAVYFRE</t>
  </si>
  <si>
    <t>ELH-동일모자-27ELHERF5834YE</t>
  </si>
  <si>
    <t>ELH-동일모자-272</t>
  </si>
  <si>
    <t>ELH-동일모자-272-ELHERF5834YELLOWFRE</t>
  </si>
  <si>
    <t>ELH-동일모자-27 TTL</t>
  </si>
  <si>
    <t>ELH-성진-18</t>
  </si>
  <si>
    <t>ELH-성진-18ELHERF5810YE</t>
  </si>
  <si>
    <t>ELH-성진-181</t>
  </si>
  <si>
    <t>ELH-성진-181-ELHERF5810YELLOWFRE</t>
  </si>
  <si>
    <t>ELH-성진-18 TTL</t>
  </si>
  <si>
    <t>ELH-캡보이-09</t>
  </si>
  <si>
    <t>ELH-캡보이-09ELHERF5816BL</t>
  </si>
  <si>
    <t>ELH-캡보이-091</t>
  </si>
  <si>
    <t>ELH-캡보이-091-ELHERF5816BLUEFRE</t>
  </si>
  <si>
    <t>ELH-캡보이-09ELHFIF5647BK</t>
  </si>
  <si>
    <t>ELH-캡보이-092</t>
  </si>
  <si>
    <t>ELH-캡보이-092-ELHFIF5647BLACKFRE</t>
  </si>
  <si>
    <t>ELH-캡보이-09 TTL</t>
  </si>
  <si>
    <t>JIH-NT SENHONG-02</t>
  </si>
  <si>
    <t>JIH-NT SENHONG-02JIHBEF5842GR</t>
  </si>
  <si>
    <t>JIH-NT SENHONG-021</t>
  </si>
  <si>
    <t>JIH-NT SENHONG-021-JIHBEF5842GREENFRE</t>
  </si>
  <si>
    <t>JIH-NT SENHONG-02JIHBEF5842NY</t>
  </si>
  <si>
    <t>JIH-NT SENHONG-022</t>
  </si>
  <si>
    <t>JIH-NT SENHONG-022-JIHBEF5842NAVYFRE</t>
  </si>
  <si>
    <t>JIH-NT SENHONG-02 TTL</t>
  </si>
  <si>
    <t>JIH-Y&amp;Y-07</t>
  </si>
  <si>
    <t>JIH-Y&amp;Y-07JIHBEF5844MT</t>
  </si>
  <si>
    <t>JIH-Y&amp;Y-071</t>
  </si>
  <si>
    <t>JIH-Y&amp;Y-071-JIHBEF5844MINTFRE</t>
  </si>
  <si>
    <t>JIH-Y&amp;Y-07JIHBEF5844RE</t>
  </si>
  <si>
    <t>JIH-Y&amp;Y-072</t>
  </si>
  <si>
    <t>JIH-Y&amp;Y-072-JIHBEF5844REDFRE</t>
  </si>
  <si>
    <t>JIH-Y&amp;Y-07JIHBEF5849BK</t>
  </si>
  <si>
    <t>JIH-Y&amp;Y-073</t>
  </si>
  <si>
    <t>JIH-Y&amp;Y-073-JIHBEF5849BLACKFRE</t>
  </si>
  <si>
    <t>JIH-Y&amp;Y-07JIHEBF5843RE</t>
  </si>
  <si>
    <t>JIH-Y&amp;Y-074</t>
  </si>
  <si>
    <t>JIH-Y&amp;Y-074-JIHEBF5843REDFRE</t>
  </si>
  <si>
    <t>JIH-Y&amp;Y-07 TTL</t>
  </si>
  <si>
    <t>JIH-FOREMOST-36</t>
  </si>
  <si>
    <t>JIH-FOREMOST-36JIHBEF5855KH</t>
  </si>
  <si>
    <t>JIH-FOREMOST-361</t>
  </si>
  <si>
    <t>JIH-FOREMOST-361-JIHBEF5855KHAKIFRE</t>
  </si>
  <si>
    <t>JIH-FOREMOST-36JIHBEF5855RE</t>
  </si>
  <si>
    <t>JIH-FOREMOST-362</t>
  </si>
  <si>
    <t>JIH-FOREMOST-362-JIHBEF5855REDFRE</t>
  </si>
  <si>
    <t>JIH-FOREMOST-36JIHBEF5856BK</t>
  </si>
  <si>
    <t>JIH-FOREMOST-363</t>
  </si>
  <si>
    <t>JIH-FOREMOST-363-JIHBEF5856BLACKFRE</t>
  </si>
  <si>
    <t>JIH-FOREMOST-36JIHBEF5856MT</t>
  </si>
  <si>
    <t>JIH-FOREMOST-364</t>
  </si>
  <si>
    <t>JIH-FOREMOST-364-JIHBEF5856MINTFRE</t>
  </si>
  <si>
    <t>JIH-FOREMOST-36JIHBEF5856NY</t>
  </si>
  <si>
    <t>JIH-FOREMOST-365</t>
  </si>
  <si>
    <t>JIH-FOREMOST-365-JIHBEF5856NAVYFRE</t>
  </si>
  <si>
    <t>JIH-FOREMOST-36JIHEBF5850BW</t>
  </si>
  <si>
    <t>JIH-FOREMOST-366</t>
  </si>
  <si>
    <t>JIH-FOREMOST-366-JIHEBF5850BROWNFRE</t>
  </si>
  <si>
    <t>JIH-FOREMOST-36JIHEBF5850NY</t>
  </si>
  <si>
    <t>JIH-FOREMOST-367</t>
  </si>
  <si>
    <t>JIH-FOREMOST-367-JIHEBF5850NAVYFRE</t>
  </si>
  <si>
    <t>JIH-FOREMOST-36JIHERF5806MT</t>
  </si>
  <si>
    <t>JIH-FOREMOST-368</t>
  </si>
  <si>
    <t>JIH-FOREMOST-368-JIHERF5806MINTFRE</t>
  </si>
  <si>
    <t>JIH-FOREMOST-36JIHERF5806YE</t>
  </si>
  <si>
    <t>JIH-FOREMOST-369</t>
  </si>
  <si>
    <t>JIH-FOREMOST-369-JIHERF5806YELLOWFRE</t>
  </si>
  <si>
    <t>JIH-FOREMOST-36JIHTPF5833GR</t>
  </si>
  <si>
    <t>JIH-FOREMOST-3610</t>
  </si>
  <si>
    <t>JIH-FOREMOST-3610-JIHTPF5833GREENFRE</t>
  </si>
  <si>
    <t>JIH-FOREMOST-36JIHTPF5833RE</t>
  </si>
  <si>
    <t>JIH-FOREMOST-3611</t>
  </si>
  <si>
    <t>JIH-FOREMOST-3611-JIHTPF5833REDFRE</t>
  </si>
  <si>
    <t>JIH-FOREMOST-36JIHTPF5834BK</t>
  </si>
  <si>
    <t>JIH-FOREMOST-3612</t>
  </si>
  <si>
    <t>JIH-FOREMOST-3612-JIHTPF5834BLACKFRE</t>
  </si>
  <si>
    <t>JIH-FOREMOST-36 TTL</t>
  </si>
  <si>
    <t>JOH-FOREMOST-37</t>
  </si>
  <si>
    <t>JOH-FOREMOST-37JOHEBF5805GY</t>
  </si>
  <si>
    <t>JOH-FOREMOST-371</t>
  </si>
  <si>
    <t>JOH-FOREMOST-371-JOHEBF5805GREYFRE</t>
  </si>
  <si>
    <t>JOH-FOREMOST-37JOHEBF5807BL</t>
  </si>
  <si>
    <t>JOH-FOREMOST-372</t>
  </si>
  <si>
    <t>JOH-FOREMOST-372-JOHEBF5807BLUEFRE</t>
  </si>
  <si>
    <t>JOH-FOREMOST-37JOHEBF5817MT</t>
  </si>
  <si>
    <t>JOH-FOREMOST-373</t>
  </si>
  <si>
    <t>JOH-FOREMOST-373-JOHEBF5817MINTFRE</t>
  </si>
  <si>
    <t>JOH-FOREMOST-37JOHMUF5818BL</t>
  </si>
  <si>
    <t>JOH-FOREMOST-374</t>
  </si>
  <si>
    <t>JOH-FOREMOST-374-JOHMUF5818BLUEFRE</t>
  </si>
  <si>
    <t>JOH-FOREMOST-37 TTL</t>
  </si>
  <si>
    <t>JOH-KIDS FIRST TOYS-04</t>
  </si>
  <si>
    <t>JOH-KIDS FIRST TOYS-04JOHEBF5809BL</t>
  </si>
  <si>
    <t>JOH-KIDS FIRST TOYS-041</t>
  </si>
  <si>
    <t>JOH-KIDS FIRST TOYS-041-JOHEBF5809BLUEFRE</t>
  </si>
  <si>
    <t>JOH-KIDS FIRST TOYS-04 TTL</t>
  </si>
  <si>
    <t>JOH-동일모자-28</t>
  </si>
  <si>
    <t>JOH-동일모자-28JOHERF5802OR</t>
  </si>
  <si>
    <t>JOH-동일모자-281</t>
  </si>
  <si>
    <t>JOH-동일모자-281-JOHERF5802ORANGEFRE</t>
  </si>
  <si>
    <t>JOH-동일모자-28 TTL</t>
  </si>
  <si>
    <t>NOH-FOREMOST-38</t>
  </si>
  <si>
    <t>NOH-FOREMOST-38NOHBAF5803OR</t>
  </si>
  <si>
    <t>NOH-FOREMOST-381</t>
  </si>
  <si>
    <t>NOH-FOREMOST-381-NOHBAF5803ORANGEFRE</t>
  </si>
  <si>
    <t>NOH-FOREMOST-38NOHBAF5804BL</t>
  </si>
  <si>
    <t>NOH-FOREMOST-382</t>
  </si>
  <si>
    <t>NOH-FOREMOST-382-NOHBAF5804BLUEFRE</t>
  </si>
  <si>
    <t>NOH-FOREMOST-38NOHBAF5819NY</t>
  </si>
  <si>
    <t>NOH-FOREMOST-383</t>
  </si>
  <si>
    <t>NOH-FOREMOST-383-NOHBAF5819NAVYFRE</t>
  </si>
  <si>
    <t>NOH-FOREMOST-38NOHMIF5820KH</t>
  </si>
  <si>
    <t>NOH-FOREMOST-384</t>
  </si>
  <si>
    <t>NOH-FOREMOST-384-NOHMIF5820KHAKIFRE</t>
  </si>
  <si>
    <t>NOH-FOREMOST-38NOHTPF5807PP</t>
  </si>
  <si>
    <t>NOH-FOREMOST-385</t>
  </si>
  <si>
    <t>NOH-FOREMOST-385-NOHTPF5807PURPLEFRE</t>
  </si>
  <si>
    <t>NOH-FOREMOST-38NOHTPF5809OR</t>
  </si>
  <si>
    <t>NOH-FOREMOST-386</t>
  </si>
  <si>
    <t>NOH-FOREMOST-386-NOHTPF5809ORANGEFRE</t>
  </si>
  <si>
    <t>NOH-FOREMOST-38 TTL</t>
  </si>
  <si>
    <t>SMH-Y&amp;Y-08</t>
  </si>
  <si>
    <t>SMH-Y&amp;Y-08SMHBEF5863RE</t>
  </si>
  <si>
    <t>SMH-Y&amp;Y-081</t>
  </si>
  <si>
    <t>SMH-Y&amp;Y-081-SMHBEF5863REDFRE</t>
  </si>
  <si>
    <t>SMH-Y&amp;Y-08 TTL</t>
  </si>
  <si>
    <t>SMH-QF-14</t>
  </si>
  <si>
    <t>SMH-QF-14SMHFIF5855OR</t>
  </si>
  <si>
    <t>SMH-QF-141</t>
  </si>
  <si>
    <t>SMH-QF-141-SMHFIF5855ORANGEFRE</t>
  </si>
  <si>
    <t>SMH-QF-14SMHFIF5860YE</t>
  </si>
  <si>
    <t>SMH-QF-142</t>
  </si>
  <si>
    <t>SMH-QF-142-SMHFIF5860YELLOWFRE</t>
  </si>
  <si>
    <t>SMH-QF-14 TTL</t>
  </si>
  <si>
    <t>VBH-FOREMOST-39</t>
  </si>
  <si>
    <t>VBH-FOREMOST-39VBHBAF5802BK</t>
  </si>
  <si>
    <t>VBH-FOREMOST-391</t>
  </si>
  <si>
    <t>VBH-FOREMOST-391-VBHBAF5802BLACKFRE</t>
  </si>
  <si>
    <t>VBH-FOREMOST-39VBHERF5814BK</t>
  </si>
  <si>
    <t>VBH-FOREMOST-392</t>
  </si>
  <si>
    <t>VBH-FOREMOST-392-VBHERF5814BLACKFRE</t>
  </si>
  <si>
    <t>VBH-FOREMOST-39 TTL</t>
  </si>
  <si>
    <t>VBH-캡보이-10</t>
  </si>
  <si>
    <t>VBH-캡보이-10VBHERF5801OR</t>
  </si>
  <si>
    <t>VBH-캡보이-101</t>
  </si>
  <si>
    <t>VBH-캡보이-101-VBHERF5801ORANGEFRE</t>
  </si>
  <si>
    <t>VBH-캡보이-10 TTL</t>
  </si>
  <si>
    <t>WTH-캡보이-11</t>
  </si>
  <si>
    <t>WTH-캡보이-11WTHERF5806OR</t>
  </si>
  <si>
    <t>WTH-캡보이-111</t>
  </si>
  <si>
    <t>WTH-캡보이-111-WTHERF5806ORANGEFRE</t>
  </si>
  <si>
    <t>WTH-캡보이-11 TTL</t>
  </si>
  <si>
    <t>ELH-아트인드림-15</t>
  </si>
  <si>
    <t>ELH-아트인드림-15ELHTHF5635OR</t>
  </si>
  <si>
    <t>ELH-아트인드림-151</t>
  </si>
  <si>
    <t>ELH-아트인드림-151-ELHTHF5635ORANGEOSS</t>
  </si>
  <si>
    <t>ELH-아트인드림-15ELHTLF5639PK</t>
  </si>
  <si>
    <t>ELH-아트인드림-152</t>
  </si>
  <si>
    <t>ELH-아트인드림-152-ELHTLF5639PINKOSS</t>
  </si>
  <si>
    <t>ELH-아트인드림-15 TTL</t>
  </si>
  <si>
    <t>ELH-EVERGREEN-09</t>
  </si>
  <si>
    <t>ELH-EVERGREEN-09ELHTHF5617NY</t>
  </si>
  <si>
    <t>ELH-EVERGREEN-091</t>
  </si>
  <si>
    <t>ELH-EVERGREEN-091-ELHTHF5617NAVYOMM</t>
  </si>
  <si>
    <t>ELH-EVERGREEN-091-ELHTHF5617NAVYOSS</t>
  </si>
  <si>
    <t>ELH-EVERGREEN-09ELHTHF5617RE</t>
  </si>
  <si>
    <t>ELH-EVERGREEN-092</t>
  </si>
  <si>
    <t>ELH-EVERGREEN-092-ELHTHF5617REDOSS</t>
  </si>
  <si>
    <t>ELH-EVERGREEN-09ELHTHF5618MT</t>
  </si>
  <si>
    <t>ELH-EVERGREEN-093</t>
  </si>
  <si>
    <t>ELH-EVERGREEN-093-ELHTHF5618MINTOSS</t>
  </si>
  <si>
    <t>ELH-EVERGREEN-09ELHTHF5625GY</t>
  </si>
  <si>
    <t>ELH-EVERGREEN-094</t>
  </si>
  <si>
    <t>ELH-EVERGREEN-094-ELHTHF5625GREYOSS</t>
  </si>
  <si>
    <t>ELH-EVERGREEN-094-ELHTHF5625GREYOMM</t>
  </si>
  <si>
    <t>ELH-EVERGREEN-09ELHTHF5625PK</t>
  </si>
  <si>
    <t>ELH-EVERGREEN-095</t>
  </si>
  <si>
    <t>ELH-EVERGREEN-095-ELHTHF5625PINKOSS</t>
  </si>
  <si>
    <t>ELH-EVERGREEN-095-ELHTHF5625PINKOMM</t>
  </si>
  <si>
    <t>ELH-EVERGREEN-09ELHTLF5607YE</t>
  </si>
  <si>
    <t>ELH-EVERGREEN-096</t>
  </si>
  <si>
    <t>ELH-EVERGREEN-096-ELHTLF5607YELLOWOMM</t>
  </si>
  <si>
    <t>ELH-EVERGREEN-09 TTL</t>
  </si>
  <si>
    <t>ELH-현주실업-02</t>
  </si>
  <si>
    <t>ELH-현주실업-02ELHTHF5628MT</t>
  </si>
  <si>
    <t>ELH-현주실업-021</t>
  </si>
  <si>
    <t>ELH-현주실업-021-ELHTHF5628MINTOSS</t>
  </si>
  <si>
    <t>ELH-현주실업-021-ELHTHF5628MINTOMM</t>
  </si>
  <si>
    <t>ELH-현주실업-02ELHTHF5629PK</t>
  </si>
  <si>
    <t>ELH-현주실업-022</t>
  </si>
  <si>
    <t>ELH-현주실업-022-ELHTHF5629PINKOSS</t>
  </si>
  <si>
    <t>ELH-현주실업-02 TTL</t>
  </si>
  <si>
    <t>SWK-동일모자-177-SWKERF5535PURPLEOSM</t>
  </si>
  <si>
    <t>SWK-동일모자-177-SWKERF5535PURPLEOML</t>
  </si>
  <si>
    <t>POK-FOREMOST-40</t>
  </si>
  <si>
    <t>POK-FOREMOST-40POKEBF5503PK</t>
  </si>
  <si>
    <t>POK-FOREMOST-401</t>
  </si>
  <si>
    <t>POK-FOREMOST-401-POKEBF5503PINKFRE</t>
  </si>
  <si>
    <t>POK-FOREMOST-40POKEBF5504BL</t>
  </si>
  <si>
    <t>POK-FOREMOST-402</t>
  </si>
  <si>
    <t>POK-FOREMOST-402-POKEBF5504BLUEFRE</t>
  </si>
  <si>
    <t>POK-FOREMOST-40 TTL</t>
  </si>
  <si>
    <t>ELH-EVERGREEN-10</t>
  </si>
  <si>
    <t>ELH-EVERGREEN-10ELHTHF5617NY</t>
  </si>
  <si>
    <t>ELH-EVERGREEN-101</t>
  </si>
  <si>
    <t>ELH-EVERGREEN-101-ELHTHF5617NAVYOLL</t>
  </si>
  <si>
    <t>ELSTHD3617NYOLL</t>
  </si>
  <si>
    <t>ELH-EVERGREEN-10ELHTHF5617RE</t>
  </si>
  <si>
    <t>ELH-EVERGREEN-102</t>
  </si>
  <si>
    <t>ELH-EVERGREEN-102-ELHTHF5617REDOMM</t>
  </si>
  <si>
    <t>ELSTHD3617REOMM</t>
  </si>
  <si>
    <t>ELH-EVERGREEN-10ELHTHF5618BK</t>
  </si>
  <si>
    <t>ELH-EVERGREEN-103</t>
  </si>
  <si>
    <t>ELH-EVERGREEN-103-ELHTHF5618BLACKOSS</t>
  </si>
  <si>
    <t>ELSTHD3618BKOSS</t>
  </si>
  <si>
    <t>ELHTHF5618BK</t>
  </si>
  <si>
    <t>ELH-EVERGREEN-103-ELHTHF5618BLACKOMM</t>
  </si>
  <si>
    <t>ELSTHD3618BKOMM</t>
  </si>
  <si>
    <t>ELH-EVERGREEN-10ELHTHF5618MT</t>
  </si>
  <si>
    <t>ELH-EVERGREEN-104</t>
  </si>
  <si>
    <t>ELH-EVERGREEN-104-ELHTHF5618MINTOMM</t>
  </si>
  <si>
    <t>ELSTHD3618MTOMM</t>
  </si>
  <si>
    <t>ELH-EVERGREEN-10 TTL</t>
  </si>
  <si>
    <t>ELH-현주실업-03</t>
  </si>
  <si>
    <t>ELH-현주실업-03ELHTHF5629PK</t>
  </si>
  <si>
    <t>ELH-현주실업-031</t>
  </si>
  <si>
    <t>ELH-현주실업-031-ELHTHF5629PINKOMM</t>
  </si>
  <si>
    <t>ELSTHD3629PKOMM</t>
  </si>
  <si>
    <t>ELH-현주실업-031-ELHTHF5629PINKOLL</t>
  </si>
  <si>
    <t>ELSTHD3629PKOLL</t>
  </si>
  <si>
    <t>ELH-현주실업-03 TTL</t>
  </si>
  <si>
    <t>ELH-아트인드림-16</t>
  </si>
  <si>
    <t>ELH-아트인드림-16ELHTLF5639PK</t>
  </si>
  <si>
    <t>ELH-아트인드림-161</t>
  </si>
  <si>
    <t>ELH-아트인드림-161-ELHTLF5639PINKOLL</t>
  </si>
  <si>
    <t>ELSTLD3639PKOLL</t>
  </si>
  <si>
    <t>ELH-아트인드림-16 TTL</t>
  </si>
  <si>
    <t>SMK-Y&amp;Y-09</t>
  </si>
  <si>
    <t>SMK-Y&amp;Y-09SMKBEF5512RE</t>
  </si>
  <si>
    <t>SMK-Y&amp;Y-091</t>
  </si>
  <si>
    <t>SMK-Y&amp;Y-091-SMKBEF5512REDFRE</t>
  </si>
  <si>
    <t>SMK-Y&amp;Y-09 TTL</t>
  </si>
  <si>
    <t>ELK-동일모자-29</t>
  </si>
  <si>
    <t>ELK-동일모자-29ELKERF5511GR</t>
  </si>
  <si>
    <t>ELK-동일모자-291</t>
  </si>
  <si>
    <t>ELK-동일모자-291-ELKERF5511GREENOSM</t>
  </si>
  <si>
    <t>ELK-동일모자-291-ELKERF5511GREENOML</t>
  </si>
  <si>
    <t>ELK-동일모자-29ELKERF5512RE</t>
  </si>
  <si>
    <t>ELK-동일모자-292</t>
  </si>
  <si>
    <t>ELK-동일모자-292-ELKERF5512REDOSM</t>
  </si>
  <si>
    <t>ELK-동일모자-292-ELKERF5512REDOML</t>
  </si>
  <si>
    <t>ELK-동일모자-29 TTL</t>
  </si>
  <si>
    <t>STREET</t>
  </si>
  <si>
    <t>BRH</t>
  </si>
  <si>
    <t>BRH-동일모자-30</t>
  </si>
  <si>
    <t>BRH-동일모자-30BRHERF5504WH</t>
  </si>
  <si>
    <t>BRH-동일모자-301</t>
  </si>
  <si>
    <t>BRH-동일모자-301-BRHERF5504WHITEOSM</t>
  </si>
  <si>
    <t>BRH의류외504</t>
  </si>
  <si>
    <t>BROERF</t>
  </si>
  <si>
    <t>BEARHEAD</t>
  </si>
  <si>
    <t>BRHERF5504</t>
  </si>
  <si>
    <t>BROERF5504WHOSM</t>
  </si>
  <si>
    <t>BRHERF5504WH</t>
  </si>
  <si>
    <t>BRH-동일모자-301-BRHERF5504WHITEOML</t>
  </si>
  <si>
    <t>BROERF5504WHOML</t>
  </si>
  <si>
    <t>BRH-동일모자-30 TTL</t>
  </si>
  <si>
    <t>ELH-동일모자-31</t>
  </si>
  <si>
    <t>ELH-동일모자-31ELHERF5511GR</t>
  </si>
  <si>
    <t>ELH-동일모자-311</t>
  </si>
  <si>
    <t>ELH-동일모자-311-ELHERF5511GREENOSM</t>
  </si>
  <si>
    <t>ELH의류외511</t>
  </si>
  <si>
    <t>ELSERF</t>
  </si>
  <si>
    <t>ELHERF5511</t>
  </si>
  <si>
    <t>ELSERF5511GROSM</t>
  </si>
  <si>
    <t>ELHERF5511GR</t>
  </si>
  <si>
    <t>ELH-동일모자-31ELHERF5512RE</t>
  </si>
  <si>
    <t>ELH-동일모자-312</t>
  </si>
  <si>
    <t>ELH-동일모자-312-ELHERF5512REDOSM</t>
  </si>
  <si>
    <t>ELH의류외512</t>
  </si>
  <si>
    <t>ELHERF5512</t>
  </si>
  <si>
    <t>ELSERF5512REOSM</t>
  </si>
  <si>
    <t>ELHERF5512RE</t>
  </si>
  <si>
    <t>ELH-동일모자-31ELHERF5513PK</t>
  </si>
  <si>
    <t>ELH-동일모자-313</t>
  </si>
  <si>
    <t>ELH-동일모자-313-ELHERF5513PINKOML</t>
  </si>
  <si>
    <t>ELH의류외513</t>
  </si>
  <si>
    <t>ELHERF5513</t>
  </si>
  <si>
    <t>ELSERF5513PKOML</t>
  </si>
  <si>
    <t>ELHERF5513PK</t>
  </si>
  <si>
    <t>ELH-동일모자-31ELHERF5519RE</t>
  </si>
  <si>
    <t>ELH-동일모자-314</t>
  </si>
  <si>
    <t>ELH-동일모자-314-ELHERF5519REDOSM</t>
  </si>
  <si>
    <t>ELH의류외519</t>
  </si>
  <si>
    <t>ELHERF5519</t>
  </si>
  <si>
    <t>ELSERF5519REOSM</t>
  </si>
  <si>
    <t>ELHERF5519RE</t>
  </si>
  <si>
    <t>ELH-동일모자-314-ELHERF5519REDOML</t>
  </si>
  <si>
    <t>ELSERF5519REOML</t>
  </si>
  <si>
    <t>ELH-동일모자-31 TTL</t>
  </si>
  <si>
    <t>ELH-FOREMOST-41</t>
  </si>
  <si>
    <t>ELH-FOREMOST-41ELHERF5516OR</t>
  </si>
  <si>
    <t>ELH-FOREMOST-411</t>
  </si>
  <si>
    <t>ELH-FOREMOST-411-ELHERF5516ORANGEOSM</t>
  </si>
  <si>
    <t>ELH의류외516</t>
  </si>
  <si>
    <t>ELHERF5516</t>
  </si>
  <si>
    <t>ELSERF5516OROSM</t>
  </si>
  <si>
    <t>ELHERF5516OR</t>
  </si>
  <si>
    <t>ELH-FOREMOST-41 TTL</t>
  </si>
  <si>
    <t>SBH</t>
  </si>
  <si>
    <t>SBH-FOREMOST-42</t>
  </si>
  <si>
    <t>SBH-FOREMOST-42SBHBAF5512BG</t>
  </si>
  <si>
    <t>SBH-FOREMOST-421</t>
  </si>
  <si>
    <t>SBH-FOREMOST-421-SBHBAF5512BEIGEOSM</t>
  </si>
  <si>
    <t>SBH의류외512</t>
  </si>
  <si>
    <t>SBRBAF</t>
  </si>
  <si>
    <t>SBR HATSON</t>
  </si>
  <si>
    <t>SBHBAF5512</t>
  </si>
  <si>
    <t>SBRBAF5512BGOSM</t>
  </si>
  <si>
    <t>SBHBAF5512BG</t>
  </si>
  <si>
    <t>SBH-FOREMOST-421-SBHBAF5512BEIGEOML</t>
  </si>
  <si>
    <t>SBRBAF5512BGOML</t>
  </si>
  <si>
    <t>SBH-FOREMOST-42 TTL</t>
  </si>
  <si>
    <t>SWH</t>
  </si>
  <si>
    <t>SWH-QF-15</t>
  </si>
  <si>
    <t>SWH-QF-15SWHERF5514PK</t>
  </si>
  <si>
    <t>SWH-QF-151</t>
  </si>
  <si>
    <t>SWH-QF-151-SWHERF5514PINKOSM</t>
  </si>
  <si>
    <t>SWH의류외514</t>
  </si>
  <si>
    <t>SWBERF</t>
  </si>
  <si>
    <t>SWB HATSON</t>
  </si>
  <si>
    <t>SWHERF5514</t>
  </si>
  <si>
    <t>SWBERF5514PKOSM</t>
  </si>
  <si>
    <t>SWHERF5514PK</t>
  </si>
  <si>
    <t>SWH-QF-15 TTL</t>
  </si>
  <si>
    <t>SWH-성진-19</t>
  </si>
  <si>
    <t>SWH-성진-19SWHERF5517PK</t>
  </si>
  <si>
    <t>SWH-성진-191</t>
  </si>
  <si>
    <t>SWH-성진-191-SWHERF5517PINKOSM</t>
  </si>
  <si>
    <t>SWH의류외517</t>
  </si>
  <si>
    <t>SWHERF5517</t>
  </si>
  <si>
    <t>SWBERF5517PKOSM</t>
  </si>
  <si>
    <t>SWHERF5517PK</t>
  </si>
  <si>
    <t>SWH-성진-191-SWHERF5517PINKOML</t>
  </si>
  <si>
    <t>SWBERF5517PKOML</t>
  </si>
  <si>
    <t>SWH-성진-19 TTL</t>
  </si>
  <si>
    <t>BLH</t>
  </si>
  <si>
    <t>BLH-FOREMOST-43</t>
  </si>
  <si>
    <t>BLH-FOREMOST-43BLHFEF5003BK</t>
  </si>
  <si>
    <t>BLH-FOREMOST-431</t>
  </si>
  <si>
    <t>BLH-FOREMOST-431-BLHFEF5003BLACKFRE</t>
  </si>
  <si>
    <t>BLH의류외3</t>
  </si>
  <si>
    <t>BLLFEF</t>
  </si>
  <si>
    <t>BLL HATSON</t>
  </si>
  <si>
    <t>FE</t>
  </si>
  <si>
    <t>FEDORA</t>
  </si>
  <si>
    <t>U</t>
  </si>
  <si>
    <t>003</t>
  </si>
  <si>
    <t>BLHFEF5003</t>
  </si>
  <si>
    <t>BLLFEF5003BKFRE</t>
  </si>
  <si>
    <t>BLHFEF5003BK</t>
  </si>
  <si>
    <t>BLH-FOREMOST-43 TTL</t>
  </si>
  <si>
    <t>ELH-대경-09</t>
  </si>
  <si>
    <t>ELH-대경-09ELHJPF5001BK</t>
  </si>
  <si>
    <t>ELH-대경-091</t>
  </si>
  <si>
    <t>ELH-대경-091-ELHJPF5001BLACKOXS</t>
  </si>
  <si>
    <t>ELH의류1</t>
  </si>
  <si>
    <t>001</t>
  </si>
  <si>
    <t>ELHJPF5001</t>
  </si>
  <si>
    <t>ELSJPF5001BKOXS</t>
  </si>
  <si>
    <t>ELHJPF5001BK</t>
  </si>
  <si>
    <t>ELH-대경-091-ELHJPF5001BLACKOSS</t>
  </si>
  <si>
    <t>ELSJPF5001BKOSS</t>
  </si>
  <si>
    <t>ELH-대경-091-ELHJPF5001BLACKOMM</t>
  </si>
  <si>
    <t>ELSJPF5001BKOMM</t>
  </si>
  <si>
    <t>ELH-대경-091-ELHJPF5001BLACKOLL</t>
  </si>
  <si>
    <t>ELSJPF5001BKOLL</t>
  </si>
  <si>
    <t>ELH-대경-091-ELHJPF5001BLACKOXL</t>
  </si>
  <si>
    <t>ELSJPF5001BKOXL</t>
  </si>
  <si>
    <t>ELH-대경-09ELHJPF5001RE</t>
  </si>
  <si>
    <t>ELH-대경-092</t>
  </si>
  <si>
    <t>ELH-대경-092-ELHJPF5001REDOXS</t>
  </si>
  <si>
    <t>ELSJPF5001REOXS</t>
  </si>
  <si>
    <t>ELHJPF5001RE</t>
  </si>
  <si>
    <t>ELH-대경-092-ELHJPF5001REDOSS</t>
  </si>
  <si>
    <t>ELSJPF5001REOSS</t>
  </si>
  <si>
    <t>ELH-대경-092-ELHJPF5001REDOMM</t>
  </si>
  <si>
    <t>ELSJPF5001REOMM</t>
  </si>
  <si>
    <t>ELH-대경-092-ELHJPF5001REDOLL</t>
  </si>
  <si>
    <t>ELSJPF5001REOLL</t>
  </si>
  <si>
    <t>ELH-대경-092-ELHJPF5001REDOXL</t>
  </si>
  <si>
    <t>ELSJPF5001REOXL</t>
  </si>
  <si>
    <t>ELH-대경-09ELHJPF5028BK</t>
  </si>
  <si>
    <t>ELH-대경-093</t>
  </si>
  <si>
    <t>ELH-대경-093-ELHJPF5028BLACKOXS</t>
  </si>
  <si>
    <t>ELH의류28</t>
  </si>
  <si>
    <t>028</t>
  </si>
  <si>
    <t>ELHJPF5028</t>
  </si>
  <si>
    <t>ELSJPF5028BKOXS</t>
  </si>
  <si>
    <t>ELHJPF5028BK</t>
  </si>
  <si>
    <t>ELH-대경-093-ELHJPF5028BLACKOSS</t>
  </si>
  <si>
    <t>ELSJPF5028BKOSS</t>
  </si>
  <si>
    <t>ELH-대경-093-ELHJPF5028BLACKOMM</t>
  </si>
  <si>
    <t>ELSJPF5028BKOMM</t>
  </si>
  <si>
    <t>ELH-대경-093-ELHJPF5028BLACKOLL</t>
  </si>
  <si>
    <t>ELSJPF5028BKOLL</t>
  </si>
  <si>
    <t>ELH-대경-093-ELHJPF5028BLACKOXL</t>
  </si>
  <si>
    <t>ELSJPF5028BKOXL</t>
  </si>
  <si>
    <t>ELH-대경-09 TTL</t>
  </si>
  <si>
    <t>ELH-아트인드림-17</t>
  </si>
  <si>
    <t>ELH-아트인드림-17ELHTHF5017BK</t>
  </si>
  <si>
    <t>ELH-아트인드림-171</t>
  </si>
  <si>
    <t>ELH-아트인드림-171-ELHTHF5017BLACKOSS</t>
  </si>
  <si>
    <t>ELH의류17</t>
  </si>
  <si>
    <t>017</t>
  </si>
  <si>
    <t>ELHTHF5017</t>
  </si>
  <si>
    <t>ELSTHF5017BKOSS</t>
  </si>
  <si>
    <t>ELHTHF5017BK</t>
  </si>
  <si>
    <t>ELH-아트인드림-171-ELHTHF5017BLACKOMM</t>
  </si>
  <si>
    <t>ELSTHF5017BKOMM</t>
  </si>
  <si>
    <t>ELH-아트인드림-171-ELHTHF5017BLACKOLL</t>
  </si>
  <si>
    <t>ELSTHF5017BKOLL</t>
  </si>
  <si>
    <t>ELH-아트인드림-171-ELHTHF5017BLACKOXL</t>
  </si>
  <si>
    <t>ELSTHF5017BKOXL</t>
  </si>
  <si>
    <t>ELH-아트인드림-17ELHTHF5017RE</t>
  </si>
  <si>
    <t>ELH-아트인드림-172</t>
  </si>
  <si>
    <t>ELH-아트인드림-172-ELHTHF5017REDOXS</t>
  </si>
  <si>
    <t>ELSTHF5017REOXS</t>
  </si>
  <si>
    <t>ELHTHF5017RE</t>
  </si>
  <si>
    <t>ELH-아트인드림-172-ELHTHF5017REDOSS</t>
  </si>
  <si>
    <t>ELSTHF5017REOSS</t>
  </si>
  <si>
    <t>ELH-아트인드림-172-ELHTHF5017REDOMM</t>
  </si>
  <si>
    <t>ELSTHF5017REOMM</t>
  </si>
  <si>
    <t>ELH-아트인드림-172-ELHTHF5017REDOLL</t>
  </si>
  <si>
    <t>ELSTHF5017REOLL</t>
  </si>
  <si>
    <t>ELH-아트인드림-17 TTL</t>
  </si>
  <si>
    <t>ELH-성진-20</t>
  </si>
  <si>
    <t>ELH-성진-20ELHSNF3001BK</t>
  </si>
  <si>
    <t>ELH-성진-201</t>
  </si>
  <si>
    <t>ELH-성진-201-ELHSNF3001BLACKFRE</t>
  </si>
  <si>
    <t>ELH의류외1</t>
  </si>
  <si>
    <t>ELSSNF</t>
  </si>
  <si>
    <t>ELHSNF3001</t>
  </si>
  <si>
    <t>ELSSNF3001BKFRE</t>
  </si>
  <si>
    <t>ELHSNF3001BK</t>
  </si>
  <si>
    <t>ELH-성진-20ELHSNF5003RE</t>
  </si>
  <si>
    <t>ELH-성진-202</t>
  </si>
  <si>
    <t>ELH-성진-202-ELHSNF5003REDFRE</t>
  </si>
  <si>
    <t>ELH의류외3</t>
  </si>
  <si>
    <t>ELHSNF5003</t>
  </si>
  <si>
    <t>ELSSNF5003REFRE</t>
  </si>
  <si>
    <t>ELHSNF5003RE</t>
  </si>
  <si>
    <t>ELH-성진-20 TTL</t>
  </si>
  <si>
    <t>ELH-동일모자-32</t>
  </si>
  <si>
    <t>ELH-동일모자-32ELHSNF5028GY</t>
  </si>
  <si>
    <t>ELH-동일모자-321</t>
  </si>
  <si>
    <t>ELH-동일모자-321-ELHSNF5028GREYFRE</t>
  </si>
  <si>
    <t>ELH의류외28</t>
  </si>
  <si>
    <t>ELHSNF5028</t>
  </si>
  <si>
    <t>ELSSNF5028GYFRE</t>
  </si>
  <si>
    <t>ELHSNF5028GY</t>
  </si>
  <si>
    <t>ELH-동일모자-32 TTL</t>
  </si>
  <si>
    <t>ELH-FOREMOST-44</t>
  </si>
  <si>
    <t>ELH-FOREMOST-44ELHTPF5301NY</t>
  </si>
  <si>
    <t>ELH-FOREMOST-441</t>
  </si>
  <si>
    <t>ELH-FOREMOST-441-ELHTPF5301NAVYFRE</t>
  </si>
  <si>
    <t>ELH의류외301</t>
  </si>
  <si>
    <t>ELSTPF</t>
  </si>
  <si>
    <t>ELHTPF5301</t>
  </si>
  <si>
    <t>ELSTPF5301NYFRE</t>
  </si>
  <si>
    <t>ELHTPF5301NY</t>
  </si>
  <si>
    <t>ELH-FOREMOST-44 TTL</t>
  </si>
  <si>
    <t>HCH</t>
  </si>
  <si>
    <t>HCH-동일모자-33</t>
  </si>
  <si>
    <t>HCH-동일모자-33HCHMIF3007BK</t>
  </si>
  <si>
    <t>HCH-동일모자-331</t>
  </si>
  <si>
    <t>HCH-동일모자-331-HCHMIF3007BLACKFRE</t>
  </si>
  <si>
    <t>HCH의류외7</t>
  </si>
  <si>
    <t>HCUMIF</t>
  </si>
  <si>
    <t>HCU HATSON</t>
  </si>
  <si>
    <t>007</t>
  </si>
  <si>
    <t>HCHMIF3007</t>
  </si>
  <si>
    <t>HCUMIF3007BKFRE</t>
  </si>
  <si>
    <t>HCHMIF3007BK</t>
  </si>
  <si>
    <t>HCH-동일모자-33HCHMIF3306KH</t>
  </si>
  <si>
    <t>HCH-동일모자-332</t>
  </si>
  <si>
    <t>HCH-동일모자-332-HCHMIF3306KHAKIFRE</t>
  </si>
  <si>
    <t>HCH의류외306</t>
  </si>
  <si>
    <t>HCHMIF3306</t>
  </si>
  <si>
    <t>HCUMIF3306KHFRE</t>
  </si>
  <si>
    <t>HCHMIF3306KH</t>
  </si>
  <si>
    <t>HCH-동일모자-33 TTL</t>
  </si>
  <si>
    <t>HCH-FOREMOST-45</t>
  </si>
  <si>
    <t>HCH-FOREMOST-45HCHMIF3010BK</t>
  </si>
  <si>
    <t>HCH-FOREMOST-451</t>
  </si>
  <si>
    <t>HCH-FOREMOST-451-HCHMIF3010BLACKFRE</t>
  </si>
  <si>
    <t>HCH의류외10</t>
  </si>
  <si>
    <t>010</t>
  </si>
  <si>
    <t>HCHMIF3010</t>
  </si>
  <si>
    <t>HCUMIF3010BKFRE</t>
  </si>
  <si>
    <t>HCHMIF3010BK</t>
  </si>
  <si>
    <t>HCH-FOREMOST-45HCHMIF3210BK</t>
  </si>
  <si>
    <t>HCH-FOREMOST-452</t>
  </si>
  <si>
    <t>HCH-FOREMOST-452-HCHMIF3210BLACKFRE</t>
  </si>
  <si>
    <t>HCH의류외210</t>
  </si>
  <si>
    <t>HCHMIF3210</t>
  </si>
  <si>
    <t>HCUMIF3210BKFRE</t>
  </si>
  <si>
    <t>HCHMIF3210BK</t>
  </si>
  <si>
    <t>HCH-FOREMOST-45 TTL</t>
  </si>
  <si>
    <t>MGH</t>
  </si>
  <si>
    <t>MGH-캡보이2-05</t>
  </si>
  <si>
    <t>MGH-캡보이2-05MGHSNF3001BK</t>
  </si>
  <si>
    <t>MGH-캡보이2-051</t>
  </si>
  <si>
    <t>MGH-캡보이2-051-MGHSNF3001BLACKFRE</t>
  </si>
  <si>
    <t>MGH의류외1</t>
  </si>
  <si>
    <t>MGMSNF</t>
  </si>
  <si>
    <t>MGM HATSON</t>
  </si>
  <si>
    <t>MGHSNF3001</t>
  </si>
  <si>
    <t>MGMSNF3001BKFRE</t>
  </si>
  <si>
    <t>MGHSNF3001BK</t>
  </si>
  <si>
    <t>MGH-캡보이2-05MGHSNF3004GY</t>
  </si>
  <si>
    <t>MGH-캡보이2-052</t>
  </si>
  <si>
    <t>MGH-캡보이2-052-MGHSNF3004GREYFRE</t>
  </si>
  <si>
    <t>MGH의류외4</t>
  </si>
  <si>
    <t>004</t>
  </si>
  <si>
    <t>MGHSNF3004</t>
  </si>
  <si>
    <t>MGMSNF3004GYFRE</t>
  </si>
  <si>
    <t>MGHSNF3004GY</t>
  </si>
  <si>
    <t>MGH-캡보이2-05 TTL</t>
  </si>
  <si>
    <t>MGH-J&amp;F-02</t>
  </si>
  <si>
    <t>MGH-J&amp;F-02MGHSNF3016NY</t>
  </si>
  <si>
    <t>MGH-J&amp;F-021</t>
  </si>
  <si>
    <t>MGH-J&amp;F-021-MGHSNF3016NAVYFRE</t>
  </si>
  <si>
    <t>MGH의류외16</t>
  </si>
  <si>
    <t>016</t>
  </si>
  <si>
    <t>MGHSNF3016</t>
  </si>
  <si>
    <t>MGMSNF3016NYFRE</t>
  </si>
  <si>
    <t>MGHSNF3016NY</t>
  </si>
  <si>
    <t>MGH-J&amp;F-02 TTL</t>
  </si>
  <si>
    <t>NOH-FOREMOST-46</t>
  </si>
  <si>
    <t>NOH-FOREMOST-46NOHERF5004BK</t>
  </si>
  <si>
    <t>NOH-FOREMOST-461</t>
  </si>
  <si>
    <t>NOH-FOREMOST-461-NOHERF5004BLACKFRE</t>
  </si>
  <si>
    <t>NOH의류외4</t>
  </si>
  <si>
    <t>NOVERF</t>
  </si>
  <si>
    <t>NOHERF5004</t>
  </si>
  <si>
    <t>NOVERF5004BKFRE</t>
  </si>
  <si>
    <t>NOHERF5004BK</t>
  </si>
  <si>
    <t>NOH-FOREMOST-46NOHERF5004RE</t>
  </si>
  <si>
    <t>NOH-FOREMOST-462</t>
  </si>
  <si>
    <t>NOH-FOREMOST-462-NOHERF5004REDFRE</t>
  </si>
  <si>
    <t>NOVERF5004REFRE</t>
  </si>
  <si>
    <t>NOHERF5004RE</t>
  </si>
  <si>
    <t>NOH-FOREMOST-46 TTL</t>
  </si>
  <si>
    <t>PLH-성진-21</t>
  </si>
  <si>
    <t>PLH-성진-21PLHUMF3407BK</t>
  </si>
  <si>
    <t>PLH-성진-211</t>
  </si>
  <si>
    <t>PLH-성진-211-PLHUMF3407BLACKFRE</t>
  </si>
  <si>
    <t>PLH의류외407</t>
  </si>
  <si>
    <t>PLAUMF</t>
  </si>
  <si>
    <t>PLHUMF3407</t>
  </si>
  <si>
    <t>PLAUMF3407BKFRE</t>
  </si>
  <si>
    <t>PLHUMF3407BK</t>
  </si>
  <si>
    <t>PLH-성진-21PLHUMF3409BK</t>
  </si>
  <si>
    <t>PLH-성진-212</t>
  </si>
  <si>
    <t>PLH-성진-212-PLHUMF3409BLACKFRE</t>
  </si>
  <si>
    <t>PLH의류외409</t>
  </si>
  <si>
    <t>PLHUMF3409</t>
  </si>
  <si>
    <t>PLAUMF3409BKFRE</t>
  </si>
  <si>
    <t>PLHUMF3409BK</t>
  </si>
  <si>
    <t>PLH-성진-21PLHUMF3411BK</t>
  </si>
  <si>
    <t>PLH-성진-213</t>
  </si>
  <si>
    <t>PLH-성진-213-PLHUMF3411BLACKFRE</t>
  </si>
  <si>
    <t>PLH의류외411</t>
  </si>
  <si>
    <t>PLHUMF3411</t>
  </si>
  <si>
    <t>PLAUMF3411BKFRE</t>
  </si>
  <si>
    <t>PLHUMF3411BK</t>
  </si>
  <si>
    <t>PLH-성진-21PLHUMF5001BK</t>
  </si>
  <si>
    <t>PLH-성진-214</t>
  </si>
  <si>
    <t>PLH-성진-214-PLHUMF5001BLACKFRE</t>
  </si>
  <si>
    <t>PLH의류외1</t>
  </si>
  <si>
    <t>PLHUMF5001</t>
  </si>
  <si>
    <t>PLAUMF5001BKFRE</t>
  </si>
  <si>
    <t>PLHUMF5001BK</t>
  </si>
  <si>
    <t>PLH-성진-21PLHUMF5001GY</t>
  </si>
  <si>
    <t>PLH-성진-215</t>
  </si>
  <si>
    <t>PLH-성진-215-PLHUMF5001GREYFRE</t>
  </si>
  <si>
    <t>PLAUMF5001GYFRE</t>
  </si>
  <si>
    <t>PLHUMF5001GY</t>
  </si>
  <si>
    <t>PLH-성진-21PLHUMF5001NY</t>
  </si>
  <si>
    <t>PLH-성진-216</t>
  </si>
  <si>
    <t>PLH-성진-216-PLHUMF5001NAVYFRE</t>
  </si>
  <si>
    <t>PLAUMF5001NYFRE</t>
  </si>
  <si>
    <t>PLHUMF5001NY</t>
  </si>
  <si>
    <t>PLH-성진-21PLHUMF5001RE</t>
  </si>
  <si>
    <t>PLH-성진-217</t>
  </si>
  <si>
    <t>PLH-성진-217-PLHUMF5001REDFRE</t>
  </si>
  <si>
    <t>PLAUMF5001REFRE</t>
  </si>
  <si>
    <t>PLHUMF5001RE</t>
  </si>
  <si>
    <t>PLH-성진-21 TTL</t>
  </si>
  <si>
    <t>PNH-의류</t>
  </si>
  <si>
    <t>PNH-유건-01</t>
  </si>
  <si>
    <t>PNH-유건-01PNHJPF5007BK</t>
  </si>
  <si>
    <t>PNH-유건-011</t>
  </si>
  <si>
    <t>PNH-유건-011-PNHJPF5007BLACKOMM</t>
  </si>
  <si>
    <t>PNH의류7</t>
  </si>
  <si>
    <t>PNH</t>
  </si>
  <si>
    <t>PNYJPF</t>
  </si>
  <si>
    <t>PNY HATSON</t>
  </si>
  <si>
    <t>PNHJPF5007</t>
  </si>
  <si>
    <t>PNYJPF5007BKOMM</t>
  </si>
  <si>
    <t>PNHJPF5007BK</t>
  </si>
  <si>
    <t>유건</t>
  </si>
  <si>
    <t>PNH-유건-011-PNHJPF5007BLACKOLL</t>
  </si>
  <si>
    <t>PNYJPF5007BKOLL</t>
  </si>
  <si>
    <t>PNH-유건-01 TTL</t>
  </si>
  <si>
    <t>PNH-아트인드림-18</t>
  </si>
  <si>
    <t>PNH-아트인드림-18PNHTHF5005BK</t>
  </si>
  <si>
    <t>PNH-아트인드림-181</t>
  </si>
  <si>
    <t>PNH-아트인드림-181-PNHTHF5005BLACKOSS</t>
  </si>
  <si>
    <t>PNH의류5</t>
  </si>
  <si>
    <t>PNYTHF</t>
  </si>
  <si>
    <t>005</t>
  </si>
  <si>
    <t>PNHTHF5005</t>
  </si>
  <si>
    <t>PNYTHF5005BKOSS</t>
  </si>
  <si>
    <t>PNHTHF5005BK</t>
  </si>
  <si>
    <t>PNH-아트인드림-181-PNHTHF5005BLACKOMM</t>
  </si>
  <si>
    <t>PNYTHF5005BKOMM</t>
  </si>
  <si>
    <t>PNH-아트인드림-181-PNHTHF5005BLACKOLL</t>
  </si>
  <si>
    <t>PNYTHF5005BKOLL</t>
  </si>
  <si>
    <t>PNH-아트인드림-181-PNHTHF5005BLACKOXL</t>
  </si>
  <si>
    <t>PNYTHF5005BKOXL</t>
  </si>
  <si>
    <t>PNH-아트인드림-18 TTL</t>
  </si>
  <si>
    <t>SBH-FOREMOST-47</t>
  </si>
  <si>
    <t>SBH-FOREMOST-47SBHBAF5008BG</t>
  </si>
  <si>
    <t>SBH-FOREMOST-471</t>
  </si>
  <si>
    <t>SBH-FOREMOST-471-SBHBAF5008BEIGEFRE</t>
  </si>
  <si>
    <t>SBH의류외8</t>
  </si>
  <si>
    <t>008</t>
  </si>
  <si>
    <t>SBHBAF5008</t>
  </si>
  <si>
    <t>SBRBAF5008BGFRE</t>
  </si>
  <si>
    <t>SBHBAF5008BG</t>
  </si>
  <si>
    <t>SBH-FOREMOST-47SBHBAF5011GY</t>
  </si>
  <si>
    <t>SBH-FOREMOST-472</t>
  </si>
  <si>
    <t>SBH-FOREMOST-472-SBHBAF5011GREYFRE</t>
  </si>
  <si>
    <t>SBH의류외11</t>
  </si>
  <si>
    <t>011</t>
  </si>
  <si>
    <t>SBHBAF5011</t>
  </si>
  <si>
    <t>SBRBAF5011GYFRE</t>
  </si>
  <si>
    <t>SBHBAF5011GY</t>
  </si>
  <si>
    <t>SBH-FOREMOST-47SBHBAF5012BG</t>
  </si>
  <si>
    <t>SBH-FOREMOST-473</t>
  </si>
  <si>
    <t>SBH-FOREMOST-473-SBHBAF5012BEIGEFRE</t>
  </si>
  <si>
    <t>SBH의류외12</t>
  </si>
  <si>
    <t>012</t>
  </si>
  <si>
    <t>SBHBAF5012</t>
  </si>
  <si>
    <t>SBRBAF5012BGFRE</t>
  </si>
  <si>
    <t>SBHBAF5012BG</t>
  </si>
  <si>
    <t>SBH-FOREMOST-47SBHBAF5012GY</t>
  </si>
  <si>
    <t>SBH-FOREMOST-474</t>
  </si>
  <si>
    <t>SBH-FOREMOST-474-SBHBAF5012GREYFRE</t>
  </si>
  <si>
    <t>SBRBAF5012GYFRE</t>
  </si>
  <si>
    <t>SBHBAF5012GY</t>
  </si>
  <si>
    <t>SBH-FOREMOST-47SBHBAF5017BK</t>
  </si>
  <si>
    <t>SBH-FOREMOST-475</t>
  </si>
  <si>
    <t>SBH-FOREMOST-475-SBHBAF5017BLACKFRE</t>
  </si>
  <si>
    <t>SBH의류외17</t>
  </si>
  <si>
    <t>SBHBAF5017</t>
  </si>
  <si>
    <t>SBRBAF5017BKFRE</t>
  </si>
  <si>
    <t>SBHBAF5017BK</t>
  </si>
  <si>
    <t>SBH-FOREMOST-47SBHBAF5017BW</t>
  </si>
  <si>
    <t>SBH-FOREMOST-476</t>
  </si>
  <si>
    <t>SBH-FOREMOST-476-SBHBAF5017BROWNFRE</t>
  </si>
  <si>
    <t>SBRBAF5017BWFRE</t>
  </si>
  <si>
    <t>SBHBAF5017BW</t>
  </si>
  <si>
    <t>SBH-FOREMOST-47SBHBEF5034BK</t>
  </si>
  <si>
    <t>SBH-FOREMOST-477</t>
  </si>
  <si>
    <t>SBH-FOREMOST-477-SBHBEF5034BLACKFRE</t>
  </si>
  <si>
    <t>SBH의류외34</t>
  </si>
  <si>
    <t>SBRBEF</t>
  </si>
  <si>
    <t>034</t>
  </si>
  <si>
    <t>SBHBEF5034</t>
  </si>
  <si>
    <t>SBRBEF5034BKFRE</t>
  </si>
  <si>
    <t>SBHBEF5034BK</t>
  </si>
  <si>
    <t>SBH-FOREMOST-47SBHBEF5034BL</t>
  </si>
  <si>
    <t>SBH-FOREMOST-478</t>
  </si>
  <si>
    <t>SBH-FOREMOST-478-SBHBEF5034BLUEFRE</t>
  </si>
  <si>
    <t>SBRBEF5034BLFRE</t>
  </si>
  <si>
    <t>SBHBEF5034BL</t>
  </si>
  <si>
    <t>SBH-FOREMOST-47SBHBEF5034PP</t>
  </si>
  <si>
    <t>SBH-FOREMOST-479</t>
  </si>
  <si>
    <t>SBH-FOREMOST-479-SBHBEF5034PURPLEFRE</t>
  </si>
  <si>
    <t>SBRBEF5034PPFRE</t>
  </si>
  <si>
    <t>SBHBEF5034PP</t>
  </si>
  <si>
    <t>SBH-FOREMOST-47SBHBEF5043NY</t>
  </si>
  <si>
    <t>SBH-FOREMOST-4710</t>
  </si>
  <si>
    <t>SBH-FOREMOST-4710-SBHBEF5043NAVYFRE</t>
  </si>
  <si>
    <t>SBH의류외43</t>
  </si>
  <si>
    <t>043</t>
  </si>
  <si>
    <t>SBHBEF5043</t>
  </si>
  <si>
    <t>SBRBEF5043NYFRE</t>
  </si>
  <si>
    <t>SBHBEF5043NY</t>
  </si>
  <si>
    <t>SBH-FOREMOST-47SBHBEF5043PP</t>
  </si>
  <si>
    <t>SBH-FOREMOST-4711</t>
  </si>
  <si>
    <t>SBH-FOREMOST-4711-SBHBEF5043PURPLEFRE</t>
  </si>
  <si>
    <t>SBRBEF5043PPFRE</t>
  </si>
  <si>
    <t>SBHBEF5043PP</t>
  </si>
  <si>
    <t>SBH-FOREMOST-47SBHBEF5043RE</t>
  </si>
  <si>
    <t>SBH-FOREMOST-4712</t>
  </si>
  <si>
    <t>SBH-FOREMOST-4712-SBHBEF5043REDFRE</t>
  </si>
  <si>
    <t>SBRBEF5043REFRE</t>
  </si>
  <si>
    <t>SBHBEF5043RE</t>
  </si>
  <si>
    <t>SBH-FOREMOST-47SBHEBF5028GY</t>
  </si>
  <si>
    <t>SBH-FOREMOST-4713</t>
  </si>
  <si>
    <t>SBH-FOREMOST-4713-SBHEBF5028GREYFRE</t>
  </si>
  <si>
    <t>SBH의류외28</t>
  </si>
  <si>
    <t>SBREBF</t>
  </si>
  <si>
    <t>SBHEBF5028</t>
  </si>
  <si>
    <t>SBREBF5028GYFRE</t>
  </si>
  <si>
    <t>SBHEBF5028GY</t>
  </si>
  <si>
    <t>SBH-FOREMOST-47SBHEBF5028NY</t>
  </si>
  <si>
    <t>SBH-FOREMOST-4714</t>
  </si>
  <si>
    <t>SBH-FOREMOST-4714-SBHEBF5028NAVYFRE</t>
  </si>
  <si>
    <t>SBREBF5028NYFRE</t>
  </si>
  <si>
    <t>SBHEBF5028NY</t>
  </si>
  <si>
    <t>SBH-FOREMOST-47SBHEBF5049BG</t>
  </si>
  <si>
    <t>SBH-FOREMOST-4715</t>
  </si>
  <si>
    <t>SBH-FOREMOST-4715-SBHEBF5049BEIGEFRE</t>
  </si>
  <si>
    <t>SBH의류외49</t>
  </si>
  <si>
    <t>049</t>
  </si>
  <si>
    <t>SBHEBF5049</t>
  </si>
  <si>
    <t>SBREBF5049BGFRE</t>
  </si>
  <si>
    <t>SBHEBF5049BG</t>
  </si>
  <si>
    <t>SBH-FOREMOST-47SBHEBF5049BK</t>
  </si>
  <si>
    <t>SBH-FOREMOST-4716</t>
  </si>
  <si>
    <t>SBH-FOREMOST-4716-SBHEBF5049BLACKFRE</t>
  </si>
  <si>
    <t>SBREBF5049BKFRE</t>
  </si>
  <si>
    <t>SBHEBF5049BK</t>
  </si>
  <si>
    <t>SBH-FOREMOST-47SBHEBF5049GY</t>
  </si>
  <si>
    <t>SBH-FOREMOST-4717</t>
  </si>
  <si>
    <t>SBH-FOREMOST-4717-SBHEBF5049GREYFRE</t>
  </si>
  <si>
    <t>SBREBF5049GYFRE</t>
  </si>
  <si>
    <t>SBHEBF5049GY</t>
  </si>
  <si>
    <t>SBH-FOREMOST-47SBHEBF5049RE</t>
  </si>
  <si>
    <t>SBH-FOREMOST-4718</t>
  </si>
  <si>
    <t>SBH-FOREMOST-4718-SBHEBF5049REDFRE</t>
  </si>
  <si>
    <t>SBREBF5049REFRE</t>
  </si>
  <si>
    <t>SBHEBF5049RE</t>
  </si>
  <si>
    <t>SBH-FOREMOST-47SBHERF5019PK</t>
  </si>
  <si>
    <t>SBH-FOREMOST-4719</t>
  </si>
  <si>
    <t>SBH-FOREMOST-4719-SBHERF5019PINKFRE</t>
  </si>
  <si>
    <t>SBH의류외19</t>
  </si>
  <si>
    <t>SBRERF</t>
  </si>
  <si>
    <t>019</t>
  </si>
  <si>
    <t>SBHERF5019</t>
  </si>
  <si>
    <t>SBRERF5019PKFRE</t>
  </si>
  <si>
    <t>SBHERF5019PK</t>
  </si>
  <si>
    <t>SBH-FOREMOST-47SBHERF5022IV</t>
  </si>
  <si>
    <t>SBH-FOREMOST-4720</t>
  </si>
  <si>
    <t>SBH-FOREMOST-4720-SBHERF5022IVORYFRE</t>
  </si>
  <si>
    <t>SBH의류외22</t>
  </si>
  <si>
    <t>022</t>
  </si>
  <si>
    <t>SBHERF5022</t>
  </si>
  <si>
    <t>SBRERF5022IVFRE</t>
  </si>
  <si>
    <t>SBHERF5022IV</t>
  </si>
  <si>
    <t>SBH-FOREMOST-47SBHMIF3001BK</t>
  </si>
  <si>
    <t>SBH-FOREMOST-4721</t>
  </si>
  <si>
    <t>SBH-FOREMOST-4721-SBHMIF3001BLACKOXS</t>
  </si>
  <si>
    <t>SBH의류외1</t>
  </si>
  <si>
    <t>SBRMIF</t>
  </si>
  <si>
    <t>SBHMIF3001</t>
  </si>
  <si>
    <t>SBRMIF3001BKOXS</t>
  </si>
  <si>
    <t>SBHMIF3001BK</t>
  </si>
  <si>
    <t>SBH-FOREMOST-4721-SBHMIF3001BLACKLXL</t>
  </si>
  <si>
    <t>SBRMIF3001BKLXL</t>
  </si>
  <si>
    <t>LXL</t>
  </si>
  <si>
    <t>SBH-FOREMOST-47SBHMIF3001KH</t>
  </si>
  <si>
    <t>SBH-FOREMOST-4722</t>
  </si>
  <si>
    <t>SBH-FOREMOST-4722-SBHMIF3001KHAKIFRE</t>
  </si>
  <si>
    <t>SBRMIF3001KHFRE</t>
  </si>
  <si>
    <t>SBHMIF3001KH</t>
  </si>
  <si>
    <t>SBH-FOREMOST-47SBHMIF3002BK</t>
  </si>
  <si>
    <t>SBH-FOREMOST-4723</t>
  </si>
  <si>
    <t>SBH-FOREMOST-4723-SBHMIF3002BLACKFRE</t>
  </si>
  <si>
    <t>SBH의류외2</t>
  </si>
  <si>
    <t>002</t>
  </si>
  <si>
    <t>SBHMIF3002</t>
  </si>
  <si>
    <t>SBRMIF3002BKFRE</t>
  </si>
  <si>
    <t>SBHMIF3002BK</t>
  </si>
  <si>
    <t>SBH-FOREMOST-47SBHTPF5029BK</t>
  </si>
  <si>
    <t>SBH-FOREMOST-4724</t>
  </si>
  <si>
    <t>SBH-FOREMOST-4724-SBHTPF5029BLACKFRE</t>
  </si>
  <si>
    <t>SBH의류외29</t>
  </si>
  <si>
    <t>SBRTPF</t>
  </si>
  <si>
    <t>029</t>
  </si>
  <si>
    <t>SBHTPF5029</t>
  </si>
  <si>
    <t>SBRTPF5029BKFRE</t>
  </si>
  <si>
    <t>SBHTPF5029BK</t>
  </si>
  <si>
    <t>SBH-FOREMOST-47SBHTPF5029RE</t>
  </si>
  <si>
    <t>SBH-FOREMOST-4725</t>
  </si>
  <si>
    <t>SBH-FOREMOST-4725-SBHTPF5029REDFRE</t>
  </si>
  <si>
    <t>SBRTPF5029REFRE</t>
  </si>
  <si>
    <t>SBHTPF5029RE</t>
  </si>
  <si>
    <t>SBH-FOREMOST-47 TTL</t>
  </si>
  <si>
    <t>SBH-Y&amp;Y-10</t>
  </si>
  <si>
    <t>SBH-Y&amp;Y-10SBHBEF5023BK</t>
  </si>
  <si>
    <t>SBH-Y&amp;Y-101</t>
  </si>
  <si>
    <t>SBH-Y&amp;Y-101-SBHBEF5023BLACKFRE</t>
  </si>
  <si>
    <t>SBH의류외23</t>
  </si>
  <si>
    <t>023</t>
  </si>
  <si>
    <t>SBHBEF5023</t>
  </si>
  <si>
    <t>SBRBEF5023BKFRE</t>
  </si>
  <si>
    <t>SBHBEF5023BK</t>
  </si>
  <si>
    <t>SBH-Y&amp;Y-10SBHBEF5023RE</t>
  </si>
  <si>
    <t>SBH-Y&amp;Y-102</t>
  </si>
  <si>
    <t>SBH-Y&amp;Y-102-SBHBEF5023REDFRE</t>
  </si>
  <si>
    <t>SBRBEF5023REFRE</t>
  </si>
  <si>
    <t>SBHBEF5023RE</t>
  </si>
  <si>
    <t>SBH-Y&amp;Y-10SBHBEF5024NY</t>
  </si>
  <si>
    <t>SBH-Y&amp;Y-103</t>
  </si>
  <si>
    <t>SBH-Y&amp;Y-103-SBHBEF5024NAVYFRE</t>
  </si>
  <si>
    <t>SBH의류외24</t>
  </si>
  <si>
    <t>024</t>
  </si>
  <si>
    <t>SBHBEF5024</t>
  </si>
  <si>
    <t>SBRBEF5024NYFRE</t>
  </si>
  <si>
    <t>SBHBEF5024NY</t>
  </si>
  <si>
    <t>SBH-Y&amp;Y-10SBHBEF5025BK</t>
  </si>
  <si>
    <t>SBH-Y&amp;Y-104</t>
  </si>
  <si>
    <t>SBH-Y&amp;Y-104-SBHBEF5025BLACKFRE</t>
  </si>
  <si>
    <t>SBH의류외25</t>
  </si>
  <si>
    <t>025</t>
  </si>
  <si>
    <t>SBHBEF5025</t>
  </si>
  <si>
    <t>SBRBEF5025BKFRE</t>
  </si>
  <si>
    <t>SBHBEF5025BK</t>
  </si>
  <si>
    <t>SBH-Y&amp;Y-10SBHBEF5025KH</t>
  </si>
  <si>
    <t>SBH-Y&amp;Y-105</t>
  </si>
  <si>
    <t>SBH-Y&amp;Y-105-SBHBEF5025KHAKIFRE</t>
  </si>
  <si>
    <t>SBRBEF5025KHFRE</t>
  </si>
  <si>
    <t>SBHBEF5025KH</t>
  </si>
  <si>
    <t>SBH-Y&amp;Y-10SBHBEF5032BK</t>
  </si>
  <si>
    <t>SBH-Y&amp;Y-106</t>
  </si>
  <si>
    <t>SBH-Y&amp;Y-106-SBHBEF5032BLACKFRE</t>
  </si>
  <si>
    <t>SBH의류외32</t>
  </si>
  <si>
    <t>032</t>
  </si>
  <si>
    <t>SBHBEF5032</t>
  </si>
  <si>
    <t>SBRBEF5032BKFRE</t>
  </si>
  <si>
    <t>SBHBEF5032BK</t>
  </si>
  <si>
    <t>SBH-Y&amp;Y-10SBHBEF5032BL</t>
  </si>
  <si>
    <t>SBH-Y&amp;Y-107</t>
  </si>
  <si>
    <t>SBH-Y&amp;Y-107-SBHBEF5032BLUEFRE</t>
  </si>
  <si>
    <t>SBRBEF5032BLFRE</t>
  </si>
  <si>
    <t>SBHBEF5032BL</t>
  </si>
  <si>
    <t>SBH-Y&amp;Y-10SBHBEF5032GR</t>
  </si>
  <si>
    <t>SBH-Y&amp;Y-108</t>
  </si>
  <si>
    <t>SBH-Y&amp;Y-108-SBHBEF5032GREENFRE</t>
  </si>
  <si>
    <t>SBRBEF5032GRFRE</t>
  </si>
  <si>
    <t>SBHBEF5032GR</t>
  </si>
  <si>
    <t>SBH-Y&amp;Y-10SBHBEF5032GY</t>
  </si>
  <si>
    <t>SBH-Y&amp;Y-109</t>
  </si>
  <si>
    <t>SBH-Y&amp;Y-109-SBHBEF5032GREYFRE</t>
  </si>
  <si>
    <t>SBRBEF5032GYFRE</t>
  </si>
  <si>
    <t>SBHBEF5032GY</t>
  </si>
  <si>
    <t>SBH-Y&amp;Y-10SBHBEF5032IV</t>
  </si>
  <si>
    <t>SBH-Y&amp;Y-1010</t>
  </si>
  <si>
    <t>SBH-Y&amp;Y-1010-SBHBEF5032IVORYFRE</t>
  </si>
  <si>
    <t>SBRBEF5032IVFRE</t>
  </si>
  <si>
    <t>SBHBEF5032IV</t>
  </si>
  <si>
    <t>SBH-Y&amp;Y-10SBHBEF5032RE</t>
  </si>
  <si>
    <t>SBH-Y&amp;Y-1011</t>
  </si>
  <si>
    <t>SBH-Y&amp;Y-1011-SBHBEF5032REDFRE</t>
  </si>
  <si>
    <t>SBRBEF5032REFRE</t>
  </si>
  <si>
    <t>SBHBEF5032RE</t>
  </si>
  <si>
    <t>SBH-Y&amp;Y-10SBHBEF5032YE</t>
  </si>
  <si>
    <t>SBH-Y&amp;Y-1012</t>
  </si>
  <si>
    <t>SBH-Y&amp;Y-1012-SBHBEF5032YELLOWFRE</t>
  </si>
  <si>
    <t>SBRBEF5032YEFRE</t>
  </si>
  <si>
    <t>SBHBEF5032YE</t>
  </si>
  <si>
    <t>SBH-Y&amp;Y-10SBHBEF5052BU</t>
  </si>
  <si>
    <t>SBH-Y&amp;Y-1013</t>
  </si>
  <si>
    <t>SBH-Y&amp;Y-1013-SBHBEF5052BURGUNDYFRE</t>
  </si>
  <si>
    <t>SBH의류외52</t>
  </si>
  <si>
    <t>052</t>
  </si>
  <si>
    <t>SBHBEF5052</t>
  </si>
  <si>
    <t>SBRBEF5052BUFRE</t>
  </si>
  <si>
    <t>SBHBEF5052BU</t>
  </si>
  <si>
    <t>SBH-Y&amp;Y-10SBHBEF5052GY</t>
  </si>
  <si>
    <t>SBH-Y&amp;Y-1014</t>
  </si>
  <si>
    <t>SBH-Y&amp;Y-1014-SBHBEF5052GREYFRE</t>
  </si>
  <si>
    <t>SBRBEF5052GYFRE</t>
  </si>
  <si>
    <t>SBHBEF5052GY</t>
  </si>
  <si>
    <t>SBH-Y&amp;Y-10SBHBEF5052NY</t>
  </si>
  <si>
    <t>SBH-Y&amp;Y-1015</t>
  </si>
  <si>
    <t>SBH-Y&amp;Y-1015-SBHBEF5052NAVYFRE</t>
  </si>
  <si>
    <t>SBRBEF5052NYFRE</t>
  </si>
  <si>
    <t>SBHBEF5052NY</t>
  </si>
  <si>
    <t>SBH-Y&amp;Y-10SBHEBF5026CL</t>
  </si>
  <si>
    <t>SBH-Y&amp;Y-1016</t>
  </si>
  <si>
    <t>SBH-Y&amp;Y-1016-SBHEBF5026CAMELFRE</t>
  </si>
  <si>
    <t>SBH의류외26</t>
  </si>
  <si>
    <t>026</t>
  </si>
  <si>
    <t>SBHEBF5026</t>
  </si>
  <si>
    <t>SBREBF5026CLFRE</t>
  </si>
  <si>
    <t>SBHEBF5026CL</t>
  </si>
  <si>
    <t>SBH-Y&amp;Y-10 TTL</t>
  </si>
  <si>
    <t>SBH-TS-01</t>
  </si>
  <si>
    <t>SBH-TS-01SBHFAF5079BK</t>
  </si>
  <si>
    <t>SBH-TS-011</t>
  </si>
  <si>
    <t>SBH-TS-011-SBHFAF5079BLACKFRE</t>
  </si>
  <si>
    <t>SBH의류외79</t>
  </si>
  <si>
    <t>SBRFAF</t>
  </si>
  <si>
    <t>079</t>
  </si>
  <si>
    <t>SBHFAF5079</t>
  </si>
  <si>
    <t>SBRFAF5079BKFRE</t>
  </si>
  <si>
    <t>SBHFAF5079BK</t>
  </si>
  <si>
    <t>TS</t>
  </si>
  <si>
    <t>SBH-TS-01 TTL</t>
  </si>
  <si>
    <t>SBH-동일모자-34</t>
  </si>
  <si>
    <t>SBH-동일모자-34SBHMIF5007BK</t>
  </si>
  <si>
    <t>SBH-동일모자-341</t>
  </si>
  <si>
    <t>SBH-동일모자-341-SBHMIF5007BLACKOSM</t>
  </si>
  <si>
    <t>SBH의류외7</t>
  </si>
  <si>
    <t>SBHMIF5007</t>
  </si>
  <si>
    <t>SBRMIF5007BKOSM</t>
  </si>
  <si>
    <t>SBHMIF5007BK</t>
  </si>
  <si>
    <t>SBH-동일모자-341-SBHMIF5007BLACKOML</t>
  </si>
  <si>
    <t>SBRMIF5007BKOML</t>
  </si>
  <si>
    <t>SBH-동일모자-34SBHMIF5007GY</t>
  </si>
  <si>
    <t>SBH-동일모자-342</t>
  </si>
  <si>
    <t>SBH-동일모자-342-SBHMIF5007GREYOSM</t>
  </si>
  <si>
    <t>SBRMIF5007GYOSM</t>
  </si>
  <si>
    <t>SBHMIF5007GY</t>
  </si>
  <si>
    <t>SBH-동일모자-342-SBHMIF5007GREYOML</t>
  </si>
  <si>
    <t>SBRMIF5007GYOML</t>
  </si>
  <si>
    <t>SBH-동일모자-34 TTL</t>
  </si>
  <si>
    <t>SBH-QF-16</t>
  </si>
  <si>
    <t>SBH-QF-16SBHSNF3062NY</t>
  </si>
  <si>
    <t>SBH-QF-161</t>
  </si>
  <si>
    <t>SBH-QF-161-SBHSNF3062NAVYFRE</t>
  </si>
  <si>
    <t>SBH의류외62</t>
  </si>
  <si>
    <t>SBRSNF</t>
  </si>
  <si>
    <t>062</t>
  </si>
  <si>
    <t>SBHSNF3062</t>
  </si>
  <si>
    <t>SBRSNF3062NYFRE</t>
  </si>
  <si>
    <t>SBHSNF3062NY</t>
  </si>
  <si>
    <t>SBH-QF-16 TTL</t>
  </si>
  <si>
    <t>SMH-동일모자-35</t>
  </si>
  <si>
    <t>SMH-동일모자-35SMHBAF5026GY</t>
  </si>
  <si>
    <t>SMH-동일모자-351</t>
  </si>
  <si>
    <t>SMH-동일모자-351-SMHBAF5026GREYFRE</t>
  </si>
  <si>
    <t>SMH의류외26</t>
  </si>
  <si>
    <t>SMHBAF5026</t>
  </si>
  <si>
    <t>SMBBAF5026GYFRE</t>
  </si>
  <si>
    <t>SMHBAF5026GY</t>
  </si>
  <si>
    <t>SMH-동일모자-35 TTL</t>
  </si>
  <si>
    <t>SMH-성진-22</t>
  </si>
  <si>
    <t>SMH-성진-22SMHSNF3010BK</t>
  </si>
  <si>
    <t>SMH-성진-221</t>
  </si>
  <si>
    <t>SMH-성진-221-SMHSNF3010BLACKFRE</t>
  </si>
  <si>
    <t>SMH의류외10</t>
  </si>
  <si>
    <t>SMBSNF</t>
  </si>
  <si>
    <t>SMHSNF3010</t>
  </si>
  <si>
    <t>SMBSNF3010BKFRE</t>
  </si>
  <si>
    <t>SMHSNF3010BK</t>
  </si>
  <si>
    <t>SMH-성진-22 TTL</t>
  </si>
  <si>
    <t>URH-QF-17</t>
  </si>
  <si>
    <t>URH-QF-17URHFIF3408BK</t>
  </si>
  <si>
    <t>URH-QF-171</t>
  </si>
  <si>
    <t>URH-QF-171-URHFIF3408BLACKFRE</t>
  </si>
  <si>
    <t>URH의류외408</t>
  </si>
  <si>
    <t>URHFIF3408</t>
  </si>
  <si>
    <t>URBFIF3408BKFRE</t>
  </si>
  <si>
    <t>URHFIF3408BK</t>
  </si>
  <si>
    <t>URH-QF-171-URHFIF3408BLACKLXL</t>
  </si>
  <si>
    <t>URBFIF3408BKLXL</t>
  </si>
  <si>
    <t>URH-QF-17URHFIF3411BK</t>
  </si>
  <si>
    <t>URH-QF-172</t>
  </si>
  <si>
    <t>URH-QF-172-URHFIF3411BLACKXSS</t>
  </si>
  <si>
    <t>URH의류외411</t>
  </si>
  <si>
    <t>URHFIF3411</t>
  </si>
  <si>
    <t>URBFIF3411BKXSS</t>
  </si>
  <si>
    <t>URHFIF3411BK</t>
  </si>
  <si>
    <t>URH-QF-172-URHFIF3411BLACKOSM</t>
  </si>
  <si>
    <t>URBFIF3411BKOSM</t>
  </si>
  <si>
    <t>URH-QF-172-URHFIF3411BLACKOML</t>
  </si>
  <si>
    <t>URBFIF3411BKOML</t>
  </si>
  <si>
    <t>URH-QF-172-URHFIF3411BLACKLXL</t>
  </si>
  <si>
    <t>URBFIF3411BKLXL</t>
  </si>
  <si>
    <t>URH-QF-17URHFIF3454MT</t>
  </si>
  <si>
    <t>URH-QF-173</t>
  </si>
  <si>
    <t>URH-QF-173-URHFIF3454MINTFRE</t>
  </si>
  <si>
    <t>URH의류외454</t>
  </si>
  <si>
    <t>URHFIF3454</t>
  </si>
  <si>
    <t>URBFIF3454MTFRE</t>
  </si>
  <si>
    <t>URHFIF3454MT</t>
  </si>
  <si>
    <t>URH-QF-17URHSNF3024BK</t>
  </si>
  <si>
    <t>URH-QF-174</t>
  </si>
  <si>
    <t>URH-QF-174-URHSNF3024BLACKFRE</t>
  </si>
  <si>
    <t>URH의류외24</t>
  </si>
  <si>
    <t>URBSNF</t>
  </si>
  <si>
    <t>URHSNF3024</t>
  </si>
  <si>
    <t>URBSNF3024BKFRE</t>
  </si>
  <si>
    <t>URHSNF3024BK</t>
  </si>
  <si>
    <t>URH-QF-17URHSNF3403BK</t>
  </si>
  <si>
    <t>URH-QF-175</t>
  </si>
  <si>
    <t>URH-QF-175-URHSNF3403BLACKFRE</t>
  </si>
  <si>
    <t>URH의류외403</t>
  </si>
  <si>
    <t>URHSNF3403</t>
  </si>
  <si>
    <t>URBSNF3403BKFRE</t>
  </si>
  <si>
    <t>URHSNF3403BK</t>
  </si>
  <si>
    <t>URH-QF-17URHSNF3412BK</t>
  </si>
  <si>
    <t>URH-QF-176</t>
  </si>
  <si>
    <t>URH-QF-176-URHSNF3412BLACKFRE</t>
  </si>
  <si>
    <t>URH의류외412</t>
  </si>
  <si>
    <t>URHSNF3412</t>
  </si>
  <si>
    <t>URBSNF3412BKFRE</t>
  </si>
  <si>
    <t>URHSNF3412BK</t>
  </si>
  <si>
    <t>URH-QF-17URHSNF3413BK</t>
  </si>
  <si>
    <t>URH-QF-177</t>
  </si>
  <si>
    <t>URH-QF-177-URHSNF3413BLACKFRE</t>
  </si>
  <si>
    <t>URH의류외413</t>
  </si>
  <si>
    <t>URHSNF3413</t>
  </si>
  <si>
    <t>URBSNF3413BKFRE</t>
  </si>
  <si>
    <t>URHSNF3413BK</t>
  </si>
  <si>
    <t>URH-QF-17URHSNF3414BK</t>
  </si>
  <si>
    <t>URH-QF-178</t>
  </si>
  <si>
    <t>URH-QF-178-URHSNF3414BLACKFRE</t>
  </si>
  <si>
    <t>URH의류외414</t>
  </si>
  <si>
    <t>URHSNF3414</t>
  </si>
  <si>
    <t>URBSNF3414BKFRE</t>
  </si>
  <si>
    <t>URHSNF3414BK</t>
  </si>
  <si>
    <t>URH-QF-17URHSNF3414WH</t>
  </si>
  <si>
    <t>URH-QF-179</t>
  </si>
  <si>
    <t>URH-QF-179-URHSNF3414WHITEFRE</t>
  </si>
  <si>
    <t>URBSNF3414WHFRE</t>
  </si>
  <si>
    <t>URHSNF3414WH</t>
  </si>
  <si>
    <t>URH-QF-17URHSNF5020BK</t>
  </si>
  <si>
    <t>URH-QF-1710</t>
  </si>
  <si>
    <t>URH-QF-1710-URHSNF5020BLACKFRE</t>
  </si>
  <si>
    <t>URH의류외20</t>
  </si>
  <si>
    <t>020</t>
  </si>
  <si>
    <t>URHSNF5020</t>
  </si>
  <si>
    <t>URBSNF5020BKFRE</t>
  </si>
  <si>
    <t>URHSNF5020BK</t>
  </si>
  <si>
    <t>URH-QF-17URHSNF5029GY</t>
  </si>
  <si>
    <t>URH-QF-1711</t>
  </si>
  <si>
    <t>URH-QF-1711-URHSNF5029GREYFRE</t>
  </si>
  <si>
    <t>URH의류외29</t>
  </si>
  <si>
    <t>URHSNF5029</t>
  </si>
  <si>
    <t>URBSNF5029GYFRE</t>
  </si>
  <si>
    <t>URHSNF5029GY</t>
  </si>
  <si>
    <t>URH-QF-17 TTL</t>
  </si>
  <si>
    <t>URH-J&amp;F-03</t>
  </si>
  <si>
    <t>URH-J&amp;F-03URHFIF3451BK</t>
  </si>
  <si>
    <t>URH-J&amp;F-031</t>
  </si>
  <si>
    <t>URH-J&amp;F-031-URHFIF3451BLACKFRE</t>
  </si>
  <si>
    <t>URH의류외451</t>
  </si>
  <si>
    <t>URHFIF3451</t>
  </si>
  <si>
    <t>URBFIF3451BKFRE</t>
  </si>
  <si>
    <t>URHFIF3451BK</t>
  </si>
  <si>
    <t>URH-J&amp;F-03URHFIF3451GY</t>
  </si>
  <si>
    <t>URH-J&amp;F-032</t>
  </si>
  <si>
    <t>URH-J&amp;F-032-URHFIF3451GREYFRE</t>
  </si>
  <si>
    <t>URBFIF3451GYFRE</t>
  </si>
  <si>
    <t>URHFIF3451GY</t>
  </si>
  <si>
    <t>URH-J&amp;F-03 TTL</t>
  </si>
  <si>
    <t>URH-캡보이2-06</t>
  </si>
  <si>
    <t>URH-캡보이2-06URHSNF3002BK</t>
  </si>
  <si>
    <t>URH-캡보이2-061</t>
  </si>
  <si>
    <t>URH-캡보이2-061-URHSNF3002BLACKFRE</t>
  </si>
  <si>
    <t>URH의류외2</t>
  </si>
  <si>
    <t>URHSNF3002</t>
  </si>
  <si>
    <t>URBSNF3002BKFRE</t>
  </si>
  <si>
    <t>URHSNF3002BK</t>
  </si>
  <si>
    <t>URH-캡보이2-06URHSNF3011GY</t>
  </si>
  <si>
    <t>URH-캡보이2-062</t>
  </si>
  <si>
    <t>URH-캡보이2-062-URHSNF3011GREYFRE</t>
  </si>
  <si>
    <t>URH의류외11</t>
  </si>
  <si>
    <t>URHSNF3011</t>
  </si>
  <si>
    <t>URBSNF3011GYFRE</t>
  </si>
  <si>
    <t>URHSNF3011GY</t>
  </si>
  <si>
    <t>URH-캡보이2-06URHSNF3011RE</t>
  </si>
  <si>
    <t>URH-캡보이2-063</t>
  </si>
  <si>
    <t>URH-캡보이2-063-URHSNF3011REDFRE</t>
  </si>
  <si>
    <t>URBSNF3011REFRE</t>
  </si>
  <si>
    <t>URHSNF3011RE</t>
  </si>
  <si>
    <t>URH-캡보이2-06URHSNF3012BK</t>
  </si>
  <si>
    <t>URH-캡보이2-064</t>
  </si>
  <si>
    <t>URH-캡보이2-064-URHSNF3012BLACKFRE</t>
  </si>
  <si>
    <t>URH의류외12</t>
  </si>
  <si>
    <t>URHSNF3012</t>
  </si>
  <si>
    <t>URBSNF3012BKFRE</t>
  </si>
  <si>
    <t>URHSNF3012BK</t>
  </si>
  <si>
    <t>URH-캡보이2-06URHSNF3304BK</t>
  </si>
  <si>
    <t>URH-캡보이2-065</t>
  </si>
  <si>
    <t>URH-캡보이2-065-URHSNF3304BLACKFRE</t>
  </si>
  <si>
    <t>URH의류외304</t>
  </si>
  <si>
    <t>URHSNF3304</t>
  </si>
  <si>
    <t>URBSNF3304BKFRE</t>
  </si>
  <si>
    <t>URHSNF3304BK</t>
  </si>
  <si>
    <t>URH-캡보이2-06 TTL</t>
  </si>
  <si>
    <t>URH-의류</t>
  </si>
  <si>
    <t>URH-대경-10</t>
  </si>
  <si>
    <t>URH-대경-10URHJPF5005BK</t>
  </si>
  <si>
    <t>URH-대경-101</t>
  </si>
  <si>
    <t>URH-대경-101-URHJPF5005BLACKOSS</t>
  </si>
  <si>
    <t>URH의류5</t>
  </si>
  <si>
    <t>URBJPF</t>
  </si>
  <si>
    <t>URHJPF5005</t>
  </si>
  <si>
    <t>URBJPF5005BKOSS</t>
  </si>
  <si>
    <t>URHJPF5005BK</t>
  </si>
  <si>
    <t>URH-대경-101-URHJPF5005BLACKOMM</t>
  </si>
  <si>
    <t>URBJPF5005BKOMM</t>
  </si>
  <si>
    <t>URH-대경-101-URHJPF5005BLACKOLL</t>
  </si>
  <si>
    <t>URBJPF5005BKOLL</t>
  </si>
  <si>
    <t>URH-대경-10URHJPF5007BK</t>
  </si>
  <si>
    <t>URH-대경-102</t>
  </si>
  <si>
    <t>URH-대경-102-URHJPF5007BLACKOXS</t>
  </si>
  <si>
    <t>URH의류7</t>
  </si>
  <si>
    <t>URHJPF5007</t>
  </si>
  <si>
    <t>URBJPF5007BKOXS</t>
  </si>
  <si>
    <t>URHJPF5007BK</t>
  </si>
  <si>
    <t>URH-대경-102-URHJPF5007BLACKOSS</t>
  </si>
  <si>
    <t>URBJPF5007BKOSS</t>
  </si>
  <si>
    <t>URH-대경-102-URHJPF5007BLACKOMM</t>
  </si>
  <si>
    <t>URBJPF5007BKOMM</t>
  </si>
  <si>
    <t>URH-대경-102-URHJPF5007BLACKOLL</t>
  </si>
  <si>
    <t>URBJPF5007BKOLL</t>
  </si>
  <si>
    <t>URH-대경-102-URHJPF5007BLACKOXL</t>
  </si>
  <si>
    <t>URBJPF5007BKOXL</t>
  </si>
  <si>
    <t>URH-대경-10URHJPF5007RE</t>
  </si>
  <si>
    <t>URH-대경-103</t>
  </si>
  <si>
    <t>URH-대경-103-URHJPF5007REDOXS</t>
  </si>
  <si>
    <t>URBJPF5007REOXS</t>
  </si>
  <si>
    <t>URHJPF5007RE</t>
  </si>
  <si>
    <t>URH-대경-103-URHJPF5007REDOSS</t>
  </si>
  <si>
    <t>URBJPF5007REOSS</t>
  </si>
  <si>
    <t>URH-대경-103-URHJPF5007REDOMM</t>
  </si>
  <si>
    <t>URBJPF5007REOMM</t>
  </si>
  <si>
    <t>URH-대경-103-URHJPF5007REDOLL</t>
  </si>
  <si>
    <t>URBJPF5007REOLL</t>
  </si>
  <si>
    <t>URH-대경-103-URHJPF5007REDOXL</t>
  </si>
  <si>
    <t>URBJPF5007REOXL</t>
  </si>
  <si>
    <t>URH-대경-10 TTL</t>
  </si>
  <si>
    <t>VBH-FOREMOST-48</t>
  </si>
  <si>
    <t>VBH-FOREMOST-48VBHBAF3404NY</t>
  </si>
  <si>
    <t>VBH-FOREMOST-481</t>
  </si>
  <si>
    <t>VBH-FOREMOST-481-VBHBAF3404NAVYFRE</t>
  </si>
  <si>
    <t>VBH의류외404</t>
  </si>
  <si>
    <t>VBHBAF3404</t>
  </si>
  <si>
    <t>VBLBAF3404NYFRE</t>
  </si>
  <si>
    <t>VBHBAF3404NY</t>
  </si>
  <si>
    <t>VBH-FOREMOST-48VBHBAF5002BK</t>
  </si>
  <si>
    <t>VBH-FOREMOST-482</t>
  </si>
  <si>
    <t>VBH-FOREMOST-482-VBHBAF5002BLACKFRE</t>
  </si>
  <si>
    <t>VBH의류외2</t>
  </si>
  <si>
    <t>VBHBAF5002</t>
  </si>
  <si>
    <t>VBLBAF5002BKFRE</t>
  </si>
  <si>
    <t>VBHBAF5002BK</t>
  </si>
  <si>
    <t>VBH-FOREMOST-48VBHBAF5113RE</t>
  </si>
  <si>
    <t>VBH-FOREMOST-483</t>
  </si>
  <si>
    <t>VBH-FOREMOST-483-VBHBAF5113REDFRE</t>
  </si>
  <si>
    <t>VBH의류외113</t>
  </si>
  <si>
    <t>VBHBAF5113</t>
  </si>
  <si>
    <t>VBLBAF5113REFRE</t>
  </si>
  <si>
    <t>VBHBAF5113RE</t>
  </si>
  <si>
    <t>VBH-FOREMOST-48VBHERF5007GY</t>
  </si>
  <si>
    <t>VBH-FOREMOST-484</t>
  </si>
  <si>
    <t>VBH-FOREMOST-484-VBHERF5007GREYFRE</t>
  </si>
  <si>
    <t>VBH의류외7</t>
  </si>
  <si>
    <t>VBLERF</t>
  </si>
  <si>
    <t>VBHERF5007</t>
  </si>
  <si>
    <t>VBLERF5007GYFRE</t>
  </si>
  <si>
    <t>VBHERF5007GY</t>
  </si>
  <si>
    <t>VBH-FOREMOST-48 TTL</t>
  </si>
  <si>
    <t>WTH-동일모자-36</t>
  </si>
  <si>
    <t>WTH-동일모자-36WTHERF5011BG</t>
  </si>
  <si>
    <t>WTH-동일모자-361</t>
  </si>
  <si>
    <t>WTH-동일모자-361-WTHERF5011BEIGEFRE</t>
  </si>
  <si>
    <t>WTH의류외11</t>
  </si>
  <si>
    <t>WTRERF</t>
  </si>
  <si>
    <t>WTHERF5011</t>
  </si>
  <si>
    <t>WTRERF5011BGFRE</t>
  </si>
  <si>
    <t>WTHERF5011BG</t>
  </si>
  <si>
    <t>WTH-동일모자-36 TTL</t>
  </si>
  <si>
    <t>WTH-FOREMOST-49</t>
  </si>
  <si>
    <t>WTH-FOREMOST-49WTHTPF5305GY</t>
  </si>
  <si>
    <t>WTH-FOREMOST-491</t>
  </si>
  <si>
    <t>WTH-FOREMOST-491-WTHTPF5305GREYFRE</t>
  </si>
  <si>
    <t>WTH의류외305</t>
  </si>
  <si>
    <t>WTRTPF</t>
  </si>
  <si>
    <t>WTHTPF5305</t>
  </si>
  <si>
    <t>WTRTPF5305GYFRE</t>
  </si>
  <si>
    <t>WTHTPF5305GY</t>
  </si>
  <si>
    <t>WTH-FOREMOST-49 TTL</t>
  </si>
  <si>
    <t>BRH 요약</t>
  </si>
  <si>
    <t>TS 요약</t>
  </si>
  <si>
    <t>SBH 요약</t>
  </si>
  <si>
    <t>SWH 요약</t>
  </si>
  <si>
    <t>BLH 요약</t>
  </si>
  <si>
    <t>HCH 요약</t>
  </si>
  <si>
    <t>MGH 요약</t>
  </si>
  <si>
    <t>PLH 요약</t>
  </si>
  <si>
    <t>유건 요약</t>
  </si>
  <si>
    <t>PNH-의류 요약</t>
  </si>
  <si>
    <t>URH-의류 요약</t>
  </si>
</sst>
</file>

<file path=xl/styles.xml><?xml version="1.0" encoding="utf-8"?>
<styleSheet xmlns="http://schemas.openxmlformats.org/spreadsheetml/2006/main">
  <numFmts count="10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  <numFmt numFmtId="183" formatCode="#,##0_);[Red]\(#,##0\)"/>
  </numFmts>
  <fonts count="5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816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5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5" fillId="0" borderId="0">
      <alignment vertical="center"/>
    </xf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1" fillId="0" borderId="0"/>
    <xf numFmtId="0" fontId="22" fillId="0" borderId="0"/>
    <xf numFmtId="0" fontId="22" fillId="0" borderId="0"/>
    <xf numFmtId="0" fontId="2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5" fillId="0" borderId="0">
      <alignment vertical="center"/>
    </xf>
    <xf numFmtId="0" fontId="20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" fillId="0" borderId="0"/>
    <xf numFmtId="0" fontId="23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21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41" fontId="1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22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3" fillId="9" borderId="5" applyNumberFormat="0" applyFont="0" applyAlignment="0" applyProtection="0">
      <alignment vertical="center"/>
    </xf>
    <xf numFmtId="0" fontId="23" fillId="9" borderId="5" applyNumberFormat="0" applyFont="0" applyAlignment="0" applyProtection="0">
      <alignment vertical="center"/>
    </xf>
    <xf numFmtId="0" fontId="23" fillId="9" borderId="5" applyNumberFormat="0" applyFont="0" applyAlignment="0" applyProtection="0">
      <alignment vertical="center"/>
    </xf>
    <xf numFmtId="0" fontId="23" fillId="9" borderId="5" applyNumberFormat="0" applyFon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180" fontId="23" fillId="0" borderId="0" applyFont="0" applyFill="0" applyBorder="0" applyAlignment="0" applyProtection="0">
      <alignment vertical="center"/>
    </xf>
    <xf numFmtId="180" fontId="23" fillId="0" borderId="0" applyFont="0" applyFill="0" applyBorder="0" applyAlignment="0" applyProtection="0">
      <alignment vertical="center"/>
    </xf>
    <xf numFmtId="180" fontId="23" fillId="0" borderId="0" applyFont="0" applyFill="0" applyBorder="0" applyAlignment="0" applyProtection="0">
      <alignment vertical="center"/>
    </xf>
    <xf numFmtId="180" fontId="23" fillId="0" borderId="0" applyFont="0" applyFill="0" applyBorder="0" applyAlignment="0" applyProtection="0">
      <alignment vertical="center"/>
    </xf>
    <xf numFmtId="180" fontId="23" fillId="0" borderId="0" applyFont="0" applyFill="0" applyBorder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180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182" fontId="22" fillId="0" borderId="0" applyFont="0" applyFill="0" applyBorder="0" applyAlignment="0" applyProtection="0"/>
    <xf numFmtId="0" fontId="30" fillId="0" borderId="0" applyFont="0" applyFill="0" applyBorder="0" applyAlignment="0" applyProtection="0"/>
    <xf numFmtId="182" fontId="22" fillId="0" borderId="0" applyFont="0" applyFill="0" applyBorder="0" applyAlignment="0" applyProtection="0"/>
    <xf numFmtId="0" fontId="4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5" fillId="0" borderId="0">
      <alignment vertical="center"/>
    </xf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7" fillId="0" borderId="0" applyAlignment="0">
      <alignment vertical="top" wrapText="1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>
      <alignment vertical="center"/>
    </xf>
    <xf numFmtId="0" fontId="22" fillId="0" borderId="0"/>
    <xf numFmtId="0" fontId="22" fillId="0" borderId="0"/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4" fillId="0" borderId="0">
      <alignment vertical="center"/>
    </xf>
    <xf numFmtId="0" fontId="24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/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0" borderId="0"/>
    <xf numFmtId="0" fontId="4" fillId="0" borderId="0">
      <alignment vertical="center"/>
    </xf>
    <xf numFmtId="0" fontId="24" fillId="0" borderId="0"/>
    <xf numFmtId="0" fontId="4" fillId="0" borderId="0">
      <alignment vertical="center"/>
    </xf>
    <xf numFmtId="0" fontId="2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4" fillId="0" borderId="0">
      <alignment vertical="center"/>
    </xf>
    <xf numFmtId="0" fontId="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/>
    <xf numFmtId="0" fontId="2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/>
    <xf numFmtId="0" fontId="4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3" borderId="0" applyNumberFormat="0" applyBorder="0" applyAlignment="0" applyProtection="0"/>
    <xf numFmtId="0" fontId="33" fillId="3" borderId="0" applyNumberFormat="0" applyBorder="0" applyAlignment="0" applyProtection="0"/>
    <xf numFmtId="0" fontId="34" fillId="14" borderId="4" applyNumberFormat="0" applyAlignment="0" applyProtection="0"/>
    <xf numFmtId="0" fontId="35" fillId="24" borderId="6" applyNumberFormat="0" applyAlignment="0" applyProtection="0"/>
    <xf numFmtId="0" fontId="36" fillId="0" borderId="0" applyNumberFormat="0" applyFill="0" applyBorder="0" applyAlignment="0" applyProtection="0"/>
    <xf numFmtId="0" fontId="37" fillId="4" borderId="0" applyNumberFormat="0" applyBorder="0" applyAlignment="0" applyProtection="0"/>
    <xf numFmtId="0" fontId="38" fillId="0" borderId="9" applyNumberFormat="0" applyFill="0" applyAlignment="0" applyProtection="0"/>
    <xf numFmtId="0" fontId="39" fillId="0" borderId="2" applyNumberFormat="0" applyFill="0" applyAlignment="0" applyProtection="0"/>
    <xf numFmtId="0" fontId="40" fillId="0" borderId="10" applyNumberFormat="0" applyFill="0" applyAlignment="0" applyProtection="0"/>
    <xf numFmtId="0" fontId="40" fillId="0" borderId="0" applyNumberFormat="0" applyFill="0" applyBorder="0" applyAlignment="0" applyProtection="0"/>
    <xf numFmtId="0" fontId="41" fillId="7" borderId="4" applyNumberFormat="0" applyAlignment="0" applyProtection="0"/>
    <xf numFmtId="0" fontId="42" fillId="0" borderId="13"/>
    <xf numFmtId="0" fontId="43" fillId="0" borderId="7" applyNumberFormat="0" applyFill="0" applyAlignment="0" applyProtection="0"/>
    <xf numFmtId="0" fontId="44" fillId="15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6" fillId="9" borderId="5" applyNumberFormat="0" applyFont="0" applyAlignment="0" applyProtection="0"/>
    <xf numFmtId="0" fontId="45" fillId="14" borderId="12" applyNumberFormat="0" applyAlignment="0" applyProtection="0"/>
    <xf numFmtId="9" fontId="22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8" applyNumberFormat="0" applyFill="0" applyAlignment="0" applyProtection="0"/>
    <xf numFmtId="0" fontId="48" fillId="0" borderId="0" applyNumberFormat="0" applyFill="0" applyBorder="0" applyAlignment="0" applyProtection="0"/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</cellStyleXfs>
  <cellXfs count="59">
    <xf numFmtId="0" fontId="0" fillId="0" borderId="0" xfId="0">
      <alignment vertical="center"/>
    </xf>
    <xf numFmtId="0" fontId="3" fillId="0" borderId="0" xfId="0" applyFont="1">
      <alignment vertical="center"/>
    </xf>
    <xf numFmtId="41" fontId="3" fillId="27" borderId="0" xfId="2071" applyFont="1" applyFill="1">
      <alignment vertical="center"/>
    </xf>
    <xf numFmtId="41" fontId="3" fillId="0" borderId="0" xfId="2071" applyFont="1">
      <alignment vertical="center"/>
    </xf>
    <xf numFmtId="0" fontId="3" fillId="0" borderId="0" xfId="0" applyFont="1" applyFill="1">
      <alignment vertical="center"/>
    </xf>
    <xf numFmtId="3" fontId="3" fillId="0" borderId="0" xfId="0" applyNumberFormat="1" applyFont="1" applyFill="1">
      <alignment vertical="center"/>
    </xf>
    <xf numFmtId="176" fontId="3" fillId="0" borderId="0" xfId="0" applyNumberFormat="1" applyFont="1" applyFill="1">
      <alignment vertical="center"/>
    </xf>
    <xf numFmtId="40" fontId="3" fillId="0" borderId="0" xfId="0" applyNumberFormat="1" applyFont="1" applyFill="1">
      <alignment vertical="center"/>
    </xf>
    <xf numFmtId="40" fontId="3" fillId="0" borderId="0" xfId="0" applyNumberFormat="1" applyFont="1">
      <alignment vertical="center"/>
    </xf>
    <xf numFmtId="40" fontId="3" fillId="27" borderId="0" xfId="0" applyNumberFormat="1" applyFont="1" applyFill="1" applyAlignment="1">
      <alignment horizontal="center" vertical="center" wrapText="1"/>
    </xf>
    <xf numFmtId="40" fontId="3" fillId="27" borderId="0" xfId="0" applyNumberFormat="1" applyFont="1" applyFill="1">
      <alignment vertical="center"/>
    </xf>
    <xf numFmtId="41" fontId="3" fillId="27" borderId="0" xfId="0" applyNumberFormat="1" applyFont="1" applyFill="1" applyAlignment="1">
      <alignment horizontal="center" vertical="center" wrapText="1"/>
    </xf>
    <xf numFmtId="41" fontId="3" fillId="27" borderId="0" xfId="0" applyNumberFormat="1" applyFont="1" applyFill="1">
      <alignment vertical="center"/>
    </xf>
    <xf numFmtId="41" fontId="3" fillId="0" borderId="0" xfId="0" applyNumberFormat="1" applyFont="1">
      <alignment vertical="center"/>
    </xf>
    <xf numFmtId="0" fontId="3" fillId="28" borderId="0" xfId="0" applyFont="1" applyFill="1" applyAlignment="1">
      <alignment horizontal="center" vertical="center" wrapText="1"/>
    </xf>
    <xf numFmtId="40" fontId="3" fillId="28" borderId="0" xfId="0" applyNumberFormat="1" applyFont="1" applyFill="1" applyAlignment="1">
      <alignment horizontal="center" vertical="center" wrapText="1"/>
    </xf>
    <xf numFmtId="3" fontId="3" fillId="28" borderId="0" xfId="0" applyNumberFormat="1" applyFont="1" applyFill="1" applyAlignment="1">
      <alignment horizontal="center" vertical="center" wrapText="1"/>
    </xf>
    <xf numFmtId="176" fontId="3" fillId="28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83" fontId="3" fillId="28" borderId="0" xfId="0" applyNumberFormat="1" applyFont="1" applyFill="1" applyAlignment="1">
      <alignment horizontal="center" vertical="center" wrapText="1"/>
    </xf>
    <xf numFmtId="183" fontId="3" fillId="0" borderId="0" xfId="0" applyNumberFormat="1" applyFont="1" applyFill="1">
      <alignment vertical="center"/>
    </xf>
    <xf numFmtId="183" fontId="3" fillId="29" borderId="0" xfId="0" applyNumberFormat="1" applyFont="1" applyFill="1" applyAlignment="1">
      <alignment horizontal="center" vertical="center" wrapText="1"/>
    </xf>
    <xf numFmtId="0" fontId="54" fillId="0" borderId="0" xfId="0" applyFont="1">
      <alignment vertical="center"/>
    </xf>
    <xf numFmtId="0" fontId="54" fillId="0" borderId="17" xfId="0" pivotButton="1" applyFont="1" applyBorder="1">
      <alignment vertical="center"/>
    </xf>
    <xf numFmtId="0" fontId="54" fillId="0" borderId="17" xfId="0" applyFont="1" applyBorder="1">
      <alignment vertical="center"/>
    </xf>
    <xf numFmtId="0" fontId="54" fillId="0" borderId="0" xfId="0" applyFont="1" applyAlignment="1">
      <alignment horizontal="center" vertical="center"/>
    </xf>
    <xf numFmtId="0" fontId="54" fillId="0" borderId="14" xfId="0" pivotButton="1" applyFont="1" applyBorder="1">
      <alignment vertical="center"/>
    </xf>
    <xf numFmtId="0" fontId="54" fillId="0" borderId="15" xfId="0" applyFont="1" applyBorder="1">
      <alignment vertical="center"/>
    </xf>
    <xf numFmtId="0" fontId="54" fillId="0" borderId="14" xfId="0" applyFont="1" applyBorder="1">
      <alignment vertical="center"/>
    </xf>
    <xf numFmtId="0" fontId="54" fillId="0" borderId="18" xfId="0" applyFont="1" applyBorder="1">
      <alignment vertical="center"/>
    </xf>
    <xf numFmtId="0" fontId="54" fillId="0" borderId="20" xfId="0" applyFont="1" applyBorder="1">
      <alignment vertical="center"/>
    </xf>
    <xf numFmtId="0" fontId="54" fillId="0" borderId="14" xfId="0" pivotButton="1" applyFont="1" applyBorder="1" applyAlignment="1">
      <alignment horizontal="center" vertical="center"/>
    </xf>
    <xf numFmtId="0" fontId="54" fillId="0" borderId="21" xfId="0" applyFont="1" applyBorder="1">
      <alignment vertical="center"/>
    </xf>
    <xf numFmtId="0" fontId="54" fillId="0" borderId="22" xfId="0" applyFont="1" applyBorder="1">
      <alignment vertical="center"/>
    </xf>
    <xf numFmtId="0" fontId="54" fillId="0" borderId="16" xfId="0" applyFont="1" applyBorder="1">
      <alignment vertical="center"/>
    </xf>
    <xf numFmtId="3" fontId="54" fillId="0" borderId="17" xfId="0" applyNumberFormat="1" applyFont="1" applyBorder="1">
      <alignment vertical="center"/>
    </xf>
    <xf numFmtId="0" fontId="54" fillId="0" borderId="16" xfId="0" applyFont="1" applyBorder="1" applyAlignment="1">
      <alignment horizontal="center" vertical="center"/>
    </xf>
    <xf numFmtId="0" fontId="54" fillId="0" borderId="19" xfId="0" applyFont="1" applyBorder="1" applyAlignment="1">
      <alignment horizontal="center" vertical="center"/>
    </xf>
    <xf numFmtId="3" fontId="54" fillId="0" borderId="16" xfId="0" applyNumberFormat="1" applyFont="1" applyBorder="1">
      <alignment vertical="center"/>
    </xf>
    <xf numFmtId="3" fontId="54" fillId="0" borderId="23" xfId="0" applyNumberFormat="1" applyFont="1" applyBorder="1">
      <alignment vertical="center"/>
    </xf>
    <xf numFmtId="0" fontId="55" fillId="0" borderId="0" xfId="0" applyFont="1">
      <alignment vertical="center"/>
    </xf>
    <xf numFmtId="4" fontId="55" fillId="0" borderId="24" xfId="0" applyNumberFormat="1" applyFont="1" applyBorder="1">
      <alignment vertical="center"/>
    </xf>
    <xf numFmtId="3" fontId="54" fillId="0" borderId="14" xfId="0" applyNumberFormat="1" applyFont="1" applyBorder="1">
      <alignment vertical="center"/>
    </xf>
    <xf numFmtId="3" fontId="54" fillId="0" borderId="21" xfId="0" applyNumberFormat="1" applyFont="1" applyBorder="1">
      <alignment vertical="center"/>
    </xf>
    <xf numFmtId="0" fontId="54" fillId="0" borderId="25" xfId="0" applyFont="1" applyBorder="1">
      <alignment vertical="center"/>
    </xf>
    <xf numFmtId="0" fontId="54" fillId="31" borderId="14" xfId="0" applyFont="1" applyFill="1" applyBorder="1">
      <alignment vertical="center"/>
    </xf>
    <xf numFmtId="0" fontId="54" fillId="31" borderId="18" xfId="0" applyFont="1" applyFill="1" applyBorder="1">
      <alignment vertical="center"/>
    </xf>
    <xf numFmtId="3" fontId="54" fillId="31" borderId="14" xfId="0" applyNumberFormat="1" applyFont="1" applyFill="1" applyBorder="1">
      <alignment vertical="center"/>
    </xf>
    <xf numFmtId="3" fontId="54" fillId="31" borderId="21" xfId="0" applyNumberFormat="1" applyFont="1" applyFill="1" applyBorder="1">
      <alignment vertical="center"/>
    </xf>
    <xf numFmtId="0" fontId="54" fillId="0" borderId="26" xfId="0" applyFont="1" applyBorder="1">
      <alignment vertical="center"/>
    </xf>
    <xf numFmtId="0" fontId="54" fillId="30" borderId="14" xfId="0" applyFont="1" applyFill="1" applyBorder="1">
      <alignment vertical="center"/>
    </xf>
    <xf numFmtId="0" fontId="54" fillId="30" borderId="18" xfId="0" applyFont="1" applyFill="1" applyBorder="1">
      <alignment vertical="center"/>
    </xf>
    <xf numFmtId="3" fontId="54" fillId="30" borderId="14" xfId="0" applyNumberFormat="1" applyFont="1" applyFill="1" applyBorder="1">
      <alignment vertical="center"/>
    </xf>
    <xf numFmtId="3" fontId="54" fillId="30" borderId="21" xfId="0" applyNumberFormat="1" applyFont="1" applyFill="1" applyBorder="1">
      <alignment vertical="center"/>
    </xf>
    <xf numFmtId="4" fontId="55" fillId="0" borderId="22" xfId="0" applyNumberFormat="1" applyFont="1" applyBorder="1">
      <alignment vertical="center"/>
    </xf>
    <xf numFmtId="4" fontId="55" fillId="30" borderId="22" xfId="0" applyNumberFormat="1" applyFont="1" applyFill="1" applyBorder="1">
      <alignment vertical="center"/>
    </xf>
    <xf numFmtId="4" fontId="55" fillId="31" borderId="22" xfId="0" applyNumberFormat="1" applyFont="1" applyFill="1" applyBorder="1">
      <alignment vertical="center"/>
    </xf>
    <xf numFmtId="3" fontId="54" fillId="0" borderId="15" xfId="0" applyNumberFormat="1" applyFont="1" applyBorder="1">
      <alignment vertical="center"/>
    </xf>
    <xf numFmtId="3" fontId="54" fillId="0" borderId="27" xfId="0" applyNumberFormat="1" applyFont="1" applyBorder="1">
      <alignment vertical="center"/>
    </xf>
  </cellXfs>
  <cellStyles count="2816">
    <cellStyle name="20% - 强调文字颜色 1 2" xfId="1"/>
    <cellStyle name="20% - 强调文字颜色 1 2 2" xfId="2"/>
    <cellStyle name="20% - 强调文字颜色 1 2 3" xfId="3"/>
    <cellStyle name="20% - 强调文字颜色 1 2 4" xfId="4"/>
    <cellStyle name="20% - 强调文字颜色 1 2 5" xfId="5"/>
    <cellStyle name="20% - 强调文字颜色 1 2 6" xfId="6"/>
    <cellStyle name="20% - 强调文字颜色 1 2 7" xfId="7"/>
    <cellStyle name="20% - 强调文字颜色 1 3" xfId="8"/>
    <cellStyle name="20% - 强调文字颜色 1 3 2" xfId="9"/>
    <cellStyle name="20% - 强调文字颜色 1 3 3" xfId="10"/>
    <cellStyle name="20% - 强调文字颜色 1 3 4" xfId="11"/>
    <cellStyle name="20% - 强调文字颜色 1 3 5" xfId="12"/>
    <cellStyle name="20% - 强调文字颜色 1 3 6" xfId="13"/>
    <cellStyle name="20% - 强调文字颜色 1 3 7" xfId="14"/>
    <cellStyle name="20% - 强调文字颜色 1 4" xfId="15"/>
    <cellStyle name="20% - 强调文字颜色 1 4 2" xfId="16"/>
    <cellStyle name="20% - 强调文字颜色 1 4 3" xfId="17"/>
    <cellStyle name="20% - 强调文字颜色 1 4 4" xfId="18"/>
    <cellStyle name="20% - 强调文字颜色 1 4 5" xfId="19"/>
    <cellStyle name="20% - 强调文字颜色 1 4 6" xfId="20"/>
    <cellStyle name="20% - 强调文字颜色 1 4 7" xfId="21"/>
    <cellStyle name="20% - 强调文字颜色 1 5" xfId="22"/>
    <cellStyle name="20% - 强调文字颜色 1 5 2" xfId="23"/>
    <cellStyle name="20% - 强调文字颜色 1 5 3" xfId="24"/>
    <cellStyle name="20% - 强调文字颜色 1 5 4" xfId="25"/>
    <cellStyle name="20% - 强调文字颜色 1 5 5" xfId="26"/>
    <cellStyle name="20% - 强调文字颜色 1 5 6" xfId="27"/>
    <cellStyle name="20% - 强调文字颜色 1 5 7" xfId="28"/>
    <cellStyle name="20% - 强调文字颜色 2 2" xfId="29"/>
    <cellStyle name="20% - 强调文字颜色 2 2 2" xfId="30"/>
    <cellStyle name="20% - 强调文字颜色 2 2 3" xfId="31"/>
    <cellStyle name="20% - 强调文字颜色 2 2 4" xfId="32"/>
    <cellStyle name="20% - 强调文字颜色 2 2 5" xfId="33"/>
    <cellStyle name="20% - 强调文字颜色 2 2 6" xfId="34"/>
    <cellStyle name="20% - 强调文字颜色 2 2 7" xfId="35"/>
    <cellStyle name="20% - 强调文字颜色 2 3" xfId="36"/>
    <cellStyle name="20% - 强调文字颜色 2 3 2" xfId="37"/>
    <cellStyle name="20% - 强调文字颜色 2 3 3" xfId="38"/>
    <cellStyle name="20% - 强调文字颜色 2 3 4" xfId="39"/>
    <cellStyle name="20% - 强调文字颜色 2 3 5" xfId="40"/>
    <cellStyle name="20% - 强调文字颜色 2 3 6" xfId="41"/>
    <cellStyle name="20% - 强调文字颜色 2 3 7" xfId="42"/>
    <cellStyle name="20% - 强调文字颜色 2 4" xfId="43"/>
    <cellStyle name="20% - 强调文字颜色 2 4 2" xfId="44"/>
    <cellStyle name="20% - 强调文字颜色 2 4 3" xfId="45"/>
    <cellStyle name="20% - 强调文字颜色 2 4 4" xfId="46"/>
    <cellStyle name="20% - 强调文字颜色 2 4 5" xfId="47"/>
    <cellStyle name="20% - 强调文字颜色 2 4 6" xfId="48"/>
    <cellStyle name="20% - 强调文字颜色 2 4 7" xfId="49"/>
    <cellStyle name="20% - 强调文字颜色 2 5" xfId="50"/>
    <cellStyle name="20% - 强调文字颜色 2 5 2" xfId="51"/>
    <cellStyle name="20% - 强调文字颜色 2 5 3" xfId="52"/>
    <cellStyle name="20% - 强调文字颜色 2 5 4" xfId="53"/>
    <cellStyle name="20% - 强调文字颜色 2 5 5" xfId="54"/>
    <cellStyle name="20% - 强调文字颜色 2 5 6" xfId="55"/>
    <cellStyle name="20% - 强调文字颜色 2 5 7" xfId="56"/>
    <cellStyle name="20% - 强调文字颜色 3 2" xfId="57"/>
    <cellStyle name="20% - 强调文字颜色 3 2 2" xfId="58"/>
    <cellStyle name="20% - 强调文字颜色 3 2 3" xfId="59"/>
    <cellStyle name="20% - 强调文字颜色 3 2 4" xfId="60"/>
    <cellStyle name="20% - 强调文字颜色 3 2 5" xfId="61"/>
    <cellStyle name="20% - 强调文字颜色 3 2 6" xfId="62"/>
    <cellStyle name="20% - 强调文字颜色 3 2 7" xfId="63"/>
    <cellStyle name="20% - 强调文字颜色 3 3" xfId="64"/>
    <cellStyle name="20% - 强调文字颜色 3 3 2" xfId="65"/>
    <cellStyle name="20% - 强调文字颜色 3 3 3" xfId="66"/>
    <cellStyle name="20% - 强调文字颜色 3 3 4" xfId="67"/>
    <cellStyle name="20% - 强调文字颜色 3 3 5" xfId="68"/>
    <cellStyle name="20% - 强调文字颜色 3 3 6" xfId="69"/>
    <cellStyle name="20% - 强调文字颜色 3 3 7" xfId="70"/>
    <cellStyle name="20% - 强调文字颜色 3 4" xfId="71"/>
    <cellStyle name="20% - 强调文字颜色 3 4 2" xfId="72"/>
    <cellStyle name="20% - 强调文字颜色 3 4 3" xfId="73"/>
    <cellStyle name="20% - 强调文字颜色 3 4 4" xfId="74"/>
    <cellStyle name="20% - 强调文字颜色 3 4 5" xfId="75"/>
    <cellStyle name="20% - 强调文字颜色 3 4 6" xfId="76"/>
    <cellStyle name="20% - 强调文字颜色 3 4 7" xfId="77"/>
    <cellStyle name="20% - 强调文字颜色 3 5" xfId="78"/>
    <cellStyle name="20% - 强调文字颜色 3 5 2" xfId="79"/>
    <cellStyle name="20% - 强调文字颜色 3 5 3" xfId="80"/>
    <cellStyle name="20% - 强调文字颜色 3 5 4" xfId="81"/>
    <cellStyle name="20% - 强调文字颜色 3 5 5" xfId="82"/>
    <cellStyle name="20% - 强调文字颜色 3 5 6" xfId="83"/>
    <cellStyle name="20% - 强调文字颜色 3 5 7" xfId="84"/>
    <cellStyle name="20% - 强调文字颜色 4 2" xfId="85"/>
    <cellStyle name="20% - 强调文字颜色 4 2 2" xfId="86"/>
    <cellStyle name="20% - 强调文字颜色 4 2 3" xfId="87"/>
    <cellStyle name="20% - 强调文字颜色 4 2 4" xfId="88"/>
    <cellStyle name="20% - 强调文字颜色 4 2 5" xfId="89"/>
    <cellStyle name="20% - 强调文字颜色 4 2 6" xfId="90"/>
    <cellStyle name="20% - 强调文字颜色 4 2 7" xfId="91"/>
    <cellStyle name="20% - 强调文字颜色 4 3" xfId="92"/>
    <cellStyle name="20% - 强调文字颜色 4 3 2" xfId="93"/>
    <cellStyle name="20% - 强调文字颜色 4 3 3" xfId="94"/>
    <cellStyle name="20% - 强调文字颜色 4 3 4" xfId="95"/>
    <cellStyle name="20% - 强调文字颜色 4 3 5" xfId="96"/>
    <cellStyle name="20% - 强调文字颜色 4 3 6" xfId="97"/>
    <cellStyle name="20% - 强调文字颜色 4 3 7" xfId="98"/>
    <cellStyle name="20% - 强调文字颜色 4 4" xfId="99"/>
    <cellStyle name="20% - 强调文字颜色 4 4 2" xfId="100"/>
    <cellStyle name="20% - 强调文字颜色 4 4 3" xfId="101"/>
    <cellStyle name="20% - 强调文字颜色 4 4 4" xfId="102"/>
    <cellStyle name="20% - 强调文字颜色 4 4 5" xfId="103"/>
    <cellStyle name="20% - 强调文字颜色 4 4 6" xfId="104"/>
    <cellStyle name="20% - 强调文字颜色 4 4 7" xfId="105"/>
    <cellStyle name="20% - 强调文字颜色 4 5" xfId="106"/>
    <cellStyle name="20% - 强调文字颜色 4 5 2" xfId="107"/>
    <cellStyle name="20% - 强调文字颜色 4 5 3" xfId="108"/>
    <cellStyle name="20% - 强调文字颜色 4 5 4" xfId="109"/>
    <cellStyle name="20% - 强调文字颜色 4 5 5" xfId="110"/>
    <cellStyle name="20% - 强调文字颜色 4 5 6" xfId="111"/>
    <cellStyle name="20% - 强调文字颜色 4 5 7" xfId="112"/>
    <cellStyle name="20% - 强调文字颜色 5 2" xfId="113"/>
    <cellStyle name="20% - 强调文字颜色 5 2 2" xfId="114"/>
    <cellStyle name="20% - 强调文字颜色 5 2 3" xfId="115"/>
    <cellStyle name="20% - 强调文字颜色 5 2 4" xfId="116"/>
    <cellStyle name="20% - 强调文字颜色 5 2 5" xfId="117"/>
    <cellStyle name="20% - 强调文字颜色 5 2 6" xfId="118"/>
    <cellStyle name="20% - 强调文字颜色 5 2 7" xfId="119"/>
    <cellStyle name="20% - 强调文字颜色 5 3" xfId="120"/>
    <cellStyle name="20% - 强调文字颜色 5 3 2" xfId="121"/>
    <cellStyle name="20% - 强调文字颜色 5 3 3" xfId="122"/>
    <cellStyle name="20% - 强调文字颜色 5 3 4" xfId="123"/>
    <cellStyle name="20% - 强调文字颜色 5 3 5" xfId="124"/>
    <cellStyle name="20% - 强调文字颜色 5 3 6" xfId="125"/>
    <cellStyle name="20% - 强调文字颜色 5 3 7" xfId="126"/>
    <cellStyle name="20% - 强调文字颜色 5 4" xfId="127"/>
    <cellStyle name="20% - 强调文字颜色 5 4 2" xfId="128"/>
    <cellStyle name="20% - 强调文字颜色 5 4 3" xfId="129"/>
    <cellStyle name="20% - 强调文字颜色 5 4 4" xfId="130"/>
    <cellStyle name="20% - 强调文字颜色 5 4 5" xfId="131"/>
    <cellStyle name="20% - 强调文字颜色 5 4 6" xfId="132"/>
    <cellStyle name="20% - 强调文字颜色 5 4 7" xfId="133"/>
    <cellStyle name="20% - 强调文字颜色 5 5" xfId="134"/>
    <cellStyle name="20% - 强调文字颜色 5 5 2" xfId="135"/>
    <cellStyle name="20% - 强调文字颜色 5 5 3" xfId="136"/>
    <cellStyle name="20% - 强调文字颜色 5 5 4" xfId="137"/>
    <cellStyle name="20% - 强调文字颜色 5 5 5" xfId="138"/>
    <cellStyle name="20% - 强调文字颜色 5 5 6" xfId="139"/>
    <cellStyle name="20% - 强调文字颜色 5 5 7" xfId="140"/>
    <cellStyle name="20% - 强调文字颜色 6 2" xfId="141"/>
    <cellStyle name="20% - 强调文字颜色 6 2 2" xfId="142"/>
    <cellStyle name="20% - 强调文字颜色 6 2 3" xfId="143"/>
    <cellStyle name="20% - 强调文字颜色 6 2 4" xfId="144"/>
    <cellStyle name="20% - 强调文字颜色 6 2 5" xfId="145"/>
    <cellStyle name="20% - 强调文字颜色 6 2 6" xfId="146"/>
    <cellStyle name="20% - 强调文字颜色 6 2 7" xfId="147"/>
    <cellStyle name="20% - 强调文字颜色 6 3" xfId="148"/>
    <cellStyle name="20% - 强调文字颜色 6 3 2" xfId="149"/>
    <cellStyle name="20% - 强调文字颜色 6 3 3" xfId="150"/>
    <cellStyle name="20% - 强调文字颜色 6 3 4" xfId="151"/>
    <cellStyle name="20% - 强调文字颜色 6 3 5" xfId="152"/>
    <cellStyle name="20% - 强调文字颜色 6 3 6" xfId="153"/>
    <cellStyle name="20% - 强调文字颜色 6 3 7" xfId="154"/>
    <cellStyle name="20% - 强调文字颜色 6 4" xfId="155"/>
    <cellStyle name="20% - 强调文字颜色 6 4 2" xfId="156"/>
    <cellStyle name="20% - 强调文字颜色 6 4 3" xfId="157"/>
    <cellStyle name="20% - 强调文字颜色 6 4 4" xfId="158"/>
    <cellStyle name="20% - 强调文字颜色 6 4 5" xfId="159"/>
    <cellStyle name="20% - 强调文字颜色 6 4 6" xfId="160"/>
    <cellStyle name="20% - 强调文字颜色 6 4 7" xfId="161"/>
    <cellStyle name="20% - 强调文字颜色 6 5" xfId="162"/>
    <cellStyle name="20% - 强调文字颜色 6 5 2" xfId="163"/>
    <cellStyle name="20% - 强调文字颜色 6 5 3" xfId="164"/>
    <cellStyle name="20% - 强调文字颜色 6 5 4" xfId="165"/>
    <cellStyle name="20% - 强调文字颜色 6 5 5" xfId="166"/>
    <cellStyle name="20% - 强调文字颜色 6 5 6" xfId="167"/>
    <cellStyle name="20% - 强调文字颜色 6 5 7" xfId="168"/>
    <cellStyle name="20% - Accent1" xfId="169"/>
    <cellStyle name="20% - Accent2" xfId="170"/>
    <cellStyle name="20% - Accent3" xfId="171"/>
    <cellStyle name="20% - Accent4" xfId="172"/>
    <cellStyle name="20% - Accent5" xfId="173"/>
    <cellStyle name="20% - Accent6" xfId="174"/>
    <cellStyle name="20% - アクセント 1" xfId="175"/>
    <cellStyle name="20% - アクセント 1 2" xfId="176"/>
    <cellStyle name="20% - アクセント 1 3" xfId="177"/>
    <cellStyle name="20% - アクセント 1 3 2" xfId="178"/>
    <cellStyle name="20% - アクセント 1 4" xfId="179"/>
    <cellStyle name="20% - アクセント 1 4 2" xfId="180"/>
    <cellStyle name="20% - アクセント 1 4 3" xfId="181"/>
    <cellStyle name="20% - アクセント 1 5" xfId="182"/>
    <cellStyle name="20% - アクセント 2" xfId="183"/>
    <cellStyle name="20% - アクセント 2 2" xfId="184"/>
    <cellStyle name="20% - アクセント 2 3" xfId="185"/>
    <cellStyle name="20% - アクセント 2 3 2" xfId="186"/>
    <cellStyle name="20% - アクセント 2 4" xfId="187"/>
    <cellStyle name="20% - アクセント 2 4 2" xfId="188"/>
    <cellStyle name="20% - アクセント 2 4 3" xfId="189"/>
    <cellStyle name="20% - アクセント 2 5" xfId="190"/>
    <cellStyle name="20% - アクセント 3" xfId="191"/>
    <cellStyle name="20% - アクセント 3 2" xfId="192"/>
    <cellStyle name="20% - アクセント 3 3" xfId="193"/>
    <cellStyle name="20% - アクセント 3 3 2" xfId="194"/>
    <cellStyle name="20% - アクセント 3 4" xfId="195"/>
    <cellStyle name="20% - アクセント 3 4 2" xfId="196"/>
    <cellStyle name="20% - アクセント 3 4 3" xfId="197"/>
    <cellStyle name="20% - アクセント 3 5" xfId="198"/>
    <cellStyle name="20% - アクセント 4" xfId="199"/>
    <cellStyle name="20% - アクセント 4 2" xfId="200"/>
    <cellStyle name="20% - アクセント 4 3" xfId="201"/>
    <cellStyle name="20% - アクセント 4 3 2" xfId="202"/>
    <cellStyle name="20% - アクセント 4 4" xfId="203"/>
    <cellStyle name="20% - アクセント 4 4 2" xfId="204"/>
    <cellStyle name="20% - アクセント 4 4 3" xfId="205"/>
    <cellStyle name="20% - アクセント 4 5" xfId="206"/>
    <cellStyle name="20% - アクセント 5" xfId="207"/>
    <cellStyle name="20% - アクセント 5 2" xfId="208"/>
    <cellStyle name="20% - アクセント 5 3" xfId="209"/>
    <cellStyle name="20% - アクセント 5 3 2" xfId="210"/>
    <cellStyle name="20% - アクセント 5 4" xfId="211"/>
    <cellStyle name="20% - アクセント 5 4 2" xfId="212"/>
    <cellStyle name="20% - アクセント 5 4 3" xfId="213"/>
    <cellStyle name="20% - アクセント 5 5" xfId="214"/>
    <cellStyle name="20% - アクセント 6" xfId="215"/>
    <cellStyle name="20% - アクセント 6 2" xfId="216"/>
    <cellStyle name="20% - アクセント 6 3" xfId="217"/>
    <cellStyle name="20% - アクセント 6 3 2" xfId="218"/>
    <cellStyle name="20% - アクセント 6 4" xfId="219"/>
    <cellStyle name="20% - アクセント 6 4 2" xfId="220"/>
    <cellStyle name="20% - アクセント 6 4 3" xfId="221"/>
    <cellStyle name="20% - アクセント 6 5" xfId="222"/>
    <cellStyle name="40% - 强调文字颜色 1 2" xfId="223"/>
    <cellStyle name="40% - 强调文字颜色 1 2 2" xfId="224"/>
    <cellStyle name="40% - 强调文字颜色 1 2 3" xfId="225"/>
    <cellStyle name="40% - 强调文字颜色 1 2 4" xfId="226"/>
    <cellStyle name="40% - 强调文字颜色 1 2 5" xfId="227"/>
    <cellStyle name="40% - 强调文字颜色 1 2 6" xfId="228"/>
    <cellStyle name="40% - 强调文字颜色 1 2 7" xfId="229"/>
    <cellStyle name="40% - 强调文字颜色 1 3" xfId="230"/>
    <cellStyle name="40% - 强调文字颜色 1 3 2" xfId="231"/>
    <cellStyle name="40% - 强调文字颜色 1 3 3" xfId="232"/>
    <cellStyle name="40% - 强调文字颜色 1 3 4" xfId="233"/>
    <cellStyle name="40% - 强调文字颜色 1 3 5" xfId="234"/>
    <cellStyle name="40% - 强调文字颜色 1 3 6" xfId="235"/>
    <cellStyle name="40% - 强调文字颜色 1 3 7" xfId="236"/>
    <cellStyle name="40% - 强调文字颜色 1 4" xfId="237"/>
    <cellStyle name="40% - 强调文字颜色 1 4 2" xfId="238"/>
    <cellStyle name="40% - 强调文字颜色 1 4 3" xfId="239"/>
    <cellStyle name="40% - 强调文字颜色 1 4 4" xfId="240"/>
    <cellStyle name="40% - 强调文字颜色 1 4 5" xfId="241"/>
    <cellStyle name="40% - 强调文字颜色 1 4 6" xfId="242"/>
    <cellStyle name="40% - 强调文字颜色 1 4 7" xfId="243"/>
    <cellStyle name="40% - 强调文字颜色 1 5" xfId="244"/>
    <cellStyle name="40% - 强调文字颜色 1 5 2" xfId="245"/>
    <cellStyle name="40% - 强调文字颜色 1 5 3" xfId="246"/>
    <cellStyle name="40% - 强调文字颜色 1 5 4" xfId="247"/>
    <cellStyle name="40% - 强调文字颜色 1 5 5" xfId="248"/>
    <cellStyle name="40% - 强调文字颜色 1 5 6" xfId="249"/>
    <cellStyle name="40% - 强调文字颜色 1 5 7" xfId="250"/>
    <cellStyle name="40% - 强调文字颜色 2 2" xfId="251"/>
    <cellStyle name="40% - 强调文字颜色 2 2 2" xfId="252"/>
    <cellStyle name="40% - 强调文字颜色 2 2 3" xfId="253"/>
    <cellStyle name="40% - 强调文字颜色 2 2 4" xfId="254"/>
    <cellStyle name="40% - 强调文字颜色 2 2 5" xfId="255"/>
    <cellStyle name="40% - 强调文字颜色 2 2 6" xfId="256"/>
    <cellStyle name="40% - 强调文字颜色 2 2 7" xfId="257"/>
    <cellStyle name="40% - 强调文字颜色 2 3" xfId="258"/>
    <cellStyle name="40% - 强调文字颜色 2 3 2" xfId="259"/>
    <cellStyle name="40% - 强调文字颜色 2 3 3" xfId="260"/>
    <cellStyle name="40% - 强调文字颜色 2 3 4" xfId="261"/>
    <cellStyle name="40% - 强调文字颜色 2 3 5" xfId="262"/>
    <cellStyle name="40% - 强调文字颜色 2 3 6" xfId="263"/>
    <cellStyle name="40% - 强调文字颜色 2 3 7" xfId="264"/>
    <cellStyle name="40% - 强调文字颜色 2 4" xfId="265"/>
    <cellStyle name="40% - 强调文字颜色 2 4 2" xfId="266"/>
    <cellStyle name="40% - 强调文字颜色 2 4 3" xfId="267"/>
    <cellStyle name="40% - 强调文字颜色 2 4 4" xfId="268"/>
    <cellStyle name="40% - 强调文字颜色 2 4 5" xfId="269"/>
    <cellStyle name="40% - 强调文字颜色 2 4 6" xfId="270"/>
    <cellStyle name="40% - 强调文字颜色 2 4 7" xfId="271"/>
    <cellStyle name="40% - 强调文字颜色 2 5" xfId="272"/>
    <cellStyle name="40% - 强调文字颜色 2 5 2" xfId="273"/>
    <cellStyle name="40% - 强调文字颜色 2 5 3" xfId="274"/>
    <cellStyle name="40% - 强调文字颜色 2 5 4" xfId="275"/>
    <cellStyle name="40% - 强调文字颜色 2 5 5" xfId="276"/>
    <cellStyle name="40% - 强调文字颜色 2 5 6" xfId="277"/>
    <cellStyle name="40% - 强调文字颜色 2 5 7" xfId="278"/>
    <cellStyle name="40% - 强调文字颜色 3 2" xfId="279"/>
    <cellStyle name="40% - 强调文字颜色 3 2 2" xfId="280"/>
    <cellStyle name="40% - 强调文字颜色 3 2 3" xfId="281"/>
    <cellStyle name="40% - 强调文字颜色 3 2 4" xfId="282"/>
    <cellStyle name="40% - 强调文字颜色 3 2 5" xfId="283"/>
    <cellStyle name="40% - 强调文字颜色 3 2 6" xfId="284"/>
    <cellStyle name="40% - 强调文字颜色 3 2 7" xfId="285"/>
    <cellStyle name="40% - 强调文字颜色 3 3" xfId="286"/>
    <cellStyle name="40% - 强调文字颜色 3 3 2" xfId="287"/>
    <cellStyle name="40% - 强调文字颜色 3 3 3" xfId="288"/>
    <cellStyle name="40% - 强调文字颜色 3 3 4" xfId="289"/>
    <cellStyle name="40% - 强调文字颜色 3 3 5" xfId="290"/>
    <cellStyle name="40% - 强调文字颜色 3 3 6" xfId="291"/>
    <cellStyle name="40% - 强调文字颜色 3 3 7" xfId="292"/>
    <cellStyle name="40% - 强调文字颜色 3 4" xfId="293"/>
    <cellStyle name="40% - 强调文字颜色 3 4 2" xfId="294"/>
    <cellStyle name="40% - 强调文字颜色 3 4 3" xfId="295"/>
    <cellStyle name="40% - 强调文字颜色 3 4 4" xfId="296"/>
    <cellStyle name="40% - 强调文字颜色 3 4 5" xfId="297"/>
    <cellStyle name="40% - 强调文字颜色 3 4 6" xfId="298"/>
    <cellStyle name="40% - 强调文字颜色 3 4 7" xfId="299"/>
    <cellStyle name="40% - 强调文字颜色 3 5" xfId="300"/>
    <cellStyle name="40% - 强调文字颜色 3 5 2" xfId="301"/>
    <cellStyle name="40% - 强调文字颜色 3 5 3" xfId="302"/>
    <cellStyle name="40% - 强调文字颜色 3 5 4" xfId="303"/>
    <cellStyle name="40% - 强调文字颜色 3 5 5" xfId="304"/>
    <cellStyle name="40% - 强调文字颜色 3 5 6" xfId="305"/>
    <cellStyle name="40% - 强调文字颜色 3 5 7" xfId="306"/>
    <cellStyle name="40% - 强调文字颜色 4 2" xfId="307"/>
    <cellStyle name="40% - 强调文字颜色 4 2 2" xfId="308"/>
    <cellStyle name="40% - 强调文字颜色 4 2 3" xfId="309"/>
    <cellStyle name="40% - 强调文字颜色 4 2 4" xfId="310"/>
    <cellStyle name="40% - 强调文字颜色 4 2 5" xfId="311"/>
    <cellStyle name="40% - 强调文字颜色 4 2 6" xfId="312"/>
    <cellStyle name="40% - 强调文字颜色 4 2 7" xfId="313"/>
    <cellStyle name="40% - 强调文字颜色 4 3" xfId="314"/>
    <cellStyle name="40% - 强调文字颜色 4 3 2" xfId="315"/>
    <cellStyle name="40% - 强调文字颜色 4 3 3" xfId="316"/>
    <cellStyle name="40% - 强调文字颜色 4 3 4" xfId="317"/>
    <cellStyle name="40% - 强调文字颜色 4 3 5" xfId="318"/>
    <cellStyle name="40% - 强调文字颜色 4 3 6" xfId="319"/>
    <cellStyle name="40% - 强调文字颜色 4 3 7" xfId="320"/>
    <cellStyle name="40% - 强调文字颜色 4 4" xfId="321"/>
    <cellStyle name="40% - 强调文字颜色 4 4 2" xfId="322"/>
    <cellStyle name="40% - 强调文字颜色 4 4 3" xfId="323"/>
    <cellStyle name="40% - 强调文字颜色 4 4 4" xfId="324"/>
    <cellStyle name="40% - 强调文字颜色 4 4 5" xfId="325"/>
    <cellStyle name="40% - 强调文字颜色 4 4 6" xfId="326"/>
    <cellStyle name="40% - 强调文字颜色 4 4 7" xfId="327"/>
    <cellStyle name="40% - 强调文字颜色 4 5" xfId="328"/>
    <cellStyle name="40% - 强调文字颜色 4 5 2" xfId="329"/>
    <cellStyle name="40% - 强调文字颜色 4 5 3" xfId="330"/>
    <cellStyle name="40% - 强调文字颜色 4 5 4" xfId="331"/>
    <cellStyle name="40% - 强调文字颜色 4 5 5" xfId="332"/>
    <cellStyle name="40% - 强调文字颜色 4 5 6" xfId="333"/>
    <cellStyle name="40% - 强调文字颜色 4 5 7" xfId="334"/>
    <cellStyle name="40% - 强调文字颜色 5 2" xfId="335"/>
    <cellStyle name="40% - 强调文字颜色 5 2 2" xfId="336"/>
    <cellStyle name="40% - 强调文字颜色 5 2 3" xfId="337"/>
    <cellStyle name="40% - 强调文字颜色 5 2 4" xfId="338"/>
    <cellStyle name="40% - 强调文字颜色 5 2 5" xfId="339"/>
    <cellStyle name="40% - 强调文字颜色 5 2 6" xfId="340"/>
    <cellStyle name="40% - 强调文字颜色 5 2 7" xfId="341"/>
    <cellStyle name="40% - 强调文字颜色 5 3" xfId="342"/>
    <cellStyle name="40% - 强调文字颜色 5 3 2" xfId="343"/>
    <cellStyle name="40% - 强调文字颜色 5 3 3" xfId="344"/>
    <cellStyle name="40% - 强调文字颜色 5 3 4" xfId="345"/>
    <cellStyle name="40% - 强调文字颜色 5 3 5" xfId="346"/>
    <cellStyle name="40% - 强调文字颜色 5 3 6" xfId="347"/>
    <cellStyle name="40% - 强调文字颜色 5 3 7" xfId="348"/>
    <cellStyle name="40% - 强调文字颜色 5 4" xfId="349"/>
    <cellStyle name="40% - 强调文字颜色 5 4 2" xfId="350"/>
    <cellStyle name="40% - 强调文字颜色 5 4 3" xfId="351"/>
    <cellStyle name="40% - 强调文字颜色 5 4 4" xfId="352"/>
    <cellStyle name="40% - 强调文字颜色 5 4 5" xfId="353"/>
    <cellStyle name="40% - 强调文字颜色 5 4 6" xfId="354"/>
    <cellStyle name="40% - 强调文字颜色 5 4 7" xfId="355"/>
    <cellStyle name="40% - 强调文字颜色 5 5" xfId="356"/>
    <cellStyle name="40% - 强调文字颜色 5 5 2" xfId="357"/>
    <cellStyle name="40% - 强调文字颜色 5 5 3" xfId="358"/>
    <cellStyle name="40% - 强调文字颜色 5 5 4" xfId="359"/>
    <cellStyle name="40% - 强调文字颜色 5 5 5" xfId="360"/>
    <cellStyle name="40% - 强调文字颜色 5 5 6" xfId="361"/>
    <cellStyle name="40% - 强调文字颜色 5 5 7" xfId="362"/>
    <cellStyle name="40% - 强调文字颜色 6 2" xfId="363"/>
    <cellStyle name="40% - 强调文字颜色 6 2 2" xfId="364"/>
    <cellStyle name="40% - 强调文字颜色 6 2 3" xfId="365"/>
    <cellStyle name="40% - 强调文字颜色 6 2 4" xfId="366"/>
    <cellStyle name="40% - 强调文字颜色 6 2 5" xfId="367"/>
    <cellStyle name="40% - 强调文字颜色 6 2 6" xfId="368"/>
    <cellStyle name="40% - 强调文字颜色 6 2 7" xfId="369"/>
    <cellStyle name="40% - 强调文字颜色 6 3" xfId="370"/>
    <cellStyle name="40% - 强调文字颜色 6 3 2" xfId="371"/>
    <cellStyle name="40% - 强调文字颜色 6 3 3" xfId="372"/>
    <cellStyle name="40% - 强调文字颜色 6 3 4" xfId="373"/>
    <cellStyle name="40% - 强调文字颜色 6 3 5" xfId="374"/>
    <cellStyle name="40% - 强调文字颜色 6 3 6" xfId="375"/>
    <cellStyle name="40% - 强调文字颜色 6 3 7" xfId="376"/>
    <cellStyle name="40% - 强调文字颜色 6 4" xfId="377"/>
    <cellStyle name="40% - 强调文字颜色 6 4 2" xfId="378"/>
    <cellStyle name="40% - 强调文字颜色 6 4 3" xfId="379"/>
    <cellStyle name="40% - 强调文字颜色 6 4 4" xfId="380"/>
    <cellStyle name="40% - 强调文字颜色 6 4 5" xfId="381"/>
    <cellStyle name="40% - 强调文字颜色 6 4 6" xfId="382"/>
    <cellStyle name="40% - 强调文字颜色 6 4 7" xfId="383"/>
    <cellStyle name="40% - 强调文字颜色 6 5" xfId="384"/>
    <cellStyle name="40% - 强调文字颜色 6 5 2" xfId="385"/>
    <cellStyle name="40% - 强调文字颜色 6 5 3" xfId="386"/>
    <cellStyle name="40% - 强调文字颜色 6 5 4" xfId="387"/>
    <cellStyle name="40% - 强调文字颜色 6 5 5" xfId="388"/>
    <cellStyle name="40% - 强调文字颜色 6 5 6" xfId="389"/>
    <cellStyle name="40% - 强调文字颜色 6 5 7" xfId="390"/>
    <cellStyle name="40% - Accent1" xfId="391"/>
    <cellStyle name="40% - Accent2" xfId="392"/>
    <cellStyle name="40% - Accent3" xfId="393"/>
    <cellStyle name="40% - Accent4" xfId="394"/>
    <cellStyle name="40% - Accent5" xfId="395"/>
    <cellStyle name="40% - Accent6" xfId="396"/>
    <cellStyle name="40% - アクセント 1" xfId="397"/>
    <cellStyle name="40% - アクセント 1 2" xfId="398"/>
    <cellStyle name="40% - アクセント 1 3" xfId="399"/>
    <cellStyle name="40% - アクセント 1 3 2" xfId="400"/>
    <cellStyle name="40% - アクセント 1 4" xfId="401"/>
    <cellStyle name="40% - アクセント 1 4 2" xfId="402"/>
    <cellStyle name="40% - アクセント 1 4 3" xfId="403"/>
    <cellStyle name="40% - アクセント 1 5" xfId="404"/>
    <cellStyle name="40% - アクセント 2" xfId="405"/>
    <cellStyle name="40% - アクセント 2 2" xfId="406"/>
    <cellStyle name="40% - アクセント 2 3" xfId="407"/>
    <cellStyle name="40% - アクセント 2 3 2" xfId="408"/>
    <cellStyle name="40% - アクセント 2 4" xfId="409"/>
    <cellStyle name="40% - アクセント 2 4 2" xfId="410"/>
    <cellStyle name="40% - アクセント 2 4 3" xfId="411"/>
    <cellStyle name="40% - アクセント 2 5" xfId="412"/>
    <cellStyle name="40% - アクセント 3" xfId="413"/>
    <cellStyle name="40% - アクセント 3 2" xfId="414"/>
    <cellStyle name="40% - アクセント 3 3" xfId="415"/>
    <cellStyle name="40% - アクセント 3 3 2" xfId="416"/>
    <cellStyle name="40% - アクセント 3 4" xfId="417"/>
    <cellStyle name="40% - アクセント 3 4 2" xfId="418"/>
    <cellStyle name="40% - アクセント 3 4 3" xfId="419"/>
    <cellStyle name="40% - アクセント 3 5" xfId="420"/>
    <cellStyle name="40% - アクセント 4" xfId="421"/>
    <cellStyle name="40% - アクセント 4 2" xfId="422"/>
    <cellStyle name="40% - アクセント 4 3" xfId="423"/>
    <cellStyle name="40% - アクセント 4 3 2" xfId="424"/>
    <cellStyle name="40% - アクセント 4 4" xfId="425"/>
    <cellStyle name="40% - アクセント 4 4 2" xfId="426"/>
    <cellStyle name="40% - アクセント 4 4 3" xfId="427"/>
    <cellStyle name="40% - アクセント 4 5" xfId="428"/>
    <cellStyle name="40% - アクセント 5" xfId="429"/>
    <cellStyle name="40% - アクセント 5 2" xfId="430"/>
    <cellStyle name="40% - アクセント 5 3" xfId="431"/>
    <cellStyle name="40% - アクセント 5 3 2" xfId="432"/>
    <cellStyle name="40% - アクセント 5 4" xfId="433"/>
    <cellStyle name="40% - アクセント 5 4 2" xfId="434"/>
    <cellStyle name="40% - アクセント 5 4 3" xfId="435"/>
    <cellStyle name="40% - アクセント 5 5" xfId="436"/>
    <cellStyle name="40% - アクセント 6" xfId="437"/>
    <cellStyle name="40% - アクセント 6 2" xfId="438"/>
    <cellStyle name="40% - アクセント 6 3" xfId="439"/>
    <cellStyle name="40% - アクセント 6 3 2" xfId="440"/>
    <cellStyle name="40% - アクセント 6 4" xfId="441"/>
    <cellStyle name="40% - アクセント 6 4 2" xfId="442"/>
    <cellStyle name="40% - アクセント 6 4 3" xfId="443"/>
    <cellStyle name="40% - アクセント 6 5" xfId="444"/>
    <cellStyle name="60% - 强调文字颜色 1 2" xfId="445"/>
    <cellStyle name="60% - 强调文字颜色 1 2 2" xfId="446"/>
    <cellStyle name="60% - 强调文字颜色 1 2 3" xfId="447"/>
    <cellStyle name="60% - 强调文字颜色 1 2 4" xfId="448"/>
    <cellStyle name="60% - 强调文字颜色 1 2 5" xfId="449"/>
    <cellStyle name="60% - 强调文字颜色 1 2 6" xfId="450"/>
    <cellStyle name="60% - 强调文字颜色 1 2 7" xfId="451"/>
    <cellStyle name="60% - 强调文字颜色 1 3" xfId="452"/>
    <cellStyle name="60% - 强调文字颜色 1 3 2" xfId="453"/>
    <cellStyle name="60% - 强调文字颜色 1 3 3" xfId="454"/>
    <cellStyle name="60% - 强调文字颜色 1 3 4" xfId="455"/>
    <cellStyle name="60% - 强调文字颜色 1 3 5" xfId="456"/>
    <cellStyle name="60% - 强调文字颜色 1 3 6" xfId="457"/>
    <cellStyle name="60% - 强调文字颜色 1 3 7" xfId="458"/>
    <cellStyle name="60% - 强调文字颜色 1 4" xfId="459"/>
    <cellStyle name="60% - 强调文字颜色 1 4 2" xfId="460"/>
    <cellStyle name="60% - 强调文字颜色 1 4 3" xfId="461"/>
    <cellStyle name="60% - 强调文字颜色 1 4 4" xfId="462"/>
    <cellStyle name="60% - 强调文字颜色 1 4 5" xfId="463"/>
    <cellStyle name="60% - 强调文字颜色 1 4 6" xfId="464"/>
    <cellStyle name="60% - 强调文字颜色 1 4 7" xfId="465"/>
    <cellStyle name="60% - 强调文字颜色 1 5" xfId="466"/>
    <cellStyle name="60% - 强调文字颜色 1 5 2" xfId="467"/>
    <cellStyle name="60% - 强调文字颜色 1 5 3" xfId="468"/>
    <cellStyle name="60% - 强调文字颜色 1 5 4" xfId="469"/>
    <cellStyle name="60% - 强调文字颜色 1 5 5" xfId="470"/>
    <cellStyle name="60% - 强调文字颜色 1 5 6" xfId="471"/>
    <cellStyle name="60% - 强调文字颜色 1 5 7" xfId="472"/>
    <cellStyle name="60% - 强调文字颜色 2 2" xfId="473"/>
    <cellStyle name="60% - 强调文字颜色 2 2 2" xfId="474"/>
    <cellStyle name="60% - 强调文字颜色 2 2 3" xfId="475"/>
    <cellStyle name="60% - 强调文字颜色 2 2 4" xfId="476"/>
    <cellStyle name="60% - 强调文字颜色 2 2 5" xfId="477"/>
    <cellStyle name="60% - 强调文字颜色 2 2 6" xfId="478"/>
    <cellStyle name="60% - 强调文字颜色 2 2 7" xfId="479"/>
    <cellStyle name="60% - 强调文字颜色 2 3" xfId="480"/>
    <cellStyle name="60% - 强调文字颜色 2 3 2" xfId="481"/>
    <cellStyle name="60% - 强调文字颜色 2 3 3" xfId="482"/>
    <cellStyle name="60% - 强调文字颜色 2 3 4" xfId="483"/>
    <cellStyle name="60% - 强调文字颜色 2 3 5" xfId="484"/>
    <cellStyle name="60% - 强调文字颜色 2 3 6" xfId="485"/>
    <cellStyle name="60% - 强调文字颜色 2 3 7" xfId="486"/>
    <cellStyle name="60% - 强调文字颜色 2 4" xfId="487"/>
    <cellStyle name="60% - 强调文字颜色 2 4 2" xfId="488"/>
    <cellStyle name="60% - 强调文字颜色 2 4 3" xfId="489"/>
    <cellStyle name="60% - 强调文字颜色 2 4 4" xfId="490"/>
    <cellStyle name="60% - 强调文字颜色 2 4 5" xfId="491"/>
    <cellStyle name="60% - 强调文字颜色 2 4 6" xfId="492"/>
    <cellStyle name="60% - 强调文字颜色 2 4 7" xfId="493"/>
    <cellStyle name="60% - 强调文字颜色 2 5" xfId="494"/>
    <cellStyle name="60% - 强调文字颜色 2 5 2" xfId="495"/>
    <cellStyle name="60% - 强调文字颜色 2 5 3" xfId="496"/>
    <cellStyle name="60% - 强调文字颜色 2 5 4" xfId="497"/>
    <cellStyle name="60% - 强调文字颜色 2 5 5" xfId="498"/>
    <cellStyle name="60% - 强调文字颜色 2 5 6" xfId="499"/>
    <cellStyle name="60% - 强调文字颜色 2 5 7" xfId="500"/>
    <cellStyle name="60% - 强调文字颜色 3 2" xfId="501"/>
    <cellStyle name="60% - 强调文字颜色 3 2 2" xfId="502"/>
    <cellStyle name="60% - 强调文字颜色 3 2 3" xfId="503"/>
    <cellStyle name="60% - 强调文字颜色 3 2 4" xfId="504"/>
    <cellStyle name="60% - 强调文字颜色 3 2 5" xfId="505"/>
    <cellStyle name="60% - 强调文字颜色 3 2 6" xfId="506"/>
    <cellStyle name="60% - 强调文字颜色 3 2 7" xfId="507"/>
    <cellStyle name="60% - 强调文字颜色 3 3" xfId="508"/>
    <cellStyle name="60% - 强调文字颜色 3 3 2" xfId="509"/>
    <cellStyle name="60% - 强调文字颜色 3 3 3" xfId="510"/>
    <cellStyle name="60% - 强调文字颜色 3 3 4" xfId="511"/>
    <cellStyle name="60% - 强调文字颜色 3 3 5" xfId="512"/>
    <cellStyle name="60% - 强调文字颜色 3 3 6" xfId="513"/>
    <cellStyle name="60% - 强调文字颜色 3 3 7" xfId="514"/>
    <cellStyle name="60% - 强调文字颜色 3 4" xfId="515"/>
    <cellStyle name="60% - 强调文字颜色 3 4 2" xfId="516"/>
    <cellStyle name="60% - 强调文字颜色 3 4 3" xfId="517"/>
    <cellStyle name="60% - 强调文字颜色 3 4 4" xfId="518"/>
    <cellStyle name="60% - 强调文字颜色 3 4 5" xfId="519"/>
    <cellStyle name="60% - 强调文字颜色 3 4 6" xfId="520"/>
    <cellStyle name="60% - 强调文字颜色 3 4 7" xfId="521"/>
    <cellStyle name="60% - 强调文字颜色 3 5" xfId="522"/>
    <cellStyle name="60% - 强调文字颜色 3 5 2" xfId="523"/>
    <cellStyle name="60% - 强调文字颜色 3 5 3" xfId="524"/>
    <cellStyle name="60% - 强调文字颜色 3 5 4" xfId="525"/>
    <cellStyle name="60% - 强调文字颜色 3 5 5" xfId="526"/>
    <cellStyle name="60% - 强调文字颜色 3 5 6" xfId="527"/>
    <cellStyle name="60% - 强调文字颜色 3 5 7" xfId="528"/>
    <cellStyle name="60% - 强调文字颜色 4 2" xfId="529"/>
    <cellStyle name="60% - 强调文字颜色 4 2 2" xfId="530"/>
    <cellStyle name="60% - 强调文字颜色 4 2 3" xfId="531"/>
    <cellStyle name="60% - 强调文字颜色 4 2 4" xfId="532"/>
    <cellStyle name="60% - 强调文字颜色 4 2 5" xfId="533"/>
    <cellStyle name="60% - 强调文字颜色 4 2 6" xfId="534"/>
    <cellStyle name="60% - 强调文字颜色 4 2 7" xfId="535"/>
    <cellStyle name="60% - 强调文字颜色 4 3" xfId="536"/>
    <cellStyle name="60% - 强调文字颜色 4 3 2" xfId="537"/>
    <cellStyle name="60% - 强调文字颜色 4 3 3" xfId="538"/>
    <cellStyle name="60% - 强调文字颜色 4 3 4" xfId="539"/>
    <cellStyle name="60% - 强调文字颜色 4 3 5" xfId="540"/>
    <cellStyle name="60% - 强调文字颜色 4 3 6" xfId="541"/>
    <cellStyle name="60% - 强调文字颜色 4 3 7" xfId="542"/>
    <cellStyle name="60% - 强调文字颜色 4 4" xfId="543"/>
    <cellStyle name="60% - 强调文字颜色 4 4 2" xfId="544"/>
    <cellStyle name="60% - 强调文字颜色 4 4 3" xfId="545"/>
    <cellStyle name="60% - 强调文字颜色 4 4 4" xfId="546"/>
    <cellStyle name="60% - 强调文字颜色 4 4 5" xfId="547"/>
    <cellStyle name="60% - 强调文字颜色 4 4 6" xfId="548"/>
    <cellStyle name="60% - 强调文字颜色 4 4 7" xfId="549"/>
    <cellStyle name="60% - 强调文字颜色 4 5" xfId="550"/>
    <cellStyle name="60% - 强调文字颜色 4 5 2" xfId="551"/>
    <cellStyle name="60% - 强调文字颜色 4 5 3" xfId="552"/>
    <cellStyle name="60% - 强调文字颜色 4 5 4" xfId="553"/>
    <cellStyle name="60% - 强调文字颜色 4 5 5" xfId="554"/>
    <cellStyle name="60% - 强调文字颜色 4 5 6" xfId="555"/>
    <cellStyle name="60% - 强调文字颜色 4 5 7" xfId="556"/>
    <cellStyle name="60% - 强调文字颜色 5 2" xfId="557"/>
    <cellStyle name="60% - 强调文字颜色 5 2 2" xfId="558"/>
    <cellStyle name="60% - 强调文字颜色 5 2 3" xfId="559"/>
    <cellStyle name="60% - 强调文字颜色 5 2 4" xfId="560"/>
    <cellStyle name="60% - 强调文字颜色 5 2 5" xfId="561"/>
    <cellStyle name="60% - 强调文字颜色 5 2 6" xfId="562"/>
    <cellStyle name="60% - 强调文字颜色 5 2 7" xfId="563"/>
    <cellStyle name="60% - 强调文字颜色 5 3" xfId="564"/>
    <cellStyle name="60% - 强调文字颜色 5 3 2" xfId="565"/>
    <cellStyle name="60% - 强调文字颜色 5 3 3" xfId="566"/>
    <cellStyle name="60% - 强调文字颜色 5 3 4" xfId="567"/>
    <cellStyle name="60% - 强调文字颜色 5 3 5" xfId="568"/>
    <cellStyle name="60% - 强调文字颜色 5 3 6" xfId="569"/>
    <cellStyle name="60% - 强调文字颜色 5 3 7" xfId="570"/>
    <cellStyle name="60% - 强调文字颜色 5 4" xfId="571"/>
    <cellStyle name="60% - 强调文字颜色 5 4 2" xfId="572"/>
    <cellStyle name="60% - 强调文字颜色 5 4 3" xfId="573"/>
    <cellStyle name="60% - 强调文字颜色 5 4 4" xfId="574"/>
    <cellStyle name="60% - 强调文字颜色 5 4 5" xfId="575"/>
    <cellStyle name="60% - 强调文字颜色 5 4 6" xfId="576"/>
    <cellStyle name="60% - 强调文字颜色 5 4 7" xfId="577"/>
    <cellStyle name="60% - 强调文字颜色 5 5" xfId="578"/>
    <cellStyle name="60% - 强调文字颜色 5 5 2" xfId="579"/>
    <cellStyle name="60% - 强调文字颜色 5 5 3" xfId="580"/>
    <cellStyle name="60% - 强调文字颜色 5 5 4" xfId="581"/>
    <cellStyle name="60% - 强调文字颜色 5 5 5" xfId="582"/>
    <cellStyle name="60% - 强调文字颜色 5 5 6" xfId="583"/>
    <cellStyle name="60% - 强调文字颜色 5 5 7" xfId="584"/>
    <cellStyle name="60% - 强调文字颜色 6 2" xfId="585"/>
    <cellStyle name="60% - 强调文字颜色 6 2 2" xfId="586"/>
    <cellStyle name="60% - 强调文字颜色 6 2 3" xfId="587"/>
    <cellStyle name="60% - 强调文字颜色 6 2 4" xfId="588"/>
    <cellStyle name="60% - 强调文字颜色 6 2 5" xfId="589"/>
    <cellStyle name="60% - 强调文字颜色 6 2 6" xfId="590"/>
    <cellStyle name="60% - 强调文字颜色 6 2 7" xfId="591"/>
    <cellStyle name="60% - 强调文字颜色 6 3" xfId="592"/>
    <cellStyle name="60% - 强调文字颜色 6 3 2" xfId="593"/>
    <cellStyle name="60% - 强调文字颜色 6 3 3" xfId="594"/>
    <cellStyle name="60% - 强调文字颜色 6 3 4" xfId="595"/>
    <cellStyle name="60% - 强调文字颜色 6 3 5" xfId="596"/>
    <cellStyle name="60% - 强调文字颜色 6 3 6" xfId="597"/>
    <cellStyle name="60% - 强调文字颜色 6 3 7" xfId="598"/>
    <cellStyle name="60% - 强调文字颜色 6 4" xfId="599"/>
    <cellStyle name="60% - 强调文字颜色 6 4 2" xfId="600"/>
    <cellStyle name="60% - 强调文字颜色 6 4 3" xfId="601"/>
    <cellStyle name="60% - 强调文字颜色 6 4 4" xfId="602"/>
    <cellStyle name="60% - 强调文字颜色 6 4 5" xfId="603"/>
    <cellStyle name="60% - 强调文字颜色 6 4 6" xfId="604"/>
    <cellStyle name="60% - 强调文字颜色 6 4 7" xfId="605"/>
    <cellStyle name="60% - 强调文字颜色 6 5" xfId="606"/>
    <cellStyle name="60% - 强调文字颜色 6 5 2" xfId="607"/>
    <cellStyle name="60% - 强调文字颜色 6 5 3" xfId="608"/>
    <cellStyle name="60% - 强调文字颜色 6 5 4" xfId="609"/>
    <cellStyle name="60% - 强调文字颜色 6 5 5" xfId="610"/>
    <cellStyle name="60% - 强调文字颜色 6 5 6" xfId="611"/>
    <cellStyle name="60% - 强调文字颜色 6 5 7" xfId="612"/>
    <cellStyle name="60% - Accent1" xfId="613"/>
    <cellStyle name="60% - Accent2" xfId="614"/>
    <cellStyle name="60% - Accent3" xfId="615"/>
    <cellStyle name="60% - Accent4" xfId="616"/>
    <cellStyle name="60% - Accent5" xfId="617"/>
    <cellStyle name="60% - Accent6" xfId="618"/>
    <cellStyle name="60% - アクセント 1" xfId="619"/>
    <cellStyle name="60% - アクセント 1 2" xfId="620"/>
    <cellStyle name="60% - アクセント 1 3" xfId="621"/>
    <cellStyle name="60% - アクセント 1 3 2" xfId="622"/>
    <cellStyle name="60% - アクセント 1 4" xfId="623"/>
    <cellStyle name="60% - アクセント 1 4 2" xfId="624"/>
    <cellStyle name="60% - アクセント 1 4 3" xfId="625"/>
    <cellStyle name="60% - アクセント 1 5" xfId="626"/>
    <cellStyle name="60% - アクセント 2" xfId="627"/>
    <cellStyle name="60% - アクセント 2 2" xfId="628"/>
    <cellStyle name="60% - アクセント 2 3" xfId="629"/>
    <cellStyle name="60% - アクセント 2 3 2" xfId="630"/>
    <cellStyle name="60% - アクセント 2 4" xfId="631"/>
    <cellStyle name="60% - アクセント 2 4 2" xfId="632"/>
    <cellStyle name="60% - アクセント 2 4 3" xfId="633"/>
    <cellStyle name="60% - アクセント 2 5" xfId="634"/>
    <cellStyle name="60% - アクセント 3" xfId="635"/>
    <cellStyle name="60% - アクセント 3 2" xfId="636"/>
    <cellStyle name="60% - アクセント 3 3" xfId="637"/>
    <cellStyle name="60% - アクセント 3 3 2" xfId="638"/>
    <cellStyle name="60% - アクセント 3 4" xfId="639"/>
    <cellStyle name="60% - アクセント 3 4 2" xfId="640"/>
    <cellStyle name="60% - アクセント 3 4 3" xfId="641"/>
    <cellStyle name="60% - アクセント 3 5" xfId="642"/>
    <cellStyle name="60% - アクセント 4" xfId="643"/>
    <cellStyle name="60% - アクセント 4 2" xfId="644"/>
    <cellStyle name="60% - アクセント 4 3" xfId="645"/>
    <cellStyle name="60% - アクセント 4 3 2" xfId="646"/>
    <cellStyle name="60% - アクセント 4 4" xfId="647"/>
    <cellStyle name="60% - アクセント 4 4 2" xfId="648"/>
    <cellStyle name="60% - アクセント 4 4 3" xfId="649"/>
    <cellStyle name="60% - アクセント 4 5" xfId="650"/>
    <cellStyle name="60% - アクセント 5" xfId="651"/>
    <cellStyle name="60% - アクセント 5 2" xfId="652"/>
    <cellStyle name="60% - アクセント 5 3" xfId="653"/>
    <cellStyle name="60% - アクセント 5 3 2" xfId="654"/>
    <cellStyle name="60% - アクセント 5 4" xfId="655"/>
    <cellStyle name="60% - アクセント 5 4 2" xfId="656"/>
    <cellStyle name="60% - アクセント 5 4 3" xfId="657"/>
    <cellStyle name="60% - アクセント 5 5" xfId="658"/>
    <cellStyle name="60% - アクセント 6" xfId="659"/>
    <cellStyle name="60% - アクセント 6 2" xfId="660"/>
    <cellStyle name="60% - アクセント 6 3" xfId="661"/>
    <cellStyle name="60% - アクセント 6 3 2" xfId="662"/>
    <cellStyle name="60% - アクセント 6 4" xfId="663"/>
    <cellStyle name="60% - アクセント 6 4 2" xfId="664"/>
    <cellStyle name="60% - アクセント 6 4 3" xfId="665"/>
    <cellStyle name="60% - アクセント 6 5" xfId="666"/>
    <cellStyle name="强调文字颜色 1 2" xfId="667"/>
    <cellStyle name="强调文字颜色 1 2 2" xfId="668"/>
    <cellStyle name="强调文字颜色 1 2 3" xfId="669"/>
    <cellStyle name="强调文字颜色 1 2 4" xfId="670"/>
    <cellStyle name="强调文字颜色 1 2 5" xfId="671"/>
    <cellStyle name="强调文字颜色 1 2 6" xfId="672"/>
    <cellStyle name="强调文字颜色 1 2 7" xfId="673"/>
    <cellStyle name="强调文字颜色 1 3" xfId="674"/>
    <cellStyle name="强调文字颜色 1 3 2" xfId="675"/>
    <cellStyle name="强调文字颜色 1 3 3" xfId="676"/>
    <cellStyle name="强调文字颜色 1 3 4" xfId="677"/>
    <cellStyle name="强调文字颜色 1 3 5" xfId="678"/>
    <cellStyle name="强调文字颜色 1 3 6" xfId="679"/>
    <cellStyle name="强调文字颜色 1 3 7" xfId="680"/>
    <cellStyle name="强调文字颜色 1 4" xfId="681"/>
    <cellStyle name="强调文字颜色 1 4 2" xfId="682"/>
    <cellStyle name="强调文字颜色 1 4 3" xfId="683"/>
    <cellStyle name="强调文字颜色 1 4 4" xfId="684"/>
    <cellStyle name="强调文字颜色 1 4 5" xfId="685"/>
    <cellStyle name="强调文字颜色 1 4 6" xfId="686"/>
    <cellStyle name="强调文字颜色 1 4 7" xfId="687"/>
    <cellStyle name="强调文字颜色 1 5" xfId="688"/>
    <cellStyle name="强调文字颜色 1 5 2" xfId="689"/>
    <cellStyle name="强调文字颜色 1 5 3" xfId="690"/>
    <cellStyle name="强调文字颜色 1 5 4" xfId="691"/>
    <cellStyle name="强调文字颜色 1 5 5" xfId="692"/>
    <cellStyle name="强调文字颜色 1 5 6" xfId="693"/>
    <cellStyle name="强调文字颜色 1 5 7" xfId="694"/>
    <cellStyle name="强调文字颜色 2 2" xfId="695"/>
    <cellStyle name="强调文字颜色 2 2 2" xfId="696"/>
    <cellStyle name="强调文字颜色 2 2 3" xfId="697"/>
    <cellStyle name="强调文字颜色 2 2 4" xfId="698"/>
    <cellStyle name="强调文字颜色 2 2 5" xfId="699"/>
    <cellStyle name="强调文字颜色 2 2 6" xfId="700"/>
    <cellStyle name="强调文字颜色 2 2 7" xfId="701"/>
    <cellStyle name="强调文字颜色 2 3" xfId="702"/>
    <cellStyle name="强调文字颜色 2 3 2" xfId="703"/>
    <cellStyle name="强调文字颜色 2 3 3" xfId="704"/>
    <cellStyle name="强调文字颜色 2 3 4" xfId="705"/>
    <cellStyle name="强调文字颜色 2 3 5" xfId="706"/>
    <cellStyle name="强调文字颜色 2 3 6" xfId="707"/>
    <cellStyle name="强调文字颜色 2 3 7" xfId="708"/>
    <cellStyle name="强调文字颜色 2 4" xfId="709"/>
    <cellStyle name="强调文字颜色 2 4 2" xfId="710"/>
    <cellStyle name="强调文字颜色 2 4 3" xfId="711"/>
    <cellStyle name="强调文字颜色 2 4 4" xfId="712"/>
    <cellStyle name="强调文字颜色 2 4 5" xfId="713"/>
    <cellStyle name="强调文字颜色 2 4 6" xfId="714"/>
    <cellStyle name="强调文字颜色 2 4 7" xfId="715"/>
    <cellStyle name="强调文字颜色 2 5" xfId="716"/>
    <cellStyle name="强调文字颜色 2 5 2" xfId="717"/>
    <cellStyle name="强调文字颜色 2 5 3" xfId="718"/>
    <cellStyle name="强调文字颜色 2 5 4" xfId="719"/>
    <cellStyle name="强调文字颜色 2 5 5" xfId="720"/>
    <cellStyle name="强调文字颜色 2 5 6" xfId="721"/>
    <cellStyle name="强调文字颜色 2 5 7" xfId="722"/>
    <cellStyle name="强调文字颜色 3 2" xfId="723"/>
    <cellStyle name="强调文字颜色 3 2 2" xfId="724"/>
    <cellStyle name="强调文字颜色 3 2 3" xfId="725"/>
    <cellStyle name="强调文字颜色 3 2 4" xfId="726"/>
    <cellStyle name="强调文字颜色 3 2 5" xfId="727"/>
    <cellStyle name="强调文字颜色 3 2 6" xfId="728"/>
    <cellStyle name="强调文字颜色 3 2 7" xfId="729"/>
    <cellStyle name="强调文字颜色 3 3" xfId="730"/>
    <cellStyle name="强调文字颜色 3 3 2" xfId="731"/>
    <cellStyle name="强调文字颜色 3 3 3" xfId="732"/>
    <cellStyle name="强调文字颜色 3 3 4" xfId="733"/>
    <cellStyle name="强调文字颜色 3 3 5" xfId="734"/>
    <cellStyle name="强调文字颜色 3 3 6" xfId="735"/>
    <cellStyle name="强调文字颜色 3 3 7" xfId="736"/>
    <cellStyle name="强调文字颜色 3 4" xfId="737"/>
    <cellStyle name="强调文字颜色 3 4 2" xfId="738"/>
    <cellStyle name="强调文字颜色 3 4 3" xfId="739"/>
    <cellStyle name="强调文字颜色 3 4 4" xfId="740"/>
    <cellStyle name="强调文字颜色 3 4 5" xfId="741"/>
    <cellStyle name="强调文字颜色 3 4 6" xfId="742"/>
    <cellStyle name="强调文字颜色 3 4 7" xfId="743"/>
    <cellStyle name="强调文字颜色 3 5" xfId="744"/>
    <cellStyle name="强调文字颜色 3 5 2" xfId="745"/>
    <cellStyle name="强调文字颜色 3 5 3" xfId="746"/>
    <cellStyle name="强调文字颜色 3 5 4" xfId="747"/>
    <cellStyle name="强调文字颜色 3 5 5" xfId="748"/>
    <cellStyle name="强调文字颜色 3 5 6" xfId="749"/>
    <cellStyle name="强调文字颜色 3 5 7" xfId="750"/>
    <cellStyle name="强调文字颜色 4 2" xfId="751"/>
    <cellStyle name="强调文字颜色 4 2 2" xfId="752"/>
    <cellStyle name="强调文字颜色 4 2 3" xfId="753"/>
    <cellStyle name="强调文字颜色 4 2 4" xfId="754"/>
    <cellStyle name="强调文字颜色 4 2 5" xfId="755"/>
    <cellStyle name="强调文字颜色 4 2 6" xfId="756"/>
    <cellStyle name="强调文字颜色 4 2 7" xfId="757"/>
    <cellStyle name="强调文字颜色 4 3" xfId="758"/>
    <cellStyle name="强调文字颜色 4 3 2" xfId="759"/>
    <cellStyle name="强调文字颜色 4 3 3" xfId="760"/>
    <cellStyle name="强调文字颜色 4 3 4" xfId="761"/>
    <cellStyle name="强调文字颜色 4 3 5" xfId="762"/>
    <cellStyle name="强调文字颜色 4 3 6" xfId="763"/>
    <cellStyle name="强调文字颜色 4 3 7" xfId="764"/>
    <cellStyle name="强调文字颜色 4 4" xfId="765"/>
    <cellStyle name="强调文字颜色 4 4 2" xfId="766"/>
    <cellStyle name="强调文字颜色 4 4 3" xfId="767"/>
    <cellStyle name="强调文字颜色 4 4 4" xfId="768"/>
    <cellStyle name="强调文字颜色 4 4 5" xfId="769"/>
    <cellStyle name="强调文字颜色 4 4 6" xfId="770"/>
    <cellStyle name="强调文字颜色 4 4 7" xfId="771"/>
    <cellStyle name="强调文字颜色 4 5" xfId="772"/>
    <cellStyle name="强调文字颜色 4 5 2" xfId="773"/>
    <cellStyle name="强调文字颜色 4 5 3" xfId="774"/>
    <cellStyle name="强调文字颜色 4 5 4" xfId="775"/>
    <cellStyle name="强调文字颜色 4 5 5" xfId="776"/>
    <cellStyle name="强调文字颜色 4 5 6" xfId="777"/>
    <cellStyle name="强调文字颜色 4 5 7" xfId="778"/>
    <cellStyle name="强调文字颜色 5 2" xfId="779"/>
    <cellStyle name="强调文字颜色 5 2 2" xfId="780"/>
    <cellStyle name="强调文字颜色 5 2 3" xfId="781"/>
    <cellStyle name="强调文字颜色 5 2 4" xfId="782"/>
    <cellStyle name="强调文字颜色 5 2 5" xfId="783"/>
    <cellStyle name="强调文字颜色 5 2 6" xfId="784"/>
    <cellStyle name="强调文字颜色 5 2 7" xfId="785"/>
    <cellStyle name="强调文字颜色 5 3" xfId="786"/>
    <cellStyle name="强调文字颜色 5 3 2" xfId="787"/>
    <cellStyle name="强调文字颜色 5 3 3" xfId="788"/>
    <cellStyle name="强调文字颜色 5 3 4" xfId="789"/>
    <cellStyle name="强调文字颜色 5 3 5" xfId="790"/>
    <cellStyle name="强调文字颜色 5 3 6" xfId="791"/>
    <cellStyle name="强调文字颜色 5 3 7" xfId="792"/>
    <cellStyle name="强调文字颜色 5 4" xfId="793"/>
    <cellStyle name="强调文字颜色 5 4 2" xfId="794"/>
    <cellStyle name="强调文字颜色 5 4 3" xfId="795"/>
    <cellStyle name="强调文字颜色 5 4 4" xfId="796"/>
    <cellStyle name="强调文字颜色 5 4 5" xfId="797"/>
    <cellStyle name="强调文字颜色 5 4 6" xfId="798"/>
    <cellStyle name="强调文字颜色 5 4 7" xfId="799"/>
    <cellStyle name="强调文字颜色 5 5" xfId="800"/>
    <cellStyle name="强调文字颜色 5 5 2" xfId="801"/>
    <cellStyle name="强调文字颜色 5 5 3" xfId="802"/>
    <cellStyle name="强调文字颜色 5 5 4" xfId="803"/>
    <cellStyle name="强调文字颜色 5 5 5" xfId="804"/>
    <cellStyle name="强调文字颜色 5 5 6" xfId="805"/>
    <cellStyle name="强调文字颜色 5 5 7" xfId="806"/>
    <cellStyle name="强调文字颜色 6 2" xfId="807"/>
    <cellStyle name="强调文字颜色 6 2 2" xfId="808"/>
    <cellStyle name="强调文字颜色 6 2 3" xfId="809"/>
    <cellStyle name="强调文字颜色 6 2 4" xfId="810"/>
    <cellStyle name="强调文字颜色 6 2 5" xfId="811"/>
    <cellStyle name="强调文字颜色 6 2 6" xfId="812"/>
    <cellStyle name="强调文字颜色 6 2 7" xfId="813"/>
    <cellStyle name="强调文字颜色 6 3" xfId="814"/>
    <cellStyle name="强调文字颜色 6 3 2" xfId="815"/>
    <cellStyle name="强调文字颜色 6 3 3" xfId="816"/>
    <cellStyle name="强调文字颜色 6 3 4" xfId="817"/>
    <cellStyle name="强调文字颜色 6 3 5" xfId="818"/>
    <cellStyle name="强调文字颜色 6 3 6" xfId="819"/>
    <cellStyle name="强调文字颜色 6 3 7" xfId="820"/>
    <cellStyle name="强调文字颜色 6 4" xfId="821"/>
    <cellStyle name="强调文字颜色 6 4 2" xfId="822"/>
    <cellStyle name="强调文字颜色 6 4 3" xfId="823"/>
    <cellStyle name="强调文字颜色 6 4 4" xfId="824"/>
    <cellStyle name="强调文字颜色 6 4 5" xfId="825"/>
    <cellStyle name="强调文字颜色 6 4 6" xfId="826"/>
    <cellStyle name="强调文字颜色 6 4 7" xfId="827"/>
    <cellStyle name="强调文字颜色 6 5" xfId="828"/>
    <cellStyle name="强调文字颜色 6 5 2" xfId="829"/>
    <cellStyle name="强调文字颜色 6 5 3" xfId="830"/>
    <cellStyle name="强调文字颜色 6 5 4" xfId="831"/>
    <cellStyle name="强调文字颜色 6 5 5" xfId="832"/>
    <cellStyle name="强调文字颜色 6 5 6" xfId="833"/>
    <cellStyle name="强调文字颜色 6 5 7" xfId="834"/>
    <cellStyle name="見出し 1" xfId="835"/>
    <cellStyle name="見出し 1 2" xfId="836"/>
    <cellStyle name="見出し 1 3" xfId="837"/>
    <cellStyle name="見出し 1 3 2" xfId="838"/>
    <cellStyle name="見出し 1 4" xfId="839"/>
    <cellStyle name="見出し 1 4 2" xfId="840"/>
    <cellStyle name="見出し 1 4 3" xfId="841"/>
    <cellStyle name="見出し 1 5" xfId="842"/>
    <cellStyle name="見出し 2" xfId="843"/>
    <cellStyle name="見出し 2 2" xfId="844"/>
    <cellStyle name="見出し 2 3" xfId="845"/>
    <cellStyle name="見出し 2 3 2" xfId="846"/>
    <cellStyle name="見出し 2 4" xfId="847"/>
    <cellStyle name="見出し 2 4 2" xfId="848"/>
    <cellStyle name="見出し 2 4 3" xfId="849"/>
    <cellStyle name="見出し 2 5" xfId="850"/>
    <cellStyle name="見出し 3" xfId="851"/>
    <cellStyle name="見出し 3 2" xfId="852"/>
    <cellStyle name="見出し 3 3" xfId="853"/>
    <cellStyle name="見出し 3 3 2" xfId="854"/>
    <cellStyle name="見出し 3 4" xfId="855"/>
    <cellStyle name="見出し 3 4 2" xfId="856"/>
    <cellStyle name="見出し 3 4 3" xfId="857"/>
    <cellStyle name="見出し 3 5" xfId="858"/>
    <cellStyle name="見出し 4" xfId="859"/>
    <cellStyle name="見出し 4 2" xfId="860"/>
    <cellStyle name="見出し 4 3" xfId="861"/>
    <cellStyle name="見出し 4 3 2" xfId="862"/>
    <cellStyle name="見出し 4 4" xfId="863"/>
    <cellStyle name="見出し 4 4 2" xfId="864"/>
    <cellStyle name="見出し 4 4 3" xfId="865"/>
    <cellStyle name="見出し 4 5" xfId="866"/>
    <cellStyle name="警告文" xfId="867"/>
    <cellStyle name="警告文 2" xfId="868"/>
    <cellStyle name="警告文 3" xfId="869"/>
    <cellStyle name="警告文 3 2" xfId="870"/>
    <cellStyle name="警告文 4" xfId="871"/>
    <cellStyle name="警告文 4 2" xfId="872"/>
    <cellStyle name="警告文 4 3" xfId="873"/>
    <cellStyle name="警告文 5" xfId="874"/>
    <cellStyle name="警告文本 2" xfId="875"/>
    <cellStyle name="警告文本 2 2" xfId="876"/>
    <cellStyle name="警告文本 2 3" xfId="877"/>
    <cellStyle name="警告文本 2 4" xfId="878"/>
    <cellStyle name="警告文本 2 5" xfId="879"/>
    <cellStyle name="警告文本 2 6" xfId="880"/>
    <cellStyle name="警告文本 2 7" xfId="881"/>
    <cellStyle name="警告文本 3" xfId="882"/>
    <cellStyle name="警告文本 3 2" xfId="883"/>
    <cellStyle name="警告文本 3 3" xfId="884"/>
    <cellStyle name="警告文本 3 4" xfId="885"/>
    <cellStyle name="警告文本 3 5" xfId="886"/>
    <cellStyle name="警告文本 3 6" xfId="887"/>
    <cellStyle name="警告文本 3 7" xfId="888"/>
    <cellStyle name="警告文本 4" xfId="889"/>
    <cellStyle name="警告文本 4 2" xfId="890"/>
    <cellStyle name="警告文本 4 3" xfId="891"/>
    <cellStyle name="警告文本 4 4" xfId="892"/>
    <cellStyle name="警告文本 4 5" xfId="893"/>
    <cellStyle name="警告文本 4 6" xfId="894"/>
    <cellStyle name="警告文本 4 7" xfId="895"/>
    <cellStyle name="警告文本 5" xfId="896"/>
    <cellStyle name="警告文本 5 2" xfId="897"/>
    <cellStyle name="警告文本 5 3" xfId="898"/>
    <cellStyle name="警告文本 5 4" xfId="899"/>
    <cellStyle name="警告文本 5 5" xfId="900"/>
    <cellStyle name="警告文本 5 6" xfId="901"/>
    <cellStyle name="警告文本 5 7" xfId="902"/>
    <cellStyle name="計算" xfId="903"/>
    <cellStyle name="計算 2" xfId="904"/>
    <cellStyle name="計算 3" xfId="905"/>
    <cellStyle name="計算 3 2" xfId="906"/>
    <cellStyle name="計算 3_11FW 판매분석 120506 (JIL MI)" xfId="907"/>
    <cellStyle name="計算 4" xfId="908"/>
    <cellStyle name="計算 4 2" xfId="909"/>
    <cellStyle name="計算 4 3" xfId="910"/>
    <cellStyle name="計算 4_11FW 판매분석 120506 (JIL MI)" xfId="911"/>
    <cellStyle name="計算 5" xfId="912"/>
    <cellStyle name="計算_11FW 판매분석 120506 (JIL MI)" xfId="913"/>
    <cellStyle name="适中 2" xfId="914"/>
    <cellStyle name="适中 2 2" xfId="915"/>
    <cellStyle name="适中 2 3" xfId="916"/>
    <cellStyle name="适中 2 4" xfId="917"/>
    <cellStyle name="适中 2 5" xfId="918"/>
    <cellStyle name="适中 2 6" xfId="919"/>
    <cellStyle name="适中 2 7" xfId="920"/>
    <cellStyle name="适中 3" xfId="921"/>
    <cellStyle name="适中 3 2" xfId="922"/>
    <cellStyle name="适中 3 3" xfId="923"/>
    <cellStyle name="适中 3 4" xfId="924"/>
    <cellStyle name="适中 3 5" xfId="925"/>
    <cellStyle name="适中 3 6" xfId="926"/>
    <cellStyle name="适中 3 7" xfId="927"/>
    <cellStyle name="适中 4" xfId="928"/>
    <cellStyle name="适中 4 2" xfId="929"/>
    <cellStyle name="适中 4 3" xfId="930"/>
    <cellStyle name="适中 4 4" xfId="931"/>
    <cellStyle name="适中 4 5" xfId="932"/>
    <cellStyle name="适中 4 6" xfId="933"/>
    <cellStyle name="适中 4 7" xfId="934"/>
    <cellStyle name="适中 5" xfId="935"/>
    <cellStyle name="适中 5 2" xfId="936"/>
    <cellStyle name="适中 5 3" xfId="937"/>
    <cellStyle name="适中 5 4" xfId="938"/>
    <cellStyle name="适中 5 5" xfId="939"/>
    <cellStyle name="适中 5 6" xfId="940"/>
    <cellStyle name="适中 5 7" xfId="941"/>
    <cellStyle name="良い" xfId="942"/>
    <cellStyle name="良い 2" xfId="943"/>
    <cellStyle name="良い 3" xfId="944"/>
    <cellStyle name="良い 3 2" xfId="945"/>
    <cellStyle name="良い 4" xfId="946"/>
    <cellStyle name="良い 4 2" xfId="947"/>
    <cellStyle name="良い 4 3" xfId="948"/>
    <cellStyle name="良い 5" xfId="949"/>
    <cellStyle name="백분율 2" xfId="950"/>
    <cellStyle name="백분율 2 2" xfId="951"/>
    <cellStyle name="백분율 2 2 2" xfId="952"/>
    <cellStyle name="백분율 2 2 2 2" xfId="953"/>
    <cellStyle name="백분율 2 2 2 2 2" xfId="954"/>
    <cellStyle name="백분율 2 2 2 2 2 2" xfId="955"/>
    <cellStyle name="백분율 2 2 2 3" xfId="956"/>
    <cellStyle name="백분율 2 2 2 4" xfId="957"/>
    <cellStyle name="백분율 2 2 2 5" xfId="958"/>
    <cellStyle name="백분율 2 2 2 6" xfId="959"/>
    <cellStyle name="백분율 2 2 3" xfId="960"/>
    <cellStyle name="백분율 2 2 4" xfId="961"/>
    <cellStyle name="백분율 2 2 5" xfId="962"/>
    <cellStyle name="백분율 2 2 5 2" xfId="963"/>
    <cellStyle name="백분율 2 2 6" xfId="964"/>
    <cellStyle name="백분율 2 2 7" xfId="965"/>
    <cellStyle name="백분율 2 2 8" xfId="966"/>
    <cellStyle name="백분율 2 3" xfId="967"/>
    <cellStyle name="백분율 2 4" xfId="968"/>
    <cellStyle name="백분율 2 4 2" xfId="969"/>
    <cellStyle name="백분율 2 5" xfId="970"/>
    <cellStyle name="백분율 2 6" xfId="971"/>
    <cellStyle name="백분율 2 6 2" xfId="972"/>
    <cellStyle name="백분율 2 7" xfId="973"/>
    <cellStyle name="백분율 2 8" xfId="974"/>
    <cellStyle name="백분율 2 9" xfId="975"/>
    <cellStyle name="백분율 3" xfId="976"/>
    <cellStyle name="백분율 3 2" xfId="977"/>
    <cellStyle name="백분율 4" xfId="978"/>
    <cellStyle name="백분율 5" xfId="979"/>
    <cellStyle name="常规 10" xfId="980"/>
    <cellStyle name="常规 10 2" xfId="981"/>
    <cellStyle name="常规 10 3" xfId="982"/>
    <cellStyle name="常规 10 4" xfId="983"/>
    <cellStyle name="常规 11" xfId="984"/>
    <cellStyle name="常规 12" xfId="985"/>
    <cellStyle name="常规 12 2" xfId="986"/>
    <cellStyle name="常规 12 3" xfId="987"/>
    <cellStyle name="常规 12 4" xfId="988"/>
    <cellStyle name="常规 13" xfId="989"/>
    <cellStyle name="常规 14" xfId="990"/>
    <cellStyle name="常规 14 2" xfId="991"/>
    <cellStyle name="常规 14 3" xfId="992"/>
    <cellStyle name="常规 15" xfId="993"/>
    <cellStyle name="常规 15 2" xfId="994"/>
    <cellStyle name="常规 15 3" xfId="995"/>
    <cellStyle name="常规 16" xfId="996"/>
    <cellStyle name="常规 16 2" xfId="997"/>
    <cellStyle name="常规 16 3" xfId="998"/>
    <cellStyle name="常规 17" xfId="999"/>
    <cellStyle name="常规 18" xfId="1000"/>
    <cellStyle name="常规 19" xfId="1001"/>
    <cellStyle name="常规 19 2" xfId="1002"/>
    <cellStyle name="常规 19 3" xfId="1003"/>
    <cellStyle name="常规 2 10" xfId="1004"/>
    <cellStyle name="常规 2 10 10" xfId="1005"/>
    <cellStyle name="常规 2 10 10 2" xfId="1006"/>
    <cellStyle name="常规 2 10 11" xfId="1007"/>
    <cellStyle name="常规 2 10 11 2" xfId="1008"/>
    <cellStyle name="常规 2 10 12" xfId="1009"/>
    <cellStyle name="常规 2 10 12 2" xfId="1010"/>
    <cellStyle name="常规 2 10 13" xfId="1011"/>
    <cellStyle name="常规 2 10 13 2" xfId="1012"/>
    <cellStyle name="常规 2 10 14" xfId="1013"/>
    <cellStyle name="常规 2 10 14 2" xfId="1014"/>
    <cellStyle name="常规 2 10 15" xfId="1015"/>
    <cellStyle name="常规 2 10 15 2" xfId="1016"/>
    <cellStyle name="常规 2 10 16" xfId="1017"/>
    <cellStyle name="常规 2 10 2" xfId="1018"/>
    <cellStyle name="常规 2 10 2 10" xfId="1019"/>
    <cellStyle name="常规 2 10 2 10 2" xfId="1020"/>
    <cellStyle name="常规 2 10 2 11" xfId="1021"/>
    <cellStyle name="常规 2 10 2 11 2" xfId="1022"/>
    <cellStyle name="常规 2 10 2 12" xfId="1023"/>
    <cellStyle name="常规 2 10 2 12 2" xfId="1024"/>
    <cellStyle name="常规 2 10 2 13" xfId="1025"/>
    <cellStyle name="常规 2 10 2 13 2" xfId="1026"/>
    <cellStyle name="常规 2 10 2 14" xfId="1027"/>
    <cellStyle name="常规 2 10 2 14 2" xfId="1028"/>
    <cellStyle name="常规 2 10 2 15" xfId="1029"/>
    <cellStyle name="常规 2 10 2 2" xfId="1030"/>
    <cellStyle name="常规 2 10 2 2 2" xfId="1031"/>
    <cellStyle name="常规 2 10 2 3" xfId="1032"/>
    <cellStyle name="常规 2 10 2 3 2" xfId="1033"/>
    <cellStyle name="常规 2 10 2 4" xfId="1034"/>
    <cellStyle name="常规 2 10 2 4 2" xfId="1035"/>
    <cellStyle name="常规 2 10 2 5" xfId="1036"/>
    <cellStyle name="常规 2 10 2 5 2" xfId="1037"/>
    <cellStyle name="常规 2 10 2 6" xfId="1038"/>
    <cellStyle name="常规 2 10 2 6 2" xfId="1039"/>
    <cellStyle name="常规 2 10 2 7" xfId="1040"/>
    <cellStyle name="常规 2 10 2 7 2" xfId="1041"/>
    <cellStyle name="常规 2 10 2 8" xfId="1042"/>
    <cellStyle name="常规 2 10 2 8 2" xfId="1043"/>
    <cellStyle name="常规 2 10 2 9" xfId="1044"/>
    <cellStyle name="常规 2 10 2 9 2" xfId="1045"/>
    <cellStyle name="常规 2 10 3" xfId="1046"/>
    <cellStyle name="常规 2 10 3 2" xfId="1047"/>
    <cellStyle name="常规 2 10 4" xfId="1048"/>
    <cellStyle name="常规 2 10 4 2" xfId="1049"/>
    <cellStyle name="常规 2 10 5" xfId="1050"/>
    <cellStyle name="常规 2 10 5 2" xfId="1051"/>
    <cellStyle name="常规 2 10 6" xfId="1052"/>
    <cellStyle name="常规 2 10 6 2" xfId="1053"/>
    <cellStyle name="常规 2 10 7" xfId="1054"/>
    <cellStyle name="常规 2 10 7 2" xfId="1055"/>
    <cellStyle name="常规 2 10 8" xfId="1056"/>
    <cellStyle name="常规 2 10 8 2" xfId="1057"/>
    <cellStyle name="常规 2 10 9" xfId="1058"/>
    <cellStyle name="常规 2 10 9 2" xfId="1059"/>
    <cellStyle name="常规 2 11" xfId="1060"/>
    <cellStyle name="常规 2 11 10" xfId="1061"/>
    <cellStyle name="常规 2 11 10 2" xfId="1062"/>
    <cellStyle name="常规 2 11 11" xfId="1063"/>
    <cellStyle name="常规 2 11 11 2" xfId="1064"/>
    <cellStyle name="常规 2 11 12" xfId="1065"/>
    <cellStyle name="常规 2 11 12 2" xfId="1066"/>
    <cellStyle name="常规 2 11 13" xfId="1067"/>
    <cellStyle name="常规 2 11 13 2" xfId="1068"/>
    <cellStyle name="常规 2 11 14" xfId="1069"/>
    <cellStyle name="常规 2 11 14 2" xfId="1070"/>
    <cellStyle name="常规 2 11 15" xfId="1071"/>
    <cellStyle name="常规 2 11 15 2" xfId="1072"/>
    <cellStyle name="常规 2 11 16" xfId="1073"/>
    <cellStyle name="常规 2 11 2" xfId="1074"/>
    <cellStyle name="常规 2 11 2 10" xfId="1075"/>
    <cellStyle name="常规 2 11 2 10 2" xfId="1076"/>
    <cellStyle name="常规 2 11 2 11" xfId="1077"/>
    <cellStyle name="常规 2 11 2 11 2" xfId="1078"/>
    <cellStyle name="常规 2 11 2 12" xfId="1079"/>
    <cellStyle name="常规 2 11 2 12 2" xfId="1080"/>
    <cellStyle name="常规 2 11 2 13" xfId="1081"/>
    <cellStyle name="常规 2 11 2 13 2" xfId="1082"/>
    <cellStyle name="常规 2 11 2 14" xfId="1083"/>
    <cellStyle name="常规 2 11 2 14 2" xfId="1084"/>
    <cellStyle name="常规 2 11 2 15" xfId="1085"/>
    <cellStyle name="常规 2 11 2 2" xfId="1086"/>
    <cellStyle name="常规 2 11 2 2 2" xfId="1087"/>
    <cellStyle name="常规 2 11 2 3" xfId="1088"/>
    <cellStyle name="常规 2 11 2 3 2" xfId="1089"/>
    <cellStyle name="常规 2 11 2 4" xfId="1090"/>
    <cellStyle name="常规 2 11 2 4 2" xfId="1091"/>
    <cellStyle name="常规 2 11 2 5" xfId="1092"/>
    <cellStyle name="常规 2 11 2 5 2" xfId="1093"/>
    <cellStyle name="常规 2 11 2 6" xfId="1094"/>
    <cellStyle name="常规 2 11 2 6 2" xfId="1095"/>
    <cellStyle name="常规 2 11 2 7" xfId="1096"/>
    <cellStyle name="常规 2 11 2 7 2" xfId="1097"/>
    <cellStyle name="常规 2 11 2 8" xfId="1098"/>
    <cellStyle name="常规 2 11 2 8 2" xfId="1099"/>
    <cellStyle name="常规 2 11 2 9" xfId="1100"/>
    <cellStyle name="常规 2 11 2 9 2" xfId="1101"/>
    <cellStyle name="常规 2 11 3" xfId="1102"/>
    <cellStyle name="常规 2 11 3 2" xfId="1103"/>
    <cellStyle name="常规 2 11 4" xfId="1104"/>
    <cellStyle name="常规 2 11 4 2" xfId="1105"/>
    <cellStyle name="常规 2 11 5" xfId="1106"/>
    <cellStyle name="常规 2 11 5 2" xfId="1107"/>
    <cellStyle name="常规 2 11 6" xfId="1108"/>
    <cellStyle name="常规 2 11 6 2" xfId="1109"/>
    <cellStyle name="常规 2 11 7" xfId="1110"/>
    <cellStyle name="常规 2 11 7 2" xfId="1111"/>
    <cellStyle name="常规 2 11 8" xfId="1112"/>
    <cellStyle name="常规 2 11 8 2" xfId="1113"/>
    <cellStyle name="常规 2 11 9" xfId="1114"/>
    <cellStyle name="常规 2 11 9 2" xfId="1115"/>
    <cellStyle name="常规 2 12" xfId="1116"/>
    <cellStyle name="常规 2 12 10" xfId="1117"/>
    <cellStyle name="常规 2 12 10 2" xfId="1118"/>
    <cellStyle name="常规 2 12 11" xfId="1119"/>
    <cellStyle name="常规 2 12 11 2" xfId="1120"/>
    <cellStyle name="常规 2 12 12" xfId="1121"/>
    <cellStyle name="常规 2 12 12 2" xfId="1122"/>
    <cellStyle name="常规 2 12 13" xfId="1123"/>
    <cellStyle name="常规 2 12 13 2" xfId="1124"/>
    <cellStyle name="常规 2 12 14" xfId="1125"/>
    <cellStyle name="常规 2 12 14 2" xfId="1126"/>
    <cellStyle name="常规 2 12 15" xfId="1127"/>
    <cellStyle name="常规 2 12 15 2" xfId="1128"/>
    <cellStyle name="常规 2 12 16" xfId="1129"/>
    <cellStyle name="常规 2 12 2" xfId="1130"/>
    <cellStyle name="常规 2 12 2 10" xfId="1131"/>
    <cellStyle name="常规 2 12 2 10 2" xfId="1132"/>
    <cellStyle name="常规 2 12 2 11" xfId="1133"/>
    <cellStyle name="常规 2 12 2 11 2" xfId="1134"/>
    <cellStyle name="常规 2 12 2 12" xfId="1135"/>
    <cellStyle name="常规 2 12 2 12 2" xfId="1136"/>
    <cellStyle name="常规 2 12 2 13" xfId="1137"/>
    <cellStyle name="常规 2 12 2 13 2" xfId="1138"/>
    <cellStyle name="常规 2 12 2 14" xfId="1139"/>
    <cellStyle name="常规 2 12 2 14 2" xfId="1140"/>
    <cellStyle name="常规 2 12 2 15" xfId="1141"/>
    <cellStyle name="常规 2 12 2 2" xfId="1142"/>
    <cellStyle name="常规 2 12 2 2 2" xfId="1143"/>
    <cellStyle name="常规 2 12 2 3" xfId="1144"/>
    <cellStyle name="常规 2 12 2 3 2" xfId="1145"/>
    <cellStyle name="常规 2 12 2 4" xfId="1146"/>
    <cellStyle name="常规 2 12 2 4 2" xfId="1147"/>
    <cellStyle name="常规 2 12 2 5" xfId="1148"/>
    <cellStyle name="常规 2 12 2 5 2" xfId="1149"/>
    <cellStyle name="常规 2 12 2 6" xfId="1150"/>
    <cellStyle name="常规 2 12 2 6 2" xfId="1151"/>
    <cellStyle name="常规 2 12 2 7" xfId="1152"/>
    <cellStyle name="常规 2 12 2 7 2" xfId="1153"/>
    <cellStyle name="常规 2 12 2 8" xfId="1154"/>
    <cellStyle name="常规 2 12 2 8 2" xfId="1155"/>
    <cellStyle name="常规 2 12 2 9" xfId="1156"/>
    <cellStyle name="常规 2 12 2 9 2" xfId="1157"/>
    <cellStyle name="常规 2 12 3" xfId="1158"/>
    <cellStyle name="常规 2 12 3 2" xfId="1159"/>
    <cellStyle name="常规 2 12 4" xfId="1160"/>
    <cellStyle name="常规 2 12 4 2" xfId="1161"/>
    <cellStyle name="常规 2 12 5" xfId="1162"/>
    <cellStyle name="常规 2 12 5 2" xfId="1163"/>
    <cellStyle name="常规 2 12 6" xfId="1164"/>
    <cellStyle name="常规 2 12 6 2" xfId="1165"/>
    <cellStyle name="常规 2 12 7" xfId="1166"/>
    <cellStyle name="常规 2 12 7 2" xfId="1167"/>
    <cellStyle name="常规 2 12 8" xfId="1168"/>
    <cellStyle name="常规 2 12 8 2" xfId="1169"/>
    <cellStyle name="常规 2 12 9" xfId="1170"/>
    <cellStyle name="常规 2 12 9 2" xfId="1171"/>
    <cellStyle name="常规 2 13" xfId="1172"/>
    <cellStyle name="常规 2 14" xfId="1173"/>
    <cellStyle name="常规 2 15" xfId="1174"/>
    <cellStyle name="常规 2 16" xfId="1175"/>
    <cellStyle name="常规 2 17" xfId="1176"/>
    <cellStyle name="常规 2 18" xfId="1177"/>
    <cellStyle name="常规 2 19" xfId="1178"/>
    <cellStyle name="常规 2 2" xfId="1179"/>
    <cellStyle name="常规 2 2 10" xfId="1180"/>
    <cellStyle name="常规 2 2 10 2" xfId="1181"/>
    <cellStyle name="常规 2 2 11" xfId="1182"/>
    <cellStyle name="常规 2 2 11 2" xfId="1183"/>
    <cellStyle name="常规 2 2 12" xfId="1184"/>
    <cellStyle name="常规 2 2 12 2" xfId="1185"/>
    <cellStyle name="常规 2 2 13" xfId="1186"/>
    <cellStyle name="常规 2 2 13 2" xfId="1187"/>
    <cellStyle name="常规 2 2 14" xfId="1188"/>
    <cellStyle name="常规 2 2 14 2" xfId="1189"/>
    <cellStyle name="常规 2 2 15" xfId="1190"/>
    <cellStyle name="常规 2 2 15 2" xfId="1191"/>
    <cellStyle name="常规 2 2 16" xfId="1192"/>
    <cellStyle name="常规 2 2 17" xfId="1193"/>
    <cellStyle name="常规 2 2 18" xfId="1194"/>
    <cellStyle name="常规 2 2 19" xfId="1195"/>
    <cellStyle name="常规 2 2 2" xfId="1196"/>
    <cellStyle name="常规 2 2 2 10" xfId="1197"/>
    <cellStyle name="常规 2 2 2 10 2" xfId="1198"/>
    <cellStyle name="常规 2 2 2 11" xfId="1199"/>
    <cellStyle name="常规 2 2 2 11 2" xfId="1200"/>
    <cellStyle name="常规 2 2 2 12" xfId="1201"/>
    <cellStyle name="常规 2 2 2 12 2" xfId="1202"/>
    <cellStyle name="常规 2 2 2 13" xfId="1203"/>
    <cellStyle name="常规 2 2 2 13 2" xfId="1204"/>
    <cellStyle name="常规 2 2 2 14" xfId="1205"/>
    <cellStyle name="常规 2 2 2 14 2" xfId="1206"/>
    <cellStyle name="常规 2 2 2 15" xfId="1207"/>
    <cellStyle name="常规 2 2 2 2" xfId="1208"/>
    <cellStyle name="常规 2 2 2 2 2" xfId="1209"/>
    <cellStyle name="常规 2 2 2 3" xfId="1210"/>
    <cellStyle name="常规 2 2 2 3 2" xfId="1211"/>
    <cellStyle name="常规 2 2 2 4" xfId="1212"/>
    <cellStyle name="常规 2 2 2 4 2" xfId="1213"/>
    <cellStyle name="常规 2 2 2 5" xfId="1214"/>
    <cellStyle name="常规 2 2 2 5 2" xfId="1215"/>
    <cellStyle name="常规 2 2 2 6" xfId="1216"/>
    <cellStyle name="常规 2 2 2 6 2" xfId="1217"/>
    <cellStyle name="常规 2 2 2 7" xfId="1218"/>
    <cellStyle name="常规 2 2 2 7 2" xfId="1219"/>
    <cellStyle name="常规 2 2 2 8" xfId="1220"/>
    <cellStyle name="常规 2 2 2 8 2" xfId="1221"/>
    <cellStyle name="常规 2 2 2 9" xfId="1222"/>
    <cellStyle name="常规 2 2 2 9 2" xfId="1223"/>
    <cellStyle name="常规 2 2 20" xfId="1224"/>
    <cellStyle name="常规 2 2 21" xfId="1225"/>
    <cellStyle name="常规 2 2 22" xfId="1226"/>
    <cellStyle name="常规 2 2 23" xfId="1227"/>
    <cellStyle name="常规 2 2 3" xfId="1228"/>
    <cellStyle name="常规 2 2 3 2" xfId="1229"/>
    <cellStyle name="常规 2 2 4" xfId="1230"/>
    <cellStyle name="常规 2 2 4 2" xfId="1231"/>
    <cellStyle name="常规 2 2 5" xfId="1232"/>
    <cellStyle name="常规 2 2 5 2" xfId="1233"/>
    <cellStyle name="常规 2 2 6" xfId="1234"/>
    <cellStyle name="常规 2 2 6 2" xfId="1235"/>
    <cellStyle name="常规 2 2 7" xfId="1236"/>
    <cellStyle name="常规 2 2 7 2" xfId="1237"/>
    <cellStyle name="常规 2 2 8" xfId="1238"/>
    <cellStyle name="常规 2 2 8 2" xfId="1239"/>
    <cellStyle name="常规 2 2 9" xfId="1240"/>
    <cellStyle name="常规 2 2 9 2" xfId="1241"/>
    <cellStyle name="常规 2 20" xfId="1242"/>
    <cellStyle name="常规 2 3" xfId="1243"/>
    <cellStyle name="常规 2 3 10" xfId="1244"/>
    <cellStyle name="常规 2 3 10 2" xfId="1245"/>
    <cellStyle name="常规 2 3 11" xfId="1246"/>
    <cellStyle name="常规 2 3 11 2" xfId="1247"/>
    <cellStyle name="常规 2 3 12" xfId="1248"/>
    <cellStyle name="常规 2 3 12 2" xfId="1249"/>
    <cellStyle name="常规 2 3 13" xfId="1250"/>
    <cellStyle name="常规 2 3 13 2" xfId="1251"/>
    <cellStyle name="常规 2 3 14" xfId="1252"/>
    <cellStyle name="常规 2 3 14 2" xfId="1253"/>
    <cellStyle name="常规 2 3 15" xfId="1254"/>
    <cellStyle name="常规 2 3 15 2" xfId="1255"/>
    <cellStyle name="常规 2 3 16" xfId="1256"/>
    <cellStyle name="常规 2 3 2" xfId="1257"/>
    <cellStyle name="常规 2 3 2 10" xfId="1258"/>
    <cellStyle name="常规 2 3 2 10 2" xfId="1259"/>
    <cellStyle name="常规 2 3 2 11" xfId="1260"/>
    <cellStyle name="常规 2 3 2 11 2" xfId="1261"/>
    <cellStyle name="常规 2 3 2 12" xfId="1262"/>
    <cellStyle name="常规 2 3 2 12 2" xfId="1263"/>
    <cellStyle name="常规 2 3 2 13" xfId="1264"/>
    <cellStyle name="常规 2 3 2 13 2" xfId="1265"/>
    <cellStyle name="常规 2 3 2 14" xfId="1266"/>
    <cellStyle name="常规 2 3 2 14 2" xfId="1267"/>
    <cellStyle name="常规 2 3 2 15" xfId="1268"/>
    <cellStyle name="常规 2 3 2 2" xfId="1269"/>
    <cellStyle name="常规 2 3 2 2 2" xfId="1270"/>
    <cellStyle name="常规 2 3 2 3" xfId="1271"/>
    <cellStyle name="常规 2 3 2 3 2" xfId="1272"/>
    <cellStyle name="常规 2 3 2 4" xfId="1273"/>
    <cellStyle name="常规 2 3 2 4 2" xfId="1274"/>
    <cellStyle name="常规 2 3 2 5" xfId="1275"/>
    <cellStyle name="常规 2 3 2 5 2" xfId="1276"/>
    <cellStyle name="常规 2 3 2 6" xfId="1277"/>
    <cellStyle name="常规 2 3 2 6 2" xfId="1278"/>
    <cellStyle name="常规 2 3 2 7" xfId="1279"/>
    <cellStyle name="常规 2 3 2 7 2" xfId="1280"/>
    <cellStyle name="常规 2 3 2 8" xfId="1281"/>
    <cellStyle name="常规 2 3 2 8 2" xfId="1282"/>
    <cellStyle name="常规 2 3 2 9" xfId="1283"/>
    <cellStyle name="常规 2 3 2 9 2" xfId="1284"/>
    <cellStyle name="常规 2 3 3" xfId="1285"/>
    <cellStyle name="常规 2 3 3 2" xfId="1286"/>
    <cellStyle name="常规 2 3 4" xfId="1287"/>
    <cellStyle name="常规 2 3 4 2" xfId="1288"/>
    <cellStyle name="常规 2 3 5" xfId="1289"/>
    <cellStyle name="常规 2 3 5 2" xfId="1290"/>
    <cellStyle name="常规 2 3 6" xfId="1291"/>
    <cellStyle name="常规 2 3 6 2" xfId="1292"/>
    <cellStyle name="常规 2 3 7" xfId="1293"/>
    <cellStyle name="常规 2 3 7 2" xfId="1294"/>
    <cellStyle name="常规 2 3 8" xfId="1295"/>
    <cellStyle name="常规 2 3 8 2" xfId="1296"/>
    <cellStyle name="常规 2 3 9" xfId="1297"/>
    <cellStyle name="常规 2 3 9 2" xfId="1298"/>
    <cellStyle name="常规 2 4" xfId="1299"/>
    <cellStyle name="常规 2 4 10" xfId="1300"/>
    <cellStyle name="常规 2 4 10 2" xfId="1301"/>
    <cellStyle name="常规 2 4 11" xfId="1302"/>
    <cellStyle name="常规 2 4 11 2" xfId="1303"/>
    <cellStyle name="常规 2 4 12" xfId="1304"/>
    <cellStyle name="常规 2 4 12 2" xfId="1305"/>
    <cellStyle name="常规 2 4 13" xfId="1306"/>
    <cellStyle name="常规 2 4 13 2" xfId="1307"/>
    <cellStyle name="常规 2 4 14" xfId="1308"/>
    <cellStyle name="常规 2 4 14 2" xfId="1309"/>
    <cellStyle name="常规 2 4 15" xfId="1310"/>
    <cellStyle name="常规 2 4 15 2" xfId="1311"/>
    <cellStyle name="常规 2 4 16" xfId="1312"/>
    <cellStyle name="常规 2 4 2" xfId="1313"/>
    <cellStyle name="常规 2 4 2 10" xfId="1314"/>
    <cellStyle name="常规 2 4 2 10 2" xfId="1315"/>
    <cellStyle name="常规 2 4 2 11" xfId="1316"/>
    <cellStyle name="常规 2 4 2 11 2" xfId="1317"/>
    <cellStyle name="常规 2 4 2 12" xfId="1318"/>
    <cellStyle name="常规 2 4 2 12 2" xfId="1319"/>
    <cellStyle name="常规 2 4 2 13" xfId="1320"/>
    <cellStyle name="常规 2 4 2 13 2" xfId="1321"/>
    <cellStyle name="常规 2 4 2 14" xfId="1322"/>
    <cellStyle name="常规 2 4 2 14 2" xfId="1323"/>
    <cellStyle name="常规 2 4 2 15" xfId="1324"/>
    <cellStyle name="常规 2 4 2 2" xfId="1325"/>
    <cellStyle name="常规 2 4 2 2 2" xfId="1326"/>
    <cellStyle name="常规 2 4 2 3" xfId="1327"/>
    <cellStyle name="常规 2 4 2 3 2" xfId="1328"/>
    <cellStyle name="常规 2 4 2 4" xfId="1329"/>
    <cellStyle name="常规 2 4 2 4 2" xfId="1330"/>
    <cellStyle name="常规 2 4 2 5" xfId="1331"/>
    <cellStyle name="常规 2 4 2 5 2" xfId="1332"/>
    <cellStyle name="常规 2 4 2 6" xfId="1333"/>
    <cellStyle name="常规 2 4 2 6 2" xfId="1334"/>
    <cellStyle name="常规 2 4 2 7" xfId="1335"/>
    <cellStyle name="常规 2 4 2 7 2" xfId="1336"/>
    <cellStyle name="常规 2 4 2 8" xfId="1337"/>
    <cellStyle name="常规 2 4 2 8 2" xfId="1338"/>
    <cellStyle name="常规 2 4 2 9" xfId="1339"/>
    <cellStyle name="常规 2 4 2 9 2" xfId="1340"/>
    <cellStyle name="常规 2 4 3" xfId="1341"/>
    <cellStyle name="常规 2 4 3 2" xfId="1342"/>
    <cellStyle name="常规 2 4 4" xfId="1343"/>
    <cellStyle name="常规 2 4 4 2" xfId="1344"/>
    <cellStyle name="常规 2 4 5" xfId="1345"/>
    <cellStyle name="常规 2 4 5 2" xfId="1346"/>
    <cellStyle name="常规 2 4 6" xfId="1347"/>
    <cellStyle name="常规 2 4 6 2" xfId="1348"/>
    <cellStyle name="常规 2 4 7" xfId="1349"/>
    <cellStyle name="常规 2 4 7 2" xfId="1350"/>
    <cellStyle name="常规 2 4 8" xfId="1351"/>
    <cellStyle name="常规 2 4 8 2" xfId="1352"/>
    <cellStyle name="常规 2 4 9" xfId="1353"/>
    <cellStyle name="常规 2 4 9 2" xfId="1354"/>
    <cellStyle name="常规 2 5" xfId="1355"/>
    <cellStyle name="常规 2 5 10" xfId="1356"/>
    <cellStyle name="常规 2 5 10 2" xfId="1357"/>
    <cellStyle name="常规 2 5 11" xfId="1358"/>
    <cellStyle name="常规 2 5 11 2" xfId="1359"/>
    <cellStyle name="常规 2 5 12" xfId="1360"/>
    <cellStyle name="常规 2 5 12 2" xfId="1361"/>
    <cellStyle name="常规 2 5 13" xfId="1362"/>
    <cellStyle name="常规 2 5 13 2" xfId="1363"/>
    <cellStyle name="常规 2 5 14" xfId="1364"/>
    <cellStyle name="常规 2 5 14 2" xfId="1365"/>
    <cellStyle name="常规 2 5 15" xfId="1366"/>
    <cellStyle name="常规 2 5 15 2" xfId="1367"/>
    <cellStyle name="常规 2 5 16" xfId="1368"/>
    <cellStyle name="常规 2 5 2" xfId="1369"/>
    <cellStyle name="常规 2 5 2 10" xfId="1370"/>
    <cellStyle name="常规 2 5 2 10 2" xfId="1371"/>
    <cellStyle name="常规 2 5 2 11" xfId="1372"/>
    <cellStyle name="常规 2 5 2 11 2" xfId="1373"/>
    <cellStyle name="常规 2 5 2 12" xfId="1374"/>
    <cellStyle name="常规 2 5 2 12 2" xfId="1375"/>
    <cellStyle name="常规 2 5 2 13" xfId="1376"/>
    <cellStyle name="常规 2 5 2 13 2" xfId="1377"/>
    <cellStyle name="常规 2 5 2 14" xfId="1378"/>
    <cellStyle name="常规 2 5 2 14 2" xfId="1379"/>
    <cellStyle name="常规 2 5 2 15" xfId="1380"/>
    <cellStyle name="常规 2 5 2 2" xfId="1381"/>
    <cellStyle name="常规 2 5 2 2 2" xfId="1382"/>
    <cellStyle name="常规 2 5 2 3" xfId="1383"/>
    <cellStyle name="常规 2 5 2 3 2" xfId="1384"/>
    <cellStyle name="常规 2 5 2 4" xfId="1385"/>
    <cellStyle name="常规 2 5 2 4 2" xfId="1386"/>
    <cellStyle name="常规 2 5 2 5" xfId="1387"/>
    <cellStyle name="常规 2 5 2 5 2" xfId="1388"/>
    <cellStyle name="常规 2 5 2 6" xfId="1389"/>
    <cellStyle name="常规 2 5 2 6 2" xfId="1390"/>
    <cellStyle name="常规 2 5 2 7" xfId="1391"/>
    <cellStyle name="常规 2 5 2 7 2" xfId="1392"/>
    <cellStyle name="常规 2 5 2 8" xfId="1393"/>
    <cellStyle name="常规 2 5 2 8 2" xfId="1394"/>
    <cellStyle name="常规 2 5 2 9" xfId="1395"/>
    <cellStyle name="常规 2 5 2 9 2" xfId="1396"/>
    <cellStyle name="常规 2 5 3" xfId="1397"/>
    <cellStyle name="常规 2 5 3 2" xfId="1398"/>
    <cellStyle name="常规 2 5 4" xfId="1399"/>
    <cellStyle name="常规 2 5 4 2" xfId="1400"/>
    <cellStyle name="常规 2 5 5" xfId="1401"/>
    <cellStyle name="常规 2 5 5 2" xfId="1402"/>
    <cellStyle name="常规 2 5 6" xfId="1403"/>
    <cellStyle name="常规 2 5 6 2" xfId="1404"/>
    <cellStyle name="常规 2 5 7" xfId="1405"/>
    <cellStyle name="常规 2 5 7 2" xfId="1406"/>
    <cellStyle name="常规 2 5 8" xfId="1407"/>
    <cellStyle name="常规 2 5 8 2" xfId="1408"/>
    <cellStyle name="常规 2 5 9" xfId="1409"/>
    <cellStyle name="常规 2 5 9 2" xfId="1410"/>
    <cellStyle name="常规 2 6" xfId="1411"/>
    <cellStyle name="常规 2 6 10" xfId="1412"/>
    <cellStyle name="常规 2 6 10 2" xfId="1413"/>
    <cellStyle name="常规 2 6 11" xfId="1414"/>
    <cellStyle name="常规 2 6 11 2" xfId="1415"/>
    <cellStyle name="常规 2 6 12" xfId="1416"/>
    <cellStyle name="常规 2 6 12 2" xfId="1417"/>
    <cellStyle name="常规 2 6 13" xfId="1418"/>
    <cellStyle name="常规 2 6 13 2" xfId="1419"/>
    <cellStyle name="常规 2 6 14" xfId="1420"/>
    <cellStyle name="常规 2 6 14 2" xfId="1421"/>
    <cellStyle name="常规 2 6 15" xfId="1422"/>
    <cellStyle name="常规 2 6 15 2" xfId="1423"/>
    <cellStyle name="常规 2 6 16" xfId="1424"/>
    <cellStyle name="常规 2 6 2" xfId="1425"/>
    <cellStyle name="常规 2 6 2 10" xfId="1426"/>
    <cellStyle name="常规 2 6 2 10 2" xfId="1427"/>
    <cellStyle name="常规 2 6 2 11" xfId="1428"/>
    <cellStyle name="常规 2 6 2 11 2" xfId="1429"/>
    <cellStyle name="常规 2 6 2 12" xfId="1430"/>
    <cellStyle name="常规 2 6 2 12 2" xfId="1431"/>
    <cellStyle name="常规 2 6 2 13" xfId="1432"/>
    <cellStyle name="常规 2 6 2 13 2" xfId="1433"/>
    <cellStyle name="常规 2 6 2 14" xfId="1434"/>
    <cellStyle name="常规 2 6 2 14 2" xfId="1435"/>
    <cellStyle name="常规 2 6 2 15" xfId="1436"/>
    <cellStyle name="常规 2 6 2 2" xfId="1437"/>
    <cellStyle name="常规 2 6 2 2 2" xfId="1438"/>
    <cellStyle name="常规 2 6 2 3" xfId="1439"/>
    <cellStyle name="常规 2 6 2 3 2" xfId="1440"/>
    <cellStyle name="常规 2 6 2 4" xfId="1441"/>
    <cellStyle name="常规 2 6 2 4 2" xfId="1442"/>
    <cellStyle name="常规 2 6 2 5" xfId="1443"/>
    <cellStyle name="常规 2 6 2 5 2" xfId="1444"/>
    <cellStyle name="常规 2 6 2 6" xfId="1445"/>
    <cellStyle name="常规 2 6 2 6 2" xfId="1446"/>
    <cellStyle name="常规 2 6 2 7" xfId="1447"/>
    <cellStyle name="常规 2 6 2 7 2" xfId="1448"/>
    <cellStyle name="常规 2 6 2 8" xfId="1449"/>
    <cellStyle name="常规 2 6 2 8 2" xfId="1450"/>
    <cellStyle name="常规 2 6 2 9" xfId="1451"/>
    <cellStyle name="常规 2 6 2 9 2" xfId="1452"/>
    <cellStyle name="常规 2 6 3" xfId="1453"/>
    <cellStyle name="常规 2 6 3 2" xfId="1454"/>
    <cellStyle name="常规 2 6 4" xfId="1455"/>
    <cellStyle name="常规 2 6 4 2" xfId="1456"/>
    <cellStyle name="常规 2 6 5" xfId="1457"/>
    <cellStyle name="常规 2 6 5 2" xfId="1458"/>
    <cellStyle name="常规 2 6 6" xfId="1459"/>
    <cellStyle name="常规 2 6 6 2" xfId="1460"/>
    <cellStyle name="常规 2 6 7" xfId="1461"/>
    <cellStyle name="常规 2 6 7 2" xfId="1462"/>
    <cellStyle name="常规 2 6 8" xfId="1463"/>
    <cellStyle name="常规 2 6 8 2" xfId="1464"/>
    <cellStyle name="常规 2 6 9" xfId="1465"/>
    <cellStyle name="常规 2 6 9 2" xfId="1466"/>
    <cellStyle name="常规 2 7" xfId="1467"/>
    <cellStyle name="常规 2 7 10" xfId="1468"/>
    <cellStyle name="常规 2 7 10 2" xfId="1469"/>
    <cellStyle name="常规 2 7 11" xfId="1470"/>
    <cellStyle name="常规 2 7 11 2" xfId="1471"/>
    <cellStyle name="常规 2 7 12" xfId="1472"/>
    <cellStyle name="常规 2 7 12 2" xfId="1473"/>
    <cellStyle name="常规 2 7 13" xfId="1474"/>
    <cellStyle name="常规 2 7 13 2" xfId="1475"/>
    <cellStyle name="常规 2 7 14" xfId="1476"/>
    <cellStyle name="常规 2 7 14 2" xfId="1477"/>
    <cellStyle name="常规 2 7 15" xfId="1478"/>
    <cellStyle name="常规 2 7 15 2" xfId="1479"/>
    <cellStyle name="常规 2 7 16" xfId="1480"/>
    <cellStyle name="常规 2 7 2" xfId="1481"/>
    <cellStyle name="常规 2 7 2 10" xfId="1482"/>
    <cellStyle name="常规 2 7 2 10 2" xfId="1483"/>
    <cellStyle name="常规 2 7 2 11" xfId="1484"/>
    <cellStyle name="常规 2 7 2 11 2" xfId="1485"/>
    <cellStyle name="常规 2 7 2 12" xfId="1486"/>
    <cellStyle name="常规 2 7 2 12 2" xfId="1487"/>
    <cellStyle name="常规 2 7 2 13" xfId="1488"/>
    <cellStyle name="常规 2 7 2 13 2" xfId="1489"/>
    <cellStyle name="常规 2 7 2 14" xfId="1490"/>
    <cellStyle name="常规 2 7 2 14 2" xfId="1491"/>
    <cellStyle name="常规 2 7 2 15" xfId="1492"/>
    <cellStyle name="常规 2 7 2 2" xfId="1493"/>
    <cellStyle name="常规 2 7 2 2 2" xfId="1494"/>
    <cellStyle name="常规 2 7 2 3" xfId="1495"/>
    <cellStyle name="常规 2 7 2 3 2" xfId="1496"/>
    <cellStyle name="常规 2 7 2 4" xfId="1497"/>
    <cellStyle name="常规 2 7 2 4 2" xfId="1498"/>
    <cellStyle name="常规 2 7 2 5" xfId="1499"/>
    <cellStyle name="常规 2 7 2 5 2" xfId="1500"/>
    <cellStyle name="常规 2 7 2 6" xfId="1501"/>
    <cellStyle name="常规 2 7 2 6 2" xfId="1502"/>
    <cellStyle name="常规 2 7 2 7" xfId="1503"/>
    <cellStyle name="常规 2 7 2 7 2" xfId="1504"/>
    <cellStyle name="常规 2 7 2 8" xfId="1505"/>
    <cellStyle name="常规 2 7 2 8 2" xfId="1506"/>
    <cellStyle name="常规 2 7 2 9" xfId="1507"/>
    <cellStyle name="常规 2 7 2 9 2" xfId="1508"/>
    <cellStyle name="常规 2 7 3" xfId="1509"/>
    <cellStyle name="常规 2 7 3 2" xfId="1510"/>
    <cellStyle name="常规 2 7 4" xfId="1511"/>
    <cellStyle name="常规 2 7 4 2" xfId="1512"/>
    <cellStyle name="常规 2 7 5" xfId="1513"/>
    <cellStyle name="常规 2 7 5 2" xfId="1514"/>
    <cellStyle name="常规 2 7 6" xfId="1515"/>
    <cellStyle name="常规 2 7 6 2" xfId="1516"/>
    <cellStyle name="常规 2 7 7" xfId="1517"/>
    <cellStyle name="常规 2 7 7 2" xfId="1518"/>
    <cellStyle name="常规 2 7 8" xfId="1519"/>
    <cellStyle name="常规 2 7 8 2" xfId="1520"/>
    <cellStyle name="常规 2 7 9" xfId="1521"/>
    <cellStyle name="常规 2 7 9 2" xfId="1522"/>
    <cellStyle name="常规 2 8" xfId="1523"/>
    <cellStyle name="常规 2 8 10" xfId="1524"/>
    <cellStyle name="常规 2 8 10 2" xfId="1525"/>
    <cellStyle name="常规 2 8 11" xfId="1526"/>
    <cellStyle name="常规 2 8 11 2" xfId="1527"/>
    <cellStyle name="常规 2 8 12" xfId="1528"/>
    <cellStyle name="常规 2 8 12 2" xfId="1529"/>
    <cellStyle name="常规 2 8 13" xfId="1530"/>
    <cellStyle name="常规 2 8 13 2" xfId="1531"/>
    <cellStyle name="常规 2 8 14" xfId="1532"/>
    <cellStyle name="常规 2 8 14 2" xfId="1533"/>
    <cellStyle name="常规 2 8 15" xfId="1534"/>
    <cellStyle name="常规 2 8 15 2" xfId="1535"/>
    <cellStyle name="常规 2 8 16" xfId="1536"/>
    <cellStyle name="常规 2 8 2" xfId="1537"/>
    <cellStyle name="常规 2 8 2 10" xfId="1538"/>
    <cellStyle name="常规 2 8 2 10 2" xfId="1539"/>
    <cellStyle name="常规 2 8 2 11" xfId="1540"/>
    <cellStyle name="常规 2 8 2 11 2" xfId="1541"/>
    <cellStyle name="常规 2 8 2 12" xfId="1542"/>
    <cellStyle name="常规 2 8 2 12 2" xfId="1543"/>
    <cellStyle name="常规 2 8 2 13" xfId="1544"/>
    <cellStyle name="常规 2 8 2 13 2" xfId="1545"/>
    <cellStyle name="常规 2 8 2 14" xfId="1546"/>
    <cellStyle name="常规 2 8 2 14 2" xfId="1547"/>
    <cellStyle name="常规 2 8 2 15" xfId="1548"/>
    <cellStyle name="常规 2 8 2 2" xfId="1549"/>
    <cellStyle name="常规 2 8 2 2 2" xfId="1550"/>
    <cellStyle name="常规 2 8 2 3" xfId="1551"/>
    <cellStyle name="常规 2 8 2 3 2" xfId="1552"/>
    <cellStyle name="常规 2 8 2 4" xfId="1553"/>
    <cellStyle name="常规 2 8 2 4 2" xfId="1554"/>
    <cellStyle name="常规 2 8 2 5" xfId="1555"/>
    <cellStyle name="常规 2 8 2 5 2" xfId="1556"/>
    <cellStyle name="常规 2 8 2 6" xfId="1557"/>
    <cellStyle name="常规 2 8 2 6 2" xfId="1558"/>
    <cellStyle name="常规 2 8 2 7" xfId="1559"/>
    <cellStyle name="常规 2 8 2 7 2" xfId="1560"/>
    <cellStyle name="常规 2 8 2 8" xfId="1561"/>
    <cellStyle name="常规 2 8 2 8 2" xfId="1562"/>
    <cellStyle name="常规 2 8 2 9" xfId="1563"/>
    <cellStyle name="常规 2 8 2 9 2" xfId="1564"/>
    <cellStyle name="常规 2 8 3" xfId="1565"/>
    <cellStyle name="常规 2 8 3 2" xfId="1566"/>
    <cellStyle name="常规 2 8 4" xfId="1567"/>
    <cellStyle name="常规 2 8 4 2" xfId="1568"/>
    <cellStyle name="常规 2 8 5" xfId="1569"/>
    <cellStyle name="常规 2 8 5 2" xfId="1570"/>
    <cellStyle name="常规 2 8 6" xfId="1571"/>
    <cellStyle name="常规 2 8 6 2" xfId="1572"/>
    <cellStyle name="常规 2 8 7" xfId="1573"/>
    <cellStyle name="常规 2 8 7 2" xfId="1574"/>
    <cellStyle name="常规 2 8 8" xfId="1575"/>
    <cellStyle name="常规 2 8 8 2" xfId="1576"/>
    <cellStyle name="常规 2 8 9" xfId="1577"/>
    <cellStyle name="常规 2 8 9 2" xfId="1578"/>
    <cellStyle name="常规 2 9" xfId="1579"/>
    <cellStyle name="常规 2 9 10" xfId="1580"/>
    <cellStyle name="常规 2 9 10 2" xfId="1581"/>
    <cellStyle name="常规 2 9 11" xfId="1582"/>
    <cellStyle name="常规 2 9 11 2" xfId="1583"/>
    <cellStyle name="常规 2 9 12" xfId="1584"/>
    <cellStyle name="常规 2 9 12 2" xfId="1585"/>
    <cellStyle name="常规 2 9 13" xfId="1586"/>
    <cellStyle name="常规 2 9 13 2" xfId="1587"/>
    <cellStyle name="常规 2 9 14" xfId="1588"/>
    <cellStyle name="常规 2 9 14 2" xfId="1589"/>
    <cellStyle name="常规 2 9 15" xfId="1590"/>
    <cellStyle name="常规 2 9 15 2" xfId="1591"/>
    <cellStyle name="常规 2 9 16" xfId="1592"/>
    <cellStyle name="常规 2 9 2" xfId="1593"/>
    <cellStyle name="常规 2 9 2 10" xfId="1594"/>
    <cellStyle name="常规 2 9 2 10 2" xfId="1595"/>
    <cellStyle name="常规 2 9 2 11" xfId="1596"/>
    <cellStyle name="常规 2 9 2 11 2" xfId="1597"/>
    <cellStyle name="常规 2 9 2 12" xfId="1598"/>
    <cellStyle name="常规 2 9 2 12 2" xfId="1599"/>
    <cellStyle name="常规 2 9 2 13" xfId="1600"/>
    <cellStyle name="常规 2 9 2 13 2" xfId="1601"/>
    <cellStyle name="常规 2 9 2 14" xfId="1602"/>
    <cellStyle name="常规 2 9 2 14 2" xfId="1603"/>
    <cellStyle name="常规 2 9 2 15" xfId="1604"/>
    <cellStyle name="常规 2 9 2 2" xfId="1605"/>
    <cellStyle name="常规 2 9 2 2 2" xfId="1606"/>
    <cellStyle name="常规 2 9 2 3" xfId="1607"/>
    <cellStyle name="常规 2 9 2 3 2" xfId="1608"/>
    <cellStyle name="常规 2 9 2 4" xfId="1609"/>
    <cellStyle name="常规 2 9 2 4 2" xfId="1610"/>
    <cellStyle name="常规 2 9 2 5" xfId="1611"/>
    <cellStyle name="常规 2 9 2 5 2" xfId="1612"/>
    <cellStyle name="常规 2 9 2 6" xfId="1613"/>
    <cellStyle name="常规 2 9 2 6 2" xfId="1614"/>
    <cellStyle name="常规 2 9 2 7" xfId="1615"/>
    <cellStyle name="常规 2 9 2 7 2" xfId="1616"/>
    <cellStyle name="常规 2 9 2 8" xfId="1617"/>
    <cellStyle name="常规 2 9 2 8 2" xfId="1618"/>
    <cellStyle name="常规 2 9 2 9" xfId="1619"/>
    <cellStyle name="常规 2 9 2 9 2" xfId="1620"/>
    <cellStyle name="常规 2 9 3" xfId="1621"/>
    <cellStyle name="常规 2 9 3 2" xfId="1622"/>
    <cellStyle name="常规 2 9 4" xfId="1623"/>
    <cellStyle name="常规 2 9 4 2" xfId="1624"/>
    <cellStyle name="常规 2 9 5" xfId="1625"/>
    <cellStyle name="常规 2 9 5 2" xfId="1626"/>
    <cellStyle name="常规 2 9 6" xfId="1627"/>
    <cellStyle name="常规 2 9 6 2" xfId="1628"/>
    <cellStyle name="常规 2 9 7" xfId="1629"/>
    <cellStyle name="常规 2 9 7 2" xfId="1630"/>
    <cellStyle name="常规 2 9 8" xfId="1631"/>
    <cellStyle name="常规 2 9 8 2" xfId="1632"/>
    <cellStyle name="常规 2 9 9" xfId="1633"/>
    <cellStyle name="常规 2 9 9 2" xfId="1634"/>
    <cellStyle name="常规 20" xfId="1635"/>
    <cellStyle name="常规 21" xfId="1636"/>
    <cellStyle name="常规 21 2" xfId="1637"/>
    <cellStyle name="常规 21 3" xfId="1638"/>
    <cellStyle name="常规 22" xfId="1639"/>
    <cellStyle name="常规 22 2" xfId="1640"/>
    <cellStyle name="常规 22 3" xfId="1641"/>
    <cellStyle name="常规 23" xfId="1642"/>
    <cellStyle name="常规 24" xfId="1643"/>
    <cellStyle name="常规 25" xfId="1644"/>
    <cellStyle name="常规 26" xfId="1645"/>
    <cellStyle name="常规 27" xfId="1646"/>
    <cellStyle name="常规 28" xfId="1647"/>
    <cellStyle name="常规 29" xfId="1648"/>
    <cellStyle name="常规 3" xfId="1649"/>
    <cellStyle name="常规 3 10" xfId="1650"/>
    <cellStyle name="常规 3 11" xfId="1651"/>
    <cellStyle name="常规 3 12" xfId="1652"/>
    <cellStyle name="常规 3 13" xfId="1653"/>
    <cellStyle name="常规 3 14" xfId="1654"/>
    <cellStyle name="常规 3 15" xfId="1655"/>
    <cellStyle name="常规 3 2" xfId="1656"/>
    <cellStyle name="常规 3 2 2" xfId="1657"/>
    <cellStyle name="常规 3 2 3" xfId="1658"/>
    <cellStyle name="常规 3 3" xfId="1659"/>
    <cellStyle name="常规 3 3 2" xfId="1660"/>
    <cellStyle name="常规 3 3 3" xfId="1661"/>
    <cellStyle name="常规 3 4" xfId="1662"/>
    <cellStyle name="常规 3 4 2" xfId="1663"/>
    <cellStyle name="常规 3 4 3" xfId="1664"/>
    <cellStyle name="常规 3 5" xfId="1665"/>
    <cellStyle name="常规 3 5 2" xfId="1666"/>
    <cellStyle name="常规 3 5 3" xfId="1667"/>
    <cellStyle name="常规 3 6" xfId="1668"/>
    <cellStyle name="常规 3 6 2" xfId="1669"/>
    <cellStyle name="常规 3 6 3" xfId="1670"/>
    <cellStyle name="常规 3 7" xfId="1671"/>
    <cellStyle name="常规 3 7 2" xfId="1672"/>
    <cellStyle name="常规 3 7 3" xfId="1673"/>
    <cellStyle name="常规 3 8" xfId="1674"/>
    <cellStyle name="常规 3 9" xfId="1675"/>
    <cellStyle name="常规 30" xfId="1676"/>
    <cellStyle name="常规 31" xfId="1677"/>
    <cellStyle name="常规 32" xfId="1678"/>
    <cellStyle name="常规 33" xfId="1679"/>
    <cellStyle name="常规 34" xfId="1680"/>
    <cellStyle name="常规 35" xfId="1681"/>
    <cellStyle name="常规 36" xfId="1682"/>
    <cellStyle name="常规 37" xfId="1683"/>
    <cellStyle name="常规 38" xfId="1684"/>
    <cellStyle name="常规 39" xfId="1685"/>
    <cellStyle name="常规 4" xfId="1686"/>
    <cellStyle name="常规 4 10" xfId="1687"/>
    <cellStyle name="常规 4 11" xfId="1688"/>
    <cellStyle name="常规 4 12" xfId="1689"/>
    <cellStyle name="常规 4 13" xfId="1690"/>
    <cellStyle name="常规 4 2" xfId="1691"/>
    <cellStyle name="常规 4 2 2" xfId="1692"/>
    <cellStyle name="常规 4 2 3" xfId="1693"/>
    <cellStyle name="常规 4 3" xfId="1694"/>
    <cellStyle name="常规 4 3 2" xfId="1695"/>
    <cellStyle name="常规 4 3 3" xfId="1696"/>
    <cellStyle name="常规 4 4" xfId="1697"/>
    <cellStyle name="常规 4 4 2" xfId="1698"/>
    <cellStyle name="常规 4 4 3" xfId="1699"/>
    <cellStyle name="常规 4 5" xfId="1700"/>
    <cellStyle name="常规 4 5 2" xfId="1701"/>
    <cellStyle name="常规 4 5 3" xfId="1702"/>
    <cellStyle name="常规 4 6" xfId="1703"/>
    <cellStyle name="常规 4 6 2" xfId="1704"/>
    <cellStyle name="常规 4 6 3" xfId="1705"/>
    <cellStyle name="常规 4 7" xfId="1706"/>
    <cellStyle name="常规 4 7 2" xfId="1707"/>
    <cellStyle name="常规 4 7 3" xfId="1708"/>
    <cellStyle name="常规 4 8" xfId="1709"/>
    <cellStyle name="常规 4 9" xfId="1710"/>
    <cellStyle name="常规 40" xfId="1711"/>
    <cellStyle name="常规 41" xfId="1712"/>
    <cellStyle name="常规 42" xfId="1713"/>
    <cellStyle name="常规 43" xfId="1714"/>
    <cellStyle name="常规 45" xfId="1715"/>
    <cellStyle name="常规 46" xfId="1716"/>
    <cellStyle name="常规 47" xfId="1717"/>
    <cellStyle name="常规 48" xfId="1718"/>
    <cellStyle name="常规 49" xfId="1719"/>
    <cellStyle name="常规 5" xfId="1720"/>
    <cellStyle name="常规 5 10" xfId="1721"/>
    <cellStyle name="常规 5 11" xfId="1722"/>
    <cellStyle name="常规 5 12" xfId="1723"/>
    <cellStyle name="常规 5 13" xfId="1724"/>
    <cellStyle name="常规 5 14" xfId="1725"/>
    <cellStyle name="常规 5 15" xfId="1726"/>
    <cellStyle name="常规 5 2" xfId="1727"/>
    <cellStyle name="常规 5 3" xfId="1728"/>
    <cellStyle name="常规 5 4" xfId="1729"/>
    <cellStyle name="常规 5 5" xfId="1730"/>
    <cellStyle name="常规 5 6" xfId="1731"/>
    <cellStyle name="常规 5 7" xfId="1732"/>
    <cellStyle name="常规 5 8" xfId="1733"/>
    <cellStyle name="常规 5 9" xfId="1734"/>
    <cellStyle name="常规 50" xfId="1735"/>
    <cellStyle name="常规 51" xfId="1736"/>
    <cellStyle name="常规 52" xfId="1737"/>
    <cellStyle name="常规 6" xfId="1738"/>
    <cellStyle name="常规 6 10" xfId="1739"/>
    <cellStyle name="常规 6 11" xfId="1740"/>
    <cellStyle name="常规 6 12" xfId="1741"/>
    <cellStyle name="常规 6 13" xfId="1742"/>
    <cellStyle name="常规 6 13 10" xfId="1743"/>
    <cellStyle name="常规 6 13 10 2" xfId="1744"/>
    <cellStyle name="常规 6 13 11" xfId="1745"/>
    <cellStyle name="常规 6 13 11 2" xfId="1746"/>
    <cellStyle name="常规 6 13 12" xfId="1747"/>
    <cellStyle name="常规 6 13 12 2" xfId="1748"/>
    <cellStyle name="常规 6 13 13" xfId="1749"/>
    <cellStyle name="常规 6 13 13 2" xfId="1750"/>
    <cellStyle name="常规 6 13 14" xfId="1751"/>
    <cellStyle name="常规 6 13 14 2" xfId="1752"/>
    <cellStyle name="常规 6 13 15" xfId="1753"/>
    <cellStyle name="常规 6 13 2" xfId="1754"/>
    <cellStyle name="常规 6 13 2 2" xfId="1755"/>
    <cellStyle name="常规 6 13 3" xfId="1756"/>
    <cellStyle name="常规 6 13 3 2" xfId="1757"/>
    <cellStyle name="常规 6 13 4" xfId="1758"/>
    <cellStyle name="常规 6 13 4 2" xfId="1759"/>
    <cellStyle name="常规 6 13 5" xfId="1760"/>
    <cellStyle name="常规 6 13 5 2" xfId="1761"/>
    <cellStyle name="常规 6 13 6" xfId="1762"/>
    <cellStyle name="常规 6 13 6 2" xfId="1763"/>
    <cellStyle name="常规 6 13 7" xfId="1764"/>
    <cellStyle name="常规 6 13 7 2" xfId="1765"/>
    <cellStyle name="常规 6 13 8" xfId="1766"/>
    <cellStyle name="常规 6 13 8 2" xfId="1767"/>
    <cellStyle name="常规 6 13 9" xfId="1768"/>
    <cellStyle name="常规 6 13 9 2" xfId="1769"/>
    <cellStyle name="常规 6 14" xfId="1770"/>
    <cellStyle name="常规 6 14 10" xfId="1771"/>
    <cellStyle name="常规 6 14 10 2" xfId="1772"/>
    <cellStyle name="常规 6 14 11" xfId="1773"/>
    <cellStyle name="常规 6 14 11 2" xfId="1774"/>
    <cellStyle name="常规 6 14 12" xfId="1775"/>
    <cellStyle name="常规 6 14 12 2" xfId="1776"/>
    <cellStyle name="常规 6 14 13" xfId="1777"/>
    <cellStyle name="常规 6 14 13 2" xfId="1778"/>
    <cellStyle name="常规 6 14 14" xfId="1779"/>
    <cellStyle name="常规 6 14 14 2" xfId="1780"/>
    <cellStyle name="常规 6 14 15" xfId="1781"/>
    <cellStyle name="常规 6 14 2" xfId="1782"/>
    <cellStyle name="常规 6 14 2 2" xfId="1783"/>
    <cellStyle name="常规 6 14 3" xfId="1784"/>
    <cellStyle name="常规 6 14 3 2" xfId="1785"/>
    <cellStyle name="常规 6 14 4" xfId="1786"/>
    <cellStyle name="常规 6 14 4 2" xfId="1787"/>
    <cellStyle name="常规 6 14 5" xfId="1788"/>
    <cellStyle name="常规 6 14 5 2" xfId="1789"/>
    <cellStyle name="常规 6 14 6" xfId="1790"/>
    <cellStyle name="常规 6 14 6 2" xfId="1791"/>
    <cellStyle name="常规 6 14 7" xfId="1792"/>
    <cellStyle name="常规 6 14 7 2" xfId="1793"/>
    <cellStyle name="常规 6 14 8" xfId="1794"/>
    <cellStyle name="常规 6 14 8 2" xfId="1795"/>
    <cellStyle name="常规 6 14 9" xfId="1796"/>
    <cellStyle name="常规 6 14 9 2" xfId="1797"/>
    <cellStyle name="常规 6 15" xfId="1798"/>
    <cellStyle name="常规 6 15 10" xfId="1799"/>
    <cellStyle name="常规 6 15 10 2" xfId="1800"/>
    <cellStyle name="常规 6 15 11" xfId="1801"/>
    <cellStyle name="常规 6 15 11 2" xfId="1802"/>
    <cellStyle name="常规 6 15 12" xfId="1803"/>
    <cellStyle name="常规 6 15 12 2" xfId="1804"/>
    <cellStyle name="常规 6 15 13" xfId="1805"/>
    <cellStyle name="常规 6 15 13 2" xfId="1806"/>
    <cellStyle name="常规 6 15 14" xfId="1807"/>
    <cellStyle name="常规 6 15 14 2" xfId="1808"/>
    <cellStyle name="常规 6 15 15" xfId="1809"/>
    <cellStyle name="常规 6 15 2" xfId="1810"/>
    <cellStyle name="常规 6 15 2 2" xfId="1811"/>
    <cellStyle name="常规 6 15 3" xfId="1812"/>
    <cellStyle name="常规 6 15 3 2" xfId="1813"/>
    <cellStyle name="常规 6 15 4" xfId="1814"/>
    <cellStyle name="常规 6 15 4 2" xfId="1815"/>
    <cellStyle name="常规 6 15 5" xfId="1816"/>
    <cellStyle name="常规 6 15 5 2" xfId="1817"/>
    <cellStyle name="常规 6 15 6" xfId="1818"/>
    <cellStyle name="常规 6 15 6 2" xfId="1819"/>
    <cellStyle name="常规 6 15 7" xfId="1820"/>
    <cellStyle name="常规 6 15 7 2" xfId="1821"/>
    <cellStyle name="常规 6 15 8" xfId="1822"/>
    <cellStyle name="常规 6 15 8 2" xfId="1823"/>
    <cellStyle name="常规 6 15 9" xfId="1824"/>
    <cellStyle name="常规 6 15 9 2" xfId="1825"/>
    <cellStyle name="常规 6 16" xfId="1826"/>
    <cellStyle name="常规 6 16 10" xfId="1827"/>
    <cellStyle name="常规 6 16 10 2" xfId="1828"/>
    <cellStyle name="常规 6 16 11" xfId="1829"/>
    <cellStyle name="常规 6 16 11 2" xfId="1830"/>
    <cellStyle name="常规 6 16 12" xfId="1831"/>
    <cellStyle name="常规 6 16 12 2" xfId="1832"/>
    <cellStyle name="常规 6 16 13" xfId="1833"/>
    <cellStyle name="常规 6 16 13 2" xfId="1834"/>
    <cellStyle name="常规 6 16 14" xfId="1835"/>
    <cellStyle name="常规 6 16 14 2" xfId="1836"/>
    <cellStyle name="常规 6 16 15" xfId="1837"/>
    <cellStyle name="常规 6 16 2" xfId="1838"/>
    <cellStyle name="常规 6 16 2 2" xfId="1839"/>
    <cellStyle name="常规 6 16 3" xfId="1840"/>
    <cellStyle name="常规 6 16 3 2" xfId="1841"/>
    <cellStyle name="常规 6 16 4" xfId="1842"/>
    <cellStyle name="常规 6 16 4 2" xfId="1843"/>
    <cellStyle name="常规 6 16 5" xfId="1844"/>
    <cellStyle name="常规 6 16 5 2" xfId="1845"/>
    <cellStyle name="常规 6 16 6" xfId="1846"/>
    <cellStyle name="常规 6 16 6 2" xfId="1847"/>
    <cellStyle name="常规 6 16 7" xfId="1848"/>
    <cellStyle name="常规 6 16 7 2" xfId="1849"/>
    <cellStyle name="常规 6 16 8" xfId="1850"/>
    <cellStyle name="常规 6 16 8 2" xfId="1851"/>
    <cellStyle name="常规 6 16 9" xfId="1852"/>
    <cellStyle name="常规 6 16 9 2" xfId="1853"/>
    <cellStyle name="常规 6 17" xfId="1854"/>
    <cellStyle name="常规 6 17 10" xfId="1855"/>
    <cellStyle name="常规 6 17 10 2" xfId="1856"/>
    <cellStyle name="常规 6 17 11" xfId="1857"/>
    <cellStyle name="常规 6 17 11 2" xfId="1858"/>
    <cellStyle name="常规 6 17 12" xfId="1859"/>
    <cellStyle name="常规 6 17 12 2" xfId="1860"/>
    <cellStyle name="常规 6 17 13" xfId="1861"/>
    <cellStyle name="常规 6 17 13 2" xfId="1862"/>
    <cellStyle name="常规 6 17 14" xfId="1863"/>
    <cellStyle name="常规 6 17 14 2" xfId="1864"/>
    <cellStyle name="常规 6 17 15" xfId="1865"/>
    <cellStyle name="常规 6 17 2" xfId="1866"/>
    <cellStyle name="常规 6 17 2 2" xfId="1867"/>
    <cellStyle name="常规 6 17 3" xfId="1868"/>
    <cellStyle name="常规 6 17 3 2" xfId="1869"/>
    <cellStyle name="常规 6 17 4" xfId="1870"/>
    <cellStyle name="常规 6 17 4 2" xfId="1871"/>
    <cellStyle name="常规 6 17 5" xfId="1872"/>
    <cellStyle name="常规 6 17 5 2" xfId="1873"/>
    <cellStyle name="常规 6 17 6" xfId="1874"/>
    <cellStyle name="常规 6 17 6 2" xfId="1875"/>
    <cellStyle name="常规 6 17 7" xfId="1876"/>
    <cellStyle name="常规 6 17 7 2" xfId="1877"/>
    <cellStyle name="常规 6 17 8" xfId="1878"/>
    <cellStyle name="常规 6 17 8 2" xfId="1879"/>
    <cellStyle name="常规 6 17 9" xfId="1880"/>
    <cellStyle name="常规 6 17 9 2" xfId="1881"/>
    <cellStyle name="常规 6 18" xfId="1882"/>
    <cellStyle name="常规 6 19" xfId="1883"/>
    <cellStyle name="常规 6 2" xfId="1884"/>
    <cellStyle name="常规 6 2 10" xfId="1885"/>
    <cellStyle name="常规 6 2 10 2" xfId="1886"/>
    <cellStyle name="常规 6 2 11" xfId="1887"/>
    <cellStyle name="常规 6 2 11 2" xfId="1888"/>
    <cellStyle name="常规 6 2 12" xfId="1889"/>
    <cellStyle name="常规 6 2 12 2" xfId="1890"/>
    <cellStyle name="常规 6 2 13" xfId="1891"/>
    <cellStyle name="常规 6 2 13 2" xfId="1892"/>
    <cellStyle name="常规 6 2 14" xfId="1893"/>
    <cellStyle name="常规 6 2 14 2" xfId="1894"/>
    <cellStyle name="常规 6 2 15" xfId="1895"/>
    <cellStyle name="常规 6 2 15 2" xfId="1896"/>
    <cellStyle name="常规 6 2 16" xfId="1897"/>
    <cellStyle name="常规 6 2 16 2" xfId="1898"/>
    <cellStyle name="常规 6 2 17" xfId="1899"/>
    <cellStyle name="常规 6 2 17 2" xfId="1900"/>
    <cellStyle name="常规 6 2 18" xfId="1901"/>
    <cellStyle name="常规 6 2 18 2" xfId="1902"/>
    <cellStyle name="常规 6 2 19" xfId="1903"/>
    <cellStyle name="常规 6 2 19 2" xfId="1904"/>
    <cellStyle name="常规 6 2 2" xfId="1905"/>
    <cellStyle name="常规 6 2 20" xfId="1906"/>
    <cellStyle name="常规 6 2 3" xfId="1907"/>
    <cellStyle name="常规 6 2 4" xfId="1908"/>
    <cellStyle name="常规 6 2 5" xfId="1909"/>
    <cellStyle name="常规 6 2 6" xfId="1910"/>
    <cellStyle name="常规 6 2 7" xfId="1911"/>
    <cellStyle name="常规 6 2 7 2" xfId="1912"/>
    <cellStyle name="常规 6 2 8" xfId="1913"/>
    <cellStyle name="常规 6 2 8 2" xfId="1914"/>
    <cellStyle name="常规 6 2 9" xfId="1915"/>
    <cellStyle name="常规 6 2 9 2" xfId="1916"/>
    <cellStyle name="常规 6 3" xfId="1917"/>
    <cellStyle name="常规 6 4" xfId="1918"/>
    <cellStyle name="常规 6 5" xfId="1919"/>
    <cellStyle name="常规 6 6" xfId="1920"/>
    <cellStyle name="常规 6 7" xfId="1921"/>
    <cellStyle name="常规 6 8" xfId="1922"/>
    <cellStyle name="常规 6 9" xfId="1923"/>
    <cellStyle name="常规 64" xfId="1924"/>
    <cellStyle name="常规 7" xfId="1925"/>
    <cellStyle name="常规 7 2" xfId="1926"/>
    <cellStyle name="常规 7 2 10" xfId="1927"/>
    <cellStyle name="常规 7 2 10 2" xfId="1928"/>
    <cellStyle name="常规 7 2 11" xfId="1929"/>
    <cellStyle name="常规 7 2 11 2" xfId="1930"/>
    <cellStyle name="常规 7 2 12" xfId="1931"/>
    <cellStyle name="常规 7 2 12 2" xfId="1932"/>
    <cellStyle name="常规 7 2 13" xfId="1933"/>
    <cellStyle name="常规 7 2 13 2" xfId="1934"/>
    <cellStyle name="常规 7 2 14" xfId="1935"/>
    <cellStyle name="常规 7 2 14 2" xfId="1936"/>
    <cellStyle name="常规 7 2 15" xfId="1937"/>
    <cellStyle name="常规 7 2 2" xfId="1938"/>
    <cellStyle name="常规 7 2 2 2" xfId="1939"/>
    <cellStyle name="常规 7 2 3" xfId="1940"/>
    <cellStyle name="常规 7 2 3 2" xfId="1941"/>
    <cellStyle name="常规 7 2 4" xfId="1942"/>
    <cellStyle name="常规 7 2 4 2" xfId="1943"/>
    <cellStyle name="常规 7 2 5" xfId="1944"/>
    <cellStyle name="常规 7 2 5 2" xfId="1945"/>
    <cellStyle name="常规 7 2 6" xfId="1946"/>
    <cellStyle name="常规 7 2 6 2" xfId="1947"/>
    <cellStyle name="常规 7 2 7" xfId="1948"/>
    <cellStyle name="常规 7 2 7 2" xfId="1949"/>
    <cellStyle name="常规 7 2 8" xfId="1950"/>
    <cellStyle name="常规 7 2 8 2" xfId="1951"/>
    <cellStyle name="常规 7 2 9" xfId="1952"/>
    <cellStyle name="常规 7 2 9 2" xfId="1953"/>
    <cellStyle name="常规 7 3" xfId="1954"/>
    <cellStyle name="常规 7 3 10" xfId="1955"/>
    <cellStyle name="常规 7 3 10 2" xfId="1956"/>
    <cellStyle name="常规 7 3 11" xfId="1957"/>
    <cellStyle name="常规 7 3 11 2" xfId="1958"/>
    <cellStyle name="常规 7 3 12" xfId="1959"/>
    <cellStyle name="常规 7 3 12 2" xfId="1960"/>
    <cellStyle name="常规 7 3 13" xfId="1961"/>
    <cellStyle name="常规 7 3 13 2" xfId="1962"/>
    <cellStyle name="常规 7 3 14" xfId="1963"/>
    <cellStyle name="常规 7 3 14 2" xfId="1964"/>
    <cellStyle name="常规 7 3 15" xfId="1965"/>
    <cellStyle name="常规 7 3 2" xfId="1966"/>
    <cellStyle name="常规 7 3 2 2" xfId="1967"/>
    <cellStyle name="常规 7 3 3" xfId="1968"/>
    <cellStyle name="常规 7 3 3 2" xfId="1969"/>
    <cellStyle name="常规 7 3 4" xfId="1970"/>
    <cellStyle name="常规 7 3 4 2" xfId="1971"/>
    <cellStyle name="常规 7 3 5" xfId="1972"/>
    <cellStyle name="常规 7 3 5 2" xfId="1973"/>
    <cellStyle name="常规 7 3 6" xfId="1974"/>
    <cellStyle name="常规 7 3 6 2" xfId="1975"/>
    <cellStyle name="常规 7 3 7" xfId="1976"/>
    <cellStyle name="常规 7 3 7 2" xfId="1977"/>
    <cellStyle name="常规 7 3 8" xfId="1978"/>
    <cellStyle name="常规 7 3 8 2" xfId="1979"/>
    <cellStyle name="常规 7 3 9" xfId="1980"/>
    <cellStyle name="常规 7 3 9 2" xfId="1981"/>
    <cellStyle name="常规 7 4" xfId="1982"/>
    <cellStyle name="常规 7 4 10" xfId="1983"/>
    <cellStyle name="常规 7 4 10 2" xfId="1984"/>
    <cellStyle name="常规 7 4 11" xfId="1985"/>
    <cellStyle name="常规 7 4 11 2" xfId="1986"/>
    <cellStyle name="常规 7 4 12" xfId="1987"/>
    <cellStyle name="常规 7 4 12 2" xfId="1988"/>
    <cellStyle name="常规 7 4 13" xfId="1989"/>
    <cellStyle name="常规 7 4 13 2" xfId="1990"/>
    <cellStyle name="常规 7 4 14" xfId="1991"/>
    <cellStyle name="常规 7 4 14 2" xfId="1992"/>
    <cellStyle name="常规 7 4 15" xfId="1993"/>
    <cellStyle name="常规 7 4 2" xfId="1994"/>
    <cellStyle name="常规 7 4 2 2" xfId="1995"/>
    <cellStyle name="常规 7 4 3" xfId="1996"/>
    <cellStyle name="常规 7 4 3 2" xfId="1997"/>
    <cellStyle name="常规 7 4 4" xfId="1998"/>
    <cellStyle name="常规 7 4 4 2" xfId="1999"/>
    <cellStyle name="常规 7 4 5" xfId="2000"/>
    <cellStyle name="常规 7 4 5 2" xfId="2001"/>
    <cellStyle name="常规 7 4 6" xfId="2002"/>
    <cellStyle name="常规 7 4 6 2" xfId="2003"/>
    <cellStyle name="常规 7 4 7" xfId="2004"/>
    <cellStyle name="常规 7 4 7 2" xfId="2005"/>
    <cellStyle name="常规 7 4 8" xfId="2006"/>
    <cellStyle name="常规 7 4 8 2" xfId="2007"/>
    <cellStyle name="常规 7 4 9" xfId="2008"/>
    <cellStyle name="常规 7 4 9 2" xfId="2009"/>
    <cellStyle name="常规 7 5" xfId="2010"/>
    <cellStyle name="常规 7 5 10" xfId="2011"/>
    <cellStyle name="常规 7 5 10 2" xfId="2012"/>
    <cellStyle name="常规 7 5 11" xfId="2013"/>
    <cellStyle name="常规 7 5 11 2" xfId="2014"/>
    <cellStyle name="常规 7 5 12" xfId="2015"/>
    <cellStyle name="常规 7 5 12 2" xfId="2016"/>
    <cellStyle name="常规 7 5 13" xfId="2017"/>
    <cellStyle name="常规 7 5 13 2" xfId="2018"/>
    <cellStyle name="常规 7 5 14" xfId="2019"/>
    <cellStyle name="常规 7 5 14 2" xfId="2020"/>
    <cellStyle name="常规 7 5 15" xfId="2021"/>
    <cellStyle name="常规 7 5 2" xfId="2022"/>
    <cellStyle name="常规 7 5 2 2" xfId="2023"/>
    <cellStyle name="常规 7 5 3" xfId="2024"/>
    <cellStyle name="常规 7 5 3 2" xfId="2025"/>
    <cellStyle name="常规 7 5 4" xfId="2026"/>
    <cellStyle name="常规 7 5 4 2" xfId="2027"/>
    <cellStyle name="常规 7 5 5" xfId="2028"/>
    <cellStyle name="常规 7 5 5 2" xfId="2029"/>
    <cellStyle name="常规 7 5 6" xfId="2030"/>
    <cellStyle name="常规 7 5 6 2" xfId="2031"/>
    <cellStyle name="常规 7 5 7" xfId="2032"/>
    <cellStyle name="常规 7 5 7 2" xfId="2033"/>
    <cellStyle name="常规 7 5 8" xfId="2034"/>
    <cellStyle name="常规 7 5 8 2" xfId="2035"/>
    <cellStyle name="常规 7 5 9" xfId="2036"/>
    <cellStyle name="常规 7 5 9 2" xfId="2037"/>
    <cellStyle name="常规 7 6" xfId="2038"/>
    <cellStyle name="常规 7 6 10" xfId="2039"/>
    <cellStyle name="常规 7 6 10 2" xfId="2040"/>
    <cellStyle name="常规 7 6 11" xfId="2041"/>
    <cellStyle name="常规 7 6 11 2" xfId="2042"/>
    <cellStyle name="常规 7 6 12" xfId="2043"/>
    <cellStyle name="常规 7 6 12 2" xfId="2044"/>
    <cellStyle name="常规 7 6 13" xfId="2045"/>
    <cellStyle name="常规 7 6 13 2" xfId="2046"/>
    <cellStyle name="常规 7 6 14" xfId="2047"/>
    <cellStyle name="常规 7 6 14 2" xfId="2048"/>
    <cellStyle name="常规 7 6 15" xfId="2049"/>
    <cellStyle name="常规 7 6 2" xfId="2050"/>
    <cellStyle name="常规 7 6 2 2" xfId="2051"/>
    <cellStyle name="常规 7 6 3" xfId="2052"/>
    <cellStyle name="常规 7 6 3 2" xfId="2053"/>
    <cellStyle name="常规 7 6 4" xfId="2054"/>
    <cellStyle name="常规 7 6 4 2" xfId="2055"/>
    <cellStyle name="常规 7 6 5" xfId="2056"/>
    <cellStyle name="常规 7 6 5 2" xfId="2057"/>
    <cellStyle name="常规 7 6 6" xfId="2058"/>
    <cellStyle name="常规 7 6 6 2" xfId="2059"/>
    <cellStyle name="常规 7 6 7" xfId="2060"/>
    <cellStyle name="常规 7 6 7 2" xfId="2061"/>
    <cellStyle name="常规 7 6 8" xfId="2062"/>
    <cellStyle name="常规 7 6 8 2" xfId="2063"/>
    <cellStyle name="常规 7 6 9" xfId="2064"/>
    <cellStyle name="常规 7 6 9 2" xfId="2065"/>
    <cellStyle name="常规 7 7" xfId="2066"/>
    <cellStyle name="常规 7 8" xfId="2067"/>
    <cellStyle name="常规 8" xfId="2068"/>
    <cellStyle name="常规 9" xfId="2069"/>
    <cellStyle name="常规 9 2" xfId="2070"/>
    <cellStyle name="쉼표 [0]" xfId="2071" builtinId="6"/>
    <cellStyle name="쉼표 [0] 2" xfId="2072"/>
    <cellStyle name="쉼표 [0] 2 10" xfId="2073"/>
    <cellStyle name="쉼표 [0] 2 11" xfId="2074"/>
    <cellStyle name="쉼표 [0] 2 12" xfId="2075"/>
    <cellStyle name="쉼표 [0] 2 13" xfId="2076"/>
    <cellStyle name="쉼표 [0] 2 14" xfId="2077"/>
    <cellStyle name="쉼표 [0] 2 15" xfId="2078"/>
    <cellStyle name="쉼표 [0] 2 2" xfId="2079"/>
    <cellStyle name="쉼표 [0] 2 2 10" xfId="2080"/>
    <cellStyle name="쉼표 [0] 2 2 11" xfId="2081"/>
    <cellStyle name="쉼표 [0] 2 2 2" xfId="2082"/>
    <cellStyle name="쉼표 [0] 2 2 2 2" xfId="2083"/>
    <cellStyle name="쉼표 [0] 2 2 2 2 2" xfId="2084"/>
    <cellStyle name="쉼표 [0] 2 2 2 2 2 2" xfId="2085"/>
    <cellStyle name="쉼표 [0] 2 2 2 2 2 2 2" xfId="2086"/>
    <cellStyle name="쉼표 [0] 2 2 2 2 2 2 2 2" xfId="2087"/>
    <cellStyle name="쉼표 [0] 2 2 2 2 2 3" xfId="2088"/>
    <cellStyle name="쉼표 [0] 2 2 2 2 2 4" xfId="2089"/>
    <cellStyle name="쉼표 [0] 2 2 2 2 2 5" xfId="2090"/>
    <cellStyle name="쉼표 [0] 2 2 2 2 2 6" xfId="2091"/>
    <cellStyle name="쉼표 [0] 2 2 2 2 3" xfId="2092"/>
    <cellStyle name="쉼표 [0] 2 2 2 2 4" xfId="2093"/>
    <cellStyle name="쉼표 [0] 2 2 2 2 5" xfId="2094"/>
    <cellStyle name="쉼표 [0] 2 2 2 2 5 2" xfId="2095"/>
    <cellStyle name="쉼표 [0] 2 2 2 2 6" xfId="2096"/>
    <cellStyle name="쉼표 [0] 2 2 2 2 7" xfId="2097"/>
    <cellStyle name="쉼표 [0] 2 2 2 2 8" xfId="2098"/>
    <cellStyle name="쉼표 [0] 2 2 2 3" xfId="2099"/>
    <cellStyle name="쉼표 [0] 2 2 2 3 2" xfId="2100"/>
    <cellStyle name="쉼표 [0] 2 2 2 3 2 2" xfId="2101"/>
    <cellStyle name="쉼표 [0] 2 2 2 3 2 2 2" xfId="2102"/>
    <cellStyle name="쉼표 [0] 2 2 2 3 3" xfId="2103"/>
    <cellStyle name="쉼표 [0] 2 2 2 3 4" xfId="2104"/>
    <cellStyle name="쉼표 [0] 2 2 2 3 5" xfId="2105"/>
    <cellStyle name="쉼표 [0] 2 2 2 3 6" xfId="2106"/>
    <cellStyle name="쉼표 [0] 2 2 2 4" xfId="2107"/>
    <cellStyle name="쉼표 [0] 2 2 2 5" xfId="2108"/>
    <cellStyle name="쉼표 [0] 2 2 2 5 2" xfId="2109"/>
    <cellStyle name="쉼표 [0] 2 2 2 6" xfId="2110"/>
    <cellStyle name="쉼표 [0] 2 2 2 7" xfId="2111"/>
    <cellStyle name="쉼표 [0] 2 2 2 8" xfId="2112"/>
    <cellStyle name="쉼표 [0] 2 2 2 9" xfId="2113"/>
    <cellStyle name="쉼표 [0] 2 2 3" xfId="2114"/>
    <cellStyle name="쉼표 [0] 2 2 4" xfId="2115"/>
    <cellStyle name="쉼표 [0] 2 2 5" xfId="2116"/>
    <cellStyle name="쉼표 [0] 2 2 5 2" xfId="2117"/>
    <cellStyle name="쉼표 [0] 2 2 6" xfId="2118"/>
    <cellStyle name="쉼표 [0] 2 2 7" xfId="2119"/>
    <cellStyle name="쉼표 [0] 2 2 7 2" xfId="2120"/>
    <cellStyle name="쉼표 [0] 2 2 8" xfId="2121"/>
    <cellStyle name="쉼표 [0] 2 2 9" xfId="2122"/>
    <cellStyle name="쉼표 [0] 2 3" xfId="2123"/>
    <cellStyle name="쉼표 [0] 2 3 2" xfId="2124"/>
    <cellStyle name="쉼표 [0] 2 3 2 2" xfId="2125"/>
    <cellStyle name="쉼표 [0] 2 3 2 2 2" xfId="2126"/>
    <cellStyle name="쉼표 [0] 2 3 2 2 2 2" xfId="2127"/>
    <cellStyle name="쉼표 [0] 2 3 2 3" xfId="2128"/>
    <cellStyle name="쉼표 [0] 2 3 2 4" xfId="2129"/>
    <cellStyle name="쉼표 [0] 2 3 2 5" xfId="2130"/>
    <cellStyle name="쉼표 [0] 2 3 2 6" xfId="2131"/>
    <cellStyle name="쉼표 [0] 2 3 3" xfId="2132"/>
    <cellStyle name="쉼표 [0] 2 3 4" xfId="2133"/>
    <cellStyle name="쉼표 [0] 2 3 5" xfId="2134"/>
    <cellStyle name="쉼표 [0] 2 3 5 2" xfId="2135"/>
    <cellStyle name="쉼표 [0] 2 3 6" xfId="2136"/>
    <cellStyle name="쉼표 [0] 2 3 7" xfId="2137"/>
    <cellStyle name="쉼표 [0] 2 3 8" xfId="2138"/>
    <cellStyle name="쉼표 [0] 2 4" xfId="2139"/>
    <cellStyle name="쉼표 [0] 2 4 2" xfId="2140"/>
    <cellStyle name="쉼표 [0] 2 4 3" xfId="2141"/>
    <cellStyle name="쉼표 [0] 2 5" xfId="2142"/>
    <cellStyle name="쉼표 [0] 2 6" xfId="2143"/>
    <cellStyle name="쉼표 [0] 2 7" xfId="2144"/>
    <cellStyle name="쉼표 [0] 2 7 2" xfId="2145"/>
    <cellStyle name="쉼표 [0] 2 8" xfId="2146"/>
    <cellStyle name="쉼표 [0] 2 9" xfId="2147"/>
    <cellStyle name="쉼표 [0] 2 9 2" xfId="2148"/>
    <cellStyle name="쉼표 [0] 3" xfId="2149"/>
    <cellStyle name="쉼표 [0] 3 2" xfId="2150"/>
    <cellStyle name="쉼표 [0] 3 3" xfId="2151"/>
    <cellStyle name="쉼표 [0] 3 4" xfId="2152"/>
    <cellStyle name="쉼표 [0] 3 5" xfId="2153"/>
    <cellStyle name="쉼표 [0] 4" xfId="2154"/>
    <cellStyle name="쉼표 [0] 4 2" xfId="2155"/>
    <cellStyle name="쉼표 [0] 5" xfId="2156"/>
    <cellStyle name="쉼표 [0] 6" xfId="2157"/>
    <cellStyle name="쉼표 [0] 6 2" xfId="2158"/>
    <cellStyle name="쉼표 [0] 8" xfId="2159"/>
    <cellStyle name="入力" xfId="2160"/>
    <cellStyle name="入力 2" xfId="2161"/>
    <cellStyle name="入力 3" xfId="2162"/>
    <cellStyle name="入力 3 2" xfId="2163"/>
    <cellStyle name="入力 3_11FW 판매분석 120506 (JIL MI)" xfId="2164"/>
    <cellStyle name="入力 4" xfId="2165"/>
    <cellStyle name="入力 4 2" xfId="2166"/>
    <cellStyle name="入力 4 3" xfId="2167"/>
    <cellStyle name="入力 4_11FW 판매분석 120506 (JIL MI)" xfId="2168"/>
    <cellStyle name="入力 5" xfId="2169"/>
    <cellStyle name="入力_11FW 판매분석 120506 (JIL MI)" xfId="2170"/>
    <cellStyle name="注释 2" xfId="2171"/>
    <cellStyle name="注释 3" xfId="2172"/>
    <cellStyle name="注释 4" xfId="2173"/>
    <cellStyle name="注释 5" xfId="2174"/>
    <cellStyle name="集計" xfId="2175"/>
    <cellStyle name="集計 2" xfId="2176"/>
    <cellStyle name="集計 3" xfId="2177"/>
    <cellStyle name="集計 3 2" xfId="2178"/>
    <cellStyle name="集計 4" xfId="2179"/>
    <cellStyle name="集計 4 2" xfId="2180"/>
    <cellStyle name="集計 4 3" xfId="2181"/>
    <cellStyle name="集計 5" xfId="2182"/>
    <cellStyle name="差 2" xfId="2183"/>
    <cellStyle name="差 2 2" xfId="2184"/>
    <cellStyle name="差 2 3" xfId="2185"/>
    <cellStyle name="差 2 4" xfId="2186"/>
    <cellStyle name="差 2 5" xfId="2187"/>
    <cellStyle name="差 2 6" xfId="2188"/>
    <cellStyle name="差 2 7" xfId="2189"/>
    <cellStyle name="差 3" xfId="2190"/>
    <cellStyle name="差 3 2" xfId="2191"/>
    <cellStyle name="差 3 3" xfId="2192"/>
    <cellStyle name="差 3 4" xfId="2193"/>
    <cellStyle name="差 3 5" xfId="2194"/>
    <cellStyle name="差 3 6" xfId="2195"/>
    <cellStyle name="差 3 7" xfId="2196"/>
    <cellStyle name="差 4" xfId="2197"/>
    <cellStyle name="差 4 2" xfId="2198"/>
    <cellStyle name="差 4 3" xfId="2199"/>
    <cellStyle name="差 4 4" xfId="2200"/>
    <cellStyle name="差 4 5" xfId="2201"/>
    <cellStyle name="差 4 6" xfId="2202"/>
    <cellStyle name="差 4 7" xfId="2203"/>
    <cellStyle name="差 5" xfId="2204"/>
    <cellStyle name="差 5 2" xfId="2205"/>
    <cellStyle name="差 5 3" xfId="2206"/>
    <cellStyle name="差 5 4" xfId="2207"/>
    <cellStyle name="差 5 5" xfId="2208"/>
    <cellStyle name="差 5 6" xfId="2209"/>
    <cellStyle name="差 5 7" xfId="2210"/>
    <cellStyle name="千位分隔[0] 13" xfId="2211"/>
    <cellStyle name="千位分隔[0] 4 2" xfId="2212"/>
    <cellStyle name="千位分隔[0] 6 2" xfId="2213"/>
    <cellStyle name="千位分隔[0] 7 2" xfId="2214"/>
    <cellStyle name="千位分隔[0] 9" xfId="2215"/>
    <cellStyle name="出力" xfId="2216"/>
    <cellStyle name="出力 2" xfId="2217"/>
    <cellStyle name="出力 3" xfId="2218"/>
    <cellStyle name="出力 3 2" xfId="2219"/>
    <cellStyle name="出力 3_11FW 판매분석 120506 (JIL MI)" xfId="2220"/>
    <cellStyle name="出力 4" xfId="2221"/>
    <cellStyle name="出力 4 2" xfId="2222"/>
    <cellStyle name="出力 4 3" xfId="2223"/>
    <cellStyle name="出力 4_11FW 판매분석 120506 (JIL MI)" xfId="2224"/>
    <cellStyle name="出力 5" xfId="2225"/>
    <cellStyle name="出力_11FW 판매분석 120506 (JIL MI)" xfId="2226"/>
    <cellStyle name="콤마 [0]_0509btn" xfId="2227"/>
    <cellStyle name="콤마_0509btn" xfId="2228"/>
    <cellStyle name="통화 [0] 2" xfId="2229"/>
    <cellStyle name="통화 [0] 2 2" xfId="2230"/>
    <cellStyle name="통화 [0] 2 2 2" xfId="2231"/>
    <cellStyle name="통화 [0] 2 3" xfId="2232"/>
    <cellStyle name="통화 [0] 2 4" xfId="2233"/>
    <cellStyle name="통화 [0] 3" xfId="2234"/>
    <cellStyle name="통화 [0] 3 2" xfId="2235"/>
    <cellStyle name="통화 [0] 3 3" xfId="2236"/>
    <cellStyle name="통화 [0] 3 4" xfId="2237"/>
    <cellStyle name="통화 [0] 4" xfId="2238"/>
    <cellStyle name="통화 [0] 4 2" xfId="2239"/>
    <cellStyle name="통화 [0] 4 2 2" xfId="2240"/>
    <cellStyle name="통화 [0] 4 2 2 2" xfId="2241"/>
    <cellStyle name="통화 [0] 4 2 2 2 2" xfId="2242"/>
    <cellStyle name="통화 [0] 4 2 2 2 2 2" xfId="2243"/>
    <cellStyle name="통화 [0] 4 2 2 3" xfId="2244"/>
    <cellStyle name="통화 [0] 4 2 2 4" xfId="2245"/>
    <cellStyle name="통화 [0] 4 2 2 5" xfId="2246"/>
    <cellStyle name="통화 [0] 4 2 2 6" xfId="2247"/>
    <cellStyle name="통화 [0] 4 2 3" xfId="2248"/>
    <cellStyle name="통화 [0] 4 2 4" xfId="2249"/>
    <cellStyle name="통화 [0] 4 2 5" xfId="2250"/>
    <cellStyle name="통화 [0] 4 2 5 2" xfId="2251"/>
    <cellStyle name="통화 [0] 4 2 6" xfId="2252"/>
    <cellStyle name="통화 [0] 4 2 7" xfId="2253"/>
    <cellStyle name="통화 [0] 4 2 8" xfId="2254"/>
    <cellStyle name="통화 [0] 4 3" xfId="2255"/>
    <cellStyle name="통화 [0] 4 4" xfId="2256"/>
    <cellStyle name="통화 [0] 4 4 2" xfId="2257"/>
    <cellStyle name="통화 [0] 4 5" xfId="2258"/>
    <cellStyle name="통화 [0] 4 6" xfId="2259"/>
    <cellStyle name="통화 [0] 4 6 2" xfId="2260"/>
    <cellStyle name="통화 [0] 4 7" xfId="2261"/>
    <cellStyle name="통화 [0] 4 8" xfId="2262"/>
    <cellStyle name="통화 [0] 4 9" xfId="2263"/>
    <cellStyle name="통화 [0] 5" xfId="2264"/>
    <cellStyle name="통화 [0] 6" xfId="2265"/>
    <cellStyle name="통화 [0] 6 2" xfId="2266"/>
    <cellStyle name="통화 [0] 7" xfId="2267"/>
    <cellStyle name="통화 [0] 7 2" xfId="2268"/>
    <cellStyle name="통화 [0] 8" xfId="2269"/>
    <cellStyle name="통화 [0] 9" xfId="2270"/>
    <cellStyle name="통화 2" xfId="2271"/>
    <cellStyle name="통화 2 2" xfId="2272"/>
    <cellStyle name="통화 3" xfId="2273"/>
    <cellStyle name="표준" xfId="0" builtinId="0"/>
    <cellStyle name="표준 10" xfId="2274"/>
    <cellStyle name="표준 10 2" xfId="2275"/>
    <cellStyle name="표준 100" xfId="2276"/>
    <cellStyle name="표준 101" xfId="2277"/>
    <cellStyle name="표준 102" xfId="2278"/>
    <cellStyle name="표준 103" xfId="2279"/>
    <cellStyle name="표준 104" xfId="2280"/>
    <cellStyle name="표준 105" xfId="2281"/>
    <cellStyle name="표준 106" xfId="2282"/>
    <cellStyle name="표준 107" xfId="2283"/>
    <cellStyle name="표준 108" xfId="2284"/>
    <cellStyle name="표준 109" xfId="2285"/>
    <cellStyle name="표준 11" xfId="2286"/>
    <cellStyle name="표준 11 10" xfId="2287"/>
    <cellStyle name="표준 11 2" xfId="2288"/>
    <cellStyle name="표준 11 2 10" xfId="2289"/>
    <cellStyle name="표준 11 2 2" xfId="2290"/>
    <cellStyle name="표준 11 2 2 2" xfId="2291"/>
    <cellStyle name="표준 11 2 2 2 2" xfId="2292"/>
    <cellStyle name="표준 11 2 2 2 2 2" xfId="2293"/>
    <cellStyle name="표준 11 2 2 2 2 2 2" xfId="2294"/>
    <cellStyle name="표준 11 2 2 2 3" xfId="2295"/>
    <cellStyle name="표준 11 2 2 2 4" xfId="2296"/>
    <cellStyle name="표준 11 2 2 2 5" xfId="2297"/>
    <cellStyle name="표준 11 2 2 2 6" xfId="2298"/>
    <cellStyle name="표준 11 2 2 3" xfId="2299"/>
    <cellStyle name="표준 11 2 2 4" xfId="2300"/>
    <cellStyle name="표준 11 2 2 5" xfId="2301"/>
    <cellStyle name="표준 11 2 2 5 2" xfId="2302"/>
    <cellStyle name="표준 11 2 2 6" xfId="2303"/>
    <cellStyle name="표준 11 2 2 7" xfId="2304"/>
    <cellStyle name="표준 11 2 2 8" xfId="2305"/>
    <cellStyle name="표준 11 2 3" xfId="2306"/>
    <cellStyle name="표준 11 2 3 2" xfId="2307"/>
    <cellStyle name="표준 11 2 3 2 2" xfId="2308"/>
    <cellStyle name="표준 11 2 3 2 2 2" xfId="2309"/>
    <cellStyle name="표준 11 2 3 3" xfId="2310"/>
    <cellStyle name="표준 11 2 3 4" xfId="2311"/>
    <cellStyle name="표준 11 2 3 5" xfId="2312"/>
    <cellStyle name="표준 11 2 3 6" xfId="2313"/>
    <cellStyle name="표준 11 2 4" xfId="2314"/>
    <cellStyle name="표준 11 2 5" xfId="2315"/>
    <cellStyle name="표준 11 2 5 2" xfId="2316"/>
    <cellStyle name="표준 11 2 6" xfId="2317"/>
    <cellStyle name="표준 11 2 7" xfId="2318"/>
    <cellStyle name="표준 11 2 8" xfId="2319"/>
    <cellStyle name="표준 11 2 9" xfId="2320"/>
    <cellStyle name="표준 11 3" xfId="2321"/>
    <cellStyle name="표준 11 3 2" xfId="2322"/>
    <cellStyle name="표준 11 4" xfId="2323"/>
    <cellStyle name="표준 11 4 2" xfId="2324"/>
    <cellStyle name="표준 11 4 3" xfId="2325"/>
    <cellStyle name="표준 11 5" xfId="2326"/>
    <cellStyle name="표준 11 5 2" xfId="2327"/>
    <cellStyle name="표준 11 5 3" xfId="2328"/>
    <cellStyle name="표준 11 6" xfId="2329"/>
    <cellStyle name="표준 11 6 2" xfId="2330"/>
    <cellStyle name="표준 11 7" xfId="2331"/>
    <cellStyle name="표준 11 8" xfId="2332"/>
    <cellStyle name="표준 11 9" xfId="2333"/>
    <cellStyle name="표준 110" xfId="2334"/>
    <cellStyle name="표준 111" xfId="2335"/>
    <cellStyle name="표준 112" xfId="2336"/>
    <cellStyle name="표준 113" xfId="2337"/>
    <cellStyle name="표준 114" xfId="2338"/>
    <cellStyle name="표준 115" xfId="2339"/>
    <cellStyle name="표준 116" xfId="2340"/>
    <cellStyle name="표준 117" xfId="2341"/>
    <cellStyle name="표준 118" xfId="2342"/>
    <cellStyle name="표준 119" xfId="2343"/>
    <cellStyle name="표준 12" xfId="2344"/>
    <cellStyle name="표준 12 2" xfId="2345"/>
    <cellStyle name="표준 120" xfId="2346"/>
    <cellStyle name="표준 121" xfId="2347"/>
    <cellStyle name="표준 122" xfId="2348"/>
    <cellStyle name="표준 123" xfId="2349"/>
    <cellStyle name="표준 124" xfId="2350"/>
    <cellStyle name="표준 125" xfId="2351"/>
    <cellStyle name="표준 126" xfId="2352"/>
    <cellStyle name="표준 127" xfId="2353"/>
    <cellStyle name="표준 13" xfId="2354"/>
    <cellStyle name="표준 13 2" xfId="2355"/>
    <cellStyle name="표준 14" xfId="2356"/>
    <cellStyle name="표준 14 2" xfId="2357"/>
    <cellStyle name="표준 15" xfId="2358"/>
    <cellStyle name="표준 15 2" xfId="2359"/>
    <cellStyle name="표준 16" xfId="2360"/>
    <cellStyle name="표준 16 2" xfId="2361"/>
    <cellStyle name="표준 17" xfId="2362"/>
    <cellStyle name="표준 17 2" xfId="2363"/>
    <cellStyle name="표준 18" xfId="2364"/>
    <cellStyle name="표준 18 2" xfId="2365"/>
    <cellStyle name="표준 19" xfId="2366"/>
    <cellStyle name="표준 19 2" xfId="2367"/>
    <cellStyle name="표준 2" xfId="2368"/>
    <cellStyle name="標準 2" xfId="2369"/>
    <cellStyle name="표준 2 10" xfId="2370"/>
    <cellStyle name="표준 2 100" xfId="2371"/>
    <cellStyle name="표준 2 101" xfId="2372"/>
    <cellStyle name="표준 2 102" xfId="2373"/>
    <cellStyle name="표준 2 103" xfId="2374"/>
    <cellStyle name="표준 2 104" xfId="2375"/>
    <cellStyle name="표준 2 105" xfId="2376"/>
    <cellStyle name="표준 2 106" xfId="2377"/>
    <cellStyle name="표준 2 107" xfId="2378"/>
    <cellStyle name="표준 2 108" xfId="2379"/>
    <cellStyle name="표준 2 109" xfId="2380"/>
    <cellStyle name="표준 2 11" xfId="2381"/>
    <cellStyle name="표준 2 110" xfId="2382"/>
    <cellStyle name="표준 2 111" xfId="2383"/>
    <cellStyle name="표준 2 112" xfId="2384"/>
    <cellStyle name="표준 2 113" xfId="2385"/>
    <cellStyle name="표준 2 114" xfId="2386"/>
    <cellStyle name="표준 2 115" xfId="2387"/>
    <cellStyle name="표준 2 116" xfId="2388"/>
    <cellStyle name="표준 2 117" xfId="2389"/>
    <cellStyle name="표준 2 118" xfId="2390"/>
    <cellStyle name="표준 2 119" xfId="2391"/>
    <cellStyle name="표준 2 12" xfId="2392"/>
    <cellStyle name="표준 2 120" xfId="2393"/>
    <cellStyle name="표준 2 121" xfId="2394"/>
    <cellStyle name="표준 2 122" xfId="2395"/>
    <cellStyle name="표준 2 123" xfId="2396"/>
    <cellStyle name="표준 2 124" xfId="2397"/>
    <cellStyle name="표준 2 125" xfId="2398"/>
    <cellStyle name="표준 2 126" xfId="2399"/>
    <cellStyle name="표준 2 127" xfId="2400"/>
    <cellStyle name="표준 2 128" xfId="2401"/>
    <cellStyle name="표준 2 129" xfId="2402"/>
    <cellStyle name="표준 2 13" xfId="2403"/>
    <cellStyle name="표준 2 130" xfId="2404"/>
    <cellStyle name="표준 2 14" xfId="2405"/>
    <cellStyle name="표준 2 15" xfId="2406"/>
    <cellStyle name="표준 2 16" xfId="2407"/>
    <cellStyle name="표준 2 17" xfId="2408"/>
    <cellStyle name="표준 2 18" xfId="2409"/>
    <cellStyle name="표준 2 19" xfId="2410"/>
    <cellStyle name="표준 2 2" xfId="2411"/>
    <cellStyle name="표준 2 2 2" xfId="2412"/>
    <cellStyle name="표준 2 2 2 2" xfId="2413"/>
    <cellStyle name="표준 2 2 3" xfId="2414"/>
    <cellStyle name="표준 2 2 4" xfId="2415"/>
    <cellStyle name="표준 2 2 4 2" xfId="2416"/>
    <cellStyle name="표준 2 2 5" xfId="2417"/>
    <cellStyle name="표준 2 2 6" xfId="2418"/>
    <cellStyle name="표준 2 2 7" xfId="2419"/>
    <cellStyle name="표준 2 2 8" xfId="2420"/>
    <cellStyle name="표준 2 20" xfId="2421"/>
    <cellStyle name="표준 2 21" xfId="2422"/>
    <cellStyle name="표준 2 22" xfId="2423"/>
    <cellStyle name="표준 2 23" xfId="2424"/>
    <cellStyle name="표준 2 24" xfId="2425"/>
    <cellStyle name="표준 2 25" xfId="2426"/>
    <cellStyle name="표준 2 26" xfId="2427"/>
    <cellStyle name="표준 2 27" xfId="2428"/>
    <cellStyle name="표준 2 28" xfId="2429"/>
    <cellStyle name="표준 2 29" xfId="2430"/>
    <cellStyle name="표준 2 3" xfId="2431"/>
    <cellStyle name="표준 2 30" xfId="2432"/>
    <cellStyle name="표준 2 31" xfId="2433"/>
    <cellStyle name="표준 2 32" xfId="2434"/>
    <cellStyle name="표준 2 33" xfId="2435"/>
    <cellStyle name="표준 2 34" xfId="2436"/>
    <cellStyle name="표준 2 35" xfId="2437"/>
    <cellStyle name="표준 2 36" xfId="2438"/>
    <cellStyle name="표준 2 37" xfId="2439"/>
    <cellStyle name="표준 2 38" xfId="2440"/>
    <cellStyle name="표준 2 39" xfId="2441"/>
    <cellStyle name="표준 2 4" xfId="2442"/>
    <cellStyle name="표준 2 4 2" xfId="2443"/>
    <cellStyle name="표준 2 40" xfId="2444"/>
    <cellStyle name="표준 2 41" xfId="2445"/>
    <cellStyle name="표준 2 42" xfId="2446"/>
    <cellStyle name="표준 2 43" xfId="2447"/>
    <cellStyle name="표준 2 44" xfId="2448"/>
    <cellStyle name="표준 2 45" xfId="2449"/>
    <cellStyle name="표준 2 46" xfId="2450"/>
    <cellStyle name="표준 2 47" xfId="2451"/>
    <cellStyle name="표준 2 48" xfId="2452"/>
    <cellStyle name="표준 2 49" xfId="2453"/>
    <cellStyle name="표준 2 49 2" xfId="2454"/>
    <cellStyle name="표준 2 5" xfId="2455"/>
    <cellStyle name="표준 2 50" xfId="2456"/>
    <cellStyle name="표준 2 51" xfId="2457"/>
    <cellStyle name="표준 2 52" xfId="2458"/>
    <cellStyle name="표준 2 53" xfId="2459"/>
    <cellStyle name="표준 2 54" xfId="2460"/>
    <cellStyle name="표준 2 55" xfId="2461"/>
    <cellStyle name="표준 2 56" xfId="2462"/>
    <cellStyle name="표준 2 57" xfId="2463"/>
    <cellStyle name="표준 2 58" xfId="2464"/>
    <cellStyle name="표준 2 59" xfId="2465"/>
    <cellStyle name="표준 2 6" xfId="2466"/>
    <cellStyle name="표준 2 60" xfId="2467"/>
    <cellStyle name="표준 2 61" xfId="2468"/>
    <cellStyle name="표준 2 62" xfId="2469"/>
    <cellStyle name="표준 2 63" xfId="2470"/>
    <cellStyle name="표준 2 64" xfId="2471"/>
    <cellStyle name="표준 2 65" xfId="2472"/>
    <cellStyle name="표준 2 66" xfId="2473"/>
    <cellStyle name="표준 2 67" xfId="2474"/>
    <cellStyle name="표준 2 68" xfId="2475"/>
    <cellStyle name="표준 2 69" xfId="2476"/>
    <cellStyle name="표준 2 7" xfId="2477"/>
    <cellStyle name="표준 2 70" xfId="2478"/>
    <cellStyle name="표준 2 71" xfId="2479"/>
    <cellStyle name="표준 2 72" xfId="2480"/>
    <cellStyle name="표준 2 73" xfId="2481"/>
    <cellStyle name="표준 2 74" xfId="2482"/>
    <cellStyle name="표준 2 75" xfId="2483"/>
    <cellStyle name="표준 2 75 2" xfId="2484"/>
    <cellStyle name="표준 2 75 2 2" xfId="2485"/>
    <cellStyle name="표준 2 75 2 2 2" xfId="2486"/>
    <cellStyle name="표준 2 75 2 2 2 2" xfId="2487"/>
    <cellStyle name="표준 2 75 2 2 2 2 2" xfId="2488"/>
    <cellStyle name="표준 2 75 2 2 3" xfId="2489"/>
    <cellStyle name="표준 2 75 2 2 4" xfId="2490"/>
    <cellStyle name="표준 2 75 2 2 5" xfId="2491"/>
    <cellStyle name="표준 2 75 2 2 6" xfId="2492"/>
    <cellStyle name="표준 2 75 2 3" xfId="2493"/>
    <cellStyle name="표준 2 75 2 4" xfId="2494"/>
    <cellStyle name="표준 2 75 2 5" xfId="2495"/>
    <cellStyle name="표준 2 75 2 5 2" xfId="2496"/>
    <cellStyle name="표준 2 75 2 6" xfId="2497"/>
    <cellStyle name="표준 2 75 2 7" xfId="2498"/>
    <cellStyle name="표준 2 75 2 8" xfId="2499"/>
    <cellStyle name="표준 2 75 3" xfId="2500"/>
    <cellStyle name="표준 2 75 4" xfId="2501"/>
    <cellStyle name="표준 2 75 4 2" xfId="2502"/>
    <cellStyle name="표준 2 75 5" xfId="2503"/>
    <cellStyle name="표준 2 75 6" xfId="2504"/>
    <cellStyle name="표준 2 75 6 2" xfId="2505"/>
    <cellStyle name="표준 2 75 7" xfId="2506"/>
    <cellStyle name="표준 2 75 8" xfId="2507"/>
    <cellStyle name="표준 2 75 9" xfId="2508"/>
    <cellStyle name="표준 2 76" xfId="2509"/>
    <cellStyle name="표준 2 77" xfId="2510"/>
    <cellStyle name="표준 2 78" xfId="2511"/>
    <cellStyle name="표준 2 79" xfId="2512"/>
    <cellStyle name="표준 2 8" xfId="2513"/>
    <cellStyle name="표준 2 80" xfId="2514"/>
    <cellStyle name="표준 2 81" xfId="2515"/>
    <cellStyle name="표준 2 82" xfId="2516"/>
    <cellStyle name="표준 2 83" xfId="2517"/>
    <cellStyle name="표준 2 84" xfId="2518"/>
    <cellStyle name="표준 2 85" xfId="2519"/>
    <cellStyle name="표준 2 86" xfId="2520"/>
    <cellStyle name="표준 2 87" xfId="2521"/>
    <cellStyle name="표준 2 88" xfId="2522"/>
    <cellStyle name="표준 2 89" xfId="2523"/>
    <cellStyle name="표준 2 9" xfId="2524"/>
    <cellStyle name="표준 2 90" xfId="2525"/>
    <cellStyle name="표준 2 91" xfId="2526"/>
    <cellStyle name="표준 2 92" xfId="2527"/>
    <cellStyle name="표준 2 93" xfId="2528"/>
    <cellStyle name="표준 2 94" xfId="2529"/>
    <cellStyle name="표준 2 95" xfId="2530"/>
    <cellStyle name="표준 2 96" xfId="2531"/>
    <cellStyle name="표준 2 97" xfId="2532"/>
    <cellStyle name="표준 2 98" xfId="2533"/>
    <cellStyle name="표준 2 99" xfId="2534"/>
    <cellStyle name="표준 20" xfId="2535"/>
    <cellStyle name="표준 20 10" xfId="2536"/>
    <cellStyle name="표준 20 2" xfId="2537"/>
    <cellStyle name="표준 20 2 10" xfId="2538"/>
    <cellStyle name="표준 20 2 2" xfId="2539"/>
    <cellStyle name="표준 20 2 2 2" xfId="2540"/>
    <cellStyle name="표준 20 2 2 2 2" xfId="2541"/>
    <cellStyle name="표준 20 3" xfId="2542"/>
    <cellStyle name="표준 20 4" xfId="2543"/>
    <cellStyle name="표준 20 5" xfId="2544"/>
    <cellStyle name="표준 20 5 2" xfId="2545"/>
    <cellStyle name="표준 20 5 3" xfId="2546"/>
    <cellStyle name="표준 20 6" xfId="2547"/>
    <cellStyle name="표준 21" xfId="2548"/>
    <cellStyle name="표준 22" xfId="2549"/>
    <cellStyle name="표준 23" xfId="2550"/>
    <cellStyle name="표준 24" xfId="2551"/>
    <cellStyle name="표준 25" xfId="2552"/>
    <cellStyle name="표준 26" xfId="2553"/>
    <cellStyle name="표준 27" xfId="2554"/>
    <cellStyle name="표준 28" xfId="2555"/>
    <cellStyle name="표준 29" xfId="2556"/>
    <cellStyle name="표준 3" xfId="2557"/>
    <cellStyle name="표준 3 10" xfId="2558"/>
    <cellStyle name="표준 3 11" xfId="2559"/>
    <cellStyle name="표준 3 12" xfId="2560"/>
    <cellStyle name="표준 3 13" xfId="2561"/>
    <cellStyle name="표준 3 14" xfId="2562"/>
    <cellStyle name="표준 3 15" xfId="2563"/>
    <cellStyle name="표준 3 16" xfId="2564"/>
    <cellStyle name="표준 3 17" xfId="2565"/>
    <cellStyle name="표준 3 18" xfId="2566"/>
    <cellStyle name="표준 3 19" xfId="2567"/>
    <cellStyle name="표준 3 2" xfId="2568"/>
    <cellStyle name="표준 3 20" xfId="2569"/>
    <cellStyle name="표준 3 21" xfId="2570"/>
    <cellStyle name="표준 3 22" xfId="2571"/>
    <cellStyle name="표준 3 23" xfId="2572"/>
    <cellStyle name="표준 3 24" xfId="2573"/>
    <cellStyle name="표준 3 25" xfId="2574"/>
    <cellStyle name="표준 3 26" xfId="2575"/>
    <cellStyle name="표준 3 27" xfId="2576"/>
    <cellStyle name="표준 3 28" xfId="2577"/>
    <cellStyle name="표준 3 29" xfId="2578"/>
    <cellStyle name="표준 3 3" xfId="2579"/>
    <cellStyle name="표준 3 30" xfId="2580"/>
    <cellStyle name="표준 3 31" xfId="2581"/>
    <cellStyle name="표준 3 32" xfId="2582"/>
    <cellStyle name="표준 3 33" xfId="2583"/>
    <cellStyle name="표준 3 34" xfId="2584"/>
    <cellStyle name="표준 3 35" xfId="2585"/>
    <cellStyle name="표준 3 36" xfId="2586"/>
    <cellStyle name="표준 3 37" xfId="2587"/>
    <cellStyle name="표준 3 38" xfId="2588"/>
    <cellStyle name="표준 3 39" xfId="2589"/>
    <cellStyle name="표준 3 4" xfId="2590"/>
    <cellStyle name="표준 3 40" xfId="2591"/>
    <cellStyle name="표준 3 41" xfId="2592"/>
    <cellStyle name="표준 3 42" xfId="2593"/>
    <cellStyle name="표준 3 43" xfId="2594"/>
    <cellStyle name="표준 3 44" xfId="2595"/>
    <cellStyle name="표준 3 45" xfId="2596"/>
    <cellStyle name="표준 3 46" xfId="2597"/>
    <cellStyle name="표준 3 47" xfId="2598"/>
    <cellStyle name="표준 3 48" xfId="2599"/>
    <cellStyle name="표준 3 49" xfId="2600"/>
    <cellStyle name="표준 3 5" xfId="2601"/>
    <cellStyle name="표준 3 50" xfId="2602"/>
    <cellStyle name="표준 3 51" xfId="2603"/>
    <cellStyle name="표준 3 52" xfId="2604"/>
    <cellStyle name="표준 3 53" xfId="2605"/>
    <cellStyle name="표준 3 54" xfId="2606"/>
    <cellStyle name="표준 3 55" xfId="2607"/>
    <cellStyle name="표준 3 55 2" xfId="2608"/>
    <cellStyle name="표준 3 55 3" xfId="2609"/>
    <cellStyle name="표준 3 56" xfId="2610"/>
    <cellStyle name="표준 3 6" xfId="2611"/>
    <cellStyle name="표준 3 7" xfId="2612"/>
    <cellStyle name="표준 3 8" xfId="2613"/>
    <cellStyle name="표준 3 9" xfId="2614"/>
    <cellStyle name="표준 30" xfId="2615"/>
    <cellStyle name="표준 31" xfId="2616"/>
    <cellStyle name="표준 32" xfId="2617"/>
    <cellStyle name="표준 33" xfId="2618"/>
    <cellStyle name="표준 34" xfId="2619"/>
    <cellStyle name="표준 35" xfId="2620"/>
    <cellStyle name="표준 36" xfId="2621"/>
    <cellStyle name="표준 37" xfId="2622"/>
    <cellStyle name="표준 38" xfId="2623"/>
    <cellStyle name="표준 39" xfId="2624"/>
    <cellStyle name="표준 4" xfId="2625"/>
    <cellStyle name="표준 40" xfId="2626"/>
    <cellStyle name="표준 41" xfId="2627"/>
    <cellStyle name="표준 42" xfId="2628"/>
    <cellStyle name="표준 43" xfId="2629"/>
    <cellStyle name="표준 44" xfId="2630"/>
    <cellStyle name="표준 45" xfId="2631"/>
    <cellStyle name="표준 46" xfId="2632"/>
    <cellStyle name="표준 47" xfId="2633"/>
    <cellStyle name="표준 48" xfId="2634"/>
    <cellStyle name="표준 49" xfId="2635"/>
    <cellStyle name="표준 5" xfId="2636"/>
    <cellStyle name="표준 5 2" xfId="2637"/>
    <cellStyle name="표준 50" xfId="2638"/>
    <cellStyle name="표준 51" xfId="2639"/>
    <cellStyle name="표준 52" xfId="2640"/>
    <cellStyle name="표준 53" xfId="2641"/>
    <cellStyle name="표준 54" xfId="2642"/>
    <cellStyle name="표준 55" xfId="2643"/>
    <cellStyle name="표준 56" xfId="2644"/>
    <cellStyle name="표준 57" xfId="2645"/>
    <cellStyle name="표준 58" xfId="2646"/>
    <cellStyle name="표준 59" xfId="2647"/>
    <cellStyle name="표준 6" xfId="2648"/>
    <cellStyle name="표준 60" xfId="2649"/>
    <cellStyle name="표준 61" xfId="2650"/>
    <cellStyle name="표준 62" xfId="2651"/>
    <cellStyle name="표준 63" xfId="2652"/>
    <cellStyle name="표준 64" xfId="2653"/>
    <cellStyle name="표준 65" xfId="2654"/>
    <cellStyle name="표준 66" xfId="2655"/>
    <cellStyle name="표준 67" xfId="2656"/>
    <cellStyle name="표준 68" xfId="2657"/>
    <cellStyle name="표준 69" xfId="2658"/>
    <cellStyle name="표준 69 2" xfId="2659"/>
    <cellStyle name="표준 69 3" xfId="2660"/>
    <cellStyle name="표준 69 4" xfId="2661"/>
    <cellStyle name="표준 69 5" xfId="2662"/>
    <cellStyle name="표준 69 5 2" xfId="2663"/>
    <cellStyle name="표준 69 5 3" xfId="2664"/>
    <cellStyle name="표준 69 6" xfId="2665"/>
    <cellStyle name="표준 7" xfId="2666"/>
    <cellStyle name="표준 7 2" xfId="2667"/>
    <cellStyle name="표준 7 2 2" xfId="2668"/>
    <cellStyle name="표준 7 2 3" xfId="2669"/>
    <cellStyle name="표준 7 2 4" xfId="2670"/>
    <cellStyle name="표준 7 2 4 2" xfId="2671"/>
    <cellStyle name="표준 7 2 5" xfId="2672"/>
    <cellStyle name="표준 70" xfId="2673"/>
    <cellStyle name="표준 70 2" xfId="2674"/>
    <cellStyle name="표준 70 3" xfId="2675"/>
    <cellStyle name="표준 70 4" xfId="2676"/>
    <cellStyle name="표준 70 5" xfId="2677"/>
    <cellStyle name="표준 70 5 2" xfId="2678"/>
    <cellStyle name="표준 70 5 3" xfId="2679"/>
    <cellStyle name="표준 70 6" xfId="2680"/>
    <cellStyle name="표준 71" xfId="2681"/>
    <cellStyle name="표준 72" xfId="2682"/>
    <cellStyle name="표준 73" xfId="2683"/>
    <cellStyle name="표준 79" xfId="2684"/>
    <cellStyle name="표준 8" xfId="2685"/>
    <cellStyle name="표준 8 2" xfId="2686"/>
    <cellStyle name="표준 9" xfId="2687"/>
    <cellStyle name="悪い" xfId="2688"/>
    <cellStyle name="悪い 2" xfId="2689"/>
    <cellStyle name="悪い 3" xfId="2690"/>
    <cellStyle name="悪い 3 2" xfId="2691"/>
    <cellStyle name="悪い 4" xfId="2692"/>
    <cellStyle name="悪い 4 2" xfId="2693"/>
    <cellStyle name="悪い 5" xfId="2694"/>
    <cellStyle name="説明文" xfId="2695"/>
    <cellStyle name="説明文 2" xfId="2696"/>
    <cellStyle name="説明文 3" xfId="2697"/>
    <cellStyle name="説明文 3 2" xfId="2698"/>
    <cellStyle name="説明文 4" xfId="2699"/>
    <cellStyle name="説明文 4 2" xfId="2700"/>
    <cellStyle name="説明文 5" xfId="2701"/>
    <cellStyle name="Accent1" xfId="2702"/>
    <cellStyle name="Accent2" xfId="2703"/>
    <cellStyle name="Accent3" xfId="2704"/>
    <cellStyle name="Accent4" xfId="2705"/>
    <cellStyle name="Accent5" xfId="2706"/>
    <cellStyle name="Accent6" xfId="2707"/>
    <cellStyle name="Bad" xfId="2708"/>
    <cellStyle name="Calculation" xfId="2709"/>
    <cellStyle name="Check Cell" xfId="2710"/>
    <cellStyle name="Explanatory Text" xfId="2711"/>
    <cellStyle name="Good" xfId="2712"/>
    <cellStyle name="Heading 1" xfId="2713"/>
    <cellStyle name="Heading 2" xfId="2714"/>
    <cellStyle name="Heading 3" xfId="2715"/>
    <cellStyle name="Heading 4" xfId="2716"/>
    <cellStyle name="Input" xfId="2717"/>
    <cellStyle name="LineUB - Style6" xfId="2718"/>
    <cellStyle name="Linked Cell" xfId="2719"/>
    <cellStyle name="Neutral" xfId="2720"/>
    <cellStyle name="Normal 2" xfId="2721"/>
    <cellStyle name="Normal 5_Combined Price List- FALL 109 updated 12.9" xfId="2722"/>
    <cellStyle name="Normal_Lic_Life" xfId="2723"/>
    <cellStyle name="Note" xfId="2724"/>
    <cellStyle name="Output" xfId="2725"/>
    <cellStyle name="Percent 2" xfId="2726"/>
    <cellStyle name="Title" xfId="2727"/>
    <cellStyle name="Total" xfId="2728"/>
    <cellStyle name="Warning Text" xfId="2729"/>
    <cellStyle name="アクセント 1" xfId="2730"/>
    <cellStyle name="アクセント 1 2" xfId="2731"/>
    <cellStyle name="アクセント 1 3" xfId="2732"/>
    <cellStyle name="アクセント 1 3 2" xfId="2733"/>
    <cellStyle name="アクセント 1 4" xfId="2734"/>
    <cellStyle name="アクセント 1 4 2" xfId="2735"/>
    <cellStyle name="アクセント 1 5" xfId="2736"/>
    <cellStyle name="アクセント 2" xfId="2737"/>
    <cellStyle name="アクセント 2 2" xfId="2738"/>
    <cellStyle name="アクセント 2 3" xfId="2739"/>
    <cellStyle name="アクセント 2 3 2" xfId="2740"/>
    <cellStyle name="アクセント 2 4" xfId="2741"/>
    <cellStyle name="アクセント 2 4 2" xfId="2742"/>
    <cellStyle name="アクセント 2 5" xfId="2743"/>
    <cellStyle name="アクセント 3" xfId="2744"/>
    <cellStyle name="アクセント 3 2" xfId="2745"/>
    <cellStyle name="アクセント 3 3" xfId="2746"/>
    <cellStyle name="アクセント 3 3 2" xfId="2747"/>
    <cellStyle name="アクセント 3 4" xfId="2748"/>
    <cellStyle name="アクセント 3 4 2" xfId="2749"/>
    <cellStyle name="アクセント 3 5" xfId="2750"/>
    <cellStyle name="アクセント 4" xfId="2751"/>
    <cellStyle name="アクセント 4 2" xfId="2752"/>
    <cellStyle name="アクセント 4 3" xfId="2753"/>
    <cellStyle name="アクセント 4 3 2" xfId="2754"/>
    <cellStyle name="アクセント 4 4" xfId="2755"/>
    <cellStyle name="アクセント 4 4 2" xfId="2756"/>
    <cellStyle name="アクセント 4 5" xfId="2757"/>
    <cellStyle name="アクセント 5" xfId="2758"/>
    <cellStyle name="アクセント 5 2" xfId="2759"/>
    <cellStyle name="アクセント 5 3" xfId="2760"/>
    <cellStyle name="アクセント 5 3 2" xfId="2761"/>
    <cellStyle name="アクセント 5 4" xfId="2762"/>
    <cellStyle name="アクセント 5 4 2" xfId="2763"/>
    <cellStyle name="アクセント 5 5" xfId="2764"/>
    <cellStyle name="アクセント 6" xfId="2765"/>
    <cellStyle name="アクセント 6 2" xfId="2766"/>
    <cellStyle name="アクセント 6 3" xfId="2767"/>
    <cellStyle name="アクセント 6 3 2" xfId="2768"/>
    <cellStyle name="アクセント 6 4" xfId="2769"/>
    <cellStyle name="アクセント 6 4 2" xfId="2770"/>
    <cellStyle name="アクセント 6 5" xfId="2771"/>
    <cellStyle name="タイトル" xfId="2772"/>
    <cellStyle name="タイトル 2" xfId="2773"/>
    <cellStyle name="タイトル 3" xfId="2774"/>
    <cellStyle name="タイトル 3 2" xfId="2775"/>
    <cellStyle name="タイトル 4" xfId="2776"/>
    <cellStyle name="タイトル 4 2" xfId="2777"/>
    <cellStyle name="タイトル 5" xfId="2778"/>
    <cellStyle name="チェック セル" xfId="2779"/>
    <cellStyle name="チェック セル 2" xfId="2780"/>
    <cellStyle name="チェック セル 3" xfId="2781"/>
    <cellStyle name="チェック セル 3 2" xfId="2782"/>
    <cellStyle name="チェック セル 3_11FW 판매분석 120506 (JIL MI)" xfId="2783"/>
    <cellStyle name="チェック セル 4" xfId="2784"/>
    <cellStyle name="チェック セル 4 2" xfId="2785"/>
    <cellStyle name="チェック セル 4_11FW 판매분석 120506 (JIL MI)" xfId="2786"/>
    <cellStyle name="チェック セル 5" xfId="2787"/>
    <cellStyle name="チェック セル_11FW 판매분석 120506 (JIL MI)" xfId="2788"/>
    <cellStyle name="どちらでもない" xfId="2789"/>
    <cellStyle name="どちらでもない 2" xfId="2790"/>
    <cellStyle name="どちらでもない 3" xfId="2791"/>
    <cellStyle name="どちらでもない 3 2" xfId="2792"/>
    <cellStyle name="どちらでもない 4" xfId="2793"/>
    <cellStyle name="どちらでもない 4 2" xfId="2794"/>
    <cellStyle name="どちらでもない 5" xfId="2795"/>
    <cellStyle name="メモ" xfId="2796"/>
    <cellStyle name="メモ 2" xfId="2797"/>
    <cellStyle name="メモ 3" xfId="2798"/>
    <cellStyle name="メモ 3 2" xfId="2799"/>
    <cellStyle name="メモ 3_11FW 판매분석 120506 (JIL MI)" xfId="2800"/>
    <cellStyle name="メモ 4" xfId="2801"/>
    <cellStyle name="メモ 4 2" xfId="2802"/>
    <cellStyle name="メモ 4_11FW 판매분석 120506 (JIL MI)" xfId="2803"/>
    <cellStyle name="メモ 5" xfId="2804"/>
    <cellStyle name="メモ_11FW 판매분석 120506 (JIL MI)" xfId="2805"/>
    <cellStyle name="リンク セル" xfId="2806"/>
    <cellStyle name="リンク セル 2" xfId="2807"/>
    <cellStyle name="リンク セル 3" xfId="2808"/>
    <cellStyle name="リンク セル 3 2" xfId="2809"/>
    <cellStyle name="リンク セル 3_11FW 판매분석 120506 (JIL MI)" xfId="2810"/>
    <cellStyle name="リンク セル 4" xfId="2811"/>
    <cellStyle name="リンク セル 4 2" xfId="2812"/>
    <cellStyle name="リンク セル 4_11FW 판매분석 120506 (JIL MI)" xfId="2813"/>
    <cellStyle name="リンク セル 5" xfId="2814"/>
    <cellStyle name="リンク セル_11FW 판매분석 120506 (JIL MI)" xfId="2815"/>
  </cellStyles>
  <dxfs count="132">
    <dxf>
      <font>
        <name val="맑은 고딕"/>
        <scheme val="minor"/>
      </font>
    </dxf>
    <dxf>
      <font>
        <sz val="10"/>
      </font>
    </dxf>
    <dxf>
      <numFmt numFmtId="4" formatCode="#,##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00B0F0"/>
        </patternFill>
      </fill>
    </dxf>
    <dxf>
      <numFmt numFmtId="3" formatCode="#,##0"/>
    </dxf>
    <dxf>
      <numFmt numFmtId="3" formatCode="#,##0"/>
    </dxf>
    <dxf>
      <numFmt numFmtId="3" formatCode="#,##0"/>
    </dxf>
    <dxf>
      <font>
        <name val="맑은 고딕"/>
        <scheme val="minor"/>
      </font>
    </dxf>
    <dxf>
      <font>
        <sz val="10"/>
      </font>
    </dxf>
    <dxf>
      <fill>
        <patternFill patternType="solid">
          <bgColor rgb="FFFFFF00"/>
        </patternFill>
      </fill>
    </dxf>
    <dxf>
      <font>
        <b/>
      </font>
    </dxf>
    <dxf>
      <font>
        <name val="맑은 고딕"/>
        <scheme val="minor"/>
      </font>
    </dxf>
    <dxf>
      <font>
        <sz val="10"/>
      </font>
    </dxf>
    <dxf>
      <numFmt numFmtId="4" formatCode="#,##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00B0F0"/>
        </patternFill>
      </fill>
    </dxf>
    <dxf>
      <numFmt numFmtId="3" formatCode="#,##0"/>
    </dxf>
    <dxf>
      <numFmt numFmtId="3" formatCode="#,##0"/>
    </dxf>
    <dxf>
      <numFmt numFmtId="3" formatCode="#,##0"/>
    </dxf>
    <dxf>
      <font>
        <name val="맑은 고딕"/>
        <scheme val="minor"/>
      </font>
    </dxf>
    <dxf>
      <font>
        <sz val="10"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sz val="10"/>
      </font>
    </dxf>
    <dxf>
      <font>
        <name val="맑은 고딕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00B0F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4" formatCode="#,##0.00"/>
    </dxf>
    <dxf>
      <font>
        <sz val="10"/>
      </font>
    </dxf>
    <dxf>
      <font>
        <name val="맑은 고딕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" refreshedDate="42006.668411921295" createdVersion="3" refreshedVersion="3" minRefreshableVersion="3" recordCount="1592">
  <cacheSource type="worksheet">
    <worksheetSource ref="A2:BV1048576" sheet="기획현황취합"/>
  </cacheSource>
  <cacheFields count="75">
    <cacheField name="원자재 공급여부" numFmtId="40">
      <sharedItems containsString="0" containsBlank="1" containsNumber="1" containsInteger="1" minValue="0" maxValue="0"/>
    </cacheField>
    <cacheField name="원자재 공급완료" numFmtId="40">
      <sharedItems containsString="0" containsBlank="1" containsNumber="1" minValue="0" maxValue="1"/>
    </cacheField>
    <cacheField name="발주월" numFmtId="41">
      <sharedItems containsBlank="1" containsMixedTypes="1" containsNumber="1" containsInteger="1" minValue="3" maxValue="11"/>
    </cacheField>
    <cacheField name="입고월" numFmtId="41">
      <sharedItems containsBlank="1" containsMixedTypes="1" containsNumber="1" containsInteger="1" minValue="5" maxValue="12"/>
    </cacheField>
    <cacheField name="구분" numFmtId="183">
      <sharedItems containsBlank="1" containsMixedTypes="1" containsNumber="1" containsInteger="1" minValue="0" maxValue="0"/>
    </cacheField>
    <cacheField name="브랜드/품목" numFmtId="183">
      <sharedItems containsBlank="1" count="111">
        <s v="URK"/>
        <s v=""/>
        <s v="VBK"/>
        <s v="HCK"/>
        <s v="SMK"/>
        <s v="SWK"/>
        <s v="WTK"/>
        <s v="PNK"/>
        <s v="DPK"/>
        <s v="SBK"/>
        <s v="JOK"/>
        <s v="NOK"/>
        <s v="BRK"/>
        <s v="JOK-ACC"/>
        <s v="POK"/>
        <s v="JOK-가방"/>
        <s v="DPK-가방"/>
        <s v="VBK-의류"/>
        <s v="ELK-의류"/>
        <s v="PNK-의류"/>
        <s v="ELK"/>
        <s v="ELK-ACC"/>
        <s v="ELK-가방"/>
        <s v="ELH"/>
        <s v="NOH"/>
        <s v="SMH"/>
        <s v="VBH"/>
        <s v="JIH"/>
        <s v="JOH"/>
        <s v="URH"/>
        <s v="ELH-의류"/>
        <s v="PLH-의류"/>
        <s v="ELH-가방"/>
        <s v="DPH"/>
        <s v="JOH-ACC"/>
        <s v="WTH"/>
        <s v="BRH"/>
        <s v="SBH"/>
        <s v="SWH"/>
        <s v="BLH"/>
        <s v="HCH"/>
        <s v="MGH"/>
        <s v="PLH"/>
        <s v="PNH-의류"/>
        <s v="URH-의류"/>
        <m/>
        <s v="MLB" u="1"/>
        <s v="ELS-BP" u="1"/>
        <s v="SMB" u="1"/>
        <s v="ELS-TL" u="1"/>
        <s v="BIL" u="1"/>
        <s v="ELS-HP" u="1"/>
        <s v="ELS" u="1"/>
        <s v="BMK" u="1"/>
        <s v="JIL-의류외" u="1"/>
        <s v="NIX-의류외" u="1"/>
        <s v="NBA" u="1"/>
        <s v="NOV-의류외" u="1"/>
        <s v="PLA" u="1"/>
        <s v="NHL-의류외" u="1"/>
        <s v="KBO" u="1"/>
        <s v="ELS-가방" u="1"/>
        <s v="ELS-의류" u="1"/>
        <s v="COC" u="1"/>
        <s v="GOO" u="1"/>
        <s v="HCU-JP" u="1"/>
        <s v="ELS-ACC" u="1"/>
        <s v="HCU-의류외" u="1"/>
        <s v="FFT" u="1"/>
        <s v="JIK" u="1"/>
        <s v="JIL" u="1"/>
        <s v="PLA-가방" u="1"/>
        <s v="NIX" u="1"/>
        <s v="PLA-의류" u="1"/>
        <s v="JOI" u="1"/>
        <s v="URB" u="1"/>
        <s v="PLK" u="1"/>
        <s v="WTR-의류외" u="1"/>
        <s v="NOV" u="1"/>
        <s v="SMK-의류" u="1"/>
        <s v="PLA-ACC" u="1"/>
        <s v="GRA" u="1"/>
        <s v="B1A" u="1"/>
        <s v="NHL" u="1"/>
        <s v="TRU" u="1"/>
        <s v="ELS-AC" u="1"/>
        <s v="HCU-BP" u="1"/>
        <s v="NAA" u="1"/>
        <s v="HCU-TL" u="1"/>
        <s v="DAK" u="1"/>
        <s v="YGK" u="1"/>
        <s v="HCU-HP" u="1"/>
        <s v="HCU" u="1"/>
        <s v="BIL-의류외" u="1"/>
        <s v="PLK-의류" u="1"/>
        <s v="JIL-ACC" u="1"/>
        <s v="ELS-JP" u="1"/>
        <s v="ELS-의류외" u="1"/>
        <s v="JOI-ACC" u="1"/>
        <s v="BRO" u="1"/>
        <s v="WTR" u="1"/>
        <s v="NOV-ACC" u="1"/>
        <s v="VBL" u="1"/>
        <s v="JRC" u="1"/>
        <s v="TWI" u="1"/>
        <s v="ELS-TH" u="1"/>
        <s v="ELS-JS" u="1"/>
        <s v="PLA-의류외" u="1"/>
        <s v="BMD" u="1"/>
        <s v="AKU" u="1"/>
        <s v="NAK" u="1"/>
      </sharedItems>
    </cacheField>
    <cacheField name="브랜드/업체/차수" numFmtId="183">
      <sharedItems containsBlank="1"/>
    </cacheField>
    <cacheField name="브랜드/업체/차수/품번색상" numFmtId="183">
      <sharedItems containsBlank="1"/>
    </cacheField>
    <cacheField name="순서" numFmtId="183">
      <sharedItems containsString="0" containsBlank="1" containsNumber="1" containsInteger="1" minValue="0" maxValue="26"/>
    </cacheField>
    <cacheField name="브랜드/업체/차수/순서" numFmtId="183">
      <sharedItems containsBlank="1"/>
    </cacheField>
    <cacheField name="브랜드/업체/차수/순서/품번색상/사이즈" numFmtId="183">
      <sharedItems containsBlank="1"/>
    </cacheField>
    <cacheField name="브랜드/순번" numFmtId="183">
      <sharedItems containsBlank="1" containsMixedTypes="1" containsNumber="1" containsInteger="1" minValue="0" maxValue="0"/>
    </cacheField>
    <cacheField name="브랜드" numFmtId="183">
      <sharedItems containsBlank="1"/>
    </cacheField>
    <cacheField name="공란" numFmtId="183">
      <sharedItems containsBlank="1"/>
    </cacheField>
    <cacheField name="이미지" numFmtId="183">
      <sharedItems containsBlank="1"/>
    </cacheField>
    <cacheField name="브랜드2" numFmtId="183">
      <sharedItems containsBlank="1"/>
    </cacheField>
    <cacheField name="브랜드명" numFmtId="183">
      <sharedItems containsBlank="1"/>
    </cacheField>
    <cacheField name="년도" numFmtId="183">
      <sharedItems containsBlank="1"/>
    </cacheField>
    <cacheField name="시즌" numFmtId="183">
      <sharedItems containsBlank="1" containsMixedTypes="1" containsNumber="1" containsInteger="1" minValue="4" maxValue="5"/>
    </cacheField>
    <cacheField name="품목" numFmtId="183">
      <sharedItems containsBlank="1"/>
    </cacheField>
    <cacheField name="품목명" numFmtId="183">
      <sharedItems containsBlank="1"/>
    </cacheField>
    <cacheField name="성별" numFmtId="183">
      <sharedItems containsBlank="1"/>
    </cacheField>
    <cacheField name="순번" numFmtId="183">
      <sharedItems containsBlank="1" containsMixedTypes="1" containsNumber="1" containsInteger="1" minValue="1" maxValue="987"/>
    </cacheField>
    <cacheField name="순번2" numFmtId="183">
      <sharedItems containsBlank="1" containsMixedTypes="1" containsNumber="1" containsInteger="1" minValue="113" maxValue="987"/>
    </cacheField>
    <cacheField name="품번" numFmtId="183">
      <sharedItems containsBlank="1"/>
    </cacheField>
    <cacheField name="품번수" numFmtId="183">
      <sharedItems containsString="0" containsBlank="1" containsNumber="1" minValue="0" maxValue="25"/>
    </cacheField>
    <cacheField name="품명(=샘플명)" numFmtId="183">
      <sharedItems containsBlank="1"/>
    </cacheField>
    <cacheField name="색상" numFmtId="183">
      <sharedItems containsBlank="1"/>
    </cacheField>
    <cacheField name="색상명" numFmtId="183">
      <sharedItems containsBlank="1"/>
    </cacheField>
    <cacheField name="품번색상" numFmtId="183">
      <sharedItems containsBlank="1"/>
    </cacheField>
    <cacheField name="오더차수" numFmtId="183">
      <sharedItems containsBlank="1" count="7">
        <s v=""/>
        <s v="R1"/>
        <s v="R2"/>
        <m/>
        <s v="R3" u="1"/>
        <e v="#N/A" u="1"/>
        <s v="R" u="1"/>
      </sharedItems>
    </cacheField>
    <cacheField name="색상수" numFmtId="183">
      <sharedItems containsString="0" containsBlank="1" containsNumber="1" minValue="0" maxValue="25.999999999999979"/>
    </cacheField>
    <cacheField name="혼용율" numFmtId="183">
      <sharedItems containsBlank="1" containsMixedTypes="1" containsNumber="1" containsInteger="1" minValue="0" maxValue="0"/>
    </cacheField>
    <cacheField name="사이즈타입" numFmtId="183">
      <sharedItems containsString="0" containsBlank="1" containsNumber="1" containsInteger="1" minValue="1" maxValue="3"/>
    </cacheField>
    <cacheField name="사이즈" numFmtId="0">
      <sharedItems containsBlank="1"/>
    </cacheField>
    <cacheField name="수량" numFmtId="183">
      <sharedItems containsString="0" containsBlank="1" containsNumber="1" containsInteger="1" minValue="1" maxValue="2400"/>
    </cacheField>
    <cacheField name="업체명" numFmtId="0">
      <sharedItems containsBlank="1" count="48">
        <s v="J&amp;F"/>
        <m/>
        <s v="QF"/>
        <s v="캡보이2"/>
        <s v="FOREMOST"/>
        <s v="동일모자"/>
        <s v="Y&amp;Y"/>
        <s v="성진"/>
        <s v="캡보이"/>
        <s v="EVERRICH TEXTILE"/>
        <s v="KIDS FIRST TOYS"/>
        <s v="바이칼"/>
        <s v="PRANCE"/>
        <s v="EVERGREEN"/>
        <s v="대경"/>
        <s v="아트인드림"/>
        <s v="림스스포츠"/>
        <s v="써니"/>
        <s v="NT SENHONG"/>
        <s v="ELEGANCE"/>
        <s v="현주실업"/>
        <s v="유건"/>
        <s v="TS"/>
        <s v="CNG" u="1"/>
        <s v="신성모자" u="1"/>
        <s v="`" u="1"/>
        <s v="CISUI" u="1"/>
        <s v="47 BRAND" u="1"/>
        <s v="YITIAN" u="1"/>
        <s v="퍼스트키즈토이" u="1"/>
        <s v="PIAFIELD" u="1"/>
        <s v="YONGSANG" u="1"/>
        <s v="캡보이 2" u="1"/>
        <s v="FIRST KIDS TOYS" u="1"/>
        <s v="TWINS" u="1"/>
        <s v="HMA" u="1"/>
        <s v="한림" u="1"/>
        <s v="GSM" u="1"/>
        <s v="TRUE RELIGION" u="1"/>
        <s v="NEW FINE" u="1"/>
        <s v="HAOPU" u="1"/>
        <s v="GRACE HAT" u="1"/>
        <s v="QIAQIA" u="1"/>
        <s v="GOORIN BROTHERS" u="1"/>
        <s v="NEWERA" u="1"/>
        <s v="닉슨코리아" u="1"/>
        <s v="YANGYUAN" u="1"/>
        <s v="FLAT FITTY" u="1"/>
      </sharedItems>
    </cacheField>
    <cacheField name="차수" numFmtId="0">
      <sharedItems containsString="0" containsBlank="1" containsNumber="1" containsInteger="1" minValue="1" maxValue="49"/>
    </cacheField>
    <cacheField name="차수2" numFmtId="0">
      <sharedItems containsBlank="1" containsMixedTypes="1" containsNumber="1" containsInteger="1" minValue="10" maxValue="59" count="61">
        <s v="01"/>
        <s v=""/>
        <s v="03"/>
        <s v="04"/>
        <s v="02"/>
        <s v="05"/>
        <s v="06"/>
        <s v="07"/>
        <s v="09"/>
        <n v="15"/>
        <n v="17"/>
        <n v="12"/>
        <n v="13"/>
        <n v="18"/>
        <n v="19"/>
        <s v="08"/>
        <n v="14"/>
        <n v="16"/>
        <n v="21"/>
        <n v="22"/>
        <n v="34"/>
        <n v="10"/>
        <n v="20"/>
        <n v="11"/>
        <n v="40"/>
        <n v="29"/>
        <n v="23"/>
        <n v="24"/>
        <n v="25"/>
        <n v="26"/>
        <n v="27"/>
        <n v="28"/>
        <n v="30"/>
        <n v="31"/>
        <n v="32"/>
        <n v="33"/>
        <n v="35"/>
        <n v="36"/>
        <n v="37"/>
        <n v="38"/>
        <n v="39"/>
        <n v="41"/>
        <n v="42"/>
        <n v="43"/>
        <n v="44"/>
        <n v="45"/>
        <n v="46"/>
        <n v="47"/>
        <n v="48"/>
        <n v="49"/>
        <m/>
        <n v="57" u="1"/>
        <n v="59" u="1"/>
        <n v="50" u="1"/>
        <n v="52" u="1"/>
        <n v="54" u="1"/>
        <n v="56" u="1"/>
        <n v="58" u="1"/>
        <n v="51" u="1"/>
        <n v="53" u="1"/>
        <n v="55" u="1"/>
      </sharedItems>
    </cacheField>
    <cacheField name="분류" numFmtId="0">
      <sharedItems containsBlank="1"/>
    </cacheField>
    <cacheField name="국가" numFmtId="0">
      <sharedItems containsBlank="1"/>
    </cacheField>
    <cacheField name="수입/내수" numFmtId="0">
      <sharedItems containsBlank="1" containsMixedTypes="1" containsNumber="1" containsInteger="1" minValue="1" maxValue="2" count="4">
        <n v="1"/>
        <s v=""/>
        <m/>
        <n v="2"/>
      </sharedItems>
    </cacheField>
    <cacheField name="TAG가목표" numFmtId="183">
      <sharedItems containsString="0" containsBlank="1" containsNumber="1" containsInteger="1" minValue="0" maxValue="298000"/>
    </cacheField>
    <cacheField name="TAG가조정" numFmtId="0">
      <sharedItems containsString="0" containsBlank="1" containsNumber="1" containsInteger="1" minValue="0" maxValue="41971" count="67">
        <n v="41780"/>
        <n v="0"/>
        <n v="41820"/>
        <n v="41779"/>
        <n v="41793"/>
        <n v="41710"/>
        <n v="41802"/>
        <n v="41821"/>
        <n v="41771"/>
        <n v="41823"/>
        <n v="41851"/>
        <n v="41752"/>
        <n v="41836"/>
        <n v="41942"/>
        <n v="41795"/>
        <n v="41827"/>
        <n v="41775"/>
        <n v="41850"/>
        <n v="41906"/>
        <n v="41856"/>
        <n v="41918"/>
        <n v="41803"/>
        <n v="41801"/>
        <n v="41858"/>
        <n v="41772"/>
        <n v="41822"/>
        <n v="41841"/>
        <n v="41855"/>
        <n v="41863"/>
        <n v="41884"/>
        <n v="41898"/>
        <n v="41935"/>
        <n v="41971"/>
        <m/>
        <n v="41648" u="1"/>
        <n v="41597" u="1"/>
        <n v="41668" u="1"/>
        <n v="41586" u="1"/>
        <n v="41575" u="1"/>
        <n v="41593" u="1"/>
        <n v="41613" u="1"/>
        <n v="41684" u="1"/>
        <n v="41562" u="1"/>
        <n v="41682" u="1"/>
        <n v="41631" u="1"/>
        <n v="41589" u="1"/>
        <n v="41578" u="1"/>
        <n v="41649" u="1"/>
        <n v="7" u="1"/>
        <n v="41598" u="1"/>
        <n v="41618" u="1"/>
        <n v="41627" u="1"/>
        <n v="41576" u="1"/>
        <n v="41647" u="1"/>
        <n v="41667" u="1"/>
        <n v="41585" u="1"/>
        <n v="41656" u="1"/>
        <n v="41614" u="1"/>
        <n v="41541" u="1"/>
        <n v="41612" u="1"/>
        <n v="41683" u="1"/>
        <n v="41621" u="1"/>
        <n v="41641" u="1"/>
        <n v="41548" u="1"/>
        <n v="41619" u="1"/>
        <n v="41568" u="1"/>
        <n v="41628" u="1"/>
      </sharedItems>
    </cacheField>
    <cacheField name="원가목표" numFmtId="183">
      <sharedItems containsString="0" containsBlank="1" containsNumber="1" minValue="0" maxValue="75252.525252525244"/>
    </cacheField>
    <cacheField name="원가조정" numFmtId="183">
      <sharedItems containsString="0" containsBlank="1" containsNumber="1" minValue="0" maxValue="54998.000000000007"/>
    </cacheField>
    <cacheField name="원가차이" numFmtId="183">
      <sharedItems containsString="0" containsBlank="1" containsNumber="1" minValue="-75252.525252525244" maxValue="10957.595959595965"/>
    </cacheField>
    <cacheField name="공급원자재" numFmtId="183">
      <sharedItems containsBlank="1" containsMixedTypes="1" containsNumber="1" minValue="0" maxValue="2740"/>
    </cacheField>
    <cacheField name="공급부자재" numFmtId="183">
      <sharedItems containsString="0" containsBlank="1" containsNumber="1" containsInteger="1" minValue="0" maxValue="1515"/>
    </cacheField>
    <cacheField name="공급기타" numFmtId="183">
      <sharedItems containsBlank="1" containsMixedTypes="1" containsNumber="1" containsInteger="1" minValue="20" maxValue="110"/>
    </cacheField>
    <cacheField name="공급계" numFmtId="183">
      <sharedItems containsString="0" containsBlank="1" containsNumber="1" minValue="0" maxValue="3210"/>
    </cacheField>
    <cacheField name="해외(FOB, USD, JPY)" numFmtId="183">
      <sharedItems containsString="0" containsBlank="1" containsNumber="1" minValue="0" maxValue="13507.5"/>
    </cacheField>
    <cacheField name="국내(KRW)" numFmtId="183">
      <sharedItems containsString="0" containsBlank="1" containsNumber="1" containsInteger="1" minValue="0" maxValue="34500"/>
    </cacheField>
    <cacheField name="발주일" numFmtId="176">
      <sharedItems containsNonDate="0" containsDate="1" containsString="0" containsBlank="1" minDate="1899-12-30T00:00:00" maxDate="2014-11-29T00:00:00"/>
    </cacheField>
    <cacheField name="선적일" numFmtId="176">
      <sharedItems containsNonDate="0" containsDate="1" containsString="0" containsBlank="1" minDate="1899-12-30T00:00:00" maxDate="2014-12-18T00:00:00"/>
    </cacheField>
    <cacheField name="목표납기일" numFmtId="176">
      <sharedItems containsNonDate="0" containsDate="1" containsString="0" containsBlank="1" minDate="1899-12-30T00:00:00" maxDate="2014-12-19T00:00:00"/>
    </cacheField>
    <cacheField name="계약납기일" numFmtId="176">
      <sharedItems containsNonDate="0" containsDate="1" containsString="0" containsBlank="1" minDate="1899-12-30T00:00:00" maxDate="2014-12-25T00:00:00"/>
    </cacheField>
    <cacheField name="1차입고일" numFmtId="176">
      <sharedItems containsNonDate="0" containsDate="1" containsString="0" containsBlank="1" minDate="1899-12-30T00:00:00" maxDate="2014-12-27T00:00:00"/>
    </cacheField>
    <cacheField name="2차입고일" numFmtId="176">
      <sharedItems containsNonDate="0" containsDate="1" containsString="0" containsBlank="1" minDate="1899-12-30T00:00:00" maxDate="2014-12-27T00:00:00"/>
    </cacheField>
    <cacheField name="3차입고일" numFmtId="176">
      <sharedItems containsNonDate="0" containsDate="1" containsString="0" containsBlank="1" minDate="1899-12-30T00:00:00" maxDate="2014-11-08T00:00:00"/>
    </cacheField>
    <cacheField name="4차입고일" numFmtId="176">
      <sharedItems containsNonDate="0" containsDate="1" containsString="0" containsBlank="1" minDate="1899-12-30T00:00:00" maxDate="2014-10-14T00:00:00"/>
    </cacheField>
    <cacheField name="5차입고일" numFmtId="176">
      <sharedItems containsNonDate="0" containsDate="1" containsString="0" containsBlank="1" minDate="1899-12-30T00:00:00" maxDate="1899-12-31T00:00:00"/>
    </cacheField>
    <cacheField name="원가확정여부" numFmtId="0">
      <sharedItems containsBlank="1" containsMixedTypes="1" containsNumber="1" containsInteger="1" minValue="0" maxValue="0" count="4">
        <s v="확정"/>
        <n v="0"/>
        <s v="확정 "/>
        <m/>
      </sharedItems>
    </cacheField>
    <cacheField name="납기확정여부" numFmtId="0">
      <sharedItems containsBlank="1" containsMixedTypes="1" containsNumber="1" containsInteger="1" minValue="0" maxValue="0"/>
    </cacheField>
    <cacheField name="1차입고수량" numFmtId="183">
      <sharedItems containsString="0" containsBlank="1" containsNumber="1" containsInteger="1" minValue="0" maxValue="5705"/>
    </cacheField>
    <cacheField name="2차입고수량" numFmtId="183">
      <sharedItems containsString="0" containsBlank="1" containsNumber="1" containsInteger="1" minValue="-4" maxValue="1100"/>
    </cacheField>
    <cacheField name="3차입고수량" numFmtId="183">
      <sharedItems containsString="0" containsBlank="1" containsNumber="1" containsInteger="1" minValue="0" maxValue="367"/>
    </cacheField>
    <cacheField name="3차입고수량2" numFmtId="183">
      <sharedItems containsString="0" containsBlank="1" containsNumber="1" containsInteger="1" minValue="0" maxValue="3"/>
    </cacheField>
    <cacheField name="3차입고수량3" numFmtId="183">
      <sharedItems containsString="0" containsBlank="1" containsNumber="1" containsInteger="1" minValue="0" maxValue="0"/>
    </cacheField>
    <cacheField name="차이수량" numFmtId="183">
      <sharedItems containsString="0" containsBlank="1" containsNumber="1" containsInteger="1" minValue="0" maxValue="236"/>
    </cacheField>
    <cacheField name="TOTAL수량" numFmtId="183">
      <sharedItems containsString="0" containsBlank="1" containsNumber="1" containsInteger="1" minValue="1" maxValue="5705"/>
    </cacheField>
    <cacheField name="TOTAL원가금액" numFmtId="183">
      <sharedItems containsString="0" containsBlank="1" containsNumber="1" minValue="8686.8686868686855" maxValue="112495925.5"/>
    </cacheField>
    <cacheField name="TOTALTAG가금액" numFmtId="183">
      <sharedItems containsString="0" containsBlank="1" containsNumber="1" containsInteger="1" minValue="79000" maxValue="567095000"/>
    </cacheField>
    <cacheField name="MU" numFmtId="183">
      <sharedItems containsString="0" containsBlank="1" containsNumber="1" minValue="3.2727272727272729" maxValue="11.057019081712106"/>
    </cacheField>
    <cacheField name="배수" numFmtId="0" formula=" IF(ISERROR(TOTALTAG가금액/(TOTAL원가금액*1.1))=TRUE,0,TOTALTAG가금액/(TOTAL원가금액*1.1)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92">
  <r>
    <n v="0"/>
    <n v="0.25"/>
    <n v="4"/>
    <n v="7"/>
    <s v="F-CAP"/>
    <x v="0"/>
    <s v="URK-J&amp;F-01"/>
    <s v="URK-J&amp;F-01URKSNF3503NY"/>
    <n v="1"/>
    <s v="URK-J&amp;F-011"/>
    <s v="URK-J&amp;F-011-URKSNF3503NAVYOSM"/>
    <s v="URK의류외503"/>
    <s v="URK"/>
    <s v="14SS_U"/>
    <m/>
    <s v="URK"/>
    <s v="URBAN SWAGGER KIDS"/>
    <s v="F"/>
    <s v="3"/>
    <s v="SN"/>
    <s v="SNAPBACK"/>
    <s v="K"/>
    <n v="503"/>
    <n v="503"/>
    <s v="URKSNF3503"/>
    <n v="0.25"/>
    <s v="14SS_URBAN SWAGGER_69_FLAT_NV_KIDS"/>
    <s v="NY"/>
    <s v="NAVY"/>
    <s v="URKSNF3503NY"/>
    <x v="0"/>
    <n v="0.5"/>
    <s v="면 61% 레이온 36% 폴리우레탄 3%"/>
    <n v="1"/>
    <s v="OSM"/>
    <n v="70"/>
    <x v="0"/>
    <n v="1"/>
    <x v="0"/>
    <s v="M"/>
    <s v="CN"/>
    <x v="0"/>
    <n v="39000"/>
    <x v="0"/>
    <n v="3939.3939393939386"/>
    <n v="5219.8"/>
    <n v="1280.4060606060616"/>
    <n v="2160"/>
    <n v="545"/>
    <n v="20"/>
    <n v="2725"/>
    <n v="2"/>
    <m/>
    <d v="2014-04-04T00:00:00"/>
    <d v="1899-12-30T00:00:00"/>
    <d v="2014-07-03T00:00:00"/>
    <m/>
    <d v="2014-07-23T00:00:00"/>
    <d v="1899-12-30T00:00:00"/>
    <d v="1899-12-30T00:00:00"/>
    <d v="1899-12-30T00:00:00"/>
    <d v="1899-12-30T00:00:00"/>
    <x v="0"/>
    <n v="0"/>
    <n v="70"/>
    <n v="0"/>
    <n v="0"/>
    <n v="0"/>
    <n v="0"/>
    <n v="0"/>
    <n v="70"/>
    <n v="365386"/>
    <n v="2730000"/>
    <n v="6.7923187582944653"/>
  </r>
  <r>
    <n v="0"/>
    <n v="0.25"/>
    <n v="4"/>
    <n v="7"/>
    <s v="F-CAP"/>
    <x v="0"/>
    <s v="URK-J&amp;F-01"/>
    <s v="URK-J&amp;F-01URKSNF3503NY"/>
    <n v="1"/>
    <s v="URK-J&amp;F-011"/>
    <s v="URK-J&amp;F-011-URKSNF3503NAVYOML"/>
    <s v="URK의류외503"/>
    <s v="URK"/>
    <s v="14SS_U"/>
    <m/>
    <s v="URK"/>
    <s v="URBAN SWAGGER KIDS"/>
    <s v="F"/>
    <s v="3"/>
    <s v="SN"/>
    <s v="SNAPBACK"/>
    <s v="K"/>
    <n v="503"/>
    <n v="503"/>
    <s v="URKSNF3503"/>
    <n v="0.25"/>
    <s v="14SS_URBAN SWAGGER_69_FLAT_NV_KIDS"/>
    <s v="NY"/>
    <s v="NAVY"/>
    <s v="URKSNF3503NY"/>
    <x v="0"/>
    <n v="0.5"/>
    <s v="면 61% 레이온 36% 폴리우레탄 3%"/>
    <n v="1"/>
    <s v="OML"/>
    <n v="30"/>
    <x v="0"/>
    <n v="1"/>
    <x v="0"/>
    <s v="M"/>
    <s v="CN"/>
    <x v="0"/>
    <n v="39000"/>
    <x v="0"/>
    <n v="3939.3939393939386"/>
    <n v="5219.8"/>
    <n v="1280.4060606060616"/>
    <n v="2160"/>
    <n v="545"/>
    <n v="20"/>
    <n v="2725"/>
    <n v="2"/>
    <n v="0"/>
    <d v="2014-04-04T00:00:00"/>
    <d v="1899-12-30T00:00:00"/>
    <d v="2014-07-03T00:00:00"/>
    <d v="1899-12-30T00:00:00"/>
    <d v="2014-07-23T00:00:00"/>
    <d v="1899-12-30T00:00:00"/>
    <d v="1899-12-30T00:00:00"/>
    <d v="1899-12-30T00:00:00"/>
    <d v="1899-12-30T00:00:00"/>
    <x v="0"/>
    <n v="0"/>
    <n v="30"/>
    <n v="0"/>
    <n v="0"/>
    <n v="0"/>
    <n v="0"/>
    <n v="0"/>
    <n v="30"/>
    <n v="156594"/>
    <n v="1170000"/>
    <n v="6.7923187582944653"/>
  </r>
  <r>
    <n v="0"/>
    <n v="0"/>
    <n v="4"/>
    <n v="7"/>
    <s v="F-CAP"/>
    <x v="0"/>
    <s v="URK-J&amp;F-01"/>
    <s v="URK-J&amp;F-01URKSNF3503YE"/>
    <n v="2"/>
    <s v="URK-J&amp;F-012"/>
    <s v="URK-J&amp;F-012-URKSNF3503YELLOWOSM"/>
    <s v="URK의류외503"/>
    <s v="URK"/>
    <s v="14SS_U"/>
    <m/>
    <s v="URK"/>
    <s v="URBAN SWAGGER KIDS"/>
    <s v="F"/>
    <s v="3"/>
    <s v="SN"/>
    <s v="SNAPBACK"/>
    <s v="K"/>
    <n v="503"/>
    <n v="503"/>
    <s v="URKSNF3503"/>
    <n v="0.25"/>
    <s v="14SS_URBAN SWAGGER_69_FLAT_YL_KIDS"/>
    <s v="YE"/>
    <s v="YELLOW"/>
    <s v="URKSNF3503YE"/>
    <x v="0"/>
    <n v="0.5"/>
    <s v="겉감1: 아크릴 85% 울 15% 겉감2: 폴리우레탄 100%"/>
    <n v="1"/>
    <s v="OSM"/>
    <n v="80"/>
    <x v="0"/>
    <n v="1"/>
    <x v="0"/>
    <s v="M"/>
    <s v="CN"/>
    <x v="0"/>
    <n v="39000"/>
    <x v="0"/>
    <n v="3939.3939393939386"/>
    <n v="3434.02"/>
    <n v="-505.3739393939386"/>
    <m/>
    <n v="545"/>
    <n v="20"/>
    <n v="565"/>
    <n v="2.2999999999999998"/>
    <n v="0"/>
    <d v="2014-04-04T00:00:00"/>
    <d v="1899-12-30T00:00:00"/>
    <d v="2014-07-03T00:00:00"/>
    <d v="1899-12-30T00:00:00"/>
    <d v="2014-07-24T00:00:00"/>
    <d v="1899-12-30T00:00:00"/>
    <d v="1899-12-30T00:00:00"/>
    <d v="1899-12-30T00:00:00"/>
    <d v="1899-12-30T00:00:00"/>
    <x v="0"/>
    <n v="0"/>
    <n v="80"/>
    <n v="0"/>
    <n v="0"/>
    <n v="0"/>
    <n v="0"/>
    <n v="0"/>
    <n v="80"/>
    <n v="274721.59999999998"/>
    <n v="3120000"/>
    <n v="10.324501736898869"/>
  </r>
  <r>
    <n v="0"/>
    <n v="0"/>
    <n v="4"/>
    <n v="7"/>
    <s v="F-CAP"/>
    <x v="0"/>
    <s v="URK-J&amp;F-01"/>
    <s v="URK-J&amp;F-01URKSNF3503YE"/>
    <n v="2"/>
    <s v="URK-J&amp;F-012"/>
    <s v="URK-J&amp;F-012-URKSNF3503YELLOWOML"/>
    <s v="URK의류외503"/>
    <s v="URK"/>
    <s v="14SS_U"/>
    <m/>
    <s v="URK"/>
    <s v="URBAN SWAGGER KIDS"/>
    <s v="F"/>
    <s v="3"/>
    <s v="SN"/>
    <s v="SNAPBACK"/>
    <s v="K"/>
    <n v="503"/>
    <n v="503"/>
    <s v="URKSNF3503"/>
    <n v="0.25"/>
    <s v="14SS_URBAN SWAGGER_69_FLAT_YL_KIDS"/>
    <s v="YE"/>
    <s v="YELLOW"/>
    <s v="URKSNF3503YE"/>
    <x v="0"/>
    <n v="0.5"/>
    <s v="겉감1: 아크릴 85% 울 15% 겉감2: 폴리우레탄 100%"/>
    <n v="1"/>
    <s v="OML"/>
    <n v="40"/>
    <x v="0"/>
    <n v="1"/>
    <x v="0"/>
    <s v="M"/>
    <s v="CN"/>
    <x v="0"/>
    <n v="39000"/>
    <x v="0"/>
    <n v="3939.3939393939386"/>
    <n v="3434.02"/>
    <n v="-505.3739393939386"/>
    <m/>
    <n v="545"/>
    <n v="20"/>
    <n v="565"/>
    <n v="2.2999999999999998"/>
    <n v="0"/>
    <d v="2014-04-04T00:00:00"/>
    <d v="1899-12-30T00:00:00"/>
    <d v="2014-07-03T00:00:00"/>
    <d v="1899-12-30T00:00:00"/>
    <d v="2014-07-24T00:00:00"/>
    <d v="1899-12-30T00:00:00"/>
    <d v="1899-12-30T00:00:00"/>
    <d v="1899-12-30T00:00:00"/>
    <d v="1899-12-30T00:00:00"/>
    <x v="0"/>
    <n v="0"/>
    <n v="40"/>
    <n v="0"/>
    <n v="0"/>
    <n v="0"/>
    <n v="0"/>
    <n v="0"/>
    <n v="40"/>
    <n v="137360.79999999999"/>
    <n v="1560000"/>
    <n v="10.324501736898869"/>
  </r>
  <r>
    <n v="0"/>
    <n v="0"/>
    <s v=""/>
    <s v=""/>
    <s v=""/>
    <x v="1"/>
    <s v=""/>
    <s v=""/>
    <n v="0"/>
    <s v="0"/>
    <s v="0-"/>
    <n v="0"/>
    <s v="TTL"/>
    <s v=""/>
    <s v="URK-J&amp;F-01 TTL"/>
    <m/>
    <s v=""/>
    <s v=""/>
    <s v=""/>
    <m/>
    <s v=""/>
    <s v="K"/>
    <m/>
    <s v=""/>
    <s v=""/>
    <n v="1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20"/>
    <n v="0"/>
    <n v="0"/>
    <n v="0"/>
    <n v="0"/>
    <n v="0"/>
    <n v="220"/>
    <n v="934062.39999999991"/>
    <n v="8580000"/>
    <n v="8.3506198301098511"/>
  </r>
  <r>
    <n v="0"/>
    <n v="0.33333333333333331"/>
    <n v="4"/>
    <n v="8"/>
    <s v="F-CAP"/>
    <x v="0"/>
    <s v="URK-QF-03"/>
    <s v="URK-QF-03URKSNF3505BL"/>
    <n v="1"/>
    <s v="URK-QF-031"/>
    <s v="URK-QF-031-URKSNF3505BLUEXSS"/>
    <s v="URK의류외505"/>
    <s v="URK"/>
    <s v="14SS_U"/>
    <m/>
    <s v="URK"/>
    <s v="URBAN SWAGGER KIDS"/>
    <s v="F"/>
    <s v="3"/>
    <s v="SN"/>
    <s v="SNAPBACK"/>
    <s v="K"/>
    <n v="505"/>
    <n v="505"/>
    <s v="URKSNF3505"/>
    <n v="0.33333333333333331"/>
    <s v="14SS_URBAN SWAGGER_42_FLAT_BL_KIDS"/>
    <s v="BL"/>
    <s v="BLUE"/>
    <s v="URKSNF3505BL"/>
    <x v="0"/>
    <n v="0.33333333333333331"/>
    <s v="면 100%"/>
    <n v="1"/>
    <s v="XSS"/>
    <n v="350"/>
    <x v="2"/>
    <n v="3"/>
    <x v="2"/>
    <s v="M"/>
    <s v="CN"/>
    <x v="0"/>
    <n v="39000"/>
    <x v="0"/>
    <n v="3939.3939393939386"/>
    <n v="5443.64"/>
    <n v="1504.2460606060617"/>
    <n v="933"/>
    <n v="0"/>
    <n v="20"/>
    <n v="953"/>
    <n v="3.6"/>
    <n v="0"/>
    <d v="2014-04-04T00:00:00"/>
    <d v="1899-12-30T00:00:00"/>
    <d v="2014-07-03T00:00:00"/>
    <d v="1899-12-30T00:00:00"/>
    <d v="2014-08-04T00:00:00"/>
    <d v="1899-12-30T00:00:00"/>
    <d v="1899-12-30T00:00:00"/>
    <d v="1899-12-30T00:00:00"/>
    <d v="1899-12-30T00:00:00"/>
    <x v="0"/>
    <n v="0"/>
    <n v="350"/>
    <n v="0"/>
    <n v="0"/>
    <n v="0"/>
    <n v="0"/>
    <n v="0"/>
    <n v="350"/>
    <n v="1905274"/>
    <n v="13650000"/>
    <n v="6.5130217013883085"/>
  </r>
  <r>
    <n v="0"/>
    <n v="0.33333333333333331"/>
    <n v="4"/>
    <n v="8"/>
    <s v="F-CAP"/>
    <x v="0"/>
    <s v="URK-QF-03"/>
    <s v="URK-QF-03URKSNF3505BL"/>
    <n v="1"/>
    <s v="URK-QF-031"/>
    <s v="URK-QF-031-URKSNF3505BLUEOSM"/>
    <s v="URK의류외505"/>
    <s v="URK"/>
    <s v="14SS_U"/>
    <m/>
    <s v="URK"/>
    <s v="URBAN SWAGGER KIDS"/>
    <s v="F"/>
    <s v="3"/>
    <s v="SN"/>
    <s v="SNAPBACK"/>
    <s v="K"/>
    <n v="505"/>
    <n v="505"/>
    <s v="URKSNF3505"/>
    <n v="0.33333333333333331"/>
    <s v="14SS_URBAN SWAGGER_42_FLAT_BL_KIDS"/>
    <s v="BL"/>
    <s v="BLUE"/>
    <s v="URKSNF3505BL"/>
    <x v="0"/>
    <n v="0.33333333333333331"/>
    <s v="면 100%"/>
    <n v="1"/>
    <s v="OSM"/>
    <n v="80"/>
    <x v="2"/>
    <n v="3"/>
    <x v="2"/>
    <s v="M"/>
    <s v="CN"/>
    <x v="0"/>
    <n v="39000"/>
    <x v="0"/>
    <n v="3939.3939393939386"/>
    <n v="5893.64"/>
    <n v="1954.2460606060617"/>
    <n v="933"/>
    <n v="450"/>
    <n v="20"/>
    <n v="1403"/>
    <n v="3.6"/>
    <n v="0"/>
    <d v="2014-04-04T00:00:00"/>
    <d v="1899-12-30T00:00:00"/>
    <d v="2014-07-03T00:00:00"/>
    <d v="1899-12-30T00:00:00"/>
    <d v="2014-08-04T00:00:00"/>
    <d v="1899-12-30T00:00:00"/>
    <d v="1899-12-30T00:00:00"/>
    <d v="1899-12-30T00:00:00"/>
    <d v="1899-12-30T00:00:00"/>
    <x v="0"/>
    <n v="0"/>
    <n v="80"/>
    <n v="0"/>
    <n v="0"/>
    <n v="0"/>
    <n v="0"/>
    <n v="0"/>
    <n v="80"/>
    <n v="471491.2"/>
    <n v="3120000"/>
    <n v="6.0157297450379481"/>
  </r>
  <r>
    <n v="0"/>
    <n v="0.33333333333333331"/>
    <n v="4"/>
    <n v="8"/>
    <s v="F-CAP"/>
    <x v="0"/>
    <s v="URK-QF-03"/>
    <s v="URK-QF-03URKSNF3505BL"/>
    <n v="1"/>
    <s v="URK-QF-031"/>
    <s v="URK-QF-031-URKSNF3505BLUEOML"/>
    <s v="URK의류외505"/>
    <s v="URK"/>
    <s v="14SS_U"/>
    <m/>
    <s v="URK"/>
    <s v="URBAN SWAGGER KIDS"/>
    <s v="F"/>
    <s v="3"/>
    <s v="SN"/>
    <s v="SNAPBACK"/>
    <s v="K"/>
    <n v="505"/>
    <n v="505"/>
    <s v="URKSNF3505"/>
    <n v="0.33333333333333331"/>
    <s v="14SS_URBAN SWAGGER_42_FLAT_BL_KIDS"/>
    <s v="BL"/>
    <s v="BLUE"/>
    <s v="URKSNF3505BL"/>
    <x v="0"/>
    <n v="0.33333333333333331"/>
    <s v="면 100%"/>
    <n v="1"/>
    <s v="OML"/>
    <n v="40"/>
    <x v="2"/>
    <n v="3"/>
    <x v="2"/>
    <s v="M"/>
    <s v="CN"/>
    <x v="0"/>
    <n v="39000"/>
    <x v="0"/>
    <n v="3939.3939393939386"/>
    <n v="5893.64"/>
    <n v="1954.2460606060617"/>
    <n v="933"/>
    <n v="450"/>
    <n v="20"/>
    <n v="1403"/>
    <n v="3.6"/>
    <n v="0"/>
    <d v="2014-04-04T00:00:00"/>
    <d v="1899-12-30T00:00:00"/>
    <d v="2014-07-03T00:00:00"/>
    <d v="1899-12-30T00:00:00"/>
    <d v="2014-08-04T00:00:00"/>
    <d v="1899-12-30T00:00:00"/>
    <d v="1899-12-30T00:00:00"/>
    <d v="1899-12-30T00:00:00"/>
    <d v="1899-12-30T00:00:00"/>
    <x v="0"/>
    <n v="0"/>
    <n v="40"/>
    <n v="0"/>
    <n v="0"/>
    <n v="0"/>
    <n v="0"/>
    <n v="0"/>
    <n v="40"/>
    <n v="235745.6"/>
    <n v="1560000"/>
    <n v="6.0157297450379481"/>
  </r>
  <r>
    <n v="0"/>
    <n v="0.33333333333333331"/>
    <n v="4"/>
    <n v="8"/>
    <s v="F-CAP"/>
    <x v="0"/>
    <s v="URK-QF-03"/>
    <s v="URK-QF-03URKSNF3506BK"/>
    <n v="2"/>
    <s v="URK-QF-032"/>
    <s v="URK-QF-032-URKSNF3506BLACKXSS"/>
    <s v="URK의류외506"/>
    <s v="URK"/>
    <s v="14SS_U"/>
    <m/>
    <s v="URK"/>
    <s v="URBAN SWAGGER KIDS"/>
    <s v="F"/>
    <s v="3"/>
    <s v="SN"/>
    <s v="SNAPBACK"/>
    <s v="K"/>
    <n v="506"/>
    <n v="506"/>
    <s v="URKSNF3506"/>
    <n v="0.33333333333333331"/>
    <s v="14SS_URBAN SWAGGER_39_FLAT_BK_KIDS"/>
    <s v="BK"/>
    <s v="BLACK"/>
    <s v="URKSNF3506BK"/>
    <x v="0"/>
    <n v="0.33333333333333331"/>
    <s v="겉감1: 아크릴 90% 울 10% 겉감2: 면 100%"/>
    <n v="1"/>
    <s v="XSS"/>
    <n v="350"/>
    <x v="2"/>
    <n v="3"/>
    <x v="2"/>
    <s v="M"/>
    <s v="CN"/>
    <x v="0"/>
    <n v="39000"/>
    <x v="0"/>
    <n v="3939.3939393939386"/>
    <n v="5368.34"/>
    <n v="1428.9460606060616"/>
    <n v="234"/>
    <n v="0"/>
    <n v="20"/>
    <n v="254"/>
    <n v="4.0999999999999996"/>
    <n v="0"/>
    <d v="2014-04-04T00:00:00"/>
    <d v="1899-12-30T00:00:00"/>
    <d v="2014-07-03T00:00:00"/>
    <d v="1899-12-30T00:00:00"/>
    <d v="2014-08-12T00:00:00"/>
    <d v="1899-12-30T00:00:00"/>
    <d v="1899-12-30T00:00:00"/>
    <d v="1899-12-30T00:00:00"/>
    <d v="1899-12-30T00:00:00"/>
    <x v="0"/>
    <n v="0"/>
    <n v="350"/>
    <n v="0"/>
    <n v="0"/>
    <n v="0"/>
    <n v="0"/>
    <n v="0"/>
    <n v="350"/>
    <n v="1878919"/>
    <n v="13650000"/>
    <n v="6.6043777880211483"/>
  </r>
  <r>
    <n v="0"/>
    <n v="0.33333333333333331"/>
    <n v="4"/>
    <n v="8"/>
    <s v="F-CAP"/>
    <x v="0"/>
    <s v="URK-QF-03"/>
    <s v="URK-QF-03URKSNF3506BK"/>
    <n v="2"/>
    <s v="URK-QF-032"/>
    <s v="URK-QF-032-URKSNF3506BLACKOSM"/>
    <s v="URK의류외506"/>
    <s v="URK"/>
    <s v="14SS_U"/>
    <m/>
    <s v="URK"/>
    <s v="URBAN SWAGGER KIDS"/>
    <s v="F"/>
    <s v="3"/>
    <s v="SN"/>
    <s v="SNAPBACK"/>
    <s v="K"/>
    <n v="506"/>
    <n v="506"/>
    <s v="URKSNF3506"/>
    <n v="0.33333333333333331"/>
    <s v="14SS_URBAN SWAGGER_39_FLAT_BK_KIDS"/>
    <s v="BK"/>
    <s v="BLACK"/>
    <s v="URKSNF3506BK"/>
    <x v="0"/>
    <n v="0.33333333333333331"/>
    <s v="겉감1: 아크릴 90% 울 10% 겉감2: 면 100%"/>
    <n v="1"/>
    <s v="OSM"/>
    <n v="80"/>
    <x v="2"/>
    <n v="3"/>
    <x v="2"/>
    <s v="M"/>
    <s v="CN"/>
    <x v="0"/>
    <n v="39000"/>
    <x v="0"/>
    <n v="3939.3939393939386"/>
    <n v="5818.34"/>
    <n v="1878.9460606060616"/>
    <n v="234"/>
    <n v="450"/>
    <n v="20"/>
    <n v="704"/>
    <n v="4.0999999999999996"/>
    <n v="0"/>
    <d v="2014-04-04T00:00:00"/>
    <d v="1899-12-30T00:00:00"/>
    <d v="2014-07-03T00:00:00"/>
    <d v="1899-12-30T00:00:00"/>
    <d v="2014-08-12T00:00:00"/>
    <d v="1899-12-30T00:00:00"/>
    <d v="1899-12-30T00:00:00"/>
    <d v="1899-12-30T00:00:00"/>
    <d v="1899-12-30T00:00:00"/>
    <x v="0"/>
    <n v="0"/>
    <n v="80"/>
    <n v="0"/>
    <n v="0"/>
    <n v="0"/>
    <n v="0"/>
    <n v="0"/>
    <n v="80"/>
    <n v="465467.2"/>
    <n v="3120000"/>
    <n v="6.0935843306760091"/>
  </r>
  <r>
    <n v="0"/>
    <n v="0.33333333333333331"/>
    <n v="4"/>
    <n v="8"/>
    <s v="F-CAP"/>
    <x v="0"/>
    <s v="URK-QF-03"/>
    <s v="URK-QF-03URKSNF3506BK"/>
    <n v="2"/>
    <s v="URK-QF-032"/>
    <s v="URK-QF-032-URKSNF3506BLACKOML"/>
    <s v="URK의류외506"/>
    <s v="URK"/>
    <s v="14SS_U"/>
    <m/>
    <s v="URK"/>
    <s v="URBAN SWAGGER KIDS"/>
    <s v="F"/>
    <s v="3"/>
    <s v="SN"/>
    <s v="SNAPBACK"/>
    <s v="K"/>
    <n v="506"/>
    <n v="506"/>
    <s v="URKSNF3506"/>
    <n v="0.33333333333333331"/>
    <s v="14SS_URBAN SWAGGER_39_FLAT_BK_KIDS"/>
    <s v="BK"/>
    <s v="BLACK"/>
    <s v="URKSNF3506BK"/>
    <x v="0"/>
    <n v="0.33333333333333331"/>
    <s v="겉감1: 아크릴 90% 울 10% 겉감2: 면 100%"/>
    <n v="1"/>
    <s v="OML"/>
    <n v="40"/>
    <x v="2"/>
    <n v="3"/>
    <x v="2"/>
    <s v="M"/>
    <s v="CN"/>
    <x v="0"/>
    <n v="39000"/>
    <x v="0"/>
    <n v="3939.3939393939386"/>
    <n v="5818.34"/>
    <n v="1878.9460606060616"/>
    <n v="234"/>
    <n v="450"/>
    <n v="20"/>
    <n v="704"/>
    <n v="4.0999999999999996"/>
    <n v="0"/>
    <d v="2014-04-04T00:00:00"/>
    <d v="1899-12-30T00:00:00"/>
    <d v="2014-07-03T00:00:00"/>
    <d v="1899-12-30T00:00:00"/>
    <d v="2014-08-12T00:00:00"/>
    <d v="1899-12-30T00:00:00"/>
    <d v="1899-12-30T00:00:00"/>
    <d v="1899-12-30T00:00:00"/>
    <d v="1899-12-30T00:00:00"/>
    <x v="0"/>
    <n v="0"/>
    <n v="36"/>
    <n v="0"/>
    <n v="0"/>
    <n v="0"/>
    <n v="0"/>
    <m/>
    <n v="40"/>
    <n v="232733.6"/>
    <n v="1560000"/>
    <n v="6.0935843306760091"/>
  </r>
  <r>
    <n v="0"/>
    <n v="0.2"/>
    <n v="4"/>
    <n v="8"/>
    <s v="F-CAP"/>
    <x v="0"/>
    <s v="URK-QF-03"/>
    <s v="URK-QF-03URKSNF3507GY"/>
    <n v="3"/>
    <s v="URK-QF-033"/>
    <s v="URK-QF-033-URKSNF3507GREYXSS"/>
    <s v="URK의류외507"/>
    <s v="URK"/>
    <s v="14SS_U"/>
    <m/>
    <s v="URK"/>
    <s v="URBAN SWAGGER KIDS"/>
    <s v="F"/>
    <s v="3"/>
    <s v="SN"/>
    <s v="SNAPBACK"/>
    <s v="K"/>
    <n v="507"/>
    <n v="507"/>
    <s v="URKSNF3507"/>
    <n v="0.2"/>
    <s v="14SS_URBAN SWAGGER_40_FLAT_GY_KIDS"/>
    <s v="GY"/>
    <s v="GREY"/>
    <s v="URKSNF3507GY"/>
    <x v="0"/>
    <n v="0.33333333333333331"/>
    <s v="겉감1: 아크릴 100% 겉감2: 면 100%"/>
    <n v="1"/>
    <s v="XSS"/>
    <n v="300"/>
    <x v="2"/>
    <n v="3"/>
    <x v="2"/>
    <s v="M"/>
    <s v="CN"/>
    <x v="0"/>
    <n v="39000"/>
    <x v="0"/>
    <n v="3939.3939393939386"/>
    <n v="4542.9000000000005"/>
    <n v="603.50606060606196"/>
    <n v="157"/>
    <n v="0"/>
    <n v="20"/>
    <n v="177"/>
    <n v="3.5"/>
    <n v="0"/>
    <d v="2014-04-04T00:00:00"/>
    <d v="1899-12-30T00:00:00"/>
    <d v="2014-07-03T00:00:00"/>
    <d v="1899-12-30T00:00:00"/>
    <d v="2014-08-04T00:00:00"/>
    <d v="1899-12-30T00:00:00"/>
    <d v="1899-12-30T00:00:00"/>
    <d v="1899-12-30T00:00:00"/>
    <d v="1899-12-30T00:00:00"/>
    <x v="0"/>
    <n v="0"/>
    <n v="300"/>
    <n v="0"/>
    <n v="0"/>
    <n v="0"/>
    <n v="0"/>
    <n v="0"/>
    <n v="300"/>
    <n v="1362870.0000000002"/>
    <n v="11700000"/>
    <n v="7.8043860649685097"/>
  </r>
  <r>
    <n v="0"/>
    <n v="0.2"/>
    <n v="4"/>
    <n v="8"/>
    <s v="F-CAP"/>
    <x v="0"/>
    <s v="URK-QF-03"/>
    <s v="URK-QF-03URKSNF3507GY"/>
    <n v="3"/>
    <s v="URK-QF-033"/>
    <s v="URK-QF-033-URKSNF3507GREYOSM"/>
    <s v="URK의류외507"/>
    <s v="URK"/>
    <s v="14SS_U"/>
    <m/>
    <s v="URK"/>
    <s v="URBAN SWAGGER KIDS"/>
    <s v="F"/>
    <s v="3"/>
    <s v="SN"/>
    <s v="SNAPBACK"/>
    <s v="K"/>
    <n v="507"/>
    <n v="507"/>
    <s v="URKSNF3507"/>
    <n v="0.2"/>
    <s v="14SS_URBAN SWAGGER_40_FLAT_GY_KIDS"/>
    <s v="GY"/>
    <s v="GREY"/>
    <s v="URKSNF3507GY"/>
    <x v="0"/>
    <n v="0.33333333333333331"/>
    <s v="겉감1: 아크릴 100% 겉감2: 면 100%"/>
    <n v="1"/>
    <s v="OSM"/>
    <n v="250"/>
    <x v="2"/>
    <n v="3"/>
    <x v="2"/>
    <s v="M"/>
    <s v="CN"/>
    <x v="0"/>
    <n v="39000"/>
    <x v="0"/>
    <n v="3939.3939393939386"/>
    <n v="5142.9000000000005"/>
    <n v="1203.506060606062"/>
    <n v="157"/>
    <n v="600"/>
    <n v="20"/>
    <n v="777"/>
    <n v="3.5"/>
    <n v="0"/>
    <d v="2014-04-04T00:00:00"/>
    <d v="1899-12-30T00:00:00"/>
    <d v="2014-07-03T00:00:00"/>
    <d v="1899-12-30T00:00:00"/>
    <d v="2014-08-04T00:00:00"/>
    <d v="1899-12-30T00:00:00"/>
    <d v="1899-12-30T00:00:00"/>
    <d v="1899-12-30T00:00:00"/>
    <d v="1899-12-30T00:00:00"/>
    <x v="0"/>
    <n v="0"/>
    <n v="250"/>
    <n v="0"/>
    <n v="0"/>
    <n v="0"/>
    <n v="0"/>
    <n v="0"/>
    <n v="250"/>
    <n v="1285725.0000000002"/>
    <n v="9750000"/>
    <n v="6.8938819449231836"/>
  </r>
  <r>
    <n v="0"/>
    <n v="0.2"/>
    <n v="4"/>
    <n v="8"/>
    <s v="F-CAP"/>
    <x v="0"/>
    <s v="URK-QF-03"/>
    <s v="URK-QF-03URKSNF3507GY"/>
    <n v="3"/>
    <s v="URK-QF-033"/>
    <s v="URK-QF-033-URKSNF3507GREYOML"/>
    <s v="URK의류외507"/>
    <s v="URK"/>
    <s v="14SS_U"/>
    <m/>
    <s v="URK"/>
    <s v="URBAN SWAGGER KIDS"/>
    <s v="F"/>
    <s v="3"/>
    <s v="SN"/>
    <s v="SNAPBACK"/>
    <s v="K"/>
    <n v="507"/>
    <n v="507"/>
    <s v="URKSNF3507"/>
    <n v="0.2"/>
    <s v="14SS_URBAN SWAGGER_40_FLAT_GY_KIDS"/>
    <s v="GY"/>
    <s v="GREY"/>
    <s v="URKSNF3507GY"/>
    <x v="0"/>
    <n v="0.33333333333333331"/>
    <s v="겉감1: 아크릴 100% 겉감2: 면 100%"/>
    <n v="1"/>
    <s v="OML"/>
    <n v="150"/>
    <x v="2"/>
    <n v="3"/>
    <x v="2"/>
    <s v="M"/>
    <s v="CN"/>
    <x v="0"/>
    <n v="39000"/>
    <x v="0"/>
    <n v="3939.3939393939386"/>
    <n v="5142.9000000000005"/>
    <n v="1203.506060606062"/>
    <n v="157"/>
    <n v="600"/>
    <n v="20"/>
    <n v="777"/>
    <n v="3.5"/>
    <n v="0"/>
    <d v="2014-04-04T00:00:00"/>
    <d v="1899-12-30T00:00:00"/>
    <d v="2014-07-03T00:00:00"/>
    <d v="1899-12-30T00:00:00"/>
    <d v="2014-08-04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771435.00000000012"/>
    <n v="5850000"/>
    <n v="6.8938819449231845"/>
  </r>
  <r>
    <n v="0"/>
    <n v="0.2"/>
    <n v="4"/>
    <n v="8"/>
    <s v="F-CAP"/>
    <x v="0"/>
    <s v="URK-QF-03"/>
    <s v="URK-QF-03URKSNF3507BK"/>
    <n v="4"/>
    <s v="URK-QF-034"/>
    <s v="URK-QF-034-URKSNF3507BLACKOSM"/>
    <s v="URK의류외507"/>
    <s v="URK"/>
    <s v="14SS_U"/>
    <m/>
    <s v="URK"/>
    <s v="URBAN SWAGGER KIDS"/>
    <s v="F"/>
    <s v="3"/>
    <s v="SN"/>
    <s v="SNAPBACK"/>
    <s v="K"/>
    <n v="507"/>
    <n v="507"/>
    <s v="URKSNF3507"/>
    <n v="0.2"/>
    <s v="14SS_URBAN SWAGGER_40_FLAT_BK_KIDS"/>
    <s v="BK"/>
    <s v="BLACK"/>
    <s v="URKSNF3507BK"/>
    <x v="0"/>
    <n v="0.5"/>
    <s v="겉감1: 아크릴 90% 울 10% 겉감2: 면 100%"/>
    <n v="1"/>
    <s v="OSM"/>
    <n v="250"/>
    <x v="2"/>
    <n v="3"/>
    <x v="2"/>
    <s v="M"/>
    <s v="CN"/>
    <x v="0"/>
    <n v="39000"/>
    <x v="0"/>
    <n v="3939.3939393939386"/>
    <n v="5547.12"/>
    <n v="1607.7260606060613"/>
    <n v="187"/>
    <n v="600"/>
    <n v="20"/>
    <n v="807"/>
    <n v="3.8"/>
    <n v="0"/>
    <d v="2014-04-04T00:00:00"/>
    <d v="1899-12-30T00:00:00"/>
    <d v="2014-07-03T00:00:00"/>
    <d v="1899-12-30T00:00:00"/>
    <d v="2014-08-04T00:00:00"/>
    <d v="1899-12-30T00:00:00"/>
    <d v="1899-12-30T00:00:00"/>
    <d v="1899-12-30T00:00:00"/>
    <d v="1899-12-30T00:00:00"/>
    <x v="0"/>
    <n v="0"/>
    <n v="250"/>
    <n v="0"/>
    <n v="0"/>
    <n v="0"/>
    <n v="0"/>
    <n v="0"/>
    <n v="250"/>
    <n v="1386780"/>
    <n v="9750000"/>
    <n v="6.3915230704483497"/>
  </r>
  <r>
    <n v="0"/>
    <n v="0.2"/>
    <n v="4"/>
    <n v="8"/>
    <s v="F-CAP"/>
    <x v="0"/>
    <s v="URK-QF-03"/>
    <s v="URK-QF-03URKSNF3507BK"/>
    <n v="4"/>
    <s v="URK-QF-034"/>
    <s v="URK-QF-034-URKSNF3507BLACKOML"/>
    <s v="URK의류외507"/>
    <s v="URK"/>
    <s v="14SS_U"/>
    <m/>
    <s v="URK"/>
    <s v="URBAN SWAGGER KIDS"/>
    <s v="F"/>
    <s v="3"/>
    <s v="SN"/>
    <s v="SNAPBACK"/>
    <s v="K"/>
    <n v="507"/>
    <n v="507"/>
    <s v="URKSNF3507"/>
    <n v="0.2"/>
    <s v="14SS_URBAN SWAGGER_40_FLAT_BK_KIDS"/>
    <s v="BK"/>
    <s v="BLACK"/>
    <s v="URKSNF3507BK"/>
    <x v="0"/>
    <n v="0.5"/>
    <s v="겉감1: 아크릴 90% 울 10% 겉감2: 면 100%"/>
    <n v="1"/>
    <s v="OML"/>
    <n v="150"/>
    <x v="2"/>
    <n v="3"/>
    <x v="2"/>
    <s v="M"/>
    <s v="CN"/>
    <x v="0"/>
    <n v="39000"/>
    <x v="0"/>
    <n v="3939.3939393939386"/>
    <n v="5547.12"/>
    <n v="1607.7260606060613"/>
    <n v="187"/>
    <n v="600"/>
    <n v="20"/>
    <n v="807"/>
    <n v="3.8"/>
    <n v="0"/>
    <d v="2014-04-04T00:00:00"/>
    <d v="1899-12-30T00:00:00"/>
    <d v="2014-07-03T00:00:00"/>
    <d v="1899-12-30T00:00:00"/>
    <d v="2014-08-04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832068"/>
    <n v="5850000"/>
    <n v="6.3915230704483506"/>
  </r>
  <r>
    <n v="0"/>
    <n v="0"/>
    <s v=""/>
    <s v=""/>
    <s v=""/>
    <x v="1"/>
    <s v=""/>
    <s v=""/>
    <n v="0"/>
    <s v="0"/>
    <s v="0-"/>
    <n v="0"/>
    <s v="TTL"/>
    <s v=""/>
    <s v="URK-QF-03 TTL"/>
    <m/>
    <s v=""/>
    <s v=""/>
    <s v=""/>
    <m/>
    <s v=""/>
    <s v="K"/>
    <m/>
    <s v=""/>
    <s v=""/>
    <n v="3.0000000000000004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036"/>
    <n v="0"/>
    <n v="0"/>
    <n v="0"/>
    <n v="0"/>
    <n v="0"/>
    <n v="2040"/>
    <n v="10828508.600000001"/>
    <n v="79560000"/>
    <n v="6.6793383464896277"/>
  </r>
  <r>
    <n v="0"/>
    <n v="0.33333333333333331"/>
    <n v="4"/>
    <n v="8"/>
    <s v="F-CAP"/>
    <x v="0"/>
    <s v="URK-QF-04"/>
    <s v="URK-QF-04URKSNF3508GY"/>
    <n v="1"/>
    <s v="URK-QF-041"/>
    <s v="URK-QF-041-URKSNF3508GREYXSS"/>
    <s v="URK의류외508"/>
    <s v="URK"/>
    <s v="14FW_U"/>
    <m/>
    <s v="URK"/>
    <s v="URBAN SWAGGER KIDS"/>
    <s v="F"/>
    <s v="3"/>
    <s v="SN"/>
    <s v="SNAPBACK"/>
    <s v="K"/>
    <n v="508"/>
    <n v="508"/>
    <s v="URKSNF3508"/>
    <n v="0.33333333333333331"/>
    <s v="14FW_URBAN SWAGGER_02_FLAT_GY_KIDS"/>
    <s v="GY"/>
    <s v="GREY"/>
    <s v="URKSNF3508GY"/>
    <x v="0"/>
    <n v="0.33333333333333331"/>
    <m/>
    <n v="1"/>
    <s v="XSS"/>
    <n v="250"/>
    <x v="2"/>
    <n v="4"/>
    <x v="3"/>
    <s v="M"/>
    <s v="CN"/>
    <x v="0"/>
    <n v="39000"/>
    <x v="0"/>
    <n v="3939.3939393939386"/>
    <n v="4495.9400000000005"/>
    <n v="556.54606060606193"/>
    <n v="609"/>
    <n v="0"/>
    <n v="20"/>
    <n v="629"/>
    <n v="3.1"/>
    <n v="0"/>
    <d v="2014-04-04T00:00:00"/>
    <d v="1899-12-30T00:00:00"/>
    <d v="2014-08-01T00:00:00"/>
    <d v="1899-12-30T00:00:00"/>
    <d v="2014-08-12T00:00:00"/>
    <d v="1899-12-30T00:00:00"/>
    <d v="1899-12-30T00:00:00"/>
    <d v="1899-12-30T00:00:00"/>
    <d v="1899-12-30T00:00:00"/>
    <x v="0"/>
    <n v="0"/>
    <n v="250"/>
    <n v="0"/>
    <n v="0"/>
    <n v="0"/>
    <n v="0"/>
    <n v="0"/>
    <n v="250"/>
    <n v="1123985.0000000002"/>
    <n v="9750000"/>
    <n v="7.8859027154600465"/>
  </r>
  <r>
    <n v="0"/>
    <n v="0.33333333333333331"/>
    <n v="4"/>
    <n v="8"/>
    <s v="F-CAP"/>
    <x v="0"/>
    <s v="URK-QF-04"/>
    <s v="URK-QF-04URKSNF3508GY"/>
    <n v="1"/>
    <s v="URK-QF-041"/>
    <s v="URK-QF-041-URKSNF3508GREYOSM"/>
    <s v="URK의류외508"/>
    <s v="URK"/>
    <s v="14FW_U"/>
    <m/>
    <s v="URK"/>
    <s v="URBAN SWAGGER KIDS"/>
    <s v="F"/>
    <s v="3"/>
    <s v="SN"/>
    <s v="SNAPBACK"/>
    <s v="K"/>
    <n v="508"/>
    <n v="508"/>
    <s v="URKSNF3508"/>
    <n v="0.33333333333333331"/>
    <s v="14FW_URBAN SWAGGER_02_FLAT_GY_KIDS"/>
    <s v="GY"/>
    <s v="GREY"/>
    <s v="URKSNF3508GY"/>
    <x v="0"/>
    <n v="0.33333333333333331"/>
    <m/>
    <n v="1"/>
    <s v="OSM"/>
    <n v="200"/>
    <x v="2"/>
    <n v="4"/>
    <x v="3"/>
    <s v="M"/>
    <s v="CN"/>
    <x v="0"/>
    <n v="39000"/>
    <x v="0"/>
    <n v="3939.3939393939386"/>
    <n v="4945.9400000000005"/>
    <n v="1006.5460606060619"/>
    <n v="609"/>
    <n v="450"/>
    <n v="20"/>
    <n v="1079"/>
    <n v="3.1"/>
    <n v="0"/>
    <d v="2014-04-04T00:00:00"/>
    <d v="1899-12-30T00:00:00"/>
    <d v="2014-08-01T00:00:00"/>
    <d v="1899-12-30T00:00:00"/>
    <d v="2014-08-12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989188.00000000012"/>
    <n v="7800000"/>
    <n v="7.168413982892119"/>
  </r>
  <r>
    <n v="0"/>
    <n v="0.33333333333333331"/>
    <n v="4"/>
    <n v="8"/>
    <s v="F-CAP"/>
    <x v="0"/>
    <s v="URK-QF-04"/>
    <s v="URK-QF-04URKSNF3508GY"/>
    <n v="1"/>
    <s v="URK-QF-041"/>
    <s v="URK-QF-041-URKSNF3508GREYOML"/>
    <s v="URK의류외508"/>
    <s v="URK"/>
    <s v="14FW_U"/>
    <m/>
    <s v="URK"/>
    <s v="URBAN SWAGGER KIDS"/>
    <s v="F"/>
    <s v="3"/>
    <s v="SN"/>
    <s v="SNAPBACK"/>
    <s v="K"/>
    <n v="508"/>
    <n v="508"/>
    <s v="URKSNF3508"/>
    <n v="0.33333333333333331"/>
    <s v="14FW_URBAN SWAGGER_02_FLAT_GY_KIDS"/>
    <s v="GY"/>
    <s v="GREY"/>
    <s v="URKSNF3508GY"/>
    <x v="0"/>
    <n v="0.33333333333333331"/>
    <m/>
    <n v="1"/>
    <s v="OML"/>
    <n v="100"/>
    <x v="2"/>
    <n v="4"/>
    <x v="3"/>
    <s v="M"/>
    <s v="CN"/>
    <x v="0"/>
    <n v="39000"/>
    <x v="0"/>
    <n v="3939.3939393939386"/>
    <n v="4945.9400000000005"/>
    <n v="1006.5460606060619"/>
    <n v="609"/>
    <n v="450"/>
    <n v="20"/>
    <n v="1079"/>
    <n v="3.1"/>
    <n v="0"/>
    <d v="2014-04-04T00:00:00"/>
    <d v="1899-12-30T00:00:00"/>
    <d v="2014-08-01T00:00:00"/>
    <d v="1899-12-30T00:00:00"/>
    <d v="2014-08-12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494594.00000000006"/>
    <n v="3900000"/>
    <n v="7.168413982892119"/>
  </r>
  <r>
    <n v="0"/>
    <n v="0.33333333333333331"/>
    <n v="4"/>
    <n v="8"/>
    <s v="F-CAP"/>
    <x v="0"/>
    <s v="URK-QF-04"/>
    <s v="URK-QF-04URKSNF3509BK"/>
    <n v="2"/>
    <s v="URK-QF-042"/>
    <s v="URK-QF-042-URKSNF3509BLACKXSS"/>
    <s v="URK의류외509"/>
    <s v="URK"/>
    <s v="14FW_U"/>
    <m/>
    <s v="URK"/>
    <s v="URBAN SWAGGER KIDS"/>
    <s v="F"/>
    <s v="3"/>
    <s v="SN"/>
    <s v="SNAPBACK"/>
    <s v="K"/>
    <n v="509"/>
    <n v="509"/>
    <s v="URKSNF3509"/>
    <n v="0.33333333333333331"/>
    <s v="14FW_URBAN SWAGGER_03_FLAT_BK_KIDS"/>
    <s v="BK"/>
    <s v="BLACK"/>
    <s v="URKSNF3509BK"/>
    <x v="0"/>
    <n v="0.33333333333333331"/>
    <n v="0"/>
    <n v="1"/>
    <s v="XSS"/>
    <n v="250"/>
    <x v="2"/>
    <n v="4"/>
    <x v="3"/>
    <s v="M"/>
    <s v="CN"/>
    <x v="0"/>
    <n v="39000"/>
    <x v="0"/>
    <n v="3939.3939393939386"/>
    <n v="4385.42"/>
    <n v="446.02606060606149"/>
    <n v="249"/>
    <n v="0"/>
    <n v="20"/>
    <n v="269"/>
    <n v="3.3"/>
    <n v="0"/>
    <d v="2014-04-04T00:00:00"/>
    <d v="1899-12-30T00:00:00"/>
    <d v="2014-08-01T00:00:00"/>
    <d v="1899-12-30T00:00:00"/>
    <d v="2014-08-04T00:00:00"/>
    <d v="1899-12-30T00:00:00"/>
    <d v="1899-12-30T00:00:00"/>
    <d v="1899-12-30T00:00:00"/>
    <d v="1899-12-30T00:00:00"/>
    <x v="0"/>
    <n v="0"/>
    <n v="249"/>
    <n v="0"/>
    <n v="0"/>
    <n v="0"/>
    <n v="0"/>
    <n v="0"/>
    <n v="250"/>
    <n v="1096355"/>
    <n v="9750000"/>
    <n v="8.0846407994092822"/>
  </r>
  <r>
    <n v="0"/>
    <n v="0.33333333333333331"/>
    <n v="4"/>
    <n v="8"/>
    <s v="F-CAP"/>
    <x v="0"/>
    <s v="URK-QF-04"/>
    <s v="URK-QF-04URKSNF3509BK"/>
    <n v="2"/>
    <s v="URK-QF-042"/>
    <s v="URK-QF-042-URKSNF3509BLACKOSM"/>
    <s v="URK의류외509"/>
    <s v="URK"/>
    <s v="14FW_U"/>
    <m/>
    <s v="URK"/>
    <s v="URBAN SWAGGER KIDS"/>
    <s v="F"/>
    <s v="3"/>
    <s v="SN"/>
    <s v="SNAPBACK"/>
    <s v="K"/>
    <n v="509"/>
    <n v="509"/>
    <s v="URKSNF3509"/>
    <n v="0.33333333333333331"/>
    <s v="14FW_URBAN SWAGGER_03_FLAT_BK_KIDS"/>
    <s v="BK"/>
    <s v="BLACK"/>
    <s v="URKSNF3509BK"/>
    <x v="0"/>
    <n v="0.33333333333333331"/>
    <n v="0"/>
    <n v="1"/>
    <s v="OSM"/>
    <n v="200"/>
    <x v="2"/>
    <n v="4"/>
    <x v="3"/>
    <s v="M"/>
    <s v="CN"/>
    <x v="0"/>
    <n v="39000"/>
    <x v="0"/>
    <n v="3939.3939393939386"/>
    <n v="4835.42"/>
    <n v="896.02606060606149"/>
    <n v="249"/>
    <n v="450"/>
    <n v="20"/>
    <n v="719"/>
    <n v="3.3"/>
    <n v="0"/>
    <d v="2014-04-04T00:00:00"/>
    <d v="1899-12-30T00:00:00"/>
    <d v="2014-08-01T00:00:00"/>
    <d v="1899-12-30T00:00:00"/>
    <d v="2014-08-04T00:00:00"/>
    <d v="1899-12-30T00:00:00"/>
    <d v="1899-12-30T00:00:00"/>
    <d v="1899-12-30T00:00:00"/>
    <d v="1899-12-30T00:00:00"/>
    <x v="0"/>
    <n v="0"/>
    <n v="199"/>
    <n v="0"/>
    <n v="0"/>
    <n v="0"/>
    <n v="0"/>
    <n v="0"/>
    <n v="200"/>
    <n v="967084"/>
    <n v="7800000"/>
    <n v="7.3322576848640759"/>
  </r>
  <r>
    <n v="0"/>
    <n v="0.33333333333333331"/>
    <n v="4"/>
    <n v="8"/>
    <s v="F-CAP"/>
    <x v="0"/>
    <s v="URK-QF-04"/>
    <s v="URK-QF-04URKSNF3509BK"/>
    <n v="2"/>
    <s v="URK-QF-042"/>
    <s v="URK-QF-042-URKSNF3509BLACKOML"/>
    <s v="URK의류외509"/>
    <s v="URK"/>
    <s v="14FW_U"/>
    <m/>
    <s v="URK"/>
    <s v="URBAN SWAGGER KIDS"/>
    <s v="F"/>
    <s v="3"/>
    <s v="SN"/>
    <s v="SNAPBACK"/>
    <s v="K"/>
    <n v="509"/>
    <n v="509"/>
    <s v="URKSNF3509"/>
    <n v="0.33333333333333331"/>
    <s v="14FW_URBAN SWAGGER_03_FLAT_BK_KIDS"/>
    <s v="BK"/>
    <s v="BLACK"/>
    <s v="URKSNF3509BK"/>
    <x v="0"/>
    <n v="0.33333333333333331"/>
    <n v="0"/>
    <n v="1"/>
    <s v="OML"/>
    <n v="100"/>
    <x v="2"/>
    <n v="4"/>
    <x v="3"/>
    <s v="M"/>
    <s v="CN"/>
    <x v="0"/>
    <n v="39000"/>
    <x v="0"/>
    <n v="3939.3939393939386"/>
    <n v="4835.42"/>
    <n v="896.02606060606149"/>
    <n v="249"/>
    <n v="450"/>
    <n v="20"/>
    <n v="719"/>
    <n v="3.3"/>
    <n v="0"/>
    <d v="2014-04-04T00:00:00"/>
    <d v="1899-12-30T00:00:00"/>
    <d v="2014-08-01T00:00:00"/>
    <d v="1899-12-30T00:00:00"/>
    <d v="2014-08-04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483542"/>
    <n v="3900000"/>
    <n v="7.3322576848640759"/>
  </r>
  <r>
    <n v="0"/>
    <n v="0.33333333333333331"/>
    <n v="4"/>
    <n v="8"/>
    <s v="F-CAP"/>
    <x v="0"/>
    <s v="URK-QF-04"/>
    <s v="URK-QF-04URKSNF3510PK"/>
    <n v="3"/>
    <s v="URK-QF-043"/>
    <s v="URK-QF-043-URKSNF3510PINKXSS"/>
    <s v="URK의류외510"/>
    <s v="URK"/>
    <s v="14FW_U"/>
    <m/>
    <s v="URK"/>
    <s v="URBAN SWAGGER KIDS"/>
    <s v="F"/>
    <s v="3"/>
    <s v="SN"/>
    <s v="SNAPBACK"/>
    <s v="K"/>
    <n v="510"/>
    <n v="510"/>
    <s v="URKSNF3510"/>
    <n v="0.33333333333333331"/>
    <s v="14FW_URBAN SWAGGER_09_FLAT_PK_KIDS"/>
    <s v="PK"/>
    <s v="PINK"/>
    <s v="URKSNF3510PK"/>
    <x v="0"/>
    <n v="0.33333333333333331"/>
    <n v="0"/>
    <n v="1"/>
    <s v="XSS"/>
    <n v="350"/>
    <x v="2"/>
    <n v="4"/>
    <x v="3"/>
    <s v="M"/>
    <s v="CN"/>
    <x v="0"/>
    <n v="39000"/>
    <x v="0"/>
    <n v="3939.3939393939386"/>
    <n v="4423.42"/>
    <n v="484.02606060606149"/>
    <n v="287"/>
    <n v="0"/>
    <n v="20"/>
    <n v="307"/>
    <n v="3.3"/>
    <n v="0"/>
    <d v="2014-04-04T00:00:00"/>
    <d v="1899-12-30T00:00:00"/>
    <d v="2014-08-01T00:00:00"/>
    <d v="1899-12-30T00:00:00"/>
    <d v="2014-08-04T00:00:00"/>
    <d v="2014-08-12T00:00:00"/>
    <d v="1899-12-30T00:00:00"/>
    <d v="1899-12-30T00:00:00"/>
    <d v="1899-12-30T00:00:00"/>
    <x v="0"/>
    <n v="0"/>
    <n v="250"/>
    <n v="100"/>
    <n v="0"/>
    <n v="0"/>
    <n v="0"/>
    <n v="0"/>
    <n v="350"/>
    <n v="1548197"/>
    <n v="13650000"/>
    <n v="8.0151885768354472"/>
  </r>
  <r>
    <n v="0"/>
    <n v="0.33333333333333331"/>
    <n v="4"/>
    <n v="8"/>
    <s v="F-CAP"/>
    <x v="0"/>
    <s v="URK-QF-04"/>
    <s v="URK-QF-04URKSNF3510PK"/>
    <n v="3"/>
    <s v="URK-QF-043"/>
    <s v="URK-QF-043-URKSNF3510PINKOSM"/>
    <s v="URK의류외510"/>
    <s v="URK"/>
    <s v="14FW_U"/>
    <m/>
    <s v="URK"/>
    <s v="URBAN SWAGGER KIDS"/>
    <s v="F"/>
    <s v="3"/>
    <s v="SN"/>
    <s v="SNAPBACK"/>
    <s v="K"/>
    <n v="510"/>
    <n v="510"/>
    <s v="URKSNF3510"/>
    <n v="0.33333333333333331"/>
    <s v="14FW_URBAN SWAGGER_09_FLAT_PK_KIDS"/>
    <s v="PK"/>
    <s v="PINK"/>
    <s v="URKSNF3510PK"/>
    <x v="0"/>
    <n v="0.33333333333333331"/>
    <n v="0"/>
    <n v="1"/>
    <s v="OSM"/>
    <n v="80"/>
    <x v="2"/>
    <n v="4"/>
    <x v="3"/>
    <s v="M"/>
    <s v="CN"/>
    <x v="0"/>
    <n v="39000"/>
    <x v="0"/>
    <n v="3939.3939393939386"/>
    <n v="4873.42"/>
    <n v="934.02606060606149"/>
    <n v="287"/>
    <n v="450"/>
    <n v="20"/>
    <n v="757"/>
    <n v="3.3"/>
    <n v="0"/>
    <d v="2014-04-04T00:00:00"/>
    <d v="1899-12-30T00:00:00"/>
    <d v="2014-08-01T00:00:00"/>
    <d v="1899-12-30T00:00:00"/>
    <d v="2014-08-04T00:00:00"/>
    <d v="2014-08-12T00:00:00"/>
    <d v="1899-12-30T00:00:00"/>
    <d v="1899-12-30T00:00:00"/>
    <d v="1899-12-30T00:00:00"/>
    <x v="0"/>
    <n v="0"/>
    <n v="80"/>
    <n v="0"/>
    <n v="0"/>
    <n v="0"/>
    <n v="0"/>
    <n v="0"/>
    <n v="80"/>
    <n v="389873.6"/>
    <n v="3120000"/>
    <n v="7.2750851464773101"/>
  </r>
  <r>
    <n v="0"/>
    <n v="0.33333333333333331"/>
    <n v="4"/>
    <n v="8"/>
    <s v="F-CAP"/>
    <x v="0"/>
    <s v="URK-QF-04"/>
    <s v="URK-QF-04URKSNF3510PK"/>
    <n v="3"/>
    <s v="URK-QF-043"/>
    <s v="URK-QF-043-URKSNF3510PINKOML"/>
    <s v="URK의류외510"/>
    <s v="URK"/>
    <s v="14FW_U"/>
    <m/>
    <s v="URK"/>
    <s v="URBAN SWAGGER KIDS"/>
    <s v="F"/>
    <s v="3"/>
    <s v="SN"/>
    <s v="SNAPBACK"/>
    <s v="K"/>
    <n v="510"/>
    <n v="510"/>
    <s v="URKSNF3510"/>
    <n v="0.33333333333333331"/>
    <s v="14FW_URBAN SWAGGER_09_FLAT_PK_KIDS"/>
    <s v="PK"/>
    <s v="PINK"/>
    <s v="URKSNF3510PK"/>
    <x v="0"/>
    <n v="0.33333333333333331"/>
    <n v="0"/>
    <n v="1"/>
    <s v="OML"/>
    <n v="40"/>
    <x v="2"/>
    <n v="4"/>
    <x v="3"/>
    <s v="M"/>
    <s v="CN"/>
    <x v="0"/>
    <n v="39000"/>
    <x v="0"/>
    <n v="3939.3939393939386"/>
    <n v="4873.42"/>
    <n v="934.02606060606149"/>
    <n v="287"/>
    <n v="450"/>
    <n v="20"/>
    <n v="757"/>
    <n v="3.3"/>
    <n v="0"/>
    <d v="2014-04-04T00:00:00"/>
    <d v="1899-12-30T00:00:00"/>
    <d v="2014-08-01T00:00:00"/>
    <d v="1899-12-30T00:00:00"/>
    <d v="2014-08-04T00:00:00"/>
    <d v="2014-08-12T00:00:00"/>
    <d v="1899-12-30T00:00:00"/>
    <d v="1899-12-30T00:00:00"/>
    <d v="1899-12-30T00:00:00"/>
    <x v="0"/>
    <n v="0"/>
    <n v="0"/>
    <n v="40"/>
    <n v="0"/>
    <n v="0"/>
    <n v="0"/>
    <n v="0"/>
    <n v="40"/>
    <n v="194936.8"/>
    <n v="1560000"/>
    <n v="7.2750851464773101"/>
  </r>
  <r>
    <n v="0"/>
    <n v="0"/>
    <s v=""/>
    <s v=""/>
    <s v=""/>
    <x v="1"/>
    <s v=""/>
    <s v=""/>
    <n v="0"/>
    <s v="0"/>
    <s v="0-"/>
    <n v="0"/>
    <s v="TTL"/>
    <s v=""/>
    <s v="URK-QF-04 TTL"/>
    <m/>
    <s v=""/>
    <s v=""/>
    <s v=""/>
    <m/>
    <s v=""/>
    <s v="K"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428"/>
    <n v="140"/>
    <n v="0"/>
    <n v="0"/>
    <n v="0"/>
    <n v="0"/>
    <n v="1570"/>
    <n v="7287755.3999999994"/>
    <n v="61230000"/>
    <n v="7.6379671529091606"/>
  </r>
  <r>
    <n v="0"/>
    <n v="0"/>
    <n v="4"/>
    <n v="7"/>
    <s v="F-CAP"/>
    <x v="0"/>
    <s v="URK-캡보이2-02"/>
    <s v="URK-캡보이2-02URKSNF3511RE"/>
    <n v="1"/>
    <s v="URK-캡보이2-021"/>
    <s v="URK-캡보이2-021-URKSNF3511REDOSM"/>
    <s v="URK의류외511"/>
    <s v="URK"/>
    <s v="14FW_U"/>
    <m/>
    <s v="URK"/>
    <s v="URBAN SWAGGER KIDS"/>
    <s v="F"/>
    <s v="3"/>
    <s v="SN"/>
    <s v="SNAPBACK"/>
    <s v="K"/>
    <n v="511"/>
    <n v="511"/>
    <s v="URKSNF3511"/>
    <n v="0.25"/>
    <s v="14FW_URBAN SWAGGER_13_FLAT_RD_KIDS"/>
    <s v="RE"/>
    <s v="RED"/>
    <s v="URKSNF3511RE"/>
    <x v="0"/>
    <n v="0.5"/>
    <n v="0"/>
    <n v="1"/>
    <s v="OSM"/>
    <n v="250"/>
    <x v="3"/>
    <n v="2"/>
    <x v="4"/>
    <s v="M"/>
    <s v="VT"/>
    <x v="0"/>
    <n v="45000"/>
    <x v="0"/>
    <n v="8181.8181818181811"/>
    <n v="8250"/>
    <n v="68.181818181818926"/>
    <n v="0"/>
    <n v="0"/>
    <s v=""/>
    <n v="0"/>
    <n v="7.5"/>
    <n v="0"/>
    <d v="2014-04-04T00:00:00"/>
    <d v="1899-12-30T00:00:00"/>
    <d v="2014-08-01T00:00:00"/>
    <d v="1899-12-30T00:00:00"/>
    <d v="2014-07-30T00:00:00"/>
    <d v="1899-12-30T00:00:00"/>
    <d v="1899-12-30T00:00:00"/>
    <d v="1899-12-30T00:00:00"/>
    <d v="1899-12-30T00:00:00"/>
    <x v="0"/>
    <n v="0"/>
    <n v="250"/>
    <n v="0"/>
    <n v="0"/>
    <n v="0"/>
    <n v="0"/>
    <n v="0"/>
    <n v="250"/>
    <n v="2062500"/>
    <n v="11250000"/>
    <n v="4.9586776859504136"/>
  </r>
  <r>
    <n v="0"/>
    <n v="0"/>
    <n v="4"/>
    <n v="7"/>
    <s v="F-CAP"/>
    <x v="0"/>
    <s v="URK-캡보이2-02"/>
    <s v="URK-캡보이2-02URKSNF3511RE"/>
    <n v="1"/>
    <s v="URK-캡보이2-021"/>
    <s v="URK-캡보이2-021-URKSNF3511REDOML"/>
    <s v="URK의류외511"/>
    <s v="URK"/>
    <s v="14FW_U"/>
    <m/>
    <s v="URK"/>
    <s v="URBAN SWAGGER KIDS"/>
    <s v="F"/>
    <s v="3"/>
    <s v="SN"/>
    <s v="SNAPBACK"/>
    <s v="K"/>
    <n v="511"/>
    <n v="511"/>
    <s v="URKSNF3511"/>
    <n v="0.25"/>
    <s v="14FW_URBAN SWAGGER_13_FLAT_RD_KIDS"/>
    <s v="RE"/>
    <s v="RED"/>
    <s v="URKSNF3511RE"/>
    <x v="0"/>
    <n v="0.5"/>
    <n v="0"/>
    <n v="1"/>
    <s v="OML"/>
    <n v="150"/>
    <x v="3"/>
    <n v="2"/>
    <x v="4"/>
    <s v="M"/>
    <s v="VT"/>
    <x v="0"/>
    <n v="45000"/>
    <x v="0"/>
    <n v="8181.8181818181811"/>
    <n v="8250"/>
    <n v="68.181818181818926"/>
    <n v="0"/>
    <n v="0"/>
    <s v=""/>
    <n v="0"/>
    <n v="7.5"/>
    <n v="0"/>
    <d v="2014-04-04T00:00:00"/>
    <d v="1899-12-30T00:00:00"/>
    <d v="2014-08-01T00:00:00"/>
    <d v="1899-12-30T00:00:00"/>
    <d v="2014-07-30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1237500"/>
    <n v="6750000"/>
    <n v="4.9586776859504136"/>
  </r>
  <r>
    <n v="0"/>
    <n v="0"/>
    <n v="4"/>
    <n v="7"/>
    <s v="F-CAP"/>
    <x v="0"/>
    <s v="URK-캡보이2-02"/>
    <s v="URK-캡보이2-02URKSNF3511GY"/>
    <n v="2"/>
    <s v="URK-캡보이2-022"/>
    <s v="URK-캡보이2-022-URKSNF3511GREYOSM"/>
    <s v="URK의류외511"/>
    <s v="URK"/>
    <s v="14FW_U"/>
    <m/>
    <s v="URK"/>
    <s v="URBAN SWAGGER KIDS"/>
    <s v="F"/>
    <s v="3"/>
    <s v="SN"/>
    <s v="SNAPBACK"/>
    <s v="K"/>
    <n v="511"/>
    <n v="511"/>
    <s v="URKSNF3511"/>
    <n v="0.25"/>
    <s v="14FW_URBAN SWAGGER_13_FLAT_GY_KIDS"/>
    <s v="GY"/>
    <s v="GREY"/>
    <s v="URKSNF3511GY"/>
    <x v="0"/>
    <n v="0.5"/>
    <n v="0"/>
    <n v="1"/>
    <s v="OSM"/>
    <n v="250"/>
    <x v="3"/>
    <n v="2"/>
    <x v="4"/>
    <s v="M"/>
    <s v="VT"/>
    <x v="0"/>
    <n v="45000"/>
    <x v="0"/>
    <n v="8181.8181818181811"/>
    <n v="8250"/>
    <n v="68.181818181818926"/>
    <n v="0"/>
    <n v="0"/>
    <s v=""/>
    <n v="0"/>
    <n v="7.5"/>
    <n v="0"/>
    <d v="2014-04-04T00:00:00"/>
    <d v="1899-12-30T00:00:00"/>
    <d v="2014-08-01T00:00:00"/>
    <d v="1899-12-30T00:00:00"/>
    <d v="2014-07-30T00:00:00"/>
    <d v="1899-12-30T00:00:00"/>
    <d v="1899-12-30T00:00:00"/>
    <d v="1899-12-30T00:00:00"/>
    <d v="1899-12-30T00:00:00"/>
    <x v="0"/>
    <n v="0"/>
    <n v="250"/>
    <n v="0"/>
    <n v="0"/>
    <n v="0"/>
    <n v="0"/>
    <n v="0"/>
    <n v="250"/>
    <n v="2062500"/>
    <n v="11250000"/>
    <n v="4.9586776859504136"/>
  </r>
  <r>
    <n v="0"/>
    <n v="0"/>
    <n v="4"/>
    <n v="7"/>
    <s v="F-CAP"/>
    <x v="0"/>
    <s v="URK-캡보이2-02"/>
    <s v="URK-캡보이2-02URKSNF3511GY"/>
    <n v="2"/>
    <s v="URK-캡보이2-022"/>
    <s v="URK-캡보이2-022-URKSNF3511GREYOML"/>
    <s v="URK의류외511"/>
    <s v="URK"/>
    <s v="14FW_U"/>
    <m/>
    <s v="URK"/>
    <s v="URBAN SWAGGER KIDS"/>
    <s v="F"/>
    <s v="3"/>
    <s v="SN"/>
    <s v="SNAPBACK"/>
    <s v="K"/>
    <n v="511"/>
    <n v="511"/>
    <s v="URKSNF3511"/>
    <n v="0.25"/>
    <s v="14FW_URBAN SWAGGER_13_FLAT_GY_KIDS"/>
    <s v="GY"/>
    <s v="GREY"/>
    <s v="URKSNF3511GY"/>
    <x v="0"/>
    <n v="0.5"/>
    <n v="0"/>
    <n v="1"/>
    <s v="OML"/>
    <n v="150"/>
    <x v="3"/>
    <n v="2"/>
    <x v="4"/>
    <s v="M"/>
    <s v="VT"/>
    <x v="0"/>
    <n v="45000"/>
    <x v="0"/>
    <n v="8181.8181818181811"/>
    <n v="8250"/>
    <n v="68.181818181818926"/>
    <n v="0"/>
    <n v="0"/>
    <s v=""/>
    <n v="0"/>
    <n v="7.5"/>
    <n v="0"/>
    <d v="2014-04-04T00:00:00"/>
    <d v="1899-12-30T00:00:00"/>
    <d v="2014-08-01T00:00:00"/>
    <d v="1899-12-30T00:00:00"/>
    <d v="2014-07-30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1237500"/>
    <n v="6750000"/>
    <n v="4.9586776859504136"/>
  </r>
  <r>
    <n v="0"/>
    <n v="0"/>
    <s v=""/>
    <s v=""/>
    <s v=""/>
    <x v="1"/>
    <s v=""/>
    <s v=""/>
    <n v="0"/>
    <s v="0"/>
    <s v="0-"/>
    <n v="0"/>
    <s v="TTL"/>
    <s v=""/>
    <s v="URK-캡보이2-02 TTL"/>
    <m/>
    <s v=""/>
    <s v=""/>
    <s v=""/>
    <m/>
    <s v=""/>
    <s v="K"/>
    <m/>
    <s v=""/>
    <s v=""/>
    <n v="1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800"/>
    <n v="0"/>
    <n v="0"/>
    <n v="0"/>
    <n v="0"/>
    <n v="0"/>
    <n v="800"/>
    <n v="6600000"/>
    <n v="36000000"/>
    <n v="4.9586776859504127"/>
  </r>
  <r>
    <n v="0"/>
    <n v="0.5"/>
    <n v="4"/>
    <n v="9"/>
    <s v="F-CAP"/>
    <x v="0"/>
    <s v="URK-QF-05"/>
    <s v="URK-QF-05URKERF5517BK"/>
    <n v="1"/>
    <s v="URK-QF-051"/>
    <s v="URK-QF-051-URKERF5517BLACKOSM"/>
    <s v="URK의류외517"/>
    <s v="URK"/>
    <s v="14FW_U"/>
    <m/>
    <s v="URK"/>
    <s v="URBAN SWAGGER KIDS"/>
    <s v="F"/>
    <n v="5"/>
    <s v="ER"/>
    <s v="EARCAP"/>
    <s v="K"/>
    <n v="517"/>
    <n v="517"/>
    <s v="URKERF5517"/>
    <n v="0.5"/>
    <s v="14FW_URBAN SWAGGER_20_EAR FLAP_BK_KIDS"/>
    <s v="BK"/>
    <s v="BLACK"/>
    <s v="URKERF5517BK"/>
    <x v="0"/>
    <n v="0.5"/>
    <s v="면 100%"/>
    <n v="1"/>
    <s v="OSM"/>
    <n v="250"/>
    <x v="2"/>
    <n v="5"/>
    <x v="5"/>
    <s v="M"/>
    <s v="CN"/>
    <x v="0"/>
    <n v="53000"/>
    <x v="0"/>
    <n v="5353.5353535353534"/>
    <n v="7017.82"/>
    <n v="1664.2846464646464"/>
    <n v="1184"/>
    <n v="450"/>
    <n v="20"/>
    <n v="1654"/>
    <n v="4.3"/>
    <n v="0"/>
    <d v="2014-04-04T00:00:00"/>
    <d v="1899-12-30T00:00:00"/>
    <d v="2014-08-28T00:00:00"/>
    <d v="1899-12-30T00:00:00"/>
    <d v="2014-09-12T00:00:00"/>
    <d v="1899-12-30T00:00:00"/>
    <d v="1899-12-30T00:00:00"/>
    <d v="1899-12-30T00:00:00"/>
    <d v="1899-12-30T00:00:00"/>
    <x v="0"/>
    <n v="0"/>
    <n v="250"/>
    <n v="0"/>
    <n v="0"/>
    <n v="0"/>
    <n v="0"/>
    <n v="0"/>
    <n v="250"/>
    <n v="1754455"/>
    <n v="13250000"/>
    <n v="6.8656389280172725"/>
  </r>
  <r>
    <n v="0"/>
    <n v="0.5"/>
    <n v="4"/>
    <n v="9"/>
    <s v="F-CAP"/>
    <x v="0"/>
    <s v="URK-QF-05"/>
    <s v="URK-QF-05URKERF5517BK"/>
    <n v="1"/>
    <s v="URK-QF-051"/>
    <s v="URK-QF-051-URKERF5517BLACKOML"/>
    <s v="URK의류외517"/>
    <s v="URK"/>
    <s v="14FW_U"/>
    <m/>
    <s v="URK"/>
    <s v="URBAN SWAGGER KIDS"/>
    <s v="F"/>
    <n v="5"/>
    <s v="ER"/>
    <s v="EARCAP"/>
    <s v="K"/>
    <n v="517"/>
    <n v="517"/>
    <s v="URKERF5517"/>
    <n v="0.5"/>
    <s v="14FW_URBAN SWAGGER_20_EAR FLAP_BK_KIDS"/>
    <s v="BK"/>
    <s v="BLACK"/>
    <s v="URKERF5517BK"/>
    <x v="0"/>
    <n v="0.5"/>
    <s v="면 100%"/>
    <n v="1"/>
    <s v="OML"/>
    <n v="150"/>
    <x v="2"/>
    <n v="5"/>
    <x v="5"/>
    <s v="M"/>
    <s v="CN"/>
    <x v="0"/>
    <n v="53000"/>
    <x v="0"/>
    <n v="5353.5353535353534"/>
    <n v="7017.82"/>
    <n v="1664.2846464646464"/>
    <n v="1184"/>
    <n v="450"/>
    <n v="20"/>
    <n v="1654"/>
    <n v="4.3"/>
    <n v="0"/>
    <d v="2014-04-04T00:00:00"/>
    <d v="1899-12-30T00:00:00"/>
    <d v="2014-08-28T00:00:00"/>
    <d v="1899-12-30T00:00:00"/>
    <d v="2014-09-12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1052673"/>
    <n v="7950000"/>
    <n v="6.8656389280172734"/>
  </r>
  <r>
    <n v="0"/>
    <n v="0.5"/>
    <n v="4"/>
    <n v="9"/>
    <s v="F-CAP"/>
    <x v="0"/>
    <s v="URK-QF-05"/>
    <s v="URK-QF-05URKERF5518GY"/>
    <n v="2"/>
    <s v="URK-QF-052"/>
    <s v="URK-QF-052-URKERF5518GREYOSM"/>
    <s v="URK의류외518"/>
    <s v="URK"/>
    <s v="14FW_U"/>
    <m/>
    <s v="URK"/>
    <s v="URBAN SWAGGER KIDS"/>
    <s v="F"/>
    <n v="5"/>
    <s v="ER"/>
    <s v="EARCAP"/>
    <s v="K"/>
    <n v="518"/>
    <n v="518"/>
    <s v="URKERF5518"/>
    <n v="0.5"/>
    <s v="14FW_URBAN SWAGGER_21_EAR FLAP_GY_KIDS"/>
    <s v="GY"/>
    <s v="GREY"/>
    <s v="URKERF5518GY"/>
    <x v="0"/>
    <n v="0.5"/>
    <s v="면 97% 폴리우레탄 3%"/>
    <n v="1"/>
    <s v="OSM"/>
    <n v="250"/>
    <x v="2"/>
    <n v="5"/>
    <x v="5"/>
    <s v="M"/>
    <s v="CN"/>
    <x v="0"/>
    <n v="53000"/>
    <x v="0"/>
    <n v="5353.5353535353534"/>
    <n v="8636.19"/>
    <n v="3282.6546464646472"/>
    <n v="2740"/>
    <n v="450"/>
    <n v="20"/>
    <n v="3210"/>
    <n v="4.3499999999999996"/>
    <n v="0"/>
    <d v="2014-04-04T00:00:00"/>
    <d v="1899-12-30T00:00:00"/>
    <d v="2014-08-28T00:00:00"/>
    <d v="1899-12-30T00:00:00"/>
    <d v="2014-09-12T00:00:00"/>
    <d v="1899-12-30T00:00:00"/>
    <d v="1899-12-30T00:00:00"/>
    <d v="1899-12-30T00:00:00"/>
    <d v="1899-12-30T00:00:00"/>
    <x v="0"/>
    <n v="0"/>
    <n v="250"/>
    <n v="0"/>
    <n v="0"/>
    <n v="0"/>
    <n v="0"/>
    <n v="0"/>
    <n v="250"/>
    <n v="2159047.5"/>
    <n v="13250000"/>
    <n v="5.579059536881215"/>
  </r>
  <r>
    <n v="0"/>
    <n v="0.5"/>
    <n v="4"/>
    <n v="9"/>
    <s v="F-CAP"/>
    <x v="0"/>
    <s v="URK-QF-05"/>
    <s v="URK-QF-05URKERF5518GY"/>
    <n v="2"/>
    <s v="URK-QF-052"/>
    <s v="URK-QF-052-URKERF5518GREYOML"/>
    <s v="URK의류외518"/>
    <s v="URK"/>
    <s v="14FW_U"/>
    <m/>
    <s v="URK"/>
    <s v="URBAN SWAGGER KIDS"/>
    <s v="F"/>
    <n v="5"/>
    <s v="ER"/>
    <s v="EARCAP"/>
    <s v="K"/>
    <n v="518"/>
    <n v="518"/>
    <s v="URKERF5518"/>
    <n v="0.5"/>
    <s v="14FW_URBAN SWAGGER_21_EAR FLAP_GY_KIDS"/>
    <s v="GY"/>
    <s v="GREY"/>
    <s v="URKERF5518GY"/>
    <x v="0"/>
    <n v="0.5"/>
    <s v="면 97% 폴리우레탄 3%"/>
    <n v="1"/>
    <s v="OML"/>
    <n v="150"/>
    <x v="2"/>
    <n v="5"/>
    <x v="5"/>
    <s v="M"/>
    <s v="CN"/>
    <x v="0"/>
    <n v="53000"/>
    <x v="0"/>
    <n v="5353.5353535353534"/>
    <n v="8636.19"/>
    <n v="3282.6546464646472"/>
    <n v="2740"/>
    <n v="450"/>
    <n v="20"/>
    <n v="3210"/>
    <n v="4.3499999999999996"/>
    <n v="0"/>
    <d v="2014-04-04T00:00:00"/>
    <d v="1899-12-30T00:00:00"/>
    <d v="2014-08-28T00:00:00"/>
    <d v="1899-12-30T00:00:00"/>
    <d v="2014-09-12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1295428.5"/>
    <n v="7950000"/>
    <n v="5.579059536881215"/>
  </r>
  <r>
    <n v="0"/>
    <n v="0"/>
    <s v=""/>
    <s v=""/>
    <s v=""/>
    <x v="1"/>
    <s v=""/>
    <s v=""/>
    <n v="0"/>
    <s v="0"/>
    <s v="0-"/>
    <n v="0"/>
    <s v="TTL"/>
    <s v=""/>
    <s v="URK-QF-05 TTL"/>
    <m/>
    <s v=""/>
    <s v=""/>
    <s v=""/>
    <m/>
    <s v=""/>
    <s v="K"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800"/>
    <n v="0"/>
    <n v="0"/>
    <n v="0"/>
    <n v="0"/>
    <n v="0"/>
    <n v="800"/>
    <n v="6261604"/>
    <n v="42400000"/>
    <n v="6.155843541919058"/>
  </r>
  <r>
    <n v="0"/>
    <n v="0.25"/>
    <n v="4"/>
    <n v="8"/>
    <s v="SPORTS"/>
    <x v="2"/>
    <s v="VBK-FOREMOST-06"/>
    <s v="VBK-FOREMOST-06VBKBAF5504BK"/>
    <n v="1"/>
    <s v="VBK-FOREMOST-061"/>
    <s v="VBK-FOREMOST-061-VBKBAF5504BLACKOSM"/>
    <s v="VBK의류외504"/>
    <s v="VBK"/>
    <s v="14FW V"/>
    <m/>
    <s v="VBK"/>
    <s v="VITAL BLUE KIDS"/>
    <s v="F"/>
    <n v="5"/>
    <s v="BA"/>
    <s v="BASIC CAP"/>
    <s v="K"/>
    <n v="504"/>
    <n v="504"/>
    <s v="VBKBAF5504"/>
    <n v="0.25"/>
    <s v="14FW VB 02_WIRE_BK_KIDS"/>
    <s v="BK"/>
    <s v="BLACK"/>
    <s v="VBKBAF5504BK"/>
    <x v="0"/>
    <n v="0.5"/>
    <n v="0"/>
    <n v="1"/>
    <s v="OSM"/>
    <n v="300"/>
    <x v="4"/>
    <n v="6"/>
    <x v="6"/>
    <s v="M"/>
    <s v="CN"/>
    <x v="0"/>
    <n v="45000"/>
    <x v="0"/>
    <n v="6818.1818181818171"/>
    <n v="6665.8500000000013"/>
    <n v="-152.33181818181583"/>
    <n v="97"/>
    <n v="0"/>
    <n v="20"/>
    <n v="117"/>
    <n v="5.25"/>
    <n v="0"/>
    <d v="2014-04-09T00:00:00"/>
    <d v="1899-12-30T00:00:00"/>
    <d v="2014-07-28T00:00:00"/>
    <d v="1899-12-30T00:00:00"/>
    <d v="2014-08-22T00:00:00"/>
    <d v="1899-12-30T00:00:00"/>
    <d v="1899-12-30T00:00:00"/>
    <d v="1899-12-30T00:00:00"/>
    <d v="1899-12-30T00:00:00"/>
    <x v="0"/>
    <n v="0"/>
    <n v="300"/>
    <n v="0"/>
    <n v="0"/>
    <n v="0"/>
    <n v="0"/>
    <n v="0"/>
    <n v="300"/>
    <n v="1999755.0000000005"/>
    <n v="13500000"/>
    <n v="6.1371154330041779"/>
  </r>
  <r>
    <n v="0"/>
    <n v="0.25"/>
    <n v="4"/>
    <n v="8"/>
    <s v="SPORTS"/>
    <x v="2"/>
    <s v="VBK-FOREMOST-06"/>
    <s v="VBK-FOREMOST-06VBKBAF5504BK"/>
    <n v="1"/>
    <s v="VBK-FOREMOST-061"/>
    <s v="VBK-FOREMOST-061-VBKBAF5504BLACKOML"/>
    <s v="VBK의류외504"/>
    <s v="VBK"/>
    <s v="14FW V"/>
    <m/>
    <s v="VBK"/>
    <s v="VITAL BLUE KIDS"/>
    <s v="F"/>
    <n v="5"/>
    <s v="BA"/>
    <s v="BASIC CAP"/>
    <s v="K"/>
    <n v="504"/>
    <n v="504"/>
    <s v="VBKBAF5504"/>
    <n v="0.25"/>
    <s v="14FW VB 02_WIRE_BK_KIDS"/>
    <s v="BK"/>
    <s v="BLACK"/>
    <s v="VBKBAF5504BK"/>
    <x v="0"/>
    <n v="0.5"/>
    <n v="0"/>
    <n v="1"/>
    <s v="OML"/>
    <n v="150"/>
    <x v="4"/>
    <n v="6"/>
    <x v="6"/>
    <s v="M"/>
    <s v="CN"/>
    <x v="0"/>
    <n v="45000"/>
    <x v="0"/>
    <n v="6818.1818181818171"/>
    <n v="6665.8500000000013"/>
    <n v="-152.33181818181583"/>
    <n v="97"/>
    <n v="0"/>
    <n v="20"/>
    <n v="117"/>
    <n v="5.25"/>
    <n v="0"/>
    <d v="2014-04-09T00:00:00"/>
    <d v="1899-12-30T00:00:00"/>
    <d v="2014-07-28T00:00:00"/>
    <d v="1899-12-30T00:00:00"/>
    <d v="2014-08-22T00:00:00"/>
    <d v="1899-12-30T00:00:00"/>
    <d v="1899-12-30T00:00:00"/>
    <d v="1899-12-30T00:00:00"/>
    <d v="1899-12-30T00:00:00"/>
    <x v="0"/>
    <n v="0"/>
    <n v="148"/>
    <n v="0"/>
    <n v="0"/>
    <n v="0"/>
    <n v="0"/>
    <n v="0"/>
    <n v="150"/>
    <n v="999877.50000000023"/>
    <n v="6750000"/>
    <n v="6.1371154330041779"/>
  </r>
  <r>
    <n v="0"/>
    <n v="0.25"/>
    <n v="4"/>
    <n v="8"/>
    <s v="SPORTS"/>
    <x v="2"/>
    <s v="VBK-FOREMOST-06"/>
    <s v="VBK-FOREMOST-06VBKBAF5504PK"/>
    <n v="2"/>
    <s v="VBK-FOREMOST-062"/>
    <s v="VBK-FOREMOST-062-VBKBAF5504PINKOSM"/>
    <s v="VBK의류외504"/>
    <s v="VBK"/>
    <s v="14FW V"/>
    <m/>
    <s v="VBK"/>
    <s v="VITAL BLUE KIDS"/>
    <s v="F"/>
    <n v="5"/>
    <s v="BA"/>
    <s v="BASIC CAP"/>
    <s v="K"/>
    <n v="504"/>
    <n v="504"/>
    <s v="VBKBAF5504"/>
    <n v="0.25"/>
    <s v="14FW VB 02_WIRE_PK_KIDS"/>
    <s v="PK"/>
    <s v="PINK"/>
    <s v="VBKBAF5504PK"/>
    <x v="0"/>
    <n v="0.5"/>
    <n v="0"/>
    <n v="1"/>
    <s v="OSM"/>
    <n v="300"/>
    <x v="4"/>
    <n v="6"/>
    <x v="6"/>
    <s v="M"/>
    <s v="CN"/>
    <x v="0"/>
    <n v="45000"/>
    <x v="0"/>
    <n v="6818.1818181818171"/>
    <n v="6665.8500000000013"/>
    <n v="-152.33181818181583"/>
    <n v="97"/>
    <n v="0"/>
    <n v="20"/>
    <n v="117"/>
    <n v="5.25"/>
    <n v="0"/>
    <d v="2014-04-09T00:00:00"/>
    <d v="1899-12-30T00:00:00"/>
    <d v="2014-07-28T00:00:00"/>
    <d v="1899-12-30T00:00:00"/>
    <d v="2014-08-22T00:00:00"/>
    <d v="1899-12-30T00:00:00"/>
    <d v="1899-12-30T00:00:00"/>
    <d v="1899-12-30T00:00:00"/>
    <d v="1899-12-30T00:00:00"/>
    <x v="0"/>
    <n v="0"/>
    <n v="299"/>
    <n v="0"/>
    <n v="0"/>
    <n v="0"/>
    <n v="0"/>
    <n v="0"/>
    <n v="300"/>
    <n v="1999755.0000000005"/>
    <n v="13500000"/>
    <n v="6.1371154330041779"/>
  </r>
  <r>
    <n v="0"/>
    <n v="0.25"/>
    <n v="4"/>
    <n v="8"/>
    <s v="SPORTS"/>
    <x v="2"/>
    <s v="VBK-FOREMOST-06"/>
    <s v="VBK-FOREMOST-06VBKBAF5504PK"/>
    <n v="2"/>
    <s v="VBK-FOREMOST-062"/>
    <s v="VBK-FOREMOST-062-VBKBAF5504PINKOML"/>
    <s v="VBK의류외504"/>
    <s v="VBK"/>
    <s v="14FW V"/>
    <m/>
    <s v="VBK"/>
    <s v="VITAL BLUE KIDS"/>
    <s v="F"/>
    <n v="5"/>
    <s v="BA"/>
    <s v="BASIC CAP"/>
    <s v="K"/>
    <n v="504"/>
    <n v="504"/>
    <s v="VBKBAF5504"/>
    <n v="0.25"/>
    <s v="14FW VB 02_WIRE_PK_KIDS"/>
    <s v="PK"/>
    <s v="PINK"/>
    <s v="VBKBAF5504PK"/>
    <x v="0"/>
    <n v="0.5"/>
    <n v="0"/>
    <n v="1"/>
    <s v="OML"/>
    <n v="150"/>
    <x v="4"/>
    <n v="6"/>
    <x v="6"/>
    <s v="M"/>
    <s v="CN"/>
    <x v="0"/>
    <n v="45000"/>
    <x v="0"/>
    <n v="6818.1818181818171"/>
    <n v="6665.8500000000013"/>
    <n v="-152.33181818181583"/>
    <n v="97"/>
    <n v="0"/>
    <n v="20"/>
    <n v="117"/>
    <n v="5.25"/>
    <n v="0"/>
    <d v="2014-04-09T00:00:00"/>
    <d v="1899-12-30T00:00:00"/>
    <d v="2014-07-28T00:00:00"/>
    <d v="1899-12-30T00:00:00"/>
    <d v="2014-08-22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999877.50000000023"/>
    <n v="6750000"/>
    <n v="6.1371154330041779"/>
  </r>
  <r>
    <n v="0"/>
    <n v="0"/>
    <s v=""/>
    <s v=""/>
    <s v=""/>
    <x v="1"/>
    <s v=""/>
    <s v=""/>
    <n v="0"/>
    <s v="0"/>
    <s v="0-"/>
    <n v="0"/>
    <s v="TTL"/>
    <s v=""/>
    <s v="VBK-FOREMOST-06 TTL"/>
    <m/>
    <s v=""/>
    <s v=""/>
    <s v=""/>
    <m/>
    <s v=""/>
    <s v="K"/>
    <m/>
    <s v=""/>
    <s v=""/>
    <n v="1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897"/>
    <n v="0"/>
    <n v="0"/>
    <n v="0"/>
    <n v="0"/>
    <n v="0"/>
    <n v="900"/>
    <n v="5999265.0000000019"/>
    <n v="40500000"/>
    <n v="6.1371154330041771"/>
  </r>
  <r>
    <n v="0"/>
    <n v="0.5"/>
    <n v="4"/>
    <n v="8"/>
    <s v="SPORTS"/>
    <x v="2"/>
    <s v="VBK-FOREMOST-07"/>
    <s v="VBK-FOREMOST-07VBKERF5506GY"/>
    <n v="1"/>
    <s v="VBK-FOREMOST-071"/>
    <s v="VBK-FOREMOST-071-VBKERF5506GREYOSM"/>
    <s v="VBK의류외506"/>
    <s v="VBK"/>
    <s v="14FW V"/>
    <m/>
    <s v="VBK"/>
    <s v="VITAL BLUE KIDS"/>
    <s v="F"/>
    <n v="5"/>
    <s v="ER"/>
    <s v="EARCAP"/>
    <s v="K"/>
    <n v="506"/>
    <n v="506"/>
    <s v="VBKERF5506"/>
    <n v="0.5"/>
    <s v="14FW VB 04_WIRE_GY_KIDS"/>
    <s v="GY"/>
    <s v="GREY"/>
    <s v="VBKERF5506GY"/>
    <x v="0"/>
    <n v="0.5"/>
    <n v="0"/>
    <n v="1"/>
    <s v="OSM"/>
    <n v="100"/>
    <x v="4"/>
    <n v="7"/>
    <x v="7"/>
    <s v="M"/>
    <s v="CN"/>
    <x v="0"/>
    <n v="55000"/>
    <x v="0"/>
    <n v="8333.3333333333321"/>
    <n v="7692.3700000000008"/>
    <n v="-640.96333333333132"/>
    <n v="1373"/>
    <n v="0"/>
    <n v="20"/>
    <n v="1393"/>
    <n v="5.05"/>
    <n v="0"/>
    <d v="2014-04-09T00:00:00"/>
    <d v="1899-12-30T00:00:00"/>
    <d v="2014-08-28T00:00:00"/>
    <d v="1899-12-30T00:00:00"/>
    <d v="2014-08-22T00:00:00"/>
    <d v="1899-12-30T00:00:00"/>
    <d v="1899-12-30T00:00:00"/>
    <d v="1899-12-30T00:00:00"/>
    <d v="1899-12-30T00:00:00"/>
    <x v="0"/>
    <n v="0"/>
    <n v="99"/>
    <n v="0"/>
    <n v="0"/>
    <n v="0"/>
    <n v="0"/>
    <n v="0"/>
    <n v="100"/>
    <n v="769237.00000000012"/>
    <n v="5500000"/>
    <n v="6.49994735042646"/>
  </r>
  <r>
    <n v="0"/>
    <n v="0.5"/>
    <n v="4"/>
    <n v="8"/>
    <s v="SPORTS"/>
    <x v="2"/>
    <s v="VBK-FOREMOST-07"/>
    <s v="VBK-FOREMOST-07VBKERF5506GY"/>
    <n v="1"/>
    <s v="VBK-FOREMOST-071"/>
    <s v="VBK-FOREMOST-071-VBKERF5506GREYOML"/>
    <s v="VBK의류외506"/>
    <s v="VBK"/>
    <s v="14FW V"/>
    <m/>
    <s v="VBK"/>
    <s v="VITAL BLUE KIDS"/>
    <s v="F"/>
    <n v="5"/>
    <s v="ER"/>
    <s v="EARCAP"/>
    <s v="K"/>
    <n v="506"/>
    <n v="506"/>
    <s v="VBKERF5506"/>
    <n v="0.5"/>
    <s v="14FW VB 04_WIRE_GY_KIDS"/>
    <s v="GY"/>
    <s v="GREY"/>
    <s v="VBKERF5506GY"/>
    <x v="0"/>
    <n v="0.5"/>
    <n v="0"/>
    <n v="1"/>
    <s v="OML"/>
    <n v="50"/>
    <x v="4"/>
    <n v="7"/>
    <x v="7"/>
    <s v="M"/>
    <s v="CN"/>
    <x v="0"/>
    <n v="55000"/>
    <x v="0"/>
    <n v="8333.3333333333321"/>
    <n v="7692.3700000000008"/>
    <n v="-640.96333333333132"/>
    <n v="1373"/>
    <n v="0"/>
    <n v="20"/>
    <n v="1393"/>
    <n v="5.05"/>
    <n v="0"/>
    <d v="2014-04-09T00:00:00"/>
    <d v="1899-12-30T00:00:00"/>
    <d v="2014-08-28T00:00:00"/>
    <d v="1899-12-30T00:00:00"/>
    <d v="2014-08-22T00:00:00"/>
    <d v="1899-12-30T00:00:00"/>
    <d v="1899-12-30T00:00:00"/>
    <d v="1899-12-30T00:00:00"/>
    <d v="1899-12-30T00:00:00"/>
    <x v="0"/>
    <n v="0"/>
    <n v="50"/>
    <n v="0"/>
    <n v="0"/>
    <n v="0"/>
    <n v="0"/>
    <n v="0"/>
    <n v="50"/>
    <n v="384618.50000000006"/>
    <n v="2750000"/>
    <n v="6.49994735042646"/>
  </r>
  <r>
    <n v="0"/>
    <n v="0.5"/>
    <n v="4"/>
    <n v="8"/>
    <s v="SPORTS"/>
    <x v="2"/>
    <s v="VBK-FOREMOST-07"/>
    <s v="VBK-FOREMOST-07VBKERF5507GY"/>
    <n v="2"/>
    <s v="VBK-FOREMOST-072"/>
    <s v="VBK-FOREMOST-072-VBKERF5507GREYOSM"/>
    <s v="VBK의류외507"/>
    <s v="VBK"/>
    <s v="14FW V"/>
    <m/>
    <s v="VBK"/>
    <s v="VITAL BLUE KIDS"/>
    <s v="F"/>
    <n v="5"/>
    <s v="ER"/>
    <s v="EARCAP"/>
    <s v="K"/>
    <n v="507"/>
    <n v="507"/>
    <s v="VBKERF5507"/>
    <n v="0.5"/>
    <s v="14FW VB 11_WIRE_GY_KIDS"/>
    <s v="GY"/>
    <s v="GREY"/>
    <s v="VBKERF5507GY"/>
    <x v="0"/>
    <n v="0.5"/>
    <n v="0"/>
    <n v="1"/>
    <s v="OSM"/>
    <n v="100"/>
    <x v="4"/>
    <n v="7"/>
    <x v="7"/>
    <s v="M"/>
    <s v="CN"/>
    <x v="0"/>
    <n v="55000"/>
    <x v="0"/>
    <n v="8333.3333333333321"/>
    <n v="7463.2900000000009"/>
    <n v="-870.04333333333125"/>
    <n v="146"/>
    <n v="0"/>
    <n v="20"/>
    <n v="166"/>
    <n v="5.85"/>
    <n v="0"/>
    <d v="2014-04-09T00:00:00"/>
    <d v="1899-12-30T00:00:00"/>
    <d v="2014-08-28T00:00:00"/>
    <d v="1899-12-30T00:00:00"/>
    <d v="2014-08-22T00:00:00"/>
    <d v="1899-12-30T00:00:00"/>
    <d v="1899-12-30T00:00:00"/>
    <d v="1899-12-30T00:00:00"/>
    <d v="1899-12-30T00:00:00"/>
    <x v="0"/>
    <n v="0"/>
    <n v="98"/>
    <n v="0"/>
    <n v="0"/>
    <n v="0"/>
    <n v="0"/>
    <n v="0"/>
    <n v="100"/>
    <n v="746329.00000000012"/>
    <n v="5500000"/>
    <n v="6.6994582818033326"/>
  </r>
  <r>
    <n v="0"/>
    <n v="0.5"/>
    <n v="4"/>
    <n v="8"/>
    <s v="SPORTS"/>
    <x v="2"/>
    <s v="VBK-FOREMOST-07"/>
    <s v="VBK-FOREMOST-07VBKERF5507GY"/>
    <n v="2"/>
    <s v="VBK-FOREMOST-072"/>
    <s v="VBK-FOREMOST-072-VBKERF5507GREYOML"/>
    <s v="VBK의류외507"/>
    <s v="VBK"/>
    <s v="14FW V"/>
    <m/>
    <s v="VBK"/>
    <s v="VITAL BLUE KIDS"/>
    <s v="F"/>
    <n v="5"/>
    <s v="ER"/>
    <s v="EARCAP"/>
    <s v="K"/>
    <n v="507"/>
    <n v="507"/>
    <s v="VBKERF5507"/>
    <n v="0.5"/>
    <s v="14FW VB 11_WIRE_GY_KIDS"/>
    <s v="GY"/>
    <s v="GREY"/>
    <s v="VBKERF5507GY"/>
    <x v="0"/>
    <n v="0.5"/>
    <n v="0"/>
    <n v="1"/>
    <s v="OML"/>
    <n v="50"/>
    <x v="4"/>
    <n v="7"/>
    <x v="7"/>
    <s v="M"/>
    <s v="CN"/>
    <x v="0"/>
    <n v="55000"/>
    <x v="0"/>
    <n v="8333.3333333333321"/>
    <n v="7463.2900000000009"/>
    <n v="-870.04333333333125"/>
    <n v="146"/>
    <n v="0"/>
    <n v="20"/>
    <n v="166"/>
    <n v="5.85"/>
    <n v="0"/>
    <d v="2014-04-09T00:00:00"/>
    <d v="1899-12-30T00:00:00"/>
    <d v="2014-08-28T00:00:00"/>
    <d v="1899-12-30T00:00:00"/>
    <d v="2014-08-22T00:00:00"/>
    <d v="1899-12-30T00:00:00"/>
    <d v="1899-12-30T00:00:00"/>
    <d v="1899-12-30T00:00:00"/>
    <d v="1899-12-30T00:00:00"/>
    <x v="0"/>
    <n v="0"/>
    <n v="51"/>
    <n v="0"/>
    <n v="0"/>
    <n v="0"/>
    <n v="0"/>
    <n v="0"/>
    <n v="50"/>
    <n v="373164.50000000006"/>
    <n v="2750000"/>
    <n v="6.6994582818033326"/>
  </r>
  <r>
    <n v="0"/>
    <n v="0.16666666666666666"/>
    <n v="4"/>
    <n v="9"/>
    <s v="SPORTS"/>
    <x v="2"/>
    <s v="VBK-FOREMOST-07"/>
    <s v="VBK-FOREMOST-07VBKERF5508PK"/>
    <n v="3"/>
    <s v="VBK-FOREMOST-073"/>
    <s v="VBK-FOREMOST-073-VBKERF5508PINKXSS"/>
    <s v="VBK의류외508"/>
    <s v="VBK"/>
    <s v="14FW V"/>
    <m/>
    <s v="VBK"/>
    <s v="VITAL BLUE KIDS"/>
    <s v="F"/>
    <n v="5"/>
    <s v="ER"/>
    <s v="EARCAP"/>
    <s v="K"/>
    <n v="508"/>
    <n v="508"/>
    <s v="VBKERF5508"/>
    <n v="0.16666666666666666"/>
    <s v="14FW VB 07_WIRE_PK_KIDS"/>
    <s v="PK"/>
    <s v="PINK"/>
    <s v="VBKERF5508PK"/>
    <x v="0"/>
    <n v="0.33333333333333331"/>
    <n v="0"/>
    <n v="1"/>
    <s v="XSS"/>
    <n v="250"/>
    <x v="4"/>
    <n v="7"/>
    <x v="7"/>
    <s v="M"/>
    <s v="CN"/>
    <x v="0"/>
    <n v="53000"/>
    <x v="0"/>
    <n v="8030.3030303030291"/>
    <n v="8500.18"/>
    <n v="469.87696969697117"/>
    <n v="1370"/>
    <n v="0"/>
    <n v="20"/>
    <n v="1390"/>
    <n v="5.7"/>
    <n v="0"/>
    <d v="2014-04-09T00:00:00"/>
    <d v="1899-12-30T00:00:00"/>
    <d v="2014-08-28T00:00:00"/>
    <d v="1899-12-30T00:00:00"/>
    <d v="2014-09-05T00:00:00"/>
    <d v="2014-10-29T00:00:00"/>
    <d v="1899-12-30T00:00:00"/>
    <d v="1899-12-30T00:00:00"/>
    <d v="1899-12-30T00:00:00"/>
    <x v="0"/>
    <n v="0"/>
    <n v="193"/>
    <n v="26"/>
    <n v="0"/>
    <n v="0"/>
    <n v="0"/>
    <m/>
    <n v="250"/>
    <n v="2125045"/>
    <n v="13250000"/>
    <n v="5.6683291626551648"/>
  </r>
  <r>
    <n v="0"/>
    <n v="0.16666666666666666"/>
    <n v="4"/>
    <n v="9"/>
    <s v="SPORTS"/>
    <x v="2"/>
    <s v="VBK-FOREMOST-07"/>
    <s v="VBK-FOREMOST-07VBKERF5508PK"/>
    <n v="3"/>
    <s v="VBK-FOREMOST-073"/>
    <s v="VBK-FOREMOST-073-VBKERF5508PINKOSM"/>
    <s v="VBK의류외508"/>
    <s v="VBK"/>
    <s v="14FW V"/>
    <m/>
    <s v="VBK"/>
    <s v="VITAL BLUE KIDS"/>
    <s v="F"/>
    <n v="5"/>
    <s v="ER"/>
    <s v="EARCAP"/>
    <s v="K"/>
    <n v="508"/>
    <n v="508"/>
    <s v="VBKERF5508"/>
    <n v="0.16666666666666666"/>
    <s v="14FW VB 07_WIRE_PK_KIDS"/>
    <s v="PK"/>
    <s v="PINK"/>
    <s v="VBKERF5508PK"/>
    <x v="0"/>
    <n v="0.33333333333333331"/>
    <n v="0"/>
    <n v="1"/>
    <s v="OSM"/>
    <n v="200"/>
    <x v="4"/>
    <n v="7"/>
    <x v="7"/>
    <s v="M"/>
    <s v="CN"/>
    <x v="0"/>
    <n v="53000"/>
    <x v="0"/>
    <n v="8030.3030303030291"/>
    <n v="8500.18"/>
    <n v="469.87696969697117"/>
    <n v="1370"/>
    <n v="0"/>
    <n v="20"/>
    <n v="1390"/>
    <n v="5.7"/>
    <n v="0"/>
    <d v="2014-04-09T00:00:00"/>
    <d v="1899-12-30T00:00:00"/>
    <d v="2014-08-28T00:00:00"/>
    <d v="1899-12-30T00:00:00"/>
    <d v="2014-09-05T00:00:00"/>
    <d v="2014-10-29T00:00:00"/>
    <d v="1899-12-30T00:00:00"/>
    <d v="1899-12-30T00:00:00"/>
    <d v="1899-12-30T00:00:00"/>
    <x v="0"/>
    <n v="0"/>
    <n v="164"/>
    <n v="11"/>
    <n v="0"/>
    <n v="0"/>
    <n v="0"/>
    <m/>
    <n v="200"/>
    <n v="1700036"/>
    <n v="10600000"/>
    <n v="5.6683291626551648"/>
  </r>
  <r>
    <n v="0"/>
    <n v="0.16666666666666666"/>
    <n v="4"/>
    <n v="9"/>
    <s v="SPORTS"/>
    <x v="2"/>
    <s v="VBK-FOREMOST-07"/>
    <s v="VBK-FOREMOST-07VBKERF5508PK"/>
    <n v="3"/>
    <s v="VBK-FOREMOST-073"/>
    <s v="VBK-FOREMOST-073-VBKERF5508PINKOML"/>
    <s v="VBK의류외508"/>
    <s v="VBK"/>
    <s v="14FW V"/>
    <m/>
    <s v="VBK"/>
    <s v="VITAL BLUE KIDS"/>
    <s v="F"/>
    <n v="5"/>
    <s v="ER"/>
    <s v="EARCAP"/>
    <s v="K"/>
    <n v="508"/>
    <n v="508"/>
    <s v="VBKERF5508"/>
    <n v="0.16666666666666666"/>
    <s v="14FW VB 07_WIRE_PK_KIDS"/>
    <s v="PK"/>
    <s v="PINK"/>
    <s v="VBKERF5508PK"/>
    <x v="0"/>
    <n v="0.33333333333333331"/>
    <n v="0"/>
    <n v="1"/>
    <s v="OML"/>
    <n v="100"/>
    <x v="4"/>
    <n v="7"/>
    <x v="7"/>
    <s v="M"/>
    <s v="CN"/>
    <x v="0"/>
    <n v="53000"/>
    <x v="0"/>
    <n v="8030.3030303030291"/>
    <n v="8500.18"/>
    <n v="469.87696969697117"/>
    <n v="1370"/>
    <n v="0"/>
    <n v="20"/>
    <n v="1390"/>
    <n v="5.7"/>
    <n v="0"/>
    <d v="2014-04-09T00:00:00"/>
    <d v="1899-12-30T00:00:00"/>
    <d v="2014-08-28T00:00:00"/>
    <d v="1899-12-30T00:00:00"/>
    <d v="2014-09-05T00:00:00"/>
    <d v="2014-10-29T00:00:00"/>
    <d v="1899-12-30T00:00:00"/>
    <d v="1899-12-30T00:00:00"/>
    <d v="1899-12-30T00:00:00"/>
    <x v="0"/>
    <n v="0"/>
    <n v="99"/>
    <n v="0"/>
    <n v="0"/>
    <n v="0"/>
    <n v="0"/>
    <n v="0"/>
    <n v="100"/>
    <n v="850018"/>
    <n v="5300000"/>
    <n v="5.6683291626551648"/>
  </r>
  <r>
    <n v="0"/>
    <n v="0.16666666666666666"/>
    <n v="4"/>
    <n v="9"/>
    <s v="SPORTS"/>
    <x v="2"/>
    <s v="VBK-FOREMOST-07"/>
    <s v="VBK-FOREMOST-07VBKERF5508YE"/>
    <n v="4"/>
    <s v="VBK-FOREMOST-074"/>
    <s v="VBK-FOREMOST-074-VBKERF5508YELLOWXSS"/>
    <s v="VBK의류외508"/>
    <s v="VBK"/>
    <s v="14FW V"/>
    <m/>
    <s v="VBK"/>
    <s v="VITAL BLUE KIDS"/>
    <s v="F"/>
    <n v="5"/>
    <s v="ER"/>
    <s v="EARCAP"/>
    <s v="K"/>
    <n v="508"/>
    <n v="508"/>
    <s v="VBKERF5508"/>
    <n v="0.16666666666666666"/>
    <s v="14FW VB 07_WIRE_YE_KIDS"/>
    <s v="YE"/>
    <s v="YELLOW"/>
    <s v="VBKERF5508YE"/>
    <x v="0"/>
    <n v="0.33333333333333331"/>
    <n v="0"/>
    <n v="1"/>
    <s v="XSS"/>
    <n v="250"/>
    <x v="4"/>
    <n v="7"/>
    <x v="7"/>
    <s v="M"/>
    <s v="CN"/>
    <x v="0"/>
    <n v="53000"/>
    <x v="0"/>
    <n v="8030.3030303030291"/>
    <n v="8500.18"/>
    <n v="469.87696969697117"/>
    <n v="1370"/>
    <n v="0"/>
    <n v="20"/>
    <n v="1390"/>
    <n v="5.7"/>
    <n v="0"/>
    <d v="2014-04-09T00:00:00"/>
    <d v="1899-12-30T00:00:00"/>
    <d v="2014-08-28T00:00:00"/>
    <d v="1899-12-30T00:00:00"/>
    <d v="2014-09-05T00:00:00"/>
    <d v="2014-10-29T00:00:00"/>
    <d v="1899-12-30T00:00:00"/>
    <d v="1899-12-30T00:00:00"/>
    <d v="1899-12-30T00:00:00"/>
    <x v="0"/>
    <n v="0"/>
    <n v="201"/>
    <n v="31"/>
    <n v="0"/>
    <n v="0"/>
    <n v="0"/>
    <n v="0"/>
    <n v="250"/>
    <n v="2125045"/>
    <n v="13250000"/>
    <n v="5.6683291626551648"/>
  </r>
  <r>
    <n v="0"/>
    <n v="0.16666666666666666"/>
    <n v="4"/>
    <n v="9"/>
    <s v="SPORTS"/>
    <x v="2"/>
    <s v="VBK-FOREMOST-07"/>
    <s v="VBK-FOREMOST-07VBKERF5508YE"/>
    <n v="4"/>
    <s v="VBK-FOREMOST-074"/>
    <s v="VBK-FOREMOST-074-VBKERF5508YELLOWOSM"/>
    <s v="VBK의류외508"/>
    <s v="VBK"/>
    <s v="14FW V"/>
    <m/>
    <s v="VBK"/>
    <s v="VITAL BLUE KIDS"/>
    <s v="F"/>
    <n v="5"/>
    <s v="ER"/>
    <s v="EARCAP"/>
    <s v="K"/>
    <n v="508"/>
    <n v="508"/>
    <s v="VBKERF5508"/>
    <n v="0.16666666666666666"/>
    <s v="14FW VB 07_WIRE_YE_KIDS"/>
    <s v="YE"/>
    <s v="YELLOW"/>
    <s v="VBKERF5508YE"/>
    <x v="0"/>
    <n v="0.33333333333333331"/>
    <n v="0"/>
    <n v="1"/>
    <s v="OSM"/>
    <n v="200"/>
    <x v="4"/>
    <n v="7"/>
    <x v="7"/>
    <s v="M"/>
    <s v="CN"/>
    <x v="0"/>
    <n v="53000"/>
    <x v="0"/>
    <n v="8030.3030303030291"/>
    <n v="8500.18"/>
    <n v="469.87696969697117"/>
    <n v="1370"/>
    <n v="0"/>
    <n v="20"/>
    <n v="1390"/>
    <n v="5.7"/>
    <n v="0"/>
    <d v="2014-04-09T00:00:00"/>
    <d v="1899-12-30T00:00:00"/>
    <d v="2014-08-28T00:00:00"/>
    <d v="1899-12-30T00:00:00"/>
    <d v="2014-09-05T00:00:00"/>
    <d v="2014-10-29T00:00:00"/>
    <d v="1899-12-30T00:00:00"/>
    <d v="1899-12-30T00:00:00"/>
    <d v="1899-12-30T00:00:00"/>
    <x v="0"/>
    <n v="0"/>
    <n v="173"/>
    <n v="11"/>
    <n v="0"/>
    <n v="0"/>
    <n v="0"/>
    <n v="0"/>
    <n v="200"/>
    <n v="1700036"/>
    <n v="10600000"/>
    <n v="5.6683291626551648"/>
  </r>
  <r>
    <n v="0"/>
    <n v="0.16666666666666666"/>
    <n v="4"/>
    <n v="9"/>
    <s v="SPORTS"/>
    <x v="2"/>
    <s v="VBK-FOREMOST-07"/>
    <s v="VBK-FOREMOST-07VBKERF5508YE"/>
    <n v="4"/>
    <s v="VBK-FOREMOST-074"/>
    <s v="VBK-FOREMOST-074-VBKERF5508YELLOWOML"/>
    <s v="VBK의류외508"/>
    <s v="VBK"/>
    <s v="14FW V"/>
    <m/>
    <s v="VBK"/>
    <s v="VITAL BLUE KIDS"/>
    <s v="F"/>
    <n v="5"/>
    <s v="ER"/>
    <s v="EARCAP"/>
    <s v="K"/>
    <n v="508"/>
    <n v="508"/>
    <s v="VBKERF5508"/>
    <n v="0.16666666666666666"/>
    <s v="14FW VB 07_WIRE_YE_KIDS"/>
    <s v="YE"/>
    <s v="YELLOW"/>
    <s v="VBKERF5508YE"/>
    <x v="0"/>
    <n v="0.33333333333333331"/>
    <n v="0"/>
    <n v="1"/>
    <s v="OML"/>
    <n v="100"/>
    <x v="4"/>
    <n v="7"/>
    <x v="7"/>
    <s v="M"/>
    <s v="CN"/>
    <x v="0"/>
    <n v="53000"/>
    <x v="0"/>
    <n v="8030.3030303030291"/>
    <n v="8500.18"/>
    <n v="469.87696969697117"/>
    <n v="1370"/>
    <n v="0"/>
    <n v="20"/>
    <n v="1390"/>
    <n v="5.7"/>
    <n v="0"/>
    <d v="2014-04-09T00:00:00"/>
    <d v="1899-12-30T00:00:00"/>
    <d v="2014-08-28T00:00:00"/>
    <d v="1899-12-30T00:00:00"/>
    <d v="2014-09-05T00:00:00"/>
    <d v="2014-10-29T00:00:00"/>
    <d v="1899-12-30T00:00:00"/>
    <d v="1899-12-30T00:00:00"/>
    <d v="1899-12-30T00:00:00"/>
    <x v="0"/>
    <n v="0"/>
    <n v="80"/>
    <n v="6"/>
    <n v="0"/>
    <n v="0"/>
    <n v="0"/>
    <m/>
    <n v="100"/>
    <n v="850018"/>
    <n v="5300000"/>
    <n v="5.6683291626551648"/>
  </r>
  <r>
    <n v="0"/>
    <n v="0"/>
    <s v=""/>
    <s v=""/>
    <s v=""/>
    <x v="1"/>
    <s v=""/>
    <s v=""/>
    <n v="0"/>
    <s v="0"/>
    <s v="0-"/>
    <n v="0"/>
    <s v="TTL"/>
    <s v=""/>
    <s v="VBK-FOREMOST-07 TTL"/>
    <m/>
    <s v=""/>
    <s v=""/>
    <s v=""/>
    <m/>
    <s v=""/>
    <s v="K"/>
    <m/>
    <s v=""/>
    <s v=""/>
    <n v="2.9999999999999991"/>
    <m/>
    <s v=""/>
    <m/>
    <s v=""/>
    <x v="0"/>
    <n v="4.0000000000000009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208"/>
    <n v="85"/>
    <n v="0"/>
    <n v="0"/>
    <n v="0"/>
    <n v="0"/>
    <n v="1400"/>
    <n v="11623547"/>
    <n v="74800000"/>
    <n v="5.8501935768832007"/>
  </r>
  <r>
    <n v="0"/>
    <n v="0.33333333333333331"/>
    <n v="4"/>
    <n v="8"/>
    <s v="F-HAT"/>
    <x v="3"/>
    <s v="HCK-동일모자-09"/>
    <s v="HCK-동일모자-09HCKMIF5501NY"/>
    <n v="1"/>
    <s v="HCK-동일모자-091"/>
    <s v="HCK-동일모자-091-HCKMIF5501NAVYXSS"/>
    <s v="HCK의류외501"/>
    <s v="HCK"/>
    <s v="14FW H"/>
    <m/>
    <s v="HCK"/>
    <s v="H.COUSTIC KIDS"/>
    <s v="F"/>
    <n v="5"/>
    <s v="MI"/>
    <s v="MILITARY CAP"/>
    <s v="K"/>
    <n v="501"/>
    <n v="501"/>
    <s v="HCKMIF5501"/>
    <n v="0.33333333333333331"/>
    <s v="14FW H.coustic CAP-04_NY_KIDS"/>
    <s v="NY"/>
    <s v="NAVY"/>
    <s v="HCKMIF5501NY"/>
    <x v="0"/>
    <n v="0.33333333333333331"/>
    <n v="0"/>
    <n v="1"/>
    <s v="XSS"/>
    <n v="200"/>
    <x v="5"/>
    <n v="9"/>
    <x v="8"/>
    <s v="M"/>
    <s v="CN"/>
    <x v="0"/>
    <n v="49000"/>
    <x v="0"/>
    <n v="7424.242424242424"/>
    <n v="7514.52"/>
    <n v="90.277575757576415"/>
    <n v="1507"/>
    <n v="20"/>
    <s v=""/>
    <n v="1527"/>
    <n v="4.8"/>
    <n v="0"/>
    <d v="2014-04-14T00:00:00"/>
    <d v="1899-12-30T00:00:00"/>
    <d v="2014-07-28T00:00:00"/>
    <d v="1899-12-30T00:00:00"/>
    <d v="2014-08-19T00:00:00"/>
    <m/>
    <d v="1899-12-30T00:00:00"/>
    <d v="1899-12-30T00:00:00"/>
    <d v="1899-12-30T00:00:00"/>
    <x v="0"/>
    <n v="0"/>
    <n v="199"/>
    <n v="0"/>
    <n v="0"/>
    <n v="0"/>
    <n v="0"/>
    <n v="0"/>
    <n v="200"/>
    <n v="1502904"/>
    <n v="9800000"/>
    <n v="5.927917491131109"/>
  </r>
  <r>
    <n v="0"/>
    <n v="0.33333333333333331"/>
    <n v="4"/>
    <n v="8"/>
    <s v="F-HAT"/>
    <x v="3"/>
    <s v="HCK-동일모자-09"/>
    <s v="HCK-동일모자-09HCKMIF5501NY"/>
    <n v="1"/>
    <s v="HCK-동일모자-091"/>
    <s v="HCK-동일모자-091-HCKMIF5501NAVYOSM"/>
    <s v="HCK의류외501"/>
    <s v="HCK"/>
    <s v="14FW H"/>
    <m/>
    <s v="HCK"/>
    <s v="H.COUSTIC KIDS"/>
    <s v="F"/>
    <n v="5"/>
    <s v="MI"/>
    <s v="MILITARY CAP"/>
    <s v="K"/>
    <n v="501"/>
    <n v="501"/>
    <s v="HCKMIF5501"/>
    <n v="0.33333333333333331"/>
    <s v="14FW H.coustic CAP-04_NY_KIDS"/>
    <s v="NY"/>
    <s v="NAVY"/>
    <s v="HCKMIF5501NY"/>
    <x v="0"/>
    <n v="0.33333333333333331"/>
    <n v="0"/>
    <n v="1"/>
    <s v="OSM"/>
    <n v="150"/>
    <x v="5"/>
    <n v="9"/>
    <x v="8"/>
    <s v="M"/>
    <s v="CN"/>
    <x v="0"/>
    <n v="49000"/>
    <x v="0"/>
    <n v="7424.242424242424"/>
    <n v="7514.52"/>
    <n v="90.277575757576415"/>
    <n v="1507"/>
    <n v="20"/>
    <s v=""/>
    <n v="1527"/>
    <n v="4.8"/>
    <n v="0"/>
    <d v="2014-04-14T00:00:00"/>
    <d v="1899-12-30T00:00:00"/>
    <d v="2014-07-28T00:00:00"/>
    <d v="1899-12-30T00:00:00"/>
    <d v="2014-08-19T00:00:00"/>
    <m/>
    <d v="1899-12-30T00:00:00"/>
    <d v="1899-12-30T00:00:00"/>
    <d v="1899-12-30T00:00:00"/>
    <x v="0"/>
    <n v="0"/>
    <n v="150"/>
    <n v="0"/>
    <n v="0"/>
    <n v="0"/>
    <n v="0"/>
    <n v="0"/>
    <n v="150"/>
    <n v="1127178"/>
    <n v="7350000"/>
    <n v="5.927917491131109"/>
  </r>
  <r>
    <n v="0"/>
    <n v="0.33333333333333331"/>
    <n v="4"/>
    <n v="8"/>
    <s v="F-HAT"/>
    <x v="3"/>
    <s v="HCK-동일모자-09"/>
    <s v="HCK-동일모자-09HCKMIF5501NY"/>
    <n v="1"/>
    <s v="HCK-동일모자-091"/>
    <s v="HCK-동일모자-091-HCKMIF5501NAVYOML"/>
    <s v="HCK의류외501"/>
    <s v="HCK"/>
    <s v="14FW H"/>
    <m/>
    <s v="HCK"/>
    <s v="H.COUSTIC KIDS"/>
    <s v="F"/>
    <n v="5"/>
    <s v="MI"/>
    <s v="MILITARY CAP"/>
    <s v="K"/>
    <n v="501"/>
    <n v="501"/>
    <s v="HCKMIF5501"/>
    <n v="0.33333333333333331"/>
    <s v="14FW H.coustic CAP-04_NY_KIDS"/>
    <s v="NY"/>
    <s v="NAVY"/>
    <s v="HCKMIF5501NY"/>
    <x v="0"/>
    <n v="0.33333333333333331"/>
    <n v="0"/>
    <n v="1"/>
    <s v="OML"/>
    <n v="100"/>
    <x v="5"/>
    <n v="9"/>
    <x v="8"/>
    <s v="M"/>
    <s v="CN"/>
    <x v="0"/>
    <n v="49000"/>
    <x v="0"/>
    <n v="7424.242424242424"/>
    <n v="7514.52"/>
    <n v="90.277575757576415"/>
    <n v="1507"/>
    <n v="20"/>
    <s v=""/>
    <n v="1527"/>
    <n v="4.8"/>
    <n v="0"/>
    <d v="2014-04-14T00:00:00"/>
    <d v="1899-12-30T00:00:00"/>
    <d v="2014-07-28T00:00:00"/>
    <d v="1899-12-30T00:00:00"/>
    <d v="2014-08-19T00:00:00"/>
    <m/>
    <d v="1899-12-30T00:00:00"/>
    <d v="1899-12-30T00:00:00"/>
    <d v="1899-12-30T00:00:00"/>
    <x v="0"/>
    <n v="0"/>
    <n v="102"/>
    <n v="0"/>
    <n v="0"/>
    <n v="0"/>
    <n v="0"/>
    <n v="0"/>
    <n v="100"/>
    <n v="751452"/>
    <n v="4900000"/>
    <n v="5.927917491131109"/>
  </r>
  <r>
    <n v="0"/>
    <n v="0"/>
    <s v=""/>
    <s v=""/>
    <s v=""/>
    <x v="1"/>
    <s v=""/>
    <s v=""/>
    <n v="0"/>
    <s v="0"/>
    <s v="0-"/>
    <n v="0"/>
    <s v="TTL"/>
    <s v=""/>
    <s v="HCK-동일모자-09 TTL"/>
    <m/>
    <s v=""/>
    <s v=""/>
    <s v=""/>
    <m/>
    <s v=""/>
    <s v="K"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451"/>
    <n v="0"/>
    <n v="0"/>
    <n v="0"/>
    <n v="0"/>
    <n v="0"/>
    <n v="450"/>
    <n v="3381534"/>
    <n v="22050000"/>
    <n v="5.927917491131109"/>
  </r>
  <r>
    <n v="0"/>
    <n v="0"/>
    <n v="4"/>
    <n v="9"/>
    <s v="F-CAP"/>
    <x v="0"/>
    <s v="URK-Y&amp;Y-04"/>
    <s v="URK-Y&amp;Y-04URKBEF5519BK"/>
    <n v="1"/>
    <s v="URK-Y&amp;Y-041"/>
    <s v="URK-Y&amp;Y-041-URKBEF5519BLACKFRE"/>
    <s v="URK의류외519"/>
    <s v="URK"/>
    <s v="14FW_U"/>
    <m/>
    <s v="URK"/>
    <s v="URBAN SWAGGER KIDS"/>
    <s v="F"/>
    <n v="5"/>
    <s v="BE"/>
    <s v="BEANIE"/>
    <s v="K"/>
    <n v="519"/>
    <n v="519"/>
    <s v="URKBEF5519"/>
    <n v="0.5"/>
    <s v="14FW_URBAN SWAGGER_03_KNIT_BK_KIDS"/>
    <s v="BK"/>
    <s v="BLACK"/>
    <s v="URKBEF5519BK"/>
    <x v="0"/>
    <n v="1"/>
    <n v="0"/>
    <n v="1"/>
    <s v="FRE"/>
    <n v="250"/>
    <x v="6"/>
    <n v="4"/>
    <x v="3"/>
    <s v="M"/>
    <s v="CN"/>
    <x v="0"/>
    <n v="35000"/>
    <x v="2"/>
    <n v="4545.454545454545"/>
    <n v="5339.57"/>
    <n v="794.11545454545467"/>
    <n v="0"/>
    <n v="1515"/>
    <n v="20"/>
    <n v="1535"/>
    <n v="3.05"/>
    <n v="0"/>
    <d v="2014-04-22T00:00:00"/>
    <d v="1899-12-30T00:00:00"/>
    <d v="2014-08-18T00:00:00"/>
    <d v="1899-12-30T00:00:00"/>
    <d v="2014-09-15T00:00:00"/>
    <d v="1899-12-30T00:00:00"/>
    <d v="1899-12-30T00:00:00"/>
    <d v="1899-12-30T00:00:00"/>
    <d v="1899-12-30T00:00:00"/>
    <x v="0"/>
    <n v="0"/>
    <n v="251"/>
    <n v="0"/>
    <n v="0"/>
    <n v="0"/>
    <n v="0"/>
    <n v="0"/>
    <n v="250"/>
    <n v="1334892.5"/>
    <n v="8750000"/>
    <n v="5.9589408544474205"/>
  </r>
  <r>
    <n v="0"/>
    <n v="0"/>
    <n v="4"/>
    <n v="9"/>
    <s v="F-CAP"/>
    <x v="0"/>
    <s v="URK-Y&amp;Y-04"/>
    <s v="URK-Y&amp;Y-04URKBEF5519RE"/>
    <n v="2"/>
    <s v="URK-Y&amp;Y-042"/>
    <s v="URK-Y&amp;Y-042-URKBEF5519REDFRE"/>
    <s v="URK의류외519"/>
    <s v="URK"/>
    <s v="14FW_U"/>
    <m/>
    <s v="URK"/>
    <s v="URBAN SWAGGER KIDS"/>
    <s v="F"/>
    <n v="5"/>
    <s v="BE"/>
    <s v="BEANIE"/>
    <s v="K"/>
    <n v="519"/>
    <n v="519"/>
    <s v="URKBEF5519"/>
    <n v="0.5"/>
    <s v="14FW_URBAN SWAGGER_03_KNIT_RE_KIDS"/>
    <s v="RE"/>
    <s v="RED"/>
    <s v="URKBEF5519RE"/>
    <x v="0"/>
    <n v="1"/>
    <n v="0"/>
    <n v="1"/>
    <s v="FRE"/>
    <n v="250"/>
    <x v="6"/>
    <n v="4"/>
    <x v="3"/>
    <s v="M"/>
    <s v="CN"/>
    <x v="0"/>
    <n v="35000"/>
    <x v="2"/>
    <n v="4545.454545454545"/>
    <n v="5339.57"/>
    <n v="794.11545454545467"/>
    <n v="0"/>
    <n v="1515"/>
    <n v="20"/>
    <n v="1535"/>
    <n v="3.05"/>
    <n v="0"/>
    <d v="2014-04-22T00:00:00"/>
    <d v="1899-12-30T00:00:00"/>
    <d v="2014-08-18T00:00:00"/>
    <d v="1899-12-30T00:00:00"/>
    <d v="2014-09-15T00:00:00"/>
    <d v="1899-12-30T00:00:00"/>
    <d v="1899-12-30T00:00:00"/>
    <d v="1899-12-30T00:00:00"/>
    <d v="1899-12-30T00:00:00"/>
    <x v="0"/>
    <n v="0"/>
    <n v="250"/>
    <n v="0"/>
    <n v="0"/>
    <n v="0"/>
    <n v="0"/>
    <n v="0"/>
    <n v="250"/>
    <n v="1334892.5"/>
    <n v="8750000"/>
    <n v="5.9589408544474205"/>
  </r>
  <r>
    <n v="0"/>
    <n v="0"/>
    <s v=""/>
    <s v=""/>
    <s v=""/>
    <x v="1"/>
    <s v=""/>
    <s v=""/>
    <n v="0"/>
    <s v="0"/>
    <s v="0-"/>
    <n v="0"/>
    <s v="TTL"/>
    <s v=""/>
    <s v="URK-Y&amp;Y-04 TTL"/>
    <m/>
    <s v=""/>
    <s v=""/>
    <s v=""/>
    <m/>
    <s v=""/>
    <s v="K"/>
    <m/>
    <s v=""/>
    <s v=""/>
    <n v="1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01"/>
    <n v="0"/>
    <n v="0"/>
    <n v="0"/>
    <n v="0"/>
    <n v="0"/>
    <n v="500"/>
    <n v="2669785"/>
    <n v="17500000"/>
    <n v="5.9589408544474205"/>
  </r>
  <r>
    <n v="0"/>
    <n v="0.5"/>
    <n v="4"/>
    <n v="7"/>
    <s v="F-HAT"/>
    <x v="3"/>
    <s v="HCK-동일모자-15"/>
    <s v="HCK-동일모자-15HCKMIF5504NY"/>
    <n v="1"/>
    <s v="HCK-동일모자-151"/>
    <s v="HCK-동일모자-151-HCKMIF5504NAVYOSM"/>
    <s v="HCK의류외504"/>
    <s v="HCK"/>
    <s v="14FW H"/>
    <m/>
    <s v="HCK"/>
    <s v="H.COUSTIC KIDS"/>
    <s v="F"/>
    <n v="5"/>
    <s v="MI"/>
    <s v="MILITARY CAP"/>
    <s v="K"/>
    <n v="504"/>
    <n v="504"/>
    <s v="HCKMIF5504"/>
    <n v="0.5"/>
    <s v="14FW H.coustic CAP-09_NV_KIDS"/>
    <s v="NY"/>
    <s v="NAVY"/>
    <s v="HCKMIF5504NY"/>
    <x v="0"/>
    <n v="0.5"/>
    <n v="0"/>
    <n v="1"/>
    <s v="OSM"/>
    <n v="150"/>
    <x v="5"/>
    <n v="15"/>
    <x v="9"/>
    <s v="M"/>
    <s v="CN"/>
    <x v="0"/>
    <n v="53000"/>
    <x v="0"/>
    <n v="8030.3030303030291"/>
    <n v="10115.36"/>
    <n v="2085.0569696969715"/>
    <n v="2112"/>
    <n v="20"/>
    <s v=""/>
    <n v="2132"/>
    <n v="6.4"/>
    <n v="0"/>
    <d v="2014-04-23T00:00:00"/>
    <d v="1899-12-30T00:00:00"/>
    <d v="2014-07-04T00:00:00"/>
    <d v="1899-12-30T00:00:00"/>
    <d v="2014-07-31T00:00:00"/>
    <d v="1899-12-30T00:00:00"/>
    <d v="1899-12-30T00:00:00"/>
    <d v="1899-12-30T00:00:00"/>
    <d v="1899-12-30T00:00:00"/>
    <x v="0"/>
    <n v="0"/>
    <n v="151"/>
    <n v="0"/>
    <n v="0"/>
    <n v="0"/>
    <n v="0"/>
    <n v="0"/>
    <n v="150"/>
    <n v="1517304"/>
    <n v="7950000"/>
    <n v="4.7632331604429483"/>
  </r>
  <r>
    <n v="0"/>
    <n v="0.5"/>
    <n v="4"/>
    <n v="7"/>
    <s v="F-HAT"/>
    <x v="3"/>
    <s v="HCK-동일모자-15"/>
    <s v="HCK-동일모자-15HCKMIF5504NY"/>
    <n v="1"/>
    <s v="HCK-동일모자-151"/>
    <s v="HCK-동일모자-151-HCKMIF5504NAVYOML"/>
    <s v="HCK의류외504"/>
    <s v="HCK"/>
    <s v="14FW H"/>
    <m/>
    <s v="HCK"/>
    <s v="H.COUSTIC KIDS"/>
    <s v="F"/>
    <n v="5"/>
    <s v="MI"/>
    <s v="MILITARY CAP"/>
    <s v="K"/>
    <n v="504"/>
    <n v="504"/>
    <s v="HCKMIF5504"/>
    <n v="0.5"/>
    <s v="14FW H.coustic CAP-09_NV_KIDS"/>
    <s v="NY"/>
    <s v="NAVY"/>
    <s v="HCKMIF5504NY"/>
    <x v="0"/>
    <n v="0.5"/>
    <n v="0"/>
    <n v="1"/>
    <s v="OML"/>
    <n v="150"/>
    <x v="5"/>
    <n v="15"/>
    <x v="9"/>
    <s v="M"/>
    <s v="CN"/>
    <x v="0"/>
    <n v="53000"/>
    <x v="0"/>
    <n v="8030.3030303030291"/>
    <n v="10115.36"/>
    <n v="2085.0569696969715"/>
    <n v="2112"/>
    <n v="20"/>
    <s v=""/>
    <n v="2132"/>
    <n v="6.4"/>
    <n v="0"/>
    <d v="2014-04-23T00:00:00"/>
    <d v="1899-12-30T00:00:00"/>
    <d v="2014-07-04T00:00:00"/>
    <d v="1899-12-30T00:00:00"/>
    <d v="2014-07-31T00:00:00"/>
    <d v="1899-12-30T00:00:00"/>
    <d v="1899-12-30T00:00:00"/>
    <d v="1899-12-30T00:00:00"/>
    <d v="1899-12-30T00:00:00"/>
    <x v="0"/>
    <n v="0"/>
    <n v="153"/>
    <n v="0"/>
    <n v="0"/>
    <n v="0"/>
    <n v="0"/>
    <n v="0"/>
    <n v="150"/>
    <n v="1517304"/>
    <n v="7950000"/>
    <n v="4.7632331604429483"/>
  </r>
  <r>
    <n v="0"/>
    <n v="0.16666666666666666"/>
    <n v="4"/>
    <n v="7"/>
    <s v="F-HAT"/>
    <x v="3"/>
    <s v="HCK-동일모자-15"/>
    <s v="HCK-동일모자-15HCKMIF3506BK"/>
    <n v="2"/>
    <s v="HCK-동일모자-152"/>
    <s v="HCK-동일모자-152-HCKMIF3506BLACKOSM"/>
    <s v="HCK의류외506"/>
    <s v="HCK"/>
    <s v="14FW H"/>
    <m/>
    <s v="HCK"/>
    <s v="H.COUSTIC KIDS"/>
    <s v="F"/>
    <s v="3"/>
    <s v="MI"/>
    <s v="MILITARY CAP"/>
    <s v="K"/>
    <n v="506"/>
    <n v="506"/>
    <s v="HCKMIF3506"/>
    <n v="0.16666666666666666"/>
    <s v="14FW H.coustic CAP-11_BK_KIDS"/>
    <s v="BK"/>
    <s v="BLACK"/>
    <s v="HCKMIF3506BK"/>
    <x v="0"/>
    <n v="0.5"/>
    <n v="0"/>
    <n v="1"/>
    <s v="OSM"/>
    <n v="150"/>
    <x v="5"/>
    <n v="15"/>
    <x v="9"/>
    <s v="M"/>
    <s v="CN"/>
    <x v="0"/>
    <n v="45000"/>
    <x v="0"/>
    <n v="6818.1818181818171"/>
    <n v="7771.92"/>
    <n v="953.73818181818297"/>
    <n v="517"/>
    <n v="20"/>
    <s v=""/>
    <n v="537"/>
    <n v="5.8"/>
    <n v="0"/>
    <d v="2014-04-23T00:00:00"/>
    <d v="1899-12-30T00:00:00"/>
    <d v="2014-07-04T00:00:00"/>
    <d v="1899-12-30T00:00:00"/>
    <d v="2014-07-31T00:00:00"/>
    <d v="1899-12-30T00:00:00"/>
    <d v="1899-12-30T00:00:00"/>
    <d v="1899-12-30T00:00:00"/>
    <d v="1899-12-30T00:00:00"/>
    <x v="0"/>
    <n v="0"/>
    <n v="153"/>
    <n v="0"/>
    <n v="0"/>
    <n v="0"/>
    <n v="0"/>
    <n v="0"/>
    <n v="150"/>
    <n v="1165788"/>
    <n v="6750000"/>
    <n v="5.2637045812477368"/>
  </r>
  <r>
    <n v="0"/>
    <n v="0.16666666666666666"/>
    <n v="4"/>
    <n v="7"/>
    <s v="F-HAT"/>
    <x v="3"/>
    <s v="HCK-동일모자-15"/>
    <s v="HCK-동일모자-15HCKMIF3506BK"/>
    <n v="2"/>
    <s v="HCK-동일모자-152"/>
    <s v="HCK-동일모자-152-HCKMIF3506BLACKOML"/>
    <s v="HCK의류외506"/>
    <s v="HCK"/>
    <s v="14FW H"/>
    <m/>
    <s v="HCK"/>
    <s v="H.COUSTIC KIDS"/>
    <s v="F"/>
    <s v="3"/>
    <s v="MI"/>
    <s v="MILITARY CAP"/>
    <s v="K"/>
    <n v="506"/>
    <n v="506"/>
    <s v="HCKMIF3506"/>
    <n v="0.16666666666666666"/>
    <s v="14FW H.coustic CAP-11_BK_KIDS"/>
    <s v="BK"/>
    <s v="BLACK"/>
    <s v="HCKMIF3506BK"/>
    <x v="0"/>
    <n v="0.5"/>
    <n v="0"/>
    <n v="1"/>
    <s v="OML"/>
    <n v="150"/>
    <x v="5"/>
    <n v="15"/>
    <x v="9"/>
    <s v="M"/>
    <s v="CN"/>
    <x v="0"/>
    <n v="45000"/>
    <x v="0"/>
    <n v="6818.1818181818171"/>
    <n v="7771.92"/>
    <n v="953.73818181818297"/>
    <n v="517"/>
    <n v="20"/>
    <s v=""/>
    <n v="537"/>
    <n v="5.8"/>
    <n v="0"/>
    <d v="2014-04-23T00:00:00"/>
    <d v="1899-12-30T00:00:00"/>
    <d v="2014-07-04T00:00:00"/>
    <d v="1899-12-30T00:00:00"/>
    <d v="2014-07-31T00:00:00"/>
    <d v="1899-12-30T00:00:00"/>
    <d v="1899-12-30T00:00:00"/>
    <d v="1899-12-30T00:00:00"/>
    <d v="1899-12-30T00:00:00"/>
    <x v="0"/>
    <n v="0"/>
    <n v="153"/>
    <n v="0"/>
    <n v="0"/>
    <n v="0"/>
    <n v="0"/>
    <n v="0"/>
    <n v="150"/>
    <n v="1165788"/>
    <n v="6750000"/>
    <n v="5.2637045812477368"/>
  </r>
  <r>
    <n v="0"/>
    <n v="0.16666666666666666"/>
    <n v="4"/>
    <n v="7"/>
    <s v="F-HAT"/>
    <x v="3"/>
    <s v="HCK-동일모자-15"/>
    <s v="HCK-동일모자-15HCKMIF3506KH"/>
    <n v="3"/>
    <s v="HCK-동일모자-153"/>
    <s v="HCK-동일모자-153-HCKMIF3506KHAKIOSM"/>
    <s v="HCK의류외506"/>
    <s v="HCK"/>
    <s v="14FW H"/>
    <m/>
    <s v="HCK"/>
    <s v="H.COUSTIC KIDS"/>
    <s v="F"/>
    <s v="3"/>
    <s v="MI"/>
    <s v="MILITARY CAP"/>
    <s v="K"/>
    <n v="506"/>
    <n v="506"/>
    <s v="HCKMIF3506"/>
    <n v="0.16666666666666666"/>
    <s v="14FW H.coustic CAP-11_KH_KIDS"/>
    <s v="KH"/>
    <s v="KHAKI"/>
    <s v="HCKMIF3506KH"/>
    <x v="0"/>
    <n v="0.5"/>
    <n v="0"/>
    <n v="1"/>
    <s v="OSM"/>
    <n v="150"/>
    <x v="5"/>
    <n v="15"/>
    <x v="9"/>
    <s v="M"/>
    <s v="CN"/>
    <x v="0"/>
    <n v="45000"/>
    <x v="0"/>
    <n v="6818.1818181818171"/>
    <n v="7771.92"/>
    <n v="953.73818181818297"/>
    <n v="517"/>
    <n v="20"/>
    <s v=""/>
    <n v="537"/>
    <n v="5.8"/>
    <n v="0"/>
    <d v="2014-04-23T00:00:00"/>
    <d v="1899-12-30T00:00:00"/>
    <d v="2014-07-04T00:00:00"/>
    <d v="1899-12-30T00:00:00"/>
    <d v="2014-07-31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1165788"/>
    <n v="6750000"/>
    <n v="5.2637045812477368"/>
  </r>
  <r>
    <n v="0"/>
    <n v="0.16666666666666666"/>
    <n v="4"/>
    <n v="7"/>
    <s v="F-HAT"/>
    <x v="3"/>
    <s v="HCK-동일모자-15"/>
    <s v="HCK-동일모자-15HCKMIF3506KH"/>
    <n v="3"/>
    <s v="HCK-동일모자-153"/>
    <s v="HCK-동일모자-153-HCKMIF3506KHAKIOML"/>
    <s v="HCK의류외506"/>
    <s v="HCK"/>
    <s v="14FW H"/>
    <m/>
    <s v="HCK"/>
    <s v="H.COUSTIC KIDS"/>
    <s v="F"/>
    <s v="3"/>
    <s v="MI"/>
    <s v="MILITARY CAP"/>
    <s v="K"/>
    <n v="506"/>
    <n v="506"/>
    <s v="HCKMIF3506"/>
    <n v="0.16666666666666666"/>
    <s v="14FW H.coustic CAP-11_KH_KIDS"/>
    <s v="KH"/>
    <s v="KHAKI"/>
    <s v="HCKMIF3506KH"/>
    <x v="0"/>
    <n v="0.5"/>
    <n v="0"/>
    <n v="1"/>
    <s v="OML"/>
    <n v="150"/>
    <x v="5"/>
    <n v="15"/>
    <x v="9"/>
    <s v="M"/>
    <s v="CN"/>
    <x v="0"/>
    <n v="45000"/>
    <x v="0"/>
    <n v="6818.1818181818171"/>
    <n v="7771.92"/>
    <n v="953.73818181818297"/>
    <n v="517"/>
    <n v="20"/>
    <s v=""/>
    <n v="537"/>
    <n v="5.8"/>
    <n v="0"/>
    <d v="2014-04-23T00:00:00"/>
    <d v="1899-12-30T00:00:00"/>
    <d v="2014-07-04T00:00:00"/>
    <d v="1899-12-30T00:00:00"/>
    <d v="2014-07-31T00:00:00"/>
    <d v="1899-12-30T00:00:00"/>
    <d v="1899-12-30T00:00:00"/>
    <d v="1899-12-30T00:00:00"/>
    <d v="1899-12-30T00:00:00"/>
    <x v="0"/>
    <n v="0"/>
    <n v="151"/>
    <n v="0"/>
    <n v="0"/>
    <n v="0"/>
    <n v="0"/>
    <n v="0"/>
    <n v="150"/>
    <n v="1165788"/>
    <n v="6750000"/>
    <n v="5.2637045812477368"/>
  </r>
  <r>
    <n v="0"/>
    <n v="0.16666666666666666"/>
    <n v="4"/>
    <n v="7"/>
    <s v="F-HAT"/>
    <x v="3"/>
    <s v="HCK-동일모자-15"/>
    <s v="HCK-동일모자-15HCKMIF3506NY"/>
    <n v="4"/>
    <s v="HCK-동일모자-154"/>
    <s v="HCK-동일모자-154-HCKMIF3506NAVYOSM"/>
    <s v="HCK의류외506"/>
    <s v="HCK"/>
    <s v="14FW H"/>
    <m/>
    <s v="HCK"/>
    <s v="H.COUSTIC KIDS"/>
    <s v="F"/>
    <s v="3"/>
    <s v="MI"/>
    <s v="MILITARY CAP"/>
    <s v="K"/>
    <n v="506"/>
    <n v="506"/>
    <s v="HCKMIF3506"/>
    <n v="0.16666666666666666"/>
    <s v="14FW H.coustic CAP-11_NY_KIDS"/>
    <s v="NY"/>
    <s v="NAVY"/>
    <s v="HCKMIF3506NY"/>
    <x v="0"/>
    <n v="0.5"/>
    <n v="0"/>
    <n v="1"/>
    <s v="OSM"/>
    <n v="150"/>
    <x v="5"/>
    <n v="15"/>
    <x v="9"/>
    <s v="M"/>
    <s v="CN"/>
    <x v="0"/>
    <n v="45000"/>
    <x v="0"/>
    <n v="6818.1818181818171"/>
    <n v="7771.92"/>
    <n v="953.73818181818297"/>
    <n v="517"/>
    <n v="20"/>
    <s v=""/>
    <n v="537"/>
    <n v="5.8"/>
    <n v="0"/>
    <d v="2014-04-23T00:00:00"/>
    <d v="1899-12-30T00:00:00"/>
    <d v="2014-07-04T00:00:00"/>
    <d v="1899-12-30T00:00:00"/>
    <d v="2014-07-31T00:00:00"/>
    <d v="1899-12-30T00:00:00"/>
    <d v="1899-12-30T00:00:00"/>
    <d v="1899-12-30T00:00:00"/>
    <d v="1899-12-30T00:00:00"/>
    <x v="0"/>
    <n v="0"/>
    <n v="153"/>
    <n v="0"/>
    <n v="0"/>
    <n v="0"/>
    <n v="0"/>
    <n v="0"/>
    <n v="150"/>
    <n v="1165788"/>
    <n v="6750000"/>
    <n v="5.2637045812477368"/>
  </r>
  <r>
    <n v="0"/>
    <n v="0.16666666666666666"/>
    <n v="4"/>
    <n v="7"/>
    <s v="F-HAT"/>
    <x v="3"/>
    <s v="HCK-동일모자-15"/>
    <s v="HCK-동일모자-15HCKMIF3506NY"/>
    <n v="4"/>
    <s v="HCK-동일모자-154"/>
    <s v="HCK-동일모자-154-HCKMIF3506NAVYOML"/>
    <s v="HCK의류외506"/>
    <s v="HCK"/>
    <s v="14FW H"/>
    <m/>
    <s v="HCK"/>
    <s v="H.COUSTIC KIDS"/>
    <s v="F"/>
    <s v="3"/>
    <s v="MI"/>
    <s v="MILITARY CAP"/>
    <s v="K"/>
    <n v="506"/>
    <n v="506"/>
    <s v="HCKMIF3506"/>
    <n v="0.16666666666666666"/>
    <s v="14FW H.coustic CAP-11_NY_KIDS"/>
    <s v="NY"/>
    <s v="NAVY"/>
    <s v="HCKMIF3506NY"/>
    <x v="0"/>
    <n v="0.5"/>
    <n v="0"/>
    <n v="1"/>
    <s v="OML"/>
    <n v="150"/>
    <x v="5"/>
    <n v="15"/>
    <x v="9"/>
    <s v="M"/>
    <s v="CN"/>
    <x v="0"/>
    <n v="45000"/>
    <x v="0"/>
    <n v="6818.1818181818171"/>
    <n v="7771.92"/>
    <n v="953.73818181818297"/>
    <n v="517"/>
    <n v="20"/>
    <s v=""/>
    <n v="537"/>
    <n v="5.8"/>
    <n v="0"/>
    <d v="2014-04-23T00:00:00"/>
    <d v="1899-12-30T00:00:00"/>
    <d v="2014-07-04T00:00:00"/>
    <d v="1899-12-30T00:00:00"/>
    <d v="2014-07-31T00:00:00"/>
    <d v="1899-12-30T00:00:00"/>
    <d v="1899-12-30T00:00:00"/>
    <d v="1899-12-30T00:00:00"/>
    <d v="1899-12-30T00:00:00"/>
    <x v="0"/>
    <n v="0"/>
    <n v="152"/>
    <n v="0"/>
    <n v="0"/>
    <n v="0"/>
    <n v="0"/>
    <n v="0"/>
    <n v="150"/>
    <n v="1165788"/>
    <n v="6750000"/>
    <n v="5.2637045812477368"/>
  </r>
  <r>
    <n v="0"/>
    <n v="0.25"/>
    <n v="4"/>
    <n v="7"/>
    <s v="F-HAT"/>
    <x v="3"/>
    <s v="HCK-동일모자-15"/>
    <s v="HCK-동일모자-15HCKMIF3507GY"/>
    <n v="5"/>
    <s v="HCK-동일모자-155"/>
    <s v="HCK-동일모자-155-HCKMIF3507GREYOSM"/>
    <s v="HCK의류외507"/>
    <s v="HCK"/>
    <s v="14FW H"/>
    <m/>
    <s v="HCK"/>
    <s v="H.COUSTIC KIDS"/>
    <s v="F"/>
    <s v="3"/>
    <s v="MI"/>
    <s v="MILITARY CAP"/>
    <s v="K"/>
    <n v="507"/>
    <n v="507"/>
    <s v="HCKMIF3507"/>
    <n v="0.25"/>
    <s v="14FW H.coustic CAP-12_GY_KIDS"/>
    <s v="GY"/>
    <s v="GREY"/>
    <s v="HCKMIF3507GY"/>
    <x v="0"/>
    <n v="0.5"/>
    <n v="0"/>
    <n v="1"/>
    <s v="OSM"/>
    <n v="150"/>
    <x v="5"/>
    <n v="15"/>
    <x v="9"/>
    <s v="M"/>
    <s v="CN"/>
    <x v="0"/>
    <n v="45000"/>
    <x v="0"/>
    <n v="6818.1818181818171"/>
    <n v="7771.92"/>
    <n v="953.73818181818297"/>
    <n v="517"/>
    <n v="20"/>
    <s v=""/>
    <n v="537"/>
    <n v="5.8"/>
    <n v="0"/>
    <d v="2014-04-23T00:00:00"/>
    <d v="1899-12-30T00:00:00"/>
    <d v="2014-07-04T00:00:00"/>
    <d v="1899-12-30T00:00:00"/>
    <d v="2014-07-31T00:00:00"/>
    <d v="1899-12-30T00:00:00"/>
    <d v="1899-12-30T00:00:00"/>
    <d v="1899-12-30T00:00:00"/>
    <d v="1899-12-30T00:00:00"/>
    <x v="0"/>
    <n v="0"/>
    <n v="146"/>
    <n v="0"/>
    <n v="0"/>
    <n v="0"/>
    <n v="0"/>
    <n v="0"/>
    <n v="150"/>
    <n v="1165788"/>
    <n v="6750000"/>
    <n v="5.2637045812477368"/>
  </r>
  <r>
    <n v="0"/>
    <n v="0.25"/>
    <n v="4"/>
    <n v="7"/>
    <s v="F-HAT"/>
    <x v="3"/>
    <s v="HCK-동일모자-15"/>
    <s v="HCK-동일모자-15HCKMIF3507GY"/>
    <n v="5"/>
    <s v="HCK-동일모자-155"/>
    <s v="HCK-동일모자-155-HCKMIF3507GREYOML"/>
    <s v="HCK의류외507"/>
    <s v="HCK"/>
    <s v="14FW H"/>
    <m/>
    <s v="HCK"/>
    <s v="H.COUSTIC KIDS"/>
    <s v="F"/>
    <s v="3"/>
    <s v="MI"/>
    <s v="MILITARY CAP"/>
    <s v="K"/>
    <n v="507"/>
    <n v="507"/>
    <s v="HCKMIF3507"/>
    <n v="0.25"/>
    <s v="14FW H.coustic CAP-12_GY_KIDS"/>
    <s v="GY"/>
    <s v="GREY"/>
    <s v="HCKMIF3507GY"/>
    <x v="0"/>
    <n v="0.5"/>
    <n v="0"/>
    <n v="1"/>
    <s v="OML"/>
    <n v="150"/>
    <x v="5"/>
    <n v="15"/>
    <x v="9"/>
    <s v="M"/>
    <s v="CN"/>
    <x v="0"/>
    <n v="45000"/>
    <x v="0"/>
    <n v="6818.1818181818171"/>
    <n v="7771.92"/>
    <n v="953.73818181818297"/>
    <n v="517"/>
    <n v="20"/>
    <s v=""/>
    <n v="537"/>
    <n v="5.8"/>
    <n v="0"/>
    <d v="2014-04-23T00:00:00"/>
    <d v="1899-12-30T00:00:00"/>
    <d v="2014-07-04T00:00:00"/>
    <d v="1899-12-30T00:00:00"/>
    <d v="2014-07-31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1165788"/>
    <n v="6750000"/>
    <n v="5.2637045812477368"/>
  </r>
  <r>
    <n v="0"/>
    <n v="0.25"/>
    <n v="4"/>
    <n v="7"/>
    <s v="F-HAT"/>
    <x v="3"/>
    <s v="HCK-동일모자-15"/>
    <s v="HCK-동일모자-15HCKMIF3507BK"/>
    <n v="6"/>
    <s v="HCK-동일모자-156"/>
    <s v="HCK-동일모자-156-HCKMIF3507BLACKOSM"/>
    <s v="HCK의류외507"/>
    <s v="HCK"/>
    <s v="14FW H"/>
    <m/>
    <s v="HCK"/>
    <s v="H.COUSTIC KIDS"/>
    <s v="F"/>
    <s v="3"/>
    <s v="MI"/>
    <s v="MILITARY CAP"/>
    <s v="K"/>
    <n v="507"/>
    <n v="507"/>
    <s v="HCKMIF3507"/>
    <n v="0.25"/>
    <s v="14FW H.coustic CAP-12_BK_KIDS"/>
    <s v="BK"/>
    <s v="BLACK"/>
    <s v="HCKMIF3507BK"/>
    <x v="0"/>
    <n v="0.5"/>
    <n v="0"/>
    <n v="1"/>
    <s v="OSM"/>
    <n v="150"/>
    <x v="5"/>
    <n v="15"/>
    <x v="9"/>
    <s v="M"/>
    <s v="CN"/>
    <x v="0"/>
    <n v="45000"/>
    <x v="0"/>
    <n v="6818.1818181818171"/>
    <n v="7771.92"/>
    <n v="953.73818181818297"/>
    <n v="517"/>
    <n v="20"/>
    <s v=""/>
    <n v="537"/>
    <n v="5.8"/>
    <n v="0"/>
    <d v="2014-04-23T00:00:00"/>
    <d v="1899-12-30T00:00:00"/>
    <d v="2014-07-04T00:00:00"/>
    <d v="1899-12-30T00:00:00"/>
    <d v="2014-07-31T00:00:00"/>
    <d v="1899-12-30T00:00:00"/>
    <d v="1899-12-30T00:00:00"/>
    <d v="1899-12-30T00:00:00"/>
    <d v="1899-12-30T00:00:00"/>
    <x v="0"/>
    <n v="0"/>
    <n v="153"/>
    <n v="0"/>
    <n v="0"/>
    <n v="0"/>
    <n v="0"/>
    <n v="0"/>
    <n v="150"/>
    <n v="1165788"/>
    <n v="6750000"/>
    <n v="5.2637045812477368"/>
  </r>
  <r>
    <n v="0"/>
    <n v="0.25"/>
    <n v="4"/>
    <n v="7"/>
    <s v="F-HAT"/>
    <x v="3"/>
    <s v="HCK-동일모자-15"/>
    <s v="HCK-동일모자-15HCKMIF3507BK"/>
    <n v="6"/>
    <s v="HCK-동일모자-156"/>
    <s v="HCK-동일모자-156-HCKMIF3507BLACKOML"/>
    <s v="HCK의류외507"/>
    <s v="HCK"/>
    <s v="14FW H"/>
    <m/>
    <s v="HCK"/>
    <s v="H.COUSTIC KIDS"/>
    <s v="F"/>
    <s v="3"/>
    <s v="MI"/>
    <s v="MILITARY CAP"/>
    <s v="K"/>
    <n v="507"/>
    <n v="507"/>
    <s v="HCKMIF3507"/>
    <n v="0.25"/>
    <s v="14FW H.coustic CAP-12_BK_KIDS"/>
    <s v="BK"/>
    <s v="BLACK"/>
    <s v="HCKMIF3507BK"/>
    <x v="0"/>
    <n v="0.5"/>
    <n v="0"/>
    <n v="1"/>
    <s v="OML"/>
    <n v="150"/>
    <x v="5"/>
    <n v="15"/>
    <x v="9"/>
    <s v="M"/>
    <s v="CN"/>
    <x v="0"/>
    <n v="45000"/>
    <x v="0"/>
    <n v="6818.1818181818171"/>
    <n v="7771.92"/>
    <n v="953.73818181818297"/>
    <n v="517"/>
    <n v="20"/>
    <s v=""/>
    <n v="537"/>
    <n v="5.8"/>
    <n v="0"/>
    <d v="2014-04-23T00:00:00"/>
    <d v="1899-12-30T00:00:00"/>
    <d v="2014-07-04T00:00:00"/>
    <d v="1899-12-30T00:00:00"/>
    <d v="2014-07-31T00:00:00"/>
    <d v="1899-12-30T00:00:00"/>
    <d v="1899-12-30T00:00:00"/>
    <d v="1899-12-30T00:00:00"/>
    <d v="1899-12-30T00:00:00"/>
    <x v="0"/>
    <n v="0"/>
    <n v="151"/>
    <n v="0"/>
    <n v="0"/>
    <n v="0"/>
    <n v="0"/>
    <n v="0"/>
    <n v="150"/>
    <n v="1165788"/>
    <n v="6750000"/>
    <n v="5.2637045812477368"/>
  </r>
  <r>
    <n v="0"/>
    <n v="0"/>
    <s v=""/>
    <s v=""/>
    <s v=""/>
    <x v="1"/>
    <s v=""/>
    <s v=""/>
    <n v="0"/>
    <s v="0"/>
    <s v="0-"/>
    <n v="0"/>
    <s v="TTL"/>
    <s v=""/>
    <s v="HCK-동일모자-15 TTL"/>
    <m/>
    <s v=""/>
    <s v=""/>
    <s v=""/>
    <m/>
    <s v=""/>
    <s v="K"/>
    <m/>
    <s v=""/>
    <s v=""/>
    <n v="3.0000000000000004"/>
    <m/>
    <s v=""/>
    <m/>
    <s v=""/>
    <x v="0"/>
    <n v="6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816"/>
    <n v="0"/>
    <n v="0"/>
    <n v="0"/>
    <n v="0"/>
    <n v="0"/>
    <n v="1800"/>
    <n v="14692488"/>
    <n v="83400000"/>
    <n v="5.1603364806683398"/>
  </r>
  <r>
    <n v="0"/>
    <n v="0.33333333333333331"/>
    <n v="5"/>
    <n v="8"/>
    <s v="SPORTS"/>
    <x v="2"/>
    <s v="VBK-FOREMOST-17"/>
    <s v="VBK-FOREMOST-17VBKBAF3603RE"/>
    <n v="1"/>
    <s v="VBK-FOREMOST-171"/>
    <s v="VBK-FOREMOST-171-VBKBAF3603REDOSM"/>
    <s v="VBK의류외603"/>
    <s v="VBK"/>
    <s v="13SS V"/>
    <m/>
    <s v="VBK"/>
    <s v="VITAL BLUE KIDS"/>
    <s v="F"/>
    <s v="3"/>
    <s v="BA"/>
    <s v="BASIC CAP"/>
    <s v="K"/>
    <n v="603"/>
    <n v="603"/>
    <s v="VBKBAF3603"/>
    <n v="0.33333333333333331"/>
    <s v="13SS VB 16_CURVED_RD_KIDS"/>
    <s v="RE"/>
    <s v="RED"/>
    <s v="VBKBAF3603RE"/>
    <x v="1"/>
    <n v="1"/>
    <s v="면 100%"/>
    <n v="1"/>
    <s v="OSM"/>
    <n v="120"/>
    <x v="4"/>
    <n v="17"/>
    <x v="10"/>
    <s v="M"/>
    <s v="CN"/>
    <x v="0"/>
    <n v="53000"/>
    <x v="3"/>
    <n v="8030.3030303030291"/>
    <n v="4386.68"/>
    <n v="-3643.6230303030288"/>
    <n v="375"/>
    <n v="0"/>
    <n v="20"/>
    <n v="395"/>
    <n v="3.2"/>
    <n v="0"/>
    <d v="2014-05-20T00:00:00"/>
    <d v="1899-12-30T00:00:00"/>
    <d v="2014-07-03T00:00:00"/>
    <d v="1899-12-30T00:00:00"/>
    <d v="2014-08-27T00:00:00"/>
    <d v="1899-12-30T00:00:00"/>
    <d v="1899-12-30T00:00:00"/>
    <d v="1899-12-30T00:00:00"/>
    <d v="1899-12-30T00:00:00"/>
    <x v="0"/>
    <n v="0"/>
    <n v="124"/>
    <n v="0"/>
    <n v="0"/>
    <n v="0"/>
    <n v="0"/>
    <n v="0"/>
    <n v="120"/>
    <n v="526401.60000000009"/>
    <n v="6360000"/>
    <n v="10.98366376891366"/>
  </r>
  <r>
    <n v="0"/>
    <n v="0.33333333333333331"/>
    <n v="5"/>
    <n v="8"/>
    <s v="SPORTS"/>
    <x v="2"/>
    <s v="VBK-FOREMOST-17"/>
    <s v="VBK-FOREMOST-17VBKBAF3603GR"/>
    <n v="2"/>
    <s v="VBK-FOREMOST-172"/>
    <s v="VBK-FOREMOST-172-VBKBAF3603GREENOSM"/>
    <s v="VBK의류외603"/>
    <s v="VBK"/>
    <s v="13SS V"/>
    <m/>
    <s v="VBK"/>
    <s v="VITAL BLUE KIDS"/>
    <s v="F"/>
    <s v="3"/>
    <s v="BA"/>
    <s v="BASIC CAP"/>
    <s v="K"/>
    <n v="603"/>
    <n v="603"/>
    <s v="VBKBAF3603"/>
    <n v="0.33333333333333331"/>
    <s v="13SS VB 16_CURVED_GR_KIDS"/>
    <s v="GR"/>
    <s v="GREEN"/>
    <s v="VBKBAF3603GR"/>
    <x v="1"/>
    <n v="0.5"/>
    <s v="면 100%"/>
    <n v="1"/>
    <s v="OSM"/>
    <n v="120"/>
    <x v="4"/>
    <n v="17"/>
    <x v="10"/>
    <s v="M"/>
    <s v="CN"/>
    <x v="0"/>
    <n v="53000"/>
    <x v="3"/>
    <n v="8030.3030303030291"/>
    <n v="4714.83"/>
    <n v="-3315.4730303030292"/>
    <n v="1015"/>
    <n v="0"/>
    <n v="20"/>
    <n v="1035"/>
    <n v="2.95"/>
    <n v="0"/>
    <d v="2014-05-20T00:00:00"/>
    <d v="1899-12-30T00:00:00"/>
    <d v="2014-07-03T00:00:00"/>
    <d v="1899-12-30T00:00:00"/>
    <d v="2014-08-27T00:00:00"/>
    <d v="1899-12-30T00:00:00"/>
    <d v="1899-12-30T00:00:00"/>
    <d v="1899-12-30T00:00:00"/>
    <d v="1899-12-30T00:00:00"/>
    <x v="0"/>
    <n v="0"/>
    <n v="123"/>
    <n v="0"/>
    <n v="0"/>
    <n v="0"/>
    <n v="0"/>
    <n v="0"/>
    <n v="120"/>
    <n v="565779.6"/>
    <n v="6360000"/>
    <n v="10.219205821168138"/>
  </r>
  <r>
    <n v="0"/>
    <n v="0.33333333333333331"/>
    <n v="5"/>
    <n v="8"/>
    <s v="SPORTS"/>
    <x v="2"/>
    <s v="VBK-FOREMOST-17"/>
    <s v="VBK-FOREMOST-17VBKBAF3603GR"/>
    <n v="2"/>
    <s v="VBK-FOREMOST-172"/>
    <s v="VBK-FOREMOST-172-VBKBAF3603GREENOML"/>
    <s v="VBK의류외603"/>
    <s v="VBK"/>
    <s v="13SS V"/>
    <m/>
    <s v="VBK"/>
    <s v="VITAL BLUE KIDS"/>
    <s v="F"/>
    <s v="3"/>
    <s v="BA"/>
    <s v="BASIC CAP"/>
    <s v="K"/>
    <n v="603"/>
    <n v="603"/>
    <s v="VBKBAF3603"/>
    <n v="0.33333333333333331"/>
    <s v="13SS VB 16_CURVED_GR_KIDS"/>
    <s v="GR"/>
    <s v="GREEN"/>
    <s v="VBKBAF3603GR"/>
    <x v="1"/>
    <n v="0.5"/>
    <s v="면 100%"/>
    <n v="1"/>
    <s v="OML"/>
    <n v="50"/>
    <x v="4"/>
    <n v="17"/>
    <x v="10"/>
    <s v="M"/>
    <s v="CN"/>
    <x v="0"/>
    <n v="53000"/>
    <x v="3"/>
    <n v="8030.3030303030291"/>
    <n v="4714.83"/>
    <n v="-3315.4730303030292"/>
    <n v="1015"/>
    <n v="0"/>
    <n v="20"/>
    <n v="1035"/>
    <n v="2.95"/>
    <n v="0"/>
    <d v="2014-05-20T00:00:00"/>
    <d v="1899-12-30T00:00:00"/>
    <d v="2014-07-03T00:00:00"/>
    <d v="1899-12-30T00:00:00"/>
    <d v="2014-08-27T00:00:00"/>
    <d v="1899-12-30T00:00:00"/>
    <d v="1899-12-30T00:00:00"/>
    <d v="1899-12-30T00:00:00"/>
    <d v="1899-12-30T00:00:00"/>
    <x v="0"/>
    <n v="0"/>
    <n v="53"/>
    <n v="0"/>
    <n v="0"/>
    <n v="0"/>
    <n v="0"/>
    <n v="0"/>
    <n v="50"/>
    <n v="235741.5"/>
    <n v="2650000"/>
    <n v="10.219205821168138"/>
  </r>
  <r>
    <n v="0"/>
    <n v="0"/>
    <s v=""/>
    <s v=""/>
    <s v=""/>
    <x v="1"/>
    <s v=""/>
    <s v=""/>
    <n v="0"/>
    <s v="0"/>
    <s v="0-"/>
    <n v="0"/>
    <s v="TTL"/>
    <s v=""/>
    <s v="VBK-FOREMOST-17 TTL"/>
    <m/>
    <s v=""/>
    <s v=""/>
    <s v=""/>
    <m/>
    <s v=""/>
    <s v="K"/>
    <m/>
    <s v=""/>
    <s v=""/>
    <n v="1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00"/>
    <n v="0"/>
    <n v="0"/>
    <n v="0"/>
    <n v="0"/>
    <n v="0"/>
    <n v="290"/>
    <n v="1327922.7000000002"/>
    <n v="15370000"/>
    <n v="10.522244459506016"/>
  </r>
  <r>
    <n v="0"/>
    <n v="0"/>
    <n v="6"/>
    <n v="8"/>
    <s v="F-CAP"/>
    <x v="0"/>
    <s v="URK-캡보이2-04"/>
    <s v="URK-캡보이2-04URKFIF3807BK"/>
    <n v="1"/>
    <s v="URK-캡보이2-041"/>
    <s v="URK-캡보이2-041-URKFIF3807BLACKOSM"/>
    <s v="URK의류외807"/>
    <s v="URK"/>
    <s v="13FW_U"/>
    <m/>
    <s v="URK"/>
    <s v="URBAN SWAGGER KIDS"/>
    <s v="F"/>
    <s v="3"/>
    <s v="FI"/>
    <s v="FITTED CAP"/>
    <s v="K"/>
    <n v="807"/>
    <n v="807"/>
    <s v="URKFIF3807"/>
    <n v="0.5"/>
    <s v="13FW_URBAN SWAGGER_02_FLAT_BK_KIDS"/>
    <s v="BK"/>
    <s v="BLACK"/>
    <s v="URKFIF3807BK"/>
    <x v="1"/>
    <n v="0.5"/>
    <n v="0"/>
    <n v="1"/>
    <s v="OSM"/>
    <n v="200"/>
    <x v="3"/>
    <n v="4"/>
    <x v="3"/>
    <s v="M"/>
    <s v="VT"/>
    <x v="0"/>
    <n v="45000"/>
    <x v="4"/>
    <n v="8181.8181818181811"/>
    <n v="7480"/>
    <n v="-701.81818181818107"/>
    <n v="0"/>
    <n v="0"/>
    <s v=""/>
    <n v="0"/>
    <n v="6.8"/>
    <n v="0"/>
    <d v="2014-06-03T00:00:00"/>
    <d v="1899-12-30T00:00:00"/>
    <d v="2014-07-24T00:00:00"/>
    <d v="1899-12-30T00:00:00"/>
    <d v="2014-08-19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1496000"/>
    <n v="9000000"/>
    <n v="5.4691298006806024"/>
  </r>
  <r>
    <n v="0"/>
    <n v="0"/>
    <n v="6"/>
    <n v="8"/>
    <s v="F-CAP"/>
    <x v="0"/>
    <s v="URK-캡보이2-04"/>
    <s v="URK-캡보이2-04URKFIF3807BK"/>
    <n v="1"/>
    <s v="URK-캡보이2-041"/>
    <s v="URK-캡보이2-041-URKFIF3807BLACKOML"/>
    <s v="URK의류외807"/>
    <s v="URK"/>
    <s v="13FW_U"/>
    <m/>
    <s v="URK"/>
    <s v="URBAN SWAGGER KIDS"/>
    <s v="F"/>
    <s v="3"/>
    <s v="FI"/>
    <s v="FITTED CAP"/>
    <s v="K"/>
    <n v="807"/>
    <n v="807"/>
    <s v="URKFIF3807"/>
    <n v="0.5"/>
    <s v="13FW_URBAN SWAGGER_02_FLAT_BK_KIDS"/>
    <s v="BK"/>
    <s v="BLACK"/>
    <s v="URKFIF3807BK"/>
    <x v="1"/>
    <n v="0.5"/>
    <n v="0"/>
    <n v="1"/>
    <s v="OML"/>
    <n v="250"/>
    <x v="3"/>
    <n v="4"/>
    <x v="3"/>
    <s v="M"/>
    <s v="VT"/>
    <x v="0"/>
    <n v="45000"/>
    <x v="4"/>
    <n v="8181.8181818181811"/>
    <n v="7480"/>
    <n v="-701.81818181818107"/>
    <n v="0"/>
    <n v="0"/>
    <s v=""/>
    <n v="0"/>
    <n v="6.8"/>
    <n v="0"/>
    <d v="2014-06-03T00:00:00"/>
    <d v="1899-12-30T00:00:00"/>
    <d v="2014-07-24T00:00:00"/>
    <d v="1899-12-30T00:00:00"/>
    <d v="2014-08-19T00:00:00"/>
    <d v="1899-12-30T00:00:00"/>
    <d v="1899-12-30T00:00:00"/>
    <d v="1899-12-30T00:00:00"/>
    <d v="1899-12-30T00:00:00"/>
    <x v="0"/>
    <n v="0"/>
    <n v="250"/>
    <n v="0"/>
    <n v="0"/>
    <n v="0"/>
    <n v="0"/>
    <n v="0"/>
    <n v="250"/>
    <n v="1870000"/>
    <n v="11250000"/>
    <n v="5.4691298006806024"/>
  </r>
  <r>
    <n v="0"/>
    <n v="0"/>
    <s v=""/>
    <s v=""/>
    <s v=""/>
    <x v="1"/>
    <s v=""/>
    <s v=""/>
    <n v="0"/>
    <s v="0"/>
    <s v="0-"/>
    <n v="0"/>
    <s v="TTL"/>
    <s v=""/>
    <s v="URK-캡보이2-04 TTL"/>
    <m/>
    <s v=""/>
    <s v=""/>
    <s v=""/>
    <m/>
    <s v=""/>
    <s v="K"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450"/>
    <n v="0"/>
    <n v="0"/>
    <n v="0"/>
    <n v="0"/>
    <n v="0"/>
    <n v="450"/>
    <n v="3366000"/>
    <n v="20250000"/>
    <n v="5.4691298006806024"/>
  </r>
  <r>
    <n v="0"/>
    <n v="0"/>
    <n v="3"/>
    <n v="6"/>
    <s v="SPORTS"/>
    <x v="4"/>
    <s v="SMK-성진-01"/>
    <s v="SMK-성진-01SMKFIF3634RE"/>
    <n v="1"/>
    <s v="SMK-성진-011"/>
    <s v="SMK-성진-011-SMKFIF3634REDOSM"/>
    <s v="SMK의류외634"/>
    <s v="SMK"/>
    <s v="12FW S"/>
    <m/>
    <s v="SMK"/>
    <s v="SUPER MASSIVE BOUND KIDS"/>
    <s v="F"/>
    <s v="3"/>
    <s v="FI"/>
    <s v="FITTED CAP"/>
    <s v="K"/>
    <n v="634"/>
    <n v="634"/>
    <s v="SMKFIF3634"/>
    <n v="0.5"/>
    <s v="12FW SMB_02_FLAT_RD_KIDS"/>
    <s v="RE"/>
    <s v="RED"/>
    <s v="SMKFIF3634RE"/>
    <x v="1"/>
    <n v="0.5"/>
    <n v="0"/>
    <n v="1"/>
    <s v="OSM"/>
    <n v="150"/>
    <x v="7"/>
    <n v="1"/>
    <x v="0"/>
    <s v="M"/>
    <s v="BG"/>
    <x v="0"/>
    <n v="55000"/>
    <x v="5"/>
    <n v="8333.3333333333321"/>
    <n v="7972.2500000000009"/>
    <n v="-361.08333333333121"/>
    <m/>
    <n v="1080"/>
    <n v="20"/>
    <n v="1100"/>
    <n v="5.95"/>
    <m/>
    <d v="2014-03-13T00:00:00"/>
    <d v="1899-12-30T00:00:00"/>
    <d v="2014-05-26T00:00:00"/>
    <d v="2014-06-10T00:00:00"/>
    <d v="2014-06-13T00:00:00"/>
    <m/>
    <d v="1899-12-30T00:00:00"/>
    <d v="1899-12-30T00:00:00"/>
    <d v="1899-12-30T00:00:00"/>
    <x v="2"/>
    <s v="확정 "/>
    <n v="150"/>
    <n v="0"/>
    <n v="0"/>
    <n v="0"/>
    <n v="0"/>
    <n v="0"/>
    <n v="150"/>
    <n v="1195837.5000000002"/>
    <n v="8250000"/>
    <n v="6.2717551506789153"/>
  </r>
  <r>
    <n v="0"/>
    <n v="0"/>
    <n v="3"/>
    <n v="6"/>
    <s v="SPORTS"/>
    <x v="4"/>
    <s v="SMK-성진-01"/>
    <s v="SMK-성진-01SMKFIF3634RE"/>
    <n v="1"/>
    <s v="SMK-성진-011"/>
    <s v="SMK-성진-011-SMKFIF3634REDOML"/>
    <s v="SMK의류외634"/>
    <s v="SMK"/>
    <s v="12FW S"/>
    <m/>
    <s v="SMK"/>
    <s v="SUPER MASSIVE BOUND KIDS"/>
    <s v="F"/>
    <s v="3"/>
    <s v="FI"/>
    <s v="FITTED CAP"/>
    <s v="K"/>
    <n v="634"/>
    <n v="634"/>
    <s v="SMKFIF3634"/>
    <n v="0.5"/>
    <s v="12FW SMB_02_FLAT_RD_KIDS"/>
    <s v="RE"/>
    <s v="RED"/>
    <s v="SMKFIF3634RE"/>
    <x v="1"/>
    <n v="0.5"/>
    <n v="0"/>
    <n v="1"/>
    <s v="OML"/>
    <n v="100"/>
    <x v="7"/>
    <n v="1"/>
    <x v="0"/>
    <s v="M"/>
    <s v="BG"/>
    <x v="0"/>
    <n v="55000"/>
    <x v="5"/>
    <n v="8333.3333333333321"/>
    <n v="7972.2500000000009"/>
    <n v="-361.08333333333121"/>
    <n v="0"/>
    <n v="1080"/>
    <n v="20"/>
    <n v="1100"/>
    <n v="5.95"/>
    <n v="0"/>
    <d v="2014-03-13T00:00:00"/>
    <d v="1899-12-30T00:00:00"/>
    <d v="2014-05-26T00:00:00"/>
    <d v="2014-06-10T00:00:00"/>
    <d v="2014-06-13T00:00:00"/>
    <d v="1899-12-30T00:00:00"/>
    <d v="1899-12-30T00:00:00"/>
    <d v="1899-12-30T00:00:00"/>
    <d v="1899-12-30T00:00:00"/>
    <x v="2"/>
    <s v="확정 "/>
    <n v="100"/>
    <n v="0"/>
    <n v="0"/>
    <n v="0"/>
    <n v="0"/>
    <n v="0"/>
    <n v="100"/>
    <n v="797225.00000000012"/>
    <n v="5500000"/>
    <n v="6.2717551506789162"/>
  </r>
  <r>
    <n v="0"/>
    <n v="0"/>
    <s v=""/>
    <s v=""/>
    <s v=""/>
    <x v="1"/>
    <s v=""/>
    <s v=""/>
    <n v="0"/>
    <s v="0"/>
    <s v="0-"/>
    <n v="0"/>
    <s v="TTL"/>
    <s v=""/>
    <s v="SMK-성진-01 TTL"/>
    <m/>
    <s v=""/>
    <s v=""/>
    <s v=""/>
    <m/>
    <s v=""/>
    <m/>
    <m/>
    <s v=""/>
    <s v=""/>
    <n v="1"/>
    <m/>
    <s v=""/>
    <m/>
    <s v=""/>
    <x v="0"/>
    <n v="1"/>
    <n v="0"/>
    <n v="1"/>
    <m/>
    <n v="250"/>
    <x v="1"/>
    <m/>
    <x v="1"/>
    <m/>
    <m/>
    <x v="2"/>
    <n v="0"/>
    <x v="1"/>
    <m/>
    <m/>
    <m/>
    <m/>
    <m/>
    <s v=""/>
    <n v="0"/>
    <n v="1487.5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50"/>
    <n v="0"/>
    <n v="0"/>
    <n v="0"/>
    <n v="0"/>
    <n v="0"/>
    <n v="250"/>
    <n v="1993062.5000000005"/>
    <n v="13750000"/>
    <n v="6.2717551506789162"/>
  </r>
  <r>
    <n v="0"/>
    <n v="0"/>
    <n v="4"/>
    <n v="7"/>
    <s v="SPORTS"/>
    <x v="4"/>
    <s v="SMK-성진-04"/>
    <s v="SMK-성진-04SMKFLF3501BK"/>
    <n v="1"/>
    <s v="SMK-성진-041"/>
    <s v="SMK-성진-041-SMKFLF3501BLACKXSS"/>
    <s v="SMK의류외501"/>
    <s v="SMK"/>
    <s v="14FW S"/>
    <m/>
    <s v="SMK"/>
    <s v="SUPER MASSIVE BOUND KIDS"/>
    <s v="F"/>
    <s v="3"/>
    <s v="FL"/>
    <s v="FLEX CAP"/>
    <s v="K"/>
    <n v="501"/>
    <n v="501"/>
    <s v="SMKFLF3501"/>
    <n v="0.33333333333333331"/>
    <s v="14FW SMB_06_CURVED_BK_N_KIDS"/>
    <s v="BK"/>
    <s v="BLACK"/>
    <s v="SMKFLF3501BK"/>
    <x v="0"/>
    <n v="0.33333333333333331"/>
    <n v="0"/>
    <n v="1"/>
    <s v="XSS"/>
    <n v="200"/>
    <x v="7"/>
    <n v="4"/>
    <x v="3"/>
    <s v="M"/>
    <s v="BG"/>
    <x v="0"/>
    <n v="33000"/>
    <x v="6"/>
    <n v="4999.9999999999991"/>
    <n v="5679.5000000000009"/>
    <n v="679.50000000000182"/>
    <n v="0"/>
    <m/>
    <n v="20"/>
    <n v="20"/>
    <n v="4.9000000000000004"/>
    <n v="0"/>
    <d v="2014-04-04T00:00:00"/>
    <d v="1899-12-30T00:00:00"/>
    <d v="2014-08-01T00:00:00"/>
    <d v="2014-08-01T00:00:00"/>
    <d v="2014-07-30T00:00:00"/>
    <d v="2014-08-18T00:00:00"/>
    <d v="1899-12-30T00:00:00"/>
    <d v="1899-12-30T00:00:00"/>
    <d v="1899-12-30T00:00:00"/>
    <x v="2"/>
    <s v="확정 "/>
    <n v="200"/>
    <n v="0"/>
    <n v="0"/>
    <n v="0"/>
    <n v="0"/>
    <n v="0"/>
    <n v="200"/>
    <n v="1135900.0000000002"/>
    <n v="6600000"/>
    <n v="5.2821551192886682"/>
  </r>
  <r>
    <n v="0"/>
    <n v="0"/>
    <n v="4"/>
    <n v="7"/>
    <s v="SPORTS"/>
    <x v="4"/>
    <s v="SMK-성진-04"/>
    <s v="SMK-성진-04SMKFLF3501BK"/>
    <n v="1"/>
    <s v="SMK-성진-041"/>
    <s v="SMK-성진-041-SMKFLF3501BLACKOSM"/>
    <s v="SMK의류외501"/>
    <s v="SMK"/>
    <s v="14FW S"/>
    <m/>
    <s v="SMK"/>
    <s v="SUPER MASSIVE BOUND KIDS"/>
    <s v="F"/>
    <s v="3"/>
    <s v="FL"/>
    <s v="FLEX CAP"/>
    <s v="K"/>
    <n v="501"/>
    <n v="501"/>
    <s v="SMKFLF3501"/>
    <n v="0.33333333333333331"/>
    <s v="14FW SMB_06_CURVED_BK_N_KIDS"/>
    <s v="BK"/>
    <s v="BLACK"/>
    <s v="SMKFLF3501BK"/>
    <x v="0"/>
    <n v="0.33333333333333331"/>
    <n v="0"/>
    <n v="1"/>
    <s v="OSM"/>
    <n v="40"/>
    <x v="7"/>
    <n v="4"/>
    <x v="3"/>
    <s v="M"/>
    <s v="BG"/>
    <x v="0"/>
    <n v="33000"/>
    <x v="6"/>
    <n v="4999.9999999999991"/>
    <n v="5564"/>
    <n v="564.00000000000091"/>
    <n v="0"/>
    <m/>
    <n v="20"/>
    <n v="20"/>
    <n v="4.8"/>
    <n v="0"/>
    <d v="2014-04-04T00:00:00"/>
    <d v="1899-12-30T00:00:00"/>
    <d v="2014-08-01T00:00:00"/>
    <d v="2014-08-01T00:00:00"/>
    <d v="2014-07-30T00:00:00"/>
    <d v="2014-08-18T00:00:00"/>
    <d v="1899-12-30T00:00:00"/>
    <d v="1899-12-30T00:00:00"/>
    <d v="1899-12-30T00:00:00"/>
    <x v="2"/>
    <s v="확정 "/>
    <n v="0"/>
    <n v="40"/>
    <n v="0"/>
    <n v="0"/>
    <n v="0"/>
    <n v="0"/>
    <n v="40"/>
    <n v="222560"/>
    <n v="1320000"/>
    <n v="5.3918044572250174"/>
  </r>
  <r>
    <n v="0"/>
    <n v="0"/>
    <n v="4"/>
    <n v="7"/>
    <s v="SPORTS"/>
    <x v="4"/>
    <s v="SMK-성진-04"/>
    <s v="SMK-성진-04SMKFLF3501BK"/>
    <n v="1"/>
    <s v="SMK-성진-041"/>
    <s v="SMK-성진-041-SMKFLF3501BLACKOML"/>
    <s v="SMK의류외501"/>
    <s v="SMK"/>
    <s v="14FW S"/>
    <m/>
    <s v="SMK"/>
    <s v="SUPER MASSIVE BOUND KIDS"/>
    <s v="F"/>
    <s v="3"/>
    <s v="FL"/>
    <s v="FLEX CAP"/>
    <s v="K"/>
    <n v="501"/>
    <n v="501"/>
    <s v="SMKFLF3501"/>
    <n v="0.33333333333333331"/>
    <s v="14FW SMB_06_CURVED_BK_N_KIDS"/>
    <s v="BK"/>
    <s v="BLACK"/>
    <s v="SMKFLF3501BK"/>
    <x v="0"/>
    <n v="0.33333333333333331"/>
    <n v="0"/>
    <n v="1"/>
    <s v="OML"/>
    <n v="40"/>
    <x v="7"/>
    <n v="4"/>
    <x v="3"/>
    <s v="M"/>
    <s v="BG"/>
    <x v="0"/>
    <n v="33000"/>
    <x v="6"/>
    <n v="4999.9999999999991"/>
    <n v="5564"/>
    <n v="564.00000000000091"/>
    <n v="0"/>
    <m/>
    <n v="20"/>
    <n v="20"/>
    <n v="4.8"/>
    <n v="0"/>
    <d v="2014-04-04T00:00:00"/>
    <d v="1899-12-30T00:00:00"/>
    <d v="2014-08-01T00:00:00"/>
    <d v="2014-08-01T00:00:00"/>
    <d v="2014-07-30T00:00:00"/>
    <d v="2014-08-18T00:00:00"/>
    <d v="1899-12-30T00:00:00"/>
    <d v="1899-12-30T00:00:00"/>
    <d v="1899-12-30T00:00:00"/>
    <x v="2"/>
    <s v="확정 "/>
    <n v="0"/>
    <n v="40"/>
    <n v="0"/>
    <n v="0"/>
    <n v="0"/>
    <n v="0"/>
    <n v="40"/>
    <n v="222560"/>
    <n v="1320000"/>
    <n v="5.3918044572250174"/>
  </r>
  <r>
    <n v="0"/>
    <n v="0"/>
    <s v=""/>
    <s v=""/>
    <s v=""/>
    <x v="1"/>
    <s v=""/>
    <s v=""/>
    <n v="0"/>
    <s v="0"/>
    <s v="0-"/>
    <n v="0"/>
    <s v="TTL"/>
    <s v=""/>
    <s v="SMK-성진-04 TTL"/>
    <m/>
    <s v=""/>
    <s v=""/>
    <s v=""/>
    <m/>
    <s v=""/>
    <m/>
    <m/>
    <s v=""/>
    <s v=""/>
    <n v="1"/>
    <m/>
    <s v=""/>
    <m/>
    <s v=""/>
    <x v="0"/>
    <n v="1"/>
    <n v="0"/>
    <n v="1"/>
    <m/>
    <n v="280"/>
    <x v="1"/>
    <m/>
    <x v="1"/>
    <m/>
    <m/>
    <x v="1"/>
    <n v="0"/>
    <x v="1"/>
    <n v="0"/>
    <m/>
    <m/>
    <m/>
    <n v="0"/>
    <s v=""/>
    <n v="0"/>
    <n v="1364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s v="확정 "/>
    <n v="200"/>
    <n v="80"/>
    <n v="0"/>
    <n v="0"/>
    <n v="0"/>
    <n v="0"/>
    <n v="280"/>
    <n v="1581020.0000000002"/>
    <n v="9240000"/>
    <n v="5.313025768174974"/>
  </r>
  <r>
    <n v="0"/>
    <n v="0.16666666666666666"/>
    <n v="4"/>
    <n v="9"/>
    <s v="SPORTS"/>
    <x v="4"/>
    <s v="SMK-동일모자-01"/>
    <s v="SMK-동일모자-01SMKBAF3503GR"/>
    <n v="1"/>
    <s v="SMK-동일모자-011"/>
    <s v="SMK-동일모자-011-SMKBAF3503GREENXSS"/>
    <s v="SMK의류외503"/>
    <s v="SMK"/>
    <s v="14FW S"/>
    <m/>
    <s v="SMK"/>
    <s v="SUPER MASSIVE BOUND KIDS"/>
    <s v="F"/>
    <s v="3"/>
    <s v="BA"/>
    <s v="BASIC CAP"/>
    <s v="K"/>
    <n v="503"/>
    <n v="503"/>
    <s v="SMKBAF3503"/>
    <n v="0.16666666666666666"/>
    <s v="14FW SMB_07_CURVED_GR_N_KIDS"/>
    <s v="GR"/>
    <s v="GREEN"/>
    <s v="SMKBAF3503GR"/>
    <x v="0"/>
    <n v="0.33333333333333331"/>
    <n v="0"/>
    <n v="1"/>
    <s v="XSS"/>
    <n v="250"/>
    <x v="5"/>
    <n v="1"/>
    <x v="0"/>
    <s v="M"/>
    <s v="CN"/>
    <x v="0"/>
    <n v="33000"/>
    <x v="6"/>
    <n v="4999.9999999999991"/>
    <n v="5904.34"/>
    <n v="904.34000000000106"/>
    <n v="590"/>
    <n v="180"/>
    <n v="20"/>
    <n v="790"/>
    <n v="4.0999999999999996"/>
    <n v="0"/>
    <d v="2014-04-04T00:00:00"/>
    <m/>
    <d v="2014-08-01T00:00:00"/>
    <d v="2014-08-12T00:00:00"/>
    <d v="2014-09-01T00:00:00"/>
    <d v="1899-12-30T00:00:00"/>
    <d v="1899-12-30T00:00:00"/>
    <d v="1899-12-30T00:00:00"/>
    <d v="1899-12-30T00:00:00"/>
    <x v="2"/>
    <s v="확정 "/>
    <n v="243"/>
    <n v="0"/>
    <n v="0"/>
    <n v="0"/>
    <n v="0"/>
    <n v="0"/>
    <n v="250"/>
    <n v="1476085"/>
    <n v="8250000"/>
    <n v="5.0810082075219238"/>
  </r>
  <r>
    <n v="0"/>
    <n v="0.16666666666666666"/>
    <n v="4"/>
    <n v="9"/>
    <s v="SPORTS"/>
    <x v="4"/>
    <s v="SMK-동일모자-01"/>
    <s v="SMK-동일모자-01SMKBAF3503GR"/>
    <n v="1"/>
    <s v="SMK-동일모자-011"/>
    <s v="SMK-동일모자-011-SMKBAF3503GREENOSM"/>
    <s v="SMK의류외503"/>
    <s v="SMK"/>
    <s v="14FW S"/>
    <m/>
    <s v="SMK"/>
    <s v="SUPER MASSIVE BOUND KIDS"/>
    <s v="F"/>
    <s v="3"/>
    <s v="BA"/>
    <s v="BASIC CAP"/>
    <s v="K"/>
    <n v="503"/>
    <n v="503"/>
    <s v="SMKBAF3503"/>
    <n v="0.16666666666666666"/>
    <s v="14FW SMB_07_CURVED_GR_N_KIDS"/>
    <s v="GR"/>
    <s v="GREEN"/>
    <s v="SMKBAF3503GR"/>
    <x v="0"/>
    <n v="0.33333333333333331"/>
    <n v="0"/>
    <n v="1"/>
    <s v="OSM"/>
    <n v="50"/>
    <x v="5"/>
    <n v="1"/>
    <x v="0"/>
    <s v="M"/>
    <s v="CN"/>
    <x v="0"/>
    <n v="33000"/>
    <x v="6"/>
    <n v="4999.9999999999991"/>
    <n v="5904.34"/>
    <n v="904.34000000000106"/>
    <n v="590"/>
    <n v="180"/>
    <n v="20"/>
    <n v="790"/>
    <n v="4.0999999999999996"/>
    <n v="0"/>
    <d v="2014-04-04T00:00:00"/>
    <d v="1899-12-30T00:00:00"/>
    <d v="2014-08-01T00:00:00"/>
    <d v="2014-08-12T00:00:00"/>
    <d v="2014-09-01T00:00:00"/>
    <d v="1899-12-30T00:00:00"/>
    <d v="1899-12-30T00:00:00"/>
    <d v="1899-12-30T00:00:00"/>
    <d v="1899-12-30T00:00:00"/>
    <x v="2"/>
    <s v="확정 "/>
    <n v="61"/>
    <n v="0"/>
    <n v="0"/>
    <n v="0"/>
    <n v="0"/>
    <n v="0"/>
    <n v="50"/>
    <n v="295217"/>
    <n v="1650000"/>
    <n v="5.0810082075219247"/>
  </r>
  <r>
    <n v="0"/>
    <n v="0.16666666666666666"/>
    <n v="4"/>
    <n v="9"/>
    <s v="SPORTS"/>
    <x v="4"/>
    <s v="SMK-동일모자-01"/>
    <s v="SMK-동일모자-01SMKBAF3503GR"/>
    <n v="1"/>
    <s v="SMK-동일모자-011"/>
    <s v="SMK-동일모자-011-SMKBAF3503GREENOML"/>
    <s v="SMK의류외503"/>
    <s v="SMK"/>
    <s v="14FW S"/>
    <m/>
    <s v="SMK"/>
    <s v="SUPER MASSIVE BOUND KIDS"/>
    <s v="F"/>
    <s v="3"/>
    <s v="BA"/>
    <s v="BASIC CAP"/>
    <s v="K"/>
    <n v="503"/>
    <n v="503"/>
    <s v="SMKBAF3503"/>
    <n v="0.16666666666666666"/>
    <s v="14FW SMB_07_CURVED_GR_N_KIDS"/>
    <s v="GR"/>
    <s v="GREEN"/>
    <s v="SMKBAF3503GR"/>
    <x v="0"/>
    <n v="0.33333333333333331"/>
    <n v="0"/>
    <n v="1"/>
    <s v="OML"/>
    <n v="50"/>
    <x v="5"/>
    <n v="1"/>
    <x v="0"/>
    <s v="M"/>
    <s v="CN"/>
    <x v="0"/>
    <n v="33000"/>
    <x v="6"/>
    <n v="4999.9999999999991"/>
    <n v="5904.34"/>
    <n v="904.34000000000106"/>
    <n v="590"/>
    <n v="180"/>
    <n v="20"/>
    <n v="790"/>
    <n v="4.0999999999999996"/>
    <n v="0"/>
    <d v="2014-04-04T00:00:00"/>
    <d v="1899-12-30T00:00:00"/>
    <d v="2014-08-01T00:00:00"/>
    <d v="2014-08-12T00:00:00"/>
    <d v="2014-09-01T00:00:00"/>
    <d v="1899-12-30T00:00:00"/>
    <d v="1899-12-30T00:00:00"/>
    <d v="1899-12-30T00:00:00"/>
    <d v="1899-12-30T00:00:00"/>
    <x v="2"/>
    <s v="확정 "/>
    <n v="51"/>
    <n v="0"/>
    <n v="0"/>
    <n v="0"/>
    <n v="0"/>
    <n v="0"/>
    <n v="50"/>
    <n v="295217"/>
    <n v="1650000"/>
    <n v="5.0810082075219247"/>
  </r>
  <r>
    <n v="0"/>
    <n v="0.16666666666666666"/>
    <n v="4"/>
    <n v="9"/>
    <s v="SPORTS"/>
    <x v="4"/>
    <s v="SMK-동일모자-01"/>
    <s v="SMK-동일모자-01SMKBAF3503OR"/>
    <n v="2"/>
    <s v="SMK-동일모자-012"/>
    <s v="SMK-동일모자-012-SMKBAF3503ORANGEXSS"/>
    <s v="SMK의류외503"/>
    <s v="SMK"/>
    <s v="14FW S"/>
    <m/>
    <s v="SMK"/>
    <s v="SUPER MASSIVE BOUND KIDS"/>
    <s v="F"/>
    <s v="3"/>
    <s v="BA"/>
    <s v="BASIC CAP"/>
    <s v="K"/>
    <n v="503"/>
    <n v="503"/>
    <s v="SMKBAF3503"/>
    <n v="0.16666666666666666"/>
    <s v="14FW SMB_07_CURVED_OR_N"/>
    <s v="OR"/>
    <s v="ORANGE"/>
    <s v="SMKBAF3503OR"/>
    <x v="0"/>
    <n v="0.33333333333333331"/>
    <n v="0"/>
    <n v="1"/>
    <s v="XSS"/>
    <n v="250"/>
    <x v="5"/>
    <n v="1"/>
    <x v="0"/>
    <s v="M"/>
    <s v="CN"/>
    <x v="0"/>
    <n v="33000"/>
    <x v="6"/>
    <n v="4999.9999999999991"/>
    <n v="5904.34"/>
    <n v="904.34000000000106"/>
    <n v="590"/>
    <n v="180"/>
    <n v="20"/>
    <n v="790"/>
    <n v="4.0999999999999996"/>
    <n v="0"/>
    <d v="2014-04-04T00:00:00"/>
    <d v="1899-12-30T00:00:00"/>
    <d v="2014-08-01T00:00:00"/>
    <d v="2014-08-12T00:00:00"/>
    <d v="2014-09-01T00:00:00"/>
    <d v="1899-12-30T00:00:00"/>
    <d v="1899-12-30T00:00:00"/>
    <d v="1899-12-30T00:00:00"/>
    <d v="1899-12-30T00:00:00"/>
    <x v="2"/>
    <s v="확정 "/>
    <n v="202"/>
    <n v="0"/>
    <n v="0"/>
    <n v="0"/>
    <n v="0"/>
    <m/>
    <n v="250"/>
    <n v="1476085"/>
    <n v="8250000"/>
    <n v="5.0810082075219238"/>
  </r>
  <r>
    <n v="0"/>
    <n v="0.16666666666666666"/>
    <n v="4"/>
    <n v="9"/>
    <s v="SPORTS"/>
    <x v="4"/>
    <s v="SMK-동일모자-01"/>
    <s v="SMK-동일모자-01SMKBAF3503OR"/>
    <n v="2"/>
    <s v="SMK-동일모자-012"/>
    <s v="SMK-동일모자-012-SMKBAF3503ORANGEOSM"/>
    <s v="SMK의류외503"/>
    <s v="SMK"/>
    <s v="14FW S"/>
    <m/>
    <s v="SMK"/>
    <s v="SUPER MASSIVE BOUND KIDS"/>
    <s v="F"/>
    <s v="3"/>
    <s v="BA"/>
    <s v="BASIC CAP"/>
    <s v="K"/>
    <n v="503"/>
    <n v="503"/>
    <s v="SMKBAF3503"/>
    <n v="0.16666666666666666"/>
    <s v="14FW SMB_07_CURVED_OR_N_KIDS"/>
    <s v="OR"/>
    <s v="ORANGE"/>
    <s v="SMKBAF3503OR"/>
    <x v="0"/>
    <n v="0.33333333333333331"/>
    <n v="0"/>
    <n v="1"/>
    <s v="OSM"/>
    <n v="50"/>
    <x v="5"/>
    <n v="1"/>
    <x v="0"/>
    <s v="M"/>
    <s v="CN"/>
    <x v="0"/>
    <n v="33000"/>
    <x v="6"/>
    <n v="4999.9999999999991"/>
    <n v="5904.34"/>
    <n v="904.34000000000106"/>
    <n v="590"/>
    <n v="180"/>
    <n v="20"/>
    <n v="790"/>
    <n v="4.0999999999999996"/>
    <n v="0"/>
    <d v="2014-04-04T00:00:00"/>
    <d v="1899-12-30T00:00:00"/>
    <d v="2014-08-01T00:00:00"/>
    <d v="2014-08-12T00:00:00"/>
    <d v="2014-09-01T00:00:00"/>
    <d v="1899-12-30T00:00:00"/>
    <d v="1899-12-30T00:00:00"/>
    <d v="1899-12-30T00:00:00"/>
    <d v="1899-12-30T00:00:00"/>
    <x v="2"/>
    <s v="확정 "/>
    <n v="48"/>
    <n v="0"/>
    <n v="0"/>
    <n v="0"/>
    <n v="0"/>
    <n v="0"/>
    <n v="50"/>
    <n v="295217"/>
    <n v="1650000"/>
    <n v="5.0810082075219247"/>
  </r>
  <r>
    <n v="0"/>
    <n v="0.16666666666666666"/>
    <n v="4"/>
    <n v="9"/>
    <s v="SPORTS"/>
    <x v="4"/>
    <s v="SMK-동일모자-01"/>
    <s v="SMK-동일모자-01SMKBAF3503OR"/>
    <n v="2"/>
    <s v="SMK-동일모자-012"/>
    <s v="SMK-동일모자-012-SMKBAF3503ORANGEOML"/>
    <s v="SMK의류외503"/>
    <s v="SMK"/>
    <s v="14FW S"/>
    <m/>
    <s v="SMK"/>
    <s v="SUPER MASSIVE BOUND KIDS"/>
    <s v="F"/>
    <s v="3"/>
    <s v="BA"/>
    <s v="BASIC CAP"/>
    <s v="K"/>
    <n v="503"/>
    <n v="503"/>
    <s v="SMKBAF3503"/>
    <n v="0.16666666666666666"/>
    <s v="14FW SMB_07_CURVED_OR_N_KIDS"/>
    <s v="OR"/>
    <s v="ORANGE"/>
    <s v="SMKBAF3503OR"/>
    <x v="0"/>
    <n v="0.33333333333333331"/>
    <n v="0"/>
    <n v="1"/>
    <s v="OML"/>
    <n v="50"/>
    <x v="5"/>
    <n v="1"/>
    <x v="0"/>
    <s v="M"/>
    <s v="CN"/>
    <x v="0"/>
    <n v="33000"/>
    <x v="6"/>
    <n v="4999.9999999999991"/>
    <n v="5904.34"/>
    <n v="904.34000000000106"/>
    <n v="590"/>
    <n v="180"/>
    <n v="20"/>
    <n v="790"/>
    <n v="4.0999999999999996"/>
    <n v="0"/>
    <d v="2014-04-04T00:00:00"/>
    <d v="1899-12-30T00:00:00"/>
    <d v="2014-08-01T00:00:00"/>
    <d v="2014-08-12T00:00:00"/>
    <d v="2014-09-01T00:00:00"/>
    <d v="1899-12-30T00:00:00"/>
    <d v="1899-12-30T00:00:00"/>
    <d v="1899-12-30T00:00:00"/>
    <d v="1899-12-30T00:00:00"/>
    <x v="2"/>
    <s v="확정 "/>
    <n v="49"/>
    <n v="0"/>
    <n v="0"/>
    <n v="0"/>
    <n v="0"/>
    <n v="0"/>
    <n v="50"/>
    <n v="295217"/>
    <n v="1650000"/>
    <n v="5.0810082075219247"/>
  </r>
  <r>
    <n v="0"/>
    <n v="0"/>
    <s v=""/>
    <s v=""/>
    <s v=""/>
    <x v="1"/>
    <s v=""/>
    <s v=""/>
    <n v="0"/>
    <s v="0"/>
    <s v="0-"/>
    <n v="0"/>
    <s v="TTL"/>
    <s v=""/>
    <s v="SMK-동일모자-01 TTL"/>
    <m/>
    <s v=""/>
    <s v=""/>
    <s v=""/>
    <m/>
    <s v=""/>
    <m/>
    <m/>
    <s v=""/>
    <s v=""/>
    <n v="0.99999999999999989"/>
    <m/>
    <s v=""/>
    <m/>
    <s v=""/>
    <x v="0"/>
    <n v="1.9999999999999998"/>
    <n v="0"/>
    <n v="1"/>
    <m/>
    <n v="700"/>
    <x v="1"/>
    <m/>
    <x v="1"/>
    <m/>
    <m/>
    <x v="1"/>
    <n v="0"/>
    <x v="1"/>
    <m/>
    <m/>
    <m/>
    <m/>
    <m/>
    <s v=""/>
    <n v="0"/>
    <n v="287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54"/>
    <n v="0"/>
    <n v="0"/>
    <n v="0"/>
    <n v="0"/>
    <n v="0"/>
    <n v="700"/>
    <n v="4133038"/>
    <n v="23100000"/>
    <n v="5.0810082075219238"/>
  </r>
  <r>
    <n v="0"/>
    <n v="0"/>
    <n v="4"/>
    <n v="8"/>
    <s v="SPORTS"/>
    <x v="4"/>
    <s v="SMK-QF-01"/>
    <s v="SMK-QF-01SMKSNF3502BL"/>
    <n v="1"/>
    <s v="SMK-QF-011"/>
    <s v="SMK-QF-011-SMKSNF3502BLUEOSM"/>
    <s v="SMK의류외502"/>
    <s v="SMK"/>
    <s v="14FW S"/>
    <m/>
    <s v="SMK"/>
    <s v="SUPER MASSIVE BOUND KIDS"/>
    <s v="F"/>
    <s v="3"/>
    <s v="SN"/>
    <s v="SNAPBACK"/>
    <s v="K"/>
    <n v="502"/>
    <n v="502"/>
    <s v="SMKSNF3502"/>
    <n v="0.5"/>
    <s v="14FW SMB_02_FLAT_BL_N_KIDS"/>
    <s v="BL"/>
    <s v="BLUE"/>
    <s v="SMKSNF3502BL"/>
    <x v="0"/>
    <n v="0.5"/>
    <n v="0"/>
    <n v="1"/>
    <s v="OSM"/>
    <n v="40"/>
    <x v="2"/>
    <n v="1"/>
    <x v="0"/>
    <s v="M"/>
    <s v="CN"/>
    <x v="0"/>
    <n v="35000"/>
    <x v="6"/>
    <n v="3535.3535353535353"/>
    <n v="4565.9000000000005"/>
    <n v="1030.5464646464652"/>
    <m/>
    <n v="180"/>
    <n v="20"/>
    <n v="200"/>
    <n v="3.5"/>
    <n v="0"/>
    <d v="2014-04-04T00:00:00"/>
    <d v="1899-12-30T00:00:00"/>
    <d v="2014-08-01T00:00:00"/>
    <d v="2014-08-01T00:00:00"/>
    <d v="2014-08-04T00:00:00"/>
    <d v="1899-12-30T00:00:00"/>
    <d v="1899-12-30T00:00:00"/>
    <d v="1899-12-30T00:00:00"/>
    <d v="1899-12-30T00:00:00"/>
    <x v="2"/>
    <s v="확정 "/>
    <n v="40"/>
    <n v="0"/>
    <n v="0"/>
    <n v="0"/>
    <n v="0"/>
    <n v="0"/>
    <n v="40"/>
    <n v="182636.00000000003"/>
    <n v="1400000"/>
    <n v="6.9686549898556285"/>
  </r>
  <r>
    <n v="0"/>
    <n v="0"/>
    <n v="4"/>
    <n v="8"/>
    <s v="SPORTS"/>
    <x v="4"/>
    <s v="SMK-QF-01"/>
    <s v="SMK-QF-01SMKSNF3502BL"/>
    <n v="1"/>
    <s v="SMK-QF-011"/>
    <s v="SMK-QF-011-SMKSNF3502BLUEOML"/>
    <s v="SMK의류외502"/>
    <s v="SMK"/>
    <s v="14FW S"/>
    <m/>
    <s v="SMK"/>
    <s v="SUPER MASSIVE BOUND KIDS"/>
    <s v="F"/>
    <s v="3"/>
    <s v="SN"/>
    <s v="SNAPBACK"/>
    <s v="K"/>
    <n v="502"/>
    <n v="502"/>
    <s v="SMKSNF3502"/>
    <n v="0.5"/>
    <s v="14FW SMB_02_FLAT_BL_N_KIDS"/>
    <s v="BL"/>
    <s v="BLUE"/>
    <s v="SMKSNF3502BL"/>
    <x v="0"/>
    <n v="0.5"/>
    <n v="0"/>
    <n v="1"/>
    <s v="OML"/>
    <n v="40"/>
    <x v="2"/>
    <n v="1"/>
    <x v="0"/>
    <s v="M"/>
    <s v="CN"/>
    <x v="0"/>
    <n v="35000"/>
    <x v="6"/>
    <n v="3535.3535353535353"/>
    <n v="4565.9000000000005"/>
    <n v="1030.5464646464652"/>
    <m/>
    <n v="180"/>
    <n v="20"/>
    <n v="200"/>
    <n v="3.5"/>
    <n v="0"/>
    <d v="2014-04-04T00:00:00"/>
    <d v="1899-12-30T00:00:00"/>
    <d v="2014-08-01T00:00:00"/>
    <d v="2014-08-01T00:00:00"/>
    <d v="2014-08-04T00:00:00"/>
    <d v="1899-12-30T00:00:00"/>
    <d v="1899-12-30T00:00:00"/>
    <d v="1899-12-30T00:00:00"/>
    <d v="1899-12-30T00:00:00"/>
    <x v="2"/>
    <s v="확정 "/>
    <n v="40"/>
    <n v="0"/>
    <n v="0"/>
    <n v="0"/>
    <n v="0"/>
    <n v="0"/>
    <n v="40"/>
    <n v="182636.00000000003"/>
    <n v="1400000"/>
    <n v="6.9686549898556285"/>
  </r>
  <r>
    <n v="0"/>
    <n v="0"/>
    <s v=""/>
    <s v=""/>
    <s v=""/>
    <x v="1"/>
    <s v=""/>
    <s v=""/>
    <n v="0"/>
    <s v="0"/>
    <s v="0-"/>
    <n v="0"/>
    <s v="TTL"/>
    <s v=""/>
    <s v="SMK-QF-01 TTL"/>
    <m/>
    <s v=""/>
    <s v=""/>
    <s v=""/>
    <m/>
    <s v=""/>
    <m/>
    <m/>
    <s v=""/>
    <s v=""/>
    <n v="1"/>
    <m/>
    <s v=""/>
    <m/>
    <s v=""/>
    <x v="0"/>
    <n v="1"/>
    <n v="0"/>
    <n v="1"/>
    <m/>
    <n v="80"/>
    <x v="1"/>
    <m/>
    <x v="1"/>
    <m/>
    <m/>
    <x v="1"/>
    <n v="0"/>
    <x v="1"/>
    <m/>
    <m/>
    <m/>
    <m/>
    <m/>
    <s v=""/>
    <n v="0"/>
    <n v="28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80"/>
    <n v="0"/>
    <n v="0"/>
    <n v="0"/>
    <n v="0"/>
    <n v="0"/>
    <n v="80"/>
    <n v="365272.00000000006"/>
    <n v="2800000"/>
    <n v="6.9686549898556285"/>
  </r>
  <r>
    <n v="0"/>
    <n v="0"/>
    <n v="4"/>
    <n v="8"/>
    <s v="SPORTS"/>
    <x v="5"/>
    <s v="SWK-QF-02"/>
    <s v="SWK-QF-02SWKSNF3503PP"/>
    <n v="1"/>
    <s v="SWK-QF-021"/>
    <s v="SWK-QF-021-SWKSNF3503PURPLEXSS"/>
    <s v="SWK의류외503"/>
    <s v="SWK"/>
    <s v="14FW S"/>
    <m/>
    <s v="SWK"/>
    <s v="SUPER MASSIVE BOUND KIDS_W"/>
    <s v="F"/>
    <s v="3"/>
    <s v="SN"/>
    <s v="SNAPBACK"/>
    <s v="K"/>
    <n v="503"/>
    <n v="503"/>
    <s v="SWKSNF3503"/>
    <n v="0.16666666666666666"/>
    <s v="14FW SMB_05_FLAT_L/PP_F_KIDS"/>
    <s v="PP"/>
    <s v="PURPLE"/>
    <s v="SWKSNF3503PP"/>
    <x v="0"/>
    <n v="0.33333333333333331"/>
    <n v="0"/>
    <n v="1"/>
    <s v="XSS"/>
    <n v="300"/>
    <x v="2"/>
    <n v="2"/>
    <x v="4"/>
    <s v="M"/>
    <s v="CN"/>
    <x v="0"/>
    <n v="45000"/>
    <x v="6"/>
    <n v="4545.454545454545"/>
    <n v="5171.68"/>
    <n v="626.22545454545525"/>
    <n v="0"/>
    <n v="1160"/>
    <n v="20"/>
    <n v="1180"/>
    <n v="3.2"/>
    <n v="0"/>
    <d v="2014-04-04T00:00:00"/>
    <d v="1899-12-30T00:00:00"/>
    <d v="2014-08-28T00:00:00"/>
    <d v="2014-08-28T00:00:00"/>
    <d v="2014-08-08T00:00:00"/>
    <d v="2014-08-13T00:00:00"/>
    <d v="1899-12-30T00:00:00"/>
    <d v="1899-12-30T00:00:00"/>
    <d v="1899-12-30T00:00:00"/>
    <x v="2"/>
    <s v="확정 "/>
    <n v="200"/>
    <n v="100"/>
    <n v="0"/>
    <n v="0"/>
    <n v="0"/>
    <n v="0"/>
    <n v="300"/>
    <n v="1551504"/>
    <n v="13500000"/>
    <n v="7.9102131046566893"/>
  </r>
  <r>
    <n v="0"/>
    <n v="0"/>
    <n v="4"/>
    <n v="8"/>
    <s v="SPORTS"/>
    <x v="5"/>
    <s v="SWK-QF-02"/>
    <s v="SWK-QF-02SWKSNF3503PP"/>
    <n v="1"/>
    <s v="SWK-QF-021"/>
    <s v="SWK-QF-021-SWKSNF3503PURPLEOSM"/>
    <s v="SWK의류외503"/>
    <s v="SWK"/>
    <s v="14FW S"/>
    <m/>
    <s v="SWK"/>
    <s v="SUPER MASSIVE BOUND KIDS_W"/>
    <s v="F"/>
    <s v="3"/>
    <s v="SN"/>
    <s v="SNAPBACK"/>
    <s v="K"/>
    <n v="503"/>
    <n v="503"/>
    <s v="SWKSNF3503"/>
    <n v="0.16666666666666666"/>
    <s v="14FW SMB_05_FLAT_L/PP_F_KIDS"/>
    <s v="PP"/>
    <s v="PURPLE"/>
    <s v="SWKSNF3503PP"/>
    <x v="0"/>
    <n v="0.33333333333333331"/>
    <n v="0"/>
    <n v="1"/>
    <s v="OSM"/>
    <n v="70"/>
    <x v="2"/>
    <n v="2"/>
    <x v="4"/>
    <s v="M"/>
    <s v="CN"/>
    <x v="0"/>
    <n v="45000"/>
    <x v="6"/>
    <n v="4545.454545454545"/>
    <n v="5171.68"/>
    <n v="626.22545454545525"/>
    <n v="0"/>
    <n v="1160"/>
    <n v="20"/>
    <n v="1180"/>
    <n v="3.2"/>
    <n v="0"/>
    <d v="2014-04-04T00:00:00"/>
    <d v="1899-12-30T00:00:00"/>
    <d v="2014-08-28T00:00:00"/>
    <d v="2014-08-28T00:00:00"/>
    <d v="2014-08-08T00:00:00"/>
    <d v="2014-08-13T00:00:00"/>
    <d v="1899-12-30T00:00:00"/>
    <d v="1899-12-30T00:00:00"/>
    <d v="1899-12-30T00:00:00"/>
    <x v="2"/>
    <s v="확정 "/>
    <n v="0"/>
    <n v="70"/>
    <n v="0"/>
    <n v="0"/>
    <n v="0"/>
    <n v="0"/>
    <n v="70"/>
    <n v="362017.60000000003"/>
    <n v="3150000"/>
    <n v="7.9102131046566893"/>
  </r>
  <r>
    <n v="0"/>
    <n v="0"/>
    <n v="4"/>
    <n v="8"/>
    <s v="SPORTS"/>
    <x v="5"/>
    <s v="SWK-QF-02"/>
    <s v="SWK-QF-02SWKSNF3503PP"/>
    <n v="1"/>
    <s v="SWK-QF-021"/>
    <s v="SWK-QF-021-SWKSNF3503PURPLEOML"/>
    <s v="SWK의류외503"/>
    <s v="SWK"/>
    <s v="14FW S"/>
    <m/>
    <s v="SWK"/>
    <s v="SUPER MASSIVE BOUND KIDS_W"/>
    <s v="F"/>
    <s v="3"/>
    <s v="SN"/>
    <s v="SNAPBACK"/>
    <s v="K"/>
    <n v="503"/>
    <n v="503"/>
    <s v="SWKSNF3503"/>
    <n v="0.16666666666666666"/>
    <s v="14FW SMB_05_FLAT_L/PP_F_KIDS"/>
    <s v="PP"/>
    <s v="PURPLE"/>
    <s v="SWKSNF3503PP"/>
    <x v="0"/>
    <n v="0.33333333333333331"/>
    <n v="0"/>
    <n v="1"/>
    <s v="OML"/>
    <n v="30"/>
    <x v="2"/>
    <n v="2"/>
    <x v="4"/>
    <s v="M"/>
    <s v="CN"/>
    <x v="0"/>
    <n v="45000"/>
    <x v="6"/>
    <n v="4545.454545454545"/>
    <n v="5171.68"/>
    <n v="626.22545454545525"/>
    <n v="0"/>
    <n v="1160"/>
    <n v="20"/>
    <n v="1180"/>
    <n v="3.2"/>
    <n v="0"/>
    <d v="2014-04-04T00:00:00"/>
    <d v="1899-12-30T00:00:00"/>
    <d v="2014-08-28T00:00:00"/>
    <d v="2014-08-28T00:00:00"/>
    <d v="2014-08-08T00:00:00"/>
    <d v="2014-08-13T00:00:00"/>
    <d v="1899-12-30T00:00:00"/>
    <d v="1899-12-30T00:00:00"/>
    <d v="1899-12-30T00:00:00"/>
    <x v="2"/>
    <s v="확정 "/>
    <n v="0"/>
    <n v="30"/>
    <n v="0"/>
    <n v="0"/>
    <n v="0"/>
    <n v="0"/>
    <n v="30"/>
    <n v="155150.40000000002"/>
    <n v="1350000"/>
    <n v="7.9102131046566884"/>
  </r>
  <r>
    <n v="0"/>
    <n v="0"/>
    <n v="4"/>
    <n v="8"/>
    <s v="SPORTS"/>
    <x v="5"/>
    <s v="SWK-QF-02"/>
    <s v="SWK-QF-02SWKSNF3503PK"/>
    <n v="2"/>
    <s v="SWK-QF-022"/>
    <s v="SWK-QF-022-SWKSNF3503PINKXSS"/>
    <s v="SWK의류외503"/>
    <s v="SWK"/>
    <s v="14FW S"/>
    <m/>
    <s v="SWK"/>
    <s v="SUPER MASSIVE BOUND KIDS_W"/>
    <s v="F"/>
    <s v="3"/>
    <s v="SN"/>
    <s v="SNAPBACK"/>
    <s v="K"/>
    <n v="503"/>
    <n v="503"/>
    <s v="SWKSNF3503"/>
    <n v="0.16666666666666666"/>
    <s v="14FW SMB_05_FLAT_PK_F_KIDS"/>
    <s v="PK"/>
    <s v="PINK"/>
    <s v="SWKSNF3503PK"/>
    <x v="0"/>
    <n v="0.33333333333333331"/>
    <n v="0"/>
    <n v="1"/>
    <s v="XSS"/>
    <n v="300"/>
    <x v="2"/>
    <n v="2"/>
    <x v="4"/>
    <s v="M"/>
    <s v="CN"/>
    <x v="0"/>
    <n v="45000"/>
    <x v="6"/>
    <n v="4545.454545454545"/>
    <n v="5171.68"/>
    <n v="626.22545454545525"/>
    <n v="0"/>
    <n v="1160"/>
    <n v="20"/>
    <n v="1180"/>
    <n v="3.2"/>
    <n v="0"/>
    <d v="2014-04-04T00:00:00"/>
    <d v="1899-12-30T00:00:00"/>
    <d v="2014-08-28T00:00:00"/>
    <d v="2014-08-28T00:00:00"/>
    <d v="2014-08-08T00:00:00"/>
    <d v="2014-08-13T00:00:00"/>
    <d v="1899-12-30T00:00:00"/>
    <d v="1899-12-30T00:00:00"/>
    <d v="1899-12-30T00:00:00"/>
    <x v="2"/>
    <s v="확정 "/>
    <n v="199"/>
    <n v="100"/>
    <n v="0"/>
    <n v="0"/>
    <n v="0"/>
    <n v="0"/>
    <n v="300"/>
    <n v="1551504"/>
    <n v="13500000"/>
    <n v="7.9102131046566893"/>
  </r>
  <r>
    <n v="0"/>
    <n v="0"/>
    <n v="4"/>
    <n v="8"/>
    <s v="SPORTS"/>
    <x v="5"/>
    <s v="SWK-QF-02"/>
    <s v="SWK-QF-02SWKSNF3503PK"/>
    <n v="2"/>
    <s v="SWK-QF-022"/>
    <s v="SWK-QF-022-SWKSNF3503PINKOSM"/>
    <s v="SWK의류외503"/>
    <s v="SWK"/>
    <s v="14FW S"/>
    <m/>
    <s v="SWK"/>
    <s v="SUPER MASSIVE BOUND KIDS_W"/>
    <s v="F"/>
    <s v="3"/>
    <s v="SN"/>
    <s v="SNAPBACK"/>
    <s v="K"/>
    <n v="503"/>
    <n v="503"/>
    <s v="SWKSNF3503"/>
    <n v="0.16666666666666666"/>
    <s v="14FW SMB_05_FLAT_PK_F_KIDS"/>
    <s v="PK"/>
    <s v="PINK"/>
    <s v="SWKSNF3503PK"/>
    <x v="0"/>
    <n v="0.33333333333333331"/>
    <n v="0"/>
    <n v="1"/>
    <s v="OSM"/>
    <n v="70"/>
    <x v="2"/>
    <n v="2"/>
    <x v="4"/>
    <s v="M"/>
    <s v="CN"/>
    <x v="0"/>
    <n v="45000"/>
    <x v="6"/>
    <n v="4545.454545454545"/>
    <n v="5171.68"/>
    <n v="626.22545454545525"/>
    <n v="0"/>
    <n v="1160"/>
    <n v="20"/>
    <n v="1180"/>
    <n v="3.2"/>
    <n v="0"/>
    <d v="2014-04-04T00:00:00"/>
    <d v="1899-12-30T00:00:00"/>
    <d v="2014-08-28T00:00:00"/>
    <d v="2014-08-28T00:00:00"/>
    <d v="2014-08-08T00:00:00"/>
    <d v="2014-08-13T00:00:00"/>
    <d v="1899-12-30T00:00:00"/>
    <d v="1899-12-30T00:00:00"/>
    <d v="1899-12-30T00:00:00"/>
    <x v="2"/>
    <s v="확정 "/>
    <n v="0"/>
    <n v="70"/>
    <n v="0"/>
    <n v="0"/>
    <n v="0"/>
    <n v="0"/>
    <n v="70"/>
    <n v="362017.60000000003"/>
    <n v="3150000"/>
    <n v="7.9102131046566893"/>
  </r>
  <r>
    <n v="0"/>
    <n v="0"/>
    <n v="4"/>
    <n v="8"/>
    <s v="SPORTS"/>
    <x v="5"/>
    <s v="SWK-QF-02"/>
    <s v="SWK-QF-02SWKSNF3503PK"/>
    <n v="2"/>
    <s v="SWK-QF-022"/>
    <s v="SWK-QF-022-SWKSNF3503PINKOML"/>
    <s v="SWK의류외503"/>
    <s v="SWK"/>
    <s v="14FW S"/>
    <m/>
    <s v="SWK"/>
    <s v="SUPER MASSIVE BOUND KIDS_W"/>
    <s v="F"/>
    <s v="3"/>
    <s v="SN"/>
    <s v="SNAPBACK"/>
    <s v="K"/>
    <n v="503"/>
    <n v="503"/>
    <s v="SWKSNF3503"/>
    <n v="0.16666666666666666"/>
    <s v="14FW SMB_05_FLAT_PK_F_KIDS"/>
    <s v="PK"/>
    <s v="PINK"/>
    <s v="SWKSNF3503PK"/>
    <x v="0"/>
    <n v="0.33333333333333331"/>
    <n v="0"/>
    <n v="1"/>
    <s v="OML"/>
    <n v="30"/>
    <x v="2"/>
    <n v="2"/>
    <x v="4"/>
    <s v="M"/>
    <s v="CN"/>
    <x v="0"/>
    <n v="45000"/>
    <x v="6"/>
    <n v="4545.454545454545"/>
    <n v="5171.68"/>
    <n v="626.22545454545525"/>
    <n v="0"/>
    <n v="1160"/>
    <n v="20"/>
    <n v="1180"/>
    <n v="3.2"/>
    <n v="0"/>
    <d v="2014-04-04T00:00:00"/>
    <d v="1899-12-30T00:00:00"/>
    <d v="2014-08-28T00:00:00"/>
    <d v="2014-08-28T00:00:00"/>
    <d v="2014-08-08T00:00:00"/>
    <d v="2014-08-13T00:00:00"/>
    <d v="1899-12-30T00:00:00"/>
    <d v="1899-12-30T00:00:00"/>
    <d v="1899-12-30T00:00:00"/>
    <x v="2"/>
    <s v="확정 "/>
    <n v="0"/>
    <n v="30"/>
    <n v="0"/>
    <n v="0"/>
    <n v="0"/>
    <n v="0"/>
    <n v="30"/>
    <n v="155150.40000000002"/>
    <n v="1350000"/>
    <n v="7.9102131046566884"/>
  </r>
  <r>
    <n v="0"/>
    <n v="0"/>
    <s v=""/>
    <s v=""/>
    <s v=""/>
    <x v="1"/>
    <s v=""/>
    <s v=""/>
    <n v="0"/>
    <s v="0"/>
    <s v="0-"/>
    <n v="0"/>
    <s v="TTL"/>
    <s v=""/>
    <s v="SWK-QF-02 TTL"/>
    <m/>
    <s v=""/>
    <s v=""/>
    <s v=""/>
    <m/>
    <s v=""/>
    <m/>
    <m/>
    <s v=""/>
    <s v=""/>
    <n v="0.99999999999999989"/>
    <m/>
    <s v=""/>
    <m/>
    <s v=""/>
    <x v="0"/>
    <n v="1.9999999999999998"/>
    <n v="0"/>
    <n v="1"/>
    <m/>
    <n v="800"/>
    <x v="1"/>
    <m/>
    <x v="1"/>
    <m/>
    <m/>
    <x v="1"/>
    <n v="0"/>
    <x v="1"/>
    <m/>
    <m/>
    <m/>
    <m/>
    <m/>
    <m/>
    <n v="0"/>
    <n v="256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99"/>
    <n v="400"/>
    <n v="0"/>
    <n v="0"/>
    <n v="0"/>
    <n v="0"/>
    <n v="800"/>
    <n v="4137344"/>
    <n v="36000000"/>
    <n v="7.9102131046566893"/>
  </r>
  <r>
    <n v="0"/>
    <n v="0"/>
    <n v="4"/>
    <n v="9"/>
    <s v="SPORTS"/>
    <x v="4"/>
    <s v="SMK-캡보이2-01"/>
    <s v="SMK-캡보이2-01SMKERF5505NY"/>
    <n v="1"/>
    <s v="SMK-캡보이2-011"/>
    <s v="SMK-캡보이2-011-SMKERF5505NAVYOSM"/>
    <s v="SMK의류외505"/>
    <s v="SMK"/>
    <s v="14FW S"/>
    <m/>
    <s v="SMK"/>
    <s v="SUPER MASSIVE BOUND KIDS"/>
    <s v="F"/>
    <n v="5"/>
    <s v="ER"/>
    <s v="EARCAP"/>
    <s v="K"/>
    <n v="505"/>
    <n v="505"/>
    <s v="SMKERF5505"/>
    <n v="0.5"/>
    <s v="14FW SMB_01_CURVED_NY_N_KIDS"/>
    <s v="NY"/>
    <s v="NAVY"/>
    <s v="SMKERF5505NY"/>
    <x v="0"/>
    <n v="0.5"/>
    <n v="0"/>
    <n v="1"/>
    <s v="OSM"/>
    <n v="150"/>
    <x v="3"/>
    <n v="1"/>
    <x v="0"/>
    <s v="M"/>
    <s v="VT"/>
    <x v="0"/>
    <n v="45000"/>
    <x v="6"/>
    <n v="8181.8181818181811"/>
    <n v="8820"/>
    <n v="638.18181818181893"/>
    <n v="0"/>
    <n v="0"/>
    <n v="20"/>
    <n v="20"/>
    <n v="8"/>
    <n v="0"/>
    <d v="2014-04-04T00:00:00"/>
    <d v="1899-12-30T00:00:00"/>
    <d v="2014-08-28T00:00:00"/>
    <d v="2014-08-28T00:00:00"/>
    <d v="2014-09-19T00:00:00"/>
    <d v="1899-12-30T00:00:00"/>
    <d v="1899-12-30T00:00:00"/>
    <d v="1899-12-30T00:00:00"/>
    <d v="1899-12-30T00:00:00"/>
    <x v="0"/>
    <s v="확정"/>
    <n v="150"/>
    <n v="0"/>
    <n v="0"/>
    <n v="0"/>
    <n v="0"/>
    <n v="0"/>
    <n v="150"/>
    <n v="1323000"/>
    <n v="6750000"/>
    <n v="4.6382189239332092"/>
  </r>
  <r>
    <n v="0"/>
    <n v="0"/>
    <n v="4"/>
    <n v="9"/>
    <s v="SPORTS"/>
    <x v="4"/>
    <s v="SMK-캡보이2-01"/>
    <s v="SMK-캡보이2-01SMKERF5505NY"/>
    <n v="1"/>
    <s v="SMK-캡보이2-011"/>
    <s v="SMK-캡보이2-011-SMKERF5505NAVYOML"/>
    <s v="SMK의류외505"/>
    <s v="SMK"/>
    <s v="14FW S"/>
    <m/>
    <s v="SMK"/>
    <s v="SUPER MASSIVE BOUND KIDS"/>
    <s v="F"/>
    <n v="5"/>
    <s v="ER"/>
    <s v="EARCAP"/>
    <s v="K"/>
    <n v="505"/>
    <n v="505"/>
    <s v="SMKERF5505"/>
    <n v="0.5"/>
    <s v="14FW SMB_01_CURVED_NY_N_KIDS"/>
    <s v="NY"/>
    <s v="NAVY"/>
    <s v="SMKERF5505NY"/>
    <x v="0"/>
    <n v="0.5"/>
    <n v="0"/>
    <n v="1"/>
    <s v="OML"/>
    <n v="150"/>
    <x v="3"/>
    <n v="1"/>
    <x v="0"/>
    <s v="M"/>
    <s v="VT"/>
    <x v="0"/>
    <n v="45000"/>
    <x v="6"/>
    <n v="8181.8181818181811"/>
    <n v="8820"/>
    <n v="638.18181818181893"/>
    <n v="0"/>
    <n v="0"/>
    <n v="20"/>
    <n v="20"/>
    <n v="8"/>
    <n v="0"/>
    <d v="2014-04-04T00:00:00"/>
    <d v="1899-12-30T00:00:00"/>
    <d v="2014-08-28T00:00:00"/>
    <d v="2014-08-28T00:00:00"/>
    <d v="2014-09-19T00:00:00"/>
    <d v="1899-12-30T00:00:00"/>
    <d v="1899-12-30T00:00:00"/>
    <d v="1899-12-30T00:00:00"/>
    <d v="1899-12-30T00:00:00"/>
    <x v="0"/>
    <s v="확정"/>
    <n v="150"/>
    <n v="0"/>
    <n v="0"/>
    <n v="0"/>
    <n v="0"/>
    <n v="0"/>
    <n v="150"/>
    <n v="1323000"/>
    <n v="6750000"/>
    <n v="4.6382189239332092"/>
  </r>
  <r>
    <n v="0"/>
    <n v="0"/>
    <s v=""/>
    <s v=""/>
    <s v=""/>
    <x v="1"/>
    <s v=""/>
    <s v=""/>
    <n v="0"/>
    <s v="0"/>
    <s v="0-"/>
    <n v="0"/>
    <s v="TTL"/>
    <s v=""/>
    <s v="SMK-캡보이2-01 TTL"/>
    <m/>
    <s v=""/>
    <s v=""/>
    <s v=""/>
    <m/>
    <s v=""/>
    <m/>
    <m/>
    <s v=""/>
    <s v=""/>
    <n v="1"/>
    <m/>
    <s v=""/>
    <m/>
    <s v=""/>
    <x v="0"/>
    <n v="1"/>
    <n v="0"/>
    <n v="1"/>
    <m/>
    <n v="300"/>
    <x v="1"/>
    <m/>
    <x v="1"/>
    <m/>
    <m/>
    <x v="1"/>
    <n v="0"/>
    <x v="1"/>
    <m/>
    <m/>
    <m/>
    <m/>
    <m/>
    <s v=""/>
    <n v="0"/>
    <n v="240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00"/>
    <n v="0"/>
    <n v="0"/>
    <n v="0"/>
    <n v="0"/>
    <n v="0"/>
    <n v="300"/>
    <n v="2646000"/>
    <n v="13500000"/>
    <n v="4.6382189239332092"/>
  </r>
  <r>
    <n v="0"/>
    <n v="0.5"/>
    <n v="4"/>
    <n v="10"/>
    <s v="SPORTS"/>
    <x v="4"/>
    <s v="SMK-동일모자-02"/>
    <s v="SMK-동일모자-02SMKERF5506NY"/>
    <n v="1"/>
    <s v="SMK-동일모자-021"/>
    <s v="SMK-동일모자-021-SMKERF5506NAVYOSM"/>
    <s v="SMK의류외506"/>
    <s v="SMK"/>
    <s v="14FW S"/>
    <m/>
    <s v="SMK"/>
    <s v="SUPER MASSIVE BOUND KIDS"/>
    <s v="F"/>
    <n v="5"/>
    <s v="ER"/>
    <s v="EARCAP"/>
    <s v="K"/>
    <n v="506"/>
    <n v="506"/>
    <s v="SMKERF5506"/>
    <n v="0.5"/>
    <s v="14FW SMB_08_CURVED_NY_N_KIDS"/>
    <s v="NY"/>
    <s v="NAVY"/>
    <s v="SMKERF5506NY"/>
    <x v="0"/>
    <n v="0.5"/>
    <n v="0"/>
    <n v="1"/>
    <s v="OSM"/>
    <n v="150"/>
    <x v="5"/>
    <n v="2"/>
    <x v="4"/>
    <s v="M"/>
    <s v="CN"/>
    <x v="0"/>
    <n v="45000"/>
    <x v="6"/>
    <n v="6818.1818181818171"/>
    <n v="7855.1800000000012"/>
    <n v="1036.9981818181841"/>
    <n v="725"/>
    <n v="0"/>
    <n v="20"/>
    <n v="745"/>
    <n v="5.7"/>
    <n v="0"/>
    <d v="2014-04-04T00:00:00"/>
    <d v="1899-12-30T00:00:00"/>
    <d v="2014-08-28T00:00:00"/>
    <d v="2014-08-28T00:00:00"/>
    <d v="2014-10-22T00:00:00"/>
    <m/>
    <m/>
    <d v="1899-12-30T00:00:00"/>
    <d v="1899-12-30T00:00:00"/>
    <x v="2"/>
    <s v="확정 "/>
    <n v="149"/>
    <n v="0"/>
    <n v="0"/>
    <n v="0"/>
    <n v="0"/>
    <n v="0"/>
    <n v="150"/>
    <n v="1178277.0000000002"/>
    <n v="6750000"/>
    <n v="5.2079126015051083"/>
  </r>
  <r>
    <n v="0"/>
    <n v="0.5"/>
    <n v="4"/>
    <n v="10"/>
    <s v="SPORTS"/>
    <x v="4"/>
    <s v="SMK-동일모자-02"/>
    <s v="SMK-동일모자-02SMKERF5506NY"/>
    <n v="1"/>
    <s v="SMK-동일모자-021"/>
    <s v="SMK-동일모자-021-SMKERF5506NAVYOML"/>
    <s v="SMK의류외506"/>
    <s v="SMK"/>
    <s v="14FW S"/>
    <m/>
    <s v="SMK"/>
    <s v="SUPER MASSIVE BOUND KIDS"/>
    <s v="F"/>
    <n v="5"/>
    <s v="ER"/>
    <s v="EARCAP"/>
    <s v="K"/>
    <n v="506"/>
    <n v="506"/>
    <s v="SMKERF5506"/>
    <n v="0.5"/>
    <s v="14FW SMB_08_CURVED_NY_N_KIDS"/>
    <s v="NY"/>
    <s v="NAVY"/>
    <s v="SMKERF5506NY"/>
    <x v="0"/>
    <n v="0.5"/>
    <n v="0"/>
    <n v="1"/>
    <s v="OML"/>
    <n v="150"/>
    <x v="5"/>
    <n v="2"/>
    <x v="4"/>
    <s v="M"/>
    <s v="CN"/>
    <x v="0"/>
    <n v="45000"/>
    <x v="6"/>
    <n v="6818.1818181818171"/>
    <n v="7855.1800000000012"/>
    <n v="1036.9981818181841"/>
    <n v="725"/>
    <n v="0"/>
    <n v="20"/>
    <n v="745"/>
    <n v="5.7"/>
    <n v="0"/>
    <d v="2014-04-04T00:00:00"/>
    <d v="1899-12-30T00:00:00"/>
    <d v="2014-08-28T00:00:00"/>
    <d v="2014-08-28T00:00:00"/>
    <d v="2014-10-22T00:00:00"/>
    <m/>
    <m/>
    <d v="1899-12-30T00:00:00"/>
    <d v="1899-12-30T00:00:00"/>
    <x v="2"/>
    <s v="확정 "/>
    <n v="149"/>
    <n v="0"/>
    <n v="0"/>
    <n v="0"/>
    <n v="0"/>
    <n v="0"/>
    <n v="150"/>
    <n v="1178277.0000000002"/>
    <n v="6750000"/>
    <n v="5.2079126015051083"/>
  </r>
  <r>
    <n v="0"/>
    <n v="0"/>
    <s v=""/>
    <s v=""/>
    <s v=""/>
    <x v="1"/>
    <s v=""/>
    <s v=""/>
    <n v="0"/>
    <s v="0"/>
    <s v="0-"/>
    <n v="0"/>
    <s v="TTL"/>
    <s v=""/>
    <s v="SMK-동일모자-02 TTL"/>
    <m/>
    <s v=""/>
    <s v=""/>
    <s v=""/>
    <m/>
    <s v=""/>
    <m/>
    <m/>
    <s v=""/>
    <s v=""/>
    <n v="1"/>
    <m/>
    <s v=""/>
    <m/>
    <s v=""/>
    <x v="0"/>
    <n v="1"/>
    <n v="0"/>
    <n v="1"/>
    <m/>
    <n v="300"/>
    <x v="1"/>
    <m/>
    <x v="1"/>
    <m/>
    <m/>
    <x v="1"/>
    <n v="0"/>
    <x v="1"/>
    <m/>
    <m/>
    <m/>
    <m/>
    <m/>
    <m/>
    <n v="0"/>
    <n v="171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98"/>
    <n v="0"/>
    <n v="0"/>
    <n v="0"/>
    <n v="0"/>
    <n v="0"/>
    <n v="300"/>
    <n v="2356554.0000000005"/>
    <n v="13500000"/>
    <n v="5.2079126015051083"/>
  </r>
  <r>
    <n v="0"/>
    <n v="0.5"/>
    <n v="4"/>
    <n v="10"/>
    <s v="SPORTS"/>
    <x v="5"/>
    <s v="SWK-동일모자-05"/>
    <s v="SWK-동일모자-05SWKERF5506YE"/>
    <n v="1"/>
    <s v="SWK-동일모자-051"/>
    <s v="SWK-동일모자-051-SWKERF5506YELLOWOSM"/>
    <s v="SWK의류외506"/>
    <s v="SWK"/>
    <s v="14FW S"/>
    <m/>
    <s v="SWK"/>
    <s v="SUPER MASSIVE BOUND KIDS_W"/>
    <s v="F"/>
    <n v="5"/>
    <s v="ER"/>
    <s v="EARCAP"/>
    <s v="K"/>
    <n v="506"/>
    <n v="506"/>
    <s v="SWKERF5506"/>
    <n v="0.5"/>
    <s v="14FW SMB_08_CURVED_YE_F_KIDS"/>
    <s v="YE"/>
    <s v="YELLOW"/>
    <s v="SWKERF5506YE"/>
    <x v="0"/>
    <n v="0.5"/>
    <n v="0"/>
    <n v="1"/>
    <s v="OSM"/>
    <n v="150"/>
    <x v="5"/>
    <n v="5"/>
    <x v="5"/>
    <s v="M"/>
    <s v="CN"/>
    <x v="0"/>
    <n v="49000"/>
    <x v="6"/>
    <n v="7424.242424242424"/>
    <n v="9133.18"/>
    <n v="1708.9375757575763"/>
    <n v="1023"/>
    <n v="980"/>
    <n v="20"/>
    <n v="2023"/>
    <n v="5.7"/>
    <n v="0"/>
    <d v="2014-04-04T00:00:00"/>
    <d v="1899-12-30T00:00:00"/>
    <d v="2014-08-28T00:00:00"/>
    <d v="2014-08-28T00:00:00"/>
    <d v="2014-10-20T00:00:00"/>
    <m/>
    <d v="1899-12-30T00:00:00"/>
    <d v="1899-12-30T00:00:00"/>
    <d v="1899-12-30T00:00:00"/>
    <x v="2"/>
    <s v="확정 "/>
    <n v="149"/>
    <n v="0"/>
    <n v="0"/>
    <n v="0"/>
    <n v="0"/>
    <n v="0"/>
    <n v="150"/>
    <n v="1369977"/>
    <n v="7350000"/>
    <n v="4.8773214308110147"/>
  </r>
  <r>
    <n v="0"/>
    <n v="0.5"/>
    <n v="4"/>
    <n v="10"/>
    <s v="SPORTS"/>
    <x v="5"/>
    <s v="SWK-동일모자-05"/>
    <s v="SWK-동일모자-05SWKERF5506YE"/>
    <n v="1"/>
    <s v="SWK-동일모자-051"/>
    <s v="SWK-동일모자-051-SWKERF5506YELLOWOML"/>
    <s v="SWK의류외506"/>
    <s v="SWK"/>
    <s v="14FW S"/>
    <m/>
    <s v="SWK"/>
    <s v="SUPER MASSIVE BOUND KIDS_W"/>
    <s v="F"/>
    <n v="5"/>
    <s v="ER"/>
    <s v="EARCAP"/>
    <s v="K"/>
    <n v="506"/>
    <n v="506"/>
    <s v="SWKERF5506"/>
    <n v="0.5"/>
    <s v="14FW SMB_08_CURVED_YE_F_KIDS"/>
    <s v="YE"/>
    <s v="YELLOW"/>
    <s v="SWKERF5506YE"/>
    <x v="0"/>
    <n v="0.5"/>
    <n v="0"/>
    <n v="1"/>
    <s v="OML"/>
    <n v="150"/>
    <x v="5"/>
    <n v="5"/>
    <x v="5"/>
    <s v="M"/>
    <s v="CN"/>
    <x v="0"/>
    <n v="49000"/>
    <x v="6"/>
    <n v="7424.242424242424"/>
    <n v="9133.18"/>
    <n v="1708.9375757575763"/>
    <n v="1023"/>
    <n v="980"/>
    <n v="20"/>
    <n v="2023"/>
    <n v="5.7"/>
    <n v="0"/>
    <d v="2014-04-04T00:00:00"/>
    <d v="1899-12-30T00:00:00"/>
    <d v="2014-08-28T00:00:00"/>
    <d v="2014-08-28T00:00:00"/>
    <d v="2014-10-20T00:00:00"/>
    <m/>
    <d v="1899-12-30T00:00:00"/>
    <d v="1899-12-30T00:00:00"/>
    <d v="1899-12-30T00:00:00"/>
    <x v="2"/>
    <s v="확정 "/>
    <n v="149"/>
    <n v="0"/>
    <n v="0"/>
    <n v="0"/>
    <n v="0"/>
    <n v="0"/>
    <n v="150"/>
    <n v="1369977"/>
    <n v="7350000"/>
    <n v="4.8773214308110147"/>
  </r>
  <r>
    <n v="0"/>
    <n v="0"/>
    <s v=""/>
    <s v=""/>
    <s v=""/>
    <x v="1"/>
    <s v=""/>
    <s v=""/>
    <n v="0"/>
    <s v="0"/>
    <s v="0-"/>
    <n v="0"/>
    <s v="TTL"/>
    <s v=""/>
    <s v="SWK-동일모자-05 TTL"/>
    <m/>
    <s v=""/>
    <s v=""/>
    <s v=""/>
    <m/>
    <s v=""/>
    <m/>
    <m/>
    <s v=""/>
    <s v=""/>
    <n v="1"/>
    <m/>
    <s v=""/>
    <m/>
    <s v=""/>
    <x v="0"/>
    <n v="1"/>
    <n v="0"/>
    <n v="1"/>
    <m/>
    <n v="300"/>
    <x v="1"/>
    <m/>
    <x v="1"/>
    <m/>
    <m/>
    <x v="1"/>
    <n v="0"/>
    <x v="1"/>
    <m/>
    <m/>
    <m/>
    <m/>
    <n v="0"/>
    <s v=""/>
    <n v="0"/>
    <n v="171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98"/>
    <n v="0"/>
    <n v="0"/>
    <n v="0"/>
    <n v="0"/>
    <n v="0"/>
    <n v="300"/>
    <n v="2739954"/>
    <n v="14700000"/>
    <n v="4.8773214308110147"/>
  </r>
  <r>
    <n v="0"/>
    <n v="0.5"/>
    <n v="4"/>
    <n v="9"/>
    <s v="F-HAT"/>
    <x v="6"/>
    <s v="WTK-동일모자-12"/>
    <s v="WTK-동일모자-12WTKBAF5504RE"/>
    <n v="1"/>
    <s v="WTK-동일모자-121"/>
    <s v="WTK-동일모자-121-WTKBAF5504REDOSM"/>
    <s v="WTK의류외504"/>
    <s v="WTK"/>
    <s v="14FW W"/>
    <m/>
    <s v="WTK"/>
    <s v="WITAILOR KIDS"/>
    <s v="F"/>
    <n v="5"/>
    <s v="BA"/>
    <s v="BASIC CAP"/>
    <s v="K"/>
    <n v="504"/>
    <n v="504"/>
    <s v="WTKBAF5504"/>
    <n v="0.5"/>
    <s v="14FW WITAILOR CAP-05-RD_KIDS"/>
    <s v="RE"/>
    <s v="RED"/>
    <s v="WTKBAF5504RE"/>
    <x v="0"/>
    <n v="0.5"/>
    <n v="0"/>
    <n v="1"/>
    <s v="OSM"/>
    <n v="200"/>
    <x v="5"/>
    <n v="12"/>
    <x v="11"/>
    <s v="M"/>
    <s v="CN"/>
    <x v="0"/>
    <n v="49000"/>
    <x v="6"/>
    <n v="7424.242424242424"/>
    <n v="7748.6300000000019"/>
    <n v="324.38757575757791"/>
    <n v="1374"/>
    <n v="180"/>
    <n v="20"/>
    <n v="1574"/>
    <n v="4.95"/>
    <n v="0"/>
    <d v="2014-04-18T00:00:00"/>
    <d v="1899-12-30T00:00:00"/>
    <d v="2014-07-24T00:00:00"/>
    <d v="2014-08-30T00:00:00"/>
    <d v="2014-09-02T00:00:00"/>
    <d v="2014-09-30T00:00:00"/>
    <d v="1899-12-30T00:00:00"/>
    <d v="1899-12-30T00:00:00"/>
    <d v="1899-12-30T00:00:00"/>
    <x v="2"/>
    <s v="확정 "/>
    <n v="160"/>
    <n v="31"/>
    <n v="0"/>
    <n v="0"/>
    <n v="0"/>
    <n v="0"/>
    <n v="200"/>
    <n v="1549726.0000000005"/>
    <n v="9800000"/>
    <n v="5.7488168289690602"/>
  </r>
  <r>
    <n v="0"/>
    <n v="0.5"/>
    <n v="4"/>
    <n v="9"/>
    <s v="F-HAT"/>
    <x v="6"/>
    <s v="WTK-동일모자-12"/>
    <s v="WTK-동일모자-12WTKBAF5504RE"/>
    <n v="1"/>
    <s v="WTK-동일모자-121"/>
    <s v="WTK-동일모자-121-WTKBAF5504REDOML"/>
    <s v="WTK의류외504"/>
    <s v="WTK"/>
    <s v="14FW W"/>
    <m/>
    <s v="WTK"/>
    <s v="WITAILOR KIDS"/>
    <s v="F"/>
    <n v="5"/>
    <s v="BA"/>
    <s v="BASIC CAP"/>
    <s v="K"/>
    <n v="504"/>
    <n v="504"/>
    <s v="WTKBAF5504"/>
    <n v="0.5"/>
    <s v="14FW WITAILOR CAP-05-RD_KIDS"/>
    <s v="RE"/>
    <s v="RED"/>
    <s v="WTKBAF5504RE"/>
    <x v="0"/>
    <n v="0.5"/>
    <n v="0"/>
    <n v="1"/>
    <s v="OML"/>
    <n v="100"/>
    <x v="5"/>
    <n v="12"/>
    <x v="11"/>
    <s v="M"/>
    <s v="CN"/>
    <x v="0"/>
    <n v="49000"/>
    <x v="6"/>
    <n v="7424.242424242424"/>
    <n v="7748.6300000000019"/>
    <n v="324.38757575757791"/>
    <n v="1374"/>
    <n v="180"/>
    <n v="20"/>
    <n v="1574"/>
    <n v="4.95"/>
    <n v="0"/>
    <d v="2014-04-18T00:00:00"/>
    <d v="1899-12-30T00:00:00"/>
    <d v="2014-07-24T00:00:00"/>
    <d v="2014-08-30T00:00:00"/>
    <d v="2014-09-02T00:00:00"/>
    <d v="2014-09-30T00:00:00"/>
    <d v="1899-12-30T00:00:00"/>
    <d v="1899-12-30T00:00:00"/>
    <d v="1899-12-30T00:00:00"/>
    <x v="2"/>
    <s v="확정 "/>
    <n v="98"/>
    <n v="0"/>
    <n v="0"/>
    <n v="0"/>
    <n v="0"/>
    <n v="0"/>
    <n v="100"/>
    <n v="774863.00000000023"/>
    <n v="4900000"/>
    <n v="5.7488168289690602"/>
  </r>
  <r>
    <n v="0"/>
    <n v="0.5"/>
    <n v="4"/>
    <n v="9"/>
    <s v="F-HAT"/>
    <x v="6"/>
    <s v="WTK-동일모자-12"/>
    <s v="WTK-동일모자-12WTKBAF5505BW"/>
    <n v="2"/>
    <s v="WTK-동일모자-122"/>
    <s v="WTK-동일모자-122-WTKBAF5505BROWNOSM"/>
    <s v="WTK의류외505"/>
    <s v="WTK"/>
    <s v="14FW W"/>
    <m/>
    <s v="WTK"/>
    <s v="WITAILOR KIDS"/>
    <s v="F"/>
    <n v="5"/>
    <s v="BA"/>
    <s v="BASIC CAP"/>
    <s v="K"/>
    <n v="505"/>
    <n v="505"/>
    <s v="WTKBAF5505"/>
    <n v="0.5"/>
    <s v="14FW WITAILOR CAP-06-BR_KIDS"/>
    <s v="BW"/>
    <s v="BROWN"/>
    <s v="WTKBAF5505BW"/>
    <x v="0"/>
    <n v="0.5"/>
    <n v="0"/>
    <n v="1"/>
    <s v="OSM"/>
    <n v="200"/>
    <x v="5"/>
    <n v="12"/>
    <x v="11"/>
    <s v="M"/>
    <s v="CN"/>
    <x v="0"/>
    <n v="49000"/>
    <x v="6"/>
    <n v="7424.242424242424"/>
    <n v="8424.8500000000022"/>
    <n v="1000.6075757575782"/>
    <n v="1676"/>
    <n v="180"/>
    <n v="20"/>
    <n v="1876"/>
    <n v="5.25"/>
    <n v="0"/>
    <d v="2014-04-18T00:00:00"/>
    <d v="1899-12-30T00:00:00"/>
    <d v="2014-07-24T00:00:00"/>
    <d v="2014-08-30T00:00:00"/>
    <d v="2014-09-02T00:00:00"/>
    <d v="2014-09-30T00:00:00"/>
    <d v="1899-12-30T00:00:00"/>
    <d v="1899-12-30T00:00:00"/>
    <d v="1899-12-30T00:00:00"/>
    <x v="2"/>
    <s v="확정 "/>
    <n v="119"/>
    <n v="29"/>
    <n v="0"/>
    <n v="0"/>
    <n v="0"/>
    <m/>
    <n v="200"/>
    <n v="1684970.0000000005"/>
    <n v="9800000"/>
    <n v="5.2873884455455622"/>
  </r>
  <r>
    <n v="0"/>
    <n v="0.5"/>
    <n v="4"/>
    <n v="9"/>
    <s v="F-HAT"/>
    <x v="6"/>
    <s v="WTK-동일모자-12"/>
    <s v="WTK-동일모자-12WTKBAF5505BW"/>
    <n v="2"/>
    <s v="WTK-동일모자-122"/>
    <s v="WTK-동일모자-122-WTKBAF5505BROWNOML"/>
    <s v="WTK의류외505"/>
    <s v="WTK"/>
    <s v="14FW W"/>
    <m/>
    <s v="WTK"/>
    <s v="WITAILOR KIDS"/>
    <s v="F"/>
    <n v="5"/>
    <s v="BA"/>
    <s v="BASIC CAP"/>
    <s v="K"/>
    <n v="505"/>
    <n v="505"/>
    <s v="WTKBAF5505"/>
    <n v="0.5"/>
    <s v="14FW WITAILOR CAP-06-BR_KIDS"/>
    <s v="BW"/>
    <s v="BROWN"/>
    <s v="WTKBAF5505BW"/>
    <x v="0"/>
    <n v="0.5"/>
    <n v="0"/>
    <n v="1"/>
    <s v="OML"/>
    <n v="100"/>
    <x v="5"/>
    <n v="12"/>
    <x v="11"/>
    <s v="M"/>
    <s v="CN"/>
    <x v="0"/>
    <n v="49000"/>
    <x v="6"/>
    <n v="7424.242424242424"/>
    <n v="8424.8500000000022"/>
    <n v="1000.6075757575782"/>
    <n v="1676"/>
    <n v="180"/>
    <n v="20"/>
    <n v="1876"/>
    <n v="5.25"/>
    <n v="0"/>
    <d v="2014-04-18T00:00:00"/>
    <d v="1899-12-30T00:00:00"/>
    <d v="2014-07-24T00:00:00"/>
    <d v="2014-08-30T00:00:00"/>
    <d v="2014-09-02T00:00:00"/>
    <d v="2014-09-30T00:00:00"/>
    <d v="1899-12-30T00:00:00"/>
    <d v="1899-12-30T00:00:00"/>
    <d v="1899-12-30T00:00:00"/>
    <x v="2"/>
    <s v="확정 "/>
    <n v="87"/>
    <n v="6"/>
    <n v="0"/>
    <n v="0"/>
    <n v="0"/>
    <n v="0"/>
    <n v="100"/>
    <n v="842485.00000000023"/>
    <n v="4900000"/>
    <n v="5.2873884455455622"/>
  </r>
  <r>
    <n v="0"/>
    <n v="0.5"/>
    <n v="4"/>
    <n v="9"/>
    <s v="F-HAT"/>
    <x v="6"/>
    <s v="WTK-동일모자-12"/>
    <s v="WTK-동일모자-12WTKBAF5506BG"/>
    <n v="3"/>
    <s v="WTK-동일모자-123"/>
    <s v="WTK-동일모자-123-WTKBAF5506BEIGEOSM"/>
    <s v="WTK의류외506"/>
    <s v="WTK"/>
    <s v="14FW W"/>
    <m/>
    <s v="WTK"/>
    <s v="WITAILOR KIDS"/>
    <s v="F"/>
    <n v="5"/>
    <s v="BA"/>
    <s v="BASIC CAP"/>
    <s v="K"/>
    <n v="506"/>
    <n v="506"/>
    <s v="WTKBAF5506"/>
    <n v="0.5"/>
    <s v="14FW WITAILOR CAP-16-BG_KIDS"/>
    <s v="BG"/>
    <s v="BEIGE"/>
    <s v="WTKBAF5506BG"/>
    <x v="0"/>
    <n v="0.5"/>
    <n v="0"/>
    <n v="1"/>
    <s v="OSM"/>
    <n v="200"/>
    <x v="5"/>
    <n v="12"/>
    <x v="11"/>
    <s v="M"/>
    <s v="CN"/>
    <x v="0"/>
    <n v="49000"/>
    <x v="6"/>
    <n v="7424.242424242424"/>
    <n v="7460.2200000000012"/>
    <n v="35.977575757577142"/>
    <n v="649"/>
    <n v="180"/>
    <n v="20"/>
    <n v="849"/>
    <n v="5.3"/>
    <n v="0"/>
    <d v="2014-04-18T00:00:00"/>
    <d v="1899-12-30T00:00:00"/>
    <d v="2014-07-24T00:00:00"/>
    <d v="2014-08-30T00:00:00"/>
    <d v="2014-09-02T00:00:00"/>
    <d v="2014-09-30T00:00:00"/>
    <d v="1899-12-30T00:00:00"/>
    <d v="1899-12-30T00:00:00"/>
    <d v="1899-12-30T00:00:00"/>
    <x v="2"/>
    <s v="확정 "/>
    <n v="165"/>
    <n v="45"/>
    <n v="0"/>
    <n v="0"/>
    <n v="0"/>
    <n v="0"/>
    <n v="200"/>
    <n v="1492044.0000000002"/>
    <n v="9800000"/>
    <n v="5.9710644653179843"/>
  </r>
  <r>
    <n v="0"/>
    <n v="0.5"/>
    <n v="4"/>
    <n v="9"/>
    <s v="F-HAT"/>
    <x v="6"/>
    <s v="WTK-동일모자-12"/>
    <s v="WTK-동일모자-12WTKBAF5506BG"/>
    <n v="3"/>
    <s v="WTK-동일모자-123"/>
    <s v="WTK-동일모자-123-WTKBAF5506BEIGEOML"/>
    <s v="WTK의류외506"/>
    <s v="WTK"/>
    <s v="14FW W"/>
    <m/>
    <s v="WTK"/>
    <s v="WITAILOR KIDS"/>
    <s v="F"/>
    <n v="5"/>
    <s v="BA"/>
    <s v="BASIC CAP"/>
    <s v="K"/>
    <n v="506"/>
    <n v="506"/>
    <s v="WTKBAF5506"/>
    <n v="0.5"/>
    <s v="14FW WITAILOR CAP-16-BG_KIDS"/>
    <s v="BG"/>
    <s v="BEIGE"/>
    <s v="WTKBAF5506BG"/>
    <x v="0"/>
    <n v="0.5"/>
    <n v="0"/>
    <n v="1"/>
    <s v="OML"/>
    <n v="100"/>
    <x v="5"/>
    <n v="12"/>
    <x v="11"/>
    <s v="M"/>
    <s v="CN"/>
    <x v="0"/>
    <n v="49000"/>
    <x v="6"/>
    <n v="7424.242424242424"/>
    <n v="7460.2200000000012"/>
    <n v="35.977575757577142"/>
    <n v="649"/>
    <n v="180"/>
    <n v="20"/>
    <n v="849"/>
    <n v="5.3"/>
    <n v="0"/>
    <d v="2014-04-18T00:00:00"/>
    <d v="1899-12-30T00:00:00"/>
    <d v="2014-07-24T00:00:00"/>
    <d v="2014-08-30T00:00:00"/>
    <d v="2014-09-02T00:00:00"/>
    <d v="2014-09-30T00:00:00"/>
    <d v="1899-12-30T00:00:00"/>
    <d v="1899-12-30T00:00:00"/>
    <d v="1899-12-30T00:00:00"/>
    <x v="2"/>
    <s v="확정 "/>
    <n v="87"/>
    <n v="5"/>
    <n v="0"/>
    <n v="0"/>
    <n v="0"/>
    <n v="0"/>
    <n v="100"/>
    <n v="746022.00000000012"/>
    <n v="4900000"/>
    <n v="5.9710644653179843"/>
  </r>
  <r>
    <n v="0"/>
    <n v="0"/>
    <s v=""/>
    <s v=""/>
    <s v=""/>
    <x v="1"/>
    <s v=""/>
    <s v=""/>
    <n v="0"/>
    <s v="0"/>
    <s v="0-"/>
    <n v="0"/>
    <s v="TTL"/>
    <s v=""/>
    <s v="WTK-동일모자-12 TTL"/>
    <m/>
    <s v=""/>
    <s v=""/>
    <s v=""/>
    <m/>
    <m/>
    <m/>
    <m/>
    <s v=""/>
    <s v=""/>
    <n v="3"/>
    <m/>
    <s v=""/>
    <m/>
    <s v=""/>
    <x v="0"/>
    <n v="3"/>
    <n v="0"/>
    <n v="1"/>
    <m/>
    <n v="900"/>
    <x v="1"/>
    <m/>
    <x v="1"/>
    <m/>
    <m/>
    <x v="1"/>
    <n v="0"/>
    <x v="1"/>
    <m/>
    <m/>
    <m/>
    <m/>
    <m/>
    <m/>
    <n v="0"/>
    <n v="465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716"/>
    <n v="116"/>
    <n v="0"/>
    <n v="0"/>
    <n v="0"/>
    <n v="0"/>
    <n v="900"/>
    <n v="7090110.0000000019"/>
    <n v="44100000"/>
    <n v="5.6544833706259956"/>
  </r>
  <r>
    <n v="0"/>
    <n v="0.5"/>
    <n v="4"/>
    <n v="10"/>
    <s v="F-HAT"/>
    <x v="6"/>
    <s v="WTK-동일모자-13"/>
    <s v="WTK-동일모자-13WTKERF5511BG"/>
    <n v="1"/>
    <s v="WTK-동일모자-131"/>
    <s v="WTK-동일모자-131-WTKERF5511BEIGEOSM"/>
    <s v="WTK의류외511"/>
    <s v="WTK"/>
    <s v="14FW W"/>
    <m/>
    <s v="WTK"/>
    <s v="WITAILOR KIDS"/>
    <s v="F"/>
    <n v="5"/>
    <s v="ER"/>
    <s v="EARCAP"/>
    <s v="K"/>
    <n v="511"/>
    <n v="511"/>
    <s v="WTKERF5511"/>
    <n v="0.5"/>
    <s v="14FW WITAILOR CAP-14-BG_KIDS"/>
    <s v="BG"/>
    <s v="BEIGE"/>
    <s v="WTKERF5511BG"/>
    <x v="0"/>
    <n v="0.5"/>
    <n v="0"/>
    <n v="1"/>
    <s v="OSM"/>
    <n v="300"/>
    <x v="5"/>
    <n v="13"/>
    <x v="12"/>
    <s v="M"/>
    <s v="CN"/>
    <x v="0"/>
    <n v="55000"/>
    <x v="6"/>
    <n v="8333.3333333333321"/>
    <n v="8977.1"/>
    <n v="643.76666666666824"/>
    <n v="669"/>
    <n v="180"/>
    <n v="20"/>
    <n v="869"/>
    <n v="6.5"/>
    <n v="0"/>
    <d v="2014-04-18T00:00:00"/>
    <d v="1899-12-30T00:00:00"/>
    <d v="2014-08-28T00:00:00"/>
    <d v="2014-09-20T00:00:00"/>
    <d v="2014-10-20T00:00:00"/>
    <d v="2014-10-28T00:00:00"/>
    <m/>
    <d v="1899-12-30T00:00:00"/>
    <d v="1899-12-30T00:00:00"/>
    <x v="2"/>
    <s v="확정 "/>
    <n v="200"/>
    <n v="100"/>
    <n v="0"/>
    <n v="0"/>
    <n v="0"/>
    <n v="0"/>
    <n v="300"/>
    <n v="2693130"/>
    <n v="16500000"/>
    <n v="5.569727417540185"/>
  </r>
  <r>
    <n v="0"/>
    <n v="0.5"/>
    <n v="4"/>
    <n v="10"/>
    <s v="F-HAT"/>
    <x v="6"/>
    <s v="WTK-동일모자-13"/>
    <s v="WTK-동일모자-13WTKERF5511BG"/>
    <n v="1"/>
    <s v="WTK-동일모자-131"/>
    <s v="WTK-동일모자-131-WTKERF5511BEIGEOML"/>
    <s v="WTK의류외511"/>
    <s v="WTK"/>
    <s v="14FW W"/>
    <m/>
    <s v="WTK"/>
    <s v="WITAILOR KIDS"/>
    <s v="F"/>
    <n v="5"/>
    <s v="ER"/>
    <s v="EARCAP"/>
    <s v="K"/>
    <n v="511"/>
    <n v="511"/>
    <s v="WTKERF5511"/>
    <n v="0.5"/>
    <s v="14FW WITAILOR CAP-14-BG_KIDS"/>
    <s v="BG"/>
    <s v="BEIGE"/>
    <s v="WTKERF5511BG"/>
    <x v="0"/>
    <n v="0.5"/>
    <n v="0"/>
    <n v="1"/>
    <s v="OML"/>
    <n v="100"/>
    <x v="5"/>
    <n v="13"/>
    <x v="12"/>
    <s v="M"/>
    <s v="CN"/>
    <x v="0"/>
    <n v="55000"/>
    <x v="6"/>
    <n v="8333.3333333333321"/>
    <n v="8977.1"/>
    <n v="643.76666666666824"/>
    <n v="669"/>
    <n v="180"/>
    <n v="20"/>
    <n v="869"/>
    <n v="6.5"/>
    <n v="0"/>
    <d v="2014-04-18T00:00:00"/>
    <d v="1899-12-30T00:00:00"/>
    <d v="2014-08-28T00:00:00"/>
    <d v="2014-09-20T00:00:00"/>
    <d v="2014-10-20T00:00:00"/>
    <d v="2014-10-28T00:00:00"/>
    <m/>
    <d v="1899-12-30T00:00:00"/>
    <d v="1899-12-30T00:00:00"/>
    <x v="2"/>
    <s v="확정 "/>
    <n v="100"/>
    <n v="0"/>
    <n v="0"/>
    <n v="0"/>
    <n v="0"/>
    <n v="0"/>
    <n v="100"/>
    <n v="897710"/>
    <n v="5500000"/>
    <n v="5.569727417540185"/>
  </r>
  <r>
    <n v="0"/>
    <n v="0.5"/>
    <n v="4"/>
    <n v="10"/>
    <s v="F-HAT"/>
    <x v="6"/>
    <s v="WTK-동일모자-13"/>
    <s v="WTK-동일모자-13WTKERF5512PK"/>
    <n v="2"/>
    <s v="WTK-동일모자-132"/>
    <s v="WTK-동일모자-132-WTKERF5512PINKOSM"/>
    <s v="WTK의류외512"/>
    <s v="WTK"/>
    <s v="14FW W"/>
    <m/>
    <s v="WTK"/>
    <s v="WITAILOR KIDS"/>
    <s v="F"/>
    <n v="5"/>
    <s v="ER"/>
    <s v="EARCAP"/>
    <s v="K"/>
    <n v="512"/>
    <n v="512"/>
    <s v="WTKERF5512"/>
    <n v="0.5"/>
    <s v="14FW WITAILOR CAP-15-PK_KIDS"/>
    <s v="PK"/>
    <s v="PINK"/>
    <s v="WTKERF5512PK"/>
    <x v="0"/>
    <n v="0.5"/>
    <n v="0"/>
    <n v="1"/>
    <s v="OSM"/>
    <n v="300"/>
    <x v="5"/>
    <n v="13"/>
    <x v="12"/>
    <s v="M"/>
    <s v="CN"/>
    <x v="0"/>
    <n v="55000"/>
    <x v="6"/>
    <n v="8333.3333333333321"/>
    <n v="8789.99"/>
    <n v="456.65666666666766"/>
    <n v="669"/>
    <n v="180"/>
    <n v="20"/>
    <n v="869"/>
    <n v="6.35"/>
    <n v="0"/>
    <d v="2014-04-18T00:00:00"/>
    <d v="1899-12-30T00:00:00"/>
    <d v="2014-08-28T00:00:00"/>
    <d v="2014-09-20T00:00:00"/>
    <d v="2014-10-28T00:00:00"/>
    <m/>
    <d v="1899-12-30T00:00:00"/>
    <d v="1899-12-30T00:00:00"/>
    <d v="1899-12-30T00:00:00"/>
    <x v="2"/>
    <s v="확정 "/>
    <n v="64"/>
    <n v="0"/>
    <n v="0"/>
    <n v="0"/>
    <n v="0"/>
    <n v="236"/>
    <n v="300"/>
    <n v="2636997"/>
    <n v="16500000"/>
    <n v="5.6882886101121839"/>
  </r>
  <r>
    <n v="0"/>
    <n v="0.5"/>
    <n v="4"/>
    <n v="10"/>
    <s v="F-HAT"/>
    <x v="6"/>
    <s v="WTK-동일모자-13"/>
    <s v="WTK-동일모자-13WTKERF5512PK"/>
    <n v="2"/>
    <s v="WTK-동일모자-132"/>
    <s v="WTK-동일모자-132-WTKERF5512PINKOML"/>
    <s v="WTK의류외512"/>
    <s v="WTK"/>
    <s v="14FW W"/>
    <m/>
    <s v="WTK"/>
    <s v="WITAILOR KIDS"/>
    <s v="F"/>
    <n v="5"/>
    <s v="ER"/>
    <s v="EARCAP"/>
    <s v="K"/>
    <n v="512"/>
    <n v="512"/>
    <s v="WTKERF5512"/>
    <n v="0.5"/>
    <s v="14FW WITAILOR CAP-15-PK_KIDS"/>
    <s v="PK"/>
    <s v="PINK"/>
    <s v="WTKERF5512PK"/>
    <x v="0"/>
    <n v="0.5"/>
    <n v="0"/>
    <n v="1"/>
    <s v="OML"/>
    <n v="100"/>
    <x v="5"/>
    <n v="13"/>
    <x v="12"/>
    <s v="M"/>
    <s v="CN"/>
    <x v="0"/>
    <n v="55000"/>
    <x v="6"/>
    <n v="8333.3333333333321"/>
    <n v="8789.99"/>
    <n v="456.65666666666766"/>
    <n v="669"/>
    <n v="180"/>
    <n v="20"/>
    <n v="869"/>
    <n v="6.35"/>
    <n v="0"/>
    <d v="2014-04-18T00:00:00"/>
    <d v="1899-12-30T00:00:00"/>
    <d v="2014-08-28T00:00:00"/>
    <d v="2014-09-20T00:00:00"/>
    <d v="2014-10-28T00:00:00"/>
    <m/>
    <d v="1899-12-30T00:00:00"/>
    <d v="1899-12-30T00:00:00"/>
    <d v="1899-12-30T00:00:00"/>
    <x v="2"/>
    <s v="확정 "/>
    <n v="100"/>
    <n v="0"/>
    <n v="0"/>
    <n v="0"/>
    <n v="0"/>
    <n v="0"/>
    <n v="100"/>
    <n v="878999"/>
    <n v="5500000"/>
    <n v="5.6882886101121839"/>
  </r>
  <r>
    <n v="0"/>
    <n v="0"/>
    <s v=""/>
    <s v=""/>
    <s v=""/>
    <x v="1"/>
    <s v=""/>
    <s v=""/>
    <n v="0"/>
    <s v="0"/>
    <s v="0-"/>
    <n v="0"/>
    <s v="TTL"/>
    <s v=""/>
    <s v="WTK-동일모자-13 TTL"/>
    <m/>
    <s v=""/>
    <s v=""/>
    <s v=""/>
    <m/>
    <s v=""/>
    <m/>
    <m/>
    <s v=""/>
    <s v=""/>
    <n v="2"/>
    <m/>
    <s v=""/>
    <m/>
    <s v=""/>
    <x v="0"/>
    <n v="2"/>
    <n v="0"/>
    <n v="1"/>
    <m/>
    <n v="800"/>
    <x v="1"/>
    <m/>
    <x v="1"/>
    <m/>
    <m/>
    <x v="1"/>
    <n v="0"/>
    <x v="1"/>
    <m/>
    <m/>
    <m/>
    <n v="0"/>
    <n v="0"/>
    <s v=""/>
    <n v="0"/>
    <n v="514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464"/>
    <n v="100"/>
    <n v="0"/>
    <n v="0"/>
    <n v="0"/>
    <n v="236"/>
    <n v="800"/>
    <n v="7106836"/>
    <n v="44000000"/>
    <n v="5.6283837139340207"/>
  </r>
  <r>
    <n v="0"/>
    <n v="0"/>
    <n v="4"/>
    <n v="10"/>
    <s v="SPORTS"/>
    <x v="4"/>
    <s v="SMK-FOREMOST-12"/>
    <s v="SMK-FOREMOST-12SMKBEF5507GR"/>
    <n v="1"/>
    <s v="SMK-FOREMOST-121"/>
    <s v="SMK-FOREMOST-121-SMKBEF5507GREENFRE"/>
    <s v="SMK의류외507"/>
    <s v="SMK"/>
    <s v="14FW S"/>
    <m/>
    <s v="SMK"/>
    <s v="SUPER MASSIVE BOUND KIDS"/>
    <s v="F"/>
    <n v="5"/>
    <s v="BE"/>
    <s v="BEANIE"/>
    <s v="K"/>
    <n v="507"/>
    <n v="507"/>
    <s v="SMKBEF5507"/>
    <n v="0.16666666666666666"/>
    <s v="14FW SMB_04_KNIT_N_KIDS_GR"/>
    <s v="GR"/>
    <s v="GREEN"/>
    <s v="SMKBEF5507GR"/>
    <x v="0"/>
    <n v="0.5"/>
    <n v="0"/>
    <n v="1"/>
    <s v="FRE"/>
    <n v="100"/>
    <x v="4"/>
    <n v="12"/>
    <x v="11"/>
    <s v="M"/>
    <s v="CN"/>
    <x v="0"/>
    <n v="35000"/>
    <x v="6"/>
    <n v="5303.030303030303"/>
    <n v="5508.5600000000013"/>
    <n v="205.52969696969831"/>
    <n v="0"/>
    <n v="0"/>
    <n v="20"/>
    <n v="20"/>
    <n v="4.4000000000000004"/>
    <n v="0"/>
    <d v="2014-04-22T00:00:00"/>
    <d v="1899-12-30T00:00:00"/>
    <d v="2014-08-18T00:00:00"/>
    <d v="2014-10-01T00:00:00"/>
    <d v="2014-10-01T00:00:00"/>
    <d v="2014-10-29T00:00:00"/>
    <d v="1899-12-30T00:00:00"/>
    <d v="1899-12-30T00:00:00"/>
    <d v="1899-12-30T00:00:00"/>
    <x v="2"/>
    <s v="확정 "/>
    <n v="65"/>
    <n v="35"/>
    <n v="0"/>
    <n v="0"/>
    <n v="0"/>
    <n v="0"/>
    <n v="100"/>
    <n v="550856.00000000012"/>
    <n v="3500000"/>
    <n v="5.7761342017118462"/>
  </r>
  <r>
    <n v="0"/>
    <n v="0"/>
    <n v="4"/>
    <n v="10"/>
    <s v="SPORTS"/>
    <x v="4"/>
    <s v="SMK-FOREMOST-12"/>
    <s v="SMK-FOREMOST-12SMKBEF5507GR"/>
    <n v="1"/>
    <s v="SMK-FOREMOST-121"/>
    <s v="SMK-FOREMOST-121-SMKBEF5507GREENXSS"/>
    <s v="SMK의류외507"/>
    <s v="SMK"/>
    <s v="14FW S"/>
    <m/>
    <s v="SMK"/>
    <s v="SUPER MASSIVE BOUND KIDS"/>
    <s v="F"/>
    <n v="5"/>
    <s v="BE"/>
    <s v="BEANIE"/>
    <s v="K"/>
    <n v="507"/>
    <n v="507"/>
    <s v="SMKBEF5507"/>
    <n v="0.16666666666666666"/>
    <s v="14FW SMB_04_KNIT_N_KIDS_GR"/>
    <s v="GR"/>
    <s v="GREEN"/>
    <s v="SMKBEF5507GR"/>
    <x v="0"/>
    <n v="0.5"/>
    <n v="0"/>
    <n v="1"/>
    <s v="XSS"/>
    <n v="200"/>
    <x v="4"/>
    <n v="12"/>
    <x v="11"/>
    <s v="M"/>
    <s v="CN"/>
    <x v="0"/>
    <n v="35000"/>
    <x v="6"/>
    <n v="5303.030303030303"/>
    <n v="5508.5600000000013"/>
    <n v="205.52969696969831"/>
    <n v="0"/>
    <n v="0"/>
    <n v="20"/>
    <n v="20"/>
    <n v="4.4000000000000004"/>
    <n v="0"/>
    <d v="2014-04-22T00:00:00"/>
    <d v="1899-12-30T00:00:00"/>
    <d v="2014-08-18T00:00:00"/>
    <d v="2014-08-18T00:00:00"/>
    <d v="2014-10-01T00:00:00"/>
    <d v="2014-10-29T00:00:00"/>
    <d v="1899-12-30T00:00:00"/>
    <d v="1899-12-30T00:00:00"/>
    <d v="1899-12-30T00:00:00"/>
    <x v="2"/>
    <s v="확정 "/>
    <n v="0"/>
    <n v="197"/>
    <n v="0"/>
    <n v="0"/>
    <n v="0"/>
    <n v="0"/>
    <n v="200"/>
    <n v="1101712.0000000002"/>
    <n v="7000000"/>
    <n v="5.7761342017118462"/>
  </r>
  <r>
    <n v="0"/>
    <n v="0"/>
    <n v="4"/>
    <n v="10"/>
    <s v="SPORTS"/>
    <x v="4"/>
    <s v="SMK-FOREMOST-12"/>
    <s v="SMK-FOREMOST-12SMKBEF5507RE"/>
    <n v="2"/>
    <s v="SMK-FOREMOST-122"/>
    <s v="SMK-FOREMOST-122-SMKBEF5507REDFRE"/>
    <s v="SMK의류외507"/>
    <s v="SMK"/>
    <s v="14FW S"/>
    <m/>
    <s v="SMK"/>
    <s v="SUPER MASSIVE BOUND KIDS"/>
    <s v="F"/>
    <n v="5"/>
    <s v="BE"/>
    <s v="BEANIE"/>
    <s v="K"/>
    <n v="507"/>
    <n v="507"/>
    <s v="SMKBEF5507"/>
    <n v="0.16666666666666666"/>
    <s v="14FW SMB_04_KNIT_N_KIDS_RE"/>
    <s v="RE"/>
    <s v="RED"/>
    <s v="SMKBEF5507RE"/>
    <x v="0"/>
    <n v="0.5"/>
    <n v="0"/>
    <n v="1"/>
    <s v="FRE"/>
    <n v="100"/>
    <x v="4"/>
    <n v="12"/>
    <x v="11"/>
    <s v="M"/>
    <s v="CN"/>
    <x v="0"/>
    <n v="35000"/>
    <x v="6"/>
    <n v="5303.030303030303"/>
    <n v="5508.5600000000013"/>
    <n v="205.52969696969831"/>
    <n v="0"/>
    <n v="0"/>
    <n v="20"/>
    <n v="20"/>
    <n v="4.4000000000000004"/>
    <n v="0"/>
    <d v="2014-04-22T00:00:00"/>
    <d v="1899-12-30T00:00:00"/>
    <d v="2014-08-18T00:00:00"/>
    <d v="2014-08-18T00:00:00"/>
    <d v="2014-10-01T00:00:00"/>
    <d v="2014-10-29T00:00:00"/>
    <d v="1899-12-30T00:00:00"/>
    <d v="1899-12-30T00:00:00"/>
    <d v="1899-12-30T00:00:00"/>
    <x v="2"/>
    <s v="확정 "/>
    <n v="49"/>
    <n v="51"/>
    <n v="0"/>
    <n v="0"/>
    <n v="0"/>
    <n v="0"/>
    <n v="100"/>
    <n v="550856.00000000012"/>
    <n v="3500000"/>
    <n v="5.7761342017118462"/>
  </r>
  <r>
    <n v="0"/>
    <n v="0"/>
    <n v="4"/>
    <n v="10"/>
    <s v="SPORTS"/>
    <x v="4"/>
    <s v="SMK-FOREMOST-12"/>
    <s v="SMK-FOREMOST-12SMKBEF5507RE"/>
    <n v="2"/>
    <s v="SMK-FOREMOST-122"/>
    <s v="SMK-FOREMOST-122-SMKBEF5507REDXSS"/>
    <s v="SMK의류외507"/>
    <s v="SMK"/>
    <s v="14FW S"/>
    <m/>
    <s v="SMK"/>
    <s v="SUPER MASSIVE BOUND KIDS"/>
    <s v="F"/>
    <n v="5"/>
    <s v="BE"/>
    <s v="BEANIE"/>
    <s v="K"/>
    <n v="507"/>
    <n v="507"/>
    <s v="SMKBEF5507"/>
    <n v="0.16666666666666666"/>
    <s v="14FW SMB_04_KNIT_N_KIDS_RE"/>
    <s v="RE"/>
    <s v="RED"/>
    <s v="SMKBEF5507RE"/>
    <x v="0"/>
    <n v="0.5"/>
    <n v="0"/>
    <n v="1"/>
    <s v="XSS"/>
    <n v="200"/>
    <x v="4"/>
    <n v="12"/>
    <x v="11"/>
    <s v="M"/>
    <s v="CN"/>
    <x v="0"/>
    <n v="35000"/>
    <x v="6"/>
    <n v="5303.030303030303"/>
    <n v="5508.5600000000013"/>
    <n v="205.52969696969831"/>
    <n v="0"/>
    <n v="0"/>
    <n v="20"/>
    <n v="20"/>
    <n v="4.4000000000000004"/>
    <n v="0"/>
    <d v="2014-04-22T00:00:00"/>
    <d v="1899-12-30T00:00:00"/>
    <d v="2014-08-18T00:00:00"/>
    <d v="2014-08-18T00:00:00"/>
    <d v="2014-10-01T00:00:00"/>
    <d v="2014-10-29T00:00:00"/>
    <d v="1899-12-30T00:00:00"/>
    <d v="1899-12-30T00:00:00"/>
    <d v="1899-12-30T00:00:00"/>
    <x v="2"/>
    <s v="확정 "/>
    <n v="0"/>
    <n v="199"/>
    <n v="0"/>
    <n v="0"/>
    <n v="0"/>
    <n v="0"/>
    <n v="200"/>
    <n v="1101712.0000000002"/>
    <n v="7000000"/>
    <n v="5.7761342017118462"/>
  </r>
  <r>
    <n v="0"/>
    <n v="0"/>
    <n v="4"/>
    <n v="10"/>
    <s v="SPORTS"/>
    <x v="4"/>
    <s v="SMK-FOREMOST-12"/>
    <s v="SMK-FOREMOST-12SMKBEF5507PK"/>
    <n v="3"/>
    <s v="SMK-FOREMOST-123"/>
    <s v="SMK-FOREMOST-123-SMKBEF5507PINKFRE"/>
    <s v="SMK의류외507"/>
    <s v="SMK"/>
    <s v="14FW S"/>
    <m/>
    <s v="SMK"/>
    <s v="SUPER MASSIVE BOUND KIDS"/>
    <s v="F"/>
    <n v="5"/>
    <s v="BE"/>
    <s v="BEANIE"/>
    <s v="K"/>
    <n v="507"/>
    <n v="507"/>
    <s v="SMKBEF5507"/>
    <n v="0.16666666666666666"/>
    <s v="14FW SMB_04_KNIT_N_KIDS_PK"/>
    <s v="PK"/>
    <s v="PINK"/>
    <s v="SMKBEF5507PK"/>
    <x v="0"/>
    <n v="0.5"/>
    <n v="0"/>
    <n v="1"/>
    <s v="FRE"/>
    <n v="100"/>
    <x v="4"/>
    <n v="12"/>
    <x v="11"/>
    <s v="M"/>
    <s v="CN"/>
    <x v="0"/>
    <n v="35000"/>
    <x v="6"/>
    <n v="5303.030303030303"/>
    <n v="5508.5600000000013"/>
    <n v="205.52969696969831"/>
    <n v="0"/>
    <n v="0"/>
    <n v="20"/>
    <n v="20"/>
    <n v="4.4000000000000004"/>
    <n v="0"/>
    <d v="2014-04-22T00:00:00"/>
    <d v="1899-12-30T00:00:00"/>
    <d v="2014-08-18T00:00:00"/>
    <d v="2014-08-18T00:00:00"/>
    <d v="2014-10-01T00:00:00"/>
    <d v="2014-10-29T00:00:00"/>
    <d v="1899-12-30T00:00:00"/>
    <d v="1899-12-30T00:00:00"/>
    <d v="1899-12-30T00:00:00"/>
    <x v="2"/>
    <s v="확정 "/>
    <n v="13"/>
    <n v="86"/>
    <n v="0"/>
    <n v="0"/>
    <n v="0"/>
    <n v="0"/>
    <n v="100"/>
    <n v="550856.00000000012"/>
    <n v="3500000"/>
    <n v="5.7761342017118462"/>
  </r>
  <r>
    <n v="0"/>
    <n v="0"/>
    <n v="4"/>
    <n v="10"/>
    <s v="SPORTS"/>
    <x v="4"/>
    <s v="SMK-FOREMOST-12"/>
    <s v="SMK-FOREMOST-12SMKBEF5507PK"/>
    <n v="3"/>
    <s v="SMK-FOREMOST-123"/>
    <s v="SMK-FOREMOST-123-SMKBEF5507PINKXSS"/>
    <s v="SMK의류외507"/>
    <s v="SMK"/>
    <s v="14FW S"/>
    <m/>
    <s v="SMK"/>
    <s v="SUPER MASSIVE BOUND KIDS"/>
    <s v="F"/>
    <n v="5"/>
    <s v="BE"/>
    <s v="BEANIE"/>
    <s v="K"/>
    <n v="507"/>
    <n v="507"/>
    <s v="SMKBEF5507"/>
    <n v="0.16666666666666666"/>
    <s v="14FW SMB_04_KNIT_N_KIDS_PK"/>
    <s v="PK"/>
    <s v="PINK"/>
    <s v="SMKBEF5507PK"/>
    <x v="0"/>
    <n v="0.5"/>
    <n v="0"/>
    <n v="1"/>
    <s v="XSS"/>
    <n v="200"/>
    <x v="4"/>
    <n v="12"/>
    <x v="11"/>
    <s v="M"/>
    <s v="CN"/>
    <x v="0"/>
    <n v="35000"/>
    <x v="6"/>
    <n v="5303.030303030303"/>
    <n v="5508.5600000000013"/>
    <n v="205.52969696969831"/>
    <n v="0"/>
    <n v="0"/>
    <n v="20"/>
    <n v="20"/>
    <n v="4.4000000000000004"/>
    <n v="0"/>
    <d v="2014-04-22T00:00:00"/>
    <d v="1899-12-30T00:00:00"/>
    <d v="2014-08-18T00:00:00"/>
    <d v="2014-08-18T00:00:00"/>
    <d v="2014-10-01T00:00:00"/>
    <d v="2014-10-29T00:00:00"/>
    <d v="1899-12-30T00:00:00"/>
    <d v="1899-12-30T00:00:00"/>
    <d v="1899-12-30T00:00:00"/>
    <x v="2"/>
    <s v="확정 "/>
    <n v="0"/>
    <n v="200"/>
    <n v="0"/>
    <n v="0"/>
    <n v="0"/>
    <n v="0"/>
    <n v="200"/>
    <n v="1101712.0000000002"/>
    <n v="7000000"/>
    <n v="5.7761342017118462"/>
  </r>
  <r>
    <n v="0"/>
    <n v="0"/>
    <n v="4"/>
    <n v="10"/>
    <s v="SPORTS"/>
    <x v="4"/>
    <s v="SMK-FOREMOST-12"/>
    <s v="SMK-FOREMOST-12SMKBEF5508PK"/>
    <n v="4"/>
    <s v="SMK-FOREMOST-124"/>
    <s v="SMK-FOREMOST-124-SMKBEF5508PINKFRE"/>
    <s v="SMK의류외508"/>
    <s v="SMK"/>
    <s v="14FW S"/>
    <m/>
    <s v="SMK"/>
    <s v="SUPER MASSIVE BOUND KIDS"/>
    <s v="F"/>
    <n v="5"/>
    <s v="BE"/>
    <s v="BEANIE"/>
    <s v="K"/>
    <n v="508"/>
    <n v="508"/>
    <s v="SMKBEF5508"/>
    <n v="0.25"/>
    <s v="14FW SMB_03_KNIT_N_KIDS_PK"/>
    <s v="PK"/>
    <s v="PINK"/>
    <s v="SMKBEF5508PK"/>
    <x v="0"/>
    <n v="0.5"/>
    <n v="0"/>
    <n v="1"/>
    <s v="FRE"/>
    <n v="100"/>
    <x v="4"/>
    <n v="12"/>
    <x v="11"/>
    <s v="M"/>
    <s v="CN"/>
    <x v="0"/>
    <n v="35000"/>
    <x v="6"/>
    <n v="5303.030303030303"/>
    <n v="5259.0800000000008"/>
    <n v="-43.950303030302166"/>
    <n v="0"/>
    <n v="0"/>
    <n v="20"/>
    <n v="20"/>
    <n v="4.2"/>
    <n v="0"/>
    <d v="2014-04-22T00:00:00"/>
    <d v="1899-12-30T00:00:00"/>
    <d v="2014-08-18T00:00:00"/>
    <d v="2014-08-18T00:00:00"/>
    <d v="2014-10-01T00:00:00"/>
    <d v="1899-12-30T00:00:00"/>
    <d v="1899-12-30T00:00:00"/>
    <d v="1899-12-30T00:00:00"/>
    <d v="1899-12-30T00:00:00"/>
    <x v="2"/>
    <s v="확정 "/>
    <n v="100"/>
    <n v="0"/>
    <n v="0"/>
    <n v="0"/>
    <n v="0"/>
    <n v="0"/>
    <n v="100"/>
    <n v="525908.00000000012"/>
    <n v="3500000"/>
    <n v="6.0501421956277159"/>
  </r>
  <r>
    <n v="0"/>
    <n v="0"/>
    <n v="4"/>
    <n v="10"/>
    <s v="SPORTS"/>
    <x v="4"/>
    <s v="SMK-FOREMOST-12"/>
    <s v="SMK-FOREMOST-12SMKBEF5508PK"/>
    <n v="4"/>
    <s v="SMK-FOREMOST-124"/>
    <s v="SMK-FOREMOST-124-SMKBEF5508PINKXSS"/>
    <s v="SMK의류외508"/>
    <s v="SMK"/>
    <s v="14FW S"/>
    <m/>
    <s v="SMK"/>
    <s v="SUPER MASSIVE BOUND KIDS"/>
    <s v="F"/>
    <n v="5"/>
    <s v="BE"/>
    <s v="BEANIE"/>
    <s v="K"/>
    <n v="508"/>
    <n v="508"/>
    <s v="SMKBEF5508"/>
    <n v="0.25"/>
    <s v="14FW SMB_03_KNIT_N_KIDS_PK"/>
    <s v="PK"/>
    <s v="PINK"/>
    <s v="SMKBEF5508PK"/>
    <x v="0"/>
    <n v="0.5"/>
    <n v="0"/>
    <n v="1"/>
    <s v="XSS"/>
    <n v="200"/>
    <x v="4"/>
    <n v="12"/>
    <x v="11"/>
    <s v="M"/>
    <s v="CN"/>
    <x v="0"/>
    <n v="35000"/>
    <x v="6"/>
    <n v="5303.030303030303"/>
    <n v="5259.0800000000008"/>
    <n v="-43.950303030302166"/>
    <n v="0"/>
    <n v="0"/>
    <n v="20"/>
    <n v="20"/>
    <n v="4.2"/>
    <n v="0"/>
    <d v="2014-04-22T00:00:00"/>
    <d v="1899-12-30T00:00:00"/>
    <d v="2014-08-18T00:00:00"/>
    <d v="2014-08-18T00:00:00"/>
    <d v="2014-10-01T00:00:00"/>
    <d v="1899-12-30T00:00:00"/>
    <d v="1899-12-30T00:00:00"/>
    <d v="1899-12-30T00:00:00"/>
    <d v="1899-12-30T00:00:00"/>
    <x v="2"/>
    <s v="확정 "/>
    <n v="199"/>
    <n v="0"/>
    <n v="0"/>
    <n v="0"/>
    <n v="0"/>
    <n v="0"/>
    <n v="200"/>
    <n v="1051816.0000000002"/>
    <n v="7000000"/>
    <n v="6.0501421956277159"/>
  </r>
  <r>
    <n v="0"/>
    <n v="0"/>
    <n v="4"/>
    <n v="10"/>
    <s v="SPORTS"/>
    <x v="4"/>
    <s v="SMK-FOREMOST-12"/>
    <s v="SMK-FOREMOST-12SMKBEF5508RE"/>
    <n v="5"/>
    <s v="SMK-FOREMOST-125"/>
    <s v="SMK-FOREMOST-125-SMKBEF5508REDFRE"/>
    <s v="SMK의류외508"/>
    <s v="SMK"/>
    <s v="14FW S"/>
    <m/>
    <s v="SMK"/>
    <s v="SUPER MASSIVE BOUND KIDS"/>
    <s v="F"/>
    <n v="5"/>
    <s v="BE"/>
    <s v="BEANIE"/>
    <s v="K"/>
    <n v="508"/>
    <n v="508"/>
    <s v="SMKBEF5508"/>
    <n v="0.25"/>
    <s v="14FW SMB_03_KNIT_N_KIDS_RE"/>
    <s v="RE"/>
    <s v="RED"/>
    <s v="SMKBEF5508RE"/>
    <x v="0"/>
    <n v="0.5"/>
    <n v="0"/>
    <n v="1"/>
    <s v="FRE"/>
    <n v="100"/>
    <x v="4"/>
    <n v="12"/>
    <x v="11"/>
    <s v="M"/>
    <s v="CN"/>
    <x v="0"/>
    <n v="35000"/>
    <x v="6"/>
    <n v="5303.030303030303"/>
    <n v="5259.0800000000008"/>
    <n v="-43.950303030302166"/>
    <n v="0"/>
    <n v="0"/>
    <n v="20"/>
    <n v="20"/>
    <n v="4.2"/>
    <n v="0"/>
    <d v="2014-04-22T00:00:00"/>
    <d v="1899-12-30T00:00:00"/>
    <d v="2014-08-18T00:00:00"/>
    <d v="2014-08-18T00:00:00"/>
    <d v="2014-10-01T00:00:00"/>
    <d v="1899-12-30T00:00:00"/>
    <d v="1899-12-30T00:00:00"/>
    <d v="1899-12-30T00:00:00"/>
    <d v="1899-12-30T00:00:00"/>
    <x v="2"/>
    <s v="확정 "/>
    <n v="100"/>
    <n v="0"/>
    <n v="0"/>
    <n v="0"/>
    <n v="0"/>
    <n v="0"/>
    <n v="100"/>
    <n v="525908.00000000012"/>
    <n v="3500000"/>
    <n v="6.0501421956277159"/>
  </r>
  <r>
    <n v="0"/>
    <n v="0"/>
    <n v="4"/>
    <n v="10"/>
    <s v="SPORTS"/>
    <x v="4"/>
    <s v="SMK-FOREMOST-12"/>
    <s v="SMK-FOREMOST-12SMKBEF5508RE"/>
    <n v="5"/>
    <s v="SMK-FOREMOST-125"/>
    <s v="SMK-FOREMOST-125-SMKBEF5508REDXSS"/>
    <s v="SMK의류외508"/>
    <s v="SMK"/>
    <s v="14FW S"/>
    <m/>
    <s v="SMK"/>
    <s v="SUPER MASSIVE BOUND KIDS"/>
    <s v="F"/>
    <n v="5"/>
    <s v="BE"/>
    <s v="BEANIE"/>
    <s v="K"/>
    <n v="508"/>
    <n v="508"/>
    <s v="SMKBEF5508"/>
    <n v="0.25"/>
    <s v="14FW SMB_03_KNIT_N_KIDS_RE"/>
    <s v="RE"/>
    <s v="RED"/>
    <s v="SMKBEF5508RE"/>
    <x v="0"/>
    <n v="0.5"/>
    <n v="0"/>
    <n v="1"/>
    <s v="XSS"/>
    <n v="200"/>
    <x v="4"/>
    <n v="12"/>
    <x v="11"/>
    <s v="M"/>
    <s v="CN"/>
    <x v="0"/>
    <n v="35000"/>
    <x v="6"/>
    <n v="5303.030303030303"/>
    <n v="5259.0800000000008"/>
    <n v="-43.950303030302166"/>
    <n v="0"/>
    <n v="0"/>
    <n v="20"/>
    <n v="20"/>
    <n v="4.2"/>
    <n v="0"/>
    <d v="2014-04-22T00:00:00"/>
    <d v="1899-12-30T00:00:00"/>
    <d v="2014-08-18T00:00:00"/>
    <d v="2014-08-18T00:00:00"/>
    <d v="2014-10-01T00:00:00"/>
    <d v="1899-12-30T00:00:00"/>
    <d v="1899-12-30T00:00:00"/>
    <d v="1899-12-30T00:00:00"/>
    <d v="1899-12-30T00:00:00"/>
    <x v="2"/>
    <s v="확정 "/>
    <n v="199"/>
    <n v="0"/>
    <n v="0"/>
    <n v="0"/>
    <n v="0"/>
    <n v="0"/>
    <n v="200"/>
    <n v="1051816.0000000002"/>
    <n v="7000000"/>
    <n v="6.0501421956277159"/>
  </r>
  <r>
    <n v="0"/>
    <n v="0"/>
    <n v="4"/>
    <n v="8"/>
    <s v="SPORTS"/>
    <x v="4"/>
    <s v="SMK-FOREMOST-12"/>
    <s v="SMK-FOREMOST-12SMKBEF5510BK"/>
    <n v="6"/>
    <s v="SMK-FOREMOST-126"/>
    <s v="SMK-FOREMOST-126-SMKBEF5510BLACKFRE"/>
    <s v="SMK의류외510"/>
    <s v="SMK"/>
    <s v="14FW S"/>
    <m/>
    <s v="SMK"/>
    <s v="SUPER MASSIVE BOUND KIDS"/>
    <s v="F"/>
    <n v="5"/>
    <s v="BE"/>
    <s v="BEANIE"/>
    <s v="K"/>
    <n v="510"/>
    <n v="510"/>
    <s v="SMKBEF5510"/>
    <n v="0.5"/>
    <s v="14FW SMB_02_KNIT_N_KIDS_NY"/>
    <s v="BK"/>
    <s v="BLACK"/>
    <s v="SMKBEF5510BK"/>
    <x v="0"/>
    <n v="0.5"/>
    <n v="0"/>
    <n v="1"/>
    <s v="FRE"/>
    <n v="300"/>
    <x v="4"/>
    <n v="12"/>
    <x v="11"/>
    <s v="M"/>
    <s v="CN"/>
    <x v="0"/>
    <n v="39000"/>
    <x v="6"/>
    <n v="5909.0909090909081"/>
    <n v="5508.5600000000013"/>
    <n v="-400.53090909090679"/>
    <n v="0"/>
    <n v="0"/>
    <n v="20"/>
    <n v="20"/>
    <n v="4.4000000000000004"/>
    <n v="0"/>
    <d v="2014-04-22T00:00:00"/>
    <d v="2014-08-24T00:00:00"/>
    <d v="2014-08-18T00:00:00"/>
    <d v="2014-08-27T00:00:00"/>
    <d v="2014-08-27T00:00:00"/>
    <d v="1899-12-30T00:00:00"/>
    <d v="1899-12-30T00:00:00"/>
    <d v="1899-12-30T00:00:00"/>
    <d v="1899-12-30T00:00:00"/>
    <x v="2"/>
    <s v="확정 "/>
    <n v="300"/>
    <n v="0"/>
    <n v="0"/>
    <n v="0"/>
    <n v="0"/>
    <n v="0"/>
    <n v="300"/>
    <n v="1652568.0000000005"/>
    <n v="11700000"/>
    <n v="6.4362638247646284"/>
  </r>
  <r>
    <n v="0"/>
    <n v="0"/>
    <n v="4"/>
    <n v="8"/>
    <s v="SPORTS"/>
    <x v="4"/>
    <s v="SMK-FOREMOST-12"/>
    <s v="SMK-FOREMOST-12SMKBEF5510BK"/>
    <n v="6"/>
    <s v="SMK-FOREMOST-126"/>
    <s v="SMK-FOREMOST-126-SMKBEF5510BLACKXSS"/>
    <s v="SMK의류외510"/>
    <s v="SMK"/>
    <s v="14FW S"/>
    <m/>
    <s v="SMK"/>
    <s v="SUPER MASSIVE BOUND KIDS"/>
    <s v="F"/>
    <n v="5"/>
    <s v="BE"/>
    <s v="BEANIE"/>
    <s v="K"/>
    <n v="510"/>
    <n v="510"/>
    <s v="SMKBEF5510"/>
    <n v="0.5"/>
    <s v="14FW SMB_02_KNIT_N_KIDS_NY"/>
    <s v="BK"/>
    <s v="BLACK"/>
    <s v="SMKBEF5510BK"/>
    <x v="0"/>
    <n v="0.5"/>
    <n v="0"/>
    <n v="1"/>
    <s v="XSS"/>
    <n v="200"/>
    <x v="4"/>
    <n v="12"/>
    <x v="11"/>
    <s v="M"/>
    <s v="CN"/>
    <x v="0"/>
    <n v="39000"/>
    <x v="6"/>
    <n v="5909.0909090909081"/>
    <n v="5508.5600000000013"/>
    <n v="-400.53090909090679"/>
    <n v="0"/>
    <n v="0"/>
    <n v="20"/>
    <n v="20"/>
    <n v="4.4000000000000004"/>
    <n v="0"/>
    <d v="2014-04-22T00:00:00"/>
    <d v="2014-08-24T00:00:00"/>
    <d v="2014-08-18T00:00:00"/>
    <d v="2014-08-27T00:00:00"/>
    <d v="2014-08-27T00:00:00"/>
    <d v="1899-12-30T00:00:00"/>
    <d v="1899-12-30T00:00:00"/>
    <d v="1899-12-30T00:00:00"/>
    <d v="1899-12-30T00:00:00"/>
    <x v="2"/>
    <s v="확정 "/>
    <n v="200"/>
    <n v="0"/>
    <n v="0"/>
    <n v="0"/>
    <n v="0"/>
    <n v="0"/>
    <n v="200"/>
    <n v="1101712.0000000002"/>
    <n v="7800000"/>
    <n v="6.4362638247646284"/>
  </r>
  <r>
    <n v="0"/>
    <n v="0"/>
    <s v=""/>
    <s v=""/>
    <s v=""/>
    <x v="1"/>
    <s v=""/>
    <s v=""/>
    <n v="0"/>
    <s v="0"/>
    <s v="0-"/>
    <n v="0"/>
    <s v="TTL"/>
    <s v=""/>
    <s v="SMK-FOREMOST-12 TTL"/>
    <m/>
    <s v=""/>
    <s v=""/>
    <s v=""/>
    <m/>
    <s v=""/>
    <m/>
    <m/>
    <s v=""/>
    <s v=""/>
    <n v="3"/>
    <m/>
    <s v=""/>
    <m/>
    <s v=""/>
    <x v="0"/>
    <n v="6"/>
    <n v="0"/>
    <n v="1"/>
    <m/>
    <n v="2000"/>
    <x v="1"/>
    <m/>
    <x v="1"/>
    <m/>
    <m/>
    <x v="1"/>
    <n v="0"/>
    <x v="1"/>
    <m/>
    <m/>
    <m/>
    <m/>
    <m/>
    <m/>
    <n v="0"/>
    <n v="868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225"/>
    <n v="768"/>
    <n v="0"/>
    <n v="0"/>
    <n v="0"/>
    <n v="0"/>
    <n v="2000"/>
    <n v="10867432.000000002"/>
    <n v="72000000"/>
    <n v="6.0230002317516629"/>
  </r>
  <r>
    <n v="0"/>
    <n v="0"/>
    <n v="4"/>
    <n v="9"/>
    <s v="SPORTS"/>
    <x v="5"/>
    <s v="SWK-FOREMOST-13"/>
    <s v="SWK-FOREMOST-13SWKBEF5509PK"/>
    <n v="1"/>
    <s v="SWK-FOREMOST-131"/>
    <s v="SWK-FOREMOST-131-SWKBEF5509PINKFRE"/>
    <s v="SWK의류외509"/>
    <s v="SWK"/>
    <s v="14FW S"/>
    <m/>
    <s v="SWK"/>
    <s v="SUPER MASSIVE BOUND KIDS_W"/>
    <s v="F"/>
    <n v="5"/>
    <s v="BE"/>
    <s v="BEANIE"/>
    <s v="K"/>
    <n v="509"/>
    <n v="509"/>
    <s v="SWKBEF5509"/>
    <n v="0.5"/>
    <s v="14FW SMB_05_KNIT_F_KIDS_PK"/>
    <s v="PK"/>
    <s v="PINK"/>
    <s v="SWKBEF5509PK"/>
    <x v="0"/>
    <n v="1"/>
    <n v="0"/>
    <n v="1"/>
    <s v="FRE"/>
    <n v="100"/>
    <x v="4"/>
    <n v="13"/>
    <x v="12"/>
    <s v="M"/>
    <s v="CN"/>
    <x v="0"/>
    <n v="43000"/>
    <x v="6"/>
    <n v="6515.151515151515"/>
    <n v="6987.52"/>
    <n v="472.36848484848542"/>
    <n v="0"/>
    <n v="980"/>
    <n v="20"/>
    <n v="1000"/>
    <n v="4.8"/>
    <n v="0"/>
    <d v="2014-04-22T00:00:00"/>
    <d v="1899-12-30T00:00:00"/>
    <d v="2014-08-18T00:00:00"/>
    <d v="2014-08-18T00:00:00"/>
    <d v="2014-09-05T00:00:00"/>
    <d v="1899-12-30T00:00:00"/>
    <d v="1899-12-30T00:00:00"/>
    <d v="1899-12-30T00:00:00"/>
    <d v="1899-12-30T00:00:00"/>
    <x v="2"/>
    <s v="확정 "/>
    <n v="100"/>
    <n v="0"/>
    <n v="0"/>
    <n v="0"/>
    <n v="0"/>
    <n v="0"/>
    <n v="100"/>
    <n v="698752"/>
    <n v="4300000"/>
    <n v="5.5943895818414955"/>
  </r>
  <r>
    <n v="0"/>
    <n v="0"/>
    <n v="4"/>
    <n v="9"/>
    <s v="SPORTS"/>
    <x v="5"/>
    <s v="SWK-FOREMOST-13"/>
    <s v="SWK-FOREMOST-13SWKBEF5509BL"/>
    <n v="2"/>
    <s v="SWK-FOREMOST-132"/>
    <s v="SWK-FOREMOST-132-SWKBEF5509BLUEFRE"/>
    <s v="SWK의류외509"/>
    <s v="SWK"/>
    <s v="14FW S"/>
    <m/>
    <s v="SWK"/>
    <s v="SUPER MASSIVE BOUND KIDS_W"/>
    <s v="F"/>
    <n v="5"/>
    <s v="BE"/>
    <s v="BEANIE"/>
    <s v="K"/>
    <n v="509"/>
    <n v="509"/>
    <s v="SWKBEF5509"/>
    <n v="0.5"/>
    <s v="14FW SMB_05_KNIT_F_KIDS_BL"/>
    <s v="BL"/>
    <s v="BLUE"/>
    <s v="SWKBEF5509BL"/>
    <x v="0"/>
    <n v="1"/>
    <n v="0"/>
    <n v="1"/>
    <s v="FRE"/>
    <n v="100"/>
    <x v="4"/>
    <n v="13"/>
    <x v="12"/>
    <s v="M"/>
    <s v="CN"/>
    <x v="0"/>
    <n v="43000"/>
    <x v="6"/>
    <n v="6515.151515151515"/>
    <n v="6987.52"/>
    <n v="472.36848484848542"/>
    <n v="0"/>
    <n v="980"/>
    <n v="20"/>
    <n v="1000"/>
    <n v="4.8"/>
    <n v="0"/>
    <d v="2014-04-22T00:00:00"/>
    <d v="1899-12-30T00:00:00"/>
    <d v="2014-08-18T00:00:00"/>
    <d v="2014-08-18T00:00:00"/>
    <d v="2014-09-05T00:00:00"/>
    <d v="1899-12-30T00:00:00"/>
    <d v="1899-12-30T00:00:00"/>
    <d v="1899-12-30T00:00:00"/>
    <d v="1899-12-30T00:00:00"/>
    <x v="2"/>
    <s v="확정 "/>
    <n v="100"/>
    <n v="0"/>
    <n v="0"/>
    <n v="0"/>
    <n v="0"/>
    <n v="0"/>
    <n v="100"/>
    <n v="698752"/>
    <n v="4300000"/>
    <n v="5.5943895818414955"/>
  </r>
  <r>
    <n v="0"/>
    <n v="0"/>
    <n v="4"/>
    <n v="9"/>
    <s v="SPORTS"/>
    <x v="5"/>
    <s v="SWK-FOREMOST-13"/>
    <s v="SWK-FOREMOST-13SWKBEF5511PK"/>
    <n v="3"/>
    <s v="SWK-FOREMOST-133"/>
    <s v="SWK-FOREMOST-133-SWKBEF5511PINKFRE"/>
    <s v="SWK의류외511"/>
    <s v="SWK"/>
    <s v="14FW S"/>
    <m/>
    <s v="SWK"/>
    <s v="SUPER MASSIVE BOUND KIDS_W"/>
    <s v="F"/>
    <n v="5"/>
    <s v="BE"/>
    <s v="BEANIE"/>
    <s v="K"/>
    <n v="511"/>
    <n v="511"/>
    <s v="SWKBEF5511"/>
    <n v="0.5"/>
    <s v="14FW SMB_01_KNIT_F_KIDS_PK"/>
    <s v="PK"/>
    <s v="PINK"/>
    <s v="SWKBEF5511PK"/>
    <x v="0"/>
    <n v="0.5"/>
    <n v="0"/>
    <n v="1"/>
    <s v="FRE"/>
    <n v="300"/>
    <x v="4"/>
    <n v="13"/>
    <x v="12"/>
    <s v="M"/>
    <s v="CN"/>
    <x v="0"/>
    <n v="43000"/>
    <x v="6"/>
    <n v="6515.151515151515"/>
    <n v="6987.52"/>
    <n v="472.36848484848542"/>
    <n v="0"/>
    <n v="980"/>
    <n v="20"/>
    <n v="1000"/>
    <n v="4.8"/>
    <n v="0"/>
    <d v="2014-04-22T00:00:00"/>
    <d v="1899-12-30T00:00:00"/>
    <d v="2014-08-18T00:00:00"/>
    <d v="2014-08-18T00:00:00"/>
    <d v="2014-09-24T00:00:00"/>
    <d v="1899-12-30T00:00:00"/>
    <d v="1899-12-30T00:00:00"/>
    <d v="1899-12-30T00:00:00"/>
    <d v="1899-12-30T00:00:00"/>
    <x v="2"/>
    <s v="확정 "/>
    <n v="295"/>
    <n v="0"/>
    <n v="0"/>
    <n v="0"/>
    <n v="0"/>
    <n v="0"/>
    <n v="300"/>
    <n v="2096256.0000000002"/>
    <n v="12900000"/>
    <n v="5.5943895818414946"/>
  </r>
  <r>
    <n v="0"/>
    <n v="0"/>
    <n v="4"/>
    <n v="9"/>
    <s v="SPORTS"/>
    <x v="5"/>
    <s v="SWK-FOREMOST-13"/>
    <s v="SWK-FOREMOST-13SWKBEF5511PK"/>
    <n v="3"/>
    <s v="SWK-FOREMOST-133"/>
    <s v="SWK-FOREMOST-133-SWKBEF5511PINKXSS"/>
    <s v="SWK의류외511"/>
    <s v="SWK"/>
    <s v="14FW S"/>
    <m/>
    <s v="SWK"/>
    <s v="SUPER MASSIVE BOUND KIDS_W"/>
    <s v="F"/>
    <n v="5"/>
    <s v="BE"/>
    <s v="BEANIE"/>
    <s v="K"/>
    <n v="511"/>
    <n v="511"/>
    <s v="SWKBEF5511"/>
    <n v="0.5"/>
    <s v="14FW SMB_01_KNIT_F_KIDS_PK"/>
    <s v="PK"/>
    <s v="PINK"/>
    <s v="SWKBEF5511PK"/>
    <x v="0"/>
    <n v="0.5"/>
    <n v="0"/>
    <n v="1"/>
    <s v="XSS"/>
    <n v="200"/>
    <x v="4"/>
    <n v="13"/>
    <x v="12"/>
    <s v="M"/>
    <s v="CN"/>
    <x v="0"/>
    <n v="43000"/>
    <x v="6"/>
    <n v="6515.151515151515"/>
    <n v="6987.52"/>
    <n v="472.36848484848542"/>
    <n v="0"/>
    <n v="980"/>
    <n v="20"/>
    <n v="1000"/>
    <n v="4.8"/>
    <n v="0"/>
    <d v="2014-04-22T00:00:00"/>
    <d v="1899-12-30T00:00:00"/>
    <d v="2014-08-18T00:00:00"/>
    <d v="2014-08-18T00:00:00"/>
    <d v="2014-09-24T00:00:00"/>
    <d v="1899-12-30T00:00:00"/>
    <d v="1899-12-30T00:00:00"/>
    <d v="1899-12-30T00:00:00"/>
    <d v="1899-12-30T00:00:00"/>
    <x v="2"/>
    <s v="확정 "/>
    <n v="194"/>
    <n v="0"/>
    <n v="0"/>
    <n v="0"/>
    <n v="0"/>
    <n v="0"/>
    <n v="200"/>
    <n v="1397504"/>
    <n v="8600000"/>
    <n v="5.5943895818414955"/>
  </r>
  <r>
    <n v="0"/>
    <n v="0"/>
    <s v=""/>
    <s v=""/>
    <s v=""/>
    <x v="1"/>
    <s v=""/>
    <s v=""/>
    <n v="0"/>
    <s v="0"/>
    <s v="0-"/>
    <n v="0"/>
    <s v="TTL"/>
    <s v=""/>
    <s v="SWK-FOREMOST-13 TTL"/>
    <m/>
    <s v=""/>
    <s v=""/>
    <s v=""/>
    <m/>
    <s v=""/>
    <m/>
    <m/>
    <s v=""/>
    <s v=""/>
    <n v="2"/>
    <m/>
    <s v=""/>
    <m/>
    <s v=""/>
    <x v="0"/>
    <n v="3"/>
    <n v="0"/>
    <n v="1"/>
    <m/>
    <n v="700"/>
    <x v="1"/>
    <m/>
    <x v="1"/>
    <m/>
    <m/>
    <x v="1"/>
    <n v="0"/>
    <x v="1"/>
    <m/>
    <m/>
    <m/>
    <m/>
    <n v="0"/>
    <s v=""/>
    <n v="0"/>
    <n v="336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89"/>
    <n v="0"/>
    <n v="0"/>
    <n v="0"/>
    <n v="0"/>
    <n v="0"/>
    <n v="700"/>
    <n v="4891264"/>
    <n v="30100000"/>
    <n v="5.5943895818414955"/>
  </r>
  <r>
    <n v="0"/>
    <n v="0"/>
    <n v="4"/>
    <n v="9"/>
    <s v="SPORTS"/>
    <x v="4"/>
    <s v="SMK-Y&amp;Y-01"/>
    <s v="SMK-Y&amp;Y-01SMKBEF5512BK"/>
    <n v="1"/>
    <s v="SMK-Y&amp;Y-011"/>
    <s v="SMK-Y&amp;Y-011-SMKBEF5512BLACKFRE"/>
    <s v="SMK의류외512"/>
    <s v="SMK"/>
    <s v="14FW S"/>
    <m/>
    <s v="SMK"/>
    <s v="SUPER MASSIVE BOUND KIDS"/>
    <s v="F"/>
    <n v="5"/>
    <s v="BE"/>
    <s v="BEANIE"/>
    <s v="K"/>
    <n v="512"/>
    <n v="512"/>
    <s v="SMKBEF5512"/>
    <n v="0.25"/>
    <s v="14FW SMB_12_KNIT_N_KIDS_BK"/>
    <s v="BK"/>
    <s v="BLACK"/>
    <s v="SMKBEF5512BK"/>
    <x v="0"/>
    <n v="1"/>
    <n v="0"/>
    <n v="1"/>
    <s v="FRE"/>
    <n v="250"/>
    <x v="6"/>
    <n v="1"/>
    <x v="0"/>
    <s v="M"/>
    <s v="CN"/>
    <x v="0"/>
    <n v="33000"/>
    <x v="7"/>
    <n v="4285.7142857142853"/>
    <n v="4051.784000000001"/>
    <n v="-233.93028571428431"/>
    <n v="0"/>
    <n v="0"/>
    <n v="110"/>
    <n v="110"/>
    <n v="3.16"/>
    <n v="0"/>
    <d v="2014-04-22T00:00:00"/>
    <d v="2014-09-07T00:00:00"/>
    <d v="2014-08-18T00:00:00"/>
    <d v="2014-08-18T00:00:00"/>
    <d v="2014-09-15T00:00:00"/>
    <d v="1899-12-30T00:00:00"/>
    <d v="1899-12-30T00:00:00"/>
    <d v="1899-12-30T00:00:00"/>
    <d v="1899-12-30T00:00:00"/>
    <x v="0"/>
    <s v="확정 "/>
    <n v="250"/>
    <n v="0"/>
    <n v="0"/>
    <n v="0"/>
    <n v="0"/>
    <n v="0"/>
    <n v="250"/>
    <n v="1012946.0000000002"/>
    <n v="8250000"/>
    <n v="7.4041459268312408"/>
  </r>
  <r>
    <n v="0"/>
    <n v="0"/>
    <n v="4"/>
    <n v="9"/>
    <s v="SPORTS"/>
    <x v="4"/>
    <s v="SMK-Y&amp;Y-01"/>
    <s v="SMK-Y&amp;Y-01SMKBEF5512PP"/>
    <n v="2"/>
    <s v="SMK-Y&amp;Y-012"/>
    <s v="SMK-Y&amp;Y-012-SMKBEF5512PURPLEFRE"/>
    <s v="SMK의류외512"/>
    <s v="SMK"/>
    <s v="14FW S"/>
    <m/>
    <s v="SMK"/>
    <s v="SUPER MASSIVE BOUND KIDS"/>
    <s v="F"/>
    <n v="5"/>
    <s v="BE"/>
    <s v="BEANIE"/>
    <s v="K"/>
    <n v="512"/>
    <n v="512"/>
    <s v="SMKBEF5512"/>
    <n v="0.25"/>
    <s v="14FW SMB_12_KNIT_N_KIDS_PP"/>
    <s v="PP"/>
    <s v="PURPLE"/>
    <s v="SMKBEF5512PP"/>
    <x v="0"/>
    <n v="1"/>
    <n v="0"/>
    <n v="1"/>
    <s v="FRE"/>
    <n v="250"/>
    <x v="6"/>
    <n v="1"/>
    <x v="0"/>
    <s v="M"/>
    <s v="CN"/>
    <x v="0"/>
    <n v="33000"/>
    <x v="7"/>
    <n v="4285.7142857142853"/>
    <n v="4051.784000000001"/>
    <n v="-233.93028571428431"/>
    <n v="0"/>
    <n v="0"/>
    <n v="110"/>
    <n v="110"/>
    <n v="3.16"/>
    <n v="0"/>
    <d v="2014-04-22T00:00:00"/>
    <d v="2014-09-07T00:00:00"/>
    <d v="2014-08-18T00:00:00"/>
    <d v="2014-08-18T00:00:00"/>
    <d v="2014-09-15T00:00:00"/>
    <d v="1899-12-30T00:00:00"/>
    <d v="1899-12-30T00:00:00"/>
    <d v="1899-12-30T00:00:00"/>
    <d v="1899-12-30T00:00:00"/>
    <x v="0"/>
    <s v="확정 "/>
    <n v="250"/>
    <n v="0"/>
    <n v="0"/>
    <n v="0"/>
    <n v="0"/>
    <n v="0"/>
    <n v="250"/>
    <n v="1012946.0000000002"/>
    <n v="8250000"/>
    <n v="7.4041459268312408"/>
  </r>
  <r>
    <n v="0"/>
    <n v="0"/>
    <n v="4"/>
    <n v="9"/>
    <s v="SPORTS"/>
    <x v="4"/>
    <s v="SMK-Y&amp;Y-01"/>
    <s v="SMK-Y&amp;Y-01SMKBEF5512PK"/>
    <n v="3"/>
    <s v="SMK-Y&amp;Y-013"/>
    <s v="SMK-Y&amp;Y-013-SMKBEF5512PINKFRE"/>
    <s v="SMK의류외512"/>
    <s v="SMK"/>
    <s v="14FW S"/>
    <m/>
    <s v="SMK"/>
    <s v="SUPER MASSIVE BOUND KIDS"/>
    <s v="F"/>
    <n v="5"/>
    <s v="BE"/>
    <s v="BEANIE"/>
    <s v="K"/>
    <n v="512"/>
    <n v="512"/>
    <s v="SMKBEF5512"/>
    <n v="0.25"/>
    <s v="14FW SMB_12_KNIT_N_KIDS_PK"/>
    <s v="PK"/>
    <s v="PINK"/>
    <s v="SMKBEF5512PK"/>
    <x v="0"/>
    <n v="1"/>
    <n v="0"/>
    <n v="1"/>
    <s v="FRE"/>
    <n v="250"/>
    <x v="6"/>
    <n v="1"/>
    <x v="0"/>
    <s v="M"/>
    <s v="CN"/>
    <x v="0"/>
    <n v="33000"/>
    <x v="7"/>
    <n v="4285.7142857142853"/>
    <n v="4051.784000000001"/>
    <n v="-233.93028571428431"/>
    <n v="0"/>
    <n v="0"/>
    <n v="110"/>
    <n v="110"/>
    <n v="3.16"/>
    <n v="0"/>
    <d v="2014-04-22T00:00:00"/>
    <d v="2014-09-07T00:00:00"/>
    <d v="2014-08-18T00:00:00"/>
    <d v="2014-08-18T00:00:00"/>
    <d v="2014-09-15T00:00:00"/>
    <d v="1899-12-30T00:00:00"/>
    <d v="1899-12-30T00:00:00"/>
    <d v="1899-12-30T00:00:00"/>
    <d v="1899-12-30T00:00:00"/>
    <x v="0"/>
    <s v="확정 "/>
    <n v="250"/>
    <n v="0"/>
    <n v="0"/>
    <n v="0"/>
    <n v="0"/>
    <n v="0"/>
    <n v="250"/>
    <n v="1012946.0000000002"/>
    <n v="8250000"/>
    <n v="7.4041459268312408"/>
  </r>
  <r>
    <n v="0"/>
    <n v="0"/>
    <n v="4"/>
    <n v="9"/>
    <s v="SPORTS"/>
    <x v="4"/>
    <s v="SMK-Y&amp;Y-01"/>
    <s v="SMK-Y&amp;Y-01SMKBEF5512RE"/>
    <n v="4"/>
    <s v="SMK-Y&amp;Y-014"/>
    <s v="SMK-Y&amp;Y-014-SMKBEF5512REDFRE"/>
    <s v="SMK의류외512"/>
    <s v="SMK"/>
    <s v="14FW S"/>
    <m/>
    <s v="SMK"/>
    <s v="SUPER MASSIVE BOUND KIDS"/>
    <s v="F"/>
    <n v="5"/>
    <s v="BE"/>
    <s v="BEANIE"/>
    <s v="K"/>
    <n v="512"/>
    <n v="512"/>
    <s v="SMKBEF5512"/>
    <n v="0.25"/>
    <s v="14FW SMB_12_KNIT_N_KIDS_RE"/>
    <s v="RE"/>
    <s v="RED"/>
    <s v="SMKBEF5512RE"/>
    <x v="0"/>
    <n v="1"/>
    <n v="0"/>
    <n v="1"/>
    <s v="FRE"/>
    <n v="250"/>
    <x v="6"/>
    <n v="1"/>
    <x v="0"/>
    <s v="M"/>
    <s v="CN"/>
    <x v="0"/>
    <n v="33000"/>
    <x v="7"/>
    <n v="4285.7142857142853"/>
    <n v="4051.784000000001"/>
    <n v="-233.93028571428431"/>
    <n v="0"/>
    <n v="0"/>
    <n v="110"/>
    <n v="110"/>
    <n v="3.16"/>
    <n v="0"/>
    <d v="2014-04-22T00:00:00"/>
    <d v="2014-09-07T00:00:00"/>
    <d v="2014-08-18T00:00:00"/>
    <d v="2014-08-18T00:00:00"/>
    <d v="2014-09-15T00:00:00"/>
    <d v="1899-12-30T00:00:00"/>
    <d v="1899-12-30T00:00:00"/>
    <d v="1899-12-30T00:00:00"/>
    <d v="1899-12-30T00:00:00"/>
    <x v="0"/>
    <s v="확정 "/>
    <n v="249"/>
    <n v="0"/>
    <n v="0"/>
    <n v="0"/>
    <n v="0"/>
    <n v="0"/>
    <n v="250"/>
    <n v="1012946.0000000002"/>
    <n v="8250000"/>
    <n v="7.4041459268312408"/>
  </r>
  <r>
    <n v="0"/>
    <n v="0"/>
    <s v=""/>
    <s v=""/>
    <s v=""/>
    <x v="1"/>
    <s v=""/>
    <s v=""/>
    <n v="0"/>
    <s v="0"/>
    <s v="0-"/>
    <n v="0"/>
    <s v="TTL"/>
    <s v=""/>
    <s v="SMK-Y&amp;Y-01 TTL"/>
    <m/>
    <s v=""/>
    <s v=""/>
    <s v=""/>
    <m/>
    <s v=""/>
    <m/>
    <m/>
    <s v=""/>
    <s v=""/>
    <n v="1"/>
    <m/>
    <s v=""/>
    <m/>
    <s v=""/>
    <x v="0"/>
    <n v="4"/>
    <n v="0"/>
    <n v="1"/>
    <m/>
    <n v="1000"/>
    <x v="1"/>
    <m/>
    <x v="1"/>
    <m/>
    <m/>
    <x v="1"/>
    <n v="0"/>
    <x v="1"/>
    <m/>
    <m/>
    <m/>
    <n v="0"/>
    <n v="0"/>
    <s v=""/>
    <n v="0"/>
    <n v="316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999"/>
    <n v="0"/>
    <n v="0"/>
    <n v="0"/>
    <n v="0"/>
    <n v="0"/>
    <n v="1000"/>
    <n v="4051784.0000000009"/>
    <n v="33000000"/>
    <n v="7.4041459268312408"/>
  </r>
  <r>
    <n v="0"/>
    <n v="0"/>
    <n v="5"/>
    <n v="9"/>
    <s v="SPORTS"/>
    <x v="5"/>
    <s v="SWK-QF-06"/>
    <s v="SWK-QF-06SWKSNF5513PK"/>
    <n v="1"/>
    <s v="SWK-QF-061"/>
    <s v="SWK-QF-061-SWKSNF5513PINKOSM"/>
    <s v="SWK의류외513"/>
    <s v="SWK"/>
    <s v="14FW S"/>
    <m/>
    <s v="SWK"/>
    <s v="SUPER MASSIVE BOUND KIDS_W"/>
    <s v="F"/>
    <n v="5"/>
    <s v="SN"/>
    <s v="SNAPBACK"/>
    <s v="K"/>
    <n v="513"/>
    <n v="513"/>
    <s v="SWKSNF5513"/>
    <n v="0.5"/>
    <s v="14FW SMB_36_FLAT_PK_F_KIDS"/>
    <s v="PK"/>
    <s v="PINK"/>
    <s v="SWKSNF5513PK"/>
    <x v="0"/>
    <n v="0.5"/>
    <s v="겉감1:울50 폴리에스터50_x000a_겉감2:울97 폴리에스터3"/>
    <n v="1"/>
    <s v="OSM"/>
    <n v="300"/>
    <x v="2"/>
    <n v="6"/>
    <x v="6"/>
    <s v="M"/>
    <s v="CN"/>
    <x v="0"/>
    <n v="45000"/>
    <x v="2"/>
    <n v="4545.454545454545"/>
    <n v="6668.5600000000013"/>
    <n v="2123.1054545454563"/>
    <n v="0"/>
    <n v="1160"/>
    <n v="20"/>
    <n v="1180"/>
    <n v="4.4000000000000004"/>
    <n v="0"/>
    <d v="2014-05-12T00:00:00"/>
    <d v="1899-12-30T00:00:00"/>
    <d v="2014-08-25T00:00:00"/>
    <d v="2014-08-25T00:00:00"/>
    <d v="2014-09-03T00:00:00"/>
    <d v="1899-12-30T00:00:00"/>
    <d v="1899-12-30T00:00:00"/>
    <d v="1899-12-30T00:00:00"/>
    <d v="1899-12-30T00:00:00"/>
    <x v="2"/>
    <s v="확정 "/>
    <n v="300"/>
    <n v="0"/>
    <n v="0"/>
    <n v="0"/>
    <n v="0"/>
    <n v="0"/>
    <n v="300"/>
    <n v="2000568.0000000005"/>
    <n v="13500000"/>
    <n v="6.1346214038849309"/>
  </r>
  <r>
    <n v="0"/>
    <n v="0"/>
    <n v="5"/>
    <n v="9"/>
    <s v="SPORTS"/>
    <x v="5"/>
    <s v="SWK-QF-06"/>
    <s v="SWK-QF-06SWKSNF5513PK"/>
    <n v="1"/>
    <s v="SWK-QF-061"/>
    <s v="SWK-QF-061-SWKSNF5513PINKOML"/>
    <s v="SWK의류외513"/>
    <s v="SWK"/>
    <s v="14FW S"/>
    <m/>
    <s v="SWK"/>
    <s v="SUPER MASSIVE BOUND KIDS_W"/>
    <s v="F"/>
    <n v="5"/>
    <s v="SN"/>
    <s v="SNAPBACK"/>
    <s v="K"/>
    <n v="513"/>
    <n v="513"/>
    <s v="SWKSNF5513"/>
    <n v="0.5"/>
    <s v="14FW SMB_36_FLAT_PK_F_KIDS"/>
    <s v="PK"/>
    <s v="PINK"/>
    <s v="SWKSNF5513PK"/>
    <x v="0"/>
    <n v="0.5"/>
    <s v="겉감1:울50 폴리에스터50_x000a_겉감2:울97 폴리에스터3"/>
    <n v="1"/>
    <s v="OML"/>
    <n v="150"/>
    <x v="2"/>
    <n v="6"/>
    <x v="6"/>
    <s v="M"/>
    <s v="CN"/>
    <x v="0"/>
    <n v="45000"/>
    <x v="2"/>
    <n v="4545.454545454545"/>
    <n v="6668.5600000000013"/>
    <n v="2123.1054545454563"/>
    <n v="0"/>
    <n v="1160"/>
    <n v="20"/>
    <n v="1180"/>
    <n v="4.4000000000000004"/>
    <n v="0"/>
    <d v="2014-05-12T00:00:00"/>
    <d v="1899-12-30T00:00:00"/>
    <d v="2014-08-25T00:00:00"/>
    <d v="2014-08-25T00:00:00"/>
    <d v="2014-09-03T00:00:00"/>
    <d v="1899-12-30T00:00:00"/>
    <d v="1899-12-30T00:00:00"/>
    <d v="1899-12-30T00:00:00"/>
    <d v="1899-12-30T00:00:00"/>
    <x v="2"/>
    <s v="확정 "/>
    <n v="150"/>
    <n v="0"/>
    <n v="0"/>
    <n v="0"/>
    <n v="0"/>
    <n v="0"/>
    <n v="150"/>
    <n v="1000284.0000000002"/>
    <n v="6750000"/>
    <n v="6.1346214038849309"/>
  </r>
  <r>
    <n v="0"/>
    <n v="0"/>
    <n v="5"/>
    <n v="9"/>
    <s v="SPORTS"/>
    <x v="5"/>
    <s v="SWK-QF-06"/>
    <s v="SWK-QF-06SWKSNF5504BK"/>
    <n v="2"/>
    <s v="SWK-QF-062"/>
    <s v="SWK-QF-062-SWKSNF5504BLACKOSM"/>
    <s v="SWK의류외504"/>
    <s v="SWK"/>
    <s v="14FW S"/>
    <m/>
    <s v="SWK"/>
    <s v="SUPER MASSIVE BOUND KIDS_W"/>
    <s v="F"/>
    <n v="5"/>
    <s v="SN"/>
    <s v="SNAPBACK"/>
    <s v="K"/>
    <n v="504"/>
    <n v="504"/>
    <s v="SWKSNF5504"/>
    <n v="0.16666666666666666"/>
    <s v="14FW SMB_39_FLAT_BK_F_KIDS"/>
    <s v="BK"/>
    <s v="BLACK"/>
    <s v="SWKSNF5504BK"/>
    <x v="0"/>
    <n v="0.33333333333333331"/>
    <s v="겉감1:폴리에스터100_x000a_겉감2:폴리에스터100"/>
    <n v="1"/>
    <s v="OSM"/>
    <n v="100"/>
    <x v="2"/>
    <n v="6"/>
    <x v="6"/>
    <s v="M"/>
    <s v="CN"/>
    <x v="0"/>
    <n v="45000"/>
    <x v="2"/>
    <n v="4545.454545454545"/>
    <n v="5271.68"/>
    <n v="726.22545454545525"/>
    <n v="0"/>
    <n v="1260"/>
    <n v="20"/>
    <n v="1280"/>
    <n v="3.2"/>
    <n v="0"/>
    <d v="2014-05-12T00:00:00"/>
    <d v="2014-08-30T00:00:00"/>
    <d v="2014-08-25T00:00:00"/>
    <d v="2014-08-25T00:00:00"/>
    <d v="2014-09-12T00:00:00"/>
    <d v="1899-12-30T00:00:00"/>
    <d v="1899-12-30T00:00:00"/>
    <d v="1899-12-30T00:00:00"/>
    <d v="1899-12-30T00:00:00"/>
    <x v="2"/>
    <s v="확정 "/>
    <n v="100"/>
    <n v="0"/>
    <n v="0"/>
    <n v="0"/>
    <n v="0"/>
    <n v="0"/>
    <n v="100"/>
    <n v="527168"/>
    <n v="4500000"/>
    <n v="7.7601620183871001"/>
  </r>
  <r>
    <n v="0"/>
    <n v="0"/>
    <n v="5"/>
    <n v="9"/>
    <s v="SPORTS"/>
    <x v="5"/>
    <s v="SWK-QF-06"/>
    <s v="SWK-QF-06SWKSNF5504BK"/>
    <n v="2"/>
    <s v="SWK-QF-062"/>
    <s v="SWK-QF-062-SWKSNF5504BLACKOML"/>
    <s v="SWK의류외504"/>
    <s v="SWK"/>
    <s v="14FW S"/>
    <m/>
    <s v="SWK"/>
    <s v="SUPER MASSIVE BOUND KIDS_W"/>
    <s v="F"/>
    <n v="5"/>
    <s v="SN"/>
    <s v="SNAPBACK"/>
    <s v="K"/>
    <n v="504"/>
    <n v="504"/>
    <s v="SWKSNF5504"/>
    <n v="0.16666666666666666"/>
    <s v="14FW SMB_39_FLAT_BK_F_KIDS"/>
    <s v="BK"/>
    <s v="BLACK"/>
    <s v="SWKSNF5504BK"/>
    <x v="0"/>
    <n v="0.33333333333333331"/>
    <s v="겉감1:폴리에스터100_x000a_겉감2:폴리에스터100"/>
    <n v="1"/>
    <s v="OML"/>
    <n v="50"/>
    <x v="2"/>
    <n v="6"/>
    <x v="6"/>
    <s v="M"/>
    <s v="CN"/>
    <x v="0"/>
    <n v="45000"/>
    <x v="2"/>
    <n v="4545.454545454545"/>
    <n v="5271.68"/>
    <n v="726.22545454545525"/>
    <n v="0"/>
    <n v="1260"/>
    <n v="20"/>
    <n v="1280"/>
    <n v="3.2"/>
    <n v="0"/>
    <d v="2014-05-12T00:00:00"/>
    <d v="2014-08-30T00:00:00"/>
    <d v="2014-08-25T00:00:00"/>
    <d v="2014-08-25T00:00:00"/>
    <d v="2014-09-12T00:00:00"/>
    <d v="1899-12-30T00:00:00"/>
    <d v="1899-12-30T00:00:00"/>
    <d v="1899-12-30T00:00:00"/>
    <d v="1899-12-30T00:00:00"/>
    <x v="2"/>
    <s v="확정 "/>
    <n v="50"/>
    <n v="0"/>
    <n v="0"/>
    <n v="0"/>
    <n v="0"/>
    <n v="0"/>
    <n v="50"/>
    <n v="263584"/>
    <n v="2250000"/>
    <n v="7.7601620183871001"/>
  </r>
  <r>
    <n v="0"/>
    <n v="0"/>
    <n v="5"/>
    <n v="9"/>
    <s v="SPORTS"/>
    <x v="5"/>
    <s v="SWK-QF-06"/>
    <s v="SWK-QF-06SWKSNF5504BK"/>
    <n v="2"/>
    <s v="SWK-QF-062"/>
    <s v="SWK-QF-062-SWKSNF5504BLACKXSS"/>
    <s v="SWK의류외504"/>
    <s v="SWK"/>
    <s v="14FW S"/>
    <m/>
    <s v="SWK"/>
    <s v="SUPER MASSIVE BOUND KIDS_W"/>
    <s v="F"/>
    <n v="5"/>
    <s v="SN"/>
    <s v="SNAPBACK"/>
    <s v="K"/>
    <n v="504"/>
    <n v="504"/>
    <s v="SWKSNF5504"/>
    <n v="0.16666666666666666"/>
    <s v="14FW SMB_39_FLAT_BK_F_KIDS"/>
    <s v="BK"/>
    <s v="BLACK"/>
    <s v="SWKSNF5504BK"/>
    <x v="0"/>
    <n v="0.33333333333333331"/>
    <s v="겉감1:폴리에스터100_x000a_겉감2:폴리에스터100"/>
    <n v="1"/>
    <s v="XSS"/>
    <n v="300"/>
    <x v="2"/>
    <n v="6"/>
    <x v="6"/>
    <s v="M"/>
    <s v="CN"/>
    <x v="0"/>
    <n v="45000"/>
    <x v="2"/>
    <n v="4545.454545454545"/>
    <n v="5271.68"/>
    <n v="726.22545454545525"/>
    <n v="0"/>
    <n v="1260"/>
    <n v="20"/>
    <n v="1280"/>
    <n v="3.2"/>
    <n v="0"/>
    <d v="2014-05-12T00:00:00"/>
    <d v="2014-08-30T00:00:00"/>
    <d v="2014-08-25T00:00:00"/>
    <d v="2014-08-25T00:00:00"/>
    <d v="2014-09-12T00:00:00"/>
    <d v="1899-12-30T00:00:00"/>
    <d v="1899-12-30T00:00:00"/>
    <d v="1899-12-30T00:00:00"/>
    <d v="1899-12-30T00:00:00"/>
    <x v="2"/>
    <s v="확정 "/>
    <n v="300"/>
    <n v="0"/>
    <n v="0"/>
    <n v="0"/>
    <n v="0"/>
    <n v="0"/>
    <n v="300"/>
    <n v="1581504"/>
    <n v="13500000"/>
    <n v="7.7601620183871001"/>
  </r>
  <r>
    <n v="0"/>
    <n v="0"/>
    <n v="5"/>
    <n v="9"/>
    <s v="SPORTS"/>
    <x v="5"/>
    <s v="SWK-QF-06"/>
    <s v="SWK-QF-06SWKSNF5504PK"/>
    <n v="3"/>
    <s v="SWK-QF-063"/>
    <s v="SWK-QF-063-SWKSNF5504PINKOSM"/>
    <s v="SWK의류외504"/>
    <s v="SWK"/>
    <s v="14FW S"/>
    <m/>
    <s v="SWK"/>
    <s v="SUPER MASSIVE BOUND KIDS_W"/>
    <s v="F"/>
    <n v="5"/>
    <s v="SN"/>
    <s v="SNAPBACK"/>
    <s v="K"/>
    <n v="504"/>
    <n v="504"/>
    <s v="SWKSNF5504"/>
    <n v="0.16666666666666666"/>
    <s v="14FW SMB_39_FLAT_PK_F_KIDS"/>
    <s v="PK"/>
    <s v="PINK"/>
    <s v="SWKSNF5504PK"/>
    <x v="0"/>
    <n v="0.33333333333333331"/>
    <s v="겉감1:폴리에스터100_x000a_겉감2:폴리에스터100"/>
    <n v="1"/>
    <s v="OSM"/>
    <n v="100"/>
    <x v="2"/>
    <n v="6"/>
    <x v="6"/>
    <s v="M"/>
    <s v="CN"/>
    <x v="0"/>
    <n v="45000"/>
    <x v="2"/>
    <n v="4545.454545454545"/>
    <n v="6419.0800000000008"/>
    <n v="1873.6254545454558"/>
    <n v="0"/>
    <n v="1160"/>
    <n v="20"/>
    <n v="1180"/>
    <n v="4.2"/>
    <n v="0"/>
    <d v="2014-05-12T00:00:00"/>
    <d v="2014-08-30T00:00:00"/>
    <d v="2014-08-25T00:00:00"/>
    <d v="2014-08-25T00:00:00"/>
    <d v="2014-09-03T00:00:00"/>
    <d v="2014-09-12T00:00:00"/>
    <d v="1899-12-30T00:00:00"/>
    <d v="1899-12-30T00:00:00"/>
    <d v="1899-12-30T00:00:00"/>
    <x v="2"/>
    <s v="확정 "/>
    <n v="100"/>
    <n v="0"/>
    <n v="0"/>
    <n v="0"/>
    <n v="0"/>
    <n v="0"/>
    <n v="100"/>
    <n v="641908.00000000012"/>
    <n v="4500000"/>
    <n v="6.3730458117192654"/>
  </r>
  <r>
    <n v="0"/>
    <n v="0"/>
    <n v="5"/>
    <n v="9"/>
    <s v="SPORTS"/>
    <x v="5"/>
    <s v="SWK-QF-06"/>
    <s v="SWK-QF-06SWKSNF5504PK"/>
    <n v="3"/>
    <s v="SWK-QF-063"/>
    <s v="SWK-QF-063-SWKSNF5504PINKOML"/>
    <s v="SWK의류외504"/>
    <s v="SWK"/>
    <s v="14FW S"/>
    <m/>
    <s v="SWK"/>
    <s v="SUPER MASSIVE BOUND KIDS_W"/>
    <s v="F"/>
    <n v="5"/>
    <s v="SN"/>
    <s v="SNAPBACK"/>
    <s v="K"/>
    <n v="504"/>
    <n v="504"/>
    <s v="SWKSNF5504"/>
    <n v="0.16666666666666666"/>
    <s v="14FW SMB_39_FLAT_PK_F_KIDS"/>
    <s v="PK"/>
    <s v="PINK"/>
    <s v="SWKSNF5504PK"/>
    <x v="0"/>
    <n v="0.33333333333333331"/>
    <s v="겉감1:폴리에스터100_x000a_겉감2:폴리에스터100"/>
    <n v="1"/>
    <s v="OML"/>
    <n v="50"/>
    <x v="2"/>
    <n v="6"/>
    <x v="6"/>
    <s v="M"/>
    <s v="CN"/>
    <x v="0"/>
    <n v="45000"/>
    <x v="2"/>
    <n v="4545.454545454545"/>
    <n v="6419.0800000000008"/>
    <n v="1873.6254545454558"/>
    <n v="0"/>
    <n v="1160"/>
    <n v="20"/>
    <n v="1180"/>
    <n v="4.2"/>
    <n v="0"/>
    <d v="2014-05-12T00:00:00"/>
    <d v="2014-08-30T00:00:00"/>
    <d v="2014-08-25T00:00:00"/>
    <d v="2014-08-25T00:00:00"/>
    <d v="2014-09-03T00:00:00"/>
    <d v="2014-09-12T00:00:00"/>
    <d v="1899-12-30T00:00:00"/>
    <d v="1899-12-30T00:00:00"/>
    <d v="1899-12-30T00:00:00"/>
    <x v="2"/>
    <s v="확정 "/>
    <n v="0"/>
    <n v="50"/>
    <n v="0"/>
    <n v="0"/>
    <n v="0"/>
    <n v="0"/>
    <n v="50"/>
    <n v="320954.00000000006"/>
    <n v="2250000"/>
    <n v="6.3730458117192654"/>
  </r>
  <r>
    <n v="0"/>
    <n v="0"/>
    <n v="5"/>
    <n v="9"/>
    <s v="SPORTS"/>
    <x v="5"/>
    <s v="SWK-QF-06"/>
    <s v="SWK-QF-06SWKSNF5504PK"/>
    <n v="3"/>
    <s v="SWK-QF-063"/>
    <s v="SWK-QF-063-SWKSNF5504PINKXSS"/>
    <s v="SWK의류외504"/>
    <s v="SWK"/>
    <s v="14FW S"/>
    <m/>
    <s v="SWK"/>
    <s v="SUPER MASSIVE BOUND KIDS_W"/>
    <s v="F"/>
    <n v="5"/>
    <s v="SN"/>
    <s v="SNAPBACK"/>
    <s v="K"/>
    <n v="504"/>
    <n v="504"/>
    <s v="SWKSNF5504"/>
    <n v="0.16666666666666666"/>
    <s v="14FW SMB_39_FLAT_PK_F_KIDS"/>
    <s v="PK"/>
    <s v="PINK"/>
    <s v="SWKSNF5504PK"/>
    <x v="0"/>
    <n v="0.33333333333333331"/>
    <s v="겉감1:폴리에스터100_x000a_겉감2:폴리에스터100"/>
    <n v="1"/>
    <s v="XSS"/>
    <n v="300"/>
    <x v="2"/>
    <n v="6"/>
    <x v="6"/>
    <s v="M"/>
    <s v="CN"/>
    <x v="0"/>
    <n v="45000"/>
    <x v="2"/>
    <n v="4545.454545454545"/>
    <n v="6419.0800000000008"/>
    <n v="1873.6254545454558"/>
    <n v="0"/>
    <n v="1160"/>
    <n v="20"/>
    <n v="1180"/>
    <n v="4.2"/>
    <n v="0"/>
    <d v="2014-05-12T00:00:00"/>
    <d v="2014-08-30T00:00:00"/>
    <d v="2014-08-25T00:00:00"/>
    <d v="2014-08-25T00:00:00"/>
    <d v="2014-09-03T00:00:00"/>
    <d v="2014-09-12T00:00:00"/>
    <d v="1899-12-30T00:00:00"/>
    <d v="1899-12-30T00:00:00"/>
    <d v="1899-12-30T00:00:00"/>
    <x v="2"/>
    <s v="확정 "/>
    <n v="200"/>
    <n v="100"/>
    <n v="0"/>
    <n v="0"/>
    <n v="0"/>
    <n v="0"/>
    <n v="300"/>
    <n v="1925724.0000000002"/>
    <n v="13500000"/>
    <n v="6.3730458117192654"/>
  </r>
  <r>
    <n v="0"/>
    <n v="0.33333333333333331"/>
    <n v="5"/>
    <n v="9"/>
    <s v="SPORTS"/>
    <x v="5"/>
    <s v="SWK-QF-06"/>
    <s v="SWK-QF-06SWKERF5514PK"/>
    <n v="4"/>
    <s v="SWK-QF-064"/>
    <s v="SWK-QF-064-SWKERF5514PINKOSM"/>
    <s v="SWK의류외514"/>
    <s v="SWK"/>
    <s v="14FW S"/>
    <m/>
    <s v="SWK"/>
    <s v="SUPER MASSIVE BOUND KIDS_W"/>
    <s v="F"/>
    <n v="5"/>
    <s v="ER"/>
    <s v="EARCAP"/>
    <s v="K"/>
    <n v="514"/>
    <n v="514"/>
    <s v="SWKERF5514"/>
    <n v="0.33333333333333331"/>
    <s v="14FW SMB_40_FLAT_PK_F_KIDS"/>
    <s v="PK"/>
    <s v="PINK"/>
    <s v="SWKERF5514PK"/>
    <x v="0"/>
    <n v="0.33333333333333331"/>
    <n v="0"/>
    <n v="1"/>
    <s v="OSM"/>
    <n v="80"/>
    <x v="2"/>
    <n v="6"/>
    <x v="6"/>
    <s v="M"/>
    <s v="CN"/>
    <x v="0"/>
    <n v="55000"/>
    <x v="2"/>
    <n v="5555.5555555555547"/>
    <n v="7868.4800000000014"/>
    <n v="2312.9244444444466"/>
    <n v="202"/>
    <n v="1160"/>
    <n v="20"/>
    <n v="1382"/>
    <n v="5.2"/>
    <n v="0"/>
    <d v="2014-05-12T00:00:00"/>
    <d v="2014-08-30T00:00:00"/>
    <d v="2014-08-25T00:00:00"/>
    <d v="2014-08-25T00:00:00"/>
    <d v="2014-09-12T00:00:00"/>
    <d v="2014-09-16T00:00:00"/>
    <d v="1899-12-30T00:00:00"/>
    <d v="1899-12-30T00:00:00"/>
    <d v="1899-12-30T00:00:00"/>
    <x v="2"/>
    <s v="확정 "/>
    <n v="0"/>
    <n v="100"/>
    <n v="0"/>
    <n v="0"/>
    <n v="0"/>
    <n v="0"/>
    <n v="80"/>
    <n v="629478.40000000014"/>
    <n v="4400000"/>
    <n v="6.3544674447923848"/>
  </r>
  <r>
    <n v="0"/>
    <n v="0.33333333333333331"/>
    <n v="5"/>
    <n v="9"/>
    <s v="SPORTS"/>
    <x v="5"/>
    <s v="SWK-QF-06"/>
    <s v="SWK-QF-06SWKERF5514PK"/>
    <n v="4"/>
    <s v="SWK-QF-064"/>
    <s v="SWK-QF-064-SWKERF5514PINKOML"/>
    <s v="SWK의류외514"/>
    <s v="SWK"/>
    <s v="14FW S"/>
    <m/>
    <s v="SWK"/>
    <s v="SUPER MASSIVE BOUND KIDS_W"/>
    <s v="F"/>
    <n v="5"/>
    <s v="ER"/>
    <s v="EARCAP"/>
    <s v="K"/>
    <n v="514"/>
    <n v="514"/>
    <s v="SWKERF5514"/>
    <n v="0.33333333333333331"/>
    <s v="14FW SMB_40_FLAT_PK_F_KIDS"/>
    <s v="PK"/>
    <s v="PINK"/>
    <s v="SWKERF5514PK"/>
    <x v="0"/>
    <n v="0.33333333333333331"/>
    <n v="0"/>
    <n v="1"/>
    <s v="OML"/>
    <n v="40"/>
    <x v="2"/>
    <n v="6"/>
    <x v="6"/>
    <s v="M"/>
    <s v="CN"/>
    <x v="0"/>
    <n v="55000"/>
    <x v="2"/>
    <n v="5555.5555555555547"/>
    <n v="7868.4800000000014"/>
    <n v="2312.9244444444466"/>
    <n v="202"/>
    <n v="1160"/>
    <n v="20"/>
    <n v="1382"/>
    <n v="5.2"/>
    <n v="0"/>
    <d v="2014-05-12T00:00:00"/>
    <d v="2014-08-30T00:00:00"/>
    <d v="2014-08-25T00:00:00"/>
    <d v="2014-08-25T00:00:00"/>
    <d v="2014-09-12T00:00:00"/>
    <d v="2014-09-16T00:00:00"/>
    <d v="1899-12-30T00:00:00"/>
    <d v="1899-12-30T00:00:00"/>
    <d v="1899-12-30T00:00:00"/>
    <x v="2"/>
    <s v="확정 "/>
    <n v="40"/>
    <n v="0"/>
    <n v="0"/>
    <n v="0"/>
    <n v="0"/>
    <n v="0"/>
    <n v="40"/>
    <n v="314739.20000000007"/>
    <n v="2200000"/>
    <n v="6.3544674447923848"/>
  </r>
  <r>
    <n v="0"/>
    <n v="0.33333333333333331"/>
    <n v="5"/>
    <n v="9"/>
    <s v="SPORTS"/>
    <x v="5"/>
    <s v="SWK-QF-06"/>
    <s v="SWK-QF-06SWKERF5514PK"/>
    <n v="4"/>
    <s v="SWK-QF-064"/>
    <s v="SWK-QF-064-SWKERF5514PINKXSS"/>
    <s v="SWK의류외514"/>
    <s v="SWK"/>
    <s v="14FW S"/>
    <m/>
    <s v="SWK"/>
    <s v="SUPER MASSIVE BOUND KIDS_W"/>
    <s v="F"/>
    <n v="5"/>
    <s v="ER"/>
    <s v="EARCAP"/>
    <s v="K"/>
    <n v="514"/>
    <n v="514"/>
    <s v="SWKERF5514"/>
    <n v="0.33333333333333331"/>
    <s v="14FW SMB_40_FLAT_PK_F_KIDS"/>
    <s v="PK"/>
    <s v="PINK"/>
    <s v="SWKERF5514PK"/>
    <x v="0"/>
    <n v="0.33333333333333331"/>
    <n v="0"/>
    <n v="1"/>
    <s v="XSS"/>
    <n v="250"/>
    <x v="2"/>
    <n v="6"/>
    <x v="6"/>
    <s v="M"/>
    <s v="CN"/>
    <x v="0"/>
    <n v="55000"/>
    <x v="2"/>
    <n v="5555.5555555555547"/>
    <n v="7868.4800000000014"/>
    <n v="2312.9244444444466"/>
    <n v="202"/>
    <n v="1160"/>
    <n v="20"/>
    <n v="1382"/>
    <n v="5.2"/>
    <n v="0"/>
    <d v="2014-05-12T00:00:00"/>
    <d v="2014-08-30T00:00:00"/>
    <d v="2014-08-25T00:00:00"/>
    <d v="2014-08-25T00:00:00"/>
    <d v="2014-09-12T00:00:00"/>
    <d v="2014-09-16T00:00:00"/>
    <d v="1899-12-30T00:00:00"/>
    <d v="1899-12-30T00:00:00"/>
    <d v="1899-12-30T00:00:00"/>
    <x v="2"/>
    <s v="확정 "/>
    <n v="248"/>
    <n v="0"/>
    <n v="0"/>
    <n v="0"/>
    <n v="0"/>
    <n v="0"/>
    <n v="250"/>
    <n v="1967120.0000000002"/>
    <n v="13750000"/>
    <n v="6.3544674447923857"/>
  </r>
  <r>
    <n v="0"/>
    <n v="0"/>
    <s v=""/>
    <s v=""/>
    <s v=""/>
    <x v="1"/>
    <s v=""/>
    <s v=""/>
    <n v="0"/>
    <s v="0"/>
    <s v="0-"/>
    <n v="0"/>
    <s v="TTL"/>
    <s v=""/>
    <s v="SWK-QF-06 TTL"/>
    <m/>
    <s v=""/>
    <s v=""/>
    <s v=""/>
    <m/>
    <s v=""/>
    <m/>
    <m/>
    <s v=""/>
    <s v=""/>
    <n v="3.0000000000000009"/>
    <m/>
    <s v=""/>
    <m/>
    <s v=""/>
    <x v="0"/>
    <n v="4"/>
    <n v="0"/>
    <n v="1"/>
    <m/>
    <n v="1720"/>
    <x v="1"/>
    <m/>
    <x v="1"/>
    <m/>
    <m/>
    <x v="1"/>
    <n v="0"/>
    <x v="1"/>
    <m/>
    <m/>
    <m/>
    <m/>
    <n v="0"/>
    <s v=""/>
    <n v="0"/>
    <n v="7234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488"/>
    <n v="250"/>
    <n v="0"/>
    <n v="0"/>
    <n v="0"/>
    <n v="0"/>
    <n v="1720"/>
    <n v="11173031.6"/>
    <n v="81100000"/>
    <n v="6.598681124939513"/>
  </r>
  <r>
    <n v="0"/>
    <n v="0"/>
    <n v="5"/>
    <n v="10"/>
    <s v="SPORTS"/>
    <x v="5"/>
    <s v="SWK-동일모자-17"/>
    <s v="SWK-동일모자-17SWKSNF5505BW"/>
    <n v="1"/>
    <s v="SWK-동일모자-171"/>
    <s v="SWK-동일모자-171-SWKSNF5505BROWNOSM"/>
    <s v="SWK의류외505"/>
    <s v="SWK"/>
    <s v="14FW S"/>
    <m/>
    <s v="SWK"/>
    <s v="SUPER MASSIVE BOUND KIDS_W"/>
    <s v="F"/>
    <n v="5"/>
    <s v="SN"/>
    <s v="SNAPBACK"/>
    <s v="K"/>
    <n v="505"/>
    <n v="505"/>
    <s v="SWKSNF5505"/>
    <n v="0.33333333333333331"/>
    <s v="14FW SMB_20_FLAT_BW_F_KIDS"/>
    <s v="BW"/>
    <s v="BROWN"/>
    <s v="SWKSNF5505BW"/>
    <x v="0"/>
    <n v="0.33333333333333331"/>
    <n v="0"/>
    <n v="1"/>
    <s v="OSM"/>
    <n v="100"/>
    <x v="5"/>
    <n v="17"/>
    <x v="10"/>
    <s v="M"/>
    <s v="CN"/>
    <x v="0"/>
    <n v="49000"/>
    <x v="2"/>
    <n v="7424.242424242424"/>
    <n v="7292.26"/>
    <n v="-131.9824242424238"/>
    <n v="0"/>
    <n v="1160"/>
    <n v="20"/>
    <n v="1180"/>
    <n v="4.9000000000000004"/>
    <n v="0"/>
    <d v="2014-05-12T00:00:00"/>
    <d v="1899-12-30T00:00:00"/>
    <d v="2014-08-25T00:00:00"/>
    <d v="2014-08-25T00:00:00"/>
    <d v="2014-10-20T00:00:00"/>
    <d v="1899-12-30T00:00:00"/>
    <d v="1899-12-30T00:00:00"/>
    <d v="1899-12-30T00:00:00"/>
    <d v="1899-12-30T00:00:00"/>
    <x v="2"/>
    <s v="확정 "/>
    <n v="100"/>
    <n v="0"/>
    <n v="0"/>
    <n v="0"/>
    <n v="0"/>
    <n v="0"/>
    <n v="100"/>
    <n v="729226"/>
    <n v="4900000"/>
    <n v="6.108593844083253"/>
  </r>
  <r>
    <n v="0"/>
    <n v="0"/>
    <n v="5"/>
    <n v="10"/>
    <s v="SPORTS"/>
    <x v="5"/>
    <s v="SWK-동일모자-17"/>
    <s v="SWK-동일모자-17SWKSNF5505BW"/>
    <n v="1"/>
    <s v="SWK-동일모자-171"/>
    <s v="SWK-동일모자-171-SWKSNF5505BROWNOML"/>
    <s v="SWK의류외505"/>
    <s v="SWK"/>
    <s v="14FW S"/>
    <m/>
    <s v="SWK"/>
    <s v="SUPER MASSIVE BOUND KIDS_W"/>
    <s v="F"/>
    <n v="5"/>
    <s v="SN"/>
    <s v="SNAPBACK"/>
    <s v="K"/>
    <n v="505"/>
    <n v="505"/>
    <s v="SWKSNF5505"/>
    <n v="0.33333333333333331"/>
    <s v="14FW SMB_20_FLAT_BW_F_KIDS"/>
    <s v="BW"/>
    <s v="BROWN"/>
    <s v="SWKSNF5505BW"/>
    <x v="0"/>
    <n v="0.33333333333333331"/>
    <n v="0"/>
    <n v="1"/>
    <s v="OML"/>
    <n v="50"/>
    <x v="5"/>
    <n v="17"/>
    <x v="10"/>
    <s v="M"/>
    <s v="CN"/>
    <x v="0"/>
    <n v="49000"/>
    <x v="2"/>
    <n v="7424.242424242424"/>
    <n v="7292.26"/>
    <n v="-131.9824242424238"/>
    <n v="0"/>
    <n v="1160"/>
    <n v="20"/>
    <n v="1180"/>
    <n v="4.9000000000000004"/>
    <n v="0"/>
    <d v="2014-05-12T00:00:00"/>
    <d v="1899-12-30T00:00:00"/>
    <d v="2014-08-25T00:00:00"/>
    <d v="2014-08-25T00:00:00"/>
    <d v="2014-10-20T00:00:00"/>
    <d v="1899-12-30T00:00:00"/>
    <d v="1899-12-30T00:00:00"/>
    <d v="1899-12-30T00:00:00"/>
    <d v="1899-12-30T00:00:00"/>
    <x v="2"/>
    <s v="확정 "/>
    <n v="49"/>
    <n v="0"/>
    <n v="0"/>
    <n v="0"/>
    <n v="0"/>
    <n v="0"/>
    <n v="50"/>
    <n v="364613"/>
    <n v="2450000"/>
    <n v="6.108593844083253"/>
  </r>
  <r>
    <n v="0"/>
    <n v="0"/>
    <n v="5"/>
    <n v="10"/>
    <s v="SPORTS"/>
    <x v="5"/>
    <s v="SWK-동일모자-17"/>
    <s v="SWK-동일모자-17SWKSNF5505BW"/>
    <n v="1"/>
    <s v="SWK-동일모자-171"/>
    <s v="SWK-동일모자-171-SWKSNF5505BROWNXSS"/>
    <s v="SWK의류외505"/>
    <s v="SWK"/>
    <s v="14FW S"/>
    <m/>
    <s v="SWK"/>
    <s v="SUPER MASSIVE BOUND KIDS_W"/>
    <s v="F"/>
    <n v="5"/>
    <s v="SN"/>
    <s v="SNAPBACK"/>
    <s v="K"/>
    <n v="505"/>
    <n v="505"/>
    <s v="SWKSNF5505"/>
    <n v="0.33333333333333331"/>
    <s v="14FW SMB_20_FLAT_BW_F_KIDS"/>
    <s v="BW"/>
    <s v="BROWN"/>
    <s v="SWKSNF5505BW"/>
    <x v="0"/>
    <n v="0.33333333333333331"/>
    <n v="0"/>
    <n v="1"/>
    <s v="XSS"/>
    <n v="300"/>
    <x v="5"/>
    <n v="17"/>
    <x v="10"/>
    <s v="M"/>
    <s v="CN"/>
    <x v="0"/>
    <n v="49000"/>
    <x v="2"/>
    <n v="7424.242424242424"/>
    <n v="7292.26"/>
    <n v="-131.9824242424238"/>
    <n v="0"/>
    <n v="1160"/>
    <n v="20"/>
    <n v="1180"/>
    <n v="4.9000000000000004"/>
    <n v="0"/>
    <d v="2014-05-12T00:00:00"/>
    <d v="1899-12-30T00:00:00"/>
    <d v="2014-08-25T00:00:00"/>
    <d v="2014-08-25T00:00:00"/>
    <d v="2014-10-20T00:00:00"/>
    <d v="1899-12-30T00:00:00"/>
    <d v="1899-12-30T00:00:00"/>
    <d v="1899-12-30T00:00:00"/>
    <d v="1899-12-30T00:00:00"/>
    <x v="2"/>
    <s v="확정 "/>
    <n v="300"/>
    <n v="0"/>
    <n v="0"/>
    <n v="0"/>
    <n v="0"/>
    <n v="0"/>
    <n v="300"/>
    <n v="2187678"/>
    <n v="14700000"/>
    <n v="6.108593844083253"/>
  </r>
  <r>
    <n v="0"/>
    <n v="0"/>
    <n v="5"/>
    <n v="10"/>
    <s v="SPORTS"/>
    <x v="5"/>
    <s v="SWK-동일모자-17"/>
    <s v="SWK-동일모자-17SWKSNF5506PK"/>
    <n v="2"/>
    <s v="SWK-동일모자-172"/>
    <s v="SWK-동일모자-172-SWKSNF5506PINKOSM"/>
    <s v="SWK의류외506"/>
    <s v="SWK"/>
    <s v="14FW S"/>
    <m/>
    <s v="SWK"/>
    <s v="SUPER MASSIVE BOUND KIDS_W"/>
    <s v="F"/>
    <n v="5"/>
    <s v="SN"/>
    <s v="SNAPBACK"/>
    <s v="K"/>
    <n v="506"/>
    <n v="506"/>
    <s v="SWKSNF5506"/>
    <n v="0.33333333333333331"/>
    <s v="14FW SMB_44_FLAT_PK_F_KIDS"/>
    <s v="PK"/>
    <s v="PINK"/>
    <s v="SWKSNF5506PK"/>
    <x v="0"/>
    <n v="0.33333333333333331"/>
    <n v="0"/>
    <n v="1"/>
    <s v="OSM"/>
    <n v="100"/>
    <x v="5"/>
    <n v="17"/>
    <x v="10"/>
    <s v="M"/>
    <s v="CN"/>
    <x v="0"/>
    <n v="49000"/>
    <x v="2"/>
    <n v="7424.242424242424"/>
    <n v="7292.26"/>
    <n v="-131.9824242424238"/>
    <n v="0"/>
    <n v="1160"/>
    <n v="20"/>
    <n v="1180"/>
    <n v="4.9000000000000004"/>
    <n v="0"/>
    <d v="2014-05-12T00:00:00"/>
    <d v="1899-12-30T00:00:00"/>
    <d v="2014-08-25T00:00:00"/>
    <d v="2014-08-25T00:00:00"/>
    <d v="2014-10-20T00:00:00"/>
    <d v="1899-12-30T00:00:00"/>
    <d v="1899-12-30T00:00:00"/>
    <d v="1899-12-30T00:00:00"/>
    <d v="1899-12-30T00:00:00"/>
    <x v="2"/>
    <s v="확정 "/>
    <n v="100"/>
    <n v="0"/>
    <n v="0"/>
    <n v="0"/>
    <n v="0"/>
    <n v="0"/>
    <n v="100"/>
    <n v="729226"/>
    <n v="4900000"/>
    <n v="6.108593844083253"/>
  </r>
  <r>
    <n v="0"/>
    <n v="0"/>
    <n v="5"/>
    <n v="10"/>
    <s v="SPORTS"/>
    <x v="5"/>
    <s v="SWK-동일모자-17"/>
    <s v="SWK-동일모자-17SWKSNF5506PK"/>
    <n v="2"/>
    <s v="SWK-동일모자-172"/>
    <s v="SWK-동일모자-172-SWKSNF5506PINKOML"/>
    <s v="SWK의류외506"/>
    <s v="SWK"/>
    <s v="14FW S"/>
    <m/>
    <s v="SWK"/>
    <s v="SUPER MASSIVE BOUND KIDS_W"/>
    <s v="F"/>
    <n v="5"/>
    <s v="SN"/>
    <s v="SNAPBACK"/>
    <s v="K"/>
    <n v="506"/>
    <n v="506"/>
    <s v="SWKSNF5506"/>
    <n v="0.33333333333333331"/>
    <s v="14FW SMB_44_FLAT_PK_F_KIDS"/>
    <s v="PK"/>
    <s v="PINK"/>
    <s v="SWKSNF5506PK"/>
    <x v="0"/>
    <n v="0.33333333333333331"/>
    <n v="0"/>
    <n v="1"/>
    <s v="OML"/>
    <n v="50"/>
    <x v="5"/>
    <n v="17"/>
    <x v="10"/>
    <s v="M"/>
    <s v="CN"/>
    <x v="0"/>
    <n v="49000"/>
    <x v="2"/>
    <n v="7424.242424242424"/>
    <n v="7292.26"/>
    <n v="-131.9824242424238"/>
    <n v="0"/>
    <n v="1160"/>
    <n v="20"/>
    <n v="1180"/>
    <n v="4.9000000000000004"/>
    <n v="0"/>
    <d v="2014-05-12T00:00:00"/>
    <d v="1899-12-30T00:00:00"/>
    <d v="2014-08-25T00:00:00"/>
    <d v="2014-08-25T00:00:00"/>
    <d v="2014-10-20T00:00:00"/>
    <d v="1899-12-30T00:00:00"/>
    <d v="1899-12-30T00:00:00"/>
    <d v="1899-12-30T00:00:00"/>
    <d v="1899-12-30T00:00:00"/>
    <x v="2"/>
    <s v="확정 "/>
    <n v="50"/>
    <n v="0"/>
    <n v="0"/>
    <n v="0"/>
    <n v="0"/>
    <n v="0"/>
    <n v="50"/>
    <n v="364613"/>
    <n v="2450000"/>
    <n v="6.108593844083253"/>
  </r>
  <r>
    <n v="0"/>
    <n v="0"/>
    <n v="5"/>
    <n v="10"/>
    <s v="SPORTS"/>
    <x v="5"/>
    <s v="SWK-동일모자-17"/>
    <s v="SWK-동일모자-17SWKSNF5506PK"/>
    <n v="2"/>
    <s v="SWK-동일모자-172"/>
    <s v="SWK-동일모자-172-SWKSNF5506PINKXSS"/>
    <s v="SWK의류외506"/>
    <s v="SWK"/>
    <s v="14FW S"/>
    <m/>
    <s v="SWK"/>
    <s v="SUPER MASSIVE BOUND KIDS_W"/>
    <s v="F"/>
    <n v="5"/>
    <s v="SN"/>
    <s v="SNAPBACK"/>
    <s v="K"/>
    <n v="506"/>
    <n v="506"/>
    <s v="SWKSNF5506"/>
    <n v="0.33333333333333331"/>
    <s v="14FW SMB_44_FLAT_PK_F_KIDS"/>
    <s v="PK"/>
    <s v="PINK"/>
    <s v="SWKSNF5506PK"/>
    <x v="0"/>
    <n v="0.33333333333333331"/>
    <n v="0"/>
    <n v="1"/>
    <s v="XSS"/>
    <n v="300"/>
    <x v="5"/>
    <n v="17"/>
    <x v="10"/>
    <s v="M"/>
    <s v="CN"/>
    <x v="0"/>
    <n v="49000"/>
    <x v="2"/>
    <n v="7424.242424242424"/>
    <n v="7292.26"/>
    <n v="-131.9824242424238"/>
    <n v="0"/>
    <n v="1160"/>
    <n v="20"/>
    <n v="1180"/>
    <n v="4.9000000000000004"/>
    <n v="0"/>
    <d v="2014-05-12T00:00:00"/>
    <d v="1899-12-30T00:00:00"/>
    <d v="2014-08-25T00:00:00"/>
    <d v="2014-08-25T00:00:00"/>
    <d v="2014-10-20T00:00:00"/>
    <d v="1899-12-30T00:00:00"/>
    <d v="1899-12-30T00:00:00"/>
    <d v="1899-12-30T00:00:00"/>
    <d v="1899-12-30T00:00:00"/>
    <x v="2"/>
    <s v="확정 "/>
    <n v="285"/>
    <n v="0"/>
    <n v="0"/>
    <n v="0"/>
    <n v="0"/>
    <n v="0"/>
    <n v="300"/>
    <n v="2187678"/>
    <n v="14700000"/>
    <n v="6.108593844083253"/>
  </r>
  <r>
    <n v="0"/>
    <n v="0"/>
    <n v="5"/>
    <n v="10"/>
    <s v="SPORTS"/>
    <x v="5"/>
    <s v="SWK-동일모자-17"/>
    <s v="SWK-동일모자-17SWKSNF5514PK"/>
    <n v="3"/>
    <s v="SWK-동일모자-173"/>
    <s v="SWK-동일모자-173-SWKSNF5514PINKOSM"/>
    <s v="SWK의류외514"/>
    <s v="SWK"/>
    <s v="14FW S"/>
    <m/>
    <s v="SWK"/>
    <s v="SUPER MASSIVE BOUND KIDS_W"/>
    <s v="F"/>
    <n v="5"/>
    <s v="SN"/>
    <s v="SNAPBACK"/>
    <s v="K"/>
    <n v="514"/>
    <n v="514"/>
    <s v="SWKSNF5514"/>
    <n v="0.5"/>
    <s v="14FW SMB_20_FLAT_PK_F_KIDS"/>
    <s v="PK"/>
    <s v="PINK"/>
    <s v="SWKSNF5514PK"/>
    <x v="0"/>
    <n v="0.5"/>
    <n v="0"/>
    <n v="1"/>
    <s v="OSM"/>
    <n v="300"/>
    <x v="5"/>
    <n v="17"/>
    <x v="10"/>
    <s v="M"/>
    <s v="CN"/>
    <x v="0"/>
    <n v="49000"/>
    <x v="2"/>
    <n v="7424.242424242424"/>
    <n v="7292.26"/>
    <n v="-131.9824242424238"/>
    <n v="0"/>
    <n v="1160"/>
    <n v="20"/>
    <n v="1180"/>
    <n v="4.9000000000000004"/>
    <n v="0"/>
    <d v="2014-05-12T00:00:00"/>
    <d v="1899-12-30T00:00:00"/>
    <d v="2014-08-25T00:00:00"/>
    <d v="2014-08-25T00:00:00"/>
    <d v="2014-10-20T00:00:00"/>
    <d v="2014-11-07T00:00:00"/>
    <d v="1899-12-30T00:00:00"/>
    <d v="1899-12-30T00:00:00"/>
    <d v="1899-12-30T00:00:00"/>
    <x v="2"/>
    <s v="확정 "/>
    <n v="248"/>
    <n v="44"/>
    <n v="0"/>
    <n v="0"/>
    <n v="0"/>
    <n v="0"/>
    <n v="300"/>
    <n v="2187678"/>
    <n v="14700000"/>
    <n v="6.108593844083253"/>
  </r>
  <r>
    <n v="0"/>
    <n v="0"/>
    <n v="5"/>
    <n v="10"/>
    <s v="SPORTS"/>
    <x v="5"/>
    <s v="SWK-동일모자-17"/>
    <s v="SWK-동일모자-17SWKSNF5514PK"/>
    <n v="3"/>
    <s v="SWK-동일모자-173"/>
    <s v="SWK-동일모자-173-SWKSNF5514PINKOML"/>
    <s v="SWK의류외514"/>
    <s v="SWK"/>
    <s v="14FW S"/>
    <m/>
    <s v="SWK"/>
    <s v="SUPER MASSIVE BOUND KIDS_W"/>
    <s v="F"/>
    <n v="5"/>
    <s v="SN"/>
    <s v="SNAPBACK"/>
    <s v="K"/>
    <n v="514"/>
    <n v="514"/>
    <s v="SWKSNF5514"/>
    <n v="0.5"/>
    <s v="14FW SMB_20_FLAT_PK_F_KIDS"/>
    <s v="PK"/>
    <s v="PINK"/>
    <s v="SWKSNF5514PK"/>
    <x v="0"/>
    <n v="0.5"/>
    <n v="0"/>
    <n v="1"/>
    <s v="OML"/>
    <n v="150"/>
    <x v="5"/>
    <n v="17"/>
    <x v="10"/>
    <s v="M"/>
    <s v="CN"/>
    <x v="0"/>
    <n v="49000"/>
    <x v="2"/>
    <n v="7424.242424242424"/>
    <n v="7292.26"/>
    <n v="-131.9824242424238"/>
    <n v="0"/>
    <n v="1160"/>
    <n v="20"/>
    <n v="1180"/>
    <n v="4.9000000000000004"/>
    <n v="0"/>
    <d v="2014-05-12T00:00:00"/>
    <d v="1899-12-30T00:00:00"/>
    <d v="2014-08-25T00:00:00"/>
    <d v="2014-08-25T00:00:00"/>
    <d v="2014-10-20T00:00:00"/>
    <d v="2014-11-07T00:00:00"/>
    <d v="1899-12-30T00:00:00"/>
    <d v="1899-12-30T00:00:00"/>
    <d v="1899-12-30T00:00:00"/>
    <x v="2"/>
    <s v="확정 "/>
    <n v="146"/>
    <n v="0"/>
    <n v="0"/>
    <n v="0"/>
    <n v="0"/>
    <n v="0"/>
    <n v="150"/>
    <n v="1093839"/>
    <n v="7350000"/>
    <n v="6.108593844083253"/>
  </r>
  <r>
    <n v="0"/>
    <n v="0"/>
    <n v="5"/>
    <n v="10"/>
    <s v="SPORTS"/>
    <x v="5"/>
    <s v="SWK-동일모자-17"/>
    <s v="SWK-동일모자-17SWKERF5515PK"/>
    <n v="4"/>
    <s v="SWK-동일모자-174"/>
    <s v="SWK-동일모자-174-SWKERF5515PINKOSM"/>
    <s v="SWK의류외515"/>
    <s v="SWK"/>
    <s v="14FW S"/>
    <m/>
    <s v="SWK"/>
    <s v="SUPER MASSIVE BOUND KIDS_W"/>
    <s v="F"/>
    <n v="5"/>
    <s v="ER"/>
    <s v="EARCAP"/>
    <s v="K"/>
    <n v="515"/>
    <n v="515"/>
    <s v="SWKERF5515"/>
    <n v="0.5"/>
    <s v="14FW SMB_11_CURVED_PK_F_KIDS"/>
    <s v="PK"/>
    <s v="PINK"/>
    <s v="SWKERF5515PK"/>
    <x v="0"/>
    <n v="0.5"/>
    <n v="0"/>
    <n v="1"/>
    <s v="OSM"/>
    <n v="100"/>
    <x v="5"/>
    <n v="17"/>
    <x v="10"/>
    <s v="M"/>
    <s v="CN"/>
    <x v="0"/>
    <n v="55000"/>
    <x v="2"/>
    <n v="8333.3333333333321"/>
    <n v="10473.130000000001"/>
    <n v="2139.7966666666689"/>
    <n v="0"/>
    <n v="1160"/>
    <n v="20"/>
    <n v="1180"/>
    <n v="7.45"/>
    <n v="0"/>
    <d v="2014-05-12T00:00:00"/>
    <d v="1899-12-30T00:00:00"/>
    <d v="2014-08-25T00:00:00"/>
    <d v="2014-08-25T00:00:00"/>
    <d v="2014-10-20T00:00:00"/>
    <d v="1899-12-30T00:00:00"/>
    <d v="1899-12-30T00:00:00"/>
    <d v="1899-12-30T00:00:00"/>
    <d v="1899-12-30T00:00:00"/>
    <x v="2"/>
    <s v="확정 "/>
    <n v="103"/>
    <n v="0"/>
    <n v="0"/>
    <n v="0"/>
    <n v="0"/>
    <n v="0"/>
    <n v="100"/>
    <n v="1047313.0000000001"/>
    <n v="5500000"/>
    <n v="4.7741219673583721"/>
  </r>
  <r>
    <n v="0"/>
    <n v="0"/>
    <n v="5"/>
    <n v="10"/>
    <s v="SPORTS"/>
    <x v="5"/>
    <s v="SWK-동일모자-17"/>
    <s v="SWK-동일모자-17SWKERF5515PK"/>
    <n v="4"/>
    <s v="SWK-동일모자-174"/>
    <s v="SWK-동일모자-174-SWKERF5515PINKOML"/>
    <s v="SWK의류외515"/>
    <s v="SWK"/>
    <s v="14FW S"/>
    <m/>
    <s v="SWK"/>
    <s v="SUPER MASSIVE BOUND KIDS_W"/>
    <s v="F"/>
    <n v="5"/>
    <s v="ER"/>
    <s v="EARCAP"/>
    <s v="K"/>
    <n v="515"/>
    <n v="515"/>
    <s v="SWKERF5515"/>
    <n v="0.5"/>
    <s v="14FW SMB_11_CURVED_PK_F_KIDS"/>
    <s v="PK"/>
    <s v="PINK"/>
    <s v="SWKERF5515PK"/>
    <x v="0"/>
    <n v="0.5"/>
    <n v="0"/>
    <n v="1"/>
    <s v="OML"/>
    <n v="50"/>
    <x v="5"/>
    <n v="17"/>
    <x v="10"/>
    <s v="M"/>
    <s v="CN"/>
    <x v="0"/>
    <n v="55000"/>
    <x v="2"/>
    <n v="8333.3333333333321"/>
    <n v="10473.130000000001"/>
    <n v="2139.7966666666689"/>
    <n v="0"/>
    <n v="1160"/>
    <n v="20"/>
    <n v="1180"/>
    <n v="7.45"/>
    <n v="0"/>
    <d v="2014-05-12T00:00:00"/>
    <d v="1899-12-30T00:00:00"/>
    <d v="2014-08-25T00:00:00"/>
    <d v="2014-08-25T00:00:00"/>
    <d v="2014-10-20T00:00:00"/>
    <d v="1899-12-30T00:00:00"/>
    <d v="1899-12-30T00:00:00"/>
    <d v="1899-12-30T00:00:00"/>
    <d v="1899-12-30T00:00:00"/>
    <x v="2"/>
    <s v="확정 "/>
    <n v="50"/>
    <n v="0"/>
    <n v="0"/>
    <n v="0"/>
    <n v="0"/>
    <n v="0"/>
    <n v="50"/>
    <n v="523656.50000000006"/>
    <n v="2750000"/>
    <n v="4.7741219673583721"/>
  </r>
  <r>
    <n v="0"/>
    <n v="0"/>
    <n v="5"/>
    <n v="10"/>
    <s v="SPORTS"/>
    <x v="5"/>
    <s v="SWK-동일모자-17"/>
    <s v="SWK-동일모자-17SWKERF5516PK"/>
    <n v="5"/>
    <s v="SWK-동일모자-175"/>
    <s v="SWK-동일모자-175-SWKERF5516PINKOSM"/>
    <s v="SWK의류외516"/>
    <s v="SWK"/>
    <s v="14FW S"/>
    <m/>
    <s v="SWK"/>
    <s v="SUPER MASSIVE BOUND KIDS_W"/>
    <s v="F"/>
    <n v="5"/>
    <s v="ER"/>
    <s v="EARCAP"/>
    <s v="K"/>
    <n v="516"/>
    <n v="516"/>
    <s v="SWKERF5516"/>
    <n v="0.33333333333333331"/>
    <s v="14FW SMB_15_CURVED_PK_F_KIDS"/>
    <s v="PK"/>
    <s v="PINK"/>
    <s v="SWKERF5516PK"/>
    <x v="0"/>
    <n v="0.33333333333333331"/>
    <n v="0"/>
    <n v="1"/>
    <s v="OSM"/>
    <n v="100"/>
    <x v="5"/>
    <n v="17"/>
    <x v="10"/>
    <s v="M"/>
    <s v="CN"/>
    <x v="0"/>
    <n v="55000"/>
    <x v="2"/>
    <n v="8333.3333333333321"/>
    <n v="9038.6200000000008"/>
    <n v="705.28666666666868"/>
    <n v="0"/>
    <n v="1160"/>
    <n v="20"/>
    <n v="1180"/>
    <n v="6.3"/>
    <n v="0"/>
    <d v="2014-05-12T00:00:00"/>
    <d v="1899-12-30T00:00:00"/>
    <d v="2014-08-25T00:00:00"/>
    <d v="2014-08-25T00:00:00"/>
    <d v="2014-10-28T00:00:00"/>
    <m/>
    <d v="1899-12-30T00:00:00"/>
    <d v="1899-12-30T00:00:00"/>
    <d v="1899-12-30T00:00:00"/>
    <x v="2"/>
    <s v="확정 "/>
    <n v="95"/>
    <n v="0"/>
    <n v="0"/>
    <n v="0"/>
    <n v="0"/>
    <n v="0"/>
    <n v="100"/>
    <n v="903862.00000000012"/>
    <n v="5500000"/>
    <n v="5.5318179102562111"/>
  </r>
  <r>
    <n v="0"/>
    <n v="0"/>
    <n v="5"/>
    <n v="10"/>
    <s v="SPORTS"/>
    <x v="5"/>
    <s v="SWK-동일모자-17"/>
    <s v="SWK-동일모자-17SWKERF5516PK"/>
    <n v="5"/>
    <s v="SWK-동일모자-175"/>
    <s v="SWK-동일모자-175-SWKERF5516PINKOML"/>
    <s v="SWK의류외516"/>
    <s v="SWK"/>
    <s v="14FW S"/>
    <m/>
    <s v="SWK"/>
    <s v="SUPER MASSIVE BOUND KIDS_W"/>
    <s v="F"/>
    <n v="5"/>
    <s v="ER"/>
    <s v="EARCAP"/>
    <s v="K"/>
    <n v="516"/>
    <n v="516"/>
    <s v="SWKERF5516"/>
    <n v="0.33333333333333331"/>
    <s v="14FW SMB_15_CURVED_PK_F_KIDS"/>
    <s v="PK"/>
    <s v="PINK"/>
    <s v="SWKERF5516PK"/>
    <x v="0"/>
    <n v="0.33333333333333331"/>
    <n v="0"/>
    <n v="1"/>
    <s v="OML"/>
    <n v="50"/>
    <x v="5"/>
    <n v="17"/>
    <x v="10"/>
    <s v="M"/>
    <s v="CN"/>
    <x v="0"/>
    <n v="55000"/>
    <x v="2"/>
    <n v="8333.3333333333321"/>
    <n v="9038.6200000000008"/>
    <n v="705.28666666666868"/>
    <n v="0"/>
    <n v="1160"/>
    <n v="20"/>
    <n v="1180"/>
    <n v="6.3"/>
    <n v="0"/>
    <d v="2014-05-12T00:00:00"/>
    <d v="1899-12-30T00:00:00"/>
    <d v="2014-08-25T00:00:00"/>
    <d v="2014-08-25T00:00:00"/>
    <d v="2014-10-28T00:00:00"/>
    <d v="1899-12-30T00:00:00"/>
    <d v="1899-12-30T00:00:00"/>
    <d v="1899-12-30T00:00:00"/>
    <d v="1899-12-30T00:00:00"/>
    <x v="2"/>
    <s v="확정 "/>
    <n v="54"/>
    <n v="0"/>
    <n v="0"/>
    <n v="0"/>
    <n v="0"/>
    <n v="0"/>
    <n v="50"/>
    <n v="451931.00000000006"/>
    <n v="2750000"/>
    <n v="5.5318179102562111"/>
  </r>
  <r>
    <n v="0"/>
    <n v="0"/>
    <n v="5"/>
    <n v="10"/>
    <s v="SPORTS"/>
    <x v="5"/>
    <s v="SWK-동일모자-17"/>
    <s v="SWK-동일모자-17SWKERF5516PK"/>
    <n v="5"/>
    <s v="SWK-동일모자-175"/>
    <s v="SWK-동일모자-175-SWKERF5516PINKXSS"/>
    <s v="SWK의류외516"/>
    <s v="SWK"/>
    <s v="14FW S"/>
    <m/>
    <s v="SWK"/>
    <s v="SUPER MASSIVE BOUND KIDS_W"/>
    <s v="F"/>
    <n v="5"/>
    <s v="ER"/>
    <s v="EARCAP"/>
    <s v="K"/>
    <n v="516"/>
    <n v="516"/>
    <s v="SWKERF5516"/>
    <n v="0.33333333333333331"/>
    <s v="14FW SMB_15_CURVED_PK_F_KIDS"/>
    <s v="PK"/>
    <s v="PINK"/>
    <s v="SWKERF5516PK"/>
    <x v="0"/>
    <n v="0.33333333333333331"/>
    <n v="0"/>
    <n v="1"/>
    <s v="XSS"/>
    <n v="250"/>
    <x v="5"/>
    <n v="17"/>
    <x v="10"/>
    <s v="M"/>
    <s v="CN"/>
    <x v="0"/>
    <n v="55000"/>
    <x v="2"/>
    <n v="8333.3333333333321"/>
    <n v="9038.6200000000008"/>
    <n v="705.28666666666868"/>
    <n v="0"/>
    <n v="1160"/>
    <n v="20"/>
    <n v="1180"/>
    <n v="6.3"/>
    <n v="0"/>
    <d v="2014-05-12T00:00:00"/>
    <d v="1899-12-30T00:00:00"/>
    <d v="2014-08-25T00:00:00"/>
    <d v="2014-08-25T00:00:00"/>
    <d v="2014-10-28T00:00:00"/>
    <d v="1899-12-30T00:00:00"/>
    <d v="1899-12-30T00:00:00"/>
    <d v="1899-12-30T00:00:00"/>
    <d v="1899-12-30T00:00:00"/>
    <x v="2"/>
    <s v="확정 "/>
    <n v="252"/>
    <n v="0"/>
    <n v="0"/>
    <n v="0"/>
    <n v="0"/>
    <n v="0"/>
    <n v="250"/>
    <n v="2259655"/>
    <n v="13750000"/>
    <n v="5.5318179102562119"/>
  </r>
  <r>
    <n v="0"/>
    <n v="0"/>
    <n v="5"/>
    <n v="10"/>
    <s v="SPORTS"/>
    <x v="5"/>
    <s v="SWK-동일모자-17"/>
    <s v="SWK-동일모자-17SWKERF5536NY"/>
    <n v="6"/>
    <s v="SWK-동일모자-176"/>
    <s v="SWK-동일모자-176-SWKERF5536NAVYOSM"/>
    <s v="SWK의류외536"/>
    <s v="SWK"/>
    <s v="14FW S"/>
    <m/>
    <s v="SWK"/>
    <s v="SUPER MASSIVE BOUND KIDS_W"/>
    <s v="F"/>
    <n v="5"/>
    <s v="ER"/>
    <s v="EARCAP"/>
    <s v="K"/>
    <n v="536"/>
    <n v="536"/>
    <s v="SWKERF5536"/>
    <n v="0.5"/>
    <s v="14FW SMB_16_CURVED_NY_F_KIDS"/>
    <s v="NY"/>
    <s v="NAVY"/>
    <s v="SWKERF5536NY"/>
    <x v="0"/>
    <n v="0.5"/>
    <n v="0"/>
    <n v="1"/>
    <s v="OSM"/>
    <n v="100"/>
    <x v="5"/>
    <n v="17"/>
    <x v="10"/>
    <s v="M"/>
    <s v="CN"/>
    <x v="0"/>
    <n v="55000"/>
    <x v="2"/>
    <n v="8333.3333333333321"/>
    <n v="9475.2100000000009"/>
    <n v="1141.8766666666688"/>
    <n v="0"/>
    <n v="1160"/>
    <n v="20"/>
    <n v="1180"/>
    <n v="6.65"/>
    <n v="0"/>
    <d v="2014-05-12T00:00:00"/>
    <d v="1899-12-30T00:00:00"/>
    <d v="2014-08-25T00:00:00"/>
    <d v="2014-08-25T00:00:00"/>
    <d v="2014-10-20T00:00:00"/>
    <d v="1899-12-30T00:00:00"/>
    <d v="1899-12-30T00:00:00"/>
    <d v="1899-12-30T00:00:00"/>
    <d v="1899-12-30T00:00:00"/>
    <x v="2"/>
    <s v="확정 "/>
    <n v="100"/>
    <n v="0"/>
    <n v="0"/>
    <n v="0"/>
    <n v="0"/>
    <n v="0"/>
    <n v="100"/>
    <n v="947521.00000000012"/>
    <n v="5500000"/>
    <n v="5.2769278992233408"/>
  </r>
  <r>
    <n v="0"/>
    <n v="0"/>
    <n v="5"/>
    <n v="10"/>
    <s v="SPORTS"/>
    <x v="5"/>
    <s v="SWK-동일모자-17"/>
    <s v="SWK-동일모자-17SWKERF5536NY"/>
    <n v="6"/>
    <s v="SWK-동일모자-176"/>
    <s v="SWK-동일모자-176-SWKERF5536NAVYOML"/>
    <s v="SWK의류외536"/>
    <s v="SWK"/>
    <s v="14FW S"/>
    <m/>
    <s v="SWK"/>
    <s v="SUPER MASSIVE BOUND KIDS_W"/>
    <s v="F"/>
    <n v="5"/>
    <s v="ER"/>
    <s v="EARCAP"/>
    <s v="K"/>
    <n v="536"/>
    <n v="536"/>
    <s v="SWKERF5536"/>
    <n v="0.5"/>
    <s v="14FW SMB_16_CURVED_NY_F_KIDS"/>
    <s v="NY"/>
    <s v="NAVY"/>
    <s v="SWKERF5536NY"/>
    <x v="0"/>
    <n v="0.5"/>
    <n v="0"/>
    <n v="1"/>
    <s v="OML"/>
    <n v="50"/>
    <x v="5"/>
    <n v="17"/>
    <x v="10"/>
    <s v="M"/>
    <s v="CN"/>
    <x v="0"/>
    <n v="55000"/>
    <x v="2"/>
    <n v="8333.3333333333321"/>
    <n v="9475.2100000000009"/>
    <n v="1141.8766666666688"/>
    <n v="0"/>
    <n v="1160"/>
    <n v="20"/>
    <n v="1180"/>
    <n v="6.65"/>
    <n v="0"/>
    <d v="2014-05-12T00:00:00"/>
    <d v="1899-12-30T00:00:00"/>
    <d v="2014-08-25T00:00:00"/>
    <d v="2014-08-25T00:00:00"/>
    <d v="2014-10-20T00:00:00"/>
    <d v="1899-12-30T00:00:00"/>
    <d v="1899-12-30T00:00:00"/>
    <d v="1899-12-30T00:00:00"/>
    <d v="1899-12-30T00:00:00"/>
    <x v="2"/>
    <s v="확정 "/>
    <n v="50"/>
    <n v="0"/>
    <n v="0"/>
    <n v="0"/>
    <n v="0"/>
    <n v="0"/>
    <n v="50"/>
    <n v="473760.50000000006"/>
    <n v="2750000"/>
    <n v="5.2769278992233408"/>
  </r>
  <r>
    <n v="0"/>
    <n v="0"/>
    <n v="5"/>
    <n v="10"/>
    <s v="SPORTS"/>
    <x v="5"/>
    <s v="SWK-동일모자-17"/>
    <s v="SWK-동일모자-17SWKERF5535PP"/>
    <n v="7"/>
    <s v="SWK-동일모자-177"/>
    <s v="SWK-동일모자-177-SWKERF5535PURPLEOSM"/>
    <s v="SWK의류외535"/>
    <s v="SWK"/>
    <s v="14FW S"/>
    <m/>
    <s v="SWK"/>
    <s v="SUPER MASSIVE BOUND KIDS_W"/>
    <s v="F"/>
    <n v="5"/>
    <s v="ER"/>
    <s v="EARCAP"/>
    <s v="K"/>
    <n v="535"/>
    <n v="535"/>
    <s v="SWKERF5535"/>
    <n v="0.5"/>
    <s v="14FW SMB_43_FLAT_PP_F_KIDS"/>
    <s v="PP"/>
    <s v="PURPLE"/>
    <s v="SWKERF5535PP"/>
    <x v="0"/>
    <n v="0.5"/>
    <n v="0"/>
    <n v="1"/>
    <s v="OSM"/>
    <n v="250"/>
    <x v="5"/>
    <n v="17"/>
    <x v="10"/>
    <s v="M"/>
    <s v="CN"/>
    <x v="0"/>
    <n v="55000"/>
    <x v="2"/>
    <n v="8333.3333333333321"/>
    <n v="9225.7300000000014"/>
    <n v="892.39666666666926"/>
    <n v="0"/>
    <n v="1160"/>
    <n v="20"/>
    <n v="1180"/>
    <n v="6.45"/>
    <n v="0"/>
    <d v="2014-05-12T00:00:00"/>
    <d v="1899-12-30T00:00:00"/>
    <d v="2014-08-25T00:00:00"/>
    <d v="2014-08-25T00:00:00"/>
    <d v="2014-10-20T00:00:00"/>
    <d v="1899-12-30T00:00:00"/>
    <d v="1899-12-30T00:00:00"/>
    <d v="1899-12-30T00:00:00"/>
    <d v="1899-12-30T00:00:00"/>
    <x v="2"/>
    <s v="확정 "/>
    <n v="252"/>
    <n v="0"/>
    <n v="0"/>
    <n v="0"/>
    <n v="0"/>
    <n v="0"/>
    <n v="250"/>
    <n v="2306432.5000000005"/>
    <n v="13750000"/>
    <n v="5.4196253304616526"/>
  </r>
  <r>
    <n v="0"/>
    <n v="0"/>
    <n v="5"/>
    <n v="10"/>
    <s v="SPORTS"/>
    <x v="5"/>
    <s v="SWK-동일모자-17"/>
    <s v="SWK-동일모자-17SWKERF5535PP"/>
    <n v="7"/>
    <s v="SWK-동일모자-177"/>
    <s v="SWK-동일모자-177-SWKERF5535PURPLEOML"/>
    <s v="SWK의류외535"/>
    <s v="SWK"/>
    <s v="14FW S"/>
    <m/>
    <s v="SWK"/>
    <s v="SUPER MASSIVE BOUND KIDS_W"/>
    <s v="F"/>
    <n v="5"/>
    <s v="ER"/>
    <s v="EARCAP"/>
    <s v="K"/>
    <n v="535"/>
    <n v="535"/>
    <s v="SWKERF5535"/>
    <n v="0.5"/>
    <s v="14FW SMB_43_FLAT_PP_F_KIDS"/>
    <s v="PP"/>
    <s v="PURPLE"/>
    <s v="SWKERF5535PP"/>
    <x v="0"/>
    <n v="0.5"/>
    <n v="0"/>
    <n v="1"/>
    <s v="OML"/>
    <n v="100"/>
    <x v="5"/>
    <n v="17"/>
    <x v="10"/>
    <s v="M"/>
    <s v="CN"/>
    <x v="0"/>
    <n v="55000"/>
    <x v="2"/>
    <n v="8333.3333333333321"/>
    <n v="9225.7300000000014"/>
    <n v="892.39666666666926"/>
    <n v="0"/>
    <n v="1160"/>
    <n v="20"/>
    <n v="1180"/>
    <n v="6.45"/>
    <n v="0"/>
    <d v="2014-05-12T00:00:00"/>
    <d v="1899-12-30T00:00:00"/>
    <d v="2014-08-25T00:00:00"/>
    <d v="2014-08-25T00:00:00"/>
    <d v="2014-10-20T00:00:00"/>
    <d v="1899-12-30T00:00:00"/>
    <d v="1899-12-30T00:00:00"/>
    <d v="1899-12-30T00:00:00"/>
    <d v="1899-12-30T00:00:00"/>
    <x v="2"/>
    <s v="확정 "/>
    <n v="100"/>
    <n v="0"/>
    <n v="0"/>
    <n v="0"/>
    <n v="0"/>
    <n v="0"/>
    <n v="100"/>
    <n v="922573.00000000012"/>
    <n v="5500000"/>
    <n v="5.4196253304616535"/>
  </r>
  <r>
    <n v="0"/>
    <n v="0"/>
    <s v=""/>
    <s v=""/>
    <s v=""/>
    <x v="1"/>
    <s v=""/>
    <s v=""/>
    <n v="0"/>
    <s v="0"/>
    <s v="0-"/>
    <n v="0"/>
    <s v="TTL"/>
    <s v=""/>
    <s v="SWK-동일모자-17 TTL"/>
    <m/>
    <s v=""/>
    <s v=""/>
    <s v=""/>
    <m/>
    <s v=""/>
    <m/>
    <m/>
    <s v=""/>
    <s v=""/>
    <n v="6.9999999999999991"/>
    <m/>
    <s v=""/>
    <m/>
    <s v=""/>
    <x v="0"/>
    <n v="6.9999999999999991"/>
    <n v="0"/>
    <n v="1"/>
    <m/>
    <n v="2400"/>
    <x v="1"/>
    <m/>
    <x v="1"/>
    <m/>
    <m/>
    <x v="1"/>
    <n v="0"/>
    <x v="1"/>
    <m/>
    <m/>
    <m/>
    <n v="0"/>
    <n v="0"/>
    <s v=""/>
    <n v="0"/>
    <n v="13507.5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334"/>
    <n v="44"/>
    <n v="0"/>
    <n v="0"/>
    <n v="0"/>
    <n v="0"/>
    <n v="2400"/>
    <n v="19681255.5"/>
    <n v="123900000"/>
    <n v="5.7230273564795517"/>
  </r>
  <r>
    <n v="0"/>
    <n v="0"/>
    <n v="5"/>
    <n v="9"/>
    <s v="SPORTS"/>
    <x v="5"/>
    <s v="SWK-성진-06"/>
    <s v="SWK-성진-06SWKSNF5507NY"/>
    <n v="1"/>
    <s v="SWK-성진-061"/>
    <s v="SWK-성진-061-SWKSNF5507NAVYOSM"/>
    <s v="SWK의류외507"/>
    <s v="SWK"/>
    <s v="14FW S"/>
    <m/>
    <s v="SWK"/>
    <s v="SUPER MASSIVE BOUND KIDS_W"/>
    <s v="F"/>
    <n v="5"/>
    <s v="SN"/>
    <s v="SNAPBACK"/>
    <s v="K"/>
    <n v="507"/>
    <n v="507"/>
    <s v="SWKSNF5507"/>
    <n v="0.16666666666666666"/>
    <s v="14FW SMB_18_FLAT_NV_F_KIDS"/>
    <s v="NY"/>
    <s v="NAVY"/>
    <s v="SWKSNF5507NY"/>
    <x v="0"/>
    <n v="0.5"/>
    <n v="0"/>
    <n v="1"/>
    <s v="OSM"/>
    <n v="120"/>
    <x v="7"/>
    <n v="6"/>
    <x v="6"/>
    <s v="M"/>
    <s v="BG"/>
    <x v="0"/>
    <n v="45000"/>
    <x v="2"/>
    <n v="6818.1818181818171"/>
    <n v="7872.2500000000009"/>
    <n v="1054.0681818181838"/>
    <n v="0"/>
    <n v="980"/>
    <n v="20"/>
    <n v="1000"/>
    <n v="5.95"/>
    <n v="0"/>
    <d v="2014-05-12T00:00:00"/>
    <d v="1899-12-30T00:00:00"/>
    <d v="2014-08-11T00:00:00"/>
    <d v="2014-09-10T00:00:00"/>
    <d v="2014-09-25T00:00:00"/>
    <d v="1899-12-30T00:00:00"/>
    <d v="1899-12-30T00:00:00"/>
    <d v="1899-12-30T00:00:00"/>
    <d v="1899-12-30T00:00:00"/>
    <x v="0"/>
    <s v="확정"/>
    <n v="120"/>
    <n v="0"/>
    <n v="0"/>
    <n v="0"/>
    <n v="0"/>
    <n v="0"/>
    <n v="120"/>
    <n v="944670.00000000012"/>
    <n v="5400000"/>
    <n v="5.1966198874643084"/>
  </r>
  <r>
    <n v="0"/>
    <n v="0"/>
    <n v="5"/>
    <n v="9"/>
    <s v="SPORTS"/>
    <x v="5"/>
    <s v="SWK-성진-06"/>
    <s v="SWK-성진-06SWKSNF5507NY"/>
    <n v="1"/>
    <s v="SWK-성진-061"/>
    <s v="SWK-성진-061-SWKSNF5507NAVYOML"/>
    <s v="SWK의류외507"/>
    <s v="SWK"/>
    <s v="14FW S"/>
    <m/>
    <s v="SWK"/>
    <s v="SUPER MASSIVE BOUND KIDS_W"/>
    <s v="F"/>
    <n v="5"/>
    <s v="SN"/>
    <s v="SNAPBACK"/>
    <s v="K"/>
    <n v="507"/>
    <n v="507"/>
    <s v="SWKSNF5507"/>
    <n v="0.16666666666666666"/>
    <s v="14FW SMB_18_FLAT_NV_F_KIDS"/>
    <s v="NY"/>
    <s v="NAVY"/>
    <s v="SWKSNF5507NY"/>
    <x v="0"/>
    <n v="0.5"/>
    <n v="0"/>
    <n v="1"/>
    <s v="OML"/>
    <n v="60"/>
    <x v="7"/>
    <n v="6"/>
    <x v="6"/>
    <s v="M"/>
    <s v="BG"/>
    <x v="0"/>
    <n v="45000"/>
    <x v="2"/>
    <n v="6818.1818181818171"/>
    <n v="7872.2500000000009"/>
    <n v="1054.0681818181838"/>
    <n v="0"/>
    <n v="980"/>
    <n v="20"/>
    <n v="1000"/>
    <n v="5.95"/>
    <n v="0"/>
    <d v="2014-05-12T00:00:00"/>
    <d v="1899-12-30T00:00:00"/>
    <d v="2014-08-11T00:00:00"/>
    <d v="2014-09-10T00:00:00"/>
    <d v="2014-09-25T00:00:00"/>
    <d v="1899-12-30T00:00:00"/>
    <d v="1899-12-30T00:00:00"/>
    <d v="1899-12-30T00:00:00"/>
    <d v="1899-12-30T00:00:00"/>
    <x v="0"/>
    <s v="확정"/>
    <n v="60"/>
    <n v="0"/>
    <n v="0"/>
    <n v="0"/>
    <n v="0"/>
    <n v="0"/>
    <n v="60"/>
    <n v="472335.00000000006"/>
    <n v="2700000"/>
    <n v="5.1966198874643084"/>
  </r>
  <r>
    <n v="0"/>
    <n v="0"/>
    <n v="5"/>
    <n v="9"/>
    <s v="SPORTS"/>
    <x v="5"/>
    <s v="SWK-성진-06"/>
    <s v="SWK-성진-06SWKSNF5507PK"/>
    <n v="2"/>
    <s v="SWK-성진-062"/>
    <s v="SWK-성진-062-SWKSNF5507PINKOSM"/>
    <s v="SWK의류외507"/>
    <s v="SWK"/>
    <s v="14FW S"/>
    <m/>
    <s v="SWK"/>
    <s v="SUPER MASSIVE BOUND KIDS_W"/>
    <s v="F"/>
    <n v="5"/>
    <s v="SN"/>
    <s v="SNAPBACK"/>
    <s v="K"/>
    <n v="507"/>
    <n v="507"/>
    <s v="SWKSNF5507"/>
    <n v="0.16666666666666666"/>
    <s v="14FW SMB_18_FLAT_PK_F_KIDS"/>
    <s v="PK"/>
    <s v="PINK"/>
    <s v="SWKSNF5507PK"/>
    <x v="0"/>
    <n v="0.33333333333333331"/>
    <n v="0"/>
    <n v="1"/>
    <s v="OSM"/>
    <n v="120"/>
    <x v="7"/>
    <n v="6"/>
    <x v="6"/>
    <s v="M"/>
    <s v="BG"/>
    <x v="0"/>
    <n v="45000"/>
    <x v="2"/>
    <n v="6818.1818181818171"/>
    <n v="7872.2500000000009"/>
    <n v="1054.0681818181838"/>
    <n v="0"/>
    <n v="980"/>
    <n v="20"/>
    <n v="1000"/>
    <n v="5.95"/>
    <n v="0"/>
    <d v="2014-05-12T00:00:00"/>
    <d v="1899-12-30T00:00:00"/>
    <d v="2014-08-11T00:00:00"/>
    <d v="2014-09-10T00:00:00"/>
    <d v="2014-09-15T00:00:00"/>
    <d v="2014-09-18T00:00:00"/>
    <d v="1899-12-30T00:00:00"/>
    <d v="1899-12-30T00:00:00"/>
    <d v="1899-12-30T00:00:00"/>
    <x v="0"/>
    <s v="확정"/>
    <n v="120"/>
    <n v="0"/>
    <n v="0"/>
    <n v="0"/>
    <n v="0"/>
    <n v="0"/>
    <n v="120"/>
    <n v="944670.00000000012"/>
    <n v="5400000"/>
    <n v="5.1966198874643084"/>
  </r>
  <r>
    <n v="0"/>
    <n v="0"/>
    <n v="5"/>
    <n v="9"/>
    <s v="SPORTS"/>
    <x v="5"/>
    <s v="SWK-성진-06"/>
    <s v="SWK-성진-06SWKSNF5507PK"/>
    <n v="2"/>
    <s v="SWK-성진-062"/>
    <s v="SWK-성진-062-SWKSNF5507PINKOML"/>
    <s v="SWK의류외507"/>
    <s v="SWK"/>
    <s v="14FW S"/>
    <m/>
    <s v="SWK"/>
    <s v="SUPER MASSIVE BOUND KIDS_W"/>
    <s v="F"/>
    <n v="5"/>
    <s v="SN"/>
    <s v="SNAPBACK"/>
    <s v="K"/>
    <n v="507"/>
    <n v="507"/>
    <s v="SWKSNF5507"/>
    <n v="0.16666666666666666"/>
    <s v="14FW SMB_18_FLAT_PK_F_KIDS"/>
    <s v="PK"/>
    <s v="PINK"/>
    <s v="SWKSNF5507PK"/>
    <x v="0"/>
    <n v="0.33333333333333331"/>
    <n v="0"/>
    <n v="1"/>
    <s v="OML"/>
    <n v="60"/>
    <x v="7"/>
    <n v="6"/>
    <x v="6"/>
    <s v="M"/>
    <s v="BG"/>
    <x v="0"/>
    <n v="45000"/>
    <x v="2"/>
    <n v="6818.1818181818171"/>
    <n v="7872.2500000000009"/>
    <n v="1054.0681818181838"/>
    <n v="0"/>
    <n v="980"/>
    <n v="20"/>
    <n v="1000"/>
    <n v="5.95"/>
    <n v="0"/>
    <d v="2014-05-12T00:00:00"/>
    <d v="1899-12-30T00:00:00"/>
    <d v="2014-08-11T00:00:00"/>
    <d v="2014-09-10T00:00:00"/>
    <d v="2014-09-15T00:00:00"/>
    <d v="2014-09-18T00:00:00"/>
    <d v="1899-12-30T00:00:00"/>
    <d v="1899-12-30T00:00:00"/>
    <d v="1899-12-30T00:00:00"/>
    <x v="0"/>
    <s v="확정"/>
    <n v="60"/>
    <n v="0"/>
    <n v="0"/>
    <n v="0"/>
    <n v="0"/>
    <n v="0"/>
    <n v="60"/>
    <n v="472335.00000000006"/>
    <n v="2700000"/>
    <n v="5.1966198874643084"/>
  </r>
  <r>
    <n v="0"/>
    <n v="0"/>
    <n v="5"/>
    <n v="9"/>
    <s v="SPORTS"/>
    <x v="5"/>
    <s v="SWK-성진-06"/>
    <s v="SWK-성진-06SWKSNF5507PK"/>
    <n v="2"/>
    <s v="SWK-성진-062"/>
    <s v="SWK-성진-062-SWKSNF5507PINKXSS"/>
    <s v="SWK의류외507"/>
    <s v="SWK"/>
    <s v="14FW S"/>
    <m/>
    <s v="SWK"/>
    <s v="SUPER MASSIVE BOUND KIDS_W"/>
    <s v="F"/>
    <n v="5"/>
    <s v="SN"/>
    <s v="SNAPBACK"/>
    <s v="K"/>
    <n v="507"/>
    <n v="507"/>
    <s v="SWKSNF5507"/>
    <n v="0.16666666666666666"/>
    <s v="14FW SMB_18_FLAT_PK_F_KIDS"/>
    <s v="PK"/>
    <s v="PINK"/>
    <s v="SWKSNF5507PK"/>
    <x v="0"/>
    <n v="0.33333333333333331"/>
    <n v="0"/>
    <n v="1"/>
    <s v="XSS"/>
    <n v="300"/>
    <x v="7"/>
    <n v="6"/>
    <x v="6"/>
    <s v="M"/>
    <s v="BG"/>
    <x v="0"/>
    <n v="45000"/>
    <x v="2"/>
    <n v="6818.1818181818171"/>
    <n v="7756.75"/>
    <n v="938.56818181818289"/>
    <n v="0"/>
    <n v="980"/>
    <n v="20"/>
    <n v="1000"/>
    <n v="5.85"/>
    <n v="0"/>
    <d v="2014-05-12T00:00:00"/>
    <d v="1899-12-30T00:00:00"/>
    <d v="2014-08-11T00:00:00"/>
    <d v="2014-09-10T00:00:00"/>
    <d v="2014-09-15T00:00:00"/>
    <d v="2014-09-18T00:00:00"/>
    <d v="1899-12-30T00:00:00"/>
    <d v="1899-12-30T00:00:00"/>
    <d v="1899-12-30T00:00:00"/>
    <x v="0"/>
    <s v="확정"/>
    <n v="0"/>
    <n v="300"/>
    <n v="0"/>
    <n v="0"/>
    <n v="0"/>
    <n v="0"/>
    <n v="300"/>
    <n v="2327025"/>
    <n v="13500000"/>
    <n v="5.2739988924602326"/>
  </r>
  <r>
    <n v="0"/>
    <n v="0"/>
    <n v="5"/>
    <n v="9"/>
    <s v="SPORTS"/>
    <x v="5"/>
    <s v="SWK-성진-06"/>
    <s v="SWK-성진-06SWKSNF5507BL"/>
    <n v="3"/>
    <s v="SWK-성진-063"/>
    <s v="SWK-성진-063-SWKSNF5507BLUEXSS"/>
    <s v="SWK의류외507"/>
    <s v="SWK"/>
    <s v="14FW S"/>
    <m/>
    <s v="SWK"/>
    <s v="SUPER MASSIVE BOUND KIDS_W"/>
    <s v="F"/>
    <n v="5"/>
    <s v="SN"/>
    <s v="SNAPBACK"/>
    <s v="K"/>
    <n v="507"/>
    <n v="507"/>
    <s v="SWKSNF5507"/>
    <n v="0.16666666666666666"/>
    <s v="14FW SMB_18_FLAT_BL_F_KIDS"/>
    <s v="BL"/>
    <s v="BLUE"/>
    <s v="SWKSNF5507BL"/>
    <x v="0"/>
    <n v="1"/>
    <n v="0"/>
    <n v="1"/>
    <s v="XSS"/>
    <n v="300"/>
    <x v="7"/>
    <n v="6"/>
    <x v="6"/>
    <s v="M"/>
    <s v="BG"/>
    <x v="0"/>
    <n v="45000"/>
    <x v="2"/>
    <n v="6818.1818181818171"/>
    <n v="7930.0000000000009"/>
    <n v="1111.8181818181838"/>
    <n v="0"/>
    <n v="980"/>
    <n v="20"/>
    <n v="1000"/>
    <n v="6"/>
    <n v="0"/>
    <d v="2014-05-12T00:00:00"/>
    <d v="1899-12-30T00:00:00"/>
    <d v="2014-08-11T00:00:00"/>
    <d v="2014-09-10T00:00:00"/>
    <d v="2014-09-18T00:00:00"/>
    <d v="1899-12-30T00:00:00"/>
    <d v="1899-12-30T00:00:00"/>
    <d v="1899-12-30T00:00:00"/>
    <d v="1899-12-30T00:00:00"/>
    <x v="0"/>
    <s v="확정"/>
    <n v="300"/>
    <n v="0"/>
    <n v="0"/>
    <n v="0"/>
    <n v="0"/>
    <n v="0"/>
    <n v="300"/>
    <n v="2379000.0000000005"/>
    <n v="13500000"/>
    <n v="5.1587756505789271"/>
  </r>
  <r>
    <n v="0"/>
    <n v="0"/>
    <n v="5"/>
    <n v="9"/>
    <s v="SPORTS"/>
    <x v="5"/>
    <s v="SWK-성진-06"/>
    <s v="SWK-성진-06SWKSNF5508NY"/>
    <n v="4"/>
    <s v="SWK-성진-064"/>
    <s v="SWK-성진-064-SWKSNF5508NAVYOSM"/>
    <s v="SWK의류외508"/>
    <s v="SWK"/>
    <s v="14FW S"/>
    <m/>
    <s v="SWK"/>
    <s v="SUPER MASSIVE BOUND KIDS_W"/>
    <s v="F"/>
    <n v="5"/>
    <s v="SN"/>
    <s v="SNAPBACK"/>
    <s v="K"/>
    <n v="508"/>
    <n v="508"/>
    <s v="SWKSNF5508"/>
    <n v="0.16666666666666666"/>
    <s v="14FW SMB_31_FLAT_NY_F_KIDS"/>
    <s v="NY"/>
    <s v="NAVY"/>
    <s v="SWKSNF5508NY"/>
    <x v="0"/>
    <n v="0.5"/>
    <n v="0"/>
    <n v="1"/>
    <s v="OSM"/>
    <n v="100"/>
    <x v="7"/>
    <n v="6"/>
    <x v="6"/>
    <s v="M"/>
    <s v="BG"/>
    <x v="0"/>
    <n v="45000"/>
    <x v="2"/>
    <n v="6818.1818181818171"/>
    <n v="8276.5"/>
    <n v="1458.3181818181829"/>
    <n v="0"/>
    <n v="980"/>
    <n v="20"/>
    <n v="1000"/>
    <n v="6.3"/>
    <n v="0"/>
    <d v="2014-05-12T00:00:00"/>
    <d v="1899-12-30T00:00:00"/>
    <d v="2014-08-11T00:00:00"/>
    <d v="2014-09-10T00:00:00"/>
    <d v="2014-09-15T00:00:00"/>
    <m/>
    <d v="1899-12-30T00:00:00"/>
    <d v="1899-12-30T00:00:00"/>
    <d v="1899-12-30T00:00:00"/>
    <x v="0"/>
    <s v="확정"/>
    <n v="100"/>
    <n v="0"/>
    <n v="0"/>
    <n v="0"/>
    <n v="0"/>
    <n v="0"/>
    <n v="100"/>
    <n v="827650"/>
    <n v="4500000"/>
    <n v="4.9428008106193326"/>
  </r>
  <r>
    <n v="0"/>
    <n v="0"/>
    <n v="5"/>
    <n v="9"/>
    <s v="SPORTS"/>
    <x v="5"/>
    <s v="SWK-성진-06"/>
    <s v="SWK-성진-06SWKSNF5508NY"/>
    <n v="4"/>
    <s v="SWK-성진-064"/>
    <s v="SWK-성진-064-SWKSNF5508NAVYOML"/>
    <s v="SWK의류외508"/>
    <s v="SWK"/>
    <s v="14FW S"/>
    <m/>
    <s v="SWK"/>
    <s v="SUPER MASSIVE BOUND KIDS_W"/>
    <s v="F"/>
    <n v="5"/>
    <s v="SN"/>
    <s v="SNAPBACK"/>
    <s v="K"/>
    <n v="508"/>
    <n v="508"/>
    <s v="SWKSNF5508"/>
    <n v="0.16666666666666666"/>
    <s v="14FW SMB_31_FLAT_NY_F_KIDS"/>
    <s v="NY"/>
    <s v="NAVY"/>
    <s v="SWKSNF5508NY"/>
    <x v="0"/>
    <n v="0.5"/>
    <n v="0"/>
    <n v="1"/>
    <s v="OML"/>
    <n v="50"/>
    <x v="7"/>
    <n v="6"/>
    <x v="6"/>
    <s v="M"/>
    <s v="BG"/>
    <x v="0"/>
    <n v="45000"/>
    <x v="2"/>
    <n v="6818.1818181818171"/>
    <n v="8276.5"/>
    <n v="1458.3181818181829"/>
    <n v="0"/>
    <n v="980"/>
    <n v="20"/>
    <n v="1000"/>
    <n v="6.3"/>
    <n v="0"/>
    <d v="2014-05-12T00:00:00"/>
    <d v="1899-12-30T00:00:00"/>
    <d v="2014-08-11T00:00:00"/>
    <d v="2014-09-10T00:00:00"/>
    <d v="2014-09-15T00:00:00"/>
    <m/>
    <d v="1899-12-30T00:00:00"/>
    <d v="1899-12-30T00:00:00"/>
    <d v="1899-12-30T00:00:00"/>
    <x v="0"/>
    <s v="확정"/>
    <n v="50"/>
    <n v="0"/>
    <n v="0"/>
    <n v="0"/>
    <n v="0"/>
    <n v="0"/>
    <n v="50"/>
    <n v="413825"/>
    <n v="2250000"/>
    <n v="4.9428008106193326"/>
  </r>
  <r>
    <n v="0"/>
    <n v="0"/>
    <n v="5"/>
    <n v="9"/>
    <s v="SPORTS"/>
    <x v="5"/>
    <s v="SWK-성진-06"/>
    <s v="SWK-성진-06SWKSNF5508PK"/>
    <n v="5"/>
    <s v="SWK-성진-065"/>
    <s v="SWK-성진-065-SWKSNF5508PINKOSM"/>
    <s v="SWK의류외508"/>
    <s v="SWK"/>
    <s v="14FW S"/>
    <m/>
    <s v="SWK"/>
    <s v="SUPER MASSIVE BOUND KIDS_W"/>
    <s v="F"/>
    <n v="5"/>
    <s v="SN"/>
    <s v="SNAPBACK"/>
    <s v="K"/>
    <n v="508"/>
    <n v="508"/>
    <s v="SWKSNF5508"/>
    <n v="0.16666666666666666"/>
    <s v="14FW SMB_31_FLAT_PK_F_KIDS"/>
    <s v="PK"/>
    <s v="PINK"/>
    <s v="SWKSNF5508PK"/>
    <x v="0"/>
    <n v="0.33333333333333331"/>
    <n v="0"/>
    <n v="1"/>
    <s v="OSM"/>
    <n v="100"/>
    <x v="7"/>
    <n v="6"/>
    <x v="6"/>
    <s v="M"/>
    <s v="BG"/>
    <x v="0"/>
    <n v="45000"/>
    <x v="2"/>
    <n v="6818.1818181818171"/>
    <n v="8276.5"/>
    <n v="1458.3181818181829"/>
    <n v="0"/>
    <n v="980"/>
    <n v="20"/>
    <n v="1000"/>
    <n v="6.3"/>
    <n v="0"/>
    <d v="2014-05-12T00:00:00"/>
    <d v="1899-12-30T00:00:00"/>
    <d v="2014-08-11T00:00:00"/>
    <d v="2014-09-10T00:00:00"/>
    <d v="2014-09-15T00:00:00"/>
    <m/>
    <d v="1899-12-30T00:00:00"/>
    <d v="1899-12-30T00:00:00"/>
    <d v="1899-12-30T00:00:00"/>
    <x v="0"/>
    <s v="확정"/>
    <n v="100"/>
    <n v="0"/>
    <n v="0"/>
    <n v="0"/>
    <n v="0"/>
    <n v="0"/>
    <n v="100"/>
    <n v="827650"/>
    <n v="4500000"/>
    <n v="4.9428008106193326"/>
  </r>
  <r>
    <n v="0"/>
    <n v="0"/>
    <n v="5"/>
    <n v="9"/>
    <s v="SPORTS"/>
    <x v="5"/>
    <s v="SWK-성진-06"/>
    <s v="SWK-성진-06SWKSNF5508PK"/>
    <n v="5"/>
    <s v="SWK-성진-065"/>
    <s v="SWK-성진-065-SWKSNF5508PINKOML"/>
    <s v="SWK의류외508"/>
    <s v="SWK"/>
    <s v="14FW S"/>
    <m/>
    <s v="SWK"/>
    <s v="SUPER MASSIVE BOUND KIDS_W"/>
    <s v="F"/>
    <n v="5"/>
    <s v="SN"/>
    <s v="SNAPBACK"/>
    <s v="K"/>
    <n v="508"/>
    <n v="508"/>
    <s v="SWKSNF5508"/>
    <n v="0.16666666666666666"/>
    <s v="14FW SMB_31_FLAT_PK_F_KIDS"/>
    <s v="PK"/>
    <s v="PINK"/>
    <s v="SWKSNF5508PK"/>
    <x v="0"/>
    <n v="0.33333333333333331"/>
    <n v="0"/>
    <n v="1"/>
    <s v="OML"/>
    <n v="50"/>
    <x v="7"/>
    <n v="6"/>
    <x v="6"/>
    <s v="M"/>
    <s v="BG"/>
    <x v="0"/>
    <n v="45000"/>
    <x v="2"/>
    <n v="6818.1818181818171"/>
    <n v="8276.5"/>
    <n v="1458.3181818181829"/>
    <n v="0"/>
    <n v="980"/>
    <n v="20"/>
    <n v="1000"/>
    <n v="6.3"/>
    <n v="0"/>
    <d v="2014-05-12T00:00:00"/>
    <d v="1899-12-30T00:00:00"/>
    <d v="2014-08-11T00:00:00"/>
    <d v="2014-09-10T00:00:00"/>
    <d v="2014-09-15T00:00:00"/>
    <m/>
    <d v="1899-12-30T00:00:00"/>
    <d v="1899-12-30T00:00:00"/>
    <d v="1899-12-30T00:00:00"/>
    <x v="0"/>
    <s v="확정"/>
    <n v="50"/>
    <n v="0"/>
    <n v="0"/>
    <n v="0"/>
    <n v="0"/>
    <n v="0"/>
    <n v="50"/>
    <n v="413825"/>
    <n v="2250000"/>
    <n v="4.9428008106193326"/>
  </r>
  <r>
    <n v="0"/>
    <n v="0"/>
    <n v="5"/>
    <n v="9"/>
    <s v="SPORTS"/>
    <x v="5"/>
    <s v="SWK-성진-06"/>
    <s v="SWK-성진-06SWKSNF5508PK"/>
    <n v="5"/>
    <s v="SWK-성진-065"/>
    <s v="SWK-성진-065-SWKSNF5508PINKXSS"/>
    <s v="SWK의류외508"/>
    <s v="SWK"/>
    <s v="14FW S"/>
    <m/>
    <s v="SWK"/>
    <s v="SUPER MASSIVE BOUND KIDS_W"/>
    <s v="F"/>
    <n v="5"/>
    <s v="SN"/>
    <s v="SNAPBACK"/>
    <s v="K"/>
    <n v="508"/>
    <n v="508"/>
    <s v="SWKSNF5508"/>
    <n v="0.16666666666666666"/>
    <s v="14FW SMB_31_FLAT_PK_F_KIDS"/>
    <s v="PK"/>
    <s v="PINK"/>
    <s v="SWKSNF5508PK"/>
    <x v="0"/>
    <n v="0.33333333333333331"/>
    <n v="0"/>
    <n v="1"/>
    <s v="XSS"/>
    <n v="300"/>
    <x v="7"/>
    <n v="6"/>
    <x v="6"/>
    <s v="M"/>
    <s v="BG"/>
    <x v="0"/>
    <n v="45000"/>
    <x v="2"/>
    <n v="6818.1818181818171"/>
    <n v="8161.0000000000009"/>
    <n v="1342.8181818181838"/>
    <n v="0"/>
    <n v="980"/>
    <n v="20"/>
    <n v="1000"/>
    <n v="6.2"/>
    <n v="0"/>
    <d v="2014-05-12T00:00:00"/>
    <d v="1899-12-30T00:00:00"/>
    <d v="2014-08-11T00:00:00"/>
    <d v="2014-09-10T00:00:00"/>
    <d v="2014-09-15T00:00:00"/>
    <m/>
    <d v="1899-12-30T00:00:00"/>
    <d v="1899-12-30T00:00:00"/>
    <d v="1899-12-30T00:00:00"/>
    <x v="0"/>
    <s v="확정"/>
    <n v="300"/>
    <n v="0"/>
    <n v="0"/>
    <n v="0"/>
    <n v="0"/>
    <n v="0"/>
    <n v="300"/>
    <n v="2448300.0000000005"/>
    <n v="13500000"/>
    <n v="5.012754675786165"/>
  </r>
  <r>
    <n v="0"/>
    <n v="0"/>
    <n v="5"/>
    <n v="9"/>
    <s v="SPORTS"/>
    <x v="5"/>
    <s v="SWK-성진-06"/>
    <s v="SWK-성진-06SWKSNF5508RE"/>
    <n v="6"/>
    <s v="SWK-성진-066"/>
    <s v="SWK-성진-066-SWKSNF5508REDXSS"/>
    <s v="SWK의류외508"/>
    <s v="SWK"/>
    <s v="14FW S"/>
    <m/>
    <s v="SWK"/>
    <s v="SUPER MASSIVE BOUND KIDS_W"/>
    <s v="F"/>
    <n v="5"/>
    <s v="SN"/>
    <s v="SNAPBACK"/>
    <s v="K"/>
    <n v="508"/>
    <n v="508"/>
    <s v="SWKSNF5508"/>
    <n v="0.16666666666666666"/>
    <s v="14FW SMB_31_FLAT_RE_F_KIDS"/>
    <s v="RE"/>
    <s v="RED"/>
    <s v="SWKSNF5508RE"/>
    <x v="0"/>
    <n v="1"/>
    <n v="0"/>
    <n v="1"/>
    <s v="XSS"/>
    <n v="300"/>
    <x v="7"/>
    <n v="6"/>
    <x v="6"/>
    <s v="M"/>
    <s v="BG"/>
    <x v="0"/>
    <n v="45000"/>
    <x v="2"/>
    <n v="6818.1818181818171"/>
    <n v="8161.0000000000009"/>
    <n v="1342.8181818181838"/>
    <n v="0"/>
    <n v="980"/>
    <n v="20"/>
    <n v="1000"/>
    <n v="6.2"/>
    <n v="0"/>
    <d v="2014-05-12T00:00:00"/>
    <d v="1899-12-30T00:00:00"/>
    <d v="2014-08-11T00:00:00"/>
    <d v="2014-09-10T00:00:00"/>
    <d v="2014-09-15T00:00:00"/>
    <m/>
    <d v="1899-12-30T00:00:00"/>
    <d v="1899-12-30T00:00:00"/>
    <d v="1899-12-30T00:00:00"/>
    <x v="0"/>
    <s v="확정"/>
    <n v="300"/>
    <n v="0"/>
    <n v="0"/>
    <n v="0"/>
    <n v="0"/>
    <n v="0"/>
    <n v="300"/>
    <n v="2448300.0000000005"/>
    <n v="13500000"/>
    <n v="5.012754675786165"/>
  </r>
  <r>
    <n v="0"/>
    <n v="0"/>
    <n v="5"/>
    <n v="9"/>
    <s v="SPORTS"/>
    <x v="5"/>
    <s v="SWK-성진-06"/>
    <s v="SWK-성진-06SWKSNF5515OR"/>
    <n v="7"/>
    <s v="SWK-성진-067"/>
    <s v="SWK-성진-067-SWKSNF5515ORANGEOSM"/>
    <s v="SWK의류외515"/>
    <s v="SWK"/>
    <s v="14FW S"/>
    <m/>
    <s v="SWK"/>
    <s v="SUPER MASSIVE BOUND KIDS_W"/>
    <s v="F"/>
    <n v="5"/>
    <s v="SN"/>
    <s v="SNAPBACK"/>
    <s v="K"/>
    <n v="515"/>
    <n v="515"/>
    <s v="SWKSNF5515"/>
    <n v="0.5"/>
    <s v="14FW SMB_10_FLAT_OR_F_KIDS"/>
    <s v="OR"/>
    <s v="ORANGE"/>
    <s v="SWKSNF5515OR"/>
    <x v="0"/>
    <n v="0.5"/>
    <n v="0"/>
    <n v="1"/>
    <s v="OSM"/>
    <n v="250"/>
    <x v="7"/>
    <n v="6"/>
    <x v="6"/>
    <s v="M"/>
    <s v="BG"/>
    <x v="0"/>
    <n v="45000"/>
    <x v="2"/>
    <n v="6818.1818181818171"/>
    <n v="7583.5"/>
    <n v="765.31818181818289"/>
    <n v="0"/>
    <n v="980"/>
    <n v="20"/>
    <n v="1000"/>
    <n v="5.7"/>
    <n v="0"/>
    <d v="2014-05-12T00:00:00"/>
    <d v="1899-12-30T00:00:00"/>
    <d v="2014-08-11T00:00:00"/>
    <d v="2014-09-10T00:00:00"/>
    <d v="2014-09-25T00:00:00"/>
    <d v="1899-12-30T00:00:00"/>
    <d v="1899-12-30T00:00:00"/>
    <d v="1899-12-30T00:00:00"/>
    <d v="1899-12-30T00:00:00"/>
    <x v="0"/>
    <s v="확정"/>
    <n v="250"/>
    <n v="0"/>
    <n v="0"/>
    <n v="0"/>
    <n v="0"/>
    <n v="0"/>
    <n v="250"/>
    <n v="1895875"/>
    <n v="11250000"/>
    <n v="5.3944868344551864"/>
  </r>
  <r>
    <n v="0"/>
    <n v="0"/>
    <n v="5"/>
    <n v="9"/>
    <s v="SPORTS"/>
    <x v="5"/>
    <s v="SWK-성진-06"/>
    <s v="SWK-성진-06SWKSNF5515OR"/>
    <n v="7"/>
    <s v="SWK-성진-067"/>
    <s v="SWK-성진-067-SWKSNF5515ORANGEOML"/>
    <s v="SWK의류외515"/>
    <s v="SWK"/>
    <s v="14FW S"/>
    <m/>
    <s v="SWK"/>
    <s v="SUPER MASSIVE BOUND KIDS_W"/>
    <s v="F"/>
    <n v="5"/>
    <s v="SN"/>
    <s v="SNAPBACK"/>
    <s v="K"/>
    <n v="515"/>
    <n v="515"/>
    <s v="SWKSNF5515"/>
    <n v="0.5"/>
    <s v="14FW SMB_10_FLAT_OR_F_KIDS"/>
    <s v="OR"/>
    <s v="ORANGE"/>
    <s v="SWKSNF5515OR"/>
    <x v="0"/>
    <n v="0.5"/>
    <n v="0"/>
    <n v="1"/>
    <s v="OML"/>
    <n v="100"/>
    <x v="7"/>
    <n v="6"/>
    <x v="6"/>
    <s v="M"/>
    <s v="BG"/>
    <x v="0"/>
    <n v="45000"/>
    <x v="2"/>
    <n v="6818.1818181818171"/>
    <n v="7583.5"/>
    <n v="765.31818181818289"/>
    <n v="0"/>
    <n v="980"/>
    <n v="20"/>
    <n v="1000"/>
    <n v="5.7"/>
    <n v="0"/>
    <d v="2014-05-12T00:00:00"/>
    <d v="1899-12-30T00:00:00"/>
    <d v="2014-08-11T00:00:00"/>
    <d v="2014-09-10T00:00:00"/>
    <d v="2014-09-25T00:00:00"/>
    <d v="1899-12-30T00:00:00"/>
    <d v="1899-12-30T00:00:00"/>
    <d v="1899-12-30T00:00:00"/>
    <d v="1899-12-30T00:00:00"/>
    <x v="0"/>
    <s v="확정"/>
    <n v="100"/>
    <n v="0"/>
    <n v="0"/>
    <n v="0"/>
    <n v="0"/>
    <n v="0"/>
    <n v="100"/>
    <n v="758350"/>
    <n v="4500000"/>
    <n v="5.3944868344551864"/>
  </r>
  <r>
    <n v="0"/>
    <n v="0"/>
    <s v=""/>
    <s v=""/>
    <s v=""/>
    <x v="1"/>
    <s v=""/>
    <s v=""/>
    <n v="0"/>
    <s v="0"/>
    <s v="0-"/>
    <n v="0"/>
    <s v="TTL"/>
    <s v=""/>
    <s v="SWK-성진-06 TTL"/>
    <m/>
    <s v=""/>
    <s v=""/>
    <s v=""/>
    <m/>
    <s v=""/>
    <m/>
    <m/>
    <s v=""/>
    <s v=""/>
    <n v="3"/>
    <m/>
    <s v=""/>
    <m/>
    <s v=""/>
    <x v="0"/>
    <n v="6.9999999999999991"/>
    <n v="0"/>
    <n v="1"/>
    <m/>
    <n v="2210"/>
    <x v="1"/>
    <m/>
    <x v="1"/>
    <m/>
    <m/>
    <x v="1"/>
    <n v="0"/>
    <x v="1"/>
    <m/>
    <m/>
    <m/>
    <m/>
    <n v="0"/>
    <s v=""/>
    <n v="0"/>
    <n v="13302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910"/>
    <n v="300"/>
    <n v="0"/>
    <n v="0"/>
    <n v="0"/>
    <n v="0"/>
    <n v="2210"/>
    <n v="17573810"/>
    <n v="99450000"/>
    <n v="5.1445355850035313"/>
  </r>
  <r>
    <n v="0"/>
    <n v="0"/>
    <n v="5"/>
    <n v="10"/>
    <s v="SPORTS"/>
    <x v="5"/>
    <s v="SWK-성진-07"/>
    <s v="SWK-성진-07SWKERF5517PK"/>
    <n v="1"/>
    <s v="SWK-성진-071"/>
    <s v="SWK-성진-071-SWKERF5517PINKOSM"/>
    <s v="SWK의류외517"/>
    <s v="SWK"/>
    <s v="14FW S"/>
    <m/>
    <s v="SWK"/>
    <s v="SUPER MASSIVE BOUND KIDS_W"/>
    <s v="F"/>
    <n v="5"/>
    <s v="ER"/>
    <s v="EARCAP"/>
    <s v="K"/>
    <n v="517"/>
    <n v="517"/>
    <s v="SWKERF5517"/>
    <n v="0.33333333333333331"/>
    <s v="14FW SMB_17_FLAT_PK_F_KIDS"/>
    <s v="PK"/>
    <s v="PINK"/>
    <s v="SWKERF5517PK"/>
    <x v="0"/>
    <n v="0.33333333333333331"/>
    <n v="0"/>
    <n v="1"/>
    <s v="OSM"/>
    <n v="100"/>
    <x v="7"/>
    <n v="7"/>
    <x v="7"/>
    <s v="M"/>
    <s v="BG"/>
    <x v="0"/>
    <n v="55000"/>
    <x v="2"/>
    <n v="8333.3333333333321"/>
    <n v="9778"/>
    <n v="1444.6666666666679"/>
    <n v="0"/>
    <n v="980"/>
    <n v="20"/>
    <n v="1000"/>
    <n v="7.6"/>
    <n v="0"/>
    <d v="2014-05-12T00:00:00"/>
    <d v="1899-12-30T00:00:00"/>
    <d v="2014-08-25T00:00:00"/>
    <d v="2014-08-25T00:00:00"/>
    <d v="2014-10-06T00:00:00"/>
    <d v="1899-12-30T00:00:00"/>
    <d v="1899-12-30T00:00:00"/>
    <d v="1899-12-30T00:00:00"/>
    <d v="1899-12-30T00:00:00"/>
    <x v="0"/>
    <s v="확정"/>
    <n v="100"/>
    <n v="0"/>
    <n v="0"/>
    <n v="0"/>
    <n v="0"/>
    <n v="0"/>
    <n v="100"/>
    <n v="977800"/>
    <n v="5500000"/>
    <n v="5.1135201472693801"/>
  </r>
  <r>
    <n v="0"/>
    <n v="0"/>
    <n v="5"/>
    <n v="10"/>
    <s v="SPORTS"/>
    <x v="5"/>
    <s v="SWK-성진-07"/>
    <s v="SWK-성진-07SWKERF5517PK"/>
    <n v="1"/>
    <s v="SWK-성진-071"/>
    <s v="SWK-성진-071-SWKERF5517PINKOML"/>
    <s v="SWK의류외517"/>
    <s v="SWK"/>
    <s v="14FW S"/>
    <m/>
    <s v="SWK"/>
    <s v="SUPER MASSIVE BOUND KIDS_W"/>
    <s v="F"/>
    <n v="5"/>
    <s v="ER"/>
    <s v="EARCAP"/>
    <s v="K"/>
    <n v="517"/>
    <n v="517"/>
    <s v="SWKERF5517"/>
    <n v="0.33333333333333331"/>
    <s v="14FW SMB_17_FLAT_PK_F_KIDS"/>
    <s v="PK"/>
    <s v="PINK"/>
    <s v="SWKERF5517PK"/>
    <x v="0"/>
    <n v="0.33333333333333331"/>
    <n v="0"/>
    <n v="1"/>
    <s v="OML"/>
    <n v="50"/>
    <x v="7"/>
    <n v="7"/>
    <x v="7"/>
    <s v="M"/>
    <s v="BG"/>
    <x v="0"/>
    <n v="55000"/>
    <x v="2"/>
    <n v="8333.3333333333321"/>
    <n v="9778"/>
    <n v="1444.6666666666679"/>
    <n v="0"/>
    <n v="980"/>
    <n v="20"/>
    <n v="1000"/>
    <n v="7.6"/>
    <n v="0"/>
    <d v="2014-05-12T00:00:00"/>
    <d v="1899-12-30T00:00:00"/>
    <d v="2014-08-25T00:00:00"/>
    <d v="2014-08-25T00:00:00"/>
    <d v="2014-10-06T00:00:00"/>
    <d v="1899-12-30T00:00:00"/>
    <d v="1899-12-30T00:00:00"/>
    <d v="1899-12-30T00:00:00"/>
    <d v="1899-12-30T00:00:00"/>
    <x v="0"/>
    <s v="확정"/>
    <n v="50"/>
    <n v="0"/>
    <n v="0"/>
    <n v="0"/>
    <n v="0"/>
    <n v="0"/>
    <n v="50"/>
    <n v="488900"/>
    <n v="2750000"/>
    <n v="5.1135201472693801"/>
  </r>
  <r>
    <n v="0"/>
    <n v="0"/>
    <n v="5"/>
    <n v="10"/>
    <s v="SPORTS"/>
    <x v="5"/>
    <s v="SWK-성진-07"/>
    <s v="SWK-성진-07SWKERF5517PK"/>
    <n v="1"/>
    <s v="SWK-성진-071"/>
    <s v="SWK-성진-071-SWKERF5517PINKXSS"/>
    <s v="SWK의류외517"/>
    <s v="SWK"/>
    <s v="14FW S"/>
    <m/>
    <s v="SWK"/>
    <s v="SUPER MASSIVE BOUND KIDS_W"/>
    <s v="F"/>
    <n v="5"/>
    <s v="ER"/>
    <s v="EARCAP"/>
    <s v="K"/>
    <n v="517"/>
    <n v="517"/>
    <s v="SWKERF5517"/>
    <n v="0.33333333333333331"/>
    <s v="14FW SMB_17_FLAT_PK_F_KIDS"/>
    <s v="PK"/>
    <s v="PINK"/>
    <s v="SWKERF5517PK"/>
    <x v="0"/>
    <n v="0.33333333333333331"/>
    <n v="0"/>
    <n v="1"/>
    <s v="XSS"/>
    <n v="250"/>
    <x v="7"/>
    <n v="7"/>
    <x v="7"/>
    <s v="M"/>
    <s v="BG"/>
    <x v="0"/>
    <n v="55000"/>
    <x v="2"/>
    <n v="8333.3333333333321"/>
    <n v="9662.5"/>
    <n v="1329.1666666666679"/>
    <n v="0"/>
    <n v="980"/>
    <n v="20"/>
    <n v="1000"/>
    <n v="7.5"/>
    <n v="0"/>
    <d v="2014-05-12T00:00:00"/>
    <d v="1899-12-30T00:00:00"/>
    <d v="2014-08-25T00:00:00"/>
    <d v="2014-08-25T00:00:00"/>
    <d v="2014-10-06T00:00:00"/>
    <d v="1899-12-30T00:00:00"/>
    <d v="1899-12-30T00:00:00"/>
    <d v="1899-12-30T00:00:00"/>
    <d v="1899-12-30T00:00:00"/>
    <x v="0"/>
    <s v="확정"/>
    <n v="250"/>
    <n v="0"/>
    <n v="0"/>
    <n v="0"/>
    <n v="0"/>
    <n v="0"/>
    <n v="250"/>
    <n v="2415625"/>
    <n v="13750000"/>
    <n v="5.1746442432082791"/>
  </r>
  <r>
    <n v="0"/>
    <n v="0"/>
    <s v=""/>
    <s v=""/>
    <s v=""/>
    <x v="1"/>
    <s v=""/>
    <s v=""/>
    <n v="0"/>
    <s v="0"/>
    <s v="0-"/>
    <n v="0"/>
    <s v="TTL"/>
    <s v=""/>
    <s v="SWK-성진-07 TTL"/>
    <m/>
    <s v=""/>
    <s v=""/>
    <s v=""/>
    <m/>
    <s v=""/>
    <m/>
    <m/>
    <s v=""/>
    <s v=""/>
    <n v="1"/>
    <m/>
    <s v=""/>
    <m/>
    <s v=""/>
    <x v="0"/>
    <n v="1"/>
    <n v="0"/>
    <n v="1"/>
    <m/>
    <n v="400"/>
    <x v="1"/>
    <m/>
    <x v="1"/>
    <m/>
    <m/>
    <x v="1"/>
    <n v="0"/>
    <x v="1"/>
    <n v="0"/>
    <m/>
    <m/>
    <m/>
    <m/>
    <s v=""/>
    <n v="0"/>
    <n v="3015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400"/>
    <n v="0"/>
    <n v="0"/>
    <n v="0"/>
    <n v="0"/>
    <n v="0"/>
    <n v="400"/>
    <n v="3882325"/>
    <n v="22000000"/>
    <n v="5.1515522270804226"/>
  </r>
  <r>
    <n v="0"/>
    <n v="0"/>
    <n v="5"/>
    <n v="9"/>
    <s v="SPORTS"/>
    <x v="4"/>
    <s v="SMK-QF-07"/>
    <s v="SMK-QF-07SMKSNF5516RE"/>
    <n v="1"/>
    <s v="SMK-QF-071"/>
    <s v="SMK-QF-071-SMKSNF5516REDOSM"/>
    <s v="SMK의류외516"/>
    <s v="SMK"/>
    <s v="14FW S"/>
    <m/>
    <s v="SMK"/>
    <s v="SUPER MASSIVE BOUND KIDS"/>
    <s v="F"/>
    <n v="5"/>
    <s v="SN"/>
    <s v="SNAPBACK"/>
    <s v="K"/>
    <n v="516"/>
    <n v="516"/>
    <s v="SMKSNF5516"/>
    <n v="0.5"/>
    <s v="14FW SMB_22_FLAT_RD_N_KIDS"/>
    <s v="RE"/>
    <s v="RED"/>
    <s v="SMKSNF5516RE"/>
    <x v="0"/>
    <n v="0.5"/>
    <s v="겉감1: 폴리에스터 100%_x000a_겉감2: 폴리에스터100%"/>
    <n v="1"/>
    <s v="OSM"/>
    <n v="300"/>
    <x v="2"/>
    <n v="7"/>
    <x v="7"/>
    <s v="M"/>
    <s v="CN"/>
    <x v="0"/>
    <n v="39000"/>
    <x v="2"/>
    <n v="3939.3939393939386"/>
    <n v="5563.82"/>
    <n v="1624.4260606060611"/>
    <n v="0"/>
    <n v="180"/>
    <n v="20"/>
    <n v="200"/>
    <n v="4.3"/>
    <n v="0"/>
    <d v="2014-05-12T00:00:00"/>
    <d v="2014-08-30T00:00:00"/>
    <d v="2014-08-25T00:00:00"/>
    <d v="2014-08-25T00:00:00"/>
    <d v="2014-09-12T00:00:00"/>
    <d v="1899-12-30T00:00:00"/>
    <d v="1899-12-30T00:00:00"/>
    <d v="1899-12-30T00:00:00"/>
    <d v="1899-12-30T00:00:00"/>
    <x v="2"/>
    <s v="확정 "/>
    <n v="300"/>
    <n v="0"/>
    <n v="0"/>
    <n v="0"/>
    <n v="0"/>
    <n v="0"/>
    <n v="300"/>
    <n v="1669146"/>
    <n v="11700000"/>
    <n v="6.372338690781775"/>
  </r>
  <r>
    <n v="0"/>
    <n v="0"/>
    <n v="5"/>
    <n v="9"/>
    <s v="SPORTS"/>
    <x v="4"/>
    <s v="SMK-QF-07"/>
    <s v="SMK-QF-07SMKSNF5516RE"/>
    <n v="1"/>
    <s v="SMK-QF-071"/>
    <s v="SMK-QF-071-SMKSNF5516REDOML"/>
    <s v="SMK의류외516"/>
    <s v="SMK"/>
    <s v="14FW S"/>
    <m/>
    <s v="SMK"/>
    <s v="SUPER MASSIVE BOUND KIDS"/>
    <s v="F"/>
    <n v="5"/>
    <s v="SN"/>
    <s v="SNAPBACK"/>
    <s v="K"/>
    <n v="516"/>
    <n v="516"/>
    <s v="SMKSNF5516"/>
    <n v="0.5"/>
    <s v="14FW SMB_22_FLAT_RD_N_KIDS"/>
    <s v="RE"/>
    <s v="RED"/>
    <s v="SMKSNF5516RE"/>
    <x v="0"/>
    <n v="0.5"/>
    <s v="겉감1: 폴리에스터 100%_x000a_겉감2: 폴리에스터100%"/>
    <n v="1"/>
    <s v="OML"/>
    <n v="150"/>
    <x v="2"/>
    <n v="7"/>
    <x v="7"/>
    <s v="M"/>
    <s v="CN"/>
    <x v="0"/>
    <n v="39000"/>
    <x v="2"/>
    <n v="3939.3939393939386"/>
    <n v="5563.82"/>
    <n v="1624.4260606060611"/>
    <n v="0"/>
    <n v="180"/>
    <n v="20"/>
    <n v="200"/>
    <n v="4.3"/>
    <n v="0"/>
    <d v="2014-05-12T00:00:00"/>
    <d v="2014-08-30T00:00:00"/>
    <d v="2014-08-25T00:00:00"/>
    <d v="2014-08-25T00:00:00"/>
    <d v="2014-09-12T00:00:00"/>
    <d v="1899-12-30T00:00:00"/>
    <d v="1899-12-30T00:00:00"/>
    <d v="1899-12-30T00:00:00"/>
    <d v="1899-12-30T00:00:00"/>
    <x v="2"/>
    <s v="확정 "/>
    <n v="150"/>
    <n v="0"/>
    <n v="0"/>
    <n v="0"/>
    <n v="0"/>
    <n v="0"/>
    <n v="150"/>
    <n v="834573"/>
    <n v="5850000"/>
    <n v="6.372338690781775"/>
  </r>
  <r>
    <n v="0"/>
    <n v="0.5"/>
    <n v="5"/>
    <n v="9"/>
    <s v="SPORTS"/>
    <x v="4"/>
    <s v="SMK-QF-07"/>
    <s v="SMK-QF-07SMKSNF5517NY"/>
    <n v="2"/>
    <s v="SMK-QF-072"/>
    <s v="SMK-QF-072-SMKSNF5517NAVYOSM"/>
    <s v="SMK의류외517"/>
    <s v="SMK"/>
    <s v="14FW S"/>
    <m/>
    <s v="SMK"/>
    <s v="SUPER MASSIVE BOUND KIDS"/>
    <s v="F"/>
    <n v="5"/>
    <s v="SN"/>
    <s v="SNAPBACK"/>
    <s v="K"/>
    <n v="517"/>
    <n v="517"/>
    <s v="SMKSNF5517"/>
    <n v="0.5"/>
    <s v="14FW SMB_23_FLAT_NV_N_KIDS"/>
    <s v="NY"/>
    <s v="NAVY"/>
    <s v="SMKSNF5517NY"/>
    <x v="0"/>
    <n v="0.5"/>
    <s v="겉감1: 폴리에스터 100%_x000a_겉감2: 폴리에스터100%"/>
    <n v="1"/>
    <s v="OSM"/>
    <n v="300"/>
    <x v="2"/>
    <n v="7"/>
    <x v="7"/>
    <s v="M"/>
    <s v="CN"/>
    <x v="0"/>
    <n v="39000"/>
    <x v="2"/>
    <n v="3939.3939393939386"/>
    <n v="6128.5600000000013"/>
    <n v="2189.1660606060627"/>
    <n v="440"/>
    <n v="180"/>
    <n v="20"/>
    <n v="640"/>
    <n v="4.4000000000000004"/>
    <n v="0"/>
    <d v="2014-05-12T00:00:00"/>
    <d v="2014-08-30T00:00:00"/>
    <d v="2014-08-25T00:00:00"/>
    <d v="2014-08-25T00:00:00"/>
    <d v="2014-09-03T00:00:00"/>
    <d v="2014-09-12T00:00:00"/>
    <d v="2014-09-16T00:00:00"/>
    <d v="1899-12-30T00:00:00"/>
    <d v="1899-12-30T00:00:00"/>
    <x v="2"/>
    <s v="확정 "/>
    <n v="300"/>
    <n v="0"/>
    <n v="0"/>
    <n v="0"/>
    <n v="0"/>
    <n v="0"/>
    <n v="300"/>
    <n v="1838568.0000000005"/>
    <n v="11700000"/>
    <n v="5.7851347550722263"/>
  </r>
  <r>
    <n v="0"/>
    <n v="0.5"/>
    <n v="5"/>
    <n v="9"/>
    <s v="SPORTS"/>
    <x v="4"/>
    <s v="SMK-QF-07"/>
    <s v="SMK-QF-07SMKSNF5517NY"/>
    <n v="2"/>
    <s v="SMK-QF-072"/>
    <s v="SMK-QF-072-SMKSNF5517NAVYOML"/>
    <s v="SMK의류외517"/>
    <s v="SMK"/>
    <s v="14FW S"/>
    <m/>
    <s v="SMK"/>
    <s v="SUPER MASSIVE BOUND KIDS"/>
    <s v="F"/>
    <n v="5"/>
    <s v="SN"/>
    <s v="SNAPBACK"/>
    <s v="K"/>
    <n v="517"/>
    <n v="517"/>
    <s v="SMKSNF5517"/>
    <n v="0.5"/>
    <s v="14FW SMB_23_FLAT_NV_N_KIDS"/>
    <s v="NY"/>
    <s v="NAVY"/>
    <s v="SMKSNF5517NY"/>
    <x v="0"/>
    <n v="0.5"/>
    <s v="겉감1: 폴리에스터 100%_x000a_겉감2: 폴리에스터100%"/>
    <n v="1"/>
    <s v="OML"/>
    <n v="150"/>
    <x v="2"/>
    <n v="7"/>
    <x v="7"/>
    <s v="M"/>
    <s v="CN"/>
    <x v="0"/>
    <n v="39000"/>
    <x v="2"/>
    <n v="3939.3939393939386"/>
    <n v="6128.5600000000013"/>
    <n v="2189.1660606060627"/>
    <n v="440"/>
    <n v="180"/>
    <n v="20"/>
    <n v="640"/>
    <n v="4.4000000000000004"/>
    <n v="0"/>
    <d v="2014-05-12T00:00:00"/>
    <d v="2014-08-30T00:00:00"/>
    <d v="2014-08-25T00:00:00"/>
    <d v="2014-08-25T00:00:00"/>
    <d v="2014-09-03T00:00:00"/>
    <d v="2014-09-12T00:00:00"/>
    <d v="2014-09-16T00:00:00"/>
    <d v="1899-12-30T00:00:00"/>
    <d v="1899-12-30T00:00:00"/>
    <x v="2"/>
    <s v="확정 "/>
    <n v="0"/>
    <n v="50"/>
    <n v="76"/>
    <n v="0"/>
    <n v="0"/>
    <m/>
    <n v="150"/>
    <n v="919284.00000000023"/>
    <n v="5850000"/>
    <n v="5.7851347550722263"/>
  </r>
  <r>
    <n v="0"/>
    <n v="0"/>
    <n v="5"/>
    <n v="9"/>
    <s v="SPORTS"/>
    <x v="4"/>
    <s v="SMK-QF-07"/>
    <s v="SMK-QF-07SMKERF5518PK"/>
    <n v="3"/>
    <s v="SMK-QF-073"/>
    <s v="SMK-QF-073-SMKERF5518PINKOSM"/>
    <s v="SMK의류외518"/>
    <s v="SMK"/>
    <s v="14FW S"/>
    <m/>
    <s v="SMK"/>
    <s v="SUPER MASSIVE BOUND KIDS"/>
    <s v="F"/>
    <n v="5"/>
    <s v="ER"/>
    <s v="EARCAP"/>
    <s v="K"/>
    <n v="518"/>
    <n v="518"/>
    <s v="SMKERF5518"/>
    <n v="0.5"/>
    <s v="14FW SMB_14_FLAT_PK_N_KIDS"/>
    <s v="PK"/>
    <s v="PINK"/>
    <s v="SMKERF5518PK"/>
    <x v="0"/>
    <n v="0.5"/>
    <s v="겉감1:울50 폴리에스터50_x000a_겉감2:울50 폴리에스터50_x000a_겉감3:폴리에스터100_x000a_"/>
    <n v="1"/>
    <s v="OSM"/>
    <n v="250"/>
    <x v="2"/>
    <n v="7"/>
    <x v="7"/>
    <s v="M"/>
    <s v="CN"/>
    <x v="0"/>
    <n v="49000"/>
    <x v="2"/>
    <n v="4949.4949494949497"/>
    <n v="6811.2200000000012"/>
    <n v="1861.7250505050515"/>
    <n v="0"/>
    <n v="180"/>
    <n v="20"/>
    <n v="200"/>
    <n v="5.3"/>
    <n v="0"/>
    <d v="2014-05-12T00:00:00"/>
    <d v="1899-12-30T00:00:00"/>
    <d v="2014-08-25T00:00:00"/>
    <d v="2014-08-25T00:00:00"/>
    <d v="2014-09-16T00:00:00"/>
    <d v="1899-12-30T00:00:00"/>
    <d v="1899-12-30T00:00:00"/>
    <d v="1899-12-30T00:00:00"/>
    <d v="1899-12-30T00:00:00"/>
    <x v="2"/>
    <s v="확정 "/>
    <n v="250"/>
    <n v="0"/>
    <n v="0"/>
    <n v="0"/>
    <n v="0"/>
    <n v="0"/>
    <n v="250"/>
    <n v="1702805.0000000002"/>
    <n v="12250000"/>
    <n v="6.5400111206882956"/>
  </r>
  <r>
    <n v="0"/>
    <n v="0"/>
    <n v="5"/>
    <n v="9"/>
    <s v="SPORTS"/>
    <x v="4"/>
    <s v="SMK-QF-07"/>
    <s v="SMK-QF-07SMKERF5518PK"/>
    <n v="3"/>
    <s v="SMK-QF-073"/>
    <s v="SMK-QF-073-SMKERF5518PINKOML"/>
    <s v="SMK의류외518"/>
    <s v="SMK"/>
    <s v="14FW S"/>
    <m/>
    <s v="SMK"/>
    <s v="SUPER MASSIVE BOUND KIDS"/>
    <s v="F"/>
    <n v="5"/>
    <s v="ER"/>
    <s v="EARCAP"/>
    <s v="K"/>
    <n v="518"/>
    <n v="518"/>
    <s v="SMKERF5518"/>
    <n v="0.5"/>
    <s v="14FW SMB_14_FLAT_PK_N_KIDS"/>
    <s v="PK"/>
    <s v="PINK"/>
    <s v="SMKERF5518PK"/>
    <x v="0"/>
    <n v="0.5"/>
    <s v="겉감1:울50 폴리에스터50_x000a_겉감2:울50 폴리에스터50_x000a_겉감3:폴리에스터100_x000a_"/>
    <n v="1"/>
    <s v="OML"/>
    <n v="100"/>
    <x v="2"/>
    <n v="7"/>
    <x v="7"/>
    <s v="M"/>
    <s v="CN"/>
    <x v="0"/>
    <n v="49000"/>
    <x v="2"/>
    <n v="4949.4949494949497"/>
    <n v="6791.2200000000012"/>
    <n v="1841.7250505050515"/>
    <n v="0"/>
    <n v="180"/>
    <s v="\"/>
    <n v="180"/>
    <n v="5.3"/>
    <n v="0"/>
    <d v="2014-05-12T00:00:00"/>
    <d v="1899-12-30T00:00:00"/>
    <d v="2014-08-25T00:00:00"/>
    <d v="2014-08-25T00:00:00"/>
    <d v="2014-09-16T00:00:00"/>
    <d v="1899-12-30T00:00:00"/>
    <d v="1899-12-30T00:00:00"/>
    <d v="1899-12-30T00:00:00"/>
    <d v="1899-12-30T00:00:00"/>
    <x v="2"/>
    <s v="확정 "/>
    <n v="100"/>
    <n v="0"/>
    <n v="0"/>
    <n v="0"/>
    <n v="0"/>
    <n v="0"/>
    <n v="100"/>
    <n v="679122.00000000012"/>
    <n v="4900000"/>
    <n v="6.5592713158246285"/>
  </r>
  <r>
    <n v="0"/>
    <n v="0"/>
    <n v="5"/>
    <n v="9"/>
    <s v="SPORTS"/>
    <x v="4"/>
    <s v="SMK-QF-07"/>
    <s v="SMK-QF-07SMKERF5520BK"/>
    <n v="4"/>
    <s v="SMK-QF-074"/>
    <s v="SMK-QF-074-SMKERF5520BLACKOSM"/>
    <s v="SMK의류외520"/>
    <s v="SMK"/>
    <s v="14FW S"/>
    <m/>
    <s v="SMK"/>
    <s v="SUPER MASSIVE BOUND KIDS"/>
    <s v="F"/>
    <n v="5"/>
    <s v="ER"/>
    <s v="EARCAP"/>
    <s v="K"/>
    <n v="520"/>
    <n v="520"/>
    <s v="SMKERF5520"/>
    <n v="0.5"/>
    <s v="14FW SMB_33_FLAT_BK_N_KIDS"/>
    <s v="BK"/>
    <s v="BLACK"/>
    <s v="SMKERF5520BK"/>
    <x v="0"/>
    <n v="0.5"/>
    <s v="겉감1:폴리에스터100_x000a_겉감2:폴리우레탄100_x000a_겉감3:폴리에스터100"/>
    <n v="1"/>
    <s v="OSM"/>
    <n v="250"/>
    <x v="2"/>
    <n v="7"/>
    <x v="7"/>
    <s v="M"/>
    <s v="CN"/>
    <x v="0"/>
    <n v="49000"/>
    <x v="2"/>
    <n v="4949.4949494949497"/>
    <n v="6187.52"/>
    <n v="1238.0250505050508"/>
    <n v="0"/>
    <n v="180"/>
    <n v="20"/>
    <n v="200"/>
    <n v="4.8"/>
    <n v="0"/>
    <d v="2014-05-12T00:00:00"/>
    <d v="1899-12-30T00:00:00"/>
    <d v="2014-08-25T00:00:00"/>
    <d v="2014-08-25T00:00:00"/>
    <d v="2014-09-03T00:00:00"/>
    <d v="2014-09-16T00:00:00"/>
    <d v="1899-12-30T00:00:00"/>
    <d v="1899-12-30T00:00:00"/>
    <d v="1899-12-30T00:00:00"/>
    <x v="2"/>
    <s v="확정 "/>
    <n v="199"/>
    <n v="50"/>
    <n v="0"/>
    <n v="0"/>
    <n v="0"/>
    <n v="0"/>
    <n v="250"/>
    <n v="1546880"/>
    <n v="12250000"/>
    <n v="7.1992421108060318"/>
  </r>
  <r>
    <n v="0"/>
    <n v="0"/>
    <n v="5"/>
    <n v="9"/>
    <s v="SPORTS"/>
    <x v="4"/>
    <s v="SMK-QF-07"/>
    <s v="SMK-QF-07SMKERF5520BK"/>
    <n v="4"/>
    <s v="SMK-QF-074"/>
    <s v="SMK-QF-074-SMKERF5520BLACKOML"/>
    <s v="SMK의류외520"/>
    <s v="SMK"/>
    <s v="14FW S"/>
    <m/>
    <s v="SMK"/>
    <s v="SUPER MASSIVE BOUND KIDS"/>
    <s v="F"/>
    <n v="5"/>
    <s v="ER"/>
    <s v="EARCAP"/>
    <s v="K"/>
    <n v="520"/>
    <n v="520"/>
    <s v="SMKERF5520"/>
    <n v="0.5"/>
    <s v="14FW SMB_33_FLAT_BK_N_KIDS"/>
    <s v="BK"/>
    <s v="BLACK"/>
    <s v="SMKERF5520BK"/>
    <x v="0"/>
    <n v="0.5"/>
    <s v="겉감1:폴리에스터100_x000a_겉감2:폴리우레탄100_x000a_겉감3:폴리에스터100"/>
    <n v="1"/>
    <s v="OML"/>
    <n v="100"/>
    <x v="2"/>
    <n v="7"/>
    <x v="7"/>
    <s v="M"/>
    <s v="CN"/>
    <x v="0"/>
    <n v="49000"/>
    <x v="2"/>
    <n v="4949.4949494949497"/>
    <n v="6187.52"/>
    <n v="1238.0250505050508"/>
    <n v="0"/>
    <n v="180"/>
    <n v="20"/>
    <n v="200"/>
    <n v="4.8"/>
    <n v="0"/>
    <d v="2014-05-12T00:00:00"/>
    <d v="1899-12-30T00:00:00"/>
    <d v="2014-08-25T00:00:00"/>
    <d v="2014-08-25T00:00:00"/>
    <d v="2014-09-03T00:00:00"/>
    <d v="2014-09-16T00:00:00"/>
    <d v="1899-12-30T00:00:00"/>
    <d v="1899-12-30T00:00:00"/>
    <d v="1899-12-30T00:00:00"/>
    <x v="2"/>
    <s v="확정 "/>
    <n v="100"/>
    <n v="0"/>
    <n v="0"/>
    <n v="0"/>
    <n v="0"/>
    <n v="0"/>
    <n v="100"/>
    <n v="618752"/>
    <n v="4900000"/>
    <n v="7.1992421108060327"/>
  </r>
  <r>
    <n v="0"/>
    <n v="0"/>
    <n v="5"/>
    <n v="9"/>
    <s v="SPORTS"/>
    <x v="4"/>
    <s v="SMK-QF-07"/>
    <s v="SMK-QF-07SMKERF5521NY"/>
    <n v="5"/>
    <s v="SMK-QF-075"/>
    <s v="SMK-QF-075-SMKERF5521NAVYOSM"/>
    <s v="SMK의류외521"/>
    <s v="SMK"/>
    <s v="14FW S"/>
    <m/>
    <s v="SMK"/>
    <s v="SUPER MASSIVE BOUND KIDS"/>
    <s v="F"/>
    <n v="5"/>
    <s v="ER"/>
    <s v="EARCAP"/>
    <s v="K"/>
    <n v="521"/>
    <n v="521"/>
    <s v="SMKERF5521"/>
    <n v="0.5"/>
    <s v="14FW SMB_25_FLAT_NV_N_KIDS"/>
    <s v="NY"/>
    <s v="NAVY"/>
    <s v="SMKERF5521NY"/>
    <x v="0"/>
    <n v="0.5"/>
    <s v="겉감1:울60 폴리에스터40_x000a_겉감2:폴리에스터100_x000a_겉감3:폴리에스터100"/>
    <n v="1"/>
    <s v="OSM"/>
    <n v="80"/>
    <x v="2"/>
    <n v="7"/>
    <x v="7"/>
    <s v="M"/>
    <s v="CN"/>
    <x v="0"/>
    <n v="49000"/>
    <x v="2"/>
    <n v="4949.4949494949497"/>
    <n v="6686.4800000000014"/>
    <n v="1736.9850505050517"/>
    <n v="0"/>
    <n v="180"/>
    <n v="20"/>
    <n v="200"/>
    <n v="5.2"/>
    <n v="0"/>
    <d v="2014-05-12T00:00:00"/>
    <d v="1899-12-30T00:00:00"/>
    <d v="2014-08-25T00:00:00"/>
    <d v="2014-08-25T00:00:00"/>
    <d v="2014-09-03T00:00:00"/>
    <d v="1899-12-30T00:00:00"/>
    <d v="1899-12-30T00:00:00"/>
    <d v="1899-12-30T00:00:00"/>
    <d v="1899-12-30T00:00:00"/>
    <x v="2"/>
    <s v="확정 "/>
    <n v="80"/>
    <n v="0"/>
    <n v="0"/>
    <n v="0"/>
    <n v="0"/>
    <n v="0"/>
    <n v="80"/>
    <n v="534918.40000000014"/>
    <n v="3920000"/>
    <n v="6.6620186623536641"/>
  </r>
  <r>
    <n v="0"/>
    <n v="0"/>
    <n v="5"/>
    <n v="9"/>
    <s v="SPORTS"/>
    <x v="4"/>
    <s v="SMK-QF-07"/>
    <s v="SMK-QF-07SMKERF5521NY"/>
    <n v="5"/>
    <s v="SMK-QF-075"/>
    <s v="SMK-QF-075-SMKERF5521NAVYOML"/>
    <s v="SMK의류외521"/>
    <s v="SMK"/>
    <s v="14FW S"/>
    <m/>
    <s v="SMK"/>
    <s v="SUPER MASSIVE BOUND KIDS"/>
    <s v="F"/>
    <n v="5"/>
    <s v="ER"/>
    <s v="EARCAP"/>
    <s v="K"/>
    <n v="521"/>
    <n v="521"/>
    <s v="SMKERF5521"/>
    <n v="0.5"/>
    <s v="14FW SMB_25_FLAT_NV_N_KIDS"/>
    <s v="NY"/>
    <s v="NAVY"/>
    <s v="SMKERF5521NY"/>
    <x v="0"/>
    <n v="0.5"/>
    <s v="겉감1:울60 폴리에스터40_x000a_겉감2:폴리에스터100_x000a_겉감3:폴리에스터100"/>
    <n v="1"/>
    <s v="OML"/>
    <n v="40"/>
    <x v="2"/>
    <n v="7"/>
    <x v="7"/>
    <s v="M"/>
    <s v="CN"/>
    <x v="0"/>
    <n v="49000"/>
    <x v="2"/>
    <n v="4949.4949494949497"/>
    <n v="6686.4800000000014"/>
    <n v="1736.9850505050517"/>
    <n v="0"/>
    <n v="180"/>
    <n v="20"/>
    <n v="200"/>
    <n v="5.2"/>
    <n v="0"/>
    <d v="2014-05-12T00:00:00"/>
    <d v="1899-12-30T00:00:00"/>
    <d v="2014-08-25T00:00:00"/>
    <d v="2014-08-25T00:00:00"/>
    <d v="2014-09-03T00:00:00"/>
    <d v="1899-12-30T00:00:00"/>
    <d v="1899-12-30T00:00:00"/>
    <d v="1899-12-30T00:00:00"/>
    <d v="1899-12-30T00:00:00"/>
    <x v="2"/>
    <s v="확정 "/>
    <n v="40"/>
    <n v="0"/>
    <n v="0"/>
    <n v="0"/>
    <n v="0"/>
    <n v="0"/>
    <n v="40"/>
    <n v="267459.20000000007"/>
    <n v="1960000"/>
    <n v="6.6620186623536641"/>
  </r>
  <r>
    <n v="0"/>
    <n v="0"/>
    <n v="5"/>
    <n v="9"/>
    <s v="SPORTS"/>
    <x v="4"/>
    <s v="SMK-QF-07"/>
    <s v="SMK-QF-07SMKERF5522RE"/>
    <n v="6"/>
    <s v="SMK-QF-076"/>
    <s v="SMK-QF-076-SMKERF5522REDOSM"/>
    <s v="SMK의류외522"/>
    <s v="SMK"/>
    <s v="14FW S"/>
    <m/>
    <s v="SMK"/>
    <s v="SUPER MASSIVE BOUND KIDS"/>
    <s v="F"/>
    <n v="5"/>
    <s v="ER"/>
    <s v="EARCAP"/>
    <s v="K"/>
    <n v="522"/>
    <n v="522"/>
    <s v="SMKERF5522"/>
    <n v="0.5"/>
    <s v="14FW SMB_26_FLAT_RD_N_KIDS"/>
    <s v="RE"/>
    <s v="RED"/>
    <s v="SMKERF5522RE"/>
    <x v="0"/>
    <n v="0.5"/>
    <s v="겉감1:울60 폴리에스터40_x000a_겉감2:폴리에스터100_x000a_겉감3:폴리에스터100"/>
    <n v="1"/>
    <s v="OSM"/>
    <n v="80"/>
    <x v="2"/>
    <n v="7"/>
    <x v="7"/>
    <s v="M"/>
    <s v="CN"/>
    <x v="0"/>
    <n v="49000"/>
    <x v="2"/>
    <n v="4949.4949494949497"/>
    <n v="6686.4800000000014"/>
    <n v="1736.9850505050517"/>
    <n v="0"/>
    <n v="180"/>
    <n v="20"/>
    <n v="200"/>
    <n v="5.2"/>
    <n v="0"/>
    <d v="2014-05-12T00:00:00"/>
    <d v="1899-12-30T00:00:00"/>
    <d v="2014-08-25T00:00:00"/>
    <d v="2014-08-25T00:00:00"/>
    <d v="2014-09-03T00:00:00"/>
    <d v="1899-12-30T00:00:00"/>
    <d v="1899-12-30T00:00:00"/>
    <d v="1899-12-30T00:00:00"/>
    <d v="1899-12-30T00:00:00"/>
    <x v="2"/>
    <s v="확정 "/>
    <n v="80"/>
    <n v="0"/>
    <n v="0"/>
    <n v="0"/>
    <n v="0"/>
    <n v="0"/>
    <n v="80"/>
    <n v="534918.40000000014"/>
    <n v="3920000"/>
    <n v="6.6620186623536641"/>
  </r>
  <r>
    <n v="0"/>
    <n v="0"/>
    <n v="5"/>
    <n v="9"/>
    <s v="SPORTS"/>
    <x v="4"/>
    <s v="SMK-QF-07"/>
    <s v="SMK-QF-07SMKERF5522RE"/>
    <n v="6"/>
    <s v="SMK-QF-076"/>
    <s v="SMK-QF-076-SMKERF5522REDOML"/>
    <s v="SMK의류외522"/>
    <s v="SMK"/>
    <s v="14FW S"/>
    <m/>
    <s v="SMK"/>
    <s v="SUPER MASSIVE BOUND KIDS"/>
    <s v="F"/>
    <n v="5"/>
    <s v="ER"/>
    <s v="EARCAP"/>
    <s v="K"/>
    <n v="522"/>
    <n v="522"/>
    <s v="SMKERF5522"/>
    <n v="0.5"/>
    <s v="14FW SMB_26_FLAT_RD_N_KIDS"/>
    <s v="RE"/>
    <s v="RED"/>
    <s v="SMKERF5522RE"/>
    <x v="0"/>
    <n v="0.5"/>
    <s v="겉감1:울60 폴리에스터40_x000a_겉감2:폴리에스터100_x000a_겉감3:폴리에스터100"/>
    <n v="1"/>
    <s v="OML"/>
    <n v="40"/>
    <x v="2"/>
    <n v="7"/>
    <x v="7"/>
    <s v="M"/>
    <s v="CN"/>
    <x v="0"/>
    <n v="49000"/>
    <x v="2"/>
    <n v="4949.4949494949497"/>
    <n v="6686.4800000000014"/>
    <n v="1736.9850505050517"/>
    <n v="0"/>
    <n v="180"/>
    <n v="20"/>
    <n v="200"/>
    <n v="5.2"/>
    <n v="0"/>
    <d v="2014-05-12T00:00:00"/>
    <d v="1899-12-30T00:00:00"/>
    <d v="2014-08-25T00:00:00"/>
    <d v="2014-08-25T00:00:00"/>
    <d v="2014-09-03T00:00:00"/>
    <d v="1899-12-30T00:00:00"/>
    <d v="1899-12-30T00:00:00"/>
    <d v="1899-12-30T00:00:00"/>
    <d v="1899-12-30T00:00:00"/>
    <x v="2"/>
    <s v="확정 "/>
    <n v="40"/>
    <n v="0"/>
    <n v="0"/>
    <n v="0"/>
    <n v="0"/>
    <n v="0"/>
    <n v="40"/>
    <n v="267459.20000000007"/>
    <n v="1960000"/>
    <n v="6.6620186623536641"/>
  </r>
  <r>
    <n v="0"/>
    <n v="0"/>
    <s v=""/>
    <s v=""/>
    <s v=""/>
    <x v="1"/>
    <s v=""/>
    <s v=""/>
    <n v="0"/>
    <s v="0"/>
    <s v="0-"/>
    <n v="0"/>
    <s v="TTL"/>
    <s v=""/>
    <s v="SMK-QF-07 TTL"/>
    <m/>
    <s v=""/>
    <s v=""/>
    <s v=""/>
    <m/>
    <s v=""/>
    <m/>
    <m/>
    <s v=""/>
    <s v=""/>
    <n v="6"/>
    <m/>
    <s v=""/>
    <m/>
    <s v=""/>
    <x v="0"/>
    <n v="6"/>
    <n v="0"/>
    <n v="1"/>
    <m/>
    <n v="1840"/>
    <x v="1"/>
    <m/>
    <x v="1"/>
    <m/>
    <m/>
    <x v="1"/>
    <n v="0"/>
    <x v="1"/>
    <m/>
    <m/>
    <m/>
    <m/>
    <n v="0"/>
    <s v=""/>
    <n v="0"/>
    <n v="8698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639"/>
    <n v="100"/>
    <n v="76"/>
    <n v="0"/>
    <n v="0"/>
    <n v="0"/>
    <n v="1840"/>
    <n v="11413885.199999999"/>
    <n v="81160000"/>
    <n v="6.4642158992293153"/>
  </r>
  <r>
    <n v="0"/>
    <n v="0"/>
    <n v="5"/>
    <n v="10"/>
    <s v="SPORTS"/>
    <x v="4"/>
    <s v="SMK-동일모자-18"/>
    <s v="SMK-동일모자-18SMKBAF5526GY"/>
    <n v="1"/>
    <s v="SMK-동일모자-181"/>
    <s v="SMK-동일모자-181-SMKBAF5526GREYOSM"/>
    <s v="SMK의류외526"/>
    <s v="SMK"/>
    <s v="14FW S"/>
    <m/>
    <s v="SMK"/>
    <s v="SUPER MASSIVE BOUND KIDS"/>
    <s v="F"/>
    <n v="5"/>
    <s v="BA"/>
    <s v="BASIC CAP"/>
    <s v="K"/>
    <n v="526"/>
    <n v="526"/>
    <s v="SMKBAF5526"/>
    <n v="0.5"/>
    <s v="14FW SMB_20_CURVED_GY_N_KIDS"/>
    <s v="GY"/>
    <s v="GREY"/>
    <s v="SMKBAF5526GY"/>
    <x v="0"/>
    <n v="0.5"/>
    <n v="0"/>
    <n v="1"/>
    <s v="OSM"/>
    <n v="100"/>
    <x v="5"/>
    <n v="18"/>
    <x v="13"/>
    <s v="M"/>
    <s v="CN"/>
    <x v="0"/>
    <n v="43000"/>
    <x v="2"/>
    <n v="6515.151515151515"/>
    <n v="6686.4800000000014"/>
    <n v="171.32848484848637"/>
    <n v="0"/>
    <n v="180"/>
    <n v="20"/>
    <n v="200"/>
    <n v="5.2"/>
    <n v="0"/>
    <d v="2014-05-12T00:00:00"/>
    <d v="1899-12-30T00:00:00"/>
    <d v="2014-07-28T00:00:00"/>
    <d v="2014-07-28T00:00:00"/>
    <d v="2014-10-20T00:00:00"/>
    <d v="1899-12-30T00:00:00"/>
    <d v="1899-12-30T00:00:00"/>
    <d v="1899-12-30T00:00:00"/>
    <d v="1899-12-30T00:00:00"/>
    <x v="2"/>
    <s v="확정 "/>
    <n v="101"/>
    <n v="0"/>
    <n v="0"/>
    <n v="0"/>
    <n v="0"/>
    <n v="0"/>
    <n v="100"/>
    <n v="668648.00000000012"/>
    <n v="4300000"/>
    <n v="5.846261275126686"/>
  </r>
  <r>
    <n v="0"/>
    <n v="0"/>
    <n v="5"/>
    <n v="10"/>
    <s v="SPORTS"/>
    <x v="4"/>
    <s v="SMK-동일모자-18"/>
    <s v="SMK-동일모자-18SMKBAF5526GY"/>
    <n v="1"/>
    <s v="SMK-동일모자-181"/>
    <s v="SMK-동일모자-181-SMKBAF5526GREYOML"/>
    <s v="SMK의류외526"/>
    <s v="SMK"/>
    <s v="14FW S"/>
    <m/>
    <s v="SMK"/>
    <s v="SUPER MASSIVE BOUND KIDS"/>
    <s v="F"/>
    <n v="5"/>
    <s v="BA"/>
    <s v="BASIC CAP"/>
    <s v="K"/>
    <n v="526"/>
    <n v="526"/>
    <s v="SMKBAF5526"/>
    <n v="0.5"/>
    <s v="14FW SMB_20_CURVED_GY_N_KIDS"/>
    <s v="GY"/>
    <s v="GREY"/>
    <s v="SMKBAF5526GY"/>
    <x v="0"/>
    <n v="0.5"/>
    <n v="0"/>
    <n v="1"/>
    <s v="OML"/>
    <n v="50"/>
    <x v="5"/>
    <n v="18"/>
    <x v="13"/>
    <s v="M"/>
    <s v="CN"/>
    <x v="0"/>
    <n v="43000"/>
    <x v="2"/>
    <n v="6515.151515151515"/>
    <n v="6686.4800000000014"/>
    <n v="171.32848484848637"/>
    <n v="0"/>
    <n v="180"/>
    <n v="20"/>
    <n v="200"/>
    <n v="5.2"/>
    <n v="0"/>
    <d v="2014-05-12T00:00:00"/>
    <d v="1899-12-30T00:00:00"/>
    <d v="2014-07-28T00:00:00"/>
    <d v="2014-07-28T00:00:00"/>
    <d v="2014-10-20T00:00:00"/>
    <d v="1899-12-30T00:00:00"/>
    <d v="1899-12-30T00:00:00"/>
    <d v="1899-12-30T00:00:00"/>
    <d v="1899-12-30T00:00:00"/>
    <x v="2"/>
    <s v="확정 "/>
    <n v="50"/>
    <n v="0"/>
    <n v="0"/>
    <n v="0"/>
    <n v="0"/>
    <n v="0"/>
    <n v="50"/>
    <n v="334324.00000000006"/>
    <n v="2150000"/>
    <n v="5.846261275126686"/>
  </r>
  <r>
    <n v="0"/>
    <n v="0"/>
    <s v=""/>
    <s v=""/>
    <s v=""/>
    <x v="1"/>
    <s v=""/>
    <s v=""/>
    <n v="0"/>
    <s v="0"/>
    <s v="0-"/>
    <n v="0"/>
    <s v="TTL"/>
    <s v=""/>
    <s v="SMK-동일모자-18 TTL"/>
    <m/>
    <s v=""/>
    <s v=""/>
    <s v=""/>
    <m/>
    <s v=""/>
    <m/>
    <m/>
    <s v=""/>
    <s v=""/>
    <n v="1"/>
    <m/>
    <s v=""/>
    <m/>
    <s v=""/>
    <x v="0"/>
    <n v="1"/>
    <n v="0"/>
    <n v="1"/>
    <m/>
    <n v="150"/>
    <x v="1"/>
    <m/>
    <x v="1"/>
    <m/>
    <m/>
    <x v="1"/>
    <n v="0"/>
    <x v="1"/>
    <m/>
    <m/>
    <m/>
    <m/>
    <n v="0"/>
    <s v=""/>
    <n v="0"/>
    <n v="78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51"/>
    <n v="0"/>
    <n v="0"/>
    <n v="0"/>
    <n v="0"/>
    <n v="0"/>
    <n v="150"/>
    <n v="1002972.0000000002"/>
    <n v="6450000"/>
    <n v="5.8462612751266851"/>
  </r>
  <r>
    <n v="0"/>
    <n v="0"/>
    <n v="5"/>
    <n v="10"/>
    <s v="SPORTS"/>
    <x v="4"/>
    <s v="SMK-동일모자-19"/>
    <s v="SMK-동일모자-19SMKERF5529NY"/>
    <n v="1"/>
    <s v="SMK-동일모자-191"/>
    <s v="SMK-동일모자-191-SMKERF5529NAVYOSM"/>
    <s v="SMK의류외529"/>
    <s v="SMK"/>
    <s v="14FW S"/>
    <m/>
    <s v="SMK"/>
    <s v="SUPER MASSIVE BOUND KIDS"/>
    <s v="F"/>
    <n v="5"/>
    <s v="ER"/>
    <s v="EARCAP"/>
    <s v="K"/>
    <n v="529"/>
    <n v="529"/>
    <s v="SMKERF5529"/>
    <n v="0.5"/>
    <s v="14FW SMB_12_CURVED_NV_N_KIDS"/>
    <s v="NY"/>
    <s v="NAVY"/>
    <s v="SMKERF5529NY"/>
    <x v="0"/>
    <n v="0.5"/>
    <n v="0"/>
    <n v="1"/>
    <s v="OSM"/>
    <n v="80"/>
    <x v="5"/>
    <n v="19"/>
    <x v="14"/>
    <s v="M"/>
    <s v="CN"/>
    <x v="0"/>
    <n v="45000"/>
    <x v="2"/>
    <n v="6818.1818181818171"/>
    <n v="8807.0600000000013"/>
    <n v="1988.8781818181842"/>
    <n v="0"/>
    <n v="180"/>
    <n v="20"/>
    <n v="200"/>
    <n v="6.9"/>
    <n v="0"/>
    <d v="2014-05-12T00:00:00"/>
    <d v="1899-12-30T00:00:00"/>
    <d v="2014-08-25T00:00:00"/>
    <d v="2014-08-25T00:00:00"/>
    <d v="2014-10-20T00:00:00"/>
    <d v="1899-12-30T00:00:00"/>
    <d v="1899-12-30T00:00:00"/>
    <d v="1899-12-30T00:00:00"/>
    <d v="1899-12-30T00:00:00"/>
    <x v="2"/>
    <s v="확정 "/>
    <n v="81"/>
    <n v="0"/>
    <n v="0"/>
    <n v="0"/>
    <n v="0"/>
    <n v="0"/>
    <n v="80"/>
    <n v="704564.8"/>
    <n v="3600000"/>
    <n v="4.6450337466862841"/>
  </r>
  <r>
    <n v="0"/>
    <n v="0"/>
    <n v="5"/>
    <n v="10"/>
    <s v="SPORTS"/>
    <x v="4"/>
    <s v="SMK-동일모자-19"/>
    <s v="SMK-동일모자-19SMKERF5529NY"/>
    <n v="1"/>
    <s v="SMK-동일모자-191"/>
    <s v="SMK-동일모자-191-SMKERF5529NAVYOML"/>
    <s v="SMK의류외529"/>
    <s v="SMK"/>
    <s v="14FW S"/>
    <m/>
    <s v="SMK"/>
    <s v="SUPER MASSIVE BOUND KIDS"/>
    <s v="F"/>
    <n v="5"/>
    <s v="ER"/>
    <s v="EARCAP"/>
    <s v="K"/>
    <n v="529"/>
    <n v="529"/>
    <s v="SMKERF5529"/>
    <n v="0.5"/>
    <s v="14FW SMB_12_CURVED_NV_N_KIDS"/>
    <s v="NY"/>
    <s v="NAVY"/>
    <s v="SMKERF5529NY"/>
    <x v="0"/>
    <n v="0.5"/>
    <n v="0"/>
    <n v="1"/>
    <s v="OML"/>
    <n v="40"/>
    <x v="5"/>
    <n v="19"/>
    <x v="14"/>
    <s v="M"/>
    <s v="CN"/>
    <x v="0"/>
    <n v="45000"/>
    <x v="2"/>
    <n v="6818.1818181818171"/>
    <n v="8807.0600000000013"/>
    <n v="1988.8781818181842"/>
    <n v="0"/>
    <n v="180"/>
    <n v="20"/>
    <n v="200"/>
    <n v="6.9"/>
    <n v="0"/>
    <d v="2014-05-12T00:00:00"/>
    <d v="1899-12-30T00:00:00"/>
    <d v="2014-08-25T00:00:00"/>
    <d v="2014-08-25T00:00:00"/>
    <d v="2014-10-20T00:00:00"/>
    <d v="1899-12-30T00:00:00"/>
    <d v="1899-12-30T00:00:00"/>
    <d v="1899-12-30T00:00:00"/>
    <d v="1899-12-30T00:00:00"/>
    <x v="2"/>
    <s v="확정 "/>
    <n v="44"/>
    <n v="0"/>
    <n v="0"/>
    <n v="0"/>
    <n v="0"/>
    <n v="0"/>
    <n v="40"/>
    <n v="352282.4"/>
    <n v="1800000"/>
    <n v="4.6450337466862841"/>
  </r>
  <r>
    <n v="0"/>
    <n v="0"/>
    <s v=""/>
    <s v=""/>
    <s v=""/>
    <x v="1"/>
    <s v=""/>
    <s v=""/>
    <n v="0"/>
    <s v="0"/>
    <s v="0-"/>
    <n v="0"/>
    <s v="TTL"/>
    <s v=""/>
    <s v="SMK-동일모자-19 TTL"/>
    <m/>
    <s v=""/>
    <s v=""/>
    <s v=""/>
    <m/>
    <s v=""/>
    <m/>
    <m/>
    <s v=""/>
    <s v=""/>
    <n v="1"/>
    <m/>
    <s v=""/>
    <m/>
    <s v=""/>
    <x v="0"/>
    <n v="1"/>
    <n v="0"/>
    <n v="1"/>
    <m/>
    <n v="120"/>
    <x v="1"/>
    <m/>
    <x v="1"/>
    <m/>
    <m/>
    <x v="1"/>
    <n v="0"/>
    <x v="1"/>
    <m/>
    <m/>
    <m/>
    <m/>
    <m/>
    <s v=""/>
    <n v="0"/>
    <n v="828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25"/>
    <n v="0"/>
    <n v="0"/>
    <n v="0"/>
    <n v="0"/>
    <n v="0"/>
    <n v="120"/>
    <n v="1056847.2000000002"/>
    <n v="5400000"/>
    <n v="4.6450337466862832"/>
  </r>
  <r>
    <n v="0"/>
    <n v="0"/>
    <n v="5"/>
    <n v="6"/>
    <s v="SPORTS"/>
    <x v="4"/>
    <s v="SMK-성진-08"/>
    <s v="SMK-성진-08SMKFIF3705BK"/>
    <n v="1"/>
    <s v="SMK-성진-081"/>
    <s v="SMK-성진-081-SMKFIF3705BLACKOSM"/>
    <s v="SMK의류외705"/>
    <s v="SMK"/>
    <s v="13SS S"/>
    <m/>
    <s v="SMK"/>
    <s v="SUPER MASSIVE BOUND KIDS"/>
    <s v="F"/>
    <s v="3"/>
    <s v="FI"/>
    <s v="FITTED CAP"/>
    <s v="K"/>
    <n v="705"/>
    <n v="705"/>
    <s v="SMKFIF3705"/>
    <n v="0.33333333333333331"/>
    <s v="13SS SMB CAP_01_FLAT_BK"/>
    <s v="BK"/>
    <s v="BLACK"/>
    <s v="SMKFIF3705BK"/>
    <x v="1"/>
    <n v="0.33333333333333331"/>
    <n v="0"/>
    <n v="1"/>
    <s v="OSM"/>
    <n v="200"/>
    <x v="7"/>
    <n v="8"/>
    <x v="15"/>
    <s v="M"/>
    <s v="BG"/>
    <x v="0"/>
    <n v="43000"/>
    <x v="8"/>
    <n v="6515.151515151515"/>
    <n v="7063.75"/>
    <n v="548.59848484848499"/>
    <n v="0"/>
    <n v="980"/>
    <n v="20"/>
    <n v="1000"/>
    <n v="5.25"/>
    <n v="0"/>
    <d v="2014-05-12T00:00:00"/>
    <d v="1899-12-30T00:00:00"/>
    <d v="2014-07-03T00:00:00"/>
    <d v="2014-07-03T00:00:00"/>
    <d v="2014-06-19T00:00:00"/>
    <d v="2014-07-02T00:00:00"/>
    <d v="1899-12-30T00:00:00"/>
    <d v="1899-12-30T00:00:00"/>
    <d v="1899-12-30T00:00:00"/>
    <x v="2"/>
    <s v="확정 "/>
    <n v="0"/>
    <n v="200"/>
    <n v="0"/>
    <n v="0"/>
    <n v="0"/>
    <n v="0"/>
    <n v="200"/>
    <n v="1412750"/>
    <n v="8600000"/>
    <n v="5.5340165055259725"/>
  </r>
  <r>
    <n v="0"/>
    <n v="0"/>
    <n v="5"/>
    <n v="6"/>
    <s v="SPORTS"/>
    <x v="4"/>
    <s v="SMK-성진-08"/>
    <s v="SMK-성진-08SMKFIF3705BK"/>
    <n v="1"/>
    <s v="SMK-성진-081"/>
    <s v="SMK-성진-081-SMKFIF3705BLACKOML"/>
    <s v="SMK의류외705"/>
    <s v="SMK"/>
    <s v="13SS S"/>
    <m/>
    <s v="SMK"/>
    <s v="SUPER MASSIVE BOUND KIDS"/>
    <s v="F"/>
    <s v="3"/>
    <s v="FI"/>
    <s v="FITTED CAP"/>
    <s v="K"/>
    <n v="705"/>
    <n v="705"/>
    <s v="SMKFIF3705"/>
    <n v="0.33333333333333331"/>
    <s v="13SS SMB CAP_01_FLAT_BK"/>
    <s v="BK"/>
    <s v="BLACK"/>
    <s v="SMKFIF3705BK"/>
    <x v="1"/>
    <n v="0.33333333333333331"/>
    <n v="0"/>
    <n v="1"/>
    <s v="OML"/>
    <n v="200"/>
    <x v="7"/>
    <n v="8"/>
    <x v="15"/>
    <s v="M"/>
    <s v="BG"/>
    <x v="0"/>
    <n v="43000"/>
    <x v="8"/>
    <n v="6515.151515151515"/>
    <n v="7063.75"/>
    <n v="548.59848484848499"/>
    <n v="0"/>
    <n v="980"/>
    <n v="20"/>
    <n v="1000"/>
    <n v="5.25"/>
    <n v="0"/>
    <d v="2014-05-12T00:00:00"/>
    <d v="1899-12-30T00:00:00"/>
    <d v="2014-07-03T00:00:00"/>
    <d v="2014-07-03T00:00:00"/>
    <d v="2014-06-19T00:00:00"/>
    <d v="2014-07-02T00:00:00"/>
    <d v="1899-12-30T00:00:00"/>
    <d v="1899-12-30T00:00:00"/>
    <d v="1899-12-30T00:00:00"/>
    <x v="2"/>
    <s v="확정 "/>
    <n v="0"/>
    <n v="200"/>
    <n v="0"/>
    <n v="0"/>
    <n v="0"/>
    <n v="0"/>
    <n v="200"/>
    <n v="1412750"/>
    <n v="8600000"/>
    <n v="5.5340165055259725"/>
  </r>
  <r>
    <n v="0"/>
    <n v="0"/>
    <n v="5"/>
    <n v="6"/>
    <s v="SPORTS"/>
    <x v="4"/>
    <s v="SMK-성진-08"/>
    <s v="SMK-성진-08SMKFIF3705BK"/>
    <n v="1"/>
    <s v="SMK-성진-081"/>
    <s v="SMK-성진-081-SMKFIF3705BLACKXSS"/>
    <s v="SMK의류외705"/>
    <s v="SMK"/>
    <s v="13SS S"/>
    <m/>
    <s v="SMK"/>
    <s v="SUPER MASSIVE BOUND KIDS"/>
    <s v="F"/>
    <s v="3"/>
    <s v="FI"/>
    <s v="FITTED CAP"/>
    <s v="K"/>
    <n v="705"/>
    <n v="705"/>
    <s v="SMKFIF3705"/>
    <n v="0.33333333333333331"/>
    <s v="13SS SMB CAP_01_FLAT_BK"/>
    <s v="BK"/>
    <s v="BLACK"/>
    <s v="SMKFIF3705BK"/>
    <x v="1"/>
    <n v="0.33333333333333331"/>
    <n v="0"/>
    <n v="1"/>
    <s v="XSS"/>
    <n v="1000"/>
    <x v="7"/>
    <n v="8"/>
    <x v="15"/>
    <s v="M"/>
    <s v="BG"/>
    <x v="0"/>
    <n v="43000"/>
    <x v="8"/>
    <n v="6515.151515151515"/>
    <n v="6948.2500000000009"/>
    <n v="433.0984848484859"/>
    <n v="0"/>
    <n v="980"/>
    <n v="20"/>
    <n v="1000"/>
    <n v="5.15"/>
    <n v="0"/>
    <d v="2014-05-12T00:00:00"/>
    <d v="1899-12-30T00:00:00"/>
    <d v="2014-07-03T00:00:00"/>
    <d v="2014-07-03T00:00:00"/>
    <d v="2014-06-19T00:00:00"/>
    <d v="2014-07-02T00:00:00"/>
    <d v="1899-12-30T00:00:00"/>
    <d v="1899-12-30T00:00:00"/>
    <d v="1899-12-30T00:00:00"/>
    <x v="2"/>
    <s v="확정 "/>
    <n v="300"/>
    <n v="700"/>
    <n v="0"/>
    <n v="0"/>
    <n v="0"/>
    <n v="0"/>
    <n v="1000"/>
    <n v="6948250.0000000009"/>
    <n v="43000000"/>
    <n v="5.6260078567853897"/>
  </r>
  <r>
    <n v="0"/>
    <n v="0"/>
    <s v=""/>
    <s v=""/>
    <s v=""/>
    <x v="1"/>
    <s v=""/>
    <s v=""/>
    <n v="0"/>
    <s v="0"/>
    <s v="0-"/>
    <n v="0"/>
    <s v="TTL"/>
    <s v=""/>
    <s v="SMK-성진-08 TTL"/>
    <m/>
    <s v=""/>
    <s v=""/>
    <s v=""/>
    <m/>
    <s v=""/>
    <m/>
    <m/>
    <s v=""/>
    <s v=""/>
    <n v="1"/>
    <m/>
    <s v=""/>
    <m/>
    <s v=""/>
    <x v="0"/>
    <n v="1"/>
    <n v="0"/>
    <n v="1"/>
    <m/>
    <n v="1400"/>
    <x v="1"/>
    <m/>
    <x v="1"/>
    <m/>
    <m/>
    <x v="1"/>
    <n v="0"/>
    <x v="1"/>
    <m/>
    <m/>
    <m/>
    <m/>
    <m/>
    <m/>
    <n v="0"/>
    <n v="725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00"/>
    <n v="1100"/>
    <n v="0"/>
    <n v="0"/>
    <n v="0"/>
    <n v="0"/>
    <n v="1400"/>
    <n v="9773750"/>
    <n v="60200000"/>
    <n v="5.5994140148124032"/>
  </r>
  <r>
    <n v="0"/>
    <n v="0"/>
    <n v="6"/>
    <n v="7"/>
    <s v="SPORTS"/>
    <x v="4"/>
    <s v="SMK-성진-09"/>
    <s v="SMK-성진-09SMKBAF3729NY"/>
    <n v="1"/>
    <s v="SMK-성진-091"/>
    <s v="SMK-성진-091-SMKBAF3729NAVYXSS"/>
    <s v="SMK의류외729"/>
    <s v="SMK"/>
    <s v="13SS S"/>
    <m/>
    <s v="SMK"/>
    <s v="SUPER MASSIVE BOUND KIDS"/>
    <s v="F"/>
    <s v="3"/>
    <s v="BA"/>
    <s v="BASIC CAP"/>
    <s v="K"/>
    <n v="729"/>
    <n v="729"/>
    <s v="SMKBAF3729"/>
    <n v="0.33333333333333331"/>
    <s v="13SS SMB_23_CURVED_NY_KIDS"/>
    <s v="NY"/>
    <s v="NAVY"/>
    <s v="SMKBAF3729NY"/>
    <x v="1"/>
    <n v="0.33333333333333331"/>
    <n v="0"/>
    <n v="1"/>
    <s v="XSS"/>
    <n v="700"/>
    <x v="7"/>
    <n v="9"/>
    <x v="8"/>
    <s v="M"/>
    <s v="BG"/>
    <x v="0"/>
    <n v="45000"/>
    <x v="4"/>
    <n v="6818.1818181818171"/>
    <n v="6313"/>
    <n v="-505.18181818181711"/>
    <n v="0"/>
    <n v="980"/>
    <n v="20"/>
    <n v="1000"/>
    <n v="4.5999999999999996"/>
    <n v="0"/>
    <d v="2014-06-03T00:00:00"/>
    <d v="1899-12-30T00:00:00"/>
    <d v="2014-07-24T00:00:00"/>
    <d v="2014-07-24T00:00:00"/>
    <d v="2014-07-30T00:00:00"/>
    <d v="1899-12-30T00:00:00"/>
    <d v="1899-12-30T00:00:00"/>
    <d v="1899-12-30T00:00:00"/>
    <d v="1899-12-30T00:00:00"/>
    <x v="2"/>
    <s v="확정 "/>
    <n v="700"/>
    <n v="0"/>
    <n v="0"/>
    <n v="0"/>
    <n v="0"/>
    <n v="0"/>
    <n v="700"/>
    <n v="4419100"/>
    <n v="31500000"/>
    <n v="6.4801347868035659"/>
  </r>
  <r>
    <n v="0"/>
    <n v="0"/>
    <n v="6"/>
    <n v="7"/>
    <s v="SPORTS"/>
    <x v="4"/>
    <s v="SMK-성진-09"/>
    <s v="SMK-성진-09SMKBAF3729NY"/>
    <n v="1"/>
    <s v="SMK-성진-091"/>
    <s v="SMK-성진-091-SMKBAF3729NAVYOSM"/>
    <s v="SMK의류외729"/>
    <s v="SMK"/>
    <s v="13SS S"/>
    <m/>
    <s v="SMK"/>
    <s v="SUPER MASSIVE BOUND KIDS"/>
    <s v="F"/>
    <s v="3"/>
    <s v="BA"/>
    <s v="BASIC CAP"/>
    <s v="K"/>
    <n v="729"/>
    <n v="729"/>
    <s v="SMKBAF3729"/>
    <n v="0.33333333333333331"/>
    <s v="13SS SMB_23_CURVED_NY_KIDS"/>
    <s v="NY"/>
    <s v="NAVY"/>
    <s v="SMKBAF3729NY"/>
    <x v="1"/>
    <n v="0.33333333333333331"/>
    <n v="0"/>
    <n v="1"/>
    <s v="OSM"/>
    <n v="30"/>
    <x v="7"/>
    <n v="9"/>
    <x v="8"/>
    <s v="M"/>
    <s v="BG"/>
    <x v="0"/>
    <n v="45000"/>
    <x v="4"/>
    <n v="6818.1818181818171"/>
    <n v="6428.5000000000009"/>
    <n v="-389.6818181818162"/>
    <n v="0"/>
    <n v="980"/>
    <n v="20"/>
    <n v="1000"/>
    <n v="4.7"/>
    <n v="0"/>
    <d v="2014-06-03T00:00:00"/>
    <d v="1899-12-30T00:00:00"/>
    <d v="2014-07-24T00:00:00"/>
    <d v="2014-07-24T00:00:00"/>
    <d v="2014-07-30T00:00:00"/>
    <d v="1899-12-30T00:00:00"/>
    <d v="1899-12-30T00:00:00"/>
    <d v="1899-12-30T00:00:00"/>
    <d v="1899-12-30T00:00:00"/>
    <x v="2"/>
    <s v="확정 "/>
    <n v="30"/>
    <n v="0"/>
    <n v="0"/>
    <n v="0"/>
    <n v="0"/>
    <n v="0"/>
    <n v="30"/>
    <n v="192855.00000000003"/>
    <n v="1350000"/>
    <n v="6.363707071492712"/>
  </r>
  <r>
    <n v="0"/>
    <n v="0"/>
    <n v="6"/>
    <n v="7"/>
    <s v="SPORTS"/>
    <x v="4"/>
    <s v="SMK-성진-09"/>
    <s v="SMK-성진-09SMKBAF3729NY"/>
    <n v="1"/>
    <s v="SMK-성진-091"/>
    <s v="SMK-성진-091-SMKBAF3729NAVYOML"/>
    <s v="SMK의류외729"/>
    <s v="SMK"/>
    <s v="13SS S"/>
    <m/>
    <s v="SMK"/>
    <s v="SUPER MASSIVE BOUND KIDS"/>
    <s v="F"/>
    <s v="3"/>
    <s v="BA"/>
    <s v="BASIC CAP"/>
    <s v="K"/>
    <n v="729"/>
    <n v="729"/>
    <s v="SMKBAF3729"/>
    <n v="0.33333333333333331"/>
    <s v="13SS SMB_23_CURVED_NY_KIDS"/>
    <s v="NY"/>
    <s v="NAVY"/>
    <s v="SMKBAF3729NY"/>
    <x v="1"/>
    <n v="0.33333333333333331"/>
    <n v="0"/>
    <n v="1"/>
    <s v="OML"/>
    <n v="70"/>
    <x v="7"/>
    <n v="9"/>
    <x v="8"/>
    <s v="M"/>
    <s v="BG"/>
    <x v="0"/>
    <n v="45000"/>
    <x v="4"/>
    <n v="6818.1818181818171"/>
    <n v="6428.5000000000009"/>
    <n v="-389.6818181818162"/>
    <n v="0"/>
    <n v="980"/>
    <n v="20"/>
    <n v="1000"/>
    <n v="4.7"/>
    <n v="0"/>
    <d v="2014-06-03T00:00:00"/>
    <d v="1899-12-30T00:00:00"/>
    <d v="2014-07-24T00:00:00"/>
    <d v="2014-07-24T00:00:00"/>
    <d v="2014-07-30T00:00:00"/>
    <d v="1899-12-30T00:00:00"/>
    <d v="1899-12-30T00:00:00"/>
    <d v="1899-12-30T00:00:00"/>
    <d v="1899-12-30T00:00:00"/>
    <x v="2"/>
    <s v="확정 "/>
    <n v="70"/>
    <n v="0"/>
    <n v="0"/>
    <n v="0"/>
    <n v="0"/>
    <n v="0"/>
    <n v="70"/>
    <n v="449995.00000000006"/>
    <n v="3150000"/>
    <n v="6.363707071492712"/>
  </r>
  <r>
    <n v="0"/>
    <n v="0"/>
    <s v=""/>
    <s v=""/>
    <s v=""/>
    <x v="1"/>
    <s v=""/>
    <s v=""/>
    <n v="0"/>
    <s v="0"/>
    <s v="0-"/>
    <n v="0"/>
    <s v="TTL"/>
    <s v=""/>
    <s v="SMK-성진-09 TTL"/>
    <m/>
    <s v=""/>
    <s v=""/>
    <s v=""/>
    <m/>
    <s v=""/>
    <m/>
    <m/>
    <s v=""/>
    <s v=""/>
    <n v="1"/>
    <m/>
    <s v=""/>
    <m/>
    <s v=""/>
    <x v="0"/>
    <n v="1"/>
    <n v="0"/>
    <n v="1"/>
    <m/>
    <n v="800"/>
    <x v="1"/>
    <m/>
    <x v="1"/>
    <m/>
    <m/>
    <x v="1"/>
    <n v="0"/>
    <x v="1"/>
    <m/>
    <m/>
    <m/>
    <m/>
    <n v="0"/>
    <s v=""/>
    <n v="0"/>
    <n v="3689.9999999999995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m/>
    <n v="800"/>
    <n v="0"/>
    <n v="0"/>
    <n v="0"/>
    <n v="0"/>
    <n v="0"/>
    <n v="800"/>
    <n v="5061950"/>
    <n v="36000000"/>
    <n v="6.465348872919078"/>
  </r>
  <r>
    <n v="0"/>
    <n v="0"/>
    <n v="11"/>
    <n v="12"/>
    <s v="SPORTS"/>
    <x v="4"/>
    <s v="SMK-Y&amp;Y-09"/>
    <s v="SMK-Y&amp;Y-09SMKBEF5512RE"/>
    <n v="1"/>
    <s v="SMK-Y&amp;Y-091"/>
    <s v="SMK-Y&amp;Y-091-SMKBEF5512REDFRE"/>
    <s v="SMK의류외512"/>
    <s v="SMK"/>
    <s v="14FW S"/>
    <m/>
    <s v="SMK"/>
    <s v="SUPER MASSIVE BOUND KIDS"/>
    <s v="F"/>
    <n v="5"/>
    <s v="BE"/>
    <s v="BEANIE"/>
    <s v="K"/>
    <n v="512"/>
    <n v="512"/>
    <s v="SMKBEF5512"/>
    <n v="0"/>
    <s v="14FW SMB_12_KNIT_N_KIDS_RE"/>
    <s v="RE"/>
    <s v="RED"/>
    <s v="SMKBEF5512RE"/>
    <x v="1"/>
    <n v="0"/>
    <n v="0"/>
    <n v="1"/>
    <s v="FRE"/>
    <n v="100"/>
    <x v="6"/>
    <n v="9"/>
    <x v="8"/>
    <s v="M"/>
    <s v="CN"/>
    <x v="0"/>
    <n v="33000"/>
    <x v="7"/>
    <n v="4285.7142857142853"/>
    <n v="4311.0560000000005"/>
    <n v="25.34171428571517"/>
    <n v="0"/>
    <n v="0"/>
    <n v="20"/>
    <n v="20"/>
    <n v="3.44"/>
    <n v="0"/>
    <d v="2014-11-18T00:00:00"/>
    <d v="1899-12-30T00:00:00"/>
    <d v="2014-12-18T00:00:00"/>
    <d v="2014-12-24T00:00:00"/>
    <d v="2014-12-26T00:00:00"/>
    <d v="1899-12-30T00:00:00"/>
    <d v="1899-12-30T00:00:00"/>
    <d v="1899-12-30T00:00:00"/>
    <d v="1899-12-30T00:00:00"/>
    <x v="2"/>
    <s v="확정 "/>
    <n v="100"/>
    <n v="0"/>
    <n v="0"/>
    <n v="0"/>
    <n v="0"/>
    <n v="0"/>
    <n v="100"/>
    <n v="431105.60000000003"/>
    <n v="3300000"/>
    <n v="6.958851845116369"/>
  </r>
  <r>
    <n v="0"/>
    <n v="0"/>
    <s v=""/>
    <s v=""/>
    <s v=""/>
    <x v="1"/>
    <s v=""/>
    <s v=""/>
    <n v="0"/>
    <s v="0"/>
    <s v="0-"/>
    <n v="0"/>
    <s v="TTL"/>
    <s v=""/>
    <s v="SMK-Y&amp;Y-09 TTL"/>
    <m/>
    <s v=""/>
    <s v=""/>
    <s v=""/>
    <m/>
    <s v=""/>
    <s v="K"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m/>
    <n v="100"/>
    <n v="0"/>
    <n v="0"/>
    <n v="0"/>
    <n v="0"/>
    <n v="0"/>
    <n v="100"/>
    <n v="431105.60000000003"/>
    <n v="3300000"/>
    <n v="6.958851845116369"/>
  </r>
  <r>
    <n v="0"/>
    <n v="0"/>
    <n v="4"/>
    <n v="9"/>
    <n v="0"/>
    <x v="7"/>
    <s v="PNK-성진-02"/>
    <s v="PNK-성진-02PNKUMF5501RE"/>
    <n v="1"/>
    <s v="PNK-성진-021"/>
    <s v="PNK-성진-021-PNKUMF5501REDXSS"/>
    <s v="PNK의류외501"/>
    <s v="PNK"/>
    <s v="14FWPB"/>
    <m/>
    <s v="PNK"/>
    <s v="PLAY NEWYORK KIDS"/>
    <s v="F"/>
    <n v="5"/>
    <s v="UM"/>
    <s v="UMPIRE"/>
    <s v="K"/>
    <n v="501"/>
    <n v="501"/>
    <s v="PNKUMF5501"/>
    <n v="0.16666666666666666"/>
    <s v="14FWPB 06_FLAT_RE_KIDS"/>
    <s v="RE"/>
    <s v="RED"/>
    <s v="PNKUMF5501RE"/>
    <x v="0"/>
    <n v="0.33333333333333331"/>
    <n v="0"/>
    <n v="1"/>
    <s v="XSS"/>
    <n v="300"/>
    <x v="7"/>
    <n v="2"/>
    <x v="4"/>
    <s v="M"/>
    <s v="CN"/>
    <x v="0"/>
    <n v="53000"/>
    <x v="9"/>
    <n v="8030.3030303030291"/>
    <n v="6860.7000000000007"/>
    <n v="-1169.6030303030284"/>
    <m/>
    <m/>
    <m/>
    <n v="0"/>
    <n v="5.5"/>
    <m/>
    <d v="2014-04-03T00:00:00"/>
    <d v="1899-12-30T00:00:00"/>
    <d v="2014-08-01T00:00:00"/>
    <d v="2014-08-23T00:00:00"/>
    <d v="2014-09-01T00:00:00"/>
    <m/>
    <m/>
    <m/>
    <m/>
    <x v="0"/>
    <m/>
    <n v="300"/>
    <n v="0"/>
    <n v="0"/>
    <n v="0"/>
    <n v="0"/>
    <n v="0"/>
    <n v="300"/>
    <n v="2058210.0000000002"/>
    <n v="15900000"/>
    <n v="7.0228720366461399"/>
  </r>
  <r>
    <n v="0"/>
    <n v="0"/>
    <n v="4"/>
    <n v="9"/>
    <n v="0"/>
    <x v="7"/>
    <s v="PNK-성진-02"/>
    <s v="PNK-성진-02PNKUMF5501RE"/>
    <n v="1"/>
    <s v="PNK-성진-021"/>
    <s v="PNK-성진-021-PNKUMF5501REDOSM"/>
    <s v="PNK의류외501"/>
    <s v="PNK"/>
    <s v="14FWPB"/>
    <m/>
    <s v="PNK"/>
    <s v="PLAY NEWYORK KIDS"/>
    <s v="F"/>
    <n v="5"/>
    <s v="UM"/>
    <s v="UMPIRE"/>
    <s v="K"/>
    <n v="501"/>
    <n v="501"/>
    <s v="PNKUMF5501"/>
    <n v="0.16666666666666666"/>
    <s v="14FWPB 06_FLAT_RE_KIDS"/>
    <s v="RE"/>
    <s v="RED"/>
    <s v="PNKUMF5501RE"/>
    <x v="0"/>
    <n v="0.33333333333333331"/>
    <n v="0"/>
    <n v="1"/>
    <s v="OSM"/>
    <n v="70"/>
    <x v="7"/>
    <n v="2"/>
    <x v="4"/>
    <s v="M"/>
    <s v="CN"/>
    <x v="0"/>
    <n v="53000"/>
    <x v="9"/>
    <n v="8030.3030303030291"/>
    <n v="6985.4400000000005"/>
    <n v="-1044.8630303030286"/>
    <n v="0"/>
    <n v="0"/>
    <s v=""/>
    <n v="0"/>
    <n v="5.6"/>
    <n v="0"/>
    <d v="2014-04-03T00:00:00"/>
    <d v="1899-12-30T00:00:00"/>
    <d v="2014-08-01T00:00:00"/>
    <d v="2014-08-23T00:00:00"/>
    <d v="2014-09-01T00:00:00"/>
    <d v="1899-12-30T00:00:00"/>
    <d v="1899-12-30T00:00:00"/>
    <d v="1899-12-30T00:00:00"/>
    <d v="1899-12-30T00:00:00"/>
    <x v="0"/>
    <n v="0"/>
    <n v="70"/>
    <n v="0"/>
    <n v="0"/>
    <n v="0"/>
    <n v="0"/>
    <n v="0"/>
    <n v="70"/>
    <n v="488980.80000000005"/>
    <n v="3710000"/>
    <n v="6.8974636074203159"/>
  </r>
  <r>
    <n v="0"/>
    <n v="0"/>
    <n v="4"/>
    <n v="9"/>
    <n v="0"/>
    <x v="7"/>
    <s v="PNK-성진-02"/>
    <s v="PNK-성진-02PNKUMF5501RE"/>
    <n v="1"/>
    <s v="PNK-성진-021"/>
    <s v="PNK-성진-021-PNKUMF5501REDOML"/>
    <s v="PNK의류외501"/>
    <s v="PNK"/>
    <s v="14FWPB"/>
    <m/>
    <s v="PNK"/>
    <s v="PLAY NEWYORK KIDS"/>
    <s v="F"/>
    <n v="5"/>
    <s v="UM"/>
    <s v="UMPIRE"/>
    <s v="K"/>
    <n v="501"/>
    <n v="501"/>
    <s v="PNKUMF5501"/>
    <n v="0.16666666666666666"/>
    <s v="14FWPB 06_FLAT_RE_KIDS"/>
    <s v="RE"/>
    <s v="RED"/>
    <s v="PNKUMF5501RE"/>
    <x v="0"/>
    <n v="0.33333333333333331"/>
    <n v="0"/>
    <n v="1"/>
    <s v="OML"/>
    <n v="30"/>
    <x v="7"/>
    <n v="2"/>
    <x v="4"/>
    <s v="M"/>
    <s v="CN"/>
    <x v="0"/>
    <n v="53000"/>
    <x v="9"/>
    <n v="8030.3030303030291"/>
    <n v="6985.4400000000005"/>
    <n v="-1044.8630303030286"/>
    <n v="0"/>
    <n v="0"/>
    <s v=""/>
    <n v="0"/>
    <n v="5.6"/>
    <n v="0"/>
    <d v="2014-04-03T00:00:00"/>
    <d v="1899-12-30T00:00:00"/>
    <d v="2014-08-01T00:00:00"/>
    <d v="2014-08-23T00:00:00"/>
    <d v="2014-09-01T00:00:00"/>
    <d v="1899-12-30T00:00:00"/>
    <d v="1899-12-30T00:00:00"/>
    <d v="1899-12-30T00:00:00"/>
    <d v="1899-12-30T00:00:00"/>
    <x v="0"/>
    <n v="0"/>
    <n v="30"/>
    <n v="0"/>
    <n v="0"/>
    <n v="0"/>
    <n v="0"/>
    <n v="0"/>
    <n v="30"/>
    <n v="209563.2"/>
    <n v="1590000"/>
    <n v="6.8974636074203168"/>
  </r>
  <r>
    <n v="0"/>
    <n v="0"/>
    <n v="4"/>
    <n v="9"/>
    <n v="0"/>
    <x v="7"/>
    <s v="PNK-성진-02"/>
    <s v="PNK-성진-02PNKUMF5501PK"/>
    <n v="2"/>
    <s v="PNK-성진-022"/>
    <s v="PNK-성진-022-PNKUMF5501PINKXSS"/>
    <s v="PNK의류외501"/>
    <s v="PNK"/>
    <s v=" 14FWP"/>
    <m/>
    <s v="PNK"/>
    <s v="PLAY NEWYORK KIDS"/>
    <s v="F"/>
    <n v="5"/>
    <s v="UM"/>
    <s v="UMPIRE"/>
    <s v="K"/>
    <n v="501"/>
    <n v="501"/>
    <s v="PNKUMF5501"/>
    <n v="0.16666666666666666"/>
    <s v=" 14FWPB 01_FLAT_PK_KIDS  "/>
    <s v="PK"/>
    <s v="PINK"/>
    <s v="PNKUMF5501PK"/>
    <x v="0"/>
    <n v="0.33333333333333331"/>
    <n v="0"/>
    <n v="1"/>
    <s v="XSS"/>
    <n v="300"/>
    <x v="7"/>
    <n v="2"/>
    <x v="4"/>
    <s v="M"/>
    <s v="CN"/>
    <x v="0"/>
    <n v="53000"/>
    <x v="9"/>
    <n v="8030.3030303030291"/>
    <n v="6486.4800000000014"/>
    <n v="-1543.8230303030277"/>
    <n v="0"/>
    <n v="0"/>
    <s v=""/>
    <n v="0"/>
    <n v="5.2"/>
    <n v="0"/>
    <d v="2014-04-03T00:00:00"/>
    <d v="1899-12-30T00:00:00"/>
    <d v="2014-08-01T00:00:00"/>
    <d v="2014-08-23T00:00:00"/>
    <d v="2014-09-01T00:00:00"/>
    <d v="1899-12-30T00:00:00"/>
    <d v="1899-12-30T00:00:00"/>
    <d v="1899-12-30T00:00:00"/>
    <d v="1899-12-30T00:00:00"/>
    <x v="0"/>
    <n v="0"/>
    <n v="300"/>
    <n v="0"/>
    <n v="0"/>
    <n v="0"/>
    <n v="0"/>
    <n v="0"/>
    <n v="300"/>
    <n v="1945944.0000000005"/>
    <n v="15900000"/>
    <n v="7.4280377310680308"/>
  </r>
  <r>
    <n v="0"/>
    <n v="0"/>
    <n v="4"/>
    <n v="9"/>
    <n v="0"/>
    <x v="7"/>
    <s v="PNK-성진-02"/>
    <s v="PNK-성진-02PNKUMF5501PK"/>
    <n v="2"/>
    <s v="PNK-성진-022"/>
    <s v="PNK-성진-022-PNKUMF5501PINKOSM"/>
    <s v="PNK의류외501"/>
    <s v="PNK"/>
    <s v=" 14FWP"/>
    <m/>
    <s v="PNK"/>
    <s v="PLAY NEWYORK KIDS"/>
    <s v="F"/>
    <n v="5"/>
    <s v="UM"/>
    <s v="UMPIRE"/>
    <s v="K"/>
    <n v="501"/>
    <n v="501"/>
    <s v="PNKUMF5501"/>
    <n v="0.16666666666666666"/>
    <s v=" 14FWPB 01_FLAT_PK_KIDS  "/>
    <s v="PK"/>
    <s v="PINK"/>
    <s v="PNKUMF5501PK"/>
    <x v="0"/>
    <n v="0.33333333333333331"/>
    <n v="0"/>
    <n v="1"/>
    <s v="OSM"/>
    <n v="200"/>
    <x v="7"/>
    <n v="2"/>
    <x v="4"/>
    <s v="M"/>
    <s v="CN"/>
    <x v="0"/>
    <n v="53000"/>
    <x v="9"/>
    <n v="8030.3030303030291"/>
    <n v="6611.2200000000012"/>
    <n v="-1419.083030303028"/>
    <n v="0"/>
    <n v="0"/>
    <s v=""/>
    <n v="0"/>
    <n v="5.3"/>
    <n v="0"/>
    <d v="2014-04-03T00:00:00"/>
    <d v="1899-12-30T00:00:00"/>
    <d v="2014-08-01T00:00:00"/>
    <d v="2014-08-23T00:00:00"/>
    <d v="2014-09-01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1322244.0000000002"/>
    <n v="10600000"/>
    <n v="7.2878860757648614"/>
  </r>
  <r>
    <n v="0"/>
    <n v="0"/>
    <n v="4"/>
    <n v="9"/>
    <n v="0"/>
    <x v="7"/>
    <s v="PNK-성진-02"/>
    <s v="PNK-성진-02PNKUMF5501PK"/>
    <n v="2"/>
    <s v="PNK-성진-022"/>
    <s v="PNK-성진-022-PNKUMF5501PINKOML"/>
    <s v="PNK의류외501"/>
    <s v="PNK"/>
    <s v=" 14FWP"/>
    <m/>
    <s v="PNK"/>
    <s v="PLAY NEWYORK KIDS"/>
    <s v="F"/>
    <n v="5"/>
    <s v="UM"/>
    <s v="UMPIRE"/>
    <s v="K"/>
    <n v="501"/>
    <n v="501"/>
    <s v="PNKUMF5501"/>
    <n v="0.16666666666666666"/>
    <s v=" 14FWPB 01_FLAT_PK_KIDS  "/>
    <s v="PK"/>
    <s v="PINK"/>
    <s v="PNKUMF5501PK"/>
    <x v="0"/>
    <n v="0.33333333333333331"/>
    <n v="0"/>
    <n v="1"/>
    <s v="OML"/>
    <n v="100"/>
    <x v="7"/>
    <n v="2"/>
    <x v="4"/>
    <s v="M"/>
    <s v="CN"/>
    <x v="0"/>
    <n v="53000"/>
    <x v="9"/>
    <n v="8030.3030303030291"/>
    <n v="6611.2200000000012"/>
    <n v="-1419.083030303028"/>
    <n v="0"/>
    <n v="0"/>
    <s v=""/>
    <n v="0"/>
    <n v="5.3"/>
    <n v="0"/>
    <d v="2014-04-03T00:00:00"/>
    <d v="1899-12-30T00:00:00"/>
    <d v="2014-08-01T00:00:00"/>
    <d v="2014-08-23T00:00:00"/>
    <d v="2014-09-01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661122.00000000012"/>
    <n v="5300000"/>
    <n v="7.2878860757648614"/>
  </r>
  <r>
    <n v="0"/>
    <n v="0"/>
    <s v=""/>
    <s v=""/>
    <s v=""/>
    <x v="1"/>
    <s v=""/>
    <s v=""/>
    <n v="0"/>
    <s v="0"/>
    <s v="0-"/>
    <n v="0"/>
    <s v="TTL"/>
    <s v=""/>
    <s v="PNK-성진-02 TTL"/>
    <m/>
    <s v=""/>
    <s v=""/>
    <s v=""/>
    <m/>
    <s v=""/>
    <s v="K"/>
    <m/>
    <s v=""/>
    <s v=""/>
    <n v="0.99999999999999989"/>
    <m/>
    <s v=""/>
    <m/>
    <s v=""/>
    <x v="0"/>
    <n v="1.9999999999999998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00"/>
    <n v="0"/>
    <n v="0"/>
    <n v="0"/>
    <n v="0"/>
    <n v="0"/>
    <n v="1000"/>
    <n v="6686064.0000000009"/>
    <n v="53000000"/>
    <n v="7.2063052614839123"/>
  </r>
  <r>
    <n v="0"/>
    <n v="0.25"/>
    <n v="4"/>
    <n v="10"/>
    <n v="0"/>
    <x v="7"/>
    <s v="PNK-동일모자-06"/>
    <s v="PNK-동일모자-06PNKERF5503NY"/>
    <n v="1"/>
    <s v="PNK-동일모자-061"/>
    <s v="PNK-동일모자-061-PNKERF5503NAVYOSM"/>
    <s v="PNK의류외503"/>
    <s v="PNK"/>
    <s v="14FWPB"/>
    <m/>
    <s v="PNK"/>
    <s v="PLAY NEWYORK KIDS"/>
    <s v="F"/>
    <n v="5"/>
    <s v="ER"/>
    <s v="EARCAP"/>
    <s v="K"/>
    <n v="503"/>
    <n v="503"/>
    <s v="PNKERF5503"/>
    <n v="0.25"/>
    <s v="14FWPB 05_FLAT_NY_KIDS"/>
    <s v="NY"/>
    <s v="NAVY"/>
    <s v="PNKERF5503NY"/>
    <x v="0"/>
    <n v="0.5"/>
    <n v="0"/>
    <n v="1"/>
    <s v="OSM"/>
    <n v="150"/>
    <x v="5"/>
    <n v="6"/>
    <x v="6"/>
    <s v="M"/>
    <s v="CN"/>
    <x v="0"/>
    <n v="63000"/>
    <x v="10"/>
    <n v="9545.4545454545441"/>
    <n v="11008.09"/>
    <n v="1462.635454545456"/>
    <n v="1216"/>
    <n v="0"/>
    <s v=""/>
    <n v="1216"/>
    <n v="7.85"/>
    <n v="0"/>
    <d v="2014-04-03T00:00:00"/>
    <d v="1899-12-30T00:00:00"/>
    <d v="2014-09-25T00:00:00"/>
    <d v="1899-12-30T00:00:00"/>
    <d v="2014-10-02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1651213.5"/>
    <n v="9450000"/>
    <n v="5.2027851582542723"/>
  </r>
  <r>
    <n v="0"/>
    <n v="0.25"/>
    <n v="4"/>
    <n v="10"/>
    <n v="0"/>
    <x v="7"/>
    <s v="PNK-동일모자-06"/>
    <s v="PNK-동일모자-06PNKERF5503NY"/>
    <n v="1"/>
    <s v="PNK-동일모자-061"/>
    <s v="PNK-동일모자-061-PNKERF5503NAVYOML"/>
    <s v="PNK의류외503"/>
    <s v="PNK"/>
    <s v="14FWPB"/>
    <m/>
    <s v="PNK"/>
    <s v="PLAY NEWYORK KIDS"/>
    <s v="F"/>
    <n v="5"/>
    <s v="ER"/>
    <s v="EARCAP"/>
    <s v="K"/>
    <n v="503"/>
    <n v="503"/>
    <s v="PNKERF5503"/>
    <n v="0.25"/>
    <s v="14FWPB 05_FLAT_NY_KIDS"/>
    <s v="NY"/>
    <s v="NAVY"/>
    <s v="PNKERF5503NY"/>
    <x v="0"/>
    <n v="0.5"/>
    <n v="0"/>
    <n v="1"/>
    <s v="OML"/>
    <n v="100"/>
    <x v="5"/>
    <n v="6"/>
    <x v="6"/>
    <s v="M"/>
    <s v="CN"/>
    <x v="0"/>
    <n v="63000"/>
    <x v="10"/>
    <n v="9545.4545454545441"/>
    <n v="11008.09"/>
    <n v="1462.635454545456"/>
    <n v="1216"/>
    <n v="0"/>
    <s v=""/>
    <n v="1216"/>
    <n v="7.85"/>
    <n v="0"/>
    <d v="2014-04-03T00:00:00"/>
    <d v="1899-12-30T00:00:00"/>
    <d v="2014-09-25T00:00:00"/>
    <d v="1899-12-30T00:00:00"/>
    <d v="2014-10-02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100809"/>
    <n v="6300000"/>
    <n v="5.2027851582542715"/>
  </r>
  <r>
    <n v="0"/>
    <n v="0.25"/>
    <n v="4"/>
    <n v="10"/>
    <n v="0"/>
    <x v="7"/>
    <s v="PNK-동일모자-06"/>
    <s v="PNK-동일모자-06PNKERF5503PK"/>
    <n v="2"/>
    <s v="PNK-동일모자-062"/>
    <s v="PNK-동일모자-062-PNKERF5503PINKOSM"/>
    <s v="PNK의류외503"/>
    <s v="PNK"/>
    <s v=" 14FWP"/>
    <m/>
    <s v="PNK"/>
    <s v="PLAY NEWYORK KIDS"/>
    <s v="F"/>
    <n v="5"/>
    <s v="ER"/>
    <s v="EARCAP"/>
    <s v="K"/>
    <n v="503"/>
    <n v="503"/>
    <s v="PNKERF5503"/>
    <n v="0.25"/>
    <s v=" 14FWPB 02_FLAT_PK_KIDS"/>
    <s v="PK"/>
    <s v="PINK"/>
    <s v="PNKERF5503PK"/>
    <x v="0"/>
    <n v="0.5"/>
    <n v="0"/>
    <n v="1"/>
    <s v="OSM"/>
    <n v="150"/>
    <x v="5"/>
    <n v="6"/>
    <x v="6"/>
    <s v="M"/>
    <s v="CN"/>
    <x v="0"/>
    <n v="63000"/>
    <x v="10"/>
    <n v="9545.4545454545441"/>
    <n v="10969.09"/>
    <n v="1423.635454545456"/>
    <n v="1177"/>
    <n v="0"/>
    <s v=""/>
    <n v="1177"/>
    <n v="7.85"/>
    <n v="0"/>
    <d v="2014-04-03T00:00:00"/>
    <d v="1899-12-30T00:00:00"/>
    <d v="2014-09-25T00:00:00"/>
    <d v="1899-12-30T00:00:00"/>
    <d v="2014-10-02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1645363.5"/>
    <n v="9450000"/>
    <n v="5.2212833765359994"/>
  </r>
  <r>
    <n v="0"/>
    <n v="0.25"/>
    <n v="4"/>
    <n v="10"/>
    <n v="0"/>
    <x v="7"/>
    <s v="PNK-동일모자-06"/>
    <s v="PNK-동일모자-06PNKERF5503PK"/>
    <n v="2"/>
    <s v="PNK-동일모자-062"/>
    <s v="PNK-동일모자-062-PNKERF5503PINKOML"/>
    <s v="PNK의류외503"/>
    <s v="PNK"/>
    <s v=" 14FWP"/>
    <m/>
    <s v="PNK"/>
    <s v="PLAY NEWYORK KIDS"/>
    <s v="F"/>
    <n v="5"/>
    <s v="ER"/>
    <s v="EARCAP"/>
    <s v="K"/>
    <n v="503"/>
    <n v="503"/>
    <s v="PNKERF5503"/>
    <n v="0.25"/>
    <s v=" 14FWPB 02_FLAT_PK_KIDS"/>
    <s v="PK"/>
    <s v="PINK"/>
    <s v="PNKERF5503PK"/>
    <x v="0"/>
    <n v="0.5"/>
    <n v="0"/>
    <n v="1"/>
    <s v="OML"/>
    <n v="100"/>
    <x v="5"/>
    <n v="6"/>
    <x v="6"/>
    <s v="M"/>
    <s v="CN"/>
    <x v="0"/>
    <n v="63000"/>
    <x v="10"/>
    <n v="9545.4545454545441"/>
    <n v="10969.09"/>
    <n v="1423.635454545456"/>
    <n v="1177"/>
    <n v="0"/>
    <s v=""/>
    <n v="1177"/>
    <n v="7.85"/>
    <n v="0"/>
    <d v="2014-04-03T00:00:00"/>
    <d v="1899-12-30T00:00:00"/>
    <d v="2014-09-25T00:00:00"/>
    <d v="1899-12-30T00:00:00"/>
    <d v="2014-10-02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096909"/>
    <n v="6300000"/>
    <n v="5.2212833765359994"/>
  </r>
  <r>
    <n v="0"/>
    <n v="0"/>
    <s v=""/>
    <s v=""/>
    <s v=""/>
    <x v="1"/>
    <s v=""/>
    <s v=""/>
    <n v="0"/>
    <s v="0"/>
    <s v="0-"/>
    <n v="0"/>
    <s v="TTL"/>
    <s v=""/>
    <s v="PNK-동일모자-06 TTL"/>
    <m/>
    <s v=""/>
    <s v=""/>
    <s v=""/>
    <m/>
    <s v=""/>
    <s v="K"/>
    <m/>
    <s v=""/>
    <s v=""/>
    <n v="1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00"/>
    <n v="0"/>
    <n v="0"/>
    <n v="0"/>
    <n v="0"/>
    <n v="0"/>
    <n v="500"/>
    <n v="5494295"/>
    <n v="31500000"/>
    <n v="5.212017854222176"/>
  </r>
  <r>
    <n v="0"/>
    <n v="0"/>
    <n v="4"/>
    <n v="5"/>
    <s v="F-CAP"/>
    <x v="8"/>
    <s v="DPK-캡보이-01"/>
    <s v="DPK-캡보이-01DPKSNF3501PK"/>
    <n v="1"/>
    <s v="DPK-캡보이-011"/>
    <s v="DPK-캡보이-011-DPKSNF3501PINKOSM"/>
    <s v="DPK의류외501"/>
    <s v="DPK"/>
    <s v="14SS F"/>
    <m/>
    <s v="DPK"/>
    <s v="DISNEY PRINCESS KIDS"/>
    <s v="F"/>
    <s v="3"/>
    <s v="SN"/>
    <s v="SNAPBACK"/>
    <s v="K"/>
    <n v="501"/>
    <n v="501"/>
    <s v="DPKSNF3501"/>
    <n v="0.5"/>
    <s v="14SS FROZEN SNAP_01_PK_KIDS"/>
    <s v="PK"/>
    <s v="PINK"/>
    <s v="DPKSNF3501PK"/>
    <x v="0"/>
    <n v="0.5"/>
    <n v="0"/>
    <n v="1"/>
    <s v="OSM"/>
    <n v="80"/>
    <x v="8"/>
    <n v="1"/>
    <x v="0"/>
    <s v="M"/>
    <s v="KR"/>
    <x v="3"/>
    <n v="45000"/>
    <x v="11"/>
    <n v="10227.272727272726"/>
    <n v="11700"/>
    <n v="1472.7272727272739"/>
    <m/>
    <m/>
    <m/>
    <n v="0"/>
    <m/>
    <n v="11700"/>
    <d v="2014-04-07T00:00:00"/>
    <d v="1899-12-30T00:00:00"/>
    <d v="2014-05-15T00:00:00"/>
    <m/>
    <d v="2014-05-16T00:00:00"/>
    <m/>
    <m/>
    <m/>
    <m/>
    <x v="0"/>
    <s v="확정"/>
    <n v="78"/>
    <n v="0"/>
    <n v="0"/>
    <n v="0"/>
    <n v="0"/>
    <n v="0"/>
    <n v="80"/>
    <n v="936000"/>
    <n v="3600000"/>
    <n v="3.4965034965034962"/>
  </r>
  <r>
    <n v="0"/>
    <n v="0"/>
    <n v="4"/>
    <n v="5"/>
    <s v="F-CAP"/>
    <x v="8"/>
    <s v="DPK-캡보이-01"/>
    <s v="DPK-캡보이-01DPKSNF3501PK"/>
    <n v="1"/>
    <s v="DPK-캡보이-011"/>
    <s v="DPK-캡보이-011-DPKSNF3501PINKOML"/>
    <s v="DPK의류외501"/>
    <s v="DPK"/>
    <s v="14SS F"/>
    <m/>
    <s v="DPK"/>
    <s v="DISNEY PRINCESS KIDS"/>
    <s v="F"/>
    <s v="3"/>
    <s v="SN"/>
    <s v="SNAPBACK"/>
    <s v="K"/>
    <n v="501"/>
    <n v="501"/>
    <s v="DPKSNF3501"/>
    <n v="0.5"/>
    <s v="14SS FROZEN SNAP_01_PK_KIDS"/>
    <s v="PK"/>
    <s v="PINK"/>
    <s v="DPKSNF3501PK"/>
    <x v="0"/>
    <n v="0.5"/>
    <n v="0"/>
    <n v="1"/>
    <s v="OML"/>
    <n v="40"/>
    <x v="8"/>
    <n v="1"/>
    <x v="0"/>
    <s v="M"/>
    <s v="KR"/>
    <x v="3"/>
    <n v="45000"/>
    <x v="11"/>
    <n v="10227.272727272726"/>
    <n v="11700"/>
    <n v="1472.7272727272739"/>
    <n v="0"/>
    <n v="0"/>
    <s v=""/>
    <n v="0"/>
    <n v="0"/>
    <n v="11700"/>
    <d v="2014-04-07T00:00:00"/>
    <d v="1899-12-30T00:00:00"/>
    <d v="2014-05-15T00:00:00"/>
    <d v="1899-12-30T00:00:00"/>
    <d v="2014-05-16T00:00:00"/>
    <d v="1899-12-30T00:00:00"/>
    <d v="1899-12-30T00:00:00"/>
    <d v="1899-12-30T00:00:00"/>
    <d v="1899-12-30T00:00:00"/>
    <x v="0"/>
    <s v="확정"/>
    <n v="40"/>
    <n v="0"/>
    <n v="0"/>
    <n v="0"/>
    <n v="0"/>
    <n v="0"/>
    <n v="40"/>
    <n v="468000"/>
    <n v="1800000"/>
    <n v="3.4965034965034962"/>
  </r>
  <r>
    <n v="0"/>
    <n v="0"/>
    <n v="4"/>
    <n v="5"/>
    <s v="F-CAP"/>
    <x v="8"/>
    <s v="DPK-캡보이-01"/>
    <s v="DPK-캡보이-01DPKSNF3502BL"/>
    <n v="2"/>
    <s v="DPK-캡보이-012"/>
    <s v="DPK-캡보이-012-DPKSNF3502BLUEOSM"/>
    <s v="DPK의류외502"/>
    <s v="DPK"/>
    <s v="14SS F"/>
    <m/>
    <s v="DPK"/>
    <s v="DISNEY PRINCESS KIDS"/>
    <s v="F"/>
    <s v="3"/>
    <s v="SN"/>
    <s v="SNAPBACK"/>
    <s v="K"/>
    <n v="502"/>
    <n v="502"/>
    <s v="DPKSNF3502"/>
    <n v="0.5"/>
    <s v="14SS FROZEN SNAP_02_BL_KIDS"/>
    <s v="BL"/>
    <s v="BLUE"/>
    <s v="DPKSNF3502BL"/>
    <x v="0"/>
    <n v="0.5"/>
    <n v="0"/>
    <n v="1"/>
    <s v="OSM"/>
    <n v="80"/>
    <x v="8"/>
    <n v="1"/>
    <x v="0"/>
    <s v="M"/>
    <s v="KR"/>
    <x v="3"/>
    <n v="45000"/>
    <x v="11"/>
    <n v="10227.272727272726"/>
    <n v="12500"/>
    <n v="2272.7272727272739"/>
    <n v="0"/>
    <n v="0"/>
    <s v=""/>
    <n v="0"/>
    <n v="0"/>
    <n v="12500"/>
    <d v="2014-04-07T00:00:00"/>
    <d v="1899-12-30T00:00:00"/>
    <d v="2014-05-15T00:00:00"/>
    <d v="1899-12-30T00:00:00"/>
    <d v="2014-05-16T00:00:00"/>
    <d v="1899-12-30T00:00:00"/>
    <d v="1899-12-30T00:00:00"/>
    <d v="1899-12-30T00:00:00"/>
    <d v="1899-12-30T00:00:00"/>
    <x v="0"/>
    <s v="확정"/>
    <n v="80"/>
    <n v="0"/>
    <n v="0"/>
    <n v="0"/>
    <n v="0"/>
    <n v="0"/>
    <n v="80"/>
    <n v="1000000"/>
    <n v="3600000"/>
    <n v="3.2727272727272729"/>
  </r>
  <r>
    <n v="0"/>
    <n v="0"/>
    <n v="4"/>
    <n v="5"/>
    <s v="F-CAP"/>
    <x v="8"/>
    <s v="DPK-캡보이-01"/>
    <s v="DPK-캡보이-01DPKSNF3502BL"/>
    <n v="2"/>
    <s v="DPK-캡보이-012"/>
    <s v="DPK-캡보이-012-DPKSNF3502BLUEOML"/>
    <s v="DPK의류외502"/>
    <s v="DPK"/>
    <s v="14SS F"/>
    <m/>
    <s v="DPK"/>
    <s v="DISNEY PRINCESS KIDS"/>
    <s v="F"/>
    <s v="3"/>
    <s v="SN"/>
    <s v="SNAPBACK"/>
    <s v="K"/>
    <n v="502"/>
    <n v="502"/>
    <s v="DPKSNF3502"/>
    <n v="0.5"/>
    <s v="14SS FROZEN SNAP_02_BL_KIDS"/>
    <s v="BL"/>
    <s v="BLUE"/>
    <s v="DPKSNF3502BL"/>
    <x v="0"/>
    <n v="0.5"/>
    <n v="0"/>
    <n v="1"/>
    <s v="OML"/>
    <n v="40"/>
    <x v="8"/>
    <n v="1"/>
    <x v="0"/>
    <s v="M"/>
    <s v="KR"/>
    <x v="3"/>
    <n v="45000"/>
    <x v="11"/>
    <n v="10227.272727272726"/>
    <n v="12500"/>
    <n v="2272.7272727272739"/>
    <n v="0"/>
    <n v="0"/>
    <s v=""/>
    <n v="0"/>
    <m/>
    <n v="12500"/>
    <d v="2014-04-07T00:00:00"/>
    <d v="1899-12-30T00:00:00"/>
    <d v="2014-05-15T00:00:00"/>
    <d v="1899-12-30T00:00:00"/>
    <d v="2014-05-16T00:00:00"/>
    <d v="1899-12-30T00:00:00"/>
    <d v="1899-12-30T00:00:00"/>
    <d v="1899-12-30T00:00:00"/>
    <d v="1899-12-30T00:00:00"/>
    <x v="0"/>
    <s v="확정"/>
    <n v="40"/>
    <n v="0"/>
    <n v="0"/>
    <n v="0"/>
    <n v="0"/>
    <n v="0"/>
    <n v="40"/>
    <n v="500000"/>
    <n v="1800000"/>
    <n v="3.2727272727272729"/>
  </r>
  <r>
    <n v="0"/>
    <n v="0"/>
    <n v="4"/>
    <n v="6"/>
    <s v="F-CAP"/>
    <x v="8"/>
    <s v="DPK-캡보이-01"/>
    <s v="DPK-캡보이-01DPKSNF3503PP"/>
    <n v="3"/>
    <s v="DPK-캡보이-013"/>
    <s v="DPK-캡보이-013-DPKSNF3503PURPLEOSM"/>
    <s v="DPK의류외503"/>
    <s v="DPK"/>
    <s v="14SS F"/>
    <m/>
    <s v="DPK"/>
    <s v="DISNEY PRINCESS KIDS"/>
    <s v="F"/>
    <s v="3"/>
    <s v="SN"/>
    <s v="SNAPBACK"/>
    <s v="K"/>
    <n v="503"/>
    <n v="503"/>
    <s v="DPKSNF3503"/>
    <n v="0.5"/>
    <s v="14SS FROZEN SNAP_04_PP_KIDS"/>
    <s v="PP"/>
    <s v="PURPLE"/>
    <s v="DPKSNF3503PP"/>
    <x v="0"/>
    <n v="0.5"/>
    <n v="0"/>
    <n v="1"/>
    <s v="OSM"/>
    <n v="80"/>
    <x v="8"/>
    <n v="1"/>
    <x v="0"/>
    <s v="M"/>
    <s v="KR"/>
    <x v="3"/>
    <n v="43000"/>
    <x v="11"/>
    <n v="9772.7272727272721"/>
    <n v="10600"/>
    <n v="827.27272727272793"/>
    <n v="0"/>
    <n v="0"/>
    <s v=""/>
    <n v="0"/>
    <n v="0"/>
    <n v="10600"/>
    <d v="2014-04-07T00:00:00"/>
    <d v="1899-12-30T00:00:00"/>
    <d v="2014-05-15T00:00:00"/>
    <d v="1899-12-30T00:00:00"/>
    <d v="2014-06-19T00:00:00"/>
    <d v="1899-12-30T00:00:00"/>
    <d v="1899-12-30T00:00:00"/>
    <d v="1899-12-30T00:00:00"/>
    <d v="1899-12-30T00:00:00"/>
    <x v="0"/>
    <s v="확정"/>
    <n v="80"/>
    <n v="0"/>
    <n v="0"/>
    <n v="0"/>
    <n v="0"/>
    <n v="0"/>
    <n v="80"/>
    <n v="848000"/>
    <n v="3440000"/>
    <n v="3.6878216123499139"/>
  </r>
  <r>
    <n v="0"/>
    <n v="0"/>
    <n v="4"/>
    <n v="6"/>
    <s v="F-CAP"/>
    <x v="8"/>
    <s v="DPK-캡보이-01"/>
    <s v="DPK-캡보이-01DPKSNF3503PP"/>
    <n v="3"/>
    <s v="DPK-캡보이-013"/>
    <s v="DPK-캡보이-013-DPKSNF3503PURPLEOML"/>
    <s v="DPK의류외503"/>
    <s v="DPK"/>
    <s v="14SS F"/>
    <m/>
    <s v="DPK"/>
    <s v="DISNEY PRINCESS KIDS"/>
    <s v="F"/>
    <s v="3"/>
    <s v="SN"/>
    <s v="SNAPBACK"/>
    <s v="K"/>
    <n v="503"/>
    <n v="503"/>
    <s v="DPKSNF3503"/>
    <n v="0.5"/>
    <s v="14SS FROZEN SNAP_04_PP_KIDS"/>
    <s v="PP"/>
    <s v="PURPLE"/>
    <s v="DPKSNF3503PP"/>
    <x v="0"/>
    <n v="0.5"/>
    <n v="0"/>
    <n v="1"/>
    <s v="OML"/>
    <n v="40"/>
    <x v="8"/>
    <n v="1"/>
    <x v="0"/>
    <s v="M"/>
    <s v="KR"/>
    <x v="3"/>
    <n v="43000"/>
    <x v="11"/>
    <n v="9772.7272727272721"/>
    <n v="10600"/>
    <n v="827.27272727272793"/>
    <n v="0"/>
    <n v="0"/>
    <s v=""/>
    <n v="0"/>
    <n v="0"/>
    <n v="10600"/>
    <d v="2014-04-07T00:00:00"/>
    <d v="1899-12-30T00:00:00"/>
    <d v="2014-05-15T00:00:00"/>
    <d v="1899-12-30T00:00:00"/>
    <d v="2014-06-19T00:00:00"/>
    <d v="1899-12-30T00:00:00"/>
    <d v="1899-12-30T00:00:00"/>
    <d v="1899-12-30T00:00:00"/>
    <d v="1899-12-30T00:00:00"/>
    <x v="0"/>
    <s v="확정"/>
    <n v="40"/>
    <n v="0"/>
    <n v="0"/>
    <n v="0"/>
    <n v="0"/>
    <n v="0"/>
    <n v="40"/>
    <n v="424000"/>
    <n v="1720000"/>
    <n v="3.6878216123499139"/>
  </r>
  <r>
    <n v="0"/>
    <n v="0"/>
    <n v="4"/>
    <n v="6"/>
    <s v="F-CAP"/>
    <x v="8"/>
    <s v="DPK-캡보이-01"/>
    <s v="DPK-캡보이-01DPKSNF3504MT"/>
    <n v="4"/>
    <s v="DPK-캡보이-014"/>
    <s v="DPK-캡보이-014-DPKSNF3504MINTOSM"/>
    <s v="DPK의류외504"/>
    <s v="DPK"/>
    <s v="14SS F"/>
    <m/>
    <s v="DPK"/>
    <s v="DISNEY PRINCESS KIDS"/>
    <s v="F"/>
    <s v="3"/>
    <s v="SN"/>
    <s v="SNAPBACK"/>
    <s v="K"/>
    <n v="504"/>
    <n v="504"/>
    <s v="DPKSNF3504"/>
    <n v="0.5"/>
    <s v="14SS FROZEN SNAP_05_MT_KIDS"/>
    <s v="MT"/>
    <s v="MINT"/>
    <s v="DPKSNF3504MT"/>
    <x v="0"/>
    <n v="0.5"/>
    <n v="0"/>
    <n v="1"/>
    <s v="OSM"/>
    <n v="80"/>
    <x v="8"/>
    <n v="1"/>
    <x v="0"/>
    <s v="M"/>
    <s v="KR"/>
    <x v="3"/>
    <n v="43000"/>
    <x v="11"/>
    <n v="9772.7272727272721"/>
    <n v="10600"/>
    <n v="827.27272727272793"/>
    <n v="0"/>
    <n v="0"/>
    <s v=""/>
    <n v="0"/>
    <n v="0"/>
    <n v="10600"/>
    <d v="2014-04-07T00:00:00"/>
    <d v="1899-12-30T00:00:00"/>
    <d v="2014-05-15T00:00:00"/>
    <d v="1899-12-30T00:00:00"/>
    <d v="2014-06-19T00:00:00"/>
    <d v="1899-12-30T00:00:00"/>
    <d v="1899-12-30T00:00:00"/>
    <d v="1899-12-30T00:00:00"/>
    <d v="1899-12-30T00:00:00"/>
    <x v="0"/>
    <s v="확정"/>
    <n v="80"/>
    <n v="0"/>
    <n v="0"/>
    <n v="0"/>
    <n v="0"/>
    <n v="0"/>
    <n v="80"/>
    <n v="848000"/>
    <n v="3440000"/>
    <n v="3.6878216123499139"/>
  </r>
  <r>
    <n v="0"/>
    <n v="0"/>
    <n v="4"/>
    <n v="6"/>
    <s v="F-CAP"/>
    <x v="8"/>
    <s v="DPK-캡보이-01"/>
    <s v="DPK-캡보이-01DPKSNF3504MT"/>
    <n v="4"/>
    <s v="DPK-캡보이-014"/>
    <s v="DPK-캡보이-014-DPKSNF3504MINTOML"/>
    <s v="DPK의류외504"/>
    <s v="DPK"/>
    <s v="14SS F"/>
    <m/>
    <s v="DPK"/>
    <s v="DISNEY PRINCESS KIDS"/>
    <s v="F"/>
    <s v="3"/>
    <s v="SN"/>
    <s v="SNAPBACK"/>
    <s v="K"/>
    <n v="504"/>
    <n v="504"/>
    <s v="DPKSNF3504"/>
    <n v="0.5"/>
    <s v="14SS FROZEN SNAP_05_MT_KIDS"/>
    <s v="MT"/>
    <s v="MINT"/>
    <s v="DPKSNF3504MT"/>
    <x v="0"/>
    <n v="0.5"/>
    <n v="0"/>
    <n v="1"/>
    <s v="OML"/>
    <n v="40"/>
    <x v="8"/>
    <n v="1"/>
    <x v="0"/>
    <s v="M"/>
    <s v="KR"/>
    <x v="3"/>
    <n v="43000"/>
    <x v="11"/>
    <n v="9772.7272727272721"/>
    <n v="10600"/>
    <n v="827.27272727272793"/>
    <n v="0"/>
    <n v="0"/>
    <s v=""/>
    <n v="0"/>
    <n v="0"/>
    <n v="10600"/>
    <d v="2014-04-07T00:00:00"/>
    <d v="1899-12-30T00:00:00"/>
    <d v="2014-05-15T00:00:00"/>
    <d v="1899-12-30T00:00:00"/>
    <d v="2014-06-19T00:00:00"/>
    <d v="1899-12-30T00:00:00"/>
    <d v="1899-12-30T00:00:00"/>
    <d v="1899-12-30T00:00:00"/>
    <d v="1899-12-30T00:00:00"/>
    <x v="0"/>
    <s v="확정"/>
    <n v="40"/>
    <n v="0"/>
    <n v="0"/>
    <n v="0"/>
    <n v="0"/>
    <n v="0"/>
    <n v="40"/>
    <n v="424000"/>
    <n v="1720000"/>
    <n v="3.6878216123499139"/>
  </r>
  <r>
    <n v="0"/>
    <n v="0"/>
    <s v=""/>
    <s v=""/>
    <s v=""/>
    <x v="1"/>
    <s v=""/>
    <s v=""/>
    <n v="0"/>
    <s v="0"/>
    <s v="0-"/>
    <n v="0"/>
    <s v="TTL"/>
    <s v=""/>
    <s v="DPK-캡보이-01 TTL"/>
    <m/>
    <s v=""/>
    <s v=""/>
    <s v=""/>
    <m/>
    <s v=""/>
    <s v="K"/>
    <m/>
    <s v=""/>
    <s v=""/>
    <n v="4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478"/>
    <n v="0"/>
    <n v="0"/>
    <n v="0"/>
    <n v="0"/>
    <n v="0"/>
    <n v="480"/>
    <n v="5448000"/>
    <n v="21120000"/>
    <n v="3.5242290748898673"/>
  </r>
  <r>
    <n v="0"/>
    <n v="0.33333333333333331"/>
    <n v="4"/>
    <n v="9"/>
    <s v="F-CAP"/>
    <x v="9"/>
    <s v="SBK-FOREMOST-08"/>
    <s v="SBK-FOREMOST-08SBKBAF5511GY"/>
    <n v="1"/>
    <s v="SBK-FOREMOST-081"/>
    <s v="SBK-FOREMOST-081-SBKBAF5511GREYXSS"/>
    <s v="SBK의류외511"/>
    <s v="SBK"/>
    <s v="14FW-J"/>
    <m/>
    <s v="SBK"/>
    <s v="SMITH BRIDGE_KIDS"/>
    <s v="F"/>
    <n v="5"/>
    <s v="BA"/>
    <s v="BASIC CAP"/>
    <s v="K"/>
    <n v="511"/>
    <n v="511"/>
    <s v="SBKBAF5511"/>
    <n v="0.33333333333333331"/>
    <s v="14FW-JILL-BY_11_GY_KIDS"/>
    <s v="GY"/>
    <s v="GREY"/>
    <s v="SBKBAF5511GY"/>
    <x v="0"/>
    <n v="0.33333333333333331"/>
    <s v="겉감: 울50%   폴리에스터 50%"/>
    <n v="1"/>
    <s v="XSS"/>
    <n v="200"/>
    <x v="4"/>
    <n v="8"/>
    <x v="15"/>
    <s v="M"/>
    <s v="CN"/>
    <x v="0"/>
    <n v="45000"/>
    <x v="12"/>
    <n v="6818.1818181818171"/>
    <n v="7122.7362068965494"/>
    <n v="304.55438871473234"/>
    <n v="1197.58620689655"/>
    <n v="0"/>
    <s v=""/>
    <n v="1197.58620689655"/>
    <n v="4.75"/>
    <n v="0"/>
    <d v="2014-04-10T00:00:00"/>
    <d v="2014-08-31T00:00:00"/>
    <d v="2014-08-13T00:00:00"/>
    <m/>
    <d v="2014-09-05T00:00:00"/>
    <d v="1899-12-30T00:00:00"/>
    <d v="1899-12-30T00:00:00"/>
    <d v="1899-12-30T00:00:00"/>
    <d v="1899-12-30T00:00:00"/>
    <x v="0"/>
    <s v="확정"/>
    <n v="200"/>
    <n v="0"/>
    <n v="0"/>
    <n v="0"/>
    <n v="0"/>
    <n v="0"/>
    <n v="200"/>
    <n v="1424547.2413793099"/>
    <n v="9000000"/>
    <n v="5.7434516344267958"/>
  </r>
  <r>
    <n v="0"/>
    <n v="0.33333333333333331"/>
    <n v="4"/>
    <n v="9"/>
    <s v="F-CAP"/>
    <x v="9"/>
    <s v="SBK-FOREMOST-08"/>
    <s v="SBK-FOREMOST-08SBKBAF5511GY"/>
    <n v="1"/>
    <s v="SBK-FOREMOST-081"/>
    <s v="SBK-FOREMOST-081-SBKBAF5511GREYOSM"/>
    <s v="SBK의류외511"/>
    <s v="SBK"/>
    <s v="14FW-J"/>
    <m/>
    <s v="SBK"/>
    <s v="SMITH BRIDGE_KIDS"/>
    <s v="F"/>
    <n v="5"/>
    <s v="BA"/>
    <s v="BASIC CAP"/>
    <s v="K"/>
    <n v="511"/>
    <n v="511"/>
    <s v="SBKBAF5511"/>
    <n v="0.33333333333333331"/>
    <s v="14FW-JILL-BY_11_GY_KIDS"/>
    <s v="GY"/>
    <s v="GREY"/>
    <s v="SBKBAF5511GY"/>
    <x v="0"/>
    <n v="0.33333333333333331"/>
    <s v="겉감: 울50%   폴리에스터 50%"/>
    <n v="1"/>
    <s v="OSM"/>
    <n v="60"/>
    <x v="4"/>
    <n v="8"/>
    <x v="15"/>
    <s v="M"/>
    <s v="CN"/>
    <x v="0"/>
    <n v="45000"/>
    <x v="12"/>
    <n v="6818.1818181818171"/>
    <n v="7122.7362068965494"/>
    <n v="304.55438871473234"/>
    <n v="1197.58620689655"/>
    <n v="0"/>
    <s v=""/>
    <n v="1197.58620689655"/>
    <n v="4.75"/>
    <n v="0"/>
    <d v="2014-04-10T00:00:00"/>
    <d v="2014-08-31T00:00:00"/>
    <d v="2014-08-13T00:00:00"/>
    <d v="1899-12-30T00:00:00"/>
    <d v="2014-09-05T00:00:00"/>
    <d v="1899-12-30T00:00:00"/>
    <d v="1899-12-30T00:00:00"/>
    <d v="1899-12-30T00:00:00"/>
    <d v="1899-12-30T00:00:00"/>
    <x v="0"/>
    <s v="확정"/>
    <n v="60"/>
    <n v="0"/>
    <n v="0"/>
    <n v="0"/>
    <n v="0"/>
    <n v="0"/>
    <n v="60"/>
    <n v="427364.17241379299"/>
    <n v="2700000"/>
    <n v="5.7434516344267958"/>
  </r>
  <r>
    <n v="0"/>
    <n v="0.33333333333333331"/>
    <n v="4"/>
    <n v="9"/>
    <s v="F-CAP"/>
    <x v="9"/>
    <s v="SBK-FOREMOST-08"/>
    <s v="SBK-FOREMOST-08SBKBAF5511GY"/>
    <n v="1"/>
    <s v="SBK-FOREMOST-081"/>
    <s v="SBK-FOREMOST-081-SBKBAF5511GREYOML"/>
    <s v="SBK의류외511"/>
    <s v="SBK"/>
    <s v="14FW-J"/>
    <m/>
    <s v="SBK"/>
    <s v="SMITH BRIDGE_KIDS"/>
    <s v="F"/>
    <n v="5"/>
    <s v="BA"/>
    <s v="BASIC CAP"/>
    <s v="K"/>
    <n v="511"/>
    <n v="511"/>
    <s v="SBKBAF5511"/>
    <n v="0.33333333333333331"/>
    <s v="14FW-JILL-BY_11_GY_KIDS"/>
    <s v="GY"/>
    <s v="GREY"/>
    <s v="SBKBAF5511GY"/>
    <x v="0"/>
    <n v="0.33333333333333331"/>
    <s v="겉감: 울50%   폴리에스터 50%"/>
    <n v="1"/>
    <s v="OML"/>
    <n v="30"/>
    <x v="4"/>
    <n v="8"/>
    <x v="15"/>
    <s v="M"/>
    <s v="CN"/>
    <x v="0"/>
    <n v="45000"/>
    <x v="12"/>
    <n v="6818.1818181818171"/>
    <n v="7122.7362068965494"/>
    <n v="304.55438871473234"/>
    <n v="1197.58620689655"/>
    <n v="0"/>
    <s v=""/>
    <n v="1197.58620689655"/>
    <n v="4.75"/>
    <n v="0"/>
    <d v="2014-04-10T00:00:00"/>
    <d v="2014-08-31T00:00:00"/>
    <d v="2014-08-13T00:00:00"/>
    <d v="1899-12-30T00:00:00"/>
    <d v="2014-09-05T00:00:00"/>
    <d v="1899-12-30T00:00:00"/>
    <d v="1899-12-30T00:00:00"/>
    <d v="1899-12-30T00:00:00"/>
    <d v="1899-12-30T00:00:00"/>
    <x v="0"/>
    <s v="확정"/>
    <n v="30"/>
    <n v="0"/>
    <n v="0"/>
    <n v="0"/>
    <n v="0"/>
    <n v="0"/>
    <n v="30"/>
    <n v="213682.08620689649"/>
    <n v="1350000"/>
    <n v="5.7434516344267958"/>
  </r>
  <r>
    <n v="0"/>
    <n v="0.33333333333333331"/>
    <n v="4"/>
    <n v="9"/>
    <s v="F-CAP"/>
    <x v="9"/>
    <s v="SBK-FOREMOST-08"/>
    <s v="SBK-FOREMOST-08SBKBAF5512BG"/>
    <n v="2"/>
    <s v="SBK-FOREMOST-082"/>
    <s v="SBK-FOREMOST-082-SBKBAF5512BEIGEXSS"/>
    <s v="SBK의류외512"/>
    <s v="SBK"/>
    <s v="14FW-J"/>
    <m/>
    <s v="SBK"/>
    <s v="SMITH BRIDGE_KIDS"/>
    <s v="F"/>
    <n v="5"/>
    <s v="BA"/>
    <s v="BASIC CAP"/>
    <s v="K"/>
    <n v="512"/>
    <n v="512"/>
    <s v="SBKBAF5512"/>
    <n v="0.33333333333333331"/>
    <s v="14FW-JILL-BY_04_BG_KIDS"/>
    <s v="BG"/>
    <s v="BEIGE"/>
    <s v="SBKBAF5512BG"/>
    <x v="0"/>
    <n v="0.33333333333333331"/>
    <s v="겉감1:  울 20% 폴리에스터  80%     겉감2:  면  98 % 스판 2%"/>
    <n v="1"/>
    <s v="XSS"/>
    <n v="250"/>
    <x v="4"/>
    <n v="8"/>
    <x v="15"/>
    <s v="M"/>
    <s v="CN"/>
    <x v="0"/>
    <n v="45000"/>
    <x v="12"/>
    <n v="6818.1818181818171"/>
    <n v="7075.2954054054098"/>
    <n v="257.11358722359273"/>
    <n v="1025.40540540541"/>
    <n v="0"/>
    <s v=""/>
    <n v="1025.40540540541"/>
    <n v="4.8499999999999996"/>
    <n v="0"/>
    <d v="2014-04-10T00:00:00"/>
    <d v="2014-08-31T00:00:00"/>
    <d v="2014-08-13T00:00:00"/>
    <d v="1899-12-30T00:00:00"/>
    <d v="2014-09-05T00:00:00"/>
    <d v="1899-12-30T00:00:00"/>
    <d v="1899-12-30T00:00:00"/>
    <d v="1899-12-30T00:00:00"/>
    <d v="1899-12-30T00:00:00"/>
    <x v="0"/>
    <s v="확정"/>
    <n v="250"/>
    <n v="0"/>
    <n v="0"/>
    <n v="0"/>
    <n v="0"/>
    <n v="0"/>
    <n v="250"/>
    <n v="1768823.8513513524"/>
    <n v="11250000"/>
    <n v="5.7819622453978434"/>
  </r>
  <r>
    <n v="0"/>
    <n v="0.33333333333333331"/>
    <n v="4"/>
    <n v="9"/>
    <s v="F-CAP"/>
    <x v="9"/>
    <s v="SBK-FOREMOST-08"/>
    <s v="SBK-FOREMOST-08SBKBAF5512BG"/>
    <n v="2"/>
    <s v="SBK-FOREMOST-082"/>
    <s v="SBK-FOREMOST-082-SBKBAF5512BEIGEOSM"/>
    <s v="SBK의류외512"/>
    <s v="SBK"/>
    <s v="14FW-J"/>
    <m/>
    <s v="SBK"/>
    <s v="SMITH BRIDGE_KIDS"/>
    <s v="F"/>
    <n v="5"/>
    <s v="BA"/>
    <s v="BASIC CAP"/>
    <s v="K"/>
    <n v="512"/>
    <n v="512"/>
    <s v="SBKBAF5512"/>
    <n v="0.33333333333333331"/>
    <s v="14FW-JILL-BY_04_BG_KIDS"/>
    <s v="BG"/>
    <s v="BEIGE"/>
    <s v="SBKBAF5512BG"/>
    <x v="0"/>
    <n v="0.33333333333333331"/>
    <s v="겉감1:  울 20% 폴리에스터  80%     겉감2:  면  98 % 스판 2%"/>
    <n v="1"/>
    <s v="OSM"/>
    <n v="70"/>
    <x v="4"/>
    <n v="8"/>
    <x v="15"/>
    <s v="M"/>
    <s v="CN"/>
    <x v="0"/>
    <n v="45000"/>
    <x v="12"/>
    <n v="6818.1818181818171"/>
    <n v="7075.2954054054098"/>
    <n v="257.11358722359273"/>
    <n v="1025.40540540541"/>
    <n v="0"/>
    <s v=""/>
    <n v="1025.40540540541"/>
    <n v="4.8499999999999996"/>
    <n v="0"/>
    <d v="2014-04-10T00:00:00"/>
    <d v="2014-08-31T00:00:00"/>
    <d v="2014-08-13T00:00:00"/>
    <d v="1899-12-30T00:00:00"/>
    <d v="2014-09-05T00:00:00"/>
    <d v="1899-12-30T00:00:00"/>
    <d v="1899-12-30T00:00:00"/>
    <d v="1899-12-30T00:00:00"/>
    <d v="1899-12-30T00:00:00"/>
    <x v="0"/>
    <s v="확정"/>
    <n v="70"/>
    <n v="0"/>
    <n v="0"/>
    <n v="0"/>
    <n v="0"/>
    <n v="0"/>
    <n v="70"/>
    <n v="495270.67837837868"/>
    <n v="3150000"/>
    <n v="5.7819622453978434"/>
  </r>
  <r>
    <n v="0"/>
    <n v="0.33333333333333331"/>
    <n v="4"/>
    <n v="9"/>
    <s v="F-CAP"/>
    <x v="9"/>
    <s v="SBK-FOREMOST-08"/>
    <s v="SBK-FOREMOST-08SBKBAF5512BG"/>
    <n v="2"/>
    <s v="SBK-FOREMOST-082"/>
    <s v="SBK-FOREMOST-082-SBKBAF5512BEIGEOML"/>
    <s v="SBK의류외512"/>
    <s v="SBK"/>
    <s v="14FW-J"/>
    <m/>
    <s v="SBK"/>
    <s v="SMITH BRIDGE_KIDS"/>
    <s v="F"/>
    <n v="5"/>
    <s v="BA"/>
    <s v="BASIC CAP"/>
    <s v="K"/>
    <n v="512"/>
    <n v="512"/>
    <s v="SBKBAF5512"/>
    <n v="0.33333333333333331"/>
    <s v="14FW-JILL-BY_04_BG_KIDS"/>
    <s v="BG"/>
    <s v="BEIGE"/>
    <s v="SBKBAF5512BG"/>
    <x v="0"/>
    <n v="0.33333333333333331"/>
    <s v="겉감1:  울 20% 폴리에스터  80%     겉감2:  면  98 % 스판 2%"/>
    <n v="1"/>
    <s v="OML"/>
    <n v="50"/>
    <x v="4"/>
    <n v="8"/>
    <x v="15"/>
    <s v="M"/>
    <s v="CN"/>
    <x v="0"/>
    <n v="45000"/>
    <x v="12"/>
    <n v="6818.1818181818171"/>
    <n v="7075.2954054054098"/>
    <n v="257.11358722359273"/>
    <n v="1025.40540540541"/>
    <n v="0"/>
    <s v=""/>
    <n v="1025.40540540541"/>
    <n v="4.8499999999999996"/>
    <n v="0"/>
    <d v="2014-04-10T00:00:00"/>
    <d v="2014-08-31T00:00:00"/>
    <d v="2014-08-13T00:00:00"/>
    <d v="1899-12-30T00:00:00"/>
    <d v="2014-09-05T00:00:00"/>
    <d v="1899-12-30T00:00:00"/>
    <d v="1899-12-30T00:00:00"/>
    <d v="1899-12-30T00:00:00"/>
    <d v="1899-12-30T00:00:00"/>
    <x v="0"/>
    <s v="확정"/>
    <n v="50"/>
    <n v="0"/>
    <n v="0"/>
    <n v="0"/>
    <n v="0"/>
    <n v="0"/>
    <n v="50"/>
    <n v="353764.77027027047"/>
    <n v="2250000"/>
    <n v="5.7819622453978434"/>
  </r>
  <r>
    <n v="0"/>
    <n v="0.33333333333333331"/>
    <n v="4"/>
    <n v="10"/>
    <s v="F-CAP"/>
    <x v="9"/>
    <s v="SBK-FOREMOST-08"/>
    <s v="SBK-FOREMOST-08SBKMIF5514RE"/>
    <n v="3"/>
    <s v="SBK-FOREMOST-083"/>
    <s v="SBK-FOREMOST-083-SBKMIF5514REDXSS"/>
    <s v="SBK의류외514"/>
    <s v="SBK"/>
    <s v="14FW-J"/>
    <m/>
    <s v="SBK"/>
    <s v="SMITH BRIDGE_KIDS"/>
    <s v="F"/>
    <n v="5"/>
    <s v="MI"/>
    <s v="MILITARY CAP"/>
    <s v="K"/>
    <n v="514"/>
    <n v="514"/>
    <s v="SBKMIF5514"/>
    <n v="0.33333333333333331"/>
    <s v="14FW-JILL-BY_31_RE_KIDS"/>
    <s v="RE"/>
    <s v="RED"/>
    <s v="SBKMIF5514RE"/>
    <x v="0"/>
    <n v="0.33333333333333331"/>
    <s v="겉감1 : 울  20% 폴리에스터80%  겉감2: # 면 96% 스판4%"/>
    <n v="1"/>
    <s v="XSS"/>
    <n v="200"/>
    <x v="4"/>
    <n v="8"/>
    <x v="15"/>
    <s v="M"/>
    <s v="CN"/>
    <x v="0"/>
    <n v="43000"/>
    <x v="12"/>
    <n v="6515.151515151515"/>
    <n v="7304.7000000000007"/>
    <n v="789.54848484848571"/>
    <n v="444"/>
    <n v="0"/>
    <s v=""/>
    <n v="444"/>
    <n v="5.5"/>
    <n v="0"/>
    <d v="2014-04-10T00:00:00"/>
    <d v="1899-12-30T00:00:00"/>
    <d v="2014-08-13T00:00:00"/>
    <d v="1899-12-30T00:00:00"/>
    <d v="2014-10-01T00:00:00"/>
    <d v="1899-12-30T00:00:00"/>
    <d v="1899-12-30T00:00:00"/>
    <d v="1899-12-30T00:00:00"/>
    <d v="1899-12-30T00:00:00"/>
    <x v="0"/>
    <s v="확정"/>
    <n v="200"/>
    <n v="0"/>
    <n v="0"/>
    <n v="0"/>
    <n v="0"/>
    <n v="0"/>
    <n v="200"/>
    <n v="1460940.0000000002"/>
    <n v="8600000"/>
    <n v="5.3514735842552161"/>
  </r>
  <r>
    <n v="0"/>
    <n v="0.33333333333333331"/>
    <n v="4"/>
    <n v="10"/>
    <s v="F-CAP"/>
    <x v="9"/>
    <s v="SBK-FOREMOST-08"/>
    <s v="SBK-FOREMOST-08SBKMIF5514RE"/>
    <n v="3"/>
    <s v="SBK-FOREMOST-083"/>
    <s v="SBK-FOREMOST-083-SBKMIF5514REDOSM"/>
    <s v="SBK의류외514"/>
    <s v="SBK"/>
    <s v="14FW-J"/>
    <m/>
    <s v="SBK"/>
    <s v="SMITH BRIDGE_KIDS"/>
    <s v="F"/>
    <n v="5"/>
    <s v="MI"/>
    <s v="MILITARY CAP"/>
    <s v="K"/>
    <n v="514"/>
    <n v="514"/>
    <s v="SBKMIF5514"/>
    <n v="0.33333333333333331"/>
    <s v="14FW-JILL-BY_31_RE_KIDS"/>
    <s v="RE"/>
    <s v="RED"/>
    <s v="SBKMIF5514RE"/>
    <x v="0"/>
    <n v="0.33333333333333331"/>
    <s v="겉감1 : 울  20% 폴리에스터80%  겉감2: # 면 96% 스판4%"/>
    <n v="1"/>
    <s v="OSM"/>
    <n v="150"/>
    <x v="4"/>
    <n v="8"/>
    <x v="15"/>
    <s v="M"/>
    <s v="CN"/>
    <x v="0"/>
    <n v="43000"/>
    <x v="12"/>
    <n v="6515.151515151515"/>
    <n v="7304.7000000000007"/>
    <n v="789.54848484848571"/>
    <n v="444"/>
    <n v="0"/>
    <s v=""/>
    <n v="444"/>
    <n v="5.5"/>
    <n v="0"/>
    <d v="2014-04-10T00:00:00"/>
    <d v="1899-12-30T00:00:00"/>
    <d v="2014-08-13T00:00:00"/>
    <d v="1899-12-30T00:00:00"/>
    <d v="2014-10-01T00:00:00"/>
    <d v="1899-12-30T00:00:00"/>
    <d v="1899-12-30T00:00:00"/>
    <d v="1899-12-30T00:00:00"/>
    <d v="1899-12-30T00:00:00"/>
    <x v="0"/>
    <s v="확정"/>
    <n v="150"/>
    <n v="0"/>
    <n v="0"/>
    <n v="0"/>
    <n v="0"/>
    <n v="0"/>
    <n v="150"/>
    <n v="1095705"/>
    <n v="6450000"/>
    <n v="5.3514735842552179"/>
  </r>
  <r>
    <n v="0"/>
    <n v="0.33333333333333331"/>
    <n v="4"/>
    <n v="10"/>
    <s v="F-CAP"/>
    <x v="9"/>
    <s v="SBK-FOREMOST-08"/>
    <s v="SBK-FOREMOST-08SBKMIF5514RE"/>
    <n v="3"/>
    <s v="SBK-FOREMOST-083"/>
    <s v="SBK-FOREMOST-083-SBKMIF5514REDOML"/>
    <s v="SBK의류외514"/>
    <s v="SBK"/>
    <s v="14FW-J"/>
    <m/>
    <s v="SBK"/>
    <s v="SMITH BRIDGE_KIDS"/>
    <s v="F"/>
    <n v="5"/>
    <s v="MI"/>
    <s v="MILITARY CAP"/>
    <s v="K"/>
    <n v="514"/>
    <n v="514"/>
    <s v="SBKMIF5514"/>
    <n v="0.33333333333333331"/>
    <s v="14FW-JILL-BY_31_RE_KIDS"/>
    <s v="RE"/>
    <s v="RED"/>
    <s v="SBKMIF5514RE"/>
    <x v="0"/>
    <n v="0.33333333333333331"/>
    <s v="겉감1 : 울  20% 폴리에스터80%  겉감2: # 면 96% 스판4%"/>
    <n v="1"/>
    <s v="OML"/>
    <n v="100"/>
    <x v="4"/>
    <n v="8"/>
    <x v="15"/>
    <s v="M"/>
    <s v="CN"/>
    <x v="0"/>
    <n v="43000"/>
    <x v="12"/>
    <n v="6515.151515151515"/>
    <n v="7304.7000000000007"/>
    <n v="789.54848484848571"/>
    <n v="444"/>
    <n v="0"/>
    <s v=""/>
    <n v="444"/>
    <n v="5.5"/>
    <n v="0"/>
    <d v="2014-04-10T00:00:00"/>
    <d v="1899-12-30T00:00:00"/>
    <d v="2014-08-13T00:00:00"/>
    <d v="1899-12-30T00:00:00"/>
    <d v="2014-10-01T00:00:00"/>
    <d v="1899-12-30T00:00:00"/>
    <d v="1899-12-30T00:00:00"/>
    <d v="1899-12-30T00:00:00"/>
    <d v="1899-12-30T00:00:00"/>
    <x v="0"/>
    <s v="확정"/>
    <n v="100"/>
    <n v="0"/>
    <n v="0"/>
    <n v="0"/>
    <n v="0"/>
    <n v="0"/>
    <n v="100"/>
    <n v="730470.00000000012"/>
    <n v="4300000"/>
    <n v="5.3514735842552161"/>
  </r>
  <r>
    <n v="0"/>
    <n v="0.33333333333333331"/>
    <n v="4"/>
    <n v="10"/>
    <s v="F-CAP"/>
    <x v="9"/>
    <s v="SBK-FOREMOST-08"/>
    <s v="SBK-FOREMOST-08SBKMIF5515NY"/>
    <n v="4"/>
    <s v="SBK-FOREMOST-084"/>
    <s v="SBK-FOREMOST-084-SBKMIF5515NAVYXSS"/>
    <s v="SBK의류외515"/>
    <s v="SBK"/>
    <s v="14FW-J"/>
    <m/>
    <s v="SBK"/>
    <s v="SMITH BRIDGE_KIDS"/>
    <s v="F"/>
    <n v="5"/>
    <s v="MI"/>
    <s v="MILITARY CAP"/>
    <s v="K"/>
    <n v="515"/>
    <n v="515"/>
    <s v="SBKMIF5515"/>
    <n v="0.33333333333333331"/>
    <s v="14FW-JILL-BY_19_NV_KIDS"/>
    <s v="NY"/>
    <s v="NAVY"/>
    <s v="SBKMIF5515NY"/>
    <x v="0"/>
    <n v="0.33333333333333331"/>
    <s v="겉감 : 울  20%  폴리에스터 80% "/>
    <n v="1"/>
    <s v="XSS"/>
    <n v="200"/>
    <x v="4"/>
    <n v="8"/>
    <x v="15"/>
    <s v="M"/>
    <s v="CN"/>
    <x v="0"/>
    <n v="45000"/>
    <x v="12"/>
    <n v="6818.1818181818171"/>
    <n v="7555.3700000000008"/>
    <n v="737.18818181818369"/>
    <n v="1256"/>
    <n v="0"/>
    <s v=""/>
    <n v="1256"/>
    <n v="5.05"/>
    <n v="0"/>
    <d v="2014-04-10T00:00:00"/>
    <d v="1899-12-30T00:00:00"/>
    <d v="2014-08-13T00:00:00"/>
    <d v="1899-12-30T00:00:00"/>
    <d v="2014-10-29T00:00:00"/>
    <d v="1899-12-30T00:00:00"/>
    <d v="1899-12-30T00:00:00"/>
    <d v="1899-12-30T00:00:00"/>
    <d v="1899-12-30T00:00:00"/>
    <x v="0"/>
    <s v="확정"/>
    <n v="86"/>
    <n v="0"/>
    <n v="0"/>
    <n v="0"/>
    <n v="0"/>
    <m/>
    <n v="200"/>
    <n v="1511074.0000000002"/>
    <n v="9000000"/>
    <n v="5.4145714781792158"/>
  </r>
  <r>
    <n v="0"/>
    <n v="0.33333333333333331"/>
    <n v="4"/>
    <n v="10"/>
    <s v="F-CAP"/>
    <x v="9"/>
    <s v="SBK-FOREMOST-08"/>
    <s v="SBK-FOREMOST-08SBKMIF5515NY"/>
    <n v="4"/>
    <s v="SBK-FOREMOST-084"/>
    <s v="SBK-FOREMOST-084-SBKMIF5515NAVYOSM"/>
    <s v="SBK의류외515"/>
    <s v="SBK"/>
    <s v="14FW-J"/>
    <m/>
    <s v="SBK"/>
    <s v="SMITH BRIDGE_KIDS"/>
    <s v="F"/>
    <n v="5"/>
    <s v="MI"/>
    <s v="MILITARY CAP"/>
    <s v="K"/>
    <n v="515"/>
    <n v="515"/>
    <s v="SBKMIF5515"/>
    <n v="0.33333333333333331"/>
    <s v="14FW-JILL-BY_19_NV_KIDS"/>
    <s v="NY"/>
    <s v="NAVY"/>
    <s v="SBKMIF5515NY"/>
    <x v="0"/>
    <n v="0.33333333333333331"/>
    <s v="겉감 : 울  20%  폴리에스터 80% "/>
    <n v="1"/>
    <s v="OSM"/>
    <n v="150"/>
    <x v="4"/>
    <n v="8"/>
    <x v="15"/>
    <s v="M"/>
    <s v="CN"/>
    <x v="0"/>
    <n v="45000"/>
    <x v="12"/>
    <n v="6818.1818181818171"/>
    <n v="7555.3700000000008"/>
    <n v="737.18818181818369"/>
    <n v="1256"/>
    <n v="0"/>
    <s v=""/>
    <n v="1256"/>
    <n v="5.05"/>
    <n v="0"/>
    <d v="2014-04-10T00:00:00"/>
    <d v="1899-12-30T00:00:00"/>
    <d v="2014-08-13T00:00:00"/>
    <d v="1899-12-30T00:00:00"/>
    <d v="2014-10-29T00:00:00"/>
    <d v="1899-12-30T00:00:00"/>
    <d v="1899-12-30T00:00:00"/>
    <d v="1899-12-30T00:00:00"/>
    <d v="1899-12-30T00:00:00"/>
    <x v="0"/>
    <s v="확정"/>
    <n v="63"/>
    <n v="0"/>
    <n v="0"/>
    <n v="0"/>
    <n v="0"/>
    <m/>
    <n v="150"/>
    <n v="1133305.5000000002"/>
    <n v="6750000"/>
    <n v="5.4145714781792158"/>
  </r>
  <r>
    <n v="0"/>
    <n v="0.33333333333333331"/>
    <n v="4"/>
    <n v="10"/>
    <s v="F-CAP"/>
    <x v="9"/>
    <s v="SBK-FOREMOST-08"/>
    <s v="SBK-FOREMOST-08SBKMIF5515NY"/>
    <n v="4"/>
    <s v="SBK-FOREMOST-084"/>
    <s v="SBK-FOREMOST-084-SBKMIF5515NAVYOML"/>
    <s v="SBK의류외515"/>
    <s v="SBK"/>
    <s v="14FW-J"/>
    <m/>
    <s v="SBK"/>
    <s v="SMITH BRIDGE_KIDS"/>
    <s v="F"/>
    <n v="5"/>
    <s v="MI"/>
    <s v="MILITARY CAP"/>
    <s v="K"/>
    <n v="515"/>
    <n v="515"/>
    <s v="SBKMIF5515"/>
    <n v="0.33333333333333331"/>
    <s v="14FW-JILL-BY_19_NV_KIDS"/>
    <s v="NY"/>
    <s v="NAVY"/>
    <s v="SBKMIF5515NY"/>
    <x v="0"/>
    <n v="0.33333333333333331"/>
    <s v="겉감 : 울  20%  폴리에스터 80% "/>
    <n v="1"/>
    <s v="OML"/>
    <n v="100"/>
    <x v="4"/>
    <n v="8"/>
    <x v="15"/>
    <s v="M"/>
    <s v="CN"/>
    <x v="0"/>
    <n v="45000"/>
    <x v="12"/>
    <n v="6818.1818181818171"/>
    <n v="7555.3700000000008"/>
    <n v="737.18818181818369"/>
    <n v="1256"/>
    <n v="0"/>
    <s v=""/>
    <n v="1256"/>
    <n v="5.05"/>
    <n v="0"/>
    <d v="2014-04-10T00:00:00"/>
    <d v="1899-12-30T00:00:00"/>
    <d v="2014-08-13T00:00:00"/>
    <d v="1899-12-30T00:00:00"/>
    <d v="2014-10-29T00:00:00"/>
    <d v="1899-12-30T00:00:00"/>
    <d v="1899-12-30T00:00:00"/>
    <d v="1899-12-30T00:00:00"/>
    <d v="1899-12-30T00:00:00"/>
    <x v="0"/>
    <s v="확정"/>
    <n v="43"/>
    <n v="0"/>
    <n v="0"/>
    <n v="0"/>
    <n v="0"/>
    <m/>
    <n v="100"/>
    <n v="755537.00000000012"/>
    <n v="4500000"/>
    <n v="5.4145714781792158"/>
  </r>
  <r>
    <n v="0"/>
    <n v="0.33333333333333331"/>
    <n v="4"/>
    <n v="10"/>
    <s v="F-CAP"/>
    <x v="9"/>
    <s v="SBK-FOREMOST-08"/>
    <s v="SBK-FOREMOST-08SBKMIF5509KH"/>
    <n v="5"/>
    <s v="SBK-FOREMOST-085"/>
    <s v="SBK-FOREMOST-085-SBKMIF5509KHAKIXSS"/>
    <s v="SBK의류외509"/>
    <s v="SBK"/>
    <s v="13FW-J"/>
    <m/>
    <s v="SBK"/>
    <s v="SMITH BRIDGE_KIDS"/>
    <s v="F"/>
    <n v="5"/>
    <s v="MI"/>
    <s v="MILITARY CAP"/>
    <s v="K"/>
    <n v="509"/>
    <n v="509"/>
    <s v="SBKMIF5509"/>
    <n v="0.33333333333333331"/>
    <s v="13FW-JILLBY-31_KH_KIDS (JILMIE5318KH)"/>
    <s v="KH"/>
    <s v="KHAKI"/>
    <s v="SBKMIF5509KH"/>
    <x v="0"/>
    <n v="0.33333333333333331"/>
    <s v="폴리에스터 40% 아크릴 20% 레이온 20% 울 20%"/>
    <n v="1"/>
    <s v="XSS"/>
    <n v="200"/>
    <x v="4"/>
    <n v="8"/>
    <x v="15"/>
    <s v="M"/>
    <s v="CN"/>
    <x v="0"/>
    <n v="35000"/>
    <x v="12"/>
    <n v="5303.030303030303"/>
    <n v="5573.5288888888899"/>
    <n v="270.49858585858692"/>
    <n v="1082.8888888888901"/>
    <n v="0"/>
    <s v=""/>
    <n v="1082.8888888888901"/>
    <n v="3.6"/>
    <n v="0"/>
    <d v="2014-04-10T00:00:00"/>
    <d v="1899-12-30T00:00:00"/>
    <d v="2014-08-13T00:00:00"/>
    <d v="1899-12-30T00:00:00"/>
    <d v="2014-10-01T00:00:00"/>
    <d v="2014-11-14T00:00:00"/>
    <d v="1899-12-30T00:00:00"/>
    <d v="1899-12-30T00:00:00"/>
    <d v="1899-12-30T00:00:00"/>
    <x v="0"/>
    <s v="확정"/>
    <n v="149"/>
    <n v="50"/>
    <n v="0"/>
    <n v="0"/>
    <n v="0"/>
    <n v="0"/>
    <n v="200"/>
    <n v="1114705.777777778"/>
    <n v="7000000"/>
    <n v="5.7088036058470895"/>
  </r>
  <r>
    <n v="0"/>
    <n v="0.33333333333333331"/>
    <n v="4"/>
    <n v="10"/>
    <s v="F-CAP"/>
    <x v="9"/>
    <s v="SBK-FOREMOST-08"/>
    <s v="SBK-FOREMOST-08SBKMIF5509KH"/>
    <n v="5"/>
    <s v="SBK-FOREMOST-085"/>
    <s v="SBK-FOREMOST-085-SBKMIF5509KHAKIOSM"/>
    <s v="SBK의류외509"/>
    <s v="SBK"/>
    <s v="13FW-J"/>
    <m/>
    <s v="SBK"/>
    <s v="SMITH BRIDGE_KIDS"/>
    <s v="F"/>
    <n v="5"/>
    <s v="MI"/>
    <s v="MILITARY CAP"/>
    <s v="K"/>
    <n v="509"/>
    <n v="509"/>
    <s v="SBKMIF5509"/>
    <n v="0.33333333333333331"/>
    <s v="13FW-JILLBY-31_KH_KIDS (JILMIE5318KH)"/>
    <s v="KH"/>
    <s v="KHAKI"/>
    <s v="SBKMIF5509KH"/>
    <x v="0"/>
    <n v="0.33333333333333331"/>
    <s v="폴리에스터 40% 아크릴 20% 레이온 20% 울 20%"/>
    <n v="1"/>
    <s v="OSM"/>
    <n v="150"/>
    <x v="4"/>
    <n v="8"/>
    <x v="15"/>
    <s v="M"/>
    <s v="CN"/>
    <x v="0"/>
    <n v="35000"/>
    <x v="12"/>
    <n v="5303.030303030303"/>
    <n v="5573.5288888888899"/>
    <n v="270.49858585858692"/>
    <n v="1082.8888888888901"/>
    <n v="0"/>
    <s v=""/>
    <n v="1082.8888888888901"/>
    <n v="3.6"/>
    <n v="0"/>
    <d v="2014-04-10T00:00:00"/>
    <d v="1899-12-30T00:00:00"/>
    <d v="2014-08-13T00:00:00"/>
    <d v="1899-12-30T00:00:00"/>
    <d v="2014-10-01T00:00:00"/>
    <d v="2014-11-14T00:00:00"/>
    <d v="1899-12-30T00:00:00"/>
    <d v="1899-12-30T00:00:00"/>
    <d v="1899-12-30T00:00:00"/>
    <x v="0"/>
    <s v="확정"/>
    <n v="150"/>
    <n v="0"/>
    <n v="0"/>
    <n v="0"/>
    <n v="0"/>
    <n v="0"/>
    <n v="150"/>
    <n v="836029.33333333349"/>
    <n v="5250000"/>
    <n v="5.7088036058470886"/>
  </r>
  <r>
    <n v="0"/>
    <n v="0.33333333333333331"/>
    <n v="4"/>
    <n v="10"/>
    <s v="F-CAP"/>
    <x v="9"/>
    <s v="SBK-FOREMOST-08"/>
    <s v="SBK-FOREMOST-08SBKMIF5509KH"/>
    <n v="5"/>
    <s v="SBK-FOREMOST-085"/>
    <s v="SBK-FOREMOST-085-SBKMIF5509KHAKIOML"/>
    <s v="SBK의류외509"/>
    <s v="SBK"/>
    <s v="13FW-J"/>
    <m/>
    <s v="SBK"/>
    <s v="SMITH BRIDGE_KIDS"/>
    <s v="F"/>
    <n v="5"/>
    <s v="MI"/>
    <s v="MILITARY CAP"/>
    <s v="K"/>
    <n v="509"/>
    <n v="509"/>
    <s v="SBKMIF5509"/>
    <n v="0.33333333333333331"/>
    <s v="13FW-JILLBY-31_KH_KIDS (JILMIE5318KH)"/>
    <s v="KH"/>
    <s v="KHAKI"/>
    <s v="SBKMIF5509KH"/>
    <x v="0"/>
    <n v="0.33333333333333331"/>
    <s v="폴리에스터 40% 아크릴 20% 레이온 20% 울 20%"/>
    <n v="1"/>
    <s v="OML"/>
    <n v="100"/>
    <x v="4"/>
    <n v="8"/>
    <x v="15"/>
    <s v="M"/>
    <s v="CN"/>
    <x v="0"/>
    <n v="35000"/>
    <x v="12"/>
    <n v="5303.030303030303"/>
    <n v="5573.5288888888899"/>
    <n v="270.49858585858692"/>
    <n v="1082.8888888888901"/>
    <n v="0"/>
    <s v=""/>
    <n v="1082.8888888888901"/>
    <n v="3.6"/>
    <n v="0"/>
    <d v="2014-04-10T00:00:00"/>
    <d v="1899-12-30T00:00:00"/>
    <d v="2014-08-13T00:00:00"/>
    <d v="1899-12-30T00:00:00"/>
    <d v="2014-10-01T00:00:00"/>
    <d v="2014-11-14T00:00:00"/>
    <d v="1899-12-30T00:00:00"/>
    <d v="1899-12-30T00:00:00"/>
    <d v="1899-12-30T00:00:00"/>
    <x v="0"/>
    <s v="확정"/>
    <n v="100"/>
    <n v="0"/>
    <n v="0"/>
    <n v="0"/>
    <n v="0"/>
    <n v="0"/>
    <n v="100"/>
    <n v="557352.88888888899"/>
    <n v="3500000"/>
    <n v="5.7088036058470895"/>
  </r>
  <r>
    <n v="0"/>
    <n v="0"/>
    <s v=""/>
    <s v=""/>
    <s v=""/>
    <x v="1"/>
    <s v=""/>
    <s v=""/>
    <n v="0"/>
    <s v="0"/>
    <s v="0-"/>
    <n v="0"/>
    <s v="TTL"/>
    <s v=""/>
    <s v="SBK-FOREMOST-08 TTL"/>
    <m/>
    <s v=""/>
    <s v=""/>
    <s v=""/>
    <m/>
    <s v=""/>
    <s v="K"/>
    <m/>
    <s v=""/>
    <s v=""/>
    <n v="4.9999999999999991"/>
    <m/>
    <s v=""/>
    <m/>
    <s v=""/>
    <x v="0"/>
    <n v="4.999999999999999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701"/>
    <n v="50"/>
    <n v="0"/>
    <n v="0"/>
    <n v="0"/>
    <n v="0"/>
    <n v="2010"/>
    <n v="13878572.300000001"/>
    <n v="85050000"/>
    <n v="5.5710472335963415"/>
  </r>
  <r>
    <n v="0"/>
    <n v="0.33333333333333331"/>
    <n v="4"/>
    <n v="9"/>
    <s v="F-CAP"/>
    <x v="9"/>
    <s v="SBK-FOREMOST-09"/>
    <s v="SBK-FOREMOST-09SBKERF5519PK"/>
    <n v="1"/>
    <s v="SBK-FOREMOST-091"/>
    <s v="SBK-FOREMOST-091-SBKERF5519PINKXSS"/>
    <s v="SBK의류외519"/>
    <s v="SBK"/>
    <s v="14FW-J"/>
    <m/>
    <s v="SBK"/>
    <s v="SMITH BRIDGE_KIDS"/>
    <s v="F"/>
    <n v="5"/>
    <s v="ER"/>
    <s v="EARCAP"/>
    <s v="K"/>
    <n v="519"/>
    <n v="519"/>
    <s v="SBKERF5519"/>
    <n v="0.33333333333333331"/>
    <s v="14FW-JILL-_x000a_BY_13_PK_KIDS"/>
    <s v="PK"/>
    <s v="PINK"/>
    <s v="SBKERF5519PK"/>
    <x v="0"/>
    <n v="0.33333333333333331"/>
    <s v="울 50% 폴리에스터 50%"/>
    <n v="1"/>
    <s v="XSS"/>
    <n v="250"/>
    <x v="4"/>
    <n v="9"/>
    <x v="8"/>
    <s v="M"/>
    <s v="CN"/>
    <x v="0"/>
    <n v="45000"/>
    <x v="12"/>
    <n v="6818.1818181818171"/>
    <n v="7866.113333333331"/>
    <n v="1047.9315151515138"/>
    <n v="2003.3333333333301"/>
    <n v="0"/>
    <s v=""/>
    <n v="2003.3333333333301"/>
    <n v="4.7"/>
    <n v="0"/>
    <d v="2014-04-10T00:00:00"/>
    <d v="1899-12-30T00:00:00"/>
    <d v="2014-08-28T00:00:00"/>
    <d v="1899-12-30T00:00:00"/>
    <d v="2014-09-24T00:00:00"/>
    <d v="1899-12-30T00:00:00"/>
    <d v="1899-12-30T00:00:00"/>
    <d v="1899-12-30T00:00:00"/>
    <d v="1899-12-30T00:00:00"/>
    <x v="0"/>
    <s v="확정"/>
    <n v="250"/>
    <n v="0"/>
    <n v="0"/>
    <n v="0"/>
    <n v="0"/>
    <n v="0"/>
    <n v="250"/>
    <n v="1966528.3333333328"/>
    <n v="11250000"/>
    <n v="5.2006739765285506"/>
  </r>
  <r>
    <n v="0"/>
    <n v="0.33333333333333331"/>
    <n v="4"/>
    <n v="9"/>
    <s v="F-CAP"/>
    <x v="9"/>
    <s v="SBK-FOREMOST-09"/>
    <s v="SBK-FOREMOST-09SBKERF5519PK"/>
    <n v="1"/>
    <s v="SBK-FOREMOST-091"/>
    <s v="SBK-FOREMOST-091-SBKERF5519PINKOSM"/>
    <s v="SBK의류외519"/>
    <s v="SBK"/>
    <s v="14FW-J"/>
    <m/>
    <s v="SBK"/>
    <s v="SMITH BRIDGE_KIDS"/>
    <s v="F"/>
    <n v="5"/>
    <s v="ER"/>
    <s v="EARCAP"/>
    <s v="K"/>
    <n v="519"/>
    <n v="519"/>
    <s v="SBKERF5519"/>
    <n v="0.33333333333333331"/>
    <s v="14FW-JILL-_x000a_BY_13_PK_KIDS"/>
    <s v="PK"/>
    <s v="PINK"/>
    <s v="SBKERF5519PK"/>
    <x v="0"/>
    <n v="0.33333333333333331"/>
    <s v="울 50% 폴리에스터 50%"/>
    <n v="1"/>
    <s v="OSM"/>
    <n v="200"/>
    <x v="4"/>
    <n v="9"/>
    <x v="8"/>
    <s v="M"/>
    <s v="CN"/>
    <x v="0"/>
    <n v="45000"/>
    <x v="12"/>
    <n v="6818.1818181818171"/>
    <n v="7866.113333333331"/>
    <n v="1047.9315151515138"/>
    <n v="2003.3333333333301"/>
    <n v="0"/>
    <s v=""/>
    <n v="2003.3333333333301"/>
    <n v="4.7"/>
    <n v="0"/>
    <d v="2014-04-10T00:00:00"/>
    <d v="1899-12-30T00:00:00"/>
    <d v="2014-08-28T00:00:00"/>
    <d v="1899-12-30T00:00:00"/>
    <d v="2014-09-24T00:00:00"/>
    <d v="1899-12-30T00:00:00"/>
    <d v="1899-12-30T00:00:00"/>
    <d v="1899-12-30T00:00:00"/>
    <d v="1899-12-30T00:00:00"/>
    <x v="0"/>
    <s v="확정"/>
    <n v="200"/>
    <n v="0"/>
    <n v="0"/>
    <n v="0"/>
    <n v="0"/>
    <n v="0"/>
    <n v="200"/>
    <n v="1573222.6666666663"/>
    <n v="9000000"/>
    <n v="5.2006739765285497"/>
  </r>
  <r>
    <n v="0"/>
    <n v="0.33333333333333331"/>
    <n v="4"/>
    <n v="9"/>
    <s v="F-CAP"/>
    <x v="9"/>
    <s v="SBK-FOREMOST-09"/>
    <s v="SBK-FOREMOST-09SBKERF5519PK"/>
    <n v="1"/>
    <s v="SBK-FOREMOST-091"/>
    <s v="SBK-FOREMOST-091-SBKERF5519PINKOML"/>
    <s v="SBK의류외519"/>
    <s v="SBK"/>
    <s v="14FW-J"/>
    <m/>
    <s v="SBK"/>
    <s v="SMITH BRIDGE_KIDS"/>
    <s v="F"/>
    <n v="5"/>
    <s v="ER"/>
    <s v="EARCAP"/>
    <s v="K"/>
    <n v="519"/>
    <n v="519"/>
    <s v="SBKERF5519"/>
    <n v="0.33333333333333331"/>
    <s v="14FW-JILL-_x000a_BY_13_PK_KIDS"/>
    <s v="PK"/>
    <s v="PINK"/>
    <s v="SBKERF5519PK"/>
    <x v="0"/>
    <n v="0.33333333333333331"/>
    <s v="울 50% 폴리에스터 50%"/>
    <n v="1"/>
    <s v="OML"/>
    <n v="150"/>
    <x v="4"/>
    <n v="9"/>
    <x v="8"/>
    <s v="M"/>
    <s v="CN"/>
    <x v="0"/>
    <n v="45000"/>
    <x v="12"/>
    <n v="6818.1818181818171"/>
    <n v="7866.113333333331"/>
    <n v="1047.9315151515138"/>
    <n v="2003.3333333333301"/>
    <n v="0"/>
    <s v=""/>
    <n v="2003.3333333333301"/>
    <n v="4.7"/>
    <n v="0"/>
    <d v="2014-04-10T00:00:00"/>
    <d v="1899-12-30T00:00:00"/>
    <d v="2014-08-28T00:00:00"/>
    <d v="1899-12-30T00:00:00"/>
    <d v="2014-09-24T00:00:00"/>
    <d v="1899-12-30T00:00:00"/>
    <d v="1899-12-30T00:00:00"/>
    <d v="1899-12-30T00:00:00"/>
    <d v="1899-12-30T00:00:00"/>
    <x v="0"/>
    <s v="확정"/>
    <n v="150"/>
    <n v="0"/>
    <n v="0"/>
    <n v="0"/>
    <n v="0"/>
    <n v="0"/>
    <n v="150"/>
    <n v="1179916.9999999995"/>
    <n v="6750000"/>
    <n v="5.2006739765285515"/>
  </r>
  <r>
    <n v="0"/>
    <n v="0"/>
    <s v=""/>
    <s v=""/>
    <s v=""/>
    <x v="1"/>
    <s v=""/>
    <s v=""/>
    <n v="0"/>
    <s v="0"/>
    <s v="0-"/>
    <n v="0"/>
    <s v="TTL"/>
    <s v=""/>
    <s v="SBK-FOREMOST-09 TTL"/>
    <m/>
    <s v=""/>
    <s v=""/>
    <s v=""/>
    <m/>
    <s v=""/>
    <s v="K"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00"/>
    <n v="0"/>
    <n v="0"/>
    <n v="0"/>
    <n v="0"/>
    <n v="0"/>
    <n v="600"/>
    <n v="4719667.9999999981"/>
    <n v="27000000"/>
    <n v="5.2006739765285515"/>
  </r>
  <r>
    <n v="0"/>
    <n v="0"/>
    <n v="4"/>
    <n v="10"/>
    <s v="F-CAP"/>
    <x v="9"/>
    <s v="SBK-Y&amp;Y-02"/>
    <s v="SBK-Y&amp;Y-02SBKBEF5531BK"/>
    <n v="1"/>
    <s v="SBK-Y&amp;Y-021"/>
    <s v="SBK-Y&amp;Y-021-SBKBEF5531BLACKFRE"/>
    <s v="SBK의류외531"/>
    <s v="SBK"/>
    <s v="14FW-J"/>
    <m/>
    <s v="SBK"/>
    <s v="SMITH BRIDGE_KIDS"/>
    <s v="F"/>
    <n v="5"/>
    <s v="BE"/>
    <s v="BEANIE"/>
    <s v="K"/>
    <n v="531"/>
    <n v="531"/>
    <s v="SBKBEF5531"/>
    <n v="0.2"/>
    <s v="14FW-JILLBY-KNIT-67_BK_KIDS"/>
    <s v="BK"/>
    <s v="BLACK"/>
    <s v="SBKBEF5531BK"/>
    <x v="0"/>
    <n v="1"/>
    <s v="울30% 아크릴 70%"/>
    <n v="1"/>
    <s v="FRE"/>
    <n v="200"/>
    <x v="6"/>
    <n v="2"/>
    <x v="4"/>
    <s v="M"/>
    <s v="CN"/>
    <x v="0"/>
    <n v="27000"/>
    <x v="12"/>
    <n v="3506.4935064935062"/>
    <n v="3891.8880000000004"/>
    <n v="385.3944935064942"/>
    <n v="0"/>
    <n v="0"/>
    <s v=""/>
    <n v="0"/>
    <n v="3.12"/>
    <n v="0"/>
    <d v="2014-04-22T00:00:00"/>
    <d v="1899-12-30T00:00:00"/>
    <d v="2014-08-18T00:00:00"/>
    <d v="1899-12-30T00:00:00"/>
    <d v="2014-10-01T00:00:00"/>
    <d v="1899-12-30T00:00:00"/>
    <d v="1899-12-30T00:00:00"/>
    <d v="1899-12-30T00:00:00"/>
    <d v="1899-12-30T00:00:00"/>
    <x v="0"/>
    <s v="확정"/>
    <n v="200"/>
    <n v="0"/>
    <n v="0"/>
    <n v="0"/>
    <n v="0"/>
    <n v="0"/>
    <n v="200"/>
    <n v="778377.60000000009"/>
    <n v="5400000"/>
    <n v="6.3068244886426692"/>
  </r>
  <r>
    <n v="0"/>
    <n v="0"/>
    <n v="4"/>
    <n v="10"/>
    <s v="F-CAP"/>
    <x v="9"/>
    <s v="SBK-Y&amp;Y-02"/>
    <s v="SBK-Y&amp;Y-02SBKBEF5531GY"/>
    <n v="2"/>
    <s v="SBK-Y&amp;Y-022"/>
    <s v="SBK-Y&amp;Y-022-SBKBEF5531GREYFRE"/>
    <s v="SBK의류외531"/>
    <s v="SBK"/>
    <s v="14FW-J"/>
    <m/>
    <s v="SBK"/>
    <s v="SMITH BRIDGE_KIDS"/>
    <s v="F"/>
    <n v="5"/>
    <s v="BE"/>
    <s v="BEANIE"/>
    <s v="K"/>
    <n v="531"/>
    <n v="531"/>
    <s v="SBKBEF5531"/>
    <n v="0.2"/>
    <s v="14FW-JILLBY-KNIT-67_GY_KIDS"/>
    <s v="GY"/>
    <s v="GREY"/>
    <s v="SBKBEF5531GY"/>
    <x v="0"/>
    <n v="1"/>
    <s v="울30% 아크릴 70%"/>
    <n v="1"/>
    <s v="FRE"/>
    <n v="200"/>
    <x v="6"/>
    <n v="2"/>
    <x v="4"/>
    <s v="M"/>
    <s v="CN"/>
    <x v="0"/>
    <n v="27000"/>
    <x v="12"/>
    <n v="3506.4935064935062"/>
    <n v="3891.8880000000004"/>
    <n v="385.3944935064942"/>
    <n v="0"/>
    <n v="0"/>
    <s v=""/>
    <n v="0"/>
    <n v="3.12"/>
    <n v="0"/>
    <d v="2014-04-22T00:00:00"/>
    <d v="1899-12-30T00:00:00"/>
    <d v="2014-08-18T00:00:00"/>
    <d v="1899-12-30T00:00:00"/>
    <d v="2014-10-01T00:00:00"/>
    <d v="1899-12-30T00:00:00"/>
    <d v="1899-12-30T00:00:00"/>
    <d v="1899-12-30T00:00:00"/>
    <d v="1899-12-30T00:00:00"/>
    <x v="0"/>
    <s v="확정"/>
    <n v="200"/>
    <n v="0"/>
    <n v="0"/>
    <n v="0"/>
    <n v="0"/>
    <n v="0"/>
    <n v="200"/>
    <n v="778377.60000000009"/>
    <n v="5400000"/>
    <n v="6.3068244886426692"/>
  </r>
  <r>
    <n v="0"/>
    <n v="0"/>
    <n v="4"/>
    <n v="10"/>
    <s v="F-CAP"/>
    <x v="9"/>
    <s v="SBK-Y&amp;Y-02"/>
    <s v="SBK-Y&amp;Y-02SBKBEF5531BL"/>
    <n v="3"/>
    <s v="SBK-Y&amp;Y-023"/>
    <s v="SBK-Y&amp;Y-023-SBKBEF5531BLUEFRE"/>
    <s v="SBK의류외531"/>
    <s v="SBK"/>
    <s v="14FW-J"/>
    <m/>
    <s v="SBK"/>
    <s v="SMITH BRIDGE_KIDS"/>
    <s v="F"/>
    <n v="5"/>
    <s v="BE"/>
    <s v="BEANIE"/>
    <s v="K"/>
    <n v="531"/>
    <n v="531"/>
    <s v="SBKBEF5531"/>
    <n v="0.2"/>
    <s v="14FW-JILLBY-KNIT-67_BL_KIDS"/>
    <s v="BL"/>
    <s v="BLUE"/>
    <s v="SBKBEF5531BL"/>
    <x v="0"/>
    <n v="1"/>
    <s v="울30% 아크릴 70%"/>
    <n v="1"/>
    <s v="FRE"/>
    <n v="200"/>
    <x v="6"/>
    <n v="2"/>
    <x v="4"/>
    <s v="M"/>
    <s v="CN"/>
    <x v="0"/>
    <n v="27000"/>
    <x v="12"/>
    <n v="3506.4935064935062"/>
    <n v="3891.8880000000004"/>
    <n v="385.3944935064942"/>
    <n v="0"/>
    <n v="0"/>
    <s v=""/>
    <n v="0"/>
    <n v="3.12"/>
    <n v="0"/>
    <d v="2014-04-22T00:00:00"/>
    <d v="1899-12-30T00:00:00"/>
    <d v="2014-08-18T00:00:00"/>
    <d v="1899-12-30T00:00:00"/>
    <d v="2014-10-01T00:00:00"/>
    <d v="1899-12-30T00:00:00"/>
    <d v="1899-12-30T00:00:00"/>
    <d v="1899-12-30T00:00:00"/>
    <d v="1899-12-30T00:00:00"/>
    <x v="0"/>
    <s v="확정"/>
    <n v="200"/>
    <n v="0"/>
    <n v="0"/>
    <n v="0"/>
    <n v="0"/>
    <n v="0"/>
    <n v="200"/>
    <n v="778377.60000000009"/>
    <n v="5400000"/>
    <n v="6.3068244886426692"/>
  </r>
  <r>
    <n v="0"/>
    <n v="0"/>
    <n v="4"/>
    <n v="10"/>
    <s v="F-CAP"/>
    <x v="9"/>
    <s v="SBK-Y&amp;Y-02"/>
    <s v="SBK-Y&amp;Y-02SBKBEF5531RE"/>
    <n v="4"/>
    <s v="SBK-Y&amp;Y-024"/>
    <s v="SBK-Y&amp;Y-024-SBKBEF5531REDFRE"/>
    <s v="SBK의류외531"/>
    <s v="SBK"/>
    <s v="14FW-J"/>
    <m/>
    <s v="SBK"/>
    <s v="SMITH BRIDGE_KIDS"/>
    <s v="F"/>
    <n v="5"/>
    <s v="BE"/>
    <s v="BEANIE"/>
    <s v="K"/>
    <n v="531"/>
    <n v="531"/>
    <s v="SBKBEF5531"/>
    <n v="0.2"/>
    <s v="14FW-JILLBY-KNIT-67_RE_KIDS"/>
    <s v="RE"/>
    <s v="RED"/>
    <s v="SBKBEF5531RE"/>
    <x v="0"/>
    <n v="1"/>
    <s v="울30% 아크릴 70%"/>
    <n v="1"/>
    <s v="FRE"/>
    <n v="200"/>
    <x v="6"/>
    <n v="2"/>
    <x v="4"/>
    <s v="M"/>
    <s v="CN"/>
    <x v="0"/>
    <n v="27000"/>
    <x v="12"/>
    <n v="3506.4935064935062"/>
    <n v="3891.8880000000004"/>
    <n v="385.3944935064942"/>
    <n v="0"/>
    <n v="0"/>
    <s v=""/>
    <n v="0"/>
    <n v="3.12"/>
    <n v="0"/>
    <d v="2014-04-22T00:00:00"/>
    <d v="1899-12-30T00:00:00"/>
    <d v="2014-08-18T00:00:00"/>
    <d v="1899-12-30T00:00:00"/>
    <d v="2014-10-01T00:00:00"/>
    <d v="1899-12-30T00:00:00"/>
    <d v="1899-12-30T00:00:00"/>
    <d v="1899-12-30T00:00:00"/>
    <d v="1899-12-30T00:00:00"/>
    <x v="0"/>
    <s v="확정"/>
    <n v="200"/>
    <n v="0"/>
    <n v="0"/>
    <n v="0"/>
    <n v="0"/>
    <n v="0"/>
    <n v="200"/>
    <n v="778377.60000000009"/>
    <n v="5400000"/>
    <n v="6.3068244886426692"/>
  </r>
  <r>
    <n v="0"/>
    <n v="0"/>
    <n v="4"/>
    <n v="10"/>
    <s v="F-CAP"/>
    <x v="9"/>
    <s v="SBK-Y&amp;Y-02"/>
    <s v="SBK-Y&amp;Y-02SBKBEF5531PK"/>
    <n v="5"/>
    <s v="SBK-Y&amp;Y-025"/>
    <s v="SBK-Y&amp;Y-025-SBKBEF5531PINKFRE"/>
    <s v="SBK의류외531"/>
    <s v="SBK"/>
    <s v="14FW-J"/>
    <m/>
    <s v="SBK"/>
    <s v="SMITH BRIDGE_KIDS"/>
    <s v="F"/>
    <n v="5"/>
    <s v="BE"/>
    <s v="BEANIE"/>
    <s v="K"/>
    <n v="531"/>
    <n v="531"/>
    <s v="SBKBEF5531"/>
    <n v="0.2"/>
    <s v="14FW-JILLBY-KNIT-67_PK_KIDS"/>
    <s v="PK"/>
    <s v="PINK"/>
    <s v="SBKBEF5531PK"/>
    <x v="0"/>
    <n v="1"/>
    <s v="울30% 아크릴 70%"/>
    <n v="1"/>
    <s v="FRE"/>
    <n v="200"/>
    <x v="6"/>
    <n v="2"/>
    <x v="4"/>
    <s v="M"/>
    <s v="CN"/>
    <x v="0"/>
    <n v="27000"/>
    <x v="12"/>
    <n v="3506.4935064935062"/>
    <n v="3891.8880000000004"/>
    <n v="385.3944935064942"/>
    <n v="0"/>
    <n v="0"/>
    <s v=""/>
    <n v="0"/>
    <n v="3.12"/>
    <n v="0"/>
    <d v="2014-04-22T00:00:00"/>
    <d v="1899-12-30T00:00:00"/>
    <d v="2014-08-18T00:00:00"/>
    <d v="1899-12-30T00:00:00"/>
    <d v="2014-10-01T00:00:00"/>
    <d v="1899-12-30T00:00:00"/>
    <d v="1899-12-30T00:00:00"/>
    <d v="1899-12-30T00:00:00"/>
    <d v="1899-12-30T00:00:00"/>
    <x v="0"/>
    <s v="확정"/>
    <n v="199"/>
    <n v="0"/>
    <n v="0"/>
    <n v="0"/>
    <n v="0"/>
    <n v="0"/>
    <n v="200"/>
    <n v="778377.60000000009"/>
    <n v="5400000"/>
    <n v="6.3068244886426692"/>
  </r>
  <r>
    <n v="0"/>
    <n v="0"/>
    <n v="4"/>
    <n v="10"/>
    <s v="F-CAP"/>
    <x v="9"/>
    <s v="SBK-Y&amp;Y-02"/>
    <s v="SBK-Y&amp;Y-02SBKBEF5532YE"/>
    <n v="6"/>
    <s v="SBK-Y&amp;Y-026"/>
    <s v="SBK-Y&amp;Y-026-SBKBEF5532YELLOWFRE"/>
    <s v="SBK의류외532"/>
    <s v="SBK"/>
    <s v="14FW-J"/>
    <m/>
    <s v="SBK"/>
    <s v="SMITH BRIDGE_KIDS"/>
    <s v="F"/>
    <n v="5"/>
    <s v="BE"/>
    <s v="BEANIE"/>
    <s v="K"/>
    <n v="532"/>
    <n v="532"/>
    <s v="SBKBEF5532"/>
    <n v="0.14285714285714285"/>
    <s v="14FW-JILLBY-KNIT_01_YE_KIDS"/>
    <s v="YE"/>
    <s v="YELLOW"/>
    <s v="SBKBEF5532YE"/>
    <x v="0"/>
    <n v="1"/>
    <s v="겉감: 아크릴 100%_x000a_안감 : 폴라폴리스 100%"/>
    <n v="1"/>
    <s v="FRE"/>
    <n v="250"/>
    <x v="6"/>
    <n v="2"/>
    <x v="4"/>
    <s v="M"/>
    <s v="CN"/>
    <x v="0"/>
    <n v="33000"/>
    <x v="12"/>
    <n v="4285.7142857142853"/>
    <n v="3866.9400000000005"/>
    <n v="-418.77428571428482"/>
    <n v="0"/>
    <n v="0"/>
    <s v=""/>
    <n v="0"/>
    <n v="3.1"/>
    <n v="0"/>
    <d v="2014-04-22T00:00:00"/>
    <d v="1899-12-30T00:00:00"/>
    <d v="2014-08-18T00:00:00"/>
    <d v="1899-12-30T00:00:00"/>
    <d v="2014-10-01T00:00:00"/>
    <d v="1899-12-30T00:00:00"/>
    <d v="1899-12-30T00:00:00"/>
    <d v="1899-12-30T00:00:00"/>
    <d v="1899-12-30T00:00:00"/>
    <x v="0"/>
    <s v="확정"/>
    <n v="245"/>
    <n v="0"/>
    <n v="0"/>
    <n v="0"/>
    <n v="0"/>
    <n v="0"/>
    <n v="250"/>
    <n v="966735.00000000012"/>
    <n v="8250000"/>
    <n v="7.7580722742013046"/>
  </r>
  <r>
    <n v="0"/>
    <n v="0"/>
    <n v="4"/>
    <n v="10"/>
    <s v="F-CAP"/>
    <x v="9"/>
    <s v="SBK-Y&amp;Y-02"/>
    <s v="SBK-Y&amp;Y-02SBKBEF5532BL"/>
    <n v="7"/>
    <s v="SBK-Y&amp;Y-027"/>
    <s v="SBK-Y&amp;Y-027-SBKBEF5532BLUEFRE"/>
    <s v="SBK의류외532"/>
    <s v="SBK"/>
    <s v="14FW-J"/>
    <m/>
    <s v="SBK"/>
    <s v="SMITH BRIDGE_KIDS"/>
    <s v="F"/>
    <n v="5"/>
    <s v="BE"/>
    <s v="BEANIE"/>
    <s v="K"/>
    <n v="532"/>
    <n v="532"/>
    <s v="SBKBEF5532"/>
    <n v="0.14285714285714285"/>
    <s v="14FW-JILLBY-KNIT_01_BL_KIDS"/>
    <s v="BL"/>
    <s v="BLUE"/>
    <s v="SBKBEF5532BL"/>
    <x v="0"/>
    <n v="1"/>
    <s v="겉감: 아크릴 100%_x000a_안감 : 폴라폴리스 100%"/>
    <n v="1"/>
    <s v="FRE"/>
    <n v="250"/>
    <x v="6"/>
    <n v="2"/>
    <x v="4"/>
    <s v="M"/>
    <s v="CN"/>
    <x v="0"/>
    <n v="33000"/>
    <x v="12"/>
    <n v="4285.7142857142853"/>
    <n v="3866.9400000000005"/>
    <n v="-418.77428571428482"/>
    <n v="0"/>
    <n v="0"/>
    <s v=""/>
    <n v="0"/>
    <n v="3.1"/>
    <n v="0"/>
    <d v="2014-04-22T00:00:00"/>
    <d v="1899-12-30T00:00:00"/>
    <d v="2014-08-18T00:00:00"/>
    <d v="1899-12-30T00:00:00"/>
    <d v="2014-10-01T00:00:00"/>
    <d v="1899-12-30T00:00:00"/>
    <d v="1899-12-30T00:00:00"/>
    <d v="1899-12-30T00:00:00"/>
    <d v="1899-12-30T00:00:00"/>
    <x v="0"/>
    <s v="확정"/>
    <n v="250"/>
    <n v="0"/>
    <n v="0"/>
    <n v="0"/>
    <n v="0"/>
    <n v="0"/>
    <n v="250"/>
    <n v="966735.00000000012"/>
    <n v="8250000"/>
    <n v="7.7580722742013046"/>
  </r>
  <r>
    <n v="0"/>
    <n v="0"/>
    <n v="4"/>
    <n v="10"/>
    <s v="F-CAP"/>
    <x v="9"/>
    <s v="SBK-Y&amp;Y-02"/>
    <s v="SBK-Y&amp;Y-02SBKBEF5532RE"/>
    <n v="8"/>
    <s v="SBK-Y&amp;Y-028"/>
    <s v="SBK-Y&amp;Y-028-SBKBEF5532REDFRE"/>
    <s v="SBK의류외532"/>
    <s v="SBK"/>
    <s v="14FW-J"/>
    <m/>
    <s v="SBK"/>
    <s v="SMITH BRIDGE_KIDS"/>
    <s v="F"/>
    <n v="5"/>
    <s v="BE"/>
    <s v="BEANIE"/>
    <s v="K"/>
    <n v="532"/>
    <n v="532"/>
    <s v="SBKBEF5532"/>
    <n v="0.14285714285714285"/>
    <s v="14FW-JILLBY-KNIT_01_RE_KIDS"/>
    <s v="RE"/>
    <s v="RED"/>
    <s v="SBKBEF5532RE"/>
    <x v="0"/>
    <n v="1"/>
    <s v="겉감: 아크릴 100%_x000a_안감 : 폴라폴리스 100%"/>
    <n v="1"/>
    <s v="FRE"/>
    <n v="250"/>
    <x v="6"/>
    <n v="2"/>
    <x v="4"/>
    <s v="M"/>
    <s v="CN"/>
    <x v="0"/>
    <n v="33000"/>
    <x v="12"/>
    <n v="4285.7142857142853"/>
    <n v="3866.9400000000005"/>
    <n v="-418.77428571428482"/>
    <n v="0"/>
    <n v="0"/>
    <s v=""/>
    <n v="0"/>
    <n v="3.1"/>
    <n v="0"/>
    <d v="2014-04-22T00:00:00"/>
    <d v="1899-12-30T00:00:00"/>
    <d v="2014-08-18T00:00:00"/>
    <d v="1899-12-30T00:00:00"/>
    <d v="2014-10-01T00:00:00"/>
    <d v="1899-12-30T00:00:00"/>
    <d v="1899-12-30T00:00:00"/>
    <d v="1899-12-30T00:00:00"/>
    <d v="1899-12-30T00:00:00"/>
    <x v="0"/>
    <s v="확정"/>
    <n v="249"/>
    <n v="0"/>
    <n v="0"/>
    <n v="0"/>
    <n v="0"/>
    <n v="0"/>
    <n v="250"/>
    <n v="966735.00000000012"/>
    <n v="8250000"/>
    <n v="7.7580722742013046"/>
  </r>
  <r>
    <n v="0"/>
    <n v="0"/>
    <n v="4"/>
    <n v="10"/>
    <s v="F-CAP"/>
    <x v="9"/>
    <s v="SBK-Y&amp;Y-02"/>
    <s v="SBK-Y&amp;Y-02SBKBEF5532GR"/>
    <n v="9"/>
    <s v="SBK-Y&amp;Y-029"/>
    <s v="SBK-Y&amp;Y-029-SBKBEF5532GREENFRE"/>
    <s v="SBK의류외532"/>
    <s v="SBK"/>
    <s v="14FW-J"/>
    <m/>
    <s v="SBK"/>
    <s v="SMITH BRIDGE_KIDS"/>
    <s v="F"/>
    <n v="5"/>
    <s v="BE"/>
    <s v="BEANIE"/>
    <s v="K"/>
    <n v="532"/>
    <n v="532"/>
    <s v="SBKBEF5532"/>
    <n v="0.14285714285714285"/>
    <s v="14FW-JILLBY-KNIT_01_GR_KIDS"/>
    <s v="GR"/>
    <s v="GREEN"/>
    <s v="SBKBEF5532GR"/>
    <x v="0"/>
    <n v="1"/>
    <s v="겉감: 아크릴 100%_x000a_안감 : 폴라폴리스 100%"/>
    <n v="1"/>
    <s v="FRE"/>
    <n v="250"/>
    <x v="6"/>
    <n v="2"/>
    <x v="4"/>
    <s v="M"/>
    <s v="CN"/>
    <x v="0"/>
    <n v="33000"/>
    <x v="12"/>
    <n v="4285.7142857142853"/>
    <n v="3866.9400000000005"/>
    <n v="-418.77428571428482"/>
    <n v="0"/>
    <n v="0"/>
    <s v=""/>
    <n v="0"/>
    <n v="3.1"/>
    <n v="0"/>
    <d v="2014-04-22T00:00:00"/>
    <d v="1899-12-30T00:00:00"/>
    <d v="2014-08-18T00:00:00"/>
    <d v="1899-12-30T00:00:00"/>
    <d v="2014-10-01T00:00:00"/>
    <d v="1899-12-30T00:00:00"/>
    <d v="1899-12-30T00:00:00"/>
    <d v="1899-12-30T00:00:00"/>
    <d v="1899-12-30T00:00:00"/>
    <x v="0"/>
    <s v="확정"/>
    <n v="250"/>
    <n v="0"/>
    <n v="0"/>
    <n v="0"/>
    <n v="0"/>
    <n v="0"/>
    <n v="250"/>
    <n v="966735.00000000012"/>
    <n v="8250000"/>
    <n v="7.7580722742013046"/>
  </r>
  <r>
    <n v="0"/>
    <n v="0"/>
    <n v="4"/>
    <n v="10"/>
    <s v="F-CAP"/>
    <x v="9"/>
    <s v="SBK-Y&amp;Y-02"/>
    <s v="SBK-Y&amp;Y-02SBKBEF5532IV"/>
    <n v="10"/>
    <s v="SBK-Y&amp;Y-0210"/>
    <s v="SBK-Y&amp;Y-0210-SBKBEF5532IVORYFRE"/>
    <s v="SBK의류외532"/>
    <s v="SBK"/>
    <s v="14FW-J"/>
    <m/>
    <s v="SBK"/>
    <s v="SMITH BRIDGE_KIDS"/>
    <s v="F"/>
    <n v="5"/>
    <s v="BE"/>
    <s v="BEANIE"/>
    <s v="K"/>
    <n v="532"/>
    <n v="532"/>
    <s v="SBKBEF5532"/>
    <n v="0.14285714285714285"/>
    <s v="14FW-JILLBY-KNIT_01_IV_KIDS"/>
    <s v="IV"/>
    <s v="IVORY"/>
    <s v="SBKBEF5532IV"/>
    <x v="0"/>
    <n v="1"/>
    <s v="겉감: 아크릴 100%_x000a_안감 : 폴라폴리스 100%"/>
    <n v="1"/>
    <s v="FRE"/>
    <n v="250"/>
    <x v="6"/>
    <n v="2"/>
    <x v="4"/>
    <s v="M"/>
    <s v="CN"/>
    <x v="0"/>
    <n v="33000"/>
    <x v="12"/>
    <n v="4285.7142857142853"/>
    <n v="3866.9400000000005"/>
    <n v="-418.77428571428482"/>
    <n v="0"/>
    <n v="0"/>
    <s v=""/>
    <n v="0"/>
    <n v="3.1"/>
    <n v="0"/>
    <d v="2014-04-22T00:00:00"/>
    <d v="1899-12-30T00:00:00"/>
    <d v="2014-08-18T00:00:00"/>
    <d v="1899-12-30T00:00:00"/>
    <d v="2014-10-01T00:00:00"/>
    <d v="1899-12-30T00:00:00"/>
    <d v="1899-12-30T00:00:00"/>
    <d v="1899-12-30T00:00:00"/>
    <d v="1899-12-30T00:00:00"/>
    <x v="0"/>
    <s v="확정"/>
    <n v="250"/>
    <n v="0"/>
    <n v="0"/>
    <n v="0"/>
    <n v="0"/>
    <n v="0"/>
    <n v="250"/>
    <n v="966735.00000000012"/>
    <n v="8250000"/>
    <n v="7.7580722742013046"/>
  </r>
  <r>
    <n v="0"/>
    <n v="0"/>
    <n v="4"/>
    <n v="10"/>
    <s v="F-CAP"/>
    <x v="9"/>
    <s v="SBK-Y&amp;Y-02"/>
    <s v="SBK-Y&amp;Y-02SBKBEF5532GY"/>
    <n v="11"/>
    <s v="SBK-Y&amp;Y-0211"/>
    <s v="SBK-Y&amp;Y-0211-SBKBEF5532GREYFRE"/>
    <s v="SBK의류외532"/>
    <s v="SBK"/>
    <s v="14FW-J"/>
    <m/>
    <s v="SBK"/>
    <s v="SMITH BRIDGE_KIDS"/>
    <s v="F"/>
    <n v="5"/>
    <s v="BE"/>
    <s v="BEANIE"/>
    <s v="K"/>
    <n v="532"/>
    <n v="532"/>
    <s v="SBKBEF5532"/>
    <n v="0.14285714285714285"/>
    <s v="14FW-JILLBY-KNIT_01_GY_KIDS"/>
    <s v="GY"/>
    <s v="GREY"/>
    <s v="SBKBEF5532GY"/>
    <x v="0"/>
    <n v="1"/>
    <s v="겉감: 아크릴 100%_x000a_안감 : 폴라폴리스 100%"/>
    <n v="1"/>
    <s v="FRE"/>
    <n v="250"/>
    <x v="6"/>
    <n v="2"/>
    <x v="4"/>
    <s v="M"/>
    <s v="CN"/>
    <x v="0"/>
    <n v="33000"/>
    <x v="12"/>
    <n v="4285.7142857142853"/>
    <n v="3866.9400000000005"/>
    <n v="-418.77428571428482"/>
    <n v="0"/>
    <n v="0"/>
    <s v=""/>
    <n v="0"/>
    <n v="3.1"/>
    <n v="0"/>
    <d v="2014-04-22T00:00:00"/>
    <d v="1899-12-30T00:00:00"/>
    <d v="2014-08-18T00:00:00"/>
    <d v="1899-12-30T00:00:00"/>
    <d v="2014-10-01T00:00:00"/>
    <d v="1899-12-30T00:00:00"/>
    <d v="1899-12-30T00:00:00"/>
    <d v="1899-12-30T00:00:00"/>
    <d v="1899-12-30T00:00:00"/>
    <x v="0"/>
    <s v="확정"/>
    <n v="239"/>
    <n v="0"/>
    <n v="0"/>
    <n v="0"/>
    <n v="0"/>
    <n v="0"/>
    <n v="250"/>
    <n v="966735.00000000012"/>
    <n v="8250000"/>
    <n v="7.7580722742013046"/>
  </r>
  <r>
    <n v="0"/>
    <n v="0"/>
    <n v="4"/>
    <n v="10"/>
    <s v="F-CAP"/>
    <x v="9"/>
    <s v="SBK-Y&amp;Y-02"/>
    <s v="SBK-Y&amp;Y-02SBKBEF5532BK"/>
    <n v="12"/>
    <s v="SBK-Y&amp;Y-0212"/>
    <s v="SBK-Y&amp;Y-0212-SBKBEF5532BLACKFRE"/>
    <s v="SBK의류외532"/>
    <s v="SBK"/>
    <s v="14FW-J"/>
    <m/>
    <s v="SBK"/>
    <s v="SMITH BRIDGE_KIDS"/>
    <s v="F"/>
    <n v="5"/>
    <s v="BE"/>
    <s v="BEANIE"/>
    <s v="K"/>
    <n v="532"/>
    <n v="532"/>
    <s v="SBKBEF5532"/>
    <n v="0.14285714285714285"/>
    <s v="14FW-JILLBY-KNIT_01_BK_KIDS"/>
    <s v="BK"/>
    <s v="BLACK"/>
    <s v="SBKBEF5532BK"/>
    <x v="0"/>
    <n v="1"/>
    <s v="겉감: 아크릴 100%_x000a_안감 : 폴라폴리스 100%"/>
    <n v="1"/>
    <s v="FRE"/>
    <n v="250"/>
    <x v="6"/>
    <n v="2"/>
    <x v="4"/>
    <s v="M"/>
    <s v="CN"/>
    <x v="0"/>
    <n v="33000"/>
    <x v="12"/>
    <n v="4285.7142857142853"/>
    <n v="3866.9400000000005"/>
    <n v="-418.77428571428482"/>
    <n v="0"/>
    <n v="0"/>
    <s v=""/>
    <n v="0"/>
    <n v="3.1"/>
    <n v="0"/>
    <d v="2014-04-22T00:00:00"/>
    <d v="1899-12-30T00:00:00"/>
    <d v="2014-08-18T00:00:00"/>
    <d v="1899-12-30T00:00:00"/>
    <d v="2014-10-01T00:00:00"/>
    <d v="1899-12-30T00:00:00"/>
    <d v="1899-12-30T00:00:00"/>
    <d v="1899-12-30T00:00:00"/>
    <d v="1899-12-30T00:00:00"/>
    <x v="0"/>
    <s v="확정"/>
    <n v="250"/>
    <n v="0"/>
    <n v="0"/>
    <n v="0"/>
    <n v="0"/>
    <n v="0"/>
    <n v="250"/>
    <n v="966735.00000000012"/>
    <n v="8250000"/>
    <n v="7.7580722742013046"/>
  </r>
  <r>
    <n v="0"/>
    <n v="0"/>
    <n v="4"/>
    <n v="10"/>
    <s v="F-CAP"/>
    <x v="9"/>
    <s v="SBK-Y&amp;Y-02"/>
    <s v="SBK-Y&amp;Y-02SBKBEF5533BL"/>
    <n v="13"/>
    <s v="SBK-Y&amp;Y-0213"/>
    <s v="SBK-Y&amp;Y-0213-SBKBEF5533BLUEFRE"/>
    <s v="SBK의류외533"/>
    <s v="SBK"/>
    <s v="14FW-J"/>
    <m/>
    <s v="SBK"/>
    <s v="SMITH BRIDGE_KIDS"/>
    <s v="F"/>
    <n v="5"/>
    <s v="BE"/>
    <s v="BEANIE"/>
    <s v="K"/>
    <n v="533"/>
    <n v="533"/>
    <s v="SBKBEF5533"/>
    <n v="0.5"/>
    <s v="14FW-JILLBY-KNIT-48_BL_KIDS"/>
    <s v="BL"/>
    <s v="BLUE"/>
    <s v="SBKBEF5533BL"/>
    <x v="0"/>
    <n v="1"/>
    <s v="겉감: 아크릴 100%_x000a_안감 : 폴라폴리스 100%"/>
    <n v="1"/>
    <s v="FRE"/>
    <n v="200"/>
    <x v="6"/>
    <n v="2"/>
    <x v="4"/>
    <s v="M"/>
    <s v="CN"/>
    <x v="0"/>
    <n v="35000"/>
    <x v="12"/>
    <n v="4545.454545454545"/>
    <n v="5014.5480000000007"/>
    <n v="469.09345454545564"/>
    <n v="0"/>
    <n v="0"/>
    <s v=""/>
    <n v="0"/>
    <n v="4.0199999999999996"/>
    <n v="0"/>
    <d v="2014-04-22T00:00:00"/>
    <d v="1899-12-30T00:00:00"/>
    <d v="2014-08-18T00:00:00"/>
    <d v="1899-12-30T00:00:00"/>
    <d v="2014-10-01T00:00:00"/>
    <d v="1899-12-30T00:00:00"/>
    <d v="1899-12-30T00:00:00"/>
    <d v="1899-12-30T00:00:00"/>
    <d v="1899-12-30T00:00:00"/>
    <x v="0"/>
    <s v="확정"/>
    <n v="199"/>
    <n v="0"/>
    <n v="0"/>
    <n v="0"/>
    <n v="0"/>
    <n v="0"/>
    <n v="200"/>
    <n v="1002909.6000000001"/>
    <n v="7000000"/>
    <n v="6.3451744440738844"/>
  </r>
  <r>
    <n v="0"/>
    <n v="0"/>
    <n v="4"/>
    <n v="10"/>
    <s v="F-CAP"/>
    <x v="9"/>
    <s v="SBK-Y&amp;Y-02"/>
    <s v="SBK-Y&amp;Y-02SBKBEF5533RE"/>
    <n v="14"/>
    <s v="SBK-Y&amp;Y-0214"/>
    <s v="SBK-Y&amp;Y-0214-SBKBEF5533REDFRE"/>
    <s v="SBK의류외533"/>
    <s v="SBK"/>
    <s v="14FW-J"/>
    <m/>
    <s v="SBK"/>
    <s v="SMITH BRIDGE_KIDS"/>
    <s v="F"/>
    <n v="5"/>
    <s v="BE"/>
    <s v="BEANIE"/>
    <s v="K"/>
    <n v="533"/>
    <n v="533"/>
    <s v="SBKBEF5533"/>
    <n v="0.5"/>
    <s v="14FW-JILLBY-KNIT-48_RE_KIDS"/>
    <s v="RE"/>
    <s v="RED"/>
    <s v="SBKBEF5533RE"/>
    <x v="0"/>
    <n v="1"/>
    <s v="겉감: 아크릴 100%_x000a_안감 : 폴라폴리스 100%"/>
    <n v="1"/>
    <s v="FRE"/>
    <n v="200"/>
    <x v="6"/>
    <n v="2"/>
    <x v="4"/>
    <s v="M"/>
    <s v="CN"/>
    <x v="0"/>
    <n v="35000"/>
    <x v="12"/>
    <n v="4545.454545454545"/>
    <n v="5014.5480000000007"/>
    <n v="469.09345454545564"/>
    <n v="0"/>
    <n v="0"/>
    <s v=""/>
    <n v="0"/>
    <n v="4.0199999999999996"/>
    <n v="0"/>
    <d v="2014-04-22T00:00:00"/>
    <d v="1899-12-30T00:00:00"/>
    <d v="2014-08-18T00:00:00"/>
    <d v="1899-12-30T00:00:00"/>
    <d v="2014-10-01T00:00:00"/>
    <d v="1899-12-30T00:00:00"/>
    <d v="1899-12-30T00:00:00"/>
    <d v="1899-12-30T00:00:00"/>
    <d v="1899-12-30T00:00:00"/>
    <x v="0"/>
    <s v="확정"/>
    <n v="199"/>
    <n v="0"/>
    <n v="0"/>
    <n v="0"/>
    <n v="0"/>
    <n v="0"/>
    <n v="200"/>
    <n v="1002909.6000000001"/>
    <n v="7000000"/>
    <n v="6.3451744440738844"/>
  </r>
  <r>
    <n v="0"/>
    <n v="0"/>
    <s v=""/>
    <s v=""/>
    <s v=""/>
    <x v="1"/>
    <s v=""/>
    <s v=""/>
    <n v="0"/>
    <s v="0"/>
    <s v="0-"/>
    <n v="0"/>
    <s v="TTL"/>
    <s v=""/>
    <s v="SBK-Y&amp;Y-02 TTL"/>
    <m/>
    <s v=""/>
    <s v=""/>
    <s v=""/>
    <m/>
    <s v=""/>
    <s v="K"/>
    <m/>
    <s v=""/>
    <s v=""/>
    <n v="2.9999999999999996"/>
    <m/>
    <s v=""/>
    <m/>
    <s v=""/>
    <x v="0"/>
    <n v="1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130"/>
    <n v="0"/>
    <n v="0"/>
    <n v="0"/>
    <n v="0"/>
    <n v="0"/>
    <n v="3150"/>
    <n v="12664852.200000001"/>
    <n v="98750000"/>
    <n v="7.0883359596353808"/>
  </r>
  <r>
    <n v="0"/>
    <n v="0"/>
    <n v="4"/>
    <n v="10"/>
    <s v="F-CAP"/>
    <x v="9"/>
    <s v="SBK-FOREMOST-14"/>
    <s v="SBK-FOREMOST-14SBKBEF5534BK"/>
    <n v="1"/>
    <s v="SBK-FOREMOST-141"/>
    <s v="SBK-FOREMOST-141-SBKBEF5534BLACKFRE"/>
    <s v="SBK의류외534"/>
    <s v="SBK"/>
    <s v="14FW-J"/>
    <m/>
    <s v="SBK"/>
    <s v="SMITH BRIDGE_KIDS"/>
    <s v="F"/>
    <n v="5"/>
    <s v="BE"/>
    <s v="BEANIE"/>
    <s v="K"/>
    <n v="534"/>
    <n v="534"/>
    <s v="SBKBEF5534"/>
    <n v="0.33333333333333331"/>
    <s v="14FW-JILLBY-KNIT-12_BK_KIDS"/>
    <s v="BK"/>
    <s v="BLACK"/>
    <s v="SBKBEF5534BK"/>
    <x v="0"/>
    <n v="1"/>
    <s v="울 80% 나이론 20%"/>
    <n v="1"/>
    <s v="FRE"/>
    <n v="200"/>
    <x v="4"/>
    <n v="14"/>
    <x v="16"/>
    <s v="M"/>
    <s v="CN"/>
    <x v="0"/>
    <n v="33000"/>
    <x v="12"/>
    <n v="4999.9999999999991"/>
    <n v="5550.93"/>
    <n v="550.9300000000012"/>
    <n v="0"/>
    <n v="0"/>
    <s v=""/>
    <n v="0"/>
    <n v="4.45"/>
    <n v="0"/>
    <d v="2014-04-22T00:00:00"/>
    <d v="1899-12-30T00:00:00"/>
    <d v="2014-08-18T00:00:00"/>
    <d v="1899-12-30T00:00:00"/>
    <d v="2014-10-01T00:00:00"/>
    <d v="1899-12-30T00:00:00"/>
    <d v="1899-12-30T00:00:00"/>
    <d v="1899-12-30T00:00:00"/>
    <d v="1899-12-30T00:00:00"/>
    <x v="0"/>
    <s v="확정"/>
    <n v="199"/>
    <n v="0"/>
    <n v="0"/>
    <n v="0"/>
    <n v="0"/>
    <n v="0"/>
    <n v="200"/>
    <n v="1110186"/>
    <n v="6600000"/>
    <n v="5.4044997865222584"/>
  </r>
  <r>
    <n v="0"/>
    <n v="0"/>
    <n v="4"/>
    <n v="10"/>
    <s v="F-CAP"/>
    <x v="9"/>
    <s v="SBK-FOREMOST-14"/>
    <s v="SBK-FOREMOST-14SBKBEF5534BL"/>
    <n v="2"/>
    <s v="SBK-FOREMOST-142"/>
    <s v="SBK-FOREMOST-142-SBKBEF5534BLUEFRE"/>
    <s v="SBK의류외534"/>
    <s v="SBK"/>
    <s v="14FW-J"/>
    <m/>
    <s v="SBK"/>
    <s v="SMITH BRIDGE_KIDS"/>
    <s v="F"/>
    <n v="5"/>
    <s v="BE"/>
    <s v="BEANIE"/>
    <s v="K"/>
    <n v="534"/>
    <n v="534"/>
    <s v="SBKBEF5534"/>
    <n v="0.33333333333333331"/>
    <s v="14FW-JILLBY-KNIT-12_BL_KIDS"/>
    <s v="BL"/>
    <s v="BLUE"/>
    <s v="SBKBEF5534BL"/>
    <x v="0"/>
    <n v="1"/>
    <s v="울 80% 나이론 20%"/>
    <n v="1"/>
    <s v="FRE"/>
    <n v="200"/>
    <x v="4"/>
    <n v="14"/>
    <x v="16"/>
    <s v="M"/>
    <s v="CN"/>
    <x v="0"/>
    <n v="33000"/>
    <x v="12"/>
    <n v="4999.9999999999991"/>
    <n v="5550.93"/>
    <n v="550.9300000000012"/>
    <n v="0"/>
    <n v="0"/>
    <s v=""/>
    <n v="0"/>
    <n v="4.45"/>
    <n v="0"/>
    <d v="2014-04-22T00:00:00"/>
    <d v="1899-12-30T00:00:00"/>
    <d v="2014-08-18T00:00:00"/>
    <d v="1899-12-30T00:00:00"/>
    <d v="2014-10-01T00:00:00"/>
    <d v="1899-12-30T00:00:00"/>
    <d v="1899-12-30T00:00:00"/>
    <d v="1899-12-30T00:00:00"/>
    <d v="1899-12-30T00:00:00"/>
    <x v="0"/>
    <s v="확정"/>
    <n v="200"/>
    <n v="0"/>
    <n v="0"/>
    <n v="0"/>
    <n v="0"/>
    <n v="0"/>
    <n v="200"/>
    <n v="1110186"/>
    <n v="6600000"/>
    <n v="5.4044997865222584"/>
  </r>
  <r>
    <n v="0"/>
    <n v="0"/>
    <n v="4"/>
    <n v="10"/>
    <s v="F-CAP"/>
    <x v="9"/>
    <s v="SBK-FOREMOST-14"/>
    <s v="SBK-FOREMOST-14SBKBEF5534PP"/>
    <n v="3"/>
    <s v="SBK-FOREMOST-143"/>
    <s v="SBK-FOREMOST-143-SBKBEF5534PURPLEFRE"/>
    <s v="SBK의류외534"/>
    <s v="SBK"/>
    <s v="14FW-J"/>
    <m/>
    <s v="SBK"/>
    <s v="SMITH BRIDGE_KIDS"/>
    <s v="F"/>
    <n v="5"/>
    <s v="BE"/>
    <s v="BEANIE"/>
    <s v="K"/>
    <n v="534"/>
    <n v="534"/>
    <s v="SBKBEF5534"/>
    <n v="0.33333333333333331"/>
    <s v="14FW-JILLBY-KNIT-12_PP_KIDS"/>
    <s v="PP"/>
    <s v="PURPLE"/>
    <s v="SBKBEF5534PP"/>
    <x v="0"/>
    <n v="1"/>
    <s v="울 80% 나이론 20%"/>
    <n v="1"/>
    <s v="FRE"/>
    <n v="200"/>
    <x v="4"/>
    <n v="14"/>
    <x v="16"/>
    <s v="M"/>
    <s v="CN"/>
    <x v="0"/>
    <n v="33000"/>
    <x v="12"/>
    <n v="4999.9999999999991"/>
    <n v="5550.93"/>
    <n v="550.9300000000012"/>
    <n v="0"/>
    <n v="0"/>
    <s v=""/>
    <n v="0"/>
    <n v="4.45"/>
    <n v="0"/>
    <d v="2014-04-22T00:00:00"/>
    <d v="1899-12-30T00:00:00"/>
    <d v="2014-08-18T00:00:00"/>
    <d v="1899-12-30T00:00:00"/>
    <d v="2014-10-01T00:00:00"/>
    <d v="1899-12-30T00:00:00"/>
    <d v="1899-12-30T00:00:00"/>
    <d v="1899-12-30T00:00:00"/>
    <d v="1899-12-30T00:00:00"/>
    <x v="0"/>
    <s v="확정"/>
    <n v="200"/>
    <n v="0"/>
    <n v="0"/>
    <n v="0"/>
    <n v="0"/>
    <n v="0"/>
    <n v="200"/>
    <n v="1110186"/>
    <n v="6600000"/>
    <n v="5.4044997865222584"/>
  </r>
  <r>
    <n v="0"/>
    <n v="0"/>
    <n v="4"/>
    <n v="10"/>
    <s v="F-CAP"/>
    <x v="9"/>
    <s v="SBK-FOREMOST-14"/>
    <s v="SBK-FOREMOST-14SBKBEF5535BL"/>
    <n v="4"/>
    <s v="SBK-FOREMOST-144"/>
    <s v="SBK-FOREMOST-144-SBKBEF5535BLUEFRE"/>
    <s v="SBK의류외535"/>
    <s v="SBK"/>
    <s v="14FW-J"/>
    <m/>
    <s v="SBK"/>
    <s v="SMITH BRIDGE_KIDS"/>
    <s v="F"/>
    <n v="5"/>
    <s v="BE"/>
    <s v="BEANIE"/>
    <s v="K"/>
    <n v="535"/>
    <n v="535"/>
    <s v="SBKBEF5535"/>
    <n v="1"/>
    <s v="14FW-JILLBY-KNIT-16_BL_KIDS"/>
    <s v="BL"/>
    <s v="BLUE"/>
    <s v="SBKBEF5535BL"/>
    <x v="0"/>
    <n v="1"/>
    <s v="아크릴 100%"/>
    <n v="1"/>
    <s v="FRE"/>
    <n v="200"/>
    <x v="4"/>
    <n v="14"/>
    <x v="16"/>
    <s v="M"/>
    <s v="CN"/>
    <x v="0"/>
    <n v="33000"/>
    <x v="12"/>
    <n v="4999.9999999999991"/>
    <n v="5738.04"/>
    <n v="738.04000000000087"/>
    <n v="0"/>
    <n v="0"/>
    <s v=""/>
    <n v="0"/>
    <n v="4.5999999999999996"/>
    <n v="0"/>
    <d v="2014-04-22T00:00:00"/>
    <d v="1899-12-30T00:00:00"/>
    <d v="2014-08-18T00:00:00"/>
    <d v="1899-12-30T00:00:00"/>
    <d v="2014-10-29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1147608"/>
    <n v="6600000"/>
    <n v="5.2282660978313151"/>
  </r>
  <r>
    <n v="0"/>
    <n v="0"/>
    <n v="4"/>
    <n v="10"/>
    <s v="F-CAP"/>
    <x v="9"/>
    <s v="SBK-FOREMOST-14"/>
    <s v="SBK-FOREMOST-14SBKBEF5536KH"/>
    <n v="5"/>
    <s v="SBK-FOREMOST-145"/>
    <s v="SBK-FOREMOST-145-SBKBEF5536KHAKIFRE"/>
    <s v="SBK의류외536"/>
    <s v="SBK"/>
    <s v="14FW-J"/>
    <m/>
    <s v="SBK"/>
    <s v="SMITH BRIDGE_KIDS"/>
    <s v="F"/>
    <n v="5"/>
    <s v="BE"/>
    <s v="BEANIE"/>
    <s v="K"/>
    <n v="536"/>
    <n v="536"/>
    <s v="SBKBEF5536"/>
    <n v="0.5"/>
    <s v="14FW-JILLBY-KNIT_02_KH_KIDS"/>
    <s v="KH"/>
    <s v="KHAKI"/>
    <s v="SBKBEF5536KH"/>
    <x v="0"/>
    <n v="1"/>
    <s v="울 50% 아크릴 50%"/>
    <n v="1"/>
    <s v="FRE"/>
    <n v="250"/>
    <x v="4"/>
    <n v="14"/>
    <x v="16"/>
    <s v="M"/>
    <s v="CN"/>
    <x v="0"/>
    <n v="35000"/>
    <x v="12"/>
    <n v="5303.030303030303"/>
    <n v="4802.4900000000007"/>
    <n v="-500.54030303030231"/>
    <n v="0"/>
    <n v="0"/>
    <s v=""/>
    <n v="0"/>
    <n v="3.85"/>
    <n v="0"/>
    <d v="2014-04-22T00:00:00"/>
    <d v="1899-12-30T00:00:00"/>
    <d v="2014-08-18T00:00:00"/>
    <d v="1899-12-30T00:00:00"/>
    <d v="2014-10-01T00:00:00"/>
    <d v="1899-12-30T00:00:00"/>
    <d v="1899-12-30T00:00:00"/>
    <d v="1899-12-30T00:00:00"/>
    <d v="1899-12-30T00:00:00"/>
    <x v="0"/>
    <s v="확정"/>
    <n v="248"/>
    <n v="0"/>
    <n v="0"/>
    <n v="0"/>
    <n v="0"/>
    <n v="0"/>
    <n v="250"/>
    <n v="1200622.5000000002"/>
    <n v="8750000"/>
    <n v="6.6253509779680559"/>
  </r>
  <r>
    <n v="0"/>
    <n v="0"/>
    <n v="4"/>
    <n v="10"/>
    <s v="F-CAP"/>
    <x v="9"/>
    <s v="SBK-FOREMOST-14"/>
    <s v="SBK-FOREMOST-14SBKBEF5536RE"/>
    <n v="6"/>
    <s v="SBK-FOREMOST-146"/>
    <s v="SBK-FOREMOST-146-SBKBEF5536REDFRE"/>
    <s v="SBK의류외536"/>
    <s v="SBK"/>
    <s v="14FW-J"/>
    <m/>
    <s v="SBK"/>
    <s v="SMITH BRIDGE_KIDS"/>
    <s v="F"/>
    <n v="5"/>
    <s v="BE"/>
    <s v="BEANIE"/>
    <s v="K"/>
    <n v="536"/>
    <n v="536"/>
    <s v="SBKBEF5536"/>
    <n v="0.5"/>
    <s v="14FW-JILLBY-KNIT_02_RE_KIDS"/>
    <s v="RE"/>
    <s v="RED"/>
    <s v="SBKBEF5536RE"/>
    <x v="0"/>
    <n v="1"/>
    <s v="울 50% 아크릴 50%"/>
    <n v="1"/>
    <s v="FRE"/>
    <n v="250"/>
    <x v="4"/>
    <n v="14"/>
    <x v="16"/>
    <s v="M"/>
    <s v="CN"/>
    <x v="0"/>
    <n v="35000"/>
    <x v="12"/>
    <n v="5303.030303030303"/>
    <n v="4802.4900000000007"/>
    <n v="-500.54030303030231"/>
    <n v="0"/>
    <n v="0"/>
    <s v=""/>
    <n v="0"/>
    <n v="3.85"/>
    <n v="0"/>
    <d v="2014-04-22T00:00:00"/>
    <d v="1899-12-30T00:00:00"/>
    <d v="2014-08-18T00:00:00"/>
    <d v="1899-12-30T00:00:00"/>
    <d v="2014-10-01T00:00:00"/>
    <d v="1899-12-30T00:00:00"/>
    <d v="1899-12-30T00:00:00"/>
    <d v="1899-12-30T00:00:00"/>
    <d v="1899-12-30T00:00:00"/>
    <x v="0"/>
    <s v="확정"/>
    <n v="250"/>
    <n v="0"/>
    <n v="0"/>
    <n v="0"/>
    <n v="0"/>
    <n v="0"/>
    <n v="250"/>
    <n v="1200622.5000000002"/>
    <n v="8750000"/>
    <n v="6.6253509779680559"/>
  </r>
  <r>
    <n v="0"/>
    <n v="0"/>
    <n v="4"/>
    <n v="10"/>
    <s v="F-CAP"/>
    <x v="9"/>
    <s v="SBK-FOREMOST-14"/>
    <s v="SBK-FOREMOST-14SBKBEF5538BK"/>
    <n v="7"/>
    <s v="SBK-FOREMOST-147"/>
    <s v="SBK-FOREMOST-147-SBKBEF5538BLACKFRE"/>
    <s v="SBK의류외538"/>
    <s v="SBK"/>
    <s v="14FW-J"/>
    <m/>
    <s v="SBK"/>
    <s v="SMITH BRIDGE_KIDS"/>
    <s v="F"/>
    <n v="5"/>
    <s v="BE"/>
    <s v="BEANIE"/>
    <s v="K"/>
    <n v="538"/>
    <n v="538"/>
    <s v="SBKBEF5538"/>
    <n v="1"/>
    <s v="14FW-JILLBY-KNIT-61-BK_KIDS"/>
    <s v="BK"/>
    <s v="BLACK"/>
    <s v="SBKBEF5538BK"/>
    <x v="0"/>
    <n v="1"/>
    <s v="울 100%"/>
    <n v="1"/>
    <s v="FRE"/>
    <n v="200"/>
    <x v="4"/>
    <n v="14"/>
    <x v="16"/>
    <s v="M"/>
    <s v="CN"/>
    <x v="0"/>
    <n v="45000"/>
    <x v="12"/>
    <n v="6818.1818181818171"/>
    <n v="8544.69"/>
    <n v="1726.5081818181834"/>
    <n v="0"/>
    <n v="0"/>
    <s v=""/>
    <n v="0"/>
    <n v="6.85"/>
    <n v="0"/>
    <d v="2014-04-22T00:00:00"/>
    <d v="1899-12-30T00:00:00"/>
    <d v="2014-08-18T00:00:00"/>
    <d v="1899-12-30T00:00:00"/>
    <d v="2014-10-01T00:00:00"/>
    <d v="1899-12-30T00:00:00"/>
    <d v="1899-12-30T00:00:00"/>
    <d v="1899-12-30T00:00:00"/>
    <d v="1899-12-30T00:00:00"/>
    <x v="0"/>
    <s v="확정"/>
    <n v="196"/>
    <n v="0"/>
    <n v="0"/>
    <n v="0"/>
    <n v="0"/>
    <n v="0"/>
    <n v="200"/>
    <n v="1708938"/>
    <n v="9000000"/>
    <n v="4.7876623855389617"/>
  </r>
  <r>
    <n v="0"/>
    <n v="0"/>
    <n v="4"/>
    <n v="10"/>
    <s v="F-CAP"/>
    <x v="9"/>
    <s v="SBK-FOREMOST-14"/>
    <s v="SBK-FOREMOST-14SBKBEF5540GY"/>
    <n v="8"/>
    <s v="SBK-FOREMOST-148"/>
    <s v="SBK-FOREMOST-148-SBKBEF5540GREYFRE"/>
    <s v="SBK의류외540"/>
    <s v="SBK"/>
    <s v="14FW-J"/>
    <m/>
    <s v="SBK"/>
    <s v="SMITH BRIDGE_KIDS"/>
    <s v="F"/>
    <n v="5"/>
    <s v="BE"/>
    <s v="BEANIE"/>
    <s v="K"/>
    <n v="540"/>
    <n v="540"/>
    <s v="SBKBEF5540"/>
    <n v="0.5"/>
    <s v="14FW-JILLBY-KNIT-46_GY_KIDS"/>
    <s v="GY"/>
    <s v="GREY"/>
    <s v="SBKBEF5540GY"/>
    <x v="0"/>
    <n v="1"/>
    <s v="아크릴 100%"/>
    <n v="1"/>
    <s v="FRE"/>
    <n v="200"/>
    <x v="4"/>
    <n v="14"/>
    <x v="16"/>
    <s v="M"/>
    <s v="CN"/>
    <x v="0"/>
    <n v="35000"/>
    <x v="12"/>
    <n v="5303.030303030303"/>
    <n v="6424.1100000000015"/>
    <n v="1121.0796969696985"/>
    <n v="0"/>
    <n v="0"/>
    <s v=""/>
    <n v="0"/>
    <n v="5.15"/>
    <n v="0"/>
    <d v="2014-04-22T00:00:00"/>
    <d v="1899-12-30T00:00:00"/>
    <d v="2014-08-18T00:00:00"/>
    <d v="1899-12-30T00:00:00"/>
    <d v="2014-10-01T00:00:00"/>
    <d v="1899-12-30T00:00:00"/>
    <d v="1899-12-30T00:00:00"/>
    <d v="1899-12-30T00:00:00"/>
    <d v="1899-12-30T00:00:00"/>
    <x v="0"/>
    <s v="확정"/>
    <n v="170"/>
    <n v="0"/>
    <n v="0"/>
    <n v="0"/>
    <n v="0"/>
    <m/>
    <n v="200"/>
    <n v="1284822.0000000002"/>
    <n v="7000000"/>
    <n v="4.9529322845003909"/>
  </r>
  <r>
    <n v="0"/>
    <n v="0"/>
    <n v="4"/>
    <n v="10"/>
    <s v="F-CAP"/>
    <x v="9"/>
    <s v="SBK-FOREMOST-14"/>
    <s v="SBK-FOREMOST-14SBKBEF5540PK"/>
    <n v="9"/>
    <s v="SBK-FOREMOST-149"/>
    <s v="SBK-FOREMOST-149-SBKBEF5540PINKFRE"/>
    <s v="SBK의류외540"/>
    <s v="SBK"/>
    <s v="14FW-J"/>
    <m/>
    <s v="SBK"/>
    <s v="SMITH BRIDGE_KIDS"/>
    <s v="F"/>
    <n v="5"/>
    <s v="BE"/>
    <s v="BEANIE"/>
    <s v="K"/>
    <n v="540"/>
    <n v="540"/>
    <s v="SBKBEF5540"/>
    <n v="0.5"/>
    <s v="14FW-JILLBY-KNIT-46_PK_KIDS"/>
    <s v="PK"/>
    <s v="PINK"/>
    <s v="SBKBEF5540PK"/>
    <x v="0"/>
    <n v="1"/>
    <s v="아크릴 100%"/>
    <n v="1"/>
    <s v="FRE"/>
    <n v="200"/>
    <x v="4"/>
    <n v="14"/>
    <x v="16"/>
    <s v="M"/>
    <s v="CN"/>
    <x v="0"/>
    <n v="35000"/>
    <x v="12"/>
    <n v="5303.030303030303"/>
    <n v="6424.1100000000015"/>
    <n v="1121.0796969696985"/>
    <n v="0"/>
    <n v="0"/>
    <s v=""/>
    <n v="0"/>
    <n v="5.15"/>
    <n v="0"/>
    <d v="2014-04-22T00:00:00"/>
    <d v="1899-12-30T00:00:00"/>
    <d v="2014-08-18T00:00:00"/>
    <d v="1899-12-30T00:00:00"/>
    <d v="2014-10-01T00:00:00"/>
    <d v="1899-12-30T00:00:00"/>
    <d v="1899-12-30T00:00:00"/>
    <d v="1899-12-30T00:00:00"/>
    <d v="1899-12-30T00:00:00"/>
    <x v="0"/>
    <s v="확정"/>
    <n v="189"/>
    <n v="0"/>
    <n v="0"/>
    <n v="0"/>
    <n v="0"/>
    <n v="0"/>
    <n v="200"/>
    <n v="1284822.0000000002"/>
    <n v="7000000"/>
    <n v="4.9529322845003909"/>
  </r>
  <r>
    <n v="0"/>
    <n v="0"/>
    <s v=""/>
    <s v=""/>
    <s v=""/>
    <x v="1"/>
    <s v=""/>
    <s v=""/>
    <n v="0"/>
    <s v="0"/>
    <s v="0-"/>
    <n v="0"/>
    <s v="TTL"/>
    <s v=""/>
    <s v="SBK-FOREMOST-14 TTL"/>
    <m/>
    <s v=""/>
    <s v=""/>
    <s v=""/>
    <m/>
    <s v=""/>
    <s v="K"/>
    <m/>
    <s v=""/>
    <s v=""/>
    <n v="5"/>
    <m/>
    <s v=""/>
    <m/>
    <s v=""/>
    <x v="0"/>
    <n v="9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852"/>
    <n v="0"/>
    <n v="0"/>
    <n v="0"/>
    <n v="0"/>
    <n v="0"/>
    <n v="1900"/>
    <n v="11157993"/>
    <n v="66900000"/>
    <n v="5.4506381047363819"/>
  </r>
  <r>
    <n v="0"/>
    <n v="0"/>
    <n v="5"/>
    <n v="10"/>
    <s v="F-CAP"/>
    <x v="9"/>
    <s v="SBK-FOREMOST-16"/>
    <s v="SBK-FOREMOST-16SBKEBF5547BG"/>
    <n v="1"/>
    <s v="SBK-FOREMOST-161"/>
    <s v="SBK-FOREMOST-161-SBKEBF5547BEIGEFRE"/>
    <s v="SBK의류외547"/>
    <s v="SBK"/>
    <s v="14FW-J"/>
    <m/>
    <s v="SBK"/>
    <s v="SMITH BRIDGE_KIDS"/>
    <s v="F"/>
    <n v="5"/>
    <s v="EB"/>
    <s v="EARFLAP BEANIE"/>
    <s v="K"/>
    <n v="547"/>
    <n v="547"/>
    <s v="SBKEBF5547"/>
    <n v="0.5"/>
    <s v="14FW-JILLBY-KNIT-23-BG_KIDS"/>
    <s v="BG"/>
    <s v="BEIGE"/>
    <s v="SBKEBF5547BG"/>
    <x v="0"/>
    <n v="1"/>
    <n v="0"/>
    <n v="1"/>
    <s v="FRE"/>
    <n v="200"/>
    <x v="4"/>
    <n v="16"/>
    <x v="17"/>
    <s v="M"/>
    <s v="CN"/>
    <x v="0"/>
    <n v="45000"/>
    <x v="12"/>
    <n v="6818.1818181818171"/>
    <n v="7671.5100000000011"/>
    <n v="853.32818181818402"/>
    <n v="0"/>
    <n v="0"/>
    <s v=""/>
    <n v="0"/>
    <n v="6.15"/>
    <n v="0"/>
    <d v="2014-05-02T00:00:00"/>
    <d v="1899-12-30T00:00:00"/>
    <d v="2014-09-25T00:00:00"/>
    <d v="1899-12-30T00:00:00"/>
    <d v="2014-10-29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1534302.0000000002"/>
    <n v="9000000"/>
    <n v="5.3325995676328262"/>
  </r>
  <r>
    <n v="0"/>
    <n v="0"/>
    <n v="5"/>
    <n v="10"/>
    <s v="F-CAP"/>
    <x v="9"/>
    <s v="SBK-FOREMOST-16"/>
    <s v="SBK-FOREMOST-16SBKEBF5547GY"/>
    <n v="2"/>
    <s v="SBK-FOREMOST-162"/>
    <s v="SBK-FOREMOST-162-SBKEBF5547GREYFRE"/>
    <s v="SBK의류외547"/>
    <s v="SBK"/>
    <s v="14FW-J"/>
    <m/>
    <s v="SBK"/>
    <s v="SMITH BRIDGE_KIDS"/>
    <s v="F"/>
    <n v="5"/>
    <s v="EB"/>
    <s v="EARFLAP BEANIE"/>
    <s v="K"/>
    <n v="547"/>
    <n v="547"/>
    <s v="SBKEBF5547"/>
    <n v="0.5"/>
    <s v="14FW-JILLBY-KNIT-23-GY_KIDS"/>
    <s v="GY"/>
    <s v="GREY"/>
    <s v="SBKEBF5547GY"/>
    <x v="0"/>
    <n v="1"/>
    <n v="0"/>
    <n v="1"/>
    <s v="FRE"/>
    <n v="200"/>
    <x v="4"/>
    <n v="16"/>
    <x v="17"/>
    <s v="M"/>
    <s v="CN"/>
    <x v="0"/>
    <n v="45000"/>
    <x v="12"/>
    <n v="6818.1818181818171"/>
    <n v="7671.5100000000011"/>
    <n v="853.32818181818402"/>
    <n v="0"/>
    <n v="0"/>
    <s v=""/>
    <n v="0"/>
    <n v="6.15"/>
    <n v="0"/>
    <d v="2014-05-02T00:00:00"/>
    <d v="1899-12-30T00:00:00"/>
    <d v="2014-09-25T00:00:00"/>
    <d v="1899-12-30T00:00:00"/>
    <d v="2014-10-29T00:00:00"/>
    <d v="1899-12-30T00:00:00"/>
    <d v="1899-12-30T00:00:00"/>
    <d v="1899-12-30T00:00:00"/>
    <d v="1899-12-30T00:00:00"/>
    <x v="0"/>
    <n v="0"/>
    <n v="198"/>
    <n v="0"/>
    <n v="0"/>
    <n v="0"/>
    <n v="0"/>
    <n v="0"/>
    <n v="200"/>
    <n v="1534302.0000000002"/>
    <n v="9000000"/>
    <n v="5.3325995676328262"/>
  </r>
  <r>
    <n v="0"/>
    <n v="0"/>
    <n v="5"/>
    <n v="11"/>
    <s v="F-CAP"/>
    <x v="9"/>
    <s v="SBK-FOREMOST-16"/>
    <s v="SBK-FOREMOST-16SBKEBF5549BG"/>
    <n v="3"/>
    <s v="SBK-FOREMOST-163"/>
    <s v="SBK-FOREMOST-163-SBKEBF5549BEIGEFRE"/>
    <s v="SBK의류외549"/>
    <s v="SBK"/>
    <s v="14FW-J"/>
    <m/>
    <s v="SBK"/>
    <s v="SMITH BRIDGE_KIDS"/>
    <s v="F"/>
    <n v="5"/>
    <s v="EB"/>
    <s v="EARFLAP BEANIE"/>
    <s v="K"/>
    <n v="549"/>
    <n v="549"/>
    <s v="SBKEBF5549"/>
    <n v="0.5"/>
    <s v="14FW-JILLBY-KNIT-56-BG_KIDS"/>
    <s v="BG"/>
    <s v="BEIGE"/>
    <s v="SBKEBF5549BG"/>
    <x v="0"/>
    <n v="1"/>
    <n v="0"/>
    <n v="1"/>
    <s v="FRE"/>
    <n v="80"/>
    <x v="4"/>
    <n v="16"/>
    <x v="17"/>
    <s v="M"/>
    <s v="CN"/>
    <x v="0"/>
    <n v="43000"/>
    <x v="12"/>
    <n v="6515.151515151515"/>
    <n v="6486.4800000000014"/>
    <n v="-28.671515151513631"/>
    <n v="0"/>
    <n v="0"/>
    <s v=""/>
    <n v="0"/>
    <n v="5.2"/>
    <n v="0"/>
    <d v="2014-05-02T00:00:00"/>
    <d v="1899-12-30T00:00:00"/>
    <d v="2014-09-25T00:00:00"/>
    <d v="1899-12-30T00:00:00"/>
    <d v="2014-11-04T00:00:00"/>
    <d v="1899-12-30T00:00:00"/>
    <d v="1899-12-30T00:00:00"/>
    <d v="1899-12-30T00:00:00"/>
    <d v="1899-12-30T00:00:00"/>
    <x v="0"/>
    <n v="0"/>
    <n v="79"/>
    <n v="0"/>
    <n v="0"/>
    <n v="0"/>
    <n v="0"/>
    <n v="0"/>
    <n v="80"/>
    <n v="518918.40000000014"/>
    <n v="3440000"/>
    <n v="6.0265211780363268"/>
  </r>
  <r>
    <n v="0"/>
    <n v="0"/>
    <n v="5"/>
    <n v="11"/>
    <s v="F-CAP"/>
    <x v="9"/>
    <s v="SBK-FOREMOST-16"/>
    <s v="SBK-FOREMOST-16SBKEBF5549RE"/>
    <n v="4"/>
    <s v="SBK-FOREMOST-164"/>
    <s v="SBK-FOREMOST-164-SBKEBF5549REDFRE"/>
    <s v="SBK의류외549"/>
    <s v="SBK"/>
    <s v="14FW-J"/>
    <m/>
    <s v="SBK"/>
    <s v="SMITH BRIDGE_KIDS"/>
    <s v="F"/>
    <n v="5"/>
    <s v="EB"/>
    <s v="EARFLAP BEANIE"/>
    <s v="K"/>
    <n v="549"/>
    <n v="549"/>
    <s v="SBKEBF5549"/>
    <n v="0.5"/>
    <s v="14FW-JILLBY-KNIT-56-RD_KIDS"/>
    <s v="RE"/>
    <s v="RED"/>
    <s v="SBKEBF5549RE"/>
    <x v="0"/>
    <n v="1"/>
    <n v="0"/>
    <n v="1"/>
    <s v="FRE"/>
    <n v="80"/>
    <x v="4"/>
    <n v="16"/>
    <x v="17"/>
    <s v="M"/>
    <s v="CN"/>
    <x v="0"/>
    <n v="43000"/>
    <x v="12"/>
    <n v="6515.151515151515"/>
    <n v="6486.4800000000014"/>
    <n v="-28.671515151513631"/>
    <n v="0"/>
    <n v="0"/>
    <s v=""/>
    <n v="0"/>
    <n v="5.2"/>
    <n v="0"/>
    <d v="2014-05-02T00:00:00"/>
    <d v="1899-12-30T00:00:00"/>
    <d v="2014-09-25T00:00:00"/>
    <d v="1899-12-30T00:00:00"/>
    <d v="2014-11-04T00:00:00"/>
    <d v="1899-12-30T00:00:00"/>
    <d v="1899-12-30T00:00:00"/>
    <d v="1899-12-30T00:00:00"/>
    <d v="1899-12-30T00:00:00"/>
    <x v="0"/>
    <n v="0"/>
    <n v="80"/>
    <n v="0"/>
    <n v="0"/>
    <n v="0"/>
    <n v="0"/>
    <n v="0"/>
    <n v="80"/>
    <n v="518918.40000000014"/>
    <n v="3440000"/>
    <n v="6.0265211780363268"/>
  </r>
  <r>
    <n v="0"/>
    <n v="0"/>
    <n v="5"/>
    <n v="10"/>
    <s v="F-CAP"/>
    <x v="9"/>
    <s v="SBK-FOREMOST-16"/>
    <s v="SBK-FOREMOST-16SBKEBF5546GY"/>
    <n v="5"/>
    <s v="SBK-FOREMOST-165"/>
    <s v="SBK-FOREMOST-165-SBKEBF5546GREYFRE"/>
    <s v="SBK의류외546"/>
    <s v="SBK"/>
    <s v="14FW-J"/>
    <m/>
    <s v="SBK"/>
    <s v="SMITH BRIDGE_KIDS"/>
    <s v="F"/>
    <n v="5"/>
    <s v="EB"/>
    <s v="EARFLAP BEANIE"/>
    <s v="K"/>
    <n v="546"/>
    <n v="546"/>
    <s v="SBKEBF5546"/>
    <n v="0.5"/>
    <s v="14FW-JILLBY-KNIT-54-GY_KIDS"/>
    <s v="GY"/>
    <s v="GREY"/>
    <s v="SBKEBF5546GY"/>
    <x v="0"/>
    <n v="1"/>
    <n v="0"/>
    <n v="1"/>
    <s v="FRE"/>
    <n v="200"/>
    <x v="4"/>
    <n v="16"/>
    <x v="17"/>
    <s v="M"/>
    <s v="CN"/>
    <x v="0"/>
    <n v="45000"/>
    <x v="12"/>
    <n v="6818.1818181818171"/>
    <n v="8170.47"/>
    <n v="1352.2881818181831"/>
    <n v="0"/>
    <n v="0"/>
    <s v=""/>
    <n v="0"/>
    <n v="6.55"/>
    <n v="0"/>
    <d v="2014-05-02T00:00:00"/>
    <d v="1899-12-30T00:00:00"/>
    <d v="2014-09-25T00:00:00"/>
    <d v="1899-12-30T00:00:00"/>
    <d v="2014-10-29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1634094"/>
    <n v="9000000"/>
    <n v="5.0069446322048679"/>
  </r>
  <r>
    <n v="0"/>
    <n v="0"/>
    <n v="5"/>
    <n v="10"/>
    <s v="F-CAP"/>
    <x v="9"/>
    <s v="SBK-FOREMOST-16"/>
    <s v="SBK-FOREMOST-16SBKEBF5546BL"/>
    <n v="6"/>
    <s v="SBK-FOREMOST-166"/>
    <s v="SBK-FOREMOST-166-SBKEBF5546BLUEFRE"/>
    <s v="SBK의류외546"/>
    <s v="SBK"/>
    <s v="14FW-J"/>
    <m/>
    <s v="SBK"/>
    <s v="SMITH BRIDGE_KIDS"/>
    <s v="F"/>
    <n v="5"/>
    <s v="EB"/>
    <s v="EARFLAP BEANIE"/>
    <s v="K"/>
    <n v="546"/>
    <n v="546"/>
    <s v="SBKEBF5546"/>
    <n v="0.5"/>
    <s v="14FW-JILLBY-KNIT-54-BL"/>
    <s v="BL"/>
    <s v="BLUE"/>
    <s v="SBKEBF5546BL"/>
    <x v="0"/>
    <n v="1"/>
    <n v="0"/>
    <n v="1"/>
    <s v="FRE"/>
    <n v="200"/>
    <x v="4"/>
    <n v="16"/>
    <x v="17"/>
    <s v="M"/>
    <s v="CN"/>
    <x v="0"/>
    <n v="45000"/>
    <x v="12"/>
    <n v="6818.1818181818171"/>
    <n v="8170.47"/>
    <n v="1352.2881818181831"/>
    <n v="0"/>
    <n v="0"/>
    <s v=""/>
    <n v="0"/>
    <n v="6.55"/>
    <n v="0"/>
    <d v="2014-05-02T00:00:00"/>
    <d v="1899-12-30T00:00:00"/>
    <d v="2014-09-25T00:00:00"/>
    <d v="1899-12-30T00:00:00"/>
    <d v="2014-10-29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1634094"/>
    <n v="9000000"/>
    <n v="5.0069446322048679"/>
  </r>
  <r>
    <n v="0"/>
    <n v="0"/>
    <n v="5"/>
    <n v="10"/>
    <s v="F-CAP"/>
    <x v="9"/>
    <s v="SBK-FOREMOST-16"/>
    <s v="SBK-FOREMOST-16SBKEBF5541BG"/>
    <n v="7"/>
    <s v="SBK-FOREMOST-167"/>
    <s v="SBK-FOREMOST-167-SBKEBF5541BEIGEFRE"/>
    <s v="SBK의류외541"/>
    <s v="SBK"/>
    <s v="14FW-J"/>
    <m/>
    <s v="SBK"/>
    <s v="SMITH BRIDGE_KIDS"/>
    <s v="F"/>
    <n v="5"/>
    <s v="EB"/>
    <s v="EARFLAP BEANIE"/>
    <s v="K"/>
    <n v="541"/>
    <n v="541"/>
    <s v="SBKEBF5541"/>
    <n v="0.5"/>
    <s v="14FW-JILLBY-KNIT-62-BG_KIDS"/>
    <s v="BG"/>
    <s v="BEIGE"/>
    <s v="SBKEBF5541BG"/>
    <x v="0"/>
    <n v="1"/>
    <n v="0"/>
    <n v="1"/>
    <s v="FRE"/>
    <n v="200"/>
    <x v="4"/>
    <n v="16"/>
    <x v="17"/>
    <s v="M"/>
    <s v="CN"/>
    <x v="0"/>
    <n v="39000"/>
    <x v="12"/>
    <n v="5909.0909090909081"/>
    <n v="6049.89"/>
    <n v="140.79909090909223"/>
    <n v="0"/>
    <n v="0"/>
    <s v=""/>
    <n v="0"/>
    <n v="4.8499999999999996"/>
    <n v="0"/>
    <d v="2014-05-02T00:00:00"/>
    <d v="1899-12-30T00:00:00"/>
    <d v="2014-09-25T00:00:00"/>
    <d v="1899-12-30T00:00:00"/>
    <d v="2014-10-29T00:00:00"/>
    <d v="1899-12-30T00:00:00"/>
    <d v="1899-12-30T00:00:00"/>
    <d v="1899-12-30T00:00:00"/>
    <d v="1899-12-30T00:00:00"/>
    <x v="0"/>
    <n v="0"/>
    <n v="197"/>
    <n v="0"/>
    <n v="0"/>
    <n v="0"/>
    <n v="0"/>
    <n v="0"/>
    <n v="200"/>
    <n v="1209978"/>
    <n v="7800000"/>
    <n v="5.8603619990686528"/>
  </r>
  <r>
    <n v="0"/>
    <n v="0"/>
    <n v="5"/>
    <n v="10"/>
    <s v="F-CAP"/>
    <x v="9"/>
    <s v="SBK-FOREMOST-16"/>
    <s v="SBK-FOREMOST-16SBKEBF5541IV"/>
    <n v="8"/>
    <s v="SBK-FOREMOST-168"/>
    <s v="SBK-FOREMOST-168-SBKEBF5541IVORYFRE"/>
    <s v="SBK의류외541"/>
    <s v="SBK"/>
    <s v="14FW-J"/>
    <m/>
    <s v="SBK"/>
    <s v="SMITH BRIDGE_KIDS"/>
    <s v="F"/>
    <n v="5"/>
    <s v="EB"/>
    <s v="EARFLAP BEANIE"/>
    <s v="K"/>
    <n v="541"/>
    <n v="541"/>
    <s v="SBKEBF5541"/>
    <n v="0.5"/>
    <s v="14FW-JILLBY-KNIT-62-IV_KIDS"/>
    <s v="IV"/>
    <s v="IVORY"/>
    <s v="SBKEBF5541IV"/>
    <x v="0"/>
    <n v="1"/>
    <n v="0"/>
    <n v="1"/>
    <s v="FRE"/>
    <n v="200"/>
    <x v="4"/>
    <n v="16"/>
    <x v="17"/>
    <s v="M"/>
    <s v="CN"/>
    <x v="0"/>
    <n v="39000"/>
    <x v="12"/>
    <n v="5909.0909090909081"/>
    <n v="6049.89"/>
    <n v="140.79909090909223"/>
    <n v="0"/>
    <n v="0"/>
    <s v=""/>
    <n v="0"/>
    <n v="4.8499999999999996"/>
    <n v="0"/>
    <d v="2014-05-02T00:00:00"/>
    <d v="1899-12-30T00:00:00"/>
    <d v="2014-09-25T00:00:00"/>
    <d v="1899-12-30T00:00:00"/>
    <d v="2014-10-29T00:00:00"/>
    <d v="1899-12-30T00:00:00"/>
    <d v="1899-12-30T00:00:00"/>
    <d v="1899-12-30T00:00:00"/>
    <d v="1899-12-30T00:00:00"/>
    <x v="0"/>
    <n v="0"/>
    <n v="198"/>
    <n v="0"/>
    <n v="0"/>
    <n v="0"/>
    <n v="0"/>
    <n v="0"/>
    <n v="200"/>
    <n v="1209978"/>
    <n v="7800000"/>
    <n v="5.8603619990686528"/>
  </r>
  <r>
    <n v="0"/>
    <n v="0"/>
    <n v="5"/>
    <n v="10"/>
    <s v="F-CAP"/>
    <x v="9"/>
    <s v="SBK-FOREMOST-16"/>
    <s v="SBK-FOREMOST-16SBKBEF5543NY"/>
    <n v="9"/>
    <s v="SBK-FOREMOST-169"/>
    <s v="SBK-FOREMOST-169-SBKBEF5543NAVYFRE"/>
    <s v="SBK의류외543"/>
    <s v="SBK"/>
    <s v="14FW-J"/>
    <m/>
    <s v="SBK"/>
    <s v="SMITH BRIDGE_KIDS"/>
    <s v="F"/>
    <n v="5"/>
    <s v="BE"/>
    <s v="BEANIE"/>
    <s v="K"/>
    <n v="543"/>
    <n v="543"/>
    <s v="SBKBEF5543"/>
    <n v="0.33333333333333331"/>
    <s v="14FW-JILLBY-KNIT-45-NV_KIDS"/>
    <s v="NY"/>
    <s v="NAVY"/>
    <s v="SBKBEF5543NY"/>
    <x v="0"/>
    <n v="1"/>
    <n v="0"/>
    <n v="1"/>
    <s v="FRE"/>
    <n v="200"/>
    <x v="4"/>
    <n v="16"/>
    <x v="17"/>
    <s v="M"/>
    <s v="CN"/>
    <x v="0"/>
    <n v="35000"/>
    <x v="12"/>
    <n v="5303.030303030303"/>
    <n v="5051.9700000000012"/>
    <n v="-251.06030303030184"/>
    <n v="0"/>
    <n v="0"/>
    <s v=""/>
    <n v="0"/>
    <n v="4.05"/>
    <n v="0"/>
    <d v="2014-05-02T00:00:00"/>
    <d v="1899-12-30T00:00:00"/>
    <d v="2014-09-25T00:00:00"/>
    <d v="1899-12-30T00:00:00"/>
    <d v="2014-10-29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1010394.0000000002"/>
    <n v="7000000"/>
    <n v="6.2981731518955595"/>
  </r>
  <r>
    <n v="0"/>
    <n v="0"/>
    <n v="5"/>
    <n v="10"/>
    <s v="F-CAP"/>
    <x v="9"/>
    <s v="SBK-FOREMOST-16"/>
    <s v="SBK-FOREMOST-16SBKBEF5543PP"/>
    <n v="10"/>
    <s v="SBK-FOREMOST-1610"/>
    <s v="SBK-FOREMOST-1610-SBKBEF5543PURPLEFRE"/>
    <s v="SBK의류외543"/>
    <s v="SBK"/>
    <s v="14FW-J"/>
    <m/>
    <s v="SBK"/>
    <s v="SMITH BRIDGE_KIDS"/>
    <s v="F"/>
    <n v="5"/>
    <s v="BE"/>
    <s v="BEANIE"/>
    <s v="K"/>
    <n v="543"/>
    <n v="543"/>
    <s v="SBKBEF5543"/>
    <n v="0.33333333333333331"/>
    <s v="14FW-JILLBY-KNIT-45-PP_KIDS"/>
    <s v="PP"/>
    <s v="PURPLE"/>
    <s v="SBKBEF5543PP"/>
    <x v="0"/>
    <n v="1"/>
    <n v="0"/>
    <n v="1"/>
    <s v="FRE"/>
    <n v="200"/>
    <x v="4"/>
    <n v="16"/>
    <x v="17"/>
    <s v="M"/>
    <s v="CN"/>
    <x v="0"/>
    <n v="35000"/>
    <x v="12"/>
    <n v="5303.030303030303"/>
    <n v="5051.9700000000012"/>
    <n v="-251.06030303030184"/>
    <n v="0"/>
    <n v="0"/>
    <s v=""/>
    <n v="0"/>
    <n v="4.05"/>
    <n v="0"/>
    <d v="2014-05-02T00:00:00"/>
    <d v="1899-12-30T00:00:00"/>
    <d v="2014-09-25T00:00:00"/>
    <d v="1899-12-30T00:00:00"/>
    <d v="2014-10-29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1010394.0000000002"/>
    <n v="7000000"/>
    <n v="6.2981731518955595"/>
  </r>
  <r>
    <n v="0"/>
    <n v="0"/>
    <n v="5"/>
    <n v="10"/>
    <s v="F-CAP"/>
    <x v="9"/>
    <s v="SBK-FOREMOST-16"/>
    <s v="SBK-FOREMOST-16SBKBEF5543RE"/>
    <n v="11"/>
    <s v="SBK-FOREMOST-1611"/>
    <s v="SBK-FOREMOST-1611-SBKBEF5543REDFRE"/>
    <s v="SBK의류외543"/>
    <s v="SBK"/>
    <s v="14FW-J"/>
    <m/>
    <s v="SBK"/>
    <s v="SMITH BRIDGE_KIDS"/>
    <s v="F"/>
    <n v="5"/>
    <s v="BE"/>
    <s v="BEANIE"/>
    <s v="K"/>
    <n v="543"/>
    <n v="543"/>
    <s v="SBKBEF5543"/>
    <n v="0.33333333333333331"/>
    <s v="14FW-JILLBY-KNIT-45-RD_KIDS"/>
    <s v="RE"/>
    <s v="RED"/>
    <s v="SBKBEF5543RE"/>
    <x v="0"/>
    <n v="1"/>
    <n v="0"/>
    <n v="1"/>
    <s v="FRE"/>
    <n v="200"/>
    <x v="4"/>
    <n v="16"/>
    <x v="17"/>
    <s v="M"/>
    <s v="CN"/>
    <x v="0"/>
    <n v="35000"/>
    <x v="12"/>
    <n v="5303.030303030303"/>
    <n v="5051.9700000000012"/>
    <n v="-251.06030303030184"/>
    <n v="0"/>
    <n v="0"/>
    <s v=""/>
    <n v="0"/>
    <n v="4.05"/>
    <n v="0"/>
    <d v="2014-05-02T00:00:00"/>
    <d v="1899-12-30T00:00:00"/>
    <d v="2014-09-25T00:00:00"/>
    <d v="1899-12-30T00:00:00"/>
    <d v="2014-10-29T00:00:00"/>
    <d v="1899-12-30T00:00:00"/>
    <d v="1899-12-30T00:00:00"/>
    <d v="1899-12-30T00:00:00"/>
    <d v="1899-12-30T00:00:00"/>
    <x v="0"/>
    <n v="0"/>
    <n v="198"/>
    <n v="0"/>
    <n v="0"/>
    <n v="0"/>
    <n v="0"/>
    <n v="0"/>
    <n v="200"/>
    <n v="1010394.0000000002"/>
    <n v="7000000"/>
    <n v="6.2981731518955595"/>
  </r>
  <r>
    <n v="0"/>
    <n v="0"/>
    <s v=""/>
    <s v=""/>
    <s v=""/>
    <x v="1"/>
    <s v=""/>
    <s v=""/>
    <n v="0"/>
    <s v="0"/>
    <s v="0-"/>
    <n v="0"/>
    <s v="TTL"/>
    <s v=""/>
    <s v="SBK-FOREMOST-16 TTL"/>
    <m/>
    <s v=""/>
    <s v=""/>
    <s v=""/>
    <m/>
    <s v=""/>
    <s v="K"/>
    <m/>
    <s v=""/>
    <s v=""/>
    <n v="4.9999999999999991"/>
    <m/>
    <s v=""/>
    <m/>
    <s v=""/>
    <x v="0"/>
    <n v="1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950"/>
    <n v="0"/>
    <n v="0"/>
    <n v="0"/>
    <n v="0"/>
    <n v="0"/>
    <n v="1960"/>
    <n v="12825766.800000001"/>
    <n v="79480000"/>
    <n v="5.6335458597723331"/>
  </r>
  <r>
    <n v="0"/>
    <n v="0"/>
    <n v="5"/>
    <n v="10"/>
    <s v="F-CAP"/>
    <x v="9"/>
    <s v="SBK-Y&amp;Y-03"/>
    <s v="SBK-Y&amp;Y-03SBKEBF5553PK"/>
    <n v="1"/>
    <s v="SBK-Y&amp;Y-031"/>
    <s v="SBK-Y&amp;Y-031-SBKEBF5553PINKFRE"/>
    <s v="SBK의류외553"/>
    <s v="SBK"/>
    <s v="14FW-J"/>
    <m/>
    <s v="SBK"/>
    <s v="SMITH BRIDGE_KIDS"/>
    <s v="F"/>
    <n v="5"/>
    <s v="EB"/>
    <s v="EARFLAP BEANIE"/>
    <s v="K"/>
    <n v="553"/>
    <n v="553"/>
    <s v="SBKEBF5553"/>
    <n v="0.5"/>
    <s v="14FW-JILLBY-KNIT-41-PK_KIDS"/>
    <s v="PK"/>
    <s v="PINK"/>
    <s v="SBKEBF5553PK"/>
    <x v="0"/>
    <n v="1"/>
    <s v="겉감: 아크릴 100%_x000a_안감 : 폴라폴리스 100%"/>
    <n v="1"/>
    <s v="FRE"/>
    <n v="200"/>
    <x v="6"/>
    <n v="3"/>
    <x v="2"/>
    <s v="M"/>
    <s v="CN"/>
    <x v="0"/>
    <n v="35000"/>
    <x v="12"/>
    <n v="4545.454545454545"/>
    <n v="4266.1080000000011"/>
    <n v="-279.34654545454396"/>
    <n v="0"/>
    <n v="0"/>
    <s v=""/>
    <n v="0"/>
    <n v="3.42"/>
    <n v="0"/>
    <d v="2014-05-02T00:00:00"/>
    <d v="1899-12-30T00:00:00"/>
    <d v="2014-09-25T00:00:00"/>
    <d v="1899-12-30T00:00:00"/>
    <d v="2014-10-01T00:00:00"/>
    <d v="1899-12-30T00:00:00"/>
    <d v="1899-12-30T00:00:00"/>
    <d v="1899-12-30T00:00:00"/>
    <d v="1899-12-30T00:00:00"/>
    <x v="0"/>
    <s v="확정"/>
    <n v="199"/>
    <n v="0"/>
    <n v="0"/>
    <n v="0"/>
    <n v="0"/>
    <n v="0"/>
    <n v="200"/>
    <n v="853221.60000000021"/>
    <n v="7000000"/>
    <n v="7.4583629430342144"/>
  </r>
  <r>
    <n v="0"/>
    <n v="0"/>
    <n v="5"/>
    <n v="10"/>
    <s v="F-CAP"/>
    <x v="9"/>
    <s v="SBK-Y&amp;Y-03"/>
    <s v="SBK-Y&amp;Y-03SBKEBF5553MT"/>
    <n v="2"/>
    <s v="SBK-Y&amp;Y-032"/>
    <s v="SBK-Y&amp;Y-032-SBKEBF5553MINTFRE"/>
    <s v="SBK의류외553"/>
    <s v="SBK"/>
    <s v="14FW-J"/>
    <m/>
    <s v="SBK"/>
    <s v="SMITH BRIDGE_KIDS"/>
    <s v="F"/>
    <n v="5"/>
    <s v="EB"/>
    <s v="EARFLAP BEANIE"/>
    <s v="K"/>
    <n v="553"/>
    <n v="553"/>
    <s v="SBKEBF5553"/>
    <n v="0.5"/>
    <s v="14FW-JILLBY-KNIT-41-MT_KIDS"/>
    <s v="MT"/>
    <s v="MINT"/>
    <s v="SBKEBF5553MT"/>
    <x v="0"/>
    <n v="1"/>
    <s v="겉감: 아크릴 100%_x000a_안감 : 폴라폴리스 100%"/>
    <n v="1"/>
    <s v="FRE"/>
    <n v="200"/>
    <x v="6"/>
    <n v="3"/>
    <x v="2"/>
    <s v="M"/>
    <s v="CN"/>
    <x v="0"/>
    <n v="35000"/>
    <x v="12"/>
    <n v="4545.454545454545"/>
    <n v="4266.1080000000011"/>
    <n v="-279.34654545454396"/>
    <n v="0"/>
    <n v="0"/>
    <s v=""/>
    <n v="0"/>
    <n v="3.42"/>
    <n v="0"/>
    <d v="2014-05-02T00:00:00"/>
    <d v="1899-12-30T00:00:00"/>
    <d v="2014-09-25T00:00:00"/>
    <d v="1899-12-30T00:00:00"/>
    <d v="2014-10-01T00:00:00"/>
    <d v="1899-12-30T00:00:00"/>
    <d v="1899-12-30T00:00:00"/>
    <d v="1899-12-30T00:00:00"/>
    <d v="1899-12-30T00:00:00"/>
    <x v="0"/>
    <s v="확정"/>
    <n v="200"/>
    <n v="0"/>
    <n v="0"/>
    <n v="0"/>
    <n v="0"/>
    <n v="0"/>
    <n v="200"/>
    <n v="853221.60000000021"/>
    <n v="7000000"/>
    <n v="7.4583629430342144"/>
  </r>
  <r>
    <n v="0"/>
    <n v="0"/>
    <n v="5"/>
    <n v="10"/>
    <s v="F-CAP"/>
    <x v="9"/>
    <s v="SBK-Y&amp;Y-03"/>
    <s v="SBK-Y&amp;Y-03SBKEBF5554PP"/>
    <n v="3"/>
    <s v="SBK-Y&amp;Y-033"/>
    <s v="SBK-Y&amp;Y-033-SBKEBF5554PURPLEFRE"/>
    <s v="SBK의류외554"/>
    <s v="SBK"/>
    <s v="14FW-J"/>
    <m/>
    <s v="SBK"/>
    <s v="SMITH BRIDGE_KIDS"/>
    <s v="F"/>
    <n v="5"/>
    <s v="EB"/>
    <s v="EARFLAP BEANIE"/>
    <s v="K"/>
    <n v="554"/>
    <n v="554"/>
    <s v="SBKEBF5554"/>
    <n v="0.33333333333333331"/>
    <s v="14FW-JILLBY-KNIT-55-PP_KIDS"/>
    <s v="PP"/>
    <s v="PURPLE"/>
    <s v="SBKEBF5554PP"/>
    <x v="0"/>
    <n v="1"/>
    <s v="겉감 : 울 30% 폴리에스터 70%_x000a_안감 : 폴라폴리스 100%"/>
    <n v="1"/>
    <s v="FRE"/>
    <n v="80"/>
    <x v="6"/>
    <n v="3"/>
    <x v="2"/>
    <s v="M"/>
    <s v="CN"/>
    <x v="0"/>
    <n v="35000"/>
    <x v="12"/>
    <n v="4545.454545454545"/>
    <n v="5887.7280000000001"/>
    <n v="1342.273454545455"/>
    <n v="0"/>
    <n v="0"/>
    <s v=""/>
    <n v="0"/>
    <n v="4.72"/>
    <n v="0"/>
    <d v="2014-05-02T00:00:00"/>
    <d v="1899-12-30T00:00:00"/>
    <d v="2014-09-25T00:00:00"/>
    <d v="1899-12-30T00:00:00"/>
    <d v="2014-10-01T00:00:00"/>
    <d v="1899-12-30T00:00:00"/>
    <d v="1899-12-30T00:00:00"/>
    <d v="1899-12-30T00:00:00"/>
    <d v="1899-12-30T00:00:00"/>
    <x v="0"/>
    <s v="확정"/>
    <n v="80"/>
    <n v="0"/>
    <n v="0"/>
    <n v="0"/>
    <n v="0"/>
    <n v="0"/>
    <n v="80"/>
    <n v="471018.23999999999"/>
    <n v="2800000"/>
    <n v="5.4041528104188608"/>
  </r>
  <r>
    <n v="0"/>
    <n v="0"/>
    <n v="5"/>
    <n v="10"/>
    <s v="F-CAP"/>
    <x v="9"/>
    <s v="SBK-Y&amp;Y-03"/>
    <s v="SBK-Y&amp;Y-03SBKEBF5554BK"/>
    <n v="4"/>
    <s v="SBK-Y&amp;Y-034"/>
    <s v="SBK-Y&amp;Y-034-SBKEBF5554BLACKFRE"/>
    <s v="SBK의류외554"/>
    <s v="SBK"/>
    <s v="14FW-J"/>
    <m/>
    <s v="SBK"/>
    <s v="SMITH BRIDGE_KIDS"/>
    <s v="F"/>
    <n v="5"/>
    <s v="EB"/>
    <s v="EARFLAP BEANIE"/>
    <s v="K"/>
    <n v="554"/>
    <n v="554"/>
    <s v="SBKEBF5554"/>
    <n v="0.33333333333333331"/>
    <s v="14FW-JILLBY-KNIT-55-BK_KIDS"/>
    <s v="BK"/>
    <s v="BLACK"/>
    <s v="SBKEBF5554BK"/>
    <x v="0"/>
    <n v="1"/>
    <s v="겉감 : 울 30% 폴리에스터 70%_x000a_안감 : 폴라폴리스 100%"/>
    <n v="1"/>
    <s v="FRE"/>
    <n v="80"/>
    <x v="6"/>
    <n v="3"/>
    <x v="2"/>
    <s v="M"/>
    <s v="CN"/>
    <x v="0"/>
    <n v="35000"/>
    <x v="12"/>
    <n v="4545.454545454545"/>
    <n v="5887.7280000000001"/>
    <n v="1342.273454545455"/>
    <n v="0"/>
    <n v="0"/>
    <s v=""/>
    <n v="0"/>
    <n v="4.72"/>
    <n v="0"/>
    <d v="2014-05-02T00:00:00"/>
    <d v="1899-12-30T00:00:00"/>
    <d v="2014-09-25T00:00:00"/>
    <d v="1899-12-30T00:00:00"/>
    <d v="2014-10-01T00:00:00"/>
    <d v="1899-12-30T00:00:00"/>
    <d v="1899-12-30T00:00:00"/>
    <d v="1899-12-30T00:00:00"/>
    <d v="1899-12-30T00:00:00"/>
    <x v="0"/>
    <s v="확정"/>
    <n v="80"/>
    <n v="0"/>
    <n v="0"/>
    <n v="0"/>
    <n v="0"/>
    <n v="0"/>
    <n v="80"/>
    <n v="471018.23999999999"/>
    <n v="2800000"/>
    <n v="5.4041528104188608"/>
  </r>
  <r>
    <n v="0"/>
    <n v="0"/>
    <n v="5"/>
    <n v="10"/>
    <s v="F-CAP"/>
    <x v="9"/>
    <s v="SBK-Y&amp;Y-03"/>
    <s v="SBK-Y&amp;Y-03SBKEBF5554RE"/>
    <n v="5"/>
    <s v="SBK-Y&amp;Y-035"/>
    <s v="SBK-Y&amp;Y-035-SBKEBF5554REDFRE"/>
    <s v="SBK의류외554"/>
    <s v="SBK"/>
    <s v="14FW-J"/>
    <m/>
    <s v="SBK"/>
    <s v="SMITH BRIDGE_KIDS"/>
    <s v="F"/>
    <n v="5"/>
    <s v="EB"/>
    <s v="EARFLAP BEANIE"/>
    <s v="K"/>
    <n v="554"/>
    <n v="554"/>
    <s v="SBKEBF5554"/>
    <n v="0.33333333333333331"/>
    <s v="14FW-JILLBY-KNIT-55-RD_KIDS"/>
    <s v="RE"/>
    <s v="RED"/>
    <s v="SBKEBF5554RE"/>
    <x v="0"/>
    <n v="1"/>
    <s v="겉감 : 울 30% 폴리에스터 70%_x000a_안감 : 폴라폴리스 100%"/>
    <n v="1"/>
    <s v="FRE"/>
    <n v="80"/>
    <x v="6"/>
    <n v="3"/>
    <x v="2"/>
    <s v="M"/>
    <s v="CN"/>
    <x v="0"/>
    <n v="35000"/>
    <x v="12"/>
    <n v="4545.454545454545"/>
    <n v="5887.7280000000001"/>
    <n v="1342.273454545455"/>
    <n v="0"/>
    <n v="0"/>
    <s v=""/>
    <n v="0"/>
    <n v="4.72"/>
    <n v="0"/>
    <d v="2014-05-02T00:00:00"/>
    <d v="1899-12-30T00:00:00"/>
    <d v="2014-09-25T00:00:00"/>
    <d v="1899-12-30T00:00:00"/>
    <d v="2014-10-01T00:00:00"/>
    <d v="1899-12-30T00:00:00"/>
    <d v="1899-12-30T00:00:00"/>
    <d v="1899-12-30T00:00:00"/>
    <d v="1899-12-30T00:00:00"/>
    <x v="0"/>
    <s v="확정"/>
    <n v="80"/>
    <n v="0"/>
    <n v="0"/>
    <n v="0"/>
    <n v="0"/>
    <n v="0"/>
    <n v="80"/>
    <n v="471018.23999999999"/>
    <n v="2800000"/>
    <n v="5.4041528104188608"/>
  </r>
  <r>
    <n v="0"/>
    <n v="0"/>
    <s v=""/>
    <s v=""/>
    <s v=""/>
    <x v="1"/>
    <s v=""/>
    <s v=""/>
    <n v="0"/>
    <s v="0"/>
    <s v="0-"/>
    <n v="0"/>
    <s v="TTL"/>
    <s v=""/>
    <s v="SBK-Y&amp;Y-03 TTL"/>
    <m/>
    <s v=""/>
    <s v=""/>
    <s v=""/>
    <m/>
    <s v=""/>
    <s v="K"/>
    <m/>
    <s v=""/>
    <s v=""/>
    <n v="1.9999999999999998"/>
    <m/>
    <s v=""/>
    <m/>
    <s v=""/>
    <x v="0"/>
    <n v="5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39"/>
    <n v="0"/>
    <n v="0"/>
    <n v="0"/>
    <n v="0"/>
    <n v="0"/>
    <n v="640"/>
    <n v="3119497.9200000009"/>
    <n v="22400000"/>
    <n v="6.5278570096422301"/>
  </r>
  <r>
    <n v="0"/>
    <n v="0"/>
    <n v="5"/>
    <n v="11"/>
    <s v="F-CAP"/>
    <x v="9"/>
    <s v="SBK-FOREMOST-21"/>
    <s v="SBK-FOREMOST-21SBKEBF5551WH"/>
    <n v="1"/>
    <s v="SBK-FOREMOST-211"/>
    <s v="SBK-FOREMOST-211-SBKEBF5551WHITEFRE"/>
    <s v="SBK의류외551"/>
    <s v="SBK"/>
    <s v="14FW-J"/>
    <m/>
    <s v="SBK"/>
    <s v="SMITH BRIDGE_KIDS"/>
    <s v="F"/>
    <n v="5"/>
    <s v="EB"/>
    <s v="EARFLAP BEANIE"/>
    <s v="K"/>
    <n v="551"/>
    <n v="551"/>
    <s v="SBKEBF5551"/>
    <n v="0.25"/>
    <s v="14FW-JILLBY-KNIT-05-WH_KIDS"/>
    <s v="WH"/>
    <s v="WHITE"/>
    <s v="SBKEBF5551WH"/>
    <x v="0"/>
    <n v="0.5"/>
    <s v="울 20 레이온 20% 나이론 48 앙고라 12%"/>
    <n v="1"/>
    <s v="FRE"/>
    <n v="80"/>
    <x v="4"/>
    <n v="21"/>
    <x v="18"/>
    <s v="M"/>
    <s v="CN"/>
    <x v="0"/>
    <n v="45000"/>
    <x v="12"/>
    <n v="6818.1818181818171"/>
    <n v="7920.99"/>
    <n v="1102.8081818181827"/>
    <n v="0"/>
    <n v="0"/>
    <s v=""/>
    <n v="0"/>
    <n v="6.35"/>
    <n v="0"/>
    <d v="2014-05-02T00:00:00"/>
    <d v="1899-12-30T00:00:00"/>
    <d v="2014-09-25T00:00:00"/>
    <d v="1899-12-30T00:00:00"/>
    <d v="2014-11-13T00:00:00"/>
    <d v="1899-12-30T00:00:00"/>
    <d v="1899-12-30T00:00:00"/>
    <d v="1899-12-30T00:00:00"/>
    <d v="1899-12-30T00:00:00"/>
    <x v="0"/>
    <n v="0"/>
    <n v="80"/>
    <n v="0"/>
    <n v="0"/>
    <n v="0"/>
    <n v="0"/>
    <n v="0"/>
    <n v="80"/>
    <n v="633679.19999999995"/>
    <n v="3600000"/>
    <n v="5.1646436757388798"/>
  </r>
  <r>
    <n v="0"/>
    <n v="0"/>
    <n v="5"/>
    <n v="11"/>
    <s v="F-CAP"/>
    <x v="9"/>
    <s v="SBK-FOREMOST-21"/>
    <s v="SBK-FOREMOST-21SBKEBF5551WH"/>
    <n v="1"/>
    <s v="SBK-FOREMOST-211"/>
    <s v="SBK-FOREMOST-211-SBKEBF5551WHITEXSS"/>
    <s v="SBK의류외551"/>
    <s v="SBK"/>
    <s v="14FW-J"/>
    <m/>
    <s v="SBK"/>
    <s v="SMITH BRIDGE_KIDS"/>
    <s v="F"/>
    <n v="5"/>
    <s v="EB"/>
    <s v="EARFLAP BEANIE"/>
    <s v="K"/>
    <n v="551"/>
    <n v="551"/>
    <s v="SBKEBF5551"/>
    <n v="0.25"/>
    <s v="14FW-JILLBY-KNIT-05-WH_KIDS"/>
    <s v="WH"/>
    <s v="WHITE"/>
    <s v="SBKEBF5551WH"/>
    <x v="0"/>
    <n v="0.5"/>
    <s v="울 20 레이온 20% 나이론 48 앙고라 12%"/>
    <n v="1"/>
    <s v="XSS"/>
    <n v="200"/>
    <x v="4"/>
    <n v="21"/>
    <x v="18"/>
    <s v="M"/>
    <s v="CN"/>
    <x v="0"/>
    <n v="45000"/>
    <x v="12"/>
    <n v="6818.1818181818171"/>
    <n v="7920.99"/>
    <n v="1102.8081818181827"/>
    <n v="0"/>
    <n v="0"/>
    <s v=""/>
    <n v="0"/>
    <n v="6.35"/>
    <n v="0"/>
    <d v="2014-05-02T00:00:00"/>
    <d v="1899-12-30T00:00:00"/>
    <d v="2014-09-25T00:00:00"/>
    <d v="1899-12-30T00:00:00"/>
    <d v="2014-11-13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1584198"/>
    <n v="9000000"/>
    <n v="5.1646436757388798"/>
  </r>
  <r>
    <n v="0"/>
    <n v="0"/>
    <n v="5"/>
    <n v="11"/>
    <s v="F-CAP"/>
    <x v="9"/>
    <s v="SBK-FOREMOST-21"/>
    <s v="SBK-FOREMOST-21SBKEBF5551YE"/>
    <n v="2"/>
    <s v="SBK-FOREMOST-212"/>
    <s v="SBK-FOREMOST-212-SBKEBF5551YELLOWFRE"/>
    <s v="SBK의류외551"/>
    <s v="SBK"/>
    <s v="14FW-J"/>
    <m/>
    <s v="SBK"/>
    <s v="SMITH BRIDGE_KIDS"/>
    <s v="F"/>
    <n v="5"/>
    <s v="EB"/>
    <s v="EARFLAP BEANIE"/>
    <s v="K"/>
    <n v="551"/>
    <n v="551"/>
    <s v="SBKEBF5551"/>
    <n v="0.25"/>
    <s v="14FW-JILLBY-KNIT-05-YE_KIDS"/>
    <s v="YE"/>
    <s v="YELLOW"/>
    <s v="SBKEBF5551YE"/>
    <x v="0"/>
    <n v="0.5"/>
    <s v="울 20 레이온 20% 나이론 48 앙고라 12%"/>
    <n v="1"/>
    <s v="FRE"/>
    <n v="80"/>
    <x v="4"/>
    <n v="21"/>
    <x v="18"/>
    <s v="M"/>
    <s v="CN"/>
    <x v="0"/>
    <n v="45000"/>
    <x v="12"/>
    <n v="6818.1818181818171"/>
    <n v="7920.99"/>
    <n v="1102.8081818181827"/>
    <n v="0"/>
    <n v="0"/>
    <s v=""/>
    <n v="0"/>
    <n v="6.35"/>
    <n v="0"/>
    <d v="2014-05-02T00:00:00"/>
    <d v="1899-12-30T00:00:00"/>
    <d v="2014-09-25T00:00:00"/>
    <d v="1899-12-30T00:00:00"/>
    <d v="2014-11-13T00:00:00"/>
    <d v="1899-12-30T00:00:00"/>
    <d v="1899-12-30T00:00:00"/>
    <d v="1899-12-30T00:00:00"/>
    <d v="1899-12-30T00:00:00"/>
    <x v="0"/>
    <n v="0"/>
    <n v="80"/>
    <n v="0"/>
    <n v="0"/>
    <n v="0"/>
    <n v="0"/>
    <n v="0"/>
    <n v="80"/>
    <n v="633679.19999999995"/>
    <n v="3600000"/>
    <n v="5.1646436757388798"/>
  </r>
  <r>
    <n v="0"/>
    <n v="0"/>
    <n v="5"/>
    <n v="11"/>
    <s v="F-CAP"/>
    <x v="9"/>
    <s v="SBK-FOREMOST-21"/>
    <s v="SBK-FOREMOST-21SBKEBF5551YE"/>
    <n v="2"/>
    <s v="SBK-FOREMOST-212"/>
    <s v="SBK-FOREMOST-212-SBKEBF5551YELLOWXSS"/>
    <s v="SBK의류외551"/>
    <s v="SBK"/>
    <s v="14FW-J"/>
    <m/>
    <s v="SBK"/>
    <s v="SMITH BRIDGE_KIDS"/>
    <s v="F"/>
    <n v="5"/>
    <s v="EB"/>
    <s v="EARFLAP BEANIE"/>
    <s v="K"/>
    <n v="551"/>
    <n v="551"/>
    <s v="SBKEBF5551"/>
    <n v="0.25"/>
    <s v="14FW-JILLBY-KNIT-05-YE_KIDS"/>
    <s v="YE"/>
    <s v="YELLOW"/>
    <s v="SBKEBF5551YE"/>
    <x v="0"/>
    <n v="0.5"/>
    <s v="울 20 레이온 20% 나이론 48 앙고라 12%"/>
    <n v="1"/>
    <s v="XSS"/>
    <n v="200"/>
    <x v="4"/>
    <n v="21"/>
    <x v="18"/>
    <s v="M"/>
    <s v="CN"/>
    <x v="0"/>
    <n v="45000"/>
    <x v="12"/>
    <n v="6818.1818181818171"/>
    <n v="7920.99"/>
    <n v="1102.8081818181827"/>
    <n v="0"/>
    <n v="0"/>
    <s v=""/>
    <n v="0"/>
    <n v="6.35"/>
    <n v="0"/>
    <d v="2014-05-02T00:00:00"/>
    <d v="1899-12-30T00:00:00"/>
    <d v="2014-09-25T00:00:00"/>
    <d v="1899-12-30T00:00:00"/>
    <d v="2014-11-13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1584198"/>
    <n v="9000000"/>
    <n v="5.1646436757388798"/>
  </r>
  <r>
    <n v="0"/>
    <n v="0"/>
    <n v="5"/>
    <n v="11"/>
    <s v="F-CAP"/>
    <x v="9"/>
    <s v="SBK-FOREMOST-21"/>
    <s v="SBK-FOREMOST-21SBKEBF5550MT"/>
    <n v="3"/>
    <s v="SBK-FOREMOST-213"/>
    <s v="SBK-FOREMOST-213-SBKEBF5550MINTFRE"/>
    <s v="SBK의류외550"/>
    <s v="SBK"/>
    <s v="14FW-J"/>
    <m/>
    <s v="SBK"/>
    <s v="SMITH BRIDGE_KIDS"/>
    <s v="F"/>
    <n v="5"/>
    <s v="EB"/>
    <s v="EARFLAP BEANIE"/>
    <s v="K"/>
    <n v="550"/>
    <n v="550"/>
    <s v="SBKEBF5550"/>
    <n v="0.5"/>
    <s v="14FW-JILLBY-KNIT-59-MT_KIDS"/>
    <s v="MT"/>
    <s v="MINT"/>
    <s v="SBKEBF5550MT"/>
    <x v="0"/>
    <n v="0.5"/>
    <s v="울 30 나이론 35% 아크릴 35%"/>
    <n v="1"/>
    <s v="FRE"/>
    <n v="200"/>
    <x v="4"/>
    <n v="21"/>
    <x v="18"/>
    <s v="M"/>
    <s v="CN"/>
    <x v="0"/>
    <n v="45000"/>
    <x v="12"/>
    <n v="6818.1818181818171"/>
    <n v="9667.35"/>
    <n v="2849.1681818181833"/>
    <n v="0"/>
    <n v="0"/>
    <s v=""/>
    <n v="0"/>
    <n v="7.75"/>
    <n v="0"/>
    <d v="2014-05-02T00:00:00"/>
    <d v="1899-12-30T00:00:00"/>
    <d v="2014-09-25T00:00:00"/>
    <d v="1899-12-30T00:00:00"/>
    <d v="2014-11-04T00:00:00"/>
    <d v="1899-12-30T00:00:00"/>
    <d v="1899-12-30T00:00:00"/>
    <d v="1899-12-30T00:00:00"/>
    <d v="1899-12-30T00:00:00"/>
    <x v="0"/>
    <n v="0"/>
    <n v="225"/>
    <n v="0"/>
    <n v="0"/>
    <n v="0"/>
    <n v="0"/>
    <n v="0"/>
    <n v="200"/>
    <n v="1933470"/>
    <n v="9000000"/>
    <n v="4.231675785927985"/>
  </r>
  <r>
    <n v="0"/>
    <n v="0"/>
    <n v="5"/>
    <n v="11"/>
    <s v="F-CAP"/>
    <x v="9"/>
    <s v="SBK-FOREMOST-21"/>
    <s v="SBK-FOREMOST-21SBKEBF5550MT"/>
    <n v="3"/>
    <s v="SBK-FOREMOST-213"/>
    <s v="SBK-FOREMOST-213-SBKEBF5550MINTXSS"/>
    <s v="SBK의류외550"/>
    <s v="SBK"/>
    <s v="14FW-J"/>
    <m/>
    <s v="SBK"/>
    <s v="SMITH BRIDGE_KIDS"/>
    <s v="F"/>
    <n v="5"/>
    <s v="EB"/>
    <s v="EARFLAP BEANIE"/>
    <s v="K"/>
    <n v="550"/>
    <n v="550"/>
    <s v="SBKEBF5550"/>
    <n v="0.5"/>
    <s v="14FW-JILLBY-KNIT-59-MT_KIDS"/>
    <s v="MT"/>
    <s v="MINT"/>
    <s v="SBKEBF5550MT"/>
    <x v="0"/>
    <n v="0.5"/>
    <s v="울 30 나이론 35% 아크릴 35%"/>
    <n v="1"/>
    <s v="XSS"/>
    <n v="200"/>
    <x v="4"/>
    <n v="21"/>
    <x v="18"/>
    <s v="M"/>
    <s v="CN"/>
    <x v="0"/>
    <n v="45000"/>
    <x v="12"/>
    <n v="6818.1818181818171"/>
    <n v="9667.35"/>
    <n v="2849.1681818181833"/>
    <n v="0"/>
    <n v="0"/>
    <s v=""/>
    <n v="0"/>
    <n v="7.75"/>
    <n v="0"/>
    <d v="2014-05-02T00:00:00"/>
    <d v="1899-12-30T00:00:00"/>
    <d v="2014-09-25T00:00:00"/>
    <d v="1899-12-30T00:00:00"/>
    <d v="2014-11-04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1933470"/>
    <n v="9000000"/>
    <n v="4.231675785927985"/>
  </r>
  <r>
    <n v="0"/>
    <n v="0"/>
    <s v=""/>
    <s v=""/>
    <s v=""/>
    <x v="1"/>
    <s v=""/>
    <s v=""/>
    <n v="0"/>
    <s v="0"/>
    <s v="0-"/>
    <n v="0"/>
    <s v="TTL"/>
    <s v=""/>
    <s v="SBK-FOREMOST-21 TTL"/>
    <m/>
    <s v=""/>
    <s v=""/>
    <s v=""/>
    <m/>
    <s v=""/>
    <m/>
    <m/>
    <s v=""/>
    <s v=""/>
    <n v="2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985"/>
    <n v="0"/>
    <n v="0"/>
    <n v="0"/>
    <n v="0"/>
    <n v="0"/>
    <n v="960"/>
    <n v="8302694.4000000004"/>
    <n v="43200000"/>
    <n v="4.7301183664820021"/>
  </r>
  <r>
    <n v="0"/>
    <n v="0"/>
    <n v="5"/>
    <n v="10"/>
    <s v="F-CAP"/>
    <x v="9"/>
    <s v="SBK-FOREMOST-22"/>
    <s v="SBK-FOREMOST-22SBKEBF5545PK"/>
    <n v="1"/>
    <s v="SBK-FOREMOST-221"/>
    <s v="SBK-FOREMOST-221-SBKEBF5545PINKFRE"/>
    <s v="SBK의류외545"/>
    <s v="SBK"/>
    <s v="14FW-J"/>
    <m/>
    <s v="SBK"/>
    <s v="SMITH BRIDGE_KIDS"/>
    <s v="F"/>
    <n v="5"/>
    <s v="EB"/>
    <s v="EARFLAP BEANIE"/>
    <s v="K"/>
    <n v="545"/>
    <n v="545"/>
    <s v="SBKEBF5545"/>
    <n v="0.5"/>
    <s v="14FW-JILLBY-KNIT-30-PK_KIDS"/>
    <s v="PK"/>
    <s v="PINK"/>
    <s v="SBKEBF5545PK"/>
    <x v="0"/>
    <n v="1"/>
    <n v="0"/>
    <n v="1"/>
    <s v="FRE"/>
    <n v="200"/>
    <x v="4"/>
    <n v="22"/>
    <x v="19"/>
    <s v="M"/>
    <s v="CN"/>
    <x v="0"/>
    <n v="45000"/>
    <x v="12"/>
    <n v="6818.1818181818171"/>
    <n v="8669.4300000000021"/>
    <n v="1851.248181818185"/>
    <n v="0"/>
    <n v="0"/>
    <s v=""/>
    <n v="0"/>
    <n v="6.95"/>
    <n v="0"/>
    <d v="2014-05-02T00:00:00"/>
    <d v="1899-12-30T00:00:00"/>
    <d v="2014-09-25T00:00:00"/>
    <d v="1899-12-30T00:00:00"/>
    <d v="2014-10-29T00:00:00"/>
    <d v="1899-12-30T00:00:00"/>
    <d v="1899-12-30T00:00:00"/>
    <d v="1899-12-30T00:00:00"/>
    <d v="1899-12-30T00:00:00"/>
    <x v="0"/>
    <n v="0"/>
    <n v="199"/>
    <n v="0"/>
    <n v="0"/>
    <n v="0"/>
    <n v="0"/>
    <n v="0"/>
    <n v="200"/>
    <n v="1733886.0000000005"/>
    <n v="9000000"/>
    <n v="4.7187751569700538"/>
  </r>
  <r>
    <n v="0"/>
    <n v="0"/>
    <n v="5"/>
    <n v="10"/>
    <s v="F-CAP"/>
    <x v="9"/>
    <s v="SBK-FOREMOST-22"/>
    <s v="SBK-FOREMOST-22SBKEBF5545NY"/>
    <n v="2"/>
    <s v="SBK-FOREMOST-222"/>
    <s v="SBK-FOREMOST-222-SBKEBF5545NAVYFRE"/>
    <s v="SBK의류외545"/>
    <s v="SBK"/>
    <s v="14FW-J"/>
    <m/>
    <s v="SBK"/>
    <s v="SMITH BRIDGE_KIDS"/>
    <s v="F"/>
    <n v="5"/>
    <s v="EB"/>
    <s v="EARFLAP BEANIE"/>
    <s v="K"/>
    <n v="545"/>
    <n v="545"/>
    <s v="SBKEBF5545"/>
    <n v="0.5"/>
    <s v="14FW-JILLBY-KNIT-30-NV_KIDS"/>
    <s v="NY"/>
    <s v="NAVY"/>
    <s v="SBKEBF5545NY"/>
    <x v="0"/>
    <n v="1"/>
    <n v="0"/>
    <n v="1"/>
    <s v="FRE"/>
    <n v="200"/>
    <x v="4"/>
    <n v="22"/>
    <x v="19"/>
    <s v="M"/>
    <s v="CN"/>
    <x v="0"/>
    <n v="45000"/>
    <x v="12"/>
    <n v="6818.1818181818171"/>
    <n v="8669.4300000000021"/>
    <n v="1851.248181818185"/>
    <n v="0"/>
    <n v="0"/>
    <s v=""/>
    <n v="0"/>
    <n v="6.95"/>
    <n v="0"/>
    <d v="2014-05-02T00:00:00"/>
    <d v="1899-12-30T00:00:00"/>
    <d v="2014-09-25T00:00:00"/>
    <d v="1899-12-30T00:00:00"/>
    <d v="2014-10-29T00:00:00"/>
    <d v="1899-12-30T00:00:00"/>
    <d v="1899-12-30T00:00:00"/>
    <d v="1899-12-30T00:00:00"/>
    <d v="1899-12-30T00:00:00"/>
    <x v="0"/>
    <n v="0"/>
    <n v="195"/>
    <n v="0"/>
    <n v="0"/>
    <n v="0"/>
    <n v="0"/>
    <n v="0"/>
    <n v="200"/>
    <n v="1733886.0000000005"/>
    <n v="9000000"/>
    <n v="4.7187751569700538"/>
  </r>
  <r>
    <n v="0"/>
    <n v="0"/>
    <s v=""/>
    <s v=""/>
    <s v=""/>
    <x v="1"/>
    <s v=""/>
    <s v=""/>
    <n v="0"/>
    <s v="0"/>
    <s v="0-"/>
    <n v="0"/>
    <s v="TTL"/>
    <s v=""/>
    <s v="SBK-FOREMOST-22 TTL"/>
    <m/>
    <s v=""/>
    <s v=""/>
    <s v=""/>
    <m/>
    <s v=""/>
    <m/>
    <m/>
    <s v=""/>
    <s v=""/>
    <n v="1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94"/>
    <n v="0"/>
    <n v="0"/>
    <n v="0"/>
    <n v="0"/>
    <n v="0"/>
    <n v="400"/>
    <n v="3467772.0000000009"/>
    <n v="18000000"/>
    <n v="4.7187751569700538"/>
  </r>
  <r>
    <n v="0"/>
    <n v="0"/>
    <n v="10"/>
    <n v="12"/>
    <s v="F-CAP"/>
    <x v="9"/>
    <s v="SBK-FOREMOST-34"/>
    <s v="SBK-FOREMOST-34SBKBAF5511GY"/>
    <n v="1"/>
    <s v="SBK-FOREMOST-341"/>
    <s v="SBK-FOREMOST-341-SBKBAF5511GREYXSS"/>
    <s v="SBK의류외511"/>
    <s v="SBK"/>
    <s v="14FW-J"/>
    <m/>
    <s v="SBK"/>
    <s v="SMITH BRIDGE_KIDS"/>
    <s v="F"/>
    <n v="5"/>
    <s v="BA"/>
    <s v="BASIC CAP"/>
    <s v="K"/>
    <n v="511"/>
    <n v="511"/>
    <s v="SBKBAF5511"/>
    <n v="0"/>
    <s v="14FW-JILL-BY_11_GY_KIDS"/>
    <s v="GY"/>
    <s v="GREY"/>
    <s v="SBKBAF5511GY"/>
    <x v="1"/>
    <n v="0"/>
    <s v="겉감: 울50%   폴리에스터 50%"/>
    <n v="1"/>
    <s v="XSS"/>
    <n v="200"/>
    <x v="4"/>
    <n v="34"/>
    <x v="20"/>
    <s v="M"/>
    <s v="CN"/>
    <x v="0"/>
    <n v="45000"/>
    <x v="13"/>
    <n v="6818.1818181818171"/>
    <n v="7123.15"/>
    <n v="304.96818181818253"/>
    <n v="1198"/>
    <n v="0"/>
    <s v=""/>
    <n v="1198"/>
    <n v="4.75"/>
    <n v="0"/>
    <d v="2014-10-31T00:00:00"/>
    <d v="1899-12-30T00:00:00"/>
    <d v="2014-12-04T00:00:00"/>
    <d v="1899-12-30T00:00:00"/>
    <d v="2014-12-15T00:00:00"/>
    <d v="1899-12-30T00:00:00"/>
    <d v="1899-12-30T00:00:00"/>
    <d v="1899-12-30T00:00:00"/>
    <d v="1899-12-30T00:00:00"/>
    <x v="1"/>
    <n v="0"/>
    <n v="200"/>
    <n v="0"/>
    <n v="0"/>
    <n v="0"/>
    <n v="0"/>
    <n v="0"/>
    <n v="200"/>
    <n v="1424630"/>
    <n v="9000000"/>
    <n v="5.7431179898066027"/>
  </r>
  <r>
    <n v="0"/>
    <n v="0"/>
    <n v="10"/>
    <n v="12"/>
    <s v="F-CAP"/>
    <x v="9"/>
    <s v="SBK-FOREMOST-34"/>
    <s v="SBK-FOREMOST-34SBKBAF5511GY"/>
    <n v="1"/>
    <s v="SBK-FOREMOST-341"/>
    <s v="SBK-FOREMOST-341-SBKBAF5511GREYOSM"/>
    <s v="SBK의류외511"/>
    <s v="SBK"/>
    <s v="14FW-J"/>
    <m/>
    <s v="SBK"/>
    <s v="SMITH BRIDGE_KIDS"/>
    <s v="F"/>
    <n v="5"/>
    <s v="BA"/>
    <s v="BASIC CAP"/>
    <s v="K"/>
    <n v="511"/>
    <n v="511"/>
    <s v="SBKBAF5511"/>
    <n v="0"/>
    <s v="14FW-JILL-BY_11_GY_KIDS"/>
    <s v="GY"/>
    <s v="GREY"/>
    <s v="SBKBAF5511GY"/>
    <x v="1"/>
    <n v="0"/>
    <s v="겉감: 울50%   폴리에스터 50%"/>
    <n v="1"/>
    <s v="OSM"/>
    <n v="50"/>
    <x v="4"/>
    <n v="34"/>
    <x v="20"/>
    <s v="M"/>
    <s v="CN"/>
    <x v="0"/>
    <n v="45000"/>
    <x v="13"/>
    <n v="6818.1818181818171"/>
    <n v="7123.15"/>
    <n v="304.96818181818253"/>
    <n v="1198"/>
    <n v="0"/>
    <s v=""/>
    <n v="1198"/>
    <n v="4.75"/>
    <n v="0"/>
    <d v="2014-10-31T00:00:00"/>
    <d v="1899-12-30T00:00:00"/>
    <d v="2014-12-04T00:00:00"/>
    <d v="1899-12-30T00:00:00"/>
    <d v="2014-12-15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356157.5"/>
    <n v="2250000"/>
    <n v="5.7431179898066027"/>
  </r>
  <r>
    <n v="0"/>
    <n v="0"/>
    <n v="10"/>
    <n v="12"/>
    <s v="F-CAP"/>
    <x v="9"/>
    <s v="SBK-FOREMOST-34"/>
    <s v="SBK-FOREMOST-34SBKBAF5511GY"/>
    <n v="1"/>
    <s v="SBK-FOREMOST-341"/>
    <s v="SBK-FOREMOST-341-SBKBAF5511GREYOML"/>
    <s v="SBK의류외511"/>
    <s v="SBK"/>
    <s v="14FW-J"/>
    <m/>
    <s v="SBK"/>
    <s v="SMITH BRIDGE_KIDS"/>
    <s v="F"/>
    <n v="5"/>
    <s v="BA"/>
    <s v="BASIC CAP"/>
    <s v="K"/>
    <n v="511"/>
    <n v="511"/>
    <s v="SBKBAF5511"/>
    <n v="0"/>
    <s v="14FW-JILL-BY_11_GY_KIDS"/>
    <s v="GY"/>
    <s v="GREY"/>
    <s v="SBKBAF5511GY"/>
    <x v="1"/>
    <n v="0"/>
    <s v="겉감: 울50%   폴리에스터 50%"/>
    <n v="1"/>
    <s v="OML"/>
    <n v="30"/>
    <x v="4"/>
    <n v="34"/>
    <x v="20"/>
    <s v="M"/>
    <s v="CN"/>
    <x v="0"/>
    <n v="45000"/>
    <x v="13"/>
    <n v="6818.1818181818171"/>
    <n v="7123.15"/>
    <n v="304.96818181818253"/>
    <n v="1198"/>
    <n v="0"/>
    <s v=""/>
    <n v="1198"/>
    <n v="4.75"/>
    <n v="0"/>
    <d v="2014-10-31T00:00:00"/>
    <d v="1899-12-30T00:00:00"/>
    <d v="2014-12-04T00:00:00"/>
    <d v="1899-12-30T00:00:00"/>
    <d v="2014-12-15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213694.5"/>
    <n v="1350000"/>
    <n v="5.7431179898066036"/>
  </r>
  <r>
    <n v="0"/>
    <n v="0"/>
    <n v="10"/>
    <n v="12"/>
    <s v="F-CAP"/>
    <x v="9"/>
    <s v="SBK-FOREMOST-34"/>
    <s v="SBK-FOREMOST-34SBKERF5519PK"/>
    <n v="2"/>
    <s v="SBK-FOREMOST-342"/>
    <s v="SBK-FOREMOST-342-SBKERF5519PINKXSS"/>
    <s v="SBK의류외519"/>
    <s v="SBK"/>
    <s v="14FW-J"/>
    <m/>
    <s v="SBK"/>
    <s v="SMITH BRIDGE_KIDS"/>
    <s v="F"/>
    <n v="5"/>
    <s v="ER"/>
    <s v="EARCAP"/>
    <s v="K"/>
    <n v="519"/>
    <n v="519"/>
    <s v="SBKERF5519"/>
    <n v="0"/>
    <s v="14FW-JILL-_x000a_BY_13_PK_KIDS"/>
    <s v="PK"/>
    <s v="PINK"/>
    <s v="SBKERF5519PK"/>
    <x v="1"/>
    <n v="0"/>
    <s v="울 50% 폴리에스터 50%"/>
    <n v="1"/>
    <s v="XSS"/>
    <n v="360"/>
    <x v="4"/>
    <n v="34"/>
    <x v="20"/>
    <s v="M"/>
    <s v="CN"/>
    <x v="0"/>
    <n v="45000"/>
    <x v="13"/>
    <n v="6818.1818181818171"/>
    <n v="7865.7800000000007"/>
    <n v="1047.5981818181835"/>
    <n v="2003"/>
    <n v="0"/>
    <s v=""/>
    <n v="2003"/>
    <n v="4.7"/>
    <n v="0"/>
    <d v="2014-10-31T00:00:00"/>
    <d v="1899-12-30T00:00:00"/>
    <d v="2014-12-04T00:00:00"/>
    <d v="1899-12-30T00:00:00"/>
    <d v="2014-12-15T00:00:00"/>
    <d v="1899-12-30T00:00:00"/>
    <d v="1899-12-30T00:00:00"/>
    <d v="1899-12-30T00:00:00"/>
    <d v="1899-12-30T00:00:00"/>
    <x v="1"/>
    <n v="0"/>
    <n v="360"/>
    <n v="0"/>
    <n v="0"/>
    <n v="0"/>
    <n v="0"/>
    <n v="0"/>
    <n v="360"/>
    <n v="2831680.8000000003"/>
    <n v="16200000"/>
    <n v="5.2008943689107632"/>
  </r>
  <r>
    <n v="0"/>
    <n v="0"/>
    <n v="10"/>
    <n v="12"/>
    <s v="F-CAP"/>
    <x v="9"/>
    <s v="SBK-FOREMOST-34"/>
    <s v="SBK-FOREMOST-34SBKERF5519PK"/>
    <n v="2"/>
    <s v="SBK-FOREMOST-342"/>
    <s v="SBK-FOREMOST-342-SBKERF5519PINKOSM"/>
    <s v="SBK의류외519"/>
    <s v="SBK"/>
    <s v="14FW-J"/>
    <m/>
    <s v="SBK"/>
    <s v="SMITH BRIDGE_KIDS"/>
    <s v="F"/>
    <n v="5"/>
    <s v="ER"/>
    <s v="EARCAP"/>
    <s v="K"/>
    <n v="519"/>
    <n v="519"/>
    <s v="SBKERF5519"/>
    <n v="0"/>
    <s v="14FW-JILL-_x000a_BY_13_PK_KIDS"/>
    <s v="PK"/>
    <s v="PINK"/>
    <s v="SBKERF5519PK"/>
    <x v="1"/>
    <n v="0"/>
    <s v="울 50% 폴리에스터 50%"/>
    <n v="1"/>
    <s v="OSM"/>
    <n v="200"/>
    <x v="4"/>
    <n v="34"/>
    <x v="20"/>
    <s v="M"/>
    <s v="CN"/>
    <x v="0"/>
    <n v="45000"/>
    <x v="13"/>
    <n v="6818.1818181818171"/>
    <n v="7865.7800000000007"/>
    <n v="1047.5981818181835"/>
    <n v="2003"/>
    <n v="0"/>
    <s v=""/>
    <n v="2003"/>
    <n v="4.7"/>
    <n v="0"/>
    <d v="2014-10-31T00:00:00"/>
    <d v="1899-12-30T00:00:00"/>
    <d v="2014-12-04T00:00:00"/>
    <d v="1899-12-30T00:00:00"/>
    <d v="2014-12-15T00:00:00"/>
    <d v="1899-12-30T00:00:00"/>
    <d v="1899-12-30T00:00:00"/>
    <d v="1899-12-30T00:00:00"/>
    <d v="1899-12-30T00:00:00"/>
    <x v="1"/>
    <n v="0"/>
    <n v="200"/>
    <n v="0"/>
    <n v="0"/>
    <n v="0"/>
    <n v="0"/>
    <n v="0"/>
    <n v="200"/>
    <n v="1573156.0000000002"/>
    <n v="9000000"/>
    <n v="5.2008943689107632"/>
  </r>
  <r>
    <n v="0"/>
    <n v="0"/>
    <n v="10"/>
    <n v="12"/>
    <s v="F-CAP"/>
    <x v="9"/>
    <s v="SBK-FOREMOST-34"/>
    <s v="SBK-FOREMOST-34SBKERF5519PK"/>
    <n v="2"/>
    <s v="SBK-FOREMOST-342"/>
    <s v="SBK-FOREMOST-342-SBKERF5519PINKOML"/>
    <s v="SBK의류외519"/>
    <s v="SBK"/>
    <s v="14FW-J"/>
    <m/>
    <s v="SBK"/>
    <s v="SMITH BRIDGE_KIDS"/>
    <s v="F"/>
    <n v="5"/>
    <s v="ER"/>
    <s v="EARCAP"/>
    <s v="K"/>
    <n v="519"/>
    <n v="519"/>
    <s v="SBKERF5519"/>
    <n v="0"/>
    <s v="14FW-JILL-_x000a_BY_13_PK_KIDS"/>
    <s v="PK"/>
    <s v="PINK"/>
    <s v="SBKERF5519PK"/>
    <x v="1"/>
    <n v="0"/>
    <s v="울 50% 폴리에스터 50%"/>
    <n v="1"/>
    <s v="OML"/>
    <n v="40"/>
    <x v="4"/>
    <n v="34"/>
    <x v="20"/>
    <s v="M"/>
    <s v="CN"/>
    <x v="0"/>
    <n v="45000"/>
    <x v="13"/>
    <n v="6818.1818181818171"/>
    <n v="7865.7800000000007"/>
    <n v="1047.5981818181835"/>
    <n v="2003"/>
    <n v="0"/>
    <s v=""/>
    <n v="2003"/>
    <n v="4.7"/>
    <n v="0"/>
    <d v="2014-10-31T00:00:00"/>
    <d v="1899-12-30T00:00:00"/>
    <d v="2014-12-04T00:00:00"/>
    <d v="1899-12-30T00:00:00"/>
    <d v="2014-12-15T00:00:00"/>
    <d v="1899-12-30T00:00:00"/>
    <d v="1899-12-30T00:00:00"/>
    <d v="1899-12-30T00:00:00"/>
    <d v="1899-12-30T00:00:00"/>
    <x v="1"/>
    <n v="0"/>
    <n v="40"/>
    <n v="0"/>
    <n v="0"/>
    <n v="0"/>
    <n v="0"/>
    <n v="0"/>
    <n v="40"/>
    <n v="314631.2"/>
    <n v="1800000"/>
    <n v="5.2008943689107632"/>
  </r>
  <r>
    <n v="0"/>
    <n v="0"/>
    <s v=""/>
    <s v=""/>
    <s v=""/>
    <x v="1"/>
    <s v=""/>
    <s v=""/>
    <n v="0"/>
    <s v="0"/>
    <s v="0-"/>
    <n v="0"/>
    <s v="TTL"/>
    <s v=""/>
    <s v="SBK-FOREMOST-34 TTL"/>
    <m/>
    <s v=""/>
    <s v=""/>
    <s v=""/>
    <m/>
    <s v=""/>
    <s v="K"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880"/>
    <n v="0"/>
    <n v="0"/>
    <n v="0"/>
    <n v="0"/>
    <n v="0"/>
    <n v="880"/>
    <n v="6713950.0000000009"/>
    <n v="39600000"/>
    <n v="5.3619702261708815"/>
  </r>
  <r>
    <n v="0"/>
    <n v="0"/>
    <n v="3"/>
    <n v="9"/>
    <s v="F-HAT"/>
    <x v="10"/>
    <s v="JOK-FOREMOST-02"/>
    <s v="JOK-FOREMOST-02JOKEBF5803BL"/>
    <n v="1"/>
    <s v="JOK-FOREMOST-021"/>
    <s v="JOK-FOREMOST-021-JOKEBF5803BLUEFRE"/>
    <s v="JOK의류외803"/>
    <s v="JOK"/>
    <s v="13FW J"/>
    <m/>
    <s v="JOK"/>
    <s v="JOIE BETE KIDS"/>
    <s v="F"/>
    <n v="5"/>
    <s v="EB"/>
    <s v="EARFLAP BEANIE"/>
    <s v="K"/>
    <n v="803"/>
    <n v="803"/>
    <s v="JOKEBF5803"/>
    <n v="1"/>
    <s v="13FW JOIE BETE_03_BL_KIDS"/>
    <s v="BL"/>
    <s v="BLUE"/>
    <s v="JOKEBF5803BL"/>
    <x v="1"/>
    <n v="1"/>
    <n v="0"/>
    <n v="1"/>
    <s v="FRE"/>
    <n v="250"/>
    <x v="4"/>
    <n v="2"/>
    <x v="4"/>
    <s v="M"/>
    <s v="CN"/>
    <x v="0"/>
    <n v="55000"/>
    <x v="5"/>
    <n v="8333.3333333333321"/>
    <n v="8989.4300000000021"/>
    <n v="656.09666666666999"/>
    <m/>
    <n v="300"/>
    <n v="20"/>
    <n v="320"/>
    <n v="6.95"/>
    <m/>
    <d v="2014-03-13T00:00:00"/>
    <m/>
    <d v="2014-08-07T00:00:00"/>
    <d v="2014-08-07T00:00:00"/>
    <d v="2014-09-05T00:00:00"/>
    <m/>
    <m/>
    <m/>
    <m/>
    <x v="0"/>
    <s v="확정"/>
    <n v="250"/>
    <n v="0"/>
    <n v="0"/>
    <n v="0"/>
    <n v="0"/>
    <n v="0"/>
    <n v="250"/>
    <n v="2247357.5000000005"/>
    <n v="13750000"/>
    <n v="5.5620879188113133"/>
  </r>
  <r>
    <n v="0"/>
    <n v="0"/>
    <n v="3"/>
    <n v="9"/>
    <s v="F-HAT"/>
    <x v="10"/>
    <s v="JOK-FOREMOST-02"/>
    <s v="JOK-FOREMOST-02JOKEBF5804RE"/>
    <n v="2"/>
    <s v="JOK-FOREMOST-022"/>
    <s v="JOK-FOREMOST-022-JOKEBF5804REDFRE"/>
    <s v="JOK의류외804"/>
    <s v="JOK"/>
    <s v="13FW J"/>
    <m/>
    <s v="JOK"/>
    <s v="JOIE BETE KIDS"/>
    <s v="F"/>
    <n v="5"/>
    <s v="EB"/>
    <s v="EARFLAP BEANIE"/>
    <s v="K"/>
    <n v="804"/>
    <n v="804"/>
    <s v="JOKEBF5804"/>
    <n v="1"/>
    <s v="13FW JOIE BETE_03_RD_KIDS"/>
    <s v="RE"/>
    <s v="RED"/>
    <s v="JOKEBF5804RE"/>
    <x v="1"/>
    <n v="1"/>
    <n v="0"/>
    <n v="1"/>
    <s v="FRE"/>
    <n v="250"/>
    <x v="4"/>
    <n v="2"/>
    <x v="4"/>
    <s v="M"/>
    <s v="CN"/>
    <x v="0"/>
    <n v="55000"/>
    <x v="5"/>
    <n v="8333.3333333333321"/>
    <n v="8802.32"/>
    <n v="468.98666666666759"/>
    <n v="0"/>
    <n v="300"/>
    <n v="20"/>
    <n v="320"/>
    <n v="6.8"/>
    <n v="0"/>
    <d v="2014-03-13T00:00:00"/>
    <m/>
    <d v="2014-08-07T00:00:00"/>
    <d v="2014-08-07T00:00:00"/>
    <d v="2014-09-05T00:00:00"/>
    <d v="1899-12-30T00:00:00"/>
    <d v="1899-12-30T00:00:00"/>
    <d v="1899-12-30T00:00:00"/>
    <d v="1899-12-30T00:00:00"/>
    <x v="0"/>
    <s v="확정"/>
    <n v="250"/>
    <n v="0"/>
    <n v="0"/>
    <n v="0"/>
    <n v="0"/>
    <n v="0"/>
    <n v="250"/>
    <n v="2200580"/>
    <n v="13750000"/>
    <n v="5.6803206427396411"/>
  </r>
  <r>
    <n v="0"/>
    <n v="0"/>
    <n v="3"/>
    <n v="9"/>
    <s v="F-HAT"/>
    <x v="10"/>
    <s v="JOK-FOREMOST-02"/>
    <s v="JOK-FOREMOST-02JOKVBF5806NY"/>
    <n v="3"/>
    <s v="JOK-FOREMOST-023"/>
    <s v="JOK-FOREMOST-023-JOKVBF5806NAVYFRE"/>
    <s v="JOK의류외806"/>
    <s v="JOK"/>
    <s v="13FW J"/>
    <m/>
    <s v="JOK"/>
    <s v="JOIE BETE KIDS"/>
    <s v="F"/>
    <n v="5"/>
    <s v="VB"/>
    <s v="VISOR BEANIE"/>
    <s v="K"/>
    <n v="806"/>
    <n v="806"/>
    <s v="JOKVBF5806"/>
    <n v="0.5"/>
    <s v="13FW JOIE BETE_09_NY_KIDS"/>
    <s v="NY"/>
    <s v="NAVY"/>
    <s v="JOKVBF5806NY"/>
    <x v="1"/>
    <n v="1"/>
    <n v="0"/>
    <n v="1"/>
    <s v="FRE"/>
    <n v="250"/>
    <x v="4"/>
    <n v="2"/>
    <x v="4"/>
    <s v="M"/>
    <s v="CN"/>
    <x v="0"/>
    <n v="55000"/>
    <x v="5"/>
    <n v="8333.3333333333321"/>
    <n v="10049.719999999999"/>
    <n v="1716.3866666666672"/>
    <n v="0"/>
    <n v="300"/>
    <n v="20"/>
    <n v="320"/>
    <n v="7.8"/>
    <n v="0"/>
    <d v="2014-03-13T00:00:00"/>
    <m/>
    <d v="2014-08-07T00:00:00"/>
    <d v="2014-08-07T00:00:00"/>
    <d v="2014-09-05T00:00:00"/>
    <d v="1899-12-30T00:00:00"/>
    <d v="1899-12-30T00:00:00"/>
    <d v="1899-12-30T00:00:00"/>
    <d v="1899-12-30T00:00:00"/>
    <x v="0"/>
    <s v="확정"/>
    <n v="250"/>
    <n v="0"/>
    <n v="0"/>
    <n v="0"/>
    <n v="0"/>
    <n v="0"/>
    <n v="250"/>
    <n v="2512430"/>
    <n v="13750000"/>
    <n v="4.9752629924017784"/>
  </r>
  <r>
    <n v="0"/>
    <n v="0"/>
    <n v="3"/>
    <n v="9"/>
    <s v="F-HAT"/>
    <x v="10"/>
    <s v="JOK-FOREMOST-02"/>
    <s v="JOK-FOREMOST-02JOKVBF5806PK"/>
    <n v="4"/>
    <s v="JOK-FOREMOST-024"/>
    <s v="JOK-FOREMOST-024-JOKVBF5806PINKFRE"/>
    <s v="JOK의류외806"/>
    <s v="JOK"/>
    <s v="13FW J"/>
    <m/>
    <s v="JOK"/>
    <s v="JOIE BETE KIDS"/>
    <s v="F"/>
    <n v="5"/>
    <s v="VB"/>
    <s v="VISOR BEANIE"/>
    <s v="K"/>
    <n v="806"/>
    <n v="806"/>
    <s v="JOKVBF5806"/>
    <n v="0.5"/>
    <s v="13FW JOIE BETE_09_PK_KIDS"/>
    <s v="PK"/>
    <s v="PINK"/>
    <s v="JOKVBF5806PK"/>
    <x v="1"/>
    <n v="1"/>
    <n v="0"/>
    <n v="1"/>
    <s v="FRE"/>
    <n v="250"/>
    <x v="4"/>
    <n v="2"/>
    <x v="4"/>
    <s v="M"/>
    <s v="CN"/>
    <x v="0"/>
    <n v="55000"/>
    <x v="5"/>
    <n v="8333.3333333333321"/>
    <n v="10049.719999999999"/>
    <n v="1716.3866666666672"/>
    <n v="0"/>
    <n v="300"/>
    <n v="20"/>
    <n v="320"/>
    <n v="7.8"/>
    <n v="0"/>
    <d v="2014-03-13T00:00:00"/>
    <m/>
    <d v="2014-08-07T00:00:00"/>
    <d v="2014-08-07T00:00:00"/>
    <d v="2014-09-05T00:00:00"/>
    <d v="1899-12-30T00:00:00"/>
    <d v="1899-12-30T00:00:00"/>
    <d v="1899-12-30T00:00:00"/>
    <d v="1899-12-30T00:00:00"/>
    <x v="0"/>
    <s v="확정"/>
    <n v="249"/>
    <n v="0"/>
    <n v="0"/>
    <n v="0"/>
    <n v="0"/>
    <n v="0"/>
    <n v="250"/>
    <n v="2512430"/>
    <n v="13750000"/>
    <n v="4.9752629924017784"/>
  </r>
  <r>
    <n v="0"/>
    <n v="0"/>
    <s v=""/>
    <s v=""/>
    <s v=""/>
    <x v="1"/>
    <s v=""/>
    <s v=""/>
    <n v="0"/>
    <s v="0"/>
    <s v="0-"/>
    <n v="0"/>
    <s v="TTL"/>
    <s v=""/>
    <s v="JOK-FOREMOST-02 TTL"/>
    <m/>
    <s v=""/>
    <s v=""/>
    <s v=""/>
    <m/>
    <s v=""/>
    <m/>
    <m/>
    <s v=""/>
    <s v=""/>
    <n v="3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999"/>
    <n v="0"/>
    <n v="0"/>
    <n v="0"/>
    <n v="0"/>
    <n v="0"/>
    <n v="1000"/>
    <n v="9472797.5"/>
    <n v="55000000"/>
    <n v="5.2782718093572676"/>
  </r>
  <r>
    <n v="0"/>
    <n v="0.33333333333333331"/>
    <n v="4"/>
    <n v="8"/>
    <s v="SPORTS"/>
    <x v="11"/>
    <s v="NOK-FOREMOST-03"/>
    <s v="NOK-FOREMOST-03NOKERF5501CL"/>
    <n v="1"/>
    <s v="NOK-FOREMOST-031"/>
    <s v="NOK-FOREMOST-031-NOKERF5501CAMELXSS"/>
    <s v="NOK의류외501"/>
    <s v="NOK"/>
    <s v="14FW N"/>
    <m/>
    <s v="NOK"/>
    <s v="NOVENT KIDS"/>
    <s v="F"/>
    <n v="5"/>
    <s v="ER"/>
    <s v="EARCAP"/>
    <s v="K"/>
    <n v="501"/>
    <n v="501"/>
    <s v="NOKERF5501"/>
    <n v="0.33333333333333331"/>
    <s v="14FW NV 02_WIRE_MU_KIDS"/>
    <s v="CL"/>
    <s v="CAMEL"/>
    <s v="NOKERF5501CL"/>
    <x v="0"/>
    <n v="0.33333333333333331"/>
    <n v="0"/>
    <n v="1"/>
    <s v="XSS"/>
    <n v="200"/>
    <x v="4"/>
    <n v="3"/>
    <x v="2"/>
    <s v="M"/>
    <s v="CN"/>
    <x v="0"/>
    <n v="45000"/>
    <x v="2"/>
    <n v="6818.1818181818171"/>
    <n v="6797.3890909090924"/>
    <n v="-20.792727272724733"/>
    <n v="290.90909090909093"/>
    <n v="0"/>
    <n v="20"/>
    <n v="310.90909090909093"/>
    <n v="5.2"/>
    <n v="0"/>
    <d v="2014-04-09T00:00:00"/>
    <m/>
    <d v="2014-07-24T00:00:00"/>
    <d v="2014-07-24T00:00:00"/>
    <d v="2014-08-27T00:00:00"/>
    <d v="1899-12-30T00:00:00"/>
    <d v="1899-12-30T00:00:00"/>
    <d v="1899-12-30T00:00:00"/>
    <d v="1899-12-30T00:00:00"/>
    <x v="0"/>
    <s v="확정"/>
    <n v="200"/>
    <n v="0"/>
    <n v="0"/>
    <n v="0"/>
    <n v="0"/>
    <n v="0"/>
    <n v="200"/>
    <n v="1359477.8181818186"/>
    <n v="9000000"/>
    <n v="6.0183535710502722"/>
  </r>
  <r>
    <n v="0"/>
    <n v="0.33333333333333331"/>
    <n v="4"/>
    <n v="8"/>
    <s v="SPORTS"/>
    <x v="11"/>
    <s v="NOK-FOREMOST-03"/>
    <s v="NOK-FOREMOST-03NOKERF5501CL"/>
    <n v="1"/>
    <s v="NOK-FOREMOST-031"/>
    <s v="NOK-FOREMOST-031-NOKERF5501CAMELOSM"/>
    <s v="NOK의류외501"/>
    <s v="NOK"/>
    <s v="14FW N"/>
    <m/>
    <s v="NOK"/>
    <s v="NOVENT KIDS"/>
    <s v="F"/>
    <n v="5"/>
    <s v="ER"/>
    <s v="EARCAP"/>
    <s v="K"/>
    <n v="501"/>
    <n v="501"/>
    <s v="NOKERF5501"/>
    <n v="0.33333333333333331"/>
    <s v="14FW NV 02_WIRE_MU_KIDS"/>
    <s v="CL"/>
    <s v="CAMEL"/>
    <s v="NOKERF5501CL"/>
    <x v="0"/>
    <n v="0.33333333333333331"/>
    <n v="0"/>
    <n v="1"/>
    <s v="OSM"/>
    <n v="200"/>
    <x v="4"/>
    <n v="3"/>
    <x v="2"/>
    <s v="M"/>
    <s v="CN"/>
    <x v="0"/>
    <n v="45000"/>
    <x v="2"/>
    <n v="6818.1818181818171"/>
    <n v="6797.3890909090924"/>
    <n v="-20.792727272724733"/>
    <n v="290.90909090909093"/>
    <n v="0"/>
    <n v="20"/>
    <n v="310.90909090909093"/>
    <n v="5.2"/>
    <n v="0"/>
    <d v="2014-04-09T00:00:00"/>
    <m/>
    <d v="2014-07-24T00:00:00"/>
    <d v="2014-07-24T00:00:00"/>
    <d v="2014-08-27T00:00:00"/>
    <d v="1899-12-30T00:00:00"/>
    <d v="1899-12-30T00:00:00"/>
    <d v="1899-12-30T00:00:00"/>
    <d v="1899-12-30T00:00:00"/>
    <x v="0"/>
    <s v="확정"/>
    <n v="199"/>
    <n v="0"/>
    <n v="0"/>
    <n v="0"/>
    <n v="0"/>
    <n v="0"/>
    <n v="200"/>
    <n v="1359477.8181818186"/>
    <n v="9000000"/>
    <n v="6.0183535710502722"/>
  </r>
  <r>
    <n v="0"/>
    <n v="0.33333333333333331"/>
    <n v="4"/>
    <n v="8"/>
    <s v="SPORTS"/>
    <x v="11"/>
    <s v="NOK-FOREMOST-03"/>
    <s v="NOK-FOREMOST-03NOKERF5501CL"/>
    <n v="1"/>
    <s v="NOK-FOREMOST-031"/>
    <s v="NOK-FOREMOST-031-NOKERF5501CAMELOML"/>
    <s v="NOK의류외501"/>
    <s v="NOK"/>
    <s v="14FW N"/>
    <m/>
    <s v="NOK"/>
    <s v="NOVENT KIDS"/>
    <s v="F"/>
    <n v="5"/>
    <s v="ER"/>
    <s v="EARCAP"/>
    <s v="K"/>
    <n v="501"/>
    <n v="501"/>
    <s v="NOKERF5501"/>
    <n v="0.33333333333333331"/>
    <s v="14FW NV 02_WIRE_MU_KIDS"/>
    <s v="CL"/>
    <s v="CAMEL"/>
    <s v="NOKERF5501CL"/>
    <x v="0"/>
    <n v="0.33333333333333331"/>
    <n v="0"/>
    <n v="1"/>
    <s v="OML"/>
    <n v="150"/>
    <x v="4"/>
    <n v="3"/>
    <x v="2"/>
    <s v="M"/>
    <s v="CN"/>
    <x v="0"/>
    <n v="45000"/>
    <x v="2"/>
    <n v="6818.1818181818171"/>
    <n v="6797.3890909090924"/>
    <n v="-20.792727272724733"/>
    <n v="290.90909090909093"/>
    <n v="0"/>
    <n v="20"/>
    <n v="310.90909090909093"/>
    <n v="5.2"/>
    <n v="0"/>
    <d v="2014-04-09T00:00:00"/>
    <m/>
    <d v="2014-07-24T00:00:00"/>
    <d v="2014-07-24T00:00:00"/>
    <d v="2014-08-27T00:00:00"/>
    <d v="1899-12-30T00:00:00"/>
    <d v="1899-12-30T00:00:00"/>
    <d v="1899-12-30T00:00:00"/>
    <d v="1899-12-30T00:00:00"/>
    <x v="0"/>
    <s v="확정"/>
    <n v="151"/>
    <n v="0"/>
    <n v="0"/>
    <n v="0"/>
    <n v="0"/>
    <n v="0"/>
    <n v="150"/>
    <n v="1019608.3636363639"/>
    <n v="6750000"/>
    <n v="6.0183535710502722"/>
  </r>
  <r>
    <n v="0"/>
    <n v="0.5"/>
    <n v="4"/>
    <n v="8"/>
    <s v="SPORTS"/>
    <x v="11"/>
    <s v="NOK-FOREMOST-03"/>
    <s v="NOK-FOREMOST-03NOKBAF5502GY"/>
    <n v="2"/>
    <s v="NOK-FOREMOST-032"/>
    <s v="NOK-FOREMOST-032-NOKBAF5502GREYOSM"/>
    <s v="NOK의류외502"/>
    <s v="NOK"/>
    <s v="14FW N"/>
    <m/>
    <s v="NOK"/>
    <s v="NOVENT KIDS"/>
    <s v="F"/>
    <n v="5"/>
    <s v="BA"/>
    <s v="BASIC CAP"/>
    <s v="K"/>
    <n v="502"/>
    <n v="502"/>
    <s v="NOKBAF5502"/>
    <n v="0.5"/>
    <s v="14FW NV 05_CAMP_GY_KIDS"/>
    <s v="GY"/>
    <s v="GREY"/>
    <s v="NOKBAF5502GY"/>
    <x v="0"/>
    <n v="0.5"/>
    <n v="0"/>
    <n v="1"/>
    <s v="OSM"/>
    <n v="200"/>
    <x v="4"/>
    <n v="3"/>
    <x v="2"/>
    <s v="M"/>
    <s v="CN"/>
    <x v="0"/>
    <n v="43000"/>
    <x v="2"/>
    <n v="6515.151515151515"/>
    <n v="5092.0685714285719"/>
    <n v="-1423.0829437229431"/>
    <n v="581.42857142857144"/>
    <n v="0"/>
    <n v="20"/>
    <n v="601.42857142857144"/>
    <n v="3.6"/>
    <n v="0"/>
    <d v="2014-04-09T00:00:00"/>
    <m/>
    <d v="2014-07-24T00:00:00"/>
    <d v="2014-07-24T00:00:00"/>
    <d v="2014-08-22T00:00:00"/>
    <m/>
    <d v="1899-12-30T00:00:00"/>
    <d v="1899-12-30T00:00:00"/>
    <d v="1899-12-30T00:00:00"/>
    <x v="0"/>
    <s v="확정"/>
    <n v="200"/>
    <n v="0"/>
    <n v="0"/>
    <n v="0"/>
    <n v="0"/>
    <n v="0"/>
    <n v="200"/>
    <n v="1018413.7142857143"/>
    <n v="8600000"/>
    <n v="7.676822992967316"/>
  </r>
  <r>
    <n v="0"/>
    <n v="0.5"/>
    <n v="4"/>
    <n v="8"/>
    <s v="SPORTS"/>
    <x v="11"/>
    <s v="NOK-FOREMOST-03"/>
    <s v="NOK-FOREMOST-03NOKBAF5502GY"/>
    <n v="2"/>
    <s v="NOK-FOREMOST-032"/>
    <s v="NOK-FOREMOST-032-NOKBAF5502GREYOML"/>
    <s v="NOK의류외502"/>
    <s v="NOK"/>
    <s v="14FW N"/>
    <m/>
    <s v="NOK"/>
    <s v="NOVENT KIDS"/>
    <s v="F"/>
    <n v="5"/>
    <s v="BA"/>
    <s v="BASIC CAP"/>
    <s v="K"/>
    <n v="502"/>
    <n v="502"/>
    <s v="NOKBAF5502"/>
    <n v="0.5"/>
    <s v="14FW NV 05_CAMP_GY_KIDS"/>
    <s v="GY"/>
    <s v="GREY"/>
    <s v="NOKBAF5502GY"/>
    <x v="0"/>
    <n v="0.5"/>
    <n v="0"/>
    <n v="1"/>
    <s v="OML"/>
    <n v="150"/>
    <x v="4"/>
    <n v="3"/>
    <x v="2"/>
    <s v="M"/>
    <s v="CN"/>
    <x v="0"/>
    <n v="43000"/>
    <x v="2"/>
    <n v="6515.151515151515"/>
    <n v="5092.0685714285719"/>
    <n v="-1423.0829437229431"/>
    <n v="581.42857142857144"/>
    <n v="0"/>
    <n v="20"/>
    <n v="601.42857142857144"/>
    <n v="3.6"/>
    <n v="0"/>
    <d v="2014-04-09T00:00:00"/>
    <m/>
    <d v="2014-07-24T00:00:00"/>
    <d v="2014-07-24T00:00:00"/>
    <d v="2014-08-22T00:00:00"/>
    <d v="1899-12-30T00:00:00"/>
    <d v="1899-12-30T00:00:00"/>
    <d v="1899-12-30T00:00:00"/>
    <d v="1899-12-30T00:00:00"/>
    <x v="0"/>
    <s v="확정"/>
    <n v="150"/>
    <n v="0"/>
    <n v="0"/>
    <n v="0"/>
    <n v="0"/>
    <n v="0"/>
    <n v="150"/>
    <n v="763810.2857142858"/>
    <n v="6450000"/>
    <n v="7.6768229929673151"/>
  </r>
  <r>
    <n v="0"/>
    <n v="0.5"/>
    <n v="4"/>
    <n v="7"/>
    <s v="SPORTS"/>
    <x v="11"/>
    <s v="NOK-FOREMOST-03"/>
    <s v="NOK-FOREMOST-03NOKFAF5503BW"/>
    <n v="3"/>
    <s v="NOK-FOREMOST-033"/>
    <s v="NOK-FOREMOST-033-NOKFAF5503BROWNOSM"/>
    <s v="NOK의류외503"/>
    <s v="NOK"/>
    <s v="14FW N"/>
    <m/>
    <s v="NOK"/>
    <s v="NOVENT KIDS"/>
    <s v="F"/>
    <n v="5"/>
    <s v="FA"/>
    <s v="FASHION HAT"/>
    <s v="K"/>
    <n v="503"/>
    <n v="503"/>
    <s v="NOKFAF5503"/>
    <n v="0.5"/>
    <s v="14FW NV 06_HAT_BR_KIDS"/>
    <s v="BW"/>
    <s v="BROWN"/>
    <s v="NOKFAF5503BW"/>
    <x v="0"/>
    <n v="0.5"/>
    <n v="0"/>
    <n v="1"/>
    <s v="OSM"/>
    <n v="200"/>
    <x v="4"/>
    <n v="3"/>
    <x v="2"/>
    <s v="M"/>
    <s v="CN"/>
    <x v="0"/>
    <n v="49000"/>
    <x v="2"/>
    <n v="7424.242424242424"/>
    <n v="7424.8708571428569"/>
    <n v="0.62843290043292654"/>
    <n v="1517.1428571428571"/>
    <n v="0"/>
    <n v="20"/>
    <n v="1537.1428571428571"/>
    <n v="4.72"/>
    <n v="0"/>
    <d v="2014-04-09T00:00:00"/>
    <m/>
    <d v="2014-07-24T00:00:00"/>
    <d v="2014-07-24T00:00:00"/>
    <d v="2014-07-29T00:00:00"/>
    <d v="2014-08-22T00:00:00"/>
    <d v="1899-12-30T00:00:00"/>
    <d v="1899-12-30T00:00:00"/>
    <d v="1899-12-30T00:00:00"/>
    <x v="0"/>
    <s v="확정"/>
    <n v="163"/>
    <n v="36"/>
    <n v="0"/>
    <n v="0"/>
    <n v="0"/>
    <n v="0"/>
    <n v="200"/>
    <n v="1484974.1714285715"/>
    <n v="9800000"/>
    <n v="5.9994921666012582"/>
  </r>
  <r>
    <n v="0"/>
    <n v="0.5"/>
    <n v="4"/>
    <n v="7"/>
    <s v="SPORTS"/>
    <x v="11"/>
    <s v="NOK-FOREMOST-03"/>
    <s v="NOK-FOREMOST-03NOKFAF5503BW"/>
    <n v="3"/>
    <s v="NOK-FOREMOST-033"/>
    <s v="NOK-FOREMOST-033-NOKFAF5503BROWNOML"/>
    <s v="NOK의류외503"/>
    <s v="NOK"/>
    <s v="14FW N"/>
    <m/>
    <s v="NOK"/>
    <s v="NOVENT KIDS"/>
    <s v="F"/>
    <n v="5"/>
    <s v="FA"/>
    <s v="FASHION HAT"/>
    <s v="K"/>
    <n v="503"/>
    <n v="503"/>
    <s v="NOKFAF5503"/>
    <n v="0.5"/>
    <s v="14FW NV 06_HAT_BR_KIDS"/>
    <s v="BW"/>
    <s v="BROWN"/>
    <s v="NOKFAF5503BW"/>
    <x v="0"/>
    <n v="0.5"/>
    <n v="0"/>
    <n v="1"/>
    <s v="OML"/>
    <n v="150"/>
    <x v="4"/>
    <n v="3"/>
    <x v="2"/>
    <s v="M"/>
    <s v="CN"/>
    <x v="0"/>
    <n v="49000"/>
    <x v="2"/>
    <n v="7424.242424242424"/>
    <n v="7424.8708571428569"/>
    <n v="0.62843290043292654"/>
    <n v="1517.1428571428571"/>
    <n v="0"/>
    <n v="20"/>
    <n v="1537.1428571428571"/>
    <n v="4.72"/>
    <n v="0"/>
    <d v="2014-04-09T00:00:00"/>
    <m/>
    <d v="2014-07-24T00:00:00"/>
    <d v="2014-07-24T00:00:00"/>
    <d v="2014-07-29T00:00:00"/>
    <d v="2014-08-22T00:00:00"/>
    <d v="1899-12-30T00:00:00"/>
    <d v="1899-12-30T00:00:00"/>
    <d v="1899-12-30T00:00:00"/>
    <x v="0"/>
    <s v="확정"/>
    <n v="137"/>
    <n v="13"/>
    <n v="0"/>
    <n v="0"/>
    <n v="0"/>
    <n v="0"/>
    <n v="150"/>
    <n v="1113730.6285714286"/>
    <n v="7350000"/>
    <n v="5.9994921666012582"/>
  </r>
  <r>
    <n v="0"/>
    <n v="0"/>
    <s v=""/>
    <s v=""/>
    <s v=""/>
    <x v="1"/>
    <s v=""/>
    <s v=""/>
    <n v="0"/>
    <s v="0"/>
    <s v="0-"/>
    <n v="0"/>
    <s v="TTL"/>
    <s v=""/>
    <s v="NOK-FOREMOST-03 TTL"/>
    <m/>
    <s v=""/>
    <s v=""/>
    <s v=""/>
    <m/>
    <s v=""/>
    <s v="K"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200"/>
    <n v="49"/>
    <n v="0"/>
    <n v="0"/>
    <n v="0"/>
    <n v="0"/>
    <n v="1250"/>
    <n v="8119492.8000000007"/>
    <n v="56950000"/>
    <n v="6.3763499208629462"/>
  </r>
  <r>
    <n v="0"/>
    <n v="0.25"/>
    <n v="4"/>
    <n v="9"/>
    <s v="SPORTS"/>
    <x v="11"/>
    <s v="NOK-FOREMOST-04"/>
    <s v="NOK-FOREMOST-04NOKERF5506BK"/>
    <n v="1"/>
    <s v="NOK-FOREMOST-041"/>
    <s v="NOK-FOREMOST-041-NOKERF5506BLACKOSM"/>
    <s v="NOK의류외506"/>
    <s v="NOK"/>
    <s v="14FW N"/>
    <m/>
    <s v="NOK"/>
    <s v="NOVENT KIDS"/>
    <s v="F"/>
    <n v="5"/>
    <s v="ER"/>
    <s v="EARCAP"/>
    <s v="K"/>
    <n v="506"/>
    <n v="506"/>
    <s v="NOKERF5506"/>
    <n v="0.25"/>
    <s v="14FW NV 13_WIRE_BK_KIDS"/>
    <s v="BK"/>
    <s v="BLACK"/>
    <s v="NOKERF5506BK"/>
    <x v="0"/>
    <n v="0.5"/>
    <n v="0"/>
    <n v="1"/>
    <s v="OSM"/>
    <n v="200"/>
    <x v="4"/>
    <n v="4"/>
    <x v="3"/>
    <s v="M"/>
    <s v="CN"/>
    <x v="0"/>
    <n v="65000"/>
    <x v="2"/>
    <n v="9848.484848484848"/>
    <n v="13278.52"/>
    <n v="3430.0351515151524"/>
    <n v="1034"/>
    <n v="0"/>
    <n v="20"/>
    <n v="1054"/>
    <n v="9.8000000000000007"/>
    <n v="0"/>
    <d v="2014-04-09T00:00:00"/>
    <d v="2014-09-17T00:00:00"/>
    <d v="2014-08-28T00:00:00"/>
    <d v="2014-08-28T00:00:00"/>
    <d v="2014-09-24T00:00:00"/>
    <d v="1899-12-30T00:00:00"/>
    <d v="1899-12-30T00:00:00"/>
    <d v="1899-12-30T00:00:00"/>
    <d v="1899-12-30T00:00:00"/>
    <x v="0"/>
    <s v="확정"/>
    <n v="200"/>
    <n v="0"/>
    <n v="0"/>
    <n v="0"/>
    <n v="0"/>
    <n v="0"/>
    <n v="200"/>
    <n v="2655704"/>
    <n v="13000000"/>
    <n v="4.4501125946949722"/>
  </r>
  <r>
    <n v="0"/>
    <n v="0.25"/>
    <n v="4"/>
    <n v="9"/>
    <s v="SPORTS"/>
    <x v="11"/>
    <s v="NOK-FOREMOST-04"/>
    <s v="NOK-FOREMOST-04NOKERF5506BK"/>
    <n v="1"/>
    <s v="NOK-FOREMOST-041"/>
    <s v="NOK-FOREMOST-041-NOKERF5506BLACKOML"/>
    <s v="NOK의류외506"/>
    <s v="NOK"/>
    <s v="14FW N"/>
    <m/>
    <s v="NOK"/>
    <s v="NOVENT KIDS"/>
    <s v="F"/>
    <n v="5"/>
    <s v="ER"/>
    <s v="EARCAP"/>
    <s v="K"/>
    <n v="506"/>
    <n v="506"/>
    <s v="NOKERF5506"/>
    <n v="0.25"/>
    <s v="14FW NV 13_WIRE_BK_KIDS"/>
    <s v="BK"/>
    <s v="BLACK"/>
    <s v="NOKERF5506BK"/>
    <x v="0"/>
    <n v="0.5"/>
    <n v="0"/>
    <n v="1"/>
    <s v="OML"/>
    <n v="150"/>
    <x v="4"/>
    <n v="4"/>
    <x v="3"/>
    <s v="M"/>
    <s v="CN"/>
    <x v="0"/>
    <n v="65000"/>
    <x v="2"/>
    <n v="9848.484848484848"/>
    <n v="13278.52"/>
    <n v="3430.0351515151524"/>
    <n v="1034"/>
    <n v="0"/>
    <n v="20"/>
    <n v="1054"/>
    <n v="9.8000000000000007"/>
    <n v="0"/>
    <d v="2014-04-09T00:00:00"/>
    <d v="2014-09-17T00:00:00"/>
    <d v="2014-08-28T00:00:00"/>
    <d v="2014-08-28T00:00:00"/>
    <d v="2014-09-24T00:00:00"/>
    <d v="1899-12-30T00:00:00"/>
    <d v="1899-12-30T00:00:00"/>
    <d v="1899-12-30T00:00:00"/>
    <d v="1899-12-30T00:00:00"/>
    <x v="0"/>
    <s v="확정"/>
    <n v="150"/>
    <n v="0"/>
    <n v="0"/>
    <n v="0"/>
    <n v="0"/>
    <n v="0"/>
    <n v="150"/>
    <n v="1991778"/>
    <n v="9750000"/>
    <n v="4.4501125946949722"/>
  </r>
  <r>
    <n v="0"/>
    <n v="0.25"/>
    <n v="4"/>
    <n v="9"/>
    <s v="SPORTS"/>
    <x v="11"/>
    <s v="NOK-FOREMOST-04"/>
    <s v="NOK-FOREMOST-04NOKERF5506PK"/>
    <n v="2"/>
    <s v="NOK-FOREMOST-042"/>
    <s v="NOK-FOREMOST-042-NOKERF5506PINKOSM"/>
    <s v="NOK의류외506"/>
    <s v="NOK"/>
    <s v="14FW N"/>
    <m/>
    <s v="NOK"/>
    <s v="NOVENT KIDS"/>
    <s v="F"/>
    <n v="5"/>
    <s v="ER"/>
    <s v="EARCAP"/>
    <s v="K"/>
    <n v="506"/>
    <n v="506"/>
    <s v="NOKERF5506"/>
    <n v="0.25"/>
    <s v="14FW NV 13_WIRE_PK_KIDS"/>
    <s v="PK"/>
    <s v="PINK"/>
    <s v="NOKERF5506PK"/>
    <x v="0"/>
    <n v="0.5"/>
    <n v="0"/>
    <n v="1"/>
    <s v="OSM"/>
    <n v="200"/>
    <x v="4"/>
    <n v="4"/>
    <x v="3"/>
    <s v="M"/>
    <s v="CN"/>
    <x v="0"/>
    <n v="65000"/>
    <x v="2"/>
    <n v="9848.484848484848"/>
    <n v="13454.52"/>
    <n v="3606.0351515151524"/>
    <n v="1210"/>
    <n v="0"/>
    <n v="20"/>
    <n v="1230"/>
    <n v="9.8000000000000007"/>
    <n v="0"/>
    <d v="2014-04-09T00:00:00"/>
    <d v="2014-09-17T00:00:00"/>
    <d v="2014-08-28T00:00:00"/>
    <d v="2014-08-28T00:00:00"/>
    <d v="2014-09-24T00:00:00"/>
    <m/>
    <d v="1899-12-30T00:00:00"/>
    <d v="1899-12-30T00:00:00"/>
    <d v="1899-12-30T00:00:00"/>
    <x v="0"/>
    <s v="확정"/>
    <n v="200"/>
    <n v="0"/>
    <n v="0"/>
    <n v="0"/>
    <n v="0"/>
    <n v="0"/>
    <n v="200"/>
    <n v="2690904"/>
    <n v="13000000"/>
    <n v="4.3919002008922714"/>
  </r>
  <r>
    <n v="0"/>
    <n v="0.25"/>
    <n v="4"/>
    <n v="9"/>
    <s v="SPORTS"/>
    <x v="11"/>
    <s v="NOK-FOREMOST-04"/>
    <s v="NOK-FOREMOST-04NOKERF5506PK"/>
    <n v="2"/>
    <s v="NOK-FOREMOST-042"/>
    <s v="NOK-FOREMOST-042-NOKERF5506PINKOML"/>
    <s v="NOK의류외506"/>
    <s v="NOK"/>
    <s v="14FW N"/>
    <m/>
    <s v="NOK"/>
    <s v="NOVENT KIDS"/>
    <s v="F"/>
    <n v="5"/>
    <s v="ER"/>
    <s v="EARCAP"/>
    <s v="K"/>
    <n v="506"/>
    <n v="506"/>
    <s v="NOKERF5506"/>
    <n v="0.25"/>
    <s v="14FW NV 13_WIRE_PK_KIDS"/>
    <s v="PK"/>
    <s v="PINK"/>
    <s v="NOKERF5506PK"/>
    <x v="0"/>
    <n v="0.5"/>
    <n v="0"/>
    <n v="1"/>
    <s v="OML"/>
    <n v="150"/>
    <x v="4"/>
    <n v="4"/>
    <x v="3"/>
    <s v="M"/>
    <s v="CN"/>
    <x v="0"/>
    <n v="65000"/>
    <x v="2"/>
    <n v="9848.484848484848"/>
    <n v="13454.52"/>
    <n v="3606.0351515151524"/>
    <n v="1210"/>
    <n v="0"/>
    <n v="20"/>
    <n v="1230"/>
    <n v="9.8000000000000007"/>
    <n v="0"/>
    <d v="2014-04-09T00:00:00"/>
    <d v="2014-09-17T00:00:00"/>
    <d v="2014-08-28T00:00:00"/>
    <d v="2014-08-28T00:00:00"/>
    <d v="2014-09-24T00:00:00"/>
    <d v="1899-12-30T00:00:00"/>
    <d v="1899-12-30T00:00:00"/>
    <d v="1899-12-30T00:00:00"/>
    <d v="1899-12-30T00:00:00"/>
    <x v="0"/>
    <s v="확정"/>
    <n v="149"/>
    <n v="0"/>
    <n v="0"/>
    <n v="0"/>
    <n v="0"/>
    <n v="0"/>
    <n v="150"/>
    <n v="2018178"/>
    <n v="9750000"/>
    <n v="4.3919002008922714"/>
  </r>
  <r>
    <n v="0"/>
    <n v="0"/>
    <s v=""/>
    <s v=""/>
    <s v=""/>
    <x v="1"/>
    <s v=""/>
    <s v=""/>
    <n v="0"/>
    <s v="0"/>
    <s v="0-"/>
    <n v="0"/>
    <s v="TTL"/>
    <s v=""/>
    <s v="NOK-FOREMOST-04 TTL"/>
    <m/>
    <s v=""/>
    <s v=""/>
    <s v=""/>
    <m/>
    <s v=""/>
    <s v="K"/>
    <m/>
    <s v=""/>
    <s v=""/>
    <n v="1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99"/>
    <n v="0"/>
    <n v="0"/>
    <n v="0"/>
    <n v="0"/>
    <n v="0"/>
    <n v="700"/>
    <n v="9356564"/>
    <n v="45500000"/>
    <n v="4.4208147738460788"/>
  </r>
  <r>
    <n v="0"/>
    <n v="1"/>
    <n v="4"/>
    <n v="10"/>
    <s v="SPORTS"/>
    <x v="11"/>
    <s v="NOK-EVERRICH TEXTILE-01"/>
    <s v="NOK-EVERRICH TEXTILE-01NOKTPF5508BK"/>
    <n v="1"/>
    <s v="NOK-EVERRICH TEXTILE-011"/>
    <s v="NOK-EVERRICH TEXTILE-011-NOKTPF5508BLACKFRE"/>
    <s v="NOK의류외508"/>
    <s v="NOK"/>
    <s v="14FW N"/>
    <m/>
    <s v="NOK"/>
    <s v="NOVENT KIDS"/>
    <s v="F"/>
    <n v="5"/>
    <s v="TP"/>
    <s v="TROOPER"/>
    <s v="K"/>
    <n v="508"/>
    <n v="508"/>
    <s v="NOKTPF5508"/>
    <n v="1"/>
    <s v="14FW NV 07_TROOPER_BK_KIDS"/>
    <s v="BK"/>
    <s v="BLACK"/>
    <s v="NOKTPF5508BK"/>
    <x v="0"/>
    <n v="1"/>
    <n v="0"/>
    <n v="1"/>
    <s v="FRE"/>
    <n v="200"/>
    <x v="9"/>
    <n v="1"/>
    <x v="0"/>
    <s v="M"/>
    <s v="CN"/>
    <x v="0"/>
    <n v="75000"/>
    <x v="14"/>
    <n v="11363.636363636362"/>
    <n v="13491.820000000002"/>
    <n v="2128.1836363636394"/>
    <n v="1601"/>
    <n v="270"/>
    <n v="20"/>
    <n v="1891"/>
    <n v="9.3000000000000007"/>
    <n v="0"/>
    <d v="2014-04-09T00:00:00"/>
    <d v="2014-09-25T00:00:00"/>
    <d v="2014-09-25T00:00:00"/>
    <d v="2014-09-25T00:00:00"/>
    <d v="2014-10-06T00:00:00"/>
    <d v="1899-12-30T00:00:00"/>
    <d v="1899-12-30T00:00:00"/>
    <d v="1899-12-30T00:00:00"/>
    <d v="1899-12-30T00:00:00"/>
    <x v="0"/>
    <s v="확정"/>
    <n v="199"/>
    <n v="0"/>
    <n v="0"/>
    <n v="0"/>
    <n v="0"/>
    <n v="0"/>
    <n v="200"/>
    <n v="2698364.0000000005"/>
    <n v="15000000"/>
    <n v="5.0535671378522808"/>
  </r>
  <r>
    <n v="0"/>
    <n v="0"/>
    <n v="4"/>
    <n v="10"/>
    <s v="SPORTS"/>
    <x v="11"/>
    <s v="NOK-EVERRICH TEXTILE-01"/>
    <s v="NOK-EVERRICH TEXTILE-01NOKTPF5511BK"/>
    <n v="2"/>
    <s v="NOK-EVERRICH TEXTILE-012"/>
    <s v="NOK-EVERRICH TEXTILE-012-NOKTPF5511BLACKFRE"/>
    <s v="NOK의류외511"/>
    <s v="NOK"/>
    <s v="14FW N"/>
    <m/>
    <s v="NOK"/>
    <s v="NOVENT KIDS"/>
    <s v="F"/>
    <n v="5"/>
    <s v="TP"/>
    <s v="TROOPER"/>
    <s v="K"/>
    <n v="511"/>
    <n v="511"/>
    <s v="NOKTPF5511"/>
    <n v="0.33333333333333331"/>
    <s v="14FW NV 09_TROOPER_BK_KIDS"/>
    <s v="BK"/>
    <s v="BLACK"/>
    <s v="NOKTPF5511BK"/>
    <x v="0"/>
    <n v="1"/>
    <n v="0"/>
    <n v="1"/>
    <s v="FRE"/>
    <n v="200"/>
    <x v="9"/>
    <n v="1"/>
    <x v="0"/>
    <s v="M"/>
    <s v="CN"/>
    <x v="0"/>
    <n v="75000"/>
    <x v="14"/>
    <n v="11363.636363636362"/>
    <n v="12265.04"/>
    <n v="901.40363636363873"/>
    <m/>
    <n v="270"/>
    <n v="20"/>
    <n v="290"/>
    <n v="9.6"/>
    <n v="0"/>
    <d v="2014-04-09T00:00:00"/>
    <d v="2014-09-25T00:00:00"/>
    <d v="2014-09-25T00:00:00"/>
    <d v="2014-09-25T00:00:00"/>
    <d v="2014-10-06T00:00:00"/>
    <d v="1899-12-30T00:00:00"/>
    <d v="1899-12-30T00:00:00"/>
    <d v="1899-12-30T00:00:00"/>
    <d v="1899-12-30T00:00:00"/>
    <x v="0"/>
    <s v="확정"/>
    <n v="198"/>
    <n v="0"/>
    <n v="0"/>
    <n v="0"/>
    <n v="0"/>
    <n v="0"/>
    <n v="200"/>
    <n v="2453008"/>
    <n v="15000000"/>
    <n v="5.5590375719784175"/>
  </r>
  <r>
    <n v="0"/>
    <n v="0.33333333333333331"/>
    <n v="4"/>
    <n v="10"/>
    <s v="SPORTS"/>
    <x v="11"/>
    <s v="NOK-EVERRICH TEXTILE-01"/>
    <s v="NOK-EVERRICH TEXTILE-01NOKTPF5511RE"/>
    <n v="3"/>
    <s v="NOK-EVERRICH TEXTILE-013"/>
    <s v="NOK-EVERRICH TEXTILE-013-NOKTPF5511REDFRE"/>
    <s v="NOK의류외511"/>
    <s v="NOK"/>
    <s v="14FW N"/>
    <m/>
    <s v="NOK"/>
    <s v="NOVENT KIDS"/>
    <s v="F"/>
    <n v="5"/>
    <s v="TP"/>
    <s v="TROOPER"/>
    <s v="K"/>
    <n v="511"/>
    <n v="511"/>
    <s v="NOKTPF5511"/>
    <n v="0.33333333333333331"/>
    <s v="14FW NV 09_TROOPER_RE_KIDS"/>
    <s v="RE"/>
    <s v="RED"/>
    <s v="NOKTPF5511RE"/>
    <x v="0"/>
    <n v="1"/>
    <n v="0"/>
    <n v="1"/>
    <s v="FRE"/>
    <n v="250"/>
    <x v="9"/>
    <n v="1"/>
    <x v="0"/>
    <s v="M"/>
    <s v="CN"/>
    <x v="0"/>
    <n v="75000"/>
    <x v="14"/>
    <n v="11363.636363636362"/>
    <n v="12690.820000000002"/>
    <n v="1327.1836363636394"/>
    <n v="800"/>
    <n v="270"/>
    <n v="20"/>
    <n v="1090"/>
    <n v="9.3000000000000007"/>
    <n v="0"/>
    <d v="2014-04-09T00:00:00"/>
    <d v="2014-09-25T00:00:00"/>
    <d v="2014-09-25T00:00:00"/>
    <d v="2014-09-25T00:00:00"/>
    <d v="2014-10-06T00:00:00"/>
    <d v="1899-12-30T00:00:00"/>
    <d v="1899-12-30T00:00:00"/>
    <d v="1899-12-30T00:00:00"/>
    <d v="1899-12-30T00:00:00"/>
    <x v="0"/>
    <s v="확정"/>
    <n v="245"/>
    <n v="0"/>
    <n v="0"/>
    <n v="0"/>
    <n v="0"/>
    <n v="0"/>
    <n v="250"/>
    <n v="3172705.0000000005"/>
    <n v="18750000"/>
    <n v="5.3725305521485742"/>
  </r>
  <r>
    <n v="0"/>
    <n v="0.33333333333333331"/>
    <n v="4"/>
    <n v="10"/>
    <s v="SPORTS"/>
    <x v="11"/>
    <s v="NOK-EVERRICH TEXTILE-01"/>
    <s v="NOK-EVERRICH TEXTILE-01NOKTPF5511PK"/>
    <n v="4"/>
    <s v="NOK-EVERRICH TEXTILE-014"/>
    <s v="NOK-EVERRICH TEXTILE-014-NOKTPF5511PINKFRE"/>
    <s v="NOK의류외511"/>
    <s v="NOK"/>
    <s v="14FW N"/>
    <m/>
    <s v="NOK"/>
    <s v="NOVENT KIDS"/>
    <s v="F"/>
    <n v="5"/>
    <s v="TP"/>
    <s v="TROOPER"/>
    <s v="K"/>
    <n v="511"/>
    <n v="511"/>
    <s v="NOKTPF5511"/>
    <n v="0.33333333333333331"/>
    <s v="14FW NV 09_TROOPER_PK_KIDS"/>
    <s v="PK"/>
    <s v="PINK"/>
    <s v="NOKTPF5511PK"/>
    <x v="0"/>
    <n v="1"/>
    <n v="0"/>
    <n v="1"/>
    <s v="FRE"/>
    <n v="250"/>
    <x v="9"/>
    <n v="1"/>
    <x v="0"/>
    <s v="M"/>
    <s v="CN"/>
    <x v="0"/>
    <n v="75000"/>
    <x v="14"/>
    <n v="11363.636363636362"/>
    <n v="12741.34"/>
    <n v="1377.703636363638"/>
    <n v="1100"/>
    <n v="270"/>
    <n v="20"/>
    <n v="1390"/>
    <n v="9.1"/>
    <n v="0"/>
    <d v="2014-04-09T00:00:00"/>
    <d v="2014-09-25T00:00:00"/>
    <d v="2014-09-25T00:00:00"/>
    <d v="2014-09-25T00:00:00"/>
    <d v="2014-10-06T00:00:00"/>
    <d v="1899-12-30T00:00:00"/>
    <d v="1899-12-30T00:00:00"/>
    <d v="1899-12-30T00:00:00"/>
    <d v="1899-12-30T00:00:00"/>
    <x v="0"/>
    <s v="확정"/>
    <n v="245"/>
    <n v="0"/>
    <n v="0"/>
    <n v="0"/>
    <n v="0"/>
    <n v="0"/>
    <n v="250"/>
    <n v="3185335"/>
    <n v="18750000"/>
    <n v="5.3512282210362621"/>
  </r>
  <r>
    <n v="0"/>
    <n v="0"/>
    <s v=""/>
    <s v=""/>
    <s v=""/>
    <x v="1"/>
    <s v=""/>
    <s v=""/>
    <n v="0"/>
    <s v="0"/>
    <s v="0-"/>
    <n v="0"/>
    <s v="TTL"/>
    <s v=""/>
    <s v="NOK-EVERRICH TEXTILE-01 TTL"/>
    <m/>
    <s v=""/>
    <s v=""/>
    <s v=""/>
    <m/>
    <s v=""/>
    <s v="K"/>
    <m/>
    <s v=""/>
    <s v=""/>
    <n v="1.9999999999999998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887"/>
    <n v="0"/>
    <n v="0"/>
    <n v="0"/>
    <n v="0"/>
    <n v="0"/>
    <n v="900"/>
    <n v="11509412"/>
    <n v="67500000"/>
    <n v="5.3316048086241379"/>
  </r>
  <r>
    <n v="0"/>
    <n v="0"/>
    <n v="4"/>
    <n v="8"/>
    <s v="F-CAP"/>
    <x v="12"/>
    <s v="BRK-동일모자-07"/>
    <s v="BRK-동일모자-07BRKBAF5501GY"/>
    <n v="1"/>
    <s v="BRK-동일모자-071"/>
    <s v="BRK-동일모자-071-BRKBAF5501GREYXSS"/>
    <s v="BRK의류외501"/>
    <s v="BRK"/>
    <s v="14FW B"/>
    <m/>
    <s v="BRK"/>
    <s v="BROWN SQURE KIDS"/>
    <s v="F"/>
    <n v="5"/>
    <s v="BA"/>
    <s v="BASIC CAP"/>
    <s v="K"/>
    <n v="501"/>
    <n v="501"/>
    <s v="BRKBAF5501"/>
    <n v="0.16666666666666666"/>
    <s v="14FW BROWN_SQURE_CAP-01-GY_KIDS"/>
    <s v="GY"/>
    <s v="GREY"/>
    <s v="BRKBAF5501GY"/>
    <x v="0"/>
    <n v="0.33333333333333331"/>
    <n v="0"/>
    <n v="1"/>
    <s v="XSS"/>
    <n v="250"/>
    <x v="5"/>
    <n v="7"/>
    <x v="7"/>
    <s v="M"/>
    <s v="CN"/>
    <x v="0"/>
    <n v="45000"/>
    <x v="2"/>
    <n v="6818.1818181818171"/>
    <n v="7379.6600000000008"/>
    <n v="561.47818181818366"/>
    <m/>
    <n v="0"/>
    <n v="20"/>
    <n v="20"/>
    <n v="5.9"/>
    <n v="0"/>
    <d v="2014-04-09T00:00:00"/>
    <d v="1899-12-30T00:00:00"/>
    <d v="2014-07-28T00:00:00"/>
    <d v="2014-07-28T00:00:00"/>
    <d v="2014-08-08T00:00:00"/>
    <d v="2014-09-01T00:00:00"/>
    <d v="1899-12-30T00:00:00"/>
    <d v="1899-12-30T00:00:00"/>
    <d v="1899-12-30T00:00:00"/>
    <x v="0"/>
    <s v="확정"/>
    <n v="219"/>
    <n v="0"/>
    <n v="0"/>
    <n v="0"/>
    <n v="0"/>
    <m/>
    <n v="250"/>
    <n v="1844915.0000000002"/>
    <n v="11250000"/>
    <n v="5.5434926418142432"/>
  </r>
  <r>
    <n v="0"/>
    <n v="0"/>
    <n v="4"/>
    <n v="8"/>
    <s v="F-CAP"/>
    <x v="12"/>
    <s v="BRK-동일모자-07"/>
    <s v="BRK-동일모자-07BRKBAF5501GY"/>
    <n v="1"/>
    <s v="BRK-동일모자-071"/>
    <s v="BRK-동일모자-071-BRKBAF5501GREYOSM"/>
    <s v="BRK의류외501"/>
    <s v="BRK"/>
    <s v="14FW B"/>
    <m/>
    <s v="BRK"/>
    <s v="BROWN SQURE KIDS"/>
    <s v="F"/>
    <n v="5"/>
    <s v="BA"/>
    <s v="BASIC CAP"/>
    <s v="K"/>
    <n v="501"/>
    <n v="501"/>
    <s v="BRKBAF5501"/>
    <n v="0.16666666666666666"/>
    <s v="14FW BROWN_SQURE_CAP-01-GY_KIDS"/>
    <s v="GY"/>
    <s v="GREY"/>
    <s v="BRKBAF5501GY"/>
    <x v="0"/>
    <n v="0.33333333333333331"/>
    <n v="0"/>
    <n v="1"/>
    <s v="OSM"/>
    <n v="200"/>
    <x v="5"/>
    <n v="7"/>
    <x v="7"/>
    <s v="M"/>
    <s v="CN"/>
    <x v="0"/>
    <n v="45000"/>
    <x v="2"/>
    <n v="6818.1818181818171"/>
    <n v="7379.6600000000008"/>
    <n v="561.47818181818366"/>
    <n v="0"/>
    <n v="0"/>
    <n v="20"/>
    <n v="20"/>
    <n v="5.9"/>
    <n v="0"/>
    <d v="2014-04-09T00:00:00"/>
    <d v="1899-12-30T00:00:00"/>
    <d v="2014-07-28T00:00:00"/>
    <d v="2014-07-28T00:00:00"/>
    <d v="2014-08-08T00:00:00"/>
    <d v="2014-09-01T00:00:00"/>
    <d v="1899-12-30T00:00:00"/>
    <d v="1899-12-30T00:00:00"/>
    <d v="1899-12-30T00:00:00"/>
    <x v="0"/>
    <s v="확정"/>
    <n v="174"/>
    <n v="23"/>
    <n v="0"/>
    <n v="0"/>
    <n v="0"/>
    <n v="0"/>
    <n v="200"/>
    <n v="1475932.0000000002"/>
    <n v="9000000"/>
    <n v="5.5434926418142432"/>
  </r>
  <r>
    <n v="0"/>
    <n v="0"/>
    <n v="4"/>
    <n v="8"/>
    <s v="F-CAP"/>
    <x v="12"/>
    <s v="BRK-동일모자-07"/>
    <s v="BRK-동일모자-07BRKBAF5501GY"/>
    <n v="1"/>
    <s v="BRK-동일모자-071"/>
    <s v="BRK-동일모자-071-BRKBAF5501GREYOML"/>
    <s v="BRK의류외501"/>
    <s v="BRK"/>
    <s v="14FW B"/>
    <m/>
    <s v="BRK"/>
    <s v="BROWN SQURE KIDS"/>
    <s v="F"/>
    <n v="5"/>
    <s v="BA"/>
    <s v="BASIC CAP"/>
    <s v="K"/>
    <n v="501"/>
    <n v="501"/>
    <s v="BRKBAF5501"/>
    <n v="0.16666666666666666"/>
    <s v="14FW BROWN_SQURE_CAP-01-GY_KIDS"/>
    <s v="GY"/>
    <s v="GREY"/>
    <s v="BRKBAF5501GY"/>
    <x v="0"/>
    <n v="0.33333333333333331"/>
    <n v="0"/>
    <n v="1"/>
    <s v="OML"/>
    <n v="150"/>
    <x v="5"/>
    <n v="7"/>
    <x v="7"/>
    <s v="M"/>
    <s v="CN"/>
    <x v="0"/>
    <n v="45000"/>
    <x v="2"/>
    <n v="6818.1818181818171"/>
    <n v="7379.6600000000008"/>
    <n v="561.47818181818366"/>
    <n v="0"/>
    <n v="0"/>
    <n v="20"/>
    <n v="20"/>
    <n v="5.9"/>
    <n v="0"/>
    <d v="2014-04-09T00:00:00"/>
    <d v="1899-12-30T00:00:00"/>
    <d v="2014-07-28T00:00:00"/>
    <d v="2014-07-28T00:00:00"/>
    <d v="2014-08-08T00:00:00"/>
    <d v="2014-09-01T00:00:00"/>
    <d v="1899-12-30T00:00:00"/>
    <d v="1899-12-30T00:00:00"/>
    <d v="1899-12-30T00:00:00"/>
    <x v="0"/>
    <s v="확정"/>
    <n v="128"/>
    <n v="17"/>
    <n v="0"/>
    <n v="0"/>
    <n v="0"/>
    <n v="0"/>
    <n v="150"/>
    <n v="1106949"/>
    <n v="6750000"/>
    <n v="5.5434926418142441"/>
  </r>
  <r>
    <n v="0"/>
    <n v="0"/>
    <n v="4"/>
    <n v="8"/>
    <s v="F-CAP"/>
    <x v="12"/>
    <s v="BRK-동일모자-07"/>
    <s v="BRK-동일모자-07BRKBAF5501PK"/>
    <n v="2"/>
    <s v="BRK-동일모자-072"/>
    <s v="BRK-동일모자-072-BRKBAF5501PINKXSS"/>
    <s v="BRK의류외501"/>
    <s v="BRK"/>
    <s v="14FW B"/>
    <m/>
    <s v="BRK"/>
    <s v="BROWN SQURE KIDS"/>
    <s v="F"/>
    <n v="5"/>
    <s v="BA"/>
    <s v="BASIC CAP"/>
    <s v="K"/>
    <n v="501"/>
    <n v="501"/>
    <s v="BRKBAF5501"/>
    <n v="0.16666666666666666"/>
    <s v="14FW BROWN_SQURE_CAP-01-PK_KIDS"/>
    <s v="PK"/>
    <s v="PINK"/>
    <s v="BRKBAF5501PK"/>
    <x v="0"/>
    <n v="0.33333333333333331"/>
    <n v="0"/>
    <n v="1"/>
    <s v="XSS"/>
    <n v="250"/>
    <x v="5"/>
    <n v="7"/>
    <x v="7"/>
    <s v="M"/>
    <s v="CN"/>
    <x v="0"/>
    <n v="45000"/>
    <x v="2"/>
    <n v="6818.1818181818171"/>
    <n v="7379.6600000000008"/>
    <n v="561.47818181818366"/>
    <n v="0"/>
    <n v="0"/>
    <n v="20"/>
    <n v="20"/>
    <n v="5.9"/>
    <n v="0"/>
    <d v="2014-04-09T00:00:00"/>
    <d v="1899-12-30T00:00:00"/>
    <d v="2014-07-28T00:00:00"/>
    <d v="2014-07-28T00:00:00"/>
    <d v="2014-08-08T00:00:00"/>
    <d v="2014-09-01T00:00:00"/>
    <d v="1899-12-30T00:00:00"/>
    <d v="1899-12-30T00:00:00"/>
    <d v="1899-12-30T00:00:00"/>
    <x v="0"/>
    <s v="확정"/>
    <n v="238"/>
    <n v="8"/>
    <n v="0"/>
    <n v="0"/>
    <n v="0"/>
    <n v="0"/>
    <n v="250"/>
    <n v="1844915.0000000002"/>
    <n v="11250000"/>
    <n v="5.5434926418142432"/>
  </r>
  <r>
    <n v="0"/>
    <n v="0"/>
    <n v="4"/>
    <n v="8"/>
    <s v="F-CAP"/>
    <x v="12"/>
    <s v="BRK-동일모자-07"/>
    <s v="BRK-동일모자-07BRKBAF5501PK"/>
    <n v="2"/>
    <s v="BRK-동일모자-072"/>
    <s v="BRK-동일모자-072-BRKBAF5501PINKOSM"/>
    <s v="BRK의류외501"/>
    <s v="BRK"/>
    <s v="14FW B"/>
    <m/>
    <s v="BRK"/>
    <s v="BROWN SQURE KIDS"/>
    <s v="F"/>
    <n v="5"/>
    <s v="BA"/>
    <s v="BASIC CAP"/>
    <s v="K"/>
    <n v="501"/>
    <n v="501"/>
    <s v="BRKBAF5501"/>
    <n v="0.16666666666666666"/>
    <s v="14FW BROWN_SQURE_CAP-01-PK_KIDS"/>
    <s v="PK"/>
    <s v="PINK"/>
    <s v="BRKBAF5501PK"/>
    <x v="0"/>
    <n v="0.33333333333333331"/>
    <n v="0"/>
    <n v="1"/>
    <s v="OSM"/>
    <n v="200"/>
    <x v="5"/>
    <n v="7"/>
    <x v="7"/>
    <s v="M"/>
    <s v="CN"/>
    <x v="0"/>
    <n v="45000"/>
    <x v="2"/>
    <n v="6818.1818181818171"/>
    <n v="7379.6600000000008"/>
    <n v="561.47818181818366"/>
    <n v="0"/>
    <n v="0"/>
    <n v="20"/>
    <n v="20"/>
    <n v="5.9"/>
    <n v="0"/>
    <d v="2014-04-09T00:00:00"/>
    <d v="1899-12-30T00:00:00"/>
    <d v="2014-07-28T00:00:00"/>
    <d v="2014-07-28T00:00:00"/>
    <d v="2014-08-08T00:00:00"/>
    <d v="2014-09-01T00:00:00"/>
    <d v="1899-12-30T00:00:00"/>
    <d v="1899-12-30T00:00:00"/>
    <d v="1899-12-30T00:00:00"/>
    <x v="0"/>
    <s v="확정"/>
    <n v="185"/>
    <n v="14"/>
    <n v="0"/>
    <n v="0"/>
    <n v="0"/>
    <n v="0"/>
    <n v="200"/>
    <n v="1475932.0000000002"/>
    <n v="9000000"/>
    <n v="5.5434926418142432"/>
  </r>
  <r>
    <n v="0"/>
    <n v="0"/>
    <n v="4"/>
    <n v="8"/>
    <s v="F-CAP"/>
    <x v="12"/>
    <s v="BRK-동일모자-07"/>
    <s v="BRK-동일모자-07BRKBAF5501PK"/>
    <n v="2"/>
    <s v="BRK-동일모자-072"/>
    <s v="BRK-동일모자-072-BRKBAF5501PINKOML"/>
    <s v="BRK의류외501"/>
    <s v="BRK"/>
    <s v="14FW B"/>
    <m/>
    <s v="BRK"/>
    <s v="BROWN SQURE KIDS"/>
    <s v="F"/>
    <n v="5"/>
    <s v="BA"/>
    <s v="BASIC CAP"/>
    <s v="K"/>
    <n v="501"/>
    <n v="501"/>
    <s v="BRKBAF5501"/>
    <n v="0.16666666666666666"/>
    <s v="14FW BROWN_SQURE_CAP-01-PK_KIDS"/>
    <s v="PK"/>
    <s v="PINK"/>
    <s v="BRKBAF5501PK"/>
    <x v="0"/>
    <n v="0.33333333333333331"/>
    <n v="0"/>
    <n v="1"/>
    <s v="OML"/>
    <n v="150"/>
    <x v="5"/>
    <n v="7"/>
    <x v="7"/>
    <s v="M"/>
    <s v="CN"/>
    <x v="0"/>
    <n v="45000"/>
    <x v="2"/>
    <n v="6818.1818181818171"/>
    <n v="7379.6600000000008"/>
    <n v="561.47818181818366"/>
    <n v="0"/>
    <n v="0"/>
    <n v="20"/>
    <n v="20"/>
    <n v="5.9"/>
    <n v="0"/>
    <d v="2014-04-09T00:00:00"/>
    <d v="1899-12-30T00:00:00"/>
    <d v="2014-07-28T00:00:00"/>
    <d v="2014-07-28T00:00:00"/>
    <d v="2014-08-08T00:00:00"/>
    <d v="2014-09-01T00:00:00"/>
    <d v="1899-12-30T00:00:00"/>
    <d v="1899-12-30T00:00:00"/>
    <d v="1899-12-30T00:00:00"/>
    <x v="0"/>
    <s v="확정"/>
    <n v="117"/>
    <n v="0"/>
    <n v="0"/>
    <n v="0"/>
    <n v="0"/>
    <m/>
    <n v="150"/>
    <n v="1106949"/>
    <n v="6750000"/>
    <n v="5.5434926418142441"/>
  </r>
  <r>
    <n v="0"/>
    <n v="0"/>
    <s v=""/>
    <s v=""/>
    <s v=""/>
    <x v="1"/>
    <s v=""/>
    <s v=""/>
    <n v="0"/>
    <s v="0"/>
    <s v="0-"/>
    <n v="0"/>
    <s v="TTL"/>
    <s v=""/>
    <s v="BRK-동일모자-07 TTL"/>
    <m/>
    <s v=""/>
    <s v=""/>
    <s v=""/>
    <m/>
    <s v=""/>
    <s v="K"/>
    <m/>
    <s v=""/>
    <s v=""/>
    <n v="0.99999999999999989"/>
    <m/>
    <s v=""/>
    <m/>
    <s v=""/>
    <x v="0"/>
    <n v="1.9999999999999998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61"/>
    <n v="62"/>
    <n v="0"/>
    <n v="0"/>
    <n v="0"/>
    <n v="0"/>
    <n v="1200"/>
    <n v="8855592"/>
    <n v="54000000"/>
    <n v="5.5434926418142441"/>
  </r>
  <r>
    <n v="0"/>
    <n v="0"/>
    <n v="4"/>
    <n v="9"/>
    <s v="F-CAP"/>
    <x v="12"/>
    <s v="BRK-동일모자-08"/>
    <s v="BRK-동일모자-08BRKERF5504WH"/>
    <n v="1"/>
    <s v="BRK-동일모자-081"/>
    <s v="BRK-동일모자-081-BRKERF5504WHITEXSS"/>
    <s v="BRK의류외504"/>
    <s v="BRK"/>
    <s v="14FW B"/>
    <m/>
    <s v="BRK"/>
    <s v="BROWN SQURE KIDS"/>
    <s v="F"/>
    <n v="5"/>
    <s v="ER"/>
    <s v="EARCAP"/>
    <s v="K"/>
    <n v="504"/>
    <n v="504"/>
    <s v="BRKERF5504"/>
    <n v="0.33333333333333331"/>
    <s v="14FW BROWN_SQURE_CAP-06-WH_KIDS"/>
    <s v="WH"/>
    <s v="WHITE"/>
    <s v="BRKERF5504WH"/>
    <x v="0"/>
    <n v="0.33333333333333331"/>
    <n v="0"/>
    <n v="1"/>
    <s v="XSS"/>
    <n v="250"/>
    <x v="5"/>
    <n v="8"/>
    <x v="15"/>
    <s v="M"/>
    <s v="CN"/>
    <x v="0"/>
    <n v="55000"/>
    <x v="2"/>
    <n v="8333.3333333333321"/>
    <n v="9375.5"/>
    <n v="1042.1666666666679"/>
    <m/>
    <n v="0"/>
    <n v="20"/>
    <n v="20"/>
    <n v="7.5"/>
    <n v="0"/>
    <d v="2014-04-09T00:00:00"/>
    <d v="1899-12-30T00:00:00"/>
    <d v="2014-08-28T00:00:00"/>
    <d v="2014-08-28T00:00:00"/>
    <d v="2014-09-30T00:00:00"/>
    <d v="2014-10-20T00:00:00"/>
    <d v="2014-11-07T00:00:00"/>
    <d v="1899-12-30T00:00:00"/>
    <d v="1899-12-30T00:00:00"/>
    <x v="0"/>
    <s v="확정"/>
    <n v="128"/>
    <n v="0"/>
    <n v="108"/>
    <n v="0"/>
    <n v="0"/>
    <n v="0"/>
    <n v="250"/>
    <n v="2343875"/>
    <n v="13750000"/>
    <n v="5.3330489040584501"/>
  </r>
  <r>
    <n v="0"/>
    <n v="0"/>
    <n v="4"/>
    <n v="9"/>
    <s v="F-CAP"/>
    <x v="12"/>
    <s v="BRK-동일모자-08"/>
    <s v="BRK-동일모자-08BRKERF5504WH"/>
    <n v="1"/>
    <s v="BRK-동일모자-081"/>
    <s v="BRK-동일모자-081-BRKERF5504WHITEOSM"/>
    <s v="BRK의류외504"/>
    <s v="BRK"/>
    <s v="14FW B"/>
    <m/>
    <s v="BRK"/>
    <s v="BROWN SQURE KIDS"/>
    <s v="F"/>
    <n v="5"/>
    <s v="ER"/>
    <s v="EARCAP"/>
    <s v="K"/>
    <n v="504"/>
    <n v="504"/>
    <s v="BRKERF5504"/>
    <n v="0.33333333333333331"/>
    <s v="14FW BROWN_SQURE_CAP-06-WH_KIDS"/>
    <s v="WH"/>
    <s v="WHITE"/>
    <s v="BRKERF5504WH"/>
    <x v="0"/>
    <n v="0.33333333333333331"/>
    <n v="0"/>
    <n v="1"/>
    <s v="OSM"/>
    <n v="70"/>
    <x v="5"/>
    <n v="8"/>
    <x v="15"/>
    <s v="M"/>
    <s v="CN"/>
    <x v="0"/>
    <n v="55000"/>
    <x v="2"/>
    <n v="8333.3333333333321"/>
    <n v="9375.5"/>
    <n v="1042.1666666666679"/>
    <n v="0"/>
    <n v="0"/>
    <n v="20"/>
    <n v="20"/>
    <n v="7.5"/>
    <n v="0"/>
    <d v="2014-04-09T00:00:00"/>
    <d v="1899-12-30T00:00:00"/>
    <d v="2014-08-28T00:00:00"/>
    <d v="2014-08-28T00:00:00"/>
    <d v="2014-09-30T00:00:00"/>
    <d v="2014-10-20T00:00:00"/>
    <d v="2014-11-07T00:00:00"/>
    <d v="1899-12-30T00:00:00"/>
    <d v="1899-12-30T00:00:00"/>
    <x v="0"/>
    <s v="확정"/>
    <n v="69"/>
    <n v="0"/>
    <n v="0"/>
    <n v="0"/>
    <n v="0"/>
    <n v="0"/>
    <n v="70"/>
    <n v="656285"/>
    <n v="3850000"/>
    <n v="5.3330489040584492"/>
  </r>
  <r>
    <n v="0"/>
    <n v="0"/>
    <n v="4"/>
    <n v="9"/>
    <s v="F-CAP"/>
    <x v="12"/>
    <s v="BRK-동일모자-08"/>
    <s v="BRK-동일모자-08BRKERF5504WH"/>
    <n v="1"/>
    <s v="BRK-동일모자-081"/>
    <s v="BRK-동일모자-081-BRKERF5504WHITEOML"/>
    <s v="BRK의류외504"/>
    <s v="BRK"/>
    <s v="14FW B"/>
    <m/>
    <s v="BRK"/>
    <s v="BROWN SQURE KIDS"/>
    <s v="F"/>
    <n v="5"/>
    <s v="ER"/>
    <s v="EARCAP"/>
    <s v="K"/>
    <n v="504"/>
    <n v="504"/>
    <s v="BRKERF5504"/>
    <n v="0.33333333333333331"/>
    <s v="14FW BROWN_SQURE_CAP-06-WH_KIDS"/>
    <s v="WH"/>
    <s v="WHITE"/>
    <s v="BRKERF5504WH"/>
    <x v="0"/>
    <n v="0.33333333333333331"/>
    <n v="0"/>
    <n v="1"/>
    <s v="OML"/>
    <n v="50"/>
    <x v="5"/>
    <n v="8"/>
    <x v="15"/>
    <s v="M"/>
    <s v="CN"/>
    <x v="0"/>
    <n v="55000"/>
    <x v="2"/>
    <n v="8333.3333333333321"/>
    <n v="9375.5"/>
    <n v="1042.1666666666679"/>
    <n v="0"/>
    <n v="0"/>
    <n v="20"/>
    <n v="20"/>
    <n v="7.5"/>
    <n v="0"/>
    <d v="2014-04-09T00:00:00"/>
    <d v="1899-12-30T00:00:00"/>
    <d v="2014-08-28T00:00:00"/>
    <d v="2014-08-28T00:00:00"/>
    <d v="2014-09-30T00:00:00"/>
    <d v="2014-10-20T00:00:00"/>
    <d v="2014-11-07T00:00:00"/>
    <d v="1899-12-30T00:00:00"/>
    <d v="1899-12-30T00:00:00"/>
    <x v="0"/>
    <s v="확정"/>
    <n v="0"/>
    <n v="50"/>
    <n v="0"/>
    <n v="0"/>
    <n v="0"/>
    <n v="0"/>
    <n v="50"/>
    <n v="468775"/>
    <n v="2750000"/>
    <n v="5.3330489040584492"/>
  </r>
  <r>
    <n v="0"/>
    <n v="0"/>
    <n v="4"/>
    <n v="9"/>
    <s v="F-CAP"/>
    <x v="12"/>
    <s v="BRK-동일모자-08"/>
    <s v="BRK-동일모자-08BRKERF5505RE"/>
    <n v="2"/>
    <s v="BRK-동일모자-082"/>
    <s v="BRK-동일모자-082-BRKERF5505REDOSM"/>
    <s v="BRK의류외505"/>
    <s v="BRK"/>
    <s v="14FW B"/>
    <m/>
    <s v="BRK"/>
    <s v="BROWN SQURE KIDS"/>
    <s v="F"/>
    <n v="5"/>
    <s v="ER"/>
    <s v="EARCAP"/>
    <s v="K"/>
    <n v="505"/>
    <n v="505"/>
    <s v="BRKERF5505"/>
    <n v="0.5"/>
    <s v="14FW BROWN_SQURE_CAP-08-RD_KIDS"/>
    <s v="RE"/>
    <s v="RED"/>
    <s v="BRKERF5505RE"/>
    <x v="0"/>
    <n v="0.5"/>
    <n v="0"/>
    <n v="1"/>
    <s v="OSM"/>
    <n v="250"/>
    <x v="5"/>
    <n v="8"/>
    <x v="15"/>
    <s v="M"/>
    <s v="CN"/>
    <x v="0"/>
    <n v="55000"/>
    <x v="2"/>
    <n v="8333.3333333333321"/>
    <n v="9001.2800000000007"/>
    <n v="667.94666666666853"/>
    <n v="0"/>
    <n v="0"/>
    <n v="20"/>
    <n v="20"/>
    <n v="7.2"/>
    <n v="0"/>
    <d v="2014-04-09T00:00:00"/>
    <d v="1899-12-30T00:00:00"/>
    <d v="2014-08-28T00:00:00"/>
    <d v="2014-08-28T00:00:00"/>
    <d v="2014-09-05T00:00:00"/>
    <d v="2014-09-30T00:00:00"/>
    <d v="1899-12-30T00:00:00"/>
    <d v="1899-12-30T00:00:00"/>
    <d v="1899-12-30T00:00:00"/>
    <x v="0"/>
    <s v="확정"/>
    <n v="199"/>
    <n v="46"/>
    <n v="0"/>
    <n v="0"/>
    <n v="0"/>
    <n v="0"/>
    <n v="250"/>
    <n v="2250320"/>
    <n v="13750000"/>
    <n v="5.5547655444558997"/>
  </r>
  <r>
    <n v="0"/>
    <n v="0"/>
    <n v="4"/>
    <n v="9"/>
    <s v="F-CAP"/>
    <x v="12"/>
    <s v="BRK-동일모자-08"/>
    <s v="BRK-동일모자-08BRKERF5505RE"/>
    <n v="2"/>
    <s v="BRK-동일모자-082"/>
    <s v="BRK-동일모자-082-BRKERF5505REDOML"/>
    <s v="BRK의류외505"/>
    <s v="BRK"/>
    <s v="14FW B"/>
    <m/>
    <s v="BRK"/>
    <s v="BROWN SQURE KIDS"/>
    <s v="F"/>
    <n v="5"/>
    <s v="ER"/>
    <s v="EARCAP"/>
    <s v="K"/>
    <n v="505"/>
    <n v="505"/>
    <s v="BRKERF5505"/>
    <n v="0.5"/>
    <s v="14FW BROWN_SQURE_CAP-08-RD_KIDS"/>
    <s v="RE"/>
    <s v="RED"/>
    <s v="BRKERF5505RE"/>
    <x v="0"/>
    <n v="0.5"/>
    <n v="0"/>
    <n v="1"/>
    <s v="OML"/>
    <n v="150"/>
    <x v="5"/>
    <n v="8"/>
    <x v="15"/>
    <s v="M"/>
    <s v="CN"/>
    <x v="0"/>
    <n v="55000"/>
    <x v="2"/>
    <n v="8333.3333333333321"/>
    <n v="9001.2800000000007"/>
    <n v="667.94666666666853"/>
    <n v="0"/>
    <n v="0"/>
    <n v="20"/>
    <n v="20"/>
    <n v="7.2"/>
    <n v="0"/>
    <d v="2014-04-09T00:00:00"/>
    <d v="1899-12-30T00:00:00"/>
    <d v="2014-08-28T00:00:00"/>
    <d v="2014-08-28T00:00:00"/>
    <d v="2014-09-05T00:00:00"/>
    <d v="2014-09-30T00:00:00"/>
    <d v="1899-12-30T00:00:00"/>
    <d v="1899-12-30T00:00:00"/>
    <d v="1899-12-30T00:00:00"/>
    <x v="0"/>
    <s v="확정"/>
    <n v="124"/>
    <n v="16"/>
    <n v="0"/>
    <n v="0"/>
    <n v="0"/>
    <n v="0"/>
    <n v="150"/>
    <n v="1350192"/>
    <n v="8250000"/>
    <n v="5.5547655444558988"/>
  </r>
  <r>
    <n v="0"/>
    <n v="0"/>
    <n v="4"/>
    <n v="9"/>
    <s v="F-CAP"/>
    <x v="12"/>
    <s v="BRK-동일모자-08"/>
    <s v="BRK-동일모자-08BRKERF5506BK"/>
    <n v="3"/>
    <s v="BRK-동일모자-083"/>
    <s v="BRK-동일모자-083-BRKERF5506BLACKOSM"/>
    <s v="BRK의류외506"/>
    <s v="BRK"/>
    <s v="14FW B"/>
    <m/>
    <s v="BRK"/>
    <s v="BROWN SQURE KIDS"/>
    <s v="F"/>
    <n v="5"/>
    <s v="ER"/>
    <s v="EARCAP"/>
    <s v="K"/>
    <n v="506"/>
    <n v="506"/>
    <s v="BRKERF5506"/>
    <n v="0.5"/>
    <s v="14FW BROWN_SQURE_CAP-09-BK_KIDS"/>
    <s v="BK"/>
    <s v="BLACK"/>
    <s v="BRKERF5506BK"/>
    <x v="0"/>
    <n v="0.5"/>
    <n v="0"/>
    <n v="1"/>
    <s v="OSM"/>
    <n v="250"/>
    <x v="5"/>
    <n v="8"/>
    <x v="15"/>
    <s v="M"/>
    <s v="CN"/>
    <x v="0"/>
    <n v="55000"/>
    <x v="2"/>
    <n v="8333.3333333333321"/>
    <n v="9562.61"/>
    <n v="1229.2766666666685"/>
    <n v="0"/>
    <n v="0"/>
    <n v="20"/>
    <n v="20"/>
    <n v="7.65"/>
    <n v="0"/>
    <d v="2014-04-09T00:00:00"/>
    <d v="1899-12-30T00:00:00"/>
    <d v="2014-08-28T00:00:00"/>
    <d v="2014-08-28T00:00:00"/>
    <d v="2014-09-05T00:00:00"/>
    <d v="2014-09-30T00:00:00"/>
    <d v="1899-12-30T00:00:00"/>
    <d v="1899-12-30T00:00:00"/>
    <d v="1899-12-30T00:00:00"/>
    <x v="0"/>
    <s v="확정"/>
    <n v="178"/>
    <n v="35"/>
    <n v="0"/>
    <n v="0"/>
    <n v="0"/>
    <m/>
    <n v="250"/>
    <n v="2390652.5"/>
    <n v="13750000"/>
    <n v="5.2286980228201294"/>
  </r>
  <r>
    <n v="0"/>
    <n v="0"/>
    <n v="4"/>
    <n v="9"/>
    <s v="F-CAP"/>
    <x v="12"/>
    <s v="BRK-동일모자-08"/>
    <s v="BRK-동일모자-08BRKERF5506BK"/>
    <n v="3"/>
    <s v="BRK-동일모자-083"/>
    <s v="BRK-동일모자-083-BRKERF5506BLACKOML"/>
    <s v="BRK의류외506"/>
    <s v="BRK"/>
    <s v="14FW B"/>
    <m/>
    <s v="BRK"/>
    <s v="BROWN SQURE KIDS"/>
    <s v="F"/>
    <n v="5"/>
    <s v="ER"/>
    <s v="EARCAP"/>
    <s v="K"/>
    <n v="506"/>
    <n v="506"/>
    <s v="BRKERF5506"/>
    <n v="0.5"/>
    <s v="14FW BROWN_SQURE_CAP-09-BK_KIDS"/>
    <s v="BK"/>
    <s v="BLACK"/>
    <s v="BRKERF5506BK"/>
    <x v="0"/>
    <n v="0.5"/>
    <n v="0"/>
    <n v="1"/>
    <s v="OML"/>
    <n v="150"/>
    <x v="5"/>
    <n v="8"/>
    <x v="15"/>
    <s v="M"/>
    <s v="CN"/>
    <x v="0"/>
    <n v="55000"/>
    <x v="2"/>
    <n v="8333.3333333333321"/>
    <n v="9562.61"/>
    <n v="1229.2766666666685"/>
    <n v="0"/>
    <n v="0"/>
    <n v="20"/>
    <n v="20"/>
    <n v="7.65"/>
    <n v="0"/>
    <d v="2014-04-09T00:00:00"/>
    <d v="1899-12-30T00:00:00"/>
    <d v="2014-08-28T00:00:00"/>
    <d v="2014-08-28T00:00:00"/>
    <d v="2014-09-05T00:00:00"/>
    <d v="2014-09-30T00:00:00"/>
    <d v="1899-12-30T00:00:00"/>
    <d v="1899-12-30T00:00:00"/>
    <m/>
    <x v="0"/>
    <s v="확정"/>
    <n v="58"/>
    <n v="88"/>
    <n v="0"/>
    <n v="0"/>
    <n v="0"/>
    <n v="0"/>
    <n v="150"/>
    <n v="1434391.5"/>
    <n v="8250000"/>
    <n v="5.2286980228201294"/>
  </r>
  <r>
    <n v="0"/>
    <n v="0"/>
    <s v=""/>
    <s v=""/>
    <s v=""/>
    <x v="1"/>
    <s v=""/>
    <s v=""/>
    <n v="0"/>
    <s v="0"/>
    <s v="0-"/>
    <n v="0"/>
    <s v="TTL"/>
    <s v=""/>
    <s v="BRK-동일모자-08 TTL"/>
    <m/>
    <s v=""/>
    <s v=""/>
    <s v=""/>
    <m/>
    <s v=""/>
    <s v="K"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756"/>
    <n v="235"/>
    <n v="108"/>
    <n v="0"/>
    <n v="0"/>
    <n v="0"/>
    <n v="1170"/>
    <n v="10894491"/>
    <n v="64350000"/>
    <n v="5.3696863855319164"/>
  </r>
  <r>
    <n v="0"/>
    <n v="0"/>
    <n v="4"/>
    <n v="9"/>
    <s v="F-HAT"/>
    <x v="10"/>
    <s v="JOK-동일모자-10"/>
    <s v="JOK-동일모자-10JOKERF5501IV"/>
    <n v="1"/>
    <s v="JOK-동일모자-101"/>
    <s v="JOK-동일모자-101-JOKERF5501IVORYFRE"/>
    <s v="JOK의류외501"/>
    <s v="JOK"/>
    <s v="14FW J"/>
    <m/>
    <s v="JOK"/>
    <s v="JOIE BETE KIDS"/>
    <s v="F"/>
    <n v="5"/>
    <s v="ER"/>
    <s v="EARCAP"/>
    <s v="K"/>
    <n v="501"/>
    <n v="501"/>
    <s v="JOKERF5501"/>
    <n v="1"/>
    <s v="14FW JOIE BETE_01_IV_KIDS"/>
    <s v="IV"/>
    <s v="IVORY"/>
    <s v="JOKERF5501IV"/>
    <x v="0"/>
    <n v="1"/>
    <n v="0"/>
    <n v="1"/>
    <s v="FRE"/>
    <n v="250"/>
    <x v="5"/>
    <n v="10"/>
    <x v="21"/>
    <s v="M"/>
    <s v="CN"/>
    <x v="0"/>
    <n v="55000"/>
    <x v="2"/>
    <n v="8333.3333333333321"/>
    <n v="9437.8700000000008"/>
    <n v="1104.5366666666687"/>
    <m/>
    <n v="0"/>
    <n v="20"/>
    <n v="20"/>
    <n v="7.55"/>
    <n v="0"/>
    <d v="2014-04-16T00:00:00"/>
    <d v="1899-12-30T00:00:00"/>
    <d v="2014-08-28T00:00:00"/>
    <d v="2014-08-28T00:00:00"/>
    <d v="2014-09-01T00:00:00"/>
    <d v="1899-12-30T00:00:00"/>
    <d v="1899-12-30T00:00:00"/>
    <d v="1899-12-30T00:00:00"/>
    <d v="1899-12-30T00:00:00"/>
    <x v="0"/>
    <s v="확정"/>
    <n v="250"/>
    <n v="0"/>
    <n v="0"/>
    <n v="0"/>
    <n v="0"/>
    <n v="0"/>
    <n v="250"/>
    <n v="2359467.5"/>
    <n v="13750000"/>
    <n v="5.2978055429879838"/>
  </r>
  <r>
    <n v="0"/>
    <n v="0"/>
    <s v=""/>
    <s v=""/>
    <s v=""/>
    <x v="1"/>
    <s v=""/>
    <s v=""/>
    <n v="0"/>
    <s v="0"/>
    <s v="0-"/>
    <n v="0"/>
    <s v="TTL"/>
    <s v=""/>
    <s v="JOK-동일모자-10 TTL"/>
    <m/>
    <s v=""/>
    <s v=""/>
    <s v=""/>
    <m/>
    <s v=""/>
    <s v="K"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50"/>
    <n v="0"/>
    <n v="0"/>
    <n v="0"/>
    <n v="0"/>
    <n v="0"/>
    <n v="250"/>
    <n v="2359467.5"/>
    <n v="13750000"/>
    <n v="5.2978055429879838"/>
  </r>
  <r>
    <n v="0"/>
    <n v="0.5"/>
    <n v="4"/>
    <n v="11"/>
    <s v="F-HAT"/>
    <x v="10"/>
    <s v="JOK-KIDS FIRST TOYS-01"/>
    <s v="JOK-KIDS FIRST TOYS-01JOKEBF5502PK"/>
    <n v="1"/>
    <s v="JOK-KIDS FIRST TOYS-011"/>
    <s v="JOK-KIDS FIRST TOYS-011-JOKEBF5502PINKXSS"/>
    <s v="JOK의류외502"/>
    <s v="JOK"/>
    <s v="14FW J"/>
    <m/>
    <s v="JOK"/>
    <s v="JOIE BETE KIDS"/>
    <s v="F"/>
    <n v="5"/>
    <s v="EB"/>
    <s v="EARFLAP BEANIE"/>
    <s v="K"/>
    <n v="502"/>
    <n v="502"/>
    <s v="JOKEBF5502"/>
    <n v="0.5"/>
    <s v="14FW JOIE BETE_15_PK_KIDS"/>
    <s v="PK"/>
    <s v="PINK"/>
    <s v="JOKEBF5502PK"/>
    <x v="0"/>
    <n v="0.5"/>
    <n v="0"/>
    <n v="1"/>
    <s v="XSS"/>
    <n v="400"/>
    <x v="10"/>
    <n v="1"/>
    <x v="0"/>
    <s v="M"/>
    <s v="CN"/>
    <x v="0"/>
    <n v="49000"/>
    <x v="15"/>
    <n v="7424.242424242424"/>
    <n v="7867.1860000000006"/>
    <n v="442.94357575757658"/>
    <n v="500"/>
    <n v="0"/>
    <n v="20"/>
    <n v="520"/>
    <n v="5.89"/>
    <n v="0"/>
    <d v="2014-04-16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0"/>
    <s v="확정"/>
    <n v="400"/>
    <n v="0"/>
    <n v="0"/>
    <n v="0"/>
    <n v="0"/>
    <n v="0"/>
    <n v="400"/>
    <n v="3146874.4000000004"/>
    <n v="19600000"/>
    <n v="5.6621839810898758"/>
  </r>
  <r>
    <n v="0"/>
    <n v="0.5"/>
    <n v="4"/>
    <n v="11"/>
    <s v="F-HAT"/>
    <x v="10"/>
    <s v="JOK-KIDS FIRST TOYS-01"/>
    <s v="JOK-KIDS FIRST TOYS-01JOKEBF5502PK"/>
    <n v="1"/>
    <s v="JOK-KIDS FIRST TOYS-011"/>
    <s v="JOK-KIDS FIRST TOYS-011-JOKEBF5502PINKFRE"/>
    <s v="JOK의류외502"/>
    <s v="JOK"/>
    <s v="14FW J"/>
    <m/>
    <s v="JOK"/>
    <s v="JOIE BETE KIDS"/>
    <s v="F"/>
    <n v="5"/>
    <s v="EB"/>
    <s v="EARFLAP BEANIE"/>
    <s v="K"/>
    <n v="502"/>
    <n v="502"/>
    <s v="JOKEBF5502"/>
    <n v="0.5"/>
    <s v="14FW JOIE BETE_15_PK_KIDS"/>
    <s v="PK"/>
    <s v="PINK"/>
    <s v="JOKEBF5502PK"/>
    <x v="0"/>
    <n v="0.5"/>
    <n v="0"/>
    <n v="1"/>
    <s v="FRE"/>
    <n v="150"/>
    <x v="10"/>
    <n v="1"/>
    <x v="0"/>
    <s v="M"/>
    <s v="CN"/>
    <x v="0"/>
    <n v="49000"/>
    <x v="15"/>
    <n v="7424.242424242424"/>
    <n v="8191.5100000000011"/>
    <n v="767.26757575757711"/>
    <n v="500"/>
    <n v="0"/>
    <n v="20"/>
    <n v="520"/>
    <n v="6.15"/>
    <n v="0"/>
    <d v="2014-04-16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0"/>
    <s v="확정"/>
    <n v="149"/>
    <n v="0"/>
    <n v="0"/>
    <n v="0"/>
    <n v="0"/>
    <n v="0"/>
    <n v="150"/>
    <n v="1228726.5000000002"/>
    <n v="7350000"/>
    <n v="5.4380028279834285"/>
  </r>
  <r>
    <n v="0"/>
    <n v="0"/>
    <n v="4"/>
    <n v="11"/>
    <s v="전략"/>
    <x v="13"/>
    <s v="JOK-KIDS FIRST TOYS-01"/>
    <s v="JOK-KIDS FIRST TOYS-01JOKMUF5503PK"/>
    <n v="2"/>
    <s v="JOK-KIDS FIRST TOYS-012"/>
    <s v="JOK-KIDS FIRST TOYS-012-JOKMUF5503PINKFRE"/>
    <s v="JOK의류외503"/>
    <s v="JOK"/>
    <s v="14FW J"/>
    <m/>
    <s v="JOK"/>
    <s v="JOIE BETE KIDS"/>
    <s v="F"/>
    <n v="5"/>
    <s v="MU"/>
    <s v="MUFFLER"/>
    <s v="K"/>
    <n v="503"/>
    <n v="503"/>
    <s v="JOKMUF5503"/>
    <n v="1"/>
    <s v="14FW JOIE BETE_16_PK_KIDS"/>
    <s v="PK"/>
    <s v="PINK"/>
    <s v="JOKMUF5503PK"/>
    <x v="0"/>
    <n v="1"/>
    <n v="0"/>
    <n v="1"/>
    <s v="FRE"/>
    <n v="100"/>
    <x v="10"/>
    <n v="1"/>
    <x v="0"/>
    <s v="M"/>
    <s v="CN"/>
    <x v="0"/>
    <n v="45000"/>
    <x v="15"/>
    <n v="6818.1818181818171"/>
    <n v="6119.786000000001"/>
    <n v="-698.39581818181614"/>
    <m/>
    <n v="0"/>
    <n v="20"/>
    <n v="20"/>
    <n v="4.8899999999999997"/>
    <n v="0"/>
    <d v="2014-04-16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0"/>
    <s v="확정"/>
    <n v="100"/>
    <n v="0"/>
    <n v="0"/>
    <n v="0"/>
    <n v="0"/>
    <n v="0"/>
    <n v="100"/>
    <n v="611978.60000000009"/>
    <n v="4500000"/>
    <n v="6.6847257255549293"/>
  </r>
  <r>
    <n v="0"/>
    <n v="0"/>
    <n v="4"/>
    <n v="11"/>
    <s v="전략"/>
    <x v="13"/>
    <s v="JOK-KIDS FIRST TOYS-01"/>
    <s v="JOK-KIDS FIRST TOYS-01JOKEDF5504PK"/>
    <n v="3"/>
    <s v="JOK-KIDS FIRST TOYS-013"/>
    <s v="JOK-KIDS FIRST TOYS-013-JOKEDF5504PINKOSM"/>
    <s v="JOK의류외504"/>
    <s v="JOK"/>
    <s v="14FW J"/>
    <m/>
    <s v="JOK"/>
    <s v="JOIE BETE KIDS"/>
    <s v="F"/>
    <n v="5"/>
    <s v="ED"/>
    <s v="MITTEN"/>
    <s v="K"/>
    <n v="504"/>
    <n v="504"/>
    <s v="JOKEDF5504"/>
    <n v="0.5"/>
    <s v="14FW JOIE BETE_17_PK_KIDS"/>
    <s v="PK"/>
    <s v="PINK"/>
    <s v="JOKEDF5504PK"/>
    <x v="0"/>
    <n v="0.5"/>
    <n v="0"/>
    <n v="1"/>
    <s v="OSM"/>
    <n v="80"/>
    <x v="10"/>
    <n v="1"/>
    <x v="0"/>
    <s v="M"/>
    <s v="CN"/>
    <x v="0"/>
    <n v="29000"/>
    <x v="15"/>
    <n v="4393.9393939393931"/>
    <n v="4385.9000000000005"/>
    <n v="-8.0393939393925393"/>
    <n v="0"/>
    <n v="0"/>
    <n v="20"/>
    <n v="20"/>
    <n v="3.5"/>
    <n v="0"/>
    <d v="2014-04-16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0"/>
    <s v="확정"/>
    <n v="79"/>
    <n v="0"/>
    <n v="0"/>
    <n v="0"/>
    <n v="0"/>
    <n v="0"/>
    <n v="80"/>
    <n v="350872.00000000006"/>
    <n v="2320000"/>
    <n v="6.0109980536802841"/>
  </r>
  <r>
    <n v="0"/>
    <n v="0"/>
    <n v="4"/>
    <n v="11"/>
    <s v="전략"/>
    <x v="13"/>
    <s v="JOK-KIDS FIRST TOYS-01"/>
    <s v="JOK-KIDS FIRST TOYS-01JOKEDF5504PK"/>
    <n v="3"/>
    <s v="JOK-KIDS FIRST TOYS-013"/>
    <s v="JOK-KIDS FIRST TOYS-013-JOKEDF5504PINKOML"/>
    <s v="JOK의류외504"/>
    <s v="JOK"/>
    <s v="14FW J"/>
    <m/>
    <s v="JOK"/>
    <s v="JOIE BETE KIDS"/>
    <s v="F"/>
    <n v="5"/>
    <s v="ED"/>
    <s v="MITTEN"/>
    <s v="K"/>
    <n v="504"/>
    <n v="504"/>
    <s v="JOKEDF5504"/>
    <n v="0.5"/>
    <s v="14FW JOIE BETE_17_PK_KIDS"/>
    <s v="PK"/>
    <s v="PINK"/>
    <s v="JOKEDF5504PK"/>
    <x v="0"/>
    <n v="0.5"/>
    <n v="0"/>
    <n v="1"/>
    <s v="OML"/>
    <n v="80"/>
    <x v="10"/>
    <n v="1"/>
    <x v="0"/>
    <s v="M"/>
    <s v="CN"/>
    <x v="0"/>
    <n v="29000"/>
    <x v="15"/>
    <n v="4393.9393939393931"/>
    <n v="4510.6400000000003"/>
    <n v="116.70060606060724"/>
    <n v="0"/>
    <n v="0"/>
    <n v="20"/>
    <n v="20"/>
    <n v="3.6"/>
    <n v="0"/>
    <d v="2014-04-16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0"/>
    <s v="확정"/>
    <n v="80"/>
    <n v="0"/>
    <n v="0"/>
    <n v="0"/>
    <n v="0"/>
    <n v="0"/>
    <n v="80"/>
    <n v="360851.20000000001"/>
    <n v="2320000"/>
    <n v="5.8447662335358972"/>
  </r>
  <r>
    <n v="0"/>
    <n v="0.5"/>
    <n v="4"/>
    <n v="11"/>
    <s v="F-HAT"/>
    <x v="10"/>
    <s v="JOK-KIDS FIRST TOYS-01"/>
    <s v="JOK-KIDS FIRST TOYS-01JOKEBF5505BL"/>
    <n v="4"/>
    <s v="JOK-KIDS FIRST TOYS-014"/>
    <s v="JOK-KIDS FIRST TOYS-014-JOKEBF5505BLUEXSS"/>
    <s v="JOK의류외505"/>
    <s v="JOK"/>
    <s v="14FW J"/>
    <m/>
    <s v="JOK"/>
    <s v="JOIE BETE KIDS"/>
    <s v="F"/>
    <n v="5"/>
    <s v="EB"/>
    <s v="EARFLAP BEANIE"/>
    <s v="K"/>
    <n v="505"/>
    <n v="505"/>
    <s v="JOKEBF5505"/>
    <n v="0.5"/>
    <s v="14FW JOIE BETE_18_BL_KIDS"/>
    <s v="BL"/>
    <s v="BLUE"/>
    <s v="JOKEBF5505BL"/>
    <x v="0"/>
    <n v="0.5"/>
    <n v="0"/>
    <n v="1"/>
    <s v="XSS"/>
    <n v="400"/>
    <x v="10"/>
    <n v="1"/>
    <x v="0"/>
    <s v="M"/>
    <s v="CN"/>
    <x v="0"/>
    <n v="49000"/>
    <x v="15"/>
    <n v="7424.242424242424"/>
    <n v="7691.1860000000006"/>
    <n v="266.94357575757658"/>
    <n v="324"/>
    <n v="0"/>
    <n v="20"/>
    <n v="344"/>
    <n v="5.89"/>
    <n v="0"/>
    <d v="2014-04-16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0"/>
    <s v="확정"/>
    <n v="400"/>
    <n v="0"/>
    <n v="0"/>
    <n v="0"/>
    <n v="0"/>
    <n v="0"/>
    <n v="400"/>
    <n v="3076474.4000000004"/>
    <n v="19600000"/>
    <n v="5.79175364442552"/>
  </r>
  <r>
    <n v="0"/>
    <n v="0.5"/>
    <n v="4"/>
    <n v="11"/>
    <s v="F-HAT"/>
    <x v="10"/>
    <s v="JOK-KIDS FIRST TOYS-01"/>
    <s v="JOK-KIDS FIRST TOYS-01JOKEBF5505BL"/>
    <n v="4"/>
    <s v="JOK-KIDS FIRST TOYS-014"/>
    <s v="JOK-KIDS FIRST TOYS-014-JOKEBF5505BLUEFRE"/>
    <s v="JOK의류외505"/>
    <s v="JOK"/>
    <s v="14FW J"/>
    <m/>
    <s v="JOK"/>
    <s v="JOIE BETE KIDS"/>
    <s v="F"/>
    <n v="5"/>
    <s v="EB"/>
    <s v="EARFLAP BEANIE"/>
    <s v="K"/>
    <n v="505"/>
    <n v="505"/>
    <s v="JOKEBF5505"/>
    <n v="0.5"/>
    <s v="14FW JOIE BETE_18_BL_KIDS"/>
    <s v="BL"/>
    <s v="BLUE"/>
    <s v="JOKEBF5505BL"/>
    <x v="0"/>
    <n v="0.5"/>
    <n v="0"/>
    <n v="1"/>
    <s v="FRE"/>
    <n v="150"/>
    <x v="10"/>
    <n v="1"/>
    <x v="0"/>
    <s v="M"/>
    <s v="CN"/>
    <x v="0"/>
    <n v="49000"/>
    <x v="15"/>
    <n v="7424.242424242424"/>
    <n v="8015.5100000000011"/>
    <n v="591.26757575757711"/>
    <n v="324"/>
    <n v="0"/>
    <n v="20"/>
    <n v="344"/>
    <n v="6.15"/>
    <n v="0"/>
    <d v="2014-04-16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0"/>
    <s v="확정"/>
    <n v="147"/>
    <n v="0"/>
    <n v="0"/>
    <n v="0"/>
    <n v="0"/>
    <n v="0"/>
    <n v="150"/>
    <n v="1202326.5000000002"/>
    <n v="7350000"/>
    <n v="5.5574073945955442"/>
  </r>
  <r>
    <n v="0"/>
    <n v="0"/>
    <n v="4"/>
    <n v="11"/>
    <s v="전략"/>
    <x v="13"/>
    <s v="JOK-KIDS FIRST TOYS-01"/>
    <s v="JOK-KIDS FIRST TOYS-01JOKMUF5506BL"/>
    <n v="5"/>
    <s v="JOK-KIDS FIRST TOYS-015"/>
    <s v="JOK-KIDS FIRST TOYS-015-JOKMUF5506BLUEFRE"/>
    <s v="JOK의류외506"/>
    <s v="JOK"/>
    <s v="14FW J"/>
    <m/>
    <s v="JOK"/>
    <s v="JOIE BETE KIDS"/>
    <s v="F"/>
    <n v="5"/>
    <s v="MU"/>
    <s v="MUFFLER"/>
    <s v="K"/>
    <n v="506"/>
    <n v="506"/>
    <s v="JOKMUF5506"/>
    <n v="1"/>
    <s v="14FW JOIE BETE_19_BL_KIDS"/>
    <s v="BL"/>
    <s v="BLUE"/>
    <s v="JOKMUF5506BL"/>
    <x v="0"/>
    <n v="1"/>
    <n v="0"/>
    <n v="1"/>
    <s v="FRE"/>
    <n v="100"/>
    <x v="10"/>
    <n v="1"/>
    <x v="0"/>
    <s v="M"/>
    <s v="CN"/>
    <x v="0"/>
    <n v="45000"/>
    <x v="15"/>
    <n v="6818.1818181818171"/>
    <n v="6119.786000000001"/>
    <n v="-698.39581818181614"/>
    <m/>
    <n v="0"/>
    <n v="20"/>
    <n v="20"/>
    <n v="4.8899999999999997"/>
    <n v="0"/>
    <d v="2014-04-16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0"/>
    <s v="확정"/>
    <n v="100"/>
    <n v="0"/>
    <n v="0"/>
    <n v="0"/>
    <n v="0"/>
    <n v="0"/>
    <n v="100"/>
    <n v="611978.60000000009"/>
    <n v="4500000"/>
    <n v="6.6847257255549293"/>
  </r>
  <r>
    <n v="0"/>
    <n v="0"/>
    <n v="4"/>
    <n v="11"/>
    <s v="전략"/>
    <x v="13"/>
    <s v="JOK-KIDS FIRST TOYS-01"/>
    <s v="JOK-KIDS FIRST TOYS-01JOKEDF5507BL"/>
    <n v="6"/>
    <s v="JOK-KIDS FIRST TOYS-016"/>
    <s v="JOK-KIDS FIRST TOYS-016-JOKEDF5507BLUEOSM"/>
    <s v="JOK의류외507"/>
    <s v="JOK"/>
    <s v="14FW J"/>
    <m/>
    <s v="JOK"/>
    <s v="JOIE BETE KIDS"/>
    <s v="F"/>
    <n v="5"/>
    <s v="ED"/>
    <s v="MITTEN"/>
    <s v="K"/>
    <n v="507"/>
    <n v="507"/>
    <s v="JOKEDF5507"/>
    <n v="0.5"/>
    <s v="14FW JOIE BETE_20_BL_KIDS"/>
    <s v="BL"/>
    <s v="BLUE"/>
    <s v="JOKEDF5507BL"/>
    <x v="0"/>
    <n v="0.5"/>
    <n v="0"/>
    <n v="1"/>
    <s v="OSM"/>
    <n v="80"/>
    <x v="10"/>
    <n v="1"/>
    <x v="0"/>
    <s v="M"/>
    <s v="CN"/>
    <x v="0"/>
    <n v="29000"/>
    <x v="15"/>
    <n v="4393.9393939393931"/>
    <n v="4385.9000000000005"/>
    <n v="-8.0393939393925393"/>
    <n v="0"/>
    <n v="0"/>
    <n v="20"/>
    <n v="20"/>
    <n v="3.5"/>
    <n v="0"/>
    <d v="2014-04-16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0"/>
    <s v="확정"/>
    <n v="80"/>
    <n v="0"/>
    <n v="0"/>
    <n v="0"/>
    <n v="0"/>
    <n v="0"/>
    <n v="80"/>
    <n v="350872.00000000006"/>
    <n v="2320000"/>
    <n v="6.0109980536802841"/>
  </r>
  <r>
    <n v="0"/>
    <n v="0"/>
    <n v="4"/>
    <n v="11"/>
    <s v="전략"/>
    <x v="13"/>
    <s v="JOK-KIDS FIRST TOYS-01"/>
    <s v="JOK-KIDS FIRST TOYS-01JOKEDF5507BL"/>
    <n v="6"/>
    <s v="JOK-KIDS FIRST TOYS-016"/>
    <s v="JOK-KIDS FIRST TOYS-016-JOKEDF5507BLUEOML"/>
    <s v="JOK의류외507"/>
    <s v="JOK"/>
    <s v="14FW J"/>
    <m/>
    <s v="JOK"/>
    <s v="JOIE BETE KIDS"/>
    <s v="F"/>
    <n v="5"/>
    <s v="ED"/>
    <s v="MITTEN"/>
    <s v="K"/>
    <n v="507"/>
    <n v="507"/>
    <s v="JOKEDF5507"/>
    <n v="0.5"/>
    <s v="14FW JOIE BETE_20_BL_KIDS"/>
    <s v="BL"/>
    <s v="BLUE"/>
    <s v="JOKEDF5507BL"/>
    <x v="0"/>
    <n v="0.5"/>
    <n v="0"/>
    <n v="1"/>
    <s v="OML"/>
    <n v="80"/>
    <x v="10"/>
    <n v="1"/>
    <x v="0"/>
    <s v="M"/>
    <s v="CN"/>
    <x v="0"/>
    <n v="29000"/>
    <x v="15"/>
    <n v="4393.9393939393931"/>
    <n v="4510.6400000000003"/>
    <n v="116.70060606060724"/>
    <n v="0"/>
    <n v="0"/>
    <n v="20"/>
    <n v="20"/>
    <n v="3.6"/>
    <n v="0"/>
    <d v="2014-04-16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0"/>
    <s v="확정"/>
    <n v="80"/>
    <n v="0"/>
    <n v="0"/>
    <n v="0"/>
    <n v="0"/>
    <n v="0"/>
    <n v="80"/>
    <n v="360851.20000000001"/>
    <n v="2320000"/>
    <n v="5.8447662335358972"/>
  </r>
  <r>
    <n v="0"/>
    <n v="0.5"/>
    <n v="4"/>
    <n v="11"/>
    <s v="F-HAT"/>
    <x v="10"/>
    <s v="JOK-KIDS FIRST TOYS-01"/>
    <s v="JOK-KIDS FIRST TOYS-01JOKEBF5508IV"/>
    <n v="7"/>
    <s v="JOK-KIDS FIRST TOYS-017"/>
    <s v="JOK-KIDS FIRST TOYS-017-JOKEBF5508IVORYXSS"/>
    <s v="JOK의류외508"/>
    <s v="JOK"/>
    <s v="14FW J"/>
    <m/>
    <s v="JOK"/>
    <s v="JOIE BETE KIDS"/>
    <s v="F"/>
    <n v="5"/>
    <s v="EB"/>
    <s v="EARFLAP BEANIE"/>
    <s v="K"/>
    <n v="508"/>
    <n v="508"/>
    <s v="JOKEBF5508"/>
    <n v="0.5"/>
    <s v="14FW JOIE BETE_34_IV_KIDS_x000a_(JOIEBE5808IV)"/>
    <s v="IV"/>
    <s v="IVORY"/>
    <s v="JOKEBF5508IV"/>
    <x v="0"/>
    <n v="0.5"/>
    <n v="0"/>
    <n v="1"/>
    <s v="XSS"/>
    <n v="400"/>
    <x v="10"/>
    <n v="1"/>
    <x v="0"/>
    <s v="M"/>
    <s v="CN"/>
    <x v="0"/>
    <n v="49000"/>
    <x v="15"/>
    <n v="7424.242424242424"/>
    <n v="6304.27"/>
    <n v="-1119.9724242424236"/>
    <n v="1856"/>
    <n v="0"/>
    <n v="20"/>
    <n v="1876"/>
    <n v="3.55"/>
    <n v="0"/>
    <d v="2014-04-16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0"/>
    <s v="확정"/>
    <n v="400"/>
    <n v="0"/>
    <n v="0"/>
    <n v="0"/>
    <n v="0"/>
    <n v="0"/>
    <n v="400"/>
    <n v="2521708"/>
    <n v="19600000"/>
    <n v="7.065917948541947"/>
  </r>
  <r>
    <n v="0"/>
    <n v="0.5"/>
    <n v="4"/>
    <n v="11"/>
    <s v="F-HAT"/>
    <x v="10"/>
    <s v="JOK-KIDS FIRST TOYS-01"/>
    <s v="JOK-KIDS FIRST TOYS-01JOKEBF5508IV"/>
    <n v="7"/>
    <s v="JOK-KIDS FIRST TOYS-017"/>
    <s v="JOK-KIDS FIRST TOYS-017-JOKEBF5508IVORYFRE"/>
    <s v="JOK의류외508"/>
    <s v="JOK"/>
    <s v="14FW J"/>
    <m/>
    <s v="JOK"/>
    <s v="JOIE BETE KIDS"/>
    <s v="F"/>
    <n v="5"/>
    <s v="EB"/>
    <s v="EARFLAP BEANIE"/>
    <s v="K"/>
    <n v="508"/>
    <n v="508"/>
    <s v="JOKEBF5508"/>
    <n v="0.5"/>
    <s v="14FW JOIE BETE_34_IV_KIDS_x000a_(JOIEBE5808IV)"/>
    <s v="IV"/>
    <s v="IVORY"/>
    <s v="JOKEBF5508IV"/>
    <x v="0"/>
    <n v="0.5"/>
    <n v="0"/>
    <n v="1"/>
    <s v="FRE"/>
    <n v="150"/>
    <x v="10"/>
    <n v="1"/>
    <x v="0"/>
    <s v="M"/>
    <s v="CN"/>
    <x v="0"/>
    <n v="49000"/>
    <x v="15"/>
    <n v="7424.242424242424"/>
    <n v="6429.01"/>
    <n v="-995.2324242424238"/>
    <n v="1856"/>
    <n v="0"/>
    <n v="20"/>
    <n v="1876"/>
    <n v="3.65"/>
    <n v="0"/>
    <d v="2014-04-16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0"/>
    <s v="확정"/>
    <n v="149"/>
    <n v="0"/>
    <n v="0"/>
    <n v="0"/>
    <n v="0"/>
    <n v="0"/>
    <n v="150"/>
    <n v="964351.5"/>
    <n v="7350000"/>
    <n v="6.9288202297794745"/>
  </r>
  <r>
    <n v="0"/>
    <n v="0"/>
    <s v=""/>
    <s v=""/>
    <s v=""/>
    <x v="1"/>
    <s v=""/>
    <s v=""/>
    <n v="0"/>
    <s v="0"/>
    <s v="0-"/>
    <n v="0"/>
    <s v="TTL"/>
    <s v=""/>
    <s v="JOK-KIDS FIRST TOYS-01 TTL"/>
    <m/>
    <s v=""/>
    <s v=""/>
    <s v=""/>
    <m/>
    <s v=""/>
    <s v="K"/>
    <m/>
    <s v=""/>
    <s v=""/>
    <n v="7"/>
    <m/>
    <s v=""/>
    <m/>
    <s v=""/>
    <x v="0"/>
    <n v="7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164"/>
    <n v="0"/>
    <n v="0"/>
    <n v="0"/>
    <n v="0"/>
    <n v="0"/>
    <n v="2170"/>
    <n v="14787864.9"/>
    <n v="99130000"/>
    <n v="6.094063100223603"/>
  </r>
  <r>
    <n v="0"/>
    <n v="0"/>
    <n v="4"/>
    <n v="9"/>
    <s v="F-CAP"/>
    <x v="14"/>
    <s v="POK-동일모자-16"/>
    <s v="POK-동일모자-16POKBAF3501PK"/>
    <n v="1"/>
    <s v="POK-동일모자-161"/>
    <s v="POK-동일모자-161-POKBAF3501PINKXSS"/>
    <s v="POK의류외501"/>
    <s v="POK"/>
    <s v="14SS P"/>
    <m/>
    <s v="POK"/>
    <s v="ROBOCARPOLI KIDS"/>
    <s v="F"/>
    <s v="3"/>
    <s v="BA"/>
    <s v="BASIC CAP"/>
    <s v="K"/>
    <n v="501"/>
    <n v="501"/>
    <s v="POKBAF3501"/>
    <n v="1"/>
    <s v="14SS POLI 05_SNAP_PK_KIDS"/>
    <s v="PK"/>
    <s v="PINK"/>
    <s v="POKBAF3501PK"/>
    <x v="0"/>
    <n v="1"/>
    <n v="0"/>
    <n v="1"/>
    <s v="XSS"/>
    <n v="150"/>
    <x v="5"/>
    <n v="16"/>
    <x v="17"/>
    <s v="M"/>
    <s v="CN"/>
    <x v="0"/>
    <n v="35000"/>
    <x v="4"/>
    <n v="5303.030303030303"/>
    <n v="7442.0300000000007"/>
    <n v="2138.9996969696977"/>
    <n v="0"/>
    <n v="0"/>
    <n v="20"/>
    <n v="20"/>
    <n v="5.95"/>
    <n v="0"/>
    <d v="2014-04-24T00:00:00"/>
    <d v="1899-12-30T00:00:00"/>
    <d v="2014-06-30T00:00:00"/>
    <d v="2014-06-30T00:00:00"/>
    <d v="2014-09-02T00:00:00"/>
    <d v="2014-09-30T00:00:00"/>
    <d v="1899-12-30T00:00:00"/>
    <d v="1899-12-30T00:00:00"/>
    <d v="1899-12-30T00:00:00"/>
    <x v="0"/>
    <s v="확정"/>
    <n v="125"/>
    <n v="21"/>
    <n v="0"/>
    <n v="0"/>
    <n v="0"/>
    <n v="0"/>
    <n v="150"/>
    <n v="1116304.5"/>
    <n v="5250000"/>
    <n v="4.2754707812494459"/>
  </r>
  <r>
    <n v="0"/>
    <n v="1"/>
    <n v="4"/>
    <n v="9"/>
    <s v="F-CAP"/>
    <x v="14"/>
    <s v="POK-동일모자-16"/>
    <s v="POK-동일모자-16POKBAF3502YE"/>
    <n v="2"/>
    <s v="POK-동일모자-162"/>
    <s v="POK-동일모자-162-POKBAF3502YELLOWXSS"/>
    <s v="POK의류외502"/>
    <s v="POK"/>
    <s v="14SS P"/>
    <m/>
    <s v="POK"/>
    <s v="ROBOCARPOLI KIDS"/>
    <s v="F"/>
    <s v="3"/>
    <s v="BA"/>
    <s v="BASIC CAP"/>
    <s v="K"/>
    <n v="502"/>
    <n v="502"/>
    <s v="POKBAF3502"/>
    <n v="1"/>
    <s v="14SS POLI 06_SNAP_YE_KIDS"/>
    <s v="YE"/>
    <s v="YELLOW"/>
    <s v="POKBAF3502YE"/>
    <x v="0"/>
    <n v="1"/>
    <n v="0"/>
    <n v="1"/>
    <s v="XSS"/>
    <n v="150"/>
    <x v="5"/>
    <n v="16"/>
    <x v="17"/>
    <s v="M"/>
    <s v="CN"/>
    <x v="0"/>
    <n v="35000"/>
    <x v="4"/>
    <n v="5303.030303030303"/>
    <n v="7970.0300000000007"/>
    <n v="2666.9996969696977"/>
    <n v="528"/>
    <n v="0"/>
    <n v="20"/>
    <n v="548"/>
    <n v="5.95"/>
    <n v="0"/>
    <d v="2014-04-24T00:00:00"/>
    <d v="1899-12-30T00:00:00"/>
    <d v="2014-06-30T00:00:00"/>
    <d v="2014-06-30T00:00:00"/>
    <d v="2014-09-02T00:00:00"/>
    <d v="2014-09-30T00:00:00"/>
    <d v="1899-12-30T00:00:00"/>
    <d v="1899-12-30T00:00:00"/>
    <d v="1899-12-30T00:00:00"/>
    <x v="0"/>
    <s v="확정"/>
    <n v="135"/>
    <n v="13"/>
    <n v="0"/>
    <n v="0"/>
    <n v="0"/>
    <n v="0"/>
    <n v="150"/>
    <n v="1195504.5"/>
    <n v="5250000"/>
    <n v="3.9922286137168634"/>
  </r>
  <r>
    <n v="0"/>
    <n v="0"/>
    <s v=""/>
    <s v=""/>
    <s v=""/>
    <x v="1"/>
    <s v=""/>
    <s v=""/>
    <n v="0"/>
    <s v="0"/>
    <s v="0-"/>
    <n v="0"/>
    <s v="TTL"/>
    <s v=""/>
    <s v="POK-동일모자-16 TTL"/>
    <m/>
    <s v=""/>
    <s v=""/>
    <s v=""/>
    <m/>
    <s v=""/>
    <s v="K"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60"/>
    <n v="34"/>
    <n v="0"/>
    <n v="0"/>
    <n v="0"/>
    <n v="0"/>
    <n v="300"/>
    <n v="2311809"/>
    <n v="10500000"/>
    <n v="4.1289979169795359"/>
  </r>
  <r>
    <n v="0"/>
    <n v="0"/>
    <n v="5"/>
    <n v="6"/>
    <s v="F-CAP"/>
    <x v="14"/>
    <s v="POK-캡보이2-03"/>
    <s v="POK-캡보이2-03POKFIF3901BL"/>
    <n v="1"/>
    <s v="POK-캡보이2-031"/>
    <s v="POK-캡보이2-031-POKFIF3901BLUEOSM"/>
    <s v="POK의류외901"/>
    <s v="POK"/>
    <s v="14SS R"/>
    <m/>
    <s v="POK"/>
    <s v="ROBOCARPOLI KIDS"/>
    <s v="F"/>
    <s v="3"/>
    <s v="FI"/>
    <s v="FITTED CAP"/>
    <s v="K"/>
    <n v="901"/>
    <n v="901"/>
    <s v="POKFIF3901"/>
    <n v="0.5"/>
    <s v="14SS RP 01_FLAT_BL_KIDS"/>
    <s v="BL"/>
    <s v="BLUE"/>
    <s v="POKFIF3901BL"/>
    <x v="1"/>
    <n v="0.5"/>
    <n v="0"/>
    <n v="1"/>
    <s v="OSM"/>
    <n v="350"/>
    <x v="3"/>
    <n v="3"/>
    <x v="2"/>
    <s v="M"/>
    <s v="VT"/>
    <x v="0"/>
    <n v="49000"/>
    <x v="16"/>
    <n v="8909.0909090909081"/>
    <n v="10188"/>
    <n v="1278.9090909090919"/>
    <n v="0"/>
    <n v="48"/>
    <n v="20"/>
    <n v="68"/>
    <n v="9.1999999999999993"/>
    <n v="0"/>
    <d v="2014-05-16T00:00:00"/>
    <d v="1899-12-30T00:00:00"/>
    <d v="2014-07-10T00:00:00"/>
    <d v="2014-07-10T00:00:00"/>
    <d v="2014-06-27T00:00:00"/>
    <d v="1899-12-30T00:00:00"/>
    <d v="1899-12-30T00:00:00"/>
    <d v="1899-12-30T00:00:00"/>
    <d v="1899-12-30T00:00:00"/>
    <x v="0"/>
    <s v="확정"/>
    <n v="350"/>
    <n v="0"/>
    <n v="0"/>
    <n v="0"/>
    <n v="0"/>
    <n v="0"/>
    <n v="350"/>
    <n v="3565800"/>
    <n v="17150000"/>
    <n v="4.3723453617446548"/>
  </r>
  <r>
    <n v="0"/>
    <n v="0"/>
    <n v="5"/>
    <n v="6"/>
    <s v="F-CAP"/>
    <x v="14"/>
    <s v="POK-캡보이2-03"/>
    <s v="POK-캡보이2-03POKFIF3901BL"/>
    <n v="1"/>
    <s v="POK-캡보이2-031"/>
    <s v="POK-캡보이2-031-POKFIF3901BLUEOML"/>
    <s v="POK의류외901"/>
    <s v="POK"/>
    <s v="14SS R"/>
    <m/>
    <s v="POK"/>
    <s v="ROBOCARPOLI KIDS"/>
    <s v="F"/>
    <s v="3"/>
    <s v="FI"/>
    <s v="FITTED CAP"/>
    <s v="K"/>
    <n v="901"/>
    <n v="901"/>
    <s v="POKFIF3901"/>
    <n v="0.5"/>
    <s v="14SS RP 01_FLAT_BL_KIDS"/>
    <s v="BL"/>
    <s v="BLUE"/>
    <s v="POKFIF3901BL"/>
    <x v="1"/>
    <n v="0.5"/>
    <n v="0"/>
    <n v="1"/>
    <s v="OML"/>
    <n v="150"/>
    <x v="3"/>
    <n v="3"/>
    <x v="2"/>
    <s v="M"/>
    <s v="VT"/>
    <x v="0"/>
    <n v="49000"/>
    <x v="16"/>
    <n v="8909.0909090909081"/>
    <n v="10188"/>
    <n v="1278.9090909090919"/>
    <n v="0"/>
    <n v="48"/>
    <n v="20"/>
    <n v="68"/>
    <n v="9.1999999999999993"/>
    <n v="0"/>
    <d v="2014-05-16T00:00:00"/>
    <d v="1899-12-30T00:00:00"/>
    <d v="2014-07-10T00:00:00"/>
    <d v="2014-07-10T00:00:00"/>
    <d v="2014-06-27T00:00:00"/>
    <d v="1899-12-30T00:00:00"/>
    <d v="1899-12-30T00:00:00"/>
    <d v="1899-12-30T00:00:00"/>
    <d v="1899-12-30T00:00:00"/>
    <x v="0"/>
    <s v="확정"/>
    <n v="150"/>
    <n v="0"/>
    <n v="0"/>
    <n v="0"/>
    <n v="0"/>
    <n v="0"/>
    <n v="150"/>
    <n v="1528200"/>
    <n v="7350000"/>
    <n v="4.3723453617446548"/>
  </r>
  <r>
    <n v="0"/>
    <n v="0"/>
    <n v="5"/>
    <n v="7"/>
    <s v="F-CAP"/>
    <x v="14"/>
    <s v="POK-캡보이2-03"/>
    <s v="POK-캡보이2-03POKFIF3902RE"/>
    <n v="2"/>
    <s v="POK-캡보이2-032"/>
    <s v="POK-캡보이2-032-POKFIF3902REDOSM"/>
    <s v="POK의류외902"/>
    <s v="POK"/>
    <s v="14SS R"/>
    <m/>
    <s v="POK"/>
    <s v="ROBOCARPOLI KIDS"/>
    <s v="F"/>
    <s v="3"/>
    <s v="FI"/>
    <s v="FITTED CAP"/>
    <s v="K"/>
    <n v="902"/>
    <n v="902"/>
    <s v="POKFIF3902"/>
    <n v="0.5"/>
    <s v="14SS RP 02_FLAT_RD_KIDS"/>
    <s v="RE"/>
    <s v="RED"/>
    <s v="POKFIF3902RE"/>
    <x v="1"/>
    <n v="0.5"/>
    <n v="0"/>
    <n v="1"/>
    <s v="OSM"/>
    <n v="180"/>
    <x v="3"/>
    <n v="3"/>
    <x v="2"/>
    <s v="M"/>
    <s v="VT"/>
    <x v="0"/>
    <n v="49000"/>
    <x v="16"/>
    <n v="8909.0909090909081"/>
    <n v="9088"/>
    <n v="178.9090909090919"/>
    <n v="0"/>
    <n v="48"/>
    <n v="20"/>
    <n v="68"/>
    <n v="8.1999999999999993"/>
    <n v="0"/>
    <d v="2014-05-16T00:00:00"/>
    <d v="1899-12-30T00:00:00"/>
    <d v="2014-07-10T00:00:00"/>
    <d v="2014-07-10T00:00:00"/>
    <d v="2014-07-16T00:00:00"/>
    <d v="1899-12-30T00:00:00"/>
    <d v="1899-12-30T00:00:00"/>
    <d v="1899-12-30T00:00:00"/>
    <d v="1899-12-30T00:00:00"/>
    <x v="0"/>
    <s v="확정"/>
    <n v="180"/>
    <n v="0"/>
    <n v="0"/>
    <n v="0"/>
    <n v="0"/>
    <n v="0"/>
    <n v="180"/>
    <n v="1635840"/>
    <n v="8820000"/>
    <n v="4.9015685019206137"/>
  </r>
  <r>
    <n v="0"/>
    <n v="0"/>
    <n v="5"/>
    <n v="7"/>
    <s v="F-CAP"/>
    <x v="14"/>
    <s v="POK-캡보이2-03"/>
    <s v="POK-캡보이2-03POKFIF3902RE"/>
    <n v="2"/>
    <s v="POK-캡보이2-032"/>
    <s v="POK-캡보이2-032-POKFIF3902REDOML"/>
    <s v="POK의류외902"/>
    <s v="POK"/>
    <s v="14SS R"/>
    <m/>
    <s v="POK"/>
    <s v="ROBOCARPOLI KIDS"/>
    <s v="F"/>
    <s v="3"/>
    <s v="FI"/>
    <s v="FITTED CAP"/>
    <s v="K"/>
    <n v="902"/>
    <n v="902"/>
    <s v="POKFIF3902"/>
    <n v="0.5"/>
    <s v="14SS RP 02_FLAT_RD_KIDS"/>
    <s v="RE"/>
    <s v="RED"/>
    <s v="POKFIF3902RE"/>
    <x v="1"/>
    <n v="0.5"/>
    <n v="0"/>
    <n v="1"/>
    <s v="OML"/>
    <n v="60"/>
    <x v="3"/>
    <n v="3"/>
    <x v="2"/>
    <s v="M"/>
    <s v="VT"/>
    <x v="0"/>
    <n v="49000"/>
    <x v="16"/>
    <n v="8909.0909090909081"/>
    <n v="9088"/>
    <n v="178.9090909090919"/>
    <n v="0"/>
    <n v="48"/>
    <n v="20"/>
    <n v="68"/>
    <n v="8.1999999999999993"/>
    <n v="0"/>
    <d v="2014-05-16T00:00:00"/>
    <d v="1899-12-30T00:00:00"/>
    <d v="2014-07-10T00:00:00"/>
    <d v="2014-07-10T00:00:00"/>
    <d v="2014-07-16T00:00:00"/>
    <d v="1899-12-30T00:00:00"/>
    <d v="1899-12-30T00:00:00"/>
    <d v="1899-12-30T00:00:00"/>
    <d v="1899-12-30T00:00:00"/>
    <x v="0"/>
    <s v="확정"/>
    <n v="60"/>
    <n v="0"/>
    <n v="0"/>
    <n v="0"/>
    <n v="0"/>
    <n v="0"/>
    <n v="60"/>
    <n v="545280"/>
    <n v="2940000"/>
    <n v="4.9015685019206146"/>
  </r>
  <r>
    <n v="0"/>
    <n v="0"/>
    <n v="5"/>
    <n v="7"/>
    <s v="F-CAP"/>
    <x v="14"/>
    <s v="POK-캡보이2-03"/>
    <s v="POK-캡보이2-03POKFIF3903PK"/>
    <n v="3"/>
    <s v="POK-캡보이2-033"/>
    <s v="POK-캡보이2-033-POKFIF3903PINKOSM"/>
    <s v="POK의류외903"/>
    <s v="POK"/>
    <s v="14SS R"/>
    <m/>
    <s v="POK"/>
    <s v="ROBOCARPOLI KIDS"/>
    <s v="F"/>
    <s v="3"/>
    <s v="FI"/>
    <s v="FITTED CAP"/>
    <s v="K"/>
    <n v="903"/>
    <n v="903"/>
    <s v="POKFIF3903"/>
    <n v="0.5"/>
    <s v="14SS RP 03_FLAT_PK_KIDS"/>
    <s v="PK"/>
    <s v="PINK"/>
    <s v="POKFIF3903PK"/>
    <x v="1"/>
    <n v="0.5"/>
    <n v="0"/>
    <n v="1"/>
    <s v="OSM"/>
    <n v="180"/>
    <x v="3"/>
    <n v="3"/>
    <x v="2"/>
    <s v="M"/>
    <s v="VT"/>
    <x v="0"/>
    <n v="49000"/>
    <x v="16"/>
    <n v="8909.0909090909081"/>
    <n v="10188"/>
    <n v="1278.9090909090919"/>
    <n v="0"/>
    <n v="48"/>
    <n v="20"/>
    <n v="68"/>
    <n v="9.1999999999999993"/>
    <n v="0"/>
    <d v="2014-05-16T00:00:00"/>
    <d v="1899-12-30T00:00:00"/>
    <d v="2014-07-10T00:00:00"/>
    <d v="2014-07-10T00:00:00"/>
    <d v="2014-07-16T00:00:00"/>
    <d v="1899-12-30T00:00:00"/>
    <d v="1899-12-30T00:00:00"/>
    <d v="1899-12-30T00:00:00"/>
    <d v="1899-12-30T00:00:00"/>
    <x v="0"/>
    <s v="확정"/>
    <n v="180"/>
    <n v="0"/>
    <n v="0"/>
    <n v="0"/>
    <n v="0"/>
    <n v="0"/>
    <n v="180"/>
    <n v="1833840"/>
    <n v="8820000"/>
    <n v="4.3723453617446548"/>
  </r>
  <r>
    <n v="0"/>
    <n v="0"/>
    <n v="5"/>
    <n v="7"/>
    <s v="F-CAP"/>
    <x v="14"/>
    <s v="POK-캡보이2-03"/>
    <s v="POK-캡보이2-03POKFIF3903PK"/>
    <n v="3"/>
    <s v="POK-캡보이2-033"/>
    <s v="POK-캡보이2-033-POKFIF3903PINKOML"/>
    <s v="POK의류외903"/>
    <s v="POK"/>
    <s v="14SS R"/>
    <m/>
    <s v="POK"/>
    <s v="ROBOCARPOLI KIDS"/>
    <s v="F"/>
    <s v="3"/>
    <s v="FI"/>
    <s v="FITTED CAP"/>
    <s v="K"/>
    <n v="903"/>
    <n v="903"/>
    <s v="POKFIF3903"/>
    <n v="0.5"/>
    <s v="14SS RP 03_FLAT_PK_KIDS"/>
    <s v="PK"/>
    <s v="PINK"/>
    <s v="POKFIF3903PK"/>
    <x v="1"/>
    <n v="0.5"/>
    <n v="0"/>
    <n v="1"/>
    <s v="OML"/>
    <n v="60"/>
    <x v="3"/>
    <n v="3"/>
    <x v="2"/>
    <s v="M"/>
    <s v="VT"/>
    <x v="0"/>
    <n v="49000"/>
    <x v="16"/>
    <n v="8909.0909090909081"/>
    <n v="10188"/>
    <n v="1278.9090909090919"/>
    <n v="0"/>
    <n v="48"/>
    <n v="20"/>
    <n v="68"/>
    <n v="9.1999999999999993"/>
    <n v="0"/>
    <d v="2014-05-16T00:00:00"/>
    <d v="1899-12-30T00:00:00"/>
    <d v="2014-07-10T00:00:00"/>
    <d v="2014-07-10T00:00:00"/>
    <d v="2014-07-16T00:00:00"/>
    <d v="1899-12-30T00:00:00"/>
    <d v="1899-12-30T00:00:00"/>
    <d v="1899-12-30T00:00:00"/>
    <d v="1899-12-30T00:00:00"/>
    <x v="0"/>
    <s v="확정"/>
    <n v="60"/>
    <n v="0"/>
    <n v="0"/>
    <n v="0"/>
    <n v="0"/>
    <n v="0"/>
    <n v="60"/>
    <n v="611280"/>
    <n v="2940000"/>
    <n v="4.3723453617446548"/>
  </r>
  <r>
    <n v="0"/>
    <n v="0.5"/>
    <n v="5"/>
    <n v="7"/>
    <s v="F-CAP"/>
    <x v="14"/>
    <s v="POK-캡보이2-03"/>
    <s v="POK-캡보이2-03POKFIF3904GR"/>
    <n v="4"/>
    <s v="POK-캡보이2-034"/>
    <s v="POK-캡보이2-034-POKFIF3904GREENOSM"/>
    <s v="POK의류외904"/>
    <s v="POK"/>
    <s v="14SS R"/>
    <m/>
    <s v="POK"/>
    <s v="ROBOCARPOLI KIDS"/>
    <s v="F"/>
    <s v="3"/>
    <s v="FI"/>
    <s v="FITTED CAP"/>
    <s v="K"/>
    <n v="904"/>
    <n v="904"/>
    <s v="POKFIF3904"/>
    <n v="0.5"/>
    <s v="14SS RP 04_FLAT_GR_KIDS"/>
    <s v="GR"/>
    <s v="GREEN"/>
    <s v="POKFIF3904GR"/>
    <x v="1"/>
    <n v="0.5"/>
    <n v="0"/>
    <n v="1"/>
    <s v="OSM"/>
    <n v="150"/>
    <x v="3"/>
    <n v="3"/>
    <x v="2"/>
    <s v="M"/>
    <s v="VT"/>
    <x v="0"/>
    <n v="49000"/>
    <x v="16"/>
    <n v="8909.0909090909081"/>
    <n v="10888"/>
    <n v="1978.9090909090919"/>
    <n v="1800"/>
    <n v="48"/>
    <n v="20"/>
    <n v="1868"/>
    <n v="8.1999999999999993"/>
    <n v="0"/>
    <d v="2014-05-16T00:00:00"/>
    <d v="1899-12-30T00:00:00"/>
    <d v="2014-07-10T00:00:00"/>
    <d v="2014-07-10T00:00:00"/>
    <d v="2014-07-16T00:00:00"/>
    <d v="1899-12-30T00:00:00"/>
    <d v="1899-12-30T00:00:00"/>
    <d v="1899-12-30T00:00:00"/>
    <d v="1899-12-30T00:00:00"/>
    <x v="0"/>
    <s v="확정"/>
    <n v="150"/>
    <n v="0"/>
    <n v="0"/>
    <n v="0"/>
    <n v="0"/>
    <n v="0"/>
    <n v="150"/>
    <n v="1633200"/>
    <n v="7350000"/>
    <n v="4.0912430699352074"/>
  </r>
  <r>
    <n v="0"/>
    <n v="0.5"/>
    <n v="5"/>
    <n v="7"/>
    <s v="F-CAP"/>
    <x v="14"/>
    <s v="POK-캡보이2-03"/>
    <s v="POK-캡보이2-03POKFIF3904GR"/>
    <n v="4"/>
    <s v="POK-캡보이2-034"/>
    <s v="POK-캡보이2-034-POKFIF3904GREENOML"/>
    <s v="POK의류외904"/>
    <s v="POK"/>
    <s v="14SS R"/>
    <m/>
    <s v="POK"/>
    <s v="ROBOCARPOLI KIDS"/>
    <s v="F"/>
    <s v="3"/>
    <s v="FI"/>
    <s v="FITTED CAP"/>
    <s v="K"/>
    <n v="904"/>
    <n v="904"/>
    <s v="POKFIF3904"/>
    <n v="0.5"/>
    <s v="14SS RP 04_FLAT_GR_KIDS"/>
    <s v="GR"/>
    <s v="GREEN"/>
    <s v="POKFIF3904GR"/>
    <x v="1"/>
    <n v="0.5"/>
    <n v="0"/>
    <n v="1"/>
    <s v="OML"/>
    <n v="70"/>
    <x v="3"/>
    <n v="3"/>
    <x v="2"/>
    <s v="M"/>
    <s v="VT"/>
    <x v="0"/>
    <n v="49000"/>
    <x v="16"/>
    <n v="8909.0909090909081"/>
    <n v="10888"/>
    <n v="1978.9090909090919"/>
    <n v="1800"/>
    <n v="48"/>
    <n v="20"/>
    <n v="1868"/>
    <n v="8.1999999999999993"/>
    <n v="0"/>
    <d v="2014-05-16T00:00:00"/>
    <d v="1899-12-30T00:00:00"/>
    <d v="2014-07-10T00:00:00"/>
    <d v="2014-07-10T00:00:00"/>
    <d v="2014-07-16T00:00:00"/>
    <d v="1899-12-30T00:00:00"/>
    <d v="1899-12-30T00:00:00"/>
    <d v="1899-12-30T00:00:00"/>
    <d v="1899-12-30T00:00:00"/>
    <x v="0"/>
    <s v="확정"/>
    <n v="70"/>
    <n v="0"/>
    <n v="0"/>
    <n v="0"/>
    <n v="0"/>
    <n v="0"/>
    <n v="70"/>
    <n v="762160"/>
    <n v="3430000"/>
    <n v="4.0912430699352074"/>
  </r>
  <r>
    <n v="0"/>
    <n v="0"/>
    <s v=""/>
    <s v=""/>
    <s v=""/>
    <x v="1"/>
    <s v=""/>
    <s v=""/>
    <n v="0"/>
    <s v="0"/>
    <s v="0-"/>
    <n v="0"/>
    <s v="TTL"/>
    <s v=""/>
    <s v="POK-캡보이2-03 TTL"/>
    <m/>
    <s v=""/>
    <s v=""/>
    <s v=""/>
    <m/>
    <s v=""/>
    <s v="K"/>
    <m/>
    <s v=""/>
    <s v=""/>
    <n v="4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200"/>
    <n v="0"/>
    <n v="0"/>
    <n v="0"/>
    <n v="0"/>
    <n v="0"/>
    <n v="1200"/>
    <n v="12115600"/>
    <n v="58800000"/>
    <n v="4.4120427758051974"/>
  </r>
  <r>
    <n v="0"/>
    <n v="0.33333333333333331"/>
    <n v="5"/>
    <n v="9"/>
    <s v="F-HAT"/>
    <x v="10"/>
    <s v="JOK-동일모자-22"/>
    <s v="JOK-동일모자-22JOKBAF3509PK"/>
    <n v="1"/>
    <s v="JOK-동일모자-221"/>
    <s v="JOK-동일모자-221-JOKBAF3509PINKXSS"/>
    <s v="JOK의류외509"/>
    <s v="JOK"/>
    <s v="14FW J"/>
    <m/>
    <s v="JOK"/>
    <s v="JOIE BETE KIDS"/>
    <s v="F"/>
    <s v="3"/>
    <s v="BA"/>
    <s v="BASIC CAP"/>
    <s v="K"/>
    <n v="509"/>
    <n v="509"/>
    <s v="JOKBAF3509"/>
    <n v="0.33333333333333331"/>
    <s v="14FW JOIE BETE_33_PK_KIDS"/>
    <s v="PK"/>
    <s v="PINK"/>
    <s v="JOKBAF3509PK"/>
    <x v="0"/>
    <n v="0.33333333333333331"/>
    <n v="0"/>
    <n v="1"/>
    <s v="XSS"/>
    <n v="300"/>
    <x v="5"/>
    <n v="22"/>
    <x v="19"/>
    <s v="M"/>
    <s v="CN"/>
    <x v="0"/>
    <n v="49000"/>
    <x v="17"/>
    <n v="7424.242424242424"/>
    <n v="8012.6200000000008"/>
    <n v="588.37757575757678"/>
    <n v="134"/>
    <n v="0"/>
    <n v="20"/>
    <n v="154"/>
    <n v="6.3"/>
    <n v="0"/>
    <d v="2014-05-23T00:00:00"/>
    <d v="1899-12-30T00:00:00"/>
    <d v="2014-07-31T00:00:00"/>
    <d v="2014-08-30T00:00:00"/>
    <d v="2014-09-02T00:00:00"/>
    <d v="2014-09-25T00:00:00"/>
    <d v="1899-12-30T00:00:00"/>
    <d v="1899-12-30T00:00:00"/>
    <d v="1899-12-30T00:00:00"/>
    <x v="0"/>
    <s v="확정"/>
    <n v="64"/>
    <n v="235"/>
    <n v="0"/>
    <n v="0"/>
    <n v="0"/>
    <n v="0"/>
    <n v="300"/>
    <n v="2403786.0000000005"/>
    <n v="14700000"/>
    <n v="5.5594118459947603"/>
  </r>
  <r>
    <n v="0"/>
    <n v="0.33333333333333331"/>
    <n v="5"/>
    <n v="9"/>
    <s v="F-HAT"/>
    <x v="10"/>
    <s v="JOK-동일모자-22"/>
    <s v="JOK-동일모자-22JOKBAF3509PK"/>
    <n v="1"/>
    <s v="JOK-동일모자-221"/>
    <s v="JOK-동일모자-221-JOKBAF3509PINKOSM"/>
    <s v="JOK의류외509"/>
    <s v="JOK"/>
    <s v="14FW J"/>
    <m/>
    <s v="JOK"/>
    <s v="JOIE BETE KIDS"/>
    <s v="F"/>
    <s v="3"/>
    <s v="BA"/>
    <s v="BASIC CAP"/>
    <s v="K"/>
    <n v="509"/>
    <n v="509"/>
    <s v="JOKBAF3509"/>
    <n v="0.33333333333333331"/>
    <s v="14FW JOIE BETE_33_PK_KIDS"/>
    <s v="PK"/>
    <s v="PINK"/>
    <s v="JOKBAF3509PK"/>
    <x v="0"/>
    <n v="0.33333333333333331"/>
    <n v="0"/>
    <n v="1"/>
    <s v="OSM"/>
    <n v="120"/>
    <x v="5"/>
    <n v="22"/>
    <x v="19"/>
    <s v="M"/>
    <s v="CN"/>
    <x v="0"/>
    <n v="49000"/>
    <x v="17"/>
    <n v="7424.242424242424"/>
    <n v="8012.6200000000008"/>
    <n v="588.37757575757678"/>
    <n v="134"/>
    <n v="0"/>
    <n v="20"/>
    <n v="154"/>
    <n v="6.3"/>
    <n v="0"/>
    <d v="2014-05-23T00:00:00"/>
    <d v="1899-12-30T00:00:00"/>
    <d v="2014-07-31T00:00:00"/>
    <d v="2014-08-30T00:00:00"/>
    <d v="2014-09-02T00:00:00"/>
    <d v="2014-09-25T00:00:00"/>
    <d v="1899-12-30T00:00:00"/>
    <d v="1899-12-30T00:00:00"/>
    <d v="1899-12-30T00:00:00"/>
    <x v="0"/>
    <s v="확정"/>
    <n v="45"/>
    <n v="70"/>
    <n v="0"/>
    <n v="0"/>
    <n v="0"/>
    <n v="0"/>
    <n v="120"/>
    <n v="961514.40000000014"/>
    <n v="5880000"/>
    <n v="5.5594118459947595"/>
  </r>
  <r>
    <n v="0"/>
    <n v="0.33333333333333331"/>
    <n v="5"/>
    <n v="9"/>
    <s v="F-HAT"/>
    <x v="10"/>
    <s v="JOK-동일모자-22"/>
    <s v="JOK-동일모자-22JOKBAF3509PK"/>
    <n v="1"/>
    <s v="JOK-동일모자-221"/>
    <s v="JOK-동일모자-221-JOKBAF3509PINKOML"/>
    <s v="JOK의류외509"/>
    <s v="JOK"/>
    <s v="14FW J"/>
    <m/>
    <s v="JOK"/>
    <s v="JOIE BETE KIDS"/>
    <s v="F"/>
    <s v="3"/>
    <s v="BA"/>
    <s v="BASIC CAP"/>
    <s v="K"/>
    <n v="509"/>
    <n v="509"/>
    <s v="JOKBAF3509"/>
    <n v="0.33333333333333331"/>
    <s v="14FW JOIE BETE_33_PK_KIDS"/>
    <s v="PK"/>
    <s v="PINK"/>
    <s v="JOKBAF3509PK"/>
    <x v="0"/>
    <n v="0.33333333333333331"/>
    <n v="0"/>
    <n v="1"/>
    <s v="OML"/>
    <n v="60"/>
    <x v="5"/>
    <n v="22"/>
    <x v="19"/>
    <s v="M"/>
    <s v="CN"/>
    <x v="0"/>
    <n v="49000"/>
    <x v="17"/>
    <n v="7424.242424242424"/>
    <n v="8012.6200000000008"/>
    <n v="588.37757575757678"/>
    <n v="134"/>
    <n v="0"/>
    <n v="20"/>
    <n v="154"/>
    <n v="6.3"/>
    <n v="0"/>
    <d v="2014-05-23T00:00:00"/>
    <d v="1899-12-30T00:00:00"/>
    <d v="2014-07-31T00:00:00"/>
    <d v="2014-08-30T00:00:00"/>
    <d v="2014-09-02T00:00:00"/>
    <d v="2014-09-25T00:00:00"/>
    <d v="1899-12-30T00:00:00"/>
    <d v="1899-12-30T00:00:00"/>
    <d v="1899-12-30T00:00:00"/>
    <x v="0"/>
    <s v="확정"/>
    <n v="49"/>
    <n v="0"/>
    <n v="0"/>
    <n v="0"/>
    <n v="0"/>
    <m/>
    <n v="60"/>
    <n v="480757.20000000007"/>
    <n v="2940000"/>
    <n v="5.5594118459947595"/>
  </r>
  <r>
    <n v="0"/>
    <n v="0.33333333333333331"/>
    <n v="5"/>
    <n v="9"/>
    <s v="F-HAT"/>
    <x v="10"/>
    <s v="JOK-동일모자-22"/>
    <s v="JOK-동일모자-22JOKBAF3510YE"/>
    <n v="2"/>
    <s v="JOK-동일모자-222"/>
    <s v="JOK-동일모자-222-JOKBAF3510YELLOWXSS"/>
    <s v="JOK의류외510"/>
    <s v="JOK"/>
    <s v="14FW J"/>
    <m/>
    <s v="JOK"/>
    <s v="JOIE BETE KIDS"/>
    <s v="F"/>
    <s v="3"/>
    <s v="BA"/>
    <s v="BASIC CAP"/>
    <s v="K"/>
    <n v="510"/>
    <n v="510"/>
    <s v="JOKBAF3510"/>
    <n v="0.33333333333333331"/>
    <s v="14FW JOIE BETE_34_YL_KIDS"/>
    <s v="YE"/>
    <s v="YELLOW"/>
    <s v="JOKBAF3510YE"/>
    <x v="0"/>
    <n v="0.33333333333333331"/>
    <n v="0"/>
    <n v="1"/>
    <s v="XSS"/>
    <n v="300"/>
    <x v="5"/>
    <n v="22"/>
    <x v="19"/>
    <s v="M"/>
    <s v="CN"/>
    <x v="0"/>
    <n v="49000"/>
    <x v="17"/>
    <n v="7424.242424242424"/>
    <n v="8407.58"/>
    <n v="983.33757575757591"/>
    <n v="30"/>
    <n v="0"/>
    <n v="20"/>
    <n v="50"/>
    <n v="6.7"/>
    <n v="0"/>
    <d v="2014-05-23T00:00:00"/>
    <d v="1899-12-30T00:00:00"/>
    <d v="2014-07-31T00:00:00"/>
    <d v="2014-08-30T00:00:00"/>
    <d v="2014-09-02T00:00:00"/>
    <d v="2014-09-25T00:00:00"/>
    <d v="1899-12-30T00:00:00"/>
    <d v="1899-12-30T00:00:00"/>
    <d v="1899-12-30T00:00:00"/>
    <x v="0"/>
    <s v="확정"/>
    <n v="91"/>
    <n v="209"/>
    <n v="0"/>
    <n v="0"/>
    <n v="0"/>
    <n v="0"/>
    <n v="300"/>
    <n v="2522274"/>
    <n v="14700000"/>
    <n v="5.2982492638136707"/>
  </r>
  <r>
    <n v="0"/>
    <n v="0.33333333333333331"/>
    <n v="5"/>
    <n v="9"/>
    <s v="F-HAT"/>
    <x v="10"/>
    <s v="JOK-동일모자-22"/>
    <s v="JOK-동일모자-22JOKBAF3510YE"/>
    <n v="2"/>
    <s v="JOK-동일모자-222"/>
    <s v="JOK-동일모자-222-JOKBAF3510YELLOWOSM"/>
    <s v="JOK의류외510"/>
    <s v="JOK"/>
    <s v="14FW J"/>
    <m/>
    <s v="JOK"/>
    <s v="JOIE BETE KIDS"/>
    <s v="F"/>
    <s v="3"/>
    <s v="BA"/>
    <s v="BASIC CAP"/>
    <s v="K"/>
    <n v="510"/>
    <n v="510"/>
    <s v="JOKBAF3510"/>
    <n v="0.33333333333333331"/>
    <s v="14FW JOIE BETE_34_YL_KIDS"/>
    <s v="YE"/>
    <s v="YELLOW"/>
    <s v="JOKBAF3510YE"/>
    <x v="0"/>
    <n v="0.33333333333333331"/>
    <n v="0"/>
    <n v="1"/>
    <s v="OSM"/>
    <n v="120"/>
    <x v="5"/>
    <n v="22"/>
    <x v="19"/>
    <s v="M"/>
    <s v="CN"/>
    <x v="0"/>
    <n v="49000"/>
    <x v="17"/>
    <n v="7424.242424242424"/>
    <n v="8407.58"/>
    <n v="983.33757575757591"/>
    <n v="30"/>
    <n v="0"/>
    <n v="20"/>
    <n v="50"/>
    <n v="6.7"/>
    <n v="0"/>
    <d v="2014-05-23T00:00:00"/>
    <d v="1899-12-30T00:00:00"/>
    <d v="2014-07-31T00:00:00"/>
    <d v="2014-08-30T00:00:00"/>
    <d v="2014-09-02T00:00:00"/>
    <d v="2014-09-25T00:00:00"/>
    <d v="1899-12-30T00:00:00"/>
    <d v="1899-12-30T00:00:00"/>
    <d v="1899-12-30T00:00:00"/>
    <x v="0"/>
    <s v="확정"/>
    <n v="114"/>
    <n v="3"/>
    <n v="0"/>
    <n v="0"/>
    <n v="0"/>
    <n v="0"/>
    <n v="120"/>
    <n v="1008909.6"/>
    <n v="5880000"/>
    <n v="5.2982492638136707"/>
  </r>
  <r>
    <n v="0"/>
    <n v="0.33333333333333331"/>
    <n v="5"/>
    <n v="9"/>
    <s v="F-HAT"/>
    <x v="10"/>
    <s v="JOK-동일모자-22"/>
    <s v="JOK-동일모자-22JOKBAF3510YE"/>
    <n v="2"/>
    <s v="JOK-동일모자-222"/>
    <s v="JOK-동일모자-222-JOKBAF3510YELLOWOML"/>
    <s v="JOK의류외510"/>
    <s v="JOK"/>
    <s v="14FW J"/>
    <m/>
    <s v="JOK"/>
    <s v="JOIE BETE KIDS"/>
    <s v="F"/>
    <s v="3"/>
    <s v="BA"/>
    <s v="BASIC CAP"/>
    <s v="K"/>
    <n v="510"/>
    <n v="510"/>
    <s v="JOKBAF3510"/>
    <n v="0.33333333333333331"/>
    <s v="14FW JOIE BETE_34_YL_KIDS"/>
    <s v="YE"/>
    <s v="YELLOW"/>
    <s v="JOKBAF3510YE"/>
    <x v="0"/>
    <n v="0.33333333333333331"/>
    <n v="0"/>
    <n v="1"/>
    <s v="OML"/>
    <n v="60"/>
    <x v="5"/>
    <n v="22"/>
    <x v="19"/>
    <s v="M"/>
    <s v="CN"/>
    <x v="0"/>
    <n v="49000"/>
    <x v="17"/>
    <n v="7424.242424242424"/>
    <n v="8407.58"/>
    <n v="983.33757575757591"/>
    <n v="30"/>
    <n v="0"/>
    <n v="20"/>
    <n v="50"/>
    <n v="6.7"/>
    <n v="0"/>
    <d v="2014-05-23T00:00:00"/>
    <d v="1899-12-30T00:00:00"/>
    <d v="2014-07-31T00:00:00"/>
    <d v="2014-08-30T00:00:00"/>
    <d v="2014-09-02T00:00:00"/>
    <d v="2014-09-25T00:00:00"/>
    <d v="1899-12-30T00:00:00"/>
    <d v="1899-12-30T00:00:00"/>
    <d v="1899-12-30T00:00:00"/>
    <x v="0"/>
    <s v="확정"/>
    <n v="61"/>
    <n v="0"/>
    <n v="0"/>
    <n v="0"/>
    <n v="0"/>
    <n v="0"/>
    <n v="60"/>
    <n v="504454.8"/>
    <n v="2940000"/>
    <n v="5.2982492638136707"/>
  </r>
  <r>
    <n v="0"/>
    <n v="0.33333333333333331"/>
    <n v="5"/>
    <n v="9"/>
    <s v="F-HAT"/>
    <x v="10"/>
    <s v="JOK-동일모자-22"/>
    <s v="JOK-동일모자-22JOKBAF3511GY"/>
    <n v="3"/>
    <s v="JOK-동일모자-223"/>
    <s v="JOK-동일모자-223-JOKBAF3511GREYXSS"/>
    <s v="JOK의류외511"/>
    <s v="JOK"/>
    <s v="14FW J"/>
    <m/>
    <s v="JOK"/>
    <s v="JOIE BETE KIDS"/>
    <s v="F"/>
    <s v="3"/>
    <s v="BA"/>
    <s v="BASIC CAP"/>
    <s v="K"/>
    <n v="511"/>
    <n v="511"/>
    <s v="JOKBAF3511"/>
    <n v="0.33333333333333331"/>
    <s v="14FW JOIE BETE_35_GY_KIDS"/>
    <s v="GY"/>
    <s v="GREY"/>
    <s v="JOKBAF3511GY"/>
    <x v="0"/>
    <n v="0.33333333333333331"/>
    <n v="0"/>
    <n v="1"/>
    <s v="XSS"/>
    <n v="250"/>
    <x v="5"/>
    <n v="22"/>
    <x v="19"/>
    <s v="M"/>
    <s v="CN"/>
    <x v="0"/>
    <n v="49000"/>
    <x v="17"/>
    <n v="7424.242424242424"/>
    <n v="7585.6600000000008"/>
    <n v="161.41757575757674"/>
    <n v="206"/>
    <n v="0"/>
    <n v="20"/>
    <n v="226"/>
    <n v="5.9"/>
    <n v="0"/>
    <d v="2014-05-23T00:00:00"/>
    <d v="1899-12-30T00:00:00"/>
    <d v="2014-07-31T00:00:00"/>
    <d v="2014-08-30T00:00:00"/>
    <d v="2014-09-02T00:00:00"/>
    <d v="2014-09-25T00:00:00"/>
    <d v="1899-12-30T00:00:00"/>
    <d v="1899-12-30T00:00:00"/>
    <d v="1899-12-30T00:00:00"/>
    <x v="0"/>
    <s v="확정"/>
    <n v="162"/>
    <n v="84"/>
    <n v="0"/>
    <n v="0"/>
    <n v="0"/>
    <n v="0"/>
    <n v="250"/>
    <n v="1896415.0000000002"/>
    <n v="12250000"/>
    <n v="5.8723241676340008"/>
  </r>
  <r>
    <n v="0"/>
    <n v="0.33333333333333331"/>
    <n v="5"/>
    <n v="9"/>
    <s v="F-HAT"/>
    <x v="10"/>
    <s v="JOK-동일모자-22"/>
    <s v="JOK-동일모자-22JOKBAF3511GY"/>
    <n v="3"/>
    <s v="JOK-동일모자-223"/>
    <s v="JOK-동일모자-223-JOKBAF3511GREYOSM"/>
    <s v="JOK의류외511"/>
    <s v="JOK"/>
    <s v="14FW J"/>
    <m/>
    <s v="JOK"/>
    <s v="JOIE BETE KIDS"/>
    <s v="F"/>
    <s v="3"/>
    <s v="BA"/>
    <s v="BASIC CAP"/>
    <s v="K"/>
    <n v="511"/>
    <n v="511"/>
    <s v="JOKBAF3511"/>
    <n v="0.33333333333333331"/>
    <s v="14FW JOIE BETE_35_GY_KIDS"/>
    <s v="GY"/>
    <s v="GREY"/>
    <s v="JOKBAF3511GY"/>
    <x v="0"/>
    <n v="0.33333333333333331"/>
    <n v="0"/>
    <n v="1"/>
    <s v="OSM"/>
    <n v="100"/>
    <x v="5"/>
    <n v="22"/>
    <x v="19"/>
    <s v="M"/>
    <s v="CN"/>
    <x v="0"/>
    <n v="49000"/>
    <x v="17"/>
    <n v="7424.242424242424"/>
    <n v="7585.6600000000008"/>
    <n v="161.41757575757674"/>
    <n v="206"/>
    <n v="0"/>
    <n v="20"/>
    <n v="226"/>
    <n v="5.9"/>
    <n v="0"/>
    <d v="2014-05-23T00:00:00"/>
    <d v="1899-12-30T00:00:00"/>
    <d v="2014-07-31T00:00:00"/>
    <d v="2014-08-30T00:00:00"/>
    <d v="2014-09-02T00:00:00"/>
    <d v="2014-09-25T00:00:00"/>
    <d v="1899-12-30T00:00:00"/>
    <d v="1899-12-30T00:00:00"/>
    <d v="1899-12-30T00:00:00"/>
    <x v="0"/>
    <s v="확정"/>
    <n v="100"/>
    <n v="1"/>
    <n v="0"/>
    <n v="0"/>
    <n v="0"/>
    <n v="0"/>
    <n v="100"/>
    <n v="758566.00000000012"/>
    <n v="4900000"/>
    <n v="5.8723241676340008"/>
  </r>
  <r>
    <n v="0"/>
    <n v="0.33333333333333331"/>
    <n v="5"/>
    <n v="9"/>
    <s v="F-HAT"/>
    <x v="10"/>
    <s v="JOK-동일모자-22"/>
    <s v="JOK-동일모자-22JOKBAF3511GY"/>
    <n v="3"/>
    <s v="JOK-동일모자-223"/>
    <s v="JOK-동일모자-223-JOKBAF3511GREYOML"/>
    <s v="JOK의류외511"/>
    <s v="JOK"/>
    <s v="14FW J"/>
    <m/>
    <s v="JOK"/>
    <s v="JOIE BETE KIDS"/>
    <s v="F"/>
    <s v="3"/>
    <s v="BA"/>
    <s v="BASIC CAP"/>
    <s v="K"/>
    <n v="511"/>
    <n v="511"/>
    <s v="JOKBAF3511"/>
    <n v="0.33333333333333331"/>
    <s v="14FW JOIE BETE_35_GY_KIDS"/>
    <s v="GY"/>
    <s v="GREY"/>
    <s v="JOKBAF3511GY"/>
    <x v="0"/>
    <n v="0.33333333333333331"/>
    <n v="0"/>
    <n v="1"/>
    <s v="OML"/>
    <n v="50"/>
    <x v="5"/>
    <n v="22"/>
    <x v="19"/>
    <s v="M"/>
    <s v="CN"/>
    <x v="0"/>
    <n v="49000"/>
    <x v="17"/>
    <n v="7424.242424242424"/>
    <n v="7585.6600000000008"/>
    <n v="161.41757575757674"/>
    <n v="206"/>
    <n v="0"/>
    <n v="20"/>
    <n v="226"/>
    <n v="5.9"/>
    <n v="0"/>
    <d v="2014-05-23T00:00:00"/>
    <d v="1899-12-30T00:00:00"/>
    <d v="2014-07-31T00:00:00"/>
    <d v="2014-08-30T00:00:00"/>
    <d v="2014-09-02T00:00:00"/>
    <d v="2014-09-25T00:00:00"/>
    <d v="1899-12-30T00:00:00"/>
    <d v="1899-12-30T00:00:00"/>
    <d v="1899-12-30T00:00:00"/>
    <x v="0"/>
    <s v="확정"/>
    <n v="51"/>
    <n v="0"/>
    <n v="0"/>
    <n v="0"/>
    <n v="0"/>
    <n v="0"/>
    <n v="50"/>
    <n v="379283.00000000006"/>
    <n v="2450000"/>
    <n v="5.8723241676340008"/>
  </r>
  <r>
    <n v="0"/>
    <n v="0.33333333333333331"/>
    <n v="5"/>
    <n v="9"/>
    <s v="F-HAT"/>
    <x v="10"/>
    <s v="JOK-동일모자-22"/>
    <s v="JOK-동일모자-22JOKBAF3512PP"/>
    <n v="4"/>
    <s v="JOK-동일모자-224"/>
    <s v="JOK-동일모자-224-JOKBAF3512PURPLEXSS"/>
    <s v="JOK의류외512"/>
    <s v="JOK"/>
    <s v="14FW J"/>
    <m/>
    <s v="JOK"/>
    <s v="JOIE BETE KIDS"/>
    <s v="F"/>
    <s v="3"/>
    <s v="BA"/>
    <s v="BASIC CAP"/>
    <s v="K"/>
    <n v="512"/>
    <n v="512"/>
    <s v="JOKBAF3512"/>
    <n v="0.33333333333333331"/>
    <s v="14FW JOIE BETE_36_PP_KIDS"/>
    <s v="PP"/>
    <s v="PURPLE"/>
    <s v="JOKBAF3512PP"/>
    <x v="0"/>
    <n v="0.33333333333333331"/>
    <n v="0"/>
    <n v="1"/>
    <s v="XSS"/>
    <n v="250"/>
    <x v="5"/>
    <n v="22"/>
    <x v="19"/>
    <s v="M"/>
    <s v="CN"/>
    <x v="0"/>
    <n v="49000"/>
    <x v="17"/>
    <n v="7424.242424242424"/>
    <n v="8522.58"/>
    <n v="1098.3375757575759"/>
    <n v="145"/>
    <n v="0"/>
    <n v="20"/>
    <n v="165"/>
    <n v="6.7"/>
    <n v="0"/>
    <d v="2014-05-23T00:00:00"/>
    <d v="1899-12-30T00:00:00"/>
    <d v="2014-07-31T00:00:00"/>
    <d v="2014-08-30T00:00:00"/>
    <d v="2014-09-02T00:00:00"/>
    <d v="2014-09-25T00:00:00"/>
    <d v="1899-12-30T00:00:00"/>
    <d v="1899-12-30T00:00:00"/>
    <d v="1899-12-30T00:00:00"/>
    <x v="0"/>
    <s v="확정"/>
    <n v="40"/>
    <n v="205"/>
    <n v="0"/>
    <n v="0"/>
    <n v="0"/>
    <n v="0"/>
    <n v="250"/>
    <n v="2130645"/>
    <n v="12250000"/>
    <n v="5.2267569850273681"/>
  </r>
  <r>
    <n v="0"/>
    <n v="0.33333333333333331"/>
    <n v="5"/>
    <n v="9"/>
    <s v="F-HAT"/>
    <x v="10"/>
    <s v="JOK-동일모자-22"/>
    <s v="JOK-동일모자-22JOKBAF3512PP"/>
    <n v="4"/>
    <s v="JOK-동일모자-224"/>
    <s v="JOK-동일모자-224-JOKBAF3512PURPLEOSM"/>
    <s v="JOK의류외512"/>
    <s v="JOK"/>
    <s v="14FW J"/>
    <m/>
    <s v="JOK"/>
    <s v="JOIE BETE KIDS"/>
    <s v="F"/>
    <s v="3"/>
    <s v="BA"/>
    <s v="BASIC CAP"/>
    <s v="K"/>
    <n v="512"/>
    <n v="512"/>
    <s v="JOKBAF3512"/>
    <n v="0.33333333333333331"/>
    <s v="14FW JOIE BETE_36_PP_KIDS"/>
    <s v="PP"/>
    <s v="PURPLE"/>
    <s v="JOKBAF3512PP"/>
    <x v="0"/>
    <n v="0.33333333333333331"/>
    <n v="0"/>
    <n v="1"/>
    <s v="OSM"/>
    <n v="100"/>
    <x v="5"/>
    <n v="22"/>
    <x v="19"/>
    <s v="M"/>
    <s v="CN"/>
    <x v="0"/>
    <n v="49000"/>
    <x v="17"/>
    <n v="7424.242424242424"/>
    <n v="8522.58"/>
    <n v="1098.3375757575759"/>
    <n v="145"/>
    <n v="0"/>
    <n v="20"/>
    <n v="165"/>
    <n v="6.7"/>
    <n v="0"/>
    <d v="2014-05-23T00:00:00"/>
    <d v="1899-12-30T00:00:00"/>
    <d v="2014-07-31T00:00:00"/>
    <d v="2014-08-30T00:00:00"/>
    <d v="2014-09-02T00:00:00"/>
    <d v="2014-09-25T00:00:00"/>
    <d v="1899-12-30T00:00:00"/>
    <d v="1899-12-30T00:00:00"/>
    <d v="1899-12-30T00:00:00"/>
    <x v="0"/>
    <s v="확정"/>
    <n v="57"/>
    <n v="42"/>
    <n v="0"/>
    <n v="0"/>
    <n v="0"/>
    <n v="0"/>
    <n v="100"/>
    <n v="852258"/>
    <n v="4900000"/>
    <n v="5.2267569850273681"/>
  </r>
  <r>
    <n v="0"/>
    <n v="0.33333333333333331"/>
    <n v="5"/>
    <n v="9"/>
    <s v="F-HAT"/>
    <x v="10"/>
    <s v="JOK-동일모자-22"/>
    <s v="JOK-동일모자-22JOKBAF3512PP"/>
    <n v="4"/>
    <s v="JOK-동일모자-224"/>
    <s v="JOK-동일모자-224-JOKBAF3512PURPLEOML"/>
    <s v="JOK의류외512"/>
    <s v="JOK"/>
    <s v="14FW J"/>
    <m/>
    <s v="JOK"/>
    <s v="JOIE BETE KIDS"/>
    <s v="F"/>
    <s v="3"/>
    <s v="BA"/>
    <s v="BASIC CAP"/>
    <s v="K"/>
    <n v="512"/>
    <n v="512"/>
    <s v="JOKBAF3512"/>
    <n v="0.33333333333333331"/>
    <s v="14FW JOIE BETE_36_PP_KIDS"/>
    <s v="PP"/>
    <s v="PURPLE"/>
    <s v="JOKBAF3512PP"/>
    <x v="0"/>
    <n v="0.33333333333333331"/>
    <n v="0"/>
    <n v="1"/>
    <s v="OML"/>
    <n v="50"/>
    <x v="5"/>
    <n v="22"/>
    <x v="19"/>
    <s v="M"/>
    <s v="CN"/>
    <x v="0"/>
    <n v="49000"/>
    <x v="17"/>
    <n v="7424.242424242424"/>
    <n v="8522.58"/>
    <n v="1098.3375757575759"/>
    <n v="145"/>
    <n v="0"/>
    <n v="20"/>
    <n v="165"/>
    <n v="6.7"/>
    <n v="0"/>
    <d v="2014-05-23T00:00:00"/>
    <d v="1899-12-30T00:00:00"/>
    <d v="2014-07-31T00:00:00"/>
    <d v="2014-08-30T00:00:00"/>
    <d v="2014-09-02T00:00:00"/>
    <d v="2014-09-25T00:00:00"/>
    <d v="1899-12-30T00:00:00"/>
    <d v="1899-12-30T00:00:00"/>
    <d v="1899-12-30T00:00:00"/>
    <x v="0"/>
    <s v="확정"/>
    <n v="47"/>
    <n v="1"/>
    <n v="0"/>
    <n v="0"/>
    <n v="0"/>
    <n v="0"/>
    <n v="50"/>
    <n v="426129"/>
    <n v="2450000"/>
    <n v="5.2267569850273681"/>
  </r>
  <r>
    <n v="0"/>
    <n v="0"/>
    <n v="5"/>
    <n v="10"/>
    <s v="F-HAT"/>
    <x v="10"/>
    <s v="JOK-동일모자-22"/>
    <s v="JOK-동일모자-22JOKBAF5513PK"/>
    <n v="5"/>
    <s v="JOK-동일모자-225"/>
    <s v="JOK-동일모자-225-JOKBAF5513PINKOSM"/>
    <s v="JOK의류외513"/>
    <s v="JOK"/>
    <s v="14FW J"/>
    <m/>
    <s v="JOK"/>
    <s v="JOIE BETE KIDS"/>
    <s v="F"/>
    <n v="5"/>
    <s v="BA"/>
    <s v="BASIC CAP"/>
    <s v="K"/>
    <n v="513"/>
    <n v="513"/>
    <s v="JOKBAF5513"/>
    <n v="0.5"/>
    <s v="14FW JOIE BETE_02_PK_KIDS"/>
    <s v="PK"/>
    <s v="PINK"/>
    <s v="JOKBAF5513PK"/>
    <x v="0"/>
    <n v="0.5"/>
    <n v="0"/>
    <n v="1"/>
    <s v="OSM"/>
    <n v="100"/>
    <x v="5"/>
    <n v="22"/>
    <x v="19"/>
    <s v="M"/>
    <s v="CN"/>
    <x v="0"/>
    <n v="55000"/>
    <x v="17"/>
    <n v="8333.3333333333321"/>
    <n v="10685.270000000002"/>
    <n v="2351.9366666666701"/>
    <n v="0"/>
    <n v="0"/>
    <n v="20"/>
    <n v="20"/>
    <n v="8.5500000000000007"/>
    <n v="0"/>
    <d v="2014-05-23T00:00:00"/>
    <d v="1899-12-30T00:00:00"/>
    <d v="2014-07-31T00:00:00"/>
    <d v="2014-08-30T00:00:00"/>
    <d v="2014-10-02T00:00:00"/>
    <d v="2014-10-28T00:00:00"/>
    <d v="1899-12-30T00:00:00"/>
    <d v="1899-12-30T00:00:00"/>
    <d v="1899-12-30T00:00:00"/>
    <x v="0"/>
    <s v="확정"/>
    <n v="100"/>
    <n v="0"/>
    <n v="0"/>
    <n v="0"/>
    <n v="0"/>
    <n v="0"/>
    <n v="100"/>
    <n v="1068527.0000000002"/>
    <n v="5500000"/>
    <n v="4.6793389404292061"/>
  </r>
  <r>
    <n v="0"/>
    <n v="0"/>
    <n v="5"/>
    <n v="10"/>
    <s v="F-HAT"/>
    <x v="10"/>
    <s v="JOK-동일모자-22"/>
    <s v="JOK-동일모자-22JOKBAF5513PK"/>
    <n v="5"/>
    <s v="JOK-동일모자-225"/>
    <s v="JOK-동일모자-225-JOKBAF5513PINKOML"/>
    <s v="JOK의류외513"/>
    <s v="JOK"/>
    <s v="14FW J"/>
    <m/>
    <s v="JOK"/>
    <s v="JOIE BETE KIDS"/>
    <s v="F"/>
    <n v="5"/>
    <s v="BA"/>
    <s v="BASIC CAP"/>
    <s v="K"/>
    <n v="513"/>
    <n v="513"/>
    <s v="JOKBAF5513"/>
    <n v="0.5"/>
    <s v="14FW JOIE BETE_02_PK_KIDS"/>
    <s v="PK"/>
    <s v="PINK"/>
    <s v="JOKBAF5513PK"/>
    <x v="0"/>
    <n v="0.5"/>
    <n v="0"/>
    <n v="1"/>
    <s v="OML"/>
    <n v="50"/>
    <x v="5"/>
    <n v="22"/>
    <x v="19"/>
    <s v="M"/>
    <s v="CN"/>
    <x v="0"/>
    <n v="55000"/>
    <x v="17"/>
    <n v="8333.3333333333321"/>
    <n v="10685.270000000002"/>
    <n v="2351.9366666666701"/>
    <n v="0"/>
    <n v="0"/>
    <n v="20"/>
    <n v="20"/>
    <n v="8.5500000000000007"/>
    <n v="0"/>
    <d v="2014-05-23T00:00:00"/>
    <d v="1899-12-30T00:00:00"/>
    <d v="2014-07-31T00:00:00"/>
    <d v="2014-08-30T00:00:00"/>
    <d v="2014-10-28T00:00:00"/>
    <d v="2014-10-28T00:00:00"/>
    <d v="1899-12-30T00:00:00"/>
    <d v="1899-12-30T00:00:00"/>
    <d v="1899-12-30T00:00:00"/>
    <x v="0"/>
    <s v="확정"/>
    <n v="45"/>
    <n v="45"/>
    <n v="0"/>
    <n v="0"/>
    <n v="0"/>
    <n v="0"/>
    <n v="50"/>
    <n v="534263.50000000012"/>
    <n v="2750000"/>
    <n v="4.6793389404292061"/>
  </r>
  <r>
    <n v="0"/>
    <n v="0"/>
    <s v=""/>
    <s v=""/>
    <s v=""/>
    <x v="1"/>
    <s v=""/>
    <s v=""/>
    <n v="0"/>
    <s v="0"/>
    <s v="0-"/>
    <n v="0"/>
    <s v="TTL"/>
    <s v=""/>
    <s v="JOK-동일모자-22 TTL"/>
    <m/>
    <s v=""/>
    <s v=""/>
    <s v=""/>
    <m/>
    <s v=""/>
    <s v="K"/>
    <m/>
    <s v=""/>
    <s v=""/>
    <n v="5"/>
    <m/>
    <s v=""/>
    <m/>
    <s v=""/>
    <x v="0"/>
    <n v="5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26"/>
    <n v="895"/>
    <n v="0"/>
    <n v="0"/>
    <n v="0"/>
    <n v="0"/>
    <n v="1910"/>
    <n v="15927782.5"/>
    <n v="94490000"/>
    <n v="5.3930922273706337"/>
  </r>
  <r>
    <n v="0"/>
    <n v="0"/>
    <n v="5"/>
    <n v="10"/>
    <s v="F-CAP"/>
    <x v="14"/>
    <s v="POK-FOREMOST-18"/>
    <s v="POK-FOREMOST-18POKEBF5503PK"/>
    <n v="1"/>
    <s v="POK-FOREMOST-181"/>
    <s v="POK-FOREMOST-181-POKEBF5503PINKFRE"/>
    <s v="POK의류외503"/>
    <s v="POK"/>
    <s v="14FW P"/>
    <m/>
    <s v="POK"/>
    <s v="ROBOCARPOLI KIDS"/>
    <s v="F"/>
    <n v="5"/>
    <s v="EB"/>
    <s v="EARFLAP BEANIE"/>
    <s v="K"/>
    <n v="503"/>
    <n v="503"/>
    <s v="POKEBF5503"/>
    <n v="1"/>
    <s v="14FW POLI-01_PK_KNIT-KIDS"/>
    <s v="PK"/>
    <s v="PINK"/>
    <s v="POKEBF5503PK"/>
    <x v="0"/>
    <n v="1"/>
    <n v="0"/>
    <n v="1"/>
    <s v="FRE"/>
    <n v="150"/>
    <x v="4"/>
    <n v="18"/>
    <x v="13"/>
    <s v="M"/>
    <s v="CN"/>
    <x v="0"/>
    <n v="55000"/>
    <x v="15"/>
    <n v="8333.3333333333321"/>
    <n v="12417.260000000004"/>
    <n v="4083.9266666666717"/>
    <n v="0"/>
    <n v="48"/>
    <n v="20"/>
    <n v="68"/>
    <n v="9.9"/>
    <n v="0"/>
    <d v="2014-05-23T00:00:00"/>
    <d v="1899-12-30T00:00:00"/>
    <d v="2014-08-28T00:00:00"/>
    <d v="2014-09-30T00:00:00"/>
    <d v="2014-10-01T00:00:00"/>
    <m/>
    <d v="1899-12-30T00:00:00"/>
    <d v="1899-12-30T00:00:00"/>
    <d v="1899-12-30T00:00:00"/>
    <x v="0"/>
    <s v="확정"/>
    <n v="150"/>
    <n v="0"/>
    <n v="0"/>
    <n v="0"/>
    <n v="0"/>
    <n v="0"/>
    <n v="150"/>
    <n v="1862589.0000000005"/>
    <n v="8250000"/>
    <n v="4.0266532230137715"/>
  </r>
  <r>
    <n v="0"/>
    <n v="0"/>
    <n v="5"/>
    <n v="10"/>
    <s v="F-CAP"/>
    <x v="14"/>
    <s v="POK-FOREMOST-18"/>
    <s v="POK-FOREMOST-18POKEBF5504BL"/>
    <n v="2"/>
    <s v="POK-FOREMOST-182"/>
    <s v="POK-FOREMOST-182-POKEBF5504BLUEFRE"/>
    <s v="POK의류외504"/>
    <s v="POK"/>
    <s v="14FW P"/>
    <m/>
    <s v="POK"/>
    <s v="ROBOCARPOLI KIDS"/>
    <s v="F"/>
    <n v="5"/>
    <s v="EB"/>
    <s v="EARFLAP BEANIE"/>
    <s v="K"/>
    <n v="504"/>
    <n v="504"/>
    <s v="POKEBF5504"/>
    <n v="1"/>
    <s v="14FW POLI-02_BL_KNIT-KIDS"/>
    <s v="BL"/>
    <s v="BLUE"/>
    <s v="POKEBF5504BL"/>
    <x v="0"/>
    <n v="1"/>
    <n v="0"/>
    <n v="1"/>
    <s v="FRE"/>
    <n v="150"/>
    <x v="4"/>
    <n v="18"/>
    <x v="13"/>
    <s v="M"/>
    <s v="CN"/>
    <x v="0"/>
    <n v="55000"/>
    <x v="15"/>
    <n v="8333.3333333333321"/>
    <n v="12417.260000000004"/>
    <n v="4083.9266666666717"/>
    <n v="0"/>
    <n v="48"/>
    <n v="20"/>
    <n v="68"/>
    <n v="9.9"/>
    <n v="0"/>
    <d v="2014-05-23T00:00:00"/>
    <d v="1899-12-30T00:00:00"/>
    <d v="2014-08-28T00:00:00"/>
    <d v="2014-09-30T00:00:00"/>
    <d v="2014-10-01T00:00:00"/>
    <m/>
    <d v="1899-12-30T00:00:00"/>
    <d v="1899-12-30T00:00:00"/>
    <d v="1899-12-30T00:00:00"/>
    <x v="0"/>
    <s v="확정"/>
    <n v="150"/>
    <n v="0"/>
    <n v="0"/>
    <n v="0"/>
    <n v="0"/>
    <n v="0"/>
    <n v="150"/>
    <n v="1862589.0000000005"/>
    <n v="8250000"/>
    <n v="4.0266532230137715"/>
  </r>
  <r>
    <n v="0"/>
    <n v="0"/>
    <s v=""/>
    <s v=""/>
    <s v=""/>
    <x v="1"/>
    <s v=""/>
    <s v=""/>
    <n v="0"/>
    <s v="0"/>
    <s v="0-"/>
    <n v="0"/>
    <s v="TTL"/>
    <s v=""/>
    <s v="POK-FOREMOST-18 TTL"/>
    <m/>
    <s v=""/>
    <s v=""/>
    <s v=""/>
    <m/>
    <s v=""/>
    <s v="K"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00"/>
    <n v="0"/>
    <n v="0"/>
    <n v="0"/>
    <n v="0"/>
    <n v="0"/>
    <n v="300"/>
    <n v="3725178.0000000009"/>
    <n v="16500000"/>
    <n v="4.0266532230137715"/>
  </r>
  <r>
    <n v="0"/>
    <n v="0"/>
    <n v="5"/>
    <n v="9"/>
    <s v="F-CAP"/>
    <x v="8"/>
    <s v="DPK-FOREMOST-19"/>
    <s v="DPK-FOREMOST-19DPKEBF5508PK"/>
    <n v="1"/>
    <s v="DPK-FOREMOST-191"/>
    <s v="DPK-FOREMOST-191-DPKEBF5508PINKFRE"/>
    <s v="DPK의류외508"/>
    <s v="DPK"/>
    <s v="14FW D"/>
    <m/>
    <s v="DPK"/>
    <s v="DISNEY PRINCESS KIDS"/>
    <s v="F"/>
    <n v="5"/>
    <s v="EB"/>
    <s v="EARFLAP BEANIE"/>
    <s v="K"/>
    <n v="508"/>
    <n v="508"/>
    <s v="DPKEBF5508"/>
    <n v="1"/>
    <s v="14FW DISNEY 04_SNAP_PK_KIDS"/>
    <s v="PK"/>
    <s v="PINK"/>
    <s v="DPKEBF5508PK"/>
    <x v="0"/>
    <n v="1"/>
    <n v="0"/>
    <n v="1"/>
    <s v="FRE"/>
    <n v="120"/>
    <x v="4"/>
    <n v="19"/>
    <x v="14"/>
    <s v="M"/>
    <s v="CN"/>
    <x v="0"/>
    <n v="49000"/>
    <x v="15"/>
    <n v="7424.242424242424"/>
    <n v="7379.6600000000008"/>
    <n v="-44.582424242423258"/>
    <n v="0"/>
    <n v="0"/>
    <n v="20"/>
    <n v="20"/>
    <n v="5.9"/>
    <n v="0"/>
    <d v="2014-05-23T00:00:00"/>
    <d v="2014-09-17T00:00:00"/>
    <d v="2014-08-28T00:00:00"/>
    <d v="2014-08-28T00:00:00"/>
    <d v="2014-09-24T00:00:00"/>
    <d v="1899-12-30T00:00:00"/>
    <d v="1899-12-30T00:00:00"/>
    <d v="1899-12-30T00:00:00"/>
    <d v="1899-12-30T00:00:00"/>
    <x v="0"/>
    <s v="확정"/>
    <n v="120"/>
    <n v="0"/>
    <n v="0"/>
    <n v="0"/>
    <n v="0"/>
    <n v="0"/>
    <n v="120"/>
    <n v="885559.20000000007"/>
    <n v="5880000"/>
    <n v="6.0362475433088436"/>
  </r>
  <r>
    <n v="0"/>
    <n v="0"/>
    <s v=""/>
    <s v=""/>
    <s v=""/>
    <x v="1"/>
    <s v=""/>
    <s v=""/>
    <n v="0"/>
    <s v="0"/>
    <s v="0-"/>
    <n v="0"/>
    <s v="TTL"/>
    <s v=""/>
    <s v="DPK-FOREMOST-19 TTL"/>
    <m/>
    <s v=""/>
    <s v=""/>
    <s v=""/>
    <m/>
    <s v=""/>
    <s v="K"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20"/>
    <n v="0"/>
    <n v="0"/>
    <n v="0"/>
    <n v="0"/>
    <n v="0"/>
    <n v="120"/>
    <n v="885559.20000000007"/>
    <n v="5880000"/>
    <n v="6.0362475433088436"/>
  </r>
  <r>
    <n v="0"/>
    <n v="0"/>
    <n v="5"/>
    <n v="11"/>
    <s v="전략"/>
    <x v="15"/>
    <s v="JOK-KIDS FIRST TOYS-02"/>
    <s v="JOK-KIDS FIRST TOYS-02JOKBPF3514BL"/>
    <n v="1"/>
    <s v="JOK-KIDS FIRST TOYS-021"/>
    <s v="JOK-KIDS FIRST TOYS-021-JOKBPF3514BLUEFRE"/>
    <s v="JOK의류외514"/>
    <s v="JOK"/>
    <s v="14FW J"/>
    <m/>
    <s v="JOK"/>
    <s v="JOIE BETE KIDS"/>
    <s v="F"/>
    <s v="3"/>
    <s v="BP"/>
    <s v="BACK PACK"/>
    <s v="K"/>
    <n v="514"/>
    <n v="514"/>
    <s v="JOKBPF3514"/>
    <n v="1"/>
    <s v="14FW JOIE BETE_29_BL_KIDS"/>
    <s v="BL"/>
    <s v="BLUE"/>
    <s v="JOKBPF3514BL"/>
    <x v="0"/>
    <n v="1"/>
    <n v="0"/>
    <n v="1"/>
    <s v="FRE"/>
    <n v="150"/>
    <x v="10"/>
    <n v="2"/>
    <x v="4"/>
    <s v="M"/>
    <s v="CN"/>
    <x v="0"/>
    <n v="45000"/>
    <x v="2"/>
    <n v="6818.1818181818171"/>
    <n v="9655.4719999999998"/>
    <n v="2837.2901818181826"/>
    <n v="0"/>
    <n v="0"/>
    <n v="20"/>
    <n v="20"/>
    <n v="7.9"/>
    <n v="0"/>
    <d v="2014-05-27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0"/>
    <s v="확정"/>
    <n v="150"/>
    <n v="0"/>
    <n v="0"/>
    <n v="0"/>
    <n v="0"/>
    <n v="0"/>
    <n v="150"/>
    <n v="1448320.8"/>
    <n v="6750000"/>
    <n v="4.2368815226320269"/>
  </r>
  <r>
    <n v="0"/>
    <n v="0"/>
    <n v="5"/>
    <n v="11"/>
    <s v="전략"/>
    <x v="15"/>
    <s v="JOK-KIDS FIRST TOYS-02"/>
    <s v="JOK-KIDS FIRST TOYS-02JOKBPF3515GY"/>
    <n v="2"/>
    <s v="JOK-KIDS FIRST TOYS-022"/>
    <s v="JOK-KIDS FIRST TOYS-022-JOKBPF3515GREYFRE"/>
    <s v="JOK의류외515"/>
    <s v="JOK"/>
    <s v="14FW J"/>
    <m/>
    <s v="JOK"/>
    <s v="JOIE BETE KIDS"/>
    <s v="F"/>
    <s v="3"/>
    <s v="BP"/>
    <s v="BACK PACK"/>
    <s v="K"/>
    <n v="515"/>
    <n v="515"/>
    <s v="JOKBPF3515"/>
    <n v="1"/>
    <s v="14FW JOIE BETE_30_GY_KIDS"/>
    <s v="GY"/>
    <s v="GREY"/>
    <s v="JOKBPF3515GY"/>
    <x v="0"/>
    <n v="1"/>
    <n v="0"/>
    <n v="1"/>
    <s v="FRE"/>
    <n v="150"/>
    <x v="10"/>
    <n v="2"/>
    <x v="4"/>
    <s v="M"/>
    <s v="CN"/>
    <x v="0"/>
    <n v="45000"/>
    <x v="2"/>
    <n v="6818.1818181818171"/>
    <n v="10753.184000000003"/>
    <n v="3935.0021818181858"/>
    <n v="0"/>
    <n v="0"/>
    <n v="20"/>
    <n v="20"/>
    <n v="8.8000000000000007"/>
    <n v="0"/>
    <d v="2014-05-27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0"/>
    <s v="확정"/>
    <n v="150"/>
    <n v="0"/>
    <n v="0"/>
    <n v="0"/>
    <n v="0"/>
    <n v="0"/>
    <n v="150"/>
    <n v="1612977.6000000003"/>
    <n v="6750000"/>
    <n v="3.8043700274347483"/>
  </r>
  <r>
    <n v="0"/>
    <n v="1"/>
    <n v="5"/>
    <n v="11"/>
    <s v="전략"/>
    <x v="15"/>
    <s v="JOK-KIDS FIRST TOYS-02"/>
    <s v="JOK-KIDS FIRST TOYS-02JOKBPF3516PK"/>
    <n v="3"/>
    <s v="JOK-KIDS FIRST TOYS-023"/>
    <s v="JOK-KIDS FIRST TOYS-023-JOKBPF3516PINKFRE"/>
    <s v="JOK의류외516"/>
    <s v="JOK"/>
    <s v="14FW J"/>
    <m/>
    <s v="JOK"/>
    <s v="JOIE BETE KIDS"/>
    <s v="F"/>
    <s v="3"/>
    <s v="BP"/>
    <s v="BACK PACK"/>
    <s v="K"/>
    <n v="516"/>
    <n v="516"/>
    <s v="JOKBPF3516"/>
    <n v="1"/>
    <s v="14FW JOIE BETE_31_PK_KIDS"/>
    <s v="PK"/>
    <s v="PINK"/>
    <s v="JOKBPF3516PK"/>
    <x v="0"/>
    <n v="1"/>
    <n v="0"/>
    <n v="1"/>
    <s v="FRE"/>
    <n v="150"/>
    <x v="10"/>
    <n v="2"/>
    <x v="4"/>
    <s v="M"/>
    <s v="CN"/>
    <x v="0"/>
    <n v="45000"/>
    <x v="2"/>
    <n v="6818.1818181818171"/>
    <n v="10583.472"/>
    <n v="3765.2901818181826"/>
    <n v="928"/>
    <n v="0"/>
    <n v="20"/>
    <n v="948"/>
    <n v="7.9"/>
    <n v="0"/>
    <d v="2014-05-27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0"/>
    <s v="확정"/>
    <n v="150"/>
    <n v="0"/>
    <n v="0"/>
    <n v="0"/>
    <n v="0"/>
    <n v="0"/>
    <n v="150"/>
    <n v="1587520.8"/>
    <n v="6750000"/>
    <n v="3.8653752671231998"/>
  </r>
  <r>
    <n v="0"/>
    <n v="1"/>
    <n v="5"/>
    <n v="11"/>
    <s v="전략"/>
    <x v="15"/>
    <s v="JOK-KIDS FIRST TOYS-02"/>
    <s v="JOK-KIDS FIRST TOYS-02JOKBPF3517IV"/>
    <n v="4"/>
    <s v="JOK-KIDS FIRST TOYS-024"/>
    <s v="JOK-KIDS FIRST TOYS-024-JOKBPF3517IVORYFRE"/>
    <s v="JOK의류외517"/>
    <s v="JOK"/>
    <s v="14FW J"/>
    <m/>
    <s v="JOK"/>
    <s v="JOIE BETE KIDS"/>
    <s v="F"/>
    <s v="3"/>
    <s v="BP"/>
    <s v="BACK PACK"/>
    <s v="K"/>
    <n v="517"/>
    <n v="517"/>
    <s v="JOKBPF3517"/>
    <n v="1"/>
    <s v="14FW JOIE BETE_32_IV_KIDS"/>
    <s v="IV"/>
    <s v="IVORY"/>
    <s v="JOKBPF3517IV"/>
    <x v="0"/>
    <n v="1"/>
    <n v="0"/>
    <n v="1"/>
    <s v="FRE"/>
    <n v="150"/>
    <x v="10"/>
    <n v="2"/>
    <x v="4"/>
    <s v="M"/>
    <s v="CN"/>
    <x v="0"/>
    <n v="49000"/>
    <x v="2"/>
    <n v="7424.242424242424"/>
    <n v="9634.7920000000013"/>
    <n v="2210.5495757575773"/>
    <n v="1199"/>
    <n v="0"/>
    <n v="20"/>
    <n v="1219"/>
    <n v="6.9"/>
    <n v="0"/>
    <d v="2014-05-27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0"/>
    <s v="확정"/>
    <n v="150"/>
    <n v="0"/>
    <n v="0"/>
    <n v="0"/>
    <n v="0"/>
    <n v="0"/>
    <n v="150"/>
    <n v="1445218.8000000003"/>
    <n v="7350000"/>
    <n v="4.6233955590794835"/>
  </r>
  <r>
    <n v="0"/>
    <n v="1"/>
    <n v="5"/>
    <n v="11"/>
    <s v="전략"/>
    <x v="13"/>
    <s v="JOK-KIDS FIRST TOYS-02"/>
    <s v="JOK-KIDS FIRST TOYS-02JOKACF3518IV"/>
    <n v="5"/>
    <s v="JOK-KIDS FIRST TOYS-025"/>
    <s v="JOK-KIDS FIRST TOYS-025-JOKACF3518IVORYFRE"/>
    <s v="JOK의류외518"/>
    <s v="JOK"/>
    <s v="14FW J"/>
    <m/>
    <s v="JOK"/>
    <s v="JOIE BETE KIDS"/>
    <s v="F"/>
    <s v="3"/>
    <s v="AC"/>
    <s v="ACC"/>
    <s v="K"/>
    <n v="518"/>
    <n v="518"/>
    <s v="JOKACF3518"/>
    <n v="1"/>
    <s v="14FW JOIE BETE_26_IV_KIDS"/>
    <s v="IV"/>
    <s v="IVORY"/>
    <s v="JOKACF3518IV"/>
    <x v="0"/>
    <n v="1"/>
    <n v="0"/>
    <n v="1"/>
    <s v="FRE"/>
    <n v="350"/>
    <x v="10"/>
    <n v="2"/>
    <x v="4"/>
    <s v="M"/>
    <s v="CN"/>
    <x v="0"/>
    <n v="25000"/>
    <x v="2"/>
    <n v="3787.8787878787875"/>
    <n v="6006.8320000000003"/>
    <n v="2218.9532121212128"/>
    <n v="149"/>
    <n v="0"/>
    <n v="20"/>
    <n v="169"/>
    <n v="4.68"/>
    <n v="0"/>
    <d v="2014-05-27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0"/>
    <s v="확정"/>
    <n v="348"/>
    <n v="0"/>
    <n v="0"/>
    <n v="0"/>
    <n v="0"/>
    <n v="0"/>
    <n v="350"/>
    <n v="2102391.2000000002"/>
    <n v="8750000"/>
    <n v="3.7835705621986304"/>
  </r>
  <r>
    <n v="0"/>
    <n v="0"/>
    <n v="5"/>
    <n v="11"/>
    <s v="전략"/>
    <x v="13"/>
    <s v="JOK-KIDS FIRST TOYS-02"/>
    <s v="JOK-KIDS FIRST TOYS-02JOKACF3519YE"/>
    <n v="6"/>
    <s v="JOK-KIDS FIRST TOYS-026"/>
    <s v="JOK-KIDS FIRST TOYS-026-JOKACF3519YELLOWFRE"/>
    <s v="JOK의류외519"/>
    <s v="JOK"/>
    <s v="14FW J"/>
    <m/>
    <s v="JOK"/>
    <s v="JOIE BETE KIDS"/>
    <s v="F"/>
    <s v="3"/>
    <s v="AC"/>
    <s v="ACC"/>
    <s v="K"/>
    <n v="519"/>
    <n v="519"/>
    <s v="JOKACF3519"/>
    <n v="1"/>
    <s v="14FW JOIE BETE_24_YL_KIDS"/>
    <s v="YE"/>
    <s v="YELLOW"/>
    <s v="JOKACF3519YE"/>
    <x v="0"/>
    <n v="1"/>
    <n v="0"/>
    <n v="1"/>
    <s v="FRE"/>
    <n v="350"/>
    <x v="10"/>
    <n v="2"/>
    <x v="4"/>
    <s v="M"/>
    <s v="CN"/>
    <x v="0"/>
    <n v="25000"/>
    <x v="2"/>
    <n v="3787.8787878787875"/>
    <n v="5633.3000000000011"/>
    <n v="1845.4212121212136"/>
    <n v="0"/>
    <n v="0"/>
    <n v="20"/>
    <n v="20"/>
    <n v="4.5"/>
    <n v="0"/>
    <d v="2014-05-27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0"/>
    <s v="확정"/>
    <n v="350"/>
    <n v="0"/>
    <n v="0"/>
    <n v="0"/>
    <n v="0"/>
    <n v="0"/>
    <n v="350"/>
    <n v="1971655.0000000005"/>
    <n v="8750000"/>
    <n v="4.0344509838412161"/>
  </r>
  <r>
    <n v="0"/>
    <n v="0"/>
    <n v="5"/>
    <n v="11"/>
    <s v="전략"/>
    <x v="13"/>
    <s v="JOK-KIDS FIRST TOYS-02"/>
    <s v="JOK-KIDS FIRST TOYS-02JOKACF3520PK"/>
    <n v="7"/>
    <s v="JOK-KIDS FIRST TOYS-027"/>
    <s v="JOK-KIDS FIRST TOYS-027-JOKACF3520PINKFRE"/>
    <s v="JOK의류외520"/>
    <s v="JOK"/>
    <s v="14FW J"/>
    <m/>
    <s v="JOK"/>
    <s v="JOIE BETE KIDS"/>
    <s v="F"/>
    <s v="3"/>
    <s v="AC"/>
    <s v="ACC"/>
    <s v="K"/>
    <n v="520"/>
    <n v="520"/>
    <s v="JOKACF3520"/>
    <n v="1"/>
    <s v="14FW JOIE BETE_23_PK_KIDS"/>
    <s v="PK"/>
    <s v="PINK"/>
    <s v="JOKACF3520PK"/>
    <x v="0"/>
    <n v="1"/>
    <n v="0"/>
    <n v="1"/>
    <s v="FRE"/>
    <n v="400"/>
    <x v="10"/>
    <n v="2"/>
    <x v="4"/>
    <s v="M"/>
    <s v="CN"/>
    <x v="0"/>
    <n v="23000"/>
    <x v="2"/>
    <n v="3484.8484848484845"/>
    <n v="4261.16"/>
    <n v="776.31151515151532"/>
    <n v="0"/>
    <n v="0"/>
    <n v="20"/>
    <n v="20"/>
    <n v="3.4"/>
    <n v="0"/>
    <d v="2014-05-27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0"/>
    <s v="확정"/>
    <n v="399"/>
    <n v="0"/>
    <n v="0"/>
    <n v="0"/>
    <n v="0"/>
    <n v="0"/>
    <n v="400"/>
    <n v="1704464"/>
    <n v="9200000"/>
    <n v="4.9069011511163412"/>
  </r>
  <r>
    <n v="0"/>
    <n v="0"/>
    <n v="5"/>
    <n v="11"/>
    <s v="전략"/>
    <x v="13"/>
    <s v="JOK-KIDS FIRST TOYS-02"/>
    <s v="JOK-KIDS FIRST TOYS-02JOKACF3521GR"/>
    <n v="8"/>
    <s v="JOK-KIDS FIRST TOYS-028"/>
    <s v="JOK-KIDS FIRST TOYS-028-JOKACF3521GREENFRE"/>
    <s v="JOK의류외521"/>
    <s v="JOK"/>
    <s v="14FW J"/>
    <m/>
    <s v="JOK"/>
    <s v="JOIE BETE KIDS"/>
    <s v="F"/>
    <s v="3"/>
    <s v="AC"/>
    <s v="ACC"/>
    <s v="K"/>
    <n v="521"/>
    <n v="521"/>
    <s v="JOKACF3521"/>
    <n v="1"/>
    <s v="14FW JOIE BETE_25_GR_KIDS"/>
    <s v="GR"/>
    <s v="GREEN"/>
    <s v="JOKACF3521GR"/>
    <x v="0"/>
    <n v="1"/>
    <n v="0"/>
    <n v="1"/>
    <s v="FRE"/>
    <n v="400"/>
    <x v="10"/>
    <n v="2"/>
    <x v="4"/>
    <s v="M"/>
    <s v="CN"/>
    <x v="0"/>
    <n v="23000"/>
    <x v="2"/>
    <n v="3484.8484848484845"/>
    <n v="5009.6000000000004"/>
    <n v="1524.7515151515158"/>
    <n v="0"/>
    <n v="0"/>
    <n v="20"/>
    <n v="20"/>
    <n v="4"/>
    <n v="0"/>
    <d v="2014-05-27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0"/>
    <s v="확정"/>
    <n v="396"/>
    <n v="0"/>
    <n v="0"/>
    <n v="0"/>
    <n v="0"/>
    <n v="0"/>
    <n v="400"/>
    <n v="2003840.0000000002"/>
    <n v="9200000"/>
    <n v="4.1738044772219149"/>
  </r>
  <r>
    <n v="0"/>
    <n v="0"/>
    <n v="5"/>
    <n v="11"/>
    <s v="전략"/>
    <x v="13"/>
    <s v="JOK-KIDS FIRST TOYS-02"/>
    <s v="JOK-KIDS FIRST TOYS-02JOKACF3522GY"/>
    <n v="9"/>
    <s v="JOK-KIDS FIRST TOYS-029"/>
    <s v="JOK-KIDS FIRST TOYS-029-JOKACF3522GREYFRE"/>
    <s v="JOK의류외522"/>
    <s v="JOK"/>
    <s v="14FW J"/>
    <m/>
    <s v="JOK"/>
    <s v="JOIE BETE KIDS"/>
    <s v="F"/>
    <s v="3"/>
    <s v="AC"/>
    <s v="ACC"/>
    <s v="K"/>
    <n v="522"/>
    <n v="522"/>
    <s v="JOKACF3522"/>
    <n v="1"/>
    <s v="14FW JOIE BETE_27_GY_KIDS"/>
    <s v="GY"/>
    <s v="GREY"/>
    <s v="JOKACF3522GY"/>
    <x v="0"/>
    <n v="1"/>
    <n v="0"/>
    <n v="1"/>
    <s v="FRE"/>
    <n v="400"/>
    <x v="10"/>
    <n v="2"/>
    <x v="4"/>
    <s v="M"/>
    <s v="CN"/>
    <x v="0"/>
    <n v="23000"/>
    <x v="2"/>
    <n v="3484.8484848484845"/>
    <n v="4884.8599999999997"/>
    <n v="1400.0115151515151"/>
    <n v="0"/>
    <n v="0"/>
    <n v="20"/>
    <n v="20"/>
    <n v="3.9"/>
    <n v="0"/>
    <d v="2014-05-27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0"/>
    <s v="확정"/>
    <n v="400"/>
    <n v="0"/>
    <n v="0"/>
    <n v="0"/>
    <n v="0"/>
    <n v="0"/>
    <n v="400"/>
    <n v="1953943.9999999998"/>
    <n v="9200000"/>
    <n v="4.2803869320903587"/>
  </r>
  <r>
    <n v="0"/>
    <n v="0"/>
    <s v=""/>
    <s v=""/>
    <s v=""/>
    <x v="1"/>
    <s v=""/>
    <s v=""/>
    <n v="0"/>
    <s v="0"/>
    <s v="0-"/>
    <n v="0"/>
    <s v="TTL"/>
    <s v=""/>
    <s v="JOK-KIDS FIRST TOYS-02 TTL"/>
    <m/>
    <s v=""/>
    <s v=""/>
    <s v=""/>
    <m/>
    <s v=""/>
    <s v="K"/>
    <m/>
    <s v=""/>
    <s v=""/>
    <n v="9"/>
    <m/>
    <s v=""/>
    <m/>
    <s v=""/>
    <x v="0"/>
    <n v="9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493"/>
    <n v="0"/>
    <n v="0"/>
    <n v="0"/>
    <n v="0"/>
    <n v="0"/>
    <n v="2500"/>
    <n v="15830332.200000001"/>
    <n v="72700000"/>
    <n v="4.174954022184644"/>
  </r>
  <r>
    <n v="0"/>
    <n v="0.5"/>
    <n v="5"/>
    <n v="10"/>
    <s v="F-HAT"/>
    <x v="10"/>
    <s v="JOK-FOREMOST-20"/>
    <s v="JOK-FOREMOST-20JOKEBF5523IV"/>
    <n v="1"/>
    <s v="JOK-FOREMOST-201"/>
    <s v="JOK-FOREMOST-201-JOKEBF5523IVORYFRE"/>
    <s v="JOK의류외523"/>
    <s v="JOK"/>
    <s v="14FW J"/>
    <m/>
    <s v="JOK"/>
    <s v="JOIE BETE KIDS"/>
    <s v="F"/>
    <n v="5"/>
    <s v="EB"/>
    <s v="EARFLAP BEANIE"/>
    <s v="K"/>
    <n v="523"/>
    <n v="523"/>
    <s v="JOKEBF5523"/>
    <n v="0.5"/>
    <s v="14FW JOIEBETE_KNIT_04_IV"/>
    <s v="IV"/>
    <s v="IVORY"/>
    <s v="JOKEBF5523IV"/>
    <x v="0"/>
    <n v="1"/>
    <n v="0"/>
    <n v="1"/>
    <s v="FRE"/>
    <n v="180"/>
    <x v="4"/>
    <n v="20"/>
    <x v="22"/>
    <s v="M"/>
    <s v="CN"/>
    <x v="0"/>
    <n v="49000"/>
    <x v="15"/>
    <n v="7424.242424242424"/>
    <n v="8648.4000000000015"/>
    <n v="1224.1575757575774"/>
    <n v="1144"/>
    <n v="0"/>
    <n v="20"/>
    <n v="1164"/>
    <n v="6"/>
    <n v="0"/>
    <d v="2014-05-27T00:00:00"/>
    <d v="2014-09-17T00:00:00"/>
    <d v="2014-08-28T00:00:00"/>
    <d v="2014-09-12T00:00:00"/>
    <d v="2014-10-01T00:00:00"/>
    <d v="1899-12-30T00:00:00"/>
    <d v="1899-12-30T00:00:00"/>
    <d v="1899-12-30T00:00:00"/>
    <d v="1899-12-30T00:00:00"/>
    <x v="0"/>
    <s v="확정"/>
    <n v="179"/>
    <n v="0"/>
    <n v="0"/>
    <n v="0"/>
    <n v="0"/>
    <n v="0"/>
    <n v="180"/>
    <n v="1556712.0000000002"/>
    <n v="8820000"/>
    <n v="5.1507162649107965"/>
  </r>
  <r>
    <n v="0"/>
    <n v="0.5"/>
    <n v="5"/>
    <n v="10"/>
    <s v="F-HAT"/>
    <x v="10"/>
    <s v="JOK-FOREMOST-20"/>
    <s v="JOK-FOREMOST-20JOKEBF5523BL"/>
    <n v="2"/>
    <s v="JOK-FOREMOST-202"/>
    <s v="JOK-FOREMOST-202-JOKEBF5523BLUEFRE"/>
    <s v="JOK의류외523"/>
    <s v="JOK"/>
    <s v="14FW J"/>
    <m/>
    <s v="JOK"/>
    <s v="JOIE BETE KIDS"/>
    <s v="F"/>
    <n v="5"/>
    <s v="EB"/>
    <s v="EARFLAP BEANIE"/>
    <s v="K"/>
    <n v="523"/>
    <n v="523"/>
    <s v="JOKEBF5523"/>
    <n v="0.5"/>
    <s v="14FW JOIEBETE_KNIT_04_BL"/>
    <s v="BL"/>
    <s v="BLUE"/>
    <s v="JOKEBF5523BL"/>
    <x v="0"/>
    <n v="1"/>
    <n v="0"/>
    <n v="1"/>
    <s v="FRE"/>
    <n v="180"/>
    <x v="4"/>
    <n v="20"/>
    <x v="22"/>
    <s v="M"/>
    <s v="CN"/>
    <x v="0"/>
    <n v="49000"/>
    <x v="15"/>
    <n v="7424.242424242424"/>
    <n v="9018.4000000000015"/>
    <n v="1594.1575757575774"/>
    <n v="1514"/>
    <n v="0"/>
    <n v="20"/>
    <n v="1534"/>
    <n v="6"/>
    <n v="0"/>
    <d v="2014-05-27T00:00:00"/>
    <d v="2014-09-17T00:00:00"/>
    <d v="2014-08-28T00:00:00"/>
    <d v="2014-09-12T00:00:00"/>
    <d v="2014-10-01T00:00:00"/>
    <d v="1899-12-30T00:00:00"/>
    <d v="1899-12-30T00:00:00"/>
    <d v="1899-12-30T00:00:00"/>
    <d v="1899-12-30T00:00:00"/>
    <x v="0"/>
    <s v="확정"/>
    <n v="180"/>
    <n v="0"/>
    <n v="0"/>
    <n v="0"/>
    <n v="0"/>
    <n v="0"/>
    <n v="180"/>
    <n v="1623312.0000000002"/>
    <n v="8820000"/>
    <n v="4.9393966275009467"/>
  </r>
  <r>
    <n v="0"/>
    <n v="0"/>
    <s v=""/>
    <s v=""/>
    <s v=""/>
    <x v="1"/>
    <s v=""/>
    <s v=""/>
    <n v="0"/>
    <s v="0"/>
    <s v="0-"/>
    <n v="0"/>
    <s v="TTL"/>
    <s v=""/>
    <s v="JOK-FOREMOST-20 TTL"/>
    <m/>
    <s v=""/>
    <s v=""/>
    <s v=""/>
    <m/>
    <s v=""/>
    <s v="K"/>
    <m/>
    <s v=""/>
    <s v=""/>
    <n v="1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59"/>
    <n v="0"/>
    <n v="0"/>
    <n v="0"/>
    <n v="0"/>
    <n v="0"/>
    <n v="360"/>
    <n v="3180024.0000000005"/>
    <n v="17640000"/>
    <n v="5.0428435874583437"/>
  </r>
  <r>
    <n v="0"/>
    <n v="0"/>
    <n v="6"/>
    <n v="8"/>
    <s v="전략"/>
    <x v="16"/>
    <s v="DPK-바이칼-02"/>
    <s v="DPK-바이칼-02DPKBPF3501PK"/>
    <n v="1"/>
    <s v="DPK-바이칼-021"/>
    <s v="DPK-바이칼-021-DPKBPF3501PINKOMM"/>
    <s v="DPK의류외501"/>
    <s v="DPK"/>
    <s v="14FW D"/>
    <m/>
    <s v="DPK"/>
    <s v="DISNEY PRINCESS KIDS"/>
    <s v="F"/>
    <s v="3"/>
    <s v="BP"/>
    <s v="BACK PACK"/>
    <s v="K"/>
    <n v="501"/>
    <n v="501"/>
    <s v="DPKBPF3501"/>
    <n v="1"/>
    <s v="14FW DISNEY_BP_07_PK_KIDS"/>
    <s v="PK"/>
    <s v="PINK"/>
    <s v="DPKBPF3501PK"/>
    <x v="0"/>
    <n v="1"/>
    <n v="0"/>
    <n v="1"/>
    <s v="OMM"/>
    <n v="100"/>
    <x v="11"/>
    <n v="2"/>
    <x v="4"/>
    <s v="M"/>
    <s v="CN"/>
    <x v="0"/>
    <n v="129000"/>
    <x v="15"/>
    <n v="29318.181818181816"/>
    <n v="34000"/>
    <n v="4681.8181818181838"/>
    <n v="0"/>
    <n v="0"/>
    <s v=" "/>
    <n v="0"/>
    <n v="0"/>
    <n v="34000"/>
    <d v="2014-06-16T00:00:00"/>
    <d v="1899-12-30T00:00:00"/>
    <d v="2014-07-28T00:00:00"/>
    <d v="2014-08-30T00:00:00"/>
    <d v="2014-08-28T00:00:00"/>
    <d v="1899-12-30T00:00:00"/>
    <d v="1899-12-30T00:00:00"/>
    <d v="1899-12-30T00:00:00"/>
    <d v="1899-12-30T00:00:00"/>
    <x v="0"/>
    <s v="확정"/>
    <n v="100"/>
    <n v="0"/>
    <n v="0"/>
    <n v="0"/>
    <n v="0"/>
    <n v="0"/>
    <n v="100"/>
    <n v="3400000"/>
    <n v="12900000"/>
    <n v="3.4491978609625664"/>
  </r>
  <r>
    <n v="0"/>
    <n v="0"/>
    <n v="6"/>
    <n v="8"/>
    <s v="전략"/>
    <x v="16"/>
    <s v="DPK-바이칼-02"/>
    <s v="DPK-바이칼-02DPKBPF3502PK"/>
    <n v="2"/>
    <s v="DPK-바이칼-022"/>
    <s v="DPK-바이칼-022-DPKBPF3502PINKOMM"/>
    <s v="DPK의류외502"/>
    <s v="DPK"/>
    <s v="14FW D"/>
    <m/>
    <s v="DPK"/>
    <s v="DISNEY PRINCESS KIDS"/>
    <s v="F"/>
    <s v="3"/>
    <s v="BP"/>
    <s v="BACK PACK"/>
    <s v="K"/>
    <n v="502"/>
    <n v="502"/>
    <s v="DPKBPF3502"/>
    <n v="1"/>
    <s v="14FW DISNEY_BP_08_PK_KIDS"/>
    <s v="PK"/>
    <s v="PINK"/>
    <s v="DPKBPF3502PK"/>
    <x v="0"/>
    <n v="1"/>
    <n v="0"/>
    <n v="1"/>
    <s v="OMM"/>
    <n v="100"/>
    <x v="11"/>
    <n v="2"/>
    <x v="4"/>
    <s v="M"/>
    <s v="CN"/>
    <x v="0"/>
    <n v="129000"/>
    <x v="15"/>
    <n v="29318.181818181816"/>
    <n v="34520"/>
    <n v="5201.8181818181838"/>
    <n v="0"/>
    <n v="0"/>
    <n v="20"/>
    <n v="20"/>
    <n v="0"/>
    <n v="34500"/>
    <d v="2014-06-16T00:00:00"/>
    <d v="1899-12-30T00:00:00"/>
    <d v="2014-07-28T00:00:00"/>
    <d v="2014-08-30T00:00:00"/>
    <d v="2014-08-28T00:00:00"/>
    <d v="1899-12-30T00:00:00"/>
    <d v="1899-12-30T00:00:00"/>
    <d v="1899-12-30T00:00:00"/>
    <d v="1899-12-30T00:00:00"/>
    <x v="0"/>
    <s v="확정"/>
    <n v="100"/>
    <n v="0"/>
    <n v="0"/>
    <n v="0"/>
    <n v="0"/>
    <n v="0"/>
    <n v="100"/>
    <n v="3452000"/>
    <n v="12900000"/>
    <n v="3.3972400716317281"/>
  </r>
  <r>
    <n v="0"/>
    <n v="0"/>
    <n v="6"/>
    <n v="8"/>
    <s v="전략"/>
    <x v="16"/>
    <s v="DPK-바이칼-02"/>
    <s v="DPK-바이칼-02DPKBPF3503NY"/>
    <n v="3"/>
    <s v="DPK-바이칼-023"/>
    <s v="DPK-바이칼-023-DPKBPF3503NAVYOMM"/>
    <s v="DPK의류외503"/>
    <s v="DPK"/>
    <s v="14FW D"/>
    <m/>
    <s v="DPK"/>
    <s v="DISNEY PRINCESS KIDS"/>
    <s v="F"/>
    <s v="3"/>
    <s v="BP"/>
    <s v="BACK PACK"/>
    <s v="K"/>
    <n v="503"/>
    <n v="503"/>
    <s v="DPKBPF3503"/>
    <n v="1"/>
    <s v="14FW DISNEY_BP_09_NV_KIDS"/>
    <s v="NY"/>
    <s v="NAVY"/>
    <s v="DPKBPF3503NY"/>
    <x v="0"/>
    <n v="1"/>
    <n v="0"/>
    <n v="1"/>
    <s v="OMM"/>
    <n v="100"/>
    <x v="11"/>
    <n v="2"/>
    <x v="4"/>
    <s v="M"/>
    <s v="CN"/>
    <x v="0"/>
    <n v="129000"/>
    <x v="15"/>
    <n v="29318.181818181816"/>
    <n v="34020"/>
    <n v="4701.8181818181838"/>
    <n v="0"/>
    <n v="0"/>
    <n v="20"/>
    <n v="20"/>
    <n v="0"/>
    <n v="34000"/>
    <d v="2014-06-16T00:00:00"/>
    <d v="1899-12-30T00:00:00"/>
    <d v="2014-07-28T00:00:00"/>
    <d v="2014-08-30T00:00:00"/>
    <d v="2014-08-28T00:00:00"/>
    <d v="1899-12-30T00:00:00"/>
    <d v="1899-12-30T00:00:00"/>
    <d v="1899-12-30T00:00:00"/>
    <d v="1899-12-30T00:00:00"/>
    <x v="0"/>
    <s v="확정"/>
    <n v="100"/>
    <n v="0"/>
    <n v="0"/>
    <n v="0"/>
    <n v="0"/>
    <n v="0"/>
    <n v="100"/>
    <n v="3402000"/>
    <n v="12900000"/>
    <n v="3.4471701138367803"/>
  </r>
  <r>
    <n v="0"/>
    <n v="0"/>
    <s v=""/>
    <s v=""/>
    <s v=""/>
    <x v="1"/>
    <s v=""/>
    <s v=""/>
    <n v="0"/>
    <s v="0"/>
    <s v="0-"/>
    <n v="0"/>
    <s v="TTL"/>
    <s v=""/>
    <s v="DPK-바이칼-02 TTL"/>
    <m/>
    <s v=""/>
    <s v=""/>
    <s v=""/>
    <m/>
    <s v=""/>
    <s v="K"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00"/>
    <n v="0"/>
    <n v="0"/>
    <n v="0"/>
    <n v="0"/>
    <n v="0"/>
    <n v="300"/>
    <n v="10254000"/>
    <n v="38700000"/>
    <n v="3.4310335656151922"/>
  </r>
  <r>
    <n v="0"/>
    <n v="0"/>
    <n v="7"/>
    <n v="11"/>
    <s v="F-HAT"/>
    <x v="10"/>
    <s v="JOK-PRANCE-01"/>
    <s v="JOK-PRANCE-01JOKBEF5524YE"/>
    <n v="1"/>
    <s v="JOK-PRANCE-011"/>
    <s v="JOK-PRANCE-011-JOKBEF5524YELLOWFRE"/>
    <s v="JOK의류외524"/>
    <s v="JOK"/>
    <s v="14FW J"/>
    <m/>
    <s v="JOK"/>
    <s v="JOIE BETE KIDS"/>
    <s v="F"/>
    <n v="5"/>
    <s v="BE"/>
    <s v="BEANIE"/>
    <s v="K"/>
    <n v="524"/>
    <n v="524"/>
    <s v="JOKBEF5524"/>
    <n v="1"/>
    <s v="14FW JOIEBETE_KNIT_01_YL"/>
    <s v="YE"/>
    <s v="YELLOW"/>
    <s v="JOKBEF5524YE"/>
    <x v="0"/>
    <n v="1"/>
    <n v="0"/>
    <n v="1"/>
    <s v="FRE"/>
    <n v="180"/>
    <x v="12"/>
    <n v="1"/>
    <x v="0"/>
    <s v="M"/>
    <s v="CN"/>
    <x v="0"/>
    <n v="39000"/>
    <x v="18"/>
    <n v="5909.0909090909081"/>
    <n v="5508.5600000000013"/>
    <n v="-400.53090909090679"/>
    <n v="0"/>
    <n v="0"/>
    <n v="20"/>
    <n v="20"/>
    <n v="4.4000000000000004"/>
    <n v="0"/>
    <d v="2014-07-17T00:00:00"/>
    <d v="1899-12-30T00:00:00"/>
    <d v="2014-10-30T00:00:00"/>
    <d v="2014-10-30T00:00:00"/>
    <d v="2014-11-18T00:00:00"/>
    <d v="1899-12-30T00:00:00"/>
    <d v="1899-12-30T00:00:00"/>
    <d v="1899-12-30T00:00:00"/>
    <d v="1899-12-30T00:00:00"/>
    <x v="0"/>
    <s v="확정"/>
    <n v="180"/>
    <n v="0"/>
    <n v="0"/>
    <n v="0"/>
    <n v="0"/>
    <n v="0"/>
    <n v="180"/>
    <n v="991540.80000000028"/>
    <n v="7020000"/>
    <n v="6.4362638247646284"/>
  </r>
  <r>
    <n v="0"/>
    <n v="1"/>
    <n v="7"/>
    <n v="11"/>
    <s v="F-HAT"/>
    <x v="10"/>
    <s v="JOK-PRANCE-01"/>
    <s v="JOK-PRANCE-01JOKBEF5525MT"/>
    <n v="2"/>
    <s v="JOK-PRANCE-012"/>
    <s v="JOK-PRANCE-012-JOKBEF5525MINTFRE"/>
    <s v="JOK의류외525"/>
    <s v="JOK"/>
    <s v="14FW J"/>
    <m/>
    <s v="JOK"/>
    <s v="JOIE BETE KIDS"/>
    <s v="F"/>
    <n v="5"/>
    <s v="BE"/>
    <s v="BEANIE"/>
    <s v="K"/>
    <n v="525"/>
    <n v="525"/>
    <s v="JOKBEF5525"/>
    <n v="1"/>
    <s v="14FW JOIEBETE_KNIT_02_MT"/>
    <s v="MT"/>
    <s v="MINT"/>
    <s v="JOKBEF5525MT"/>
    <x v="0"/>
    <n v="1"/>
    <n v="0"/>
    <n v="1"/>
    <s v="FRE"/>
    <n v="180"/>
    <x v="12"/>
    <n v="1"/>
    <x v="0"/>
    <s v="M"/>
    <s v="CN"/>
    <x v="0"/>
    <n v="39000"/>
    <x v="18"/>
    <n v="5909.0909090909081"/>
    <n v="5979.7800000000007"/>
    <n v="70.689090909092556"/>
    <n v="97"/>
    <n v="0"/>
    <n v="20"/>
    <n v="117"/>
    <n v="4.7"/>
    <n v="0"/>
    <d v="2014-07-17T00:00:00"/>
    <d v="1899-12-30T00:00:00"/>
    <d v="2014-10-30T00:00:00"/>
    <d v="2014-10-30T00:00:00"/>
    <d v="2014-11-18T00:00:00"/>
    <d v="1899-12-30T00:00:00"/>
    <d v="1899-12-30T00:00:00"/>
    <d v="1899-12-30T00:00:00"/>
    <d v="1899-12-30T00:00:00"/>
    <x v="0"/>
    <s v="확정"/>
    <n v="180"/>
    <n v="0"/>
    <n v="0"/>
    <n v="0"/>
    <n v="0"/>
    <n v="0"/>
    <n v="180"/>
    <n v="1076360.4000000001"/>
    <n v="7020000"/>
    <n v="5.9290718813309935"/>
  </r>
  <r>
    <n v="0"/>
    <n v="0"/>
    <s v=""/>
    <s v=""/>
    <s v=""/>
    <x v="1"/>
    <s v=""/>
    <s v=""/>
    <n v="0"/>
    <s v="0"/>
    <s v="0-"/>
    <n v="0"/>
    <s v="TTL"/>
    <s v=""/>
    <s v="JOK-PRANCE-01 TTL"/>
    <m/>
    <s v=""/>
    <s v=""/>
    <s v=""/>
    <m/>
    <s v=""/>
    <s v="K"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60"/>
    <n v="0"/>
    <n v="0"/>
    <n v="0"/>
    <n v="0"/>
    <n v="0"/>
    <n v="360"/>
    <n v="2067901.2000000004"/>
    <n v="14040000"/>
    <n v="6.172266046190388"/>
  </r>
  <r>
    <n v="0"/>
    <n v="0"/>
    <n v="8"/>
    <n v="10"/>
    <s v="F-CAP"/>
    <x v="8"/>
    <s v="DPK-QF-12"/>
    <s v="DPK-QF-12DPKSNF3504MT"/>
    <n v="1"/>
    <s v="DPK-QF-121"/>
    <s v="DPK-QF-121-DPKSNF3504MINTOSM"/>
    <s v="DPK의류외504"/>
    <s v="DPK"/>
    <s v="14SS F"/>
    <m/>
    <s v="DPK"/>
    <s v="DISNEY PRINCESS KIDS"/>
    <s v="F"/>
    <s v="3"/>
    <s v="SN"/>
    <s v="SNAPBACK"/>
    <s v="K"/>
    <n v="504"/>
    <n v="504"/>
    <s v="DPKSNF3504"/>
    <n v="0.5"/>
    <s v="14SS FROZEN SNAP_05_MT_KIDS"/>
    <s v="MT"/>
    <s v="MINT"/>
    <s v="DPKSNF3504MT"/>
    <x v="0"/>
    <n v="0.5"/>
    <n v="0"/>
    <n v="1"/>
    <s v="OSM"/>
    <n v="40"/>
    <x v="2"/>
    <n v="12"/>
    <x v="11"/>
    <s v="M"/>
    <s v="CN"/>
    <x v="0"/>
    <n v="43000"/>
    <x v="19"/>
    <n v="4343.4343434343427"/>
    <n v="4736.42"/>
    <n v="392.98565656565734"/>
    <n v="0"/>
    <n v="600"/>
    <n v="20"/>
    <n v="620"/>
    <n v="3.3"/>
    <n v="0"/>
    <d v="2014-08-05T00:00:00"/>
    <d v="1899-12-30T00:00:00"/>
    <d v="2014-09-15T00:00:00"/>
    <d v="2014-09-29T00:00:00"/>
    <d v="2014-10-31T00:00:00"/>
    <d v="1899-12-30T00:00:00"/>
    <d v="1899-12-30T00:00:00"/>
    <d v="1899-12-30T00:00:00"/>
    <d v="1899-12-30T00:00:00"/>
    <x v="0"/>
    <s v="확정"/>
    <n v="40"/>
    <n v="0"/>
    <n v="0"/>
    <n v="0"/>
    <n v="0"/>
    <n v="0"/>
    <n v="40"/>
    <n v="189456.8"/>
    <n v="1720000"/>
    <n v="8.253260709757388"/>
  </r>
  <r>
    <n v="0"/>
    <n v="0"/>
    <n v="8"/>
    <n v="10"/>
    <s v="F-CAP"/>
    <x v="8"/>
    <s v="DPK-QF-12"/>
    <s v="DPK-QF-12DPKSNF3504MT"/>
    <n v="1"/>
    <s v="DPK-QF-121"/>
    <s v="DPK-QF-121-DPKSNF3504MINTOML"/>
    <s v="DPK의류외504"/>
    <s v="DPK"/>
    <s v="14SS F"/>
    <m/>
    <s v="DPK"/>
    <s v="DISNEY PRINCESS KIDS"/>
    <s v="F"/>
    <s v="3"/>
    <s v="SN"/>
    <s v="SNAPBACK"/>
    <s v="K"/>
    <n v="504"/>
    <n v="504"/>
    <s v="DPKSNF3504"/>
    <n v="0.5"/>
    <s v="14SS FROZEN SNAP_05_MT_KIDS"/>
    <s v="MT"/>
    <s v="MINT"/>
    <s v="DPKSNF3504MT"/>
    <x v="0"/>
    <n v="0.5"/>
    <n v="0"/>
    <n v="1"/>
    <s v="OML"/>
    <n v="80"/>
    <x v="2"/>
    <n v="12"/>
    <x v="11"/>
    <s v="M"/>
    <s v="CN"/>
    <x v="0"/>
    <n v="43000"/>
    <x v="19"/>
    <n v="4343.4343434343427"/>
    <n v="4736.42"/>
    <n v="392.98565656565734"/>
    <n v="0"/>
    <n v="600"/>
    <n v="20"/>
    <n v="620"/>
    <n v="3.3"/>
    <n v="0"/>
    <d v="2014-08-05T00:00:00"/>
    <d v="1899-12-30T00:00:00"/>
    <d v="2014-09-15T00:00:00"/>
    <d v="2014-09-29T00:00:00"/>
    <d v="2014-10-31T00:00:00"/>
    <d v="1899-12-30T00:00:00"/>
    <d v="1899-12-30T00:00:00"/>
    <d v="1899-12-30T00:00:00"/>
    <d v="1899-12-30T00:00:00"/>
    <x v="0"/>
    <s v="확정"/>
    <n v="80"/>
    <n v="0"/>
    <n v="0"/>
    <n v="0"/>
    <n v="0"/>
    <n v="0"/>
    <n v="80"/>
    <n v="378913.6"/>
    <n v="3440000"/>
    <n v="8.253260709757388"/>
  </r>
  <r>
    <n v="0"/>
    <n v="0"/>
    <s v=""/>
    <s v=""/>
    <s v=""/>
    <x v="1"/>
    <s v=""/>
    <s v=""/>
    <n v="0"/>
    <s v="0"/>
    <s v="0-"/>
    <n v="0"/>
    <s v="TTL"/>
    <s v=""/>
    <s v="DPK-QF-12 TTL"/>
    <m/>
    <s v=""/>
    <s v=""/>
    <s v=""/>
    <m/>
    <s v=""/>
    <s v="K"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20"/>
    <n v="0"/>
    <n v="0"/>
    <n v="0"/>
    <n v="0"/>
    <n v="0"/>
    <n v="120"/>
    <n v="568370.39999999991"/>
    <n v="5160000"/>
    <n v="8.2532607097573898"/>
  </r>
  <r>
    <n v="0"/>
    <n v="0.5"/>
    <n v="8"/>
    <n v="11"/>
    <s v="F-CAP"/>
    <x v="8"/>
    <s v="DPK-QF-11"/>
    <s v="DPK-QF-11DPKERF5509PK"/>
    <n v="1"/>
    <s v="DPK-QF-111"/>
    <s v="DPK-QF-111-DPKERF5509PINKOSM"/>
    <s v="DPK의류외509"/>
    <s v="DPK"/>
    <s v="14FW F"/>
    <m/>
    <s v="DPK"/>
    <s v="DISNEY PRINCESS KIDS"/>
    <s v="F"/>
    <n v="5"/>
    <s v="ER"/>
    <s v="EARCAP"/>
    <s v="K"/>
    <n v="509"/>
    <n v="509"/>
    <s v="DPKERF5509"/>
    <n v="0.5"/>
    <s v="14FW FROZEN SNAP_03_PK_KIDS"/>
    <s v="PK"/>
    <s v="PINK"/>
    <s v="DPKERF5509PK"/>
    <x v="0"/>
    <n v="0.5"/>
    <n v="0"/>
    <n v="1"/>
    <s v="OSM"/>
    <n v="100"/>
    <x v="2"/>
    <n v="11"/>
    <x v="23"/>
    <s v="M"/>
    <s v="CN"/>
    <x v="0"/>
    <n v="49000"/>
    <x v="20"/>
    <n v="4949.4949494949497"/>
    <n v="5694.86"/>
    <n v="745.36505050505002"/>
    <n v="810"/>
    <n v="0"/>
    <n v="20"/>
    <n v="830"/>
    <n v="3.9"/>
    <n v="0"/>
    <d v="2014-08-07T00:00:00"/>
    <d v="1899-12-30T00:00:00"/>
    <d v="2014-10-16T00:00:00"/>
    <d v="1899-12-30T00:00:00"/>
    <d v="2014-11-13T00:00:00"/>
    <d v="1899-12-30T00:00:00"/>
    <d v="1899-12-30T00:00:00"/>
    <d v="1899-12-30T00:00:00"/>
    <d v="1899-12-30T00:00:00"/>
    <x v="0"/>
    <s v="확정"/>
    <n v="100"/>
    <n v="0"/>
    <n v="0"/>
    <n v="0"/>
    <n v="0"/>
    <n v="0"/>
    <n v="100"/>
    <n v="569486"/>
    <n v="4900000"/>
    <n v="7.8220455894358318"/>
  </r>
  <r>
    <n v="0"/>
    <n v="0"/>
    <n v="8"/>
    <n v="11"/>
    <s v="F-CAP"/>
    <x v="8"/>
    <s v="DPK-QF-11"/>
    <s v="DPK-QF-11DPKERF5509PK"/>
    <n v="1"/>
    <s v="DPK-QF-111"/>
    <s v="DPK-QF-111-DPKERF5509PINKOML"/>
    <s v="DPK의류외509"/>
    <s v="DPK"/>
    <s v="14FW F"/>
    <m/>
    <s v="DPK"/>
    <s v="DISNEY PRINCESS KIDS"/>
    <s v="F"/>
    <n v="5"/>
    <s v="ER"/>
    <s v="EARCAP"/>
    <s v="K"/>
    <n v="509"/>
    <n v="509"/>
    <s v="DPKERF5509"/>
    <n v="0.5"/>
    <s v="14FW FROZEN SNAP_03_PK_KIDS"/>
    <s v="PK"/>
    <s v="PINK"/>
    <s v="DPKERF5509PK"/>
    <x v="0"/>
    <n v="0.5"/>
    <n v="0"/>
    <n v="1"/>
    <s v="OML"/>
    <n v="100"/>
    <x v="2"/>
    <n v="11"/>
    <x v="23"/>
    <s v="M"/>
    <s v="CN"/>
    <x v="0"/>
    <n v="49000"/>
    <x v="20"/>
    <n v="4949.4949494949497"/>
    <n v="4884.8599999999997"/>
    <n v="-64.634949494949979"/>
    <n v="0"/>
    <n v="0"/>
    <n v="20"/>
    <n v="20"/>
    <n v="3.9"/>
    <n v="0"/>
    <d v="2014-08-07T00:00:00"/>
    <d v="1899-12-30T00:00:00"/>
    <d v="2014-10-16T00:00:00"/>
    <d v="1899-12-30T00:00:00"/>
    <d v="2014-11-13T00:00:00"/>
    <d v="1899-12-30T00:00:00"/>
    <d v="1899-12-30T00:00:00"/>
    <d v="1899-12-30T00:00:00"/>
    <d v="1899-12-30T00:00:00"/>
    <x v="0"/>
    <s v="확정"/>
    <n v="100"/>
    <n v="0"/>
    <n v="0"/>
    <n v="0"/>
    <n v="0"/>
    <n v="0"/>
    <n v="100"/>
    <n v="488485.99999999994"/>
    <n v="4900000"/>
    <n v="9.1190852031490248"/>
  </r>
  <r>
    <n v="0"/>
    <n v="0"/>
    <s v=""/>
    <s v=""/>
    <s v=""/>
    <x v="1"/>
    <s v=""/>
    <s v=""/>
    <n v="0"/>
    <s v="0"/>
    <s v="0-"/>
    <n v="0"/>
    <s v="TTL"/>
    <s v=""/>
    <s v="DPK-QF-11 TTL"/>
    <m/>
    <s v=""/>
    <s v=""/>
    <s v=""/>
    <m/>
    <s v=""/>
    <s v="K"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00"/>
    <n v="0"/>
    <n v="0"/>
    <n v="0"/>
    <n v="0"/>
    <n v="0"/>
    <n v="200"/>
    <n v="1057972"/>
    <n v="9800000"/>
    <n v="8.4209137000704253"/>
  </r>
  <r>
    <n v="0"/>
    <n v="0"/>
    <n v="11"/>
    <n v="12"/>
    <s v="F-CAP"/>
    <x v="14"/>
    <s v="POK-FOREMOST-40"/>
    <s v="POK-FOREMOST-40POKEBF5503PK"/>
    <n v="1"/>
    <s v="POK-FOREMOST-401"/>
    <s v="POK-FOREMOST-401-POKEBF5503PINKFRE"/>
    <s v="POK의류외503"/>
    <s v="POK"/>
    <s v="14FW P"/>
    <m/>
    <s v="POK"/>
    <s v="ROBOCARPOLI KIDS"/>
    <s v="F"/>
    <n v="5"/>
    <s v="EB"/>
    <s v="EARFLAP BEANIE"/>
    <s v="K"/>
    <n v="503"/>
    <n v="503"/>
    <s v="POKEBF5503"/>
    <n v="0"/>
    <s v="14FW POLI-01_PK_KNIT-KIDS"/>
    <s v="PK"/>
    <s v="PINK"/>
    <s v="POKEBF5503PK"/>
    <x v="1"/>
    <n v="0"/>
    <n v="0"/>
    <n v="1"/>
    <s v="FRE"/>
    <n v="300"/>
    <x v="4"/>
    <n v="40"/>
    <x v="24"/>
    <s v="M"/>
    <s v="CN"/>
    <x v="0"/>
    <n v="55000"/>
    <x v="15"/>
    <n v="8333.3333333333321"/>
    <n v="12369.260000000004"/>
    <n v="4035.9266666666717"/>
    <n v="0"/>
    <n v="0"/>
    <n v="20"/>
    <n v="20"/>
    <n v="9.9"/>
    <n v="0"/>
    <d v="2014-11-10T00:00:00"/>
    <d v="1899-12-30T00:00:00"/>
    <d v="2014-12-10T00:00:00"/>
    <d v="1899-12-30T00:00:00"/>
    <d v="2014-12-17T00:00:00"/>
    <d v="2014-12-26T00:00:00"/>
    <d v="1899-12-30T00:00:00"/>
    <d v="1899-12-30T00:00:00"/>
    <d v="1899-12-30T00:00:00"/>
    <x v="1"/>
    <n v="0"/>
    <n v="100"/>
    <n v="200"/>
    <n v="0"/>
    <n v="0"/>
    <n v="0"/>
    <n v="0"/>
    <n v="300"/>
    <n v="3710778.0000000009"/>
    <n v="16500000"/>
    <n v="4.0422790045645405"/>
  </r>
  <r>
    <n v="0"/>
    <n v="0"/>
    <n v="11"/>
    <n v="12"/>
    <s v="F-CAP"/>
    <x v="14"/>
    <s v="POK-FOREMOST-40"/>
    <s v="POK-FOREMOST-40POKEBF5504BL"/>
    <n v="2"/>
    <s v="POK-FOREMOST-402"/>
    <s v="POK-FOREMOST-402-POKEBF5504BLUEFRE"/>
    <s v="POK의류외504"/>
    <s v="POK"/>
    <s v="14FW P"/>
    <m/>
    <s v="POK"/>
    <s v="ROBOCARPOLI KIDS"/>
    <s v="F"/>
    <n v="5"/>
    <s v="EB"/>
    <s v="EARFLAP BEANIE"/>
    <s v="K"/>
    <n v="504"/>
    <n v="504"/>
    <s v="POKEBF5504"/>
    <n v="0"/>
    <s v="14FW POLI-02_BL_KNIT-KIDS"/>
    <s v="BL"/>
    <s v="BLUE"/>
    <s v="POKEBF5504BL"/>
    <x v="1"/>
    <n v="0"/>
    <n v="0"/>
    <n v="1"/>
    <s v="FRE"/>
    <n v="300"/>
    <x v="4"/>
    <n v="40"/>
    <x v="24"/>
    <s v="M"/>
    <s v="CN"/>
    <x v="0"/>
    <n v="55000"/>
    <x v="15"/>
    <n v="8333.3333333333321"/>
    <n v="12369.260000000004"/>
    <n v="4035.9266666666717"/>
    <n v="0"/>
    <n v="0"/>
    <n v="20"/>
    <n v="20"/>
    <n v="9.9"/>
    <n v="0"/>
    <d v="2014-11-10T00:00:00"/>
    <d v="1899-12-30T00:00:00"/>
    <d v="2014-12-10T00:00:00"/>
    <d v="1899-12-30T00:00:00"/>
    <d v="2014-12-17T00:00:00"/>
    <d v="2014-12-26T00:00:00"/>
    <d v="1899-12-30T00:00:00"/>
    <d v="1899-12-30T00:00:00"/>
    <d v="1899-12-30T00:00:00"/>
    <x v="1"/>
    <n v="0"/>
    <n v="100"/>
    <n v="200"/>
    <n v="0"/>
    <n v="0"/>
    <n v="0"/>
    <n v="0"/>
    <n v="300"/>
    <n v="3710778.0000000009"/>
    <n v="16500000"/>
    <n v="4.0422790045645405"/>
  </r>
  <r>
    <n v="0"/>
    <n v="0"/>
    <s v=""/>
    <s v=""/>
    <s v=""/>
    <x v="1"/>
    <s v=""/>
    <s v=""/>
    <n v="0"/>
    <s v="0"/>
    <s v="0-"/>
    <n v="0"/>
    <s v="TTL"/>
    <s v=""/>
    <s v="POK-FOREMOST-40 TTL"/>
    <m/>
    <s v=""/>
    <s v=""/>
    <s v=""/>
    <m/>
    <s v=""/>
    <s v="K"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00"/>
    <n v="400"/>
    <n v="0"/>
    <n v="0"/>
    <n v="0"/>
    <n v="0"/>
    <n v="600"/>
    <n v="7421556.0000000019"/>
    <n v="33000000"/>
    <n v="4.0422790045645405"/>
  </r>
  <r>
    <n v="0"/>
    <n v="0"/>
    <n v="4"/>
    <n v="8"/>
    <s v="전략"/>
    <x v="17"/>
    <s v="VBK-EVERGREEN-01"/>
    <s v="VBK-EVERGREEN-01VBKTLF4503NY"/>
    <n v="1"/>
    <s v="VBK-EVERGREEN-011"/>
    <s v="VBK-EVERGREEN-011-VBKTLF4503NAVYXXS"/>
    <s v="VBK의류503"/>
    <s v="VBK"/>
    <s v="14FW V"/>
    <m/>
    <s v="VBK"/>
    <s v="VITAL BLUE KIDS"/>
    <s v="F"/>
    <n v="4"/>
    <s v="TL"/>
    <s v="LONG SLEEVES"/>
    <s v="K"/>
    <n v="503"/>
    <n v="503"/>
    <s v="VBKTLF4503"/>
    <n v="8.3333333333333329E-2"/>
    <s v="14FW VB_MTM_03_NV_KIDS"/>
    <s v="NY"/>
    <s v="NAVY"/>
    <s v="VBKTLF4503NY"/>
    <x v="0"/>
    <n v="0.16666666666666666"/>
    <m/>
    <n v="1"/>
    <s v="XXS"/>
    <n v="80"/>
    <x v="13"/>
    <n v="1"/>
    <x v="0"/>
    <s v="M"/>
    <s v="CN"/>
    <x v="0"/>
    <n v="65000"/>
    <x v="21"/>
    <n v="11818.181818181818"/>
    <n v="12468.924999999999"/>
    <n v="650.74318181818126"/>
    <m/>
    <n v="70"/>
    <m/>
    <n v="70"/>
    <n v="9.5"/>
    <m/>
    <d v="2014-04-08T00:00:00"/>
    <d v="2014-07-19T00:00:00"/>
    <d v="2014-07-03T00:00:00"/>
    <d v="2014-07-25T00:00:00"/>
    <d v="2014-08-26T00:00:00"/>
    <m/>
    <m/>
    <m/>
    <m/>
    <x v="0"/>
    <m/>
    <n v="76"/>
    <n v="0"/>
    <n v="0"/>
    <n v="0"/>
    <n v="0"/>
    <n v="0"/>
    <n v="80"/>
    <n v="997514"/>
    <n v="5200000"/>
    <n v="4.7390540155553973"/>
  </r>
  <r>
    <n v="0"/>
    <n v="0"/>
    <n v="4"/>
    <n v="8"/>
    <s v="전략"/>
    <x v="17"/>
    <s v="VBK-EVERGREEN-01"/>
    <s v="VBK-EVERGREEN-01VBKTLF4503NY"/>
    <n v="1"/>
    <s v="VBK-EVERGREEN-011"/>
    <s v="VBK-EVERGREEN-011-VBKTLF4503NAVYOXS"/>
    <s v="VBK의류503"/>
    <s v="VBK"/>
    <s v="14FW V"/>
    <m/>
    <s v="VBK"/>
    <s v="VITAL BLUE KIDS"/>
    <s v="F"/>
    <n v="4"/>
    <s v="TL"/>
    <s v="LONG SLEEVES"/>
    <s v="K"/>
    <n v="503"/>
    <n v="503"/>
    <s v="VBKTLF4503"/>
    <n v="8.3333333333333329E-2"/>
    <s v="14FW VB_MTM_03_NV_KIDS"/>
    <s v="NY"/>
    <s v="NAVY"/>
    <s v="VBKTLF4503NY"/>
    <x v="0"/>
    <n v="0.16666666666666666"/>
    <m/>
    <n v="1"/>
    <s v="OXS"/>
    <n v="100"/>
    <x v="13"/>
    <n v="1"/>
    <x v="0"/>
    <s v="M"/>
    <s v="CN"/>
    <x v="0"/>
    <n v="65000"/>
    <x v="21"/>
    <n v="11818.181818181818"/>
    <n v="12468.924999999999"/>
    <n v="650.74318181818126"/>
    <m/>
    <n v="70"/>
    <m/>
    <n v="70"/>
    <n v="9.5"/>
    <m/>
    <d v="2014-04-08T00:00:00"/>
    <d v="2014-07-19T00:00:00"/>
    <d v="2014-07-03T00:00:00"/>
    <d v="2014-07-25T00:00:00"/>
    <d v="2014-08-26T00:00:00"/>
    <m/>
    <m/>
    <m/>
    <m/>
    <x v="0"/>
    <m/>
    <n v="93"/>
    <n v="0"/>
    <n v="0"/>
    <n v="0"/>
    <n v="0"/>
    <n v="0"/>
    <n v="100"/>
    <n v="1246892.5"/>
    <n v="6500000"/>
    <n v="4.7390540155553982"/>
  </r>
  <r>
    <n v="0"/>
    <n v="0"/>
    <n v="4"/>
    <n v="8"/>
    <s v="전략"/>
    <x v="17"/>
    <s v="VBK-EVERGREEN-01"/>
    <s v="VBK-EVERGREEN-01VBKTLF4503NY"/>
    <n v="1"/>
    <s v="VBK-EVERGREEN-011"/>
    <s v="VBK-EVERGREEN-011-VBKTLF4503NAVYOSS"/>
    <s v="VBK의류503"/>
    <s v="VBK"/>
    <s v="14FW V"/>
    <m/>
    <s v="VBK"/>
    <s v="VITAL BLUE KIDS"/>
    <s v="F"/>
    <n v="4"/>
    <s v="TL"/>
    <s v="LONG SLEEVES"/>
    <s v="K"/>
    <n v="503"/>
    <n v="503"/>
    <s v="VBKTLF4503"/>
    <n v="8.3333333333333329E-2"/>
    <s v="14FW VB_MTM_03_NV_KIDS"/>
    <s v="NY"/>
    <s v="NAVY"/>
    <s v="VBKTLF4503NY"/>
    <x v="0"/>
    <n v="0.16666666666666666"/>
    <m/>
    <n v="1"/>
    <s v="OSS"/>
    <n v="100"/>
    <x v="13"/>
    <n v="1"/>
    <x v="0"/>
    <s v="M"/>
    <s v="CN"/>
    <x v="0"/>
    <n v="65000"/>
    <x v="21"/>
    <n v="11818.181818181818"/>
    <n v="12468.924999999999"/>
    <n v="650.74318181818126"/>
    <m/>
    <n v="70"/>
    <m/>
    <n v="70"/>
    <n v="9.5"/>
    <m/>
    <d v="2014-04-08T00:00:00"/>
    <d v="2014-07-19T00:00:00"/>
    <d v="2014-07-03T00:00:00"/>
    <d v="2014-07-25T00:00:00"/>
    <d v="2014-08-26T00:00:00"/>
    <m/>
    <m/>
    <m/>
    <m/>
    <x v="0"/>
    <m/>
    <n v="100"/>
    <n v="0"/>
    <n v="0"/>
    <n v="0"/>
    <n v="0"/>
    <n v="0"/>
    <n v="100"/>
    <n v="1246892.5"/>
    <n v="6500000"/>
    <n v="4.7390540155553982"/>
  </r>
  <r>
    <n v="0"/>
    <n v="0"/>
    <n v="4"/>
    <n v="8"/>
    <s v="전략"/>
    <x v="17"/>
    <s v="VBK-EVERGREEN-01"/>
    <s v="VBK-EVERGREEN-01VBKTLF4503NY"/>
    <n v="1"/>
    <s v="VBK-EVERGREEN-011"/>
    <s v="VBK-EVERGREEN-011-VBKTLF4503NAVYOMM"/>
    <s v="VBK의류503"/>
    <s v="VBK"/>
    <s v="14FW V"/>
    <m/>
    <s v="VBK"/>
    <s v="VITAL BLUE KIDS"/>
    <s v="F"/>
    <n v="4"/>
    <s v="TL"/>
    <s v="LONG SLEEVES"/>
    <s v="K"/>
    <n v="503"/>
    <n v="503"/>
    <s v="VBKTLF4503"/>
    <n v="8.3333333333333329E-2"/>
    <s v="14FW VB_MTM_03_NV_KIDS"/>
    <s v="NY"/>
    <s v="NAVY"/>
    <s v="VBKTLF4503NY"/>
    <x v="0"/>
    <n v="0.16666666666666666"/>
    <m/>
    <n v="1"/>
    <s v="OMM"/>
    <n v="100"/>
    <x v="13"/>
    <n v="1"/>
    <x v="0"/>
    <s v="M"/>
    <s v="CN"/>
    <x v="0"/>
    <n v="65000"/>
    <x v="21"/>
    <n v="11818.181818181818"/>
    <n v="12468.924999999999"/>
    <n v="650.74318181818126"/>
    <m/>
    <n v="70"/>
    <m/>
    <n v="70"/>
    <n v="9.5"/>
    <m/>
    <d v="2014-04-08T00:00:00"/>
    <d v="2014-07-19T00:00:00"/>
    <d v="2014-07-03T00:00:00"/>
    <d v="2014-07-25T00:00:00"/>
    <d v="2014-08-26T00:00:00"/>
    <m/>
    <m/>
    <m/>
    <m/>
    <x v="0"/>
    <m/>
    <n v="99"/>
    <n v="0"/>
    <n v="0"/>
    <n v="0"/>
    <n v="0"/>
    <n v="0"/>
    <n v="100"/>
    <n v="1246892.5"/>
    <n v="6500000"/>
    <n v="4.7390540155553982"/>
  </r>
  <r>
    <n v="0"/>
    <n v="0"/>
    <n v="4"/>
    <n v="8"/>
    <s v="전략"/>
    <x v="17"/>
    <s v="VBK-EVERGREEN-01"/>
    <s v="VBK-EVERGREEN-01VBKTLF4503NY"/>
    <n v="1"/>
    <s v="VBK-EVERGREEN-011"/>
    <s v="VBK-EVERGREEN-011-VBKTLF4503NAVYOLL"/>
    <s v="VBK의류503"/>
    <s v="VBK"/>
    <s v="14FW V"/>
    <m/>
    <s v="VBK"/>
    <s v="VITAL BLUE KIDS"/>
    <s v="F"/>
    <n v="4"/>
    <s v="TL"/>
    <s v="LONG SLEEVES"/>
    <s v="K"/>
    <n v="503"/>
    <n v="503"/>
    <s v="VBKTLF4503"/>
    <n v="8.3333333333333329E-2"/>
    <s v="14FW VB_MTM_03_NV_KIDS"/>
    <s v="NY"/>
    <s v="NAVY"/>
    <s v="VBKTLF4503NY"/>
    <x v="0"/>
    <n v="0.16666666666666666"/>
    <m/>
    <n v="1"/>
    <s v="OLL"/>
    <n v="80"/>
    <x v="13"/>
    <n v="1"/>
    <x v="0"/>
    <s v="M"/>
    <s v="CN"/>
    <x v="0"/>
    <n v="65000"/>
    <x v="21"/>
    <n v="11818.181818181818"/>
    <n v="12468.924999999999"/>
    <n v="650.74318181818126"/>
    <m/>
    <n v="70"/>
    <m/>
    <n v="70"/>
    <n v="9.5"/>
    <m/>
    <d v="2014-04-08T00:00:00"/>
    <d v="2014-07-19T00:00:00"/>
    <d v="2014-07-03T00:00:00"/>
    <d v="2014-07-25T00:00:00"/>
    <d v="2014-08-26T00:00:00"/>
    <m/>
    <m/>
    <m/>
    <m/>
    <x v="0"/>
    <m/>
    <n v="80"/>
    <n v="0"/>
    <n v="0"/>
    <n v="0"/>
    <n v="0"/>
    <n v="0"/>
    <n v="80"/>
    <n v="997514"/>
    <n v="5200000"/>
    <n v="4.7390540155553973"/>
  </r>
  <r>
    <n v="0"/>
    <n v="0"/>
    <n v="4"/>
    <n v="8"/>
    <s v="전략"/>
    <x v="17"/>
    <s v="VBK-EVERGREEN-01"/>
    <s v="VBK-EVERGREEN-01VBKTLF4503NY"/>
    <n v="1"/>
    <s v="VBK-EVERGREEN-011"/>
    <s v="VBK-EVERGREEN-011-VBKTLF4503NAVYOXL"/>
    <s v="VBK의류503"/>
    <s v="VBK"/>
    <s v="14FW V"/>
    <m/>
    <s v="VBK"/>
    <s v="VITAL BLUE KIDS"/>
    <s v="F"/>
    <n v="4"/>
    <s v="TL"/>
    <s v="LONG SLEEVES"/>
    <s v="K"/>
    <n v="503"/>
    <n v="503"/>
    <s v="VBKTLF4503"/>
    <n v="8.3333333333333329E-2"/>
    <s v="14FW VB_MTM_03_NV_KIDS"/>
    <s v="NY"/>
    <s v="NAVY"/>
    <s v="VBKTLF4503NY"/>
    <x v="0"/>
    <n v="0.16666666666666666"/>
    <m/>
    <n v="1"/>
    <s v="OXL"/>
    <n v="80"/>
    <x v="13"/>
    <n v="1"/>
    <x v="0"/>
    <s v="M"/>
    <s v="CN"/>
    <x v="0"/>
    <n v="65000"/>
    <x v="21"/>
    <n v="11818.181818181818"/>
    <n v="12468.924999999999"/>
    <n v="650.74318181818126"/>
    <m/>
    <n v="70"/>
    <m/>
    <n v="70"/>
    <n v="9.5"/>
    <m/>
    <d v="2014-04-08T00:00:00"/>
    <d v="2014-07-19T00:00:00"/>
    <d v="2014-07-03T00:00:00"/>
    <d v="2014-07-25T00:00:00"/>
    <d v="2014-08-26T00:00:00"/>
    <m/>
    <m/>
    <m/>
    <m/>
    <x v="0"/>
    <m/>
    <n v="80"/>
    <n v="0"/>
    <n v="0"/>
    <n v="0"/>
    <n v="0"/>
    <n v="0"/>
    <n v="80"/>
    <n v="997514"/>
    <n v="5200000"/>
    <n v="4.7390540155553973"/>
  </r>
  <r>
    <n v="0"/>
    <n v="0"/>
    <n v="4"/>
    <n v="8"/>
    <s v="전략"/>
    <x v="17"/>
    <s v="VBK-EVERGREEN-01"/>
    <s v="VBK-EVERGREEN-01VBKTLF4503BU"/>
    <n v="2"/>
    <s v="VBK-EVERGREEN-012"/>
    <s v="VBK-EVERGREEN-012-VBKTLF4503BURGUNDYXXS"/>
    <s v="VBK의류503"/>
    <s v="VBK"/>
    <s v="14FW V"/>
    <m/>
    <s v="VBK"/>
    <s v="VITAL BLUE KIDS"/>
    <s v="F"/>
    <n v="4"/>
    <s v="TL"/>
    <s v="LONG SLEEVES"/>
    <s v="K"/>
    <n v="503"/>
    <n v="503"/>
    <s v="VBKTLF4503"/>
    <n v="8.3333333333333329E-2"/>
    <s v="14FW VB_MTM_03_BG_KIDS"/>
    <s v="BU"/>
    <s v="BURGUNDY"/>
    <s v="VBKTLF4503BU"/>
    <x v="0"/>
    <n v="0.16666666666666666"/>
    <m/>
    <n v="1"/>
    <s v="XXS"/>
    <n v="80"/>
    <x v="13"/>
    <n v="1"/>
    <x v="0"/>
    <s v="M"/>
    <s v="CN"/>
    <x v="0"/>
    <n v="65000"/>
    <x v="21"/>
    <n v="11818.181818181818"/>
    <n v="12468.924999999999"/>
    <n v="650.74318181818126"/>
    <m/>
    <n v="70"/>
    <m/>
    <n v="70"/>
    <n v="9.5"/>
    <m/>
    <d v="2014-04-08T00:00:00"/>
    <d v="2014-07-19T00:00:00"/>
    <d v="2014-07-03T00:00:00"/>
    <d v="2014-07-25T00:00:00"/>
    <d v="2014-08-26T00:00:00"/>
    <m/>
    <m/>
    <m/>
    <m/>
    <x v="0"/>
    <m/>
    <n v="64"/>
    <n v="0"/>
    <n v="0"/>
    <n v="0"/>
    <n v="0"/>
    <m/>
    <n v="80"/>
    <n v="997514"/>
    <n v="5200000"/>
    <n v="4.7390540155553973"/>
  </r>
  <r>
    <n v="0"/>
    <n v="0"/>
    <n v="4"/>
    <n v="8"/>
    <s v="전략"/>
    <x v="17"/>
    <s v="VBK-EVERGREEN-01"/>
    <s v="VBK-EVERGREEN-01VBKTLF4503BU"/>
    <n v="2"/>
    <s v="VBK-EVERGREEN-012"/>
    <s v="VBK-EVERGREEN-012-VBKTLF4503BURGUNDYOXS"/>
    <s v="VBK의류503"/>
    <s v="VBK"/>
    <s v="14FW V"/>
    <m/>
    <s v="VBK"/>
    <s v="VITAL BLUE KIDS"/>
    <s v="F"/>
    <n v="4"/>
    <s v="TL"/>
    <s v="LONG SLEEVES"/>
    <s v="K"/>
    <n v="503"/>
    <n v="503"/>
    <s v="VBKTLF4503"/>
    <n v="8.3333333333333329E-2"/>
    <s v="14FW VB_MTM_03_BG_KIDS"/>
    <s v="BU"/>
    <s v="BURGUNDY"/>
    <s v="VBKTLF4503BU"/>
    <x v="0"/>
    <n v="0.16666666666666666"/>
    <m/>
    <n v="1"/>
    <s v="OXS"/>
    <n v="100"/>
    <x v="13"/>
    <n v="1"/>
    <x v="0"/>
    <s v="M"/>
    <s v="CN"/>
    <x v="0"/>
    <n v="65000"/>
    <x v="21"/>
    <n v="11818.181818181818"/>
    <n v="12468.924999999999"/>
    <n v="650.74318181818126"/>
    <m/>
    <n v="70"/>
    <m/>
    <n v="70"/>
    <n v="9.5"/>
    <m/>
    <d v="2014-04-08T00:00:00"/>
    <d v="2014-07-19T00:00:00"/>
    <d v="2014-07-03T00:00:00"/>
    <d v="2014-07-25T00:00:00"/>
    <d v="2014-08-26T00:00:00"/>
    <m/>
    <m/>
    <m/>
    <m/>
    <x v="0"/>
    <m/>
    <n v="100"/>
    <n v="0"/>
    <n v="0"/>
    <n v="0"/>
    <n v="0"/>
    <n v="0"/>
    <n v="100"/>
    <n v="1246892.5"/>
    <n v="6500000"/>
    <n v="4.7390540155553982"/>
  </r>
  <r>
    <n v="0"/>
    <n v="0"/>
    <n v="4"/>
    <n v="8"/>
    <s v="전략"/>
    <x v="17"/>
    <s v="VBK-EVERGREEN-01"/>
    <s v="VBK-EVERGREEN-01VBKTLF4503BU"/>
    <n v="2"/>
    <s v="VBK-EVERGREEN-012"/>
    <s v="VBK-EVERGREEN-012-VBKTLF4503BURGUNDYOSS"/>
    <s v="VBK의류503"/>
    <s v="VBK"/>
    <s v="14FW V"/>
    <m/>
    <s v="VBK"/>
    <s v="VITAL BLUE KIDS"/>
    <s v="F"/>
    <n v="4"/>
    <s v="TL"/>
    <s v="LONG SLEEVES"/>
    <s v="K"/>
    <n v="503"/>
    <n v="503"/>
    <s v="VBKTLF4503"/>
    <n v="8.3333333333333329E-2"/>
    <s v="14FW VB_MTM_03_BG_KIDS"/>
    <s v="BU"/>
    <s v="BURGUNDY"/>
    <s v="VBKTLF4503BU"/>
    <x v="0"/>
    <n v="0.16666666666666666"/>
    <m/>
    <n v="1"/>
    <s v="OSS"/>
    <n v="100"/>
    <x v="13"/>
    <n v="1"/>
    <x v="0"/>
    <s v="M"/>
    <s v="CN"/>
    <x v="0"/>
    <n v="65000"/>
    <x v="21"/>
    <n v="11818.181818181818"/>
    <n v="12468.924999999999"/>
    <n v="650.74318181818126"/>
    <m/>
    <n v="70"/>
    <m/>
    <n v="70"/>
    <n v="9.5"/>
    <m/>
    <d v="2014-04-08T00:00:00"/>
    <d v="2014-07-19T00:00:00"/>
    <d v="2014-07-03T00:00:00"/>
    <d v="2014-07-25T00:00:00"/>
    <d v="2014-08-26T00:00:00"/>
    <m/>
    <m/>
    <m/>
    <m/>
    <x v="0"/>
    <m/>
    <n v="91"/>
    <n v="0"/>
    <n v="0"/>
    <n v="0"/>
    <n v="0"/>
    <n v="0"/>
    <n v="100"/>
    <n v="1246892.5"/>
    <n v="6500000"/>
    <n v="4.7390540155553982"/>
  </r>
  <r>
    <n v="0"/>
    <n v="0"/>
    <n v="4"/>
    <n v="8"/>
    <s v="전략"/>
    <x v="17"/>
    <s v="VBK-EVERGREEN-01"/>
    <s v="VBK-EVERGREEN-01VBKTLF4503BU"/>
    <n v="2"/>
    <s v="VBK-EVERGREEN-012"/>
    <s v="VBK-EVERGREEN-012-VBKTLF4503BURGUNDYOMM"/>
    <s v="VBK의류503"/>
    <s v="VBK"/>
    <s v="14FW V"/>
    <m/>
    <s v="VBK"/>
    <s v="VITAL BLUE KIDS"/>
    <s v="F"/>
    <n v="4"/>
    <s v="TL"/>
    <s v="LONG SLEEVES"/>
    <s v="K"/>
    <n v="503"/>
    <n v="503"/>
    <s v="VBKTLF4503"/>
    <n v="8.3333333333333329E-2"/>
    <s v="14FW VB_MTM_03_BG_KIDS"/>
    <s v="BU"/>
    <s v="BURGUNDY"/>
    <s v="VBKTLF4503BU"/>
    <x v="0"/>
    <n v="0.16666666666666666"/>
    <m/>
    <n v="1"/>
    <s v="OMM"/>
    <n v="100"/>
    <x v="13"/>
    <n v="1"/>
    <x v="0"/>
    <s v="M"/>
    <s v="CN"/>
    <x v="0"/>
    <n v="65000"/>
    <x v="21"/>
    <n v="11818.181818181818"/>
    <n v="12468.924999999999"/>
    <n v="650.74318181818126"/>
    <m/>
    <n v="70"/>
    <m/>
    <n v="70"/>
    <n v="9.5"/>
    <m/>
    <d v="2014-04-08T00:00:00"/>
    <d v="2014-07-19T00:00:00"/>
    <d v="2014-07-03T00:00:00"/>
    <d v="2014-07-25T00:00:00"/>
    <d v="2014-08-26T00:00:00"/>
    <m/>
    <m/>
    <m/>
    <m/>
    <x v="0"/>
    <m/>
    <n v="87"/>
    <n v="0"/>
    <n v="0"/>
    <n v="0"/>
    <n v="0"/>
    <m/>
    <n v="100"/>
    <n v="1246892.5"/>
    <n v="6500000"/>
    <n v="4.7390540155553982"/>
  </r>
  <r>
    <n v="0"/>
    <n v="0"/>
    <n v="4"/>
    <n v="8"/>
    <s v="전략"/>
    <x v="17"/>
    <s v="VBK-EVERGREEN-01"/>
    <s v="VBK-EVERGREEN-01VBKTLF4503BU"/>
    <n v="2"/>
    <s v="VBK-EVERGREEN-012"/>
    <s v="VBK-EVERGREEN-012-VBKTLF4503BURGUNDYOLL"/>
    <s v="VBK의류503"/>
    <s v="VBK"/>
    <s v="14FW V"/>
    <m/>
    <s v="VBK"/>
    <s v="VITAL BLUE KIDS"/>
    <s v="F"/>
    <n v="4"/>
    <s v="TL"/>
    <s v="LONG SLEEVES"/>
    <s v="K"/>
    <n v="503"/>
    <n v="503"/>
    <s v="VBKTLF4503"/>
    <n v="8.3333333333333329E-2"/>
    <s v="14FW VB_MTM_03_BG_KIDS"/>
    <s v="BU"/>
    <s v="BURGUNDY"/>
    <s v="VBKTLF4503BU"/>
    <x v="0"/>
    <n v="0.16666666666666666"/>
    <m/>
    <n v="1"/>
    <s v="OLL"/>
    <n v="80"/>
    <x v="13"/>
    <n v="1"/>
    <x v="0"/>
    <s v="M"/>
    <s v="CN"/>
    <x v="0"/>
    <n v="65000"/>
    <x v="21"/>
    <n v="11818.181818181818"/>
    <n v="12468.924999999999"/>
    <n v="650.74318181818126"/>
    <m/>
    <n v="70"/>
    <m/>
    <n v="70"/>
    <n v="9.5"/>
    <m/>
    <d v="2014-04-08T00:00:00"/>
    <d v="2014-07-19T00:00:00"/>
    <d v="2014-07-03T00:00:00"/>
    <d v="2014-07-25T00:00:00"/>
    <d v="2014-08-26T00:00:00"/>
    <m/>
    <m/>
    <m/>
    <m/>
    <x v="0"/>
    <m/>
    <n v="91"/>
    <n v="0"/>
    <n v="0"/>
    <n v="0"/>
    <n v="0"/>
    <n v="0"/>
    <n v="80"/>
    <n v="997514"/>
    <n v="5200000"/>
    <n v="4.7390540155553973"/>
  </r>
  <r>
    <n v="0"/>
    <n v="0"/>
    <n v="4"/>
    <n v="8"/>
    <s v="전략"/>
    <x v="17"/>
    <s v="VBK-EVERGREEN-01"/>
    <s v="VBK-EVERGREEN-01VBKTLF4503BU"/>
    <n v="2"/>
    <s v="VBK-EVERGREEN-012"/>
    <s v="VBK-EVERGREEN-012-VBKTLF4503BURGUNDYOXL"/>
    <s v="VBK의류503"/>
    <s v="VBK"/>
    <s v="14FW V"/>
    <m/>
    <s v="VBK"/>
    <s v="VITAL BLUE KIDS"/>
    <s v="F"/>
    <n v="4"/>
    <s v="TL"/>
    <s v="LONG SLEEVES"/>
    <s v="K"/>
    <n v="503"/>
    <n v="503"/>
    <s v="VBKTLF4503"/>
    <n v="8.3333333333333329E-2"/>
    <s v="14FW VB_MTM_03_BG_KIDS"/>
    <s v="BU"/>
    <s v="BURGUNDY"/>
    <s v="VBKTLF4503BU"/>
    <x v="0"/>
    <n v="0.16666666666666666"/>
    <m/>
    <n v="1"/>
    <s v="OXL"/>
    <n v="80"/>
    <x v="13"/>
    <n v="1"/>
    <x v="0"/>
    <s v="M"/>
    <s v="CN"/>
    <x v="0"/>
    <n v="65000"/>
    <x v="21"/>
    <n v="11818.181818181818"/>
    <n v="12468.924999999999"/>
    <n v="650.74318181818126"/>
    <m/>
    <n v="70"/>
    <m/>
    <n v="70"/>
    <n v="9.5"/>
    <m/>
    <d v="2014-04-08T00:00:00"/>
    <d v="2014-07-19T00:00:00"/>
    <d v="2014-07-03T00:00:00"/>
    <d v="2014-07-25T00:00:00"/>
    <d v="2014-08-26T00:00:00"/>
    <m/>
    <m/>
    <m/>
    <m/>
    <x v="0"/>
    <m/>
    <n v="79"/>
    <n v="0"/>
    <n v="0"/>
    <n v="0"/>
    <n v="0"/>
    <n v="0"/>
    <n v="80"/>
    <n v="997514"/>
    <n v="5200000"/>
    <n v="4.7390540155553973"/>
  </r>
  <r>
    <n v="0"/>
    <n v="0"/>
    <s v=""/>
    <s v=""/>
    <s v=""/>
    <x v="1"/>
    <s v=""/>
    <s v=""/>
    <n v="0"/>
    <s v="0"/>
    <s v="0-"/>
    <n v="0"/>
    <s v="TTL"/>
    <s v=""/>
    <s v="VBK-EVERGREEN-01 TTL"/>
    <m/>
    <s v=""/>
    <s v=""/>
    <s v=""/>
    <m/>
    <s v=""/>
    <s v="K"/>
    <m/>
    <s v=""/>
    <s v=""/>
    <n v="1"/>
    <m/>
    <s v=""/>
    <m/>
    <s v=""/>
    <x v="0"/>
    <n v="2"/>
    <m/>
    <n v="1"/>
    <m/>
    <m/>
    <x v="1"/>
    <m/>
    <x v="1"/>
    <m/>
    <m/>
    <x v="1"/>
    <n v="0"/>
    <x v="1"/>
    <n v="0"/>
    <n v="0"/>
    <n v="0"/>
    <m/>
    <m/>
    <m/>
    <n v="0"/>
    <m/>
    <m/>
    <d v="1899-12-30T00:00:00"/>
    <m/>
    <d v="1899-12-30T00:00:00"/>
    <m/>
    <d v="1899-12-30T00:00:00"/>
    <m/>
    <m/>
    <m/>
    <m/>
    <x v="3"/>
    <m/>
    <n v="1040"/>
    <n v="0"/>
    <n v="0"/>
    <n v="0"/>
    <n v="0"/>
    <n v="0"/>
    <n v="1080"/>
    <n v="13466439"/>
    <n v="70200000"/>
    <n v="4.7390540155553982"/>
  </r>
  <r>
    <n v="0"/>
    <n v="0"/>
    <n v="4"/>
    <n v="9"/>
    <s v="전략"/>
    <x v="18"/>
    <s v="ELK-대경-01"/>
    <s v="ELK-대경-01ELKJPF5502RE"/>
    <n v="1"/>
    <s v="ELK-대경-011"/>
    <s v="ELK-대경-011-ELKJPF5502REDOXS"/>
    <s v="ELK의류502"/>
    <s v="ELK"/>
    <s v="14FW_E"/>
    <m/>
    <s v="ELK"/>
    <s v="ELSTINKO KIDS"/>
    <s v="F"/>
    <n v="5"/>
    <s v="JP"/>
    <s v="JUMPER"/>
    <s v="K"/>
    <n v="502"/>
    <n v="502"/>
    <s v="ELKJPF5502"/>
    <n v="8.3333333333333329E-2"/>
    <s v="14FW_ELSTINKO_DOWN_JUMPER_05_RD_KIDS"/>
    <s v="RE"/>
    <s v="RED"/>
    <s v="ELKJPF5502RE"/>
    <x v="0"/>
    <n v="0.25"/>
    <m/>
    <n v="1"/>
    <s v="OXS"/>
    <n v="60"/>
    <x v="14"/>
    <n v="1"/>
    <x v="0"/>
    <s v="M"/>
    <s v="IN"/>
    <x v="0"/>
    <n v="218000"/>
    <x v="22"/>
    <n v="44040.404040404042"/>
    <n v="52861.25"/>
    <n v="8820.8459595959575"/>
    <m/>
    <n v="20"/>
    <m/>
    <n v="20"/>
    <n v="45.75"/>
    <m/>
    <d v="2014-04-15T00:00:00"/>
    <m/>
    <d v="2014-09-15T00:00:00"/>
    <d v="2014-09-30T00:00:00"/>
    <d v="2014-09-26T00:00:00"/>
    <m/>
    <m/>
    <m/>
    <m/>
    <x v="0"/>
    <m/>
    <n v="60"/>
    <n v="0"/>
    <n v="0"/>
    <n v="0"/>
    <n v="0"/>
    <n v="0"/>
    <n v="60"/>
    <n v="3171675"/>
    <n v="13080000"/>
    <n v="3.7490944346154915"/>
  </r>
  <r>
    <n v="0"/>
    <n v="0"/>
    <n v="4"/>
    <n v="9"/>
    <s v="전략"/>
    <x v="18"/>
    <s v="ELK-대경-01"/>
    <s v="ELK-대경-01ELKJPF5502RE"/>
    <n v="1"/>
    <s v="ELK-대경-011"/>
    <s v="ELK-대경-011-ELKJPF5502REDOSS"/>
    <s v="ELK의류502"/>
    <s v="ELK"/>
    <s v="14FW_E"/>
    <m/>
    <s v="ELK"/>
    <s v="ELSTINKO KIDS"/>
    <s v="F"/>
    <n v="5"/>
    <s v="JP"/>
    <s v="JUMPER"/>
    <s v="K"/>
    <n v="502"/>
    <n v="502"/>
    <s v="ELKJPF5502"/>
    <n v="8.3333333333333329E-2"/>
    <s v="14FW_ELSTINKO_DOWN_JUMPER_05_RD_KIDS"/>
    <s v="RE"/>
    <s v="RED"/>
    <s v="ELKJPF5502RE"/>
    <x v="0"/>
    <n v="0.25"/>
    <m/>
    <n v="1"/>
    <s v="OSS"/>
    <n v="80"/>
    <x v="14"/>
    <n v="1"/>
    <x v="0"/>
    <s v="M"/>
    <s v="IN"/>
    <x v="0"/>
    <n v="218000"/>
    <x v="22"/>
    <n v="44040.404040404042"/>
    <n v="52861.25"/>
    <n v="8820.8459595959575"/>
    <m/>
    <n v="20"/>
    <m/>
    <n v="20"/>
    <n v="45.75"/>
    <m/>
    <d v="2014-04-15T00:00:00"/>
    <m/>
    <d v="2014-09-15T00:00:00"/>
    <d v="2014-09-30T00:00:00"/>
    <d v="2014-09-26T00:00:00"/>
    <m/>
    <m/>
    <m/>
    <m/>
    <x v="0"/>
    <m/>
    <n v="80"/>
    <n v="0"/>
    <n v="0"/>
    <n v="0"/>
    <n v="0"/>
    <n v="0"/>
    <n v="80"/>
    <n v="4228900"/>
    <n v="17440000"/>
    <n v="3.749094434615492"/>
  </r>
  <r>
    <n v="0"/>
    <n v="0"/>
    <n v="4"/>
    <n v="9"/>
    <s v="전략"/>
    <x v="18"/>
    <s v="ELK-대경-01"/>
    <s v="ELK-대경-01ELKJPF5502RE"/>
    <n v="1"/>
    <s v="ELK-대경-011"/>
    <s v="ELK-대경-011-ELKJPF5502REDOMM"/>
    <s v="ELK의류502"/>
    <s v="ELK"/>
    <s v="14FW_E"/>
    <m/>
    <s v="ELK"/>
    <s v="ELSTINKO KIDS"/>
    <s v="F"/>
    <n v="5"/>
    <s v="JP"/>
    <s v="JUMPER"/>
    <s v="K"/>
    <n v="502"/>
    <n v="502"/>
    <s v="ELKJPF5502"/>
    <n v="8.3333333333333329E-2"/>
    <s v="14FW_ELSTINKO_DOWN_JUMPER_05_RD_KIDS"/>
    <s v="RE"/>
    <s v="RED"/>
    <s v="ELKJPF5502RE"/>
    <x v="0"/>
    <n v="0.25"/>
    <m/>
    <n v="1"/>
    <s v="OMM"/>
    <n v="60"/>
    <x v="14"/>
    <n v="1"/>
    <x v="0"/>
    <s v="M"/>
    <s v="IN"/>
    <x v="0"/>
    <n v="218000"/>
    <x v="22"/>
    <n v="44040.404040404042"/>
    <n v="52861.25"/>
    <n v="8820.8459595959575"/>
    <m/>
    <n v="20"/>
    <m/>
    <n v="20"/>
    <n v="45.75"/>
    <m/>
    <d v="2014-04-15T00:00:00"/>
    <m/>
    <d v="2014-09-15T00:00:00"/>
    <d v="2014-09-30T00:00:00"/>
    <d v="2014-09-26T00:00:00"/>
    <m/>
    <m/>
    <m/>
    <m/>
    <x v="0"/>
    <m/>
    <n v="60"/>
    <n v="0"/>
    <n v="0"/>
    <n v="0"/>
    <n v="0"/>
    <n v="0"/>
    <n v="60"/>
    <n v="3171675"/>
    <n v="13080000"/>
    <n v="3.7490944346154915"/>
  </r>
  <r>
    <n v="0"/>
    <n v="0"/>
    <n v="4"/>
    <n v="9"/>
    <s v="전략"/>
    <x v="18"/>
    <s v="ELK-대경-01"/>
    <s v="ELK-대경-01ELKJPF5502RE"/>
    <n v="1"/>
    <s v="ELK-대경-011"/>
    <s v="ELK-대경-011-ELKJPF5502REDOLL"/>
    <s v="ELK의류502"/>
    <s v="ELK"/>
    <s v="14FW_E"/>
    <m/>
    <s v="ELK"/>
    <s v="ELSTINKO KIDS"/>
    <s v="F"/>
    <n v="5"/>
    <s v="JP"/>
    <s v="JUMPER"/>
    <s v="K"/>
    <n v="502"/>
    <n v="502"/>
    <s v="ELKJPF5502"/>
    <n v="8.3333333333333329E-2"/>
    <s v="14FW_ELSTINKO_DOWN_JUMPER_05_RD_KIDS"/>
    <s v="RE"/>
    <s v="RED"/>
    <s v="ELKJPF5502RE"/>
    <x v="0"/>
    <n v="0.25"/>
    <m/>
    <n v="1"/>
    <s v="OLL"/>
    <n v="50"/>
    <x v="14"/>
    <n v="1"/>
    <x v="0"/>
    <s v="M"/>
    <s v="IN"/>
    <x v="0"/>
    <n v="218000"/>
    <x v="22"/>
    <n v="44040.404040404042"/>
    <n v="52861.25"/>
    <n v="8820.8459595959575"/>
    <m/>
    <n v="20"/>
    <m/>
    <n v="20"/>
    <n v="45.75"/>
    <m/>
    <d v="2014-04-15T00:00:00"/>
    <m/>
    <d v="2014-09-15T00:00:00"/>
    <d v="2014-09-30T00:00:00"/>
    <d v="2014-09-26T00:00:00"/>
    <m/>
    <m/>
    <m/>
    <m/>
    <x v="0"/>
    <m/>
    <n v="50"/>
    <n v="0"/>
    <n v="0"/>
    <n v="0"/>
    <n v="0"/>
    <n v="0"/>
    <n v="50"/>
    <n v="2643062.5"/>
    <n v="10900000"/>
    <n v="3.7490944346154915"/>
  </r>
  <r>
    <n v="0"/>
    <n v="0"/>
    <n v="4"/>
    <n v="9"/>
    <s v="전략"/>
    <x v="18"/>
    <s v="ELK-대경-01"/>
    <s v="ELK-대경-01ELKJPF5502YE"/>
    <n v="2"/>
    <s v="ELK-대경-012"/>
    <s v="ELK-대경-012-ELKJPF5502YELLOWOXS"/>
    <s v="ELK의류502"/>
    <s v="ELK"/>
    <s v="14FW_E"/>
    <m/>
    <s v="ELK"/>
    <s v="ELSTINKO KIDS"/>
    <s v="F"/>
    <n v="5"/>
    <s v="JP"/>
    <s v="JUMPER"/>
    <s v="K"/>
    <n v="502"/>
    <n v="502"/>
    <s v="ELKJPF5502"/>
    <n v="8.3333333333333329E-2"/>
    <s v="14FW_ELSTINKO_DOWN_JUMPER_05_YE_KIDS"/>
    <s v="YE"/>
    <s v="YELLOW"/>
    <s v="ELKJPF5502YE"/>
    <x v="0"/>
    <n v="0.25"/>
    <m/>
    <n v="1"/>
    <s v="OXS"/>
    <n v="60"/>
    <x v="14"/>
    <n v="1"/>
    <x v="0"/>
    <s v="M"/>
    <s v="IN"/>
    <x v="0"/>
    <n v="218000"/>
    <x v="22"/>
    <n v="44040.404040404042"/>
    <n v="52861.25"/>
    <n v="8820.8459595959575"/>
    <m/>
    <n v="20"/>
    <m/>
    <n v="20"/>
    <n v="45.75"/>
    <m/>
    <d v="2014-04-15T00:00:00"/>
    <m/>
    <d v="2014-09-15T00:00:00"/>
    <d v="2014-09-30T00:00:00"/>
    <d v="2014-09-26T00:00:00"/>
    <m/>
    <m/>
    <m/>
    <m/>
    <x v="0"/>
    <m/>
    <n v="60"/>
    <n v="0"/>
    <n v="0"/>
    <n v="0"/>
    <n v="0"/>
    <n v="0"/>
    <n v="60"/>
    <n v="3171675"/>
    <n v="13080000"/>
    <n v="3.7490944346154915"/>
  </r>
  <r>
    <n v="0"/>
    <n v="0"/>
    <n v="4"/>
    <n v="9"/>
    <s v="전략"/>
    <x v="18"/>
    <s v="ELK-대경-01"/>
    <s v="ELK-대경-01ELKJPF5502YE"/>
    <n v="2"/>
    <s v="ELK-대경-012"/>
    <s v="ELK-대경-012-ELKJPF5502YELLOWOSS"/>
    <s v="ELK의류502"/>
    <s v="ELK"/>
    <s v="14FW_E"/>
    <m/>
    <s v="ELK"/>
    <s v="ELSTINKO KIDS"/>
    <s v="F"/>
    <n v="5"/>
    <s v="JP"/>
    <s v="JUMPER"/>
    <s v="K"/>
    <n v="502"/>
    <n v="502"/>
    <s v="ELKJPF5502"/>
    <n v="8.3333333333333329E-2"/>
    <s v="14FW_ELSTINKO_DOWN_JUMPER_05_YE_KIDS"/>
    <s v="YE"/>
    <s v="YELLOW"/>
    <s v="ELKJPF5502YE"/>
    <x v="0"/>
    <n v="0.25"/>
    <m/>
    <n v="1"/>
    <s v="OSS"/>
    <n v="80"/>
    <x v="14"/>
    <n v="1"/>
    <x v="0"/>
    <s v="M"/>
    <s v="IN"/>
    <x v="0"/>
    <n v="218000"/>
    <x v="22"/>
    <n v="44040.404040404042"/>
    <n v="52861.25"/>
    <n v="8820.8459595959575"/>
    <m/>
    <n v="20"/>
    <m/>
    <n v="20"/>
    <n v="45.75"/>
    <m/>
    <d v="2014-04-15T00:00:00"/>
    <m/>
    <d v="2014-09-15T00:00:00"/>
    <d v="2014-09-30T00:00:00"/>
    <d v="2014-09-26T00:00:00"/>
    <m/>
    <m/>
    <m/>
    <m/>
    <x v="0"/>
    <m/>
    <n v="80"/>
    <n v="0"/>
    <n v="0"/>
    <n v="0"/>
    <n v="0"/>
    <n v="0"/>
    <n v="80"/>
    <n v="4228900"/>
    <n v="17440000"/>
    <n v="3.749094434615492"/>
  </r>
  <r>
    <n v="0"/>
    <n v="0"/>
    <n v="4"/>
    <n v="9"/>
    <s v="전략"/>
    <x v="18"/>
    <s v="ELK-대경-01"/>
    <s v="ELK-대경-01ELKJPF5502YE"/>
    <n v="2"/>
    <s v="ELK-대경-012"/>
    <s v="ELK-대경-012-ELKJPF5502YELLOWOMM"/>
    <s v="ELK의류502"/>
    <s v="ELK"/>
    <s v="14FW_E"/>
    <m/>
    <s v="ELK"/>
    <s v="ELSTINKO KIDS"/>
    <s v="F"/>
    <n v="5"/>
    <s v="JP"/>
    <s v="JUMPER"/>
    <s v="K"/>
    <n v="502"/>
    <n v="502"/>
    <s v="ELKJPF5502"/>
    <n v="8.3333333333333329E-2"/>
    <s v="14FW_ELSTINKO_DOWN_JUMPER_05_YE_KIDS"/>
    <s v="YE"/>
    <s v="YELLOW"/>
    <s v="ELKJPF5502YE"/>
    <x v="0"/>
    <n v="0.25"/>
    <m/>
    <n v="1"/>
    <s v="OMM"/>
    <n v="60"/>
    <x v="14"/>
    <n v="1"/>
    <x v="0"/>
    <s v="M"/>
    <s v="IN"/>
    <x v="0"/>
    <n v="218000"/>
    <x v="22"/>
    <n v="44040.404040404042"/>
    <n v="52861.25"/>
    <n v="8820.8459595959575"/>
    <m/>
    <n v="20"/>
    <m/>
    <n v="20"/>
    <n v="45.75"/>
    <m/>
    <d v="2014-04-15T00:00:00"/>
    <m/>
    <d v="2014-09-15T00:00:00"/>
    <d v="2014-09-30T00:00:00"/>
    <d v="2014-09-26T00:00:00"/>
    <m/>
    <m/>
    <m/>
    <m/>
    <x v="0"/>
    <m/>
    <n v="60"/>
    <n v="0"/>
    <n v="0"/>
    <n v="0"/>
    <n v="0"/>
    <n v="0"/>
    <n v="60"/>
    <n v="3171675"/>
    <n v="13080000"/>
    <n v="3.7490944346154915"/>
  </r>
  <r>
    <n v="0"/>
    <n v="0"/>
    <n v="4"/>
    <n v="9"/>
    <s v="전략"/>
    <x v="18"/>
    <s v="ELK-대경-01"/>
    <s v="ELK-대경-01ELKJPF5502YE"/>
    <n v="2"/>
    <s v="ELK-대경-012"/>
    <s v="ELK-대경-012-ELKJPF5502YELLOWOLL"/>
    <s v="ELK의류502"/>
    <s v="ELK"/>
    <s v="14FW_E"/>
    <m/>
    <s v="ELK"/>
    <s v="ELSTINKO KIDS"/>
    <s v="F"/>
    <n v="5"/>
    <s v="JP"/>
    <s v="JUMPER"/>
    <s v="K"/>
    <n v="502"/>
    <n v="502"/>
    <s v="ELKJPF5502"/>
    <n v="8.3333333333333329E-2"/>
    <s v="14FW_ELSTINKO_DOWN_JUMPER_05_YE_KIDS"/>
    <s v="YE"/>
    <s v="YELLOW"/>
    <s v="ELKJPF5502YE"/>
    <x v="0"/>
    <n v="0.25"/>
    <m/>
    <n v="1"/>
    <s v="OLL"/>
    <n v="50"/>
    <x v="14"/>
    <n v="1"/>
    <x v="0"/>
    <s v="M"/>
    <s v="IN"/>
    <x v="0"/>
    <n v="218000"/>
    <x v="22"/>
    <n v="44040.404040404042"/>
    <n v="52861.25"/>
    <n v="8820.8459595959575"/>
    <m/>
    <n v="20"/>
    <m/>
    <n v="20"/>
    <n v="45.75"/>
    <m/>
    <d v="2014-04-15T00:00:00"/>
    <m/>
    <d v="2014-09-15T00:00:00"/>
    <d v="2014-09-30T00:00:00"/>
    <d v="2014-09-26T00:00:00"/>
    <m/>
    <m/>
    <m/>
    <m/>
    <x v="0"/>
    <m/>
    <n v="50"/>
    <n v="0"/>
    <n v="0"/>
    <n v="0"/>
    <n v="0"/>
    <n v="0"/>
    <n v="50"/>
    <n v="2643062.5"/>
    <n v="10900000"/>
    <n v="3.7490944346154915"/>
  </r>
  <r>
    <n v="0"/>
    <n v="0"/>
    <n v="4"/>
    <n v="9"/>
    <s v="전략"/>
    <x v="18"/>
    <s v="ELK-대경-01"/>
    <s v="ELK-대경-01ELKJPF5502BL"/>
    <n v="3"/>
    <s v="ELK-대경-013"/>
    <s v="ELK-대경-013-ELKJPF5502BLUEOXS"/>
    <s v="ELK의류502"/>
    <s v="ELK"/>
    <s v="14FW_E"/>
    <m/>
    <s v="ELK"/>
    <s v="ELSTINKO KIDS"/>
    <s v="F"/>
    <n v="5"/>
    <s v="JP"/>
    <s v="JUMPER"/>
    <s v="K"/>
    <n v="502"/>
    <n v="502"/>
    <s v="ELKJPF5502"/>
    <n v="8.3333333333333329E-2"/>
    <s v="14FW_ELSTINKO_DOWN_JUMPER_05_BL_KIDS"/>
    <s v="BL"/>
    <s v="BLUE"/>
    <s v="ELKJPF5502BL"/>
    <x v="0"/>
    <n v="0.25"/>
    <m/>
    <n v="1"/>
    <s v="OXS"/>
    <n v="60"/>
    <x v="14"/>
    <n v="1"/>
    <x v="0"/>
    <s v="M"/>
    <s v="IN"/>
    <x v="0"/>
    <n v="218000"/>
    <x v="22"/>
    <n v="44040.404040404042"/>
    <n v="52861.25"/>
    <n v="8820.8459595959575"/>
    <m/>
    <n v="20"/>
    <m/>
    <n v="20"/>
    <n v="45.75"/>
    <m/>
    <d v="2014-04-15T00:00:00"/>
    <m/>
    <d v="2014-09-15T00:00:00"/>
    <d v="2014-09-30T00:00:00"/>
    <d v="2014-09-26T00:00:00"/>
    <m/>
    <m/>
    <m/>
    <m/>
    <x v="0"/>
    <m/>
    <n v="60"/>
    <n v="0"/>
    <n v="0"/>
    <n v="0"/>
    <n v="0"/>
    <n v="0"/>
    <n v="60"/>
    <n v="3171675"/>
    <n v="13080000"/>
    <n v="3.7490944346154915"/>
  </r>
  <r>
    <n v="0"/>
    <n v="0"/>
    <n v="4"/>
    <n v="9"/>
    <s v="전략"/>
    <x v="18"/>
    <s v="ELK-대경-01"/>
    <s v="ELK-대경-01ELKJPF5502BL"/>
    <n v="3"/>
    <s v="ELK-대경-013"/>
    <s v="ELK-대경-013-ELKJPF5502BLUEOSS"/>
    <s v="ELK의류502"/>
    <s v="ELK"/>
    <s v="14FW_E"/>
    <m/>
    <s v="ELK"/>
    <s v="ELSTINKO KIDS"/>
    <s v="F"/>
    <n v="5"/>
    <s v="JP"/>
    <s v="JUMPER"/>
    <s v="K"/>
    <n v="502"/>
    <n v="502"/>
    <s v="ELKJPF5502"/>
    <n v="8.3333333333333329E-2"/>
    <s v="14FW_ELSTINKO_DOWN_JUMPER_05_BL_KIDS"/>
    <s v="BL"/>
    <s v="BLUE"/>
    <s v="ELKJPF5502BL"/>
    <x v="0"/>
    <n v="0.25"/>
    <m/>
    <n v="1"/>
    <s v="OSS"/>
    <n v="80"/>
    <x v="14"/>
    <n v="1"/>
    <x v="0"/>
    <s v="M"/>
    <s v="IN"/>
    <x v="0"/>
    <n v="218000"/>
    <x v="22"/>
    <n v="44040.404040404042"/>
    <n v="52861.25"/>
    <n v="8820.8459595959575"/>
    <m/>
    <n v="20"/>
    <m/>
    <n v="20"/>
    <n v="45.75"/>
    <m/>
    <d v="2014-04-15T00:00:00"/>
    <m/>
    <d v="2014-09-15T00:00:00"/>
    <d v="2014-09-30T00:00:00"/>
    <d v="2014-09-26T00:00:00"/>
    <m/>
    <m/>
    <m/>
    <m/>
    <x v="0"/>
    <m/>
    <n v="79"/>
    <n v="0"/>
    <n v="0"/>
    <n v="0"/>
    <n v="0"/>
    <n v="0"/>
    <n v="80"/>
    <n v="4228900"/>
    <n v="17440000"/>
    <n v="3.749094434615492"/>
  </r>
  <r>
    <n v="0"/>
    <n v="0"/>
    <n v="4"/>
    <n v="9"/>
    <s v="전략"/>
    <x v="18"/>
    <s v="ELK-대경-01"/>
    <s v="ELK-대경-01ELKJPF5502BL"/>
    <n v="3"/>
    <s v="ELK-대경-013"/>
    <s v="ELK-대경-013-ELKJPF5502BLUEOMM"/>
    <s v="ELK의류502"/>
    <s v="ELK"/>
    <s v="14FW_E"/>
    <m/>
    <s v="ELK"/>
    <s v="ELSTINKO KIDS"/>
    <s v="F"/>
    <n v="5"/>
    <s v="JP"/>
    <s v="JUMPER"/>
    <s v="K"/>
    <n v="502"/>
    <n v="502"/>
    <s v="ELKJPF5502"/>
    <n v="8.3333333333333329E-2"/>
    <s v="14FW_ELSTINKO_DOWN_JUMPER_05_BL_KIDS"/>
    <s v="BL"/>
    <s v="BLUE"/>
    <s v="ELKJPF5502BL"/>
    <x v="0"/>
    <n v="0.25"/>
    <m/>
    <n v="1"/>
    <s v="OMM"/>
    <n v="60"/>
    <x v="14"/>
    <n v="1"/>
    <x v="0"/>
    <s v="M"/>
    <s v="IN"/>
    <x v="0"/>
    <n v="218000"/>
    <x v="22"/>
    <n v="44040.404040404042"/>
    <n v="52861.25"/>
    <n v="8820.8459595959575"/>
    <m/>
    <n v="20"/>
    <m/>
    <n v="20"/>
    <n v="45.75"/>
    <m/>
    <d v="2014-04-15T00:00:00"/>
    <m/>
    <d v="2014-09-15T00:00:00"/>
    <d v="2014-09-30T00:00:00"/>
    <d v="2014-09-26T00:00:00"/>
    <m/>
    <m/>
    <m/>
    <m/>
    <x v="0"/>
    <m/>
    <n v="60"/>
    <n v="0"/>
    <n v="0"/>
    <n v="0"/>
    <n v="0"/>
    <n v="0"/>
    <n v="60"/>
    <n v="3171675"/>
    <n v="13080000"/>
    <n v="3.7490944346154915"/>
  </r>
  <r>
    <n v="0"/>
    <n v="0"/>
    <n v="4"/>
    <n v="9"/>
    <s v="전략"/>
    <x v="18"/>
    <s v="ELK-대경-01"/>
    <s v="ELK-대경-01ELKJPF5502BL"/>
    <n v="3"/>
    <s v="ELK-대경-013"/>
    <s v="ELK-대경-013-ELKJPF5502BLUEOLL"/>
    <s v="ELK의류502"/>
    <s v="ELK"/>
    <s v="14FW_E"/>
    <m/>
    <s v="ELK"/>
    <s v="ELSTINKO KIDS"/>
    <s v="F"/>
    <n v="5"/>
    <s v="JP"/>
    <s v="JUMPER"/>
    <s v="K"/>
    <n v="502"/>
    <n v="502"/>
    <s v="ELKJPF5502"/>
    <n v="8.3333333333333329E-2"/>
    <s v="14FW_ELSTINKO_DOWN_JUMPER_05_BL_KIDS"/>
    <s v="BL"/>
    <s v="BLUE"/>
    <s v="ELKJPF5502BL"/>
    <x v="0"/>
    <n v="0.25"/>
    <m/>
    <n v="1"/>
    <s v="OLL"/>
    <n v="50"/>
    <x v="14"/>
    <n v="1"/>
    <x v="0"/>
    <s v="M"/>
    <s v="IN"/>
    <x v="0"/>
    <n v="218000"/>
    <x v="22"/>
    <n v="44040.404040404042"/>
    <n v="52861.25"/>
    <n v="8820.8459595959575"/>
    <m/>
    <n v="20"/>
    <m/>
    <n v="20"/>
    <n v="45.75"/>
    <m/>
    <d v="2014-04-15T00:00:00"/>
    <m/>
    <d v="2014-09-15T00:00:00"/>
    <d v="2014-09-30T00:00:00"/>
    <d v="2014-09-26T00:00:00"/>
    <m/>
    <m/>
    <m/>
    <m/>
    <x v="0"/>
    <m/>
    <n v="50"/>
    <n v="0"/>
    <n v="0"/>
    <n v="0"/>
    <n v="0"/>
    <n v="0"/>
    <n v="50"/>
    <n v="2643062.5"/>
    <n v="10900000"/>
    <n v="3.7490944346154915"/>
  </r>
  <r>
    <n v="0"/>
    <n v="0"/>
    <n v="4"/>
    <n v="9"/>
    <s v="전략"/>
    <x v="18"/>
    <s v="ELK-대경-01"/>
    <s v="ELK-대경-01ELKPTF5503BK"/>
    <n v="4"/>
    <s v="ELK-대경-014"/>
    <s v="ELK-대경-014-ELKPTF5503BLACKOXS"/>
    <s v="ELK의류503"/>
    <s v="ELK"/>
    <s v="14FW E"/>
    <m/>
    <s v="ELK"/>
    <s v="ELSTINKO KIDS"/>
    <s v="F"/>
    <n v="5"/>
    <s v="PT"/>
    <s v="PANTS"/>
    <s v="K"/>
    <n v="503"/>
    <n v="503"/>
    <s v="ELKPTF5503"/>
    <n v="0.2"/>
    <s v="14FW ELSTINKO_PANTS_04_BK_KIDS"/>
    <s v="BK"/>
    <s v="BLACK"/>
    <s v="ELKPTF5503BK"/>
    <x v="0"/>
    <n v="0.2"/>
    <m/>
    <n v="1"/>
    <s v="OXS"/>
    <n v="70"/>
    <x v="14"/>
    <n v="1"/>
    <x v="0"/>
    <s v="M"/>
    <s v="IN"/>
    <x v="0"/>
    <n v="89000"/>
    <x v="22"/>
    <n v="17979.797979797979"/>
    <n v="20290.250000000004"/>
    <n v="2310.4520202020249"/>
    <m/>
    <n v="20"/>
    <m/>
    <n v="20"/>
    <n v="17.55"/>
    <m/>
    <d v="2014-04-15T00:00:00"/>
    <m/>
    <d v="2014-09-15T00:00:00"/>
    <d v="2014-09-30T00:00:00"/>
    <d v="2014-09-26T00:00:00"/>
    <m/>
    <m/>
    <m/>
    <m/>
    <x v="0"/>
    <m/>
    <n v="70"/>
    <n v="0"/>
    <n v="0"/>
    <n v="0"/>
    <n v="0"/>
    <n v="0"/>
    <n v="70"/>
    <n v="1420317.5000000002"/>
    <n v="6230000"/>
    <n v="3.987584722173994"/>
  </r>
  <r>
    <n v="0"/>
    <n v="0"/>
    <n v="4"/>
    <n v="9"/>
    <s v="전략"/>
    <x v="18"/>
    <s v="ELK-대경-01"/>
    <s v="ELK-대경-01ELKPTF5503BK"/>
    <n v="4"/>
    <s v="ELK-대경-014"/>
    <s v="ELK-대경-014-ELKPTF5503BLACKOSS"/>
    <s v="ELK의류503"/>
    <s v="ELK"/>
    <s v="14FW E"/>
    <m/>
    <s v="ELK"/>
    <s v="ELSTINKO KIDS"/>
    <s v="F"/>
    <n v="5"/>
    <s v="PT"/>
    <s v="PANTS"/>
    <s v="K"/>
    <n v="503"/>
    <n v="503"/>
    <s v="ELKPTF5503"/>
    <n v="0.2"/>
    <s v="14FW ELSTINKO_PANTS_04_BK_KIDS"/>
    <s v="BK"/>
    <s v="BLACK"/>
    <s v="ELKPTF5503BK"/>
    <x v="0"/>
    <n v="0.2"/>
    <m/>
    <n v="1"/>
    <s v="OSS"/>
    <n v="70"/>
    <x v="14"/>
    <n v="1"/>
    <x v="0"/>
    <s v="M"/>
    <s v="IN"/>
    <x v="0"/>
    <n v="89000"/>
    <x v="22"/>
    <n v="17979.797979797979"/>
    <n v="20290.250000000004"/>
    <n v="2310.4520202020249"/>
    <m/>
    <n v="20"/>
    <m/>
    <n v="20"/>
    <n v="17.55"/>
    <m/>
    <d v="2014-04-15T00:00:00"/>
    <m/>
    <d v="2014-09-15T00:00:00"/>
    <d v="2014-09-30T00:00:00"/>
    <d v="2014-09-26T00:00:00"/>
    <m/>
    <m/>
    <m/>
    <m/>
    <x v="0"/>
    <m/>
    <n v="70"/>
    <n v="0"/>
    <n v="0"/>
    <n v="0"/>
    <n v="0"/>
    <n v="0"/>
    <n v="70"/>
    <n v="1420317.5000000002"/>
    <n v="6230000"/>
    <n v="3.987584722173994"/>
  </r>
  <r>
    <n v="0"/>
    <n v="0"/>
    <n v="4"/>
    <n v="9"/>
    <s v="전략"/>
    <x v="18"/>
    <s v="ELK-대경-01"/>
    <s v="ELK-대경-01ELKPTF5503BK"/>
    <n v="4"/>
    <s v="ELK-대경-014"/>
    <s v="ELK-대경-014-ELKPTF5503BLACKOMM"/>
    <s v="ELK의류503"/>
    <s v="ELK"/>
    <s v="14FW E"/>
    <m/>
    <s v="ELK"/>
    <s v="ELSTINKO KIDS"/>
    <s v="F"/>
    <n v="5"/>
    <s v="PT"/>
    <s v="PANTS"/>
    <s v="K"/>
    <n v="503"/>
    <n v="503"/>
    <s v="ELKPTF5503"/>
    <n v="0.2"/>
    <s v="14FW ELSTINKO_PANTS_04_BK_KIDS"/>
    <s v="BK"/>
    <s v="BLACK"/>
    <s v="ELKPTF5503BK"/>
    <x v="0"/>
    <n v="0.2"/>
    <m/>
    <n v="1"/>
    <s v="OMM"/>
    <n v="60"/>
    <x v="14"/>
    <n v="1"/>
    <x v="0"/>
    <s v="M"/>
    <s v="IN"/>
    <x v="0"/>
    <n v="89000"/>
    <x v="22"/>
    <n v="17979.797979797979"/>
    <n v="20290.250000000004"/>
    <n v="2310.4520202020249"/>
    <m/>
    <n v="20"/>
    <m/>
    <n v="20"/>
    <n v="17.55"/>
    <m/>
    <d v="2014-04-15T00:00:00"/>
    <m/>
    <d v="2014-09-15T00:00:00"/>
    <d v="2014-09-30T00:00:00"/>
    <d v="2014-09-26T00:00:00"/>
    <m/>
    <m/>
    <m/>
    <m/>
    <x v="0"/>
    <m/>
    <n v="60"/>
    <n v="0"/>
    <n v="0"/>
    <n v="0"/>
    <n v="0"/>
    <n v="0"/>
    <n v="60"/>
    <n v="1217415.0000000002"/>
    <n v="5340000"/>
    <n v="3.987584722173994"/>
  </r>
  <r>
    <n v="0"/>
    <n v="0"/>
    <n v="4"/>
    <n v="9"/>
    <s v="전략"/>
    <x v="18"/>
    <s v="ELK-대경-01"/>
    <s v="ELK-대경-01ELKPTF5503BK"/>
    <n v="4"/>
    <s v="ELK-대경-014"/>
    <s v="ELK-대경-014-ELKPTF5503BLACKOLL"/>
    <s v="ELK의류503"/>
    <s v="ELK"/>
    <s v="14FW E"/>
    <m/>
    <s v="ELK"/>
    <s v="ELSTINKO KIDS"/>
    <s v="F"/>
    <n v="5"/>
    <s v="PT"/>
    <s v="PANTS"/>
    <s v="K"/>
    <n v="503"/>
    <n v="503"/>
    <s v="ELKPTF5503"/>
    <n v="0.2"/>
    <s v="14FW ELSTINKO_PANTS_04_BK_KIDS"/>
    <s v="BK"/>
    <s v="BLACK"/>
    <s v="ELKPTF5503BK"/>
    <x v="0"/>
    <n v="0.2"/>
    <m/>
    <n v="1"/>
    <s v="OLL"/>
    <n v="50"/>
    <x v="14"/>
    <n v="1"/>
    <x v="0"/>
    <s v="M"/>
    <s v="IN"/>
    <x v="0"/>
    <n v="89000"/>
    <x v="22"/>
    <n v="17979.797979797979"/>
    <n v="20290.250000000004"/>
    <n v="2310.4520202020249"/>
    <m/>
    <n v="20"/>
    <m/>
    <n v="20"/>
    <n v="17.55"/>
    <m/>
    <d v="2014-04-15T00:00:00"/>
    <m/>
    <d v="2014-09-15T00:00:00"/>
    <d v="2014-09-30T00:00:00"/>
    <d v="2014-09-26T00:00:00"/>
    <m/>
    <m/>
    <m/>
    <m/>
    <x v="0"/>
    <m/>
    <n v="50"/>
    <n v="0"/>
    <n v="0"/>
    <n v="0"/>
    <n v="0"/>
    <n v="0"/>
    <n v="50"/>
    <n v="1014512.5000000002"/>
    <n v="4450000"/>
    <n v="3.9875847221739944"/>
  </r>
  <r>
    <n v="0"/>
    <n v="0"/>
    <n v="4"/>
    <n v="9"/>
    <s v="전략"/>
    <x v="18"/>
    <s v="ELK-대경-01"/>
    <s v="ELK-대경-01ELKPTF5503BK"/>
    <n v="4"/>
    <s v="ELK-대경-014"/>
    <s v="ELK-대경-014-ELKPTF5503BLACKOXL"/>
    <s v="ELK의류503"/>
    <s v="ELK"/>
    <s v="14FW E"/>
    <m/>
    <s v="ELK"/>
    <s v="ELSTINKO KIDS"/>
    <s v="F"/>
    <n v="5"/>
    <s v="PT"/>
    <s v="PANTS"/>
    <s v="K"/>
    <n v="503"/>
    <n v="503"/>
    <s v="ELKPTF5503"/>
    <n v="0.2"/>
    <s v="14FW ELSTINKO_PANTS_04_BK_KIDS"/>
    <s v="BK"/>
    <s v="BLACK"/>
    <s v="ELKPTF5503BK"/>
    <x v="0"/>
    <n v="0.2"/>
    <m/>
    <n v="1"/>
    <s v="OXL"/>
    <n v="50"/>
    <x v="14"/>
    <n v="1"/>
    <x v="0"/>
    <s v="M"/>
    <s v="IN"/>
    <x v="0"/>
    <n v="89000"/>
    <x v="22"/>
    <n v="17979.797979797979"/>
    <n v="20290.250000000004"/>
    <n v="2310.4520202020249"/>
    <m/>
    <n v="20"/>
    <m/>
    <n v="20"/>
    <n v="17.55"/>
    <m/>
    <d v="2014-04-15T00:00:00"/>
    <m/>
    <d v="2014-09-15T00:00:00"/>
    <d v="2014-09-30T00:00:00"/>
    <d v="2014-09-26T00:00:00"/>
    <m/>
    <m/>
    <m/>
    <m/>
    <x v="0"/>
    <m/>
    <n v="50"/>
    <n v="0"/>
    <n v="0"/>
    <n v="0"/>
    <n v="0"/>
    <n v="0"/>
    <n v="50"/>
    <n v="1014512.5000000002"/>
    <n v="4450000"/>
    <n v="3.9875847221739944"/>
  </r>
  <r>
    <n v="0"/>
    <n v="0"/>
    <n v="4"/>
    <n v="9"/>
    <s v="전략"/>
    <x v="18"/>
    <s v="ELK-대경-01"/>
    <s v="ELK-대경-01ELKJPF5529PK"/>
    <n v="5"/>
    <s v="ELK-대경-015"/>
    <s v="ELK-대경-015-ELKJPF5529PINKOXS"/>
    <s v="ELK의류529"/>
    <s v="ELK"/>
    <s v="14FW_E"/>
    <m/>
    <s v="ELK"/>
    <s v="ELSTINKO KIDS"/>
    <s v="F"/>
    <n v="5"/>
    <s v="JP"/>
    <s v="JUMPER"/>
    <s v="K"/>
    <n v="529"/>
    <n v="529"/>
    <s v="ELKJPF5529"/>
    <n v="0.125"/>
    <s v="14FW_ELSTINKO_PADDING_JUMPER_06_PK_KIDS"/>
    <s v="PK"/>
    <s v="PINK"/>
    <s v="ELKJPF5529PK"/>
    <x v="0"/>
    <n v="0.25"/>
    <m/>
    <n v="1"/>
    <s v="OXS"/>
    <n v="60"/>
    <x v="14"/>
    <n v="1"/>
    <x v="0"/>
    <s v="M"/>
    <s v="IN"/>
    <x v="0"/>
    <n v="218000"/>
    <x v="22"/>
    <n v="44040.404040404042"/>
    <n v="54998.000000000007"/>
    <n v="10957.595959595965"/>
    <m/>
    <n v="20"/>
    <m/>
    <n v="20"/>
    <n v="47.6"/>
    <m/>
    <d v="2014-04-15T00:00:00"/>
    <m/>
    <d v="2014-09-15T00:00:00"/>
    <d v="2014-09-30T00:00:00"/>
    <d v="2014-09-26T00:00:00"/>
    <m/>
    <m/>
    <m/>
    <m/>
    <x v="0"/>
    <m/>
    <n v="60"/>
    <n v="0"/>
    <n v="0"/>
    <n v="0"/>
    <n v="0"/>
    <n v="0"/>
    <n v="60"/>
    <n v="3299880.0000000005"/>
    <n v="13080000"/>
    <n v="3.6034368191901183"/>
  </r>
  <r>
    <n v="0"/>
    <n v="0"/>
    <n v="4"/>
    <n v="9"/>
    <s v="전략"/>
    <x v="18"/>
    <s v="ELK-대경-01"/>
    <s v="ELK-대경-01ELKJPF5529PK"/>
    <n v="5"/>
    <s v="ELK-대경-015"/>
    <s v="ELK-대경-015-ELKJPF5529PINKOSS"/>
    <s v="ELK의류529"/>
    <s v="ELK"/>
    <s v="14FW_E"/>
    <m/>
    <s v="ELK"/>
    <s v="ELSTINKO KIDS"/>
    <s v="F"/>
    <n v="5"/>
    <s v="JP"/>
    <s v="JUMPER"/>
    <s v="K"/>
    <n v="529"/>
    <n v="529"/>
    <s v="ELKJPF5529"/>
    <n v="0.125"/>
    <s v="14FW_ELSTINKO_PADDING_JUMPER_06_PK_KIDS"/>
    <s v="PK"/>
    <s v="PINK"/>
    <s v="ELKJPF5529PK"/>
    <x v="0"/>
    <n v="0.25"/>
    <m/>
    <n v="1"/>
    <s v="OSS"/>
    <n v="80"/>
    <x v="14"/>
    <n v="1"/>
    <x v="0"/>
    <s v="M"/>
    <s v="IN"/>
    <x v="0"/>
    <n v="218000"/>
    <x v="22"/>
    <n v="44040.404040404042"/>
    <n v="54998.000000000007"/>
    <n v="10957.595959595965"/>
    <m/>
    <n v="20"/>
    <m/>
    <n v="20"/>
    <n v="47.6"/>
    <m/>
    <d v="2014-04-15T00:00:00"/>
    <m/>
    <d v="2014-09-15T00:00:00"/>
    <d v="2014-09-30T00:00:00"/>
    <d v="2014-09-26T00:00:00"/>
    <m/>
    <m/>
    <m/>
    <m/>
    <x v="0"/>
    <m/>
    <n v="80"/>
    <n v="0"/>
    <n v="0"/>
    <n v="0"/>
    <n v="0"/>
    <n v="0"/>
    <n v="80"/>
    <n v="4399840.0000000009"/>
    <n v="17440000"/>
    <n v="3.6034368191901178"/>
  </r>
  <r>
    <n v="0"/>
    <n v="0"/>
    <n v="4"/>
    <n v="9"/>
    <s v="전략"/>
    <x v="18"/>
    <s v="ELK-대경-01"/>
    <s v="ELK-대경-01ELKJPF5529PK"/>
    <n v="5"/>
    <s v="ELK-대경-015"/>
    <s v="ELK-대경-015-ELKJPF5529PINKOMM"/>
    <s v="ELK의류529"/>
    <s v="ELK"/>
    <s v="14FW_E"/>
    <m/>
    <s v="ELK"/>
    <s v="ELSTINKO KIDS"/>
    <s v="F"/>
    <n v="5"/>
    <s v="JP"/>
    <s v="JUMPER"/>
    <s v="K"/>
    <n v="529"/>
    <n v="529"/>
    <s v="ELKJPF5529"/>
    <n v="0.125"/>
    <s v="14FW_ELSTINKO_PADDING_JUMPER_06_PK_KIDS"/>
    <s v="PK"/>
    <s v="PINK"/>
    <s v="ELKJPF5529PK"/>
    <x v="0"/>
    <n v="0.25"/>
    <m/>
    <n v="1"/>
    <s v="OMM"/>
    <n v="60"/>
    <x v="14"/>
    <n v="1"/>
    <x v="0"/>
    <s v="M"/>
    <s v="IN"/>
    <x v="0"/>
    <n v="218000"/>
    <x v="22"/>
    <n v="44040.404040404042"/>
    <n v="54998.000000000007"/>
    <n v="10957.595959595965"/>
    <m/>
    <n v="20"/>
    <m/>
    <n v="20"/>
    <n v="47.6"/>
    <m/>
    <d v="2014-04-15T00:00:00"/>
    <m/>
    <d v="2014-09-15T00:00:00"/>
    <d v="2014-09-30T00:00:00"/>
    <d v="2014-09-26T00:00:00"/>
    <m/>
    <m/>
    <m/>
    <m/>
    <x v="0"/>
    <m/>
    <n v="60"/>
    <n v="0"/>
    <n v="0"/>
    <n v="0"/>
    <n v="0"/>
    <n v="0"/>
    <n v="60"/>
    <n v="3299880.0000000005"/>
    <n v="13080000"/>
    <n v="3.6034368191901183"/>
  </r>
  <r>
    <n v="0"/>
    <n v="0"/>
    <n v="4"/>
    <n v="9"/>
    <s v="전략"/>
    <x v="18"/>
    <s v="ELK-대경-01"/>
    <s v="ELK-대경-01ELKJPF5529PK"/>
    <n v="5"/>
    <s v="ELK-대경-015"/>
    <s v="ELK-대경-015-ELKJPF5529PINKOLL"/>
    <s v="ELK의류529"/>
    <s v="ELK"/>
    <s v="14FW_E"/>
    <m/>
    <s v="ELK"/>
    <s v="ELSTINKO KIDS"/>
    <s v="F"/>
    <n v="5"/>
    <s v="JP"/>
    <s v="JUMPER"/>
    <s v="K"/>
    <n v="529"/>
    <n v="529"/>
    <s v="ELKJPF5529"/>
    <n v="0.125"/>
    <s v="14FW_ELSTINKO_PADDING_JUMPER_06_PK_KIDS"/>
    <s v="PK"/>
    <s v="PINK"/>
    <s v="ELKJPF5529PK"/>
    <x v="0"/>
    <n v="0.25"/>
    <m/>
    <n v="1"/>
    <s v="OLL"/>
    <n v="50"/>
    <x v="14"/>
    <n v="1"/>
    <x v="0"/>
    <s v="M"/>
    <s v="IN"/>
    <x v="0"/>
    <n v="218000"/>
    <x v="22"/>
    <n v="44040.404040404042"/>
    <n v="54998.000000000007"/>
    <n v="10957.595959595965"/>
    <m/>
    <n v="20"/>
    <m/>
    <n v="20"/>
    <n v="47.6"/>
    <m/>
    <d v="2014-04-15T00:00:00"/>
    <m/>
    <d v="2014-09-15T00:00:00"/>
    <d v="2014-09-30T00:00:00"/>
    <d v="2014-09-26T00:00:00"/>
    <m/>
    <m/>
    <m/>
    <m/>
    <x v="0"/>
    <m/>
    <n v="50"/>
    <n v="0"/>
    <n v="0"/>
    <n v="0"/>
    <n v="0"/>
    <n v="0"/>
    <n v="50"/>
    <n v="2749900.0000000005"/>
    <n v="10900000"/>
    <n v="3.6034368191901183"/>
  </r>
  <r>
    <n v="0"/>
    <n v="0"/>
    <n v="4"/>
    <n v="9"/>
    <s v="전략"/>
    <x v="18"/>
    <s v="ELK-대경-01"/>
    <s v="ELK-대경-01ELKJPF5529OR"/>
    <n v="6"/>
    <s v="ELK-대경-016"/>
    <s v="ELK-대경-016-ELKJPF5529ORANGEOXS"/>
    <s v="ELK의류529"/>
    <s v="ELK"/>
    <s v="14FW_E"/>
    <m/>
    <s v="ELK"/>
    <s v="ELSTINKO KIDS"/>
    <s v="F"/>
    <n v="5"/>
    <s v="JP"/>
    <s v="JUMPER"/>
    <s v="K"/>
    <n v="529"/>
    <n v="529"/>
    <s v="ELKJPF5529"/>
    <n v="0.125"/>
    <s v="14FW_ELSTINKO_PADDING_JUMPER_06_OR_KIDS"/>
    <s v="OR"/>
    <s v="ORANGE"/>
    <s v="ELKJPF5529OR"/>
    <x v="0"/>
    <n v="0.25"/>
    <m/>
    <n v="1"/>
    <s v="OXS"/>
    <n v="60"/>
    <x v="14"/>
    <n v="1"/>
    <x v="0"/>
    <s v="M"/>
    <s v="IN"/>
    <x v="0"/>
    <n v="218000"/>
    <x v="22"/>
    <n v="44040.404040404042"/>
    <n v="54998.000000000007"/>
    <n v="10957.595959595965"/>
    <m/>
    <n v="20"/>
    <m/>
    <n v="20"/>
    <n v="47.6"/>
    <m/>
    <d v="2014-04-15T00:00:00"/>
    <m/>
    <d v="2014-09-15T00:00:00"/>
    <d v="2014-09-30T00:00:00"/>
    <d v="2014-09-26T00:00:00"/>
    <m/>
    <m/>
    <m/>
    <m/>
    <x v="0"/>
    <m/>
    <n v="60"/>
    <n v="0"/>
    <n v="0"/>
    <n v="0"/>
    <n v="0"/>
    <n v="0"/>
    <n v="60"/>
    <n v="3299880.0000000005"/>
    <n v="13080000"/>
    <n v="3.6034368191901183"/>
  </r>
  <r>
    <n v="0"/>
    <n v="0"/>
    <n v="4"/>
    <n v="9"/>
    <s v="전략"/>
    <x v="18"/>
    <s v="ELK-대경-01"/>
    <s v="ELK-대경-01ELKJPF5529OR"/>
    <n v="6"/>
    <s v="ELK-대경-016"/>
    <s v="ELK-대경-016-ELKJPF5529ORANGEOSS"/>
    <s v="ELK의류529"/>
    <s v="ELK"/>
    <s v="14FW_E"/>
    <m/>
    <s v="ELK"/>
    <s v="ELSTINKO KIDS"/>
    <s v="F"/>
    <n v="5"/>
    <s v="JP"/>
    <s v="JUMPER"/>
    <s v="K"/>
    <n v="529"/>
    <n v="529"/>
    <s v="ELKJPF5529"/>
    <n v="0.125"/>
    <s v="14FW_ELSTINKO_PADDING_JUMPER_06_OR_KIDS"/>
    <s v="OR"/>
    <s v="ORANGE"/>
    <s v="ELKJPF5529OR"/>
    <x v="0"/>
    <n v="0.25"/>
    <m/>
    <n v="1"/>
    <s v="OSS"/>
    <n v="80"/>
    <x v="14"/>
    <n v="1"/>
    <x v="0"/>
    <s v="M"/>
    <s v="IN"/>
    <x v="0"/>
    <n v="218000"/>
    <x v="22"/>
    <n v="44040.404040404042"/>
    <n v="54998.000000000007"/>
    <n v="10957.595959595965"/>
    <m/>
    <n v="20"/>
    <m/>
    <n v="20"/>
    <n v="47.6"/>
    <m/>
    <d v="2014-04-15T00:00:00"/>
    <m/>
    <d v="2014-09-15T00:00:00"/>
    <d v="2014-09-30T00:00:00"/>
    <d v="2014-09-26T00:00:00"/>
    <m/>
    <m/>
    <m/>
    <m/>
    <x v="0"/>
    <m/>
    <n v="80"/>
    <n v="0"/>
    <n v="0"/>
    <n v="0"/>
    <n v="0"/>
    <n v="0"/>
    <n v="80"/>
    <n v="4399840.0000000009"/>
    <n v="17440000"/>
    <n v="3.6034368191901178"/>
  </r>
  <r>
    <n v="0"/>
    <n v="0"/>
    <n v="4"/>
    <n v="9"/>
    <s v="전략"/>
    <x v="18"/>
    <s v="ELK-대경-01"/>
    <s v="ELK-대경-01ELKJPF5529OR"/>
    <n v="6"/>
    <s v="ELK-대경-016"/>
    <s v="ELK-대경-016-ELKJPF5529ORANGEOMM"/>
    <s v="ELK의류529"/>
    <s v="ELK"/>
    <s v="14FW_E"/>
    <m/>
    <s v="ELK"/>
    <s v="ELSTINKO KIDS"/>
    <s v="F"/>
    <n v="5"/>
    <s v="JP"/>
    <s v="JUMPER"/>
    <s v="K"/>
    <n v="529"/>
    <n v="529"/>
    <s v="ELKJPF5529"/>
    <n v="0.125"/>
    <s v="14FW_ELSTINKO_PADDING_JUMPER_06_OR_KIDS"/>
    <s v="OR"/>
    <s v="ORANGE"/>
    <s v="ELKJPF5529OR"/>
    <x v="0"/>
    <n v="0.25"/>
    <m/>
    <n v="1"/>
    <s v="OMM"/>
    <n v="60"/>
    <x v="14"/>
    <n v="1"/>
    <x v="0"/>
    <s v="M"/>
    <s v="IN"/>
    <x v="0"/>
    <n v="218000"/>
    <x v="22"/>
    <n v="44040.404040404042"/>
    <n v="54998.000000000007"/>
    <n v="10957.595959595965"/>
    <m/>
    <n v="20"/>
    <m/>
    <n v="20"/>
    <n v="47.6"/>
    <m/>
    <d v="2014-04-15T00:00:00"/>
    <m/>
    <d v="2014-09-15T00:00:00"/>
    <d v="2014-09-30T00:00:00"/>
    <d v="2014-09-26T00:00:00"/>
    <m/>
    <m/>
    <m/>
    <m/>
    <x v="0"/>
    <m/>
    <n v="60"/>
    <n v="0"/>
    <n v="0"/>
    <n v="0"/>
    <n v="0"/>
    <n v="0"/>
    <n v="60"/>
    <n v="3299880.0000000005"/>
    <n v="13080000"/>
    <n v="3.6034368191901183"/>
  </r>
  <r>
    <n v="0"/>
    <n v="0"/>
    <n v="4"/>
    <n v="9"/>
    <s v="전략"/>
    <x v="18"/>
    <s v="ELK-대경-01"/>
    <s v="ELK-대경-01ELKJPF5529OR"/>
    <n v="6"/>
    <s v="ELK-대경-016"/>
    <s v="ELK-대경-016-ELKJPF5529ORANGEOLL"/>
    <s v="ELK의류529"/>
    <s v="ELK"/>
    <s v="14FW_E"/>
    <m/>
    <s v="ELK"/>
    <s v="ELSTINKO KIDS"/>
    <s v="F"/>
    <n v="5"/>
    <s v="JP"/>
    <s v="JUMPER"/>
    <s v="K"/>
    <n v="529"/>
    <n v="529"/>
    <s v="ELKJPF5529"/>
    <n v="0.125"/>
    <s v="14FW_ELSTINKO_PADDING_JUMPER_06_OR_KIDS"/>
    <s v="OR"/>
    <s v="ORANGE"/>
    <s v="ELKJPF5529OR"/>
    <x v="0"/>
    <n v="0.25"/>
    <m/>
    <n v="1"/>
    <s v="OLL"/>
    <n v="50"/>
    <x v="14"/>
    <n v="1"/>
    <x v="0"/>
    <s v="M"/>
    <s v="IN"/>
    <x v="0"/>
    <n v="218000"/>
    <x v="22"/>
    <n v="44040.404040404042"/>
    <n v="54998.000000000007"/>
    <n v="10957.595959595965"/>
    <m/>
    <n v="20"/>
    <m/>
    <n v="20"/>
    <n v="47.6"/>
    <m/>
    <d v="2014-04-15T00:00:00"/>
    <m/>
    <d v="2014-09-15T00:00:00"/>
    <d v="2014-09-30T00:00:00"/>
    <d v="2014-09-26T00:00:00"/>
    <m/>
    <m/>
    <m/>
    <m/>
    <x v="0"/>
    <m/>
    <n v="50"/>
    <n v="0"/>
    <n v="0"/>
    <n v="0"/>
    <n v="0"/>
    <n v="0"/>
    <n v="50"/>
    <n v="2749900.0000000005"/>
    <n v="10900000"/>
    <n v="3.6034368191901183"/>
  </r>
  <r>
    <n v="0"/>
    <n v="0"/>
    <n v="4"/>
    <n v="10"/>
    <s v="전략"/>
    <x v="18"/>
    <s v="ELK-대경-01"/>
    <s v="ELK-대경-01ELKVEF5530RE"/>
    <n v="7"/>
    <s v="ELK-대경-017"/>
    <s v="ELK-대경-017-ELKVEF5530REDOXS"/>
    <s v="ELK의류530"/>
    <s v="ELK"/>
    <s v="14FW_E"/>
    <m/>
    <s v="ELK"/>
    <s v="ELSTINKO KIDS"/>
    <s v="F"/>
    <n v="5"/>
    <s v="VE"/>
    <s v="VEST (조끼)"/>
    <s v="K"/>
    <n v="530"/>
    <n v="530"/>
    <s v="ELKVEF5530"/>
    <n v="0.25"/>
    <s v="14FW_ELSTINKO_VEST_RED_01_KIDS"/>
    <s v="RE"/>
    <s v="RED"/>
    <s v="ELKVEF5530RE"/>
    <x v="0"/>
    <n v="0.25"/>
    <m/>
    <n v="1"/>
    <s v="OXS"/>
    <n v="60"/>
    <x v="14"/>
    <n v="1"/>
    <x v="0"/>
    <s v="M"/>
    <s v="IN"/>
    <x v="0"/>
    <n v="98000"/>
    <x v="22"/>
    <n v="19797.979797979799"/>
    <n v="24852.5"/>
    <n v="5054.5202020202014"/>
    <m/>
    <n v="20"/>
    <m/>
    <n v="20"/>
    <n v="21.5"/>
    <m/>
    <d v="2014-04-15T00:00:00"/>
    <m/>
    <d v="2014-09-15T00:00:00"/>
    <d v="2014-09-30T00:00:00"/>
    <d v="2014-10-08T00:00:00"/>
    <m/>
    <m/>
    <m/>
    <m/>
    <x v="0"/>
    <m/>
    <n v="61"/>
    <n v="0"/>
    <n v="0"/>
    <n v="0"/>
    <n v="0"/>
    <n v="0"/>
    <n v="60"/>
    <n v="1491150"/>
    <n v="5880000"/>
    <n v="3.5847866046035239"/>
  </r>
  <r>
    <n v="0"/>
    <n v="0"/>
    <n v="4"/>
    <n v="10"/>
    <s v="전략"/>
    <x v="18"/>
    <s v="ELK-대경-01"/>
    <s v="ELK-대경-01ELKVEF5530RE"/>
    <n v="7"/>
    <s v="ELK-대경-017"/>
    <s v="ELK-대경-017-ELKVEF5530REDOSS"/>
    <s v="ELK의류530"/>
    <s v="ELK"/>
    <s v="14FW_E"/>
    <m/>
    <s v="ELK"/>
    <s v="ELSTINKO KIDS"/>
    <s v="F"/>
    <n v="5"/>
    <s v="VE"/>
    <s v="VEST (조끼)"/>
    <s v="K"/>
    <n v="530"/>
    <n v="530"/>
    <s v="ELKVEF5530"/>
    <n v="0.25"/>
    <s v="14FW_ELSTINKO_VEST_RED_01_KIDS"/>
    <s v="RE"/>
    <s v="RED"/>
    <s v="ELKVEF5530RE"/>
    <x v="0"/>
    <n v="0.25"/>
    <m/>
    <n v="1"/>
    <s v="OSS"/>
    <n v="80"/>
    <x v="14"/>
    <n v="1"/>
    <x v="0"/>
    <s v="M"/>
    <s v="IN"/>
    <x v="0"/>
    <n v="98000"/>
    <x v="22"/>
    <n v="19797.979797979799"/>
    <n v="24852.5"/>
    <n v="5054.5202020202014"/>
    <m/>
    <n v="20"/>
    <m/>
    <n v="20"/>
    <n v="21.5"/>
    <m/>
    <d v="2014-04-15T00:00:00"/>
    <m/>
    <d v="2014-09-15T00:00:00"/>
    <d v="2014-09-30T00:00:00"/>
    <d v="2014-10-08T00:00:00"/>
    <m/>
    <m/>
    <m/>
    <m/>
    <x v="0"/>
    <m/>
    <n v="80"/>
    <n v="0"/>
    <n v="0"/>
    <n v="0"/>
    <n v="0"/>
    <n v="0"/>
    <n v="80"/>
    <n v="1988200"/>
    <n v="7840000"/>
    <n v="3.5847866046035244"/>
  </r>
  <r>
    <n v="0"/>
    <n v="0"/>
    <n v="4"/>
    <n v="10"/>
    <s v="전략"/>
    <x v="18"/>
    <s v="ELK-대경-01"/>
    <s v="ELK-대경-01ELKVEF5530RE"/>
    <n v="7"/>
    <s v="ELK-대경-017"/>
    <s v="ELK-대경-017-ELKVEF5530REDOMM"/>
    <s v="ELK의류530"/>
    <s v="ELK"/>
    <s v="14FW_E"/>
    <m/>
    <s v="ELK"/>
    <s v="ELSTINKO KIDS"/>
    <s v="F"/>
    <n v="5"/>
    <s v="VE"/>
    <s v="VEST (조끼)"/>
    <s v="K"/>
    <n v="530"/>
    <n v="530"/>
    <s v="ELKVEF5530"/>
    <n v="0.25"/>
    <s v="14FW_ELSTINKO_VEST_RED_01_KIDS"/>
    <s v="RE"/>
    <s v="RED"/>
    <s v="ELKVEF5530RE"/>
    <x v="0"/>
    <n v="0.25"/>
    <m/>
    <n v="1"/>
    <s v="OMM"/>
    <n v="60"/>
    <x v="14"/>
    <n v="1"/>
    <x v="0"/>
    <s v="M"/>
    <s v="IN"/>
    <x v="0"/>
    <n v="98000"/>
    <x v="22"/>
    <n v="19797.979797979799"/>
    <n v="24852.5"/>
    <n v="5054.5202020202014"/>
    <m/>
    <n v="20"/>
    <m/>
    <n v="20"/>
    <n v="21.5"/>
    <m/>
    <d v="2014-04-15T00:00:00"/>
    <m/>
    <d v="2014-09-15T00:00:00"/>
    <d v="2014-09-30T00:00:00"/>
    <d v="2014-10-08T00:00:00"/>
    <m/>
    <m/>
    <m/>
    <m/>
    <x v="0"/>
    <m/>
    <n v="61"/>
    <n v="0"/>
    <n v="0"/>
    <n v="0"/>
    <n v="0"/>
    <n v="0"/>
    <n v="60"/>
    <n v="1491150"/>
    <n v="5880000"/>
    <n v="3.5847866046035239"/>
  </r>
  <r>
    <n v="0"/>
    <n v="0"/>
    <n v="4"/>
    <n v="10"/>
    <s v="전략"/>
    <x v="18"/>
    <s v="ELK-대경-01"/>
    <s v="ELK-대경-01ELKVEF5530RE"/>
    <n v="7"/>
    <s v="ELK-대경-017"/>
    <s v="ELK-대경-017-ELKVEF5530REDOLL"/>
    <s v="ELK의류530"/>
    <s v="ELK"/>
    <s v="14FW_E"/>
    <m/>
    <s v="ELK"/>
    <s v="ELSTINKO KIDS"/>
    <s v="F"/>
    <n v="5"/>
    <s v="VE"/>
    <s v="VEST (조끼)"/>
    <s v="K"/>
    <n v="530"/>
    <n v="530"/>
    <s v="ELKVEF5530"/>
    <n v="0.25"/>
    <s v="14FW_ELSTINKO_VEST_RED_01_KIDS"/>
    <s v="RE"/>
    <s v="RED"/>
    <s v="ELKVEF5530RE"/>
    <x v="0"/>
    <n v="0.25"/>
    <m/>
    <n v="1"/>
    <s v="OLL"/>
    <n v="50"/>
    <x v="14"/>
    <n v="1"/>
    <x v="0"/>
    <s v="M"/>
    <s v="IN"/>
    <x v="0"/>
    <n v="98000"/>
    <x v="22"/>
    <n v="19797.979797979799"/>
    <n v="24852.5"/>
    <n v="5054.5202020202014"/>
    <m/>
    <n v="20"/>
    <m/>
    <n v="20"/>
    <n v="21.5"/>
    <m/>
    <d v="2014-04-15T00:00:00"/>
    <m/>
    <d v="2014-09-15T00:00:00"/>
    <d v="2014-09-30T00:00:00"/>
    <d v="2014-10-08T00:00:00"/>
    <m/>
    <m/>
    <m/>
    <m/>
    <x v="0"/>
    <m/>
    <n v="50"/>
    <n v="0"/>
    <n v="0"/>
    <n v="0"/>
    <n v="0"/>
    <n v="0"/>
    <n v="50"/>
    <n v="1242625"/>
    <n v="4900000"/>
    <n v="3.5847866046035244"/>
  </r>
  <r>
    <n v="0"/>
    <n v="0"/>
    <s v=""/>
    <s v=""/>
    <s v=""/>
    <x v="1"/>
    <s v=""/>
    <s v=""/>
    <n v="0"/>
    <s v="0"/>
    <s v="0-"/>
    <n v="0"/>
    <s v="TTL"/>
    <s v=""/>
    <s v="ELK-대경-01 TTL"/>
    <m/>
    <s v=""/>
    <s v=""/>
    <s v=""/>
    <m/>
    <s v=""/>
    <s v="K"/>
    <m/>
    <s v=""/>
    <s v=""/>
    <n v="4"/>
    <m/>
    <s v=""/>
    <m/>
    <s v=""/>
    <x v="0"/>
    <n v="7.0000000000000009"/>
    <m/>
    <n v="1"/>
    <m/>
    <m/>
    <x v="1"/>
    <m/>
    <x v="1"/>
    <m/>
    <m/>
    <x v="1"/>
    <n v="0"/>
    <x v="1"/>
    <n v="0"/>
    <n v="0"/>
    <n v="0"/>
    <m/>
    <m/>
    <m/>
    <n v="0"/>
    <m/>
    <m/>
    <d v="1899-12-30T00:00:00"/>
    <m/>
    <d v="1899-12-30T00:00:00"/>
    <m/>
    <d v="1899-12-30T00:00:00"/>
    <m/>
    <m/>
    <m/>
    <m/>
    <x v="3"/>
    <m/>
    <n v="1801"/>
    <n v="0"/>
    <n v="0"/>
    <n v="0"/>
    <n v="0"/>
    <n v="0"/>
    <n v="1800"/>
    <n v="79445137.5"/>
    <n v="323700000"/>
    <n v="3.7040999176661664"/>
  </r>
  <r>
    <n v="0"/>
    <n v="0"/>
    <n v="4"/>
    <n v="8"/>
    <s v="전략"/>
    <x v="18"/>
    <s v="ELK-EVERGREEN-02"/>
    <s v="ELK-EVERGREEN-02ELKTLF4506BL"/>
    <n v="1"/>
    <s v="ELK-EVERGREEN-021"/>
    <s v="ELK-EVERGREEN-021-ELKTLF4506BLUEXXS"/>
    <s v="ELK의류506"/>
    <s v="ELK"/>
    <s v="14FW_E"/>
    <m/>
    <s v="ELK"/>
    <s v="ELSTINKO KIDS"/>
    <s v="F"/>
    <n v="4"/>
    <s v="TL"/>
    <s v="LONG SLEEVES"/>
    <s v="K"/>
    <n v="506"/>
    <n v="506"/>
    <s v="ELKTLF4506"/>
    <n v="8.3333333333333329E-2"/>
    <s v="14FW_ELSTINKO_MTM_05_BL_KIDS"/>
    <s v="BL"/>
    <s v="BLUE"/>
    <s v="ELKTLF4506BL"/>
    <x v="0"/>
    <n v="0.16666666666666666"/>
    <m/>
    <n v="1"/>
    <s v="XXS"/>
    <n v="150"/>
    <x v="13"/>
    <n v="2"/>
    <x v="4"/>
    <s v="M"/>
    <s v="CN"/>
    <x v="0"/>
    <n v="65000"/>
    <x v="21"/>
    <n v="11818.181818181818"/>
    <n v="13121.499999999998"/>
    <n v="1303.3181818181802"/>
    <m/>
    <n v="70"/>
    <m/>
    <n v="70"/>
    <n v="10"/>
    <m/>
    <d v="2014-04-15T00:00:00"/>
    <d v="2014-07-19T00:00:00"/>
    <d v="2014-07-03T00:00:00"/>
    <d v="2014-07-25T00:00:00"/>
    <d v="2014-08-25T00:00:00"/>
    <m/>
    <m/>
    <m/>
    <m/>
    <x v="0"/>
    <m/>
    <n v="154"/>
    <n v="0"/>
    <n v="0"/>
    <n v="0"/>
    <n v="0"/>
    <n v="0"/>
    <n v="150"/>
    <n v="1968224.9999999998"/>
    <n v="9750000"/>
    <n v="4.5033653996043963"/>
  </r>
  <r>
    <n v="0"/>
    <n v="0"/>
    <n v="4"/>
    <n v="8"/>
    <s v="전략"/>
    <x v="18"/>
    <s v="ELK-EVERGREEN-02"/>
    <s v="ELK-EVERGREEN-02ELKTLF4506BL"/>
    <n v="1"/>
    <s v="ELK-EVERGREEN-021"/>
    <s v="ELK-EVERGREEN-021-ELKTLF4506BLUEOXS"/>
    <s v="ELK의류506"/>
    <s v="ELK"/>
    <s v="14FW_E"/>
    <m/>
    <s v="ELK"/>
    <s v="ELSTINKO KIDS"/>
    <s v="F"/>
    <n v="4"/>
    <s v="TL"/>
    <s v="LONG SLEEVES"/>
    <s v="K"/>
    <n v="506"/>
    <n v="506"/>
    <s v="ELKTLF4506"/>
    <n v="8.3333333333333329E-2"/>
    <s v="14FW_ELSTINKO_MTM_05_BL_KIDS"/>
    <s v="BL"/>
    <s v="BLUE"/>
    <s v="ELKTLF4506BL"/>
    <x v="0"/>
    <n v="0.16666666666666666"/>
    <m/>
    <n v="1"/>
    <s v="OXS"/>
    <n v="60"/>
    <x v="13"/>
    <n v="2"/>
    <x v="4"/>
    <s v="M"/>
    <s v="CN"/>
    <x v="0"/>
    <n v="65000"/>
    <x v="21"/>
    <n v="11818.181818181818"/>
    <n v="13121.499999999998"/>
    <n v="1303.3181818181802"/>
    <m/>
    <n v="70"/>
    <m/>
    <n v="70"/>
    <n v="10"/>
    <m/>
    <d v="2014-04-15T00:00:00"/>
    <d v="2014-07-19T00:00:00"/>
    <d v="2014-07-03T00:00:00"/>
    <d v="2014-07-25T00:00:00"/>
    <d v="2014-08-25T00:00:00"/>
    <m/>
    <m/>
    <m/>
    <m/>
    <x v="0"/>
    <m/>
    <n v="64"/>
    <n v="0"/>
    <n v="0"/>
    <n v="0"/>
    <n v="0"/>
    <n v="0"/>
    <n v="60"/>
    <n v="787289.99999999988"/>
    <n v="3900000"/>
    <n v="4.5033653996043963"/>
  </r>
  <r>
    <n v="0"/>
    <n v="0"/>
    <n v="4"/>
    <n v="8"/>
    <s v="전략"/>
    <x v="18"/>
    <s v="ELK-EVERGREEN-02"/>
    <s v="ELK-EVERGREEN-02ELKTLF4506BL"/>
    <n v="1"/>
    <s v="ELK-EVERGREEN-021"/>
    <s v="ELK-EVERGREEN-021-ELKTLF4506BLUEOSS"/>
    <s v="ELK의류506"/>
    <s v="ELK"/>
    <s v="14FW_E"/>
    <m/>
    <s v="ELK"/>
    <s v="ELSTINKO KIDS"/>
    <s v="F"/>
    <n v="4"/>
    <s v="TL"/>
    <s v="LONG SLEEVES"/>
    <s v="K"/>
    <n v="506"/>
    <n v="506"/>
    <s v="ELKTLF4506"/>
    <n v="8.3333333333333329E-2"/>
    <s v="14FW_ELSTINKO_MTM_05_BL_KIDS"/>
    <s v="BL"/>
    <s v="BLUE"/>
    <s v="ELKTLF4506BL"/>
    <x v="0"/>
    <n v="0.16666666666666666"/>
    <m/>
    <n v="1"/>
    <s v="OSS"/>
    <n v="75"/>
    <x v="13"/>
    <n v="2"/>
    <x v="4"/>
    <s v="M"/>
    <s v="CN"/>
    <x v="0"/>
    <n v="65000"/>
    <x v="21"/>
    <n v="11818.181818181818"/>
    <n v="13121.499999999998"/>
    <n v="1303.3181818181802"/>
    <m/>
    <n v="70"/>
    <m/>
    <n v="70"/>
    <n v="10"/>
    <m/>
    <d v="2014-04-15T00:00:00"/>
    <d v="2014-07-19T00:00:00"/>
    <d v="2014-07-03T00:00:00"/>
    <d v="2014-07-25T00:00:00"/>
    <d v="2014-08-25T00:00:00"/>
    <m/>
    <m/>
    <m/>
    <m/>
    <x v="0"/>
    <m/>
    <n v="75"/>
    <n v="0"/>
    <n v="0"/>
    <n v="0"/>
    <n v="0"/>
    <n v="0"/>
    <n v="75"/>
    <n v="984112.49999999988"/>
    <n v="4875000"/>
    <n v="4.5033653996043963"/>
  </r>
  <r>
    <n v="0"/>
    <n v="0"/>
    <n v="4"/>
    <n v="8"/>
    <s v="전략"/>
    <x v="18"/>
    <s v="ELK-EVERGREEN-02"/>
    <s v="ELK-EVERGREEN-02ELKTLF4506BL"/>
    <n v="1"/>
    <s v="ELK-EVERGREEN-021"/>
    <s v="ELK-EVERGREEN-021-ELKTLF4506BLUEOMM"/>
    <s v="ELK의류506"/>
    <s v="ELK"/>
    <s v="14FW_E"/>
    <m/>
    <s v="ELK"/>
    <s v="ELSTINKO KIDS"/>
    <s v="F"/>
    <n v="4"/>
    <s v="TL"/>
    <s v="LONG SLEEVES"/>
    <s v="K"/>
    <n v="506"/>
    <n v="506"/>
    <s v="ELKTLF4506"/>
    <n v="8.3333333333333329E-2"/>
    <s v="14FW_ELSTINKO_MTM_05_BL_KIDS"/>
    <s v="BL"/>
    <s v="BLUE"/>
    <s v="ELKTLF4506BL"/>
    <x v="0"/>
    <n v="0.16666666666666666"/>
    <m/>
    <n v="1"/>
    <s v="OMM"/>
    <n v="75"/>
    <x v="13"/>
    <n v="2"/>
    <x v="4"/>
    <s v="M"/>
    <s v="CN"/>
    <x v="0"/>
    <n v="65000"/>
    <x v="21"/>
    <n v="11818.181818181818"/>
    <n v="13121.499999999998"/>
    <n v="1303.3181818181802"/>
    <m/>
    <n v="70"/>
    <m/>
    <n v="70"/>
    <n v="10"/>
    <m/>
    <d v="2014-04-15T00:00:00"/>
    <d v="2014-07-19T00:00:00"/>
    <d v="2014-07-03T00:00:00"/>
    <d v="2014-07-25T00:00:00"/>
    <d v="2014-08-25T00:00:00"/>
    <m/>
    <m/>
    <m/>
    <m/>
    <x v="0"/>
    <m/>
    <n v="75"/>
    <n v="0"/>
    <n v="0"/>
    <n v="0"/>
    <n v="0"/>
    <n v="0"/>
    <n v="75"/>
    <n v="984112.49999999988"/>
    <n v="4875000"/>
    <n v="4.5033653996043963"/>
  </r>
  <r>
    <n v="0"/>
    <n v="0"/>
    <n v="4"/>
    <n v="8"/>
    <s v="전략"/>
    <x v="18"/>
    <s v="ELK-EVERGREEN-02"/>
    <s v="ELK-EVERGREEN-02ELKTLF4506BL"/>
    <n v="1"/>
    <s v="ELK-EVERGREEN-021"/>
    <s v="ELK-EVERGREEN-021-ELKTLF4506BLUEOLL"/>
    <s v="ELK의류506"/>
    <s v="ELK"/>
    <s v="14FW_E"/>
    <m/>
    <s v="ELK"/>
    <s v="ELSTINKO KIDS"/>
    <s v="F"/>
    <n v="4"/>
    <s v="TL"/>
    <s v="LONG SLEEVES"/>
    <s v="K"/>
    <n v="506"/>
    <n v="506"/>
    <s v="ELKTLF4506"/>
    <n v="8.3333333333333329E-2"/>
    <s v="14FW_ELSTINKO_MTM_05_BL_KIDS"/>
    <s v="BL"/>
    <s v="BLUE"/>
    <s v="ELKTLF4506BL"/>
    <x v="0"/>
    <n v="0.16666666666666666"/>
    <m/>
    <n v="1"/>
    <s v="OLL"/>
    <n v="45"/>
    <x v="13"/>
    <n v="2"/>
    <x v="4"/>
    <s v="M"/>
    <s v="CN"/>
    <x v="0"/>
    <n v="65000"/>
    <x v="21"/>
    <n v="11818.181818181818"/>
    <n v="13121.499999999998"/>
    <n v="1303.3181818181802"/>
    <m/>
    <n v="70"/>
    <m/>
    <n v="70"/>
    <n v="10"/>
    <m/>
    <d v="2014-04-15T00:00:00"/>
    <d v="2014-07-19T00:00:00"/>
    <d v="2014-07-03T00:00:00"/>
    <d v="2014-07-25T00:00:00"/>
    <d v="2014-08-25T00:00:00"/>
    <m/>
    <m/>
    <m/>
    <m/>
    <x v="0"/>
    <m/>
    <n v="46"/>
    <n v="0"/>
    <n v="0"/>
    <n v="0"/>
    <n v="0"/>
    <n v="0"/>
    <n v="45"/>
    <n v="590467.49999999988"/>
    <n v="2925000"/>
    <n v="4.5033653996043972"/>
  </r>
  <r>
    <n v="0"/>
    <n v="0"/>
    <n v="4"/>
    <n v="8"/>
    <s v="전략"/>
    <x v="18"/>
    <s v="ELK-EVERGREEN-02"/>
    <s v="ELK-EVERGREEN-02ELKTLF4506BL"/>
    <n v="1"/>
    <s v="ELK-EVERGREEN-021"/>
    <s v="ELK-EVERGREEN-021-ELKTLF4506BLUEOXL"/>
    <s v="ELK의류506"/>
    <s v="ELK"/>
    <s v="14FW_E"/>
    <m/>
    <s v="ELK"/>
    <s v="ELSTINKO KIDS"/>
    <s v="F"/>
    <n v="4"/>
    <s v="TL"/>
    <s v="LONG SLEEVES"/>
    <s v="K"/>
    <n v="506"/>
    <n v="506"/>
    <s v="ELKTLF4506"/>
    <n v="8.3333333333333329E-2"/>
    <s v="14FW_ELSTINKO_MTM_05_BL_KIDS"/>
    <s v="BL"/>
    <s v="BLUE"/>
    <s v="ELKTLF4506BL"/>
    <x v="0"/>
    <n v="0.16666666666666666"/>
    <m/>
    <n v="1"/>
    <s v="OXL"/>
    <n v="45"/>
    <x v="13"/>
    <n v="2"/>
    <x v="4"/>
    <s v="M"/>
    <s v="CN"/>
    <x v="0"/>
    <n v="65000"/>
    <x v="21"/>
    <n v="11818.181818181818"/>
    <n v="13121.499999999998"/>
    <n v="1303.3181818181802"/>
    <m/>
    <n v="70"/>
    <m/>
    <n v="70"/>
    <n v="10"/>
    <m/>
    <d v="2014-04-15T00:00:00"/>
    <d v="2014-07-19T00:00:00"/>
    <d v="2014-07-03T00:00:00"/>
    <d v="2014-07-25T00:00:00"/>
    <d v="2014-08-25T00:00:00"/>
    <m/>
    <m/>
    <m/>
    <m/>
    <x v="0"/>
    <m/>
    <n v="45"/>
    <n v="0"/>
    <n v="0"/>
    <n v="0"/>
    <n v="0"/>
    <n v="0"/>
    <n v="45"/>
    <n v="590467.49999999988"/>
    <n v="2925000"/>
    <n v="4.5033653996043972"/>
  </r>
  <r>
    <n v="0"/>
    <n v="0"/>
    <n v="4"/>
    <n v="8"/>
    <s v="전략"/>
    <x v="18"/>
    <s v="ELK-EVERGREEN-02"/>
    <s v="ELK-EVERGREEN-02ELKTLF4506YE"/>
    <n v="2"/>
    <s v="ELK-EVERGREEN-022"/>
    <s v="ELK-EVERGREEN-022-ELKTLF4506YELLOWXXS"/>
    <s v="ELK의류506"/>
    <s v="ELK"/>
    <s v="14FW_E"/>
    <m/>
    <s v="ELK"/>
    <s v="ELSTINKO KIDS"/>
    <s v="F"/>
    <n v="4"/>
    <s v="TL"/>
    <s v="LONG SLEEVES"/>
    <s v="K"/>
    <n v="506"/>
    <n v="506"/>
    <s v="ELKTLF4506"/>
    <n v="8.3333333333333329E-2"/>
    <s v="14FW_ELSTINKO_MTM_05_YE_KIDS"/>
    <s v="YE"/>
    <s v="YELLOW"/>
    <s v="ELKTLF4506YE"/>
    <x v="0"/>
    <n v="0.16666666666666666"/>
    <m/>
    <n v="1"/>
    <s v="XXS"/>
    <n v="150"/>
    <x v="13"/>
    <n v="2"/>
    <x v="4"/>
    <s v="M"/>
    <s v="CN"/>
    <x v="0"/>
    <n v="65000"/>
    <x v="21"/>
    <n v="11818.181818181818"/>
    <n v="13121.499999999998"/>
    <n v="1303.3181818181802"/>
    <m/>
    <n v="70"/>
    <m/>
    <n v="70"/>
    <n v="10"/>
    <m/>
    <d v="2014-04-15T00:00:00"/>
    <d v="2014-07-19T00:00:00"/>
    <d v="2014-07-03T00:00:00"/>
    <d v="2014-07-25T00:00:00"/>
    <d v="2014-08-26T00:00:00"/>
    <m/>
    <m/>
    <m/>
    <m/>
    <x v="0"/>
    <m/>
    <n v="149"/>
    <n v="0"/>
    <n v="0"/>
    <n v="0"/>
    <n v="0"/>
    <n v="0"/>
    <n v="150"/>
    <n v="1968224.9999999998"/>
    <n v="9750000"/>
    <n v="4.5033653996043963"/>
  </r>
  <r>
    <n v="0"/>
    <n v="0"/>
    <n v="4"/>
    <n v="8"/>
    <s v="전략"/>
    <x v="18"/>
    <s v="ELK-EVERGREEN-02"/>
    <s v="ELK-EVERGREEN-02ELKTLF4506YE"/>
    <n v="2"/>
    <s v="ELK-EVERGREEN-022"/>
    <s v="ELK-EVERGREEN-022-ELKTLF4506YELLOWOXS"/>
    <s v="ELK의류506"/>
    <s v="ELK"/>
    <s v="14FW_E"/>
    <m/>
    <s v="ELK"/>
    <s v="ELSTINKO KIDS"/>
    <s v="F"/>
    <n v="4"/>
    <s v="TL"/>
    <s v="LONG SLEEVES"/>
    <s v="K"/>
    <n v="506"/>
    <n v="506"/>
    <s v="ELKTLF4506"/>
    <n v="8.3333333333333329E-2"/>
    <s v="14FW_ELSTINKO_MTM_05_YE_KIDS"/>
    <s v="YE"/>
    <s v="YELLOW"/>
    <s v="ELKTLF4506YE"/>
    <x v="0"/>
    <n v="0.16666666666666666"/>
    <m/>
    <n v="1"/>
    <s v="OXS"/>
    <n v="60"/>
    <x v="13"/>
    <n v="2"/>
    <x v="4"/>
    <s v="M"/>
    <s v="CN"/>
    <x v="0"/>
    <n v="65000"/>
    <x v="21"/>
    <n v="11818.181818181818"/>
    <n v="13121.499999999998"/>
    <n v="1303.3181818181802"/>
    <m/>
    <n v="70"/>
    <m/>
    <n v="70"/>
    <n v="10"/>
    <m/>
    <d v="2014-04-15T00:00:00"/>
    <d v="2014-07-19T00:00:00"/>
    <d v="2014-07-03T00:00:00"/>
    <d v="2014-07-25T00:00:00"/>
    <d v="2014-08-26T00:00:00"/>
    <m/>
    <m/>
    <m/>
    <m/>
    <x v="0"/>
    <m/>
    <n v="63"/>
    <n v="0"/>
    <n v="0"/>
    <n v="0"/>
    <n v="0"/>
    <n v="0"/>
    <n v="60"/>
    <n v="787289.99999999988"/>
    <n v="3900000"/>
    <n v="4.5033653996043963"/>
  </r>
  <r>
    <n v="0"/>
    <n v="0"/>
    <n v="4"/>
    <n v="8"/>
    <s v="전략"/>
    <x v="18"/>
    <s v="ELK-EVERGREEN-02"/>
    <s v="ELK-EVERGREEN-02ELKTLF4506YE"/>
    <n v="2"/>
    <s v="ELK-EVERGREEN-022"/>
    <s v="ELK-EVERGREEN-022-ELKTLF4506YELLOWOSS"/>
    <s v="ELK의류506"/>
    <s v="ELK"/>
    <s v="14FW_E"/>
    <m/>
    <s v="ELK"/>
    <s v="ELSTINKO KIDS"/>
    <s v="F"/>
    <n v="4"/>
    <s v="TL"/>
    <s v="LONG SLEEVES"/>
    <s v="K"/>
    <n v="506"/>
    <n v="506"/>
    <s v="ELKTLF4506"/>
    <n v="8.3333333333333329E-2"/>
    <s v="14FW_ELSTINKO_MTM_05_YE_KIDS"/>
    <s v="YE"/>
    <s v="YELLOW"/>
    <s v="ELKTLF4506YE"/>
    <x v="0"/>
    <n v="0.16666666666666666"/>
    <m/>
    <n v="1"/>
    <s v="OSS"/>
    <n v="75"/>
    <x v="13"/>
    <n v="2"/>
    <x v="4"/>
    <s v="M"/>
    <s v="CN"/>
    <x v="0"/>
    <n v="65000"/>
    <x v="21"/>
    <n v="11818.181818181818"/>
    <n v="13121.499999999998"/>
    <n v="1303.3181818181802"/>
    <m/>
    <n v="70"/>
    <m/>
    <n v="70"/>
    <n v="10"/>
    <m/>
    <d v="2014-04-15T00:00:00"/>
    <d v="2014-07-19T00:00:00"/>
    <d v="2014-07-03T00:00:00"/>
    <d v="2014-07-25T00:00:00"/>
    <d v="2014-08-26T00:00:00"/>
    <m/>
    <m/>
    <m/>
    <m/>
    <x v="0"/>
    <m/>
    <n v="75"/>
    <n v="0"/>
    <n v="0"/>
    <n v="0"/>
    <n v="0"/>
    <n v="0"/>
    <n v="75"/>
    <n v="984112.49999999988"/>
    <n v="4875000"/>
    <n v="4.5033653996043963"/>
  </r>
  <r>
    <n v="0"/>
    <n v="0"/>
    <n v="4"/>
    <n v="8"/>
    <s v="전략"/>
    <x v="18"/>
    <s v="ELK-EVERGREEN-02"/>
    <s v="ELK-EVERGREEN-02ELKTLF4506YE"/>
    <n v="2"/>
    <s v="ELK-EVERGREEN-022"/>
    <s v="ELK-EVERGREEN-022-ELKTLF4506YELLOWOMM"/>
    <s v="ELK의류506"/>
    <s v="ELK"/>
    <s v="14FW_E"/>
    <m/>
    <s v="ELK"/>
    <s v="ELSTINKO KIDS"/>
    <s v="F"/>
    <n v="4"/>
    <s v="TL"/>
    <s v="LONG SLEEVES"/>
    <s v="K"/>
    <n v="506"/>
    <n v="506"/>
    <s v="ELKTLF4506"/>
    <n v="8.3333333333333329E-2"/>
    <s v="14FW_ELSTINKO_MTM_05_YE_KIDS"/>
    <s v="YE"/>
    <s v="YELLOW"/>
    <s v="ELKTLF4506YE"/>
    <x v="0"/>
    <n v="0.16666666666666666"/>
    <m/>
    <n v="1"/>
    <s v="OMM"/>
    <n v="75"/>
    <x v="13"/>
    <n v="2"/>
    <x v="4"/>
    <s v="M"/>
    <s v="CN"/>
    <x v="0"/>
    <n v="65000"/>
    <x v="21"/>
    <n v="11818.181818181818"/>
    <n v="13121.499999999998"/>
    <n v="1303.3181818181802"/>
    <m/>
    <n v="70"/>
    <m/>
    <n v="70"/>
    <n v="10"/>
    <m/>
    <d v="2014-04-15T00:00:00"/>
    <d v="2014-07-19T00:00:00"/>
    <d v="2014-07-03T00:00:00"/>
    <d v="2014-07-25T00:00:00"/>
    <d v="2014-08-26T00:00:00"/>
    <m/>
    <m/>
    <m/>
    <m/>
    <x v="0"/>
    <m/>
    <n v="75"/>
    <n v="0"/>
    <n v="0"/>
    <n v="0"/>
    <n v="0"/>
    <n v="0"/>
    <n v="75"/>
    <n v="984112.49999999988"/>
    <n v="4875000"/>
    <n v="4.5033653996043963"/>
  </r>
  <r>
    <n v="0"/>
    <n v="0"/>
    <n v="4"/>
    <n v="8"/>
    <s v="전략"/>
    <x v="18"/>
    <s v="ELK-EVERGREEN-02"/>
    <s v="ELK-EVERGREEN-02ELKTLF4506YE"/>
    <n v="2"/>
    <s v="ELK-EVERGREEN-022"/>
    <s v="ELK-EVERGREEN-022-ELKTLF4506YELLOWOLL"/>
    <s v="ELK의류506"/>
    <s v="ELK"/>
    <s v="14FW_E"/>
    <m/>
    <s v="ELK"/>
    <s v="ELSTINKO KIDS"/>
    <s v="F"/>
    <n v="4"/>
    <s v="TL"/>
    <s v="LONG SLEEVES"/>
    <s v="K"/>
    <n v="506"/>
    <n v="506"/>
    <s v="ELKTLF4506"/>
    <n v="8.3333333333333329E-2"/>
    <s v="14FW_ELSTINKO_MTM_05_YE_KIDS"/>
    <s v="YE"/>
    <s v="YELLOW"/>
    <s v="ELKTLF4506YE"/>
    <x v="0"/>
    <n v="0.16666666666666666"/>
    <m/>
    <n v="1"/>
    <s v="OLL"/>
    <n v="45"/>
    <x v="13"/>
    <n v="2"/>
    <x v="4"/>
    <s v="M"/>
    <s v="CN"/>
    <x v="0"/>
    <n v="65000"/>
    <x v="21"/>
    <n v="11818.181818181818"/>
    <n v="13121.499999999998"/>
    <n v="1303.3181818181802"/>
    <m/>
    <n v="70"/>
    <m/>
    <n v="70"/>
    <n v="10"/>
    <m/>
    <d v="2014-04-15T00:00:00"/>
    <d v="2014-07-19T00:00:00"/>
    <d v="2014-07-03T00:00:00"/>
    <d v="2014-07-25T00:00:00"/>
    <d v="2014-08-26T00:00:00"/>
    <m/>
    <m/>
    <m/>
    <m/>
    <x v="0"/>
    <m/>
    <n v="45"/>
    <n v="0"/>
    <n v="0"/>
    <n v="0"/>
    <n v="0"/>
    <n v="0"/>
    <n v="45"/>
    <n v="590467.49999999988"/>
    <n v="2925000"/>
    <n v="4.5033653996043972"/>
  </r>
  <r>
    <n v="0"/>
    <n v="0"/>
    <n v="4"/>
    <n v="8"/>
    <s v="전략"/>
    <x v="18"/>
    <s v="ELK-EVERGREEN-02"/>
    <s v="ELK-EVERGREEN-02ELKTLF4506YE"/>
    <n v="2"/>
    <s v="ELK-EVERGREEN-022"/>
    <s v="ELK-EVERGREEN-022-ELKTLF4506YELLOWOXL"/>
    <s v="ELK의류506"/>
    <s v="ELK"/>
    <s v="14FW_E"/>
    <m/>
    <s v="ELK"/>
    <s v="ELSTINKO KIDS"/>
    <s v="F"/>
    <n v="4"/>
    <s v="TL"/>
    <s v="LONG SLEEVES"/>
    <s v="K"/>
    <n v="506"/>
    <n v="506"/>
    <s v="ELKTLF4506"/>
    <n v="8.3333333333333329E-2"/>
    <s v="14FW_ELSTINKO_MTM_05_YE_KIDS"/>
    <s v="YE"/>
    <s v="YELLOW"/>
    <s v="ELKTLF4506YE"/>
    <x v="0"/>
    <n v="0.16666666666666666"/>
    <m/>
    <n v="1"/>
    <s v="OXL"/>
    <n v="45"/>
    <x v="13"/>
    <n v="2"/>
    <x v="4"/>
    <s v="M"/>
    <s v="CN"/>
    <x v="0"/>
    <n v="65000"/>
    <x v="21"/>
    <n v="11818.181818181818"/>
    <n v="13121.499999999998"/>
    <n v="1303.3181818181802"/>
    <m/>
    <n v="70"/>
    <m/>
    <n v="70"/>
    <n v="10"/>
    <m/>
    <d v="2014-04-15T00:00:00"/>
    <d v="2014-07-19T00:00:00"/>
    <d v="2014-07-03T00:00:00"/>
    <d v="2014-07-25T00:00:00"/>
    <d v="2014-08-26T00:00:00"/>
    <m/>
    <m/>
    <m/>
    <m/>
    <x v="0"/>
    <m/>
    <n v="45"/>
    <n v="0"/>
    <n v="0"/>
    <n v="0"/>
    <n v="0"/>
    <n v="0"/>
    <n v="45"/>
    <n v="590467.49999999988"/>
    <n v="2925000"/>
    <n v="4.5033653996043972"/>
  </r>
  <r>
    <n v="0"/>
    <n v="0"/>
    <n v="4"/>
    <n v="8"/>
    <s v="전략"/>
    <x v="18"/>
    <s v="ELK-EVERGREEN-02"/>
    <s v="ELK-EVERGREEN-02ELKPTF4507RE"/>
    <n v="3"/>
    <s v="ELK-EVERGREEN-023"/>
    <s v="ELK-EVERGREEN-023-ELKPTF4507REDOXS"/>
    <s v="ELK의류507"/>
    <s v="ELK"/>
    <s v="14FW E"/>
    <m/>
    <s v="ELK"/>
    <s v="ELSTINKO KIDS"/>
    <s v="F"/>
    <n v="4"/>
    <s v="PT"/>
    <s v="PANTS"/>
    <s v="K"/>
    <n v="507"/>
    <n v="507"/>
    <s v="ELKPTF4507"/>
    <n v="0.1"/>
    <s v="14FW ELSTINKO_PANTS_02_RE_KIDS"/>
    <s v="RE"/>
    <s v="RED"/>
    <s v="ELKPTF4507RE"/>
    <x v="0"/>
    <n v="0.2"/>
    <m/>
    <n v="1"/>
    <s v="OXS"/>
    <n v="75"/>
    <x v="13"/>
    <n v="2"/>
    <x v="4"/>
    <s v="M"/>
    <s v="CN"/>
    <x v="0"/>
    <n v="65000"/>
    <x v="21"/>
    <n v="11818.181818181818"/>
    <n v="13774.074999999999"/>
    <n v="1955.8931818181809"/>
    <m/>
    <n v="70"/>
    <m/>
    <n v="70"/>
    <n v="10.5"/>
    <m/>
    <d v="2014-04-15T00:00:00"/>
    <d v="2014-07-19T00:00:00"/>
    <d v="2014-07-03T00:00:00"/>
    <d v="2014-07-25T00:00:00"/>
    <d v="2014-08-25T00:00:00"/>
    <m/>
    <m/>
    <m/>
    <m/>
    <x v="0"/>
    <m/>
    <n v="75"/>
    <n v="0"/>
    <n v="0"/>
    <n v="0"/>
    <n v="0"/>
    <n v="0"/>
    <n v="75"/>
    <n v="1033055.6249999999"/>
    <n v="4875000"/>
    <n v="4.290009244969923"/>
  </r>
  <r>
    <n v="0"/>
    <n v="0"/>
    <n v="4"/>
    <n v="8"/>
    <s v="전략"/>
    <x v="18"/>
    <s v="ELK-EVERGREEN-02"/>
    <s v="ELK-EVERGREEN-02ELKPTF4507RE"/>
    <n v="3"/>
    <s v="ELK-EVERGREEN-023"/>
    <s v="ELK-EVERGREEN-023-ELKPTF4507REDOSS"/>
    <s v="ELK의류507"/>
    <s v="ELK"/>
    <s v="14FW E"/>
    <m/>
    <s v="ELK"/>
    <s v="ELSTINKO KIDS"/>
    <s v="F"/>
    <n v="4"/>
    <s v="PT"/>
    <s v="PANTS"/>
    <s v="K"/>
    <n v="507"/>
    <n v="507"/>
    <s v="ELKPTF4507"/>
    <n v="0.1"/>
    <s v="14FW ELSTINKO_PANTS_02_RE_KIDS"/>
    <s v="RE"/>
    <s v="RED"/>
    <s v="ELKPTF4507RE"/>
    <x v="0"/>
    <n v="0.2"/>
    <m/>
    <n v="1"/>
    <s v="OSS"/>
    <n v="75"/>
    <x v="13"/>
    <n v="2"/>
    <x v="4"/>
    <s v="M"/>
    <s v="CN"/>
    <x v="0"/>
    <n v="65000"/>
    <x v="21"/>
    <n v="11818.181818181818"/>
    <n v="13774.074999999999"/>
    <n v="1955.8931818181809"/>
    <m/>
    <n v="70"/>
    <m/>
    <n v="70"/>
    <n v="10.5"/>
    <m/>
    <d v="2014-04-15T00:00:00"/>
    <d v="2014-07-19T00:00:00"/>
    <d v="2014-07-03T00:00:00"/>
    <d v="2014-07-25T00:00:00"/>
    <d v="2014-08-25T00:00:00"/>
    <m/>
    <m/>
    <m/>
    <m/>
    <x v="0"/>
    <m/>
    <n v="75"/>
    <n v="0"/>
    <n v="0"/>
    <n v="0"/>
    <n v="0"/>
    <n v="0"/>
    <n v="75"/>
    <n v="1033055.6249999999"/>
    <n v="4875000"/>
    <n v="4.290009244969923"/>
  </r>
  <r>
    <n v="0"/>
    <n v="0"/>
    <n v="4"/>
    <n v="8"/>
    <s v="전략"/>
    <x v="18"/>
    <s v="ELK-EVERGREEN-02"/>
    <s v="ELK-EVERGREEN-02ELKPTF4507RE"/>
    <n v="3"/>
    <s v="ELK-EVERGREEN-023"/>
    <s v="ELK-EVERGREEN-023-ELKPTF4507REDOMM"/>
    <s v="ELK의류507"/>
    <s v="ELK"/>
    <s v="14FW E"/>
    <m/>
    <s v="ELK"/>
    <s v="ELSTINKO KIDS"/>
    <s v="F"/>
    <n v="4"/>
    <s v="PT"/>
    <s v="PANTS"/>
    <s v="K"/>
    <n v="507"/>
    <n v="507"/>
    <s v="ELKPTF4507"/>
    <n v="0.1"/>
    <s v="14FW ELSTINKO_PANTS_02_RE_KIDS"/>
    <s v="RE"/>
    <s v="RED"/>
    <s v="ELKPTF4507RE"/>
    <x v="0"/>
    <n v="0.2"/>
    <m/>
    <n v="1"/>
    <s v="OMM"/>
    <n v="60"/>
    <x v="13"/>
    <n v="2"/>
    <x v="4"/>
    <s v="M"/>
    <s v="CN"/>
    <x v="0"/>
    <n v="65000"/>
    <x v="21"/>
    <n v="11818.181818181818"/>
    <n v="13774.074999999999"/>
    <n v="1955.8931818181809"/>
    <m/>
    <n v="70"/>
    <m/>
    <n v="70"/>
    <n v="10.5"/>
    <m/>
    <d v="2014-04-15T00:00:00"/>
    <d v="2014-07-19T00:00:00"/>
    <d v="2014-07-03T00:00:00"/>
    <d v="2014-07-25T00:00:00"/>
    <d v="2014-08-25T00:00:00"/>
    <m/>
    <m/>
    <m/>
    <m/>
    <x v="0"/>
    <m/>
    <n v="60"/>
    <n v="0"/>
    <n v="0"/>
    <n v="0"/>
    <n v="0"/>
    <n v="0"/>
    <n v="60"/>
    <n v="826444.49999999988"/>
    <n v="3900000"/>
    <n v="4.290009244969923"/>
  </r>
  <r>
    <n v="0"/>
    <n v="0"/>
    <n v="4"/>
    <n v="8"/>
    <s v="전략"/>
    <x v="18"/>
    <s v="ELK-EVERGREEN-02"/>
    <s v="ELK-EVERGREEN-02ELKPTF4507RE"/>
    <n v="3"/>
    <s v="ELK-EVERGREEN-023"/>
    <s v="ELK-EVERGREEN-023-ELKPTF4507REDOLL"/>
    <s v="ELK의류507"/>
    <s v="ELK"/>
    <s v="14FW E"/>
    <m/>
    <s v="ELK"/>
    <s v="ELSTINKO KIDS"/>
    <s v="F"/>
    <n v="4"/>
    <s v="PT"/>
    <s v="PANTS"/>
    <s v="K"/>
    <n v="507"/>
    <n v="507"/>
    <s v="ELKPTF4507"/>
    <n v="0.1"/>
    <s v="14FW ELSTINKO_PANTS_02_RE_KIDS"/>
    <s v="RE"/>
    <s v="RED"/>
    <s v="ELKPTF4507RE"/>
    <x v="0"/>
    <n v="0.2"/>
    <m/>
    <n v="1"/>
    <s v="OLL"/>
    <n v="45"/>
    <x v="13"/>
    <n v="2"/>
    <x v="4"/>
    <s v="M"/>
    <s v="CN"/>
    <x v="0"/>
    <n v="65000"/>
    <x v="21"/>
    <n v="11818.181818181818"/>
    <n v="13774.074999999999"/>
    <n v="1955.8931818181809"/>
    <m/>
    <n v="70"/>
    <m/>
    <n v="70"/>
    <n v="10.5"/>
    <m/>
    <d v="2014-04-15T00:00:00"/>
    <d v="2014-07-19T00:00:00"/>
    <d v="2014-07-03T00:00:00"/>
    <d v="2014-07-25T00:00:00"/>
    <d v="2014-08-25T00:00:00"/>
    <m/>
    <m/>
    <m/>
    <m/>
    <x v="0"/>
    <m/>
    <n v="46"/>
    <n v="0"/>
    <n v="0"/>
    <n v="0"/>
    <n v="0"/>
    <n v="0"/>
    <n v="45"/>
    <n v="619833.375"/>
    <n v="2925000"/>
    <n v="4.290009244969923"/>
  </r>
  <r>
    <n v="0"/>
    <n v="0"/>
    <n v="4"/>
    <n v="8"/>
    <s v="전략"/>
    <x v="18"/>
    <s v="ELK-EVERGREEN-02"/>
    <s v="ELK-EVERGREEN-02ELKPTF4507RE"/>
    <n v="3"/>
    <s v="ELK-EVERGREEN-023"/>
    <s v="ELK-EVERGREEN-023-ELKPTF4507REDOXL"/>
    <s v="ELK의류507"/>
    <s v="ELK"/>
    <s v="14FW E"/>
    <m/>
    <s v="ELK"/>
    <s v="ELSTINKO KIDS"/>
    <s v="F"/>
    <n v="4"/>
    <s v="PT"/>
    <s v="PANTS"/>
    <s v="K"/>
    <n v="507"/>
    <n v="507"/>
    <s v="ELKPTF4507"/>
    <n v="0.1"/>
    <s v="14FW ELSTINKO_PANTS_02_RE_KIDS"/>
    <s v="RE"/>
    <s v="RED"/>
    <s v="ELKPTF4507RE"/>
    <x v="0"/>
    <n v="0.2"/>
    <m/>
    <n v="1"/>
    <s v="OXL"/>
    <n v="45"/>
    <x v="13"/>
    <n v="2"/>
    <x v="4"/>
    <s v="M"/>
    <s v="CN"/>
    <x v="0"/>
    <n v="65000"/>
    <x v="21"/>
    <n v="11818.181818181818"/>
    <n v="13774.074999999999"/>
    <n v="1955.8931818181809"/>
    <m/>
    <n v="70"/>
    <m/>
    <n v="70"/>
    <n v="10.5"/>
    <m/>
    <d v="2014-04-15T00:00:00"/>
    <d v="2014-07-19T00:00:00"/>
    <d v="2014-07-03T00:00:00"/>
    <d v="2014-07-25T00:00:00"/>
    <d v="2014-08-25T00:00:00"/>
    <m/>
    <m/>
    <m/>
    <m/>
    <x v="0"/>
    <m/>
    <n v="45"/>
    <n v="0"/>
    <n v="0"/>
    <n v="0"/>
    <n v="0"/>
    <n v="0"/>
    <n v="45"/>
    <n v="619833.375"/>
    <n v="2925000"/>
    <n v="4.290009244969923"/>
  </r>
  <r>
    <n v="0"/>
    <n v="0"/>
    <n v="4"/>
    <n v="8"/>
    <s v="전략"/>
    <x v="18"/>
    <s v="ELK-EVERGREEN-02"/>
    <s v="ELK-EVERGREEN-02ELKPTF4507YE"/>
    <n v="4"/>
    <s v="ELK-EVERGREEN-024"/>
    <s v="ELK-EVERGREEN-024-ELKPTF4507YELLOWOXS"/>
    <s v="ELK의류507"/>
    <s v="ELK"/>
    <s v="14FW E"/>
    <m/>
    <s v="ELK"/>
    <s v="ELSTINKO KIDS"/>
    <s v="F"/>
    <n v="4"/>
    <s v="PT"/>
    <s v="PANTS"/>
    <s v="K"/>
    <n v="507"/>
    <n v="507"/>
    <s v="ELKPTF4507"/>
    <n v="0.1"/>
    <s v="14FW ELSTINKO_PANTS_02_YE_KIDS"/>
    <s v="YE"/>
    <s v="YELLOW"/>
    <s v="ELKPTF4507YE"/>
    <x v="0"/>
    <n v="0.2"/>
    <m/>
    <n v="1"/>
    <s v="OXS"/>
    <n v="75"/>
    <x v="13"/>
    <n v="2"/>
    <x v="4"/>
    <s v="M"/>
    <s v="CN"/>
    <x v="0"/>
    <n v="65000"/>
    <x v="21"/>
    <n v="11818.181818181818"/>
    <n v="13774.074999999999"/>
    <n v="1955.8931818181809"/>
    <m/>
    <n v="70"/>
    <m/>
    <n v="70"/>
    <n v="10.5"/>
    <m/>
    <d v="2014-04-15T00:00:00"/>
    <d v="2014-07-19T00:00:00"/>
    <d v="2014-07-03T00:00:00"/>
    <d v="2014-07-25T00:00:00"/>
    <d v="2014-08-26T00:00:00"/>
    <m/>
    <m/>
    <m/>
    <m/>
    <x v="0"/>
    <m/>
    <n v="75"/>
    <n v="0"/>
    <n v="0"/>
    <n v="0"/>
    <n v="0"/>
    <n v="0"/>
    <n v="75"/>
    <n v="1033055.6249999999"/>
    <n v="4875000"/>
    <n v="4.290009244969923"/>
  </r>
  <r>
    <n v="0"/>
    <n v="0"/>
    <n v="4"/>
    <n v="8"/>
    <s v="전략"/>
    <x v="18"/>
    <s v="ELK-EVERGREEN-02"/>
    <s v="ELK-EVERGREEN-02ELKPTF4507YE"/>
    <n v="4"/>
    <s v="ELK-EVERGREEN-024"/>
    <s v="ELK-EVERGREEN-024-ELKPTF4507YELLOWOSS"/>
    <s v="ELK의류507"/>
    <s v="ELK"/>
    <s v="14FW E"/>
    <m/>
    <s v="ELK"/>
    <s v="ELSTINKO KIDS"/>
    <s v="F"/>
    <n v="4"/>
    <s v="PT"/>
    <s v="PANTS"/>
    <s v="K"/>
    <n v="507"/>
    <n v="507"/>
    <s v="ELKPTF4507"/>
    <n v="0.1"/>
    <s v="14FW ELSTINKO_PANTS_02_YE_KIDS"/>
    <s v="YE"/>
    <s v="YELLOW"/>
    <s v="ELKPTF4507YE"/>
    <x v="0"/>
    <n v="0.2"/>
    <m/>
    <n v="1"/>
    <s v="OSS"/>
    <n v="75"/>
    <x v="13"/>
    <n v="2"/>
    <x v="4"/>
    <s v="M"/>
    <s v="CN"/>
    <x v="0"/>
    <n v="65000"/>
    <x v="21"/>
    <n v="11818.181818181818"/>
    <n v="13774.074999999999"/>
    <n v="1955.8931818181809"/>
    <m/>
    <n v="70"/>
    <m/>
    <n v="70"/>
    <n v="10.5"/>
    <m/>
    <d v="2014-04-15T00:00:00"/>
    <d v="2014-07-19T00:00:00"/>
    <d v="2014-07-03T00:00:00"/>
    <d v="2014-07-25T00:00:00"/>
    <d v="2014-08-26T00:00:00"/>
    <m/>
    <m/>
    <m/>
    <m/>
    <x v="0"/>
    <m/>
    <n v="76"/>
    <n v="0"/>
    <n v="0"/>
    <n v="0"/>
    <n v="0"/>
    <n v="0"/>
    <n v="75"/>
    <n v="1033055.6249999999"/>
    <n v="4875000"/>
    <n v="4.290009244969923"/>
  </r>
  <r>
    <n v="0"/>
    <n v="0"/>
    <n v="4"/>
    <n v="8"/>
    <s v="전략"/>
    <x v="18"/>
    <s v="ELK-EVERGREEN-02"/>
    <s v="ELK-EVERGREEN-02ELKPTF4507YE"/>
    <n v="4"/>
    <s v="ELK-EVERGREEN-024"/>
    <s v="ELK-EVERGREEN-024-ELKPTF4507YELLOWOMM"/>
    <s v="ELK의류507"/>
    <s v="ELK"/>
    <s v="14FW E"/>
    <m/>
    <s v="ELK"/>
    <s v="ELSTINKO KIDS"/>
    <s v="F"/>
    <n v="4"/>
    <s v="PT"/>
    <s v="PANTS"/>
    <s v="K"/>
    <n v="507"/>
    <n v="507"/>
    <s v="ELKPTF4507"/>
    <n v="0.1"/>
    <s v="14FW ELSTINKO_PANTS_02_YE_KIDS"/>
    <s v="YE"/>
    <s v="YELLOW"/>
    <s v="ELKPTF4507YE"/>
    <x v="0"/>
    <n v="0.2"/>
    <m/>
    <n v="1"/>
    <s v="OMM"/>
    <n v="60"/>
    <x v="13"/>
    <n v="2"/>
    <x v="4"/>
    <s v="M"/>
    <s v="CN"/>
    <x v="0"/>
    <n v="65000"/>
    <x v="21"/>
    <n v="11818.181818181818"/>
    <n v="13774.074999999999"/>
    <n v="1955.8931818181809"/>
    <m/>
    <n v="70"/>
    <m/>
    <n v="70"/>
    <n v="10.5"/>
    <m/>
    <d v="2014-04-15T00:00:00"/>
    <d v="2014-07-19T00:00:00"/>
    <d v="2014-07-03T00:00:00"/>
    <d v="2014-07-25T00:00:00"/>
    <d v="2014-08-26T00:00:00"/>
    <m/>
    <m/>
    <m/>
    <m/>
    <x v="0"/>
    <m/>
    <n v="60"/>
    <n v="0"/>
    <n v="0"/>
    <n v="0"/>
    <n v="0"/>
    <n v="0"/>
    <n v="60"/>
    <n v="826444.49999999988"/>
    <n v="3900000"/>
    <n v="4.290009244969923"/>
  </r>
  <r>
    <n v="0"/>
    <n v="0"/>
    <n v="4"/>
    <n v="8"/>
    <s v="전략"/>
    <x v="18"/>
    <s v="ELK-EVERGREEN-02"/>
    <s v="ELK-EVERGREEN-02ELKPTF4507YE"/>
    <n v="4"/>
    <s v="ELK-EVERGREEN-024"/>
    <s v="ELK-EVERGREEN-024-ELKPTF4507YELLOWOLL"/>
    <s v="ELK의류507"/>
    <s v="ELK"/>
    <s v="14FW E"/>
    <m/>
    <s v="ELK"/>
    <s v="ELSTINKO KIDS"/>
    <s v="F"/>
    <n v="4"/>
    <s v="PT"/>
    <s v="PANTS"/>
    <s v="K"/>
    <n v="507"/>
    <n v="507"/>
    <s v="ELKPTF4507"/>
    <n v="0.1"/>
    <s v="14FW ELSTINKO_PANTS_02_YE_KIDS"/>
    <s v="YE"/>
    <s v="YELLOW"/>
    <s v="ELKPTF4507YE"/>
    <x v="0"/>
    <n v="0.2"/>
    <m/>
    <n v="1"/>
    <s v="OLL"/>
    <n v="45"/>
    <x v="13"/>
    <n v="2"/>
    <x v="4"/>
    <s v="M"/>
    <s v="CN"/>
    <x v="0"/>
    <n v="65000"/>
    <x v="21"/>
    <n v="11818.181818181818"/>
    <n v="13774.074999999999"/>
    <n v="1955.8931818181809"/>
    <m/>
    <n v="70"/>
    <m/>
    <n v="70"/>
    <n v="10.5"/>
    <m/>
    <d v="2014-04-15T00:00:00"/>
    <d v="2014-07-19T00:00:00"/>
    <d v="2014-07-03T00:00:00"/>
    <d v="2014-07-25T00:00:00"/>
    <d v="2014-08-26T00:00:00"/>
    <m/>
    <m/>
    <m/>
    <m/>
    <x v="0"/>
    <m/>
    <n v="45"/>
    <n v="0"/>
    <n v="0"/>
    <n v="0"/>
    <n v="0"/>
    <n v="0"/>
    <n v="45"/>
    <n v="619833.375"/>
    <n v="2925000"/>
    <n v="4.290009244969923"/>
  </r>
  <r>
    <n v="0"/>
    <n v="0"/>
    <n v="4"/>
    <n v="8"/>
    <s v="전략"/>
    <x v="18"/>
    <s v="ELK-EVERGREEN-02"/>
    <s v="ELK-EVERGREEN-02ELKPTF4507YE"/>
    <n v="4"/>
    <s v="ELK-EVERGREEN-024"/>
    <s v="ELK-EVERGREEN-024-ELKPTF4507YELLOWOXL"/>
    <s v="ELK의류507"/>
    <s v="ELK"/>
    <s v="14FW E"/>
    <m/>
    <s v="ELK"/>
    <s v="ELSTINKO KIDS"/>
    <s v="F"/>
    <n v="4"/>
    <s v="PT"/>
    <s v="PANTS"/>
    <s v="K"/>
    <n v="507"/>
    <n v="507"/>
    <s v="ELKPTF4507"/>
    <n v="0.1"/>
    <s v="14FW ELSTINKO_PANTS_02_YE_KIDS"/>
    <s v="YE"/>
    <s v="YELLOW"/>
    <s v="ELKPTF4507YE"/>
    <x v="0"/>
    <n v="0.2"/>
    <m/>
    <n v="1"/>
    <s v="OXL"/>
    <n v="45"/>
    <x v="13"/>
    <n v="2"/>
    <x v="4"/>
    <s v="M"/>
    <s v="CN"/>
    <x v="0"/>
    <n v="65000"/>
    <x v="21"/>
    <n v="11818.181818181818"/>
    <n v="13774.074999999999"/>
    <n v="1955.8931818181809"/>
    <m/>
    <n v="70"/>
    <m/>
    <n v="70"/>
    <n v="10.5"/>
    <m/>
    <d v="2014-04-15T00:00:00"/>
    <d v="2014-07-19T00:00:00"/>
    <d v="2014-07-03T00:00:00"/>
    <d v="2014-07-25T00:00:00"/>
    <d v="2014-08-26T00:00:00"/>
    <m/>
    <m/>
    <m/>
    <m/>
    <x v="0"/>
    <m/>
    <n v="45"/>
    <n v="0"/>
    <n v="0"/>
    <n v="0"/>
    <n v="0"/>
    <n v="0"/>
    <n v="45"/>
    <n v="619833.375"/>
    <n v="2925000"/>
    <n v="4.290009244969923"/>
  </r>
  <r>
    <n v="0"/>
    <n v="0"/>
    <s v=""/>
    <s v=""/>
    <s v=""/>
    <x v="1"/>
    <s v=""/>
    <s v=""/>
    <n v="0"/>
    <s v="0"/>
    <s v="0-"/>
    <n v="0"/>
    <s v="TTL"/>
    <s v=""/>
    <s v="ELK-EVERGREEN-02 TTL"/>
    <m/>
    <s v=""/>
    <s v=""/>
    <s v=""/>
    <m/>
    <s v=""/>
    <s v="K"/>
    <m/>
    <s v=""/>
    <s v=""/>
    <n v="2.0000000000000009"/>
    <m/>
    <s v=""/>
    <m/>
    <s v=""/>
    <x v="0"/>
    <n v="4.0000000000000018"/>
    <m/>
    <n v="1"/>
    <m/>
    <m/>
    <x v="1"/>
    <m/>
    <x v="1"/>
    <m/>
    <m/>
    <x v="1"/>
    <n v="0"/>
    <x v="1"/>
    <n v="0"/>
    <n v="0"/>
    <n v="0"/>
    <m/>
    <m/>
    <m/>
    <n v="0"/>
    <m/>
    <m/>
    <d v="1899-12-30T00:00:00"/>
    <m/>
    <d v="1899-12-30T00:00:00"/>
    <m/>
    <d v="1899-12-30T00:00:00"/>
    <m/>
    <m/>
    <m/>
    <m/>
    <x v="3"/>
    <m/>
    <n v="1513"/>
    <n v="0"/>
    <n v="0"/>
    <n v="0"/>
    <n v="0"/>
    <n v="0"/>
    <n v="1500"/>
    <n v="20073794.999999996"/>
    <n v="97500000"/>
    <n v="4.4155259947789469"/>
  </r>
  <r>
    <n v="0"/>
    <n v="0"/>
    <n v="4"/>
    <n v="9"/>
    <s v="전략"/>
    <x v="18"/>
    <s v="ELK-아트인드림-03"/>
    <s v="ELK-아트인드림-03ELKRPF5590GY"/>
    <n v="1"/>
    <s v="ELK-아트인드림-031"/>
    <s v="ELK-아트인드림-031-ELKRPF5590GREY03M"/>
    <s v="ELK의류590"/>
    <s v="ELK"/>
    <s v="14FW_E"/>
    <m/>
    <s v="ELK"/>
    <s v="ELSTINKO KIDS"/>
    <s v="F"/>
    <n v="5"/>
    <s v="RP"/>
    <s v="ROMPER (롬퍼)"/>
    <s v="I"/>
    <n v="590"/>
    <n v="590"/>
    <s v="ELKRPF5590"/>
    <n v="0.16666666666666666"/>
    <s v="14FW_ELSTINKO_ROMPER_01_GY_BABY"/>
    <s v="GY"/>
    <s v="GREY"/>
    <s v="ELKRPF5590GY"/>
    <x v="0"/>
    <n v="0.33333333333333331"/>
    <m/>
    <n v="3"/>
    <s v="03M"/>
    <n v="90"/>
    <x v="15"/>
    <n v="3"/>
    <x v="2"/>
    <s v="M"/>
    <s v="KR"/>
    <x v="3"/>
    <n v="99000"/>
    <x v="2"/>
    <n v="25000"/>
    <n v="23100"/>
    <n v="-1900"/>
    <m/>
    <n v="20"/>
    <m/>
    <n v="20"/>
    <m/>
    <n v="23080"/>
    <d v="2014-04-11T00:00:00"/>
    <m/>
    <d v="2014-07-28T00:00:00"/>
    <d v="2014-08-13T00:00:00"/>
    <d v="2014-09-05T00:00:00"/>
    <d v="2014-09-26T00:00:00"/>
    <m/>
    <m/>
    <m/>
    <x v="0"/>
    <m/>
    <n v="34"/>
    <n v="53"/>
    <n v="0"/>
    <n v="0"/>
    <n v="0"/>
    <n v="0"/>
    <n v="90"/>
    <n v="2079000"/>
    <n v="8910000"/>
    <n v="3.8961038961038961"/>
  </r>
  <r>
    <n v="0"/>
    <n v="0"/>
    <n v="4"/>
    <n v="9"/>
    <s v="전략"/>
    <x v="18"/>
    <s v="ELK-아트인드림-03"/>
    <s v="ELK-아트인드림-03ELKRPF5590GY"/>
    <n v="1"/>
    <s v="ELK-아트인드림-031"/>
    <s v="ELK-아트인드림-031-ELKRPF5590GREY06M"/>
    <s v="ELK의류590"/>
    <s v="ELK"/>
    <s v="14FW_E"/>
    <m/>
    <s v="ELK"/>
    <s v="ELSTINKO KIDS"/>
    <s v="F"/>
    <n v="5"/>
    <s v="RP"/>
    <s v="ROMPER (롬퍼)"/>
    <s v="I"/>
    <n v="590"/>
    <n v="590"/>
    <s v="ELKRPF5590"/>
    <n v="0.16666666666666666"/>
    <s v="14FW_ELSTINKO_ROMPER_01_GY_BABY"/>
    <s v="GY"/>
    <s v="GREY"/>
    <s v="ELKRPF5590GY"/>
    <x v="0"/>
    <n v="0.33333333333333331"/>
    <m/>
    <n v="3"/>
    <s v="06M"/>
    <n v="180"/>
    <x v="15"/>
    <n v="3"/>
    <x v="2"/>
    <s v="M"/>
    <s v="KR"/>
    <x v="3"/>
    <n v="99000"/>
    <x v="2"/>
    <n v="25000"/>
    <n v="23100"/>
    <n v="-1900"/>
    <m/>
    <n v="20"/>
    <m/>
    <n v="20"/>
    <m/>
    <n v="23080"/>
    <d v="2014-04-11T00:00:00"/>
    <m/>
    <d v="2014-07-28T00:00:00"/>
    <d v="2014-08-13T00:00:00"/>
    <d v="2014-09-05T00:00:00"/>
    <d v="2014-09-26T00:00:00"/>
    <m/>
    <m/>
    <m/>
    <x v="0"/>
    <m/>
    <n v="60"/>
    <n v="120"/>
    <n v="0"/>
    <n v="0"/>
    <n v="0"/>
    <n v="0"/>
    <n v="180"/>
    <n v="4158000"/>
    <n v="17820000"/>
    <n v="3.8961038961038961"/>
  </r>
  <r>
    <n v="0"/>
    <n v="0"/>
    <n v="4"/>
    <n v="9"/>
    <s v="전략"/>
    <x v="18"/>
    <s v="ELK-아트인드림-03"/>
    <s v="ELK-아트인드림-03ELKRPF5590GY"/>
    <n v="1"/>
    <s v="ELK-아트인드림-031"/>
    <s v="ELK-아트인드림-031-ELKRPF5590GREY12M"/>
    <s v="ELK의류590"/>
    <s v="ELK"/>
    <s v="14FW_E"/>
    <m/>
    <s v="ELK"/>
    <s v="ELSTINKO KIDS"/>
    <s v="F"/>
    <n v="5"/>
    <s v="RP"/>
    <s v="ROMPER (롬퍼)"/>
    <s v="I"/>
    <n v="590"/>
    <n v="590"/>
    <s v="ELKRPF5590"/>
    <n v="0.16666666666666666"/>
    <s v="14FW_ELSTINKO_ROMPER_01_GY_BABY"/>
    <s v="GY"/>
    <s v="GREY"/>
    <s v="ELKRPF5590GY"/>
    <x v="0"/>
    <n v="0.33333333333333331"/>
    <m/>
    <n v="3"/>
    <s v="12M"/>
    <n v="180"/>
    <x v="15"/>
    <n v="3"/>
    <x v="2"/>
    <s v="M"/>
    <s v="KR"/>
    <x v="3"/>
    <n v="99000"/>
    <x v="2"/>
    <n v="25000"/>
    <n v="23100"/>
    <n v="-1900"/>
    <m/>
    <n v="20"/>
    <m/>
    <n v="20"/>
    <m/>
    <n v="23080"/>
    <d v="2014-04-11T00:00:00"/>
    <m/>
    <d v="2014-07-28T00:00:00"/>
    <d v="2014-08-13T00:00:00"/>
    <d v="2014-09-05T00:00:00"/>
    <d v="2014-09-26T00:00:00"/>
    <m/>
    <m/>
    <m/>
    <x v="0"/>
    <m/>
    <n v="173"/>
    <n v="5"/>
    <n v="0"/>
    <n v="0"/>
    <n v="0"/>
    <n v="0"/>
    <n v="180"/>
    <n v="4158000"/>
    <n v="17820000"/>
    <n v="3.8961038961038961"/>
  </r>
  <r>
    <n v="0"/>
    <n v="0"/>
    <n v="4"/>
    <n v="9"/>
    <s v="전략"/>
    <x v="18"/>
    <s v="ELK-아트인드림-03"/>
    <s v="ELK-아트인드림-03ELKRPF5590PK"/>
    <n v="2"/>
    <s v="ELK-아트인드림-032"/>
    <s v="ELK-아트인드림-032-ELKRPF5590PINK03M"/>
    <s v="ELK의류590"/>
    <s v="ELK"/>
    <s v="14FW_E"/>
    <m/>
    <s v="ELK"/>
    <s v="ELSTINKO KIDS"/>
    <s v="F"/>
    <n v="5"/>
    <s v="RP"/>
    <s v="ROMPER (롬퍼)"/>
    <s v="I"/>
    <n v="590"/>
    <n v="590"/>
    <s v="ELKRPF5590"/>
    <n v="0.16666666666666666"/>
    <s v="14FW_ELSTINKO_ROMPER_01_PK_BABY"/>
    <s v="PK"/>
    <s v="PINK"/>
    <s v="ELKRPF5590PK"/>
    <x v="0"/>
    <n v="0.33333333333333331"/>
    <m/>
    <n v="3"/>
    <s v="03M"/>
    <n v="90"/>
    <x v="15"/>
    <n v="3"/>
    <x v="2"/>
    <s v="M"/>
    <s v="KR"/>
    <x v="3"/>
    <n v="99000"/>
    <x v="2"/>
    <n v="25000"/>
    <n v="23100"/>
    <n v="-1900"/>
    <m/>
    <n v="20"/>
    <m/>
    <n v="20"/>
    <m/>
    <n v="23080"/>
    <d v="2014-04-11T00:00:00"/>
    <m/>
    <d v="2014-07-28T00:00:00"/>
    <d v="2014-08-13T00:00:00"/>
    <d v="2014-09-05T00:00:00"/>
    <d v="2014-09-26T00:00:00"/>
    <m/>
    <m/>
    <m/>
    <x v="0"/>
    <m/>
    <n v="90"/>
    <m/>
    <n v="0"/>
    <n v="0"/>
    <n v="0"/>
    <n v="0"/>
    <n v="90"/>
    <n v="2079000"/>
    <n v="8910000"/>
    <n v="3.8961038961038961"/>
  </r>
  <r>
    <n v="0"/>
    <n v="0"/>
    <n v="4"/>
    <n v="9"/>
    <s v="전략"/>
    <x v="18"/>
    <s v="ELK-아트인드림-03"/>
    <s v="ELK-아트인드림-03ELKRPF5590PK"/>
    <n v="2"/>
    <s v="ELK-아트인드림-032"/>
    <s v="ELK-아트인드림-032-ELKRPF5590PINK06M"/>
    <s v="ELK의류590"/>
    <s v="ELK"/>
    <s v="14FW_E"/>
    <m/>
    <s v="ELK"/>
    <s v="ELSTINKO KIDS"/>
    <s v="F"/>
    <n v="5"/>
    <s v="RP"/>
    <s v="ROMPER (롬퍼)"/>
    <s v="I"/>
    <n v="590"/>
    <n v="590"/>
    <s v="ELKRPF5590"/>
    <n v="0.16666666666666666"/>
    <s v="14FW_ELSTINKO_ROMPER_01_PK_BABY"/>
    <s v="PK"/>
    <s v="PINK"/>
    <s v="ELKRPF5590PK"/>
    <x v="0"/>
    <n v="0.33333333333333331"/>
    <m/>
    <n v="3"/>
    <s v="06M"/>
    <n v="180"/>
    <x v="15"/>
    <n v="3"/>
    <x v="2"/>
    <s v="M"/>
    <s v="KR"/>
    <x v="3"/>
    <n v="99000"/>
    <x v="2"/>
    <n v="25000"/>
    <n v="23100"/>
    <n v="-1900"/>
    <m/>
    <n v="20"/>
    <m/>
    <n v="20"/>
    <m/>
    <n v="23080"/>
    <d v="2014-04-11T00:00:00"/>
    <m/>
    <d v="2014-07-28T00:00:00"/>
    <d v="2014-08-13T00:00:00"/>
    <d v="2014-09-05T00:00:00"/>
    <d v="2014-09-26T00:00:00"/>
    <m/>
    <m/>
    <m/>
    <x v="0"/>
    <m/>
    <n v="177"/>
    <m/>
    <n v="0"/>
    <n v="0"/>
    <n v="0"/>
    <n v="0"/>
    <n v="180"/>
    <n v="4158000"/>
    <n v="17820000"/>
    <n v="3.8961038961038961"/>
  </r>
  <r>
    <n v="0"/>
    <n v="0"/>
    <n v="4"/>
    <n v="9"/>
    <s v="전략"/>
    <x v="18"/>
    <s v="ELK-아트인드림-03"/>
    <s v="ELK-아트인드림-03ELKRPF5590PK"/>
    <n v="2"/>
    <s v="ELK-아트인드림-032"/>
    <s v="ELK-아트인드림-032-ELKRPF5590PINK12M"/>
    <s v="ELK의류590"/>
    <s v="ELK"/>
    <s v="14FW_E"/>
    <m/>
    <s v="ELK"/>
    <s v="ELSTINKO KIDS"/>
    <s v="F"/>
    <n v="5"/>
    <s v="RP"/>
    <s v="ROMPER (롬퍼)"/>
    <s v="I"/>
    <n v="590"/>
    <n v="590"/>
    <s v="ELKRPF5590"/>
    <n v="0.16666666666666666"/>
    <s v="14FW_ELSTINKO_ROMPER_01_PK_BABY"/>
    <s v="PK"/>
    <s v="PINK"/>
    <s v="ELKRPF5590PK"/>
    <x v="0"/>
    <n v="0.33333333333333331"/>
    <m/>
    <n v="3"/>
    <s v="12M"/>
    <n v="180"/>
    <x v="15"/>
    <n v="3"/>
    <x v="2"/>
    <s v="M"/>
    <s v="KR"/>
    <x v="3"/>
    <n v="99000"/>
    <x v="2"/>
    <n v="25000"/>
    <n v="23100"/>
    <n v="-1900"/>
    <m/>
    <n v="20"/>
    <m/>
    <n v="20"/>
    <m/>
    <n v="23080"/>
    <d v="2014-04-11T00:00:00"/>
    <m/>
    <d v="2014-07-28T00:00:00"/>
    <d v="2014-08-13T00:00:00"/>
    <d v="2014-09-05T00:00:00"/>
    <d v="2014-09-26T00:00:00"/>
    <m/>
    <m/>
    <m/>
    <x v="0"/>
    <m/>
    <n v="179"/>
    <n v="3"/>
    <n v="0"/>
    <n v="0"/>
    <n v="0"/>
    <n v="0"/>
    <n v="180"/>
    <n v="4158000"/>
    <n v="17820000"/>
    <n v="3.8961038961038961"/>
  </r>
  <r>
    <n v="0"/>
    <n v="0"/>
    <n v="4"/>
    <n v="9"/>
    <s v="전략"/>
    <x v="18"/>
    <s v="ELK-아트인드림-03"/>
    <s v="ELK-아트인드림-03ELKRPF5591PK"/>
    <n v="3"/>
    <s v="ELK-아트인드림-033"/>
    <s v="ELK-아트인드림-033-ELKRPF5591PINK03M"/>
    <s v="ELK의류591"/>
    <s v="ELK"/>
    <s v="14FW_E"/>
    <m/>
    <s v="ELK"/>
    <s v="ELSTINKO KIDS"/>
    <s v="F"/>
    <n v="5"/>
    <s v="RP"/>
    <s v="ROMPER (롬퍼)"/>
    <s v="I"/>
    <n v="591"/>
    <n v="591"/>
    <s v="ELKRPF5591"/>
    <n v="0.25"/>
    <s v="14FW_ELSTINKO_ROMPER_02_PK_BABY"/>
    <s v="PK"/>
    <s v="PINK"/>
    <s v="ELKRPF5591PK"/>
    <x v="0"/>
    <n v="0.25"/>
    <m/>
    <n v="3"/>
    <s v="03M"/>
    <n v="75"/>
    <x v="15"/>
    <n v="3"/>
    <x v="2"/>
    <s v="M"/>
    <s v="KR"/>
    <x v="3"/>
    <n v="79000"/>
    <x v="2"/>
    <n v="19949.494949494947"/>
    <n v="21000"/>
    <n v="1050.5050505050531"/>
    <m/>
    <n v="20"/>
    <m/>
    <n v="20"/>
    <m/>
    <n v="20980"/>
    <d v="2014-04-11T00:00:00"/>
    <m/>
    <d v="2014-07-28T00:00:00"/>
    <d v="2014-08-13T00:00:00"/>
    <d v="2014-09-05T00:00:00"/>
    <d v="2014-09-26T00:00:00"/>
    <m/>
    <m/>
    <m/>
    <x v="0"/>
    <m/>
    <n v="73"/>
    <n v="0"/>
    <n v="0"/>
    <n v="0"/>
    <n v="0"/>
    <n v="0"/>
    <n v="75"/>
    <n v="1575000"/>
    <n v="5925000"/>
    <n v="3.4199134199134194"/>
  </r>
  <r>
    <n v="0"/>
    <n v="0"/>
    <n v="4"/>
    <n v="9"/>
    <s v="전략"/>
    <x v="18"/>
    <s v="ELK-아트인드림-03"/>
    <s v="ELK-아트인드림-03ELKRPF5591PK"/>
    <n v="3"/>
    <s v="ELK-아트인드림-033"/>
    <s v="ELK-아트인드림-033-ELKRPF5591PINK06M"/>
    <s v="ELK의류591"/>
    <s v="ELK"/>
    <s v="14FW_E"/>
    <m/>
    <s v="ELK"/>
    <s v="ELSTINKO KIDS"/>
    <s v="F"/>
    <n v="5"/>
    <s v="RP"/>
    <s v="ROMPER (롬퍼)"/>
    <s v="I"/>
    <n v="591"/>
    <n v="591"/>
    <s v="ELKRPF5591"/>
    <n v="0.25"/>
    <s v="14FW_ELSTINKO_ROMPER_02_PK_BABY"/>
    <s v="PK"/>
    <s v="PINK"/>
    <s v="ELKRPF5591PK"/>
    <x v="0"/>
    <n v="0.25"/>
    <m/>
    <n v="3"/>
    <s v="06M"/>
    <n v="200"/>
    <x v="15"/>
    <n v="3"/>
    <x v="2"/>
    <s v="M"/>
    <s v="KR"/>
    <x v="3"/>
    <n v="79000"/>
    <x v="2"/>
    <n v="19949.494949494947"/>
    <n v="21000"/>
    <n v="1050.5050505050531"/>
    <m/>
    <n v="20"/>
    <m/>
    <n v="20"/>
    <m/>
    <n v="20980"/>
    <d v="2014-04-11T00:00:00"/>
    <m/>
    <d v="2014-07-28T00:00:00"/>
    <d v="2014-08-13T00:00:00"/>
    <d v="2014-09-05T00:00:00"/>
    <d v="2014-09-26T00:00:00"/>
    <m/>
    <m/>
    <m/>
    <x v="0"/>
    <m/>
    <n v="134"/>
    <n v="59"/>
    <n v="0"/>
    <n v="0"/>
    <n v="0"/>
    <n v="0"/>
    <n v="200"/>
    <n v="4200000"/>
    <n v="15800000"/>
    <n v="3.4199134199134198"/>
  </r>
  <r>
    <n v="0"/>
    <n v="0"/>
    <n v="4"/>
    <n v="9"/>
    <s v="전략"/>
    <x v="18"/>
    <s v="ELK-아트인드림-03"/>
    <s v="ELK-아트인드림-03ELKRPF5591PK"/>
    <n v="3"/>
    <s v="ELK-아트인드림-033"/>
    <s v="ELK-아트인드림-033-ELKRPF5591PINK12M"/>
    <s v="ELK의류591"/>
    <s v="ELK"/>
    <s v="14FW_E"/>
    <m/>
    <s v="ELK"/>
    <s v="ELSTINKO KIDS"/>
    <s v="F"/>
    <n v="5"/>
    <s v="RP"/>
    <s v="ROMPER (롬퍼)"/>
    <s v="I"/>
    <n v="591"/>
    <n v="591"/>
    <s v="ELKRPF5591"/>
    <n v="0.25"/>
    <s v="14FW_ELSTINKO_ROMPER_02_PK_BABY"/>
    <s v="PK"/>
    <s v="PINK"/>
    <s v="ELKRPF5591PK"/>
    <x v="0"/>
    <n v="0.25"/>
    <m/>
    <n v="3"/>
    <s v="12M"/>
    <n v="180"/>
    <x v="15"/>
    <n v="3"/>
    <x v="2"/>
    <s v="M"/>
    <s v="KR"/>
    <x v="3"/>
    <n v="79000"/>
    <x v="2"/>
    <n v="19949.494949494947"/>
    <n v="21000"/>
    <n v="1050.5050505050531"/>
    <m/>
    <n v="20"/>
    <m/>
    <n v="20"/>
    <m/>
    <n v="20980"/>
    <d v="2014-04-11T00:00:00"/>
    <m/>
    <d v="2014-07-28T00:00:00"/>
    <d v="2014-08-13T00:00:00"/>
    <d v="2014-09-05T00:00:00"/>
    <d v="2014-09-26T00:00:00"/>
    <m/>
    <m/>
    <m/>
    <x v="0"/>
    <m/>
    <n v="170"/>
    <n v="8"/>
    <n v="0"/>
    <n v="0"/>
    <n v="0"/>
    <n v="0"/>
    <n v="180"/>
    <n v="3780000"/>
    <n v="14220000"/>
    <n v="3.4199134199134194"/>
  </r>
  <r>
    <n v="0"/>
    <n v="0"/>
    <n v="4"/>
    <n v="9"/>
    <s v="전략"/>
    <x v="18"/>
    <s v="ELK-아트인드림-03"/>
    <s v="ELK-아트인드림-03ELKRPF5591PK"/>
    <n v="3"/>
    <s v="ELK-아트인드림-033"/>
    <s v="ELK-아트인드림-033-ELKRPF5591PINK18M"/>
    <s v="ELK의류591"/>
    <s v="ELK"/>
    <s v="14FW_E"/>
    <m/>
    <s v="ELK"/>
    <s v="ELSTINKO KIDS"/>
    <s v="F"/>
    <n v="5"/>
    <s v="RP"/>
    <s v="ROMPER (롬퍼)"/>
    <s v="I"/>
    <n v="591"/>
    <n v="591"/>
    <s v="ELKRPF5591"/>
    <n v="0.25"/>
    <s v="14FW_ELSTINKO_ROMPER_02_PK_BABY"/>
    <s v="PK"/>
    <s v="PINK"/>
    <s v="ELKRPF5591PK"/>
    <x v="0"/>
    <n v="0.25"/>
    <m/>
    <n v="3"/>
    <s v="18M"/>
    <n v="65"/>
    <x v="15"/>
    <n v="3"/>
    <x v="2"/>
    <s v="M"/>
    <s v="KR"/>
    <x v="3"/>
    <n v="79000"/>
    <x v="2"/>
    <n v="19949.494949494947"/>
    <n v="21000"/>
    <n v="1050.5050505050531"/>
    <m/>
    <n v="20"/>
    <m/>
    <n v="20"/>
    <m/>
    <n v="20980"/>
    <d v="2014-04-11T00:00:00"/>
    <m/>
    <d v="2014-07-28T00:00:00"/>
    <d v="2014-08-13T00:00:00"/>
    <d v="2014-09-05T00:00:00"/>
    <d v="2014-09-26T00:00:00"/>
    <m/>
    <m/>
    <m/>
    <x v="0"/>
    <m/>
    <n v="50"/>
    <n v="12"/>
    <n v="0"/>
    <n v="0"/>
    <n v="0"/>
    <n v="0"/>
    <n v="65"/>
    <n v="1365000"/>
    <n v="5135000"/>
    <n v="3.4199134199134194"/>
  </r>
  <r>
    <n v="0"/>
    <n v="0"/>
    <n v="4"/>
    <n v="9"/>
    <s v="전략"/>
    <x v="18"/>
    <s v="ELK-아트인드림-03"/>
    <s v="ELK-아트인드림-03ELKRPF5592BL"/>
    <n v="4"/>
    <s v="ELK-아트인드림-034"/>
    <s v="ELK-아트인드림-034-ELKRPF5592BLUE03M"/>
    <s v="ELK의류592"/>
    <s v="ELK"/>
    <s v="14FW_E"/>
    <m/>
    <s v="ELK"/>
    <s v="ELSTINKO KIDS"/>
    <s v="F"/>
    <n v="5"/>
    <s v="RP"/>
    <s v="ROMPER (롬퍼)"/>
    <s v="I"/>
    <n v="592"/>
    <n v="592"/>
    <s v="ELKRPF5592"/>
    <n v="0.25"/>
    <s v="14FW_ELSTINKO_ROMPER_03_BL_BABY"/>
    <s v="BL"/>
    <s v="BLUE"/>
    <s v="ELKRPF5592BL"/>
    <x v="0"/>
    <n v="0.25"/>
    <m/>
    <n v="3"/>
    <s v="03M"/>
    <n v="75"/>
    <x v="15"/>
    <n v="3"/>
    <x v="2"/>
    <s v="M"/>
    <s v="KR"/>
    <x v="3"/>
    <n v="79000"/>
    <x v="2"/>
    <n v="19949.494949494947"/>
    <n v="21000"/>
    <n v="1050.5050505050531"/>
    <m/>
    <n v="20"/>
    <m/>
    <n v="20"/>
    <m/>
    <n v="20980"/>
    <d v="2014-04-11T00:00:00"/>
    <m/>
    <d v="2014-07-28T00:00:00"/>
    <d v="2014-08-13T00:00:00"/>
    <d v="2014-09-05T00:00:00"/>
    <d v="2014-09-26T00:00:00"/>
    <m/>
    <m/>
    <m/>
    <x v="0"/>
    <m/>
    <n v="75"/>
    <n v="0"/>
    <n v="0"/>
    <n v="0"/>
    <n v="0"/>
    <n v="0"/>
    <n v="75"/>
    <n v="1575000"/>
    <n v="5925000"/>
    <n v="3.4199134199134194"/>
  </r>
  <r>
    <n v="0"/>
    <n v="0"/>
    <n v="4"/>
    <n v="9"/>
    <s v="전략"/>
    <x v="18"/>
    <s v="ELK-아트인드림-03"/>
    <s v="ELK-아트인드림-03ELKRPF5592BL"/>
    <n v="4"/>
    <s v="ELK-아트인드림-034"/>
    <s v="ELK-아트인드림-034-ELKRPF5592BLUE06M"/>
    <s v="ELK의류592"/>
    <s v="ELK"/>
    <s v="14FW_E"/>
    <m/>
    <s v="ELK"/>
    <s v="ELSTINKO KIDS"/>
    <s v="F"/>
    <n v="5"/>
    <s v="RP"/>
    <s v="ROMPER (롬퍼)"/>
    <s v="I"/>
    <n v="592"/>
    <n v="592"/>
    <s v="ELKRPF5592"/>
    <n v="0.25"/>
    <s v="14FW_ELSTINKO_ROMPER_03_BL_BABY"/>
    <s v="BL"/>
    <s v="BLUE"/>
    <s v="ELKRPF5592BL"/>
    <x v="0"/>
    <n v="0.25"/>
    <m/>
    <n v="3"/>
    <s v="06M"/>
    <n v="200"/>
    <x v="15"/>
    <n v="3"/>
    <x v="2"/>
    <s v="M"/>
    <s v="KR"/>
    <x v="3"/>
    <n v="79000"/>
    <x v="2"/>
    <n v="19949.494949494947"/>
    <n v="21000"/>
    <n v="1050.5050505050531"/>
    <m/>
    <n v="20"/>
    <m/>
    <n v="20"/>
    <m/>
    <n v="20980"/>
    <d v="2014-04-11T00:00:00"/>
    <m/>
    <d v="2014-07-28T00:00:00"/>
    <d v="2014-08-13T00:00:00"/>
    <d v="2014-09-05T00:00:00"/>
    <d v="2014-09-26T00:00:00"/>
    <m/>
    <m/>
    <m/>
    <x v="0"/>
    <m/>
    <n v="190"/>
    <n v="2"/>
    <n v="0"/>
    <n v="0"/>
    <n v="0"/>
    <n v="0"/>
    <n v="200"/>
    <n v="4200000"/>
    <n v="15800000"/>
    <n v="3.4199134199134198"/>
  </r>
  <r>
    <n v="0"/>
    <n v="0"/>
    <n v="4"/>
    <n v="9"/>
    <s v="전략"/>
    <x v="18"/>
    <s v="ELK-아트인드림-03"/>
    <s v="ELK-아트인드림-03ELKRPF5592BL"/>
    <n v="4"/>
    <s v="ELK-아트인드림-034"/>
    <s v="ELK-아트인드림-034-ELKRPF5592BLUE12M"/>
    <s v="ELK의류592"/>
    <s v="ELK"/>
    <s v="14FW_E"/>
    <m/>
    <s v="ELK"/>
    <s v="ELSTINKO KIDS"/>
    <s v="F"/>
    <n v="5"/>
    <s v="RP"/>
    <s v="ROMPER (롬퍼)"/>
    <s v="I"/>
    <n v="592"/>
    <n v="592"/>
    <s v="ELKRPF5592"/>
    <n v="0.25"/>
    <s v="14FW_ELSTINKO_ROMPER_03_BL_BABY"/>
    <s v="BL"/>
    <s v="BLUE"/>
    <s v="ELKRPF5592BL"/>
    <x v="0"/>
    <n v="0.25"/>
    <m/>
    <n v="3"/>
    <s v="12M"/>
    <n v="180"/>
    <x v="15"/>
    <n v="3"/>
    <x v="2"/>
    <s v="M"/>
    <s v="KR"/>
    <x v="3"/>
    <n v="79000"/>
    <x v="2"/>
    <n v="19949.494949494947"/>
    <n v="21000"/>
    <n v="1050.5050505050531"/>
    <m/>
    <n v="20"/>
    <m/>
    <n v="20"/>
    <m/>
    <n v="20980"/>
    <d v="2014-04-11T00:00:00"/>
    <m/>
    <d v="2014-07-28T00:00:00"/>
    <d v="2014-08-13T00:00:00"/>
    <d v="2014-09-05T00:00:00"/>
    <d v="2014-09-26T00:00:00"/>
    <m/>
    <m/>
    <m/>
    <x v="0"/>
    <m/>
    <n v="168"/>
    <n v="5"/>
    <n v="0"/>
    <n v="0"/>
    <n v="0"/>
    <n v="0"/>
    <n v="180"/>
    <n v="3780000"/>
    <n v="14220000"/>
    <n v="3.4199134199134194"/>
  </r>
  <r>
    <n v="0"/>
    <n v="0"/>
    <n v="4"/>
    <n v="9"/>
    <s v="전략"/>
    <x v="18"/>
    <s v="ELK-아트인드림-03"/>
    <s v="ELK-아트인드림-03ELKRPF5592BL"/>
    <n v="4"/>
    <s v="ELK-아트인드림-034"/>
    <s v="ELK-아트인드림-034-ELKRPF5592BLUE18M"/>
    <s v="ELK의류592"/>
    <s v="ELK"/>
    <s v="14FW_E"/>
    <m/>
    <s v="ELK"/>
    <s v="ELSTINKO KIDS"/>
    <s v="F"/>
    <n v="5"/>
    <s v="RP"/>
    <s v="ROMPER (롬퍼)"/>
    <s v="I"/>
    <n v="592"/>
    <n v="592"/>
    <s v="ELKRPF5592"/>
    <n v="0.25"/>
    <s v="14FW_ELSTINKO_ROMPER_03_BL_BABY"/>
    <s v="BL"/>
    <s v="BLUE"/>
    <s v="ELKRPF5592BL"/>
    <x v="0"/>
    <n v="0.25"/>
    <m/>
    <n v="3"/>
    <s v="18M"/>
    <n v="65"/>
    <x v="15"/>
    <n v="3"/>
    <x v="2"/>
    <s v="M"/>
    <s v="KR"/>
    <x v="3"/>
    <n v="79000"/>
    <x v="2"/>
    <n v="19949.494949494947"/>
    <n v="21000"/>
    <n v="1050.5050505050531"/>
    <m/>
    <n v="20"/>
    <m/>
    <n v="20"/>
    <m/>
    <n v="20980"/>
    <d v="2014-04-11T00:00:00"/>
    <m/>
    <d v="2014-07-28T00:00:00"/>
    <d v="2014-08-13T00:00:00"/>
    <d v="2014-09-05T00:00:00"/>
    <d v="2014-09-26T00:00:00"/>
    <m/>
    <m/>
    <m/>
    <x v="0"/>
    <m/>
    <n v="62"/>
    <n v="1"/>
    <n v="0"/>
    <n v="0"/>
    <n v="0"/>
    <n v="0"/>
    <n v="65"/>
    <n v="1365000"/>
    <n v="5135000"/>
    <n v="3.4199134199134194"/>
  </r>
  <r>
    <n v="0"/>
    <n v="0"/>
    <n v="4"/>
    <n v="9"/>
    <s v="전략"/>
    <x v="18"/>
    <s v="ELK-아트인드림-03"/>
    <s v="ELK-아트인드림-03ELKRPF5593MT"/>
    <n v="5"/>
    <s v="ELK-아트인드림-035"/>
    <s v="ELK-아트인드림-035-ELKRPF5593MINT06M"/>
    <s v="ELK의류593"/>
    <s v="ELK"/>
    <s v="14FW_E"/>
    <m/>
    <s v="ELK"/>
    <s v="ELSTINKO KIDS"/>
    <s v="F"/>
    <n v="5"/>
    <s v="RP"/>
    <s v="ROMPER (롬퍼)"/>
    <s v="I"/>
    <n v="593"/>
    <n v="593"/>
    <s v="ELKRPF5593"/>
    <n v="0.5"/>
    <s v="14FW_ELSTINKO_ROMPER_04_MT_BABY"/>
    <s v="MT"/>
    <s v="MINT"/>
    <s v="ELKRPF5593MT"/>
    <x v="0"/>
    <n v="0.5"/>
    <m/>
    <n v="3"/>
    <s v="06M"/>
    <n v="220"/>
    <x v="15"/>
    <n v="3"/>
    <x v="2"/>
    <s v="M"/>
    <s v="KR"/>
    <x v="3"/>
    <n v="99000"/>
    <x v="2"/>
    <n v="25000"/>
    <n v="23700"/>
    <n v="-1300"/>
    <m/>
    <n v="20"/>
    <m/>
    <n v="20"/>
    <m/>
    <n v="23680"/>
    <d v="2014-04-11T00:00:00"/>
    <m/>
    <d v="2014-07-28T00:00:00"/>
    <d v="2014-08-13T00:00:00"/>
    <d v="2014-09-26T00:00:00"/>
    <m/>
    <m/>
    <m/>
    <m/>
    <x v="0"/>
    <m/>
    <n v="184"/>
    <n v="0"/>
    <n v="0"/>
    <n v="0"/>
    <n v="0"/>
    <m/>
    <n v="220"/>
    <n v="5214000"/>
    <n v="21780000"/>
    <n v="3.7974683544303796"/>
  </r>
  <r>
    <n v="0"/>
    <n v="0"/>
    <n v="4"/>
    <n v="9"/>
    <s v="전략"/>
    <x v="18"/>
    <s v="ELK-아트인드림-03"/>
    <s v="ELK-아트인드림-03ELKRPF5593MT"/>
    <n v="5"/>
    <s v="ELK-아트인드림-035"/>
    <s v="ELK-아트인드림-035-ELKRPF5593MINT12M"/>
    <s v="ELK의류593"/>
    <s v="ELK"/>
    <s v="14FW_E"/>
    <m/>
    <s v="ELK"/>
    <s v="ELSTINKO KIDS"/>
    <s v="F"/>
    <n v="5"/>
    <s v="RP"/>
    <s v="ROMPER (롬퍼)"/>
    <s v="I"/>
    <n v="593"/>
    <n v="593"/>
    <s v="ELKRPF5593"/>
    <n v="0.5"/>
    <s v="14FW_ELSTINKO_ROMPER_04_MT_BABY"/>
    <s v="MT"/>
    <s v="MINT"/>
    <s v="ELKRPF5593MT"/>
    <x v="0"/>
    <n v="0.5"/>
    <m/>
    <n v="3"/>
    <s v="12M"/>
    <n v="300"/>
    <x v="15"/>
    <n v="3"/>
    <x v="2"/>
    <s v="M"/>
    <s v="KR"/>
    <x v="3"/>
    <n v="99000"/>
    <x v="2"/>
    <n v="25000"/>
    <n v="23700"/>
    <n v="-1300"/>
    <m/>
    <n v="20"/>
    <m/>
    <n v="20"/>
    <m/>
    <n v="23680"/>
    <d v="2014-04-11T00:00:00"/>
    <m/>
    <d v="2014-07-28T00:00:00"/>
    <d v="2014-08-13T00:00:00"/>
    <d v="2014-09-26T00:00:00"/>
    <m/>
    <m/>
    <m/>
    <m/>
    <x v="0"/>
    <m/>
    <n v="261"/>
    <n v="0"/>
    <n v="0"/>
    <n v="0"/>
    <n v="0"/>
    <m/>
    <n v="300"/>
    <n v="7110000"/>
    <n v="29700000"/>
    <n v="3.7974683544303791"/>
  </r>
  <r>
    <n v="0"/>
    <n v="0"/>
    <s v=""/>
    <s v=""/>
    <s v=""/>
    <x v="1"/>
    <s v=""/>
    <s v=""/>
    <n v="0"/>
    <s v="0"/>
    <s v="0-"/>
    <n v="0"/>
    <s v="TTL"/>
    <s v=""/>
    <s v="ELK-아트인드림-03 TTL"/>
    <m/>
    <s v=""/>
    <s v=""/>
    <s v=""/>
    <m/>
    <s v=""/>
    <s v="K"/>
    <m/>
    <s v=""/>
    <s v=""/>
    <n v="4"/>
    <m/>
    <s v=""/>
    <m/>
    <s v=""/>
    <x v="0"/>
    <n v="5"/>
    <m/>
    <n v="1"/>
    <m/>
    <m/>
    <x v="1"/>
    <m/>
    <x v="1"/>
    <m/>
    <m/>
    <x v="1"/>
    <n v="0"/>
    <x v="1"/>
    <n v="0"/>
    <n v="0"/>
    <n v="0"/>
    <m/>
    <m/>
    <m/>
    <n v="0"/>
    <m/>
    <m/>
    <d v="1899-12-30T00:00:00"/>
    <m/>
    <d v="1899-12-30T00:00:00"/>
    <m/>
    <d v="1899-12-30T00:00:00"/>
    <m/>
    <m/>
    <m/>
    <m/>
    <x v="3"/>
    <m/>
    <n v="2080"/>
    <n v="268"/>
    <n v="0"/>
    <n v="0"/>
    <n v="0"/>
    <n v="0"/>
    <n v="2460"/>
    <n v="54954000"/>
    <n v="222740000"/>
    <n v="3.6847346706501631"/>
  </r>
  <r>
    <n v="0"/>
    <n v="0"/>
    <n v="4"/>
    <n v="10"/>
    <s v="전략"/>
    <x v="18"/>
    <s v="ELK-대경-02"/>
    <s v="ELK-대경-02ELKJPF5594NY"/>
    <n v="1"/>
    <s v="ELK-대경-021"/>
    <s v="ELK-대경-021-ELKJPF5594NAVY06M"/>
    <s v="ELK의류594"/>
    <s v="ELK"/>
    <s v="14FW_E"/>
    <m/>
    <s v="ELK"/>
    <s v="ELSTINKO KIDS"/>
    <s v="F"/>
    <n v="5"/>
    <s v="JP"/>
    <s v="JUMPER"/>
    <s v="I"/>
    <n v="594"/>
    <n v="594"/>
    <s v="ELKJPF5594"/>
    <n v="0.33333333333333331"/>
    <s v="14FW_ELSTINKO_ROMPER_05_EBONY_BABY"/>
    <s v="NY"/>
    <s v="NAVY"/>
    <s v="ELKJPF5594NY"/>
    <x v="0"/>
    <n v="0.33333333333333331"/>
    <m/>
    <n v="3"/>
    <s v="06M"/>
    <n v="190"/>
    <x v="14"/>
    <n v="2"/>
    <x v="4"/>
    <s v="M"/>
    <s v="IN"/>
    <x v="0"/>
    <n v="129000"/>
    <x v="2"/>
    <n v="26060.60606060606"/>
    <n v="32360.000000000004"/>
    <n v="6299.3939393939436"/>
    <m/>
    <n v="20"/>
    <m/>
    <n v="20"/>
    <n v="28"/>
    <m/>
    <d v="2014-04-11T00:00:00"/>
    <d v="2014-08-08T00:00:00"/>
    <d v="2014-08-28T00:00:00"/>
    <d v="2014-09-30T00:00:00"/>
    <d v="2014-10-21T00:00:00"/>
    <m/>
    <m/>
    <m/>
    <m/>
    <x v="0"/>
    <m/>
    <n v="190"/>
    <n v="0"/>
    <n v="0"/>
    <n v="0"/>
    <n v="0"/>
    <n v="0"/>
    <n v="190"/>
    <n v="6148400.0000000009"/>
    <n v="24510000"/>
    <n v="3.6240026969322385"/>
  </r>
  <r>
    <n v="0"/>
    <n v="0"/>
    <n v="4"/>
    <n v="10"/>
    <s v="전략"/>
    <x v="18"/>
    <s v="ELK-대경-02"/>
    <s v="ELK-대경-02ELKJPF5594NY"/>
    <n v="1"/>
    <s v="ELK-대경-021"/>
    <s v="ELK-대경-021-ELKJPF5594NAVY12M"/>
    <s v="ELK의류594"/>
    <s v="ELK"/>
    <s v="14FW_E"/>
    <m/>
    <s v="ELK"/>
    <s v="ELSTINKO KIDS"/>
    <s v="F"/>
    <n v="5"/>
    <s v="JP"/>
    <s v="JUMPER"/>
    <s v="I"/>
    <n v="594"/>
    <n v="594"/>
    <s v="ELKJPF5594"/>
    <n v="0.33333333333333331"/>
    <s v="14FW_ELSTINKO_ROMPER_05_EBONY_BABY"/>
    <s v="NY"/>
    <s v="NAVY"/>
    <s v="ELKJPF5594NY"/>
    <x v="0"/>
    <n v="0.33333333333333331"/>
    <m/>
    <n v="3"/>
    <s v="12M"/>
    <n v="190"/>
    <x v="14"/>
    <n v="2"/>
    <x v="4"/>
    <s v="M"/>
    <s v="IN"/>
    <x v="0"/>
    <n v="129000"/>
    <x v="2"/>
    <n v="26060.60606060606"/>
    <n v="32360.000000000004"/>
    <n v="6299.3939393939436"/>
    <m/>
    <n v="20"/>
    <m/>
    <n v="20"/>
    <n v="28"/>
    <m/>
    <d v="2014-04-11T00:00:00"/>
    <d v="2014-08-28T00:00:00"/>
    <d v="2014-08-28T00:00:00"/>
    <d v="2014-09-30T00:00:00"/>
    <d v="2014-10-21T00:00:00"/>
    <m/>
    <m/>
    <m/>
    <m/>
    <x v="0"/>
    <m/>
    <n v="189"/>
    <n v="0"/>
    <n v="0"/>
    <n v="0"/>
    <n v="0"/>
    <n v="0"/>
    <n v="190"/>
    <n v="6148400.0000000009"/>
    <n v="24510000"/>
    <n v="3.6240026969322385"/>
  </r>
  <r>
    <n v="0"/>
    <n v="0"/>
    <n v="4"/>
    <n v="10"/>
    <s v="전략"/>
    <x v="18"/>
    <s v="ELK-대경-02"/>
    <s v="ELK-대경-02ELKJPF5594NY"/>
    <n v="1"/>
    <s v="ELK-대경-021"/>
    <s v="ELK-대경-021-ELKJPF5594NAVY18M"/>
    <s v="ELK의류594"/>
    <s v="ELK"/>
    <s v="14FW_E"/>
    <m/>
    <s v="ELK"/>
    <s v="ELSTINKO KIDS"/>
    <s v="F"/>
    <n v="5"/>
    <s v="JP"/>
    <s v="JUMPER"/>
    <s v="I"/>
    <n v="594"/>
    <n v="594"/>
    <s v="ELKJPF5594"/>
    <n v="0.33333333333333331"/>
    <s v="14FW_ELSTINKO_ROMPER_05_EBONY_BABY"/>
    <s v="NY"/>
    <s v="NAVY"/>
    <s v="ELKJPF5594NY"/>
    <x v="0"/>
    <n v="0.33333333333333331"/>
    <m/>
    <n v="3"/>
    <s v="18M"/>
    <n v="100"/>
    <x v="14"/>
    <n v="2"/>
    <x v="4"/>
    <s v="M"/>
    <s v="IN"/>
    <x v="0"/>
    <n v="129000"/>
    <x v="2"/>
    <n v="26060.60606060606"/>
    <n v="32360.000000000004"/>
    <n v="6299.3939393939436"/>
    <m/>
    <n v="20"/>
    <m/>
    <n v="20"/>
    <n v="28"/>
    <m/>
    <d v="2014-04-11T00:00:00"/>
    <d v="2014-08-28T00:00:00"/>
    <d v="2014-08-28T00:00:00"/>
    <d v="2014-09-30T00:00:00"/>
    <d v="2014-10-21T00:00:00"/>
    <m/>
    <m/>
    <m/>
    <m/>
    <x v="0"/>
    <m/>
    <n v="101"/>
    <n v="0"/>
    <n v="0"/>
    <n v="0"/>
    <n v="0"/>
    <n v="0"/>
    <n v="100"/>
    <n v="3236000.0000000005"/>
    <n v="12900000"/>
    <n v="3.6240026969322385"/>
  </r>
  <r>
    <n v="0"/>
    <n v="0"/>
    <s v=""/>
    <s v=""/>
    <s v=""/>
    <x v="1"/>
    <s v=""/>
    <s v=""/>
    <n v="0"/>
    <s v="0"/>
    <s v="0-"/>
    <n v="0"/>
    <s v="TTL"/>
    <s v=""/>
    <s v="ELK-대경-02 TTL"/>
    <m/>
    <s v=""/>
    <s v=""/>
    <s v=""/>
    <m/>
    <s v=""/>
    <s v="K"/>
    <m/>
    <s v=""/>
    <s v=""/>
    <n v="1"/>
    <m/>
    <s v=""/>
    <m/>
    <s v=""/>
    <x v="0"/>
    <n v="1"/>
    <m/>
    <n v="1"/>
    <m/>
    <m/>
    <x v="1"/>
    <m/>
    <x v="1"/>
    <m/>
    <m/>
    <x v="1"/>
    <n v="0"/>
    <x v="1"/>
    <n v="0"/>
    <n v="0"/>
    <n v="0"/>
    <m/>
    <m/>
    <m/>
    <n v="0"/>
    <m/>
    <m/>
    <d v="1899-12-30T00:00:00"/>
    <m/>
    <d v="1899-12-30T00:00:00"/>
    <m/>
    <d v="1899-12-30T00:00:00"/>
    <m/>
    <m/>
    <m/>
    <m/>
    <x v="3"/>
    <m/>
    <n v="480"/>
    <n v="0"/>
    <n v="0"/>
    <n v="0"/>
    <n v="0"/>
    <n v="0"/>
    <n v="480"/>
    <n v="15532800.000000002"/>
    <n v="61920000"/>
    <n v="3.624002696932239"/>
  </r>
  <r>
    <n v="0"/>
    <n v="0"/>
    <n v="4"/>
    <n v="8"/>
    <s v="전략"/>
    <x v="18"/>
    <s v="ELK-대경-03"/>
    <s v="ELK-대경-03ELKTLF5511MT"/>
    <n v="1"/>
    <s v="ELK-대경-031"/>
    <s v="ELK-대경-031-ELKTLF5511MINTXXS"/>
    <s v="ELK의류511"/>
    <s v="ELK"/>
    <s v="14FW_E"/>
    <m/>
    <s v="ELK"/>
    <s v="ELSTINKO KIDS"/>
    <s v="F"/>
    <n v="5"/>
    <s v="TL"/>
    <s v="LONG SLEEVES"/>
    <s v="K"/>
    <n v="511"/>
    <n v="511"/>
    <s v="ELKTLF5511"/>
    <n v="8.3333333333333329E-2"/>
    <s v="14FW_ELSTINKO_MTM_21_MT_KIDS"/>
    <s v="MT"/>
    <s v="MINT"/>
    <s v="ELKTLF5511MT"/>
    <x v="0"/>
    <n v="0.16666666666666666"/>
    <m/>
    <n v="1"/>
    <s v="XXS"/>
    <n v="150"/>
    <x v="14"/>
    <n v="3"/>
    <x v="2"/>
    <s v="M"/>
    <s v="IN"/>
    <x v="0"/>
    <n v="79000"/>
    <x v="21"/>
    <n v="15959.595959595958"/>
    <n v="17749.25"/>
    <n v="1789.6540404040425"/>
    <m/>
    <n v="20"/>
    <m/>
    <n v="20"/>
    <n v="15.35"/>
    <m/>
    <d v="2014-04-15T00:00:00"/>
    <m/>
    <d v="2014-07-24T00:00:00"/>
    <d v="2014-08-08T00:00:00"/>
    <d v="2014-08-08T00:00:00"/>
    <d v="2014-09-02T00:00:00"/>
    <m/>
    <m/>
    <m/>
    <x v="0"/>
    <m/>
    <n v="145"/>
    <n v="5"/>
    <n v="0"/>
    <n v="0"/>
    <n v="0"/>
    <n v="0"/>
    <n v="150"/>
    <n v="2662387.5"/>
    <n v="11850000"/>
    <n v="4.0462657192941567"/>
  </r>
  <r>
    <n v="0"/>
    <n v="0"/>
    <n v="4"/>
    <n v="8"/>
    <s v="전략"/>
    <x v="18"/>
    <s v="ELK-대경-03"/>
    <s v="ELK-대경-03ELKTLF5511MT"/>
    <n v="1"/>
    <s v="ELK-대경-031"/>
    <s v="ELK-대경-031-ELKTLF5511MINTOXS"/>
    <s v="ELK의류511"/>
    <s v="ELK"/>
    <s v="14FW_E"/>
    <m/>
    <s v="ELK"/>
    <s v="ELSTINKO KIDS"/>
    <s v="F"/>
    <n v="5"/>
    <s v="TL"/>
    <s v="LONG SLEEVES"/>
    <s v="K"/>
    <n v="511"/>
    <n v="511"/>
    <s v="ELKTLF5511"/>
    <n v="8.3333333333333329E-2"/>
    <s v="14FW_ELSTINKO_MTM_21_MT_KIDS"/>
    <s v="MT"/>
    <s v="MINT"/>
    <s v="ELKTLF5511MT"/>
    <x v="0"/>
    <n v="0.16666666666666666"/>
    <m/>
    <n v="1"/>
    <s v="OXS"/>
    <n v="40"/>
    <x v="14"/>
    <n v="3"/>
    <x v="2"/>
    <s v="M"/>
    <s v="IN"/>
    <x v="0"/>
    <n v="79000"/>
    <x v="21"/>
    <n v="15959.595959595958"/>
    <n v="17749.25"/>
    <n v="1789.6540404040425"/>
    <m/>
    <n v="20"/>
    <m/>
    <n v="20"/>
    <n v="15.35"/>
    <m/>
    <d v="2014-04-15T00:00:00"/>
    <m/>
    <d v="2014-07-24T00:00:00"/>
    <d v="2014-08-08T00:00:00"/>
    <d v="2014-08-08T00:00:00"/>
    <d v="2014-09-02T00:00:00"/>
    <m/>
    <m/>
    <m/>
    <x v="0"/>
    <m/>
    <n v="37"/>
    <n v="4"/>
    <n v="0"/>
    <n v="0"/>
    <n v="0"/>
    <n v="0"/>
    <n v="40"/>
    <n v="709970"/>
    <n v="3160000"/>
    <n v="4.0462657192941567"/>
  </r>
  <r>
    <n v="0"/>
    <n v="0"/>
    <n v="4"/>
    <n v="8"/>
    <s v="전략"/>
    <x v="18"/>
    <s v="ELK-대경-03"/>
    <s v="ELK-대경-03ELKTLF5511MT"/>
    <n v="1"/>
    <s v="ELK-대경-031"/>
    <s v="ELK-대경-031-ELKTLF5511MINTOSS"/>
    <s v="ELK의류511"/>
    <s v="ELK"/>
    <s v="14FW_E"/>
    <m/>
    <s v="ELK"/>
    <s v="ELSTINKO KIDS"/>
    <s v="F"/>
    <n v="5"/>
    <s v="TL"/>
    <s v="LONG SLEEVES"/>
    <s v="K"/>
    <n v="511"/>
    <n v="511"/>
    <s v="ELKTLF5511"/>
    <n v="8.3333333333333329E-2"/>
    <s v="14FW_ELSTINKO_MTM_21_MT_KIDS"/>
    <s v="MT"/>
    <s v="MINT"/>
    <s v="ELKTLF5511MT"/>
    <x v="0"/>
    <n v="0.16666666666666666"/>
    <m/>
    <n v="1"/>
    <s v="OSS"/>
    <n v="60"/>
    <x v="14"/>
    <n v="3"/>
    <x v="2"/>
    <s v="M"/>
    <s v="IN"/>
    <x v="0"/>
    <n v="79000"/>
    <x v="21"/>
    <n v="15959.595959595958"/>
    <n v="17749.25"/>
    <n v="1789.6540404040425"/>
    <m/>
    <n v="20"/>
    <m/>
    <n v="20"/>
    <n v="15.35"/>
    <m/>
    <d v="2014-04-15T00:00:00"/>
    <m/>
    <d v="2014-07-24T00:00:00"/>
    <d v="2014-08-08T00:00:00"/>
    <d v="2014-08-08T00:00:00"/>
    <d v="2014-09-02T00:00:00"/>
    <m/>
    <m/>
    <m/>
    <x v="0"/>
    <m/>
    <n v="0"/>
    <n v="59"/>
    <n v="0"/>
    <n v="0"/>
    <n v="0"/>
    <n v="0"/>
    <n v="60"/>
    <n v="1064955"/>
    <n v="4740000"/>
    <n v="4.0462657192941567"/>
  </r>
  <r>
    <n v="0"/>
    <n v="0"/>
    <n v="4"/>
    <n v="8"/>
    <s v="전략"/>
    <x v="18"/>
    <s v="ELK-대경-03"/>
    <s v="ELK-대경-03ELKTLF5511MT"/>
    <n v="1"/>
    <s v="ELK-대경-031"/>
    <s v="ELK-대경-031-ELKTLF5511MINTOMM"/>
    <s v="ELK의류511"/>
    <s v="ELK"/>
    <s v="14FW_E"/>
    <m/>
    <s v="ELK"/>
    <s v="ELSTINKO KIDS"/>
    <s v="F"/>
    <n v="5"/>
    <s v="TL"/>
    <s v="LONG SLEEVES"/>
    <s v="K"/>
    <n v="511"/>
    <n v="511"/>
    <s v="ELKTLF5511"/>
    <n v="8.3333333333333329E-2"/>
    <s v="14FW_ELSTINKO_MTM_21_MT_KIDS"/>
    <s v="MT"/>
    <s v="MINT"/>
    <s v="ELKTLF5511MT"/>
    <x v="0"/>
    <n v="0.16666666666666666"/>
    <m/>
    <n v="1"/>
    <s v="OMM"/>
    <n v="60"/>
    <x v="14"/>
    <n v="3"/>
    <x v="2"/>
    <s v="M"/>
    <s v="IN"/>
    <x v="0"/>
    <n v="79000"/>
    <x v="21"/>
    <n v="15959.595959595958"/>
    <n v="17749.25"/>
    <n v="1789.6540404040425"/>
    <m/>
    <n v="20"/>
    <m/>
    <n v="20"/>
    <n v="15.35"/>
    <m/>
    <d v="2014-04-15T00:00:00"/>
    <m/>
    <d v="2014-07-24T00:00:00"/>
    <d v="2014-08-08T00:00:00"/>
    <d v="2014-08-08T00:00:00"/>
    <d v="2014-09-02T00:00:00"/>
    <m/>
    <m/>
    <m/>
    <x v="0"/>
    <m/>
    <n v="57"/>
    <n v="2"/>
    <n v="0"/>
    <n v="0"/>
    <n v="0"/>
    <n v="0"/>
    <n v="60"/>
    <n v="1064955"/>
    <n v="4740000"/>
    <n v="4.0462657192941567"/>
  </r>
  <r>
    <n v="0"/>
    <n v="0"/>
    <n v="4"/>
    <n v="8"/>
    <s v="전략"/>
    <x v="18"/>
    <s v="ELK-대경-03"/>
    <s v="ELK-대경-03ELKTLF5511MT"/>
    <n v="1"/>
    <s v="ELK-대경-031"/>
    <s v="ELK-대경-031-ELKTLF5511MINTOLL"/>
    <s v="ELK의류511"/>
    <s v="ELK"/>
    <s v="14FW_E"/>
    <m/>
    <s v="ELK"/>
    <s v="ELSTINKO KIDS"/>
    <s v="F"/>
    <n v="5"/>
    <s v="TL"/>
    <s v="LONG SLEEVES"/>
    <s v="K"/>
    <n v="511"/>
    <n v="511"/>
    <s v="ELKTLF5511"/>
    <n v="8.3333333333333329E-2"/>
    <s v="14FW_ELSTINKO_MTM_21_MT_KIDS"/>
    <s v="MT"/>
    <s v="MINT"/>
    <s v="ELKTLF5511MT"/>
    <x v="0"/>
    <n v="0.16666666666666666"/>
    <m/>
    <n v="1"/>
    <s v="OLL"/>
    <n v="45"/>
    <x v="14"/>
    <n v="3"/>
    <x v="2"/>
    <s v="M"/>
    <s v="IN"/>
    <x v="0"/>
    <n v="79000"/>
    <x v="21"/>
    <n v="15959.595959595958"/>
    <n v="17749.25"/>
    <n v="1789.6540404040425"/>
    <m/>
    <n v="20"/>
    <m/>
    <n v="20"/>
    <n v="15.35"/>
    <m/>
    <d v="2014-04-15T00:00:00"/>
    <m/>
    <d v="2014-07-24T00:00:00"/>
    <d v="2014-08-08T00:00:00"/>
    <d v="2014-08-08T00:00:00"/>
    <d v="2014-09-02T00:00:00"/>
    <m/>
    <m/>
    <m/>
    <x v="0"/>
    <m/>
    <n v="43"/>
    <n v="2"/>
    <n v="0"/>
    <n v="0"/>
    <n v="0"/>
    <n v="0"/>
    <n v="45"/>
    <n v="798716.25"/>
    <n v="3555000"/>
    <n v="4.0462657192941567"/>
  </r>
  <r>
    <n v="0"/>
    <n v="0"/>
    <n v="4"/>
    <n v="8"/>
    <s v="전략"/>
    <x v="18"/>
    <s v="ELK-대경-03"/>
    <s v="ELK-대경-03ELKTLF5511MT"/>
    <n v="1"/>
    <s v="ELK-대경-031"/>
    <s v="ELK-대경-031-ELKTLF5511MINTOXL"/>
    <s v="ELK의류511"/>
    <s v="ELK"/>
    <s v="14FW_E"/>
    <m/>
    <s v="ELK"/>
    <s v="ELSTINKO KIDS"/>
    <s v="F"/>
    <n v="5"/>
    <s v="TL"/>
    <s v="LONG SLEEVES"/>
    <s v="K"/>
    <n v="511"/>
    <n v="511"/>
    <s v="ELKTLF5511"/>
    <n v="8.3333333333333329E-2"/>
    <s v="14FW_ELSTINKO_MTM_21_MT_KIDS"/>
    <s v="MT"/>
    <s v="MINT"/>
    <s v="ELKTLF5511MT"/>
    <x v="0"/>
    <n v="0.16666666666666666"/>
    <m/>
    <n v="1"/>
    <s v="OXL"/>
    <n v="45"/>
    <x v="14"/>
    <n v="3"/>
    <x v="2"/>
    <s v="M"/>
    <s v="IN"/>
    <x v="0"/>
    <n v="79000"/>
    <x v="21"/>
    <n v="15959.595959595958"/>
    <n v="17749.25"/>
    <n v="1789.6540404040425"/>
    <m/>
    <n v="20"/>
    <m/>
    <n v="20"/>
    <n v="15.35"/>
    <m/>
    <d v="2014-04-15T00:00:00"/>
    <m/>
    <d v="2014-07-24T00:00:00"/>
    <d v="2014-08-08T00:00:00"/>
    <d v="2014-08-08T00:00:00"/>
    <d v="2014-09-02T00:00:00"/>
    <m/>
    <m/>
    <m/>
    <x v="0"/>
    <m/>
    <n v="36"/>
    <n v="9"/>
    <n v="0"/>
    <n v="0"/>
    <n v="0"/>
    <n v="0"/>
    <n v="45"/>
    <n v="798716.25"/>
    <n v="3555000"/>
    <n v="4.0462657192941567"/>
  </r>
  <r>
    <n v="0"/>
    <n v="0"/>
    <n v="4"/>
    <n v="8"/>
    <s v="전략"/>
    <x v="18"/>
    <s v="ELK-대경-03"/>
    <s v="ELK-대경-03ELKTLF5511PK"/>
    <n v="2"/>
    <s v="ELK-대경-032"/>
    <s v="ELK-대경-032-ELKTLF5511PINKXXS"/>
    <s v="ELK의류511"/>
    <s v="ELK"/>
    <s v="14FW_E"/>
    <m/>
    <s v="ELK"/>
    <s v="ELSTINKO KIDS"/>
    <s v="F"/>
    <n v="5"/>
    <s v="TL"/>
    <s v="LONG SLEEVES"/>
    <s v="K"/>
    <n v="511"/>
    <n v="511"/>
    <s v="ELKTLF5511"/>
    <n v="8.3333333333333329E-2"/>
    <s v="14FW_ELSTINKO_MTM_21_PK_KIDS"/>
    <s v="PK"/>
    <s v="PINK"/>
    <s v="ELKTLF5511PK"/>
    <x v="0"/>
    <n v="0.16666666666666666"/>
    <m/>
    <n v="1"/>
    <s v="XXS"/>
    <n v="150"/>
    <x v="14"/>
    <n v="3"/>
    <x v="2"/>
    <s v="M"/>
    <s v="IN"/>
    <x v="0"/>
    <n v="79000"/>
    <x v="21"/>
    <n v="15959.595959595958"/>
    <n v="17749.25"/>
    <n v="1789.6540404040425"/>
    <m/>
    <n v="20"/>
    <m/>
    <n v="20"/>
    <n v="15.35"/>
    <m/>
    <d v="2014-04-15T00:00:00"/>
    <m/>
    <d v="2014-07-24T00:00:00"/>
    <d v="2014-08-08T00:00:00"/>
    <d v="2014-08-08T00:00:00"/>
    <d v="2014-09-02T00:00:00"/>
    <m/>
    <m/>
    <m/>
    <x v="0"/>
    <m/>
    <n v="148"/>
    <n v="2"/>
    <n v="0"/>
    <n v="0"/>
    <n v="0"/>
    <n v="0"/>
    <n v="150"/>
    <n v="2662387.5"/>
    <n v="11850000"/>
    <n v="4.0462657192941567"/>
  </r>
  <r>
    <n v="0"/>
    <n v="0"/>
    <n v="4"/>
    <n v="8"/>
    <s v="전략"/>
    <x v="18"/>
    <s v="ELK-대경-03"/>
    <s v="ELK-대경-03ELKTLF5511PK"/>
    <n v="2"/>
    <s v="ELK-대경-032"/>
    <s v="ELK-대경-032-ELKTLF5511PINKOXS"/>
    <s v="ELK의류511"/>
    <s v="ELK"/>
    <s v="14FW_E"/>
    <m/>
    <s v="ELK"/>
    <s v="ELSTINKO KIDS"/>
    <s v="F"/>
    <n v="5"/>
    <s v="TL"/>
    <s v="LONG SLEEVES"/>
    <s v="K"/>
    <n v="511"/>
    <n v="511"/>
    <s v="ELKTLF5511"/>
    <n v="8.3333333333333329E-2"/>
    <s v="14FW_ELSTINKO_MTM_21_PK_KIDS"/>
    <s v="PK"/>
    <s v="PINK"/>
    <s v="ELKTLF5511PK"/>
    <x v="0"/>
    <n v="0.16666666666666666"/>
    <m/>
    <n v="1"/>
    <s v="OXS"/>
    <n v="40"/>
    <x v="14"/>
    <n v="3"/>
    <x v="2"/>
    <s v="M"/>
    <s v="IN"/>
    <x v="0"/>
    <n v="79000"/>
    <x v="21"/>
    <n v="15959.595959595958"/>
    <n v="17749.25"/>
    <n v="1789.6540404040425"/>
    <m/>
    <n v="20"/>
    <m/>
    <n v="20"/>
    <n v="15.35"/>
    <m/>
    <d v="2014-04-15T00:00:00"/>
    <m/>
    <d v="2014-07-24T00:00:00"/>
    <d v="2014-08-08T00:00:00"/>
    <d v="2014-08-08T00:00:00"/>
    <d v="2014-09-02T00:00:00"/>
    <m/>
    <m/>
    <m/>
    <x v="0"/>
    <m/>
    <n v="37"/>
    <n v="2"/>
    <n v="0"/>
    <n v="0"/>
    <n v="0"/>
    <n v="0"/>
    <n v="40"/>
    <n v="709970"/>
    <n v="3160000"/>
    <n v="4.0462657192941567"/>
  </r>
  <r>
    <n v="0"/>
    <n v="0"/>
    <n v="4"/>
    <n v="8"/>
    <s v="전략"/>
    <x v="18"/>
    <s v="ELK-대경-03"/>
    <s v="ELK-대경-03ELKTLF5511PK"/>
    <n v="2"/>
    <s v="ELK-대경-032"/>
    <s v="ELK-대경-032-ELKTLF5511PINKOSS"/>
    <s v="ELK의류511"/>
    <s v="ELK"/>
    <s v="14FW_E"/>
    <m/>
    <s v="ELK"/>
    <s v="ELSTINKO KIDS"/>
    <s v="F"/>
    <n v="5"/>
    <s v="TL"/>
    <s v="LONG SLEEVES"/>
    <s v="K"/>
    <n v="511"/>
    <n v="511"/>
    <s v="ELKTLF5511"/>
    <n v="8.3333333333333329E-2"/>
    <s v="14FW_ELSTINKO_MTM_21_PK_KIDS"/>
    <s v="PK"/>
    <s v="PINK"/>
    <s v="ELKTLF5511PK"/>
    <x v="0"/>
    <n v="0.16666666666666666"/>
    <m/>
    <n v="1"/>
    <s v="OSS"/>
    <n v="60"/>
    <x v="14"/>
    <n v="3"/>
    <x v="2"/>
    <s v="M"/>
    <s v="IN"/>
    <x v="0"/>
    <n v="79000"/>
    <x v="21"/>
    <n v="15959.595959595958"/>
    <n v="17749.25"/>
    <n v="1789.6540404040425"/>
    <m/>
    <n v="20"/>
    <m/>
    <n v="20"/>
    <n v="15.35"/>
    <m/>
    <d v="2014-04-15T00:00:00"/>
    <m/>
    <d v="2014-07-24T00:00:00"/>
    <d v="2014-08-08T00:00:00"/>
    <d v="2014-08-08T00:00:00"/>
    <d v="2014-09-02T00:00:00"/>
    <m/>
    <m/>
    <m/>
    <x v="0"/>
    <m/>
    <n v="0"/>
    <n v="60"/>
    <n v="0"/>
    <n v="0"/>
    <n v="0"/>
    <n v="0"/>
    <n v="60"/>
    <n v="1064955"/>
    <n v="4740000"/>
    <n v="4.0462657192941567"/>
  </r>
  <r>
    <n v="0"/>
    <n v="0"/>
    <n v="4"/>
    <n v="8"/>
    <s v="전략"/>
    <x v="18"/>
    <s v="ELK-대경-03"/>
    <s v="ELK-대경-03ELKTLF5511PK"/>
    <n v="2"/>
    <s v="ELK-대경-032"/>
    <s v="ELK-대경-032-ELKTLF5511PINKOMM"/>
    <s v="ELK의류511"/>
    <s v="ELK"/>
    <s v="14FW_E"/>
    <m/>
    <s v="ELK"/>
    <s v="ELSTINKO KIDS"/>
    <s v="F"/>
    <n v="5"/>
    <s v="TL"/>
    <s v="LONG SLEEVES"/>
    <s v="K"/>
    <n v="511"/>
    <n v="511"/>
    <s v="ELKTLF5511"/>
    <n v="8.3333333333333329E-2"/>
    <s v="14FW_ELSTINKO_MTM_21_PK_KIDS"/>
    <s v="PK"/>
    <s v="PINK"/>
    <s v="ELKTLF5511PK"/>
    <x v="0"/>
    <n v="0.16666666666666666"/>
    <m/>
    <n v="1"/>
    <s v="OMM"/>
    <n v="60"/>
    <x v="14"/>
    <n v="3"/>
    <x v="2"/>
    <s v="M"/>
    <s v="IN"/>
    <x v="0"/>
    <n v="79000"/>
    <x v="21"/>
    <n v="15959.595959595958"/>
    <n v="17749.25"/>
    <n v="1789.6540404040425"/>
    <m/>
    <n v="20"/>
    <m/>
    <n v="20"/>
    <n v="15.35"/>
    <m/>
    <d v="2014-04-15T00:00:00"/>
    <m/>
    <d v="2014-07-24T00:00:00"/>
    <d v="2014-08-08T00:00:00"/>
    <d v="2014-08-08T00:00:00"/>
    <d v="2014-09-02T00:00:00"/>
    <m/>
    <m/>
    <m/>
    <x v="0"/>
    <m/>
    <n v="0"/>
    <n v="60"/>
    <n v="0"/>
    <n v="0"/>
    <n v="0"/>
    <n v="0"/>
    <n v="60"/>
    <n v="1064955"/>
    <n v="4740000"/>
    <n v="4.0462657192941567"/>
  </r>
  <r>
    <n v="0"/>
    <n v="0"/>
    <n v="4"/>
    <n v="8"/>
    <s v="전략"/>
    <x v="18"/>
    <s v="ELK-대경-03"/>
    <s v="ELK-대경-03ELKTLF5511PK"/>
    <n v="2"/>
    <s v="ELK-대경-032"/>
    <s v="ELK-대경-032-ELKTLF5511PINKOLL"/>
    <s v="ELK의류511"/>
    <s v="ELK"/>
    <s v="14FW_E"/>
    <m/>
    <s v="ELK"/>
    <s v="ELSTINKO KIDS"/>
    <s v="F"/>
    <n v="5"/>
    <s v="TL"/>
    <s v="LONG SLEEVES"/>
    <s v="K"/>
    <n v="511"/>
    <n v="511"/>
    <s v="ELKTLF5511"/>
    <n v="8.3333333333333329E-2"/>
    <s v="14FW_ELSTINKO_MTM_21_PK_KIDS"/>
    <s v="PK"/>
    <s v="PINK"/>
    <s v="ELKTLF5511PK"/>
    <x v="0"/>
    <n v="0.16666666666666666"/>
    <m/>
    <n v="1"/>
    <s v="OLL"/>
    <n v="45"/>
    <x v="14"/>
    <n v="3"/>
    <x v="2"/>
    <s v="M"/>
    <s v="IN"/>
    <x v="0"/>
    <n v="79000"/>
    <x v="21"/>
    <n v="15959.595959595958"/>
    <n v="17749.25"/>
    <n v="1789.6540404040425"/>
    <m/>
    <n v="20"/>
    <m/>
    <n v="20"/>
    <n v="15.35"/>
    <m/>
    <d v="2014-04-15T00:00:00"/>
    <m/>
    <d v="2014-07-24T00:00:00"/>
    <d v="2014-08-08T00:00:00"/>
    <d v="2014-08-08T00:00:00"/>
    <d v="2014-09-02T00:00:00"/>
    <m/>
    <m/>
    <m/>
    <x v="0"/>
    <m/>
    <n v="25"/>
    <n v="20"/>
    <n v="0"/>
    <n v="0"/>
    <n v="0"/>
    <n v="0"/>
    <n v="45"/>
    <n v="798716.25"/>
    <n v="3555000"/>
    <n v="4.0462657192941567"/>
  </r>
  <r>
    <n v="0"/>
    <n v="0"/>
    <n v="4"/>
    <n v="8"/>
    <s v="전략"/>
    <x v="18"/>
    <s v="ELK-대경-03"/>
    <s v="ELK-대경-03ELKTLF5511PK"/>
    <n v="2"/>
    <s v="ELK-대경-032"/>
    <s v="ELK-대경-032-ELKTLF5511PINKOXL"/>
    <s v="ELK의류511"/>
    <s v="ELK"/>
    <s v="14FW_E"/>
    <m/>
    <s v="ELK"/>
    <s v="ELSTINKO KIDS"/>
    <s v="F"/>
    <n v="5"/>
    <s v="TL"/>
    <s v="LONG SLEEVES"/>
    <s v="K"/>
    <n v="511"/>
    <n v="511"/>
    <s v="ELKTLF5511"/>
    <n v="8.3333333333333329E-2"/>
    <s v="14FW_ELSTINKO_MTM_21_PK_KIDS"/>
    <s v="PK"/>
    <s v="PINK"/>
    <s v="ELKTLF5511PK"/>
    <x v="0"/>
    <n v="0.16666666666666666"/>
    <m/>
    <n v="1"/>
    <s v="OXL"/>
    <n v="45"/>
    <x v="14"/>
    <n v="3"/>
    <x v="2"/>
    <s v="M"/>
    <s v="IN"/>
    <x v="0"/>
    <n v="79000"/>
    <x v="21"/>
    <n v="15959.595959595958"/>
    <n v="17749.25"/>
    <n v="1789.6540404040425"/>
    <m/>
    <n v="20"/>
    <m/>
    <n v="20"/>
    <n v="15.35"/>
    <m/>
    <d v="2014-04-15T00:00:00"/>
    <m/>
    <d v="2014-07-24T00:00:00"/>
    <d v="2014-08-08T00:00:00"/>
    <d v="2014-08-08T00:00:00"/>
    <d v="2014-09-02T00:00:00"/>
    <m/>
    <m/>
    <m/>
    <x v="0"/>
    <m/>
    <n v="31"/>
    <n v="14"/>
    <n v="0"/>
    <n v="0"/>
    <n v="0"/>
    <n v="0"/>
    <n v="45"/>
    <n v="798716.25"/>
    <n v="3555000"/>
    <n v="4.0462657192941567"/>
  </r>
  <r>
    <n v="0"/>
    <n v="0"/>
    <n v="4"/>
    <n v="9"/>
    <s v="전략"/>
    <x v="18"/>
    <s v="ELK-대경-03"/>
    <s v="ELK-대경-03ELKHPF5513MT"/>
    <n v="3"/>
    <s v="ELK-대경-033"/>
    <s v="ELK-대경-033-ELKHPF5513MINTXXS"/>
    <s v="ELK의류513"/>
    <s v="ELK"/>
    <s v="14FW_E"/>
    <m/>
    <s v="ELK"/>
    <s v="ELSTINKO KIDS"/>
    <s v="F"/>
    <n v="5"/>
    <s v="HP"/>
    <s v="HOODED JUMPER"/>
    <s v="K"/>
    <n v="513"/>
    <n v="513"/>
    <s v="ELKHPF5513"/>
    <n v="0.16666666666666666"/>
    <s v="14FW_ELSTINKO_HOODZIP_01_MT_KIDS"/>
    <s v="MT"/>
    <s v="MINT"/>
    <s v="ELKHPF5513MT"/>
    <x v="0"/>
    <n v="0.16666666666666666"/>
    <m/>
    <n v="1"/>
    <s v="XXS"/>
    <n v="150"/>
    <x v="14"/>
    <n v="3"/>
    <x v="2"/>
    <s v="M"/>
    <s v="IN"/>
    <x v="0"/>
    <n v="119000"/>
    <x v="21"/>
    <n v="24040.404040404039"/>
    <n v="24044.000000000004"/>
    <n v="3.5959595959648141"/>
    <m/>
    <n v="20"/>
    <m/>
    <n v="20"/>
    <n v="20.8"/>
    <m/>
    <d v="2014-04-15T00:00:00"/>
    <m/>
    <d v="2014-07-24T00:00:00"/>
    <d v="2014-08-08T00:00:00"/>
    <d v="2014-09-02T00:00:00"/>
    <m/>
    <m/>
    <m/>
    <m/>
    <x v="0"/>
    <m/>
    <n v="150"/>
    <n v="0"/>
    <n v="0"/>
    <n v="0"/>
    <n v="0"/>
    <n v="0"/>
    <n v="150"/>
    <n v="3606600.0000000005"/>
    <n v="17850000"/>
    <n v="4.4993269914248106"/>
  </r>
  <r>
    <n v="0"/>
    <n v="0"/>
    <n v="4"/>
    <n v="9"/>
    <s v="전략"/>
    <x v="18"/>
    <s v="ELK-대경-03"/>
    <s v="ELK-대경-03ELKHPF5513MT"/>
    <n v="3"/>
    <s v="ELK-대경-033"/>
    <s v="ELK-대경-033-ELKHPF5513MINTOXS"/>
    <s v="ELK의류513"/>
    <s v="ELK"/>
    <s v="14FW_E"/>
    <m/>
    <s v="ELK"/>
    <s v="ELSTINKO KIDS"/>
    <s v="F"/>
    <n v="5"/>
    <s v="HP"/>
    <s v="HOODED JUMPER"/>
    <s v="K"/>
    <n v="513"/>
    <n v="513"/>
    <s v="ELKHPF5513"/>
    <n v="0.16666666666666666"/>
    <s v="14FW_ELSTINKO_HOODZIP_01_MT_KIDS"/>
    <s v="MT"/>
    <s v="MINT"/>
    <s v="ELKHPF5513MT"/>
    <x v="0"/>
    <n v="0.16666666666666666"/>
    <m/>
    <n v="1"/>
    <s v="OXS"/>
    <n v="40"/>
    <x v="14"/>
    <n v="3"/>
    <x v="2"/>
    <s v="M"/>
    <s v="IN"/>
    <x v="0"/>
    <n v="119000"/>
    <x v="21"/>
    <n v="24040.404040404039"/>
    <n v="24044.000000000004"/>
    <n v="3.5959595959648141"/>
    <m/>
    <n v="20"/>
    <m/>
    <n v="20"/>
    <n v="20.8"/>
    <m/>
    <d v="2014-04-15T00:00:00"/>
    <m/>
    <d v="2014-07-24T00:00:00"/>
    <d v="2014-08-08T00:00:00"/>
    <d v="2014-09-02T00:00:00"/>
    <m/>
    <m/>
    <m/>
    <m/>
    <x v="0"/>
    <m/>
    <n v="40"/>
    <n v="0"/>
    <n v="0"/>
    <n v="0"/>
    <n v="0"/>
    <n v="0"/>
    <n v="40"/>
    <n v="961760.00000000012"/>
    <n v="4760000"/>
    <n v="4.4993269914248115"/>
  </r>
  <r>
    <n v="0"/>
    <n v="0"/>
    <n v="4"/>
    <n v="9"/>
    <s v="전략"/>
    <x v="18"/>
    <s v="ELK-대경-03"/>
    <s v="ELK-대경-03ELKHPF5513MT"/>
    <n v="3"/>
    <s v="ELK-대경-033"/>
    <s v="ELK-대경-033-ELKHPF5513MINTOSS"/>
    <s v="ELK의류513"/>
    <s v="ELK"/>
    <s v="14FW_E"/>
    <m/>
    <s v="ELK"/>
    <s v="ELSTINKO KIDS"/>
    <s v="F"/>
    <n v="5"/>
    <s v="HP"/>
    <s v="HOODED JUMPER"/>
    <s v="K"/>
    <n v="513"/>
    <n v="513"/>
    <s v="ELKHPF5513"/>
    <n v="0.16666666666666666"/>
    <s v="14FW_ELSTINKO_HOODZIP_01_MT_KIDS"/>
    <s v="MT"/>
    <s v="MINT"/>
    <s v="ELKHPF5513MT"/>
    <x v="0"/>
    <n v="0.16666666666666666"/>
    <m/>
    <n v="1"/>
    <s v="OSS"/>
    <n v="60"/>
    <x v="14"/>
    <n v="3"/>
    <x v="2"/>
    <s v="M"/>
    <s v="IN"/>
    <x v="0"/>
    <n v="119000"/>
    <x v="21"/>
    <n v="24040.404040404039"/>
    <n v="24044.000000000004"/>
    <n v="3.5959595959648141"/>
    <m/>
    <n v="20"/>
    <m/>
    <n v="20"/>
    <n v="20.8"/>
    <m/>
    <d v="2014-04-15T00:00:00"/>
    <m/>
    <d v="2014-07-24T00:00:00"/>
    <d v="2014-08-08T00:00:00"/>
    <d v="2014-09-02T00:00:00"/>
    <m/>
    <m/>
    <m/>
    <m/>
    <x v="0"/>
    <m/>
    <n v="59"/>
    <n v="0"/>
    <n v="0"/>
    <n v="0"/>
    <n v="0"/>
    <n v="0"/>
    <n v="60"/>
    <n v="1442640.0000000002"/>
    <n v="7140000"/>
    <n v="4.4993269914248106"/>
  </r>
  <r>
    <n v="0"/>
    <n v="0"/>
    <n v="4"/>
    <n v="9"/>
    <s v="전략"/>
    <x v="18"/>
    <s v="ELK-대경-03"/>
    <s v="ELK-대경-03ELKHPF5513MT"/>
    <n v="3"/>
    <s v="ELK-대경-033"/>
    <s v="ELK-대경-033-ELKHPF5513MINTOMM"/>
    <s v="ELK의류513"/>
    <s v="ELK"/>
    <s v="14FW_E"/>
    <m/>
    <s v="ELK"/>
    <s v="ELSTINKO KIDS"/>
    <s v="F"/>
    <n v="5"/>
    <s v="HP"/>
    <s v="HOODED JUMPER"/>
    <s v="K"/>
    <n v="513"/>
    <n v="513"/>
    <s v="ELKHPF5513"/>
    <n v="0.16666666666666666"/>
    <s v="14FW_ELSTINKO_HOODZIP_01_MT_KIDS"/>
    <s v="MT"/>
    <s v="MINT"/>
    <s v="ELKHPF5513MT"/>
    <x v="0"/>
    <n v="0.16666666666666666"/>
    <m/>
    <n v="1"/>
    <s v="OMM"/>
    <n v="60"/>
    <x v="14"/>
    <n v="3"/>
    <x v="2"/>
    <s v="M"/>
    <s v="IN"/>
    <x v="0"/>
    <n v="119000"/>
    <x v="21"/>
    <n v="24040.404040404039"/>
    <n v="24044.000000000004"/>
    <n v="3.5959595959648141"/>
    <m/>
    <n v="20"/>
    <m/>
    <n v="20"/>
    <n v="20.8"/>
    <m/>
    <d v="2014-04-15T00:00:00"/>
    <m/>
    <d v="2014-07-24T00:00:00"/>
    <d v="2014-08-08T00:00:00"/>
    <d v="2014-09-02T00:00:00"/>
    <m/>
    <m/>
    <m/>
    <m/>
    <x v="0"/>
    <m/>
    <n v="59"/>
    <n v="0"/>
    <n v="0"/>
    <n v="0"/>
    <n v="0"/>
    <n v="0"/>
    <n v="60"/>
    <n v="1442640.0000000002"/>
    <n v="7140000"/>
    <n v="4.4993269914248106"/>
  </r>
  <r>
    <n v="0"/>
    <n v="0"/>
    <n v="4"/>
    <n v="9"/>
    <s v="전략"/>
    <x v="18"/>
    <s v="ELK-대경-03"/>
    <s v="ELK-대경-03ELKHPF5513MT"/>
    <n v="3"/>
    <s v="ELK-대경-033"/>
    <s v="ELK-대경-033-ELKHPF5513MINTOLL"/>
    <s v="ELK의류513"/>
    <s v="ELK"/>
    <s v="14FW_E"/>
    <m/>
    <s v="ELK"/>
    <s v="ELSTINKO KIDS"/>
    <s v="F"/>
    <n v="5"/>
    <s v="HP"/>
    <s v="HOODED JUMPER"/>
    <s v="K"/>
    <n v="513"/>
    <n v="513"/>
    <s v="ELKHPF5513"/>
    <n v="0.16666666666666666"/>
    <s v="14FW_ELSTINKO_HOODZIP_01_MT_KIDS"/>
    <s v="MT"/>
    <s v="MINT"/>
    <s v="ELKHPF5513MT"/>
    <x v="0"/>
    <n v="0.16666666666666666"/>
    <m/>
    <n v="1"/>
    <s v="OLL"/>
    <n v="45"/>
    <x v="14"/>
    <n v="3"/>
    <x v="2"/>
    <s v="M"/>
    <s v="IN"/>
    <x v="0"/>
    <n v="119000"/>
    <x v="21"/>
    <n v="24040.404040404039"/>
    <n v="24044.000000000004"/>
    <n v="3.5959595959648141"/>
    <m/>
    <n v="20"/>
    <m/>
    <n v="20"/>
    <n v="20.8"/>
    <m/>
    <d v="2014-04-15T00:00:00"/>
    <m/>
    <d v="2014-07-24T00:00:00"/>
    <d v="2014-08-08T00:00:00"/>
    <d v="2014-09-02T00:00:00"/>
    <m/>
    <m/>
    <m/>
    <m/>
    <x v="0"/>
    <m/>
    <n v="45"/>
    <n v="0"/>
    <n v="0"/>
    <n v="0"/>
    <n v="0"/>
    <n v="0"/>
    <n v="45"/>
    <n v="1081980.0000000002"/>
    <n v="5355000"/>
    <n v="4.4993269914248106"/>
  </r>
  <r>
    <n v="0"/>
    <n v="0"/>
    <n v="4"/>
    <n v="9"/>
    <s v="전략"/>
    <x v="18"/>
    <s v="ELK-대경-03"/>
    <s v="ELK-대경-03ELKHPF5513MT"/>
    <n v="3"/>
    <s v="ELK-대경-033"/>
    <s v="ELK-대경-033-ELKHPF5513MINTOXL"/>
    <s v="ELK의류513"/>
    <s v="ELK"/>
    <s v="14FW_E"/>
    <m/>
    <s v="ELK"/>
    <s v="ELSTINKO KIDS"/>
    <s v="F"/>
    <n v="5"/>
    <s v="HP"/>
    <s v="HOODED JUMPER"/>
    <s v="K"/>
    <n v="513"/>
    <n v="513"/>
    <s v="ELKHPF5513"/>
    <n v="0.16666666666666666"/>
    <s v="14FW_ELSTINKO_HOODZIP_01_MT_KIDS"/>
    <s v="MT"/>
    <s v="MINT"/>
    <s v="ELKHPF5513MT"/>
    <x v="0"/>
    <n v="0.16666666666666666"/>
    <m/>
    <n v="1"/>
    <s v="OXL"/>
    <n v="45"/>
    <x v="14"/>
    <n v="3"/>
    <x v="2"/>
    <s v="M"/>
    <s v="IN"/>
    <x v="0"/>
    <n v="119000"/>
    <x v="21"/>
    <n v="24040.404040404039"/>
    <n v="24044.000000000004"/>
    <n v="3.5959595959648141"/>
    <m/>
    <n v="20"/>
    <m/>
    <n v="20"/>
    <n v="20.8"/>
    <m/>
    <d v="2014-04-15T00:00:00"/>
    <m/>
    <d v="2014-07-24T00:00:00"/>
    <d v="2014-08-08T00:00:00"/>
    <d v="2014-09-02T00:00:00"/>
    <m/>
    <m/>
    <m/>
    <m/>
    <x v="0"/>
    <m/>
    <n v="45"/>
    <n v="0"/>
    <n v="0"/>
    <n v="0"/>
    <n v="0"/>
    <n v="0"/>
    <n v="45"/>
    <n v="1081980.0000000002"/>
    <n v="5355000"/>
    <n v="4.4993269914248106"/>
  </r>
  <r>
    <n v="0"/>
    <n v="0"/>
    <n v="4"/>
    <n v="9"/>
    <s v="전략"/>
    <x v="18"/>
    <s v="ELK-대경-03"/>
    <s v="ELK-대경-03ELKHPF5514PK"/>
    <n v="4"/>
    <s v="ELK-대경-034"/>
    <s v="ELK-대경-034-ELKHPF5514PINKXXS"/>
    <s v="ELK의류514"/>
    <s v="ELK"/>
    <s v="14FW_E"/>
    <m/>
    <s v="ELK"/>
    <s v="ELSTINKO KIDS"/>
    <s v="F"/>
    <n v="5"/>
    <s v="HP"/>
    <s v="HOODED JUMPER"/>
    <s v="K"/>
    <n v="514"/>
    <n v="514"/>
    <s v="ELKHPF5514"/>
    <n v="0.16666666666666666"/>
    <s v="14FW_ELSTINKO_HOODZIP_02_PK_KIDS"/>
    <s v="PK"/>
    <s v="PINK"/>
    <s v="ELKHPF5514PK"/>
    <x v="0"/>
    <n v="0.16666666666666666"/>
    <m/>
    <n v="1"/>
    <s v="XXS"/>
    <n v="120"/>
    <x v="14"/>
    <n v="3"/>
    <x v="2"/>
    <s v="M"/>
    <s v="IN"/>
    <x v="0"/>
    <n v="119000"/>
    <x v="21"/>
    <n v="24040.404040404039"/>
    <n v="24044.000000000004"/>
    <n v="3.5959595959648141"/>
    <m/>
    <n v="20"/>
    <m/>
    <n v="20"/>
    <n v="20.8"/>
    <m/>
    <d v="2014-04-15T00:00:00"/>
    <m/>
    <d v="2014-07-24T00:00:00"/>
    <d v="2014-08-08T00:00:00"/>
    <d v="2014-09-02T00:00:00"/>
    <m/>
    <m/>
    <m/>
    <m/>
    <x v="0"/>
    <m/>
    <n v="120"/>
    <n v="0"/>
    <n v="0"/>
    <n v="0"/>
    <n v="0"/>
    <n v="0"/>
    <n v="120"/>
    <n v="2885280.0000000005"/>
    <n v="14280000"/>
    <n v="4.4993269914248106"/>
  </r>
  <r>
    <n v="0"/>
    <n v="0"/>
    <n v="4"/>
    <n v="9"/>
    <s v="전략"/>
    <x v="18"/>
    <s v="ELK-대경-03"/>
    <s v="ELK-대경-03ELKHPF5514PK"/>
    <n v="4"/>
    <s v="ELK-대경-034"/>
    <s v="ELK-대경-034-ELKHPF5514PINKOXS"/>
    <s v="ELK의류514"/>
    <s v="ELK"/>
    <s v="14FW_E"/>
    <m/>
    <s v="ELK"/>
    <s v="ELSTINKO KIDS"/>
    <s v="F"/>
    <n v="5"/>
    <s v="HP"/>
    <s v="HOODED JUMPER"/>
    <s v="K"/>
    <n v="514"/>
    <n v="514"/>
    <s v="ELKHPF5514"/>
    <n v="0.16666666666666666"/>
    <s v="14FW_ELSTINKO_HOODZIP_02_PK_KIDS"/>
    <s v="PK"/>
    <s v="PINK"/>
    <s v="ELKHPF5514PK"/>
    <x v="0"/>
    <n v="0.16666666666666666"/>
    <m/>
    <n v="1"/>
    <s v="OXS"/>
    <n v="30"/>
    <x v="14"/>
    <n v="3"/>
    <x v="2"/>
    <s v="M"/>
    <s v="IN"/>
    <x v="0"/>
    <n v="119000"/>
    <x v="21"/>
    <n v="24040.404040404039"/>
    <n v="24044.000000000004"/>
    <n v="3.5959595959648141"/>
    <m/>
    <n v="20"/>
    <m/>
    <n v="20"/>
    <n v="20.8"/>
    <m/>
    <d v="2014-04-15T00:00:00"/>
    <m/>
    <d v="2014-07-24T00:00:00"/>
    <d v="2014-08-08T00:00:00"/>
    <d v="2014-09-02T00:00:00"/>
    <m/>
    <m/>
    <m/>
    <m/>
    <x v="0"/>
    <m/>
    <n v="30"/>
    <n v="0"/>
    <n v="0"/>
    <n v="0"/>
    <n v="0"/>
    <n v="0"/>
    <n v="30"/>
    <n v="721320.00000000012"/>
    <n v="3570000"/>
    <n v="4.4993269914248106"/>
  </r>
  <r>
    <n v="0"/>
    <n v="0"/>
    <n v="4"/>
    <n v="9"/>
    <s v="전략"/>
    <x v="18"/>
    <s v="ELK-대경-03"/>
    <s v="ELK-대경-03ELKHPF5514PK"/>
    <n v="4"/>
    <s v="ELK-대경-034"/>
    <s v="ELK-대경-034-ELKHPF5514PINKOSS"/>
    <s v="ELK의류514"/>
    <s v="ELK"/>
    <s v="14FW_E"/>
    <m/>
    <s v="ELK"/>
    <s v="ELSTINKO KIDS"/>
    <s v="F"/>
    <n v="5"/>
    <s v="HP"/>
    <s v="HOODED JUMPER"/>
    <s v="K"/>
    <n v="514"/>
    <n v="514"/>
    <s v="ELKHPF5514"/>
    <n v="0.16666666666666666"/>
    <s v="14FW_ELSTINKO_HOODZIP_02_PK_KIDS"/>
    <s v="PK"/>
    <s v="PINK"/>
    <s v="ELKHPF5514PK"/>
    <x v="0"/>
    <n v="0.16666666666666666"/>
    <m/>
    <n v="1"/>
    <s v="OSS"/>
    <n v="50"/>
    <x v="14"/>
    <n v="3"/>
    <x v="2"/>
    <s v="M"/>
    <s v="IN"/>
    <x v="0"/>
    <n v="119000"/>
    <x v="21"/>
    <n v="24040.404040404039"/>
    <n v="24044.000000000004"/>
    <n v="3.5959595959648141"/>
    <m/>
    <n v="20"/>
    <m/>
    <n v="20"/>
    <n v="20.8"/>
    <m/>
    <d v="2014-04-15T00:00:00"/>
    <m/>
    <d v="2014-07-24T00:00:00"/>
    <d v="2014-08-08T00:00:00"/>
    <d v="2014-09-02T00:00:00"/>
    <m/>
    <m/>
    <m/>
    <m/>
    <x v="0"/>
    <m/>
    <n v="50"/>
    <n v="0"/>
    <n v="0"/>
    <n v="0"/>
    <n v="0"/>
    <n v="0"/>
    <n v="50"/>
    <n v="1202200.0000000002"/>
    <n v="5950000"/>
    <n v="4.4993269914248106"/>
  </r>
  <r>
    <n v="0"/>
    <n v="0"/>
    <n v="4"/>
    <n v="9"/>
    <s v="전략"/>
    <x v="18"/>
    <s v="ELK-대경-03"/>
    <s v="ELK-대경-03ELKHPF5514PK"/>
    <n v="4"/>
    <s v="ELK-대경-034"/>
    <s v="ELK-대경-034-ELKHPF5514PINKOMM"/>
    <s v="ELK의류514"/>
    <s v="ELK"/>
    <s v="14FW_E"/>
    <m/>
    <s v="ELK"/>
    <s v="ELSTINKO KIDS"/>
    <s v="F"/>
    <n v="5"/>
    <s v="HP"/>
    <s v="HOODED JUMPER"/>
    <s v="K"/>
    <n v="514"/>
    <n v="514"/>
    <s v="ELKHPF5514"/>
    <n v="0.16666666666666666"/>
    <s v="14FW_ELSTINKO_HOODZIP_02_PK_KIDS"/>
    <s v="PK"/>
    <s v="PINK"/>
    <s v="ELKHPF5514PK"/>
    <x v="0"/>
    <n v="0.16666666666666666"/>
    <m/>
    <n v="1"/>
    <s v="OMM"/>
    <n v="50"/>
    <x v="14"/>
    <n v="3"/>
    <x v="2"/>
    <s v="M"/>
    <s v="IN"/>
    <x v="0"/>
    <n v="119000"/>
    <x v="21"/>
    <n v="24040.404040404039"/>
    <n v="24044.000000000004"/>
    <n v="3.5959595959648141"/>
    <m/>
    <n v="20"/>
    <m/>
    <n v="20"/>
    <n v="20.8"/>
    <m/>
    <d v="2014-04-15T00:00:00"/>
    <m/>
    <d v="2014-07-24T00:00:00"/>
    <d v="2014-08-08T00:00:00"/>
    <d v="2014-09-02T00:00:00"/>
    <m/>
    <m/>
    <m/>
    <m/>
    <x v="0"/>
    <m/>
    <n v="50"/>
    <n v="0"/>
    <n v="0"/>
    <n v="0"/>
    <n v="0"/>
    <n v="0"/>
    <n v="50"/>
    <n v="1202200.0000000002"/>
    <n v="5950000"/>
    <n v="4.4993269914248106"/>
  </r>
  <r>
    <n v="0"/>
    <n v="0"/>
    <n v="4"/>
    <n v="9"/>
    <s v="전략"/>
    <x v="18"/>
    <s v="ELK-대경-03"/>
    <s v="ELK-대경-03ELKHPF5514PK"/>
    <n v="4"/>
    <s v="ELK-대경-034"/>
    <s v="ELK-대경-034-ELKHPF5514PINKOLL"/>
    <s v="ELK의류514"/>
    <s v="ELK"/>
    <s v="14FW_E"/>
    <m/>
    <s v="ELK"/>
    <s v="ELSTINKO KIDS"/>
    <s v="F"/>
    <n v="5"/>
    <s v="HP"/>
    <s v="HOODED JUMPER"/>
    <s v="K"/>
    <n v="514"/>
    <n v="514"/>
    <s v="ELKHPF5514"/>
    <n v="0.16666666666666666"/>
    <s v="14FW_ELSTINKO_HOODZIP_02_PK_KIDS"/>
    <s v="PK"/>
    <s v="PINK"/>
    <s v="ELKHPF5514PK"/>
    <x v="0"/>
    <n v="0.16666666666666666"/>
    <m/>
    <n v="1"/>
    <s v="OLL"/>
    <n v="35"/>
    <x v="14"/>
    <n v="3"/>
    <x v="2"/>
    <s v="M"/>
    <s v="IN"/>
    <x v="0"/>
    <n v="119000"/>
    <x v="21"/>
    <n v="24040.404040404039"/>
    <n v="24044.000000000004"/>
    <n v="3.5959595959648141"/>
    <m/>
    <n v="20"/>
    <m/>
    <n v="20"/>
    <n v="20.8"/>
    <m/>
    <d v="2014-04-15T00:00:00"/>
    <m/>
    <d v="2014-07-24T00:00:00"/>
    <d v="2014-08-08T00:00:00"/>
    <d v="2014-09-02T00:00:00"/>
    <m/>
    <m/>
    <m/>
    <m/>
    <x v="0"/>
    <m/>
    <n v="35"/>
    <n v="0"/>
    <n v="0"/>
    <n v="0"/>
    <n v="0"/>
    <n v="0"/>
    <n v="35"/>
    <n v="841540.00000000012"/>
    <n v="4165000"/>
    <n v="4.4993269914248106"/>
  </r>
  <r>
    <n v="0"/>
    <n v="0"/>
    <n v="4"/>
    <n v="9"/>
    <s v="전략"/>
    <x v="18"/>
    <s v="ELK-대경-03"/>
    <s v="ELK-대경-03ELKHPF5514PK"/>
    <n v="4"/>
    <s v="ELK-대경-034"/>
    <s v="ELK-대경-034-ELKHPF5514PINKOXL"/>
    <s v="ELK의류514"/>
    <s v="ELK"/>
    <s v="14FW_E"/>
    <m/>
    <s v="ELK"/>
    <s v="ELSTINKO KIDS"/>
    <s v="F"/>
    <n v="5"/>
    <s v="HP"/>
    <s v="HOODED JUMPER"/>
    <s v="K"/>
    <n v="514"/>
    <n v="514"/>
    <s v="ELKHPF5514"/>
    <n v="0.16666666666666666"/>
    <s v="14FW_ELSTINKO_HOODZIP_02_PK_KIDS"/>
    <s v="PK"/>
    <s v="PINK"/>
    <s v="ELKHPF5514PK"/>
    <x v="0"/>
    <n v="0.16666666666666666"/>
    <m/>
    <n v="1"/>
    <s v="OXL"/>
    <n v="35"/>
    <x v="14"/>
    <n v="3"/>
    <x v="2"/>
    <s v="M"/>
    <s v="IN"/>
    <x v="0"/>
    <n v="119000"/>
    <x v="21"/>
    <n v="24040.404040404039"/>
    <n v="24044.000000000004"/>
    <n v="3.5959595959648141"/>
    <m/>
    <n v="20"/>
    <m/>
    <n v="20"/>
    <n v="20.8"/>
    <m/>
    <d v="2014-04-15T00:00:00"/>
    <m/>
    <d v="2014-07-24T00:00:00"/>
    <d v="2014-08-08T00:00:00"/>
    <d v="2014-09-02T00:00:00"/>
    <m/>
    <m/>
    <m/>
    <m/>
    <x v="0"/>
    <m/>
    <n v="35"/>
    <n v="0"/>
    <n v="0"/>
    <n v="0"/>
    <n v="0"/>
    <n v="0"/>
    <n v="35"/>
    <n v="841540.00000000012"/>
    <n v="4165000"/>
    <n v="4.4993269914248106"/>
  </r>
  <r>
    <n v="0"/>
    <n v="0"/>
    <n v="4"/>
    <n v="9"/>
    <s v="전략"/>
    <x v="18"/>
    <s v="ELK-대경-03"/>
    <s v="ELK-대경-03ELKHPF5515RE"/>
    <n v="5"/>
    <s v="ELK-대경-035"/>
    <s v="ELK-대경-035-ELKHPF5515REDXXS"/>
    <s v="ELK의류515"/>
    <s v="ELK"/>
    <s v="14FW_E"/>
    <m/>
    <s v="ELK"/>
    <s v="ELSTINKO KIDS"/>
    <s v="F"/>
    <n v="5"/>
    <s v="HP"/>
    <s v="HOODED JUMPER"/>
    <s v="K"/>
    <n v="515"/>
    <n v="515"/>
    <s v="ELKHPF5515"/>
    <n v="0.16666666666666666"/>
    <s v="14FW_ELSTINKO_HOODZIP_09_RE_KIDS"/>
    <s v="RE"/>
    <s v="RED"/>
    <s v="ELKHPF5515RE"/>
    <x v="0"/>
    <n v="0.16666666666666666"/>
    <m/>
    <n v="1"/>
    <s v="XXS"/>
    <n v="120"/>
    <x v="14"/>
    <n v="3"/>
    <x v="2"/>
    <s v="M"/>
    <s v="IN"/>
    <x v="0"/>
    <n v="119000"/>
    <x v="21"/>
    <n v="24040.404040404039"/>
    <n v="23928.5"/>
    <n v="-111.90404040403882"/>
    <m/>
    <n v="20"/>
    <m/>
    <n v="20"/>
    <n v="20.7"/>
    <m/>
    <d v="2014-04-15T00:00:00"/>
    <m/>
    <d v="2014-07-24T00:00:00"/>
    <d v="2014-08-08T00:00:00"/>
    <d v="2014-09-02T00:00:00"/>
    <m/>
    <m/>
    <m/>
    <m/>
    <x v="0"/>
    <m/>
    <n v="118"/>
    <n v="0"/>
    <n v="0"/>
    <n v="0"/>
    <n v="0"/>
    <n v="0"/>
    <n v="120"/>
    <n v="2871420"/>
    <n v="14280000"/>
    <n v="4.5210447032542014"/>
  </r>
  <r>
    <n v="0"/>
    <n v="0"/>
    <n v="4"/>
    <n v="9"/>
    <s v="전략"/>
    <x v="18"/>
    <s v="ELK-대경-03"/>
    <s v="ELK-대경-03ELKHPF5515RE"/>
    <n v="5"/>
    <s v="ELK-대경-035"/>
    <s v="ELK-대경-035-ELKHPF5515REDOXS"/>
    <s v="ELK의류515"/>
    <s v="ELK"/>
    <s v="14FW_E"/>
    <m/>
    <s v="ELK"/>
    <s v="ELSTINKO KIDS"/>
    <s v="F"/>
    <n v="5"/>
    <s v="HP"/>
    <s v="HOODED JUMPER"/>
    <s v="K"/>
    <n v="515"/>
    <n v="515"/>
    <s v="ELKHPF5515"/>
    <n v="0.16666666666666666"/>
    <s v="14FW_ELSTINKO_HOODZIP_09_RE_KIDS"/>
    <s v="RE"/>
    <s v="RED"/>
    <s v="ELKHPF5515RE"/>
    <x v="0"/>
    <n v="0.16666666666666666"/>
    <m/>
    <n v="1"/>
    <s v="OXS"/>
    <n v="30"/>
    <x v="14"/>
    <n v="3"/>
    <x v="2"/>
    <s v="M"/>
    <s v="IN"/>
    <x v="0"/>
    <n v="119000"/>
    <x v="21"/>
    <n v="24040.404040404039"/>
    <n v="23928.5"/>
    <n v="-111.90404040403882"/>
    <m/>
    <n v="20"/>
    <m/>
    <n v="20"/>
    <n v="20.7"/>
    <m/>
    <d v="2014-04-15T00:00:00"/>
    <m/>
    <d v="2014-07-24T00:00:00"/>
    <d v="2014-08-08T00:00:00"/>
    <d v="2014-09-02T00:00:00"/>
    <m/>
    <m/>
    <m/>
    <m/>
    <x v="0"/>
    <m/>
    <n v="30"/>
    <n v="0"/>
    <n v="0"/>
    <n v="0"/>
    <n v="0"/>
    <n v="0"/>
    <n v="30"/>
    <n v="717855"/>
    <n v="3570000"/>
    <n v="4.5210447032542014"/>
  </r>
  <r>
    <n v="0"/>
    <n v="0"/>
    <n v="4"/>
    <n v="9"/>
    <s v="전략"/>
    <x v="18"/>
    <s v="ELK-대경-03"/>
    <s v="ELK-대경-03ELKHPF5515RE"/>
    <n v="5"/>
    <s v="ELK-대경-035"/>
    <s v="ELK-대경-035-ELKHPF5515REDOSS"/>
    <s v="ELK의류515"/>
    <s v="ELK"/>
    <s v="14FW_E"/>
    <m/>
    <s v="ELK"/>
    <s v="ELSTINKO KIDS"/>
    <s v="F"/>
    <n v="5"/>
    <s v="HP"/>
    <s v="HOODED JUMPER"/>
    <s v="K"/>
    <n v="515"/>
    <n v="515"/>
    <s v="ELKHPF5515"/>
    <n v="0.16666666666666666"/>
    <s v="14FW_ELSTINKO_HOODZIP_09_RE_KIDS"/>
    <s v="RE"/>
    <s v="RED"/>
    <s v="ELKHPF5515RE"/>
    <x v="0"/>
    <n v="0.16666666666666666"/>
    <m/>
    <n v="1"/>
    <s v="OSS"/>
    <n v="50"/>
    <x v="14"/>
    <n v="3"/>
    <x v="2"/>
    <s v="M"/>
    <s v="IN"/>
    <x v="0"/>
    <n v="119000"/>
    <x v="21"/>
    <n v="24040.404040404039"/>
    <n v="23928.5"/>
    <n v="-111.90404040403882"/>
    <m/>
    <n v="20"/>
    <m/>
    <n v="20"/>
    <n v="20.7"/>
    <m/>
    <d v="2014-04-15T00:00:00"/>
    <m/>
    <d v="2014-07-24T00:00:00"/>
    <d v="2014-08-08T00:00:00"/>
    <d v="2014-09-02T00:00:00"/>
    <m/>
    <m/>
    <m/>
    <m/>
    <x v="0"/>
    <m/>
    <n v="50"/>
    <n v="0"/>
    <n v="0"/>
    <n v="0"/>
    <n v="0"/>
    <n v="0"/>
    <n v="50"/>
    <n v="1196425"/>
    <n v="5950000"/>
    <n v="4.5210447032542023"/>
  </r>
  <r>
    <n v="0"/>
    <n v="0"/>
    <n v="4"/>
    <n v="9"/>
    <s v="전략"/>
    <x v="18"/>
    <s v="ELK-대경-03"/>
    <s v="ELK-대경-03ELKHPF5515RE"/>
    <n v="5"/>
    <s v="ELK-대경-035"/>
    <s v="ELK-대경-035-ELKHPF5515REDOMM"/>
    <s v="ELK의류515"/>
    <s v="ELK"/>
    <s v="14FW_E"/>
    <m/>
    <s v="ELK"/>
    <s v="ELSTINKO KIDS"/>
    <s v="F"/>
    <n v="5"/>
    <s v="HP"/>
    <s v="HOODED JUMPER"/>
    <s v="K"/>
    <n v="515"/>
    <n v="515"/>
    <s v="ELKHPF5515"/>
    <n v="0.16666666666666666"/>
    <s v="14FW_ELSTINKO_HOODZIP_09_RE_KIDS"/>
    <s v="RE"/>
    <s v="RED"/>
    <s v="ELKHPF5515RE"/>
    <x v="0"/>
    <n v="0.16666666666666666"/>
    <m/>
    <n v="1"/>
    <s v="OMM"/>
    <n v="50"/>
    <x v="14"/>
    <n v="3"/>
    <x v="2"/>
    <s v="M"/>
    <s v="IN"/>
    <x v="0"/>
    <n v="119000"/>
    <x v="21"/>
    <n v="24040.404040404039"/>
    <n v="23928.5"/>
    <n v="-111.90404040403882"/>
    <m/>
    <n v="20"/>
    <m/>
    <n v="20"/>
    <n v="20.7"/>
    <m/>
    <d v="2014-04-15T00:00:00"/>
    <m/>
    <d v="2014-07-24T00:00:00"/>
    <d v="2014-08-08T00:00:00"/>
    <d v="2014-09-02T00:00:00"/>
    <m/>
    <m/>
    <m/>
    <m/>
    <x v="0"/>
    <m/>
    <n v="50"/>
    <n v="0"/>
    <n v="0"/>
    <n v="0"/>
    <n v="0"/>
    <n v="0"/>
    <n v="50"/>
    <n v="1196425"/>
    <n v="5950000"/>
    <n v="4.5210447032542023"/>
  </r>
  <r>
    <n v="0"/>
    <n v="0"/>
    <n v="4"/>
    <n v="9"/>
    <s v="전략"/>
    <x v="18"/>
    <s v="ELK-대경-03"/>
    <s v="ELK-대경-03ELKHPF5515RE"/>
    <n v="5"/>
    <s v="ELK-대경-035"/>
    <s v="ELK-대경-035-ELKHPF5515REDOLL"/>
    <s v="ELK의류515"/>
    <s v="ELK"/>
    <s v="14FW_E"/>
    <m/>
    <s v="ELK"/>
    <s v="ELSTINKO KIDS"/>
    <s v="F"/>
    <n v="5"/>
    <s v="HP"/>
    <s v="HOODED JUMPER"/>
    <s v="K"/>
    <n v="515"/>
    <n v="515"/>
    <s v="ELKHPF5515"/>
    <n v="0.16666666666666666"/>
    <s v="14FW_ELSTINKO_HOODZIP_09_RE_KIDS"/>
    <s v="RE"/>
    <s v="RED"/>
    <s v="ELKHPF5515RE"/>
    <x v="0"/>
    <n v="0.16666666666666666"/>
    <m/>
    <n v="1"/>
    <s v="OLL"/>
    <n v="35"/>
    <x v="14"/>
    <n v="3"/>
    <x v="2"/>
    <s v="M"/>
    <s v="IN"/>
    <x v="0"/>
    <n v="119000"/>
    <x v="21"/>
    <n v="24040.404040404039"/>
    <n v="23928.5"/>
    <n v="-111.90404040403882"/>
    <m/>
    <n v="20"/>
    <m/>
    <n v="20"/>
    <n v="20.7"/>
    <m/>
    <d v="2014-04-15T00:00:00"/>
    <m/>
    <d v="2014-07-24T00:00:00"/>
    <d v="2014-08-08T00:00:00"/>
    <d v="2014-09-02T00:00:00"/>
    <m/>
    <m/>
    <m/>
    <m/>
    <x v="0"/>
    <m/>
    <n v="35"/>
    <n v="0"/>
    <n v="0"/>
    <n v="0"/>
    <n v="0"/>
    <n v="0"/>
    <n v="35"/>
    <n v="837497.5"/>
    <n v="4165000"/>
    <n v="4.5210447032542014"/>
  </r>
  <r>
    <n v="0"/>
    <n v="0"/>
    <n v="4"/>
    <n v="9"/>
    <s v="전략"/>
    <x v="18"/>
    <s v="ELK-대경-03"/>
    <s v="ELK-대경-03ELKHPF5515RE"/>
    <n v="5"/>
    <s v="ELK-대경-035"/>
    <s v="ELK-대경-035-ELKHPF5515REDOXL"/>
    <s v="ELK의류515"/>
    <s v="ELK"/>
    <s v="14FW_E"/>
    <m/>
    <s v="ELK"/>
    <s v="ELSTINKO KIDS"/>
    <s v="F"/>
    <n v="5"/>
    <s v="HP"/>
    <s v="HOODED JUMPER"/>
    <s v="K"/>
    <n v="515"/>
    <n v="515"/>
    <s v="ELKHPF5515"/>
    <n v="0.16666666666666666"/>
    <s v="14FW_ELSTINKO_HOODZIP_09_RE_KIDS"/>
    <s v="RE"/>
    <s v="RED"/>
    <s v="ELKHPF5515RE"/>
    <x v="0"/>
    <n v="0.16666666666666666"/>
    <m/>
    <n v="1"/>
    <s v="OXL"/>
    <n v="35"/>
    <x v="14"/>
    <n v="3"/>
    <x v="2"/>
    <s v="M"/>
    <s v="IN"/>
    <x v="0"/>
    <n v="119000"/>
    <x v="21"/>
    <n v="24040.404040404039"/>
    <n v="23928.5"/>
    <n v="-111.90404040403882"/>
    <m/>
    <n v="20"/>
    <m/>
    <n v="20"/>
    <n v="20.7"/>
    <m/>
    <d v="2014-04-15T00:00:00"/>
    <m/>
    <d v="2014-07-24T00:00:00"/>
    <d v="2014-08-08T00:00:00"/>
    <d v="2014-09-02T00:00:00"/>
    <m/>
    <m/>
    <m/>
    <m/>
    <x v="0"/>
    <m/>
    <n v="34"/>
    <n v="0"/>
    <n v="0"/>
    <n v="0"/>
    <n v="0"/>
    <n v="0"/>
    <n v="35"/>
    <n v="837497.5"/>
    <n v="4165000"/>
    <n v="4.5210447032542014"/>
  </r>
  <r>
    <n v="0"/>
    <n v="0"/>
    <n v="4"/>
    <n v="9"/>
    <s v="전략"/>
    <x v="18"/>
    <s v="ELK-대경-03"/>
    <s v="ELK-대경-03ELKJPF5516BL"/>
    <n v="6"/>
    <s v="ELK-대경-036"/>
    <s v="ELK-대경-036-ELKJPF5516BLUEXXS"/>
    <s v="ELK의류516"/>
    <s v="ELK"/>
    <s v="14FW_E"/>
    <m/>
    <s v="ELK"/>
    <s v="ELSTINKO KIDS"/>
    <s v="F"/>
    <n v="5"/>
    <s v="JP"/>
    <s v="JUMPER"/>
    <s v="K"/>
    <n v="516"/>
    <n v="516"/>
    <s v="ELKJPF5516"/>
    <n v="8.3333333333333329E-2"/>
    <s v="14FW_ELSTINKO_JUMPER_01_BL_KIDS"/>
    <s v="BL"/>
    <s v="BLUE"/>
    <s v="ELKJPF5516BL"/>
    <x v="0"/>
    <n v="0.16666666666666666"/>
    <m/>
    <n v="1"/>
    <s v="XXS"/>
    <n v="120"/>
    <x v="14"/>
    <n v="3"/>
    <x v="2"/>
    <s v="M"/>
    <s v="IN"/>
    <x v="0"/>
    <n v="159000"/>
    <x v="21"/>
    <n v="32121.212121212116"/>
    <n v="35825.000000000007"/>
    <n v="3703.7878787878908"/>
    <m/>
    <n v="20"/>
    <m/>
    <n v="20"/>
    <n v="31"/>
    <m/>
    <d v="2014-04-15T00:00:00"/>
    <m/>
    <d v="2014-07-24T00:00:00"/>
    <d v="2014-08-08T00:00:00"/>
    <d v="2014-09-02T00:00:00"/>
    <m/>
    <m/>
    <m/>
    <m/>
    <x v="0"/>
    <m/>
    <n v="120"/>
    <n v="0"/>
    <n v="0"/>
    <n v="0"/>
    <n v="0"/>
    <n v="0"/>
    <n v="120"/>
    <n v="4299000.0000000009"/>
    <n v="19080000"/>
    <n v="4.0347649559094068"/>
  </r>
  <r>
    <n v="0"/>
    <n v="0"/>
    <n v="4"/>
    <n v="9"/>
    <s v="전략"/>
    <x v="18"/>
    <s v="ELK-대경-03"/>
    <s v="ELK-대경-03ELKJPF5516BL"/>
    <n v="6"/>
    <s v="ELK-대경-036"/>
    <s v="ELK-대경-036-ELKJPF5516BLUEOXS"/>
    <s v="ELK의류516"/>
    <s v="ELK"/>
    <s v="14FW_E"/>
    <m/>
    <s v="ELK"/>
    <s v="ELSTINKO KIDS"/>
    <s v="F"/>
    <n v="5"/>
    <s v="JP"/>
    <s v="JUMPER"/>
    <s v="K"/>
    <n v="516"/>
    <n v="516"/>
    <s v="ELKJPF5516"/>
    <n v="8.3333333333333329E-2"/>
    <s v="14FW_ELSTINKO_JUMPER_01_BL_KIDS"/>
    <s v="BL"/>
    <s v="BLUE"/>
    <s v="ELKJPF5516BL"/>
    <x v="0"/>
    <n v="0.16666666666666666"/>
    <m/>
    <n v="1"/>
    <s v="OXS"/>
    <n v="30"/>
    <x v="14"/>
    <n v="3"/>
    <x v="2"/>
    <s v="M"/>
    <s v="IN"/>
    <x v="0"/>
    <n v="159000"/>
    <x v="21"/>
    <n v="32121.212121212116"/>
    <n v="35825.000000000007"/>
    <n v="3703.7878787878908"/>
    <m/>
    <n v="20"/>
    <m/>
    <n v="20"/>
    <n v="31"/>
    <m/>
    <d v="2014-04-15T00:00:00"/>
    <m/>
    <d v="2014-07-24T00:00:00"/>
    <d v="2014-08-08T00:00:00"/>
    <d v="2014-09-02T00:00:00"/>
    <m/>
    <m/>
    <m/>
    <m/>
    <x v="0"/>
    <m/>
    <n v="30"/>
    <n v="0"/>
    <n v="0"/>
    <n v="0"/>
    <n v="0"/>
    <n v="0"/>
    <n v="30"/>
    <n v="1074750.0000000002"/>
    <n v="4770000"/>
    <n v="4.0347649559094068"/>
  </r>
  <r>
    <n v="0"/>
    <n v="0"/>
    <n v="4"/>
    <n v="9"/>
    <s v="전략"/>
    <x v="18"/>
    <s v="ELK-대경-03"/>
    <s v="ELK-대경-03ELKJPF5516BL"/>
    <n v="6"/>
    <s v="ELK-대경-036"/>
    <s v="ELK-대경-036-ELKJPF5516BLUEOSS"/>
    <s v="ELK의류516"/>
    <s v="ELK"/>
    <s v="14FW_E"/>
    <m/>
    <s v="ELK"/>
    <s v="ELSTINKO KIDS"/>
    <s v="F"/>
    <n v="5"/>
    <s v="JP"/>
    <s v="JUMPER"/>
    <s v="K"/>
    <n v="516"/>
    <n v="516"/>
    <s v="ELKJPF5516"/>
    <n v="8.3333333333333329E-2"/>
    <s v="14FW_ELSTINKO_JUMPER_01_BL_KIDS"/>
    <s v="BL"/>
    <s v="BLUE"/>
    <s v="ELKJPF5516BL"/>
    <x v="0"/>
    <n v="0.16666666666666666"/>
    <m/>
    <n v="1"/>
    <s v="OSS"/>
    <n v="35"/>
    <x v="14"/>
    <n v="3"/>
    <x v="2"/>
    <s v="M"/>
    <s v="IN"/>
    <x v="0"/>
    <n v="159000"/>
    <x v="21"/>
    <n v="32121.212121212116"/>
    <n v="35825.000000000007"/>
    <n v="3703.7878787878908"/>
    <m/>
    <n v="20"/>
    <m/>
    <n v="20"/>
    <n v="31"/>
    <m/>
    <d v="2014-04-15T00:00:00"/>
    <m/>
    <d v="2014-07-24T00:00:00"/>
    <d v="2014-08-08T00:00:00"/>
    <d v="2014-09-02T00:00:00"/>
    <m/>
    <m/>
    <m/>
    <m/>
    <x v="0"/>
    <m/>
    <n v="33"/>
    <n v="0"/>
    <n v="0"/>
    <n v="0"/>
    <n v="0"/>
    <n v="0"/>
    <n v="35"/>
    <n v="1253875.0000000002"/>
    <n v="5565000"/>
    <n v="4.0347649559094068"/>
  </r>
  <r>
    <n v="0"/>
    <n v="0"/>
    <n v="4"/>
    <n v="9"/>
    <s v="전략"/>
    <x v="18"/>
    <s v="ELK-대경-03"/>
    <s v="ELK-대경-03ELKJPF5516BL"/>
    <n v="6"/>
    <s v="ELK-대경-036"/>
    <s v="ELK-대경-036-ELKJPF5516BLUEOMM"/>
    <s v="ELK의류516"/>
    <s v="ELK"/>
    <s v="14FW_E"/>
    <m/>
    <s v="ELK"/>
    <s v="ELSTINKO KIDS"/>
    <s v="F"/>
    <n v="5"/>
    <s v="JP"/>
    <s v="JUMPER"/>
    <s v="K"/>
    <n v="516"/>
    <n v="516"/>
    <s v="ELKJPF5516"/>
    <n v="8.3333333333333329E-2"/>
    <s v="14FW_ELSTINKO_JUMPER_01_BL_KIDS"/>
    <s v="BL"/>
    <s v="BLUE"/>
    <s v="ELKJPF5516BL"/>
    <x v="0"/>
    <n v="0.16666666666666666"/>
    <m/>
    <n v="1"/>
    <s v="OMM"/>
    <n v="35"/>
    <x v="14"/>
    <n v="3"/>
    <x v="2"/>
    <s v="M"/>
    <s v="IN"/>
    <x v="0"/>
    <n v="159000"/>
    <x v="21"/>
    <n v="32121.212121212116"/>
    <n v="35825.000000000007"/>
    <n v="3703.7878787878908"/>
    <m/>
    <n v="20"/>
    <m/>
    <n v="20"/>
    <n v="31"/>
    <m/>
    <d v="2014-04-15T00:00:00"/>
    <m/>
    <d v="2014-07-24T00:00:00"/>
    <d v="2014-08-08T00:00:00"/>
    <d v="2014-09-02T00:00:00"/>
    <m/>
    <m/>
    <m/>
    <m/>
    <x v="0"/>
    <m/>
    <n v="35"/>
    <n v="0"/>
    <n v="0"/>
    <n v="0"/>
    <n v="0"/>
    <n v="0"/>
    <n v="35"/>
    <n v="1253875.0000000002"/>
    <n v="5565000"/>
    <n v="4.0347649559094068"/>
  </r>
  <r>
    <n v="0"/>
    <n v="0"/>
    <n v="4"/>
    <n v="9"/>
    <s v="전략"/>
    <x v="18"/>
    <s v="ELK-대경-03"/>
    <s v="ELK-대경-03ELKJPF5516BL"/>
    <n v="6"/>
    <s v="ELK-대경-036"/>
    <s v="ELK-대경-036-ELKJPF5516BLUEOLL"/>
    <s v="ELK의류516"/>
    <s v="ELK"/>
    <s v="14FW_E"/>
    <m/>
    <s v="ELK"/>
    <s v="ELSTINKO KIDS"/>
    <s v="F"/>
    <n v="5"/>
    <s v="JP"/>
    <s v="JUMPER"/>
    <s v="K"/>
    <n v="516"/>
    <n v="516"/>
    <s v="ELKJPF5516"/>
    <n v="8.3333333333333329E-2"/>
    <s v="14FW_ELSTINKO_JUMPER_01_BL_KIDS"/>
    <s v="BL"/>
    <s v="BLUE"/>
    <s v="ELKJPF5516BL"/>
    <x v="0"/>
    <n v="0.16666666666666666"/>
    <m/>
    <n v="1"/>
    <s v="OLL"/>
    <n v="25"/>
    <x v="14"/>
    <n v="3"/>
    <x v="2"/>
    <s v="M"/>
    <s v="IN"/>
    <x v="0"/>
    <n v="159000"/>
    <x v="21"/>
    <n v="32121.212121212116"/>
    <n v="35825.000000000007"/>
    <n v="3703.7878787878908"/>
    <m/>
    <n v="20"/>
    <m/>
    <n v="20"/>
    <n v="31"/>
    <m/>
    <d v="2014-04-15T00:00:00"/>
    <m/>
    <d v="2014-07-24T00:00:00"/>
    <d v="2014-08-08T00:00:00"/>
    <d v="2014-09-02T00:00:00"/>
    <m/>
    <m/>
    <m/>
    <m/>
    <x v="0"/>
    <m/>
    <n v="25"/>
    <n v="0"/>
    <n v="0"/>
    <n v="0"/>
    <n v="0"/>
    <n v="0"/>
    <n v="25"/>
    <n v="895625.00000000023"/>
    <n v="3975000"/>
    <n v="4.0347649559094068"/>
  </r>
  <r>
    <n v="0"/>
    <n v="0"/>
    <n v="4"/>
    <n v="9"/>
    <s v="전략"/>
    <x v="18"/>
    <s v="ELK-대경-03"/>
    <s v="ELK-대경-03ELKJPF5516BL"/>
    <n v="6"/>
    <s v="ELK-대경-036"/>
    <s v="ELK-대경-036-ELKJPF5516BLUEOXL"/>
    <s v="ELK의류516"/>
    <s v="ELK"/>
    <s v="14FW_E"/>
    <m/>
    <s v="ELK"/>
    <s v="ELSTINKO KIDS"/>
    <s v="F"/>
    <n v="5"/>
    <s v="JP"/>
    <s v="JUMPER"/>
    <s v="K"/>
    <n v="516"/>
    <n v="516"/>
    <s v="ELKJPF5516"/>
    <n v="8.3333333333333329E-2"/>
    <s v="14FW_ELSTINKO_JUMPER_01_BL_KIDS"/>
    <s v="BL"/>
    <s v="BLUE"/>
    <s v="ELKJPF5516BL"/>
    <x v="0"/>
    <n v="0.16666666666666666"/>
    <m/>
    <n v="1"/>
    <s v="OXL"/>
    <n v="25"/>
    <x v="14"/>
    <n v="3"/>
    <x v="2"/>
    <s v="M"/>
    <s v="IN"/>
    <x v="0"/>
    <n v="159000"/>
    <x v="21"/>
    <n v="32121.212121212116"/>
    <n v="35825.000000000007"/>
    <n v="3703.7878787878908"/>
    <m/>
    <n v="20"/>
    <m/>
    <n v="20"/>
    <n v="31"/>
    <m/>
    <d v="2014-04-15T00:00:00"/>
    <m/>
    <d v="2014-07-24T00:00:00"/>
    <d v="2014-08-08T00:00:00"/>
    <d v="2014-09-02T00:00:00"/>
    <m/>
    <m/>
    <m/>
    <m/>
    <x v="0"/>
    <m/>
    <n v="25"/>
    <n v="0"/>
    <n v="0"/>
    <n v="0"/>
    <n v="0"/>
    <n v="0"/>
    <n v="25"/>
    <n v="895625.00000000023"/>
    <n v="3975000"/>
    <n v="4.0347649559094068"/>
  </r>
  <r>
    <n v="0"/>
    <n v="0"/>
    <n v="4"/>
    <n v="9"/>
    <s v="전략"/>
    <x v="18"/>
    <s v="ELK-대경-03"/>
    <s v="ELK-대경-03ELKJPF5516PK"/>
    <n v="7"/>
    <s v="ELK-대경-037"/>
    <s v="ELK-대경-037-ELKJPF5516PINKXXS"/>
    <s v="ELK의류516"/>
    <s v="ELK"/>
    <s v="14FW_E"/>
    <m/>
    <s v="ELK"/>
    <s v="ELSTINKO KIDS"/>
    <s v="F"/>
    <n v="5"/>
    <s v="JP"/>
    <s v="JUMPER"/>
    <s v="K"/>
    <n v="516"/>
    <n v="516"/>
    <s v="ELKJPF5516"/>
    <n v="8.3333333333333329E-2"/>
    <s v="14FW_ELSTINKO_JUMPER_01_PK_KIDS"/>
    <s v="PK"/>
    <s v="PINK"/>
    <s v="ELKJPF5516PK"/>
    <x v="0"/>
    <n v="0.16666666666666666"/>
    <m/>
    <n v="1"/>
    <s v="XXS"/>
    <n v="120"/>
    <x v="14"/>
    <n v="3"/>
    <x v="2"/>
    <s v="M"/>
    <s v="IN"/>
    <x v="0"/>
    <n v="159000"/>
    <x v="21"/>
    <n v="32121.212121212116"/>
    <n v="35825.000000000007"/>
    <n v="3703.7878787878908"/>
    <m/>
    <n v="20"/>
    <m/>
    <n v="20"/>
    <n v="31"/>
    <m/>
    <d v="2014-04-15T00:00:00"/>
    <m/>
    <d v="2014-07-24T00:00:00"/>
    <d v="2014-08-08T00:00:00"/>
    <d v="2014-09-02T00:00:00"/>
    <m/>
    <m/>
    <m/>
    <m/>
    <x v="0"/>
    <m/>
    <n v="120"/>
    <n v="0"/>
    <n v="0"/>
    <n v="0"/>
    <n v="0"/>
    <n v="0"/>
    <n v="120"/>
    <n v="4299000.0000000009"/>
    <n v="19080000"/>
    <n v="4.0347649559094068"/>
  </r>
  <r>
    <n v="0"/>
    <n v="0"/>
    <n v="4"/>
    <n v="9"/>
    <s v="전략"/>
    <x v="18"/>
    <s v="ELK-대경-03"/>
    <s v="ELK-대경-03ELKJPF5516PK"/>
    <n v="7"/>
    <s v="ELK-대경-037"/>
    <s v="ELK-대경-037-ELKJPF5516PINKOXS"/>
    <s v="ELK의류516"/>
    <s v="ELK"/>
    <s v="14FW_E"/>
    <m/>
    <s v="ELK"/>
    <s v="ELSTINKO KIDS"/>
    <s v="F"/>
    <n v="5"/>
    <s v="JP"/>
    <s v="JUMPER"/>
    <s v="K"/>
    <n v="516"/>
    <n v="516"/>
    <s v="ELKJPF5516"/>
    <n v="8.3333333333333329E-2"/>
    <s v="14FW_ELSTINKO_JUMPER_01_PK_KIDS"/>
    <s v="PK"/>
    <s v="PINK"/>
    <s v="ELKJPF5516PK"/>
    <x v="0"/>
    <n v="0.16666666666666666"/>
    <m/>
    <n v="1"/>
    <s v="OXS"/>
    <n v="30"/>
    <x v="14"/>
    <n v="3"/>
    <x v="2"/>
    <s v="M"/>
    <s v="IN"/>
    <x v="0"/>
    <n v="159000"/>
    <x v="21"/>
    <n v="32121.212121212116"/>
    <n v="35825.000000000007"/>
    <n v="3703.7878787878908"/>
    <m/>
    <n v="20"/>
    <m/>
    <n v="20"/>
    <n v="31"/>
    <m/>
    <d v="2014-04-15T00:00:00"/>
    <m/>
    <d v="2014-07-24T00:00:00"/>
    <d v="2014-08-08T00:00:00"/>
    <d v="2014-09-02T00:00:00"/>
    <m/>
    <m/>
    <m/>
    <m/>
    <x v="0"/>
    <m/>
    <n v="28"/>
    <n v="0"/>
    <n v="0"/>
    <n v="0"/>
    <n v="0"/>
    <n v="0"/>
    <n v="30"/>
    <n v="1074750.0000000002"/>
    <n v="4770000"/>
    <n v="4.0347649559094068"/>
  </r>
  <r>
    <n v="0"/>
    <n v="0"/>
    <n v="4"/>
    <n v="9"/>
    <s v="전략"/>
    <x v="18"/>
    <s v="ELK-대경-03"/>
    <s v="ELK-대경-03ELKJPF5516PK"/>
    <n v="7"/>
    <s v="ELK-대경-037"/>
    <s v="ELK-대경-037-ELKJPF5516PINKOSS"/>
    <s v="ELK의류516"/>
    <s v="ELK"/>
    <s v="14FW_E"/>
    <m/>
    <s v="ELK"/>
    <s v="ELSTINKO KIDS"/>
    <s v="F"/>
    <n v="5"/>
    <s v="JP"/>
    <s v="JUMPER"/>
    <s v="K"/>
    <n v="516"/>
    <n v="516"/>
    <s v="ELKJPF5516"/>
    <n v="8.3333333333333329E-2"/>
    <s v="14FW_ELSTINKO_JUMPER_01_PK_KIDS"/>
    <s v="PK"/>
    <s v="PINK"/>
    <s v="ELKJPF5516PK"/>
    <x v="0"/>
    <n v="0.16666666666666666"/>
    <m/>
    <n v="1"/>
    <s v="OSS"/>
    <n v="35"/>
    <x v="14"/>
    <n v="3"/>
    <x v="2"/>
    <s v="M"/>
    <s v="IN"/>
    <x v="0"/>
    <n v="159000"/>
    <x v="21"/>
    <n v="32121.212121212116"/>
    <n v="35825.000000000007"/>
    <n v="3703.7878787878908"/>
    <m/>
    <n v="20"/>
    <m/>
    <n v="20"/>
    <n v="31"/>
    <m/>
    <d v="2014-04-15T00:00:00"/>
    <m/>
    <d v="2014-07-24T00:00:00"/>
    <d v="2014-08-08T00:00:00"/>
    <d v="2014-09-02T00:00:00"/>
    <m/>
    <m/>
    <m/>
    <m/>
    <x v="0"/>
    <m/>
    <n v="35"/>
    <n v="0"/>
    <n v="0"/>
    <n v="0"/>
    <n v="0"/>
    <n v="0"/>
    <n v="35"/>
    <n v="1253875.0000000002"/>
    <n v="5565000"/>
    <n v="4.0347649559094068"/>
  </r>
  <r>
    <n v="0"/>
    <n v="0"/>
    <n v="4"/>
    <n v="9"/>
    <s v="전략"/>
    <x v="18"/>
    <s v="ELK-대경-03"/>
    <s v="ELK-대경-03ELKJPF5516PK"/>
    <n v="7"/>
    <s v="ELK-대경-037"/>
    <s v="ELK-대경-037-ELKJPF5516PINKOMM"/>
    <s v="ELK의류516"/>
    <s v="ELK"/>
    <s v="14FW_E"/>
    <m/>
    <s v="ELK"/>
    <s v="ELSTINKO KIDS"/>
    <s v="F"/>
    <n v="5"/>
    <s v="JP"/>
    <s v="JUMPER"/>
    <s v="K"/>
    <n v="516"/>
    <n v="516"/>
    <s v="ELKJPF5516"/>
    <n v="8.3333333333333329E-2"/>
    <s v="14FW_ELSTINKO_JUMPER_01_PK_KIDS"/>
    <s v="PK"/>
    <s v="PINK"/>
    <s v="ELKJPF5516PK"/>
    <x v="0"/>
    <n v="0.16666666666666666"/>
    <m/>
    <n v="1"/>
    <s v="OMM"/>
    <n v="35"/>
    <x v="14"/>
    <n v="3"/>
    <x v="2"/>
    <s v="M"/>
    <s v="IN"/>
    <x v="0"/>
    <n v="159000"/>
    <x v="21"/>
    <n v="32121.212121212116"/>
    <n v="35825.000000000007"/>
    <n v="3703.7878787878908"/>
    <m/>
    <n v="20"/>
    <m/>
    <n v="20"/>
    <n v="31"/>
    <m/>
    <d v="2014-04-15T00:00:00"/>
    <m/>
    <d v="2014-07-24T00:00:00"/>
    <d v="2014-08-08T00:00:00"/>
    <d v="2014-09-02T00:00:00"/>
    <m/>
    <m/>
    <m/>
    <m/>
    <x v="0"/>
    <m/>
    <n v="35"/>
    <n v="0"/>
    <n v="0"/>
    <n v="0"/>
    <n v="0"/>
    <n v="0"/>
    <n v="35"/>
    <n v="1253875.0000000002"/>
    <n v="5565000"/>
    <n v="4.0347649559094068"/>
  </r>
  <r>
    <n v="0"/>
    <n v="0"/>
    <n v="4"/>
    <n v="9"/>
    <s v="전략"/>
    <x v="18"/>
    <s v="ELK-대경-03"/>
    <s v="ELK-대경-03ELKJPF5516PK"/>
    <n v="7"/>
    <s v="ELK-대경-037"/>
    <s v="ELK-대경-037-ELKJPF5516PINKOLL"/>
    <s v="ELK의류516"/>
    <s v="ELK"/>
    <s v="14FW_E"/>
    <m/>
    <s v="ELK"/>
    <s v="ELSTINKO KIDS"/>
    <s v="F"/>
    <n v="5"/>
    <s v="JP"/>
    <s v="JUMPER"/>
    <s v="K"/>
    <n v="516"/>
    <n v="516"/>
    <s v="ELKJPF5516"/>
    <n v="8.3333333333333329E-2"/>
    <s v="14FW_ELSTINKO_JUMPER_01_PK_KIDS"/>
    <s v="PK"/>
    <s v="PINK"/>
    <s v="ELKJPF5516PK"/>
    <x v="0"/>
    <n v="0.16666666666666666"/>
    <m/>
    <n v="1"/>
    <s v="OLL"/>
    <n v="25"/>
    <x v="14"/>
    <n v="3"/>
    <x v="2"/>
    <s v="M"/>
    <s v="IN"/>
    <x v="0"/>
    <n v="159000"/>
    <x v="21"/>
    <n v="32121.212121212116"/>
    <n v="35825.000000000007"/>
    <n v="3703.7878787878908"/>
    <m/>
    <n v="20"/>
    <m/>
    <n v="20"/>
    <n v="31"/>
    <m/>
    <d v="2014-04-15T00:00:00"/>
    <m/>
    <d v="2014-07-24T00:00:00"/>
    <d v="2014-08-08T00:00:00"/>
    <d v="2014-09-02T00:00:00"/>
    <m/>
    <m/>
    <m/>
    <m/>
    <x v="0"/>
    <m/>
    <n v="25"/>
    <n v="0"/>
    <n v="0"/>
    <n v="0"/>
    <n v="0"/>
    <n v="0"/>
    <n v="25"/>
    <n v="895625.00000000023"/>
    <n v="3975000"/>
    <n v="4.0347649559094068"/>
  </r>
  <r>
    <n v="0"/>
    <n v="0"/>
    <n v="4"/>
    <n v="9"/>
    <s v="전략"/>
    <x v="18"/>
    <s v="ELK-대경-03"/>
    <s v="ELK-대경-03ELKJPF5516PK"/>
    <n v="7"/>
    <s v="ELK-대경-037"/>
    <s v="ELK-대경-037-ELKJPF5516PINKOXL"/>
    <s v="ELK의류516"/>
    <s v="ELK"/>
    <s v="14FW_E"/>
    <m/>
    <s v="ELK"/>
    <s v="ELSTINKO KIDS"/>
    <s v="F"/>
    <n v="5"/>
    <s v="JP"/>
    <s v="JUMPER"/>
    <s v="K"/>
    <n v="516"/>
    <n v="516"/>
    <s v="ELKJPF5516"/>
    <n v="8.3333333333333329E-2"/>
    <s v="14FW_ELSTINKO_JUMPER_01_PK_KIDS"/>
    <s v="PK"/>
    <s v="PINK"/>
    <s v="ELKJPF5516PK"/>
    <x v="0"/>
    <n v="0.16666666666666666"/>
    <m/>
    <n v="1"/>
    <s v="OXL"/>
    <n v="25"/>
    <x v="14"/>
    <n v="3"/>
    <x v="2"/>
    <s v="M"/>
    <s v="IN"/>
    <x v="0"/>
    <n v="159000"/>
    <x v="21"/>
    <n v="32121.212121212116"/>
    <n v="35825.000000000007"/>
    <n v="3703.7878787878908"/>
    <m/>
    <n v="20"/>
    <m/>
    <n v="20"/>
    <n v="31"/>
    <m/>
    <d v="2014-04-15T00:00:00"/>
    <m/>
    <d v="2014-07-24T00:00:00"/>
    <d v="2014-08-08T00:00:00"/>
    <d v="2014-09-02T00:00:00"/>
    <m/>
    <m/>
    <m/>
    <m/>
    <x v="0"/>
    <m/>
    <n v="23"/>
    <n v="0"/>
    <n v="0"/>
    <n v="0"/>
    <n v="0"/>
    <n v="0"/>
    <n v="25"/>
    <n v="895625.00000000023"/>
    <n v="3975000"/>
    <n v="4.0347649559094068"/>
  </r>
  <r>
    <n v="0"/>
    <n v="0"/>
    <s v=""/>
    <s v=""/>
    <s v=""/>
    <x v="1"/>
    <s v=""/>
    <s v=""/>
    <n v="0"/>
    <s v="0"/>
    <s v="0-"/>
    <n v="0"/>
    <s v="TTL"/>
    <s v=""/>
    <s v="ELK-대경-03 TTL"/>
    <m/>
    <s v=""/>
    <s v=""/>
    <s v=""/>
    <m/>
    <s v=""/>
    <s v="K"/>
    <m/>
    <s v=""/>
    <s v=""/>
    <n v="4.9999999999999956"/>
    <m/>
    <s v=""/>
    <m/>
    <s v=""/>
    <x v="0"/>
    <n v="7.0000000000000036"/>
    <m/>
    <n v="1"/>
    <m/>
    <m/>
    <x v="1"/>
    <m/>
    <x v="1"/>
    <m/>
    <m/>
    <x v="1"/>
    <n v="0"/>
    <x v="1"/>
    <n v="0"/>
    <n v="0"/>
    <n v="0"/>
    <m/>
    <m/>
    <m/>
    <n v="0"/>
    <m/>
    <m/>
    <d v="1899-12-30T00:00:00"/>
    <m/>
    <d v="1899-12-30T00:00:00"/>
    <m/>
    <d v="1899-12-30T00:00:00"/>
    <m/>
    <m/>
    <m/>
    <m/>
    <x v="3"/>
    <m/>
    <n v="2128"/>
    <n v="239"/>
    <n v="0"/>
    <n v="0"/>
    <n v="0"/>
    <n v="0"/>
    <n v="2380"/>
    <n v="58513700"/>
    <n v="272820000"/>
    <n v="4.2386344021687536"/>
  </r>
  <r>
    <n v="0"/>
    <n v="0"/>
    <n v="4"/>
    <n v="9"/>
    <s v="전략"/>
    <x v="18"/>
    <s v="ELK-아트인드림-04"/>
    <s v="ELK-아트인드림-04ELKTHF5517BK"/>
    <n v="1"/>
    <s v="ELK-아트인드림-041"/>
    <s v="ELK-아트인드림-041-ELKTHF5517BLACKXXS"/>
    <s v="ELK의류517"/>
    <s v="ELK"/>
    <s v="14FW_E"/>
    <m/>
    <s v="ELK"/>
    <s v="ELSTINKO KIDS"/>
    <s v="F"/>
    <n v="5"/>
    <s v="TH"/>
    <s v="HOODED T-SHIRTS"/>
    <s v="K"/>
    <n v="517"/>
    <n v="517"/>
    <s v="ELKTHF5517"/>
    <n v="8.3333333333333329E-2"/>
    <s v="14FW_ELSTINKO_HOOD_21_BK_KIDS"/>
    <s v="BK"/>
    <s v="BLACK"/>
    <s v="ELKTHF5517BK"/>
    <x v="0"/>
    <n v="0.16666666666666666"/>
    <m/>
    <n v="1"/>
    <s v="XXS"/>
    <n v="150"/>
    <x v="15"/>
    <n v="4"/>
    <x v="3"/>
    <s v="M"/>
    <s v="KR"/>
    <x v="3"/>
    <n v="99000"/>
    <x v="21"/>
    <n v="25000"/>
    <n v="22325"/>
    <n v="-2675"/>
    <m/>
    <n v="20"/>
    <m/>
    <n v="20"/>
    <m/>
    <n v="22305"/>
    <d v="2014-04-15T00:00:00"/>
    <m/>
    <d v="2014-07-24T00:00:00"/>
    <d v="2014-08-13T00:00:00"/>
    <d v="2014-09-30T00:00:00"/>
    <m/>
    <m/>
    <m/>
    <m/>
    <x v="0"/>
    <m/>
    <n v="154"/>
    <n v="0"/>
    <n v="0"/>
    <n v="0"/>
    <n v="0"/>
    <n v="0"/>
    <n v="150"/>
    <n v="3348750"/>
    <n v="14850000"/>
    <n v="4.0313549832026867"/>
  </r>
  <r>
    <n v="0"/>
    <n v="0"/>
    <n v="4"/>
    <n v="9"/>
    <s v="전략"/>
    <x v="18"/>
    <s v="ELK-아트인드림-04"/>
    <s v="ELK-아트인드림-04ELKTHF5517BK"/>
    <n v="1"/>
    <s v="ELK-아트인드림-041"/>
    <s v="ELK-아트인드림-041-ELKTHF5517BLACKOXS"/>
    <s v="ELK의류517"/>
    <s v="ELK"/>
    <s v="14FW_E"/>
    <m/>
    <s v="ELK"/>
    <s v="ELSTINKO KIDS"/>
    <s v="F"/>
    <n v="5"/>
    <s v="TH"/>
    <s v="HOODED T-SHIRTS"/>
    <s v="K"/>
    <n v="517"/>
    <n v="517"/>
    <s v="ELKTHF5517"/>
    <n v="8.3333333333333329E-2"/>
    <s v="14FW_ELSTINKO_HOOD_21_BK_KIDS"/>
    <s v="BK"/>
    <s v="BLACK"/>
    <s v="ELKTHF5517BK"/>
    <x v="0"/>
    <n v="0.16666666666666666"/>
    <m/>
    <n v="1"/>
    <s v="OXS"/>
    <n v="40"/>
    <x v="15"/>
    <n v="4"/>
    <x v="3"/>
    <s v="M"/>
    <s v="KR"/>
    <x v="3"/>
    <n v="99000"/>
    <x v="21"/>
    <n v="25000"/>
    <n v="22325"/>
    <n v="-2675"/>
    <m/>
    <n v="20"/>
    <m/>
    <n v="20"/>
    <m/>
    <n v="22305"/>
    <d v="2014-04-15T00:00:00"/>
    <m/>
    <d v="2014-07-24T00:00:00"/>
    <d v="2014-08-13T00:00:00"/>
    <d v="2014-09-30T00:00:00"/>
    <m/>
    <m/>
    <m/>
    <m/>
    <x v="0"/>
    <m/>
    <n v="39"/>
    <n v="0"/>
    <n v="0"/>
    <n v="0"/>
    <n v="0"/>
    <n v="0"/>
    <n v="40"/>
    <n v="893000"/>
    <n v="3960000"/>
    <n v="4.0313549832026867"/>
  </r>
  <r>
    <n v="0"/>
    <n v="0"/>
    <n v="4"/>
    <n v="9"/>
    <s v="전략"/>
    <x v="18"/>
    <s v="ELK-아트인드림-04"/>
    <s v="ELK-아트인드림-04ELKTHF5517BK"/>
    <n v="1"/>
    <s v="ELK-아트인드림-041"/>
    <s v="ELK-아트인드림-041-ELKTHF5517BLACKOSS"/>
    <s v="ELK의류517"/>
    <s v="ELK"/>
    <s v="14FW_E"/>
    <m/>
    <s v="ELK"/>
    <s v="ELSTINKO KIDS"/>
    <s v="F"/>
    <n v="5"/>
    <s v="TH"/>
    <s v="HOODED T-SHIRTS"/>
    <s v="K"/>
    <n v="517"/>
    <n v="517"/>
    <s v="ELKTHF5517"/>
    <n v="8.3333333333333329E-2"/>
    <s v="14FW_ELSTINKO_HOOD_21_BK_KIDS"/>
    <s v="BK"/>
    <s v="BLACK"/>
    <s v="ELKTHF5517BK"/>
    <x v="0"/>
    <n v="0.16666666666666666"/>
    <m/>
    <n v="1"/>
    <s v="OSS"/>
    <n v="60"/>
    <x v="15"/>
    <n v="4"/>
    <x v="3"/>
    <s v="M"/>
    <s v="KR"/>
    <x v="3"/>
    <n v="99000"/>
    <x v="21"/>
    <n v="25000"/>
    <n v="22325"/>
    <n v="-2675"/>
    <m/>
    <n v="20"/>
    <m/>
    <n v="20"/>
    <m/>
    <n v="22305"/>
    <d v="2014-04-15T00:00:00"/>
    <m/>
    <d v="2014-07-24T00:00:00"/>
    <d v="2014-08-13T00:00:00"/>
    <d v="2014-09-30T00:00:00"/>
    <m/>
    <m/>
    <m/>
    <m/>
    <x v="0"/>
    <m/>
    <n v="60"/>
    <n v="0"/>
    <n v="0"/>
    <n v="0"/>
    <n v="0"/>
    <n v="0"/>
    <n v="60"/>
    <n v="1339500"/>
    <n v="5940000"/>
    <n v="4.0313549832026867"/>
  </r>
  <r>
    <n v="0"/>
    <n v="0"/>
    <n v="4"/>
    <n v="9"/>
    <s v="전략"/>
    <x v="18"/>
    <s v="ELK-아트인드림-04"/>
    <s v="ELK-아트인드림-04ELKTHF5517BK"/>
    <n v="1"/>
    <s v="ELK-아트인드림-041"/>
    <s v="ELK-아트인드림-041-ELKTHF5517BLACKOMM"/>
    <s v="ELK의류517"/>
    <s v="ELK"/>
    <s v="14FW_E"/>
    <m/>
    <s v="ELK"/>
    <s v="ELSTINKO KIDS"/>
    <s v="F"/>
    <n v="5"/>
    <s v="TH"/>
    <s v="HOODED T-SHIRTS"/>
    <s v="K"/>
    <n v="517"/>
    <n v="517"/>
    <s v="ELKTHF5517"/>
    <n v="8.3333333333333329E-2"/>
    <s v="14FW_ELSTINKO_HOOD_21_BK_KIDS"/>
    <s v="BK"/>
    <s v="BLACK"/>
    <s v="ELKTHF5517BK"/>
    <x v="0"/>
    <n v="0.16666666666666666"/>
    <m/>
    <n v="1"/>
    <s v="OMM"/>
    <n v="60"/>
    <x v="15"/>
    <n v="4"/>
    <x v="3"/>
    <s v="M"/>
    <s v="KR"/>
    <x v="3"/>
    <n v="99000"/>
    <x v="21"/>
    <n v="25000"/>
    <n v="22325"/>
    <n v="-2675"/>
    <m/>
    <n v="20"/>
    <m/>
    <n v="20"/>
    <m/>
    <n v="22305"/>
    <d v="2014-04-15T00:00:00"/>
    <m/>
    <d v="2014-07-24T00:00:00"/>
    <d v="2014-08-13T00:00:00"/>
    <d v="2014-09-30T00:00:00"/>
    <m/>
    <m/>
    <m/>
    <m/>
    <x v="0"/>
    <m/>
    <n v="62"/>
    <n v="0"/>
    <n v="0"/>
    <n v="0"/>
    <n v="0"/>
    <n v="0"/>
    <n v="60"/>
    <n v="1339500"/>
    <n v="5940000"/>
    <n v="4.0313549832026867"/>
  </r>
  <r>
    <n v="0"/>
    <n v="0"/>
    <n v="4"/>
    <n v="9"/>
    <s v="전략"/>
    <x v="18"/>
    <s v="ELK-아트인드림-04"/>
    <s v="ELK-아트인드림-04ELKTHF5517BK"/>
    <n v="1"/>
    <s v="ELK-아트인드림-041"/>
    <s v="ELK-아트인드림-041-ELKTHF5517BLACKOLL"/>
    <s v="ELK의류517"/>
    <s v="ELK"/>
    <s v="14FW_E"/>
    <m/>
    <s v="ELK"/>
    <s v="ELSTINKO KIDS"/>
    <s v="F"/>
    <n v="5"/>
    <s v="TH"/>
    <s v="HOODED T-SHIRTS"/>
    <s v="K"/>
    <n v="517"/>
    <n v="517"/>
    <s v="ELKTHF5517"/>
    <n v="8.3333333333333329E-2"/>
    <s v="14FW_ELSTINKO_HOOD_21_BK_KIDS"/>
    <s v="BK"/>
    <s v="BLACK"/>
    <s v="ELKTHF5517BK"/>
    <x v="0"/>
    <n v="0.16666666666666666"/>
    <m/>
    <n v="1"/>
    <s v="OLL"/>
    <n v="45"/>
    <x v="15"/>
    <n v="4"/>
    <x v="3"/>
    <s v="M"/>
    <s v="KR"/>
    <x v="3"/>
    <n v="99000"/>
    <x v="21"/>
    <n v="25000"/>
    <n v="22325"/>
    <n v="-2675"/>
    <m/>
    <n v="20"/>
    <m/>
    <n v="20"/>
    <m/>
    <n v="22305"/>
    <d v="2014-04-15T00:00:00"/>
    <m/>
    <d v="2014-07-24T00:00:00"/>
    <d v="2014-08-13T00:00:00"/>
    <d v="2014-09-30T00:00:00"/>
    <m/>
    <m/>
    <m/>
    <m/>
    <x v="0"/>
    <m/>
    <n v="46"/>
    <n v="0"/>
    <n v="0"/>
    <n v="0"/>
    <n v="0"/>
    <n v="0"/>
    <n v="45"/>
    <n v="1004625"/>
    <n v="4455000"/>
    <n v="4.0313549832026876"/>
  </r>
  <r>
    <n v="0"/>
    <n v="0"/>
    <n v="4"/>
    <n v="9"/>
    <s v="전략"/>
    <x v="18"/>
    <s v="ELK-아트인드림-04"/>
    <s v="ELK-아트인드림-04ELKTHF5517BK"/>
    <n v="1"/>
    <s v="ELK-아트인드림-041"/>
    <s v="ELK-아트인드림-041-ELKTHF5517BLACKOXL"/>
    <s v="ELK의류517"/>
    <s v="ELK"/>
    <s v="14FW_E"/>
    <m/>
    <s v="ELK"/>
    <s v="ELSTINKO KIDS"/>
    <s v="F"/>
    <n v="5"/>
    <s v="TH"/>
    <s v="HOODED T-SHIRTS"/>
    <s v="K"/>
    <n v="517"/>
    <n v="517"/>
    <s v="ELKTHF5517"/>
    <n v="8.3333333333333329E-2"/>
    <s v="14FW_ELSTINKO_HOOD_21_BK_KIDS"/>
    <s v="BK"/>
    <s v="BLACK"/>
    <s v="ELKTHF5517BK"/>
    <x v="0"/>
    <n v="0.16666666666666666"/>
    <m/>
    <n v="1"/>
    <s v="OXL"/>
    <n v="45"/>
    <x v="15"/>
    <n v="4"/>
    <x v="3"/>
    <s v="M"/>
    <s v="KR"/>
    <x v="3"/>
    <n v="99000"/>
    <x v="21"/>
    <n v="25000"/>
    <n v="22325"/>
    <n v="-2675"/>
    <m/>
    <n v="20"/>
    <m/>
    <n v="20"/>
    <m/>
    <n v="22305"/>
    <d v="2014-04-15T00:00:00"/>
    <m/>
    <d v="2014-07-24T00:00:00"/>
    <d v="2014-08-13T00:00:00"/>
    <d v="2014-09-30T00:00:00"/>
    <m/>
    <m/>
    <m/>
    <m/>
    <x v="0"/>
    <m/>
    <n v="45"/>
    <n v="0"/>
    <n v="0"/>
    <n v="0"/>
    <n v="0"/>
    <n v="0"/>
    <n v="45"/>
    <n v="1004625"/>
    <n v="4455000"/>
    <n v="4.0313549832026876"/>
  </r>
  <r>
    <n v="0"/>
    <n v="0"/>
    <n v="4"/>
    <n v="9"/>
    <s v="전략"/>
    <x v="18"/>
    <s v="ELK-아트인드림-04"/>
    <s v="ELK-아트인드림-04ELKTHF5517RE"/>
    <n v="2"/>
    <s v="ELK-아트인드림-042"/>
    <s v="ELK-아트인드림-042-ELKTHF5517REDXXS"/>
    <s v="ELK의류517"/>
    <s v="ELK"/>
    <s v="14FW_E"/>
    <m/>
    <s v="ELK"/>
    <s v="ELSTINKO KIDS"/>
    <s v="F"/>
    <n v="5"/>
    <s v="TH"/>
    <s v="HOODED T-SHIRTS"/>
    <s v="K"/>
    <n v="517"/>
    <n v="517"/>
    <s v="ELKTHF5517"/>
    <n v="8.3333333333333329E-2"/>
    <s v="14FW_ELSTINKO_HOOD_21_RE_KIDS"/>
    <s v="RE"/>
    <s v="RED"/>
    <s v="ELKTHF5517RE"/>
    <x v="0"/>
    <n v="0.16666666666666666"/>
    <m/>
    <n v="1"/>
    <s v="XXS"/>
    <n v="150"/>
    <x v="15"/>
    <n v="4"/>
    <x v="3"/>
    <s v="M"/>
    <s v="KR"/>
    <x v="3"/>
    <n v="99000"/>
    <x v="21"/>
    <n v="25000"/>
    <n v="22620"/>
    <n v="-2380"/>
    <m/>
    <n v="20"/>
    <m/>
    <n v="20"/>
    <m/>
    <n v="22600"/>
    <d v="2014-04-15T00:00:00"/>
    <m/>
    <d v="2014-07-24T00:00:00"/>
    <d v="2014-08-13T00:00:00"/>
    <d v="2014-09-26T00:00:00"/>
    <d v="2014-09-30T00:00:00"/>
    <m/>
    <m/>
    <m/>
    <x v="0"/>
    <m/>
    <n v="60"/>
    <n v="92"/>
    <n v="0"/>
    <n v="0"/>
    <n v="0"/>
    <n v="0"/>
    <n v="150"/>
    <n v="3393000"/>
    <n v="14850000"/>
    <n v="3.978779840848806"/>
  </r>
  <r>
    <n v="0"/>
    <n v="0"/>
    <n v="4"/>
    <n v="9"/>
    <s v="전략"/>
    <x v="18"/>
    <s v="ELK-아트인드림-04"/>
    <s v="ELK-아트인드림-04ELKTHF5517RE"/>
    <n v="2"/>
    <s v="ELK-아트인드림-042"/>
    <s v="ELK-아트인드림-042-ELKTHF5517REDOXS"/>
    <s v="ELK의류517"/>
    <s v="ELK"/>
    <s v="14FW_E"/>
    <m/>
    <s v="ELK"/>
    <s v="ELSTINKO KIDS"/>
    <s v="F"/>
    <n v="5"/>
    <s v="TH"/>
    <s v="HOODED T-SHIRTS"/>
    <s v="K"/>
    <n v="517"/>
    <n v="517"/>
    <s v="ELKTHF5517"/>
    <n v="8.3333333333333329E-2"/>
    <s v="14FW_ELSTINKO_HOOD_21_RE_KIDS"/>
    <s v="RE"/>
    <s v="RED"/>
    <s v="ELKTHF5517RE"/>
    <x v="0"/>
    <n v="0.16666666666666666"/>
    <m/>
    <n v="1"/>
    <s v="OXS"/>
    <n v="40"/>
    <x v="15"/>
    <n v="4"/>
    <x v="3"/>
    <s v="M"/>
    <s v="KR"/>
    <x v="3"/>
    <n v="99000"/>
    <x v="21"/>
    <n v="25000"/>
    <n v="22620"/>
    <n v="-2380"/>
    <m/>
    <n v="20"/>
    <m/>
    <n v="20"/>
    <m/>
    <n v="22600"/>
    <d v="2014-04-15T00:00:00"/>
    <m/>
    <d v="2014-07-24T00:00:00"/>
    <d v="2014-08-13T00:00:00"/>
    <d v="2014-09-26T00:00:00"/>
    <d v="2014-09-30T00:00:00"/>
    <m/>
    <m/>
    <m/>
    <x v="0"/>
    <m/>
    <n v="0"/>
    <n v="42"/>
    <n v="0"/>
    <n v="0"/>
    <n v="0"/>
    <n v="0"/>
    <n v="40"/>
    <n v="904800"/>
    <n v="3960000"/>
    <n v="3.978779840848806"/>
  </r>
  <r>
    <n v="0"/>
    <n v="0"/>
    <n v="4"/>
    <n v="9"/>
    <s v="전략"/>
    <x v="18"/>
    <s v="ELK-아트인드림-04"/>
    <s v="ELK-아트인드림-04ELKTHF5517RE"/>
    <n v="2"/>
    <s v="ELK-아트인드림-042"/>
    <s v="ELK-아트인드림-042-ELKTHF5517REDOSS"/>
    <s v="ELK의류517"/>
    <s v="ELK"/>
    <s v="14FW_E"/>
    <m/>
    <s v="ELK"/>
    <s v="ELSTINKO KIDS"/>
    <s v="F"/>
    <n v="5"/>
    <s v="TH"/>
    <s v="HOODED T-SHIRTS"/>
    <s v="K"/>
    <n v="517"/>
    <n v="517"/>
    <s v="ELKTHF5517"/>
    <n v="8.3333333333333329E-2"/>
    <s v="14FW_ELSTINKO_HOOD_21_RE_KIDS"/>
    <s v="RE"/>
    <s v="RED"/>
    <s v="ELKTHF5517RE"/>
    <x v="0"/>
    <n v="0.16666666666666666"/>
    <m/>
    <n v="1"/>
    <s v="OSS"/>
    <n v="60"/>
    <x v="15"/>
    <n v="4"/>
    <x v="3"/>
    <s v="M"/>
    <s v="KR"/>
    <x v="3"/>
    <n v="99000"/>
    <x v="21"/>
    <n v="25000"/>
    <n v="22620"/>
    <n v="-2380"/>
    <m/>
    <n v="20"/>
    <m/>
    <n v="20"/>
    <m/>
    <n v="22600"/>
    <d v="2014-04-15T00:00:00"/>
    <m/>
    <d v="2014-07-24T00:00:00"/>
    <d v="2014-08-13T00:00:00"/>
    <d v="2014-09-26T00:00:00"/>
    <d v="2014-09-30T00:00:00"/>
    <m/>
    <m/>
    <m/>
    <x v="0"/>
    <m/>
    <n v="0"/>
    <n v="62"/>
    <n v="0"/>
    <n v="0"/>
    <n v="0"/>
    <n v="0"/>
    <n v="60"/>
    <n v="1357200"/>
    <n v="5940000"/>
    <n v="3.9787798408488055"/>
  </r>
  <r>
    <n v="0"/>
    <n v="0"/>
    <n v="4"/>
    <n v="9"/>
    <s v="전략"/>
    <x v="18"/>
    <s v="ELK-아트인드림-04"/>
    <s v="ELK-아트인드림-04ELKTHF5517RE"/>
    <n v="2"/>
    <s v="ELK-아트인드림-042"/>
    <s v="ELK-아트인드림-042-ELKTHF5517REDOMM"/>
    <s v="ELK의류517"/>
    <s v="ELK"/>
    <s v="14FW_E"/>
    <m/>
    <s v="ELK"/>
    <s v="ELSTINKO KIDS"/>
    <s v="F"/>
    <n v="5"/>
    <s v="TH"/>
    <s v="HOODED T-SHIRTS"/>
    <s v="K"/>
    <n v="517"/>
    <n v="517"/>
    <s v="ELKTHF5517"/>
    <n v="8.3333333333333329E-2"/>
    <s v="14FW_ELSTINKO_HOOD_21_RE_KIDS"/>
    <s v="RE"/>
    <s v="RED"/>
    <s v="ELKTHF5517RE"/>
    <x v="0"/>
    <n v="0.16666666666666666"/>
    <m/>
    <n v="1"/>
    <s v="OMM"/>
    <n v="60"/>
    <x v="15"/>
    <n v="4"/>
    <x v="3"/>
    <s v="M"/>
    <s v="KR"/>
    <x v="3"/>
    <n v="99000"/>
    <x v="21"/>
    <n v="25000"/>
    <n v="22620"/>
    <n v="-2380"/>
    <m/>
    <n v="20"/>
    <m/>
    <n v="20"/>
    <m/>
    <n v="22600"/>
    <d v="2014-04-15T00:00:00"/>
    <m/>
    <d v="2014-07-24T00:00:00"/>
    <d v="2014-08-13T00:00:00"/>
    <d v="2014-09-26T00:00:00"/>
    <d v="2014-09-30T00:00:00"/>
    <m/>
    <m/>
    <m/>
    <x v="0"/>
    <m/>
    <n v="0"/>
    <n v="61"/>
    <n v="0"/>
    <n v="0"/>
    <n v="0"/>
    <n v="0"/>
    <n v="60"/>
    <n v="1357200"/>
    <n v="5940000"/>
    <n v="3.9787798408488055"/>
  </r>
  <r>
    <n v="0"/>
    <n v="0"/>
    <n v="4"/>
    <n v="9"/>
    <s v="전략"/>
    <x v="18"/>
    <s v="ELK-아트인드림-04"/>
    <s v="ELK-아트인드림-04ELKTHF5517RE"/>
    <n v="2"/>
    <s v="ELK-아트인드림-042"/>
    <s v="ELK-아트인드림-042-ELKTHF5517REDOLL"/>
    <s v="ELK의류517"/>
    <s v="ELK"/>
    <s v="14FW_E"/>
    <m/>
    <s v="ELK"/>
    <s v="ELSTINKO KIDS"/>
    <s v="F"/>
    <n v="5"/>
    <s v="TH"/>
    <s v="HOODED T-SHIRTS"/>
    <s v="K"/>
    <n v="517"/>
    <n v="517"/>
    <s v="ELKTHF5517"/>
    <n v="8.3333333333333329E-2"/>
    <s v="14FW_ELSTINKO_HOOD_21_RE_KIDS"/>
    <s v="RE"/>
    <s v="RED"/>
    <s v="ELKTHF5517RE"/>
    <x v="0"/>
    <n v="0.16666666666666666"/>
    <m/>
    <n v="1"/>
    <s v="OLL"/>
    <n v="45"/>
    <x v="15"/>
    <n v="4"/>
    <x v="3"/>
    <s v="M"/>
    <s v="KR"/>
    <x v="3"/>
    <n v="99000"/>
    <x v="21"/>
    <n v="25000"/>
    <n v="22620"/>
    <n v="-2380"/>
    <m/>
    <n v="20"/>
    <m/>
    <n v="20"/>
    <m/>
    <n v="22600"/>
    <d v="2014-04-15T00:00:00"/>
    <m/>
    <d v="2014-07-24T00:00:00"/>
    <d v="2014-08-13T00:00:00"/>
    <d v="2014-09-26T00:00:00"/>
    <d v="2014-09-30T00:00:00"/>
    <m/>
    <m/>
    <m/>
    <x v="0"/>
    <m/>
    <n v="0"/>
    <n v="46"/>
    <n v="0"/>
    <n v="0"/>
    <n v="0"/>
    <n v="0"/>
    <n v="45"/>
    <n v="1017900"/>
    <n v="4455000"/>
    <n v="3.9787798408488064"/>
  </r>
  <r>
    <n v="0"/>
    <n v="0"/>
    <n v="4"/>
    <n v="9"/>
    <s v="전략"/>
    <x v="18"/>
    <s v="ELK-아트인드림-04"/>
    <s v="ELK-아트인드림-04ELKTHF5517RE"/>
    <n v="2"/>
    <s v="ELK-아트인드림-042"/>
    <s v="ELK-아트인드림-042-ELKTHF5517REDOXL"/>
    <s v="ELK의류517"/>
    <s v="ELK"/>
    <s v="14FW_E"/>
    <m/>
    <s v="ELK"/>
    <s v="ELSTINKO KIDS"/>
    <s v="F"/>
    <n v="5"/>
    <s v="TH"/>
    <s v="HOODED T-SHIRTS"/>
    <s v="K"/>
    <n v="517"/>
    <n v="517"/>
    <s v="ELKTHF5517"/>
    <n v="8.3333333333333329E-2"/>
    <s v="14FW_ELSTINKO_HOOD_21_RE_KIDS"/>
    <s v="RE"/>
    <s v="RED"/>
    <s v="ELKTHF5517RE"/>
    <x v="0"/>
    <n v="0.16666666666666666"/>
    <m/>
    <n v="1"/>
    <s v="OXL"/>
    <n v="45"/>
    <x v="15"/>
    <n v="4"/>
    <x v="3"/>
    <s v="M"/>
    <s v="KR"/>
    <x v="3"/>
    <n v="99000"/>
    <x v="21"/>
    <n v="25000"/>
    <n v="22620"/>
    <n v="-2380"/>
    <m/>
    <n v="20"/>
    <m/>
    <n v="20"/>
    <m/>
    <n v="22600"/>
    <d v="2014-04-15T00:00:00"/>
    <m/>
    <d v="2014-07-24T00:00:00"/>
    <d v="2014-08-13T00:00:00"/>
    <d v="2014-09-26T00:00:00"/>
    <d v="2014-09-30T00:00:00"/>
    <m/>
    <m/>
    <m/>
    <x v="0"/>
    <m/>
    <n v="0"/>
    <n v="46"/>
    <n v="0"/>
    <n v="0"/>
    <n v="0"/>
    <n v="0"/>
    <n v="45"/>
    <n v="1017900"/>
    <n v="4455000"/>
    <n v="3.9787798408488064"/>
  </r>
  <r>
    <n v="0"/>
    <n v="0"/>
    <n v="4"/>
    <n v="9"/>
    <s v="전략"/>
    <x v="18"/>
    <s v="ELK-아트인드림-04"/>
    <s v="ELK-아트인드림-04ELKTHF5518YE"/>
    <n v="3"/>
    <s v="ELK-아트인드림-043"/>
    <s v="ELK-아트인드림-043-ELKTHF5518YELLOWXXS"/>
    <s v="ELK의류518"/>
    <s v="ELK"/>
    <s v="14FW_E"/>
    <m/>
    <s v="ELK"/>
    <s v="ELSTINKO KIDS"/>
    <s v="F"/>
    <n v="5"/>
    <s v="TH"/>
    <s v="HOODED T-SHIRTS"/>
    <s v="K"/>
    <n v="518"/>
    <n v="518"/>
    <s v="ELKTHF5518"/>
    <n v="0.16666666666666666"/>
    <s v="14FW_ELSTINKO_HOOD_03_YE_KIDS"/>
    <s v="YE"/>
    <s v="YELLOW"/>
    <s v="ELKTHF5518YE"/>
    <x v="0"/>
    <n v="0.16666666666666666"/>
    <m/>
    <n v="1"/>
    <s v="XXS"/>
    <n v="150"/>
    <x v="15"/>
    <n v="4"/>
    <x v="3"/>
    <s v="M"/>
    <s v="KR"/>
    <x v="3"/>
    <n v="99000"/>
    <x v="21"/>
    <n v="25000"/>
    <n v="23740"/>
    <n v="-1260"/>
    <m/>
    <n v="20"/>
    <m/>
    <n v="20"/>
    <m/>
    <n v="23720"/>
    <d v="2014-04-15T00:00:00"/>
    <m/>
    <d v="2014-07-24T00:00:00"/>
    <d v="2014-08-13T00:00:00"/>
    <d v="2014-09-19T00:00:00"/>
    <m/>
    <m/>
    <m/>
    <m/>
    <x v="0"/>
    <m/>
    <n v="153"/>
    <n v="0"/>
    <n v="0"/>
    <n v="0"/>
    <n v="0"/>
    <n v="0"/>
    <n v="150"/>
    <n v="3561000"/>
    <n v="14850000"/>
    <n v="3.791069924178601"/>
  </r>
  <r>
    <n v="0"/>
    <n v="0"/>
    <n v="4"/>
    <n v="9"/>
    <s v="전략"/>
    <x v="18"/>
    <s v="ELK-아트인드림-04"/>
    <s v="ELK-아트인드림-04ELKTHF5518YE"/>
    <n v="3"/>
    <s v="ELK-아트인드림-043"/>
    <s v="ELK-아트인드림-043-ELKTHF5518YELLOWOXS"/>
    <s v="ELK의류518"/>
    <s v="ELK"/>
    <s v="14FW_E"/>
    <m/>
    <s v="ELK"/>
    <s v="ELSTINKO KIDS"/>
    <s v="F"/>
    <n v="5"/>
    <s v="TH"/>
    <s v="HOODED T-SHIRTS"/>
    <s v="K"/>
    <n v="518"/>
    <n v="518"/>
    <s v="ELKTHF5518"/>
    <n v="0.16666666666666666"/>
    <s v="14FW_ELSTINKO_HOOD_03_YE_KIDS"/>
    <s v="YE"/>
    <s v="YELLOW"/>
    <s v="ELKTHF5518YE"/>
    <x v="0"/>
    <n v="0.16666666666666666"/>
    <m/>
    <n v="1"/>
    <s v="OXS"/>
    <n v="45"/>
    <x v="15"/>
    <n v="4"/>
    <x v="3"/>
    <s v="M"/>
    <s v="KR"/>
    <x v="3"/>
    <n v="99000"/>
    <x v="21"/>
    <n v="25000"/>
    <n v="23740"/>
    <n v="-1260"/>
    <m/>
    <n v="20"/>
    <m/>
    <n v="20"/>
    <m/>
    <n v="23720"/>
    <d v="2014-04-15T00:00:00"/>
    <m/>
    <d v="2014-07-24T00:00:00"/>
    <d v="2014-08-13T00:00:00"/>
    <d v="2014-09-19T00:00:00"/>
    <m/>
    <m/>
    <m/>
    <m/>
    <x v="0"/>
    <m/>
    <n v="45"/>
    <n v="0"/>
    <n v="0"/>
    <n v="0"/>
    <n v="0"/>
    <n v="0"/>
    <n v="45"/>
    <n v="1068300"/>
    <n v="4455000"/>
    <n v="3.7910699241786014"/>
  </r>
  <r>
    <n v="0"/>
    <n v="0"/>
    <n v="4"/>
    <n v="9"/>
    <s v="전략"/>
    <x v="18"/>
    <s v="ELK-아트인드림-04"/>
    <s v="ELK-아트인드림-04ELKTHF5518YE"/>
    <n v="3"/>
    <s v="ELK-아트인드림-043"/>
    <s v="ELK-아트인드림-043-ELKTHF5518YELLOWOSS"/>
    <s v="ELK의류518"/>
    <s v="ELK"/>
    <s v="14FW_E"/>
    <m/>
    <s v="ELK"/>
    <s v="ELSTINKO KIDS"/>
    <s v="F"/>
    <n v="5"/>
    <s v="TH"/>
    <s v="HOODED T-SHIRTS"/>
    <s v="K"/>
    <n v="518"/>
    <n v="518"/>
    <s v="ELKTHF5518"/>
    <n v="0.16666666666666666"/>
    <s v="14FW_ELSTINKO_HOOD_03_YE_KIDS"/>
    <s v="YE"/>
    <s v="YELLOW"/>
    <s v="ELKTHF5518YE"/>
    <x v="0"/>
    <n v="0.16666666666666666"/>
    <m/>
    <n v="1"/>
    <s v="OSS"/>
    <n v="75"/>
    <x v="15"/>
    <n v="4"/>
    <x v="3"/>
    <s v="M"/>
    <s v="KR"/>
    <x v="3"/>
    <n v="99000"/>
    <x v="21"/>
    <n v="25000"/>
    <n v="23740"/>
    <n v="-1260"/>
    <m/>
    <n v="20"/>
    <m/>
    <n v="20"/>
    <m/>
    <n v="23720"/>
    <d v="2014-04-15T00:00:00"/>
    <m/>
    <d v="2014-07-24T00:00:00"/>
    <d v="2014-08-13T00:00:00"/>
    <d v="2014-09-19T00:00:00"/>
    <m/>
    <m/>
    <m/>
    <m/>
    <x v="0"/>
    <m/>
    <n v="75"/>
    <n v="0"/>
    <n v="0"/>
    <n v="0"/>
    <n v="0"/>
    <n v="0"/>
    <n v="75"/>
    <n v="1780500"/>
    <n v="7425000"/>
    <n v="3.791069924178601"/>
  </r>
  <r>
    <n v="0"/>
    <n v="0"/>
    <n v="4"/>
    <n v="9"/>
    <s v="전략"/>
    <x v="18"/>
    <s v="ELK-아트인드림-04"/>
    <s v="ELK-아트인드림-04ELKTHF5518YE"/>
    <n v="3"/>
    <s v="ELK-아트인드림-043"/>
    <s v="ELK-아트인드림-043-ELKTHF5518YELLOWOMM"/>
    <s v="ELK의류518"/>
    <s v="ELK"/>
    <s v="14FW_E"/>
    <m/>
    <s v="ELK"/>
    <s v="ELSTINKO KIDS"/>
    <s v="F"/>
    <n v="5"/>
    <s v="TH"/>
    <s v="HOODED T-SHIRTS"/>
    <s v="K"/>
    <n v="518"/>
    <n v="518"/>
    <s v="ELKTHF5518"/>
    <n v="0.16666666666666666"/>
    <s v="14FW_ELSTINKO_HOOD_03_YE_KIDS"/>
    <s v="YE"/>
    <s v="YELLOW"/>
    <s v="ELKTHF5518YE"/>
    <x v="0"/>
    <n v="0.16666666666666666"/>
    <m/>
    <n v="1"/>
    <s v="OMM"/>
    <n v="75"/>
    <x v="15"/>
    <n v="4"/>
    <x v="3"/>
    <s v="M"/>
    <s v="KR"/>
    <x v="3"/>
    <n v="99000"/>
    <x v="21"/>
    <n v="25000"/>
    <n v="23740"/>
    <n v="-1260"/>
    <m/>
    <n v="20"/>
    <m/>
    <n v="20"/>
    <m/>
    <n v="23720"/>
    <d v="2014-04-15T00:00:00"/>
    <m/>
    <d v="2014-07-24T00:00:00"/>
    <d v="2014-08-13T00:00:00"/>
    <d v="2014-09-19T00:00:00"/>
    <m/>
    <m/>
    <m/>
    <m/>
    <x v="0"/>
    <m/>
    <n v="75"/>
    <n v="0"/>
    <n v="0"/>
    <n v="0"/>
    <n v="0"/>
    <n v="0"/>
    <n v="75"/>
    <n v="1780500"/>
    <n v="7425000"/>
    <n v="3.791069924178601"/>
  </r>
  <r>
    <n v="0"/>
    <n v="0"/>
    <n v="4"/>
    <n v="9"/>
    <s v="전략"/>
    <x v="18"/>
    <s v="ELK-아트인드림-04"/>
    <s v="ELK-아트인드림-04ELKTHF5518YE"/>
    <n v="3"/>
    <s v="ELK-아트인드림-043"/>
    <s v="ELK-아트인드림-043-ELKTHF5518YELLOWOLL"/>
    <s v="ELK의류518"/>
    <s v="ELK"/>
    <s v="14FW_E"/>
    <m/>
    <s v="ELK"/>
    <s v="ELSTINKO KIDS"/>
    <s v="F"/>
    <n v="5"/>
    <s v="TH"/>
    <s v="HOODED T-SHIRTS"/>
    <s v="K"/>
    <n v="518"/>
    <n v="518"/>
    <s v="ELKTHF5518"/>
    <n v="0.16666666666666666"/>
    <s v="14FW_ELSTINKO_HOOD_03_YE_KIDS"/>
    <s v="YE"/>
    <s v="YELLOW"/>
    <s v="ELKTHF5518YE"/>
    <x v="0"/>
    <n v="0.16666666666666666"/>
    <m/>
    <n v="1"/>
    <s v="OLL"/>
    <n v="45"/>
    <x v="15"/>
    <n v="4"/>
    <x v="3"/>
    <s v="M"/>
    <s v="KR"/>
    <x v="3"/>
    <n v="99000"/>
    <x v="21"/>
    <n v="25000"/>
    <n v="23740"/>
    <n v="-1260"/>
    <m/>
    <n v="20"/>
    <m/>
    <n v="20"/>
    <m/>
    <n v="23720"/>
    <d v="2014-04-15T00:00:00"/>
    <m/>
    <d v="2014-07-24T00:00:00"/>
    <d v="2014-08-13T00:00:00"/>
    <d v="2014-09-19T00:00:00"/>
    <m/>
    <m/>
    <m/>
    <m/>
    <x v="0"/>
    <m/>
    <n v="45"/>
    <n v="0"/>
    <n v="0"/>
    <n v="0"/>
    <n v="0"/>
    <n v="0"/>
    <n v="45"/>
    <n v="1068300"/>
    <n v="4455000"/>
    <n v="3.7910699241786014"/>
  </r>
  <r>
    <n v="0"/>
    <n v="0"/>
    <n v="4"/>
    <n v="9"/>
    <s v="전략"/>
    <x v="18"/>
    <s v="ELK-아트인드림-04"/>
    <s v="ELK-아트인드림-04ELKTHF5518YE"/>
    <n v="3"/>
    <s v="ELK-아트인드림-043"/>
    <s v="ELK-아트인드림-043-ELKTHF5518YELLOWOXL"/>
    <s v="ELK의류518"/>
    <s v="ELK"/>
    <s v="14FW_E"/>
    <m/>
    <s v="ELK"/>
    <s v="ELSTINKO KIDS"/>
    <s v="F"/>
    <n v="5"/>
    <s v="TH"/>
    <s v="HOODED T-SHIRTS"/>
    <s v="K"/>
    <n v="518"/>
    <n v="518"/>
    <s v="ELKTHF5518"/>
    <n v="0.16666666666666666"/>
    <s v="14FW_ELSTINKO_HOOD_03_YE_KIDS"/>
    <s v="YE"/>
    <s v="YELLOW"/>
    <s v="ELKTHF5518YE"/>
    <x v="0"/>
    <n v="0.16666666666666666"/>
    <m/>
    <n v="1"/>
    <s v="OXL"/>
    <n v="40"/>
    <x v="15"/>
    <n v="4"/>
    <x v="3"/>
    <s v="M"/>
    <s v="KR"/>
    <x v="3"/>
    <n v="99000"/>
    <x v="21"/>
    <n v="25000"/>
    <n v="23740"/>
    <n v="-1260"/>
    <m/>
    <n v="20"/>
    <m/>
    <n v="20"/>
    <m/>
    <n v="23720"/>
    <d v="2014-04-15T00:00:00"/>
    <m/>
    <d v="2014-07-24T00:00:00"/>
    <d v="2014-08-13T00:00:00"/>
    <d v="2014-09-19T00:00:00"/>
    <m/>
    <m/>
    <m/>
    <m/>
    <x v="0"/>
    <m/>
    <n v="40"/>
    <n v="0"/>
    <n v="0"/>
    <n v="0"/>
    <n v="0"/>
    <n v="0"/>
    <n v="40"/>
    <n v="949600"/>
    <n v="3960000"/>
    <n v="3.791069924178601"/>
  </r>
  <r>
    <n v="0"/>
    <n v="0"/>
    <s v=""/>
    <s v=""/>
    <s v=""/>
    <x v="1"/>
    <s v=""/>
    <s v=""/>
    <n v="0"/>
    <s v="0"/>
    <s v="0-"/>
    <n v="0"/>
    <s v="TTL"/>
    <s v=""/>
    <s v="ELK-아트인드림-04 TTL"/>
    <m/>
    <s v=""/>
    <s v=""/>
    <s v=""/>
    <m/>
    <s v=""/>
    <s v="K"/>
    <m/>
    <s v=""/>
    <s v=""/>
    <n v="2.0000000000000004"/>
    <m/>
    <s v=""/>
    <m/>
    <s v=""/>
    <x v="0"/>
    <n v="2.9999999999999991"/>
    <m/>
    <n v="1"/>
    <m/>
    <m/>
    <x v="1"/>
    <m/>
    <x v="1"/>
    <m/>
    <m/>
    <x v="1"/>
    <n v="0"/>
    <x v="1"/>
    <n v="0"/>
    <n v="0"/>
    <n v="0"/>
    <m/>
    <m/>
    <m/>
    <n v="0"/>
    <m/>
    <m/>
    <d v="1899-12-30T00:00:00"/>
    <m/>
    <d v="1899-12-30T00:00:00"/>
    <m/>
    <d v="1899-12-30T00:00:00"/>
    <m/>
    <m/>
    <m/>
    <m/>
    <x v="3"/>
    <m/>
    <n v="899"/>
    <n v="349"/>
    <n v="0"/>
    <n v="0"/>
    <n v="0"/>
    <n v="0"/>
    <n v="1230"/>
    <n v="28186200"/>
    <n v="121770000"/>
    <n v="3.9274538603997695"/>
  </r>
  <r>
    <n v="0"/>
    <n v="0"/>
    <n v="4"/>
    <n v="8"/>
    <s v="전략"/>
    <x v="18"/>
    <s v="ELK-EVERGREEN-03"/>
    <s v="ELK-EVERGREEN-03ELKTLF5510NY"/>
    <n v="1"/>
    <s v="ELK-EVERGREEN-031"/>
    <s v="ELK-EVERGREEN-031-ELKTLF5510NAVYXXS"/>
    <s v="ELK의류510"/>
    <s v="ELK"/>
    <s v="14FW_E"/>
    <m/>
    <s v="ELK"/>
    <s v="ELSTINKO KIDS"/>
    <s v="F"/>
    <n v="5"/>
    <s v="TL"/>
    <s v="LONG SLEEVES"/>
    <s v="K"/>
    <n v="510"/>
    <n v="510"/>
    <s v="ELKTLF5510"/>
    <n v="0.16666666666666666"/>
    <s v="14FW_ELSTINKO_MTM_14_NY_KIDS"/>
    <s v="NY"/>
    <s v="NAVY"/>
    <s v="ELKTLF5510NY"/>
    <x v="0"/>
    <n v="0.16666666666666666"/>
    <m/>
    <n v="1"/>
    <s v="XXS"/>
    <n v="150"/>
    <x v="13"/>
    <n v="3"/>
    <x v="2"/>
    <s v="M"/>
    <s v="CN"/>
    <x v="0"/>
    <n v="69000"/>
    <x v="21"/>
    <n v="12545.454545454544"/>
    <n v="14165.62"/>
    <n v="1620.1654545454567"/>
    <m/>
    <n v="70"/>
    <m/>
    <n v="70"/>
    <n v="10.8"/>
    <m/>
    <d v="2014-04-15T00:00:00"/>
    <d v="2014-08-02T00:00:00"/>
    <d v="2014-07-24T00:00:00"/>
    <d v="2014-08-08T00:00:00"/>
    <d v="2014-08-25T00:00:00"/>
    <d v="2014-09-03T00:00:00"/>
    <m/>
    <m/>
    <m/>
    <x v="0"/>
    <m/>
    <n v="90"/>
    <n v="46"/>
    <n v="0"/>
    <n v="0"/>
    <n v="0"/>
    <n v="0"/>
    <n v="150"/>
    <n v="2124843"/>
    <n v="10350000"/>
    <n v="4.4281346476379237"/>
  </r>
  <r>
    <n v="0"/>
    <n v="0"/>
    <n v="4"/>
    <n v="8"/>
    <s v="전략"/>
    <x v="18"/>
    <s v="ELK-EVERGREEN-03"/>
    <s v="ELK-EVERGREEN-03ELKTLF5510NY"/>
    <n v="1"/>
    <s v="ELK-EVERGREEN-031"/>
    <s v="ELK-EVERGREEN-031-ELKTLF5510NAVYOXS"/>
    <s v="ELK의류510"/>
    <s v="ELK"/>
    <s v="14FW_E"/>
    <m/>
    <s v="ELK"/>
    <s v="ELSTINKO KIDS"/>
    <s v="F"/>
    <n v="5"/>
    <s v="TL"/>
    <s v="LONG SLEEVES"/>
    <s v="K"/>
    <n v="510"/>
    <n v="510"/>
    <s v="ELKTLF5510"/>
    <n v="0.16666666666666666"/>
    <s v="14FW_ELSTINKO_MTM_14_NY_KIDS"/>
    <s v="NY"/>
    <s v="NAVY"/>
    <s v="ELKTLF5510NY"/>
    <x v="0"/>
    <n v="0.16666666666666666"/>
    <m/>
    <n v="1"/>
    <s v="OXS"/>
    <n v="60"/>
    <x v="13"/>
    <n v="3"/>
    <x v="2"/>
    <s v="M"/>
    <s v="CN"/>
    <x v="0"/>
    <n v="69000"/>
    <x v="21"/>
    <n v="12545.454545454544"/>
    <n v="14165.62"/>
    <n v="1620.1654545454567"/>
    <m/>
    <n v="70"/>
    <m/>
    <n v="70"/>
    <n v="10.8"/>
    <m/>
    <d v="2014-04-15T00:00:00"/>
    <d v="2014-08-02T00:00:00"/>
    <d v="2014-07-24T00:00:00"/>
    <d v="2014-08-08T00:00:00"/>
    <d v="2014-08-25T00:00:00"/>
    <d v="2014-09-03T00:00:00"/>
    <m/>
    <m/>
    <m/>
    <x v="0"/>
    <m/>
    <n v="45"/>
    <n v="22"/>
    <n v="0"/>
    <n v="0"/>
    <n v="0"/>
    <n v="0"/>
    <n v="60"/>
    <n v="849937.20000000007"/>
    <n v="4140000"/>
    <n v="4.4281346476379229"/>
  </r>
  <r>
    <n v="0"/>
    <n v="0"/>
    <n v="4"/>
    <n v="8"/>
    <s v="전략"/>
    <x v="18"/>
    <s v="ELK-EVERGREEN-03"/>
    <s v="ELK-EVERGREEN-03ELKTLF5510NY"/>
    <n v="1"/>
    <s v="ELK-EVERGREEN-031"/>
    <s v="ELK-EVERGREEN-031-ELKTLF5510NAVYOSS"/>
    <s v="ELK의류510"/>
    <s v="ELK"/>
    <s v="14FW_E"/>
    <m/>
    <s v="ELK"/>
    <s v="ELSTINKO KIDS"/>
    <s v="F"/>
    <n v="5"/>
    <s v="TL"/>
    <s v="LONG SLEEVES"/>
    <s v="K"/>
    <n v="510"/>
    <n v="510"/>
    <s v="ELKTLF5510"/>
    <n v="0.16666666666666666"/>
    <s v="14FW_ELSTINKO_MTM_14_NY_KIDS"/>
    <s v="NY"/>
    <s v="NAVY"/>
    <s v="ELKTLF5510NY"/>
    <x v="0"/>
    <n v="0.16666666666666666"/>
    <m/>
    <n v="1"/>
    <s v="OSS"/>
    <n v="75"/>
    <x v="13"/>
    <n v="3"/>
    <x v="2"/>
    <s v="M"/>
    <s v="CN"/>
    <x v="0"/>
    <n v="69000"/>
    <x v="21"/>
    <n v="12545.454545454544"/>
    <n v="14165.62"/>
    <n v="1620.1654545454567"/>
    <m/>
    <n v="70"/>
    <m/>
    <n v="70"/>
    <n v="10.8"/>
    <m/>
    <d v="2014-04-15T00:00:00"/>
    <d v="2014-08-02T00:00:00"/>
    <d v="2014-07-24T00:00:00"/>
    <d v="2014-08-08T00:00:00"/>
    <d v="2014-08-25T00:00:00"/>
    <d v="2014-09-03T00:00:00"/>
    <m/>
    <m/>
    <m/>
    <x v="0"/>
    <m/>
    <n v="45"/>
    <n v="13"/>
    <n v="0"/>
    <n v="0"/>
    <n v="0"/>
    <m/>
    <n v="75"/>
    <n v="1062421.5"/>
    <n v="5175000"/>
    <n v="4.4281346476379237"/>
  </r>
  <r>
    <n v="0"/>
    <n v="0"/>
    <n v="4"/>
    <n v="8"/>
    <s v="전략"/>
    <x v="18"/>
    <s v="ELK-EVERGREEN-03"/>
    <s v="ELK-EVERGREEN-03ELKTLF5510NY"/>
    <n v="1"/>
    <s v="ELK-EVERGREEN-031"/>
    <s v="ELK-EVERGREEN-031-ELKTLF5510NAVYOMM"/>
    <s v="ELK의류510"/>
    <s v="ELK"/>
    <s v="14FW_E"/>
    <m/>
    <s v="ELK"/>
    <s v="ELSTINKO KIDS"/>
    <s v="F"/>
    <n v="5"/>
    <s v="TL"/>
    <s v="LONG SLEEVES"/>
    <s v="K"/>
    <n v="510"/>
    <n v="510"/>
    <s v="ELKTLF5510"/>
    <n v="0.16666666666666666"/>
    <s v="14FW_ELSTINKO_MTM_14_NY_KIDS"/>
    <s v="NY"/>
    <s v="NAVY"/>
    <s v="ELKTLF5510NY"/>
    <x v="0"/>
    <n v="0.16666666666666666"/>
    <m/>
    <n v="1"/>
    <s v="OMM"/>
    <n v="75"/>
    <x v="13"/>
    <n v="3"/>
    <x v="2"/>
    <s v="M"/>
    <s v="CN"/>
    <x v="0"/>
    <n v="69000"/>
    <x v="21"/>
    <n v="12545.454545454544"/>
    <n v="14165.62"/>
    <n v="1620.1654545454567"/>
    <m/>
    <n v="70"/>
    <m/>
    <n v="70"/>
    <n v="10.8"/>
    <m/>
    <d v="2014-04-15T00:00:00"/>
    <d v="2014-08-02T00:00:00"/>
    <d v="2014-07-24T00:00:00"/>
    <d v="2014-08-08T00:00:00"/>
    <d v="2014-08-25T00:00:00"/>
    <d v="2014-09-03T00:00:00"/>
    <m/>
    <m/>
    <m/>
    <x v="0"/>
    <m/>
    <n v="45"/>
    <n v="22"/>
    <n v="0"/>
    <n v="0"/>
    <n v="0"/>
    <m/>
    <n v="75"/>
    <n v="1062421.5"/>
    <n v="5175000"/>
    <n v="4.4281346476379237"/>
  </r>
  <r>
    <n v="0"/>
    <n v="0"/>
    <n v="4"/>
    <n v="8"/>
    <s v="전략"/>
    <x v="18"/>
    <s v="ELK-EVERGREEN-03"/>
    <s v="ELK-EVERGREEN-03ELKTLF5510NY"/>
    <n v="1"/>
    <s v="ELK-EVERGREEN-031"/>
    <s v="ELK-EVERGREEN-031-ELKTLF5510NAVYOLL"/>
    <s v="ELK의류510"/>
    <s v="ELK"/>
    <s v="14FW_E"/>
    <m/>
    <s v="ELK"/>
    <s v="ELSTINKO KIDS"/>
    <s v="F"/>
    <n v="5"/>
    <s v="TL"/>
    <s v="LONG SLEEVES"/>
    <s v="K"/>
    <n v="510"/>
    <n v="510"/>
    <s v="ELKTLF5510"/>
    <n v="0.16666666666666666"/>
    <s v="14FW_ELSTINKO_MTM_14_NY_KIDS"/>
    <s v="NY"/>
    <s v="NAVY"/>
    <s v="ELKTLF5510NY"/>
    <x v="0"/>
    <n v="0.16666666666666666"/>
    <m/>
    <n v="1"/>
    <s v="OLL"/>
    <n v="45"/>
    <x v="13"/>
    <n v="3"/>
    <x v="2"/>
    <s v="M"/>
    <s v="CN"/>
    <x v="0"/>
    <n v="69000"/>
    <x v="21"/>
    <n v="12545.454545454544"/>
    <n v="14165.62"/>
    <n v="1620.1654545454567"/>
    <m/>
    <n v="70"/>
    <m/>
    <n v="70"/>
    <n v="10.8"/>
    <m/>
    <d v="2014-04-15T00:00:00"/>
    <d v="2014-08-02T00:00:00"/>
    <d v="2014-07-24T00:00:00"/>
    <d v="2014-08-08T00:00:00"/>
    <d v="2014-08-25T00:00:00"/>
    <d v="2014-09-03T00:00:00"/>
    <m/>
    <m/>
    <m/>
    <x v="0"/>
    <m/>
    <n v="36"/>
    <n v="8"/>
    <n v="0"/>
    <n v="0"/>
    <n v="0"/>
    <n v="0"/>
    <n v="45"/>
    <n v="637452.9"/>
    <n v="3105000"/>
    <n v="4.4281346476379237"/>
  </r>
  <r>
    <n v="0"/>
    <n v="0"/>
    <n v="4"/>
    <n v="8"/>
    <s v="전략"/>
    <x v="18"/>
    <s v="ELK-EVERGREEN-03"/>
    <s v="ELK-EVERGREEN-03ELKTLF5510NY"/>
    <n v="1"/>
    <s v="ELK-EVERGREEN-031"/>
    <s v="ELK-EVERGREEN-031-ELKTLF5510NAVYOXL"/>
    <s v="ELK의류510"/>
    <s v="ELK"/>
    <s v="14FW_E"/>
    <m/>
    <s v="ELK"/>
    <s v="ELSTINKO KIDS"/>
    <s v="F"/>
    <n v="5"/>
    <s v="TL"/>
    <s v="LONG SLEEVES"/>
    <s v="K"/>
    <n v="510"/>
    <n v="510"/>
    <s v="ELKTLF5510"/>
    <n v="0.16666666666666666"/>
    <s v="14FW_ELSTINKO_MTM_14_NY_KIDS"/>
    <s v="NY"/>
    <s v="NAVY"/>
    <s v="ELKTLF5510NY"/>
    <x v="0"/>
    <n v="0.16666666666666666"/>
    <m/>
    <n v="1"/>
    <s v="OXL"/>
    <n v="45"/>
    <x v="13"/>
    <n v="3"/>
    <x v="2"/>
    <s v="M"/>
    <s v="CN"/>
    <x v="0"/>
    <n v="69000"/>
    <x v="21"/>
    <n v="12545.454545454544"/>
    <n v="14165.62"/>
    <n v="1620.1654545454567"/>
    <m/>
    <n v="70"/>
    <m/>
    <n v="70"/>
    <n v="10.8"/>
    <m/>
    <d v="2014-04-15T00:00:00"/>
    <d v="2014-08-02T00:00:00"/>
    <d v="2014-07-24T00:00:00"/>
    <d v="2014-08-08T00:00:00"/>
    <d v="2014-08-25T00:00:00"/>
    <d v="2014-09-03T00:00:00"/>
    <m/>
    <m/>
    <m/>
    <x v="0"/>
    <m/>
    <n v="35"/>
    <n v="11"/>
    <n v="0"/>
    <n v="0"/>
    <n v="0"/>
    <n v="0"/>
    <n v="45"/>
    <n v="637452.9"/>
    <n v="3105000"/>
    <n v="4.4281346476379237"/>
  </r>
  <r>
    <n v="0"/>
    <n v="0"/>
    <n v="4"/>
    <n v="8"/>
    <s v="전략"/>
    <x v="18"/>
    <s v="ELK-EVERGREEN-03"/>
    <s v="ELK-EVERGREEN-03ELKTLF5521RE"/>
    <n v="2"/>
    <s v="ELK-EVERGREEN-032"/>
    <s v="ELK-EVERGREEN-032-ELKTLF5521REDXXS"/>
    <s v="ELK의류521"/>
    <s v="ELK"/>
    <s v="14FW_E"/>
    <m/>
    <s v="ELK"/>
    <s v="ELSTINKO KIDS"/>
    <s v="F"/>
    <n v="5"/>
    <s v="TL"/>
    <s v="LONG SLEEVES"/>
    <s v="K"/>
    <n v="521"/>
    <n v="521"/>
    <s v="ELKTLF5521"/>
    <n v="0.16666666666666666"/>
    <s v="14FW_ELSTINKO_MTM_13_RE_KIDS"/>
    <s v="RE"/>
    <s v="RED"/>
    <s v="ELKTLF5521RE"/>
    <x v="0"/>
    <n v="0.16666666666666666"/>
    <m/>
    <n v="1"/>
    <s v="XXS"/>
    <n v="150"/>
    <x v="13"/>
    <n v="3"/>
    <x v="2"/>
    <s v="M"/>
    <s v="CN"/>
    <x v="0"/>
    <n v="69000"/>
    <x v="21"/>
    <n v="12545.454545454544"/>
    <n v="13774.074999999999"/>
    <n v="1228.6204545454548"/>
    <m/>
    <n v="70"/>
    <m/>
    <n v="70"/>
    <n v="10.5"/>
    <m/>
    <d v="2014-04-15T00:00:00"/>
    <d v="2014-08-02T00:00:00"/>
    <d v="2014-07-24T00:00:00"/>
    <d v="2014-08-08T00:00:00"/>
    <d v="2014-08-26T00:00:00"/>
    <m/>
    <m/>
    <m/>
    <m/>
    <x v="0"/>
    <m/>
    <n v="152"/>
    <n v="0"/>
    <n v="0"/>
    <n v="0"/>
    <n v="0"/>
    <n v="0"/>
    <n v="150"/>
    <n v="2066111.2499999998"/>
    <n v="10350000"/>
    <n v="4.5540098138911489"/>
  </r>
  <r>
    <n v="0"/>
    <n v="0"/>
    <n v="4"/>
    <n v="8"/>
    <s v="전략"/>
    <x v="18"/>
    <s v="ELK-EVERGREEN-03"/>
    <s v="ELK-EVERGREEN-03ELKTLF5521RE"/>
    <n v="2"/>
    <s v="ELK-EVERGREEN-032"/>
    <s v="ELK-EVERGREEN-032-ELKTLF5521REDOXS"/>
    <s v="ELK의류521"/>
    <s v="ELK"/>
    <s v="14FW_E"/>
    <m/>
    <s v="ELK"/>
    <s v="ELSTINKO KIDS"/>
    <s v="F"/>
    <n v="5"/>
    <s v="TL"/>
    <s v="LONG SLEEVES"/>
    <s v="K"/>
    <n v="521"/>
    <n v="521"/>
    <s v="ELKTLF5521"/>
    <n v="0.16666666666666666"/>
    <s v="14FW_ELSTINKO_MTM_13_RE_KIDS"/>
    <s v="RE"/>
    <s v="RED"/>
    <s v="ELKTLF5521RE"/>
    <x v="0"/>
    <n v="0.16666666666666666"/>
    <m/>
    <n v="1"/>
    <s v="OXS"/>
    <n v="60"/>
    <x v="13"/>
    <n v="3"/>
    <x v="2"/>
    <s v="M"/>
    <s v="CN"/>
    <x v="0"/>
    <n v="69000"/>
    <x v="21"/>
    <n v="12545.454545454544"/>
    <n v="13774.074999999999"/>
    <n v="1228.6204545454548"/>
    <m/>
    <n v="70"/>
    <m/>
    <n v="70"/>
    <n v="10.5"/>
    <m/>
    <d v="2014-04-15T00:00:00"/>
    <d v="2014-08-02T00:00:00"/>
    <d v="2014-07-24T00:00:00"/>
    <d v="2014-08-08T00:00:00"/>
    <d v="2014-08-26T00:00:00"/>
    <m/>
    <m/>
    <m/>
    <m/>
    <x v="0"/>
    <m/>
    <n v="62"/>
    <n v="0"/>
    <n v="0"/>
    <n v="0"/>
    <n v="0"/>
    <n v="0"/>
    <n v="60"/>
    <n v="826444.49999999988"/>
    <n v="4140000"/>
    <n v="4.5540098138911489"/>
  </r>
  <r>
    <n v="0"/>
    <n v="0"/>
    <n v="4"/>
    <n v="8"/>
    <s v="전략"/>
    <x v="18"/>
    <s v="ELK-EVERGREEN-03"/>
    <s v="ELK-EVERGREEN-03ELKTLF5521RE"/>
    <n v="2"/>
    <s v="ELK-EVERGREEN-032"/>
    <s v="ELK-EVERGREEN-032-ELKTLF5521REDOSS"/>
    <s v="ELK의류521"/>
    <s v="ELK"/>
    <s v="14FW_E"/>
    <m/>
    <s v="ELK"/>
    <s v="ELSTINKO KIDS"/>
    <s v="F"/>
    <n v="5"/>
    <s v="TL"/>
    <s v="LONG SLEEVES"/>
    <s v="K"/>
    <n v="521"/>
    <n v="521"/>
    <s v="ELKTLF5521"/>
    <n v="0.16666666666666666"/>
    <s v="14FW_ELSTINKO_MTM_13_RE_KIDS"/>
    <s v="RE"/>
    <s v="RED"/>
    <s v="ELKTLF5521RE"/>
    <x v="0"/>
    <n v="0.16666666666666666"/>
    <m/>
    <n v="1"/>
    <s v="OSS"/>
    <n v="75"/>
    <x v="13"/>
    <n v="3"/>
    <x v="2"/>
    <s v="M"/>
    <s v="CN"/>
    <x v="0"/>
    <n v="69000"/>
    <x v="21"/>
    <n v="12545.454545454544"/>
    <n v="13774.074999999999"/>
    <n v="1228.6204545454548"/>
    <m/>
    <n v="70"/>
    <m/>
    <n v="70"/>
    <n v="10.5"/>
    <m/>
    <d v="2014-04-15T00:00:00"/>
    <d v="2014-08-02T00:00:00"/>
    <d v="2014-07-24T00:00:00"/>
    <d v="2014-08-08T00:00:00"/>
    <d v="2014-08-26T00:00:00"/>
    <m/>
    <m/>
    <m/>
    <m/>
    <x v="0"/>
    <m/>
    <n v="78"/>
    <n v="0"/>
    <n v="0"/>
    <n v="0"/>
    <n v="0"/>
    <n v="0"/>
    <n v="75"/>
    <n v="1033055.6249999999"/>
    <n v="5175000"/>
    <n v="4.5540098138911489"/>
  </r>
  <r>
    <n v="0"/>
    <n v="0"/>
    <n v="4"/>
    <n v="8"/>
    <s v="전략"/>
    <x v="18"/>
    <s v="ELK-EVERGREEN-03"/>
    <s v="ELK-EVERGREEN-03ELKTLF5521RE"/>
    <n v="2"/>
    <s v="ELK-EVERGREEN-032"/>
    <s v="ELK-EVERGREEN-032-ELKTLF5521REDOMM"/>
    <s v="ELK의류521"/>
    <s v="ELK"/>
    <s v="14FW_E"/>
    <m/>
    <s v="ELK"/>
    <s v="ELSTINKO KIDS"/>
    <s v="F"/>
    <n v="5"/>
    <s v="TL"/>
    <s v="LONG SLEEVES"/>
    <s v="K"/>
    <n v="521"/>
    <n v="521"/>
    <s v="ELKTLF5521"/>
    <n v="0.16666666666666666"/>
    <s v="14FW_ELSTINKO_MTM_13_RE_KIDS"/>
    <s v="RE"/>
    <s v="RED"/>
    <s v="ELKTLF5521RE"/>
    <x v="0"/>
    <n v="0.16666666666666666"/>
    <m/>
    <n v="1"/>
    <s v="OMM"/>
    <n v="75"/>
    <x v="13"/>
    <n v="3"/>
    <x v="2"/>
    <s v="M"/>
    <s v="CN"/>
    <x v="0"/>
    <n v="69000"/>
    <x v="21"/>
    <n v="12545.454545454544"/>
    <n v="13774.074999999999"/>
    <n v="1228.6204545454548"/>
    <m/>
    <n v="70"/>
    <m/>
    <n v="70"/>
    <n v="10.5"/>
    <m/>
    <d v="2014-04-15T00:00:00"/>
    <d v="2014-08-02T00:00:00"/>
    <d v="2014-07-24T00:00:00"/>
    <d v="2014-08-08T00:00:00"/>
    <d v="2014-08-26T00:00:00"/>
    <m/>
    <m/>
    <m/>
    <m/>
    <x v="0"/>
    <m/>
    <n v="80"/>
    <n v="0"/>
    <n v="0"/>
    <n v="0"/>
    <n v="0"/>
    <n v="0"/>
    <n v="75"/>
    <n v="1033055.6249999999"/>
    <n v="5175000"/>
    <n v="4.5540098138911489"/>
  </r>
  <r>
    <n v="0"/>
    <n v="0"/>
    <n v="4"/>
    <n v="8"/>
    <s v="전략"/>
    <x v="18"/>
    <s v="ELK-EVERGREEN-03"/>
    <s v="ELK-EVERGREEN-03ELKTLF5521RE"/>
    <n v="2"/>
    <s v="ELK-EVERGREEN-032"/>
    <s v="ELK-EVERGREEN-032-ELKTLF5521REDOLL"/>
    <s v="ELK의류521"/>
    <s v="ELK"/>
    <s v="14FW_E"/>
    <m/>
    <s v="ELK"/>
    <s v="ELSTINKO KIDS"/>
    <s v="F"/>
    <n v="5"/>
    <s v="TL"/>
    <s v="LONG SLEEVES"/>
    <s v="K"/>
    <n v="521"/>
    <n v="521"/>
    <s v="ELKTLF5521"/>
    <n v="0.16666666666666666"/>
    <s v="14FW_ELSTINKO_MTM_13_RE_KIDS"/>
    <s v="RE"/>
    <s v="RED"/>
    <s v="ELKTLF5521RE"/>
    <x v="0"/>
    <n v="0.16666666666666666"/>
    <m/>
    <n v="1"/>
    <s v="OLL"/>
    <n v="45"/>
    <x v="13"/>
    <n v="3"/>
    <x v="2"/>
    <s v="M"/>
    <s v="CN"/>
    <x v="0"/>
    <n v="69000"/>
    <x v="21"/>
    <n v="12545.454545454544"/>
    <n v="13774.074999999999"/>
    <n v="1228.6204545454548"/>
    <m/>
    <n v="70"/>
    <m/>
    <n v="70"/>
    <n v="10.5"/>
    <m/>
    <d v="2014-04-15T00:00:00"/>
    <d v="2014-08-02T00:00:00"/>
    <d v="2014-07-24T00:00:00"/>
    <d v="2014-08-08T00:00:00"/>
    <d v="2014-08-26T00:00:00"/>
    <m/>
    <m/>
    <m/>
    <m/>
    <x v="0"/>
    <m/>
    <n v="45"/>
    <n v="0"/>
    <n v="0"/>
    <n v="0"/>
    <n v="0"/>
    <n v="0"/>
    <n v="45"/>
    <n v="619833.375"/>
    <n v="3105000"/>
    <n v="4.5540098138911489"/>
  </r>
  <r>
    <n v="0"/>
    <n v="0"/>
    <n v="4"/>
    <n v="8"/>
    <s v="전략"/>
    <x v="18"/>
    <s v="ELK-EVERGREEN-03"/>
    <s v="ELK-EVERGREEN-03ELKTLF5521RE"/>
    <n v="2"/>
    <s v="ELK-EVERGREEN-032"/>
    <s v="ELK-EVERGREEN-032-ELKTLF5521REDOXL"/>
    <s v="ELK의류521"/>
    <s v="ELK"/>
    <s v="14FW_E"/>
    <m/>
    <s v="ELK"/>
    <s v="ELSTINKO KIDS"/>
    <s v="F"/>
    <n v="5"/>
    <s v="TL"/>
    <s v="LONG SLEEVES"/>
    <s v="K"/>
    <n v="521"/>
    <n v="521"/>
    <s v="ELKTLF5521"/>
    <n v="0.16666666666666666"/>
    <s v="14FW_ELSTINKO_MTM_13_RE_KIDS"/>
    <s v="RE"/>
    <s v="RED"/>
    <s v="ELKTLF5521RE"/>
    <x v="0"/>
    <n v="0.16666666666666666"/>
    <m/>
    <n v="1"/>
    <s v="OXL"/>
    <n v="45"/>
    <x v="13"/>
    <n v="3"/>
    <x v="2"/>
    <s v="M"/>
    <s v="CN"/>
    <x v="0"/>
    <n v="69000"/>
    <x v="21"/>
    <n v="12545.454545454544"/>
    <n v="13774.074999999999"/>
    <n v="1228.6204545454548"/>
    <m/>
    <n v="70"/>
    <m/>
    <n v="70"/>
    <n v="10.5"/>
    <m/>
    <d v="2014-04-15T00:00:00"/>
    <d v="2014-08-02T00:00:00"/>
    <d v="2014-07-24T00:00:00"/>
    <d v="2014-08-08T00:00:00"/>
    <d v="2014-08-26T00:00:00"/>
    <m/>
    <m/>
    <m/>
    <m/>
    <x v="0"/>
    <m/>
    <n v="45"/>
    <n v="0"/>
    <n v="0"/>
    <n v="0"/>
    <n v="0"/>
    <n v="0"/>
    <n v="45"/>
    <n v="619833.375"/>
    <n v="3105000"/>
    <n v="4.5540098138911489"/>
  </r>
  <r>
    <n v="0"/>
    <n v="0"/>
    <n v="4"/>
    <n v="8"/>
    <s v="전략"/>
    <x v="18"/>
    <s v="ELK-EVERGREEN-03"/>
    <s v="ELK-EVERGREEN-03ELKTHF5522BL"/>
    <n v="3"/>
    <s v="ELK-EVERGREEN-033"/>
    <s v="ELK-EVERGREEN-033-ELKTHF5522BLUEXXS"/>
    <s v="ELK의류522"/>
    <s v="ELK"/>
    <s v="14FW_E"/>
    <m/>
    <s v="ELK"/>
    <s v="ELSTINKO KIDS"/>
    <s v="F"/>
    <n v="5"/>
    <s v="TH"/>
    <s v="HOODED T-SHIRTS"/>
    <s v="K"/>
    <n v="522"/>
    <n v="522"/>
    <s v="ELKTHF5522"/>
    <n v="8.3333333333333329E-2"/>
    <s v="14FW_ELSTINKO_HOOD_01_BL_KIDS"/>
    <s v="BL"/>
    <s v="BLUE"/>
    <s v="ELKTHF5522BL"/>
    <x v="0"/>
    <n v="0.16666666666666666"/>
    <m/>
    <n v="1"/>
    <s v="XXS"/>
    <n v="150"/>
    <x v="13"/>
    <n v="3"/>
    <x v="2"/>
    <s v="M"/>
    <s v="CN"/>
    <x v="0"/>
    <n v="79000"/>
    <x v="21"/>
    <n v="14363.636363636362"/>
    <n v="15079.225"/>
    <n v="715.58863636363822"/>
    <m/>
    <n v="70"/>
    <m/>
    <n v="70"/>
    <n v="11.5"/>
    <m/>
    <d v="2014-04-15T00:00:00"/>
    <d v="2014-08-02T00:00:00"/>
    <d v="2014-07-24T00:00:00"/>
    <d v="2014-08-08T00:00:00"/>
    <d v="2014-08-26T00:00:00"/>
    <m/>
    <m/>
    <m/>
    <m/>
    <x v="0"/>
    <m/>
    <n v="156"/>
    <n v="0"/>
    <n v="0"/>
    <n v="0"/>
    <n v="0"/>
    <n v="0"/>
    <n v="150"/>
    <n v="2261883.75"/>
    <n v="11850000"/>
    <n v="4.7627236690335089"/>
  </r>
  <r>
    <n v="0"/>
    <n v="0"/>
    <n v="4"/>
    <n v="8"/>
    <s v="전략"/>
    <x v="18"/>
    <s v="ELK-EVERGREEN-03"/>
    <s v="ELK-EVERGREEN-03ELKTHF5522BL"/>
    <n v="3"/>
    <s v="ELK-EVERGREEN-033"/>
    <s v="ELK-EVERGREEN-033-ELKTHF5522BLUEOXS"/>
    <s v="ELK의류522"/>
    <s v="ELK"/>
    <s v="14FW_E"/>
    <m/>
    <s v="ELK"/>
    <s v="ELSTINKO KIDS"/>
    <s v="F"/>
    <n v="5"/>
    <s v="TH"/>
    <s v="HOODED T-SHIRTS"/>
    <s v="K"/>
    <n v="522"/>
    <n v="522"/>
    <s v="ELKTHF5522"/>
    <n v="8.3333333333333329E-2"/>
    <s v="14FW_ELSTINKO_HOOD_01_BL_KIDS"/>
    <s v="BL"/>
    <s v="BLUE"/>
    <s v="ELKTHF5522BL"/>
    <x v="0"/>
    <n v="0.16666666666666666"/>
    <m/>
    <n v="1"/>
    <s v="OXS"/>
    <n v="45"/>
    <x v="13"/>
    <n v="3"/>
    <x v="2"/>
    <s v="M"/>
    <s v="CN"/>
    <x v="0"/>
    <n v="79000"/>
    <x v="21"/>
    <n v="14363.636363636362"/>
    <n v="15079.225"/>
    <n v="715.58863636363822"/>
    <m/>
    <n v="70"/>
    <m/>
    <n v="70"/>
    <n v="11.5"/>
    <m/>
    <d v="2014-04-15T00:00:00"/>
    <d v="2014-08-02T00:00:00"/>
    <d v="2014-07-24T00:00:00"/>
    <d v="2014-08-08T00:00:00"/>
    <d v="2014-08-26T00:00:00"/>
    <m/>
    <m/>
    <m/>
    <m/>
    <x v="0"/>
    <m/>
    <n v="40"/>
    <n v="0"/>
    <n v="0"/>
    <n v="0"/>
    <n v="0"/>
    <m/>
    <n v="45"/>
    <n v="678565.125"/>
    <n v="3555000"/>
    <n v="4.7627236690335089"/>
  </r>
  <r>
    <n v="0"/>
    <n v="0"/>
    <n v="4"/>
    <n v="8"/>
    <s v="전략"/>
    <x v="18"/>
    <s v="ELK-EVERGREEN-03"/>
    <s v="ELK-EVERGREEN-03ELKTHF5522BL"/>
    <n v="3"/>
    <s v="ELK-EVERGREEN-033"/>
    <s v="ELK-EVERGREEN-033-ELKTHF5522BLUEOSS"/>
    <s v="ELK의류522"/>
    <s v="ELK"/>
    <s v="14FW_E"/>
    <m/>
    <s v="ELK"/>
    <s v="ELSTINKO KIDS"/>
    <s v="F"/>
    <n v="5"/>
    <s v="TH"/>
    <s v="HOODED T-SHIRTS"/>
    <s v="K"/>
    <n v="522"/>
    <n v="522"/>
    <s v="ELKTHF5522"/>
    <n v="8.3333333333333329E-2"/>
    <s v="14FW_ELSTINKO_HOOD_01_BL_KIDS"/>
    <s v="BL"/>
    <s v="BLUE"/>
    <s v="ELKTHF5522BL"/>
    <x v="0"/>
    <n v="0.16666666666666666"/>
    <m/>
    <n v="1"/>
    <s v="OSS"/>
    <n v="75"/>
    <x v="13"/>
    <n v="3"/>
    <x v="2"/>
    <s v="M"/>
    <s v="CN"/>
    <x v="0"/>
    <n v="79000"/>
    <x v="21"/>
    <n v="14363.636363636362"/>
    <n v="15079.225"/>
    <n v="715.58863636363822"/>
    <m/>
    <n v="70"/>
    <m/>
    <n v="70"/>
    <n v="11.5"/>
    <m/>
    <d v="2014-04-15T00:00:00"/>
    <d v="2014-08-02T00:00:00"/>
    <d v="2014-07-24T00:00:00"/>
    <d v="2014-08-08T00:00:00"/>
    <d v="2014-08-26T00:00:00"/>
    <m/>
    <m/>
    <m/>
    <m/>
    <x v="0"/>
    <m/>
    <n v="64"/>
    <n v="0"/>
    <n v="0"/>
    <n v="0"/>
    <n v="0"/>
    <m/>
    <n v="75"/>
    <n v="1130941.875"/>
    <n v="5925000"/>
    <n v="4.7627236690335089"/>
  </r>
  <r>
    <n v="0"/>
    <n v="0"/>
    <n v="4"/>
    <n v="8"/>
    <s v="전략"/>
    <x v="18"/>
    <s v="ELK-EVERGREEN-03"/>
    <s v="ELK-EVERGREEN-03ELKTHF5522BL"/>
    <n v="3"/>
    <s v="ELK-EVERGREEN-033"/>
    <s v="ELK-EVERGREEN-033-ELKTHF5522BLUEOMM"/>
    <s v="ELK의류522"/>
    <s v="ELK"/>
    <s v="14FW_E"/>
    <m/>
    <s v="ELK"/>
    <s v="ELSTINKO KIDS"/>
    <s v="F"/>
    <n v="5"/>
    <s v="TH"/>
    <s v="HOODED T-SHIRTS"/>
    <s v="K"/>
    <n v="522"/>
    <n v="522"/>
    <s v="ELKTHF5522"/>
    <n v="8.3333333333333329E-2"/>
    <s v="14FW_ELSTINKO_HOOD_01_BL_KIDS"/>
    <s v="BL"/>
    <s v="BLUE"/>
    <s v="ELKTHF5522BL"/>
    <x v="0"/>
    <n v="0.16666666666666666"/>
    <m/>
    <n v="1"/>
    <s v="OMM"/>
    <n v="75"/>
    <x v="13"/>
    <n v="3"/>
    <x v="2"/>
    <s v="M"/>
    <s v="CN"/>
    <x v="0"/>
    <n v="79000"/>
    <x v="21"/>
    <n v="14363.636363636362"/>
    <n v="15079.225"/>
    <n v="715.58863636363822"/>
    <m/>
    <n v="70"/>
    <m/>
    <n v="70"/>
    <n v="11.5"/>
    <m/>
    <d v="2014-04-15T00:00:00"/>
    <d v="2014-08-02T00:00:00"/>
    <d v="2014-07-24T00:00:00"/>
    <d v="2014-08-08T00:00:00"/>
    <d v="2014-08-26T00:00:00"/>
    <m/>
    <m/>
    <m/>
    <m/>
    <x v="0"/>
    <m/>
    <n v="65"/>
    <n v="0"/>
    <n v="0"/>
    <n v="0"/>
    <n v="0"/>
    <m/>
    <n v="75"/>
    <n v="1130941.875"/>
    <n v="5925000"/>
    <n v="4.7627236690335089"/>
  </r>
  <r>
    <n v="0"/>
    <n v="0"/>
    <n v="4"/>
    <n v="8"/>
    <s v="전략"/>
    <x v="18"/>
    <s v="ELK-EVERGREEN-03"/>
    <s v="ELK-EVERGREEN-03ELKTHF5522BL"/>
    <n v="3"/>
    <s v="ELK-EVERGREEN-033"/>
    <s v="ELK-EVERGREEN-033-ELKTHF5522BLUEOLL"/>
    <s v="ELK의류522"/>
    <s v="ELK"/>
    <s v="14FW_E"/>
    <m/>
    <s v="ELK"/>
    <s v="ELSTINKO KIDS"/>
    <s v="F"/>
    <n v="5"/>
    <s v="TH"/>
    <s v="HOODED T-SHIRTS"/>
    <s v="K"/>
    <n v="522"/>
    <n v="522"/>
    <s v="ELKTHF5522"/>
    <n v="8.3333333333333329E-2"/>
    <s v="14FW_ELSTINKO_HOOD_01_BL_KIDS"/>
    <s v="BL"/>
    <s v="BLUE"/>
    <s v="ELKTHF5522BL"/>
    <x v="0"/>
    <n v="0.16666666666666666"/>
    <m/>
    <n v="1"/>
    <s v="OLL"/>
    <n v="45"/>
    <x v="13"/>
    <n v="3"/>
    <x v="2"/>
    <s v="M"/>
    <s v="CN"/>
    <x v="0"/>
    <n v="79000"/>
    <x v="21"/>
    <n v="14363.636363636362"/>
    <n v="15079.225"/>
    <n v="715.58863636363822"/>
    <m/>
    <n v="70"/>
    <m/>
    <n v="70"/>
    <n v="11.5"/>
    <m/>
    <d v="2014-04-15T00:00:00"/>
    <d v="2014-08-02T00:00:00"/>
    <d v="2014-07-24T00:00:00"/>
    <d v="2014-08-08T00:00:00"/>
    <d v="2014-08-26T00:00:00"/>
    <m/>
    <m/>
    <m/>
    <m/>
    <x v="0"/>
    <m/>
    <n v="47"/>
    <n v="0"/>
    <n v="0"/>
    <n v="0"/>
    <n v="0"/>
    <n v="0"/>
    <n v="45"/>
    <n v="678565.125"/>
    <n v="3555000"/>
    <n v="4.7627236690335089"/>
  </r>
  <r>
    <n v="0"/>
    <n v="0"/>
    <n v="4"/>
    <n v="8"/>
    <s v="전략"/>
    <x v="18"/>
    <s v="ELK-EVERGREEN-03"/>
    <s v="ELK-EVERGREEN-03ELKTHF5522BL"/>
    <n v="3"/>
    <s v="ELK-EVERGREEN-033"/>
    <s v="ELK-EVERGREEN-033-ELKTHF5522BLUEOXL"/>
    <s v="ELK의류522"/>
    <s v="ELK"/>
    <s v="14FW_E"/>
    <m/>
    <s v="ELK"/>
    <s v="ELSTINKO KIDS"/>
    <s v="F"/>
    <n v="5"/>
    <s v="TH"/>
    <s v="HOODED T-SHIRTS"/>
    <s v="K"/>
    <n v="522"/>
    <n v="522"/>
    <s v="ELKTHF5522"/>
    <n v="8.3333333333333329E-2"/>
    <s v="14FW_ELSTINKO_HOOD_01_BL_KIDS"/>
    <s v="BL"/>
    <s v="BLUE"/>
    <s v="ELKTHF5522BL"/>
    <x v="0"/>
    <n v="0.16666666666666666"/>
    <m/>
    <n v="1"/>
    <s v="OXL"/>
    <n v="40"/>
    <x v="13"/>
    <n v="3"/>
    <x v="2"/>
    <s v="M"/>
    <s v="CN"/>
    <x v="0"/>
    <n v="79000"/>
    <x v="21"/>
    <n v="14363.636363636362"/>
    <n v="15079.225"/>
    <n v="715.58863636363822"/>
    <m/>
    <n v="70"/>
    <m/>
    <n v="70"/>
    <n v="11.5"/>
    <m/>
    <d v="2014-04-15T00:00:00"/>
    <d v="2014-08-02T00:00:00"/>
    <d v="2014-07-24T00:00:00"/>
    <d v="2014-08-08T00:00:00"/>
    <d v="2014-08-26T00:00:00"/>
    <m/>
    <m/>
    <m/>
    <m/>
    <x v="0"/>
    <m/>
    <n v="41"/>
    <n v="0"/>
    <n v="0"/>
    <n v="0"/>
    <n v="0"/>
    <n v="0"/>
    <n v="40"/>
    <n v="603169"/>
    <n v="3160000"/>
    <n v="4.7627236690335089"/>
  </r>
  <r>
    <n v="0"/>
    <n v="0"/>
    <n v="4"/>
    <n v="8"/>
    <s v="전략"/>
    <x v="18"/>
    <s v="ELK-EVERGREEN-03"/>
    <s v="ELK-EVERGREEN-03ELKTHF5522PK"/>
    <n v="4"/>
    <s v="ELK-EVERGREEN-034"/>
    <s v="ELK-EVERGREEN-034-ELKTHF5522PINKXXS"/>
    <s v="ELK의류522"/>
    <s v="ELK"/>
    <s v="14FW_E"/>
    <m/>
    <s v="ELK"/>
    <s v="ELSTINKO KIDS"/>
    <s v="F"/>
    <n v="5"/>
    <s v="TH"/>
    <s v="HOODED T-SHIRTS"/>
    <s v="K"/>
    <n v="522"/>
    <n v="522"/>
    <s v="ELKTHF5522"/>
    <n v="8.3333333333333329E-2"/>
    <s v="14FW_ELSTINKO_HOOD_01_PK_KIDS"/>
    <s v="PK"/>
    <s v="PINK"/>
    <s v="ELKTHF5522PK"/>
    <x v="0"/>
    <n v="0.16666666666666666"/>
    <m/>
    <n v="1"/>
    <s v="XXS"/>
    <n v="150"/>
    <x v="13"/>
    <n v="3"/>
    <x v="2"/>
    <s v="M"/>
    <s v="CN"/>
    <x v="0"/>
    <n v="79000"/>
    <x v="21"/>
    <n v="14363.636363636362"/>
    <n v="15079.225"/>
    <n v="715.58863636363822"/>
    <m/>
    <n v="70"/>
    <m/>
    <n v="70"/>
    <n v="11.5"/>
    <m/>
    <d v="2014-04-15T00:00:00"/>
    <d v="2014-08-02T00:00:00"/>
    <d v="2014-07-24T00:00:00"/>
    <d v="2014-08-08T00:00:00"/>
    <d v="2014-08-26T00:00:00"/>
    <m/>
    <m/>
    <m/>
    <m/>
    <x v="0"/>
    <m/>
    <n v="142"/>
    <n v="0"/>
    <n v="0"/>
    <n v="0"/>
    <n v="0"/>
    <n v="0"/>
    <n v="150"/>
    <n v="2261883.75"/>
    <n v="11850000"/>
    <n v="4.7627236690335089"/>
  </r>
  <r>
    <n v="0"/>
    <n v="0"/>
    <n v="4"/>
    <n v="8"/>
    <s v="전략"/>
    <x v="18"/>
    <s v="ELK-EVERGREEN-03"/>
    <s v="ELK-EVERGREEN-03ELKTHF5522PK"/>
    <n v="4"/>
    <s v="ELK-EVERGREEN-034"/>
    <s v="ELK-EVERGREEN-034-ELKTHF5522PINKOXS"/>
    <s v="ELK의류522"/>
    <s v="ELK"/>
    <s v="14FW_E"/>
    <m/>
    <s v="ELK"/>
    <s v="ELSTINKO KIDS"/>
    <s v="F"/>
    <n v="5"/>
    <s v="TH"/>
    <s v="HOODED T-SHIRTS"/>
    <s v="K"/>
    <n v="522"/>
    <n v="522"/>
    <s v="ELKTHF5522"/>
    <n v="8.3333333333333329E-2"/>
    <s v="14FW_ELSTINKO_HOOD_01_PK_KIDS"/>
    <s v="PK"/>
    <s v="PINK"/>
    <s v="ELKTHF5522PK"/>
    <x v="0"/>
    <n v="0.16666666666666666"/>
    <m/>
    <n v="1"/>
    <s v="OXS"/>
    <n v="45"/>
    <x v="13"/>
    <n v="3"/>
    <x v="2"/>
    <s v="M"/>
    <s v="CN"/>
    <x v="0"/>
    <n v="79000"/>
    <x v="21"/>
    <n v="14363.636363636362"/>
    <n v="15079.225"/>
    <n v="715.58863636363822"/>
    <m/>
    <n v="70"/>
    <m/>
    <n v="70"/>
    <n v="11.5"/>
    <m/>
    <d v="2014-04-15T00:00:00"/>
    <d v="2014-08-02T00:00:00"/>
    <d v="2014-07-24T00:00:00"/>
    <d v="2014-08-08T00:00:00"/>
    <d v="2014-08-26T00:00:00"/>
    <m/>
    <m/>
    <m/>
    <m/>
    <x v="0"/>
    <m/>
    <n v="45"/>
    <n v="0"/>
    <n v="0"/>
    <n v="0"/>
    <n v="0"/>
    <n v="0"/>
    <n v="45"/>
    <n v="678565.125"/>
    <n v="3555000"/>
    <n v="4.7627236690335089"/>
  </r>
  <r>
    <n v="0"/>
    <n v="0"/>
    <n v="4"/>
    <n v="8"/>
    <s v="전략"/>
    <x v="18"/>
    <s v="ELK-EVERGREEN-03"/>
    <s v="ELK-EVERGREEN-03ELKTHF5522PK"/>
    <n v="4"/>
    <s v="ELK-EVERGREEN-034"/>
    <s v="ELK-EVERGREEN-034-ELKTHF5522PINKOSS"/>
    <s v="ELK의류522"/>
    <s v="ELK"/>
    <s v="14FW_E"/>
    <m/>
    <s v="ELK"/>
    <s v="ELSTINKO KIDS"/>
    <s v="F"/>
    <n v="5"/>
    <s v="TH"/>
    <s v="HOODED T-SHIRTS"/>
    <s v="K"/>
    <n v="522"/>
    <n v="522"/>
    <s v="ELKTHF5522"/>
    <n v="8.3333333333333329E-2"/>
    <s v="14FW_ELSTINKO_HOOD_01_PK_KIDS"/>
    <s v="PK"/>
    <s v="PINK"/>
    <s v="ELKTHF5522PK"/>
    <x v="0"/>
    <n v="0.16666666666666666"/>
    <m/>
    <n v="1"/>
    <s v="OSS"/>
    <n v="75"/>
    <x v="13"/>
    <n v="3"/>
    <x v="2"/>
    <s v="M"/>
    <s v="CN"/>
    <x v="0"/>
    <n v="79000"/>
    <x v="21"/>
    <n v="14363.636363636362"/>
    <n v="15079.225"/>
    <n v="715.58863636363822"/>
    <m/>
    <n v="70"/>
    <m/>
    <n v="70"/>
    <n v="11.5"/>
    <m/>
    <d v="2014-04-15T00:00:00"/>
    <d v="2014-08-02T00:00:00"/>
    <d v="2014-07-24T00:00:00"/>
    <d v="2014-08-08T00:00:00"/>
    <d v="2014-08-26T00:00:00"/>
    <m/>
    <m/>
    <m/>
    <m/>
    <x v="0"/>
    <m/>
    <n v="81"/>
    <n v="0"/>
    <n v="0"/>
    <n v="0"/>
    <n v="0"/>
    <n v="0"/>
    <n v="75"/>
    <n v="1130941.875"/>
    <n v="5925000"/>
    <n v="4.7627236690335089"/>
  </r>
  <r>
    <n v="0"/>
    <n v="0"/>
    <n v="4"/>
    <n v="8"/>
    <s v="전략"/>
    <x v="18"/>
    <s v="ELK-EVERGREEN-03"/>
    <s v="ELK-EVERGREEN-03ELKTHF5522PK"/>
    <n v="4"/>
    <s v="ELK-EVERGREEN-034"/>
    <s v="ELK-EVERGREEN-034-ELKTHF5522PINKOMM"/>
    <s v="ELK의류522"/>
    <s v="ELK"/>
    <s v="14FW_E"/>
    <m/>
    <s v="ELK"/>
    <s v="ELSTINKO KIDS"/>
    <s v="F"/>
    <n v="5"/>
    <s v="TH"/>
    <s v="HOODED T-SHIRTS"/>
    <s v="K"/>
    <n v="522"/>
    <n v="522"/>
    <s v="ELKTHF5522"/>
    <n v="8.3333333333333329E-2"/>
    <s v="14FW_ELSTINKO_HOOD_01_PK_KIDS"/>
    <s v="PK"/>
    <s v="PINK"/>
    <s v="ELKTHF5522PK"/>
    <x v="0"/>
    <n v="0.16666666666666666"/>
    <m/>
    <n v="1"/>
    <s v="OMM"/>
    <n v="75"/>
    <x v="13"/>
    <n v="3"/>
    <x v="2"/>
    <s v="M"/>
    <s v="CN"/>
    <x v="0"/>
    <n v="79000"/>
    <x v="21"/>
    <n v="14363.636363636362"/>
    <n v="15079.225"/>
    <n v="715.58863636363822"/>
    <m/>
    <n v="70"/>
    <m/>
    <n v="70"/>
    <n v="11.5"/>
    <m/>
    <d v="2014-04-15T00:00:00"/>
    <d v="2014-08-02T00:00:00"/>
    <d v="2014-07-24T00:00:00"/>
    <d v="2014-08-08T00:00:00"/>
    <d v="2014-08-26T00:00:00"/>
    <m/>
    <m/>
    <m/>
    <m/>
    <x v="0"/>
    <m/>
    <n v="79"/>
    <n v="0"/>
    <n v="0"/>
    <n v="0"/>
    <n v="0"/>
    <n v="0"/>
    <n v="75"/>
    <n v="1130941.875"/>
    <n v="5925000"/>
    <n v="4.7627236690335089"/>
  </r>
  <r>
    <n v="0"/>
    <n v="0"/>
    <n v="4"/>
    <n v="8"/>
    <s v="전략"/>
    <x v="18"/>
    <s v="ELK-EVERGREEN-03"/>
    <s v="ELK-EVERGREEN-03ELKTHF5522PK"/>
    <n v="4"/>
    <s v="ELK-EVERGREEN-034"/>
    <s v="ELK-EVERGREEN-034-ELKTHF5522PINKOLL"/>
    <s v="ELK의류522"/>
    <s v="ELK"/>
    <s v="14FW_E"/>
    <m/>
    <s v="ELK"/>
    <s v="ELSTINKO KIDS"/>
    <s v="F"/>
    <n v="5"/>
    <s v="TH"/>
    <s v="HOODED T-SHIRTS"/>
    <s v="K"/>
    <n v="522"/>
    <n v="522"/>
    <s v="ELKTHF5522"/>
    <n v="8.3333333333333329E-2"/>
    <s v="14FW_ELSTINKO_HOOD_01_PK_KIDS"/>
    <s v="PK"/>
    <s v="PINK"/>
    <s v="ELKTHF5522PK"/>
    <x v="0"/>
    <n v="0.16666666666666666"/>
    <m/>
    <n v="1"/>
    <s v="OLL"/>
    <n v="45"/>
    <x v="13"/>
    <n v="3"/>
    <x v="2"/>
    <s v="M"/>
    <s v="CN"/>
    <x v="0"/>
    <n v="79000"/>
    <x v="21"/>
    <n v="14363.636363636362"/>
    <n v="15079.225"/>
    <n v="715.58863636363822"/>
    <m/>
    <n v="70"/>
    <m/>
    <n v="70"/>
    <n v="11.5"/>
    <m/>
    <d v="2014-04-15T00:00:00"/>
    <d v="2014-08-02T00:00:00"/>
    <d v="2014-07-24T00:00:00"/>
    <d v="2014-08-08T00:00:00"/>
    <d v="2014-08-26T00:00:00"/>
    <m/>
    <m/>
    <m/>
    <m/>
    <x v="0"/>
    <m/>
    <n v="50"/>
    <n v="0"/>
    <n v="0"/>
    <n v="0"/>
    <n v="0"/>
    <n v="0"/>
    <n v="45"/>
    <n v="678565.125"/>
    <n v="3555000"/>
    <n v="4.7627236690335089"/>
  </r>
  <r>
    <n v="0"/>
    <n v="0"/>
    <n v="4"/>
    <n v="8"/>
    <s v="전략"/>
    <x v="18"/>
    <s v="ELK-EVERGREEN-03"/>
    <s v="ELK-EVERGREEN-03ELKTHF5522PK"/>
    <n v="4"/>
    <s v="ELK-EVERGREEN-034"/>
    <s v="ELK-EVERGREEN-034-ELKTHF5522PINKOXL"/>
    <s v="ELK의류522"/>
    <s v="ELK"/>
    <s v="14FW_E"/>
    <m/>
    <s v="ELK"/>
    <s v="ELSTINKO KIDS"/>
    <s v="F"/>
    <n v="5"/>
    <s v="TH"/>
    <s v="HOODED T-SHIRTS"/>
    <s v="K"/>
    <n v="522"/>
    <n v="522"/>
    <s v="ELKTHF5522"/>
    <n v="8.3333333333333329E-2"/>
    <s v="14FW_ELSTINKO_HOOD_01_PK_KIDS"/>
    <s v="PK"/>
    <s v="PINK"/>
    <s v="ELKTHF5522PK"/>
    <x v="0"/>
    <n v="0.16666666666666666"/>
    <m/>
    <n v="1"/>
    <s v="OXL"/>
    <n v="40"/>
    <x v="13"/>
    <n v="3"/>
    <x v="2"/>
    <s v="M"/>
    <s v="CN"/>
    <x v="0"/>
    <n v="79000"/>
    <x v="21"/>
    <n v="14363.636363636362"/>
    <n v="15079.225"/>
    <n v="715.58863636363822"/>
    <m/>
    <n v="70"/>
    <m/>
    <n v="70"/>
    <n v="11.5"/>
    <m/>
    <d v="2014-04-15T00:00:00"/>
    <d v="2014-08-02T00:00:00"/>
    <d v="2014-07-24T00:00:00"/>
    <d v="2014-08-08T00:00:00"/>
    <d v="2014-08-26T00:00:00"/>
    <m/>
    <m/>
    <m/>
    <m/>
    <x v="0"/>
    <m/>
    <n v="40"/>
    <n v="0"/>
    <n v="0"/>
    <n v="0"/>
    <n v="0"/>
    <n v="0"/>
    <n v="40"/>
    <n v="603169"/>
    <n v="3160000"/>
    <n v="4.7627236690335089"/>
  </r>
  <r>
    <n v="0"/>
    <n v="0"/>
    <n v="4"/>
    <n v="9"/>
    <s v="전략"/>
    <x v="18"/>
    <s v="ELK-EVERGREEN-03"/>
    <s v="ELK-EVERGREEN-03ELKPTF5524BK"/>
    <n v="5"/>
    <s v="ELK-EVERGREEN-035"/>
    <s v="ELK-EVERGREEN-035-ELKPTF5524BLACKOXS"/>
    <s v="ELK의류524"/>
    <s v="ELK"/>
    <s v="14FW E"/>
    <m/>
    <s v="ELK"/>
    <s v="ELSTINKO KIDS"/>
    <s v="F"/>
    <n v="5"/>
    <s v="PT"/>
    <s v="PANTS"/>
    <s v="K"/>
    <n v="524"/>
    <n v="524"/>
    <s v="ELKPTF5524"/>
    <n v="0.2"/>
    <s v="14FW ELSTINKO_PANTS_03_BK_KIDS"/>
    <s v="BK"/>
    <s v="BLACK"/>
    <s v="ELKPTF5524BK"/>
    <x v="0"/>
    <n v="0.2"/>
    <m/>
    <n v="1"/>
    <s v="OXS"/>
    <n v="75"/>
    <x v="13"/>
    <n v="3"/>
    <x v="2"/>
    <s v="M"/>
    <s v="CN"/>
    <x v="0"/>
    <n v="75000"/>
    <x v="21"/>
    <n v="13636.363636363636"/>
    <n v="16384.375"/>
    <n v="2748.011363636364"/>
    <m/>
    <n v="70"/>
    <m/>
    <n v="70"/>
    <n v="12.5"/>
    <m/>
    <d v="2014-04-15T00:00:00"/>
    <d v="2014-08-02T00:00:00"/>
    <d v="2014-07-24T00:00:00"/>
    <d v="2014-08-08T00:00:00"/>
    <d v="2014-09-03T00:00:00"/>
    <m/>
    <m/>
    <m/>
    <m/>
    <x v="0"/>
    <m/>
    <n v="48"/>
    <n v="0"/>
    <n v="0"/>
    <n v="0"/>
    <n v="0"/>
    <m/>
    <n v="75"/>
    <n v="1228828.125"/>
    <n v="5625000"/>
    <n v="4.1613926794167115"/>
  </r>
  <r>
    <n v="0"/>
    <n v="0"/>
    <n v="4"/>
    <n v="9"/>
    <s v="전략"/>
    <x v="18"/>
    <s v="ELK-EVERGREEN-03"/>
    <s v="ELK-EVERGREEN-03ELKPTF5524BK"/>
    <n v="5"/>
    <s v="ELK-EVERGREEN-035"/>
    <s v="ELK-EVERGREEN-035-ELKPTF5524BLACKOSS"/>
    <s v="ELK의류524"/>
    <s v="ELK"/>
    <s v="14FW E"/>
    <m/>
    <s v="ELK"/>
    <s v="ELSTINKO KIDS"/>
    <s v="F"/>
    <n v="5"/>
    <s v="PT"/>
    <s v="PANTS"/>
    <s v="K"/>
    <n v="524"/>
    <n v="524"/>
    <s v="ELKPTF5524"/>
    <n v="0.2"/>
    <s v="14FW ELSTINKO_PANTS_03_BK_KIDS"/>
    <s v="BK"/>
    <s v="BLACK"/>
    <s v="ELKPTF5524BK"/>
    <x v="0"/>
    <n v="0.2"/>
    <m/>
    <n v="1"/>
    <s v="OSS"/>
    <n v="75"/>
    <x v="13"/>
    <n v="3"/>
    <x v="2"/>
    <s v="M"/>
    <s v="CN"/>
    <x v="0"/>
    <n v="75000"/>
    <x v="21"/>
    <n v="13636.363636363636"/>
    <n v="16384.375"/>
    <n v="2748.011363636364"/>
    <m/>
    <n v="70"/>
    <m/>
    <n v="70"/>
    <n v="12.5"/>
    <m/>
    <d v="2014-04-15T00:00:00"/>
    <d v="2014-08-02T00:00:00"/>
    <d v="2014-07-24T00:00:00"/>
    <d v="2014-08-08T00:00:00"/>
    <d v="2014-09-03T00:00:00"/>
    <m/>
    <m/>
    <m/>
    <m/>
    <x v="0"/>
    <m/>
    <n v="55"/>
    <n v="0"/>
    <n v="0"/>
    <n v="0"/>
    <n v="0"/>
    <m/>
    <n v="75"/>
    <n v="1228828.125"/>
    <n v="5625000"/>
    <n v="4.1613926794167115"/>
  </r>
  <r>
    <n v="0"/>
    <n v="0"/>
    <n v="4"/>
    <n v="9"/>
    <s v="전략"/>
    <x v="18"/>
    <s v="ELK-EVERGREEN-03"/>
    <s v="ELK-EVERGREEN-03ELKPTF5524BK"/>
    <n v="5"/>
    <s v="ELK-EVERGREEN-035"/>
    <s v="ELK-EVERGREEN-035-ELKPTF5524BLACKOMM"/>
    <s v="ELK의류524"/>
    <s v="ELK"/>
    <s v="14FW E"/>
    <m/>
    <s v="ELK"/>
    <s v="ELSTINKO KIDS"/>
    <s v="F"/>
    <n v="5"/>
    <s v="PT"/>
    <s v="PANTS"/>
    <s v="K"/>
    <n v="524"/>
    <n v="524"/>
    <s v="ELKPTF5524"/>
    <n v="0.2"/>
    <s v="14FW ELSTINKO_PANTS_03_BK_KIDS"/>
    <s v="BK"/>
    <s v="BLACK"/>
    <s v="ELKPTF5524BK"/>
    <x v="0"/>
    <n v="0.2"/>
    <m/>
    <n v="1"/>
    <s v="OMM"/>
    <n v="60"/>
    <x v="13"/>
    <n v="3"/>
    <x v="2"/>
    <s v="M"/>
    <s v="CN"/>
    <x v="0"/>
    <n v="75000"/>
    <x v="21"/>
    <n v="13636.363636363636"/>
    <n v="16384.375"/>
    <n v="2748.011363636364"/>
    <m/>
    <n v="70"/>
    <m/>
    <n v="70"/>
    <n v="12.5"/>
    <m/>
    <d v="2014-04-15T00:00:00"/>
    <d v="2014-08-02T00:00:00"/>
    <d v="2014-07-24T00:00:00"/>
    <d v="2014-08-08T00:00:00"/>
    <d v="2014-09-03T00:00:00"/>
    <m/>
    <m/>
    <m/>
    <m/>
    <x v="0"/>
    <m/>
    <n v="53"/>
    <n v="0"/>
    <n v="0"/>
    <n v="0"/>
    <n v="0"/>
    <m/>
    <n v="60"/>
    <n v="983062.5"/>
    <n v="4500000"/>
    <n v="4.1613926794167115"/>
  </r>
  <r>
    <n v="0"/>
    <n v="0"/>
    <n v="4"/>
    <n v="9"/>
    <s v="전략"/>
    <x v="18"/>
    <s v="ELK-EVERGREEN-03"/>
    <s v="ELK-EVERGREEN-03ELKPTF5524BK"/>
    <n v="5"/>
    <s v="ELK-EVERGREEN-035"/>
    <s v="ELK-EVERGREEN-035-ELKPTF5524BLACKOLL"/>
    <s v="ELK의류524"/>
    <s v="ELK"/>
    <s v="14FW E"/>
    <m/>
    <s v="ELK"/>
    <s v="ELSTINKO KIDS"/>
    <s v="F"/>
    <n v="5"/>
    <s v="PT"/>
    <s v="PANTS"/>
    <s v="K"/>
    <n v="524"/>
    <n v="524"/>
    <s v="ELKPTF5524"/>
    <n v="0.2"/>
    <s v="14FW ELSTINKO_PANTS_03_BK_KIDS"/>
    <s v="BK"/>
    <s v="BLACK"/>
    <s v="ELKPTF5524BK"/>
    <x v="0"/>
    <n v="0.2"/>
    <m/>
    <n v="1"/>
    <s v="OLL"/>
    <n v="45"/>
    <x v="13"/>
    <n v="3"/>
    <x v="2"/>
    <s v="M"/>
    <s v="CN"/>
    <x v="0"/>
    <n v="75000"/>
    <x v="21"/>
    <n v="13636.363636363636"/>
    <n v="16384.375"/>
    <n v="2748.011363636364"/>
    <m/>
    <n v="70"/>
    <m/>
    <n v="70"/>
    <n v="12.5"/>
    <m/>
    <d v="2014-04-15T00:00:00"/>
    <d v="2014-08-02T00:00:00"/>
    <d v="2014-07-24T00:00:00"/>
    <d v="2014-08-08T00:00:00"/>
    <d v="2014-09-03T00:00:00"/>
    <m/>
    <m/>
    <m/>
    <m/>
    <x v="0"/>
    <m/>
    <n v="42"/>
    <n v="0"/>
    <n v="0"/>
    <n v="0"/>
    <n v="0"/>
    <n v="0"/>
    <n v="45"/>
    <n v="737296.875"/>
    <n v="3375000"/>
    <n v="4.1613926794167106"/>
  </r>
  <r>
    <n v="0"/>
    <n v="0"/>
    <n v="4"/>
    <n v="9"/>
    <s v="전략"/>
    <x v="18"/>
    <s v="ELK-EVERGREEN-03"/>
    <s v="ELK-EVERGREEN-03ELKPTF5524BK"/>
    <n v="5"/>
    <s v="ELK-EVERGREEN-035"/>
    <s v="ELK-EVERGREEN-035-ELKPTF5524BLACKOXL"/>
    <s v="ELK의류524"/>
    <s v="ELK"/>
    <s v="14FW E"/>
    <m/>
    <s v="ELK"/>
    <s v="ELSTINKO KIDS"/>
    <s v="F"/>
    <n v="5"/>
    <s v="PT"/>
    <s v="PANTS"/>
    <s v="K"/>
    <n v="524"/>
    <n v="524"/>
    <s v="ELKPTF5524"/>
    <n v="0.2"/>
    <s v="14FW ELSTINKO_PANTS_03_BK_KIDS"/>
    <s v="BK"/>
    <s v="BLACK"/>
    <s v="ELKPTF5524BK"/>
    <x v="0"/>
    <n v="0.2"/>
    <m/>
    <n v="1"/>
    <s v="OXL"/>
    <n v="45"/>
    <x v="13"/>
    <n v="3"/>
    <x v="2"/>
    <s v="M"/>
    <s v="CN"/>
    <x v="0"/>
    <n v="75000"/>
    <x v="21"/>
    <n v="13636.363636363636"/>
    <n v="16384.375"/>
    <n v="2748.011363636364"/>
    <m/>
    <n v="70"/>
    <m/>
    <n v="70"/>
    <n v="12.5"/>
    <m/>
    <d v="2014-04-15T00:00:00"/>
    <d v="2014-08-02T00:00:00"/>
    <d v="2014-07-24T00:00:00"/>
    <d v="2014-08-08T00:00:00"/>
    <d v="2014-09-03T00:00:00"/>
    <m/>
    <m/>
    <m/>
    <m/>
    <x v="0"/>
    <m/>
    <n v="36"/>
    <n v="0"/>
    <n v="0"/>
    <n v="0"/>
    <n v="0"/>
    <m/>
    <n v="45"/>
    <n v="737296.875"/>
    <n v="3375000"/>
    <n v="4.1613926794167106"/>
  </r>
  <r>
    <n v="0"/>
    <n v="0"/>
    <s v=""/>
    <s v=""/>
    <s v=""/>
    <x v="1"/>
    <s v=""/>
    <s v=""/>
    <n v="0"/>
    <s v="0"/>
    <s v="0-"/>
    <n v="0"/>
    <s v="TTL"/>
    <s v=""/>
    <s v="ELK-EVERGREEN-03 TTL"/>
    <m/>
    <s v=""/>
    <s v=""/>
    <s v=""/>
    <m/>
    <s v=""/>
    <s v="K"/>
    <m/>
    <s v=""/>
    <s v=""/>
    <n v="4.0000000000000027"/>
    <m/>
    <s v=""/>
    <m/>
    <s v=""/>
    <x v="0"/>
    <n v="4.9999999999999991"/>
    <m/>
    <n v="1"/>
    <m/>
    <m/>
    <x v="1"/>
    <m/>
    <x v="1"/>
    <m/>
    <m/>
    <x v="1"/>
    <n v="0"/>
    <x v="1"/>
    <n v="0"/>
    <n v="0"/>
    <n v="0"/>
    <m/>
    <m/>
    <m/>
    <n v="0"/>
    <m/>
    <m/>
    <d v="1899-12-30T00:00:00"/>
    <m/>
    <d v="1899-12-30T00:00:00"/>
    <m/>
    <d v="1899-12-30T00:00:00"/>
    <m/>
    <m/>
    <m/>
    <m/>
    <x v="3"/>
    <m/>
    <n v="1842"/>
    <n v="122"/>
    <n v="0"/>
    <n v="0"/>
    <n v="0"/>
    <n v="0"/>
    <n v="2060"/>
    <n v="30456308.75"/>
    <n v="152540000"/>
    <n v="4.5531692107214816"/>
  </r>
  <r>
    <n v="0"/>
    <n v="0"/>
    <n v="4"/>
    <n v="9"/>
    <s v="전략"/>
    <x v="18"/>
    <s v="ELK-아트인드림-05"/>
    <s v="ELK-아트인드림-05ELKTLF5526BK"/>
    <n v="1"/>
    <s v="ELK-아트인드림-051"/>
    <s v="ELK-아트인드림-051-ELKTLF5526BLACKXXS"/>
    <s v="ELK의류526"/>
    <s v="ELK"/>
    <s v="14FW_E"/>
    <m/>
    <s v="ELK"/>
    <s v="ELSTINKO KIDS"/>
    <s v="F"/>
    <n v="5"/>
    <s v="TL"/>
    <s v="LONG SLEEVES"/>
    <s v="K"/>
    <n v="526"/>
    <n v="526"/>
    <s v="ELKTLF5526"/>
    <n v="0.16666666666666666"/>
    <s v="14FW_ELSTINKO_MTM_20_BK_KIDS"/>
    <s v="BK"/>
    <s v="BLACK"/>
    <s v="ELKTLF5526BK"/>
    <x v="0"/>
    <n v="0.16666666666666666"/>
    <m/>
    <n v="1"/>
    <s v="XXS"/>
    <n v="150"/>
    <x v="15"/>
    <n v="5"/>
    <x v="5"/>
    <s v="M"/>
    <s v="KR"/>
    <x v="3"/>
    <n v="79000"/>
    <x v="21"/>
    <n v="19949.494949494947"/>
    <n v="17130"/>
    <n v="-2819.4949494949469"/>
    <m/>
    <n v="20"/>
    <m/>
    <n v="20"/>
    <m/>
    <n v="17110"/>
    <d v="2014-04-15T00:00:00"/>
    <m/>
    <d v="2014-07-24T00:00:00"/>
    <d v="2014-08-13T00:00:00"/>
    <d v="2014-09-30T00:00:00"/>
    <m/>
    <m/>
    <m/>
    <m/>
    <x v="0"/>
    <m/>
    <n v="157"/>
    <n v="0"/>
    <n v="0"/>
    <n v="0"/>
    <n v="0"/>
    <n v="0"/>
    <n v="150"/>
    <n v="2569500"/>
    <n v="11850000"/>
    <n v="4.1925383431513028"/>
  </r>
  <r>
    <n v="0"/>
    <n v="0"/>
    <n v="4"/>
    <n v="9"/>
    <s v="전략"/>
    <x v="18"/>
    <s v="ELK-아트인드림-05"/>
    <s v="ELK-아트인드림-05ELKTLF5526BK"/>
    <n v="1"/>
    <s v="ELK-아트인드림-051"/>
    <s v="ELK-아트인드림-051-ELKTLF5526BLACKOXS"/>
    <s v="ELK의류526"/>
    <s v="ELK"/>
    <s v="14FW_E"/>
    <m/>
    <s v="ELK"/>
    <s v="ELSTINKO KIDS"/>
    <s v="F"/>
    <n v="5"/>
    <s v="TL"/>
    <s v="LONG SLEEVES"/>
    <s v="K"/>
    <n v="526"/>
    <n v="526"/>
    <s v="ELKTLF5526"/>
    <n v="0.16666666666666666"/>
    <s v="14FW_ELSTINKO_MTM_20_BK_KIDS"/>
    <s v="BK"/>
    <s v="BLACK"/>
    <s v="ELKTLF5526BK"/>
    <x v="0"/>
    <n v="0.16666666666666666"/>
    <m/>
    <n v="1"/>
    <s v="OXS"/>
    <n v="60"/>
    <x v="15"/>
    <n v="5"/>
    <x v="5"/>
    <s v="M"/>
    <s v="KR"/>
    <x v="3"/>
    <n v="79000"/>
    <x v="21"/>
    <n v="19949.494949494947"/>
    <n v="17130"/>
    <n v="-2819.4949494949469"/>
    <m/>
    <n v="20"/>
    <m/>
    <n v="20"/>
    <m/>
    <n v="17110"/>
    <d v="2014-04-15T00:00:00"/>
    <m/>
    <d v="2014-07-24T00:00:00"/>
    <d v="2014-08-13T00:00:00"/>
    <d v="2014-09-30T00:00:00"/>
    <m/>
    <m/>
    <m/>
    <m/>
    <x v="0"/>
    <m/>
    <n v="50"/>
    <n v="0"/>
    <n v="0"/>
    <n v="0"/>
    <n v="0"/>
    <m/>
    <n v="60"/>
    <n v="1027800"/>
    <n v="4740000"/>
    <n v="4.1925383431513028"/>
  </r>
  <r>
    <n v="0"/>
    <n v="0"/>
    <n v="4"/>
    <n v="9"/>
    <s v="전략"/>
    <x v="18"/>
    <s v="ELK-아트인드림-05"/>
    <s v="ELK-아트인드림-05ELKTLF5526BK"/>
    <n v="1"/>
    <s v="ELK-아트인드림-051"/>
    <s v="ELK-아트인드림-051-ELKTLF5526BLACKOSS"/>
    <s v="ELK의류526"/>
    <s v="ELK"/>
    <s v="14FW_E"/>
    <m/>
    <s v="ELK"/>
    <s v="ELSTINKO KIDS"/>
    <s v="F"/>
    <n v="5"/>
    <s v="TL"/>
    <s v="LONG SLEEVES"/>
    <s v="K"/>
    <n v="526"/>
    <n v="526"/>
    <s v="ELKTLF5526"/>
    <n v="0.16666666666666666"/>
    <s v="14FW_ELSTINKO_MTM_20_BK_KIDS"/>
    <s v="BK"/>
    <s v="BLACK"/>
    <s v="ELKTLF5526BK"/>
    <x v="0"/>
    <n v="0.16666666666666666"/>
    <m/>
    <n v="1"/>
    <s v="OSS"/>
    <n v="75"/>
    <x v="15"/>
    <n v="5"/>
    <x v="5"/>
    <s v="M"/>
    <s v="KR"/>
    <x v="3"/>
    <n v="79000"/>
    <x v="21"/>
    <n v="19949.494949494947"/>
    <n v="17130"/>
    <n v="-2819.4949494949469"/>
    <m/>
    <n v="20"/>
    <m/>
    <n v="20"/>
    <m/>
    <n v="17110"/>
    <d v="2014-04-15T00:00:00"/>
    <m/>
    <d v="2014-07-24T00:00:00"/>
    <d v="2014-08-13T00:00:00"/>
    <d v="2014-09-30T00:00:00"/>
    <m/>
    <m/>
    <m/>
    <m/>
    <x v="0"/>
    <m/>
    <n v="79"/>
    <n v="0"/>
    <n v="0"/>
    <n v="0"/>
    <n v="0"/>
    <n v="0"/>
    <n v="75"/>
    <n v="1284750"/>
    <n v="5925000"/>
    <n v="4.1925383431513028"/>
  </r>
  <r>
    <n v="0"/>
    <n v="0"/>
    <n v="4"/>
    <n v="9"/>
    <s v="전략"/>
    <x v="18"/>
    <s v="ELK-아트인드림-05"/>
    <s v="ELK-아트인드림-05ELKTLF5526BK"/>
    <n v="1"/>
    <s v="ELK-아트인드림-051"/>
    <s v="ELK-아트인드림-051-ELKTLF5526BLACKOMM"/>
    <s v="ELK의류526"/>
    <s v="ELK"/>
    <s v="14FW_E"/>
    <m/>
    <s v="ELK"/>
    <s v="ELSTINKO KIDS"/>
    <s v="F"/>
    <n v="5"/>
    <s v="TL"/>
    <s v="LONG SLEEVES"/>
    <s v="K"/>
    <n v="526"/>
    <n v="526"/>
    <s v="ELKTLF5526"/>
    <n v="0.16666666666666666"/>
    <s v="14FW_ELSTINKO_MTM_20_BK_KIDS"/>
    <s v="BK"/>
    <s v="BLACK"/>
    <s v="ELKTLF5526BK"/>
    <x v="0"/>
    <n v="0.16666666666666666"/>
    <m/>
    <n v="1"/>
    <s v="OMM"/>
    <n v="75"/>
    <x v="15"/>
    <n v="5"/>
    <x v="5"/>
    <s v="M"/>
    <s v="KR"/>
    <x v="3"/>
    <n v="79000"/>
    <x v="21"/>
    <n v="19949.494949494947"/>
    <n v="17130"/>
    <n v="-2819.4949494949469"/>
    <m/>
    <n v="20"/>
    <m/>
    <n v="20"/>
    <m/>
    <n v="17110"/>
    <d v="2014-04-15T00:00:00"/>
    <m/>
    <d v="2014-07-24T00:00:00"/>
    <d v="2014-08-13T00:00:00"/>
    <d v="2014-09-30T00:00:00"/>
    <m/>
    <m/>
    <m/>
    <m/>
    <x v="0"/>
    <m/>
    <n v="70"/>
    <n v="0"/>
    <n v="0"/>
    <n v="0"/>
    <n v="0"/>
    <n v="0"/>
    <n v="75"/>
    <n v="1284750"/>
    <n v="5925000"/>
    <n v="4.1925383431513028"/>
  </r>
  <r>
    <n v="0"/>
    <n v="0"/>
    <n v="4"/>
    <n v="9"/>
    <s v="전략"/>
    <x v="18"/>
    <s v="ELK-아트인드림-05"/>
    <s v="ELK-아트인드림-05ELKTLF5526BK"/>
    <n v="1"/>
    <s v="ELK-아트인드림-051"/>
    <s v="ELK-아트인드림-051-ELKTLF5526BLACKOLL"/>
    <s v="ELK의류526"/>
    <s v="ELK"/>
    <s v="14FW_E"/>
    <m/>
    <s v="ELK"/>
    <s v="ELSTINKO KIDS"/>
    <s v="F"/>
    <n v="5"/>
    <s v="TL"/>
    <s v="LONG SLEEVES"/>
    <s v="K"/>
    <n v="526"/>
    <n v="526"/>
    <s v="ELKTLF5526"/>
    <n v="0.16666666666666666"/>
    <s v="14FW_ELSTINKO_MTM_20_BK_KIDS"/>
    <s v="BK"/>
    <s v="BLACK"/>
    <s v="ELKTLF5526BK"/>
    <x v="0"/>
    <n v="0.16666666666666666"/>
    <m/>
    <n v="1"/>
    <s v="OLL"/>
    <n v="45"/>
    <x v="15"/>
    <n v="5"/>
    <x v="5"/>
    <s v="M"/>
    <s v="KR"/>
    <x v="3"/>
    <n v="79000"/>
    <x v="21"/>
    <n v="19949.494949494947"/>
    <n v="17130"/>
    <n v="-2819.4949494949469"/>
    <m/>
    <n v="20"/>
    <m/>
    <n v="20"/>
    <m/>
    <n v="17110"/>
    <d v="2014-04-15T00:00:00"/>
    <m/>
    <d v="2014-07-24T00:00:00"/>
    <d v="2014-08-13T00:00:00"/>
    <d v="2014-09-30T00:00:00"/>
    <m/>
    <m/>
    <m/>
    <m/>
    <x v="0"/>
    <m/>
    <n v="45"/>
    <n v="0"/>
    <n v="0"/>
    <n v="0"/>
    <n v="0"/>
    <n v="0"/>
    <n v="45"/>
    <n v="770850"/>
    <n v="3555000"/>
    <n v="4.1925383431513019"/>
  </r>
  <r>
    <n v="0"/>
    <n v="0"/>
    <n v="4"/>
    <n v="9"/>
    <s v="전략"/>
    <x v="18"/>
    <s v="ELK-아트인드림-05"/>
    <s v="ELK-아트인드림-05ELKTLF5526BK"/>
    <n v="1"/>
    <s v="ELK-아트인드림-051"/>
    <s v="ELK-아트인드림-051-ELKTLF5526BLACKOXL"/>
    <s v="ELK의류526"/>
    <s v="ELK"/>
    <s v="14FW_E"/>
    <m/>
    <s v="ELK"/>
    <s v="ELSTINKO KIDS"/>
    <s v="F"/>
    <n v="5"/>
    <s v="TL"/>
    <s v="LONG SLEEVES"/>
    <s v="K"/>
    <n v="526"/>
    <n v="526"/>
    <s v="ELKTLF5526"/>
    <n v="0.16666666666666666"/>
    <s v="14FW_ELSTINKO_MTM_20_BK_KIDS"/>
    <s v="BK"/>
    <s v="BLACK"/>
    <s v="ELKTLF5526BK"/>
    <x v="0"/>
    <n v="0.16666666666666666"/>
    <m/>
    <n v="1"/>
    <s v="OXL"/>
    <n v="45"/>
    <x v="15"/>
    <n v="5"/>
    <x v="5"/>
    <s v="M"/>
    <s v="KR"/>
    <x v="3"/>
    <n v="79000"/>
    <x v="21"/>
    <n v="19949.494949494947"/>
    <n v="17130"/>
    <n v="-2819.4949494949469"/>
    <m/>
    <n v="20"/>
    <m/>
    <n v="20"/>
    <m/>
    <n v="17110"/>
    <d v="2014-04-15T00:00:00"/>
    <m/>
    <d v="2014-07-24T00:00:00"/>
    <d v="2014-08-13T00:00:00"/>
    <d v="2014-09-30T00:00:00"/>
    <m/>
    <m/>
    <m/>
    <m/>
    <x v="0"/>
    <m/>
    <n v="47"/>
    <n v="0"/>
    <n v="0"/>
    <n v="0"/>
    <n v="0"/>
    <n v="0"/>
    <n v="45"/>
    <n v="770850"/>
    <n v="3555000"/>
    <n v="4.1925383431513019"/>
  </r>
  <r>
    <n v="0"/>
    <n v="0"/>
    <s v=""/>
    <s v=""/>
    <s v=""/>
    <x v="1"/>
    <s v=""/>
    <s v=""/>
    <n v="0"/>
    <s v="0"/>
    <s v="0-"/>
    <n v="0"/>
    <s v="TTL"/>
    <s v=""/>
    <s v="ELK-아트인드림-05 TTL"/>
    <m/>
    <s v=""/>
    <s v=""/>
    <s v=""/>
    <m/>
    <s v=""/>
    <s v="K"/>
    <m/>
    <s v=""/>
    <s v=""/>
    <n v="0.99999999999999989"/>
    <m/>
    <s v=""/>
    <m/>
    <s v=""/>
    <x v="0"/>
    <n v="0.99999999999999989"/>
    <m/>
    <n v="1"/>
    <m/>
    <m/>
    <x v="1"/>
    <m/>
    <x v="1"/>
    <m/>
    <m/>
    <x v="1"/>
    <n v="0"/>
    <x v="1"/>
    <n v="0"/>
    <n v="0"/>
    <n v="0"/>
    <m/>
    <m/>
    <m/>
    <n v="0"/>
    <m/>
    <m/>
    <d v="1899-12-30T00:00:00"/>
    <m/>
    <d v="1899-12-30T00:00:00"/>
    <m/>
    <d v="1899-12-30T00:00:00"/>
    <m/>
    <m/>
    <m/>
    <m/>
    <x v="3"/>
    <m/>
    <n v="448"/>
    <n v="0"/>
    <n v="0"/>
    <n v="0"/>
    <n v="0"/>
    <n v="0"/>
    <n v="450"/>
    <n v="7708500"/>
    <n v="35550000"/>
    <n v="4.1925383431513028"/>
  </r>
  <r>
    <n v="0"/>
    <n v="0"/>
    <n v="5"/>
    <n v="9"/>
    <s v="전략"/>
    <x v="19"/>
    <s v="PNK-대경-04"/>
    <s v="PNK-대경-04PNKTLF4501NY"/>
    <n v="1"/>
    <s v="PNK-대경-041"/>
    <s v="PNK-대경-041-PNKTLF4501NAVYXXS"/>
    <s v="PNK의류501"/>
    <s v="PNK"/>
    <s v="14FW_P"/>
    <m/>
    <s v="PNK"/>
    <s v="PLAY NEWYORK KIDS"/>
    <s v="F"/>
    <n v="4"/>
    <s v="TL"/>
    <s v="LONG SLEEVES"/>
    <s v="K"/>
    <n v="501"/>
    <n v="501"/>
    <s v="PNKTLF4501"/>
    <n v="0.16666666666666666"/>
    <s v="14FW_PLAYBOY_MTM_04_NY_KIDS"/>
    <s v="NY"/>
    <s v="NAVY"/>
    <s v="PNKTLF4501NY"/>
    <x v="0"/>
    <n v="0.16666666666666666"/>
    <m/>
    <n v="1"/>
    <s v="XXS"/>
    <n v="120"/>
    <x v="14"/>
    <n v="4"/>
    <x v="3"/>
    <s v="M"/>
    <s v="IN"/>
    <x v="0"/>
    <n v="79000"/>
    <x v="21"/>
    <n v="15959.595959595958"/>
    <n v="17229.5"/>
    <n v="1269.9040404040425"/>
    <m/>
    <n v="20"/>
    <m/>
    <n v="20"/>
    <n v="14.9"/>
    <m/>
    <d v="2014-05-08T00:00:00"/>
    <m/>
    <d v="2014-07-28T00:00:00"/>
    <d v="2014-08-08T00:00:00"/>
    <d v="2014-09-02T00:00:00"/>
    <m/>
    <m/>
    <m/>
    <m/>
    <x v="0"/>
    <m/>
    <n v="120"/>
    <n v="0"/>
    <n v="0"/>
    <n v="0"/>
    <n v="0"/>
    <n v="0"/>
    <n v="120"/>
    <n v="2067540"/>
    <n v="9480000"/>
    <n v="4.1683265224284991"/>
  </r>
  <r>
    <n v="0"/>
    <n v="0"/>
    <n v="5"/>
    <n v="9"/>
    <s v="전략"/>
    <x v="19"/>
    <s v="PNK-대경-04"/>
    <s v="PNK-대경-04PNKTLF4501NY"/>
    <n v="1"/>
    <s v="PNK-대경-041"/>
    <s v="PNK-대경-041-PNKTLF4501NAVYOXS"/>
    <s v="PNK의류501"/>
    <s v="PNK"/>
    <s v="14FW_P"/>
    <m/>
    <s v="PNK"/>
    <s v="PLAY NEWYORK KIDS"/>
    <s v="F"/>
    <n v="4"/>
    <s v="TL"/>
    <s v="LONG SLEEVES"/>
    <s v="K"/>
    <n v="501"/>
    <n v="501"/>
    <s v="PNKTLF4501"/>
    <n v="0.16666666666666666"/>
    <s v="14FW_PLAYBOY_MTM_04_NY_KIDS"/>
    <s v="NY"/>
    <s v="NAVY"/>
    <s v="PNKTLF4501NY"/>
    <x v="0"/>
    <n v="0.16666666666666666"/>
    <m/>
    <n v="1"/>
    <s v="OXS"/>
    <n v="30"/>
    <x v="14"/>
    <n v="4"/>
    <x v="3"/>
    <s v="M"/>
    <s v="IN"/>
    <x v="0"/>
    <n v="79000"/>
    <x v="21"/>
    <n v="15959.595959595958"/>
    <n v="17229.5"/>
    <n v="1269.9040404040425"/>
    <m/>
    <n v="20"/>
    <m/>
    <n v="20"/>
    <n v="14.9"/>
    <m/>
    <d v="2014-05-08T00:00:00"/>
    <m/>
    <d v="2014-07-28T00:00:00"/>
    <d v="2014-08-08T00:00:00"/>
    <d v="2014-09-02T00:00:00"/>
    <m/>
    <m/>
    <m/>
    <m/>
    <x v="0"/>
    <m/>
    <n v="31"/>
    <n v="0"/>
    <n v="0"/>
    <n v="0"/>
    <n v="0"/>
    <n v="0"/>
    <n v="30"/>
    <n v="516885"/>
    <n v="2370000"/>
    <n v="4.1683265224284991"/>
  </r>
  <r>
    <n v="0"/>
    <n v="0"/>
    <n v="5"/>
    <n v="9"/>
    <s v="전략"/>
    <x v="19"/>
    <s v="PNK-대경-04"/>
    <s v="PNK-대경-04PNKTLF4501NY"/>
    <n v="1"/>
    <s v="PNK-대경-041"/>
    <s v="PNK-대경-041-PNKTLF4501NAVYOSS"/>
    <s v="PNK의류501"/>
    <s v="PNK"/>
    <s v="14FW_P"/>
    <m/>
    <s v="PNK"/>
    <s v="PLAY NEWYORK KIDS"/>
    <s v="F"/>
    <n v="4"/>
    <s v="TL"/>
    <s v="LONG SLEEVES"/>
    <s v="K"/>
    <n v="501"/>
    <n v="501"/>
    <s v="PNKTLF4501"/>
    <n v="0.16666666666666666"/>
    <s v="14FW_PLAYBOY_MTM_04_NY_KIDS"/>
    <s v="NY"/>
    <s v="NAVY"/>
    <s v="PNKTLF4501NY"/>
    <x v="0"/>
    <n v="0.16666666666666666"/>
    <m/>
    <n v="1"/>
    <s v="OSS"/>
    <n v="50"/>
    <x v="14"/>
    <n v="4"/>
    <x v="3"/>
    <s v="M"/>
    <s v="IN"/>
    <x v="0"/>
    <n v="79000"/>
    <x v="21"/>
    <n v="15959.595959595958"/>
    <n v="17229.5"/>
    <n v="1269.9040404040425"/>
    <m/>
    <n v="20"/>
    <m/>
    <n v="20"/>
    <n v="14.9"/>
    <m/>
    <d v="2014-05-08T00:00:00"/>
    <m/>
    <d v="2014-07-28T00:00:00"/>
    <d v="2014-08-08T00:00:00"/>
    <d v="2014-09-02T00:00:00"/>
    <m/>
    <m/>
    <m/>
    <m/>
    <x v="0"/>
    <m/>
    <n v="38"/>
    <n v="0"/>
    <n v="0"/>
    <n v="0"/>
    <n v="0"/>
    <m/>
    <n v="50"/>
    <n v="861475"/>
    <n v="3950000"/>
    <n v="4.1683265224284982"/>
  </r>
  <r>
    <n v="0"/>
    <n v="0"/>
    <n v="5"/>
    <n v="9"/>
    <s v="전략"/>
    <x v="19"/>
    <s v="PNK-대경-04"/>
    <s v="PNK-대경-04PNKTLF4501NY"/>
    <n v="1"/>
    <s v="PNK-대경-041"/>
    <s v="PNK-대경-041-PNKTLF4501NAVYOMM"/>
    <s v="PNK의류501"/>
    <s v="PNK"/>
    <s v="14FW_P"/>
    <m/>
    <s v="PNK"/>
    <s v="PLAY NEWYORK KIDS"/>
    <s v="F"/>
    <n v="4"/>
    <s v="TL"/>
    <s v="LONG SLEEVES"/>
    <s v="K"/>
    <n v="501"/>
    <n v="501"/>
    <s v="PNKTLF4501"/>
    <n v="0.16666666666666666"/>
    <s v="14FW_PLAYBOY_MTM_04_NY_KIDS"/>
    <s v="NY"/>
    <s v="NAVY"/>
    <s v="PNKTLF4501NY"/>
    <x v="0"/>
    <n v="0.16666666666666666"/>
    <m/>
    <n v="1"/>
    <s v="OMM"/>
    <n v="50"/>
    <x v="14"/>
    <n v="4"/>
    <x v="3"/>
    <s v="M"/>
    <s v="IN"/>
    <x v="0"/>
    <n v="79000"/>
    <x v="21"/>
    <n v="15959.595959595958"/>
    <n v="17229.5"/>
    <n v="1269.9040404040425"/>
    <m/>
    <n v="20"/>
    <m/>
    <n v="20"/>
    <n v="14.9"/>
    <m/>
    <d v="2014-05-08T00:00:00"/>
    <m/>
    <d v="2014-07-28T00:00:00"/>
    <d v="2014-08-08T00:00:00"/>
    <d v="2014-09-02T00:00:00"/>
    <m/>
    <m/>
    <m/>
    <m/>
    <x v="0"/>
    <m/>
    <n v="49"/>
    <n v="0"/>
    <n v="0"/>
    <n v="0"/>
    <n v="0"/>
    <n v="0"/>
    <n v="50"/>
    <n v="861475"/>
    <n v="3950000"/>
    <n v="4.1683265224284982"/>
  </r>
  <r>
    <n v="0"/>
    <n v="0"/>
    <n v="5"/>
    <n v="9"/>
    <s v="전략"/>
    <x v="19"/>
    <s v="PNK-대경-04"/>
    <s v="PNK-대경-04PNKTLF4501NY"/>
    <n v="1"/>
    <s v="PNK-대경-041"/>
    <s v="PNK-대경-041-PNKTLF4501NAVYOLL"/>
    <s v="PNK의류501"/>
    <s v="PNK"/>
    <s v="14FW_P"/>
    <m/>
    <s v="PNK"/>
    <s v="PLAY NEWYORK KIDS"/>
    <s v="F"/>
    <n v="4"/>
    <s v="TL"/>
    <s v="LONG SLEEVES"/>
    <s v="K"/>
    <n v="501"/>
    <n v="501"/>
    <s v="PNKTLF4501"/>
    <n v="0.16666666666666666"/>
    <s v="14FW_PLAYBOY_MTM_04_NY_KIDS"/>
    <s v="NY"/>
    <s v="NAVY"/>
    <s v="PNKTLF4501NY"/>
    <x v="0"/>
    <n v="0.16666666666666666"/>
    <m/>
    <n v="1"/>
    <s v="OLL"/>
    <n v="35"/>
    <x v="14"/>
    <n v="4"/>
    <x v="3"/>
    <s v="M"/>
    <s v="IN"/>
    <x v="0"/>
    <n v="79000"/>
    <x v="21"/>
    <n v="15959.595959595958"/>
    <n v="17229.5"/>
    <n v="1269.9040404040425"/>
    <m/>
    <n v="20"/>
    <m/>
    <n v="20"/>
    <n v="14.9"/>
    <m/>
    <d v="2014-05-08T00:00:00"/>
    <m/>
    <d v="2014-07-28T00:00:00"/>
    <d v="2014-08-08T00:00:00"/>
    <d v="2014-09-02T00:00:00"/>
    <m/>
    <m/>
    <m/>
    <m/>
    <x v="0"/>
    <m/>
    <n v="35"/>
    <n v="0"/>
    <n v="0"/>
    <n v="0"/>
    <n v="0"/>
    <n v="0"/>
    <n v="35"/>
    <n v="603032.5"/>
    <n v="2765000"/>
    <n v="4.1683265224284991"/>
  </r>
  <r>
    <n v="0"/>
    <n v="0"/>
    <n v="5"/>
    <n v="9"/>
    <s v="전략"/>
    <x v="19"/>
    <s v="PNK-대경-04"/>
    <s v="PNK-대경-04PNKTLF4501NY"/>
    <n v="1"/>
    <s v="PNK-대경-041"/>
    <s v="PNK-대경-041-PNKTLF4501NAVYOXL"/>
    <s v="PNK의류501"/>
    <s v="PNK"/>
    <s v="14FW_P"/>
    <m/>
    <s v="PNK"/>
    <s v="PLAY NEWYORK KIDS"/>
    <s v="F"/>
    <n v="4"/>
    <s v="TL"/>
    <s v="LONG SLEEVES"/>
    <s v="K"/>
    <n v="501"/>
    <n v="501"/>
    <s v="PNKTLF4501"/>
    <n v="0.16666666666666666"/>
    <s v="14FW_PLAYBOY_MTM_04_NY_KIDS"/>
    <s v="NY"/>
    <s v="NAVY"/>
    <s v="PNKTLF4501NY"/>
    <x v="0"/>
    <n v="0.16666666666666666"/>
    <m/>
    <n v="1"/>
    <s v="OXL"/>
    <n v="35"/>
    <x v="14"/>
    <n v="4"/>
    <x v="3"/>
    <s v="M"/>
    <s v="IN"/>
    <x v="0"/>
    <n v="79000"/>
    <x v="21"/>
    <n v="15959.595959595958"/>
    <n v="17229.5"/>
    <n v="1269.9040404040425"/>
    <m/>
    <n v="20"/>
    <m/>
    <n v="20"/>
    <n v="14.9"/>
    <m/>
    <d v="2014-05-08T00:00:00"/>
    <m/>
    <d v="2014-07-28T00:00:00"/>
    <d v="2014-08-08T00:00:00"/>
    <d v="2014-09-02T00:00:00"/>
    <m/>
    <m/>
    <m/>
    <m/>
    <x v="0"/>
    <m/>
    <n v="35"/>
    <n v="0"/>
    <n v="0"/>
    <n v="0"/>
    <n v="0"/>
    <n v="0"/>
    <n v="35"/>
    <n v="603032.5"/>
    <n v="2765000"/>
    <n v="4.1683265224284991"/>
  </r>
  <r>
    <n v="0"/>
    <n v="0"/>
    <n v="5"/>
    <n v="8"/>
    <s v="전략"/>
    <x v="19"/>
    <s v="PNK-대경-04"/>
    <s v="PNK-대경-04PNKHPF5506BK"/>
    <n v="2"/>
    <s v="PNK-대경-042"/>
    <s v="PNK-대경-042-PNKHPF5506BLACKXXS"/>
    <s v="PNK의류506"/>
    <s v="PNK"/>
    <s v="14FW_P"/>
    <m/>
    <s v="PNK"/>
    <s v="PLAY NEWYORK KIDS"/>
    <s v="F"/>
    <n v="5"/>
    <s v="HP"/>
    <s v="HOODED JUMPER"/>
    <s v="K"/>
    <n v="506"/>
    <n v="506"/>
    <s v="PNKHPF5506"/>
    <n v="0.16666666666666666"/>
    <s v="14FW_PLAYBOY_HOODZIP _04_BK_KIDS"/>
    <s v="BK"/>
    <s v="BLACK"/>
    <s v="PNKHPF5506BK"/>
    <x v="0"/>
    <n v="0.16666666666666666"/>
    <m/>
    <n v="1"/>
    <s v="XXS"/>
    <n v="120"/>
    <x v="14"/>
    <n v="4"/>
    <x v="3"/>
    <s v="M"/>
    <s v="IN"/>
    <x v="0"/>
    <n v="109000"/>
    <x v="21"/>
    <n v="22020.202020202021"/>
    <n v="23120"/>
    <n v="1099.7979797979788"/>
    <m/>
    <n v="20"/>
    <m/>
    <n v="20"/>
    <n v="20"/>
    <m/>
    <d v="2014-05-08T00:00:00"/>
    <m/>
    <d v="2014-07-28T00:00:00"/>
    <d v="2014-08-08T00:00:00"/>
    <d v="2014-08-08T00:00:00"/>
    <m/>
    <m/>
    <m/>
    <m/>
    <x v="0"/>
    <m/>
    <n v="120"/>
    <n v="0"/>
    <n v="0"/>
    <n v="0"/>
    <n v="0"/>
    <n v="0"/>
    <n v="120"/>
    <n v="2774400"/>
    <n v="13080000"/>
    <n v="4.2859389745202892"/>
  </r>
  <r>
    <n v="0"/>
    <n v="0"/>
    <n v="5"/>
    <n v="8"/>
    <s v="전략"/>
    <x v="19"/>
    <s v="PNK-대경-04"/>
    <s v="PNK-대경-04PNKHPF5506BK"/>
    <n v="2"/>
    <s v="PNK-대경-042"/>
    <s v="PNK-대경-042-PNKHPF5506BLACKOXS"/>
    <s v="PNK의류506"/>
    <s v="PNK"/>
    <s v="14FW_P"/>
    <m/>
    <s v="PNK"/>
    <s v="PLAY NEWYORK KIDS"/>
    <s v="F"/>
    <n v="5"/>
    <s v="HP"/>
    <s v="HOODED JUMPER"/>
    <s v="K"/>
    <n v="506"/>
    <n v="506"/>
    <s v="PNKHPF5506"/>
    <n v="0.16666666666666666"/>
    <s v="14FW_PLAYBOY_HOODZIP _04_BK_KIDS"/>
    <s v="BK"/>
    <s v="BLACK"/>
    <s v="PNKHPF5506BK"/>
    <x v="0"/>
    <n v="0.16666666666666666"/>
    <m/>
    <n v="1"/>
    <s v="OXS"/>
    <n v="30"/>
    <x v="14"/>
    <n v="4"/>
    <x v="3"/>
    <s v="M"/>
    <s v="IN"/>
    <x v="0"/>
    <n v="109000"/>
    <x v="21"/>
    <n v="22020.202020202021"/>
    <n v="23120"/>
    <n v="1099.7979797979788"/>
    <m/>
    <n v="20"/>
    <m/>
    <n v="20"/>
    <n v="20"/>
    <m/>
    <d v="2014-05-08T00:00:00"/>
    <m/>
    <d v="2014-07-28T00:00:00"/>
    <d v="2014-08-08T00:00:00"/>
    <d v="2014-08-08T00:00:00"/>
    <m/>
    <m/>
    <m/>
    <m/>
    <x v="0"/>
    <m/>
    <n v="31"/>
    <n v="0"/>
    <n v="0"/>
    <n v="0"/>
    <n v="0"/>
    <n v="0"/>
    <n v="30"/>
    <n v="693600"/>
    <n v="3270000"/>
    <n v="4.2859389745202892"/>
  </r>
  <r>
    <n v="0"/>
    <n v="0"/>
    <n v="5"/>
    <n v="8"/>
    <s v="전략"/>
    <x v="19"/>
    <s v="PNK-대경-04"/>
    <s v="PNK-대경-04PNKHPF5506BK"/>
    <n v="2"/>
    <s v="PNK-대경-042"/>
    <s v="PNK-대경-042-PNKHPF5506BLACKOSS"/>
    <s v="PNK의류506"/>
    <s v="PNK"/>
    <s v="14FW_P"/>
    <m/>
    <s v="PNK"/>
    <s v="PLAY NEWYORK KIDS"/>
    <s v="F"/>
    <n v="5"/>
    <s v="HP"/>
    <s v="HOODED JUMPER"/>
    <s v="K"/>
    <n v="506"/>
    <n v="506"/>
    <s v="PNKHPF5506"/>
    <n v="0.16666666666666666"/>
    <s v="14FW_PLAYBOY_HOODZIP _04_BK_KIDS"/>
    <s v="BK"/>
    <s v="BLACK"/>
    <s v="PNKHPF5506BK"/>
    <x v="0"/>
    <n v="0.16666666666666666"/>
    <m/>
    <n v="1"/>
    <s v="OSS"/>
    <n v="50"/>
    <x v="14"/>
    <n v="4"/>
    <x v="3"/>
    <s v="M"/>
    <s v="IN"/>
    <x v="0"/>
    <n v="109000"/>
    <x v="21"/>
    <n v="22020.202020202021"/>
    <n v="23120"/>
    <n v="1099.7979797979788"/>
    <m/>
    <n v="20"/>
    <m/>
    <n v="20"/>
    <n v="20"/>
    <m/>
    <d v="2014-05-08T00:00:00"/>
    <m/>
    <d v="2014-07-28T00:00:00"/>
    <d v="2014-08-08T00:00:00"/>
    <d v="2014-08-08T00:00:00"/>
    <m/>
    <m/>
    <m/>
    <m/>
    <x v="0"/>
    <m/>
    <n v="50"/>
    <n v="0"/>
    <n v="0"/>
    <n v="0"/>
    <n v="0"/>
    <n v="0"/>
    <n v="50"/>
    <n v="1156000"/>
    <n v="5450000"/>
    <n v="4.2859389745202892"/>
  </r>
  <r>
    <n v="0"/>
    <n v="0"/>
    <n v="5"/>
    <n v="8"/>
    <s v="전략"/>
    <x v="19"/>
    <s v="PNK-대경-04"/>
    <s v="PNK-대경-04PNKHPF5506BK"/>
    <n v="2"/>
    <s v="PNK-대경-042"/>
    <s v="PNK-대경-042-PNKHPF5506BLACKOMM"/>
    <s v="PNK의류506"/>
    <s v="PNK"/>
    <s v="14FW_P"/>
    <m/>
    <s v="PNK"/>
    <s v="PLAY NEWYORK KIDS"/>
    <s v="F"/>
    <n v="5"/>
    <s v="HP"/>
    <s v="HOODED JUMPER"/>
    <s v="K"/>
    <n v="506"/>
    <n v="506"/>
    <s v="PNKHPF5506"/>
    <n v="0.16666666666666666"/>
    <s v="14FW_PLAYBOY_HOODZIP _04_BK_KIDS"/>
    <s v="BK"/>
    <s v="BLACK"/>
    <s v="PNKHPF5506BK"/>
    <x v="0"/>
    <n v="0.16666666666666666"/>
    <m/>
    <n v="1"/>
    <s v="OMM"/>
    <n v="50"/>
    <x v="14"/>
    <n v="4"/>
    <x v="3"/>
    <s v="M"/>
    <s v="IN"/>
    <x v="0"/>
    <n v="109000"/>
    <x v="21"/>
    <n v="22020.202020202021"/>
    <n v="23120"/>
    <n v="1099.7979797979788"/>
    <m/>
    <n v="20"/>
    <m/>
    <n v="20"/>
    <n v="20"/>
    <m/>
    <d v="2014-05-08T00:00:00"/>
    <m/>
    <d v="2014-07-28T00:00:00"/>
    <d v="2014-08-08T00:00:00"/>
    <d v="2014-08-08T00:00:00"/>
    <m/>
    <m/>
    <m/>
    <m/>
    <x v="0"/>
    <m/>
    <n v="50"/>
    <n v="0"/>
    <n v="0"/>
    <n v="0"/>
    <n v="0"/>
    <n v="0"/>
    <n v="50"/>
    <n v="1156000"/>
    <n v="5450000"/>
    <n v="4.2859389745202892"/>
  </r>
  <r>
    <n v="0"/>
    <n v="0"/>
    <n v="5"/>
    <n v="8"/>
    <s v="전략"/>
    <x v="19"/>
    <s v="PNK-대경-04"/>
    <s v="PNK-대경-04PNKHPF5506BK"/>
    <n v="2"/>
    <s v="PNK-대경-042"/>
    <s v="PNK-대경-042-PNKHPF5506BLACKOLL"/>
    <s v="PNK의류506"/>
    <s v="PNK"/>
    <s v="14FW_P"/>
    <m/>
    <s v="PNK"/>
    <s v="PLAY NEWYORK KIDS"/>
    <s v="F"/>
    <n v="5"/>
    <s v="HP"/>
    <s v="HOODED JUMPER"/>
    <s v="K"/>
    <n v="506"/>
    <n v="506"/>
    <s v="PNKHPF5506"/>
    <n v="0.16666666666666666"/>
    <s v="14FW_PLAYBOY_HOODZIP _04_BK_KIDS"/>
    <s v="BK"/>
    <s v="BLACK"/>
    <s v="PNKHPF5506BK"/>
    <x v="0"/>
    <n v="0.16666666666666666"/>
    <m/>
    <n v="1"/>
    <s v="OLL"/>
    <n v="35"/>
    <x v="14"/>
    <n v="4"/>
    <x v="3"/>
    <s v="M"/>
    <s v="IN"/>
    <x v="0"/>
    <n v="109000"/>
    <x v="21"/>
    <n v="22020.202020202021"/>
    <n v="23120"/>
    <n v="1099.7979797979788"/>
    <m/>
    <n v="20"/>
    <m/>
    <n v="20"/>
    <n v="20"/>
    <m/>
    <d v="2014-05-08T00:00:00"/>
    <m/>
    <d v="2014-07-28T00:00:00"/>
    <d v="2014-08-08T00:00:00"/>
    <d v="2014-08-08T00:00:00"/>
    <m/>
    <m/>
    <m/>
    <m/>
    <x v="0"/>
    <m/>
    <n v="35"/>
    <n v="0"/>
    <n v="0"/>
    <n v="0"/>
    <n v="0"/>
    <n v="0"/>
    <n v="35"/>
    <n v="809200"/>
    <n v="3815000"/>
    <n v="4.2859389745202892"/>
  </r>
  <r>
    <n v="0"/>
    <n v="0"/>
    <n v="5"/>
    <n v="8"/>
    <s v="전략"/>
    <x v="19"/>
    <s v="PNK-대경-04"/>
    <s v="PNK-대경-04PNKHPF5506BK"/>
    <n v="2"/>
    <s v="PNK-대경-042"/>
    <s v="PNK-대경-042-PNKHPF5506BLACKOXL"/>
    <s v="PNK의류506"/>
    <s v="PNK"/>
    <s v="14FW_P"/>
    <m/>
    <s v="PNK"/>
    <s v="PLAY NEWYORK KIDS"/>
    <s v="F"/>
    <n v="5"/>
    <s v="HP"/>
    <s v="HOODED JUMPER"/>
    <s v="K"/>
    <n v="506"/>
    <n v="506"/>
    <s v="PNKHPF5506"/>
    <n v="0.16666666666666666"/>
    <s v="14FW_PLAYBOY_HOODZIP _04_BK_KIDS"/>
    <s v="BK"/>
    <s v="BLACK"/>
    <s v="PNKHPF5506BK"/>
    <x v="0"/>
    <n v="0.16666666666666666"/>
    <m/>
    <n v="1"/>
    <s v="OXL"/>
    <n v="35"/>
    <x v="14"/>
    <n v="4"/>
    <x v="3"/>
    <s v="M"/>
    <s v="IN"/>
    <x v="0"/>
    <n v="109000"/>
    <x v="21"/>
    <n v="22020.202020202021"/>
    <n v="23120"/>
    <n v="1099.7979797979788"/>
    <m/>
    <n v="20"/>
    <m/>
    <n v="20"/>
    <n v="20"/>
    <m/>
    <d v="2014-05-08T00:00:00"/>
    <m/>
    <d v="2014-07-28T00:00:00"/>
    <d v="2014-08-08T00:00:00"/>
    <d v="2014-08-08T00:00:00"/>
    <m/>
    <m/>
    <m/>
    <m/>
    <x v="0"/>
    <m/>
    <n v="35"/>
    <n v="0"/>
    <n v="0"/>
    <n v="0"/>
    <n v="0"/>
    <n v="0"/>
    <n v="35"/>
    <n v="809200"/>
    <n v="3815000"/>
    <n v="4.2859389745202892"/>
  </r>
  <r>
    <n v="0"/>
    <n v="0"/>
    <s v=""/>
    <s v=""/>
    <s v=""/>
    <x v="1"/>
    <s v=""/>
    <s v=""/>
    <n v="0"/>
    <s v="0"/>
    <s v="0-"/>
    <n v="0"/>
    <s v="TTL"/>
    <s v=""/>
    <s v="PNK-대경-04 TTL"/>
    <m/>
    <s v=""/>
    <s v=""/>
    <s v=""/>
    <m/>
    <s v=""/>
    <m/>
    <m/>
    <s v=""/>
    <s v=""/>
    <n v="2"/>
    <m/>
    <s v=""/>
    <m/>
    <s v=""/>
    <x v="0"/>
    <n v="2"/>
    <m/>
    <n v="1"/>
    <m/>
    <m/>
    <x v="1"/>
    <m/>
    <x v="1"/>
    <m/>
    <m/>
    <x v="1"/>
    <n v="0"/>
    <x v="1"/>
    <n v="0"/>
    <n v="0"/>
    <n v="0"/>
    <m/>
    <m/>
    <m/>
    <n v="0"/>
    <m/>
    <m/>
    <d v="1899-12-30T00:00:00"/>
    <m/>
    <d v="1899-12-30T00:00:00"/>
    <m/>
    <d v="1899-12-30T00:00:00"/>
    <m/>
    <m/>
    <m/>
    <m/>
    <x v="3"/>
    <m/>
    <n v="629"/>
    <n v="0"/>
    <n v="0"/>
    <n v="0"/>
    <n v="0"/>
    <n v="0"/>
    <n v="640"/>
    <n v="12911840"/>
    <n v="60160000"/>
    <n v="4.235717689416"/>
  </r>
  <r>
    <n v="0"/>
    <n v="0"/>
    <n v="5"/>
    <n v="8"/>
    <s v="전략"/>
    <x v="19"/>
    <s v="PNK-EVERGREEN-04"/>
    <s v="PNK-EVERGREEN-04PNKTLF5508GY"/>
    <n v="1"/>
    <s v="PNK-EVERGREEN-041"/>
    <s v="PNK-EVERGREEN-041-PNKTLF5508GREYXXS"/>
    <s v="PNK의류508"/>
    <s v="PNK"/>
    <s v="14FW_P"/>
    <m/>
    <s v="PNK"/>
    <s v="PLAY NEWYORK KIDS"/>
    <s v="F"/>
    <n v="5"/>
    <s v="TL"/>
    <s v="LONG SLEEVES"/>
    <s v="K"/>
    <n v="508"/>
    <n v="508"/>
    <s v="PNKTLF5508"/>
    <n v="8.3333333333333329E-2"/>
    <s v="14FW_PLAYBOY_MTM_05_GY_KIDS"/>
    <s v="GY"/>
    <s v="GREY"/>
    <s v="PNKTLF5508GY"/>
    <x v="0"/>
    <n v="0.16666666666666666"/>
    <m/>
    <n v="1"/>
    <s v="XXS"/>
    <n v="120"/>
    <x v="13"/>
    <n v="4"/>
    <x v="3"/>
    <s v="M"/>
    <s v="CN"/>
    <x v="0"/>
    <n v="69000"/>
    <x v="21"/>
    <n v="12545.454545454544"/>
    <n v="15862.314999999999"/>
    <n v="3316.8604545454546"/>
    <m/>
    <n v="70"/>
    <m/>
    <n v="70"/>
    <n v="12.1"/>
    <m/>
    <d v="2014-05-08T00:00:00"/>
    <d v="2014-08-02T00:00:00"/>
    <d v="2014-07-28T00:00:00"/>
    <d v="2014-08-08T00:00:00"/>
    <d v="2014-08-25T00:00:00"/>
    <m/>
    <m/>
    <m/>
    <m/>
    <x v="0"/>
    <m/>
    <n v="122"/>
    <n v="0"/>
    <n v="0"/>
    <n v="0"/>
    <n v="0"/>
    <n v="0"/>
    <n v="120"/>
    <n v="1903477.7999999998"/>
    <n v="8280000"/>
    <n v="3.9544841170581169"/>
  </r>
  <r>
    <n v="0"/>
    <n v="0"/>
    <n v="5"/>
    <n v="8"/>
    <s v="전략"/>
    <x v="19"/>
    <s v="PNK-EVERGREEN-04"/>
    <s v="PNK-EVERGREEN-04PNKTLF5508GY"/>
    <n v="1"/>
    <s v="PNK-EVERGREEN-041"/>
    <s v="PNK-EVERGREEN-041-PNKTLF5508GREYOXS"/>
    <s v="PNK의류508"/>
    <s v="PNK"/>
    <s v="14FW_P"/>
    <m/>
    <s v="PNK"/>
    <s v="PLAY NEWYORK KIDS"/>
    <s v="F"/>
    <n v="5"/>
    <s v="TL"/>
    <s v="LONG SLEEVES"/>
    <s v="K"/>
    <n v="508"/>
    <n v="508"/>
    <s v="PNKTLF5508"/>
    <n v="8.3333333333333329E-2"/>
    <s v="14FW_PLAYBOY_MTM_05_GY_KIDS"/>
    <s v="GY"/>
    <s v="GREY"/>
    <s v="PNKTLF5508GY"/>
    <x v="0"/>
    <n v="0.16666666666666666"/>
    <m/>
    <n v="1"/>
    <s v="OXS"/>
    <n v="45"/>
    <x v="13"/>
    <n v="4"/>
    <x v="3"/>
    <s v="M"/>
    <s v="CN"/>
    <x v="0"/>
    <n v="69000"/>
    <x v="21"/>
    <n v="12545.454545454544"/>
    <n v="15862.314999999999"/>
    <n v="3316.8604545454546"/>
    <m/>
    <n v="70"/>
    <m/>
    <n v="70"/>
    <n v="12.1"/>
    <m/>
    <d v="2014-05-08T00:00:00"/>
    <d v="2014-08-02T00:00:00"/>
    <d v="2014-07-28T00:00:00"/>
    <d v="2014-08-08T00:00:00"/>
    <d v="2014-08-25T00:00:00"/>
    <m/>
    <m/>
    <m/>
    <m/>
    <x v="0"/>
    <m/>
    <n v="46"/>
    <n v="0"/>
    <n v="0"/>
    <n v="0"/>
    <n v="0"/>
    <n v="0"/>
    <n v="45"/>
    <n v="713804.17499999993"/>
    <n v="3105000"/>
    <n v="3.9544841170581169"/>
  </r>
  <r>
    <n v="0"/>
    <n v="0"/>
    <n v="5"/>
    <n v="8"/>
    <s v="전략"/>
    <x v="19"/>
    <s v="PNK-EVERGREEN-04"/>
    <s v="PNK-EVERGREEN-04PNKTLF5508GY"/>
    <n v="1"/>
    <s v="PNK-EVERGREEN-041"/>
    <s v="PNK-EVERGREEN-041-PNKTLF5508GREYOSS"/>
    <s v="PNK의류508"/>
    <s v="PNK"/>
    <s v="14FW_P"/>
    <m/>
    <s v="PNK"/>
    <s v="PLAY NEWYORK KIDS"/>
    <s v="F"/>
    <n v="5"/>
    <s v="TL"/>
    <s v="LONG SLEEVES"/>
    <s v="K"/>
    <n v="508"/>
    <n v="508"/>
    <s v="PNKTLF5508"/>
    <n v="8.3333333333333329E-2"/>
    <s v="14FW_PLAYBOY_MTM_05_GY_KIDS"/>
    <s v="GY"/>
    <s v="GREY"/>
    <s v="PNKTLF5508GY"/>
    <x v="0"/>
    <n v="0.16666666666666666"/>
    <m/>
    <n v="1"/>
    <s v="OSS"/>
    <n v="75"/>
    <x v="13"/>
    <n v="4"/>
    <x v="3"/>
    <s v="M"/>
    <s v="CN"/>
    <x v="0"/>
    <n v="69000"/>
    <x v="21"/>
    <n v="12545.454545454544"/>
    <n v="15862.314999999999"/>
    <n v="3316.8604545454546"/>
    <m/>
    <n v="70"/>
    <m/>
    <n v="70"/>
    <n v="12.1"/>
    <m/>
    <d v="2014-05-08T00:00:00"/>
    <d v="2014-08-02T00:00:00"/>
    <d v="2014-07-28T00:00:00"/>
    <d v="2014-08-08T00:00:00"/>
    <d v="2014-08-25T00:00:00"/>
    <m/>
    <m/>
    <m/>
    <m/>
    <x v="0"/>
    <m/>
    <n v="76"/>
    <n v="0"/>
    <n v="0"/>
    <n v="0"/>
    <n v="0"/>
    <n v="0"/>
    <n v="75"/>
    <n v="1189673.625"/>
    <n v="5175000"/>
    <n v="3.9544841170581169"/>
  </r>
  <r>
    <n v="0"/>
    <n v="0"/>
    <n v="5"/>
    <n v="8"/>
    <s v="전략"/>
    <x v="19"/>
    <s v="PNK-EVERGREEN-04"/>
    <s v="PNK-EVERGREEN-04PNKTLF5508GY"/>
    <n v="1"/>
    <s v="PNK-EVERGREEN-041"/>
    <s v="PNK-EVERGREEN-041-PNKTLF5508GREYOMM"/>
    <s v="PNK의류508"/>
    <s v="PNK"/>
    <s v="14FW_P"/>
    <m/>
    <s v="PNK"/>
    <s v="PLAY NEWYORK KIDS"/>
    <s v="F"/>
    <n v="5"/>
    <s v="TL"/>
    <s v="LONG SLEEVES"/>
    <s v="K"/>
    <n v="508"/>
    <n v="508"/>
    <s v="PNKTLF5508"/>
    <n v="8.3333333333333329E-2"/>
    <s v="14FW_PLAYBOY_MTM_05_GY_KIDS"/>
    <s v="GY"/>
    <s v="GREY"/>
    <s v="PNKTLF5508GY"/>
    <x v="0"/>
    <n v="0.16666666666666666"/>
    <m/>
    <n v="1"/>
    <s v="OMM"/>
    <n v="75"/>
    <x v="13"/>
    <n v="4"/>
    <x v="3"/>
    <s v="M"/>
    <s v="CN"/>
    <x v="0"/>
    <n v="69000"/>
    <x v="21"/>
    <n v="12545.454545454544"/>
    <n v="15862.314999999999"/>
    <n v="3316.8604545454546"/>
    <m/>
    <n v="70"/>
    <m/>
    <n v="70"/>
    <n v="12.1"/>
    <m/>
    <d v="2014-05-08T00:00:00"/>
    <d v="2014-08-02T00:00:00"/>
    <d v="2014-07-28T00:00:00"/>
    <d v="2014-08-08T00:00:00"/>
    <d v="2014-08-25T00:00:00"/>
    <m/>
    <m/>
    <m/>
    <m/>
    <x v="0"/>
    <m/>
    <n v="76"/>
    <n v="0"/>
    <n v="0"/>
    <n v="0"/>
    <n v="0"/>
    <n v="0"/>
    <n v="75"/>
    <n v="1189673.625"/>
    <n v="5175000"/>
    <n v="3.9544841170581169"/>
  </r>
  <r>
    <n v="0"/>
    <n v="0"/>
    <n v="5"/>
    <n v="8"/>
    <s v="전략"/>
    <x v="19"/>
    <s v="PNK-EVERGREEN-04"/>
    <s v="PNK-EVERGREEN-04PNKTLF5508GY"/>
    <n v="1"/>
    <s v="PNK-EVERGREEN-041"/>
    <s v="PNK-EVERGREEN-041-PNKTLF5508GREYOLL"/>
    <s v="PNK의류508"/>
    <s v="PNK"/>
    <s v="14FW_P"/>
    <m/>
    <s v="PNK"/>
    <s v="PLAY NEWYORK KIDS"/>
    <s v="F"/>
    <n v="5"/>
    <s v="TL"/>
    <s v="LONG SLEEVES"/>
    <s v="K"/>
    <n v="508"/>
    <n v="508"/>
    <s v="PNKTLF5508"/>
    <n v="8.3333333333333329E-2"/>
    <s v="14FW_PLAYBOY_MTM_05_GY_KIDS"/>
    <s v="GY"/>
    <s v="GREY"/>
    <s v="PNKTLF5508GY"/>
    <x v="0"/>
    <n v="0.16666666666666666"/>
    <m/>
    <n v="1"/>
    <s v="OLL"/>
    <n v="45"/>
    <x v="13"/>
    <n v="4"/>
    <x v="3"/>
    <s v="M"/>
    <s v="CN"/>
    <x v="0"/>
    <n v="69000"/>
    <x v="21"/>
    <n v="12545.454545454544"/>
    <n v="15862.314999999999"/>
    <n v="3316.8604545454546"/>
    <m/>
    <n v="70"/>
    <m/>
    <n v="70"/>
    <n v="12.1"/>
    <m/>
    <d v="2014-05-08T00:00:00"/>
    <d v="2014-08-02T00:00:00"/>
    <d v="2014-07-28T00:00:00"/>
    <d v="2014-08-08T00:00:00"/>
    <d v="2014-08-25T00:00:00"/>
    <m/>
    <m/>
    <m/>
    <m/>
    <x v="0"/>
    <m/>
    <n v="45"/>
    <n v="0"/>
    <n v="0"/>
    <n v="0"/>
    <n v="0"/>
    <n v="0"/>
    <n v="45"/>
    <n v="713804.17499999993"/>
    <n v="3105000"/>
    <n v="3.9544841170581169"/>
  </r>
  <r>
    <n v="0"/>
    <n v="0"/>
    <n v="5"/>
    <n v="8"/>
    <s v="전략"/>
    <x v="19"/>
    <s v="PNK-EVERGREEN-04"/>
    <s v="PNK-EVERGREEN-04PNKTLF5508GY"/>
    <n v="1"/>
    <s v="PNK-EVERGREEN-041"/>
    <s v="PNK-EVERGREEN-041-PNKTLF5508GREYOXL"/>
    <s v="PNK의류508"/>
    <s v="PNK"/>
    <s v="14FW_P"/>
    <m/>
    <s v="PNK"/>
    <s v="PLAY NEWYORK KIDS"/>
    <s v="F"/>
    <n v="5"/>
    <s v="TL"/>
    <s v="LONG SLEEVES"/>
    <s v="K"/>
    <n v="508"/>
    <n v="508"/>
    <s v="PNKTLF5508"/>
    <n v="8.3333333333333329E-2"/>
    <s v="14FW_PLAYBOY_MTM_05_GY_KIDS"/>
    <s v="GY"/>
    <s v="GREY"/>
    <s v="PNKTLF5508GY"/>
    <x v="0"/>
    <n v="0.16666666666666666"/>
    <m/>
    <n v="1"/>
    <s v="OXL"/>
    <n v="40"/>
    <x v="13"/>
    <n v="4"/>
    <x v="3"/>
    <s v="M"/>
    <s v="CN"/>
    <x v="0"/>
    <n v="69000"/>
    <x v="21"/>
    <n v="12545.454545454544"/>
    <n v="15862.314999999999"/>
    <n v="3316.8604545454546"/>
    <m/>
    <n v="70"/>
    <m/>
    <n v="70"/>
    <n v="12.1"/>
    <m/>
    <d v="2014-05-08T00:00:00"/>
    <d v="2014-08-02T00:00:00"/>
    <d v="2014-07-28T00:00:00"/>
    <d v="2014-08-08T00:00:00"/>
    <d v="2014-08-25T00:00:00"/>
    <m/>
    <m/>
    <m/>
    <m/>
    <x v="0"/>
    <m/>
    <n v="40"/>
    <n v="0"/>
    <n v="0"/>
    <n v="0"/>
    <n v="0"/>
    <n v="0"/>
    <n v="40"/>
    <n v="634492.6"/>
    <n v="2760000"/>
    <n v="3.9544841170581173"/>
  </r>
  <r>
    <n v="0"/>
    <n v="0"/>
    <n v="5"/>
    <n v="9"/>
    <s v="전략"/>
    <x v="19"/>
    <s v="PNK-EVERGREEN-04"/>
    <s v="PNK-EVERGREEN-04PNKTLF5508BK"/>
    <n v="2"/>
    <s v="PNK-EVERGREEN-042"/>
    <s v="PNK-EVERGREEN-042-PNKTLF5508BLACKXXS"/>
    <s v="PNK의류508"/>
    <s v="PNK"/>
    <s v="14FW_P"/>
    <m/>
    <s v="PNK"/>
    <s v="PLAY NEWYORK KIDS"/>
    <s v="F"/>
    <n v="5"/>
    <s v="TL"/>
    <s v="LONG SLEEVES"/>
    <s v="K"/>
    <n v="508"/>
    <n v="508"/>
    <s v="PNKTLF5508"/>
    <n v="8.3333333333333329E-2"/>
    <s v="14FW_PLAYBOY_MTM_05_BK_KIDS"/>
    <s v="BK"/>
    <s v="BLACK"/>
    <s v="PNKTLF5508BK"/>
    <x v="0"/>
    <n v="0.16666666666666666"/>
    <m/>
    <n v="1"/>
    <s v="XXS"/>
    <n v="120"/>
    <x v="13"/>
    <n v="4"/>
    <x v="3"/>
    <s v="M"/>
    <s v="CN"/>
    <x v="0"/>
    <n v="69000"/>
    <x v="21"/>
    <n v="12545.454545454544"/>
    <n v="15209.739999999998"/>
    <n v="2664.2854545454538"/>
    <m/>
    <n v="70"/>
    <m/>
    <n v="70"/>
    <n v="11.6"/>
    <m/>
    <d v="2014-05-08T00:00:00"/>
    <d v="2014-08-02T00:00:00"/>
    <d v="2014-07-28T00:00:00"/>
    <d v="2014-08-08T00:00:00"/>
    <d v="2014-09-17T00:00:00"/>
    <m/>
    <m/>
    <m/>
    <m/>
    <x v="0"/>
    <m/>
    <n v="121"/>
    <n v="0"/>
    <n v="0"/>
    <n v="0"/>
    <n v="0"/>
    <n v="0"/>
    <n v="120"/>
    <n v="1825168.7999999998"/>
    <n v="8280000"/>
    <n v="4.1241515454749873"/>
  </r>
  <r>
    <n v="0"/>
    <n v="0"/>
    <n v="5"/>
    <n v="9"/>
    <s v="전략"/>
    <x v="19"/>
    <s v="PNK-EVERGREEN-04"/>
    <s v="PNK-EVERGREEN-04PNKTLF5508BK"/>
    <n v="2"/>
    <s v="PNK-EVERGREEN-042"/>
    <s v="PNK-EVERGREEN-042-PNKTLF5508BLACKOXS"/>
    <s v="PNK의류508"/>
    <s v="PNK"/>
    <s v="14FW_P"/>
    <m/>
    <s v="PNK"/>
    <s v="PLAY NEWYORK KIDS"/>
    <s v="F"/>
    <n v="5"/>
    <s v="TL"/>
    <s v="LONG SLEEVES"/>
    <s v="K"/>
    <n v="508"/>
    <n v="508"/>
    <s v="PNKTLF5508"/>
    <n v="8.3333333333333329E-2"/>
    <s v="14FW_PLAYBOY_MTM_05_BK_KIDS"/>
    <s v="BK"/>
    <s v="BLACK"/>
    <s v="PNKTLF5508BK"/>
    <x v="0"/>
    <n v="0.16666666666666666"/>
    <m/>
    <n v="1"/>
    <s v="OXS"/>
    <n v="45"/>
    <x v="13"/>
    <n v="4"/>
    <x v="3"/>
    <s v="M"/>
    <s v="CN"/>
    <x v="0"/>
    <n v="69000"/>
    <x v="21"/>
    <n v="12545.454545454544"/>
    <n v="15209.739999999998"/>
    <n v="2664.2854545454538"/>
    <m/>
    <n v="70"/>
    <m/>
    <n v="70"/>
    <n v="11.6"/>
    <m/>
    <d v="2014-05-08T00:00:00"/>
    <d v="2014-08-02T00:00:00"/>
    <d v="2014-07-28T00:00:00"/>
    <d v="2014-08-08T00:00:00"/>
    <d v="2014-09-17T00:00:00"/>
    <m/>
    <m/>
    <m/>
    <m/>
    <x v="0"/>
    <m/>
    <n v="46"/>
    <n v="0"/>
    <n v="0"/>
    <n v="0"/>
    <n v="0"/>
    <n v="0"/>
    <n v="45"/>
    <n v="684438.29999999993"/>
    <n v="3105000"/>
    <n v="4.1241515454749873"/>
  </r>
  <r>
    <n v="0"/>
    <n v="0"/>
    <n v="5"/>
    <n v="9"/>
    <s v="전략"/>
    <x v="19"/>
    <s v="PNK-EVERGREEN-04"/>
    <s v="PNK-EVERGREEN-04PNKTLF5508BK"/>
    <n v="2"/>
    <s v="PNK-EVERGREEN-042"/>
    <s v="PNK-EVERGREEN-042-PNKTLF5508BLACKOSS"/>
    <s v="PNK의류508"/>
    <s v="PNK"/>
    <s v="14FW_P"/>
    <m/>
    <s v="PNK"/>
    <s v="PLAY NEWYORK KIDS"/>
    <s v="F"/>
    <n v="5"/>
    <s v="TL"/>
    <s v="LONG SLEEVES"/>
    <s v="K"/>
    <n v="508"/>
    <n v="508"/>
    <s v="PNKTLF5508"/>
    <n v="8.3333333333333329E-2"/>
    <s v="14FW_PLAYBOY_MTM_05_BK_KIDS"/>
    <s v="BK"/>
    <s v="BLACK"/>
    <s v="PNKTLF5508BK"/>
    <x v="0"/>
    <n v="0.16666666666666666"/>
    <m/>
    <n v="1"/>
    <s v="OSS"/>
    <n v="75"/>
    <x v="13"/>
    <n v="4"/>
    <x v="3"/>
    <s v="M"/>
    <s v="CN"/>
    <x v="0"/>
    <n v="69000"/>
    <x v="21"/>
    <n v="12545.454545454544"/>
    <n v="15209.739999999998"/>
    <n v="2664.2854545454538"/>
    <m/>
    <n v="70"/>
    <m/>
    <n v="70"/>
    <n v="11.6"/>
    <m/>
    <d v="2014-05-08T00:00:00"/>
    <d v="2014-08-02T00:00:00"/>
    <d v="2014-07-28T00:00:00"/>
    <d v="2014-08-08T00:00:00"/>
    <d v="2014-09-17T00:00:00"/>
    <m/>
    <m/>
    <m/>
    <m/>
    <x v="0"/>
    <m/>
    <n v="77"/>
    <n v="0"/>
    <n v="0"/>
    <n v="0"/>
    <n v="0"/>
    <n v="0"/>
    <n v="75"/>
    <n v="1140730.4999999998"/>
    <n v="5175000"/>
    <n v="4.1241515454749873"/>
  </r>
  <r>
    <n v="0"/>
    <n v="0"/>
    <n v="5"/>
    <n v="9"/>
    <s v="전략"/>
    <x v="19"/>
    <s v="PNK-EVERGREEN-04"/>
    <s v="PNK-EVERGREEN-04PNKTLF5508BK"/>
    <n v="2"/>
    <s v="PNK-EVERGREEN-042"/>
    <s v="PNK-EVERGREEN-042-PNKTLF5508BLACKOMM"/>
    <s v="PNK의류508"/>
    <s v="PNK"/>
    <s v="14FW_P"/>
    <m/>
    <s v="PNK"/>
    <s v="PLAY NEWYORK KIDS"/>
    <s v="F"/>
    <n v="5"/>
    <s v="TL"/>
    <s v="LONG SLEEVES"/>
    <s v="K"/>
    <n v="508"/>
    <n v="508"/>
    <s v="PNKTLF5508"/>
    <n v="8.3333333333333329E-2"/>
    <s v="14FW_PLAYBOY_MTM_05_BK_KIDS"/>
    <s v="BK"/>
    <s v="BLACK"/>
    <s v="PNKTLF5508BK"/>
    <x v="0"/>
    <n v="0.16666666666666666"/>
    <m/>
    <n v="1"/>
    <s v="OMM"/>
    <n v="75"/>
    <x v="13"/>
    <n v="4"/>
    <x v="3"/>
    <s v="M"/>
    <s v="CN"/>
    <x v="0"/>
    <n v="69000"/>
    <x v="21"/>
    <n v="12545.454545454544"/>
    <n v="15209.739999999998"/>
    <n v="2664.2854545454538"/>
    <m/>
    <n v="70"/>
    <m/>
    <n v="70"/>
    <n v="11.6"/>
    <m/>
    <d v="2014-05-08T00:00:00"/>
    <d v="2014-08-02T00:00:00"/>
    <d v="2014-07-28T00:00:00"/>
    <d v="2014-08-08T00:00:00"/>
    <d v="2014-09-17T00:00:00"/>
    <m/>
    <m/>
    <m/>
    <m/>
    <x v="0"/>
    <m/>
    <n v="77"/>
    <n v="0"/>
    <n v="0"/>
    <n v="0"/>
    <n v="0"/>
    <n v="0"/>
    <n v="75"/>
    <n v="1140730.4999999998"/>
    <n v="5175000"/>
    <n v="4.1241515454749873"/>
  </r>
  <r>
    <n v="0"/>
    <n v="0"/>
    <n v="5"/>
    <n v="9"/>
    <s v="전략"/>
    <x v="19"/>
    <s v="PNK-EVERGREEN-04"/>
    <s v="PNK-EVERGREEN-04PNKTLF5508BK"/>
    <n v="2"/>
    <s v="PNK-EVERGREEN-042"/>
    <s v="PNK-EVERGREEN-042-PNKTLF5508BLACKOLL"/>
    <s v="PNK의류508"/>
    <s v="PNK"/>
    <s v="14FW_P"/>
    <m/>
    <s v="PNK"/>
    <s v="PLAY NEWYORK KIDS"/>
    <s v="F"/>
    <n v="5"/>
    <s v="TL"/>
    <s v="LONG SLEEVES"/>
    <s v="K"/>
    <n v="508"/>
    <n v="508"/>
    <s v="PNKTLF5508"/>
    <n v="8.3333333333333329E-2"/>
    <s v="14FW_PLAYBOY_MTM_05_BK_KIDS"/>
    <s v="BK"/>
    <s v="BLACK"/>
    <s v="PNKTLF5508BK"/>
    <x v="0"/>
    <n v="0.16666666666666666"/>
    <m/>
    <n v="1"/>
    <s v="OLL"/>
    <n v="45"/>
    <x v="13"/>
    <n v="4"/>
    <x v="3"/>
    <s v="M"/>
    <s v="CN"/>
    <x v="0"/>
    <n v="69000"/>
    <x v="21"/>
    <n v="12545.454545454544"/>
    <n v="15209.739999999998"/>
    <n v="2664.2854545454538"/>
    <m/>
    <n v="70"/>
    <m/>
    <n v="70"/>
    <n v="11.6"/>
    <m/>
    <d v="2014-05-08T00:00:00"/>
    <d v="2014-08-02T00:00:00"/>
    <d v="2014-07-28T00:00:00"/>
    <d v="2014-08-08T00:00:00"/>
    <d v="2014-09-17T00:00:00"/>
    <m/>
    <m/>
    <m/>
    <m/>
    <x v="0"/>
    <m/>
    <n v="46"/>
    <n v="0"/>
    <n v="0"/>
    <n v="0"/>
    <n v="0"/>
    <n v="0"/>
    <n v="45"/>
    <n v="684438.29999999993"/>
    <n v="3105000"/>
    <n v="4.1241515454749873"/>
  </r>
  <r>
    <n v="0"/>
    <n v="0"/>
    <n v="5"/>
    <n v="9"/>
    <s v="전략"/>
    <x v="19"/>
    <s v="PNK-EVERGREEN-04"/>
    <s v="PNK-EVERGREEN-04PNKTLF5508BK"/>
    <n v="2"/>
    <s v="PNK-EVERGREEN-042"/>
    <s v="PNK-EVERGREEN-042-PNKTLF5508BLACKOXL"/>
    <s v="PNK의류508"/>
    <s v="PNK"/>
    <s v="14FW_P"/>
    <m/>
    <s v="PNK"/>
    <s v="PLAY NEWYORK KIDS"/>
    <s v="F"/>
    <n v="5"/>
    <s v="TL"/>
    <s v="LONG SLEEVES"/>
    <s v="K"/>
    <n v="508"/>
    <n v="508"/>
    <s v="PNKTLF5508"/>
    <n v="8.3333333333333329E-2"/>
    <s v="14FW_PLAYBOY_MTM_05_BK_KIDS"/>
    <s v="BK"/>
    <s v="BLACK"/>
    <s v="PNKTLF5508BK"/>
    <x v="0"/>
    <n v="0.16666666666666666"/>
    <m/>
    <n v="1"/>
    <s v="OXL"/>
    <n v="40"/>
    <x v="13"/>
    <n v="4"/>
    <x v="3"/>
    <s v="M"/>
    <s v="CN"/>
    <x v="0"/>
    <n v="69000"/>
    <x v="21"/>
    <n v="12545.454545454544"/>
    <n v="15209.739999999998"/>
    <n v="2664.2854545454538"/>
    <m/>
    <n v="70"/>
    <m/>
    <n v="70"/>
    <n v="11.6"/>
    <m/>
    <d v="2014-05-08T00:00:00"/>
    <d v="2014-08-02T00:00:00"/>
    <d v="2014-07-28T00:00:00"/>
    <d v="2014-08-08T00:00:00"/>
    <d v="2014-09-17T00:00:00"/>
    <m/>
    <m/>
    <m/>
    <m/>
    <x v="0"/>
    <m/>
    <n v="40"/>
    <n v="0"/>
    <n v="0"/>
    <n v="0"/>
    <n v="0"/>
    <n v="0"/>
    <n v="40"/>
    <n v="608389.59999999986"/>
    <n v="2760000"/>
    <n v="4.1241515454749873"/>
  </r>
  <r>
    <n v="0"/>
    <n v="0"/>
    <n v="5"/>
    <n v="8"/>
    <s v="전략"/>
    <x v="19"/>
    <s v="PNK-EVERGREEN-04"/>
    <s v="PNK-EVERGREEN-04PNKPTF5508BK"/>
    <n v="3"/>
    <s v="PNK-EVERGREEN-043"/>
    <s v="PNK-EVERGREEN-043-PNKPTF5508BLACKOXS"/>
    <s v="PNK의류508"/>
    <s v="PNK"/>
    <s v="14FW P"/>
    <m/>
    <s v="PNK"/>
    <s v="PLAY NEWYORK KIDS"/>
    <s v="F"/>
    <n v="5"/>
    <s v="PT"/>
    <s v="PANTS"/>
    <s v="K"/>
    <n v="508"/>
    <n v="508"/>
    <s v="PNKPTF5508"/>
    <n v="0.2"/>
    <s v="14FW PLAYBOY_PANTS_01_BK_KIDS"/>
    <s v="BK"/>
    <s v="BLACK"/>
    <s v="PNKPTF5508BK"/>
    <x v="0"/>
    <n v="0.2"/>
    <m/>
    <n v="1"/>
    <s v="OXS"/>
    <n v="60"/>
    <x v="13"/>
    <n v="4"/>
    <x v="3"/>
    <s v="M"/>
    <s v="CN"/>
    <x v="0"/>
    <n v="69000"/>
    <x v="21"/>
    <n v="12545.454545454544"/>
    <n v="16514.89"/>
    <n v="3969.4354545454553"/>
    <m/>
    <n v="70"/>
    <m/>
    <n v="70"/>
    <n v="12.6"/>
    <m/>
    <d v="2014-05-08T00:00:00"/>
    <d v="2014-08-02T00:00:00"/>
    <d v="2014-07-28T00:00:00"/>
    <d v="2014-08-08T00:00:00"/>
    <d v="2014-08-26T00:00:00"/>
    <m/>
    <m/>
    <m/>
    <m/>
    <x v="0"/>
    <m/>
    <n v="66"/>
    <n v="0"/>
    <n v="0"/>
    <n v="0"/>
    <n v="0"/>
    <n v="0"/>
    <n v="60"/>
    <n v="990893.39999999991"/>
    <n v="4140000"/>
    <n v="3.7982252819893279"/>
  </r>
  <r>
    <n v="0"/>
    <n v="0"/>
    <n v="5"/>
    <n v="8"/>
    <s v="전략"/>
    <x v="19"/>
    <s v="PNK-EVERGREEN-04"/>
    <s v="PNK-EVERGREEN-04PNKPTF5508BK"/>
    <n v="3"/>
    <s v="PNK-EVERGREEN-043"/>
    <s v="PNK-EVERGREEN-043-PNKPTF5508BLACKOSS"/>
    <s v="PNK의류508"/>
    <s v="PNK"/>
    <s v="14FW P"/>
    <m/>
    <s v="PNK"/>
    <s v="PLAY NEWYORK KIDS"/>
    <s v="F"/>
    <n v="5"/>
    <s v="PT"/>
    <s v="PANTS"/>
    <s v="K"/>
    <n v="508"/>
    <n v="508"/>
    <s v="PNKPTF5508"/>
    <n v="0.2"/>
    <s v="14FW PLAYBOY_PANTS_01_BK_KIDS"/>
    <s v="BK"/>
    <s v="BLACK"/>
    <s v="PNKPTF5508BK"/>
    <x v="0"/>
    <n v="0.2"/>
    <m/>
    <n v="1"/>
    <s v="OSS"/>
    <n v="60"/>
    <x v="13"/>
    <n v="4"/>
    <x v="3"/>
    <s v="M"/>
    <s v="CN"/>
    <x v="0"/>
    <n v="69000"/>
    <x v="21"/>
    <n v="12545.454545454544"/>
    <n v="16514.89"/>
    <n v="3969.4354545454553"/>
    <m/>
    <n v="70"/>
    <m/>
    <n v="70"/>
    <n v="12.6"/>
    <m/>
    <d v="2014-05-08T00:00:00"/>
    <d v="2014-08-02T00:00:00"/>
    <d v="2014-07-28T00:00:00"/>
    <d v="2014-08-08T00:00:00"/>
    <d v="2014-08-26T00:00:00"/>
    <m/>
    <m/>
    <m/>
    <m/>
    <x v="0"/>
    <m/>
    <n v="60"/>
    <n v="0"/>
    <n v="0"/>
    <n v="0"/>
    <n v="0"/>
    <n v="0"/>
    <n v="60"/>
    <n v="990893.39999999991"/>
    <n v="4140000"/>
    <n v="3.7982252819893279"/>
  </r>
  <r>
    <n v="0"/>
    <n v="0"/>
    <n v="5"/>
    <n v="8"/>
    <s v="전략"/>
    <x v="19"/>
    <s v="PNK-EVERGREEN-04"/>
    <s v="PNK-EVERGREEN-04PNKPTF5508BK"/>
    <n v="3"/>
    <s v="PNK-EVERGREEN-043"/>
    <s v="PNK-EVERGREEN-043-PNKPTF5508BLACKOMM"/>
    <s v="PNK의류508"/>
    <s v="PNK"/>
    <s v="14FW P"/>
    <m/>
    <s v="PNK"/>
    <s v="PLAY NEWYORK KIDS"/>
    <s v="F"/>
    <n v="5"/>
    <s v="PT"/>
    <s v="PANTS"/>
    <s v="K"/>
    <n v="508"/>
    <n v="508"/>
    <s v="PNKPTF5508"/>
    <n v="0.2"/>
    <s v="14FW PLAYBOY_PANTS_01_BK_KIDS"/>
    <s v="BK"/>
    <s v="BLACK"/>
    <s v="PNKPTF5508BK"/>
    <x v="0"/>
    <n v="0.2"/>
    <m/>
    <n v="1"/>
    <s v="OMM"/>
    <n v="45"/>
    <x v="13"/>
    <n v="4"/>
    <x v="3"/>
    <s v="M"/>
    <s v="CN"/>
    <x v="0"/>
    <n v="69000"/>
    <x v="21"/>
    <n v="12545.454545454544"/>
    <n v="16514.89"/>
    <n v="3969.4354545454553"/>
    <m/>
    <n v="70"/>
    <m/>
    <n v="70"/>
    <n v="12.6"/>
    <m/>
    <d v="2014-05-08T00:00:00"/>
    <d v="2014-08-02T00:00:00"/>
    <d v="2014-07-28T00:00:00"/>
    <d v="2014-08-08T00:00:00"/>
    <d v="2014-08-26T00:00:00"/>
    <m/>
    <m/>
    <m/>
    <m/>
    <x v="0"/>
    <m/>
    <n v="45"/>
    <n v="0"/>
    <n v="0"/>
    <n v="0"/>
    <n v="0"/>
    <n v="0"/>
    <n v="45"/>
    <n v="743170.04999999993"/>
    <n v="3105000"/>
    <n v="3.7982252819893279"/>
  </r>
  <r>
    <n v="0"/>
    <n v="0"/>
    <n v="5"/>
    <n v="8"/>
    <s v="전략"/>
    <x v="19"/>
    <s v="PNK-EVERGREEN-04"/>
    <s v="PNK-EVERGREEN-04PNKPTF5508BK"/>
    <n v="3"/>
    <s v="PNK-EVERGREEN-043"/>
    <s v="PNK-EVERGREEN-043-PNKPTF5508BLACKOLL"/>
    <s v="PNK의류508"/>
    <s v="PNK"/>
    <s v="14FW P"/>
    <m/>
    <s v="PNK"/>
    <s v="PLAY NEWYORK KIDS"/>
    <s v="F"/>
    <n v="5"/>
    <s v="PT"/>
    <s v="PANTS"/>
    <s v="K"/>
    <n v="508"/>
    <n v="508"/>
    <s v="PNKPTF5508"/>
    <n v="0.2"/>
    <s v="14FW PLAYBOY_PANTS_01_BK_KIDS"/>
    <s v="BK"/>
    <s v="BLACK"/>
    <s v="PNKPTF5508BK"/>
    <x v="0"/>
    <n v="0.2"/>
    <m/>
    <n v="1"/>
    <s v="OLL"/>
    <n v="30"/>
    <x v="13"/>
    <n v="4"/>
    <x v="3"/>
    <s v="M"/>
    <s v="CN"/>
    <x v="0"/>
    <n v="69000"/>
    <x v="21"/>
    <n v="12545.454545454544"/>
    <n v="16514.89"/>
    <n v="3969.4354545454553"/>
    <m/>
    <n v="70"/>
    <m/>
    <n v="70"/>
    <n v="12.6"/>
    <m/>
    <d v="2014-05-08T00:00:00"/>
    <d v="2014-08-02T00:00:00"/>
    <d v="2014-07-28T00:00:00"/>
    <d v="2014-08-08T00:00:00"/>
    <d v="2014-08-26T00:00:00"/>
    <m/>
    <m/>
    <m/>
    <m/>
    <x v="0"/>
    <m/>
    <n v="30"/>
    <n v="0"/>
    <n v="0"/>
    <n v="0"/>
    <n v="0"/>
    <n v="0"/>
    <n v="30"/>
    <n v="495446.69999999995"/>
    <n v="2070000"/>
    <n v="3.7982252819893279"/>
  </r>
  <r>
    <n v="0"/>
    <n v="0"/>
    <n v="5"/>
    <n v="8"/>
    <s v="전략"/>
    <x v="19"/>
    <s v="PNK-EVERGREEN-04"/>
    <s v="PNK-EVERGREEN-04PNKPTF5508BK"/>
    <n v="3"/>
    <s v="PNK-EVERGREEN-043"/>
    <s v="PNK-EVERGREEN-043-PNKPTF5508BLACKOXL"/>
    <s v="PNK의류508"/>
    <s v="PNK"/>
    <s v="14FW P"/>
    <m/>
    <s v="PNK"/>
    <s v="PLAY NEWYORK KIDS"/>
    <s v="F"/>
    <n v="5"/>
    <s v="PT"/>
    <s v="PANTS"/>
    <s v="K"/>
    <n v="508"/>
    <n v="508"/>
    <s v="PNKPTF5508"/>
    <n v="0.2"/>
    <s v="14FW PLAYBOY_PANTS_01_BK_KIDS"/>
    <s v="BK"/>
    <s v="BLACK"/>
    <s v="PNKPTF5508BK"/>
    <x v="0"/>
    <n v="0.2"/>
    <m/>
    <n v="1"/>
    <s v="OXL"/>
    <n v="30"/>
    <x v="13"/>
    <n v="4"/>
    <x v="3"/>
    <s v="M"/>
    <s v="CN"/>
    <x v="0"/>
    <n v="69000"/>
    <x v="21"/>
    <n v="12545.454545454544"/>
    <n v="16514.89"/>
    <n v="3969.4354545454553"/>
    <m/>
    <n v="70"/>
    <m/>
    <n v="70"/>
    <n v="12.6"/>
    <m/>
    <d v="2014-05-08T00:00:00"/>
    <d v="2014-08-02T00:00:00"/>
    <d v="2014-07-28T00:00:00"/>
    <d v="2014-08-08T00:00:00"/>
    <d v="2014-08-26T00:00:00"/>
    <m/>
    <m/>
    <m/>
    <m/>
    <x v="0"/>
    <m/>
    <n v="31"/>
    <n v="0"/>
    <n v="0"/>
    <n v="0"/>
    <n v="0"/>
    <n v="0"/>
    <n v="30"/>
    <n v="495446.69999999995"/>
    <n v="2070000"/>
    <n v="3.7982252819893279"/>
  </r>
  <r>
    <n v="0"/>
    <n v="0"/>
    <s v=""/>
    <s v=""/>
    <s v=""/>
    <x v="1"/>
    <s v=""/>
    <s v=""/>
    <n v="0"/>
    <s v="0"/>
    <s v="0-"/>
    <n v="0"/>
    <s v="TTL"/>
    <s v=""/>
    <s v="PNK-EVERGREEN-04 TTL"/>
    <m/>
    <s v=""/>
    <s v=""/>
    <s v=""/>
    <m/>
    <s v=""/>
    <m/>
    <m/>
    <s v=""/>
    <s v=""/>
    <n v="1.9999999999999998"/>
    <m/>
    <s v=""/>
    <m/>
    <s v=""/>
    <x v="0"/>
    <n v="3.0000000000000009"/>
    <m/>
    <n v="1"/>
    <m/>
    <m/>
    <x v="1"/>
    <m/>
    <x v="1"/>
    <m/>
    <m/>
    <x v="1"/>
    <n v="0"/>
    <x v="1"/>
    <n v="0"/>
    <n v="0"/>
    <n v="0"/>
    <m/>
    <m/>
    <m/>
    <n v="0"/>
    <m/>
    <m/>
    <d v="1899-12-30T00:00:00"/>
    <m/>
    <d v="1899-12-30T00:00:00"/>
    <m/>
    <d v="1899-12-30T00:00:00"/>
    <m/>
    <m/>
    <m/>
    <m/>
    <x v="3"/>
    <m/>
    <n v="1044"/>
    <n v="0"/>
    <n v="0"/>
    <n v="0"/>
    <n v="0"/>
    <n v="0"/>
    <n v="1025"/>
    <n v="16144672.25"/>
    <n v="70725000"/>
    <n v="3.9824564754143301"/>
  </r>
  <r>
    <n v="0"/>
    <n v="0"/>
    <n v="5"/>
    <n v="9"/>
    <s v="전략"/>
    <x v="19"/>
    <s v="PNK-아트인드림-06"/>
    <s v="PNK-아트인드림-06PNKTHF5505BK"/>
    <n v="1"/>
    <s v="PNK-아트인드림-061"/>
    <s v="PNK-아트인드림-061-PNKTHF5505BLACKXXS"/>
    <s v="PNK의류505"/>
    <s v="PNK"/>
    <s v="14FW P"/>
    <m/>
    <s v="PNK"/>
    <s v="PLAY NEWYORK KIDS"/>
    <s v="F"/>
    <n v="5"/>
    <s v="TH"/>
    <s v="HOODED T-SHIRTS"/>
    <s v="K"/>
    <n v="505"/>
    <n v="505"/>
    <s v="PNKTHF5505"/>
    <n v="0.16666666666666666"/>
    <s v="14FW PLAYBOY_HOOD_02_BK_KIDS"/>
    <s v="BK"/>
    <s v="BLACK"/>
    <s v="PNKTHF5505BK"/>
    <x v="0"/>
    <n v="0.16666666666666666"/>
    <m/>
    <n v="1"/>
    <s v="XXS"/>
    <n v="120"/>
    <x v="15"/>
    <n v="6"/>
    <x v="6"/>
    <s v="M"/>
    <s v="KR"/>
    <x v="3"/>
    <n v="99000"/>
    <x v="7"/>
    <n v="25000"/>
    <n v="21490"/>
    <n v="-3510"/>
    <m/>
    <n v="20"/>
    <m/>
    <n v="20"/>
    <m/>
    <n v="21470"/>
    <d v="2014-05-08T00:00:00"/>
    <m/>
    <d v="2014-07-28T00:00:00"/>
    <d v="2014-08-13T00:00:00"/>
    <d v="2014-09-26T00:00:00"/>
    <d v="2014-09-30T00:00:00"/>
    <m/>
    <m/>
    <m/>
    <x v="0"/>
    <m/>
    <n v="125"/>
    <n v="0"/>
    <n v="0"/>
    <n v="0"/>
    <n v="0"/>
    <n v="0"/>
    <n v="120"/>
    <n v="2578800"/>
    <n v="11880000"/>
    <n v="4.1879944160074452"/>
  </r>
  <r>
    <n v="0"/>
    <n v="0"/>
    <n v="5"/>
    <n v="9"/>
    <s v="전략"/>
    <x v="19"/>
    <s v="PNK-아트인드림-06"/>
    <s v="PNK-아트인드림-06PNKTHF5505BK"/>
    <n v="1"/>
    <s v="PNK-아트인드림-061"/>
    <s v="PNK-아트인드림-061-PNKTHF5505BLACKOXS"/>
    <s v="PNK의류505"/>
    <s v="PNK"/>
    <s v="14FW P"/>
    <m/>
    <s v="PNK"/>
    <s v="PLAY NEWYORK KIDS"/>
    <s v="F"/>
    <n v="5"/>
    <s v="TH"/>
    <s v="HOODED T-SHIRTS"/>
    <s v="K"/>
    <n v="505"/>
    <n v="505"/>
    <s v="PNKTHF5505"/>
    <n v="0.16666666666666666"/>
    <s v="14FW PLAYBOY_HOOD_02_BK_KIDS"/>
    <s v="BK"/>
    <s v="BLACK"/>
    <s v="PNKTHF5505BK"/>
    <x v="0"/>
    <n v="0.16666666666666666"/>
    <m/>
    <n v="1"/>
    <s v="OXS"/>
    <n v="45"/>
    <x v="15"/>
    <n v="6"/>
    <x v="6"/>
    <s v="M"/>
    <s v="KR"/>
    <x v="3"/>
    <n v="99000"/>
    <x v="7"/>
    <n v="25000"/>
    <n v="21490"/>
    <n v="-3510"/>
    <m/>
    <n v="20"/>
    <m/>
    <n v="20"/>
    <m/>
    <n v="21470"/>
    <d v="2014-05-08T00:00:00"/>
    <m/>
    <d v="2014-07-28T00:00:00"/>
    <d v="2014-08-13T00:00:00"/>
    <d v="2014-09-26T00:00:00"/>
    <d v="2014-09-30T00:00:00"/>
    <m/>
    <m/>
    <m/>
    <x v="0"/>
    <m/>
    <n v="48"/>
    <n v="0"/>
    <n v="0"/>
    <n v="0"/>
    <n v="0"/>
    <n v="0"/>
    <n v="45"/>
    <n v="967050"/>
    <n v="4455000"/>
    <n v="4.1879944160074452"/>
  </r>
  <r>
    <n v="0"/>
    <n v="0"/>
    <n v="5"/>
    <n v="9"/>
    <s v="전략"/>
    <x v="19"/>
    <s v="PNK-아트인드림-06"/>
    <s v="PNK-아트인드림-06PNKTHF5505BK"/>
    <n v="1"/>
    <s v="PNK-아트인드림-061"/>
    <s v="PNK-아트인드림-061-PNKTHF5505BLACKOSS"/>
    <s v="PNK의류505"/>
    <s v="PNK"/>
    <s v="14FW P"/>
    <m/>
    <s v="PNK"/>
    <s v="PLAY NEWYORK KIDS"/>
    <s v="F"/>
    <n v="5"/>
    <s v="TH"/>
    <s v="HOODED T-SHIRTS"/>
    <s v="K"/>
    <n v="505"/>
    <n v="505"/>
    <s v="PNKTHF5505"/>
    <n v="0.16666666666666666"/>
    <s v="14FW PLAYBOY_HOOD_02_BK_KIDS"/>
    <s v="BK"/>
    <s v="BLACK"/>
    <s v="PNKTHF5505BK"/>
    <x v="0"/>
    <n v="0.16666666666666666"/>
    <m/>
    <n v="1"/>
    <s v="OSS"/>
    <n v="75"/>
    <x v="15"/>
    <n v="6"/>
    <x v="6"/>
    <s v="M"/>
    <s v="KR"/>
    <x v="3"/>
    <n v="99000"/>
    <x v="7"/>
    <n v="25000"/>
    <n v="21490"/>
    <n v="-3510"/>
    <m/>
    <n v="20"/>
    <m/>
    <n v="20"/>
    <m/>
    <n v="21470"/>
    <d v="2014-05-08T00:00:00"/>
    <m/>
    <d v="2014-07-28T00:00:00"/>
    <d v="2014-08-13T00:00:00"/>
    <d v="2014-09-26T00:00:00"/>
    <d v="2014-09-30T00:00:00"/>
    <m/>
    <m/>
    <m/>
    <x v="0"/>
    <m/>
    <n v="79"/>
    <n v="0"/>
    <n v="0"/>
    <n v="0"/>
    <n v="0"/>
    <n v="0"/>
    <n v="75"/>
    <n v="1611750"/>
    <n v="7425000"/>
    <n v="4.1879944160074452"/>
  </r>
  <r>
    <n v="0"/>
    <n v="0"/>
    <n v="5"/>
    <n v="9"/>
    <s v="전략"/>
    <x v="19"/>
    <s v="PNK-아트인드림-06"/>
    <s v="PNK-아트인드림-06PNKTHF5505BK"/>
    <n v="1"/>
    <s v="PNK-아트인드림-061"/>
    <s v="PNK-아트인드림-061-PNKTHF5505BLACKOMM"/>
    <s v="PNK의류505"/>
    <s v="PNK"/>
    <s v="14FW P"/>
    <m/>
    <s v="PNK"/>
    <s v="PLAY NEWYORK KIDS"/>
    <s v="F"/>
    <n v="5"/>
    <s v="TH"/>
    <s v="HOODED T-SHIRTS"/>
    <s v="K"/>
    <n v="505"/>
    <n v="505"/>
    <s v="PNKTHF5505"/>
    <n v="0.16666666666666666"/>
    <s v="14FW PLAYBOY_HOOD_02_BK_KIDS"/>
    <s v="BK"/>
    <s v="BLACK"/>
    <s v="PNKTHF5505BK"/>
    <x v="0"/>
    <n v="0.16666666666666666"/>
    <m/>
    <n v="1"/>
    <s v="OMM"/>
    <n v="75"/>
    <x v="15"/>
    <n v="6"/>
    <x v="6"/>
    <s v="M"/>
    <s v="KR"/>
    <x v="3"/>
    <n v="99000"/>
    <x v="7"/>
    <n v="25000"/>
    <n v="21490"/>
    <n v="-3510"/>
    <m/>
    <n v="20"/>
    <m/>
    <n v="20"/>
    <m/>
    <n v="21470"/>
    <d v="2014-05-08T00:00:00"/>
    <m/>
    <d v="2014-07-28T00:00:00"/>
    <d v="2014-08-13T00:00:00"/>
    <d v="2014-09-26T00:00:00"/>
    <d v="2014-09-30T00:00:00"/>
    <m/>
    <m/>
    <m/>
    <x v="0"/>
    <m/>
    <n v="76"/>
    <n v="0"/>
    <n v="0"/>
    <n v="0"/>
    <n v="0"/>
    <n v="0"/>
    <n v="75"/>
    <n v="1611750"/>
    <n v="7425000"/>
    <n v="4.1879944160074452"/>
  </r>
  <r>
    <n v="0"/>
    <n v="0"/>
    <n v="5"/>
    <n v="9"/>
    <s v="전략"/>
    <x v="19"/>
    <s v="PNK-아트인드림-06"/>
    <s v="PNK-아트인드림-06PNKTHF5505BK"/>
    <n v="1"/>
    <s v="PNK-아트인드림-061"/>
    <s v="PNK-아트인드림-061-PNKTHF5505BLACKOLL"/>
    <s v="PNK의류505"/>
    <s v="PNK"/>
    <s v="14FW P"/>
    <m/>
    <s v="PNK"/>
    <s v="PLAY NEWYORK KIDS"/>
    <s v="F"/>
    <n v="5"/>
    <s v="TH"/>
    <s v="HOODED T-SHIRTS"/>
    <s v="K"/>
    <n v="505"/>
    <n v="505"/>
    <s v="PNKTHF5505"/>
    <n v="0.16666666666666666"/>
    <s v="14FW PLAYBOY_HOOD_02_BK_KIDS"/>
    <s v="BK"/>
    <s v="BLACK"/>
    <s v="PNKTHF5505BK"/>
    <x v="0"/>
    <n v="0.16666666666666666"/>
    <m/>
    <n v="1"/>
    <s v="OLL"/>
    <n v="45"/>
    <x v="15"/>
    <n v="6"/>
    <x v="6"/>
    <s v="M"/>
    <s v="KR"/>
    <x v="3"/>
    <n v="99000"/>
    <x v="7"/>
    <n v="25000"/>
    <n v="21490"/>
    <n v="-3510"/>
    <m/>
    <n v="20"/>
    <m/>
    <n v="20"/>
    <m/>
    <n v="21470"/>
    <d v="2014-05-08T00:00:00"/>
    <m/>
    <d v="2014-07-28T00:00:00"/>
    <d v="2014-08-13T00:00:00"/>
    <d v="2014-09-26T00:00:00"/>
    <d v="2014-09-30T00:00:00"/>
    <m/>
    <m/>
    <m/>
    <x v="0"/>
    <m/>
    <n v="44"/>
    <n v="0"/>
    <n v="0"/>
    <n v="0"/>
    <n v="0"/>
    <n v="0"/>
    <n v="45"/>
    <n v="967050"/>
    <n v="4455000"/>
    <n v="4.1879944160074452"/>
  </r>
  <r>
    <n v="0"/>
    <n v="0"/>
    <n v="5"/>
    <n v="9"/>
    <s v="전략"/>
    <x v="19"/>
    <s v="PNK-아트인드림-06"/>
    <s v="PNK-아트인드림-06PNKTHF5505BK"/>
    <n v="1"/>
    <s v="PNK-아트인드림-061"/>
    <s v="PNK-아트인드림-061-PNKTHF5505BLACKOXL"/>
    <s v="PNK의류505"/>
    <s v="PNK"/>
    <s v="14FW P"/>
    <m/>
    <s v="PNK"/>
    <s v="PLAY NEWYORK KIDS"/>
    <s v="F"/>
    <n v="5"/>
    <s v="TH"/>
    <s v="HOODED T-SHIRTS"/>
    <s v="K"/>
    <n v="505"/>
    <n v="505"/>
    <s v="PNKTHF5505"/>
    <n v="0.16666666666666666"/>
    <s v="14FW PLAYBOY_HOOD_02_BK_KIDS"/>
    <s v="BK"/>
    <s v="BLACK"/>
    <s v="PNKTHF5505BK"/>
    <x v="0"/>
    <n v="0.16666666666666666"/>
    <m/>
    <n v="1"/>
    <s v="OXL"/>
    <n v="40"/>
    <x v="15"/>
    <n v="6"/>
    <x v="6"/>
    <s v="M"/>
    <s v="KR"/>
    <x v="3"/>
    <n v="99000"/>
    <x v="7"/>
    <n v="25000"/>
    <n v="21490"/>
    <n v="-3510"/>
    <m/>
    <n v="20"/>
    <m/>
    <n v="20"/>
    <m/>
    <n v="21470"/>
    <d v="2014-05-08T00:00:00"/>
    <m/>
    <d v="2014-07-28T00:00:00"/>
    <d v="2014-08-13T00:00:00"/>
    <d v="2014-09-26T00:00:00"/>
    <d v="2014-09-30T00:00:00"/>
    <m/>
    <m/>
    <m/>
    <x v="0"/>
    <m/>
    <n v="33"/>
    <n v="5"/>
    <n v="0"/>
    <n v="0"/>
    <n v="0"/>
    <n v="0"/>
    <n v="40"/>
    <n v="859600"/>
    <n v="3960000"/>
    <n v="4.1879944160074452"/>
  </r>
  <r>
    <n v="0"/>
    <n v="0"/>
    <s v=""/>
    <s v=""/>
    <s v=""/>
    <x v="1"/>
    <s v=""/>
    <s v=""/>
    <n v="0"/>
    <s v="0"/>
    <s v="0-"/>
    <n v="0"/>
    <s v="TTL"/>
    <s v=""/>
    <s v="PNK-아트인드림-06 TTL"/>
    <m/>
    <s v=""/>
    <s v=""/>
    <s v=""/>
    <m/>
    <s v=""/>
    <m/>
    <m/>
    <s v=""/>
    <s v=""/>
    <n v="0.99999999999999989"/>
    <m/>
    <s v=""/>
    <m/>
    <s v=""/>
    <x v="0"/>
    <n v="0.99999999999999989"/>
    <m/>
    <n v="1"/>
    <m/>
    <m/>
    <x v="1"/>
    <m/>
    <x v="1"/>
    <m/>
    <m/>
    <x v="1"/>
    <n v="0"/>
    <x v="1"/>
    <n v="0"/>
    <n v="0"/>
    <n v="0"/>
    <m/>
    <m/>
    <m/>
    <n v="0"/>
    <m/>
    <m/>
    <d v="1899-12-30T00:00:00"/>
    <m/>
    <d v="1899-12-30T00:00:00"/>
    <m/>
    <d v="1899-12-30T00:00:00"/>
    <m/>
    <m/>
    <m/>
    <m/>
    <x v="3"/>
    <m/>
    <n v="405"/>
    <n v="5"/>
    <n v="0"/>
    <n v="0"/>
    <n v="0"/>
    <n v="0"/>
    <n v="400"/>
    <n v="8596000"/>
    <n v="39600000"/>
    <n v="4.1879944160074452"/>
  </r>
  <r>
    <n v="0"/>
    <n v="0"/>
    <n v="6"/>
    <n v="10"/>
    <s v="F-CAP"/>
    <x v="20"/>
    <s v="ELK-아트인드림-07"/>
    <s v="ELK-아트인드림-07ELKBEF3533PK"/>
    <n v="1"/>
    <s v="ELK-아트인드림-071"/>
    <s v="ELK-아트인드림-071-ELKBEF3533PINKFRE"/>
    <s v="ELK의류외533"/>
    <s v="ELK"/>
    <s v="14FW E"/>
    <m/>
    <s v="ELK"/>
    <s v="ELSTINKO KIDS"/>
    <s v="F"/>
    <s v="3"/>
    <s v="BE"/>
    <s v="BEANIE"/>
    <s v="K"/>
    <n v="533"/>
    <n v="533"/>
    <s v="ELKBEF3533"/>
    <n v="1"/>
    <s v="14FW ELSTINKO_HAT_01_PI_BABY"/>
    <s v="PK"/>
    <s v="PINK"/>
    <s v="ELKBEF3533PK"/>
    <x v="0"/>
    <n v="1"/>
    <m/>
    <n v="1"/>
    <s v="FRE"/>
    <n v="400"/>
    <x v="15"/>
    <n v="7"/>
    <x v="7"/>
    <s v="M"/>
    <s v="KR"/>
    <x v="3"/>
    <n v="23000"/>
    <x v="1"/>
    <n v="5808.0808080808074"/>
    <n v="5220"/>
    <n v="-588.0808080808074"/>
    <m/>
    <n v="20"/>
    <m/>
    <n v="20"/>
    <m/>
    <n v="5200"/>
    <d v="2014-06-12T00:00:00"/>
    <m/>
    <d v="2014-07-28T00:00:00"/>
    <d v="2014-08-13T00:00:00"/>
    <d v="2014-10-10T00:00:00"/>
    <m/>
    <m/>
    <m/>
    <m/>
    <x v="0"/>
    <m/>
    <n v="395"/>
    <n v="0"/>
    <n v="0"/>
    <n v="0"/>
    <n v="0"/>
    <n v="0"/>
    <n v="400"/>
    <n v="2088000"/>
    <n v="9200000"/>
    <n v="4.0055729710902126"/>
  </r>
  <r>
    <n v="0"/>
    <n v="0"/>
    <n v="6"/>
    <n v="10"/>
    <s v="F-CAP"/>
    <x v="20"/>
    <s v="ELK-아트인드림-07"/>
    <s v="ELK-아트인드림-07ELKBEF3534BL"/>
    <n v="2"/>
    <s v="ELK-아트인드림-072"/>
    <s v="ELK-아트인드림-072-ELKBEF3534BLUEFRE"/>
    <s v="ELK의류외534"/>
    <s v="ELK"/>
    <s v="14FW E"/>
    <m/>
    <s v="ELK"/>
    <s v="ELSTINKO KIDS"/>
    <s v="F"/>
    <s v="3"/>
    <s v="BE"/>
    <s v="BEANIE"/>
    <s v="K"/>
    <n v="534"/>
    <n v="534"/>
    <s v="ELKBEF3534"/>
    <n v="1"/>
    <s v="14FW ELSTINKO_HAT_02_BL_BABY"/>
    <s v="BL"/>
    <s v="BLUE"/>
    <s v="ELKBEF3534BL"/>
    <x v="0"/>
    <n v="1"/>
    <m/>
    <n v="1"/>
    <s v="FRE"/>
    <n v="400"/>
    <x v="15"/>
    <n v="7"/>
    <x v="7"/>
    <s v="M"/>
    <s v="KR"/>
    <x v="3"/>
    <n v="23000"/>
    <x v="1"/>
    <n v="5808.0808080808074"/>
    <n v="5820"/>
    <n v="11.919191919192599"/>
    <m/>
    <n v="20"/>
    <m/>
    <n v="20"/>
    <m/>
    <n v="5800"/>
    <d v="2014-06-12T00:00:00"/>
    <m/>
    <d v="2014-07-28T00:00:00"/>
    <d v="2014-08-13T00:00:00"/>
    <d v="2014-10-10T00:00:00"/>
    <m/>
    <m/>
    <m/>
    <m/>
    <x v="0"/>
    <m/>
    <n v="390"/>
    <n v="0"/>
    <n v="0"/>
    <n v="0"/>
    <n v="0"/>
    <n v="0"/>
    <n v="400"/>
    <n v="2328000"/>
    <n v="9200000"/>
    <n v="3.5926273039675101"/>
  </r>
  <r>
    <n v="0"/>
    <n v="0"/>
    <n v="6"/>
    <n v="10"/>
    <s v="전략"/>
    <x v="18"/>
    <s v="ELK-아트인드림-07"/>
    <s v="ELK-아트인드림-07ELKBBF4595PK"/>
    <n v="3"/>
    <s v="ELK-아트인드림-073"/>
    <s v="ELK-아트인드림-073-ELKBBF4595PINKFRE"/>
    <s v="ELK의류595"/>
    <s v="ELK"/>
    <s v="14FW E"/>
    <m/>
    <s v="ELK"/>
    <s v="ELSTINKO KIDS"/>
    <s v="F"/>
    <n v="4"/>
    <s v="BB"/>
    <s v="BIB (턱받이)"/>
    <s v="K"/>
    <n v="595"/>
    <n v="595"/>
    <s v="ELKBBF4595"/>
    <n v="1"/>
    <s v="14FW ELSTINKO_BIB_01_PI_BABY"/>
    <s v="PK"/>
    <s v="PINK"/>
    <s v="ELKBBF4595PK"/>
    <x v="0"/>
    <n v="1"/>
    <m/>
    <n v="1"/>
    <s v="FRE"/>
    <n v="350"/>
    <x v="15"/>
    <n v="7"/>
    <x v="7"/>
    <s v="M"/>
    <s v="KR"/>
    <x v="3"/>
    <n v="23000"/>
    <x v="1"/>
    <n v="5808.0808080808074"/>
    <n v="6220"/>
    <n v="411.9191919191926"/>
    <m/>
    <n v="20"/>
    <m/>
    <n v="20"/>
    <m/>
    <n v="6200"/>
    <d v="2014-06-12T00:00:00"/>
    <m/>
    <d v="2014-07-28T00:00:00"/>
    <d v="2014-08-13T00:00:00"/>
    <d v="2014-10-10T00:00:00"/>
    <m/>
    <m/>
    <m/>
    <m/>
    <x v="0"/>
    <m/>
    <n v="340"/>
    <n v="0"/>
    <n v="0"/>
    <n v="0"/>
    <n v="0"/>
    <n v="0"/>
    <n v="350"/>
    <n v="2177000"/>
    <n v="8050000"/>
    <n v="3.3615901783104354"/>
  </r>
  <r>
    <n v="0"/>
    <n v="0"/>
    <n v="6"/>
    <n v="10"/>
    <s v="전략"/>
    <x v="18"/>
    <s v="ELK-아트인드림-07"/>
    <s v="ELK-아트인드림-07ELKBBF4596BL"/>
    <n v="4"/>
    <s v="ELK-아트인드림-074"/>
    <s v="ELK-아트인드림-074-ELKBBF4596BLUEFRE"/>
    <s v="ELK의류596"/>
    <s v="ELK"/>
    <s v="14FW E"/>
    <m/>
    <s v="ELK"/>
    <s v="ELSTINKO KIDS"/>
    <s v="F"/>
    <n v="4"/>
    <s v="BB"/>
    <s v="BIB (턱받이)"/>
    <s v="K"/>
    <n v="596"/>
    <n v="596"/>
    <s v="ELKBBF4596"/>
    <n v="1"/>
    <s v="14FW ELSTINKO_BIB_02_BL_BABY"/>
    <s v="BL"/>
    <s v="BLUE"/>
    <s v="ELKBBF4596BL"/>
    <x v="0"/>
    <n v="1"/>
    <m/>
    <n v="1"/>
    <s v="FRE"/>
    <n v="350"/>
    <x v="15"/>
    <n v="7"/>
    <x v="7"/>
    <s v="M"/>
    <s v="KR"/>
    <x v="3"/>
    <n v="23000"/>
    <x v="1"/>
    <n v="5808.0808080808074"/>
    <n v="6220"/>
    <n v="411.9191919191926"/>
    <m/>
    <n v="20"/>
    <m/>
    <n v="20"/>
    <m/>
    <n v="6200"/>
    <d v="2014-06-12T00:00:00"/>
    <m/>
    <d v="2014-07-28T00:00:00"/>
    <d v="2014-08-13T00:00:00"/>
    <d v="2014-10-10T00:00:00"/>
    <m/>
    <m/>
    <m/>
    <m/>
    <x v="0"/>
    <m/>
    <n v="340"/>
    <n v="0"/>
    <n v="0"/>
    <n v="0"/>
    <n v="0"/>
    <n v="0"/>
    <n v="350"/>
    <n v="2177000"/>
    <n v="8050000"/>
    <n v="3.3615901783104354"/>
  </r>
  <r>
    <n v="0"/>
    <n v="0"/>
    <s v=""/>
    <s v=""/>
    <s v=""/>
    <x v="1"/>
    <s v=""/>
    <s v=""/>
    <n v="0"/>
    <s v="0"/>
    <s v="0-"/>
    <n v="0"/>
    <s v="TTL"/>
    <s v=""/>
    <s v="ELK-아트인드림-07 TTL"/>
    <m/>
    <s v=""/>
    <s v=""/>
    <s v=""/>
    <m/>
    <s v=""/>
    <s v="K"/>
    <m/>
    <s v=""/>
    <s v=""/>
    <n v="4"/>
    <m/>
    <s v=""/>
    <m/>
    <s v=""/>
    <x v="0"/>
    <n v="4"/>
    <m/>
    <n v="1"/>
    <m/>
    <m/>
    <x v="1"/>
    <m/>
    <x v="1"/>
    <m/>
    <m/>
    <x v="1"/>
    <n v="0"/>
    <x v="1"/>
    <n v="0"/>
    <n v="0"/>
    <n v="0"/>
    <m/>
    <m/>
    <m/>
    <n v="0"/>
    <m/>
    <m/>
    <d v="1899-12-30T00:00:00"/>
    <m/>
    <d v="1899-12-30T00:00:00"/>
    <m/>
    <m/>
    <m/>
    <m/>
    <m/>
    <m/>
    <x v="3"/>
    <m/>
    <n v="1465"/>
    <n v="0"/>
    <n v="0"/>
    <n v="0"/>
    <n v="0"/>
    <n v="0"/>
    <n v="1500"/>
    <n v="8770000"/>
    <n v="34500000"/>
    <n v="3.5762413185446253"/>
  </r>
  <r>
    <n v="0"/>
    <n v="1"/>
    <n v="3"/>
    <n v="9"/>
    <s v="F-CAP"/>
    <x v="20"/>
    <s v="ELK-FOREMOST-01"/>
    <s v="ELK-FOREMOST-01ELKTPF5821MT"/>
    <n v="1"/>
    <s v="ELK-FOREMOST-011"/>
    <s v="ELK-FOREMOST-011-ELKTPF5821MINTFRE"/>
    <s v="ELK의류외821"/>
    <s v="ELK"/>
    <s v="13FW E"/>
    <m/>
    <s v="ELK"/>
    <s v="ELSTINKO KIDS"/>
    <s v="F"/>
    <n v="5"/>
    <s v="TP"/>
    <s v="TROOPER"/>
    <s v="K"/>
    <n v="821"/>
    <n v="821"/>
    <s v="ELKTPF5821"/>
    <n v="1"/>
    <s v="13FW ELS _x000a_22_WIRE_MIT_KIDS"/>
    <s v="MT"/>
    <s v="MINT"/>
    <s v="ELKTPF5821MT"/>
    <x v="1"/>
    <n v="1"/>
    <s v="겉감 1: 면 75%, 폴리에스터 25%/겉감 2 :폴리에스터 65%, 아크릴 35%"/>
    <n v="1"/>
    <s v="FRE"/>
    <n v="250"/>
    <x v="4"/>
    <n v="1"/>
    <x v="0"/>
    <s v="M"/>
    <s v="CN"/>
    <x v="0"/>
    <n v="45000"/>
    <x v="5"/>
    <n v="6818.1818181818171"/>
    <n v="6718.04"/>
    <n v="-100.14181818181714"/>
    <n v="960"/>
    <m/>
    <n v="20"/>
    <n v="980"/>
    <n v="4.5999999999999996"/>
    <m/>
    <d v="2014-03-13T00:00:00"/>
    <d v="2014-08-10T00:00:00"/>
    <d v="2014-08-07T00:00:00"/>
    <d v="2014-08-15T00:00:00"/>
    <d v="2014-09-24T00:00:00"/>
    <m/>
    <m/>
    <m/>
    <m/>
    <x v="0"/>
    <s v="확정"/>
    <n v="250"/>
    <n v="0"/>
    <n v="0"/>
    <n v="0"/>
    <n v="0"/>
    <n v="0"/>
    <n v="250"/>
    <n v="1679510"/>
    <n v="11250000"/>
    <n v="6.0894384238692991"/>
  </r>
  <r>
    <n v="0"/>
    <n v="1"/>
    <n v="3"/>
    <n v="9"/>
    <s v="F-CAP"/>
    <x v="20"/>
    <s v="ELK-FOREMOST-01"/>
    <s v="ELK-FOREMOST-01ELKTPF5801NY"/>
    <n v="2"/>
    <s v="ELK-FOREMOST-012"/>
    <s v="ELK-FOREMOST-012-ELKTPF5801NAVYFRE"/>
    <s v="ELK의류외801"/>
    <s v="ELK"/>
    <s v="13FW E"/>
    <m/>
    <s v="ELK"/>
    <s v="ELSTINKO KIDS"/>
    <s v="F"/>
    <n v="5"/>
    <s v="TP"/>
    <s v="TROOPER"/>
    <s v="K"/>
    <n v="801"/>
    <n v="801"/>
    <s v="ELKTPF5801"/>
    <n v="1"/>
    <s v="13FW ELS 07_TROOPER_NV_KIDS"/>
    <s v="NY"/>
    <s v="NAVY"/>
    <s v="ELKTPF5801NY"/>
    <x v="1"/>
    <n v="1"/>
    <s v="겉감 1 :  폴리에스터 100% /겉감 2 :  아크릴 80%,  폴리에스터 20%"/>
    <n v="1"/>
    <s v="FRE"/>
    <n v="250"/>
    <x v="4"/>
    <n v="1"/>
    <x v="0"/>
    <s v="M"/>
    <s v="CN"/>
    <x v="0"/>
    <n v="55000"/>
    <x v="5"/>
    <n v="8333.3333333333321"/>
    <n v="8445"/>
    <n v="111.66666666666788"/>
    <n v="2188"/>
    <n v="0"/>
    <n v="20"/>
    <n v="2208"/>
    <n v="5"/>
    <n v="0"/>
    <d v="2014-03-13T00:00:00"/>
    <d v="2014-08-10T00:00:00"/>
    <d v="2014-08-07T00:00:00"/>
    <d v="2014-08-15T00:00:00"/>
    <d v="2014-09-24T00:00:00"/>
    <d v="1899-12-30T00:00:00"/>
    <d v="1899-12-30T00:00:00"/>
    <d v="1899-12-30T00:00:00"/>
    <d v="1899-12-30T00:00:00"/>
    <x v="0"/>
    <s v="확정"/>
    <n v="250"/>
    <n v="0"/>
    <n v="0"/>
    <n v="0"/>
    <n v="0"/>
    <n v="0"/>
    <n v="250"/>
    <n v="2111250"/>
    <n v="13750000"/>
    <n v="5.9206631142687982"/>
  </r>
  <r>
    <n v="0"/>
    <n v="0"/>
    <s v=""/>
    <s v=""/>
    <s v=""/>
    <x v="1"/>
    <s v=""/>
    <s v=""/>
    <n v="0"/>
    <s v="0"/>
    <s v="0-"/>
    <n v="0"/>
    <s v="TTL"/>
    <s v=""/>
    <s v="ELK-FOREMOST-01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m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00"/>
    <n v="0"/>
    <n v="0"/>
    <n v="0"/>
    <n v="0"/>
    <n v="0"/>
    <n v="500"/>
    <n v="3790760"/>
    <n v="25000000"/>
    <n v="5.9954396288007485"/>
  </r>
  <r>
    <n v="0"/>
    <n v="0"/>
    <n v="4"/>
    <n v="8"/>
    <s v="F-CAP"/>
    <x v="20"/>
    <s v="ELK-성진-05"/>
    <s v="ELK-성진-05ELKSNF5503RE"/>
    <n v="1"/>
    <s v="ELK-성진-051"/>
    <s v="ELK-성진-051-ELKSNF5503REDXSS"/>
    <s v="ELK의류외503"/>
    <s v="ELK"/>
    <s v="14FW E"/>
    <m/>
    <s v="ELK"/>
    <s v="ELSTINKO KIDS"/>
    <s v="F"/>
    <n v="5"/>
    <s v="SN"/>
    <s v="SNAPBACK"/>
    <s v="K"/>
    <n v="503"/>
    <n v="503"/>
    <s v="ELKSNF5503"/>
    <n v="0.33333333333333331"/>
    <s v="14FW ELS_06_SNAP_RD_KIDS"/>
    <s v="RE"/>
    <s v="RED"/>
    <s v="ELKSNF5503RE"/>
    <x v="0"/>
    <n v="0.33333333333333331"/>
    <s v="면15%, 폴리에스터 85%"/>
    <n v="1"/>
    <s v="XSS"/>
    <n v="400"/>
    <x v="7"/>
    <n v="5"/>
    <x v="5"/>
    <s v="M"/>
    <s v="BG"/>
    <x v="0"/>
    <n v="45000"/>
    <x v="22"/>
    <n v="6818.1818181818171"/>
    <n v="6950.0000000000009"/>
    <n v="131.8181818181838"/>
    <n v="0"/>
    <n v="0"/>
    <n v="20"/>
    <n v="20"/>
    <n v="6"/>
    <n v="0"/>
    <d v="2014-04-07T00:00:00"/>
    <d v="2014-08-16T00:00:00"/>
    <d v="2014-07-24T00:00:00"/>
    <d v="2014-08-20T00:00:00"/>
    <d v="2014-08-26T00:00:00"/>
    <d v="2014-09-05T00:00:00"/>
    <d v="2014-09-18T00:00:00"/>
    <d v="1899-12-30T00:00:00"/>
    <d v="1899-12-30T00:00:00"/>
    <x v="0"/>
    <s v="확정"/>
    <n v="400"/>
    <n v="0"/>
    <n v="0"/>
    <n v="0"/>
    <n v="0"/>
    <n v="0"/>
    <n v="400"/>
    <n v="2780000.0000000005"/>
    <n v="18000000"/>
    <n v="5.8862001308044452"/>
  </r>
  <r>
    <n v="0"/>
    <n v="0"/>
    <n v="4"/>
    <n v="8"/>
    <s v="F-CAP"/>
    <x v="20"/>
    <s v="ELK-성진-05"/>
    <s v="ELK-성진-05ELKSNF5503RE"/>
    <n v="1"/>
    <s v="ELK-성진-051"/>
    <s v="ELK-성진-051-ELKSNF5503REDOSM"/>
    <s v="ELK의류외503"/>
    <s v="ELK"/>
    <s v="14FW E"/>
    <m/>
    <s v="ELK"/>
    <s v="ELSTINKO KIDS"/>
    <s v="F"/>
    <n v="5"/>
    <s v="SN"/>
    <s v="SNAPBACK"/>
    <s v="K"/>
    <n v="503"/>
    <n v="503"/>
    <s v="ELKSNF5503"/>
    <n v="0.33333333333333331"/>
    <s v="14FW ELS_06_SNAP_RD_KIDS"/>
    <s v="RE"/>
    <s v="RED"/>
    <s v="ELKSNF5503RE"/>
    <x v="0"/>
    <n v="0.33333333333333331"/>
    <s v="면15%, 폴리에스터 85%"/>
    <n v="1"/>
    <s v="OSM"/>
    <n v="100"/>
    <x v="7"/>
    <n v="5"/>
    <x v="5"/>
    <s v="M"/>
    <s v="BG"/>
    <x v="0"/>
    <n v="45000"/>
    <x v="22"/>
    <n v="6818.1818181818171"/>
    <n v="7065.5"/>
    <n v="247.31818181818289"/>
    <n v="0"/>
    <n v="0"/>
    <n v="20"/>
    <n v="20"/>
    <n v="6.1"/>
    <n v="0"/>
    <d v="2014-04-07T00:00:00"/>
    <d v="2014-08-16T00:00:00"/>
    <d v="2014-07-24T00:00:00"/>
    <d v="2014-08-20T00:00:00"/>
    <d v="2014-08-26T00:00:00"/>
    <d v="2014-09-05T00:00:00"/>
    <d v="2014-09-18T00:00:00"/>
    <d v="1899-12-30T00:00:00"/>
    <d v="1899-12-30T00:00:00"/>
    <x v="0"/>
    <s v="확정"/>
    <n v="50"/>
    <n v="0"/>
    <n v="50"/>
    <n v="0"/>
    <n v="0"/>
    <n v="0"/>
    <n v="100"/>
    <n v="706550"/>
    <n v="4500000"/>
    <n v="5.7899781910821462"/>
  </r>
  <r>
    <n v="0"/>
    <n v="0"/>
    <n v="4"/>
    <n v="8"/>
    <s v="F-CAP"/>
    <x v="20"/>
    <s v="ELK-성진-05"/>
    <s v="ELK-성진-05ELKSNF5503RE"/>
    <n v="1"/>
    <s v="ELK-성진-051"/>
    <s v="ELK-성진-051-ELKSNF5503REDOML"/>
    <s v="ELK의류외503"/>
    <s v="ELK"/>
    <s v="14FW E"/>
    <m/>
    <s v="ELK"/>
    <s v="ELSTINKO KIDS"/>
    <s v="F"/>
    <n v="5"/>
    <s v="SN"/>
    <s v="SNAPBACK"/>
    <s v="K"/>
    <n v="503"/>
    <n v="503"/>
    <s v="ELKSNF5503"/>
    <n v="0.33333333333333331"/>
    <s v="14FW ELS_06_SNAP_RD_KIDS"/>
    <s v="RE"/>
    <s v="RED"/>
    <s v="ELKSNF5503RE"/>
    <x v="0"/>
    <n v="0.33333333333333331"/>
    <s v="면15%, 폴리에스터 85%"/>
    <n v="1"/>
    <s v="OML"/>
    <n v="50"/>
    <x v="7"/>
    <n v="5"/>
    <x v="5"/>
    <s v="M"/>
    <s v="BG"/>
    <x v="0"/>
    <n v="45000"/>
    <x v="22"/>
    <n v="6818.1818181818171"/>
    <n v="7065.5"/>
    <n v="247.31818181818289"/>
    <n v="0"/>
    <n v="0"/>
    <n v="20"/>
    <n v="20"/>
    <n v="6.1"/>
    <n v="0"/>
    <d v="2014-04-07T00:00:00"/>
    <d v="2014-08-16T00:00:00"/>
    <d v="2014-07-24T00:00:00"/>
    <d v="2014-08-20T00:00:00"/>
    <d v="2014-08-26T00:00:00"/>
    <d v="2014-09-05T00:00:00"/>
    <d v="2014-09-18T00:00:00"/>
    <d v="1899-12-30T00:00:00"/>
    <d v="1899-12-30T00:00:00"/>
    <x v="0"/>
    <s v="확정"/>
    <n v="50"/>
    <n v="50"/>
    <n v="0"/>
    <n v="0"/>
    <n v="0"/>
    <n v="0"/>
    <n v="50"/>
    <n v="353275"/>
    <n v="2250000"/>
    <n v="5.7899781910821462"/>
  </r>
  <r>
    <n v="0"/>
    <n v="0"/>
    <s v=""/>
    <s v=""/>
    <s v=""/>
    <x v="1"/>
    <s v=""/>
    <s v=""/>
    <n v="0"/>
    <s v="0"/>
    <s v="0-"/>
    <n v="0"/>
    <s v="TTL"/>
    <s v=""/>
    <s v="ELK-성진-05 TTL"/>
    <m/>
    <s v=""/>
    <s v=""/>
    <s v=""/>
    <m/>
    <s v=""/>
    <s v="K"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m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00"/>
    <n v="50"/>
    <n v="50"/>
    <n v="0"/>
    <n v="0"/>
    <n v="0"/>
    <n v="550"/>
    <n v="3839825.0000000005"/>
    <n v="24750000"/>
    <n v="5.8596420409784287"/>
  </r>
  <r>
    <n v="0"/>
    <n v="0.5"/>
    <n v="4"/>
    <n v="9"/>
    <s v="F-CAP"/>
    <x v="20"/>
    <s v="ELK-동일모자-03"/>
    <s v="ELK-동일모자-03ELKBAF5506GR"/>
    <n v="1"/>
    <s v="ELK-동일모자-031"/>
    <s v="ELK-동일모자-031-ELKBAF5506GREENOSM"/>
    <s v="ELK의류외506"/>
    <s v="ELK"/>
    <s v="14FW E"/>
    <m/>
    <s v="ELK"/>
    <s v="ELSTINKO KIDS"/>
    <s v="F"/>
    <n v="5"/>
    <s v="BA"/>
    <s v="BASIC CAP"/>
    <s v="K"/>
    <n v="506"/>
    <n v="506"/>
    <s v="ELKBAF5506"/>
    <n v="0.5"/>
    <s v="14FW ELS_53_SNAP_GR_KIDS"/>
    <s v="GR"/>
    <s v="GREEN"/>
    <s v="ELKBAF5506GR"/>
    <x v="0"/>
    <n v="0.5"/>
    <s v="겉감 1: 울 50%, 폴리에스터 30%, 아크릴 20% / 겉감 2:  아크릴 100%"/>
    <n v="1"/>
    <s v="OSM"/>
    <n v="100"/>
    <x v="5"/>
    <n v="3"/>
    <x v="2"/>
    <s v="M"/>
    <s v="CN"/>
    <x v="0"/>
    <n v="45000"/>
    <x v="22"/>
    <n v="6818.1818181818171"/>
    <n v="7607.92"/>
    <n v="789.73818181818297"/>
    <n v="353"/>
    <n v="0"/>
    <n v="20"/>
    <n v="373"/>
    <n v="5.8"/>
    <n v="0"/>
    <d v="2014-04-07T00:00:00"/>
    <d v="2014-08-15T00:00:00"/>
    <d v="2014-07-24T00:00:00"/>
    <d v="2014-08-19T00:00:00"/>
    <d v="2014-09-01T00:00:00"/>
    <m/>
    <d v="1899-12-30T00:00:00"/>
    <d v="1899-12-30T00:00:00"/>
    <d v="1899-12-30T00:00:00"/>
    <x v="0"/>
    <s v="확정"/>
    <n v="93"/>
    <n v="0"/>
    <n v="0"/>
    <n v="0"/>
    <n v="0"/>
    <n v="0"/>
    <n v="100"/>
    <n v="760792"/>
    <n v="4500000"/>
    <n v="5.3771715408535981"/>
  </r>
  <r>
    <n v="0"/>
    <n v="0.5"/>
    <n v="4"/>
    <n v="9"/>
    <s v="F-CAP"/>
    <x v="20"/>
    <s v="ELK-동일모자-03"/>
    <s v="ELK-동일모자-03ELKBAF5506GR"/>
    <n v="1"/>
    <s v="ELK-동일모자-031"/>
    <s v="ELK-동일모자-031-ELKBAF5506GREENOML"/>
    <s v="ELK의류외506"/>
    <s v="ELK"/>
    <s v="14FW E"/>
    <m/>
    <s v="ELK"/>
    <s v="ELSTINKO KIDS"/>
    <s v="F"/>
    <n v="5"/>
    <s v="BA"/>
    <s v="BASIC CAP"/>
    <s v="K"/>
    <n v="506"/>
    <n v="506"/>
    <s v="ELKBAF5506"/>
    <n v="0.5"/>
    <s v="14FW ELS_53_SNAP_GR_KIDS"/>
    <s v="GR"/>
    <s v="GREEN"/>
    <s v="ELKBAF5506GR"/>
    <x v="0"/>
    <n v="0.5"/>
    <s v="겉감 1: 울 50%, 폴리에스터 30%, 아크릴 20% / 겉감 2:  아크릴 100%"/>
    <n v="1"/>
    <s v="OML"/>
    <n v="50"/>
    <x v="5"/>
    <n v="3"/>
    <x v="2"/>
    <s v="M"/>
    <s v="CN"/>
    <x v="0"/>
    <n v="45000"/>
    <x v="22"/>
    <n v="6818.1818181818171"/>
    <n v="7431.92"/>
    <n v="613.73818181818297"/>
    <n v="177"/>
    <n v="0"/>
    <n v="20"/>
    <n v="197"/>
    <n v="5.8"/>
    <n v="0"/>
    <d v="2014-04-07T00:00:00"/>
    <d v="2014-08-15T00:00:00"/>
    <d v="2014-07-24T00:00:00"/>
    <d v="2014-08-19T00:00:00"/>
    <d v="2014-09-01T00:00:00"/>
    <d v="1899-12-30T00:00:00"/>
    <d v="1899-12-30T00:00:00"/>
    <d v="1899-12-30T00:00:00"/>
    <d v="1899-12-30T00:00:00"/>
    <x v="0"/>
    <s v="확정"/>
    <n v="48"/>
    <n v="0"/>
    <n v="0"/>
    <n v="0"/>
    <n v="0"/>
    <n v="0"/>
    <n v="50"/>
    <n v="371596"/>
    <n v="2250000"/>
    <n v="5.5045117424690932"/>
  </r>
  <r>
    <n v="0"/>
    <n v="0.33333333333333331"/>
    <n v="4"/>
    <n v="8"/>
    <s v="F-CAP"/>
    <x v="20"/>
    <s v="ELK-동일모자-03"/>
    <s v="ELK-동일모자-03ELKBAF5507RE"/>
    <n v="2"/>
    <s v="ELK-동일모자-032"/>
    <s v="ELK-동일모자-032-ELKBAF5507REDXSS"/>
    <s v="ELK의류외507"/>
    <s v="ELK"/>
    <s v="14FW E"/>
    <m/>
    <s v="ELK"/>
    <s v="ELSTINKO KIDS"/>
    <s v="F"/>
    <n v="5"/>
    <s v="BA"/>
    <s v="BASIC CAP"/>
    <s v="K"/>
    <n v="507"/>
    <n v="507"/>
    <s v="ELKBAF5507"/>
    <n v="0.33333333333333331"/>
    <s v="14FW ELS_52_SNAP_RD_KIDS"/>
    <s v="RE"/>
    <s v="RED"/>
    <s v="ELKBAF5507RE"/>
    <x v="0"/>
    <n v="0.33333333333333331"/>
    <s v="겉감 1:  울40%, 폴리에스터 60%  /겉감 2: 아크릴 100% "/>
    <n v="1"/>
    <s v="XSS"/>
    <n v="400"/>
    <x v="5"/>
    <n v="3"/>
    <x v="2"/>
    <s v="M"/>
    <s v="CN"/>
    <x v="0"/>
    <n v="45000"/>
    <x v="22"/>
    <n v="6818.1818181818171"/>
    <n v="7589.5500000000011"/>
    <n v="771.36818181818398"/>
    <n v="397"/>
    <n v="0"/>
    <n v="20"/>
    <n v="417"/>
    <n v="5.75"/>
    <n v="0"/>
    <d v="2014-04-07T00:00:00"/>
    <d v="2014-08-15T00:00:00"/>
    <d v="2014-07-24T00:00:00"/>
    <d v="2014-08-19T00:00:00"/>
    <d v="2014-08-22T00:00:00"/>
    <d v="2014-09-01T00:00:00"/>
    <d v="2014-09-05T00:00:00"/>
    <d v="2014-10-13T00:00:00"/>
    <d v="1899-12-30T00:00:00"/>
    <x v="0"/>
    <s v="확정"/>
    <n v="20"/>
    <n v="360"/>
    <n v="17"/>
    <n v="0"/>
    <n v="0"/>
    <n v="0"/>
    <n v="400"/>
    <n v="3035820.0000000005"/>
    <n v="18000000"/>
    <n v="5.3901866262282869"/>
  </r>
  <r>
    <n v="0"/>
    <n v="0.33333333333333331"/>
    <n v="4"/>
    <n v="8"/>
    <s v="F-CAP"/>
    <x v="20"/>
    <s v="ELK-동일모자-03"/>
    <s v="ELK-동일모자-03ELKBAF5507RE"/>
    <n v="2"/>
    <s v="ELK-동일모자-032"/>
    <s v="ELK-동일모자-032-ELKBAF5507REDOSM"/>
    <s v="ELK의류외507"/>
    <s v="ELK"/>
    <s v="14FW E"/>
    <m/>
    <s v="ELK"/>
    <s v="ELSTINKO KIDS"/>
    <s v="F"/>
    <n v="5"/>
    <s v="BA"/>
    <s v="BASIC CAP"/>
    <s v="K"/>
    <n v="507"/>
    <n v="507"/>
    <s v="ELKBAF5507"/>
    <n v="0.33333333333333331"/>
    <s v="14FW ELS_52_SNAP_RD_KIDS"/>
    <s v="RE"/>
    <s v="RED"/>
    <s v="ELKBAF5507RE"/>
    <x v="0"/>
    <n v="0.33333333333333331"/>
    <s v="겉감 1:  울40%, 폴리에스터 60%  /겉감 2: 아크릴 100% "/>
    <n v="1"/>
    <s v="OSM"/>
    <n v="100"/>
    <x v="5"/>
    <n v="3"/>
    <x v="2"/>
    <s v="M"/>
    <s v="CN"/>
    <x v="0"/>
    <n v="45000"/>
    <x v="22"/>
    <n v="6818.1818181818171"/>
    <n v="7481.6600000000008"/>
    <n v="663.47818181818366"/>
    <n v="102"/>
    <n v="0"/>
    <n v="20"/>
    <n v="122"/>
    <n v="5.9"/>
    <n v="0"/>
    <d v="2014-04-07T00:00:00"/>
    <d v="2014-08-15T00:00:00"/>
    <d v="2014-07-24T00:00:00"/>
    <d v="2014-08-19T00:00:00"/>
    <d v="2014-08-22T00:00:00"/>
    <d v="2014-09-01T00:00:00"/>
    <d v="2014-09-05T00:00:00"/>
    <d v="2014-10-13T00:00:00"/>
    <d v="1899-12-30T00:00:00"/>
    <x v="0"/>
    <s v="확정"/>
    <n v="20"/>
    <n v="73"/>
    <n v="0"/>
    <n v="3"/>
    <n v="0"/>
    <n v="0"/>
    <n v="100"/>
    <n v="748166.00000000012"/>
    <n v="4500000"/>
    <n v="5.46791633261748"/>
  </r>
  <r>
    <n v="0"/>
    <n v="0.33333333333333331"/>
    <n v="4"/>
    <n v="8"/>
    <s v="F-CAP"/>
    <x v="20"/>
    <s v="ELK-동일모자-03"/>
    <s v="ELK-동일모자-03ELKBAF5507RE"/>
    <n v="2"/>
    <s v="ELK-동일모자-032"/>
    <s v="ELK-동일모자-032-ELKBAF5507REDOML"/>
    <s v="ELK의류외507"/>
    <s v="ELK"/>
    <s v="14FW E"/>
    <m/>
    <s v="ELK"/>
    <s v="ELSTINKO KIDS"/>
    <s v="F"/>
    <n v="5"/>
    <s v="BA"/>
    <s v="BASIC CAP"/>
    <s v="K"/>
    <n v="507"/>
    <n v="507"/>
    <s v="ELKBAF5507"/>
    <n v="0.33333333333333331"/>
    <s v="14FW ELS_52_SNAP_RD_KIDS"/>
    <s v="RE"/>
    <s v="RED"/>
    <s v="ELKBAF5507RE"/>
    <x v="0"/>
    <n v="0.33333333333333331"/>
    <s v="겉감 1:  울40%, 폴리에스터 60%  /겉감 2: 아크릴 100% "/>
    <n v="1"/>
    <s v="OML"/>
    <n v="50"/>
    <x v="5"/>
    <n v="3"/>
    <x v="2"/>
    <s v="M"/>
    <s v="CN"/>
    <x v="0"/>
    <n v="45000"/>
    <x v="22"/>
    <n v="6818.1818181818171"/>
    <n v="7430.6600000000008"/>
    <n v="612.47818181818366"/>
    <n v="51"/>
    <n v="0"/>
    <n v="20"/>
    <n v="71"/>
    <n v="5.9"/>
    <n v="0"/>
    <d v="2014-04-07T00:00:00"/>
    <d v="2014-08-15T00:00:00"/>
    <d v="2014-07-24T00:00:00"/>
    <d v="2014-08-19T00:00:00"/>
    <d v="2014-08-22T00:00:00"/>
    <d v="2014-09-01T00:00:00"/>
    <d v="2014-09-05T00:00:00"/>
    <d v="2014-10-13T00:00:00"/>
    <d v="1899-12-30T00:00:00"/>
    <x v="0"/>
    <s v="확정"/>
    <n v="20"/>
    <n v="28"/>
    <n v="0"/>
    <n v="0"/>
    <n v="0"/>
    <n v="0"/>
    <n v="50"/>
    <n v="371533.00000000006"/>
    <n v="2250000"/>
    <n v="5.5054451299199396"/>
  </r>
  <r>
    <n v="0"/>
    <n v="0.33333333333333331"/>
    <n v="4"/>
    <n v="8"/>
    <s v="F-CAP"/>
    <x v="20"/>
    <s v="ELK-동일모자-03"/>
    <s v="ELK-동일모자-03ELKBAF5508PK"/>
    <n v="3"/>
    <s v="ELK-동일모자-033"/>
    <s v="ELK-동일모자-033-ELKBAF5508PINKXSS"/>
    <s v="ELK의류외508"/>
    <s v="ELK"/>
    <s v="14FW E"/>
    <m/>
    <s v="ELK"/>
    <s v="ELSTINKO KIDS"/>
    <s v="F"/>
    <n v="5"/>
    <s v="BA"/>
    <s v="BASIC CAP"/>
    <s v="K"/>
    <n v="508"/>
    <n v="508"/>
    <s v="ELKBAF5508"/>
    <n v="0.33333333333333331"/>
    <s v="14FW ELS_52_SNAP_PK_KIDS"/>
    <s v="PK"/>
    <s v="PINK"/>
    <s v="ELKBAF5508PK"/>
    <x v="0"/>
    <n v="0.33333333333333331"/>
    <s v="겉감 1:  울40%, 폴리에스터 60%/겉감 2:  아크릴 100% "/>
    <n v="1"/>
    <s v="XSS"/>
    <n v="400"/>
    <x v="5"/>
    <n v="3"/>
    <x v="2"/>
    <s v="M"/>
    <s v="CN"/>
    <x v="0"/>
    <n v="45000"/>
    <x v="22"/>
    <n v="6818.1818181818171"/>
    <n v="7235.3300000000008"/>
    <n v="417.14818181818373"/>
    <n v="417"/>
    <n v="0"/>
    <n v="20"/>
    <n v="437"/>
    <n v="5.45"/>
    <n v="0"/>
    <d v="2014-04-07T00:00:00"/>
    <d v="2014-08-15T00:00:00"/>
    <d v="2014-07-24T00:00:00"/>
    <d v="2014-08-19T00:00:00"/>
    <d v="2014-08-22T00:00:00"/>
    <d v="2014-09-05T00:00:00"/>
    <d v="2014-09-30T00:00:00"/>
    <d v="1899-12-30T00:00:00"/>
    <d v="1899-12-30T00:00:00"/>
    <x v="0"/>
    <s v="확정"/>
    <n v="20"/>
    <n v="3"/>
    <n v="350"/>
    <n v="0"/>
    <n v="0"/>
    <n v="0"/>
    <n v="400"/>
    <n v="2894132.0000000005"/>
    <n v="18000000"/>
    <n v="5.6540739550360382"/>
  </r>
  <r>
    <n v="0"/>
    <n v="0.33333333333333331"/>
    <n v="4"/>
    <n v="8"/>
    <s v="F-CAP"/>
    <x v="20"/>
    <s v="ELK-동일모자-03"/>
    <s v="ELK-동일모자-03ELKBAF5508PK"/>
    <n v="3"/>
    <s v="ELK-동일모자-033"/>
    <s v="ELK-동일모자-033-ELKBAF5508PINKOSM"/>
    <s v="ELK의류외508"/>
    <s v="ELK"/>
    <s v="14FW E"/>
    <m/>
    <s v="ELK"/>
    <s v="ELSTINKO KIDS"/>
    <s v="F"/>
    <n v="5"/>
    <s v="BA"/>
    <s v="BASIC CAP"/>
    <s v="K"/>
    <n v="508"/>
    <n v="508"/>
    <s v="ELKBAF5508"/>
    <n v="0.33333333333333331"/>
    <s v="14FW ELS_52_SNAP_PK_KIDS"/>
    <s v="PK"/>
    <s v="PINK"/>
    <s v="ELKBAF5508PK"/>
    <x v="0"/>
    <n v="0.33333333333333331"/>
    <s v="겉감 1:  울40%, 폴리에스터 60%/겉감 2:  아크릴 100% "/>
    <n v="1"/>
    <s v="OSM"/>
    <n v="100"/>
    <x v="5"/>
    <n v="3"/>
    <x v="2"/>
    <s v="M"/>
    <s v="CN"/>
    <x v="0"/>
    <n v="45000"/>
    <x v="22"/>
    <n v="6818.1818181818171"/>
    <n v="7112.4400000000005"/>
    <n v="294.2581818181834"/>
    <n v="107"/>
    <n v="0"/>
    <n v="20"/>
    <n v="127"/>
    <n v="5.6"/>
    <n v="0"/>
    <d v="2014-04-07T00:00:00"/>
    <d v="2014-08-15T00:00:00"/>
    <d v="2014-07-24T00:00:00"/>
    <d v="2014-08-19T00:00:00"/>
    <d v="2014-08-22T00:00:00"/>
    <d v="2014-09-05T00:00:00"/>
    <d v="2014-09-30T00:00:00"/>
    <d v="1899-12-30T00:00:00"/>
    <d v="1899-12-30T00:00:00"/>
    <x v="0"/>
    <s v="확정"/>
    <n v="20"/>
    <n v="82"/>
    <n v="0"/>
    <n v="0"/>
    <n v="0"/>
    <n v="0"/>
    <n v="100"/>
    <n v="711244"/>
    <n v="4500000"/>
    <n v="5.7517660478107242"/>
  </r>
  <r>
    <n v="0"/>
    <n v="0.33333333333333331"/>
    <n v="4"/>
    <n v="8"/>
    <s v="F-CAP"/>
    <x v="20"/>
    <s v="ELK-동일모자-03"/>
    <s v="ELK-동일모자-03ELKBAF5508PK"/>
    <n v="3"/>
    <s v="ELK-동일모자-033"/>
    <s v="ELK-동일모자-033-ELKBAF5508PINKOML"/>
    <s v="ELK의류외508"/>
    <s v="ELK"/>
    <s v="14FW E"/>
    <m/>
    <s v="ELK"/>
    <s v="ELSTINKO KIDS"/>
    <s v="F"/>
    <n v="5"/>
    <s v="BA"/>
    <s v="BASIC CAP"/>
    <s v="K"/>
    <n v="508"/>
    <n v="508"/>
    <s v="ELKBAF5508"/>
    <n v="0.33333333333333331"/>
    <s v="14FW ELS_52_SNAP_PK_KIDS"/>
    <s v="PK"/>
    <s v="PINK"/>
    <s v="ELKBAF5508PK"/>
    <x v="0"/>
    <n v="0.33333333333333331"/>
    <s v="겉감 1:  울40%, 폴리에스터 60%/겉감 2:  아크릴 100% "/>
    <n v="1"/>
    <s v="OML"/>
    <n v="50"/>
    <x v="5"/>
    <n v="3"/>
    <x v="2"/>
    <s v="M"/>
    <s v="CN"/>
    <x v="0"/>
    <n v="45000"/>
    <x v="22"/>
    <n v="6818.1818181818171"/>
    <n v="7059.4400000000005"/>
    <n v="241.2581818181834"/>
    <n v="54"/>
    <n v="0"/>
    <n v="20"/>
    <n v="74"/>
    <n v="5.6"/>
    <n v="0"/>
    <d v="2014-04-07T00:00:00"/>
    <d v="2014-08-15T00:00:00"/>
    <d v="2014-07-24T00:00:00"/>
    <d v="2014-08-19T00:00:00"/>
    <d v="2014-08-22T00:00:00"/>
    <d v="2014-09-05T00:00:00"/>
    <d v="2014-09-30T00:00:00"/>
    <d v="1899-12-30T00:00:00"/>
    <d v="1899-12-30T00:00:00"/>
    <x v="0"/>
    <s v="확정"/>
    <n v="20"/>
    <n v="24"/>
    <n v="0"/>
    <n v="0"/>
    <n v="0"/>
    <m/>
    <n v="50"/>
    <n v="352972"/>
    <n v="2250000"/>
    <n v="5.7949484532896243"/>
  </r>
  <r>
    <n v="0"/>
    <n v="0"/>
    <s v=""/>
    <s v=""/>
    <s v=""/>
    <x v="1"/>
    <s v=""/>
    <s v=""/>
    <n v="0"/>
    <s v="0"/>
    <s v="0-"/>
    <n v="0"/>
    <s v="TTL"/>
    <s v=""/>
    <s v="ELK-동일모자-03 TTL"/>
    <m/>
    <s v=""/>
    <s v=""/>
    <s v=""/>
    <m/>
    <s v=""/>
    <s v="K"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m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61"/>
    <n v="570"/>
    <n v="367"/>
    <n v="3"/>
    <n v="0"/>
    <n v="0"/>
    <n v="1250"/>
    <n v="9246255.0000000019"/>
    <n v="56250000"/>
    <n v="5.5304946312170298"/>
  </r>
  <r>
    <n v="0"/>
    <n v="0.5"/>
    <n v="4"/>
    <n v="9"/>
    <s v="F-CAP"/>
    <x v="20"/>
    <s v="ELK-동일모자-04"/>
    <s v="ELK-동일모자-04ELKERF5511GR"/>
    <n v="1"/>
    <s v="ELK-동일모자-041"/>
    <s v="ELK-동일모자-041-ELKERF5511GREENOSM"/>
    <s v="ELK의류외511"/>
    <s v="ELK"/>
    <s v="14FW E"/>
    <m/>
    <s v="ELK"/>
    <s v="ELSTINKO KIDS"/>
    <s v="F"/>
    <n v="5"/>
    <s v="ER"/>
    <s v="EARCAP"/>
    <s v="K"/>
    <n v="511"/>
    <n v="511"/>
    <s v="ELKERF5511"/>
    <n v="0.5"/>
    <s v="14FW ELS_02_SNAP_GR_KIDS"/>
    <s v="GR"/>
    <s v="GREEN"/>
    <s v="ELKERF5511GR"/>
    <x v="0"/>
    <n v="0.5"/>
    <s v="겉감 1: 울 50%, 폴리에스터 30%, 아크릴 20% /겉감 2:  아크릴 100%"/>
    <n v="1"/>
    <s v="OSM"/>
    <n v="100"/>
    <x v="5"/>
    <n v="4"/>
    <x v="3"/>
    <s v="M"/>
    <s v="CN"/>
    <x v="0"/>
    <n v="55000"/>
    <x v="22"/>
    <n v="8333.3333333333321"/>
    <n v="9087.0600000000013"/>
    <n v="753.72666666666919"/>
    <n v="460"/>
    <n v="0"/>
    <n v="20"/>
    <n v="480"/>
    <n v="6.9"/>
    <n v="0"/>
    <d v="2014-04-07T00:00:00"/>
    <d v="2014-08-25T00:00:00"/>
    <d v="2014-08-28T00:00:00"/>
    <d v="2014-08-28T00:00:00"/>
    <d v="2014-09-30T00:00:00"/>
    <d v="1899-12-30T00:00:00"/>
    <d v="1899-12-30T00:00:00"/>
    <d v="1899-12-30T00:00:00"/>
    <d v="1899-12-30T00:00:00"/>
    <x v="0"/>
    <s v="확정"/>
    <n v="100"/>
    <n v="0"/>
    <n v="0"/>
    <n v="0"/>
    <n v="0"/>
    <n v="0"/>
    <n v="100"/>
    <n v="908706.00000000012"/>
    <n v="5500000"/>
    <n v="5.5023296863892162"/>
  </r>
  <r>
    <n v="0"/>
    <n v="0.5"/>
    <n v="4"/>
    <n v="9"/>
    <s v="F-CAP"/>
    <x v="20"/>
    <s v="ELK-동일모자-04"/>
    <s v="ELK-동일모자-04ELKERF5511GR"/>
    <n v="1"/>
    <s v="ELK-동일모자-041"/>
    <s v="ELK-동일모자-041-ELKERF5511GREENOML"/>
    <s v="ELK의류외511"/>
    <s v="ELK"/>
    <s v="14FW E"/>
    <m/>
    <s v="ELK"/>
    <s v="ELSTINKO KIDS"/>
    <s v="F"/>
    <n v="5"/>
    <s v="ER"/>
    <s v="EARCAP"/>
    <s v="K"/>
    <n v="511"/>
    <n v="511"/>
    <s v="ELKERF5511"/>
    <n v="0.5"/>
    <s v="14FW ELS_02_SNAP_GR_KIDS"/>
    <s v="GR"/>
    <s v="GREEN"/>
    <s v="ELKERF5511GR"/>
    <x v="0"/>
    <n v="0.5"/>
    <s v="겉감 1: 울 50%, 폴리에스터 30%, 아크릴 20% /겉감 2:  아크릴 100%"/>
    <n v="1"/>
    <s v="OML"/>
    <n v="50"/>
    <x v="5"/>
    <n v="4"/>
    <x v="3"/>
    <s v="M"/>
    <s v="CN"/>
    <x v="0"/>
    <n v="55000"/>
    <x v="22"/>
    <n v="8333.3333333333321"/>
    <n v="8857.0600000000013"/>
    <n v="523.72666666666919"/>
    <n v="230"/>
    <n v="0"/>
    <n v="20"/>
    <n v="250"/>
    <n v="6.9"/>
    <n v="0"/>
    <d v="2014-04-07T00:00:00"/>
    <d v="2014-08-25T00:00:00"/>
    <d v="2014-08-28T00:00:00"/>
    <d v="2014-08-28T00:00:00"/>
    <d v="2014-09-30T00:00:00"/>
    <d v="1899-12-30T00:00:00"/>
    <d v="1899-12-30T00:00:00"/>
    <d v="1899-12-30T00:00:00"/>
    <d v="1899-12-30T00:00:00"/>
    <x v="0"/>
    <s v="확정"/>
    <n v="45"/>
    <n v="0"/>
    <n v="0"/>
    <n v="0"/>
    <n v="0"/>
    <m/>
    <n v="50"/>
    <n v="442853.00000000006"/>
    <n v="2750000"/>
    <n v="5.6452141003899703"/>
  </r>
  <r>
    <n v="0"/>
    <n v="0.5"/>
    <n v="4"/>
    <n v="9"/>
    <s v="F-CAP"/>
    <x v="20"/>
    <s v="ELK-동일모자-04"/>
    <s v="ELK-동일모자-04ELKERF5512RE"/>
    <n v="2"/>
    <s v="ELK-동일모자-042"/>
    <s v="ELK-동일모자-042-ELKERF5512REDOSM"/>
    <s v="ELK의류외512"/>
    <s v="ELK"/>
    <s v="14FW E"/>
    <m/>
    <s v="ELK"/>
    <s v="ELSTINKO KIDS"/>
    <s v="F"/>
    <n v="5"/>
    <s v="ER"/>
    <s v="EARCAP"/>
    <s v="K"/>
    <n v="512"/>
    <n v="512"/>
    <s v="ELKERF5512"/>
    <n v="0.5"/>
    <s v="14FW ELS_01_SNAP_RD_KIDS"/>
    <s v="RE"/>
    <s v="RED"/>
    <s v="ELKERF5512RE"/>
    <x v="0"/>
    <n v="0.5"/>
    <s v="겉감 1:  울40%, 폴리에스터 60%/겉감 2: 아크릴 100%"/>
    <n v="1"/>
    <s v="OSM"/>
    <n v="100"/>
    <x v="5"/>
    <n v="4"/>
    <x v="3"/>
    <s v="M"/>
    <s v="CN"/>
    <x v="0"/>
    <n v="55000"/>
    <x v="22"/>
    <n v="8333.3333333333321"/>
    <n v="9257.8000000000011"/>
    <n v="924.46666666666897"/>
    <n v="506"/>
    <n v="0"/>
    <n v="20"/>
    <n v="526"/>
    <n v="7"/>
    <n v="0"/>
    <d v="2014-04-07T00:00:00"/>
    <d v="2014-08-25T00:00:00"/>
    <d v="2014-08-28T00:00:00"/>
    <d v="2014-08-28T00:00:00"/>
    <d v="2014-09-05T00:00:00"/>
    <d v="2014-09-30T00:00:00"/>
    <d v="1899-12-30T00:00:00"/>
    <d v="1899-12-30T00:00:00"/>
    <d v="1899-12-30T00:00:00"/>
    <x v="0"/>
    <s v="확정"/>
    <n v="0"/>
    <n v="105"/>
    <n v="0"/>
    <n v="0"/>
    <n v="0"/>
    <n v="0"/>
    <n v="100"/>
    <n v="925780.00000000012"/>
    <n v="5500000"/>
    <n v="5.4008511741450445"/>
  </r>
  <r>
    <n v="0"/>
    <n v="0.5"/>
    <n v="4"/>
    <n v="9"/>
    <s v="F-CAP"/>
    <x v="20"/>
    <s v="ELK-동일모자-04"/>
    <s v="ELK-동일모자-04ELKERF5512RE"/>
    <n v="2"/>
    <s v="ELK-동일모자-042"/>
    <s v="ELK-동일모자-042-ELKERF5512REDOML"/>
    <s v="ELK의류외512"/>
    <s v="ELK"/>
    <s v="14FW E"/>
    <m/>
    <s v="ELK"/>
    <s v="ELSTINKO KIDS"/>
    <s v="F"/>
    <n v="5"/>
    <s v="ER"/>
    <s v="EARCAP"/>
    <s v="K"/>
    <n v="512"/>
    <n v="512"/>
    <s v="ELKERF5512"/>
    <n v="0.5"/>
    <s v="14FW ELS_01_SNAP_RD_KIDS"/>
    <s v="RE"/>
    <s v="RED"/>
    <s v="ELKERF5512RE"/>
    <x v="0"/>
    <n v="0.5"/>
    <s v="겉감 1:  울40%, 폴리에스터 60%/겉감 2: 아크릴 100%"/>
    <n v="1"/>
    <s v="OML"/>
    <n v="50"/>
    <x v="5"/>
    <n v="4"/>
    <x v="3"/>
    <s v="M"/>
    <s v="CN"/>
    <x v="0"/>
    <n v="55000"/>
    <x v="22"/>
    <n v="8333.3333333333321"/>
    <n v="9004.8000000000011"/>
    <n v="671.46666666666897"/>
    <n v="253"/>
    <n v="0"/>
    <n v="20"/>
    <n v="273"/>
    <n v="7"/>
    <n v="0"/>
    <d v="2014-04-07T00:00:00"/>
    <d v="2014-08-25T00:00:00"/>
    <d v="2014-08-28T00:00:00"/>
    <d v="2014-08-28T00:00:00"/>
    <d v="2014-09-05T00:00:00"/>
    <d v="2014-09-30T00:00:00"/>
    <d v="1899-12-30T00:00:00"/>
    <d v="1899-12-30T00:00:00"/>
    <d v="1899-12-30T00:00:00"/>
    <x v="0"/>
    <s v="확정"/>
    <n v="19"/>
    <n v="1"/>
    <n v="0"/>
    <n v="0"/>
    <n v="0"/>
    <m/>
    <n v="50"/>
    <n v="450240.00000000006"/>
    <n v="2750000"/>
    <n v="5.5525941719971561"/>
  </r>
  <r>
    <n v="0"/>
    <n v="0.5"/>
    <n v="4"/>
    <n v="9"/>
    <s v="F-CAP"/>
    <x v="20"/>
    <s v="ELK-동일모자-04"/>
    <s v="ELK-동일모자-04ELKERF5513PK"/>
    <n v="3"/>
    <s v="ELK-동일모자-043"/>
    <s v="ELK-동일모자-043-ELKERF5513PINKOSM"/>
    <s v="ELK의류외513"/>
    <s v="ELK"/>
    <s v="14FW E"/>
    <m/>
    <s v="ELK"/>
    <s v="ELSTINKO KIDS"/>
    <s v="F"/>
    <n v="5"/>
    <s v="ER"/>
    <s v="EARCAP"/>
    <s v="K"/>
    <n v="513"/>
    <n v="513"/>
    <s v="ELKERF5513"/>
    <n v="0.5"/>
    <s v="14FW ELS_05_SNAP_PK_KIDS"/>
    <s v="PK"/>
    <s v="PINK"/>
    <s v="ELKERF5513PK"/>
    <x v="0"/>
    <n v="0.5"/>
    <s v="겉감 1:  울40%, 폴리에스터 60%/겉감 2:  아크릴 100% "/>
    <n v="1"/>
    <s v="OSM"/>
    <n v="100"/>
    <x v="5"/>
    <n v="4"/>
    <x v="3"/>
    <s v="M"/>
    <s v="CN"/>
    <x v="0"/>
    <n v="55000"/>
    <x v="22"/>
    <n v="8333.3333333333321"/>
    <n v="9284.0600000000013"/>
    <n v="950.72666666666919"/>
    <n v="657"/>
    <n v="0"/>
    <n v="20"/>
    <n v="677"/>
    <n v="6.9"/>
    <n v="0"/>
    <d v="2014-04-07T00:00:00"/>
    <d v="2014-08-25T00:00:00"/>
    <d v="2014-08-28T00:00:00"/>
    <d v="2014-08-28T00:00:00"/>
    <d v="2014-09-30T00:00:00"/>
    <d v="1899-12-30T00:00:00"/>
    <m/>
    <d v="1899-12-30T00:00:00"/>
    <d v="1899-12-30T00:00:00"/>
    <x v="0"/>
    <s v="확정"/>
    <n v="113"/>
    <n v="0"/>
    <n v="0"/>
    <n v="0"/>
    <n v="0"/>
    <n v="0"/>
    <n v="100"/>
    <n v="928406.00000000012"/>
    <n v="5500000"/>
    <n v="5.3855748454878567"/>
  </r>
  <r>
    <n v="0"/>
    <n v="0.5"/>
    <n v="4"/>
    <n v="9"/>
    <s v="F-CAP"/>
    <x v="20"/>
    <s v="ELK-동일모자-04"/>
    <s v="ELK-동일모자-04ELKERF5513PK"/>
    <n v="3"/>
    <s v="ELK-동일모자-043"/>
    <s v="ELK-동일모자-043-ELKERF5513PINKOML"/>
    <s v="ELK의류외513"/>
    <s v="ELK"/>
    <s v="14FW E"/>
    <m/>
    <s v="ELK"/>
    <s v="ELSTINKO KIDS"/>
    <s v="F"/>
    <n v="5"/>
    <s v="ER"/>
    <s v="EARCAP"/>
    <s v="K"/>
    <n v="513"/>
    <n v="513"/>
    <s v="ELKERF5513"/>
    <n v="0.5"/>
    <s v="14FW ELS_05_SNAP_PK_KIDS"/>
    <s v="PK"/>
    <s v="PINK"/>
    <s v="ELKERF5513PK"/>
    <x v="0"/>
    <n v="0.5"/>
    <s v="겉감 1:  울40%, 폴리에스터 60%/겉감 2:  아크릴 100% "/>
    <n v="1"/>
    <s v="OML"/>
    <n v="50"/>
    <x v="5"/>
    <n v="4"/>
    <x v="3"/>
    <s v="M"/>
    <s v="CN"/>
    <x v="0"/>
    <n v="55000"/>
    <x v="22"/>
    <n v="8333.3333333333321"/>
    <n v="8956.0600000000013"/>
    <n v="622.72666666666919"/>
    <n v="329"/>
    <n v="0"/>
    <n v="20"/>
    <n v="349"/>
    <n v="6.9"/>
    <n v="0"/>
    <d v="2014-04-07T00:00:00"/>
    <d v="2014-08-25T00:00:00"/>
    <d v="2014-08-28T00:00:00"/>
    <d v="2014-08-28T00:00:00"/>
    <d v="2014-09-30T00:00:00"/>
    <d v="1899-12-30T00:00:00"/>
    <d v="1899-12-30T00:00:00"/>
    <d v="1899-12-30T00:00:00"/>
    <d v="1899-12-30T00:00:00"/>
    <x v="0"/>
    <s v="확정"/>
    <n v="50"/>
    <n v="0"/>
    <n v="0"/>
    <n v="0"/>
    <n v="0"/>
    <n v="0"/>
    <n v="50"/>
    <n v="447803.00000000006"/>
    <n v="2750000"/>
    <n v="5.5828120847783502"/>
  </r>
  <r>
    <n v="0"/>
    <n v="0"/>
    <s v=""/>
    <s v=""/>
    <s v=""/>
    <x v="1"/>
    <s v=""/>
    <s v=""/>
    <n v="0"/>
    <s v="0"/>
    <s v="0-"/>
    <n v="0"/>
    <s v="TTL"/>
    <s v=""/>
    <s v="ELK-동일모자-04 TTL"/>
    <m/>
    <s v=""/>
    <s v=""/>
    <s v=""/>
    <m/>
    <s v=""/>
    <s v="K"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m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27"/>
    <n v="106"/>
    <n v="0"/>
    <n v="0"/>
    <n v="0"/>
    <n v="0"/>
    <n v="450"/>
    <n v="4103788.0000000005"/>
    <n v="24750000"/>
    <n v="5.4827393617798963"/>
  </r>
  <r>
    <n v="0"/>
    <n v="0.33333333333333331"/>
    <n v="4"/>
    <n v="9"/>
    <s v="F-CAP"/>
    <x v="20"/>
    <s v="ELK-FOREMOST-10"/>
    <s v="ELK-FOREMOST-10ELKERF5516OR"/>
    <n v="1"/>
    <s v="ELK-FOREMOST-101"/>
    <s v="ELK-FOREMOST-101-ELKERF5516ORANGEXSS"/>
    <s v="ELK의류외516"/>
    <s v="ELK"/>
    <s v="14FW E"/>
    <m/>
    <s v="ELK"/>
    <s v="ELSTINKO KIDS"/>
    <s v="F"/>
    <n v="5"/>
    <s v="ER"/>
    <s v="EARCAP"/>
    <s v="K"/>
    <n v="516"/>
    <n v="516"/>
    <s v="ELKERF5516"/>
    <n v="0.33333333333333331"/>
    <s v="14FW ELS 39_TROOPER_OR_KIDS"/>
    <s v="OR"/>
    <s v="ORANGE"/>
    <s v="ELKERF5516OR"/>
    <x v="0"/>
    <n v="0.33333333333333331"/>
    <s v="면 70% , 폴리에스터 30%"/>
    <n v="1"/>
    <s v="XSS"/>
    <n v="400"/>
    <x v="4"/>
    <n v="10"/>
    <x v="21"/>
    <s v="M"/>
    <s v="CN"/>
    <x v="0"/>
    <n v="45000"/>
    <x v="22"/>
    <n v="6818.1818181818171"/>
    <n v="6874.9982608695655"/>
    <n v="56.816442687748349"/>
    <n v="867.47826086956513"/>
    <n v="0"/>
    <n v="20"/>
    <n v="887.47826086956513"/>
    <n v="4.8"/>
    <n v="0"/>
    <d v="2014-04-21T00:00:00"/>
    <d v="2014-08-20T00:00:00"/>
    <d v="2014-08-28T00:00:00"/>
    <d v="2014-08-26T00:00:00"/>
    <d v="2014-09-24T00:00:00"/>
    <d v="1899-12-30T00:00:00"/>
    <d v="1899-12-30T00:00:00"/>
    <d v="1899-12-30T00:00:00"/>
    <d v="1899-12-30T00:00:00"/>
    <x v="0"/>
    <s v="확정"/>
    <n v="400"/>
    <n v="0"/>
    <n v="0"/>
    <n v="0"/>
    <n v="0"/>
    <n v="0"/>
    <n v="400"/>
    <n v="2749999.3043478262"/>
    <n v="18000000"/>
    <n v="5.9504147283837465"/>
  </r>
  <r>
    <n v="0"/>
    <n v="0.33333333333333331"/>
    <n v="4"/>
    <n v="9"/>
    <s v="F-CAP"/>
    <x v="20"/>
    <s v="ELK-FOREMOST-10"/>
    <s v="ELK-FOREMOST-10ELKERF5516OR"/>
    <n v="1"/>
    <s v="ELK-FOREMOST-101"/>
    <s v="ELK-FOREMOST-101-ELKERF5516ORANGEOSM"/>
    <s v="ELK의류외516"/>
    <s v="ELK"/>
    <s v="14FW E"/>
    <m/>
    <s v="ELK"/>
    <s v="ELSTINKO KIDS"/>
    <s v="F"/>
    <n v="5"/>
    <s v="ER"/>
    <s v="EARCAP"/>
    <s v="K"/>
    <n v="516"/>
    <n v="516"/>
    <s v="ELKERF5516"/>
    <n v="0.33333333333333331"/>
    <s v="14FW ELS 39_TROOPER_OR_KIDS"/>
    <s v="OR"/>
    <s v="ORANGE"/>
    <s v="ELKERF5516OR"/>
    <x v="0"/>
    <n v="0.33333333333333331"/>
    <s v="면 70% , 폴리에스터 30%"/>
    <n v="1"/>
    <s v="OSM"/>
    <n v="100"/>
    <x v="4"/>
    <n v="10"/>
    <x v="21"/>
    <s v="M"/>
    <s v="CN"/>
    <x v="0"/>
    <n v="45000"/>
    <x v="22"/>
    <n v="6818.1818181818171"/>
    <n v="6224.3895652173915"/>
    <n v="-593.79225296442564"/>
    <n v="216.86956521739128"/>
    <n v="0"/>
    <n v="20"/>
    <n v="236.86956521739128"/>
    <n v="4.8"/>
    <n v="0"/>
    <d v="2014-04-21T00:00:00"/>
    <d v="2014-08-20T00:00:00"/>
    <d v="2014-08-28T00:00:00"/>
    <d v="2014-08-26T00:00:00"/>
    <d v="2014-09-24T00:00:00"/>
    <d v="1899-12-30T00:00:00"/>
    <d v="1899-12-30T00:00:00"/>
    <d v="1899-12-30T00:00:00"/>
    <d v="1899-12-30T00:00:00"/>
    <x v="0"/>
    <s v="확정"/>
    <n v="100"/>
    <n v="0"/>
    <n v="0"/>
    <n v="0"/>
    <n v="0"/>
    <n v="0"/>
    <n v="100"/>
    <n v="622438.95652173914"/>
    <n v="4500000"/>
    <n v="6.5723860115850767"/>
  </r>
  <r>
    <n v="0"/>
    <n v="0.33333333333333331"/>
    <n v="4"/>
    <n v="9"/>
    <s v="F-CAP"/>
    <x v="20"/>
    <s v="ELK-FOREMOST-10"/>
    <s v="ELK-FOREMOST-10ELKERF5516OR"/>
    <n v="1"/>
    <s v="ELK-FOREMOST-101"/>
    <s v="ELK-FOREMOST-101-ELKERF5516ORANGEOML"/>
    <s v="ELK의류외516"/>
    <s v="ELK"/>
    <s v="14FW E"/>
    <m/>
    <s v="ELK"/>
    <s v="ELSTINKO KIDS"/>
    <s v="F"/>
    <n v="5"/>
    <s v="ER"/>
    <s v="EARCAP"/>
    <s v="K"/>
    <n v="516"/>
    <n v="516"/>
    <s v="ELKERF5516"/>
    <n v="0.33333333333333331"/>
    <s v="14FW ELS 39_TROOPER_OR_KIDS"/>
    <s v="OR"/>
    <s v="ORANGE"/>
    <s v="ELKERF5516OR"/>
    <x v="0"/>
    <n v="0.33333333333333331"/>
    <s v="면 70% , 폴리에스터 30%"/>
    <n v="1"/>
    <s v="OML"/>
    <n v="75"/>
    <x v="4"/>
    <n v="10"/>
    <x v="21"/>
    <s v="M"/>
    <s v="CN"/>
    <x v="0"/>
    <n v="45000"/>
    <x v="22"/>
    <n v="6818.1818181818171"/>
    <n v="6170.1721739130444"/>
    <n v="-648.00964426877272"/>
    <n v="162.65217391304353"/>
    <n v="0"/>
    <n v="20"/>
    <n v="182.65217391304353"/>
    <n v="4.8"/>
    <n v="0"/>
    <d v="2014-04-21T00:00:00"/>
    <d v="2014-08-20T00:00:00"/>
    <d v="2014-08-28T00:00:00"/>
    <d v="2014-08-26T00:00:00"/>
    <d v="2014-09-24T00:00:00"/>
    <d v="1899-12-30T00:00:00"/>
    <d v="1899-12-30T00:00:00"/>
    <d v="1899-12-30T00:00:00"/>
    <d v="1899-12-30T00:00:00"/>
    <x v="0"/>
    <s v="확정"/>
    <n v="87"/>
    <n v="0"/>
    <n v="0"/>
    <n v="0"/>
    <n v="0"/>
    <n v="0"/>
    <n v="75"/>
    <n v="462762.91304347833"/>
    <n v="3375000"/>
    <n v="6.6301376616443566"/>
  </r>
  <r>
    <n v="0"/>
    <n v="0"/>
    <n v="4"/>
    <n v="9"/>
    <s v="F-CAP"/>
    <x v="20"/>
    <s v="ELK-FOREMOST-10"/>
    <s v="ELK-FOREMOST-10ELKTPF5517BK"/>
    <n v="2"/>
    <s v="ELK-FOREMOST-102"/>
    <s v="ELK-FOREMOST-102-ELKTPF5517BLACKFRE"/>
    <s v="ELK의류외517"/>
    <s v="ELK"/>
    <s v="14FW E"/>
    <m/>
    <s v="ELK"/>
    <s v="ELSTINKO KIDS"/>
    <s v="F"/>
    <n v="5"/>
    <s v="TP"/>
    <s v="TROOPER"/>
    <s v="K"/>
    <n v="517"/>
    <n v="517"/>
    <s v="ELKTPF5517"/>
    <n v="1"/>
    <s v="14FW ELS_48_TROOPER_BK_KIDS"/>
    <s v="BK"/>
    <s v="BLACK"/>
    <s v="ELKTPF5517BK"/>
    <x v="0"/>
    <n v="1"/>
    <s v="폴리에스터 85 % , 아크릴 15%"/>
    <n v="1"/>
    <s v="FRE"/>
    <n v="150"/>
    <x v="4"/>
    <n v="10"/>
    <x v="21"/>
    <s v="M"/>
    <s v="CN"/>
    <x v="0"/>
    <n v="55000"/>
    <x v="22"/>
    <n v="8333.3333333333321"/>
    <n v="8252.84"/>
    <n v="-80.493333333331975"/>
    <n v="0"/>
    <n v="0"/>
    <n v="20"/>
    <n v="20"/>
    <n v="6.6"/>
    <n v="0"/>
    <d v="2014-04-21T00:00:00"/>
    <d v="2014-08-20T00:00:00"/>
    <d v="2014-08-28T00:00:00"/>
    <d v="2014-08-26T00:00:00"/>
    <d v="2014-09-24T00:00:00"/>
    <d v="1899-12-30T00:00:00"/>
    <d v="1899-12-30T00:00:00"/>
    <d v="1899-12-30T00:00:00"/>
    <d v="1899-12-30T00:00:00"/>
    <x v="0"/>
    <s v="확정"/>
    <n v="154"/>
    <n v="0"/>
    <n v="0"/>
    <n v="0"/>
    <n v="0"/>
    <n v="0"/>
    <n v="150"/>
    <n v="1237926"/>
    <n v="8250000"/>
    <n v="6.0585204608353003"/>
  </r>
  <r>
    <n v="0"/>
    <n v="0"/>
    <s v=""/>
    <s v=""/>
    <s v=""/>
    <x v="1"/>
    <s v=""/>
    <s v=""/>
    <n v="0"/>
    <s v="0"/>
    <s v="0-"/>
    <n v="0"/>
    <s v="TTL"/>
    <s v=""/>
    <s v="ELK-FOREMOST-10 TTL"/>
    <m/>
    <s v=""/>
    <s v=""/>
    <s v=""/>
    <m/>
    <s v=""/>
    <s v="K"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m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741"/>
    <n v="0"/>
    <n v="0"/>
    <n v="0"/>
    <n v="0"/>
    <n v="0"/>
    <n v="725"/>
    <n v="5073127.1739130439"/>
    <n v="34125000"/>
    <n v="6.1151093219684816"/>
  </r>
  <r>
    <n v="0"/>
    <n v="1"/>
    <n v="4"/>
    <n v="10"/>
    <s v="F-CAP"/>
    <x v="20"/>
    <s v="ELK-FOREMOST-11"/>
    <s v="ELK-FOREMOST-11ELKTPF5515RE"/>
    <n v="1"/>
    <s v="ELK-FOREMOST-111"/>
    <s v="ELK-FOREMOST-111-ELKTPF5515REDFRE"/>
    <s v="ELK의류외515"/>
    <s v="ELK"/>
    <s v="14FW E"/>
    <m/>
    <s v="ELK"/>
    <s v="ELSTINKO KIDS"/>
    <s v="F"/>
    <n v="5"/>
    <s v="TP"/>
    <s v="TROOPER"/>
    <s v="K"/>
    <n v="515"/>
    <n v="515"/>
    <s v="ELKTPF5515"/>
    <n v="1"/>
    <s v="14FW ELS 40_TROOPER_RD_KIDS"/>
    <s v="RE"/>
    <s v="RED"/>
    <s v="ELKTPF5515RE"/>
    <x v="0"/>
    <n v="1"/>
    <s v="울 40%, 폴리에스터 40%, 아크릴 20%"/>
    <n v="1"/>
    <s v="FRE"/>
    <n v="150"/>
    <x v="4"/>
    <n v="11"/>
    <x v="23"/>
    <s v="M"/>
    <s v="CN"/>
    <x v="0"/>
    <n v="59000"/>
    <x v="23"/>
    <n v="8939.3939393939381"/>
    <n v="11574.2"/>
    <n v="2634.8060606060626"/>
    <n v="1490"/>
    <n v="85"/>
    <n v="20"/>
    <n v="1595"/>
    <n v="8"/>
    <n v="0"/>
    <d v="2014-04-21T00:00:00"/>
    <d v="2014-09-15T00:00:00"/>
    <d v="2014-09-25T00:00:00"/>
    <d v="2014-09-23T00:00:00"/>
    <d v="2014-10-01T00:00:00"/>
    <d v="1899-12-30T00:00:00"/>
    <d v="1899-12-30T00:00:00"/>
    <d v="1899-12-30T00:00:00"/>
    <d v="1899-12-30T00:00:00"/>
    <x v="0"/>
    <s v="확정"/>
    <n v="150"/>
    <n v="0"/>
    <n v="0"/>
    <n v="0"/>
    <n v="0"/>
    <n v="0"/>
    <n v="150"/>
    <n v="1736130"/>
    <n v="8850000"/>
    <n v="4.6341313988321984"/>
  </r>
  <r>
    <n v="0"/>
    <n v="0.5"/>
    <n v="4"/>
    <n v="10"/>
    <s v="전략"/>
    <x v="21"/>
    <s v="ELK-FOREMOST-11"/>
    <s v="ELK-FOREMOST-11ELKEDF5522YE"/>
    <n v="2"/>
    <s v="ELK-FOREMOST-112"/>
    <s v="ELK-FOREMOST-112-ELKEDF5522YELLOWOSM"/>
    <s v="ELK의류외522"/>
    <s v="ELK"/>
    <s v="14FW E"/>
    <m/>
    <s v="ELK"/>
    <s v="ELSTINKO KIDS"/>
    <s v="F"/>
    <n v="5"/>
    <s v="ED"/>
    <s v="MITTEN"/>
    <s v="K"/>
    <n v="522"/>
    <n v="522"/>
    <s v="ELKEDF5522"/>
    <n v="0.5"/>
    <s v="14FW ELS_32_SKI GLOBE_YE_KIDS"/>
    <s v="YE"/>
    <s v="YELLOW"/>
    <s v="ELKEDF5522YE"/>
    <x v="0"/>
    <n v="0.5"/>
    <s v="폴리에스터 100%"/>
    <n v="1"/>
    <s v="OSM"/>
    <n v="80"/>
    <x v="4"/>
    <n v="11"/>
    <x v="23"/>
    <s v="M"/>
    <s v="CN"/>
    <x v="0"/>
    <n v="45000"/>
    <x v="22"/>
    <n v="6818.1818181818171"/>
    <n v="9139.5400000000009"/>
    <n v="2321.3581818181838"/>
    <n v="263"/>
    <n v="0"/>
    <n v="20"/>
    <n v="283"/>
    <n v="7.1"/>
    <n v="0"/>
    <d v="2014-04-21T00:00:00"/>
    <d v="2014-09-15T00:00:00"/>
    <d v="2014-09-25T00:00:00"/>
    <d v="2014-09-23T00:00:00"/>
    <d v="2014-10-01T00:00:00"/>
    <d v="1899-12-30T00:00:00"/>
    <d v="1899-12-30T00:00:00"/>
    <d v="1899-12-30T00:00:00"/>
    <d v="1899-12-30T00:00:00"/>
    <x v="0"/>
    <s v="확정"/>
    <n v="80"/>
    <n v="0"/>
    <n v="0"/>
    <n v="0"/>
    <n v="0"/>
    <n v="0"/>
    <n v="80"/>
    <n v="731163.20000000007"/>
    <n v="3600000"/>
    <n v="4.4760557871721005"/>
  </r>
  <r>
    <n v="0"/>
    <n v="0.5"/>
    <n v="4"/>
    <n v="10"/>
    <s v="전략"/>
    <x v="21"/>
    <s v="ELK-FOREMOST-11"/>
    <s v="ELK-FOREMOST-11ELKEDF5522YE"/>
    <n v="2"/>
    <s v="ELK-FOREMOST-112"/>
    <s v="ELK-FOREMOST-112-ELKEDF5522YELLOWOML"/>
    <s v="ELK의류외522"/>
    <s v="ELK"/>
    <s v="14FW E"/>
    <m/>
    <s v="ELK"/>
    <s v="ELSTINKO KIDS"/>
    <s v="F"/>
    <n v="5"/>
    <s v="ED"/>
    <s v="MITTEN"/>
    <s v="K"/>
    <n v="522"/>
    <n v="522"/>
    <s v="ELKEDF5522"/>
    <n v="0.5"/>
    <s v="14FW ELS_32_SKI GLOBE_YE_KIDS"/>
    <s v="YE"/>
    <s v="YELLOW"/>
    <s v="ELKEDF5522YE"/>
    <x v="0"/>
    <n v="0.5"/>
    <s v="폴리에스터 100%"/>
    <n v="1"/>
    <s v="OML"/>
    <n v="80"/>
    <x v="4"/>
    <n v="11"/>
    <x v="23"/>
    <s v="M"/>
    <s v="CN"/>
    <x v="0"/>
    <n v="45000"/>
    <x v="22"/>
    <n v="6818.1818181818171"/>
    <n v="9138.5400000000009"/>
    <n v="2320.3581818181838"/>
    <n v="262"/>
    <n v="0"/>
    <n v="20"/>
    <n v="282"/>
    <n v="7.1"/>
    <n v="0"/>
    <d v="2014-04-21T00:00:00"/>
    <d v="2014-09-15T00:00:00"/>
    <d v="2014-09-25T00:00:00"/>
    <d v="2014-09-23T00:00:00"/>
    <d v="2014-10-01T00:00:00"/>
    <d v="1899-12-30T00:00:00"/>
    <d v="1899-12-30T00:00:00"/>
    <d v="1899-12-30T00:00:00"/>
    <d v="1899-12-30T00:00:00"/>
    <x v="0"/>
    <s v="확정"/>
    <n v="80"/>
    <n v="0"/>
    <n v="0"/>
    <n v="0"/>
    <n v="0"/>
    <n v="0"/>
    <n v="80"/>
    <n v="731083.20000000007"/>
    <n v="3600000"/>
    <n v="4.476545587051203"/>
  </r>
  <r>
    <n v="0"/>
    <n v="0"/>
    <n v="4"/>
    <n v="10"/>
    <s v="전략"/>
    <x v="21"/>
    <s v="ELK-FOREMOST-11"/>
    <s v="ELK-FOREMOST-11ELKEDF5523BK"/>
    <n v="3"/>
    <s v="ELK-FOREMOST-113"/>
    <s v="ELK-FOREMOST-113-ELKEDF5523BLACKOSM"/>
    <s v="ELK의류외523"/>
    <s v="ELK"/>
    <s v="14FW E"/>
    <m/>
    <s v="ELK"/>
    <s v="ELSTINKO KIDS"/>
    <s v="F"/>
    <n v="5"/>
    <s v="ED"/>
    <s v="MITTEN"/>
    <s v="K"/>
    <n v="523"/>
    <n v="523"/>
    <s v="ELKEDF5523"/>
    <n v="0.5"/>
    <s v="14FW ELS_33_SKI GLOBE_BK_KIDS"/>
    <s v="BK"/>
    <s v="BLACK"/>
    <s v="ELKEDF5523BK"/>
    <x v="0"/>
    <n v="0.5"/>
    <s v="폴리에스터 100%"/>
    <n v="1"/>
    <s v="OSM"/>
    <n v="80"/>
    <x v="4"/>
    <n v="11"/>
    <x v="23"/>
    <s v="M"/>
    <s v="CN"/>
    <x v="0"/>
    <n v="45000"/>
    <x v="22"/>
    <n v="6818.1818181818171"/>
    <n v="9126.02"/>
    <n v="2307.8381818181833"/>
    <n v="0"/>
    <n v="0"/>
    <n v="20"/>
    <n v="20"/>
    <n v="7.3"/>
    <n v="0"/>
    <d v="2014-04-21T00:00:00"/>
    <d v="2014-09-15T00:00:00"/>
    <d v="2014-09-25T00:00:00"/>
    <d v="2014-09-23T00:00:00"/>
    <d v="2014-10-01T00:00:00"/>
    <d v="1899-12-30T00:00:00"/>
    <d v="1899-12-30T00:00:00"/>
    <d v="1899-12-30T00:00:00"/>
    <d v="1899-12-30T00:00:00"/>
    <x v="0"/>
    <s v="확정"/>
    <n v="79"/>
    <n v="0"/>
    <n v="0"/>
    <n v="0"/>
    <n v="0"/>
    <n v="0"/>
    <n v="80"/>
    <n v="730081.60000000009"/>
    <n v="3600000"/>
    <n v="4.4826869663983757"/>
  </r>
  <r>
    <n v="0"/>
    <n v="0"/>
    <n v="4"/>
    <n v="10"/>
    <s v="전략"/>
    <x v="21"/>
    <s v="ELK-FOREMOST-11"/>
    <s v="ELK-FOREMOST-11ELKEDF5523BK"/>
    <n v="3"/>
    <s v="ELK-FOREMOST-113"/>
    <s v="ELK-FOREMOST-113-ELKEDF5523BLACKOML"/>
    <s v="ELK의류외523"/>
    <s v="ELK"/>
    <s v="14FW E"/>
    <m/>
    <s v="ELK"/>
    <s v="ELSTINKO KIDS"/>
    <s v="F"/>
    <n v="5"/>
    <s v="ED"/>
    <s v="MITTEN"/>
    <s v="K"/>
    <n v="523"/>
    <n v="523"/>
    <s v="ELKEDF5523"/>
    <n v="0.5"/>
    <s v="14FW ELS_33_SKI GLOBE_BK_KIDS"/>
    <s v="BK"/>
    <s v="BLACK"/>
    <s v="ELKEDF5523BK"/>
    <x v="0"/>
    <n v="0.5"/>
    <s v="폴리에스터 100%"/>
    <n v="1"/>
    <s v="OML"/>
    <n v="80"/>
    <x v="4"/>
    <n v="11"/>
    <x v="23"/>
    <s v="M"/>
    <s v="CN"/>
    <x v="0"/>
    <n v="45000"/>
    <x v="22"/>
    <n v="6818.1818181818171"/>
    <n v="9126.02"/>
    <n v="2307.8381818181833"/>
    <n v="0"/>
    <n v="0"/>
    <n v="20"/>
    <n v="20"/>
    <n v="7.3"/>
    <n v="0"/>
    <d v="2014-04-21T00:00:00"/>
    <d v="2014-09-15T00:00:00"/>
    <d v="2014-09-25T00:00:00"/>
    <d v="2014-09-23T00:00:00"/>
    <d v="2014-10-01T00:00:00"/>
    <d v="1899-12-30T00:00:00"/>
    <d v="1899-12-30T00:00:00"/>
    <d v="1899-12-30T00:00:00"/>
    <d v="1899-12-30T00:00:00"/>
    <x v="0"/>
    <s v="확정"/>
    <n v="80"/>
    <n v="0"/>
    <n v="0"/>
    <n v="0"/>
    <n v="0"/>
    <n v="0"/>
    <n v="80"/>
    <n v="730081.60000000009"/>
    <n v="3600000"/>
    <n v="4.4826869663983757"/>
  </r>
  <r>
    <n v="0"/>
    <n v="0.5"/>
    <n v="4"/>
    <n v="10"/>
    <s v="전략"/>
    <x v="21"/>
    <s v="ELK-FOREMOST-11"/>
    <s v="ELK-FOREMOST-11ELKEDF5524PK"/>
    <n v="4"/>
    <s v="ELK-FOREMOST-114"/>
    <s v="ELK-FOREMOST-114-ELKEDF5524PINKOSM"/>
    <s v="ELK의류외524"/>
    <s v="ELK"/>
    <s v="14FW E"/>
    <m/>
    <s v="ELK"/>
    <s v="ELSTINKO KIDS"/>
    <s v="F"/>
    <n v="5"/>
    <s v="ED"/>
    <s v="MITTEN"/>
    <s v="K"/>
    <n v="524"/>
    <n v="524"/>
    <s v="ELKEDF5524"/>
    <n v="0.5"/>
    <s v="14FW ELS_72_SKI GLOBE_PK_KIDS"/>
    <s v="PK"/>
    <s v="PINK"/>
    <s v="ELKEDF5524PK"/>
    <x v="0"/>
    <n v="0.5"/>
    <s v="폴리에스터 100%"/>
    <n v="1"/>
    <s v="OSM"/>
    <n v="80"/>
    <x v="4"/>
    <n v="11"/>
    <x v="23"/>
    <s v="M"/>
    <s v="CN"/>
    <x v="0"/>
    <n v="45000"/>
    <x v="22"/>
    <n v="6818.1818181818171"/>
    <n v="9067.2800000000007"/>
    <n v="2249.0981818181835"/>
    <n v="66"/>
    <n v="0"/>
    <n v="20"/>
    <n v="86"/>
    <n v="7.2"/>
    <n v="0"/>
    <d v="2014-04-21T00:00:00"/>
    <d v="2014-09-15T00:00:00"/>
    <d v="2014-09-25T00:00:00"/>
    <d v="2014-09-23T00:00:00"/>
    <d v="2014-10-01T00:00:00"/>
    <d v="1899-12-30T00:00:00"/>
    <d v="1899-12-30T00:00:00"/>
    <d v="1899-12-30T00:00:00"/>
    <d v="1899-12-30T00:00:00"/>
    <x v="0"/>
    <s v="확정"/>
    <n v="80"/>
    <n v="0"/>
    <n v="0"/>
    <n v="0"/>
    <n v="0"/>
    <n v="0"/>
    <n v="80"/>
    <n v="725382.4"/>
    <n v="3600000"/>
    <n v="4.5117268805078155"/>
  </r>
  <r>
    <n v="0"/>
    <n v="0.5"/>
    <n v="4"/>
    <n v="10"/>
    <s v="전략"/>
    <x v="21"/>
    <s v="ELK-FOREMOST-11"/>
    <s v="ELK-FOREMOST-11ELKEDF5524PK"/>
    <n v="4"/>
    <s v="ELK-FOREMOST-114"/>
    <s v="ELK-FOREMOST-114-ELKEDF5524PINKOML"/>
    <s v="ELK의류외524"/>
    <s v="ELK"/>
    <s v="14FW E"/>
    <m/>
    <s v="ELK"/>
    <s v="ELSTINKO KIDS"/>
    <s v="F"/>
    <n v="5"/>
    <s v="ED"/>
    <s v="MITTEN"/>
    <s v="K"/>
    <n v="524"/>
    <n v="524"/>
    <s v="ELKEDF5524"/>
    <n v="0.5"/>
    <s v="14FW ELS_72_SKI GLOBE_PK_KIDS"/>
    <s v="PK"/>
    <s v="PINK"/>
    <s v="ELKEDF5524PK"/>
    <x v="0"/>
    <n v="0.5"/>
    <s v="폴리에스터 100%"/>
    <n v="1"/>
    <s v="OML"/>
    <n v="80"/>
    <x v="4"/>
    <n v="11"/>
    <x v="23"/>
    <s v="M"/>
    <s v="CN"/>
    <x v="0"/>
    <n v="45000"/>
    <x v="22"/>
    <n v="6818.1818181818171"/>
    <n v="9066.2800000000007"/>
    <n v="2248.0981818181835"/>
    <n v="65"/>
    <n v="0"/>
    <n v="20"/>
    <n v="85"/>
    <n v="7.2"/>
    <n v="0"/>
    <d v="2014-04-21T00:00:00"/>
    <d v="2014-09-15T00:00:00"/>
    <d v="2014-09-25T00:00:00"/>
    <d v="2014-09-23T00:00:00"/>
    <d v="2014-10-01T00:00:00"/>
    <d v="1899-12-30T00:00:00"/>
    <d v="1899-12-30T00:00:00"/>
    <d v="1899-12-30T00:00:00"/>
    <d v="1899-12-30T00:00:00"/>
    <x v="0"/>
    <s v="확정"/>
    <n v="80"/>
    <n v="0"/>
    <n v="0"/>
    <n v="0"/>
    <n v="0"/>
    <n v="0"/>
    <n v="80"/>
    <n v="725302.4"/>
    <n v="3600000"/>
    <n v="4.5122245186659695"/>
  </r>
  <r>
    <n v="0"/>
    <n v="0"/>
    <s v=""/>
    <s v=""/>
    <s v=""/>
    <x v="1"/>
    <s v=""/>
    <s v=""/>
    <n v="0"/>
    <s v="0"/>
    <s v="0-"/>
    <n v="0"/>
    <s v="TTL"/>
    <s v=""/>
    <s v="ELK-FOREMOST-11 TTL"/>
    <m/>
    <s v=""/>
    <s v=""/>
    <s v=""/>
    <m/>
    <s v=""/>
    <s v="K"/>
    <m/>
    <s v=""/>
    <s v=""/>
    <n v="4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m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29"/>
    <n v="0"/>
    <n v="0"/>
    <n v="0"/>
    <n v="0"/>
    <n v="0"/>
    <n v="630"/>
    <n v="6109224.4000000013"/>
    <n v="30450000"/>
    <n v="4.5311509889566626"/>
  </r>
  <r>
    <n v="0"/>
    <n v="0.5"/>
    <n v="4"/>
    <n v="9"/>
    <s v="F-CAP"/>
    <x v="20"/>
    <s v="ELK-동일모자-11"/>
    <s v="ELK-동일모자-11ELKBAF5518PP"/>
    <n v="1"/>
    <s v="ELK-동일모자-111"/>
    <s v="ELK-동일모자-111-ELKBAF5518PURPLEOSM"/>
    <s v="ELK의류외518"/>
    <s v="ELK"/>
    <s v="14FW E"/>
    <m/>
    <s v="ELK"/>
    <s v="ELSTINKO KIDS"/>
    <s v="F"/>
    <n v="5"/>
    <s v="BA"/>
    <s v="BASIC CAP"/>
    <s v="K"/>
    <n v="518"/>
    <n v="518"/>
    <s v="ELKBAF5518"/>
    <n v="0.5"/>
    <s v="14FW ELS_47_SNAP_PP_KIDS"/>
    <s v="PP"/>
    <s v="PURPLE"/>
    <s v="ELKBAF5518PP"/>
    <x v="0"/>
    <n v="0.5"/>
    <s v="겉감 1:  폴리에스터 100%/겉감 2 : 면 100%"/>
    <n v="1"/>
    <s v="OSM"/>
    <n v="120"/>
    <x v="5"/>
    <n v="11"/>
    <x v="23"/>
    <s v="M"/>
    <s v="CN"/>
    <x v="0"/>
    <n v="55000"/>
    <x v="22"/>
    <n v="8333.3333333333321"/>
    <n v="10144.870000000001"/>
    <n v="1811.5366666666687"/>
    <n v="707"/>
    <n v="0"/>
    <n v="20"/>
    <n v="727"/>
    <n v="7.55"/>
    <n v="0"/>
    <d v="2014-04-21T00:00:00"/>
    <d v="2014-08-25T00:00:00"/>
    <d v="2014-08-28T00:00:00"/>
    <d v="2014-08-28T00:00:00"/>
    <d v="2014-09-30T00:00:00"/>
    <d v="1899-12-30T00:00:00"/>
    <d v="1899-12-30T00:00:00"/>
    <d v="1899-12-30T00:00:00"/>
    <d v="1899-12-30T00:00:00"/>
    <x v="0"/>
    <s v="확정"/>
    <n v="119"/>
    <n v="0"/>
    <n v="0"/>
    <n v="0"/>
    <n v="0"/>
    <n v="0"/>
    <n v="120"/>
    <n v="1217384.4000000001"/>
    <n v="6600000"/>
    <n v="4.9285993807707724"/>
  </r>
  <r>
    <n v="0"/>
    <n v="0.5"/>
    <n v="4"/>
    <n v="9"/>
    <s v="F-CAP"/>
    <x v="20"/>
    <s v="ELK-동일모자-11"/>
    <s v="ELK-동일모자-11ELKBAF5518PP"/>
    <n v="1"/>
    <s v="ELK-동일모자-111"/>
    <s v="ELK-동일모자-111-ELKBAF5518PURPLEOML"/>
    <s v="ELK의류외518"/>
    <s v="ELK"/>
    <s v="14FW E"/>
    <m/>
    <s v="ELK"/>
    <s v="ELSTINKO KIDS"/>
    <s v="F"/>
    <n v="5"/>
    <s v="BA"/>
    <s v="BASIC CAP"/>
    <s v="K"/>
    <n v="518"/>
    <n v="518"/>
    <s v="ELKBAF5518"/>
    <n v="0.5"/>
    <s v="14FW ELS_47_SNAP_PP_KIDS"/>
    <s v="PP"/>
    <s v="PURPLE"/>
    <s v="ELKBAF5518PP"/>
    <x v="0"/>
    <n v="0.5"/>
    <s v="겉감 1:  폴리에스터 100%/겉감 2 : 면 100%"/>
    <n v="1"/>
    <s v="OML"/>
    <n v="60"/>
    <x v="5"/>
    <n v="11"/>
    <x v="23"/>
    <s v="M"/>
    <s v="CN"/>
    <x v="0"/>
    <n v="55000"/>
    <x v="22"/>
    <n v="8333.3333333333321"/>
    <n v="9791.8700000000008"/>
    <n v="1458.5366666666687"/>
    <n v="354"/>
    <n v="0"/>
    <n v="20"/>
    <n v="374"/>
    <n v="7.55"/>
    <n v="0"/>
    <d v="2014-04-21T00:00:00"/>
    <d v="2014-08-25T00:00:00"/>
    <d v="2014-08-28T00:00:00"/>
    <d v="2014-08-28T00:00:00"/>
    <d v="2014-09-30T00:00:00"/>
    <d v="1899-12-30T00:00:00"/>
    <d v="1899-12-30T00:00:00"/>
    <d v="1899-12-30T00:00:00"/>
    <d v="1899-12-30T00:00:00"/>
    <x v="0"/>
    <s v="확정"/>
    <n v="59"/>
    <n v="0"/>
    <n v="0"/>
    <n v="0"/>
    <n v="0"/>
    <n v="0"/>
    <n v="60"/>
    <n v="587512.20000000007"/>
    <n v="3300000"/>
    <n v="5.1062769419937135"/>
  </r>
  <r>
    <n v="0"/>
    <n v="0.33333333333333331"/>
    <n v="4"/>
    <n v="9"/>
    <s v="F-CAP"/>
    <x v="20"/>
    <s v="ELK-동일모자-11"/>
    <s v="ELK-동일모자-11ELKERF5519RE"/>
    <n v="2"/>
    <s v="ELK-동일모자-112"/>
    <s v="ELK-동일모자-112-ELKERF5519REDXSS"/>
    <s v="ELK의류외519"/>
    <s v="ELK"/>
    <s v="14FW E"/>
    <m/>
    <s v="ELK"/>
    <s v="ELSTINKO KIDS"/>
    <s v="F"/>
    <n v="5"/>
    <s v="ER"/>
    <s v="EARCAP"/>
    <s v="K"/>
    <n v="519"/>
    <n v="519"/>
    <s v="ELKERF5519"/>
    <n v="0.33333333333333331"/>
    <s v="14FW ELS_45_SNAP_RD_KIDS"/>
    <s v="RE"/>
    <s v="RED"/>
    <s v="ELKERF5519RE"/>
    <x v="0"/>
    <n v="0.33333333333333331"/>
    <s v="겉감 1: 아크릴 100%/겉감 2: 면 100%"/>
    <n v="1"/>
    <s v="XSS"/>
    <n v="400"/>
    <x v="5"/>
    <n v="11"/>
    <x v="23"/>
    <s v="M"/>
    <s v="CN"/>
    <x v="0"/>
    <n v="55000"/>
    <x v="22"/>
    <n v="8333.3333333333321"/>
    <n v="9001.1"/>
    <n v="667.76666666666824"/>
    <n v="873"/>
    <n v="0"/>
    <n v="20"/>
    <n v="893"/>
    <n v="6.5"/>
    <n v="0"/>
    <d v="2014-04-21T00:00:00"/>
    <d v="2014-08-25T00:00:00"/>
    <d v="2014-08-28T00:00:00"/>
    <d v="2014-08-28T00:00:00"/>
    <d v="2014-09-30T00:00:00"/>
    <d v="2014-10-28T00:00:00"/>
    <d v="1899-12-30T00:00:00"/>
    <d v="1899-12-30T00:00:00"/>
    <d v="1899-12-30T00:00:00"/>
    <x v="0"/>
    <s v="확정"/>
    <n v="0"/>
    <n v="404"/>
    <n v="0"/>
    <n v="0"/>
    <n v="0"/>
    <n v="0"/>
    <n v="400"/>
    <n v="3600440"/>
    <n v="22000000"/>
    <n v="5.5548766261901319"/>
  </r>
  <r>
    <n v="0"/>
    <n v="0.33333333333333331"/>
    <n v="4"/>
    <n v="9"/>
    <s v="F-CAP"/>
    <x v="20"/>
    <s v="ELK-동일모자-11"/>
    <s v="ELK-동일모자-11ELKERF5519RE"/>
    <n v="2"/>
    <s v="ELK-동일모자-112"/>
    <s v="ELK-동일모자-112-ELKERF5519REDOSM"/>
    <s v="ELK의류외519"/>
    <s v="ELK"/>
    <s v="14FW E"/>
    <m/>
    <s v="ELK"/>
    <s v="ELSTINKO KIDS"/>
    <s v="F"/>
    <n v="5"/>
    <s v="ER"/>
    <s v="EARCAP"/>
    <s v="K"/>
    <n v="519"/>
    <n v="519"/>
    <s v="ELKERF5519"/>
    <n v="0.33333333333333331"/>
    <s v="14FW ELS_45_SNAP_RD_KIDS"/>
    <s v="RE"/>
    <s v="RED"/>
    <s v="ELKERF5519RE"/>
    <x v="0"/>
    <n v="0.33333333333333331"/>
    <s v="겉감 1: 아크릴 100%/겉감 2: 면 100%"/>
    <n v="1"/>
    <s v="OSM"/>
    <n v="100"/>
    <x v="5"/>
    <n v="11"/>
    <x v="23"/>
    <s v="M"/>
    <s v="CN"/>
    <x v="0"/>
    <n v="55000"/>
    <x v="22"/>
    <n v="8333.3333333333321"/>
    <n v="8346.1"/>
    <n v="12.766666666668243"/>
    <n v="218"/>
    <n v="0"/>
    <n v="20"/>
    <n v="238"/>
    <n v="6.5"/>
    <n v="0"/>
    <d v="2014-04-21T00:00:00"/>
    <d v="2014-08-25T00:00:00"/>
    <d v="2014-08-28T00:00:00"/>
    <d v="2014-08-28T00:00:00"/>
    <d v="2014-09-30T00:00:00"/>
    <d v="2014-10-28T00:00:00"/>
    <d v="1899-12-30T00:00:00"/>
    <d v="1899-12-30T00:00:00"/>
    <d v="1899-12-30T00:00:00"/>
    <x v="0"/>
    <s v="확정"/>
    <n v="99"/>
    <n v="0"/>
    <n v="0"/>
    <n v="0"/>
    <n v="0"/>
    <n v="0"/>
    <n v="100"/>
    <n v="834610"/>
    <n v="5500000"/>
    <n v="5.990822060603155"/>
  </r>
  <r>
    <n v="0"/>
    <n v="0.33333333333333331"/>
    <n v="4"/>
    <n v="9"/>
    <s v="F-CAP"/>
    <x v="20"/>
    <s v="ELK-동일모자-11"/>
    <s v="ELK-동일모자-11ELKERF5519RE"/>
    <n v="2"/>
    <s v="ELK-동일모자-112"/>
    <s v="ELK-동일모자-112-ELKERF5519REDOML"/>
    <s v="ELK의류외519"/>
    <s v="ELK"/>
    <s v="14FW E"/>
    <m/>
    <s v="ELK"/>
    <s v="ELSTINKO KIDS"/>
    <s v="F"/>
    <n v="5"/>
    <s v="ER"/>
    <s v="EARCAP"/>
    <s v="K"/>
    <n v="519"/>
    <n v="519"/>
    <s v="ELKERF5519"/>
    <n v="0.33333333333333331"/>
    <s v="14FW ELS_45_SNAP_RD_KIDS"/>
    <s v="RE"/>
    <s v="RED"/>
    <s v="ELKERF5519RE"/>
    <x v="0"/>
    <n v="0.33333333333333331"/>
    <s v="겉감 1: 아크릴 100%/겉감 2: 면 100%"/>
    <n v="1"/>
    <s v="OML"/>
    <n v="50"/>
    <x v="5"/>
    <n v="11"/>
    <x v="23"/>
    <s v="M"/>
    <s v="CN"/>
    <x v="0"/>
    <n v="55000"/>
    <x v="22"/>
    <n v="8333.3333333333321"/>
    <n v="8237.1"/>
    <n v="-96.233333333331757"/>
    <n v="109"/>
    <n v="0"/>
    <n v="20"/>
    <n v="129"/>
    <n v="6.5"/>
    <n v="0"/>
    <d v="2014-04-21T00:00:00"/>
    <d v="2014-08-25T00:00:00"/>
    <d v="2014-08-28T00:00:00"/>
    <d v="2014-08-28T00:00:00"/>
    <d v="2014-09-30T00:00:00"/>
    <d v="2014-10-28T00:00:00"/>
    <d v="1899-12-30T00:00:00"/>
    <d v="1899-12-30T00:00:00"/>
    <d v="1899-12-30T00:00:00"/>
    <x v="0"/>
    <s v="확정"/>
    <n v="50"/>
    <n v="0"/>
    <n v="0"/>
    <n v="0"/>
    <n v="0"/>
    <n v="0"/>
    <n v="50"/>
    <n v="411855"/>
    <n v="2750000"/>
    <n v="6.0700974857656202"/>
  </r>
  <r>
    <n v="0"/>
    <n v="0.5"/>
    <n v="4"/>
    <n v="11"/>
    <s v="F-CAP"/>
    <x v="20"/>
    <s v="ELK-동일모자-11"/>
    <s v="ELK-동일모자-11ELKERF5520BL"/>
    <n v="3"/>
    <s v="ELK-동일모자-113"/>
    <s v="ELK-동일모자-113-ELKERF5520BLUEOSM"/>
    <s v="ELK의류외520"/>
    <s v="ELK"/>
    <s v="14FW E"/>
    <m/>
    <s v="ELK"/>
    <s v="ELSTINKO KIDS"/>
    <s v="F"/>
    <n v="5"/>
    <s v="ER"/>
    <s v="EARCAP"/>
    <s v="K"/>
    <n v="520"/>
    <n v="520"/>
    <s v="ELKERF5520"/>
    <n v="0.5"/>
    <s v="14FW ELS 41_SNAP_BL_KIDS"/>
    <s v="BL"/>
    <s v="BLUE"/>
    <s v="ELKERF5520BL"/>
    <x v="0"/>
    <n v="0.5"/>
    <s v="겉감 1: 울 40%, 폴리에스터 60%/겉감2 : 폴리에스터 95%, 나일론 5%"/>
    <n v="1"/>
    <s v="OSM"/>
    <n v="120"/>
    <x v="5"/>
    <n v="11"/>
    <x v="23"/>
    <s v="M"/>
    <s v="CN"/>
    <x v="0"/>
    <n v="55000"/>
    <x v="22"/>
    <n v="8333.3333333333321"/>
    <n v="8443.1"/>
    <n v="109.76666666666824"/>
    <n v="315"/>
    <n v="0"/>
    <n v="20"/>
    <n v="335"/>
    <n v="6.5"/>
    <n v="0"/>
    <d v="2014-04-21T00:00:00"/>
    <d v="2014-08-25T00:00:00"/>
    <d v="2014-08-28T00:00:00"/>
    <d v="2014-08-28T00:00:00"/>
    <d v="2014-11-07T00:00:00"/>
    <d v="1899-12-30T00:00:00"/>
    <d v="1899-12-30T00:00:00"/>
    <d v="1899-12-30T00:00:00"/>
    <d v="1899-12-30T00:00:00"/>
    <x v="0"/>
    <s v="확정"/>
    <n v="115"/>
    <n v="0"/>
    <n v="0"/>
    <n v="0"/>
    <n v="0"/>
    <n v="0"/>
    <n v="120"/>
    <n v="1013172"/>
    <n v="6600000"/>
    <n v="5.9219954755954554"/>
  </r>
  <r>
    <n v="0"/>
    <n v="0.5"/>
    <n v="4"/>
    <n v="11"/>
    <s v="F-CAP"/>
    <x v="20"/>
    <s v="ELK-동일모자-11"/>
    <s v="ELK-동일모자-11ELKERF5520BL"/>
    <n v="3"/>
    <s v="ELK-동일모자-113"/>
    <s v="ELK-동일모자-113-ELKERF5520BLUEOML"/>
    <s v="ELK의류외520"/>
    <s v="ELK"/>
    <s v="14FW E"/>
    <m/>
    <s v="ELK"/>
    <s v="ELSTINKO KIDS"/>
    <s v="F"/>
    <n v="5"/>
    <s v="ER"/>
    <s v="EARCAP"/>
    <s v="K"/>
    <n v="520"/>
    <n v="520"/>
    <s v="ELKERF5520"/>
    <n v="0.5"/>
    <s v="14FW ELS 41_SNAP_BL_KIDS"/>
    <s v="BL"/>
    <s v="BLUE"/>
    <s v="ELKERF5520BL"/>
    <x v="0"/>
    <n v="0.5"/>
    <s v="겉감 1: 울 40%, 폴리에스터 60%/겉감2 : 폴리에스터 95%, 나일론 5%"/>
    <n v="1"/>
    <s v="OML"/>
    <n v="60"/>
    <x v="5"/>
    <n v="11"/>
    <x v="23"/>
    <s v="M"/>
    <s v="CN"/>
    <x v="0"/>
    <n v="55000"/>
    <x v="22"/>
    <n v="8333.3333333333321"/>
    <n v="8285.1"/>
    <n v="-48.233333333331757"/>
    <n v="157"/>
    <n v="0"/>
    <n v="20"/>
    <n v="177"/>
    <n v="6.5"/>
    <n v="0"/>
    <d v="2014-04-21T00:00:00"/>
    <d v="2014-08-25T00:00:00"/>
    <d v="2014-08-28T00:00:00"/>
    <d v="2014-08-28T00:00:00"/>
    <d v="2014-11-07T00:00:00"/>
    <d v="1899-12-30T00:00:00"/>
    <d v="1899-12-30T00:00:00"/>
    <d v="1899-12-30T00:00:00"/>
    <d v="1899-12-30T00:00:00"/>
    <x v="0"/>
    <s v="확정"/>
    <n v="60"/>
    <n v="0"/>
    <n v="0"/>
    <n v="0"/>
    <n v="0"/>
    <n v="0"/>
    <n v="60"/>
    <n v="497106"/>
    <n v="3300000"/>
    <n v="6.0349301758578644"/>
  </r>
  <r>
    <n v="0"/>
    <n v="0.5"/>
    <n v="4"/>
    <n v="11"/>
    <s v="F-CAP"/>
    <x v="20"/>
    <s v="ELK-동일모자-11"/>
    <s v="ELK-동일모자-11ELKERF5521GY"/>
    <n v="4"/>
    <s v="ELK-동일모자-114"/>
    <s v="ELK-동일모자-114-ELKERF5521GREYOSM"/>
    <s v="ELK의류외521"/>
    <s v="ELK"/>
    <s v="14FW E"/>
    <m/>
    <s v="ELK"/>
    <s v="ELSTINKO KIDS"/>
    <s v="F"/>
    <n v="5"/>
    <s v="ER"/>
    <s v="EARCAP"/>
    <s v="K"/>
    <n v="521"/>
    <n v="521"/>
    <s v="ELKERF5521"/>
    <n v="0.5"/>
    <s v="14FW ELS 42_SNAP_GY_KIDS"/>
    <s v="GY"/>
    <s v="GREY"/>
    <s v="ELKERF5521GY"/>
    <x v="0"/>
    <n v="0.5"/>
    <s v="겉감 1: 면 80%, 폴리에스터 20%/겉감 2: 아크릴 80%, 폴리에스터 20%"/>
    <n v="1"/>
    <s v="OSM"/>
    <n v="120"/>
    <x v="5"/>
    <n v="11"/>
    <x v="23"/>
    <s v="M"/>
    <s v="CN"/>
    <x v="0"/>
    <n v="55000"/>
    <x v="22"/>
    <n v="8333.3333333333321"/>
    <n v="9682.61"/>
    <n v="1349.2766666666685"/>
    <n v="120"/>
    <n v="0"/>
    <n v="20"/>
    <n v="140"/>
    <n v="7.65"/>
    <n v="0"/>
    <d v="2014-04-21T00:00:00"/>
    <d v="2014-08-25T00:00:00"/>
    <d v="2014-08-28T00:00:00"/>
    <d v="2014-08-28T00:00:00"/>
    <d v="2014-11-07T00:00:00"/>
    <d v="1899-12-30T00:00:00"/>
    <d v="1899-12-30T00:00:00"/>
    <d v="1899-12-30T00:00:00"/>
    <d v="1899-12-30T00:00:00"/>
    <x v="0"/>
    <s v="확정"/>
    <n v="120"/>
    <n v="0"/>
    <n v="0"/>
    <n v="0"/>
    <n v="0"/>
    <n v="0"/>
    <n v="120"/>
    <n v="1161913.2000000002"/>
    <n v="6600000"/>
    <n v="5.1638969244862691"/>
  </r>
  <r>
    <n v="0"/>
    <n v="0.5"/>
    <n v="4"/>
    <n v="11"/>
    <s v="F-CAP"/>
    <x v="20"/>
    <s v="ELK-동일모자-11"/>
    <s v="ELK-동일모자-11ELKERF5521GY"/>
    <n v="4"/>
    <s v="ELK-동일모자-114"/>
    <s v="ELK-동일모자-114-ELKERF5521GREYOML"/>
    <s v="ELK의류외521"/>
    <s v="ELK"/>
    <s v="14FW E"/>
    <m/>
    <s v="ELK"/>
    <s v="ELSTINKO KIDS"/>
    <s v="F"/>
    <n v="5"/>
    <s v="ER"/>
    <s v="EARCAP"/>
    <s v="K"/>
    <n v="521"/>
    <n v="521"/>
    <s v="ELKERF5521"/>
    <n v="0.5"/>
    <s v="14FW ELS 42_SNAP_GY_KIDS"/>
    <s v="GY"/>
    <s v="GREY"/>
    <s v="ELKERF5521GY"/>
    <x v="0"/>
    <n v="0.5"/>
    <s v="겉감 1: 면 80%, 폴리에스터 20%/겉감 2: 아크릴 80%, 폴리에스터 20%"/>
    <n v="1"/>
    <s v="OML"/>
    <n v="60"/>
    <x v="5"/>
    <n v="11"/>
    <x v="23"/>
    <s v="M"/>
    <s v="CN"/>
    <x v="0"/>
    <n v="55000"/>
    <x v="22"/>
    <n v="8333.3333333333321"/>
    <n v="9622.61"/>
    <n v="1289.2766666666685"/>
    <n v="60"/>
    <n v="0"/>
    <n v="20"/>
    <n v="80"/>
    <n v="7.65"/>
    <n v="0"/>
    <d v="2014-04-21T00:00:00"/>
    <d v="2014-08-25T00:00:00"/>
    <d v="2014-08-28T00:00:00"/>
    <d v="2014-08-28T00:00:00"/>
    <d v="2014-11-07T00:00:00"/>
    <d v="1899-12-30T00:00:00"/>
    <d v="1899-12-30T00:00:00"/>
    <d v="1899-12-30T00:00:00"/>
    <d v="1899-12-30T00:00:00"/>
    <x v="0"/>
    <s v="확정"/>
    <n v="60"/>
    <n v="0"/>
    <n v="0"/>
    <n v="0"/>
    <n v="0"/>
    <n v="0"/>
    <n v="60"/>
    <n v="577356.60000000009"/>
    <n v="3300000"/>
    <n v="5.1960954460380284"/>
  </r>
  <r>
    <n v="0"/>
    <n v="0"/>
    <s v=""/>
    <s v=""/>
    <s v=""/>
    <x v="1"/>
    <s v=""/>
    <s v=""/>
    <n v="0"/>
    <s v="0"/>
    <s v="0-"/>
    <n v="0"/>
    <s v="TTL"/>
    <s v=""/>
    <s v="ELK-동일모자-11 TTL"/>
    <m/>
    <s v=""/>
    <s v=""/>
    <s v=""/>
    <m/>
    <s v=""/>
    <s v="K"/>
    <m/>
    <s v=""/>
    <s v=""/>
    <n v="4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m/>
    <n v="0"/>
    <n v="7.95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82"/>
    <n v="404"/>
    <n v="0"/>
    <n v="0"/>
    <n v="0"/>
    <n v="0"/>
    <n v="1090"/>
    <n v="9901349.4000000004"/>
    <n v="59950000"/>
    <n v="5.5043002522464253"/>
  </r>
  <r>
    <n v="0"/>
    <n v="0.5"/>
    <n v="4"/>
    <n v="11"/>
    <s v="F-CAP"/>
    <x v="20"/>
    <s v="ELK-동일모자-14"/>
    <s v="ELK-동일모자-14ELKTPF5514MT"/>
    <n v="1"/>
    <s v="ELK-동일모자-141"/>
    <s v="ELK-동일모자-141-ELKTPF5514MINTFRE"/>
    <s v="ELK의류외514"/>
    <s v="ELK"/>
    <s v="14FW E"/>
    <m/>
    <s v="ELK"/>
    <s v="ELSTINKO KIDS"/>
    <s v="F"/>
    <n v="5"/>
    <s v="TP"/>
    <s v="TROOPER"/>
    <s v="K"/>
    <n v="514"/>
    <n v="514"/>
    <s v="ELKTPF5514"/>
    <n v="0.5"/>
    <s v="14FW ELS 37_TROOPER_MT_KIDS"/>
    <s v="MT"/>
    <s v="MINT"/>
    <s v="ELKTPF5514MT"/>
    <x v="0"/>
    <n v="1"/>
    <s v="겉감 : 폴리에스터 100%/안감 : 아크릴 80%, 폴리에스터 20%"/>
    <n v="1"/>
    <s v="FRE"/>
    <n v="120"/>
    <x v="5"/>
    <n v="14"/>
    <x v="16"/>
    <s v="M"/>
    <s v="CN"/>
    <x v="0"/>
    <n v="59000"/>
    <x v="22"/>
    <n v="8939.3939393939381"/>
    <n v="11330.83"/>
    <n v="2391.4360606060618"/>
    <n v="1304"/>
    <n v="90"/>
    <n v="20"/>
    <n v="1414"/>
    <n v="7.95"/>
    <n v="0"/>
    <d v="2014-04-21T00:00:00"/>
    <d v="2014-09-22T00:00:00"/>
    <d v="2014-09-25T00:00:00"/>
    <d v="2014-09-25T00:00:00"/>
    <d v="2014-11-07T00:00:00"/>
    <d v="1899-12-30T00:00:00"/>
    <d v="1899-12-30T00:00:00"/>
    <d v="1899-12-30T00:00:00"/>
    <d v="1899-12-30T00:00:00"/>
    <x v="0"/>
    <s v="확정"/>
    <n v="120"/>
    <n v="0"/>
    <n v="0"/>
    <n v="0"/>
    <n v="0"/>
    <n v="0"/>
    <n v="120"/>
    <n v="1359699.6"/>
    <n v="7080000"/>
    <n v="4.7336659041185536"/>
  </r>
  <r>
    <n v="0"/>
    <n v="0.5"/>
    <n v="4"/>
    <n v="11"/>
    <s v="F-CAP"/>
    <x v="20"/>
    <s v="ELK-동일모자-14"/>
    <s v="ELK-동일모자-14ELKTPF5514OR"/>
    <n v="2"/>
    <s v="ELK-동일모자-142"/>
    <s v="ELK-동일모자-142-ELKTPF5514ORANGEFRE"/>
    <s v="ELK의류외514"/>
    <s v="ELK"/>
    <s v="14FW E"/>
    <m/>
    <s v="ELK"/>
    <s v="ELSTINKO KIDS"/>
    <s v="F"/>
    <n v="5"/>
    <s v="TP"/>
    <s v="TROOPER"/>
    <s v="K"/>
    <n v="514"/>
    <n v="514"/>
    <s v="ELKTPF5514"/>
    <n v="0.5"/>
    <s v="14FW ELS 37_TROOPER_OR_KIDS"/>
    <s v="OR"/>
    <s v="ORANGE"/>
    <s v="ELKTPF5514OR"/>
    <x v="0"/>
    <n v="1"/>
    <s v="겉감 : 폴리에스터 100%/안감 : 아크릴 80%, 폴리에스터 20%"/>
    <n v="1"/>
    <s v="FRE"/>
    <n v="120"/>
    <x v="5"/>
    <n v="14"/>
    <x v="16"/>
    <s v="M"/>
    <s v="CN"/>
    <x v="0"/>
    <n v="59000"/>
    <x v="22"/>
    <n v="8939.3939393939381"/>
    <n v="11330.83"/>
    <n v="2391.4360606060618"/>
    <n v="1304"/>
    <n v="90"/>
    <n v="20"/>
    <n v="1414"/>
    <n v="7.95"/>
    <n v="0"/>
    <d v="2014-04-21T00:00:00"/>
    <d v="2014-09-22T00:00:00"/>
    <d v="2014-09-25T00:00:00"/>
    <d v="2014-09-25T00:00:00"/>
    <d v="2014-11-07T00:00:00"/>
    <d v="1899-12-30T00:00:00"/>
    <d v="1899-12-30T00:00:00"/>
    <d v="1899-12-30T00:00:00"/>
    <d v="1899-12-30T00:00:00"/>
    <x v="0"/>
    <s v="확정"/>
    <n v="120"/>
    <n v="0"/>
    <n v="0"/>
    <n v="0"/>
    <n v="0"/>
    <n v="0"/>
    <n v="120"/>
    <n v="1359699.6"/>
    <n v="7080000"/>
    <n v="4.7336659041185536"/>
  </r>
  <r>
    <n v="0"/>
    <n v="0"/>
    <s v=""/>
    <s v=""/>
    <s v=""/>
    <x v="1"/>
    <s v=""/>
    <s v=""/>
    <n v="0"/>
    <s v="0"/>
    <s v="0-"/>
    <n v="0"/>
    <s v="TTL"/>
    <s v=""/>
    <s v="ELK-동일모자-14 TTL"/>
    <m/>
    <s v=""/>
    <s v=""/>
    <s v=""/>
    <m/>
    <s v=""/>
    <s v="K"/>
    <m/>
    <s v=""/>
    <s v=""/>
    <n v="1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m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40"/>
    <n v="0"/>
    <n v="0"/>
    <n v="0"/>
    <n v="0"/>
    <n v="0"/>
    <n v="240"/>
    <n v="2719399.2"/>
    <n v="14160000"/>
    <n v="4.7336659041185536"/>
  </r>
  <r>
    <n v="0"/>
    <n v="0"/>
    <n v="5"/>
    <n v="7"/>
    <s v="전략"/>
    <x v="22"/>
    <s v="ELK-바이칼-01"/>
    <s v="ELK-바이칼-01ELKBPF3501BL"/>
    <n v="1"/>
    <s v="ELK-바이칼-011"/>
    <s v="ELK-바이칼-011-ELKBPF3501BLUEOSS"/>
    <s v="ELK의류외501"/>
    <s v="ELK"/>
    <s v="14FW E"/>
    <m/>
    <s v="ELK"/>
    <s v="ELSTINKO KIDS"/>
    <s v="F"/>
    <s v="3"/>
    <s v="BP"/>
    <s v="BACK PACK"/>
    <s v="K"/>
    <n v="501"/>
    <n v="501"/>
    <s v="ELKBPF3501"/>
    <n v="1"/>
    <s v="14FW ELS BACKPACK_05_BL_TOD"/>
    <s v="BL"/>
    <s v="BLUE"/>
    <s v="ELKBPF3501BL"/>
    <x v="0"/>
    <n v="1"/>
    <s v="폴리에스터 100%"/>
    <n v="1"/>
    <s v="OSS"/>
    <n v="100"/>
    <x v="11"/>
    <n v="1"/>
    <x v="0"/>
    <s v="M"/>
    <s v="CN"/>
    <x v="0"/>
    <n v="79000"/>
    <x v="14"/>
    <n v="17954.545454545452"/>
    <n v="19020"/>
    <n v="1065.4545454545478"/>
    <n v="0"/>
    <n v="0"/>
    <n v="20"/>
    <n v="20"/>
    <n v="0"/>
    <n v="19000"/>
    <d v="2014-05-14T00:00:00"/>
    <d v="1899-12-30T00:00:00"/>
    <d v="2014-06-26T00:00:00"/>
    <d v="1899-12-30T00:00:00"/>
    <d v="2014-07-15T00:00:00"/>
    <d v="1899-12-30T00:00:00"/>
    <d v="1899-12-30T00:00:00"/>
    <d v="1899-12-30T00:00:00"/>
    <d v="1899-12-30T00:00:00"/>
    <x v="2"/>
    <s v="확정 "/>
    <n v="100"/>
    <n v="0"/>
    <n v="0"/>
    <n v="0"/>
    <n v="0"/>
    <n v="0"/>
    <n v="100"/>
    <n v="1902000"/>
    <n v="7900000"/>
    <n v="3.7759296434375296"/>
  </r>
  <r>
    <n v="0"/>
    <n v="0"/>
    <n v="5"/>
    <n v="7"/>
    <s v="전략"/>
    <x v="22"/>
    <s v="ELK-바이칼-01"/>
    <s v="ELK-바이칼-01ELKBPF3502PK"/>
    <n v="2"/>
    <s v="ELK-바이칼-012"/>
    <s v="ELK-바이칼-012-ELKBPF3502PINKOSS"/>
    <s v="ELK의류외502"/>
    <s v="ELK"/>
    <s v="14FW E"/>
    <m/>
    <s v="ELK"/>
    <s v="ELSTINKO KIDS"/>
    <s v="F"/>
    <s v="3"/>
    <s v="BP"/>
    <s v="BACK PACK"/>
    <s v="K"/>
    <n v="502"/>
    <n v="502"/>
    <s v="ELKBPF3502"/>
    <n v="1"/>
    <s v="14FW ELS BACKPACK_05_PK_TOD"/>
    <s v="PK"/>
    <s v="PINK"/>
    <s v="ELKBPF3502PK"/>
    <x v="0"/>
    <n v="1"/>
    <s v="폴리에스터 100%"/>
    <n v="1"/>
    <s v="OSS"/>
    <n v="100"/>
    <x v="11"/>
    <n v="1"/>
    <x v="0"/>
    <s v="M"/>
    <s v="CN"/>
    <x v="0"/>
    <n v="79000"/>
    <x v="14"/>
    <n v="17954.545454545452"/>
    <n v="19020"/>
    <n v="1065.4545454545478"/>
    <n v="0"/>
    <n v="0"/>
    <n v="20"/>
    <n v="20"/>
    <n v="0"/>
    <n v="19000"/>
    <d v="2014-05-14T00:00:00"/>
    <d v="1899-12-30T00:00:00"/>
    <d v="2014-06-26T00:00:00"/>
    <d v="1899-12-30T00:00:00"/>
    <d v="2014-07-15T00:00:00"/>
    <d v="1899-12-30T00:00:00"/>
    <d v="1899-12-30T00:00:00"/>
    <d v="1899-12-30T00:00:00"/>
    <d v="1899-12-30T00:00:00"/>
    <x v="2"/>
    <s v="확정 "/>
    <n v="100"/>
    <n v="0"/>
    <n v="0"/>
    <n v="0"/>
    <n v="0"/>
    <n v="0"/>
    <n v="100"/>
    <n v="1902000"/>
    <n v="7900000"/>
    <n v="3.7759296434375296"/>
  </r>
  <r>
    <n v="0"/>
    <n v="0"/>
    <n v="5"/>
    <n v="7"/>
    <s v="전략"/>
    <x v="22"/>
    <s v="ELK-바이칼-01"/>
    <s v="ELK-바이칼-01ELKBPF3503PP"/>
    <n v="3"/>
    <s v="ELK-바이칼-013"/>
    <s v="ELK-바이칼-013-ELKBPF3503PURPLEOMM"/>
    <s v="ELK의류외503"/>
    <s v="ELK"/>
    <s v="14FW E"/>
    <m/>
    <s v="ELK"/>
    <s v="ELSTINKO KIDS"/>
    <s v="F"/>
    <s v="3"/>
    <s v="BP"/>
    <s v="BACK PACK"/>
    <s v="K"/>
    <n v="503"/>
    <n v="503"/>
    <s v="ELKBPF3503"/>
    <n v="1"/>
    <s v="14FW ELS BACKPACK_04_PP_KIDS"/>
    <s v="PP"/>
    <s v="PURPLE"/>
    <s v="ELKBPF3503PP"/>
    <x v="0"/>
    <n v="1"/>
    <s v="폴리에스터 100%"/>
    <n v="1"/>
    <s v="OMM"/>
    <n v="100"/>
    <x v="11"/>
    <n v="1"/>
    <x v="0"/>
    <s v="M"/>
    <s v="CN"/>
    <x v="0"/>
    <n v="99000"/>
    <x v="14"/>
    <n v="22500"/>
    <n v="21520"/>
    <n v="-980"/>
    <n v="0"/>
    <n v="0"/>
    <n v="20"/>
    <n v="20"/>
    <n v="0"/>
    <n v="21500"/>
    <d v="2014-05-14T00:00:00"/>
    <d v="1899-12-30T00:00:00"/>
    <d v="2014-06-26T00:00:00"/>
    <d v="1899-12-30T00:00:00"/>
    <d v="2014-07-15T00:00:00"/>
    <d v="1899-12-30T00:00:00"/>
    <d v="1899-12-30T00:00:00"/>
    <d v="1899-12-30T00:00:00"/>
    <d v="1899-12-30T00:00:00"/>
    <x v="2"/>
    <s v="확정 "/>
    <n v="100"/>
    <n v="0"/>
    <n v="0"/>
    <n v="0"/>
    <n v="0"/>
    <n v="0"/>
    <n v="100"/>
    <n v="2152000"/>
    <n v="9900000"/>
    <n v="4.1821561338289959"/>
  </r>
  <r>
    <n v="0"/>
    <n v="0"/>
    <s v=""/>
    <s v=""/>
    <s v=""/>
    <x v="1"/>
    <s v=""/>
    <s v=""/>
    <n v="0"/>
    <s v="0"/>
    <s v="0-"/>
    <n v="0"/>
    <s v="TTL"/>
    <s v=""/>
    <s v="ELK-바이칼-01 TTL"/>
    <m/>
    <s v=""/>
    <s v=""/>
    <s v=""/>
    <m/>
    <s v=""/>
    <s v="K"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m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00"/>
    <n v="0"/>
    <n v="0"/>
    <n v="0"/>
    <n v="0"/>
    <n v="0"/>
    <n v="300"/>
    <n v="5956000"/>
    <n v="25700000"/>
    <n v="3.9227059039013366"/>
  </r>
  <r>
    <n v="0"/>
    <n v="0"/>
    <n v="5"/>
    <n v="8"/>
    <s v="F-CAP"/>
    <x v="20"/>
    <s v="ELK-동일모자-20"/>
    <s v="ELK-동일모자-20ELKBAF3841BK"/>
    <n v="1"/>
    <s v="ELK-동일모자-201"/>
    <s v="ELK-동일모자-201-ELKBAF3841BLACKOSM"/>
    <s v="ELK의류외841"/>
    <s v="ELK"/>
    <s v="13FW E"/>
    <m/>
    <s v="ELK"/>
    <s v="ELSTINKO KIDS"/>
    <s v="F"/>
    <s v="3"/>
    <s v="BA"/>
    <s v="BASIC CAP"/>
    <s v="K"/>
    <n v="841"/>
    <n v="841"/>
    <s v="ELKBAF3841"/>
    <n v="0.25"/>
    <s v="13FW ELS 36_SNAP_BK_KIDS"/>
    <s v="BK"/>
    <s v="BLACK"/>
    <s v="ELKBAF3841BK"/>
    <x v="1"/>
    <n v="0.5"/>
    <s v="면100%"/>
    <n v="1"/>
    <s v="OSM"/>
    <n v="200"/>
    <x v="5"/>
    <n v="20"/>
    <x v="22"/>
    <s v="M"/>
    <s v="CN"/>
    <x v="0"/>
    <n v="53000"/>
    <x v="24"/>
    <n v="8030.3030303030291"/>
    <n v="7130.1800000000012"/>
    <n v="-900.12303030302792"/>
    <n v="0"/>
    <n v="0"/>
    <n v="20"/>
    <n v="20"/>
    <n v="5.7"/>
    <n v="0"/>
    <d v="2014-05-13T00:00:00"/>
    <d v="2014-07-31T00:00:00"/>
    <d v="2014-07-28T00:00:00"/>
    <d v="2014-08-04T00:00:00"/>
    <d v="2014-08-13T00:00:00"/>
    <d v="1899-12-30T00:00:00"/>
    <d v="1899-12-30T00:00:00"/>
    <d v="1899-12-30T00:00:00"/>
    <d v="1899-12-30T00:00:00"/>
    <x v="0"/>
    <s v="확정"/>
    <n v="210"/>
    <n v="0"/>
    <n v="0"/>
    <n v="0"/>
    <n v="0"/>
    <n v="0"/>
    <n v="200"/>
    <n v="1426036.0000000002"/>
    <n v="10600000"/>
    <n v="6.7574476635678442"/>
  </r>
  <r>
    <n v="0"/>
    <n v="0"/>
    <n v="5"/>
    <n v="8"/>
    <s v="F-CAP"/>
    <x v="20"/>
    <s v="ELK-동일모자-20"/>
    <s v="ELK-동일모자-20ELKBAF3841BK"/>
    <n v="1"/>
    <s v="ELK-동일모자-201"/>
    <s v="ELK-동일모자-201-ELKBAF3841BLACKOML"/>
    <s v="ELK의류외841"/>
    <s v="ELK"/>
    <s v="13FW E"/>
    <m/>
    <s v="ELK"/>
    <s v="ELSTINKO KIDS"/>
    <s v="F"/>
    <s v="3"/>
    <s v="BA"/>
    <s v="BASIC CAP"/>
    <s v="K"/>
    <n v="841"/>
    <n v="841"/>
    <s v="ELKBAF3841"/>
    <n v="0.25"/>
    <s v="13FW ELS 36_SNAP_BK_KIDS"/>
    <s v="BK"/>
    <s v="BLACK"/>
    <s v="ELKBAF3841BK"/>
    <x v="1"/>
    <n v="0.5"/>
    <s v="면100%"/>
    <n v="1"/>
    <s v="OML"/>
    <n v="200"/>
    <x v="5"/>
    <n v="20"/>
    <x v="22"/>
    <s v="M"/>
    <s v="CN"/>
    <x v="0"/>
    <n v="53000"/>
    <x v="24"/>
    <n v="8030.3030303030291"/>
    <n v="7130.1800000000012"/>
    <n v="-900.12303030302792"/>
    <n v="0"/>
    <n v="0"/>
    <n v="20"/>
    <n v="20"/>
    <n v="5.7"/>
    <n v="0"/>
    <d v="2014-05-13T00:00:00"/>
    <d v="2014-07-31T00:00:00"/>
    <d v="2014-07-28T00:00:00"/>
    <d v="2014-08-04T00:00:00"/>
    <d v="2014-08-13T00:00:00"/>
    <d v="1899-12-30T00:00:00"/>
    <d v="1899-12-30T00:00:00"/>
    <d v="1899-12-30T00:00:00"/>
    <d v="1899-12-30T00:00:00"/>
    <x v="0"/>
    <s v="확정"/>
    <n v="200"/>
    <n v="0"/>
    <n v="0"/>
    <n v="0"/>
    <n v="0"/>
    <n v="0"/>
    <n v="200"/>
    <n v="1426036.0000000002"/>
    <n v="10600000"/>
    <n v="6.7574476635678442"/>
  </r>
  <r>
    <n v="0"/>
    <n v="0"/>
    <n v="5"/>
    <n v="8"/>
    <s v="F-CAP"/>
    <x v="20"/>
    <s v="ELK-동일모자-20"/>
    <s v="ELK-동일모자-20ELKBAF3841RE"/>
    <n v="2"/>
    <s v="ELK-동일모자-202"/>
    <s v="ELK-동일모자-202-ELKBAF3841REDOSM"/>
    <s v="ELK의류외841"/>
    <s v="ELK"/>
    <s v="13FW E"/>
    <m/>
    <s v="ELK"/>
    <s v="ELSTINKO KIDS"/>
    <s v="F"/>
    <s v="3"/>
    <s v="BA"/>
    <s v="BASIC CAP"/>
    <s v="K"/>
    <n v="841"/>
    <n v="841"/>
    <s v="ELKBAF3841"/>
    <n v="0.25"/>
    <s v="13FW ELS 36_SNAP_RD_KIDS"/>
    <s v="RE"/>
    <s v="RED"/>
    <s v="ELKBAF3841RE"/>
    <x v="1"/>
    <n v="0.5"/>
    <s v="면100%"/>
    <n v="1"/>
    <s v="OSM"/>
    <n v="400"/>
    <x v="5"/>
    <n v="20"/>
    <x v="22"/>
    <s v="M"/>
    <s v="CN"/>
    <x v="0"/>
    <n v="53000"/>
    <x v="24"/>
    <n v="8030.3030303030291"/>
    <n v="7130.1800000000012"/>
    <n v="-900.12303030302792"/>
    <n v="0"/>
    <n v="0"/>
    <n v="20"/>
    <n v="20"/>
    <n v="5.7"/>
    <n v="0"/>
    <d v="2014-05-13T00:00:00"/>
    <d v="2014-07-31T00:00:00"/>
    <d v="2014-07-28T00:00:00"/>
    <d v="2014-08-04T00:00:00"/>
    <d v="2014-08-13T00:00:00"/>
    <d v="1899-12-30T00:00:00"/>
    <d v="1899-12-30T00:00:00"/>
    <d v="1899-12-30T00:00:00"/>
    <d v="1899-12-30T00:00:00"/>
    <x v="0"/>
    <s v="확정"/>
    <n v="392"/>
    <n v="0"/>
    <n v="0"/>
    <n v="0"/>
    <n v="0"/>
    <n v="0"/>
    <n v="400"/>
    <n v="2852072.0000000005"/>
    <n v="21200000"/>
    <n v="6.7574476635678442"/>
  </r>
  <r>
    <n v="0"/>
    <n v="0"/>
    <n v="5"/>
    <n v="8"/>
    <s v="F-CAP"/>
    <x v="20"/>
    <s v="ELK-동일모자-20"/>
    <s v="ELK-동일모자-20ELKBAF3841RE"/>
    <n v="2"/>
    <s v="ELK-동일모자-202"/>
    <s v="ELK-동일모자-202-ELKBAF3841REDOML"/>
    <s v="ELK의류외841"/>
    <s v="ELK"/>
    <s v="13FW E"/>
    <m/>
    <s v="ELK"/>
    <s v="ELSTINKO KIDS"/>
    <s v="F"/>
    <s v="3"/>
    <s v="BA"/>
    <s v="BASIC CAP"/>
    <s v="K"/>
    <n v="841"/>
    <n v="841"/>
    <s v="ELKBAF3841"/>
    <n v="0.25"/>
    <s v="13FW ELS 36_SNAP_RD_KIDS"/>
    <s v="RE"/>
    <s v="RED"/>
    <s v="ELKBAF3841RE"/>
    <x v="1"/>
    <n v="0.5"/>
    <s v="면100%"/>
    <n v="1"/>
    <s v="OML"/>
    <n v="400"/>
    <x v="5"/>
    <n v="20"/>
    <x v="22"/>
    <s v="M"/>
    <s v="CN"/>
    <x v="0"/>
    <n v="53000"/>
    <x v="24"/>
    <n v="8030.3030303030291"/>
    <n v="7130.1800000000012"/>
    <n v="-900.12303030302792"/>
    <n v="0"/>
    <n v="0"/>
    <n v="20"/>
    <n v="20"/>
    <n v="5.7"/>
    <n v="0"/>
    <d v="2014-05-13T00:00:00"/>
    <d v="2014-07-31T00:00:00"/>
    <d v="2014-07-28T00:00:00"/>
    <d v="2014-08-04T00:00:00"/>
    <d v="2014-08-13T00:00:00"/>
    <d v="1899-12-30T00:00:00"/>
    <d v="1899-12-30T00:00:00"/>
    <d v="1899-12-30T00:00:00"/>
    <d v="1899-12-30T00:00:00"/>
    <x v="0"/>
    <s v="확정"/>
    <n v="399"/>
    <n v="0"/>
    <n v="0"/>
    <n v="0"/>
    <n v="0"/>
    <n v="0"/>
    <n v="400"/>
    <n v="2852072.0000000005"/>
    <n v="21200000"/>
    <n v="6.7574476635678442"/>
  </r>
  <r>
    <n v="0"/>
    <n v="0"/>
    <s v=""/>
    <s v=""/>
    <s v=""/>
    <x v="1"/>
    <s v=""/>
    <s v=""/>
    <n v="0"/>
    <s v="0"/>
    <s v="0-"/>
    <n v="0"/>
    <s v="TTL"/>
    <s v=""/>
    <s v="ELK-동일모자-20 TTL"/>
    <m/>
    <s v=""/>
    <s v=""/>
    <s v=""/>
    <m/>
    <s v=""/>
    <s v="K"/>
    <m/>
    <s v=""/>
    <s v=""/>
    <n v="1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m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201"/>
    <n v="0"/>
    <n v="0"/>
    <n v="0"/>
    <n v="0"/>
    <n v="0"/>
    <n v="1200"/>
    <n v="8556216.0000000019"/>
    <n v="63600000"/>
    <n v="6.7574476635678433"/>
  </r>
  <r>
    <n v="0"/>
    <n v="0.5"/>
    <n v="5"/>
    <n v="8"/>
    <s v="F-CAP"/>
    <x v="20"/>
    <s v="ELK-동일모자-21"/>
    <s v="ELK-동일모자-21ELKBAF3531GY"/>
    <n v="1"/>
    <s v="ELK-동일모자-211"/>
    <s v="ELK-동일모자-211-ELKBAF3531GREYOSM"/>
    <s v="ELK의류외531"/>
    <s v="ELK"/>
    <s v="14FW E"/>
    <m/>
    <s v="ELK"/>
    <s v="ELSTINKO KIDS"/>
    <s v="F"/>
    <s v="3"/>
    <s v="BA"/>
    <s v="BASIC CAP"/>
    <s v="K"/>
    <n v="531"/>
    <n v="531"/>
    <s v="ELKBAF3531"/>
    <n v="0.5"/>
    <s v="14FW ELS_61_SNAP_GY_KIDS"/>
    <s v="GY"/>
    <s v="GREY"/>
    <s v="ELKBAF3531GY"/>
    <x v="0"/>
    <n v="0.5"/>
    <s v="겉감 1: 면 100%/겉감 2: 울 40%, 폴리에스터 60%"/>
    <n v="1"/>
    <s v="OSM"/>
    <n v="150"/>
    <x v="5"/>
    <n v="21"/>
    <x v="18"/>
    <s v="M"/>
    <s v="CN"/>
    <x v="0"/>
    <n v="49000"/>
    <x v="22"/>
    <n v="7424.242424242424"/>
    <n v="8561.99"/>
    <n v="1137.7475757575758"/>
    <n v="621"/>
    <n v="0"/>
    <n v="20"/>
    <n v="641"/>
    <n v="6.35"/>
    <n v="0"/>
    <d v="2014-05-14T00:00:00"/>
    <d v="2014-08-25T00:00:00"/>
    <d v="2014-07-24T00:00:00"/>
    <d v="2014-08-28T00:00:00"/>
    <d v="2014-08-22T00:00:00"/>
    <d v="2014-09-05T00:00:00"/>
    <d v="1899-12-30T00:00:00"/>
    <d v="1899-12-30T00:00:00"/>
    <d v="1899-12-30T00:00:00"/>
    <x v="0"/>
    <s v="확정"/>
    <n v="20"/>
    <n v="126"/>
    <n v="0"/>
    <n v="0"/>
    <n v="0"/>
    <n v="0"/>
    <n v="150"/>
    <n v="1284298.5"/>
    <n v="7350000"/>
    <n v="5.2026987353938212"/>
  </r>
  <r>
    <n v="0"/>
    <n v="0.5"/>
    <n v="5"/>
    <n v="8"/>
    <s v="F-CAP"/>
    <x v="20"/>
    <s v="ELK-동일모자-21"/>
    <s v="ELK-동일모자-21ELKBAF3531GY"/>
    <n v="1"/>
    <s v="ELK-동일모자-211"/>
    <s v="ELK-동일모자-211-ELKBAF3531GREYOML"/>
    <s v="ELK의류외531"/>
    <s v="ELK"/>
    <s v="14FW E"/>
    <m/>
    <s v="ELK"/>
    <s v="ELSTINKO KIDS"/>
    <s v="F"/>
    <s v="3"/>
    <s v="BA"/>
    <s v="BASIC CAP"/>
    <s v="K"/>
    <n v="531"/>
    <n v="531"/>
    <s v="ELKBAF3531"/>
    <n v="0.5"/>
    <s v="14FW ELS_61_SNAP_GY_KIDS"/>
    <s v="GY"/>
    <s v="GREY"/>
    <s v="ELKBAF3531GY"/>
    <x v="0"/>
    <n v="0.5"/>
    <s v="겉감 1: 면 100%/겉감 2: 울 40%, 폴리에스터 60%"/>
    <n v="1"/>
    <s v="OML"/>
    <n v="80"/>
    <x v="5"/>
    <n v="21"/>
    <x v="18"/>
    <s v="M"/>
    <s v="CN"/>
    <x v="0"/>
    <n v="49000"/>
    <x v="22"/>
    <n v="7424.242424242424"/>
    <n v="8271.99"/>
    <n v="847.74757575757576"/>
    <n v="331"/>
    <n v="0"/>
    <n v="20"/>
    <n v="351"/>
    <n v="6.35"/>
    <n v="0"/>
    <d v="2014-05-14T00:00:00"/>
    <d v="2014-08-25T00:00:00"/>
    <d v="2014-07-24T00:00:00"/>
    <d v="2014-08-28T00:00:00"/>
    <d v="2014-08-22T00:00:00"/>
    <d v="2014-09-05T00:00:00"/>
    <d v="1899-12-30T00:00:00"/>
    <d v="1899-12-30T00:00:00"/>
    <d v="1899-12-30T00:00:00"/>
    <x v="0"/>
    <s v="확정"/>
    <n v="20"/>
    <n v="3"/>
    <n v="0"/>
    <n v="0"/>
    <n v="0"/>
    <m/>
    <n v="80"/>
    <n v="661759.19999999995"/>
    <n v="3920000"/>
    <n v="5.3850953090434759"/>
  </r>
  <r>
    <n v="0"/>
    <n v="0.5"/>
    <n v="5"/>
    <n v="10"/>
    <s v="F-CAP"/>
    <x v="20"/>
    <s v="ELK-동일모자-21"/>
    <s v="ELK-동일모자-21ELKERF5532PK"/>
    <n v="2"/>
    <s v="ELK-동일모자-212"/>
    <s v="ELK-동일모자-212-ELKERF5532PINKOSM"/>
    <s v="ELK의류외532"/>
    <s v="ELK"/>
    <s v="14FW E"/>
    <m/>
    <s v="ELK"/>
    <s v="ELSTINKO KIDS"/>
    <s v="F"/>
    <n v="5"/>
    <s v="ER"/>
    <s v="EARCAP"/>
    <s v="K"/>
    <n v="532"/>
    <n v="532"/>
    <s v="ELKERF5532"/>
    <n v="0.5"/>
    <s v="14FW ELS_62_CURVED PK_KIDS"/>
    <s v="PK"/>
    <s v="PINK"/>
    <s v="ELKERF5532PK"/>
    <x v="0"/>
    <n v="0.5"/>
    <s v="겉감 1: 울 40%, 폴리에스터 60% / 겉감2 : 폴리에스터 80%, 아크릴 20%"/>
    <n v="1"/>
    <s v="OSM"/>
    <n v="120"/>
    <x v="5"/>
    <n v="21"/>
    <x v="18"/>
    <s v="M"/>
    <s v="CN"/>
    <x v="0"/>
    <n v="55000"/>
    <x v="22"/>
    <n v="8333.3333333333321"/>
    <n v="9042.2800000000007"/>
    <n v="708.94666666666853"/>
    <n v="41"/>
    <n v="0"/>
    <n v="20"/>
    <n v="61"/>
    <n v="7.2"/>
    <n v="0"/>
    <d v="2014-05-14T00:00:00"/>
    <d v="2014-08-25T00:00:00"/>
    <d v="2014-07-24T00:00:00"/>
    <d v="2014-08-28T00:00:00"/>
    <d v="2014-10-02T00:00:00"/>
    <d v="1899-12-30T00:00:00"/>
    <d v="1899-12-30T00:00:00"/>
    <d v="1899-12-30T00:00:00"/>
    <d v="1899-12-30T00:00:00"/>
    <x v="0"/>
    <s v="확정"/>
    <n v="119"/>
    <n v="0"/>
    <n v="0"/>
    <n v="0"/>
    <n v="0"/>
    <n v="0"/>
    <n v="120"/>
    <n v="1085073.6000000001"/>
    <n v="6600000"/>
    <n v="5.5295788230402056"/>
  </r>
  <r>
    <n v="0"/>
    <n v="0.5"/>
    <n v="5"/>
    <n v="10"/>
    <s v="F-CAP"/>
    <x v="20"/>
    <s v="ELK-동일모자-21"/>
    <s v="ELK-동일모자-21ELKERF5532PK"/>
    <n v="2"/>
    <s v="ELK-동일모자-212"/>
    <s v="ELK-동일모자-212-ELKERF5532PINKOML"/>
    <s v="ELK의류외532"/>
    <s v="ELK"/>
    <s v="14FW E"/>
    <m/>
    <s v="ELK"/>
    <s v="ELSTINKO KIDS"/>
    <s v="F"/>
    <n v="5"/>
    <s v="ER"/>
    <s v="EARCAP"/>
    <s v="K"/>
    <n v="532"/>
    <n v="532"/>
    <s v="ELKERF5532"/>
    <n v="0.5"/>
    <s v="14FW ELS_62_CURVED PK_KIDS"/>
    <s v="PK"/>
    <s v="PINK"/>
    <s v="ELKERF5532PK"/>
    <x v="0"/>
    <n v="0.5"/>
    <s v="겉감 1: 울 40%, 폴리에스터 60% / 겉감2 : 폴리에스터 80%, 아크릴 20%"/>
    <n v="1"/>
    <s v="OML"/>
    <n v="60"/>
    <x v="5"/>
    <n v="21"/>
    <x v="18"/>
    <s v="M"/>
    <s v="CN"/>
    <x v="0"/>
    <n v="55000"/>
    <x v="22"/>
    <n v="8333.3333333333321"/>
    <n v="9021.2800000000007"/>
    <n v="687.94666666666853"/>
    <n v="20"/>
    <n v="0"/>
    <n v="20"/>
    <n v="40"/>
    <n v="7.2"/>
    <n v="0"/>
    <d v="2014-05-14T00:00:00"/>
    <d v="2014-08-25T00:00:00"/>
    <d v="2014-07-24T00:00:00"/>
    <d v="2014-08-28T00:00:00"/>
    <d v="2014-10-02T00:00:00"/>
    <d v="1899-12-30T00:00:00"/>
    <d v="1899-12-30T00:00:00"/>
    <d v="1899-12-30T00:00:00"/>
    <d v="1899-12-30T00:00:00"/>
    <x v="0"/>
    <s v="확정"/>
    <n v="59"/>
    <n v="0"/>
    <n v="0"/>
    <n v="0"/>
    <n v="0"/>
    <n v="0"/>
    <n v="60"/>
    <n v="541276.80000000005"/>
    <n v="3300000"/>
    <n v="5.5424507386978332"/>
  </r>
  <r>
    <n v="0"/>
    <n v="0"/>
    <s v=""/>
    <s v=""/>
    <s v=""/>
    <x v="1"/>
    <s v=""/>
    <s v=""/>
    <n v="0"/>
    <s v="0"/>
    <s v="0-"/>
    <n v="0"/>
    <s v="TTL"/>
    <s v=""/>
    <s v="ELK-동일모자-21 TTL"/>
    <m/>
    <s v=""/>
    <s v=""/>
    <s v=""/>
    <m/>
    <s v=""/>
    <s v="K"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m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18"/>
    <n v="129"/>
    <n v="0"/>
    <n v="0"/>
    <n v="0"/>
    <n v="0"/>
    <n v="410"/>
    <n v="3572408.0999999996"/>
    <n v="21170000"/>
    <n v="5.3872497225203766"/>
  </r>
  <r>
    <n v="0"/>
    <n v="0"/>
    <n v="7"/>
    <n v="8"/>
    <s v="전략"/>
    <x v="22"/>
    <s v="ELK-바이칼-03"/>
    <s v="ELK-바이칼-03ELKSBF3801BK"/>
    <n v="1"/>
    <s v="ELK-바이칼-031"/>
    <s v="ELK-바이칼-031-ELKSBF3801BLACKFRE"/>
    <s v="ELK의류외801"/>
    <s v="ELK"/>
    <s v="13FW E"/>
    <m/>
    <s v="ELK"/>
    <s v="ELSTINKO KIDS"/>
    <s v="F"/>
    <s v="3"/>
    <s v="SB"/>
    <s v="SHOULDER BAG"/>
    <s v="K"/>
    <n v="801"/>
    <n v="801"/>
    <s v="ELKSBF3801"/>
    <n v="1"/>
    <s v="13FW ELStinko SHOEBAG_01_BK_KIDS"/>
    <s v="BK"/>
    <s v="BLACK"/>
    <s v="ELKSBF3801BK"/>
    <x v="1"/>
    <n v="1"/>
    <s v="폴리에스터 100%"/>
    <n v="1"/>
    <s v="FRE"/>
    <n v="100"/>
    <x v="11"/>
    <n v="3"/>
    <x v="2"/>
    <s v="M"/>
    <s v="CN"/>
    <x v="0"/>
    <n v="45000"/>
    <x v="25"/>
    <n v="10227.272727272726"/>
    <n v="9820"/>
    <n v="-407.27272727272612"/>
    <n v="0"/>
    <n v="0"/>
    <n v="20"/>
    <n v="20"/>
    <n v="0"/>
    <n v="9800"/>
    <d v="2014-07-02T00:00:00"/>
    <d v="1899-12-30T00:00:00"/>
    <d v="2014-08-28T00:00:00"/>
    <d v="1899-12-30T00:00:00"/>
    <d v="2014-08-18T00:00:00"/>
    <d v="1899-12-30T00:00:00"/>
    <d v="1899-12-30T00:00:00"/>
    <d v="1899-12-30T00:00:00"/>
    <d v="1899-12-30T00:00:00"/>
    <x v="0"/>
    <s v="확정"/>
    <n v="100"/>
    <n v="0"/>
    <n v="0"/>
    <n v="0"/>
    <n v="0"/>
    <n v="0"/>
    <n v="100"/>
    <n v="982000"/>
    <n v="4500000"/>
    <n v="4.1658952045917426"/>
  </r>
  <r>
    <n v="0"/>
    <n v="0"/>
    <s v=""/>
    <s v=""/>
    <s v=""/>
    <x v="1"/>
    <s v=""/>
    <s v=""/>
    <n v="0"/>
    <s v="0"/>
    <s v="0-"/>
    <n v="0"/>
    <s v="TTL"/>
    <s v=""/>
    <s v="ELK-바이칼-03 TTL"/>
    <m/>
    <s v=""/>
    <s v=""/>
    <s v=""/>
    <m/>
    <s v=""/>
    <s v="K"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m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982000"/>
    <n v="4500000"/>
    <n v="4.1658952045917426"/>
  </r>
  <r>
    <n v="0"/>
    <n v="0"/>
    <n v="7"/>
    <n v="9"/>
    <s v="전략"/>
    <x v="22"/>
    <s v="ELK-바이칼-04"/>
    <s v="ELK-바이칼-04ELKBPF3505BK"/>
    <n v="1"/>
    <s v="ELK-바이칼-041"/>
    <s v="ELK-바이칼-041-ELKBPF3505BLACKOMM"/>
    <s v="ELK의류외505"/>
    <s v="ELK"/>
    <s v="14FW E"/>
    <m/>
    <s v="ELK"/>
    <s v="ELSTINKO KIDS"/>
    <s v="F"/>
    <s v="3"/>
    <s v="BP"/>
    <s v="BACK PACK"/>
    <s v="K"/>
    <n v="505"/>
    <n v="505"/>
    <s v="ELKBPF3505"/>
    <n v="1"/>
    <s v="14FW ELS BACKPACK_07_BK_KIDS"/>
    <s v="BK"/>
    <s v="BLACK"/>
    <s v="ELKBPF3505BK"/>
    <x v="0"/>
    <n v="1"/>
    <s v="폴리에스터 100%"/>
    <n v="1"/>
    <s v="OMM"/>
    <n v="150"/>
    <x v="11"/>
    <n v="4"/>
    <x v="3"/>
    <s v="M"/>
    <s v="CN"/>
    <x v="0"/>
    <n v="109000"/>
    <x v="26"/>
    <n v="24772.727272727272"/>
    <n v="23520"/>
    <n v="-1252.7272727272721"/>
    <n v="0"/>
    <n v="0"/>
    <n v="20"/>
    <n v="20"/>
    <n v="0"/>
    <n v="23500"/>
    <d v="2014-07-04T00:00:00"/>
    <d v="1899-12-30T00:00:00"/>
    <d v="2014-08-28T00:00:00"/>
    <d v="1899-12-30T00:00:00"/>
    <d v="2014-09-04T00:00:00"/>
    <d v="1899-12-30T00:00:00"/>
    <d v="1899-12-30T00:00:00"/>
    <d v="1899-12-30T00:00:00"/>
    <d v="1899-12-30T00:00:00"/>
    <x v="0"/>
    <s v="확정"/>
    <n v="150"/>
    <n v="0"/>
    <n v="0"/>
    <n v="0"/>
    <n v="0"/>
    <n v="0"/>
    <n v="150"/>
    <n v="3528000"/>
    <n v="16350000"/>
    <n v="4.2130488559059982"/>
  </r>
  <r>
    <n v="0"/>
    <n v="0"/>
    <s v=""/>
    <s v=""/>
    <s v=""/>
    <x v="1"/>
    <s v=""/>
    <s v=""/>
    <n v="0"/>
    <s v="0"/>
    <s v="0-"/>
    <n v="0"/>
    <s v="TTL"/>
    <s v=""/>
    <s v="ELK-바이칼-04 TTL"/>
    <m/>
    <s v=""/>
    <s v=""/>
    <s v=""/>
    <m/>
    <s v=""/>
    <s v="K"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m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50"/>
    <n v="0"/>
    <n v="0"/>
    <n v="0"/>
    <n v="0"/>
    <n v="0"/>
    <n v="150"/>
    <n v="3528000"/>
    <n v="16350000"/>
    <n v="4.2130488559059982"/>
  </r>
  <r>
    <n v="0"/>
    <n v="0"/>
    <n v="11"/>
    <n v="12"/>
    <s v="F-CAP"/>
    <x v="20"/>
    <s v="ELK-동일모자-29"/>
    <s v="ELK-동일모자-29ELKERF5511GR"/>
    <n v="1"/>
    <s v="ELK-동일모자-291"/>
    <s v="ELK-동일모자-291-ELKERF5511GREENOSM"/>
    <s v="ELK의류외511"/>
    <s v="ELK"/>
    <s v="14FW E"/>
    <m/>
    <s v="ELK"/>
    <s v="ELSTINKO KIDS"/>
    <s v="F"/>
    <n v="5"/>
    <s v="ER"/>
    <s v="EARCAP"/>
    <s v="K"/>
    <n v="511"/>
    <n v="511"/>
    <s v="ELKERF5511"/>
    <n v="0"/>
    <s v="14FW ELS_02_SNAP_GR_KIDS"/>
    <s v="GR"/>
    <s v="GREEN"/>
    <s v="ELKERF5511GR"/>
    <x v="1"/>
    <n v="0"/>
    <s v="겉감 1: 울 50%, 폴리에스터 30%, 아크릴 20% /겉감 2:  아크릴 100%"/>
    <n v="1"/>
    <s v="OSM"/>
    <n v="250"/>
    <x v="5"/>
    <n v="29"/>
    <x v="25"/>
    <s v="M"/>
    <s v="CN"/>
    <x v="0"/>
    <n v="55000"/>
    <x v="22"/>
    <n v="8333.3333333333321"/>
    <n v="9248.0600000000013"/>
    <n v="914.72666666666919"/>
    <n v="621"/>
    <n v="0"/>
    <n v="20"/>
    <n v="641"/>
    <n v="6.9"/>
    <n v="0"/>
    <d v="2014-11-18T00:00:00"/>
    <d v="2014-12-17T00:00:00"/>
    <d v="2014-12-18T00:00:00"/>
    <d v="2014-12-19T00:00:00"/>
    <d v="2014-12-19T00:00:00"/>
    <d v="1899-12-30T00:00:00"/>
    <d v="1899-12-30T00:00:00"/>
    <d v="1899-12-30T00:00:00"/>
    <d v="1899-12-30T00:00:00"/>
    <x v="0"/>
    <s v="확정"/>
    <n v="251"/>
    <n v="0"/>
    <n v="0"/>
    <n v="0"/>
    <n v="0"/>
    <n v="0"/>
    <n v="250"/>
    <n v="2312015.0000000005"/>
    <n v="13750000"/>
    <n v="5.4065393174352225"/>
  </r>
  <r>
    <n v="0"/>
    <n v="0"/>
    <n v="11"/>
    <n v="12"/>
    <s v="F-CAP"/>
    <x v="20"/>
    <s v="ELK-동일모자-29"/>
    <s v="ELK-동일모자-29ELKERF5511GR"/>
    <n v="1"/>
    <s v="ELK-동일모자-291"/>
    <s v="ELK-동일모자-291-ELKERF5511GREENOML"/>
    <s v="ELK의류외511"/>
    <s v="ELK"/>
    <s v="14FW E"/>
    <m/>
    <s v="ELK"/>
    <s v="ELSTINKO KIDS"/>
    <s v="F"/>
    <n v="5"/>
    <s v="ER"/>
    <s v="EARCAP"/>
    <s v="K"/>
    <n v="511"/>
    <n v="511"/>
    <s v="ELKERF5511"/>
    <n v="0"/>
    <s v="14FW ELS_02_SNAP_GR_KIDS"/>
    <s v="GR"/>
    <s v="GREEN"/>
    <s v="ELKERF5511GR"/>
    <x v="1"/>
    <n v="0"/>
    <s v="겉감 1: 울 50%, 폴리에스터 30%, 아크릴 20% /겉감 2:  아크릴 100%"/>
    <n v="1"/>
    <s v="OML"/>
    <n v="50"/>
    <x v="5"/>
    <n v="29"/>
    <x v="25"/>
    <s v="M"/>
    <s v="CN"/>
    <x v="0"/>
    <n v="55000"/>
    <x v="22"/>
    <n v="8333.3333333333321"/>
    <n v="9248.0600000000013"/>
    <n v="914.72666666666919"/>
    <n v="621"/>
    <n v="0"/>
    <n v="20"/>
    <n v="641"/>
    <n v="6.9"/>
    <n v="0"/>
    <d v="2014-11-18T00:00:00"/>
    <d v="2014-12-17T00:00:00"/>
    <d v="2014-12-18T00:00:00"/>
    <d v="2014-12-19T00:00:00"/>
    <d v="2014-12-19T00:00:00"/>
    <d v="1899-12-30T00:00:00"/>
    <d v="1899-12-30T00:00:00"/>
    <d v="1899-12-30T00:00:00"/>
    <d v="1899-12-30T00:00:00"/>
    <x v="0"/>
    <s v="확정"/>
    <n v="48"/>
    <n v="0"/>
    <n v="0"/>
    <n v="0"/>
    <n v="0"/>
    <n v="0"/>
    <n v="50"/>
    <n v="462403.00000000006"/>
    <n v="2750000"/>
    <n v="5.4065393174352234"/>
  </r>
  <r>
    <n v="0"/>
    <n v="0"/>
    <n v="11"/>
    <n v="12"/>
    <s v="F-CAP"/>
    <x v="20"/>
    <s v="ELK-동일모자-29"/>
    <s v="ELK-동일모자-29ELKERF5512RE"/>
    <n v="2"/>
    <s v="ELK-동일모자-292"/>
    <s v="ELK-동일모자-292-ELKERF5512REDOSM"/>
    <s v="ELK의류외512"/>
    <s v="ELK"/>
    <s v="14FW E"/>
    <m/>
    <s v="ELK"/>
    <s v="ELSTINKO KIDS"/>
    <s v="F"/>
    <n v="5"/>
    <s v="ER"/>
    <s v="EARCAP"/>
    <s v="K"/>
    <n v="512"/>
    <n v="512"/>
    <s v="ELKERF5512"/>
    <n v="0"/>
    <s v="14FW ELS_01_SNAP_RD_KIDS"/>
    <s v="RE"/>
    <s v="RED"/>
    <s v="ELKERF5512RE"/>
    <x v="1"/>
    <n v="0"/>
    <s v="겉감 1:  울40%, 폴리에스터 60%/겉감 2: 아크릴 100%"/>
    <n v="1"/>
    <s v="OSM"/>
    <n v="250"/>
    <x v="5"/>
    <n v="29"/>
    <x v="25"/>
    <s v="M"/>
    <s v="CN"/>
    <x v="0"/>
    <n v="55000"/>
    <x v="22"/>
    <n v="8333.3333333333321"/>
    <n v="9418.8000000000011"/>
    <n v="1085.466666666669"/>
    <n v="667"/>
    <n v="0"/>
    <n v="20"/>
    <n v="687"/>
    <n v="7"/>
    <n v="0"/>
    <d v="2014-11-18T00:00:00"/>
    <d v="2014-12-17T00:00:00"/>
    <d v="2014-12-18T00:00:00"/>
    <d v="2014-12-19T00:00:00"/>
    <d v="2014-12-19T00:00:00"/>
    <d v="1899-12-30T00:00:00"/>
    <d v="1899-12-30T00:00:00"/>
    <d v="1899-12-30T00:00:00"/>
    <d v="1899-12-30T00:00:00"/>
    <x v="0"/>
    <s v="확정"/>
    <n v="247"/>
    <n v="0"/>
    <n v="0"/>
    <n v="0"/>
    <n v="0"/>
    <n v="0"/>
    <n v="250"/>
    <n v="2354700.0000000005"/>
    <n v="13750000"/>
    <n v="5.3085318724253598"/>
  </r>
  <r>
    <n v="0"/>
    <n v="0"/>
    <n v="11"/>
    <n v="12"/>
    <s v="F-CAP"/>
    <x v="20"/>
    <s v="ELK-동일모자-29"/>
    <s v="ELK-동일모자-29ELKERF5512RE"/>
    <n v="2"/>
    <s v="ELK-동일모자-292"/>
    <s v="ELK-동일모자-292-ELKERF5512REDOML"/>
    <s v="ELK의류외512"/>
    <s v="ELK"/>
    <s v="14FW E"/>
    <m/>
    <s v="ELK"/>
    <s v="ELSTINKO KIDS"/>
    <s v="F"/>
    <n v="5"/>
    <s v="ER"/>
    <s v="EARCAP"/>
    <s v="K"/>
    <n v="512"/>
    <n v="512"/>
    <s v="ELKERF5512"/>
    <n v="0"/>
    <s v="14FW ELS_01_SNAP_RD_KIDS"/>
    <s v="RE"/>
    <s v="RED"/>
    <s v="ELKERF5512RE"/>
    <x v="1"/>
    <n v="0"/>
    <s v="겉감 1:  울40%, 폴리에스터 60%/겉감 2: 아크릴 100%"/>
    <n v="1"/>
    <s v="OML"/>
    <n v="50"/>
    <x v="5"/>
    <n v="29"/>
    <x v="25"/>
    <s v="M"/>
    <s v="CN"/>
    <x v="0"/>
    <n v="55000"/>
    <x v="22"/>
    <n v="8333.3333333333321"/>
    <n v="9418.8000000000011"/>
    <n v="1085.466666666669"/>
    <n v="667"/>
    <n v="0"/>
    <n v="20"/>
    <n v="687"/>
    <n v="7"/>
    <n v="0"/>
    <d v="2014-11-18T00:00:00"/>
    <d v="2014-12-17T00:00:00"/>
    <d v="2014-12-18T00:00:00"/>
    <d v="2014-12-19T00:00:00"/>
    <d v="2014-12-19T00:00:00"/>
    <d v="1899-12-30T00:00:00"/>
    <d v="1899-12-30T00:00:00"/>
    <d v="1899-12-30T00:00:00"/>
    <d v="1899-12-30T00:00:00"/>
    <x v="0"/>
    <s v="확정"/>
    <n v="49"/>
    <n v="0"/>
    <n v="0"/>
    <n v="0"/>
    <n v="0"/>
    <n v="0"/>
    <n v="50"/>
    <n v="470940.00000000006"/>
    <n v="2750000"/>
    <n v="5.3085318724253607"/>
  </r>
  <r>
    <n v="0"/>
    <n v="0"/>
    <s v=""/>
    <s v=""/>
    <s v=""/>
    <x v="1"/>
    <s v=""/>
    <s v=""/>
    <n v="0"/>
    <s v="0"/>
    <s v="0-"/>
    <n v="0"/>
    <s v="TTL"/>
    <s v=""/>
    <s v="ELK-동일모자-29 TTL"/>
    <m/>
    <s v=""/>
    <s v=""/>
    <s v=""/>
    <m/>
    <s v=""/>
    <s v="K"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m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95"/>
    <n v="0"/>
    <n v="0"/>
    <n v="0"/>
    <n v="0"/>
    <n v="0"/>
    <n v="600"/>
    <n v="5600058.0000000009"/>
    <n v="33000000"/>
    <n v="5.357087373023635"/>
  </r>
  <r>
    <n v="0"/>
    <n v="0"/>
    <n v="8"/>
    <n v="8"/>
    <s v="F-CAP"/>
    <x v="23"/>
    <s v="ELH-림스스포츠-01"/>
    <s v="ELH-림스스포츠-01ELHBAF3649KH"/>
    <n v="1"/>
    <s v="ELH-림스스포츠-011"/>
    <s v="ELH-림스스포츠-011-ELHBAF3649KHAKIFRE"/>
    <s v="ELH의류외649"/>
    <s v="ELH"/>
    <s v="ELSBAD"/>
    <m/>
    <s v="ELH"/>
    <s v="ELS HATSON"/>
    <s v="F"/>
    <s v="3"/>
    <s v="BA"/>
    <s v="BASIC CAP"/>
    <s v="K"/>
    <n v="649"/>
    <n v="649"/>
    <s v="ELHBAF3649"/>
    <n v="0.5"/>
    <s v="ELSBAD3649KHFRE"/>
    <s v="KH"/>
    <s v="KHAKI"/>
    <s v="ELHBAF3649KH"/>
    <x v="1"/>
    <n v="1"/>
    <n v="0"/>
    <n v="1"/>
    <s v="FRE"/>
    <n v="128"/>
    <x v="16"/>
    <n v="1"/>
    <x v="0"/>
    <s v="M"/>
    <s v="KR"/>
    <x v="3"/>
    <n v="43000"/>
    <x v="27"/>
    <n v="9772.7272727272721"/>
    <n v="8000"/>
    <n v="-1772.7272727272721"/>
    <m/>
    <m/>
    <m/>
    <n v="0"/>
    <m/>
    <n v="8000"/>
    <d v="2014-08-04T00:00:00"/>
    <d v="1899-12-30T00:00:00"/>
    <d v="2014-08-11T00:00:00"/>
    <m/>
    <d v="2014-08-11T00:00:00"/>
    <d v="1899-12-30T00:00:00"/>
    <d v="1899-12-30T00:00:00"/>
    <d v="1899-12-30T00:00:00"/>
    <d v="1899-12-30T00:00:00"/>
    <x v="3"/>
    <n v="0"/>
    <n v="117"/>
    <n v="0"/>
    <n v="0"/>
    <n v="0"/>
    <n v="0"/>
    <n v="0"/>
    <n v="128"/>
    <n v="1024000"/>
    <n v="5504000"/>
    <n v="4.8863636363636367"/>
  </r>
  <r>
    <n v="0"/>
    <n v="0"/>
    <s v=""/>
    <s v=""/>
    <s v=""/>
    <x v="1"/>
    <s v=""/>
    <s v=""/>
    <n v="0"/>
    <s v="0"/>
    <s v="0-"/>
    <n v="0"/>
    <s v="TTL"/>
    <s v=""/>
    <s v="ELH-림스스포츠-01 TTL"/>
    <m/>
    <s v=""/>
    <s v=""/>
    <m/>
    <m/>
    <s v=""/>
    <m/>
    <m/>
    <s v=""/>
    <s v=""/>
    <n v="0.5"/>
    <m/>
    <s v=""/>
    <m/>
    <s v=""/>
    <x v="0"/>
    <n v="1"/>
    <n v="0"/>
    <m/>
    <m/>
    <m/>
    <x v="1"/>
    <m/>
    <x v="1"/>
    <m/>
    <m/>
    <x v="1"/>
    <n v="0"/>
    <x v="1"/>
    <n v="0"/>
    <n v="0"/>
    <n v="0"/>
    <m/>
    <m/>
    <m/>
    <n v="0"/>
    <m/>
    <m/>
    <d v="1899-12-30T00:00:00"/>
    <m/>
    <d v="1899-12-30T00:00:00"/>
    <m/>
    <m/>
    <m/>
    <m/>
    <m/>
    <m/>
    <x v="3"/>
    <m/>
    <n v="117"/>
    <n v="0"/>
    <n v="0"/>
    <n v="0"/>
    <n v="0"/>
    <n v="0"/>
    <n v="128"/>
    <n v="1024000"/>
    <n v="5504000"/>
    <n v="4.8863636363636367"/>
  </r>
  <r>
    <n v="0"/>
    <n v="0.5"/>
    <n v="8"/>
    <n v="8"/>
    <s v="F-CAP"/>
    <x v="23"/>
    <s v="ELH-동일모자-23"/>
    <s v="ELH-동일모자-23ELHBAF3649PK"/>
    <n v="1"/>
    <s v="ELH-동일모자-231"/>
    <s v="ELH-동일모자-231-ELHBAF3649PINKFRE"/>
    <s v="ELH의류외649"/>
    <s v="ELH"/>
    <s v="ELSBAE"/>
    <m/>
    <s v="ELH"/>
    <s v="ELS HATSON"/>
    <s v="F"/>
    <s v="3"/>
    <s v="BA"/>
    <s v="BASIC CAP"/>
    <s v="K"/>
    <n v="649"/>
    <n v="649"/>
    <s v="ELHBAF3649"/>
    <n v="0.5"/>
    <s v="ELSBAE3649PKFRE"/>
    <s v="PK"/>
    <s v="PINK"/>
    <s v="ELHBAF3649PK"/>
    <x v="1"/>
    <n v="1"/>
    <n v="0"/>
    <n v="1"/>
    <s v="FRE"/>
    <n v="500"/>
    <x v="5"/>
    <n v="23"/>
    <x v="26"/>
    <s v="M"/>
    <s v="CN"/>
    <x v="0"/>
    <n v="43000"/>
    <x v="27"/>
    <n v="6515.151515151515"/>
    <n v="6074.4500000000007"/>
    <n v="-440.70151515151429"/>
    <n v="693"/>
    <m/>
    <n v="80"/>
    <n v="773"/>
    <n v="4.2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0"/>
    <n v="0"/>
    <n v="0"/>
    <n v="0"/>
    <n v="0"/>
    <n v="0"/>
    <n v="500"/>
    <n v="3037225.0000000005"/>
    <n v="21500000"/>
    <n v="6.4353001655967335"/>
  </r>
  <r>
    <n v="0"/>
    <n v="0"/>
    <s v=""/>
    <s v=""/>
    <s v=""/>
    <x v="1"/>
    <s v=""/>
    <s v=""/>
    <n v="0"/>
    <s v="0"/>
    <s v="0-"/>
    <n v="0"/>
    <s v="TTL"/>
    <s v=""/>
    <s v="ELH-동일모자-23 TTL"/>
    <m/>
    <s v=""/>
    <s v=""/>
    <m/>
    <m/>
    <s v=""/>
    <m/>
    <m/>
    <s v=""/>
    <s v=""/>
    <n v="0.5"/>
    <m/>
    <s v=""/>
    <m/>
    <s v=""/>
    <x v="0"/>
    <n v="1"/>
    <n v="0"/>
    <m/>
    <m/>
    <m/>
    <x v="1"/>
    <m/>
    <x v="1"/>
    <m/>
    <m/>
    <x v="1"/>
    <n v="0"/>
    <x v="1"/>
    <n v="0"/>
    <n v="0"/>
    <n v="0"/>
    <m/>
    <m/>
    <m/>
    <n v="0"/>
    <m/>
    <m/>
    <d v="1899-12-30T00:00:00"/>
    <m/>
    <d v="1899-12-30T00:00:00"/>
    <m/>
    <m/>
    <m/>
    <m/>
    <m/>
    <m/>
    <x v="3"/>
    <m/>
    <n v="500"/>
    <n v="0"/>
    <n v="0"/>
    <n v="0"/>
    <n v="0"/>
    <n v="0"/>
    <n v="500"/>
    <n v="3037225.0000000005"/>
    <n v="21500000"/>
    <n v="6.4353001655967335"/>
  </r>
  <r>
    <n v="0"/>
    <n v="1"/>
    <n v="8"/>
    <n v="8"/>
    <s v="F-CAP"/>
    <x v="23"/>
    <s v="ELH-FOREMOST-23"/>
    <s v="ELH-FOREMOST-23ELHFAF3818BL"/>
    <n v="1"/>
    <s v="ELH-FOREMOST-231"/>
    <s v="ELH-FOREMOST-231-ELHFAF3818BLUEFRE"/>
    <s v="ELH의류외818"/>
    <s v="ELH"/>
    <s v="ELSFAE"/>
    <m/>
    <s v="ELH"/>
    <s v="ELS HATSON"/>
    <s v="F"/>
    <s v="3"/>
    <s v="FA"/>
    <s v="FASHION HAT"/>
    <s v="K"/>
    <n v="818"/>
    <n v="818"/>
    <s v="ELHFAF3818"/>
    <n v="1"/>
    <s v="ELSFAE3818BLFRE"/>
    <s v="BL"/>
    <s v="BLUE"/>
    <s v="ELHFAF3818BL"/>
    <x v="1"/>
    <n v="1"/>
    <n v="0"/>
    <n v="1"/>
    <s v="FRE"/>
    <n v="100"/>
    <x v="4"/>
    <n v="23"/>
    <x v="26"/>
    <s v="M"/>
    <s v="CN"/>
    <x v="0"/>
    <n v="59000"/>
    <x v="27"/>
    <n v="8939.3939393939381"/>
    <n v="10020.99"/>
    <n v="1081.5960606060617"/>
    <n v="2040"/>
    <m/>
    <n v="60"/>
    <n v="2100"/>
    <n v="6.3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002099"/>
    <n v="5900000"/>
    <n v="5.3524016725257315"/>
  </r>
  <r>
    <n v="0"/>
    <n v="0"/>
    <s v=""/>
    <s v=""/>
    <s v=""/>
    <x v="1"/>
    <s v=""/>
    <s v=""/>
    <n v="0"/>
    <s v="0"/>
    <s v="0-"/>
    <n v="0"/>
    <s v="TTL"/>
    <s v=""/>
    <s v="ELH-FOREMOST-23 TTL"/>
    <m/>
    <s v=""/>
    <s v=""/>
    <m/>
    <m/>
    <s v=""/>
    <m/>
    <m/>
    <s v=""/>
    <s v=""/>
    <n v="1"/>
    <m/>
    <s v=""/>
    <m/>
    <s v=""/>
    <x v="0"/>
    <n v="1"/>
    <n v="0"/>
    <m/>
    <m/>
    <m/>
    <x v="1"/>
    <m/>
    <x v="1"/>
    <m/>
    <m/>
    <x v="1"/>
    <n v="0"/>
    <x v="1"/>
    <n v="0"/>
    <n v="0"/>
    <n v="0"/>
    <m/>
    <m/>
    <m/>
    <n v="0"/>
    <m/>
    <m/>
    <d v="1899-12-30T00:00:00"/>
    <m/>
    <d v="1899-12-30T00:00:00"/>
    <m/>
    <m/>
    <m/>
    <m/>
    <m/>
    <m/>
    <x v="3"/>
    <m/>
    <n v="100"/>
    <n v="0"/>
    <n v="0"/>
    <n v="0"/>
    <n v="0"/>
    <n v="0"/>
    <n v="100"/>
    <n v="1002099"/>
    <n v="5900000"/>
    <n v="5.3524016725257315"/>
  </r>
  <r>
    <n v="0"/>
    <n v="0"/>
    <n v="8"/>
    <n v="8"/>
    <s v="F-CAP"/>
    <x v="23"/>
    <s v="ELH-성진-10"/>
    <s v="ELH-성진-10ELHBAF3811LI"/>
    <n v="1"/>
    <s v="ELH-성진-101"/>
    <s v="ELH-성진-101-ELHBAF3811LIMEFRE"/>
    <s v="ELH의류외811"/>
    <s v="ELH"/>
    <s v="ELSBAE"/>
    <m/>
    <s v="ELH"/>
    <s v="ELS HATSON"/>
    <s v="F"/>
    <s v="3"/>
    <s v="BA"/>
    <s v="BASIC CAP"/>
    <s v="K"/>
    <n v="811"/>
    <n v="811"/>
    <s v="ELHBAF3811"/>
    <n v="0.5"/>
    <s v="ELSBAE3811LIFRE"/>
    <s v="LI"/>
    <s v="LIME"/>
    <s v="ELHBAF3811LI"/>
    <x v="1"/>
    <n v="1"/>
    <n v="0"/>
    <n v="1"/>
    <s v="FRE"/>
    <n v="300"/>
    <x v="7"/>
    <n v="10"/>
    <x v="21"/>
    <s v="M"/>
    <s v="CN"/>
    <x v="0"/>
    <n v="43000"/>
    <x v="27"/>
    <n v="6515.151515151515"/>
    <n v="7504.4000000000015"/>
    <n v="989.24848484848644"/>
    <m/>
    <m/>
    <n v="20"/>
    <n v="20"/>
    <n v="6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0"/>
    <n v="0"/>
    <n v="0"/>
    <n v="0"/>
    <n v="0"/>
    <n v="0"/>
    <n v="300"/>
    <n v="2251320.0000000005"/>
    <n v="12900000"/>
    <n v="5.209065227187927"/>
  </r>
  <r>
    <n v="0"/>
    <n v="0"/>
    <n v="8"/>
    <n v="8"/>
    <s v="F-CAP"/>
    <x v="23"/>
    <s v="ELH-성진-10"/>
    <s v="ELH-성진-10ELHBAF3811PK"/>
    <n v="2"/>
    <s v="ELH-성진-102"/>
    <s v="ELH-성진-102-ELHBAF3811PINKFRE"/>
    <s v="ELH의류외811"/>
    <s v="ELH"/>
    <s v="ELSBAE"/>
    <m/>
    <s v="ELH"/>
    <s v="ELS HATSON"/>
    <s v="F"/>
    <s v="3"/>
    <s v="BA"/>
    <s v="BASIC CAP"/>
    <s v="K"/>
    <n v="811"/>
    <n v="811"/>
    <s v="ELHBAF3811"/>
    <n v="0.5"/>
    <s v="ELSBAE3811PKFRE"/>
    <s v="PK"/>
    <s v="PINK"/>
    <s v="ELHBAF3811PK"/>
    <x v="1"/>
    <n v="1"/>
    <n v="0"/>
    <n v="1"/>
    <s v="FRE"/>
    <n v="500"/>
    <x v="7"/>
    <n v="10"/>
    <x v="21"/>
    <s v="M"/>
    <s v="CN"/>
    <x v="0"/>
    <n v="43000"/>
    <x v="27"/>
    <n v="6515.151515151515"/>
    <n v="7504.4000000000015"/>
    <n v="989.24848484848644"/>
    <m/>
    <m/>
    <n v="20"/>
    <n v="20"/>
    <n v="6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0"/>
    <n v="0"/>
    <n v="0"/>
    <n v="0"/>
    <n v="0"/>
    <n v="0"/>
    <n v="500"/>
    <n v="3752200.0000000009"/>
    <n v="21500000"/>
    <n v="5.209065227187927"/>
  </r>
  <r>
    <n v="0"/>
    <n v="0"/>
    <n v="8"/>
    <n v="8"/>
    <s v="F-CAP"/>
    <x v="23"/>
    <s v="ELH-성진-10"/>
    <s v="ELH-성진-10ELHBAF3812NY"/>
    <n v="3"/>
    <s v="ELH-성진-103"/>
    <s v="ELH-성진-103-ELHBAF3812NAVYFRE"/>
    <s v="ELH의류외812"/>
    <s v="ELH"/>
    <s v="ELSBAE"/>
    <m/>
    <s v="ELH"/>
    <s v="ELS HATSON"/>
    <s v="F"/>
    <s v="3"/>
    <s v="BA"/>
    <s v="BASIC CAP"/>
    <s v="K"/>
    <n v="812"/>
    <n v="812"/>
    <s v="ELHBAF3812"/>
    <n v="1"/>
    <s v="ELSBAE3812NYFRE"/>
    <s v="NY"/>
    <s v="NAVY"/>
    <s v="ELHBAF3812NY"/>
    <x v="1"/>
    <n v="1"/>
    <n v="0"/>
    <n v="1"/>
    <s v="FRE"/>
    <n v="300"/>
    <x v="7"/>
    <n v="10"/>
    <x v="21"/>
    <s v="M"/>
    <s v="CN"/>
    <x v="0"/>
    <n v="43000"/>
    <x v="27"/>
    <n v="6515.151515151515"/>
    <n v="7753.880000000001"/>
    <n v="1238.728484848486"/>
    <m/>
    <m/>
    <n v="20"/>
    <n v="20"/>
    <n v="6.2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0"/>
    <n v="0"/>
    <n v="0"/>
    <n v="0"/>
    <n v="0"/>
    <n v="0"/>
    <n v="300"/>
    <n v="2326164.0000000005"/>
    <n v="12900000"/>
    <n v="5.0414642850945688"/>
  </r>
  <r>
    <n v="0"/>
    <n v="0"/>
    <n v="8"/>
    <n v="8"/>
    <s v="F-CAP"/>
    <x v="23"/>
    <s v="ELH-성진-10"/>
    <s v="ELH-성진-10ELHFIF3640GR"/>
    <n v="4"/>
    <s v="ELH-성진-104"/>
    <s v="ELH-성진-104-ELHFIF3640GREENFRE"/>
    <s v="ELH의류외640"/>
    <s v="ELH"/>
    <s v="ELSFIE"/>
    <m/>
    <s v="ELH"/>
    <s v="ELS HATSON"/>
    <s v="F"/>
    <s v="3"/>
    <s v="FI"/>
    <s v="FITTED CAP"/>
    <s v="K"/>
    <n v="640"/>
    <n v="640"/>
    <s v="ELHFIF3640"/>
    <n v="1"/>
    <s v="ELSFIE3640GRFRE"/>
    <s v="GR"/>
    <s v="GREEN"/>
    <s v="ELHFIF3640GR"/>
    <x v="1"/>
    <n v="1"/>
    <n v="0"/>
    <n v="1"/>
    <s v="FRE"/>
    <n v="500"/>
    <x v="7"/>
    <n v="10"/>
    <x v="21"/>
    <s v="M"/>
    <s v="BG"/>
    <x v="0"/>
    <n v="43000"/>
    <x v="27"/>
    <n v="6515.151515151515"/>
    <n v="5506.25"/>
    <n v="-1008.901515151515"/>
    <m/>
    <m/>
    <n v="20"/>
    <n v="20"/>
    <n v="4.7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0"/>
    <n v="0"/>
    <n v="0"/>
    <n v="0"/>
    <n v="0"/>
    <n v="0"/>
    <n v="500"/>
    <n v="2753125"/>
    <n v="21500000"/>
    <n v="7.0993705499948394"/>
  </r>
  <r>
    <n v="0"/>
    <n v="0"/>
    <n v="8"/>
    <n v="8"/>
    <s v="F-CAP"/>
    <x v="23"/>
    <s v="ELH-성진-10"/>
    <s v="ELH-성진-10ELHFIF3642BL"/>
    <n v="5"/>
    <s v="ELH-성진-105"/>
    <s v="ELH-성진-105-ELHFIF3642BLUEFRE"/>
    <s v="ELH의류외642"/>
    <s v="ELH"/>
    <s v="ELSFIE"/>
    <m/>
    <s v="ELH"/>
    <s v="ELS HATSON"/>
    <s v="F"/>
    <s v="3"/>
    <s v="FI"/>
    <s v="FITTED CAP"/>
    <s v="K"/>
    <n v="642"/>
    <n v="642"/>
    <s v="ELHFIF3642"/>
    <n v="1"/>
    <s v="ELSFIE3642BLFRE"/>
    <s v="BL"/>
    <s v="BLUE"/>
    <s v="ELHFIF3642BL"/>
    <x v="1"/>
    <n v="1"/>
    <n v="0"/>
    <n v="1"/>
    <s v="FRE"/>
    <n v="300"/>
    <x v="7"/>
    <n v="10"/>
    <x v="21"/>
    <s v="M"/>
    <s v="CN"/>
    <x v="0"/>
    <n v="43000"/>
    <x v="27"/>
    <n v="6515.151515151515"/>
    <n v="6943.0700000000006"/>
    <n v="427.9184848484856"/>
    <m/>
    <m/>
    <n v="20"/>
    <n v="20"/>
    <n v="5.5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0"/>
    <n v="0"/>
    <n v="0"/>
    <n v="0"/>
    <n v="0"/>
    <n v="0"/>
    <n v="300"/>
    <n v="2082921.0000000002"/>
    <n v="12900000"/>
    <n v="5.6302052393118727"/>
  </r>
  <r>
    <n v="0"/>
    <n v="0"/>
    <n v="8"/>
    <n v="8"/>
    <s v="F-CAP"/>
    <x v="23"/>
    <s v="ELH-성진-10"/>
    <s v="ELH-성진-10ELHFIF3712BL"/>
    <n v="6"/>
    <s v="ELH-성진-106"/>
    <s v="ELH-성진-106-ELHFIF3712BLUEFRE"/>
    <s v="ELH의류외712"/>
    <s v="ELH"/>
    <s v="ELSFIE"/>
    <m/>
    <s v="ELH"/>
    <s v="ELS HATSON"/>
    <s v="F"/>
    <s v="3"/>
    <s v="FI"/>
    <s v="FITTED CAP"/>
    <s v="K"/>
    <n v="712"/>
    <n v="712"/>
    <s v="ELHFIF3712"/>
    <n v="1"/>
    <s v="ELSFIE3712BLFRE"/>
    <s v="BL"/>
    <s v="BLUE"/>
    <s v="ELHFIF3712BL"/>
    <x v="1"/>
    <n v="1"/>
    <n v="0"/>
    <n v="1"/>
    <s v="FRE"/>
    <n v="300"/>
    <x v="7"/>
    <n v="10"/>
    <x v="21"/>
    <s v="M"/>
    <s v="CN"/>
    <x v="0"/>
    <n v="49000"/>
    <x v="27"/>
    <n v="7424.242424242424"/>
    <n v="6693.59"/>
    <n v="-730.65242424242388"/>
    <m/>
    <m/>
    <n v="20"/>
    <n v="20"/>
    <n v="5.3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0"/>
    <n v="0"/>
    <n v="0"/>
    <n v="0"/>
    <n v="0"/>
    <n v="0"/>
    <n v="300"/>
    <n v="2008077"/>
    <n v="14700000"/>
    <n v="6.6549421977525576"/>
  </r>
  <r>
    <n v="0"/>
    <n v="0"/>
    <n v="8"/>
    <n v="8"/>
    <s v="F-CAP"/>
    <x v="23"/>
    <s v="ELH-성진-10"/>
    <s v="ELH-성진-10ELHFIF3714GR"/>
    <n v="7"/>
    <s v="ELH-성진-107"/>
    <s v="ELH-성진-107-ELHFIF3714GREENFRE"/>
    <s v="ELH의류외714"/>
    <s v="ELH"/>
    <s v="ELSFIE"/>
    <m/>
    <s v="ELH"/>
    <s v="ELS HATSON"/>
    <s v="F"/>
    <s v="3"/>
    <s v="FI"/>
    <s v="FITTED CAP"/>
    <s v="K"/>
    <n v="714"/>
    <n v="714"/>
    <s v="ELHFIF3714"/>
    <n v="1"/>
    <s v="ELSFIE3714GRFRE"/>
    <s v="GR"/>
    <s v="GREEN"/>
    <s v="ELHFIF3714GR"/>
    <x v="1"/>
    <n v="1"/>
    <n v="0"/>
    <n v="1"/>
    <s v="FRE"/>
    <n v="500"/>
    <x v="7"/>
    <n v="10"/>
    <x v="21"/>
    <s v="M"/>
    <s v="BG"/>
    <x v="0"/>
    <n v="43000"/>
    <x v="27"/>
    <n v="6515.151515151515"/>
    <n v="5506.25"/>
    <n v="-1008.901515151515"/>
    <m/>
    <m/>
    <n v="20"/>
    <n v="20"/>
    <n v="4.7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0"/>
    <n v="0"/>
    <n v="0"/>
    <n v="0"/>
    <n v="0"/>
    <n v="0"/>
    <n v="500"/>
    <n v="2753125"/>
    <n v="21500000"/>
    <n v="7.0993705499948394"/>
  </r>
  <r>
    <n v="0"/>
    <n v="0"/>
    <n v="8"/>
    <n v="8"/>
    <s v="F-CAP"/>
    <x v="23"/>
    <s v="ELH-성진-10"/>
    <s v="ELH-성진-10ELHFIF3720GY"/>
    <n v="8"/>
    <s v="ELH-성진-108"/>
    <s v="ELH-성진-108-ELHFIF3720GREYFRE"/>
    <s v="ELH의류외720"/>
    <s v="ELH"/>
    <s v="ELSFIE"/>
    <m/>
    <s v="ELH"/>
    <s v="ELS HATSON"/>
    <s v="F"/>
    <s v="3"/>
    <s v="FI"/>
    <s v="FITTED CAP"/>
    <s v="K"/>
    <n v="720"/>
    <n v="720"/>
    <s v="ELHFIF3720"/>
    <n v="0.5"/>
    <s v="ELSFIE3720GYFRE"/>
    <s v="GY"/>
    <s v="GREY"/>
    <s v="ELHFIF3720GY"/>
    <x v="1"/>
    <n v="1"/>
    <n v="0"/>
    <n v="1"/>
    <s v="FRE"/>
    <n v="300"/>
    <x v="7"/>
    <n v="10"/>
    <x v="21"/>
    <s v="M"/>
    <s v="CN"/>
    <x v="0"/>
    <n v="55000"/>
    <x v="27"/>
    <n v="8333.3333333333321"/>
    <n v="8627.0600000000013"/>
    <n v="293.72666666666919"/>
    <m/>
    <m/>
    <n v="20"/>
    <n v="20"/>
    <n v="6.9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0"/>
    <n v="0"/>
    <n v="0"/>
    <n v="0"/>
    <n v="0"/>
    <n v="0"/>
    <n v="300"/>
    <n v="2588118.0000000005"/>
    <n v="16500000"/>
    <n v="5.7957171968202363"/>
  </r>
  <r>
    <n v="0"/>
    <n v="0"/>
    <n v="8"/>
    <n v="8"/>
    <s v="F-CAP"/>
    <x v="23"/>
    <s v="ELH-성진-10"/>
    <s v="ELH-성진-10ELHFIF3720PK"/>
    <n v="9"/>
    <s v="ELH-성진-109"/>
    <s v="ELH-성진-109-ELHFIF3720PINKFRE"/>
    <s v="ELH의류외720"/>
    <s v="ELH"/>
    <s v="ELSFIE"/>
    <m/>
    <s v="ELH"/>
    <s v="ELS HATSON"/>
    <s v="F"/>
    <s v="3"/>
    <s v="FI"/>
    <s v="FITTED CAP"/>
    <s v="K"/>
    <n v="720"/>
    <n v="720"/>
    <s v="ELHFIF3720"/>
    <n v="0.5"/>
    <s v="ELSFIE3720PKFRE"/>
    <s v="PK"/>
    <s v="PINK"/>
    <s v="ELHFIF3720PK"/>
    <x v="1"/>
    <n v="1"/>
    <n v="0"/>
    <n v="1"/>
    <s v="FRE"/>
    <n v="300"/>
    <x v="7"/>
    <n v="10"/>
    <x v="21"/>
    <s v="M"/>
    <s v="CN"/>
    <x v="0"/>
    <n v="55000"/>
    <x v="27"/>
    <n v="8333.3333333333321"/>
    <n v="8627.0600000000013"/>
    <n v="293.72666666666919"/>
    <m/>
    <m/>
    <n v="20"/>
    <n v="20"/>
    <n v="6.9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0"/>
    <n v="0"/>
    <n v="0"/>
    <n v="0"/>
    <n v="0"/>
    <n v="0"/>
    <n v="300"/>
    <n v="2588118.0000000005"/>
    <n v="16500000"/>
    <n v="5.7957171968202363"/>
  </r>
  <r>
    <n v="0"/>
    <n v="0"/>
    <n v="8"/>
    <n v="8"/>
    <s v="F-CAP"/>
    <x v="23"/>
    <s v="ELH-성진-10"/>
    <s v="ELH-성진-10ELHFIF3826KH"/>
    <n v="10"/>
    <s v="ELH-성진-1010"/>
    <s v="ELH-성진-1010-ELHFIF3826KHAKIFRE"/>
    <s v="ELH의류외826"/>
    <s v="ELH"/>
    <s v="ELSFIE"/>
    <m/>
    <s v="ELH"/>
    <s v="ELS HATSON"/>
    <s v="F"/>
    <s v="3"/>
    <s v="FI"/>
    <s v="FITTED CAP"/>
    <s v="K"/>
    <n v="826"/>
    <n v="826"/>
    <s v="ELHFIF3826"/>
    <n v="0.5"/>
    <s v="ELSFIE3826KHFRE"/>
    <s v="KH"/>
    <s v="KHAKI"/>
    <s v="ELHFIF3826KH"/>
    <x v="1"/>
    <n v="1"/>
    <n v="0"/>
    <n v="1"/>
    <s v="FRE"/>
    <n v="500"/>
    <x v="7"/>
    <n v="10"/>
    <x v="21"/>
    <s v="M"/>
    <s v="BG"/>
    <x v="0"/>
    <n v="43000"/>
    <x v="27"/>
    <n v="6515.151515151515"/>
    <n v="5795"/>
    <n v="-720.15151515151501"/>
    <m/>
    <m/>
    <n v="20"/>
    <n v="20"/>
    <n v="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0"/>
    <n v="0"/>
    <n v="0"/>
    <n v="0"/>
    <n v="0"/>
    <n v="0"/>
    <n v="500"/>
    <n v="2897500"/>
    <n v="21500000"/>
    <n v="6.7456271080084704"/>
  </r>
  <r>
    <n v="0"/>
    <n v="0"/>
    <n v="8"/>
    <n v="8"/>
    <s v="F-CAP"/>
    <x v="23"/>
    <s v="ELH-성진-10"/>
    <s v="ELH-성진-10ELHFIF3826RE"/>
    <n v="11"/>
    <s v="ELH-성진-1011"/>
    <s v="ELH-성진-1011-ELHFIF3826REDFRE"/>
    <s v="ELH의류외826"/>
    <s v="ELH"/>
    <s v="ELSFIE"/>
    <m/>
    <s v="ELH"/>
    <s v="ELS HATSON"/>
    <s v="F"/>
    <s v="3"/>
    <s v="FI"/>
    <s v="FITTED CAP"/>
    <s v="K"/>
    <n v="826"/>
    <n v="826"/>
    <s v="ELHFIF3826"/>
    <n v="0.5"/>
    <s v="ELSFIE3826REFRE"/>
    <s v="RE"/>
    <s v="RED"/>
    <s v="ELHFIF3826RE"/>
    <x v="1"/>
    <n v="1"/>
    <n v="0"/>
    <n v="1"/>
    <s v="FRE"/>
    <n v="500"/>
    <x v="7"/>
    <n v="10"/>
    <x v="21"/>
    <s v="M"/>
    <s v="BG"/>
    <x v="0"/>
    <n v="43000"/>
    <x v="27"/>
    <n v="6515.151515151515"/>
    <n v="5795"/>
    <n v="-720.15151515151501"/>
    <m/>
    <m/>
    <n v="20"/>
    <n v="20"/>
    <n v="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0"/>
    <n v="0"/>
    <n v="0"/>
    <n v="0"/>
    <n v="0"/>
    <n v="0"/>
    <n v="500"/>
    <n v="2897500"/>
    <n v="21500000"/>
    <n v="6.7456271080084704"/>
  </r>
  <r>
    <n v="0"/>
    <n v="0"/>
    <s v=""/>
    <s v=""/>
    <s v=""/>
    <x v="1"/>
    <s v=""/>
    <s v=""/>
    <n v="0"/>
    <s v="0"/>
    <s v="0-"/>
    <n v="0"/>
    <s v="TTL"/>
    <s v=""/>
    <s v="ELH-성진-10 TTL"/>
    <m/>
    <s v=""/>
    <s v=""/>
    <m/>
    <m/>
    <s v=""/>
    <m/>
    <m/>
    <s v=""/>
    <s v=""/>
    <n v="8"/>
    <m/>
    <s v=""/>
    <m/>
    <s v=""/>
    <x v="0"/>
    <n v="11"/>
    <n v="0"/>
    <m/>
    <m/>
    <m/>
    <x v="1"/>
    <m/>
    <x v="1"/>
    <m/>
    <m/>
    <x v="1"/>
    <n v="0"/>
    <x v="1"/>
    <n v="0"/>
    <n v="0"/>
    <n v="0"/>
    <m/>
    <m/>
    <m/>
    <n v="0"/>
    <m/>
    <m/>
    <d v="1899-12-30T00:00:00"/>
    <m/>
    <d v="1899-12-30T00:00:00"/>
    <m/>
    <m/>
    <m/>
    <m/>
    <m/>
    <m/>
    <x v="3"/>
    <m/>
    <n v="4300"/>
    <n v="0"/>
    <n v="0"/>
    <n v="0"/>
    <n v="0"/>
    <n v="0"/>
    <n v="4300"/>
    <n v="28898168"/>
    <n v="193900000"/>
    <n v="6.0997889995216052"/>
  </r>
  <r>
    <n v="0"/>
    <n v="0"/>
    <n v="8"/>
    <n v="8"/>
    <s v="F-CAP"/>
    <x v="23"/>
    <s v="ELH-캡보이-03"/>
    <s v="ELH-캡보이-03ELHFIF3721MT"/>
    <n v="1"/>
    <s v="ELH-캡보이-031"/>
    <s v="ELH-캡보이-031-ELHFIF3721MINTFRE"/>
    <s v="ELH의류외721"/>
    <s v="ELH"/>
    <s v="ELSFIE"/>
    <m/>
    <s v="ELH"/>
    <s v="ELS HATSON"/>
    <s v="F"/>
    <s v="3"/>
    <s v="FI"/>
    <s v="FITTED CAP"/>
    <s v="K"/>
    <n v="721"/>
    <n v="721"/>
    <s v="ELHFIF3721"/>
    <n v="0.5"/>
    <s v="ELSFIE3721MTFRE"/>
    <s v="MT"/>
    <s v="MINT"/>
    <s v="ELHFIF3721MT"/>
    <x v="1"/>
    <n v="1"/>
    <n v="0"/>
    <n v="1"/>
    <s v="FRE"/>
    <n v="500"/>
    <x v="8"/>
    <n v="3"/>
    <x v="2"/>
    <s v="M"/>
    <s v="KR"/>
    <x v="3"/>
    <n v="55000"/>
    <x v="27"/>
    <n v="12499.999999999998"/>
    <n v="12500"/>
    <n v="0"/>
    <m/>
    <m/>
    <m/>
    <n v="0"/>
    <m/>
    <n v="125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0"/>
    <n v="0"/>
    <n v="0"/>
    <n v="0"/>
    <n v="0"/>
    <n v="0"/>
    <n v="500"/>
    <n v="6250000"/>
    <n v="27500000"/>
    <n v="3.9999999999999996"/>
  </r>
  <r>
    <n v="0"/>
    <n v="0"/>
    <n v="8"/>
    <n v="8"/>
    <s v="F-CAP"/>
    <x v="23"/>
    <s v="ELH-캡보이-03"/>
    <s v="ELH-캡보이-03ELHFIF3721OR"/>
    <n v="2"/>
    <s v="ELH-캡보이-032"/>
    <s v="ELH-캡보이-032-ELHFIF3721ORANGEFRE"/>
    <s v="ELH의류외721"/>
    <s v="ELH"/>
    <s v="ELSFIE"/>
    <m/>
    <s v="ELH"/>
    <s v="ELS HATSON"/>
    <s v="F"/>
    <s v="3"/>
    <s v="FI"/>
    <s v="FITTED CAP"/>
    <s v="K"/>
    <n v="721"/>
    <n v="721"/>
    <s v="ELHFIF3721"/>
    <n v="0.5"/>
    <s v="ELSFIE3721ORFRE"/>
    <s v="OR"/>
    <s v="ORANGE"/>
    <s v="ELHFIF3721OR"/>
    <x v="1"/>
    <n v="1"/>
    <n v="0"/>
    <n v="1"/>
    <s v="FRE"/>
    <n v="500"/>
    <x v="8"/>
    <n v="3"/>
    <x v="2"/>
    <s v="M"/>
    <s v="KR"/>
    <x v="3"/>
    <n v="55000"/>
    <x v="27"/>
    <n v="12499.999999999998"/>
    <n v="12500"/>
    <n v="0"/>
    <m/>
    <m/>
    <m/>
    <n v="0"/>
    <m/>
    <n v="125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0"/>
    <n v="0"/>
    <n v="0"/>
    <n v="0"/>
    <n v="0"/>
    <n v="0"/>
    <n v="500"/>
    <n v="6250000"/>
    <n v="27500000"/>
    <n v="3.9999999999999996"/>
  </r>
  <r>
    <n v="0"/>
    <n v="0"/>
    <n v="8"/>
    <n v="8"/>
    <s v="F-CAP"/>
    <x v="23"/>
    <s v="ELH-캡보이-03"/>
    <s v="ELH-캡보이-03ELHFIF3726BL"/>
    <n v="3"/>
    <s v="ELH-캡보이-033"/>
    <s v="ELH-캡보이-033-ELHFIF3726BLUEFRE"/>
    <s v="ELH의류외726"/>
    <s v="ELH"/>
    <s v="ELSFIE"/>
    <m/>
    <s v="ELH"/>
    <s v="ELS HATSON"/>
    <s v="F"/>
    <s v="3"/>
    <s v="FI"/>
    <s v="FITTED CAP"/>
    <s v="K"/>
    <n v="726"/>
    <n v="726"/>
    <s v="ELHFIF3726"/>
    <n v="1"/>
    <s v="ELSFIE3726BLFRE"/>
    <s v="BL"/>
    <s v="BLUE"/>
    <s v="ELHFIF3726BL"/>
    <x v="1"/>
    <n v="1"/>
    <n v="0"/>
    <n v="1"/>
    <s v="FRE"/>
    <n v="500"/>
    <x v="8"/>
    <n v="3"/>
    <x v="2"/>
    <s v="M"/>
    <s v="KR"/>
    <x v="3"/>
    <n v="55000"/>
    <x v="27"/>
    <n v="12499.999999999998"/>
    <n v="13000"/>
    <n v="500.00000000000182"/>
    <m/>
    <m/>
    <m/>
    <n v="0"/>
    <m/>
    <n v="130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0"/>
    <n v="0"/>
    <n v="0"/>
    <n v="0"/>
    <n v="0"/>
    <n v="0"/>
    <n v="500"/>
    <n v="6500000"/>
    <n v="27500000"/>
    <n v="3.8461538461538458"/>
  </r>
  <r>
    <n v="0"/>
    <n v="0"/>
    <n v="8"/>
    <n v="8"/>
    <s v="F-CAP"/>
    <x v="23"/>
    <s v="ELH-캡보이-03"/>
    <s v="ELH-캡보이-03ELHFIF3727OR"/>
    <n v="4"/>
    <s v="ELH-캡보이-034"/>
    <s v="ELH-캡보이-034-ELHFIF3727ORANGEFRE"/>
    <s v="ELH의류외727"/>
    <s v="ELH"/>
    <s v="ELSFIE"/>
    <m/>
    <s v="ELH"/>
    <s v="ELS HATSON"/>
    <s v="F"/>
    <s v="3"/>
    <s v="FI"/>
    <s v="FITTED CAP"/>
    <s v="K"/>
    <n v="727"/>
    <n v="727"/>
    <s v="ELHFIF3727"/>
    <n v="1"/>
    <s v="ELSFIE3727ORFRE"/>
    <s v="OR"/>
    <s v="ORANGE"/>
    <s v="ELHFIF3727OR"/>
    <x v="1"/>
    <n v="1"/>
    <n v="0"/>
    <n v="1"/>
    <s v="FRE"/>
    <n v="300"/>
    <x v="8"/>
    <n v="3"/>
    <x v="2"/>
    <s v="M"/>
    <s v="KR"/>
    <x v="3"/>
    <n v="55000"/>
    <x v="27"/>
    <n v="12499.999999999998"/>
    <n v="12020"/>
    <n v="-479.99999999999818"/>
    <m/>
    <m/>
    <n v="20"/>
    <n v="20"/>
    <m/>
    <n v="120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0"/>
    <n v="0"/>
    <n v="0"/>
    <n v="0"/>
    <n v="0"/>
    <n v="0"/>
    <n v="300"/>
    <n v="3606000"/>
    <n v="16500000"/>
    <n v="4.1597337770382694"/>
  </r>
  <r>
    <n v="0"/>
    <n v="0"/>
    <s v=""/>
    <s v=""/>
    <s v=""/>
    <x v="1"/>
    <s v=""/>
    <s v=""/>
    <n v="0"/>
    <s v="0"/>
    <s v="0-"/>
    <n v="0"/>
    <s v="TTL"/>
    <s v=""/>
    <s v="ELH-캡보이-03 TTL"/>
    <m/>
    <s v=""/>
    <s v=""/>
    <s v=""/>
    <m/>
    <s v=""/>
    <s v="K"/>
    <m/>
    <s v=""/>
    <s v=""/>
    <n v="3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800"/>
    <n v="0"/>
    <n v="0"/>
    <n v="0"/>
    <n v="0"/>
    <n v="0"/>
    <n v="1800"/>
    <n v="22606000"/>
    <n v="99000000"/>
    <n v="3.9812439175440142"/>
  </r>
  <r>
    <n v="0"/>
    <n v="1"/>
    <n v="8"/>
    <n v="8"/>
    <s v="SPORTS"/>
    <x v="24"/>
    <s v="NOH-FOREMOST-24"/>
    <s v="NOH-FOREMOST-24NOHFAF3605BG"/>
    <n v="1"/>
    <s v="NOH-FOREMOST-241"/>
    <s v="NOH-FOREMOST-241-NOHFAF3605BEIGEFRE"/>
    <s v="NOH의류외605"/>
    <s v="NOH"/>
    <s v="NOVFAE"/>
    <m/>
    <s v="NOH"/>
    <s v="NOV HATSON"/>
    <s v="F"/>
    <s v="3"/>
    <s v="FA"/>
    <s v="FASHION HAT"/>
    <s v="K"/>
    <n v="605"/>
    <n v="605"/>
    <s v="NOHFAF3605"/>
    <n v="1"/>
    <s v="NOVFAE3605BGFRE"/>
    <s v="BG"/>
    <s v="BEIGE"/>
    <s v="NOHFAF3605BG"/>
    <x v="1"/>
    <n v="1"/>
    <n v="0"/>
    <n v="1"/>
    <s v="FRE"/>
    <n v="100"/>
    <x v="4"/>
    <n v="24"/>
    <x v="27"/>
    <s v="M"/>
    <s v="CN"/>
    <x v="0"/>
    <n v="55000"/>
    <x v="27"/>
    <n v="8333.3333333333321"/>
    <n v="6595.7100000000009"/>
    <n v="-1737.6233333333312"/>
    <n v="1399"/>
    <m/>
    <n v="20"/>
    <n v="1419"/>
    <n v="4.1500000000000004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100"/>
    <n v="1"/>
    <n v="0"/>
    <n v="0"/>
    <n v="0"/>
    <n v="0"/>
    <n v="100"/>
    <n v="659571.00000000012"/>
    <n v="5500000"/>
    <n v="7.5806850210212371"/>
  </r>
  <r>
    <n v="0"/>
    <n v="0"/>
    <n v="8"/>
    <n v="8"/>
    <s v="SPORTS"/>
    <x v="24"/>
    <s v="NOH-FOREMOST-24"/>
    <s v="NOH-FOREMOST-24NOHMIF3602RE"/>
    <n v="2"/>
    <s v="NOH-FOREMOST-242"/>
    <s v="NOH-FOREMOST-242-NOHMIF3602REDFRE"/>
    <s v="NOH의류외602"/>
    <s v="NOH"/>
    <s v="NOVMIE"/>
    <m/>
    <s v="NOH"/>
    <s v="NOV HATSON"/>
    <s v="F"/>
    <s v="3"/>
    <s v="MI"/>
    <s v="MILITARY CAP"/>
    <s v="K"/>
    <n v="602"/>
    <n v="602"/>
    <s v="NOHMIF3602"/>
    <n v="1"/>
    <s v="NOVMIE3602REFRE"/>
    <s v="RE"/>
    <s v="RED"/>
    <s v="NOHMIF3602RE"/>
    <x v="1"/>
    <n v="1"/>
    <n v="0"/>
    <n v="1"/>
    <s v="FRE"/>
    <n v="224"/>
    <x v="4"/>
    <n v="24"/>
    <x v="27"/>
    <s v="M"/>
    <s v="CN"/>
    <x v="0"/>
    <n v="45000"/>
    <x v="27"/>
    <n v="6818.1818181818171"/>
    <n v="6755.9600000000019"/>
    <n v="-62.221818181815252"/>
    <n v="0"/>
    <n v="0"/>
    <n v="20"/>
    <n v="20"/>
    <n v="5.4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210"/>
    <n v="0"/>
    <n v="0"/>
    <n v="0"/>
    <n v="0"/>
    <n v="0"/>
    <n v="224"/>
    <n v="1513335.0400000005"/>
    <n v="10080000"/>
    <n v="6.0552594907446009"/>
  </r>
  <r>
    <n v="0"/>
    <n v="0"/>
    <s v=""/>
    <s v=""/>
    <s v=""/>
    <x v="1"/>
    <s v=""/>
    <s v=""/>
    <n v="0"/>
    <s v="0"/>
    <s v="0-"/>
    <n v="0"/>
    <s v="TTL"/>
    <s v=""/>
    <s v="NOH-FOREMOST-24 TTL"/>
    <m/>
    <s v=""/>
    <s v=""/>
    <s v=""/>
    <m/>
    <s v=""/>
    <s v="K"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10"/>
    <n v="1"/>
    <n v="0"/>
    <n v="0"/>
    <n v="0"/>
    <n v="0"/>
    <n v="324"/>
    <n v="2172906.0400000005"/>
    <n v="15580000"/>
    <n v="6.5182921409875405"/>
  </r>
  <r>
    <n v="0"/>
    <n v="0"/>
    <n v="8"/>
    <n v="8"/>
    <s v="SPORTS"/>
    <x v="25"/>
    <s v="SMH-성진-11"/>
    <s v="SMH-성진-11SMHFIF3702RE"/>
    <n v="1"/>
    <s v="SMH-성진-111"/>
    <s v="SMH-성진-111-SMHFIF3702REDFRE"/>
    <s v="SMH의류외702"/>
    <s v="SMH"/>
    <s v="SMBFIE"/>
    <m/>
    <s v="SMH"/>
    <s v="SMB HATSON"/>
    <s v="F"/>
    <s v="3"/>
    <s v="FI"/>
    <s v="FITTED CAP"/>
    <s v="K"/>
    <n v="702"/>
    <n v="702"/>
    <s v="SMHFIF3702"/>
    <n v="1"/>
    <s v="SMBFIE3702REFRE"/>
    <s v="RE"/>
    <s v="RED"/>
    <s v="SMHFIF3702RE"/>
    <x v="1"/>
    <n v="1"/>
    <n v="0"/>
    <n v="1"/>
    <s v="FRE"/>
    <n v="300"/>
    <x v="7"/>
    <n v="11"/>
    <x v="23"/>
    <s v="M"/>
    <s v="BG"/>
    <x v="0"/>
    <n v="43000"/>
    <x v="27"/>
    <n v="6515.151515151515"/>
    <n v="6832.75"/>
    <n v="317.59848484848499"/>
    <n v="0"/>
    <n v="980"/>
    <n v="20"/>
    <n v="1000"/>
    <n v="5.0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0"/>
    <n v="0"/>
    <n v="0"/>
    <n v="0"/>
    <n v="0"/>
    <n v="0"/>
    <n v="300"/>
    <n v="2049825"/>
    <n v="12900000"/>
    <n v="5.7211092299453501"/>
  </r>
  <r>
    <n v="0"/>
    <n v="0"/>
    <n v="8"/>
    <n v="8"/>
    <s v="SPORTS"/>
    <x v="25"/>
    <s v="SMH-성진-11"/>
    <s v="SMH-성진-11SMHFLF3740KH"/>
    <n v="2"/>
    <s v="SMH-성진-112"/>
    <s v="SMH-성진-112-SMHFLF3740KHAKIFRE"/>
    <s v="SMH의류외740"/>
    <s v="SMH"/>
    <s v="SMBFLE"/>
    <m/>
    <s v="SMH"/>
    <s v="SMB HATSON"/>
    <s v="F"/>
    <s v="3"/>
    <s v="FL"/>
    <s v="FLEX CAP"/>
    <s v="K"/>
    <n v="740"/>
    <n v="740"/>
    <s v="SMHFLF3740"/>
    <n v="1"/>
    <s v="SMBFLE3740KHFRE"/>
    <s v="KH"/>
    <s v="KHAKI"/>
    <s v="SMHFLF3740KH"/>
    <x v="1"/>
    <n v="1"/>
    <n v="0"/>
    <n v="1"/>
    <s v="FRE"/>
    <n v="183"/>
    <x v="7"/>
    <n v="11"/>
    <x v="23"/>
    <s v="M"/>
    <s v="BG"/>
    <x v="0"/>
    <n v="43000"/>
    <x v="27"/>
    <n v="6515.151515151515"/>
    <n v="6448.5000000000009"/>
    <n v="-66.651515151514104"/>
    <n v="0"/>
    <n v="1000"/>
    <n v="20"/>
    <n v="1020"/>
    <n v="4.7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76"/>
    <n v="0"/>
    <n v="0"/>
    <n v="0"/>
    <n v="0"/>
    <n v="0"/>
    <n v="183"/>
    <n v="1180075.5000000002"/>
    <n v="7869000"/>
    <n v="6.0620158317297177"/>
  </r>
  <r>
    <n v="0"/>
    <n v="0"/>
    <n v="8"/>
    <n v="8"/>
    <s v="SPORTS"/>
    <x v="25"/>
    <s v="SMH-성진-11"/>
    <s v="SMH-성진-11SMHFLF3744GR"/>
    <n v="3"/>
    <s v="SMH-성진-113"/>
    <s v="SMH-성진-113-SMHFLF3744GREENFRE"/>
    <s v="SMH의류외744"/>
    <s v="SMH"/>
    <s v="SMBFLE"/>
    <m/>
    <s v="SMH"/>
    <s v="SMB HATSON"/>
    <s v="F"/>
    <s v="3"/>
    <s v="FL"/>
    <s v="FLEX CAP"/>
    <s v="K"/>
    <n v="744"/>
    <n v="744"/>
    <s v="SMHFLF3744"/>
    <n v="0.5"/>
    <s v="SMBFLE3744GRFRE"/>
    <s v="GR"/>
    <s v="GREEN"/>
    <s v="SMHFLF3744GR"/>
    <x v="1"/>
    <n v="1"/>
    <n v="0"/>
    <n v="1"/>
    <s v="FRE"/>
    <n v="100"/>
    <x v="7"/>
    <n v="11"/>
    <x v="23"/>
    <s v="M"/>
    <s v="BG"/>
    <x v="0"/>
    <n v="43000"/>
    <x v="27"/>
    <n v="6515.151515151515"/>
    <n v="6564"/>
    <n v="48.848484848484986"/>
    <n v="0"/>
    <n v="1000"/>
    <n v="20"/>
    <n v="1020"/>
    <n v="4.8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656400"/>
    <n v="4300000"/>
    <n v="5.9553487341421523"/>
  </r>
  <r>
    <n v="0"/>
    <n v="0"/>
    <n v="8"/>
    <n v="8"/>
    <s v="SPORTS"/>
    <x v="25"/>
    <s v="SMH-성진-11"/>
    <s v="SMH-성진-11SMHFLF3744RE"/>
    <n v="4"/>
    <s v="SMH-성진-114"/>
    <s v="SMH-성진-114-SMHFLF3744REDFRE"/>
    <s v="SMH의류외744"/>
    <s v="SMH"/>
    <s v="SMBFLE"/>
    <m/>
    <s v="SMH"/>
    <s v="SMB HATSON"/>
    <s v="F"/>
    <s v="3"/>
    <s v="FL"/>
    <s v="FLEX CAP"/>
    <s v="K"/>
    <n v="744"/>
    <n v="744"/>
    <s v="SMHFLF3744"/>
    <n v="0.5"/>
    <s v="SMBFLE3744REFRE"/>
    <s v="RE"/>
    <s v="RED"/>
    <s v="SMHFLF3744RE"/>
    <x v="1"/>
    <n v="1"/>
    <n v="0"/>
    <n v="1"/>
    <s v="FRE"/>
    <n v="194"/>
    <x v="7"/>
    <n v="11"/>
    <x v="23"/>
    <s v="M"/>
    <s v="BG"/>
    <x v="0"/>
    <n v="43000"/>
    <x v="27"/>
    <n v="6515.151515151515"/>
    <n v="6543.9999999999991"/>
    <n v="28.848484848484077"/>
    <n v="0"/>
    <n v="980"/>
    <n v="20"/>
    <n v="1000"/>
    <n v="4.7999999999999989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87"/>
    <n v="0"/>
    <n v="0"/>
    <n v="0"/>
    <n v="0"/>
    <n v="0"/>
    <n v="194"/>
    <n v="1269535.9999999998"/>
    <n v="8342000"/>
    <n v="5.9735496777061572"/>
  </r>
  <r>
    <n v="0"/>
    <n v="0"/>
    <n v="8"/>
    <n v="8"/>
    <s v="SPORTS"/>
    <x v="25"/>
    <s v="SMH-성진-11"/>
    <s v="SMH-성진-11SMHFLF3814BU"/>
    <n v="5"/>
    <s v="SMH-성진-115"/>
    <s v="SMH-성진-115-SMHFLF3814BURGUNDYFRE"/>
    <s v="SMH의류외814"/>
    <s v="SMH"/>
    <s v="SMBFLE"/>
    <m/>
    <s v="SMH"/>
    <s v="SMB HATSON"/>
    <s v="F"/>
    <s v="3"/>
    <s v="FL"/>
    <s v="FLEX CAP"/>
    <s v="K"/>
    <n v="814"/>
    <n v="814"/>
    <s v="SMHFLF3814"/>
    <n v="1"/>
    <s v="SMBFLE3814BUFRE"/>
    <s v="BU"/>
    <s v="BURGUNDY"/>
    <s v="SMHFLF3814BU"/>
    <x v="1"/>
    <n v="1"/>
    <n v="0"/>
    <n v="1"/>
    <s v="FRE"/>
    <n v="100"/>
    <x v="7"/>
    <n v="11"/>
    <x v="23"/>
    <s v="M"/>
    <s v="BG"/>
    <x v="0"/>
    <n v="35000"/>
    <x v="27"/>
    <n v="5303.030303030303"/>
    <n v="6719"/>
    <n v="1415.969696969697"/>
    <n v="0"/>
    <n v="0"/>
    <n v="20"/>
    <n v="20"/>
    <n v="5.8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671900"/>
    <n v="3500000"/>
    <n v="4.7355531802622135"/>
  </r>
  <r>
    <n v="0"/>
    <n v="0"/>
    <n v="8"/>
    <n v="8"/>
    <s v="SPORTS"/>
    <x v="25"/>
    <s v="SMH-성진-11"/>
    <s v="SMH-성진-11SMHFLF3816BU"/>
    <n v="6"/>
    <s v="SMH-성진-116"/>
    <s v="SMH-성진-116-SMHFLF3816BURGUNDYFRE"/>
    <s v="SMH의류외816"/>
    <s v="SMH"/>
    <s v="SMBFLE"/>
    <m/>
    <s v="SMH"/>
    <s v="SMB HATSON"/>
    <s v="F"/>
    <s v="3"/>
    <s v="FL"/>
    <s v="FLEX CAP"/>
    <s v="K"/>
    <n v="816"/>
    <n v="816"/>
    <s v="SMHFLF3816"/>
    <n v="1"/>
    <s v="SMBFLE3816BUFRE"/>
    <s v="BU"/>
    <s v="BURGUNDY"/>
    <s v="SMHFLF3816BU"/>
    <x v="1"/>
    <n v="1"/>
    <n v="0"/>
    <n v="1"/>
    <s v="FRE"/>
    <n v="100"/>
    <x v="7"/>
    <n v="11"/>
    <x v="23"/>
    <s v="M"/>
    <s v="BG"/>
    <x v="0"/>
    <n v="35000"/>
    <x v="27"/>
    <n v="5303.030303030303"/>
    <n v="6372.5"/>
    <n v="1069.469696969697"/>
    <n v="0"/>
    <n v="0"/>
    <n v="20"/>
    <n v="20"/>
    <n v="5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637250"/>
    <n v="3500000"/>
    <n v="4.9930454010485397"/>
  </r>
  <r>
    <n v="0"/>
    <n v="0"/>
    <n v="8"/>
    <n v="8"/>
    <s v="SPORTS"/>
    <x v="25"/>
    <s v="SMH-성진-11"/>
    <s v="SMH-성진-11SMHFLF3819NY"/>
    <n v="7"/>
    <s v="SMH-성진-117"/>
    <s v="SMH-성진-117-SMHFLF3819NAVYFRE"/>
    <s v="SMH의류외819"/>
    <s v="SMH"/>
    <s v="SMBFLE"/>
    <m/>
    <s v="SMH"/>
    <s v="SMB HATSON"/>
    <s v="F"/>
    <s v="3"/>
    <s v="FL"/>
    <s v="FLEX CAP"/>
    <s v="K"/>
    <n v="819"/>
    <n v="819"/>
    <s v="SMHFLF3819"/>
    <n v="1"/>
    <s v="SMBFLE3819NYFRE"/>
    <s v="NY"/>
    <s v="NAVY"/>
    <s v="SMHFLF3819NY"/>
    <x v="1"/>
    <n v="1"/>
    <n v="0"/>
    <n v="1"/>
    <s v="FRE"/>
    <n v="100"/>
    <x v="7"/>
    <n v="11"/>
    <x v="23"/>
    <s v="M"/>
    <s v="BG"/>
    <x v="0"/>
    <n v="35000"/>
    <x v="27"/>
    <n v="5303.030303030303"/>
    <n v="7181.0000000000009"/>
    <n v="1877.9696969696979"/>
    <n v="0"/>
    <n v="0"/>
    <n v="20"/>
    <n v="20"/>
    <n v="6.2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718100.00000000012"/>
    <n v="3500000"/>
    <n v="4.4308845311491165"/>
  </r>
  <r>
    <n v="0"/>
    <n v="0"/>
    <n v="8"/>
    <n v="8"/>
    <s v="SPORTS"/>
    <x v="25"/>
    <s v="SMH-성진-11"/>
    <s v="SMH-성진-11SMHFLF3872BK"/>
    <n v="8"/>
    <s v="SMH-성진-118"/>
    <s v="SMH-성진-118-SMHFLF3872BLACKFRE"/>
    <s v="SMH의류외872"/>
    <s v="SMH"/>
    <s v="SMBFLE"/>
    <m/>
    <s v="SMH"/>
    <s v="SMB HATSON"/>
    <s v="F"/>
    <s v="3"/>
    <s v="FL"/>
    <s v="FLEX CAP"/>
    <s v="K"/>
    <n v="872"/>
    <n v="872"/>
    <s v="SMHFLF3872"/>
    <n v="1"/>
    <s v="SMBFLE3872BKFRE"/>
    <s v="BK"/>
    <s v="BLACK"/>
    <s v="SMHFLF3872BK"/>
    <x v="1"/>
    <n v="1"/>
    <n v="0"/>
    <n v="1"/>
    <s v="FRE"/>
    <n v="100"/>
    <x v="7"/>
    <n v="11"/>
    <x v="23"/>
    <s v="M"/>
    <s v="BG"/>
    <x v="0"/>
    <n v="39000"/>
    <x v="27"/>
    <n v="5909.0909090909081"/>
    <n v="7583.5"/>
    <n v="1674.4090909090919"/>
    <n v="0"/>
    <n v="980"/>
    <n v="20"/>
    <n v="1000"/>
    <n v="5.7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758350"/>
    <n v="3900000"/>
    <n v="4.6752219231944947"/>
  </r>
  <r>
    <n v="0"/>
    <n v="0"/>
    <s v=""/>
    <s v=""/>
    <s v=""/>
    <x v="1"/>
    <s v=""/>
    <s v=""/>
    <n v="0"/>
    <s v="0"/>
    <s v="0-"/>
    <n v="0"/>
    <s v="TTL"/>
    <s v=""/>
    <s v="SMH-성진-11 TTL"/>
    <m/>
    <s v=""/>
    <s v=""/>
    <s v=""/>
    <m/>
    <s v=""/>
    <s v="K"/>
    <m/>
    <s v=""/>
    <s v=""/>
    <n v="7"/>
    <m/>
    <s v=""/>
    <m/>
    <s v=""/>
    <x v="0"/>
    <n v="8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163"/>
    <n v="0"/>
    <n v="0"/>
    <n v="0"/>
    <n v="0"/>
    <n v="0"/>
    <n v="1177"/>
    <n v="7941436.5"/>
    <n v="47811000"/>
    <n v="5.4731339165836621"/>
  </r>
  <r>
    <n v="0"/>
    <n v="0"/>
    <n v="8"/>
    <n v="8"/>
    <s v="SPORTS"/>
    <x v="26"/>
    <s v="VBH-FOREMOST-25"/>
    <s v="VBH-FOREMOST-25VBHBAF3811NY"/>
    <n v="1"/>
    <s v="VBH-FOREMOST-251"/>
    <s v="VBH-FOREMOST-251-VBHBAF3811NAVYFRE"/>
    <s v="VBH의류외811"/>
    <s v="VBH"/>
    <s v="VBLBAE"/>
    <m/>
    <s v="VBH"/>
    <s v="VBL HATSON"/>
    <s v="F"/>
    <s v="3"/>
    <s v="BA"/>
    <s v="BASIC CAP"/>
    <s v="K"/>
    <n v="811"/>
    <n v="811"/>
    <s v="VBHBAF3811"/>
    <n v="1"/>
    <s v="VBLBAE3811NYFRE"/>
    <s v="NY"/>
    <s v="NAVY"/>
    <s v="VBHBAF3811NY"/>
    <x v="1"/>
    <n v="1"/>
    <n v="0"/>
    <n v="1"/>
    <s v="FRE"/>
    <n v="100"/>
    <x v="4"/>
    <n v="25"/>
    <x v="28"/>
    <s v="M"/>
    <s v="CN"/>
    <x v="0"/>
    <n v="45000"/>
    <x v="27"/>
    <n v="6818.1818181818171"/>
    <n v="3699.8300000000004"/>
    <n v="-3118.3518181818167"/>
    <n v="0"/>
    <n v="0"/>
    <n v="20"/>
    <n v="20"/>
    <n v="2.9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369983.00000000006"/>
    <n v="4500000"/>
    <n v="11.057019081712106"/>
  </r>
  <r>
    <n v="0"/>
    <n v="1"/>
    <n v="8"/>
    <n v="8"/>
    <s v="SPORTS"/>
    <x v="26"/>
    <s v="VBH-FOREMOST-25"/>
    <s v="VBH-FOREMOST-25VBHBAF3812BK"/>
    <n v="2"/>
    <s v="VBH-FOREMOST-252"/>
    <s v="VBH-FOREMOST-252-VBHBAF3812BLACKFRE"/>
    <s v="VBH의류외812"/>
    <s v="VBH"/>
    <s v="VBLBAE"/>
    <m/>
    <s v="VBH"/>
    <s v="VBL HATSON"/>
    <s v="F"/>
    <s v="3"/>
    <s v="BA"/>
    <s v="BASIC CAP"/>
    <s v="K"/>
    <n v="812"/>
    <n v="812"/>
    <s v="VBHBAF3812"/>
    <n v="1"/>
    <s v="VBLBAE3812BKFRE"/>
    <s v="BK"/>
    <s v="BLACK"/>
    <s v="VBHBAF3812BK"/>
    <x v="1"/>
    <n v="1"/>
    <n v="0"/>
    <n v="1"/>
    <s v="FRE"/>
    <n v="206"/>
    <x v="4"/>
    <n v="25"/>
    <x v="28"/>
    <s v="M"/>
    <s v="CN"/>
    <x v="0"/>
    <n v="53000"/>
    <x v="27"/>
    <n v="8030.3030303030291"/>
    <n v="5137.2800000000007"/>
    <n v="-2893.0230303030285"/>
    <n v="1125.5999999999999"/>
    <n v="0"/>
    <n v="20"/>
    <n v="1145.5999999999999"/>
    <n v="3.2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206"/>
    <n v="0"/>
    <n v="0"/>
    <n v="0"/>
    <n v="0"/>
    <n v="0"/>
    <n v="206"/>
    <n v="1058279.6800000002"/>
    <n v="10918000"/>
    <n v="9.3788577188352917"/>
  </r>
  <r>
    <n v="0"/>
    <n v="1"/>
    <n v="8"/>
    <n v="8"/>
    <s v="SPORTS"/>
    <x v="26"/>
    <s v="VBH-FOREMOST-25"/>
    <s v="VBH-FOREMOST-25VBHBAF3813BL"/>
    <n v="3"/>
    <s v="VBH-FOREMOST-253"/>
    <s v="VBH-FOREMOST-253-VBHBAF3813BLUEFRE"/>
    <s v="VBH의류외813"/>
    <s v="VBH"/>
    <s v="VBLBAE"/>
    <m/>
    <s v="VBH"/>
    <s v="VBL HATSON"/>
    <s v="F"/>
    <s v="3"/>
    <s v="BA"/>
    <s v="BASIC CAP"/>
    <s v="K"/>
    <n v="813"/>
    <n v="813"/>
    <s v="VBHBAF3813"/>
    <n v="1"/>
    <s v="VBLBAE3813BLFRE"/>
    <s v="BL"/>
    <s v="BLUE"/>
    <s v="VBHBAF3813BL"/>
    <x v="1"/>
    <n v="1"/>
    <n v="0"/>
    <n v="1"/>
    <s v="FRE"/>
    <n v="327"/>
    <x v="4"/>
    <n v="25"/>
    <x v="28"/>
    <s v="M"/>
    <s v="CN"/>
    <x v="0"/>
    <n v="53000"/>
    <x v="27"/>
    <n v="8030.3030303030291"/>
    <n v="5494.7300000000005"/>
    <n v="-2535.5730303030286"/>
    <n v="1171.2"/>
    <n v="0"/>
    <n v="20"/>
    <n v="1191.2"/>
    <n v="3.45"/>
    <n v="0"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327"/>
    <n v="1"/>
    <n v="0"/>
    <n v="0"/>
    <n v="0"/>
    <n v="0"/>
    <n v="327"/>
    <n v="1796776.7100000002"/>
    <n v="17331000"/>
    <n v="8.7687326186761094"/>
  </r>
  <r>
    <n v="0"/>
    <n v="0"/>
    <s v=""/>
    <s v=""/>
    <s v=""/>
    <x v="1"/>
    <s v=""/>
    <s v=""/>
    <n v="0"/>
    <s v="0"/>
    <s v="0-"/>
    <n v="0"/>
    <s v="TTL"/>
    <s v=""/>
    <s v="VBH-FOREMOST-25 TTL"/>
    <m/>
    <s v=""/>
    <s v=""/>
    <s v=""/>
    <m/>
    <s v=""/>
    <s v="K"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33"/>
    <n v="1"/>
    <n v="0"/>
    <n v="0"/>
    <n v="0"/>
    <n v="0"/>
    <n v="633"/>
    <n v="3225039.3900000006"/>
    <n v="32749000"/>
    <n v="9.2314587766378171"/>
  </r>
  <r>
    <n v="0"/>
    <n v="0"/>
    <n v="8"/>
    <n v="8"/>
    <s v="F-CAP"/>
    <x v="23"/>
    <s v="ELH-성진-12"/>
    <s v="ELH-성진-12ELHFIF3620BK"/>
    <n v="1"/>
    <s v="ELH-성진-121"/>
    <s v="ELH-성진-121-ELHFIF3620BLACKOSM"/>
    <s v="ELH의류외620"/>
    <s v="ELH"/>
    <s v="ELSFIF"/>
    <m/>
    <s v="ELH"/>
    <s v="ELS HATSON"/>
    <s v="F"/>
    <s v="3"/>
    <s v="FI"/>
    <s v="FITTED CAP"/>
    <s v="K"/>
    <n v="620"/>
    <n v="620"/>
    <s v="ELHFIF3620"/>
    <n v="0.25"/>
    <s v="ELSFIF0620BKOSM"/>
    <s v="BK"/>
    <s v="BLACK"/>
    <s v="ELHFIF3620BK"/>
    <x v="1"/>
    <n v="1"/>
    <n v="0"/>
    <n v="1"/>
    <s v="OSM"/>
    <n v="20"/>
    <x v="7"/>
    <n v="12"/>
    <x v="11"/>
    <s v="M"/>
    <s v="BG"/>
    <x v="0"/>
    <n v="43000"/>
    <x v="27"/>
    <n v="6515.151515151515"/>
    <n v="4524.5"/>
    <n v="-1990.651515151515"/>
    <n v="0"/>
    <n v="0"/>
    <n v="20"/>
    <n v="20"/>
    <n v="3.9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20"/>
    <n v="0"/>
    <n v="0"/>
    <n v="0"/>
    <n v="0"/>
    <n v="0"/>
    <n v="20"/>
    <n v="90490"/>
    <n v="860000"/>
    <n v="8.6398296145229487"/>
  </r>
  <r>
    <n v="0"/>
    <n v="0"/>
    <n v="8"/>
    <n v="8"/>
    <s v="F-CAP"/>
    <x v="23"/>
    <s v="ELH-성진-12"/>
    <s v="ELH-성진-12ELHFIF3620RE"/>
    <n v="2"/>
    <s v="ELH-성진-122"/>
    <s v="ELH-성진-122-ELHFIF3620REDOSM"/>
    <s v="ELH의류외620"/>
    <s v="ELH"/>
    <s v="ELSFIF"/>
    <m/>
    <s v="ELH"/>
    <s v="ELS HATSON"/>
    <s v="F"/>
    <s v="3"/>
    <s v="FI"/>
    <s v="FITTED CAP"/>
    <s v="K"/>
    <n v="620"/>
    <n v="620"/>
    <s v="ELHFIF3620"/>
    <n v="0.25"/>
    <s v="ELSFIF0620REOSM"/>
    <s v="RE"/>
    <s v="RED"/>
    <s v="ELHFIF3620RE"/>
    <x v="1"/>
    <n v="0.5"/>
    <n v="0"/>
    <n v="1"/>
    <s v="OSM"/>
    <n v="30"/>
    <x v="7"/>
    <n v="12"/>
    <x v="11"/>
    <s v="M"/>
    <s v="BG"/>
    <x v="0"/>
    <n v="43000"/>
    <x v="27"/>
    <n v="6515.151515151515"/>
    <n v="4524.5"/>
    <n v="-1990.651515151515"/>
    <n v="0"/>
    <n v="0"/>
    <n v="20"/>
    <n v="20"/>
    <n v="3.9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135735"/>
    <n v="1290000"/>
    <n v="8.6398296145229505"/>
  </r>
  <r>
    <n v="0"/>
    <n v="0"/>
    <n v="8"/>
    <n v="8"/>
    <s v="F-CAP"/>
    <x v="23"/>
    <s v="ELH-성진-12"/>
    <s v="ELH-성진-12ELHFIF3620RE"/>
    <n v="2"/>
    <s v="ELH-성진-122"/>
    <s v="ELH-성진-122-ELHFIF3620REDOML"/>
    <s v="ELH의류외620"/>
    <s v="ELH"/>
    <s v="ELSFIF"/>
    <m/>
    <s v="ELH"/>
    <s v="ELS HATSON"/>
    <s v="F"/>
    <s v="3"/>
    <s v="FI"/>
    <s v="FITTED CAP"/>
    <s v="K"/>
    <n v="620"/>
    <n v="620"/>
    <s v="ELHFIF3620"/>
    <n v="0.25"/>
    <s v="ELSFIF0620REOML"/>
    <s v="RE"/>
    <s v="RED"/>
    <s v="ELHFIF3620RE"/>
    <x v="1"/>
    <n v="0.5"/>
    <n v="0"/>
    <n v="1"/>
    <s v="OML"/>
    <n v="50"/>
    <x v="7"/>
    <n v="12"/>
    <x v="11"/>
    <s v="M"/>
    <s v="BG"/>
    <x v="0"/>
    <n v="43000"/>
    <x v="27"/>
    <n v="6515.151515151515"/>
    <n v="4524.5"/>
    <n v="-1990.651515151515"/>
    <n v="0"/>
    <n v="0"/>
    <n v="20"/>
    <n v="20"/>
    <n v="3.9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226225"/>
    <n v="2150000"/>
    <n v="8.6398296145229505"/>
  </r>
  <r>
    <n v="0"/>
    <n v="0"/>
    <n v="8"/>
    <n v="8"/>
    <s v="F-CAP"/>
    <x v="23"/>
    <s v="ELH-성진-12"/>
    <s v="ELH-성진-12ELHFIF3620YE"/>
    <n v="3"/>
    <s v="ELH-성진-123"/>
    <s v="ELH-성진-123-ELHFIF3620YELLOWOSM"/>
    <s v="ELH의류외620"/>
    <s v="ELH"/>
    <s v="ELSFIF"/>
    <m/>
    <s v="ELH"/>
    <s v="ELS HATSON"/>
    <s v="F"/>
    <s v="3"/>
    <s v="FI"/>
    <s v="FITTED CAP"/>
    <s v="K"/>
    <n v="620"/>
    <n v="620"/>
    <s v="ELHFIF3620"/>
    <n v="0.25"/>
    <s v="ELSFIF0620YEOSM"/>
    <s v="YE"/>
    <s v="YELLOW"/>
    <s v="ELHFIF3620YE"/>
    <x v="1"/>
    <n v="1"/>
    <n v="0"/>
    <n v="1"/>
    <s v="OSM"/>
    <n v="20"/>
    <x v="7"/>
    <n v="12"/>
    <x v="11"/>
    <s v="M"/>
    <s v="BG"/>
    <x v="0"/>
    <n v="43000"/>
    <x v="27"/>
    <n v="6515.151515151515"/>
    <n v="4524.5"/>
    <n v="-1990.651515151515"/>
    <n v="0"/>
    <n v="0"/>
    <n v="20"/>
    <n v="20"/>
    <n v="3.9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20"/>
    <n v="0"/>
    <n v="0"/>
    <n v="0"/>
    <n v="0"/>
    <n v="0"/>
    <n v="20"/>
    <n v="90490"/>
    <n v="860000"/>
    <n v="8.6398296145229487"/>
  </r>
  <r>
    <n v="0"/>
    <n v="0"/>
    <n v="8"/>
    <n v="8"/>
    <s v="F-CAP"/>
    <x v="23"/>
    <s v="ELH-성진-12"/>
    <s v="ELH-성진-12ELHFIF3643PK"/>
    <n v="4"/>
    <s v="ELH-성진-124"/>
    <s v="ELH-성진-124-ELHFIF3643PINKOSM"/>
    <s v="ELH의류외643"/>
    <s v="ELH"/>
    <s v="ELSFIF"/>
    <m/>
    <s v="ELH"/>
    <s v="ELS HATSON"/>
    <s v="F"/>
    <s v="3"/>
    <s v="FI"/>
    <s v="FITTED CAP"/>
    <s v="K"/>
    <n v="643"/>
    <n v="643"/>
    <s v="ELHFIF3643"/>
    <n v="0.5"/>
    <s v="ELSFIF0643PKOSM"/>
    <s v="PK"/>
    <s v="PINK"/>
    <s v="ELHFIF3643PK"/>
    <x v="1"/>
    <n v="0.5"/>
    <n v="0"/>
    <n v="1"/>
    <s v="OSM"/>
    <n v="50"/>
    <x v="7"/>
    <n v="12"/>
    <x v="11"/>
    <s v="M"/>
    <s v="CN"/>
    <x v="0"/>
    <n v="43000"/>
    <x v="27"/>
    <n v="6515.151515151515"/>
    <n v="6755.9600000000019"/>
    <n v="240.80848484848684"/>
    <n v="0"/>
    <n v="0"/>
    <n v="20"/>
    <n v="20"/>
    <n v="5.4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337798.00000000012"/>
    <n v="2150000"/>
    <n v="5.7861368467115071"/>
  </r>
  <r>
    <n v="0"/>
    <n v="0"/>
    <n v="8"/>
    <n v="8"/>
    <s v="F-CAP"/>
    <x v="23"/>
    <s v="ELH-성진-12"/>
    <s v="ELH-성진-12ELHFIF3643PK"/>
    <n v="4"/>
    <s v="ELH-성진-124"/>
    <s v="ELH-성진-124-ELHFIF3643PINKOML"/>
    <s v="ELH의류외643"/>
    <s v="ELH"/>
    <s v="ELSFIF"/>
    <m/>
    <s v="ELH"/>
    <s v="ELS HATSON"/>
    <s v="F"/>
    <s v="3"/>
    <s v="FI"/>
    <s v="FITTED CAP"/>
    <s v="K"/>
    <n v="643"/>
    <n v="643"/>
    <s v="ELHFIF3643"/>
    <n v="0.5"/>
    <s v="ELSFIF0643PKOML"/>
    <s v="PK"/>
    <s v="PINK"/>
    <s v="ELHFIF3643PK"/>
    <x v="1"/>
    <n v="0.5"/>
    <n v="0"/>
    <n v="1"/>
    <s v="OML"/>
    <n v="30"/>
    <x v="7"/>
    <n v="12"/>
    <x v="11"/>
    <s v="M"/>
    <s v="CN"/>
    <x v="0"/>
    <n v="43000"/>
    <x v="27"/>
    <n v="6515.151515151515"/>
    <n v="6755.9600000000019"/>
    <n v="240.80848484848684"/>
    <n v="0"/>
    <n v="0"/>
    <n v="20"/>
    <n v="20"/>
    <n v="5.4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202678.80000000005"/>
    <n v="1290000"/>
    <n v="5.786136846711508"/>
  </r>
  <r>
    <n v="0"/>
    <n v="0"/>
    <n v="8"/>
    <n v="8"/>
    <s v="F-CAP"/>
    <x v="23"/>
    <s v="ELH-성진-12"/>
    <s v="ELH-성진-12ELHFIF3710GY"/>
    <n v="5"/>
    <s v="ELH-성진-125"/>
    <s v="ELH-성진-125-ELHFIF3710GREYOSM"/>
    <s v="ELH의류외710"/>
    <s v="ELH"/>
    <s v="ELSFIF"/>
    <m/>
    <s v="ELH"/>
    <s v="ELS HATSON"/>
    <s v="F"/>
    <s v="3"/>
    <s v="FI"/>
    <s v="FITTED CAP"/>
    <s v="K"/>
    <n v="710"/>
    <n v="710"/>
    <s v="ELHFIF3710"/>
    <n v="0.5"/>
    <s v="ELSFIF0710GYOSM"/>
    <s v="GY"/>
    <s v="GREY"/>
    <s v="ELHFIF3710GY"/>
    <x v="1"/>
    <n v="0.5"/>
    <n v="0"/>
    <n v="1"/>
    <s v="OSM"/>
    <n v="70"/>
    <x v="7"/>
    <n v="12"/>
    <x v="11"/>
    <s v="M"/>
    <s v="BG"/>
    <x v="0"/>
    <n v="43000"/>
    <x v="27"/>
    <n v="6515.151515151515"/>
    <n v="6199.25"/>
    <n v="-315.90151515151501"/>
    <n v="0"/>
    <n v="0"/>
    <n v="20"/>
    <n v="20"/>
    <n v="5.3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70"/>
    <n v="0"/>
    <n v="0"/>
    <n v="0"/>
    <n v="0"/>
    <n v="0"/>
    <n v="70"/>
    <n v="433947.5"/>
    <n v="3010000"/>
    <n v="6.3057481293558233"/>
  </r>
  <r>
    <n v="0"/>
    <n v="0"/>
    <n v="8"/>
    <n v="8"/>
    <s v="F-CAP"/>
    <x v="23"/>
    <s v="ELH-성진-12"/>
    <s v="ELH-성진-12ELHFIF3710GY"/>
    <n v="5"/>
    <s v="ELH-성진-125"/>
    <s v="ELH-성진-125-ELHFIF3710GREYOML"/>
    <s v="ELH의류외710"/>
    <s v="ELH"/>
    <s v="ELSFIF"/>
    <m/>
    <s v="ELH"/>
    <s v="ELS HATSON"/>
    <s v="F"/>
    <s v="3"/>
    <s v="FI"/>
    <s v="FITTED CAP"/>
    <s v="K"/>
    <n v="710"/>
    <n v="710"/>
    <s v="ELHFIF3710"/>
    <n v="0.5"/>
    <s v="ELSFIF0710GYOML"/>
    <s v="GY"/>
    <s v="GREY"/>
    <s v="ELHFIF3710GY"/>
    <x v="1"/>
    <n v="0.5"/>
    <n v="0"/>
    <n v="1"/>
    <s v="OML"/>
    <n v="50"/>
    <x v="7"/>
    <n v="12"/>
    <x v="11"/>
    <s v="M"/>
    <s v="BG"/>
    <x v="0"/>
    <n v="43000"/>
    <x v="27"/>
    <n v="6515.151515151515"/>
    <n v="6199.25"/>
    <n v="-315.90151515151501"/>
    <n v="0"/>
    <n v="0"/>
    <n v="20"/>
    <n v="20"/>
    <n v="5.3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309962.5"/>
    <n v="2150000"/>
    <n v="6.3057481293558242"/>
  </r>
  <r>
    <n v="0"/>
    <n v="0"/>
    <n v="8"/>
    <n v="8"/>
    <s v="F-CAP"/>
    <x v="23"/>
    <s v="ELH-성진-12"/>
    <s v="ELH-성진-12ELHFIF3911YE"/>
    <n v="6"/>
    <s v="ELH-성진-126"/>
    <s v="ELH-성진-126-ELHFIF3911YELLOWOSM"/>
    <s v="ELH의류외911"/>
    <s v="ELH"/>
    <s v="ELSFIF"/>
    <m/>
    <s v="ELH"/>
    <s v="ELS HATSON"/>
    <s v="F"/>
    <s v="3"/>
    <s v="FI"/>
    <s v="FITTED CAP"/>
    <s v="K"/>
    <n v="911"/>
    <n v="911"/>
    <s v="ELHFIF3911"/>
    <n v="0.5"/>
    <s v="ELSFIF0911YEOSM"/>
    <s v="YE"/>
    <s v="YELLOW"/>
    <s v="ELHFIF3911YE"/>
    <x v="1"/>
    <n v="0.5"/>
    <n v="0"/>
    <n v="1"/>
    <s v="OSM"/>
    <n v="30"/>
    <x v="7"/>
    <n v="12"/>
    <x v="11"/>
    <s v="M"/>
    <s v="BG"/>
    <x v="0"/>
    <n v="53000"/>
    <x v="27"/>
    <n v="8030.3030303030291"/>
    <n v="9144.5"/>
    <n v="1114.1969696969709"/>
    <n v="0"/>
    <n v="0"/>
    <n v="20"/>
    <n v="20"/>
    <n v="7.9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274335"/>
    <n v="1590000"/>
    <n v="5.2689396010517999"/>
  </r>
  <r>
    <n v="0"/>
    <n v="0.5"/>
    <n v="8"/>
    <n v="8"/>
    <s v="F-CAP"/>
    <x v="23"/>
    <s v="ELH-성진-12"/>
    <s v="ELH-성진-12ELHFIF3911YE"/>
    <n v="6"/>
    <s v="ELH-성진-126"/>
    <s v="ELH-성진-126-ELHFIF3911YELLOWOML"/>
    <s v="ELH의류외911"/>
    <s v="ELH"/>
    <s v="ELSFIF"/>
    <m/>
    <s v="ELH"/>
    <s v="ELS HATSON"/>
    <s v="F"/>
    <s v="3"/>
    <s v="FI"/>
    <s v="FITTED CAP"/>
    <s v="K"/>
    <n v="911"/>
    <n v="911"/>
    <s v="ELHFIF3911"/>
    <n v="0.5"/>
    <s v="ELSFIF0911YEOML"/>
    <s v="YE"/>
    <s v="YELLOW"/>
    <s v="ELHFIF3911YE"/>
    <x v="1"/>
    <n v="0.5"/>
    <n v="0"/>
    <n v="1"/>
    <s v="OML"/>
    <n v="20"/>
    <x v="7"/>
    <n v="12"/>
    <x v="11"/>
    <s v="M"/>
    <s v="BG"/>
    <x v="0"/>
    <n v="53000"/>
    <x v="27"/>
    <n v="8030.3030303030291"/>
    <n v="9144.5"/>
    <n v="1114.1969696969709"/>
    <s v=" "/>
    <n v="0"/>
    <n v="20"/>
    <n v="20"/>
    <n v="7.9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20"/>
    <n v="0"/>
    <n v="0"/>
    <n v="0"/>
    <n v="0"/>
    <n v="0"/>
    <n v="20"/>
    <n v="182890"/>
    <n v="1060000"/>
    <n v="5.268939601051799"/>
  </r>
  <r>
    <n v="0"/>
    <n v="0"/>
    <n v="8"/>
    <n v="8"/>
    <s v="F-CAP"/>
    <x v="23"/>
    <s v="ELH-성진-12"/>
    <s v="ELH-성진-12ELHFIF3922MT"/>
    <n v="7"/>
    <s v="ELH-성진-127"/>
    <s v="ELH-성진-127-ELHFIF3922MINTOSM"/>
    <s v="ELH의류외922"/>
    <s v="ELH"/>
    <s v="ELSFIF"/>
    <m/>
    <s v="ELH"/>
    <s v="ELS HATSON"/>
    <s v="F"/>
    <s v="3"/>
    <s v="FI"/>
    <s v="FITTED CAP"/>
    <s v="K"/>
    <n v="922"/>
    <n v="922"/>
    <s v="ELHFIF3922"/>
    <n v="0.5"/>
    <s v="ELSFIF0922MTOSM"/>
    <s v="MT"/>
    <s v="MINT"/>
    <s v="ELHFIF3922MT"/>
    <x v="1"/>
    <n v="0.5"/>
    <n v="0"/>
    <n v="1"/>
    <s v="OSM"/>
    <n v="30"/>
    <x v="7"/>
    <n v="12"/>
    <x v="11"/>
    <s v="M"/>
    <s v="CN"/>
    <x v="0"/>
    <n v="45000"/>
    <x v="27"/>
    <n v="6818.1818181818171"/>
    <n v="8128.1"/>
    <n v="1309.9181818181833"/>
    <n v="0"/>
    <n v="0"/>
    <n v="20"/>
    <n v="20"/>
    <n v="6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243843"/>
    <n v="1350000"/>
    <n v="5.0330447348200567"/>
  </r>
  <r>
    <n v="0"/>
    <n v="0"/>
    <n v="8"/>
    <n v="8"/>
    <s v="F-CAP"/>
    <x v="23"/>
    <s v="ELH-성진-12"/>
    <s v="ELH-성진-12ELHFIF3922MT"/>
    <n v="7"/>
    <s v="ELH-성진-127"/>
    <s v="ELH-성진-127-ELHFIF3922MINTOML"/>
    <s v="ELH의류외922"/>
    <s v="ELH"/>
    <s v="ELSFIF"/>
    <m/>
    <s v="ELH"/>
    <s v="ELS HATSON"/>
    <s v="F"/>
    <s v="3"/>
    <s v="FI"/>
    <s v="FITTED CAP"/>
    <s v="K"/>
    <n v="922"/>
    <n v="922"/>
    <s v="ELHFIF3922"/>
    <n v="0.5"/>
    <s v="ELSFIF0922MTOML"/>
    <s v="MT"/>
    <s v="MINT"/>
    <s v="ELHFIF3922MT"/>
    <x v="1"/>
    <n v="0.5"/>
    <n v="0"/>
    <n v="1"/>
    <s v="OML"/>
    <n v="20"/>
    <x v="7"/>
    <n v="12"/>
    <x v="11"/>
    <s v="M"/>
    <s v="CN"/>
    <x v="0"/>
    <n v="45000"/>
    <x v="27"/>
    <n v="6818.1818181818171"/>
    <n v="8128.1"/>
    <n v="1309.9181818181833"/>
    <n v="0"/>
    <n v="0"/>
    <n v="20"/>
    <n v="20"/>
    <n v="6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20"/>
    <n v="0"/>
    <n v="0"/>
    <n v="0"/>
    <n v="0"/>
    <n v="0"/>
    <n v="20"/>
    <n v="162562"/>
    <n v="900000"/>
    <n v="5.0330447348200575"/>
  </r>
  <r>
    <n v="0"/>
    <n v="0"/>
    <n v="8"/>
    <n v="8"/>
    <s v="F-CAP"/>
    <x v="23"/>
    <s v="ELH-성진-12"/>
    <s v="ELH-성진-12ELHFIF3923PK"/>
    <n v="8"/>
    <s v="ELH-성진-128"/>
    <s v="ELH-성진-128-ELHFIF3923PINKOSM"/>
    <s v="ELH의류외923"/>
    <s v="ELH"/>
    <s v="ELSFIF"/>
    <m/>
    <s v="ELH"/>
    <s v="ELS HATSON"/>
    <s v="F"/>
    <s v="3"/>
    <s v="FI"/>
    <s v="FITTED CAP"/>
    <s v="K"/>
    <n v="923"/>
    <n v="923"/>
    <s v="ELHFIF3923"/>
    <n v="1"/>
    <s v="ELSFIF0923PKOSM"/>
    <s v="PK"/>
    <s v="PINK"/>
    <s v="ELHFIF3923PK"/>
    <x v="1"/>
    <n v="1"/>
    <n v="0"/>
    <n v="1"/>
    <s v="OSM"/>
    <n v="20"/>
    <x v="7"/>
    <n v="12"/>
    <x v="11"/>
    <s v="M"/>
    <s v="CN"/>
    <x v="0"/>
    <n v="45000"/>
    <x v="27"/>
    <n v="6818.1818181818171"/>
    <n v="7878.6200000000008"/>
    <n v="1060.4381818181837"/>
    <n v="0"/>
    <n v="0"/>
    <n v="20"/>
    <n v="20"/>
    <n v="6.3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20"/>
    <n v="0"/>
    <n v="0"/>
    <n v="0"/>
    <n v="0"/>
    <n v="0"/>
    <n v="20"/>
    <n v="157572.40000000002"/>
    <n v="900000"/>
    <n v="5.192418330759816"/>
  </r>
  <r>
    <n v="0"/>
    <n v="0"/>
    <s v=""/>
    <s v=""/>
    <s v=""/>
    <x v="1"/>
    <s v=""/>
    <s v=""/>
    <n v="0"/>
    <s v="0"/>
    <s v="0-"/>
    <n v="0"/>
    <s v="TTL"/>
    <s v=""/>
    <s v="ELH-성진-12 TTL"/>
    <m/>
    <s v=""/>
    <s v=""/>
    <s v=""/>
    <m/>
    <s v=""/>
    <s v="K"/>
    <m/>
    <s v=""/>
    <s v=""/>
    <n v="6"/>
    <m/>
    <s v=""/>
    <m/>
    <s v=""/>
    <x v="0"/>
    <n v="8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440"/>
    <n v="0"/>
    <n v="0"/>
    <n v="0"/>
    <n v="0"/>
    <n v="0"/>
    <n v="440"/>
    <n v="2848529.2"/>
    <n v="19560000"/>
    <n v="6.2424559951213343"/>
  </r>
  <r>
    <n v="0"/>
    <n v="0.5"/>
    <n v="8"/>
    <n v="8"/>
    <s v="F-HAT"/>
    <x v="27"/>
    <s v="JIH-QF-08"/>
    <s v="JIH-QF-08JIHFIF3925NY"/>
    <n v="1"/>
    <s v="JIH-QF-081"/>
    <s v="JIH-QF-081-JIHFIF3925NAVYOSM"/>
    <s v="JIH의류외925"/>
    <s v="JIH"/>
    <s v="JILFIF"/>
    <m/>
    <s v="JIH"/>
    <s v="JIL HATSON"/>
    <s v="F"/>
    <s v="3"/>
    <s v="FI"/>
    <s v="FITTED CAP"/>
    <s v="K"/>
    <n v="925"/>
    <n v="925"/>
    <s v="JIHFIF3925"/>
    <n v="0.5"/>
    <s v="JILFIF0925NYOSM"/>
    <s v="NY"/>
    <s v="NAVY"/>
    <s v="JIHFIF3925NY"/>
    <x v="1"/>
    <n v="0.5"/>
    <n v="0"/>
    <n v="1"/>
    <s v="OSM"/>
    <n v="30"/>
    <x v="2"/>
    <n v="8"/>
    <x v="15"/>
    <s v="M"/>
    <s v="CN"/>
    <x v="0"/>
    <n v="43000"/>
    <x v="27"/>
    <n v="4343.4343434343427"/>
    <n v="3912.43"/>
    <n v="-431.0043434343429"/>
    <n v="1460"/>
    <n v="20"/>
    <s v=""/>
    <n v="1480"/>
    <n v="1.9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117372.9"/>
    <n v="1290000"/>
    <n v="9.9914654296457925"/>
  </r>
  <r>
    <n v="0"/>
    <n v="0.5"/>
    <n v="8"/>
    <n v="8"/>
    <s v="F-HAT"/>
    <x v="27"/>
    <s v="JIH-QF-08"/>
    <s v="JIH-QF-08JIHFIF3925NY"/>
    <n v="1"/>
    <s v="JIH-QF-081"/>
    <s v="JIH-QF-081-JIHFIF3925NAVYOML"/>
    <s v="JIH의류외925"/>
    <s v="JIH"/>
    <s v="JILFIF"/>
    <m/>
    <s v="JIH"/>
    <s v="JIL HATSON"/>
    <s v="F"/>
    <s v="3"/>
    <s v="FI"/>
    <s v="FITTED CAP"/>
    <s v="K"/>
    <n v="925"/>
    <n v="925"/>
    <s v="JIHFIF3925"/>
    <n v="0.5"/>
    <s v="JILFIF0925NYOML"/>
    <s v="NY"/>
    <s v="NAVY"/>
    <s v="JIHFIF3925NY"/>
    <x v="1"/>
    <n v="0.5"/>
    <n v="0"/>
    <n v="1"/>
    <s v="OML"/>
    <n v="5"/>
    <x v="2"/>
    <n v="8"/>
    <x v="15"/>
    <s v="M"/>
    <s v="CN"/>
    <x v="0"/>
    <n v="43000"/>
    <x v="27"/>
    <n v="4343.4343434343427"/>
    <n v="3912.43"/>
    <n v="-431.0043434343429"/>
    <n v="1460"/>
    <n v="20"/>
    <s v=""/>
    <n v="1480"/>
    <n v="1.9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19562.149999999998"/>
    <n v="215000"/>
    <n v="9.9914654296457943"/>
  </r>
  <r>
    <n v="0"/>
    <n v="0.5"/>
    <n v="8"/>
    <n v="8"/>
    <s v="F-HAT"/>
    <x v="27"/>
    <s v="JIH-QF-08"/>
    <s v="JIH-QF-08JIHFIF3926OR"/>
    <n v="2"/>
    <s v="JIH-QF-082"/>
    <s v="JIH-QF-082-JIHFIF3926ORANGEOSM"/>
    <s v="JIH의류외926"/>
    <s v="JIH"/>
    <s v="JILFIF"/>
    <m/>
    <s v="JIH"/>
    <s v="JIL HATSON"/>
    <s v="F"/>
    <s v="3"/>
    <s v="FI"/>
    <s v="FITTED CAP"/>
    <s v="K"/>
    <n v="926"/>
    <n v="926"/>
    <s v="JIHFIF3926"/>
    <n v="0.5"/>
    <s v="JILFIF0926OROSM"/>
    <s v="OR"/>
    <s v="ORANGE"/>
    <s v="JIHFIF3926OR"/>
    <x v="1"/>
    <n v="0.5"/>
    <n v="0"/>
    <n v="1"/>
    <s v="OSM"/>
    <n v="30"/>
    <x v="2"/>
    <n v="8"/>
    <x v="15"/>
    <s v="M"/>
    <s v="CN"/>
    <x v="0"/>
    <n v="43000"/>
    <x v="27"/>
    <n v="4343.4343434343427"/>
    <n v="3851.5400000000004"/>
    <n v="-491.89434343434232"/>
    <n v="1212"/>
    <n v="20"/>
    <s v=""/>
    <n v="1232"/>
    <n v="2.1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115546.20000000001"/>
    <n v="1290000"/>
    <n v="10.149423111511002"/>
  </r>
  <r>
    <n v="0"/>
    <n v="0.5"/>
    <n v="8"/>
    <n v="8"/>
    <s v="F-HAT"/>
    <x v="27"/>
    <s v="JIH-QF-08"/>
    <s v="JIH-QF-08JIHFIF3926OR"/>
    <n v="2"/>
    <s v="JIH-QF-082"/>
    <s v="JIH-QF-082-JIHFIF3926ORANGEOML"/>
    <s v="JIH의류외926"/>
    <s v="JIH"/>
    <s v="JILFIF"/>
    <m/>
    <s v="JIH"/>
    <s v="JIL HATSON"/>
    <s v="F"/>
    <s v="3"/>
    <s v="FI"/>
    <s v="FITTED CAP"/>
    <s v="K"/>
    <n v="926"/>
    <n v="926"/>
    <s v="JIHFIF3926"/>
    <n v="0.5"/>
    <s v="JILFIF0926OROML"/>
    <s v="OR"/>
    <s v="ORANGE"/>
    <s v="JIHFIF3926OR"/>
    <x v="1"/>
    <n v="0.5"/>
    <n v="0"/>
    <n v="1"/>
    <s v="OML"/>
    <n v="11"/>
    <x v="2"/>
    <n v="8"/>
    <x v="15"/>
    <s v="M"/>
    <s v="CN"/>
    <x v="0"/>
    <n v="43000"/>
    <x v="27"/>
    <n v="4343.4343434343427"/>
    <n v="3851.5400000000004"/>
    <n v="-491.89434343434232"/>
    <n v="1212"/>
    <n v="20"/>
    <s v=""/>
    <n v="1232"/>
    <n v="2.1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1"/>
    <n v="0"/>
    <n v="0"/>
    <n v="0"/>
    <n v="0"/>
    <n v="0"/>
    <n v="11"/>
    <n v="42366.94"/>
    <n v="473000"/>
    <n v="10.149423111511002"/>
  </r>
  <r>
    <n v="0"/>
    <n v="0"/>
    <s v=""/>
    <s v=""/>
    <s v=""/>
    <x v="1"/>
    <s v=""/>
    <s v=""/>
    <n v="0"/>
    <s v="0"/>
    <s v="0-"/>
    <n v="0"/>
    <s v="TTL"/>
    <s v=""/>
    <s v="JIH-QF-08 TTL"/>
    <m/>
    <s v=""/>
    <s v=""/>
    <s v=""/>
    <m/>
    <s v=""/>
    <s v="K"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76"/>
    <n v="0"/>
    <n v="0"/>
    <n v="0"/>
    <n v="0"/>
    <n v="0"/>
    <n v="76"/>
    <n v="294848.19"/>
    <n v="3268000"/>
    <n v="10.076063519023435"/>
  </r>
  <r>
    <n v="0"/>
    <n v="0"/>
    <n v="8"/>
    <n v="8"/>
    <s v="F-HAT"/>
    <x v="27"/>
    <s v="JIH-성진-13"/>
    <s v="JIH-성진-13JIHFIF3928WH"/>
    <n v="1"/>
    <s v="JIH-성진-131"/>
    <s v="JIH-성진-131-JIHFIF3928WHITEOSM"/>
    <s v="JIH의류외928"/>
    <s v="JIH"/>
    <s v="JILFIF"/>
    <m/>
    <s v="JIH"/>
    <s v="JIL HATSON"/>
    <s v="F"/>
    <s v="3"/>
    <s v="FI"/>
    <s v="FITTED CAP"/>
    <s v="K"/>
    <n v="928"/>
    <n v="928"/>
    <s v="JIHFIF3928"/>
    <n v="1"/>
    <s v="JILFIF0928WHOSM"/>
    <s v="WH"/>
    <s v="WHITE"/>
    <s v="JIHFIF3928WH"/>
    <x v="1"/>
    <n v="1"/>
    <n v="0"/>
    <n v="1"/>
    <s v="OSM"/>
    <n v="30"/>
    <x v="7"/>
    <n v="13"/>
    <x v="12"/>
    <s v="M"/>
    <s v="CN"/>
    <x v="0"/>
    <n v="43000"/>
    <x v="27"/>
    <n v="6515.151515151515"/>
    <n v="6194.6300000000019"/>
    <n v="-320.52151515151309"/>
    <n v="0"/>
    <n v="20"/>
    <s v=""/>
    <n v="20"/>
    <n v="4.9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185838.90000000005"/>
    <n v="1290000"/>
    <n v="6.3104510020629281"/>
  </r>
  <r>
    <n v="0"/>
    <n v="0"/>
    <n v="8"/>
    <n v="8"/>
    <s v="F-HAT"/>
    <x v="27"/>
    <s v="JIH-성진-13"/>
    <s v="JIH-성진-13JIHFIF3929YE"/>
    <n v="2"/>
    <s v="JIH-성진-132"/>
    <s v="JIH-성진-132-JIHFIF3929YELLOWOSM"/>
    <s v="JIH의류외929"/>
    <s v="JIH"/>
    <s v="JILFIF"/>
    <m/>
    <s v="JIH"/>
    <s v="JIL HATSON"/>
    <s v="F"/>
    <s v="3"/>
    <s v="FI"/>
    <s v="FITTED CAP"/>
    <s v="K"/>
    <n v="929"/>
    <n v="929"/>
    <s v="JIHFIF3929"/>
    <n v="1"/>
    <s v="JILFIF0929YEOSM"/>
    <s v="YE"/>
    <s v="YELLOW"/>
    <s v="JIHFIF3929YE"/>
    <x v="1"/>
    <n v="1"/>
    <n v="0"/>
    <n v="1"/>
    <s v="OSM"/>
    <n v="30"/>
    <x v="7"/>
    <n v="13"/>
    <x v="12"/>
    <s v="M"/>
    <s v="CN"/>
    <x v="0"/>
    <n v="43000"/>
    <x v="27"/>
    <n v="6515.151515151515"/>
    <n v="6880.7000000000007"/>
    <n v="365.54848484848571"/>
    <n v="0"/>
    <n v="20"/>
    <s v=""/>
    <n v="20"/>
    <n v="5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206421.00000000003"/>
    <n v="1290000"/>
    <n v="5.6812401486635196"/>
  </r>
  <r>
    <n v="0"/>
    <n v="0"/>
    <s v=""/>
    <s v=""/>
    <s v=""/>
    <x v="1"/>
    <s v=""/>
    <s v=""/>
    <n v="0"/>
    <s v="0"/>
    <s v="0-"/>
    <n v="0"/>
    <s v="TTL"/>
    <s v=""/>
    <s v="JIH-성진-13 TTL"/>
    <m/>
    <s v=""/>
    <s v=""/>
    <s v=""/>
    <m/>
    <s v=""/>
    <s v="K"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0"/>
    <n v="0"/>
    <n v="0"/>
    <n v="0"/>
    <n v="0"/>
    <n v="0"/>
    <n v="60"/>
    <n v="392259.90000000008"/>
    <n v="2580000"/>
    <n v="5.9793380497332116"/>
  </r>
  <r>
    <n v="0"/>
    <n v="1"/>
    <n v="8"/>
    <n v="8"/>
    <s v="F-HAT"/>
    <x v="28"/>
    <s v="JOH-동일모자-24"/>
    <s v="JOH-동일모자-24JOHBAF3901YE"/>
    <n v="1"/>
    <s v="JOH-동일모자-241"/>
    <s v="JOH-동일모자-241-JOHBAF3901YELLOWFRE"/>
    <s v="JOH의류외901"/>
    <s v="JOH"/>
    <s v="JOIBAF"/>
    <m/>
    <s v="JOH"/>
    <s v="JOI HATSON"/>
    <s v="F"/>
    <s v="3"/>
    <s v="BA"/>
    <s v="BASIC CAP"/>
    <s v="K"/>
    <n v="901"/>
    <n v="901"/>
    <s v="JOHBAF3901"/>
    <n v="1"/>
    <s v="JOIBAF0901YEFRE"/>
    <s v="YE"/>
    <s v="YELLOW"/>
    <s v="JOHBAF3901YE"/>
    <x v="1"/>
    <n v="1"/>
    <n v="0"/>
    <n v="1"/>
    <s v="FRE"/>
    <n v="50"/>
    <x v="5"/>
    <n v="24"/>
    <x v="27"/>
    <s v="M"/>
    <s v="CN"/>
    <x v="0"/>
    <n v="45000"/>
    <x v="27"/>
    <n v="6818.1818181818171"/>
    <n v="6639.4100000000008"/>
    <n v="-178.77181818181634"/>
    <n v="819"/>
    <m/>
    <n v="20"/>
    <n v="839"/>
    <n v="4.6500000000000004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331970.50000000006"/>
    <n v="2250000"/>
    <n v="6.1615551546132705"/>
  </r>
  <r>
    <n v="0"/>
    <n v="0"/>
    <s v=""/>
    <s v=""/>
    <s v=""/>
    <x v="1"/>
    <s v=""/>
    <s v=""/>
    <n v="0"/>
    <s v="0"/>
    <s v="0-"/>
    <n v="0"/>
    <s v="TTL"/>
    <s v=""/>
    <s v="JOH-동일모자-24 TTL"/>
    <m/>
    <s v=""/>
    <s v=""/>
    <s v=""/>
    <m/>
    <s v=""/>
    <s v="K"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331970.50000000006"/>
    <n v="2250000"/>
    <n v="6.1615551546132705"/>
  </r>
  <r>
    <n v="0"/>
    <n v="0"/>
    <n v="8"/>
    <n v="8"/>
    <s v="SPORTS"/>
    <x v="25"/>
    <s v="SMH-성진-14"/>
    <s v="SMH-성진-14SMHBAF3729NY"/>
    <n v="1"/>
    <s v="SMH-성진-141"/>
    <s v="SMH-성진-141-SMHBAF3729NAVYOSM"/>
    <s v="SMH의류외729"/>
    <s v="SMH"/>
    <s v="SMBBAF"/>
    <m/>
    <s v="SMH"/>
    <s v="SMB HATSON"/>
    <s v="F"/>
    <s v="3"/>
    <s v="BA"/>
    <s v="BASIC CAP"/>
    <s v="K"/>
    <n v="729"/>
    <n v="729"/>
    <s v="SMHBAF3729"/>
    <n v="1"/>
    <s v="SMBBAF0729NYOSM"/>
    <s v="NY"/>
    <s v="NAVY"/>
    <s v="SMHBAF3729NY"/>
    <x v="1"/>
    <n v="1"/>
    <n v="0"/>
    <n v="1"/>
    <s v="OSM"/>
    <n v="30"/>
    <x v="7"/>
    <n v="14"/>
    <x v="16"/>
    <s v="M"/>
    <s v="BG"/>
    <x v="0"/>
    <n v="45000"/>
    <x v="27"/>
    <n v="6818.1818181818171"/>
    <n v="6428.5000000000009"/>
    <n v="-389.6818181818162"/>
    <n v="0"/>
    <n v="980"/>
    <n v="20"/>
    <n v="1000"/>
    <n v="4.7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192855.00000000003"/>
    <n v="1350000"/>
    <n v="6.363707071492712"/>
  </r>
  <r>
    <n v="0"/>
    <n v="0"/>
    <s v=""/>
    <s v=""/>
    <s v=""/>
    <x v="1"/>
    <s v=""/>
    <s v=""/>
    <n v="0"/>
    <s v="0"/>
    <s v="0-"/>
    <n v="0"/>
    <s v="TTL"/>
    <s v=""/>
    <s v="SMH-성진-14 TTL"/>
    <m/>
    <s v=""/>
    <s v=""/>
    <m/>
    <m/>
    <s v=""/>
    <m/>
    <m/>
    <s v=""/>
    <s v=""/>
    <n v="1"/>
    <m/>
    <s v=""/>
    <m/>
    <s v=""/>
    <x v="0"/>
    <n v="1"/>
    <n v="0"/>
    <m/>
    <m/>
    <m/>
    <x v="1"/>
    <m/>
    <x v="1"/>
    <m/>
    <m/>
    <x v="1"/>
    <n v="0"/>
    <x v="1"/>
    <n v="0"/>
    <n v="0"/>
    <n v="0"/>
    <m/>
    <m/>
    <m/>
    <n v="0"/>
    <m/>
    <m/>
    <d v="1899-12-30T00:00:00"/>
    <m/>
    <d v="1899-12-30T00:00:00"/>
    <m/>
    <m/>
    <m/>
    <m/>
    <m/>
    <m/>
    <x v="3"/>
    <m/>
    <n v="30"/>
    <n v="0"/>
    <n v="0"/>
    <n v="0"/>
    <n v="0"/>
    <n v="0"/>
    <n v="30"/>
    <n v="192855.00000000003"/>
    <n v="1350000"/>
    <n v="6.363707071492712"/>
  </r>
  <r>
    <n v="0"/>
    <n v="0.5"/>
    <n v="8"/>
    <n v="8"/>
    <s v="SPORTS"/>
    <x v="25"/>
    <s v="SMH-QF-09"/>
    <s v="SMH-QF-09SMHFIF3957NY"/>
    <n v="1"/>
    <s v="SMH-QF-091"/>
    <s v="SMH-QF-091-SMHFIF3957NAVYOSM"/>
    <s v="SMH의류외957"/>
    <s v="SMH"/>
    <s v="SMBFIF"/>
    <m/>
    <s v="SMH"/>
    <s v="SMB HATSON"/>
    <s v="F"/>
    <s v="3"/>
    <s v="FI"/>
    <s v="FITTED CAP"/>
    <s v="K"/>
    <n v="957"/>
    <n v="957"/>
    <s v="SMHFIF3957"/>
    <n v="0.5"/>
    <s v="SMBFIF0957NYOSM"/>
    <s v="NY"/>
    <s v="NAVY"/>
    <s v="SMHFIF3957NY"/>
    <x v="1"/>
    <n v="0.5"/>
    <n v="0"/>
    <n v="1"/>
    <s v="OSM"/>
    <n v="30"/>
    <x v="2"/>
    <n v="9"/>
    <x v="8"/>
    <s v="M"/>
    <s v="CN"/>
    <x v="0"/>
    <n v="43000"/>
    <x v="27"/>
    <n v="4343.4343434343427"/>
    <n v="5339.9800000000014"/>
    <n v="996.54565656565865"/>
    <n v="972"/>
    <n v="980"/>
    <n v="20"/>
    <n v="1972"/>
    <n v="2.7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160199.40000000005"/>
    <n v="1290000"/>
    <n v="7.3204223781566737"/>
  </r>
  <r>
    <n v="0"/>
    <n v="0.5"/>
    <n v="8"/>
    <n v="8"/>
    <s v="SPORTS"/>
    <x v="25"/>
    <s v="SMH-QF-09"/>
    <s v="SMH-QF-09SMHFIF3957NY"/>
    <n v="1"/>
    <s v="SMH-QF-091"/>
    <s v="SMH-QF-091-SMHFIF3957NAVYOML"/>
    <s v="SMH의류외957"/>
    <s v="SMH"/>
    <s v="SMBFIF"/>
    <m/>
    <s v="SMH"/>
    <s v="SMB HATSON"/>
    <s v="F"/>
    <s v="3"/>
    <s v="FI"/>
    <s v="FITTED CAP"/>
    <s v="K"/>
    <n v="957"/>
    <n v="957"/>
    <s v="SMHFIF3957"/>
    <n v="0.5"/>
    <s v="SMBFIF0957NYOML"/>
    <s v="NY"/>
    <s v="NAVY"/>
    <s v="SMHFIF3957NY"/>
    <x v="1"/>
    <n v="0.5"/>
    <n v="0"/>
    <n v="1"/>
    <s v="OML"/>
    <n v="20"/>
    <x v="2"/>
    <n v="9"/>
    <x v="8"/>
    <s v="M"/>
    <s v="CN"/>
    <x v="0"/>
    <n v="43000"/>
    <x v="27"/>
    <n v="4343.4343434343427"/>
    <n v="5339.9800000000014"/>
    <n v="996.54565656565865"/>
    <n v="972"/>
    <n v="980"/>
    <n v="20"/>
    <n v="1972"/>
    <n v="2.7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20"/>
    <n v="0"/>
    <n v="0"/>
    <n v="0"/>
    <n v="0"/>
    <n v="0"/>
    <n v="20"/>
    <n v="106799.60000000003"/>
    <n v="860000"/>
    <n v="7.3204223781566746"/>
  </r>
  <r>
    <n v="0"/>
    <n v="1"/>
    <n v="8"/>
    <n v="8"/>
    <s v="SPORTS"/>
    <x v="25"/>
    <s v="SMH-QF-09"/>
    <s v="SMH-QF-09SMHFIF3958PK"/>
    <n v="2"/>
    <s v="SMH-QF-092"/>
    <s v="SMH-QF-092-SMHFIF3958PINKOSM"/>
    <s v="SMH의류외958"/>
    <s v="SMH"/>
    <s v="SMBFIF"/>
    <m/>
    <s v="SMH"/>
    <s v="SMB HATSON"/>
    <s v="F"/>
    <s v="3"/>
    <s v="FI"/>
    <s v="FITTED CAP"/>
    <s v="K"/>
    <n v="958"/>
    <n v="958"/>
    <s v="SMHFIF3958"/>
    <n v="1"/>
    <s v="SMBFIF0958PKOSM"/>
    <s v="PK"/>
    <s v="PINK"/>
    <s v="SMHFIF3958PK"/>
    <x v="1"/>
    <n v="1"/>
    <n v="0"/>
    <n v="1"/>
    <s v="OSM"/>
    <n v="18"/>
    <x v="2"/>
    <n v="9"/>
    <x v="8"/>
    <s v="M"/>
    <s v="CN"/>
    <x v="0"/>
    <n v="43000"/>
    <x v="27"/>
    <n v="4343.4343434343427"/>
    <n v="5509.5800000000008"/>
    <n v="1166.1456565656581"/>
    <n v="1141.5999999999999"/>
    <n v="980"/>
    <n v="20"/>
    <n v="2141.6"/>
    <n v="2.7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8"/>
    <n v="0"/>
    <n v="0"/>
    <n v="0"/>
    <n v="0"/>
    <n v="0"/>
    <n v="18"/>
    <n v="99172.440000000017"/>
    <n v="774000"/>
    <n v="7.0950796777447795"/>
  </r>
  <r>
    <n v="0"/>
    <n v="0"/>
    <s v=""/>
    <s v=""/>
    <s v=""/>
    <x v="1"/>
    <s v=""/>
    <s v=""/>
    <n v="0"/>
    <s v="0"/>
    <s v="0-"/>
    <n v="0"/>
    <s v="TTL"/>
    <s v=""/>
    <s v="SMH-QF-09 TTL"/>
    <m/>
    <s v=""/>
    <s v=""/>
    <s v=""/>
    <m/>
    <s v=""/>
    <s v="K"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8"/>
    <n v="0"/>
    <n v="0"/>
    <n v="0"/>
    <n v="0"/>
    <n v="0"/>
    <n v="68"/>
    <n v="366171.44000000012"/>
    <n v="2924000"/>
    <n v="7.2593914429312596"/>
  </r>
  <r>
    <n v="0"/>
    <n v="0.5"/>
    <n v="8"/>
    <n v="8"/>
    <s v="F-CAP"/>
    <x v="29"/>
    <s v="URH-QF-10"/>
    <s v="URH-QF-10URHFIF3909BL"/>
    <n v="1"/>
    <s v="URH-QF-101"/>
    <s v="URH-QF-101-URHFIF3909BLUEOSM"/>
    <s v="URH의류외909"/>
    <s v="URH"/>
    <s v="URBFIF"/>
    <m/>
    <s v="URH"/>
    <s v="URB HATSON"/>
    <s v="F"/>
    <s v="3"/>
    <s v="FI"/>
    <s v="FITTED CAP"/>
    <s v="K"/>
    <n v="909"/>
    <n v="909"/>
    <s v="URHFIF3909"/>
    <n v="0.5"/>
    <s v="URBFIF0909BLOSM"/>
    <s v="BL"/>
    <s v="BLUE"/>
    <s v="URHFIF3909BL"/>
    <x v="1"/>
    <n v="0.5"/>
    <n v="0"/>
    <n v="1"/>
    <s v="OSM"/>
    <n v="30"/>
    <x v="2"/>
    <n v="10"/>
    <x v="21"/>
    <s v="M"/>
    <s v="CN"/>
    <x v="0"/>
    <n v="35000"/>
    <x v="27"/>
    <n v="3535.3535353535353"/>
    <n v="4943.2000000000007"/>
    <n v="1407.8464646464654"/>
    <n v="411"/>
    <n v="770"/>
    <n v="20"/>
    <n v="1201"/>
    <n v="3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148296.00000000003"/>
    <n v="1050000"/>
    <n v="6.4367579337639205"/>
  </r>
  <r>
    <n v="0"/>
    <n v="0.5"/>
    <n v="8"/>
    <n v="8"/>
    <s v="F-CAP"/>
    <x v="29"/>
    <s v="URH-QF-10"/>
    <s v="URH-QF-10URHFIF3909BL"/>
    <n v="1"/>
    <s v="URH-QF-101"/>
    <s v="URH-QF-101-URHFIF3909BLUEOML"/>
    <s v="URH의류외909"/>
    <s v="URH"/>
    <s v="URBFIF"/>
    <m/>
    <s v="URH"/>
    <s v="URB HATSON"/>
    <s v="F"/>
    <s v="3"/>
    <s v="FI"/>
    <s v="FITTED CAP"/>
    <s v="K"/>
    <n v="909"/>
    <n v="909"/>
    <s v="URHFIF3909"/>
    <n v="0.5"/>
    <s v="URBFIF0909BLOML"/>
    <s v="BL"/>
    <s v="BLUE"/>
    <s v="URHFIF3909BL"/>
    <x v="1"/>
    <n v="0.5"/>
    <n v="0"/>
    <n v="1"/>
    <s v="OML"/>
    <n v="20"/>
    <x v="2"/>
    <n v="10"/>
    <x v="21"/>
    <s v="M"/>
    <s v="CN"/>
    <x v="0"/>
    <n v="35000"/>
    <x v="27"/>
    <n v="3535.3535353535353"/>
    <n v="4943.2000000000007"/>
    <n v="1407.8464646464654"/>
    <n v="411"/>
    <n v="770"/>
    <n v="20"/>
    <n v="1201"/>
    <n v="3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20"/>
    <n v="0"/>
    <n v="0"/>
    <n v="0"/>
    <n v="0"/>
    <n v="0"/>
    <n v="20"/>
    <n v="98864.000000000015"/>
    <n v="700000"/>
    <n v="6.4367579337639205"/>
  </r>
  <r>
    <n v="0"/>
    <n v="0"/>
    <s v=""/>
    <s v=""/>
    <s v=""/>
    <x v="1"/>
    <s v=""/>
    <s v=""/>
    <n v="0"/>
    <s v="0"/>
    <s v="0-"/>
    <n v="0"/>
    <s v="TTL"/>
    <s v=""/>
    <s v="URH-QF-10 TTL"/>
    <m/>
    <s v=""/>
    <s v=""/>
    <s v=""/>
    <m/>
    <s v=""/>
    <s v="K"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247160.00000000006"/>
    <n v="1750000"/>
    <n v="6.4367579337639205"/>
  </r>
  <r>
    <n v="0"/>
    <n v="0.5"/>
    <n v="8"/>
    <n v="8"/>
    <s v="SPORTS"/>
    <x v="26"/>
    <s v="VBH-FOREMOST-26"/>
    <s v="VBH-FOREMOST-26VBHBAF3907OR"/>
    <n v="1"/>
    <s v="VBH-FOREMOST-261"/>
    <s v="VBH-FOREMOST-261-VBHBAF3907ORANGEOSM"/>
    <s v="VBH의류외907"/>
    <s v="VBH"/>
    <s v="VBLBAF"/>
    <m/>
    <s v="VBH"/>
    <s v="VBL HATSON"/>
    <s v="F"/>
    <s v="3"/>
    <s v="BA"/>
    <s v="BASIC CAP"/>
    <s v="K"/>
    <n v="907"/>
    <n v="907"/>
    <s v="VBHBAF3907"/>
    <n v="0.5"/>
    <s v="VBLBAF0907OROSM"/>
    <s v="OR"/>
    <s v="ORANGE"/>
    <s v="VBHBAF3907OR"/>
    <x v="1"/>
    <n v="0.5"/>
    <n v="0"/>
    <n v="1"/>
    <s v="OSM"/>
    <n v="30"/>
    <x v="4"/>
    <n v="26"/>
    <x v="29"/>
    <s v="M"/>
    <s v="CN"/>
    <x v="0"/>
    <n v="43000"/>
    <x v="27"/>
    <n v="6515.151515151515"/>
    <n v="5263.35"/>
    <n v="-1251.8015151515146"/>
    <n v="863"/>
    <n v="950"/>
    <n v="20"/>
    <n v="1833"/>
    <n v="2.7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157900.5"/>
    <n v="1290000"/>
    <n v="7.4270016417128044"/>
  </r>
  <r>
    <n v="0"/>
    <n v="0.5"/>
    <n v="8"/>
    <n v="8"/>
    <s v="SPORTS"/>
    <x v="26"/>
    <s v="VBH-FOREMOST-26"/>
    <s v="VBH-FOREMOST-26VBHBAF3907OR"/>
    <n v="1"/>
    <s v="VBH-FOREMOST-261"/>
    <s v="VBH-FOREMOST-261-VBHBAF3907ORANGEOML"/>
    <s v="VBH의류외907"/>
    <s v="VBH"/>
    <s v="VBLBAF"/>
    <m/>
    <s v="VBH"/>
    <s v="VBL HATSON"/>
    <s v="F"/>
    <s v="3"/>
    <s v="BA"/>
    <s v="BASIC CAP"/>
    <s v="K"/>
    <n v="907"/>
    <n v="907"/>
    <s v="VBHBAF3907"/>
    <n v="0.5"/>
    <s v="VBLBAF0907OROML"/>
    <s v="OR"/>
    <s v="ORANGE"/>
    <s v="VBHBAF3907OR"/>
    <x v="1"/>
    <n v="0.5"/>
    <n v="0"/>
    <n v="1"/>
    <s v="OML"/>
    <n v="20"/>
    <x v="4"/>
    <n v="26"/>
    <x v="29"/>
    <s v="M"/>
    <s v="CN"/>
    <x v="0"/>
    <n v="43000"/>
    <x v="27"/>
    <n v="6515.151515151515"/>
    <n v="5263.35"/>
    <n v="-1251.8015151515146"/>
    <n v="863"/>
    <n v="950"/>
    <n v="20"/>
    <n v="1833"/>
    <n v="2.7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20"/>
    <n v="0"/>
    <n v="0"/>
    <n v="0"/>
    <n v="0"/>
    <n v="0"/>
    <n v="20"/>
    <n v="105267"/>
    <n v="860000"/>
    <n v="7.4270016417128044"/>
  </r>
  <r>
    <n v="0"/>
    <n v="0.16666666666666666"/>
    <n v="8"/>
    <n v="8"/>
    <s v="SPORTS"/>
    <x v="26"/>
    <s v="VBH-FOREMOST-26"/>
    <s v="VBH-FOREMOST-26VBHBAF3919LI"/>
    <n v="2"/>
    <s v="VBH-FOREMOST-262"/>
    <s v="VBH-FOREMOST-262-VBHBAF3919LIMEOSM"/>
    <s v="VBH의류외919"/>
    <s v="VBH"/>
    <s v="VBLBAF"/>
    <m/>
    <s v="VBH"/>
    <s v="VBL HATSON"/>
    <s v="F"/>
    <s v="3"/>
    <s v="BA"/>
    <s v="BASIC CAP"/>
    <s v="K"/>
    <n v="919"/>
    <n v="919"/>
    <s v="VBHBAF3919"/>
    <n v="0.16666666666666666"/>
    <s v="VBLBAF0919LIOSM"/>
    <s v="LI"/>
    <s v="LIME"/>
    <s v="VBHBAF3919LI"/>
    <x v="1"/>
    <n v="0.5"/>
    <n v="0"/>
    <n v="1"/>
    <s v="OSM"/>
    <n v="30"/>
    <x v="4"/>
    <n v="26"/>
    <x v="29"/>
    <s v="M"/>
    <s v="CN"/>
    <x v="0"/>
    <n v="39000"/>
    <x v="27"/>
    <n v="5909.0909090909081"/>
    <n v="4151.3500000000004"/>
    <n v="-1757.7409090909077"/>
    <n v="701"/>
    <n v="0"/>
    <n v="20"/>
    <n v="721"/>
    <n v="2.7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124540.50000000001"/>
    <n v="1170000"/>
    <n v="8.5404857346514866"/>
  </r>
  <r>
    <n v="0"/>
    <n v="0.16666666666666666"/>
    <n v="8"/>
    <n v="8"/>
    <s v="SPORTS"/>
    <x v="26"/>
    <s v="VBH-FOREMOST-26"/>
    <s v="VBH-FOREMOST-26VBHBAF3919LI"/>
    <n v="2"/>
    <s v="VBH-FOREMOST-262"/>
    <s v="VBH-FOREMOST-262-VBHBAF3919LIMEOML"/>
    <s v="VBH의류외919"/>
    <s v="VBH"/>
    <s v="VBLBAF"/>
    <m/>
    <s v="VBH"/>
    <s v="VBL HATSON"/>
    <s v="F"/>
    <s v="3"/>
    <s v="BA"/>
    <s v="BASIC CAP"/>
    <s v="K"/>
    <n v="919"/>
    <n v="919"/>
    <s v="VBHBAF3919"/>
    <n v="0.16666666666666666"/>
    <s v="VBLBAF0919LIOML"/>
    <s v="LI"/>
    <s v="LIME"/>
    <s v="VBHBAF3919LI"/>
    <x v="1"/>
    <n v="0.5"/>
    <n v="0"/>
    <n v="1"/>
    <s v="OML"/>
    <n v="20"/>
    <x v="4"/>
    <n v="26"/>
    <x v="29"/>
    <s v="M"/>
    <s v="CN"/>
    <x v="0"/>
    <n v="39000"/>
    <x v="27"/>
    <n v="5909.0909090909081"/>
    <n v="4151.3500000000004"/>
    <n v="-1757.7409090909077"/>
    <n v="701"/>
    <n v="0"/>
    <n v="20"/>
    <n v="721"/>
    <n v="2.7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20"/>
    <n v="0"/>
    <n v="0"/>
    <n v="0"/>
    <n v="0"/>
    <n v="0"/>
    <n v="20"/>
    <n v="83027"/>
    <n v="780000"/>
    <n v="8.5404857346514866"/>
  </r>
  <r>
    <n v="0"/>
    <n v="0.16666666666666666"/>
    <n v="8"/>
    <n v="8"/>
    <s v="SPORTS"/>
    <x v="26"/>
    <s v="VBH-FOREMOST-26"/>
    <s v="VBH-FOREMOST-26VBHBAF3919OR"/>
    <n v="3"/>
    <s v="VBH-FOREMOST-263"/>
    <s v="VBH-FOREMOST-263-VBHBAF3919ORANGEOSM"/>
    <s v="VBH의류외919"/>
    <s v="VBH"/>
    <s v="VBLBAF"/>
    <m/>
    <s v="VBH"/>
    <s v="VBL HATSON"/>
    <s v="F"/>
    <s v="3"/>
    <s v="BA"/>
    <s v="BASIC CAP"/>
    <s v="K"/>
    <n v="919"/>
    <n v="919"/>
    <s v="VBHBAF3919"/>
    <n v="0.16666666666666666"/>
    <s v="VBLBAF0919OROSM"/>
    <s v="OR"/>
    <s v="ORANGE"/>
    <s v="VBHBAF3919OR"/>
    <x v="1"/>
    <n v="0.5"/>
    <n v="0"/>
    <n v="1"/>
    <s v="OSM"/>
    <n v="20"/>
    <x v="4"/>
    <n v="26"/>
    <x v="29"/>
    <s v="M"/>
    <s v="CN"/>
    <x v="0"/>
    <n v="39000"/>
    <x v="27"/>
    <n v="5909.0909090909081"/>
    <n v="4151.3500000000004"/>
    <n v="-1757.7409090909077"/>
    <n v="701"/>
    <n v="0"/>
    <n v="20"/>
    <n v="721"/>
    <n v="2.7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20"/>
    <n v="0"/>
    <n v="0"/>
    <n v="0"/>
    <n v="0"/>
    <n v="0"/>
    <n v="20"/>
    <n v="83027"/>
    <n v="780000"/>
    <n v="8.5404857346514866"/>
  </r>
  <r>
    <n v="0"/>
    <n v="0.16666666666666666"/>
    <n v="8"/>
    <n v="8"/>
    <s v="SPORTS"/>
    <x v="26"/>
    <s v="VBH-FOREMOST-26"/>
    <s v="VBH-FOREMOST-26VBHBAF3919OR"/>
    <n v="3"/>
    <s v="VBH-FOREMOST-263"/>
    <s v="VBH-FOREMOST-263-VBHBAF3919ORANGEOML"/>
    <s v="VBH의류외919"/>
    <s v="VBH"/>
    <s v="VBLBAF"/>
    <m/>
    <s v="VBH"/>
    <s v="VBL HATSON"/>
    <s v="F"/>
    <s v="3"/>
    <s v="BA"/>
    <s v="BASIC CAP"/>
    <s v="K"/>
    <n v="919"/>
    <n v="919"/>
    <s v="VBHBAF3919"/>
    <n v="0.16666666666666666"/>
    <s v="VBLBAF0919OROML"/>
    <s v="OR"/>
    <s v="ORANGE"/>
    <s v="VBHBAF3919OR"/>
    <x v="1"/>
    <n v="0.5"/>
    <n v="0"/>
    <n v="1"/>
    <s v="OML"/>
    <n v="10"/>
    <x v="4"/>
    <n v="26"/>
    <x v="29"/>
    <s v="M"/>
    <s v="CN"/>
    <x v="0"/>
    <n v="39000"/>
    <x v="27"/>
    <n v="5909.0909090909081"/>
    <n v="4151.3500000000004"/>
    <n v="-1757.7409090909077"/>
    <n v="701"/>
    <n v="0"/>
    <n v="20"/>
    <n v="721"/>
    <n v="2.7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41513.5"/>
    <n v="390000"/>
    <n v="8.5404857346514866"/>
  </r>
  <r>
    <n v="0"/>
    <n v="0.16666666666666666"/>
    <n v="8"/>
    <n v="8"/>
    <s v="SPORTS"/>
    <x v="26"/>
    <s v="VBH-FOREMOST-26"/>
    <s v="VBH-FOREMOST-26VBHBAF3919PK"/>
    <n v="4"/>
    <s v="VBH-FOREMOST-264"/>
    <s v="VBH-FOREMOST-264-VBHBAF3919PINKOSM"/>
    <s v="VBH의류외919"/>
    <s v="VBH"/>
    <s v="VBLBAF"/>
    <m/>
    <s v="VBH"/>
    <s v="VBL HATSON"/>
    <s v="F"/>
    <s v="3"/>
    <s v="BA"/>
    <s v="BASIC CAP"/>
    <s v="K"/>
    <n v="919"/>
    <n v="919"/>
    <s v="VBHBAF3919"/>
    <n v="0.16666666666666666"/>
    <s v="VBLBAF0919PKOSM"/>
    <s v="PK"/>
    <s v="PINK"/>
    <s v="VBHBAF3919PK"/>
    <x v="1"/>
    <n v="0.5"/>
    <n v="0"/>
    <n v="1"/>
    <s v="OSM"/>
    <n v="20"/>
    <x v="4"/>
    <n v="26"/>
    <x v="29"/>
    <s v="M"/>
    <s v="CN"/>
    <x v="0"/>
    <n v="39000"/>
    <x v="27"/>
    <n v="5909.0909090909081"/>
    <n v="4151.3500000000004"/>
    <n v="-1757.7409090909077"/>
    <n v="701"/>
    <n v="0"/>
    <n v="20"/>
    <n v="721"/>
    <n v="2.7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20"/>
    <n v="0"/>
    <n v="0"/>
    <n v="0"/>
    <n v="0"/>
    <n v="0"/>
    <n v="20"/>
    <n v="83027"/>
    <n v="780000"/>
    <n v="8.5404857346514866"/>
  </r>
  <r>
    <n v="0"/>
    <n v="0.16666666666666666"/>
    <n v="8"/>
    <n v="8"/>
    <s v="SPORTS"/>
    <x v="26"/>
    <s v="VBH-FOREMOST-26"/>
    <s v="VBH-FOREMOST-26VBHBAF3919PK"/>
    <n v="4"/>
    <s v="VBH-FOREMOST-264"/>
    <s v="VBH-FOREMOST-264-VBHBAF3919PINKOML"/>
    <s v="VBH의류외919"/>
    <s v="VBH"/>
    <s v="VBLBAF"/>
    <m/>
    <s v="VBH"/>
    <s v="VBL HATSON"/>
    <s v="F"/>
    <s v="3"/>
    <s v="BA"/>
    <s v="BASIC CAP"/>
    <s v="K"/>
    <n v="919"/>
    <n v="919"/>
    <s v="VBHBAF3919"/>
    <n v="0.16666666666666666"/>
    <s v="VBLBAF0919PKOML"/>
    <s v="PK"/>
    <s v="PINK"/>
    <s v="VBHBAF3919PK"/>
    <x v="1"/>
    <n v="0.5"/>
    <n v="0"/>
    <n v="1"/>
    <s v="OML"/>
    <n v="10"/>
    <x v="4"/>
    <n v="26"/>
    <x v="29"/>
    <s v="M"/>
    <s v="CN"/>
    <x v="0"/>
    <n v="39000"/>
    <x v="27"/>
    <n v="5909.0909090909081"/>
    <n v="4151.3500000000004"/>
    <n v="-1757.7409090909077"/>
    <n v="701"/>
    <n v="0"/>
    <n v="20"/>
    <n v="721"/>
    <n v="2.7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41513.5"/>
    <n v="390000"/>
    <n v="8.5404857346514866"/>
  </r>
  <r>
    <n v="0"/>
    <n v="0"/>
    <s v=""/>
    <s v=""/>
    <s v=""/>
    <x v="1"/>
    <s v=""/>
    <s v=""/>
    <n v="0"/>
    <s v="0"/>
    <s v="0-"/>
    <n v="0"/>
    <s v="TTL"/>
    <s v=""/>
    <s v="VBH-FOREMOST-26 TTL"/>
    <m/>
    <s v=""/>
    <s v=""/>
    <s v=""/>
    <m/>
    <s v=""/>
    <s v="K"/>
    <m/>
    <s v=""/>
    <s v=""/>
    <n v="2.0000000000000004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60"/>
    <n v="0"/>
    <n v="0"/>
    <n v="0"/>
    <n v="0"/>
    <n v="0"/>
    <n v="160"/>
    <n v="719816"/>
    <n v="6440000"/>
    <n v="8.1333916647385642"/>
  </r>
  <r>
    <n v="0"/>
    <n v="0"/>
    <n v="8"/>
    <n v="8"/>
    <s v="전략"/>
    <x v="30"/>
    <s v="ELH-대경-05"/>
    <s v="ELH-대경-05ELHHPF4704NY"/>
    <n v="1"/>
    <s v="ELH-대경-051"/>
    <s v="ELH-대경-051-ELHHPF4704NAVYOSS"/>
    <s v="ELH의류704"/>
    <s v="ELH"/>
    <s v="ELSHPE"/>
    <m/>
    <s v="ELH"/>
    <s v="ELS HATSON"/>
    <s v="F"/>
    <n v="4"/>
    <s v="HP"/>
    <s v="HOODED JUMPER"/>
    <s v="K"/>
    <n v="704"/>
    <n v="704"/>
    <s v="ELHHPF4704"/>
    <n v="0.125"/>
    <s v="ELSHPE1704NYOSS"/>
    <s v="NY"/>
    <s v="NAVY"/>
    <s v="ELHHPF4704NY"/>
    <x v="1"/>
    <n v="0.25"/>
    <n v="0"/>
    <n v="1"/>
    <s v="OSS"/>
    <n v="100"/>
    <x v="14"/>
    <n v="5"/>
    <x v="5"/>
    <s v="M"/>
    <s v="IN"/>
    <x v="0"/>
    <n v="119000"/>
    <x v="27"/>
    <n v="24040.404040404039"/>
    <n v="21302"/>
    <n v="-2738.4040404040388"/>
    <m/>
    <n v="50"/>
    <m/>
    <n v="50"/>
    <n v="18.399999999999999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100"/>
    <n v="3"/>
    <n v="0"/>
    <n v="0"/>
    <n v="0"/>
    <n v="0"/>
    <n v="100"/>
    <n v="2130200"/>
    <n v="11900000"/>
    <n v="5.0784817473391319"/>
  </r>
  <r>
    <n v="0"/>
    <n v="0"/>
    <n v="8"/>
    <n v="8"/>
    <s v="전략"/>
    <x v="30"/>
    <s v="ELH-대경-05"/>
    <s v="ELH-대경-05ELHHPF4704NY"/>
    <n v="1"/>
    <s v="ELH-대경-051"/>
    <s v="ELH-대경-051-ELHHPF4704NAVYOMM"/>
    <s v="ELH의류704"/>
    <s v="ELH"/>
    <s v="ELSHPE"/>
    <m/>
    <s v="ELH"/>
    <s v="ELS HATSON"/>
    <s v="F"/>
    <n v="4"/>
    <s v="HP"/>
    <s v="HOODED JUMPER"/>
    <s v="K"/>
    <n v="704"/>
    <n v="704"/>
    <s v="ELHHPF4704"/>
    <n v="0.125"/>
    <s v="ELSHPE1704NYOMM"/>
    <s v="NY"/>
    <s v="NAVY"/>
    <s v="ELHHPF4704NY"/>
    <x v="1"/>
    <n v="0.25"/>
    <n v="0"/>
    <n v="1"/>
    <s v="OMM"/>
    <n v="100"/>
    <x v="14"/>
    <n v="5"/>
    <x v="5"/>
    <s v="M"/>
    <s v="IN"/>
    <x v="0"/>
    <n v="119000"/>
    <x v="27"/>
    <n v="24040.404040404039"/>
    <n v="21302"/>
    <n v="-2738.4040404040388"/>
    <m/>
    <n v="50"/>
    <m/>
    <n v="50"/>
    <n v="18.399999999999999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100"/>
    <n v="0"/>
    <n v="0"/>
    <n v="0"/>
    <n v="0"/>
    <n v="0"/>
    <n v="100"/>
    <n v="2130200"/>
    <n v="11900000"/>
    <n v="5.0784817473391319"/>
  </r>
  <r>
    <n v="0"/>
    <n v="0"/>
    <n v="8"/>
    <n v="8"/>
    <s v="전략"/>
    <x v="30"/>
    <s v="ELH-대경-05"/>
    <s v="ELH-대경-05ELHHPF4704NY"/>
    <n v="1"/>
    <s v="ELH-대경-051"/>
    <s v="ELH-대경-051-ELHHPF4704NAVYOLL"/>
    <s v="ELH의류704"/>
    <s v="ELH"/>
    <s v="ELSHPE"/>
    <m/>
    <s v="ELH"/>
    <s v="ELS HATSON"/>
    <s v="F"/>
    <n v="4"/>
    <s v="HP"/>
    <s v="HOODED JUMPER"/>
    <s v="K"/>
    <n v="704"/>
    <n v="704"/>
    <s v="ELHHPF4704"/>
    <n v="0.125"/>
    <s v="ELSHPE1704NYOLL"/>
    <s v="NY"/>
    <s v="NAVY"/>
    <s v="ELHHPF4704NY"/>
    <x v="1"/>
    <n v="0.25"/>
    <n v="0"/>
    <n v="1"/>
    <s v="OLL"/>
    <n v="100"/>
    <x v="14"/>
    <n v="5"/>
    <x v="5"/>
    <s v="M"/>
    <s v="IN"/>
    <x v="0"/>
    <n v="119000"/>
    <x v="27"/>
    <n v="24040.404040404039"/>
    <n v="21302"/>
    <n v="-2738.4040404040388"/>
    <m/>
    <n v="50"/>
    <m/>
    <n v="50"/>
    <n v="18.399999999999999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100"/>
    <n v="0"/>
    <n v="0"/>
    <n v="0"/>
    <n v="0"/>
    <n v="0"/>
    <n v="100"/>
    <n v="2130200"/>
    <n v="11900000"/>
    <n v="5.0784817473391319"/>
  </r>
  <r>
    <n v="0"/>
    <n v="0"/>
    <n v="8"/>
    <n v="8"/>
    <s v="전략"/>
    <x v="30"/>
    <s v="ELH-대경-05"/>
    <s v="ELH-대경-05ELHHPF4704NY"/>
    <n v="1"/>
    <s v="ELH-대경-051"/>
    <s v="ELH-대경-051-ELHHPF4704NAVYOXL"/>
    <s v="ELH의류704"/>
    <s v="ELH"/>
    <s v="ELSHPE"/>
    <m/>
    <s v="ELH"/>
    <s v="ELS HATSON"/>
    <s v="F"/>
    <n v="4"/>
    <s v="HP"/>
    <s v="HOODED JUMPER"/>
    <s v="K"/>
    <n v="704"/>
    <n v="704"/>
    <s v="ELHHPF4704"/>
    <n v="0.125"/>
    <s v="ELSHPE1704NYOXL"/>
    <s v="NY"/>
    <s v="NAVY"/>
    <s v="ELHHPF4704NY"/>
    <x v="1"/>
    <n v="0.25"/>
    <n v="0"/>
    <n v="1"/>
    <s v="OXL"/>
    <n v="50"/>
    <x v="14"/>
    <n v="5"/>
    <x v="5"/>
    <s v="M"/>
    <s v="IN"/>
    <x v="0"/>
    <n v="119000"/>
    <x v="27"/>
    <n v="24040.404040404039"/>
    <n v="21302"/>
    <n v="-2738.4040404040388"/>
    <m/>
    <n v="50"/>
    <m/>
    <n v="50"/>
    <n v="18.399999999999999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50"/>
    <n v="0"/>
    <n v="0"/>
    <n v="0"/>
    <n v="0"/>
    <n v="0"/>
    <n v="50"/>
    <n v="1065100"/>
    <n v="5950000"/>
    <n v="5.0784817473391319"/>
  </r>
  <r>
    <n v="0"/>
    <n v="0"/>
    <n v="8"/>
    <n v="8"/>
    <s v="전략"/>
    <x v="30"/>
    <s v="ELH-대경-05"/>
    <s v="ELH-대경-05ELHHPF4704OR"/>
    <n v="2"/>
    <s v="ELH-대경-052"/>
    <s v="ELH-대경-052-ELHHPF4704ORANGEOSS"/>
    <s v="ELH의류704"/>
    <s v="ELH"/>
    <s v="ELSHPE"/>
    <m/>
    <s v="ELH"/>
    <s v="ELS HATSON"/>
    <s v="F"/>
    <n v="4"/>
    <s v="HP"/>
    <s v="HOODED JUMPER"/>
    <s v="K"/>
    <n v="704"/>
    <n v="704"/>
    <s v="ELHHPF4704"/>
    <n v="0.125"/>
    <s v="ELSHPE1704OROSS"/>
    <s v="OR"/>
    <s v="ORANGE"/>
    <s v="ELHHPF4704OR"/>
    <x v="1"/>
    <n v="0.25"/>
    <n v="0"/>
    <n v="1"/>
    <s v="OSS"/>
    <n v="50"/>
    <x v="14"/>
    <n v="5"/>
    <x v="5"/>
    <s v="M"/>
    <s v="IN"/>
    <x v="0"/>
    <n v="119000"/>
    <x v="27"/>
    <n v="24040.404040404039"/>
    <n v="21302"/>
    <n v="-2738.4040404040388"/>
    <m/>
    <n v="50"/>
    <m/>
    <n v="50"/>
    <n v="18.399999999999999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065100"/>
    <n v="5950000"/>
    <n v="5.0784817473391319"/>
  </r>
  <r>
    <n v="0"/>
    <n v="0"/>
    <n v="8"/>
    <n v="8"/>
    <s v="전략"/>
    <x v="30"/>
    <s v="ELH-대경-05"/>
    <s v="ELH-대경-05ELHHPF4704OR"/>
    <n v="2"/>
    <s v="ELH-대경-052"/>
    <s v="ELH-대경-052-ELHHPF4704ORANGEOMM"/>
    <s v="ELH의류704"/>
    <s v="ELH"/>
    <s v="ELSHPE"/>
    <m/>
    <s v="ELH"/>
    <s v="ELS HATSON"/>
    <s v="F"/>
    <n v="4"/>
    <s v="HP"/>
    <s v="HOODED JUMPER"/>
    <s v="K"/>
    <n v="704"/>
    <n v="704"/>
    <s v="ELHHPF4704"/>
    <n v="0.125"/>
    <s v="ELSHPE1704OROMM"/>
    <s v="OR"/>
    <s v="ORANGE"/>
    <s v="ELHHPF4704OR"/>
    <x v="1"/>
    <n v="0.25"/>
    <n v="0"/>
    <n v="1"/>
    <s v="OMM"/>
    <n v="50"/>
    <x v="14"/>
    <n v="5"/>
    <x v="5"/>
    <s v="M"/>
    <s v="IN"/>
    <x v="0"/>
    <n v="119000"/>
    <x v="27"/>
    <n v="24040.404040404039"/>
    <n v="21302"/>
    <n v="-2738.4040404040388"/>
    <m/>
    <n v="50"/>
    <m/>
    <n v="50"/>
    <n v="18.399999999999999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065100"/>
    <n v="5950000"/>
    <n v="5.0784817473391319"/>
  </r>
  <r>
    <n v="0"/>
    <n v="0"/>
    <n v="8"/>
    <n v="8"/>
    <s v="전략"/>
    <x v="30"/>
    <s v="ELH-대경-05"/>
    <s v="ELH-대경-05ELHHPF4704OR"/>
    <n v="2"/>
    <s v="ELH-대경-052"/>
    <s v="ELH-대경-052-ELHHPF4704ORANGEOLL"/>
    <s v="ELH의류704"/>
    <s v="ELH"/>
    <s v="ELSHPE"/>
    <m/>
    <s v="ELH"/>
    <s v="ELS HATSON"/>
    <s v="F"/>
    <n v="4"/>
    <s v="HP"/>
    <s v="HOODED JUMPER"/>
    <s v="K"/>
    <n v="704"/>
    <n v="704"/>
    <s v="ELHHPF4704"/>
    <n v="0.125"/>
    <s v="ELSHPE1704OROLL"/>
    <s v="OR"/>
    <s v="ORANGE"/>
    <s v="ELHHPF4704OR"/>
    <x v="1"/>
    <n v="0.25"/>
    <n v="0"/>
    <n v="1"/>
    <s v="OLL"/>
    <n v="50"/>
    <x v="14"/>
    <n v="5"/>
    <x v="5"/>
    <s v="M"/>
    <s v="IN"/>
    <x v="0"/>
    <n v="119000"/>
    <x v="27"/>
    <n v="24040.404040404039"/>
    <n v="21302"/>
    <n v="-2738.4040404040388"/>
    <m/>
    <n v="50"/>
    <m/>
    <n v="50"/>
    <n v="18.399999999999999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065100"/>
    <n v="5950000"/>
    <n v="5.0784817473391319"/>
  </r>
  <r>
    <n v="0"/>
    <n v="0"/>
    <n v="8"/>
    <n v="8"/>
    <s v="전략"/>
    <x v="30"/>
    <s v="ELH-대경-05"/>
    <s v="ELH-대경-05ELHHPF4704OR"/>
    <n v="2"/>
    <s v="ELH-대경-052"/>
    <s v="ELH-대경-052-ELHHPF4704ORANGEOXL"/>
    <s v="ELH의류704"/>
    <s v="ELH"/>
    <s v="ELSHPE"/>
    <m/>
    <s v="ELH"/>
    <s v="ELS HATSON"/>
    <s v="F"/>
    <n v="4"/>
    <s v="HP"/>
    <s v="HOODED JUMPER"/>
    <s v="K"/>
    <n v="704"/>
    <n v="704"/>
    <s v="ELHHPF4704"/>
    <n v="0.125"/>
    <s v="ELSHPE1704OROXL"/>
    <s v="OR"/>
    <s v="ORANGE"/>
    <s v="ELHHPF4704OR"/>
    <x v="1"/>
    <n v="0.25"/>
    <n v="0"/>
    <n v="1"/>
    <s v="OXL"/>
    <n v="50"/>
    <x v="14"/>
    <n v="5"/>
    <x v="5"/>
    <s v="M"/>
    <s v="IN"/>
    <x v="0"/>
    <n v="119000"/>
    <x v="27"/>
    <n v="24040.404040404039"/>
    <n v="21302"/>
    <n v="-2738.4040404040388"/>
    <m/>
    <n v="50"/>
    <m/>
    <n v="50"/>
    <n v="18.399999999999999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065100"/>
    <n v="5950000"/>
    <n v="5.0784817473391319"/>
  </r>
  <r>
    <n v="0"/>
    <n v="0"/>
    <n v="8"/>
    <n v="8"/>
    <s v="전략"/>
    <x v="30"/>
    <s v="ELH-대경-05"/>
    <s v="ELH-대경-05ELHHPF4705KH"/>
    <n v="3"/>
    <s v="ELH-대경-053"/>
    <s v="ELH-대경-053-ELHHPF4705KHAKIOSS"/>
    <s v="ELH의류705"/>
    <s v="ELH"/>
    <s v="ELSHPE"/>
    <m/>
    <s v="ELH"/>
    <s v="ELS HATSON"/>
    <s v="F"/>
    <n v="4"/>
    <s v="HP"/>
    <s v="HOODED JUMPER"/>
    <s v="K"/>
    <n v="705"/>
    <n v="705"/>
    <s v="ELHHPF4705"/>
    <n v="0.25"/>
    <s v="ELSHPE1705KHOSS"/>
    <s v="KH"/>
    <s v="KHAKI"/>
    <s v="ELHHPF4705KH"/>
    <x v="1"/>
    <n v="0.25"/>
    <n v="0"/>
    <n v="1"/>
    <s v="OSS"/>
    <n v="50"/>
    <x v="14"/>
    <n v="5"/>
    <x v="5"/>
    <s v="M"/>
    <s v="IN"/>
    <x v="0"/>
    <n v="129000"/>
    <x v="27"/>
    <n v="26060.60606060606"/>
    <n v="22919.000000000004"/>
    <n v="-3141.6060606060564"/>
    <m/>
    <n v="50"/>
    <m/>
    <n v="50"/>
    <n v="19.8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145950.0000000002"/>
    <n v="6450000"/>
    <n v="5.1168343851270661"/>
  </r>
  <r>
    <n v="0"/>
    <n v="0"/>
    <n v="8"/>
    <n v="8"/>
    <s v="전략"/>
    <x v="30"/>
    <s v="ELH-대경-05"/>
    <s v="ELH-대경-05ELHHPF4705KH"/>
    <n v="3"/>
    <s v="ELH-대경-053"/>
    <s v="ELH-대경-053-ELHHPF4705KHAKIOMM"/>
    <s v="ELH의류705"/>
    <s v="ELH"/>
    <s v="ELSHPE"/>
    <m/>
    <s v="ELH"/>
    <s v="ELS HATSON"/>
    <s v="F"/>
    <n v="4"/>
    <s v="HP"/>
    <s v="HOODED JUMPER"/>
    <s v="K"/>
    <n v="705"/>
    <n v="705"/>
    <s v="ELHHPF4705"/>
    <n v="0.25"/>
    <s v="ELSHPE1705KHOMM"/>
    <s v="KH"/>
    <s v="KHAKI"/>
    <s v="ELHHPF4705KH"/>
    <x v="1"/>
    <n v="0.25"/>
    <n v="0"/>
    <n v="1"/>
    <s v="OMM"/>
    <n v="50"/>
    <x v="14"/>
    <n v="5"/>
    <x v="5"/>
    <s v="M"/>
    <s v="IN"/>
    <x v="0"/>
    <n v="129000"/>
    <x v="27"/>
    <n v="26060.60606060606"/>
    <n v="22919.000000000004"/>
    <n v="-3141.6060606060564"/>
    <m/>
    <n v="50"/>
    <m/>
    <n v="50"/>
    <n v="19.8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145950.0000000002"/>
    <n v="6450000"/>
    <n v="5.1168343851270661"/>
  </r>
  <r>
    <n v="0"/>
    <n v="0"/>
    <n v="8"/>
    <n v="8"/>
    <s v="전략"/>
    <x v="30"/>
    <s v="ELH-대경-05"/>
    <s v="ELH-대경-05ELHHPF4705KH"/>
    <n v="3"/>
    <s v="ELH-대경-053"/>
    <s v="ELH-대경-053-ELHHPF4705KHAKIOLL"/>
    <s v="ELH의류705"/>
    <s v="ELH"/>
    <s v="ELSHPE"/>
    <m/>
    <s v="ELH"/>
    <s v="ELS HATSON"/>
    <s v="F"/>
    <n v="4"/>
    <s v="HP"/>
    <s v="HOODED JUMPER"/>
    <s v="K"/>
    <n v="705"/>
    <n v="705"/>
    <s v="ELHHPF4705"/>
    <n v="0.25"/>
    <s v="ELSHPE1705KHOLL"/>
    <s v="KH"/>
    <s v="KHAKI"/>
    <s v="ELHHPF4705KH"/>
    <x v="1"/>
    <n v="0.25"/>
    <n v="0"/>
    <n v="1"/>
    <s v="OLL"/>
    <n v="50"/>
    <x v="14"/>
    <n v="5"/>
    <x v="5"/>
    <s v="M"/>
    <s v="IN"/>
    <x v="0"/>
    <n v="129000"/>
    <x v="27"/>
    <n v="26060.60606060606"/>
    <n v="22919.000000000004"/>
    <n v="-3141.6060606060564"/>
    <m/>
    <n v="50"/>
    <m/>
    <n v="50"/>
    <n v="19.8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145950.0000000002"/>
    <n v="6450000"/>
    <n v="5.1168343851270661"/>
  </r>
  <r>
    <n v="0"/>
    <n v="0"/>
    <n v="8"/>
    <n v="8"/>
    <s v="전략"/>
    <x v="30"/>
    <s v="ELH-대경-05"/>
    <s v="ELH-대경-05ELHHPF4705KH"/>
    <n v="3"/>
    <s v="ELH-대경-053"/>
    <s v="ELH-대경-053-ELHHPF4705KHAKIOXL"/>
    <s v="ELH의류705"/>
    <s v="ELH"/>
    <s v="ELSHPE"/>
    <m/>
    <s v="ELH"/>
    <s v="ELS HATSON"/>
    <s v="F"/>
    <n v="4"/>
    <s v="HP"/>
    <s v="HOODED JUMPER"/>
    <s v="K"/>
    <n v="705"/>
    <n v="705"/>
    <s v="ELHHPF4705"/>
    <n v="0.25"/>
    <s v="ELSHPE1705KHOXL"/>
    <s v="KH"/>
    <s v="KHAKI"/>
    <s v="ELHHPF4705KH"/>
    <x v="1"/>
    <n v="0.25"/>
    <n v="0"/>
    <n v="1"/>
    <s v="OXL"/>
    <n v="50"/>
    <x v="14"/>
    <n v="5"/>
    <x v="5"/>
    <s v="M"/>
    <s v="IN"/>
    <x v="0"/>
    <n v="129000"/>
    <x v="27"/>
    <n v="26060.60606060606"/>
    <n v="22919.000000000004"/>
    <n v="-3141.6060606060564"/>
    <m/>
    <n v="50"/>
    <m/>
    <n v="50"/>
    <n v="19.8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145950.0000000002"/>
    <n v="6450000"/>
    <n v="5.1168343851270661"/>
  </r>
  <r>
    <n v="0"/>
    <n v="0"/>
    <n v="8"/>
    <n v="8"/>
    <s v="전략"/>
    <x v="30"/>
    <s v="ELH-대경-05"/>
    <s v="ELH-대경-05ELHHPF4719OR"/>
    <n v="4"/>
    <s v="ELH-대경-054"/>
    <s v="ELH-대경-054-ELHHPF4719ORANGEOSS"/>
    <s v="ELH의류719"/>
    <s v="ELH"/>
    <s v="ELSHPE"/>
    <m/>
    <s v="ELH"/>
    <s v="ELS HATSON"/>
    <s v="F"/>
    <n v="4"/>
    <s v="HP"/>
    <s v="HOODED JUMPER"/>
    <s v="K"/>
    <n v="719"/>
    <n v="719"/>
    <s v="ELHHPF4719"/>
    <n v="0.25"/>
    <s v="ELSHPE1719OROSS"/>
    <s v="OR"/>
    <s v="ORANGE"/>
    <s v="ELHHPF4719OR"/>
    <x v="1"/>
    <n v="0.25"/>
    <n v="0"/>
    <n v="1"/>
    <s v="OSS"/>
    <n v="92"/>
    <x v="14"/>
    <n v="5"/>
    <x v="5"/>
    <s v="M"/>
    <s v="IN"/>
    <x v="0"/>
    <n v="119000"/>
    <x v="27"/>
    <n v="24040.404040404039"/>
    <n v="21879.5"/>
    <n v="-2160.9040404040388"/>
    <m/>
    <n v="50"/>
    <m/>
    <n v="50"/>
    <n v="18.899999999999999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92"/>
    <n v="0"/>
    <n v="0"/>
    <n v="0"/>
    <n v="0"/>
    <n v="0"/>
    <n v="92"/>
    <n v="2012914"/>
    <n v="10948000"/>
    <n v="4.9444374040457122"/>
  </r>
  <r>
    <n v="0"/>
    <n v="0"/>
    <n v="8"/>
    <n v="8"/>
    <s v="전략"/>
    <x v="30"/>
    <s v="ELH-대경-05"/>
    <s v="ELH-대경-05ELHHPF4719OR"/>
    <n v="4"/>
    <s v="ELH-대경-054"/>
    <s v="ELH-대경-054-ELHHPF4719ORANGEOMM"/>
    <s v="ELH의류719"/>
    <s v="ELH"/>
    <s v="ELSHPE"/>
    <m/>
    <s v="ELH"/>
    <s v="ELS HATSON"/>
    <s v="F"/>
    <n v="4"/>
    <s v="HP"/>
    <s v="HOODED JUMPER"/>
    <s v="K"/>
    <n v="719"/>
    <n v="719"/>
    <s v="ELHHPF4719"/>
    <n v="0.25"/>
    <s v="ELSHPE1719OROMM"/>
    <s v="OR"/>
    <s v="ORANGE"/>
    <s v="ELHHPF4719OR"/>
    <x v="1"/>
    <n v="0.25"/>
    <n v="0"/>
    <n v="1"/>
    <s v="OMM"/>
    <n v="75"/>
    <x v="14"/>
    <n v="5"/>
    <x v="5"/>
    <s v="M"/>
    <s v="IN"/>
    <x v="0"/>
    <n v="119000"/>
    <x v="27"/>
    <n v="24040.404040404039"/>
    <n v="21879.5"/>
    <n v="-2160.9040404040388"/>
    <m/>
    <n v="50"/>
    <m/>
    <n v="50"/>
    <n v="18.899999999999999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75"/>
    <n v="0"/>
    <n v="0"/>
    <n v="0"/>
    <n v="0"/>
    <n v="0"/>
    <n v="75"/>
    <n v="1640962.5"/>
    <n v="8925000"/>
    <n v="4.9444374040457122"/>
  </r>
  <r>
    <n v="0"/>
    <n v="0"/>
    <n v="8"/>
    <n v="8"/>
    <s v="전략"/>
    <x v="30"/>
    <s v="ELH-대경-05"/>
    <s v="ELH-대경-05ELHHPF4719OR"/>
    <n v="4"/>
    <s v="ELH-대경-054"/>
    <s v="ELH-대경-054-ELHHPF4719ORANGEOLL"/>
    <s v="ELH의류719"/>
    <s v="ELH"/>
    <s v="ELSHPE"/>
    <m/>
    <s v="ELH"/>
    <s v="ELS HATSON"/>
    <s v="F"/>
    <n v="4"/>
    <s v="HP"/>
    <s v="HOODED JUMPER"/>
    <s v="K"/>
    <n v="719"/>
    <n v="719"/>
    <s v="ELHHPF4719"/>
    <n v="0.25"/>
    <s v="ELSHPE1719OROLL"/>
    <s v="OR"/>
    <s v="ORANGE"/>
    <s v="ELHHPF4719OR"/>
    <x v="1"/>
    <n v="0.25"/>
    <n v="0"/>
    <n v="1"/>
    <s v="OLL"/>
    <n v="21"/>
    <x v="14"/>
    <n v="5"/>
    <x v="5"/>
    <s v="M"/>
    <s v="IN"/>
    <x v="0"/>
    <n v="119000"/>
    <x v="27"/>
    <n v="24040.404040404039"/>
    <n v="21879.5"/>
    <n v="-2160.9040404040388"/>
    <m/>
    <n v="50"/>
    <m/>
    <n v="50"/>
    <n v="18.899999999999999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21"/>
    <n v="1"/>
    <n v="0"/>
    <n v="0"/>
    <n v="0"/>
    <n v="0"/>
    <n v="21"/>
    <n v="459469.5"/>
    <n v="2499000"/>
    <n v="4.9444374040457122"/>
  </r>
  <r>
    <n v="0"/>
    <n v="0"/>
    <n v="8"/>
    <n v="8"/>
    <s v="전략"/>
    <x v="30"/>
    <s v="ELH-대경-05"/>
    <s v="ELH-대경-05ELHHPF4719OR"/>
    <n v="4"/>
    <s v="ELH-대경-054"/>
    <s v="ELH-대경-054-ELHHPF4719ORANGEOXL"/>
    <s v="ELH의류719"/>
    <s v="ELH"/>
    <s v="ELSHPE"/>
    <m/>
    <s v="ELH"/>
    <s v="ELS HATSON"/>
    <s v="F"/>
    <n v="4"/>
    <s v="HP"/>
    <s v="HOODED JUMPER"/>
    <s v="K"/>
    <n v="719"/>
    <n v="719"/>
    <s v="ELHHPF4719"/>
    <n v="0.25"/>
    <s v="ELSHPE1719OROXL"/>
    <s v="OR"/>
    <s v="ORANGE"/>
    <s v="ELHHPF4719OR"/>
    <x v="1"/>
    <n v="0.25"/>
    <n v="0"/>
    <n v="1"/>
    <s v="OXL"/>
    <n v="63"/>
    <x v="14"/>
    <n v="5"/>
    <x v="5"/>
    <s v="M"/>
    <s v="IN"/>
    <x v="0"/>
    <n v="119000"/>
    <x v="27"/>
    <n v="24040.404040404039"/>
    <n v="21879.5"/>
    <n v="-2160.9040404040388"/>
    <m/>
    <n v="50"/>
    <m/>
    <n v="50"/>
    <n v="18.899999999999999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63"/>
    <n v="0"/>
    <n v="0"/>
    <n v="0"/>
    <n v="0"/>
    <n v="0"/>
    <n v="63"/>
    <n v="1378408.5"/>
    <n v="7497000"/>
    <n v="4.9444374040457131"/>
  </r>
  <r>
    <n v="0"/>
    <n v="0"/>
    <n v="8"/>
    <n v="8"/>
    <s v="전략"/>
    <x v="30"/>
    <s v="ELH-대경-05"/>
    <s v="ELH-대경-05ELHHPF4720BL"/>
    <n v="5"/>
    <s v="ELH-대경-055"/>
    <s v="ELH-대경-055-ELHHPF4720BLUEOSS"/>
    <s v="ELH의류720"/>
    <s v="ELH"/>
    <s v="ELSHPE"/>
    <m/>
    <s v="ELH"/>
    <s v="ELS HATSON"/>
    <s v="F"/>
    <n v="4"/>
    <s v="HP"/>
    <s v="HOODED JUMPER"/>
    <s v="K"/>
    <n v="720"/>
    <n v="720"/>
    <s v="ELHHPF4720"/>
    <n v="0.25"/>
    <s v="ELSHPE1720BLOSS"/>
    <s v="BL"/>
    <s v="BLUE"/>
    <s v="ELHHPF4720BL"/>
    <x v="1"/>
    <n v="0.25"/>
    <n v="0"/>
    <n v="1"/>
    <s v="OSS"/>
    <n v="113"/>
    <x v="14"/>
    <n v="5"/>
    <x v="5"/>
    <s v="M"/>
    <s v="IN"/>
    <x v="0"/>
    <n v="119000"/>
    <x v="27"/>
    <n v="24040.404040404039"/>
    <n v="21879.5"/>
    <n v="-2160.9040404040388"/>
    <m/>
    <n v="50"/>
    <m/>
    <n v="50"/>
    <n v="18.899999999999999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113"/>
    <n v="1"/>
    <n v="0"/>
    <n v="0"/>
    <n v="0"/>
    <n v="0"/>
    <n v="113"/>
    <n v="2472383.5"/>
    <n v="13447000"/>
    <n v="4.9444374040457131"/>
  </r>
  <r>
    <n v="0"/>
    <n v="0"/>
    <n v="8"/>
    <n v="8"/>
    <s v="전략"/>
    <x v="30"/>
    <s v="ELH-대경-05"/>
    <s v="ELH-대경-05ELHHPF4720BL"/>
    <n v="5"/>
    <s v="ELH-대경-055"/>
    <s v="ELH-대경-055-ELHHPF4720BLUEOMM"/>
    <s v="ELH의류720"/>
    <s v="ELH"/>
    <s v="ELSHPE"/>
    <m/>
    <s v="ELH"/>
    <s v="ELS HATSON"/>
    <s v="F"/>
    <n v="4"/>
    <s v="HP"/>
    <s v="HOODED JUMPER"/>
    <s v="K"/>
    <n v="720"/>
    <n v="720"/>
    <s v="ELHHPF4720"/>
    <n v="0.25"/>
    <s v="ELSHPE1720BLOMM"/>
    <s v="BL"/>
    <s v="BLUE"/>
    <s v="ELHHPF4720BL"/>
    <x v="1"/>
    <n v="0.25"/>
    <n v="0"/>
    <n v="1"/>
    <s v="OMM"/>
    <n v="99"/>
    <x v="14"/>
    <n v="5"/>
    <x v="5"/>
    <s v="M"/>
    <s v="IN"/>
    <x v="0"/>
    <n v="119000"/>
    <x v="27"/>
    <n v="24040.404040404039"/>
    <n v="21879.5"/>
    <n v="-2160.9040404040388"/>
    <m/>
    <n v="50"/>
    <m/>
    <n v="50"/>
    <n v="18.899999999999999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99"/>
    <n v="0"/>
    <n v="0"/>
    <n v="0"/>
    <n v="0"/>
    <n v="0"/>
    <n v="99"/>
    <n v="2166070.5"/>
    <n v="11781000"/>
    <n v="4.9444374040457122"/>
  </r>
  <r>
    <n v="0"/>
    <n v="0"/>
    <n v="8"/>
    <n v="8"/>
    <s v="전략"/>
    <x v="30"/>
    <s v="ELH-대경-05"/>
    <s v="ELH-대경-05ELHHPF4720BL"/>
    <n v="5"/>
    <s v="ELH-대경-055"/>
    <s v="ELH-대경-055-ELHHPF4720BLUEOLL"/>
    <s v="ELH의류720"/>
    <s v="ELH"/>
    <s v="ELSHPE"/>
    <m/>
    <s v="ELH"/>
    <s v="ELS HATSON"/>
    <s v="F"/>
    <n v="4"/>
    <s v="HP"/>
    <s v="HOODED JUMPER"/>
    <s v="K"/>
    <n v="720"/>
    <n v="720"/>
    <s v="ELHHPF4720"/>
    <n v="0.25"/>
    <s v="ELSHPE1720BLOLL"/>
    <s v="BL"/>
    <s v="BLUE"/>
    <s v="ELHHPF4720BL"/>
    <x v="1"/>
    <n v="0.25"/>
    <n v="0"/>
    <n v="1"/>
    <s v="OLL"/>
    <n v="38"/>
    <x v="14"/>
    <n v="5"/>
    <x v="5"/>
    <s v="M"/>
    <s v="IN"/>
    <x v="0"/>
    <n v="119000"/>
    <x v="27"/>
    <n v="24040.404040404039"/>
    <n v="21879.5"/>
    <n v="-2160.9040404040388"/>
    <m/>
    <n v="50"/>
    <m/>
    <n v="50"/>
    <n v="18.899999999999999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38"/>
    <n v="0"/>
    <n v="0"/>
    <n v="0"/>
    <n v="0"/>
    <n v="0"/>
    <n v="38"/>
    <n v="831421"/>
    <n v="4522000"/>
    <n v="4.9444374040457131"/>
  </r>
  <r>
    <n v="0"/>
    <n v="0"/>
    <n v="8"/>
    <n v="8"/>
    <s v="전략"/>
    <x v="30"/>
    <s v="ELH-대경-05"/>
    <s v="ELH-대경-05ELHHPF4720BL"/>
    <n v="5"/>
    <s v="ELH-대경-055"/>
    <s v="ELH-대경-055-ELHHPF4720BLUEOXL"/>
    <s v="ELH의류720"/>
    <s v="ELH"/>
    <s v="ELSHPE"/>
    <m/>
    <s v="ELH"/>
    <s v="ELS HATSON"/>
    <s v="F"/>
    <n v="4"/>
    <s v="HP"/>
    <s v="HOODED JUMPER"/>
    <s v="K"/>
    <n v="720"/>
    <n v="720"/>
    <s v="ELHHPF4720"/>
    <n v="0.25"/>
    <s v="ELSHPE1720BLOXL"/>
    <s v="BL"/>
    <s v="BLUE"/>
    <s v="ELHHPF4720BL"/>
    <x v="1"/>
    <n v="0.25"/>
    <n v="0"/>
    <n v="1"/>
    <s v="OXL"/>
    <n v="68"/>
    <x v="14"/>
    <n v="5"/>
    <x v="5"/>
    <s v="M"/>
    <s v="IN"/>
    <x v="0"/>
    <n v="119000"/>
    <x v="27"/>
    <n v="24040.404040404039"/>
    <n v="21879.5"/>
    <n v="-2160.9040404040388"/>
    <m/>
    <n v="50"/>
    <m/>
    <n v="50"/>
    <n v="18.899999999999999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68"/>
    <n v="0"/>
    <n v="0"/>
    <n v="0"/>
    <n v="0"/>
    <n v="0"/>
    <n v="68"/>
    <n v="1487806"/>
    <n v="8092000"/>
    <n v="4.9444374040457131"/>
  </r>
  <r>
    <n v="0"/>
    <n v="0"/>
    <n v="8"/>
    <n v="8"/>
    <s v="전략"/>
    <x v="30"/>
    <s v="ELH-대경-05"/>
    <s v="ELH-대경-05ELHJSF4638BK"/>
    <n v="6"/>
    <s v="ELH-대경-056"/>
    <s v="ELH-대경-056-ELHJSF4638BLACKOSS"/>
    <s v="ELH의류638"/>
    <s v="ELH"/>
    <s v="ELSJSE"/>
    <m/>
    <s v="ELH"/>
    <s v="ELS HATSON"/>
    <s v="F"/>
    <n v="4"/>
    <s v="JS"/>
    <s v="JUMPSUIT"/>
    <s v="K"/>
    <n v="638"/>
    <n v="638"/>
    <s v="ELHJSF4638"/>
    <n v="0.16666666666666666"/>
    <s v="ELSJSE1638BKOSS"/>
    <s v="BK"/>
    <s v="BLACK"/>
    <s v="ELHJSF4638BK"/>
    <x v="1"/>
    <n v="0.33333333333333331"/>
    <n v="0"/>
    <n v="1"/>
    <s v="OSS"/>
    <n v="84"/>
    <x v="14"/>
    <n v="5"/>
    <x v="5"/>
    <s v="M"/>
    <s v="IN"/>
    <x v="0"/>
    <n v="139000"/>
    <x v="27"/>
    <n v="28080.808080808078"/>
    <n v="27192.5"/>
    <n v="-888.30808080807765"/>
    <m/>
    <n v="50"/>
    <m/>
    <n v="50"/>
    <n v="23.5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84"/>
    <n v="0"/>
    <n v="0"/>
    <n v="0"/>
    <n v="0"/>
    <n v="0"/>
    <n v="84"/>
    <n v="2284170"/>
    <n v="11676000"/>
    <n v="4.6470032679465429"/>
  </r>
  <r>
    <n v="0"/>
    <n v="0"/>
    <n v="8"/>
    <n v="8"/>
    <s v="전략"/>
    <x v="30"/>
    <s v="ELH-대경-05"/>
    <s v="ELH-대경-05ELHJSF4638BK"/>
    <n v="6"/>
    <s v="ELH-대경-056"/>
    <s v="ELH-대경-056-ELHJSF4638BLACKOMM"/>
    <s v="ELH의류638"/>
    <s v="ELH"/>
    <s v="ELSJSE"/>
    <m/>
    <s v="ELH"/>
    <s v="ELS HATSON"/>
    <s v="F"/>
    <n v="4"/>
    <s v="JS"/>
    <s v="JUMPSUIT"/>
    <s v="K"/>
    <n v="638"/>
    <n v="638"/>
    <s v="ELHJSF4638"/>
    <n v="0.16666666666666666"/>
    <s v="ELSJSE1638BKOMM"/>
    <s v="BK"/>
    <s v="BLACK"/>
    <s v="ELHJSF4638BK"/>
    <x v="1"/>
    <n v="0.33333333333333331"/>
    <n v="0"/>
    <n v="1"/>
    <s v="OMM"/>
    <n v="73"/>
    <x v="14"/>
    <n v="5"/>
    <x v="5"/>
    <s v="M"/>
    <s v="IN"/>
    <x v="0"/>
    <n v="139000"/>
    <x v="27"/>
    <n v="28080.808080808078"/>
    <n v="27192.5"/>
    <n v="-888.30808080807765"/>
    <m/>
    <n v="50"/>
    <m/>
    <n v="50"/>
    <n v="23.5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73"/>
    <n v="0"/>
    <n v="0"/>
    <n v="0"/>
    <n v="0"/>
    <n v="0"/>
    <n v="73"/>
    <n v="1985052.5"/>
    <n v="10147000"/>
    <n v="4.6470032679465429"/>
  </r>
  <r>
    <n v="0"/>
    <n v="0"/>
    <n v="8"/>
    <n v="8"/>
    <s v="전략"/>
    <x v="30"/>
    <s v="ELH-대경-05"/>
    <s v="ELH-대경-05ELHJSF4638BK"/>
    <n v="6"/>
    <s v="ELH-대경-056"/>
    <s v="ELH-대경-056-ELHJSF4638BLACKOLL"/>
    <s v="ELH의류638"/>
    <s v="ELH"/>
    <s v="ELSJSE"/>
    <m/>
    <s v="ELH"/>
    <s v="ELS HATSON"/>
    <s v="F"/>
    <n v="4"/>
    <s v="JS"/>
    <s v="JUMPSUIT"/>
    <s v="K"/>
    <n v="638"/>
    <n v="638"/>
    <s v="ELHJSF4638"/>
    <n v="0.16666666666666666"/>
    <s v="ELSJSE1638BKOLL"/>
    <s v="BK"/>
    <s v="BLACK"/>
    <s v="ELHJSF4638BK"/>
    <x v="1"/>
    <n v="0.33333333333333331"/>
    <n v="0"/>
    <n v="1"/>
    <s v="OLL"/>
    <n v="15"/>
    <x v="14"/>
    <n v="5"/>
    <x v="5"/>
    <s v="M"/>
    <s v="IN"/>
    <x v="0"/>
    <n v="139000"/>
    <x v="27"/>
    <n v="28080.808080808078"/>
    <n v="27192.5"/>
    <n v="-888.30808080807765"/>
    <m/>
    <n v="50"/>
    <m/>
    <n v="50"/>
    <n v="23.5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15"/>
    <n v="0"/>
    <n v="0"/>
    <n v="0"/>
    <n v="0"/>
    <n v="0"/>
    <n v="15"/>
    <n v="407887.5"/>
    <n v="2085000"/>
    <n v="4.6470032679465421"/>
  </r>
  <r>
    <n v="0"/>
    <n v="0"/>
    <n v="8"/>
    <n v="8"/>
    <s v="전략"/>
    <x v="30"/>
    <s v="ELH-대경-05"/>
    <s v="ELH-대경-05ELHJSF4638PK"/>
    <n v="7"/>
    <s v="ELH-대경-057"/>
    <s v="ELH-대경-057-ELHJSF4638PINKOSS"/>
    <s v="ELH의류638"/>
    <s v="ELH"/>
    <s v="ELSJSE"/>
    <m/>
    <s v="ELH"/>
    <s v="ELS HATSON"/>
    <s v="F"/>
    <n v="4"/>
    <s v="JS"/>
    <s v="JUMPSUIT"/>
    <s v="K"/>
    <n v="638"/>
    <n v="638"/>
    <s v="ELHJSF4638"/>
    <n v="0.16666666666666666"/>
    <s v="ELSJSE1638PKOSS"/>
    <s v="PK"/>
    <s v="PINK"/>
    <s v="ELHJSF4638PK"/>
    <x v="1"/>
    <n v="0.33333333333333331"/>
    <n v="0"/>
    <n v="1"/>
    <s v="OSS"/>
    <n v="91"/>
    <x v="14"/>
    <n v="5"/>
    <x v="5"/>
    <s v="M"/>
    <s v="IN"/>
    <x v="0"/>
    <n v="139000"/>
    <x v="27"/>
    <n v="28080.808080808078"/>
    <n v="27192.5"/>
    <n v="-888.30808080807765"/>
    <m/>
    <n v="50"/>
    <m/>
    <n v="50"/>
    <n v="23.5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91"/>
    <n v="-4"/>
    <n v="0"/>
    <n v="0"/>
    <n v="0"/>
    <n v="0"/>
    <n v="91"/>
    <n v="2474517.5"/>
    <n v="12649000"/>
    <n v="4.6470032679465429"/>
  </r>
  <r>
    <n v="0"/>
    <n v="0"/>
    <n v="8"/>
    <n v="8"/>
    <s v="전략"/>
    <x v="30"/>
    <s v="ELH-대경-05"/>
    <s v="ELH-대경-05ELHJSF4638PK"/>
    <n v="7"/>
    <s v="ELH-대경-057"/>
    <s v="ELH-대경-057-ELHJSF4638PINKOMM"/>
    <s v="ELH의류638"/>
    <s v="ELH"/>
    <s v="ELSJSE"/>
    <m/>
    <s v="ELH"/>
    <s v="ELS HATSON"/>
    <s v="F"/>
    <n v="4"/>
    <s v="JS"/>
    <s v="JUMPSUIT"/>
    <s v="K"/>
    <n v="638"/>
    <n v="638"/>
    <s v="ELHJSF4638"/>
    <n v="0.16666666666666666"/>
    <s v="ELSJSE1638PKOMM"/>
    <s v="PK"/>
    <s v="PINK"/>
    <s v="ELHJSF4638PK"/>
    <x v="1"/>
    <n v="0.33333333333333331"/>
    <n v="0"/>
    <n v="1"/>
    <s v="OMM"/>
    <n v="92"/>
    <x v="14"/>
    <n v="5"/>
    <x v="5"/>
    <s v="M"/>
    <s v="IN"/>
    <x v="0"/>
    <n v="139000"/>
    <x v="27"/>
    <n v="28080.808080808078"/>
    <n v="27192.5"/>
    <n v="-888.30808080807765"/>
    <m/>
    <n v="50"/>
    <m/>
    <n v="50"/>
    <n v="23.5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92"/>
    <n v="0"/>
    <n v="0"/>
    <n v="0"/>
    <n v="0"/>
    <n v="0"/>
    <n v="92"/>
    <n v="2501710"/>
    <n v="12788000"/>
    <n v="4.6470032679465429"/>
  </r>
  <r>
    <n v="0"/>
    <n v="0"/>
    <n v="8"/>
    <n v="8"/>
    <s v="전략"/>
    <x v="30"/>
    <s v="ELH-대경-05"/>
    <s v="ELH-대경-05ELHJSF4638PK"/>
    <n v="7"/>
    <s v="ELH-대경-057"/>
    <s v="ELH-대경-057-ELHJSF4638PINKOLL"/>
    <s v="ELH의류638"/>
    <s v="ELH"/>
    <s v="ELSJSE"/>
    <m/>
    <s v="ELH"/>
    <s v="ELS HATSON"/>
    <s v="F"/>
    <n v="4"/>
    <s v="JS"/>
    <s v="JUMPSUIT"/>
    <s v="K"/>
    <n v="638"/>
    <n v="638"/>
    <s v="ELHJSF4638"/>
    <n v="0.16666666666666666"/>
    <s v="ELSJSE1638PKOLL"/>
    <s v="PK"/>
    <s v="PINK"/>
    <s v="ELHJSF4638PK"/>
    <x v="1"/>
    <n v="0.33333333333333331"/>
    <n v="0"/>
    <n v="1"/>
    <s v="OLL"/>
    <n v="33"/>
    <x v="14"/>
    <n v="5"/>
    <x v="5"/>
    <s v="M"/>
    <s v="IN"/>
    <x v="0"/>
    <n v="139000"/>
    <x v="27"/>
    <n v="28080.808080808078"/>
    <n v="27192.5"/>
    <n v="-888.30808080807765"/>
    <m/>
    <n v="50"/>
    <m/>
    <n v="50"/>
    <n v="23.5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33"/>
    <n v="0"/>
    <n v="0"/>
    <n v="0"/>
    <n v="0"/>
    <n v="0"/>
    <n v="33"/>
    <n v="897352.5"/>
    <n v="4587000"/>
    <n v="4.6470032679465421"/>
  </r>
  <r>
    <n v="0"/>
    <n v="0"/>
    <n v="8"/>
    <n v="8"/>
    <s v="전략"/>
    <x v="30"/>
    <s v="ELH-대경-05"/>
    <s v="ELH-대경-05ELHJSF4728PK"/>
    <n v="8"/>
    <s v="ELH-대경-058"/>
    <s v="ELH-대경-058-ELHJSF4728PINKOSS"/>
    <s v="ELH의류728"/>
    <s v="ELH"/>
    <s v="ELSJSE"/>
    <m/>
    <s v="ELH"/>
    <s v="ELS HATSON"/>
    <s v="F"/>
    <n v="4"/>
    <s v="JS"/>
    <s v="JUMPSUIT"/>
    <s v="K"/>
    <n v="728"/>
    <n v="728"/>
    <s v="ELHJSF4728"/>
    <n v="0.16666666666666666"/>
    <s v="ELSJSE1728PKOSS"/>
    <s v="PK"/>
    <s v="PINK"/>
    <s v="ELHJSF4728PK"/>
    <x v="1"/>
    <n v="0.33333333333333331"/>
    <n v="0"/>
    <n v="1"/>
    <s v="OSS"/>
    <n v="85"/>
    <x v="14"/>
    <n v="5"/>
    <x v="5"/>
    <s v="M"/>
    <s v="IN"/>
    <x v="0"/>
    <n v="139000"/>
    <x v="27"/>
    <n v="28080.808080808078"/>
    <n v="27192.5"/>
    <n v="-888.30808080807765"/>
    <m/>
    <n v="50"/>
    <m/>
    <n v="50"/>
    <n v="23.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85"/>
    <n v="0"/>
    <n v="0"/>
    <n v="0"/>
    <n v="0"/>
    <n v="0"/>
    <n v="85"/>
    <n v="2311362.5"/>
    <n v="11815000"/>
    <n v="4.6470032679465429"/>
  </r>
  <r>
    <n v="0"/>
    <n v="0"/>
    <n v="8"/>
    <n v="8"/>
    <s v="전략"/>
    <x v="30"/>
    <s v="ELH-대경-05"/>
    <s v="ELH-대경-05ELHJSF4728PK"/>
    <n v="8"/>
    <s v="ELH-대경-058"/>
    <s v="ELH-대경-058-ELHJSF4728PINKOMM"/>
    <s v="ELH의류728"/>
    <s v="ELH"/>
    <s v="ELSJSE"/>
    <m/>
    <s v="ELH"/>
    <s v="ELS HATSON"/>
    <s v="F"/>
    <n v="4"/>
    <s v="JS"/>
    <s v="JUMPSUIT"/>
    <s v="K"/>
    <n v="728"/>
    <n v="728"/>
    <s v="ELHJSF4728"/>
    <n v="0.16666666666666666"/>
    <s v="ELSJSE1728PKOMM"/>
    <s v="PK"/>
    <s v="PINK"/>
    <s v="ELHJSF4728PK"/>
    <x v="1"/>
    <n v="0.33333333333333331"/>
    <n v="0"/>
    <n v="1"/>
    <s v="OMM"/>
    <n v="90"/>
    <x v="14"/>
    <n v="5"/>
    <x v="5"/>
    <s v="M"/>
    <s v="IN"/>
    <x v="0"/>
    <n v="139000"/>
    <x v="27"/>
    <n v="28080.808080808078"/>
    <n v="27192.5"/>
    <n v="-888.30808080807765"/>
    <m/>
    <n v="50"/>
    <m/>
    <n v="50"/>
    <n v="23.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90"/>
    <n v="0"/>
    <n v="0"/>
    <n v="0"/>
    <n v="0"/>
    <n v="0"/>
    <n v="90"/>
    <n v="2447325"/>
    <n v="12510000"/>
    <n v="4.6470032679465429"/>
  </r>
  <r>
    <n v="0"/>
    <n v="0"/>
    <n v="8"/>
    <n v="8"/>
    <s v="전략"/>
    <x v="30"/>
    <s v="ELH-대경-05"/>
    <s v="ELH-대경-05ELHJSF4728PK"/>
    <n v="8"/>
    <s v="ELH-대경-058"/>
    <s v="ELH-대경-058-ELHJSF4728PINKOLL"/>
    <s v="ELH의류728"/>
    <s v="ELH"/>
    <s v="ELSJSE"/>
    <m/>
    <s v="ELH"/>
    <s v="ELS HATSON"/>
    <s v="F"/>
    <n v="4"/>
    <s v="JS"/>
    <s v="JUMPSUIT"/>
    <s v="K"/>
    <n v="728"/>
    <n v="728"/>
    <s v="ELHJSF4728"/>
    <n v="0.16666666666666666"/>
    <s v="ELSJSE1728PKOLL"/>
    <s v="PK"/>
    <s v="PINK"/>
    <s v="ELHJSF4728PK"/>
    <x v="1"/>
    <n v="0.33333333333333331"/>
    <n v="0"/>
    <n v="1"/>
    <s v="OLL"/>
    <n v="71"/>
    <x v="14"/>
    <n v="5"/>
    <x v="5"/>
    <s v="M"/>
    <s v="IN"/>
    <x v="0"/>
    <n v="139000"/>
    <x v="27"/>
    <n v="28080.808080808078"/>
    <n v="27192.5"/>
    <n v="-888.30808080807765"/>
    <m/>
    <n v="50"/>
    <m/>
    <n v="50"/>
    <n v="23.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71"/>
    <n v="0"/>
    <n v="0"/>
    <n v="0"/>
    <n v="0"/>
    <n v="0"/>
    <n v="71"/>
    <n v="1930667.5"/>
    <n v="9869000"/>
    <n v="4.6470032679465429"/>
  </r>
  <r>
    <n v="0"/>
    <n v="0"/>
    <n v="8"/>
    <n v="8"/>
    <s v="전략"/>
    <x v="30"/>
    <s v="ELH-대경-05"/>
    <s v="ELH-대경-05ELHJSF4728YE"/>
    <n v="9"/>
    <s v="ELH-대경-059"/>
    <s v="ELH-대경-059-ELHJSF4728YELLOWOSS"/>
    <s v="ELH의류728"/>
    <s v="ELH"/>
    <s v="ELSJSE"/>
    <m/>
    <s v="ELH"/>
    <s v="ELS HATSON"/>
    <s v="F"/>
    <n v="4"/>
    <s v="JS"/>
    <s v="JUMPSUIT"/>
    <s v="K"/>
    <n v="728"/>
    <n v="728"/>
    <s v="ELHJSF4728"/>
    <n v="0.16666666666666666"/>
    <s v="ELSJSE1728YEOSS"/>
    <s v="YE"/>
    <s v="YELLOW"/>
    <s v="ELHJSF4728YE"/>
    <x v="1"/>
    <n v="0.33333333333333331"/>
    <n v="0"/>
    <n v="1"/>
    <s v="OSS"/>
    <n v="89"/>
    <x v="14"/>
    <n v="5"/>
    <x v="5"/>
    <s v="M"/>
    <s v="IN"/>
    <x v="0"/>
    <n v="139000"/>
    <x v="27"/>
    <n v="28080.808080808078"/>
    <n v="27192.5"/>
    <n v="-888.30808080807765"/>
    <m/>
    <n v="50"/>
    <m/>
    <n v="50"/>
    <n v="23.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89"/>
    <n v="0"/>
    <n v="0"/>
    <n v="0"/>
    <n v="0"/>
    <n v="0"/>
    <n v="89"/>
    <n v="2420132.5"/>
    <n v="12371000"/>
    <n v="4.6470032679465429"/>
  </r>
  <r>
    <n v="0"/>
    <n v="0"/>
    <n v="8"/>
    <n v="8"/>
    <s v="전략"/>
    <x v="30"/>
    <s v="ELH-대경-05"/>
    <s v="ELH-대경-05ELHJSF4728YE"/>
    <n v="9"/>
    <s v="ELH-대경-059"/>
    <s v="ELH-대경-059-ELHJSF4728YELLOWOMM"/>
    <s v="ELH의류728"/>
    <s v="ELH"/>
    <s v="ELSJSE"/>
    <m/>
    <s v="ELH"/>
    <s v="ELS HATSON"/>
    <s v="F"/>
    <n v="4"/>
    <s v="JS"/>
    <s v="JUMPSUIT"/>
    <s v="K"/>
    <n v="728"/>
    <n v="728"/>
    <s v="ELHJSF4728"/>
    <n v="0.16666666666666666"/>
    <s v="ELSJSE1728YEOMM"/>
    <s v="YE"/>
    <s v="YELLOW"/>
    <s v="ELHJSF4728YE"/>
    <x v="1"/>
    <n v="0.33333333333333331"/>
    <n v="0"/>
    <n v="1"/>
    <s v="OMM"/>
    <n v="121"/>
    <x v="14"/>
    <n v="5"/>
    <x v="5"/>
    <s v="M"/>
    <s v="IN"/>
    <x v="0"/>
    <n v="139000"/>
    <x v="27"/>
    <n v="28080.808080808078"/>
    <n v="27192.5"/>
    <n v="-888.30808080807765"/>
    <m/>
    <n v="50"/>
    <m/>
    <n v="50"/>
    <n v="23.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21"/>
    <n v="0"/>
    <n v="0"/>
    <n v="0"/>
    <n v="0"/>
    <n v="0"/>
    <n v="121"/>
    <n v="3290292.5"/>
    <n v="16819000"/>
    <n v="4.6470032679465421"/>
  </r>
  <r>
    <n v="0"/>
    <n v="0"/>
    <n v="8"/>
    <n v="8"/>
    <s v="전략"/>
    <x v="30"/>
    <s v="ELH-대경-05"/>
    <s v="ELH-대경-05ELHJSF4728YE"/>
    <n v="9"/>
    <s v="ELH-대경-059"/>
    <s v="ELH-대경-059-ELHJSF4728YELLOWOLL"/>
    <s v="ELH의류728"/>
    <s v="ELH"/>
    <s v="ELSJSE"/>
    <m/>
    <s v="ELH"/>
    <s v="ELS HATSON"/>
    <s v="F"/>
    <n v="4"/>
    <s v="JS"/>
    <s v="JUMPSUIT"/>
    <s v="K"/>
    <n v="728"/>
    <n v="728"/>
    <s v="ELHJSF4728"/>
    <n v="0.16666666666666666"/>
    <s v="ELSJSE1728YEOLL"/>
    <s v="YE"/>
    <s v="YELLOW"/>
    <s v="ELHJSF4728YE"/>
    <x v="1"/>
    <n v="0.33333333333333331"/>
    <n v="0"/>
    <n v="1"/>
    <s v="OLL"/>
    <n v="90"/>
    <x v="14"/>
    <n v="5"/>
    <x v="5"/>
    <s v="M"/>
    <s v="IN"/>
    <x v="0"/>
    <n v="139000"/>
    <x v="27"/>
    <n v="28080.808080808078"/>
    <n v="27192.5"/>
    <n v="-888.30808080807765"/>
    <m/>
    <n v="50"/>
    <m/>
    <n v="50"/>
    <n v="23.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90"/>
    <n v="0"/>
    <n v="0"/>
    <n v="0"/>
    <n v="0"/>
    <n v="0"/>
    <n v="90"/>
    <n v="2447325"/>
    <n v="12510000"/>
    <n v="4.6470032679465429"/>
  </r>
  <r>
    <n v="0"/>
    <n v="0"/>
    <n v="8"/>
    <n v="8"/>
    <s v="전략"/>
    <x v="30"/>
    <s v="ELH-대경-05"/>
    <s v="ELH-대경-05ELHPTF4729KH"/>
    <n v="10"/>
    <s v="ELH-대경-0510"/>
    <s v="ELH-대경-0510-ELHPTF4729KHAKIOSS"/>
    <s v="ELH의류729"/>
    <s v="ELH"/>
    <s v="ELSPTE"/>
    <m/>
    <s v="ELH"/>
    <s v="ELS HATSON"/>
    <s v="F"/>
    <n v="4"/>
    <s v="PT"/>
    <s v="PANTS"/>
    <s v="K"/>
    <n v="729"/>
    <n v="729"/>
    <s v="ELHPTF4729"/>
    <n v="0.25"/>
    <s v="ELSPTE1729KHOSS"/>
    <s v="KH"/>
    <s v="KHAKI"/>
    <s v="ELHPTF4729KH"/>
    <x v="1"/>
    <n v="0.25"/>
    <n v="0"/>
    <n v="1"/>
    <s v="OSS"/>
    <n v="109"/>
    <x v="14"/>
    <n v="5"/>
    <x v="5"/>
    <s v="M"/>
    <s v="IN"/>
    <x v="0"/>
    <n v="69000"/>
    <x v="27"/>
    <n v="13939.393939393938"/>
    <n v="13563.5"/>
    <n v="-375.89393939393813"/>
    <m/>
    <n v="50"/>
    <m/>
    <n v="50"/>
    <n v="11.7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9"/>
    <n v="0"/>
    <n v="0"/>
    <n v="0"/>
    <n v="0"/>
    <n v="0"/>
    <n v="109"/>
    <n v="1478421.5"/>
    <n v="7521000"/>
    <n v="4.6247113744441126"/>
  </r>
  <r>
    <n v="0"/>
    <n v="0"/>
    <n v="8"/>
    <n v="8"/>
    <s v="전략"/>
    <x v="30"/>
    <s v="ELH-대경-05"/>
    <s v="ELH-대경-05ELHPTF4729KH"/>
    <n v="10"/>
    <s v="ELH-대경-0510"/>
    <s v="ELH-대경-0510-ELHPTF4729KHAKIOMM"/>
    <s v="ELH의류729"/>
    <s v="ELH"/>
    <s v="ELSPTE"/>
    <m/>
    <s v="ELH"/>
    <s v="ELS HATSON"/>
    <s v="F"/>
    <n v="4"/>
    <s v="PT"/>
    <s v="PANTS"/>
    <s v="K"/>
    <n v="729"/>
    <n v="729"/>
    <s v="ELHPTF4729"/>
    <n v="0.25"/>
    <s v="ELSPTE1729KHOMM"/>
    <s v="KH"/>
    <s v="KHAKI"/>
    <s v="ELHPTF4729KH"/>
    <x v="1"/>
    <n v="0.25"/>
    <n v="0"/>
    <n v="1"/>
    <s v="OMM"/>
    <n v="26"/>
    <x v="14"/>
    <n v="5"/>
    <x v="5"/>
    <s v="M"/>
    <s v="IN"/>
    <x v="0"/>
    <n v="69000"/>
    <x v="27"/>
    <n v="13939.393939393938"/>
    <n v="13563.5"/>
    <n v="-375.89393939393813"/>
    <m/>
    <n v="50"/>
    <m/>
    <n v="50"/>
    <n v="11.7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26"/>
    <n v="0"/>
    <n v="0"/>
    <n v="0"/>
    <n v="0"/>
    <n v="0"/>
    <n v="26"/>
    <n v="352651"/>
    <n v="1794000"/>
    <n v="4.6247113744441126"/>
  </r>
  <r>
    <n v="0"/>
    <n v="0"/>
    <n v="8"/>
    <n v="8"/>
    <s v="전략"/>
    <x v="30"/>
    <s v="ELH-대경-05"/>
    <s v="ELH-대경-05ELHPTF4729KH"/>
    <n v="10"/>
    <s v="ELH-대경-0510"/>
    <s v="ELH-대경-0510-ELHPTF4729KHAKIOLL"/>
    <s v="ELH의류729"/>
    <s v="ELH"/>
    <s v="ELSPTE"/>
    <m/>
    <s v="ELH"/>
    <s v="ELS HATSON"/>
    <s v="F"/>
    <n v="4"/>
    <s v="PT"/>
    <s v="PANTS"/>
    <s v="K"/>
    <n v="729"/>
    <n v="729"/>
    <s v="ELHPTF4729"/>
    <n v="0.25"/>
    <s v="ELSPTE1729KHOLL"/>
    <s v="KH"/>
    <s v="KHAKI"/>
    <s v="ELHPTF4729KH"/>
    <x v="1"/>
    <n v="0.25"/>
    <n v="0"/>
    <n v="1"/>
    <s v="OLL"/>
    <n v="20"/>
    <x v="14"/>
    <n v="5"/>
    <x v="5"/>
    <s v="M"/>
    <s v="IN"/>
    <x v="0"/>
    <n v="69000"/>
    <x v="27"/>
    <n v="13939.393939393938"/>
    <n v="13563.5"/>
    <n v="-375.89393939393813"/>
    <m/>
    <n v="50"/>
    <m/>
    <n v="50"/>
    <n v="11.7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20"/>
    <n v="0"/>
    <n v="0"/>
    <n v="0"/>
    <n v="0"/>
    <n v="0"/>
    <n v="20"/>
    <n v="271270"/>
    <n v="1380000"/>
    <n v="4.6247113744441126"/>
  </r>
  <r>
    <n v="0"/>
    <n v="0"/>
    <n v="8"/>
    <n v="8"/>
    <s v="전략"/>
    <x v="30"/>
    <s v="ELH-대경-05"/>
    <s v="ELH-대경-05ELHPTF4729KH"/>
    <n v="10"/>
    <s v="ELH-대경-0510"/>
    <s v="ELH-대경-0510-ELHPTF4729KHAKIOXL"/>
    <s v="ELH의류729"/>
    <s v="ELH"/>
    <s v="ELSPTE"/>
    <m/>
    <s v="ELH"/>
    <s v="ELS HATSON"/>
    <s v="F"/>
    <n v="4"/>
    <s v="PT"/>
    <s v="PANTS"/>
    <s v="K"/>
    <n v="729"/>
    <n v="729"/>
    <s v="ELHPTF4729"/>
    <n v="0.25"/>
    <s v="ELSPTE1729KHOXL"/>
    <s v="KH"/>
    <s v="KHAKI"/>
    <s v="ELHPTF4729KH"/>
    <x v="1"/>
    <n v="0.25"/>
    <n v="0"/>
    <n v="1"/>
    <s v="OXL"/>
    <n v="5"/>
    <x v="14"/>
    <n v="5"/>
    <x v="5"/>
    <s v="M"/>
    <s v="IN"/>
    <x v="0"/>
    <n v="69000"/>
    <x v="27"/>
    <n v="13939.393939393938"/>
    <n v="13563.5"/>
    <n v="-375.89393939393813"/>
    <m/>
    <n v="50"/>
    <m/>
    <n v="50"/>
    <n v="11.7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67817.5"/>
    <n v="345000"/>
    <n v="4.6247113744441126"/>
  </r>
  <r>
    <n v="0"/>
    <n v="0"/>
    <n v="8"/>
    <n v="8"/>
    <s v="전략"/>
    <x v="30"/>
    <s v="ELH-대경-05"/>
    <s v="ELH-대경-05ELHTHF4701PK"/>
    <n v="11"/>
    <s v="ELH-대경-0511"/>
    <s v="ELH-대경-0511-ELHTHF4701PINKOSS"/>
    <s v="ELH의류701"/>
    <s v="ELH"/>
    <s v="ELSTHE"/>
    <m/>
    <s v="ELH"/>
    <s v="ELS HATSON"/>
    <s v="F"/>
    <n v="4"/>
    <s v="TH"/>
    <s v="HOODED T-SHIRTS"/>
    <s v="K"/>
    <n v="701"/>
    <n v="701"/>
    <s v="ELHTHF4701"/>
    <n v="0.33333333333333331"/>
    <s v="ELSTHE1701PKOSS"/>
    <s v="PK"/>
    <s v="PINK"/>
    <s v="ELHTHF4701PK"/>
    <x v="1"/>
    <n v="0.33333333333333331"/>
    <n v="0"/>
    <n v="1"/>
    <s v="OSS"/>
    <n v="100"/>
    <x v="14"/>
    <n v="5"/>
    <x v="5"/>
    <s v="M"/>
    <s v="IN"/>
    <x v="0"/>
    <n v="89000"/>
    <x v="27"/>
    <n v="17979.797979797979"/>
    <n v="18934.250000000004"/>
    <n v="954.45202020202487"/>
    <m/>
    <n v="50"/>
    <m/>
    <n v="50"/>
    <n v="16.350000000000001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893425.0000000005"/>
    <n v="8900000"/>
    <n v="4.2731605904163557"/>
  </r>
  <r>
    <n v="0"/>
    <n v="0"/>
    <n v="8"/>
    <n v="8"/>
    <s v="전략"/>
    <x v="30"/>
    <s v="ELH-대경-05"/>
    <s v="ELH-대경-05ELHTHF4701PK"/>
    <n v="11"/>
    <s v="ELH-대경-0511"/>
    <s v="ELH-대경-0511-ELHTHF4701PINKOMM"/>
    <s v="ELH의류701"/>
    <s v="ELH"/>
    <s v="ELSTHE"/>
    <m/>
    <s v="ELH"/>
    <s v="ELS HATSON"/>
    <s v="F"/>
    <n v="4"/>
    <s v="TH"/>
    <s v="HOODED T-SHIRTS"/>
    <s v="K"/>
    <n v="701"/>
    <n v="701"/>
    <s v="ELHTHF4701"/>
    <n v="0.33333333333333331"/>
    <s v="ELSTHE1701PKOMM"/>
    <s v="PK"/>
    <s v="PINK"/>
    <s v="ELHTHF4701PK"/>
    <x v="1"/>
    <n v="0.33333333333333331"/>
    <n v="0"/>
    <n v="1"/>
    <s v="OMM"/>
    <n v="100"/>
    <x v="14"/>
    <n v="5"/>
    <x v="5"/>
    <s v="M"/>
    <s v="IN"/>
    <x v="0"/>
    <n v="89000"/>
    <x v="27"/>
    <n v="17979.797979797979"/>
    <n v="18934.250000000004"/>
    <n v="954.45202020202487"/>
    <m/>
    <n v="50"/>
    <m/>
    <n v="50"/>
    <n v="16.350000000000001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893425.0000000005"/>
    <n v="8900000"/>
    <n v="4.2731605904163557"/>
  </r>
  <r>
    <n v="0"/>
    <n v="0"/>
    <n v="8"/>
    <n v="8"/>
    <s v="전략"/>
    <x v="30"/>
    <s v="ELH-대경-05"/>
    <s v="ELH-대경-05ELHTHF4701PK"/>
    <n v="11"/>
    <s v="ELH-대경-0511"/>
    <s v="ELH-대경-0511-ELHTHF4701PINKOLL"/>
    <s v="ELH의류701"/>
    <s v="ELH"/>
    <s v="ELSTHE"/>
    <m/>
    <s v="ELH"/>
    <s v="ELS HATSON"/>
    <s v="F"/>
    <n v="4"/>
    <s v="TH"/>
    <s v="HOODED T-SHIRTS"/>
    <s v="K"/>
    <n v="701"/>
    <n v="701"/>
    <s v="ELHTHF4701"/>
    <n v="0.33333333333333331"/>
    <s v="ELSTHE1701PKOLL"/>
    <s v="PK"/>
    <s v="PINK"/>
    <s v="ELHTHF4701PK"/>
    <x v="1"/>
    <n v="0.33333333333333331"/>
    <n v="0"/>
    <n v="1"/>
    <s v="OLL"/>
    <n v="50"/>
    <x v="14"/>
    <n v="5"/>
    <x v="5"/>
    <s v="M"/>
    <s v="IN"/>
    <x v="0"/>
    <n v="89000"/>
    <x v="27"/>
    <n v="17979.797979797979"/>
    <n v="18934.250000000004"/>
    <n v="954.45202020202487"/>
    <m/>
    <n v="50"/>
    <m/>
    <n v="50"/>
    <n v="16.350000000000001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946712.50000000023"/>
    <n v="4450000"/>
    <n v="4.2731605904163557"/>
  </r>
  <r>
    <n v="0"/>
    <n v="0"/>
    <n v="8"/>
    <n v="8"/>
    <s v="전략"/>
    <x v="30"/>
    <s v="ELH-대경-05"/>
    <s v="ELH-대경-05ELHTHF4702PK"/>
    <n v="12"/>
    <s v="ELH-대경-0512"/>
    <s v="ELH-대경-0512-ELHTHF4702PINKOSS"/>
    <s v="ELH의류702"/>
    <s v="ELH"/>
    <s v="ELSTHE"/>
    <m/>
    <s v="ELH"/>
    <s v="ELS HATSON"/>
    <s v="F"/>
    <n v="4"/>
    <s v="TH"/>
    <s v="HOODED T-SHIRTS"/>
    <s v="K"/>
    <n v="702"/>
    <n v="702"/>
    <s v="ELHTHF4702"/>
    <n v="0.33333333333333331"/>
    <s v="ELSTHE1702PKOSS"/>
    <s v="PK"/>
    <s v="PINK"/>
    <s v="ELHTHF4702PK"/>
    <x v="1"/>
    <n v="0.33333333333333331"/>
    <n v="0"/>
    <n v="1"/>
    <s v="OSS"/>
    <n v="151"/>
    <x v="14"/>
    <n v="5"/>
    <x v="5"/>
    <s v="M"/>
    <s v="IN"/>
    <x v="0"/>
    <n v="89000"/>
    <x v="27"/>
    <n v="17979.797979797979"/>
    <n v="17375"/>
    <n v="-604.79797979797877"/>
    <m/>
    <n v="50"/>
    <m/>
    <n v="50"/>
    <n v="15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151"/>
    <n v="1"/>
    <n v="0"/>
    <n v="0"/>
    <n v="0"/>
    <n v="0"/>
    <n v="151"/>
    <n v="2623625"/>
    <n v="13439000"/>
    <n v="4.6566383257030735"/>
  </r>
  <r>
    <n v="0"/>
    <n v="0"/>
    <n v="8"/>
    <n v="8"/>
    <s v="전략"/>
    <x v="30"/>
    <s v="ELH-대경-05"/>
    <s v="ELH-대경-05ELHTHF4702PK"/>
    <n v="12"/>
    <s v="ELH-대경-0512"/>
    <s v="ELH-대경-0512-ELHTHF4702PINKOMM"/>
    <s v="ELH의류702"/>
    <s v="ELH"/>
    <s v="ELSTHE"/>
    <m/>
    <s v="ELH"/>
    <s v="ELS HATSON"/>
    <s v="F"/>
    <n v="4"/>
    <s v="TH"/>
    <s v="HOODED T-SHIRTS"/>
    <s v="K"/>
    <n v="702"/>
    <n v="702"/>
    <s v="ELHTHF4702"/>
    <n v="0.33333333333333331"/>
    <s v="ELSTHE1702PKOMM"/>
    <s v="PK"/>
    <s v="PINK"/>
    <s v="ELHTHF4702PK"/>
    <x v="1"/>
    <n v="0.33333333333333331"/>
    <n v="0"/>
    <n v="1"/>
    <s v="OMM"/>
    <n v="35"/>
    <x v="14"/>
    <n v="5"/>
    <x v="5"/>
    <s v="M"/>
    <s v="IN"/>
    <x v="0"/>
    <n v="89000"/>
    <x v="27"/>
    <n v="17979.797979797979"/>
    <n v="17375"/>
    <n v="-604.79797979797877"/>
    <m/>
    <n v="50"/>
    <m/>
    <n v="50"/>
    <n v="15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35"/>
    <n v="0"/>
    <n v="0"/>
    <n v="0"/>
    <n v="0"/>
    <n v="0"/>
    <n v="35"/>
    <n v="608125"/>
    <n v="3115000"/>
    <n v="4.6566383257030743"/>
  </r>
  <r>
    <n v="0"/>
    <n v="0"/>
    <n v="8"/>
    <n v="8"/>
    <s v="전략"/>
    <x v="30"/>
    <s v="ELH-대경-05"/>
    <s v="ELH-대경-05ELHTHF4702PK"/>
    <n v="12"/>
    <s v="ELH-대경-0512"/>
    <s v="ELH-대경-0512-ELHTHF4702PINKOLL"/>
    <s v="ELH의류702"/>
    <s v="ELH"/>
    <s v="ELSTHE"/>
    <m/>
    <s v="ELH"/>
    <s v="ELS HATSON"/>
    <s v="F"/>
    <n v="4"/>
    <s v="TH"/>
    <s v="HOODED T-SHIRTS"/>
    <s v="K"/>
    <n v="702"/>
    <n v="702"/>
    <s v="ELHTHF4702"/>
    <n v="0.33333333333333331"/>
    <s v="ELSTHE1702PKOLL"/>
    <s v="PK"/>
    <s v="PINK"/>
    <s v="ELHTHF4702PK"/>
    <x v="1"/>
    <n v="0.33333333333333331"/>
    <n v="0"/>
    <n v="1"/>
    <s v="OLL"/>
    <n v="7"/>
    <x v="14"/>
    <n v="5"/>
    <x v="5"/>
    <s v="M"/>
    <s v="IN"/>
    <x v="0"/>
    <n v="89000"/>
    <x v="27"/>
    <n v="17979.797979797979"/>
    <n v="17375"/>
    <n v="-604.79797979797877"/>
    <m/>
    <n v="50"/>
    <m/>
    <n v="50"/>
    <n v="15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7"/>
    <n v="0"/>
    <n v="0"/>
    <n v="0"/>
    <n v="0"/>
    <n v="0"/>
    <n v="7"/>
    <n v="121625"/>
    <n v="623000"/>
    <n v="4.6566383257030743"/>
  </r>
  <r>
    <n v="0"/>
    <n v="0"/>
    <n v="8"/>
    <n v="8"/>
    <s v="전략"/>
    <x v="30"/>
    <s v="ELH-대경-05"/>
    <s v="ELH-대경-05ELHTHF4703BL"/>
    <n v="13"/>
    <s v="ELH-대경-0513"/>
    <s v="ELH-대경-0513-ELHTHF4703BLUEOSS"/>
    <s v="ELH의류703"/>
    <s v="ELH"/>
    <s v="ELSTHE"/>
    <m/>
    <s v="ELH"/>
    <s v="ELS HATSON"/>
    <s v="F"/>
    <n v="4"/>
    <s v="TH"/>
    <s v="HOODED T-SHIRTS"/>
    <s v="K"/>
    <n v="703"/>
    <n v="703"/>
    <s v="ELHTHF4703"/>
    <n v="0.25"/>
    <s v="ELSTHE1703BLOSS"/>
    <s v="BL"/>
    <s v="BLUE"/>
    <s v="ELHTHF4703BL"/>
    <x v="1"/>
    <n v="0.25"/>
    <n v="0"/>
    <n v="1"/>
    <s v="OSS"/>
    <n v="139"/>
    <x v="14"/>
    <n v="5"/>
    <x v="5"/>
    <s v="M"/>
    <s v="IN"/>
    <x v="0"/>
    <n v="89000"/>
    <x v="27"/>
    <n v="17979.797979797979"/>
    <n v="17952.500000000004"/>
    <n v="-27.297979797975131"/>
    <m/>
    <n v="50"/>
    <m/>
    <n v="50"/>
    <n v="15.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39"/>
    <n v="0"/>
    <n v="0"/>
    <n v="0"/>
    <n v="0"/>
    <n v="0"/>
    <n v="139"/>
    <n v="2495397.5000000005"/>
    <n v="12371000"/>
    <n v="4.5068425516831017"/>
  </r>
  <r>
    <n v="0"/>
    <n v="0"/>
    <n v="8"/>
    <n v="8"/>
    <s v="전략"/>
    <x v="30"/>
    <s v="ELH-대경-05"/>
    <s v="ELH-대경-05ELHTHF4703BL"/>
    <n v="13"/>
    <s v="ELH-대경-0513"/>
    <s v="ELH-대경-0513-ELHTHF4703BLUEOMM"/>
    <s v="ELH의류703"/>
    <s v="ELH"/>
    <s v="ELSTHE"/>
    <m/>
    <s v="ELH"/>
    <s v="ELS HATSON"/>
    <s v="F"/>
    <n v="4"/>
    <s v="TH"/>
    <s v="HOODED T-SHIRTS"/>
    <s v="K"/>
    <n v="703"/>
    <n v="703"/>
    <s v="ELHTHF4703"/>
    <n v="0.25"/>
    <s v="ELSTHE1703BLOMM"/>
    <s v="BL"/>
    <s v="BLUE"/>
    <s v="ELHTHF4703BL"/>
    <x v="1"/>
    <n v="0.25"/>
    <n v="0"/>
    <n v="1"/>
    <s v="OMM"/>
    <n v="97"/>
    <x v="14"/>
    <n v="5"/>
    <x v="5"/>
    <s v="M"/>
    <s v="IN"/>
    <x v="0"/>
    <n v="89000"/>
    <x v="27"/>
    <n v="17979.797979797979"/>
    <n v="17952.500000000004"/>
    <n v="-27.297979797975131"/>
    <m/>
    <n v="50"/>
    <m/>
    <n v="50"/>
    <n v="15.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97"/>
    <n v="0"/>
    <n v="0"/>
    <n v="0"/>
    <n v="0"/>
    <n v="0"/>
    <n v="97"/>
    <n v="1741392.5000000005"/>
    <n v="8633000"/>
    <n v="4.5068425516831017"/>
  </r>
  <r>
    <n v="0"/>
    <n v="0"/>
    <n v="8"/>
    <n v="8"/>
    <s v="전략"/>
    <x v="30"/>
    <s v="ELH-대경-05"/>
    <s v="ELH-대경-05ELHTHF4703BL"/>
    <n v="13"/>
    <s v="ELH-대경-0513"/>
    <s v="ELH-대경-0513-ELHTHF4703BLUEOLL"/>
    <s v="ELH의류703"/>
    <s v="ELH"/>
    <s v="ELSTHE"/>
    <m/>
    <s v="ELH"/>
    <s v="ELS HATSON"/>
    <s v="F"/>
    <n v="4"/>
    <s v="TH"/>
    <s v="HOODED T-SHIRTS"/>
    <s v="K"/>
    <n v="703"/>
    <n v="703"/>
    <s v="ELHTHF4703"/>
    <n v="0.25"/>
    <s v="ELSTHE1703BLOLL"/>
    <s v="BL"/>
    <s v="BLUE"/>
    <s v="ELHTHF4703BL"/>
    <x v="1"/>
    <n v="0.25"/>
    <n v="0"/>
    <n v="1"/>
    <s v="OLL"/>
    <n v="15"/>
    <x v="14"/>
    <n v="5"/>
    <x v="5"/>
    <s v="M"/>
    <s v="IN"/>
    <x v="0"/>
    <n v="89000"/>
    <x v="27"/>
    <n v="17979.797979797979"/>
    <n v="17952.500000000004"/>
    <n v="-27.297979797975131"/>
    <m/>
    <n v="50"/>
    <m/>
    <n v="50"/>
    <n v="15.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5"/>
    <n v="0"/>
    <n v="0"/>
    <n v="0"/>
    <n v="0"/>
    <n v="0"/>
    <n v="15"/>
    <n v="269287.50000000006"/>
    <n v="1335000"/>
    <n v="4.5068425516831017"/>
  </r>
  <r>
    <n v="0"/>
    <n v="0"/>
    <n v="8"/>
    <n v="8"/>
    <s v="전략"/>
    <x v="30"/>
    <s v="ELH-대경-05"/>
    <s v="ELH-대경-05ELHTHF4703BL"/>
    <n v="13"/>
    <s v="ELH-대경-0513"/>
    <s v="ELH-대경-0513-ELHTHF4703BLUEOXL"/>
    <s v="ELH의류703"/>
    <s v="ELH"/>
    <s v="ELSTHE"/>
    <m/>
    <s v="ELH"/>
    <s v="ELS HATSON"/>
    <s v="F"/>
    <n v="4"/>
    <s v="TH"/>
    <s v="HOODED T-SHIRTS"/>
    <s v="K"/>
    <n v="703"/>
    <n v="703"/>
    <s v="ELHTHF4703"/>
    <n v="0.25"/>
    <s v="ELSTHE1703BLOXL"/>
    <s v="BL"/>
    <s v="BLUE"/>
    <s v="ELHTHF4703BL"/>
    <x v="1"/>
    <n v="0.25"/>
    <n v="0"/>
    <n v="1"/>
    <s v="OXL"/>
    <n v="44"/>
    <x v="14"/>
    <n v="5"/>
    <x v="5"/>
    <s v="M"/>
    <s v="IN"/>
    <x v="0"/>
    <n v="89000"/>
    <x v="27"/>
    <n v="17979.797979797979"/>
    <n v="17952.500000000004"/>
    <n v="-27.297979797975131"/>
    <m/>
    <n v="50"/>
    <m/>
    <n v="50"/>
    <n v="15.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44"/>
    <n v="0"/>
    <n v="0"/>
    <n v="0"/>
    <n v="0"/>
    <n v="0"/>
    <n v="44"/>
    <n v="789910.00000000012"/>
    <n v="3916000"/>
    <n v="4.5068425516831017"/>
  </r>
  <r>
    <n v="0"/>
    <n v="0"/>
    <n v="8"/>
    <n v="8"/>
    <s v="전략"/>
    <x v="30"/>
    <s v="ELH-대경-05"/>
    <s v="ELH-대경-05ELHTHF4721BK"/>
    <n v="14"/>
    <s v="ELH-대경-0514"/>
    <s v="ELH-대경-0514-ELHTHF4721BLACKOSS"/>
    <s v="ELH의류721"/>
    <s v="ELH"/>
    <s v="ELSTHE"/>
    <m/>
    <s v="ELH"/>
    <s v="ELS HATSON"/>
    <s v="F"/>
    <n v="4"/>
    <s v="TH"/>
    <s v="HOODED T-SHIRTS"/>
    <s v="K"/>
    <n v="721"/>
    <n v="721"/>
    <s v="ELHTHF4721"/>
    <n v="0.25"/>
    <s v="ELSTHE1721BKOSS"/>
    <s v="BK"/>
    <s v="BLACK"/>
    <s v="ELHTHF4721BK"/>
    <x v="1"/>
    <n v="0.25"/>
    <n v="0"/>
    <n v="1"/>
    <s v="OSS"/>
    <n v="149"/>
    <x v="14"/>
    <n v="5"/>
    <x v="5"/>
    <s v="M"/>
    <s v="IN"/>
    <x v="0"/>
    <n v="89000"/>
    <x v="27"/>
    <n v="17979.797979797979"/>
    <n v="20262.5"/>
    <n v="2282.7020202020212"/>
    <m/>
    <n v="50"/>
    <m/>
    <n v="50"/>
    <n v="17.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49"/>
    <n v="0"/>
    <n v="0"/>
    <n v="0"/>
    <n v="0"/>
    <n v="0"/>
    <n v="149"/>
    <n v="3019112.5"/>
    <n v="13261000"/>
    <n v="3.9930458190791311"/>
  </r>
  <r>
    <n v="0"/>
    <n v="0"/>
    <n v="8"/>
    <n v="8"/>
    <s v="전략"/>
    <x v="30"/>
    <s v="ELH-대경-05"/>
    <s v="ELH-대경-05ELHTHF4721BK"/>
    <n v="14"/>
    <s v="ELH-대경-0514"/>
    <s v="ELH-대경-0514-ELHTHF4721BLACKOMM"/>
    <s v="ELH의류721"/>
    <s v="ELH"/>
    <s v="ELSTHE"/>
    <m/>
    <s v="ELH"/>
    <s v="ELS HATSON"/>
    <s v="F"/>
    <n v="4"/>
    <s v="TH"/>
    <s v="HOODED T-SHIRTS"/>
    <s v="K"/>
    <n v="721"/>
    <n v="721"/>
    <s v="ELHTHF4721"/>
    <n v="0.25"/>
    <s v="ELSTHE1721BKOMM"/>
    <s v="BK"/>
    <s v="BLACK"/>
    <s v="ELHTHF4721BK"/>
    <x v="1"/>
    <n v="0.25"/>
    <n v="0"/>
    <n v="1"/>
    <s v="OMM"/>
    <n v="93"/>
    <x v="14"/>
    <n v="5"/>
    <x v="5"/>
    <s v="M"/>
    <s v="IN"/>
    <x v="0"/>
    <n v="89000"/>
    <x v="27"/>
    <n v="17979.797979797979"/>
    <n v="20262.5"/>
    <n v="2282.7020202020212"/>
    <m/>
    <n v="50"/>
    <m/>
    <n v="50"/>
    <n v="17.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93"/>
    <n v="0"/>
    <n v="0"/>
    <n v="0"/>
    <n v="0"/>
    <n v="0"/>
    <n v="93"/>
    <n v="1884412.5"/>
    <n v="8277000"/>
    <n v="3.9930458190791316"/>
  </r>
  <r>
    <n v="0"/>
    <n v="0"/>
    <n v="8"/>
    <n v="8"/>
    <s v="전략"/>
    <x v="30"/>
    <s v="ELH-대경-05"/>
    <s v="ELH-대경-05ELHTHF4721BK"/>
    <n v="14"/>
    <s v="ELH-대경-0514"/>
    <s v="ELH-대경-0514-ELHTHF4721BLACKOLL"/>
    <s v="ELH의류721"/>
    <s v="ELH"/>
    <s v="ELSTHE"/>
    <m/>
    <s v="ELH"/>
    <s v="ELS HATSON"/>
    <s v="F"/>
    <n v="4"/>
    <s v="TH"/>
    <s v="HOODED T-SHIRTS"/>
    <s v="K"/>
    <n v="721"/>
    <n v="721"/>
    <s v="ELHTHF4721"/>
    <n v="0.25"/>
    <s v="ELSTHE1721BKOLL"/>
    <s v="BK"/>
    <s v="BLACK"/>
    <s v="ELHTHF4721BK"/>
    <x v="1"/>
    <n v="0.25"/>
    <n v="0"/>
    <n v="1"/>
    <s v="OLL"/>
    <n v="18"/>
    <x v="14"/>
    <n v="5"/>
    <x v="5"/>
    <s v="M"/>
    <s v="IN"/>
    <x v="0"/>
    <n v="89000"/>
    <x v="27"/>
    <n v="17979.797979797979"/>
    <n v="20262.5"/>
    <n v="2282.7020202020212"/>
    <m/>
    <n v="50"/>
    <m/>
    <n v="50"/>
    <n v="17.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8"/>
    <n v="0"/>
    <n v="0"/>
    <n v="0"/>
    <n v="0"/>
    <n v="0"/>
    <n v="18"/>
    <n v="364725"/>
    <n v="1602000"/>
    <n v="3.9930458190791311"/>
  </r>
  <r>
    <n v="0"/>
    <n v="0"/>
    <n v="8"/>
    <n v="8"/>
    <s v="전략"/>
    <x v="30"/>
    <s v="ELH-대경-05"/>
    <s v="ELH-대경-05ELHTHF4721BK"/>
    <n v="14"/>
    <s v="ELH-대경-0514"/>
    <s v="ELH-대경-0514-ELHTHF4721BLACKOXL"/>
    <s v="ELH의류721"/>
    <s v="ELH"/>
    <s v="ELSTHE"/>
    <m/>
    <s v="ELH"/>
    <s v="ELS HATSON"/>
    <s v="F"/>
    <n v="4"/>
    <s v="TH"/>
    <s v="HOODED T-SHIRTS"/>
    <s v="K"/>
    <n v="721"/>
    <n v="721"/>
    <s v="ELHTHF4721"/>
    <n v="0.25"/>
    <s v="ELSTHE1721BKOXL"/>
    <s v="BK"/>
    <s v="BLACK"/>
    <s v="ELHTHF4721BK"/>
    <x v="1"/>
    <n v="0.25"/>
    <n v="0"/>
    <n v="1"/>
    <s v="OXL"/>
    <n v="61"/>
    <x v="14"/>
    <n v="5"/>
    <x v="5"/>
    <s v="M"/>
    <s v="IN"/>
    <x v="0"/>
    <n v="89000"/>
    <x v="27"/>
    <n v="17979.797979797979"/>
    <n v="20262.5"/>
    <n v="2282.7020202020212"/>
    <m/>
    <n v="50"/>
    <m/>
    <n v="50"/>
    <n v="17.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61"/>
    <n v="0"/>
    <n v="0"/>
    <n v="0"/>
    <n v="0"/>
    <n v="0"/>
    <n v="61"/>
    <n v="1236012.5"/>
    <n v="5429000"/>
    <n v="3.993045819079132"/>
  </r>
  <r>
    <n v="0"/>
    <n v="0"/>
    <n v="8"/>
    <n v="8"/>
    <s v="전략"/>
    <x v="30"/>
    <s v="ELH-대경-05"/>
    <s v="ELH-대경-05ELHTHF4725GY"/>
    <n v="15"/>
    <s v="ELH-대경-0515"/>
    <s v="ELH-대경-0515-ELHTHF4725GREYOSS"/>
    <s v="ELH의류725"/>
    <s v="ELH"/>
    <s v="ELSTHE"/>
    <m/>
    <s v="ELH"/>
    <s v="ELS HATSON"/>
    <s v="F"/>
    <n v="4"/>
    <s v="TH"/>
    <s v="HOODED T-SHIRTS"/>
    <s v="K"/>
    <n v="725"/>
    <n v="725"/>
    <s v="ELHTHF4725"/>
    <n v="9.0909090909090912E-2"/>
    <s v="ELSTHE1725GYOSS"/>
    <s v="GY"/>
    <s v="GREY"/>
    <s v="ELHTHF4725GY"/>
    <x v="1"/>
    <n v="0.25"/>
    <n v="0"/>
    <n v="1"/>
    <s v="OSS"/>
    <n v="149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49"/>
    <n v="0"/>
    <n v="0"/>
    <n v="0"/>
    <n v="0"/>
    <n v="0"/>
    <n v="149"/>
    <n v="2408175.2499999995"/>
    <n v="11771000"/>
    <n v="4.4435757285143973"/>
  </r>
  <r>
    <n v="0"/>
    <n v="0"/>
    <n v="8"/>
    <n v="8"/>
    <s v="전략"/>
    <x v="30"/>
    <s v="ELH-대경-05"/>
    <s v="ELH-대경-05ELHTHF4725GY"/>
    <n v="15"/>
    <s v="ELH-대경-0515"/>
    <s v="ELH-대경-0515-ELHTHF4725GREYOMM"/>
    <s v="ELH의류725"/>
    <s v="ELH"/>
    <s v="ELSTHE"/>
    <m/>
    <s v="ELH"/>
    <s v="ELS HATSON"/>
    <s v="F"/>
    <n v="4"/>
    <s v="TH"/>
    <s v="HOODED T-SHIRTS"/>
    <s v="K"/>
    <n v="725"/>
    <n v="725"/>
    <s v="ELHTHF4725"/>
    <n v="9.0909090909090912E-2"/>
    <s v="ELSTHE1725GYOMM"/>
    <s v="GY"/>
    <s v="GREY"/>
    <s v="ELHTHF4725GY"/>
    <x v="1"/>
    <n v="0.25"/>
    <n v="0"/>
    <n v="1"/>
    <s v="OMM"/>
    <n v="141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41"/>
    <n v="0"/>
    <n v="0"/>
    <n v="0"/>
    <n v="0"/>
    <n v="0"/>
    <n v="141"/>
    <n v="2278877.2499999995"/>
    <n v="11139000"/>
    <n v="4.4435757285143982"/>
  </r>
  <r>
    <n v="0"/>
    <n v="0"/>
    <n v="8"/>
    <n v="8"/>
    <s v="전략"/>
    <x v="30"/>
    <s v="ELH-대경-05"/>
    <s v="ELH-대경-05ELHTHF4725GY"/>
    <n v="15"/>
    <s v="ELH-대경-0515"/>
    <s v="ELH-대경-0515-ELHTHF4725GREYOLL"/>
    <s v="ELH의류725"/>
    <s v="ELH"/>
    <s v="ELSTHE"/>
    <m/>
    <s v="ELH"/>
    <s v="ELS HATSON"/>
    <s v="F"/>
    <n v="4"/>
    <s v="TH"/>
    <s v="HOODED T-SHIRTS"/>
    <s v="K"/>
    <n v="725"/>
    <n v="725"/>
    <s v="ELHTHF4725"/>
    <n v="9.0909090909090912E-2"/>
    <s v="ELSTHE1725GYOLL"/>
    <s v="GY"/>
    <s v="GREY"/>
    <s v="ELHTHF4725GY"/>
    <x v="1"/>
    <n v="0.25"/>
    <n v="0"/>
    <n v="1"/>
    <s v="OLL"/>
    <n v="34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4"/>
    <n v="0"/>
    <n v="0"/>
    <n v="0"/>
    <n v="0"/>
    <n v="0"/>
    <n v="34"/>
    <n v="549516.49999999988"/>
    <n v="2686000"/>
    <n v="4.4435757285143982"/>
  </r>
  <r>
    <n v="0"/>
    <n v="0"/>
    <n v="8"/>
    <n v="8"/>
    <s v="전략"/>
    <x v="30"/>
    <s v="ELH-대경-05"/>
    <s v="ELH-대경-05ELHTHF4725GY"/>
    <n v="15"/>
    <s v="ELH-대경-0515"/>
    <s v="ELH-대경-0515-ELHTHF4725GREYOXL"/>
    <s v="ELH의류725"/>
    <s v="ELH"/>
    <s v="ELSTHE"/>
    <m/>
    <s v="ELH"/>
    <s v="ELS HATSON"/>
    <s v="F"/>
    <n v="4"/>
    <s v="TH"/>
    <s v="HOODED T-SHIRTS"/>
    <s v="K"/>
    <n v="725"/>
    <n v="725"/>
    <s v="ELHTHF4725"/>
    <n v="9.0909090909090912E-2"/>
    <s v="ELSTHE1725GYOXL"/>
    <s v="GY"/>
    <s v="GREY"/>
    <s v="ELHTHF4725GY"/>
    <x v="1"/>
    <n v="0.25"/>
    <n v="0"/>
    <n v="1"/>
    <s v="OXL"/>
    <n v="70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70"/>
    <n v="0"/>
    <n v="0"/>
    <n v="0"/>
    <n v="0"/>
    <n v="0"/>
    <n v="70"/>
    <n v="1131357.4999999998"/>
    <n v="5530000"/>
    <n v="4.4435757285143982"/>
  </r>
  <r>
    <n v="0"/>
    <n v="0"/>
    <n v="8"/>
    <n v="8"/>
    <s v="전략"/>
    <x v="30"/>
    <s v="ELH-대경-05"/>
    <s v="ELH-대경-05ELHTHF4725MT"/>
    <n v="16"/>
    <s v="ELH-대경-0516"/>
    <s v="ELH-대경-0516-ELHTHF4725MINTOSS"/>
    <s v="ELH의류725"/>
    <s v="ELH"/>
    <s v="ELSTHE"/>
    <m/>
    <s v="ELH"/>
    <s v="ELS HATSON"/>
    <s v="F"/>
    <n v="4"/>
    <s v="TH"/>
    <s v="HOODED T-SHIRTS"/>
    <s v="K"/>
    <n v="725"/>
    <n v="725"/>
    <s v="ELHTHF4725"/>
    <n v="9.0909090909090912E-2"/>
    <s v="ELSTHE1725MTOSS"/>
    <s v="MT"/>
    <s v="MINT"/>
    <s v="ELHTHF4725MT"/>
    <x v="1"/>
    <n v="0.25"/>
    <n v="0"/>
    <n v="1"/>
    <s v="OSS"/>
    <n v="63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63"/>
    <n v="0"/>
    <n v="0"/>
    <n v="0"/>
    <n v="0"/>
    <n v="0"/>
    <n v="63"/>
    <n v="1018221.7499999999"/>
    <n v="4977000"/>
    <n v="4.4435757285143973"/>
  </r>
  <r>
    <n v="0"/>
    <n v="0"/>
    <n v="8"/>
    <n v="8"/>
    <s v="전략"/>
    <x v="30"/>
    <s v="ELH-대경-05"/>
    <s v="ELH-대경-05ELHTHF4725MT"/>
    <n v="16"/>
    <s v="ELH-대경-0516"/>
    <s v="ELH-대경-0516-ELHTHF4725MINTOMM"/>
    <s v="ELH의류725"/>
    <s v="ELH"/>
    <s v="ELSTHE"/>
    <m/>
    <s v="ELH"/>
    <s v="ELS HATSON"/>
    <s v="F"/>
    <n v="4"/>
    <s v="TH"/>
    <s v="HOODED T-SHIRTS"/>
    <s v="K"/>
    <n v="725"/>
    <n v="725"/>
    <s v="ELHTHF4725"/>
    <n v="9.0909090909090912E-2"/>
    <s v="ELSTHE1725MTOMM"/>
    <s v="MT"/>
    <s v="MINT"/>
    <s v="ELHTHF4725MT"/>
    <x v="1"/>
    <n v="0.25"/>
    <n v="0"/>
    <n v="1"/>
    <s v="OMM"/>
    <n v="71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71"/>
    <n v="0"/>
    <n v="0"/>
    <n v="0"/>
    <n v="0"/>
    <n v="0"/>
    <n v="71"/>
    <n v="1147519.7499999998"/>
    <n v="5609000"/>
    <n v="4.4435757285143982"/>
  </r>
  <r>
    <n v="0"/>
    <n v="0"/>
    <n v="8"/>
    <n v="8"/>
    <s v="전략"/>
    <x v="30"/>
    <s v="ELH-대경-05"/>
    <s v="ELH-대경-05ELHTHF4725MT"/>
    <n v="16"/>
    <s v="ELH-대경-0516"/>
    <s v="ELH-대경-0516-ELHTHF4725MINTOLL"/>
    <s v="ELH의류725"/>
    <s v="ELH"/>
    <s v="ELSTHE"/>
    <m/>
    <s v="ELH"/>
    <s v="ELS HATSON"/>
    <s v="F"/>
    <n v="4"/>
    <s v="TH"/>
    <s v="HOODED T-SHIRTS"/>
    <s v="K"/>
    <n v="725"/>
    <n v="725"/>
    <s v="ELHTHF4725"/>
    <n v="9.0909090909090912E-2"/>
    <s v="ELSTHE1725MTOLL"/>
    <s v="MT"/>
    <s v="MINT"/>
    <s v="ELHTHF4725MT"/>
    <x v="1"/>
    <n v="0.25"/>
    <n v="0"/>
    <n v="1"/>
    <s v="OLL"/>
    <n v="5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80811.249999999985"/>
    <n v="395000"/>
    <n v="4.4435757285143982"/>
  </r>
  <r>
    <n v="0"/>
    <n v="0"/>
    <n v="8"/>
    <n v="8"/>
    <s v="전략"/>
    <x v="30"/>
    <s v="ELH-대경-05"/>
    <s v="ELH-대경-05ELHTHF4725MT"/>
    <n v="16"/>
    <s v="ELH-대경-0516"/>
    <s v="ELH-대경-0516-ELHTHF4725MINTOXL"/>
    <s v="ELH의류725"/>
    <s v="ELH"/>
    <s v="ELSTHE"/>
    <m/>
    <s v="ELH"/>
    <s v="ELS HATSON"/>
    <s v="F"/>
    <n v="4"/>
    <s v="TH"/>
    <s v="HOODED T-SHIRTS"/>
    <s v="K"/>
    <n v="725"/>
    <n v="725"/>
    <s v="ELHTHF4725"/>
    <n v="9.0909090909090912E-2"/>
    <s v="ELSTHE1725MTOXL"/>
    <s v="MT"/>
    <s v="MINT"/>
    <s v="ELHTHF4725MT"/>
    <x v="1"/>
    <n v="0.25"/>
    <n v="0"/>
    <n v="1"/>
    <s v="OXL"/>
    <n v="30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484867.49999999994"/>
    <n v="2370000"/>
    <n v="4.4435757285143973"/>
  </r>
  <r>
    <n v="0"/>
    <n v="0"/>
    <n v="8"/>
    <n v="8"/>
    <s v="전략"/>
    <x v="30"/>
    <s v="ELH-대경-05"/>
    <s v="ELH-대경-05ELHTHF4725PK"/>
    <n v="17"/>
    <s v="ELH-대경-0517"/>
    <s v="ELH-대경-0517-ELHTHF4725PINKOSS"/>
    <s v="ELH의류725"/>
    <s v="ELH"/>
    <s v="ELSTHE"/>
    <m/>
    <s v="ELH"/>
    <s v="ELS HATSON"/>
    <s v="F"/>
    <n v="4"/>
    <s v="TH"/>
    <s v="HOODED T-SHIRTS"/>
    <s v="K"/>
    <n v="725"/>
    <n v="725"/>
    <s v="ELHTHF4725"/>
    <n v="9.0909090909090912E-2"/>
    <s v="ELSTHE1725PKOSS"/>
    <s v="PK"/>
    <s v="PINK"/>
    <s v="ELHTHF4725PK"/>
    <x v="1"/>
    <n v="0.33333333333333331"/>
    <n v="0"/>
    <n v="1"/>
    <s v="OSS"/>
    <n v="28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28"/>
    <n v="0"/>
    <n v="0"/>
    <n v="0"/>
    <n v="0"/>
    <n v="0"/>
    <n v="28"/>
    <n v="452542.99999999994"/>
    <n v="2212000"/>
    <n v="4.4435757285143973"/>
  </r>
  <r>
    <n v="0"/>
    <n v="0"/>
    <n v="8"/>
    <n v="8"/>
    <s v="전략"/>
    <x v="30"/>
    <s v="ELH-대경-05"/>
    <s v="ELH-대경-05ELHTHF4725PK"/>
    <n v="17"/>
    <s v="ELH-대경-0517"/>
    <s v="ELH-대경-0517-ELHTHF4725PINKOMM"/>
    <s v="ELH의류725"/>
    <s v="ELH"/>
    <s v="ELSTHE"/>
    <m/>
    <s v="ELH"/>
    <s v="ELS HATSON"/>
    <s v="F"/>
    <n v="4"/>
    <s v="TH"/>
    <s v="HOODED T-SHIRTS"/>
    <s v="K"/>
    <n v="725"/>
    <n v="725"/>
    <s v="ELHTHF4725"/>
    <n v="9.0909090909090912E-2"/>
    <s v="ELSTHE1725PKOMM"/>
    <s v="PK"/>
    <s v="PINK"/>
    <s v="ELHTHF4725PK"/>
    <x v="1"/>
    <n v="0.33333333333333331"/>
    <n v="0"/>
    <n v="1"/>
    <s v="OMM"/>
    <n v="16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6"/>
    <n v="0"/>
    <n v="0"/>
    <n v="0"/>
    <n v="0"/>
    <n v="0"/>
    <n v="16"/>
    <n v="258595.99999999997"/>
    <n v="1264000"/>
    <n v="4.4435757285143973"/>
  </r>
  <r>
    <n v="0"/>
    <n v="0"/>
    <n v="8"/>
    <n v="8"/>
    <s v="전략"/>
    <x v="30"/>
    <s v="ELH-대경-05"/>
    <s v="ELH-대경-05ELHTHF4725PK"/>
    <n v="17"/>
    <s v="ELH-대경-0517"/>
    <s v="ELH-대경-0517-ELHTHF4725PINKOLL"/>
    <s v="ELH의류725"/>
    <s v="ELH"/>
    <s v="ELSTHE"/>
    <m/>
    <s v="ELH"/>
    <s v="ELS HATSON"/>
    <s v="F"/>
    <n v="4"/>
    <s v="TH"/>
    <s v="HOODED T-SHIRTS"/>
    <s v="K"/>
    <n v="725"/>
    <n v="725"/>
    <s v="ELHTHF4725"/>
    <n v="9.0909090909090912E-2"/>
    <s v="ELSTHE1725PKOLL"/>
    <s v="PK"/>
    <s v="PINK"/>
    <s v="ELHTHF4725PK"/>
    <x v="1"/>
    <n v="0.33333333333333331"/>
    <n v="0"/>
    <n v="1"/>
    <s v="OLL"/>
    <n v="1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"/>
    <n v="0"/>
    <n v="0"/>
    <n v="0"/>
    <n v="0"/>
    <n v="0"/>
    <n v="1"/>
    <n v="16162.249999999998"/>
    <n v="79000"/>
    <n v="4.4435757285143973"/>
  </r>
  <r>
    <n v="0"/>
    <n v="0"/>
    <n v="8"/>
    <n v="8"/>
    <s v="전략"/>
    <x v="30"/>
    <s v="ELH-대경-05"/>
    <s v="ELH-대경-05ELHTHF4726NY"/>
    <n v="18"/>
    <s v="ELH-대경-0518"/>
    <s v="ELH-대경-0518-ELHTHF4726NAVYOSS"/>
    <s v="ELH의류726"/>
    <s v="ELH"/>
    <s v="ELSTHE"/>
    <m/>
    <s v="ELH"/>
    <s v="ELS HATSON"/>
    <s v="F"/>
    <n v="4"/>
    <s v="TH"/>
    <s v="HOODED T-SHIRTS"/>
    <s v="K"/>
    <n v="726"/>
    <n v="726"/>
    <s v="ELHTHF4726"/>
    <n v="8.3333333333333329E-2"/>
    <s v="ELSTHE1726NYOSS"/>
    <s v="NY"/>
    <s v="NAVY"/>
    <s v="ELHTHF4726NY"/>
    <x v="1"/>
    <n v="0.25"/>
    <n v="0"/>
    <n v="1"/>
    <s v="OSS"/>
    <n v="133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133"/>
    <n v="-1"/>
    <n v="0"/>
    <n v="0"/>
    <n v="0"/>
    <n v="0"/>
    <n v="133"/>
    <n v="2149579.2499999995"/>
    <n v="10507000"/>
    <n v="4.4435757285143973"/>
  </r>
  <r>
    <n v="0"/>
    <n v="0"/>
    <n v="8"/>
    <n v="8"/>
    <s v="전략"/>
    <x v="30"/>
    <s v="ELH-대경-05"/>
    <s v="ELH-대경-05ELHTHF4726NY"/>
    <n v="18"/>
    <s v="ELH-대경-0518"/>
    <s v="ELH-대경-0518-ELHTHF4726NAVYOMM"/>
    <s v="ELH의류726"/>
    <s v="ELH"/>
    <s v="ELSTHE"/>
    <m/>
    <s v="ELH"/>
    <s v="ELS HATSON"/>
    <s v="F"/>
    <n v="4"/>
    <s v="TH"/>
    <s v="HOODED T-SHIRTS"/>
    <s v="K"/>
    <n v="726"/>
    <n v="726"/>
    <s v="ELHTHF4726"/>
    <n v="8.3333333333333329E-2"/>
    <s v="ELSTHE1726NYOMM"/>
    <s v="NY"/>
    <s v="NAVY"/>
    <s v="ELHTHF4726NY"/>
    <x v="1"/>
    <n v="0.25"/>
    <n v="0"/>
    <n v="1"/>
    <s v="OMM"/>
    <n v="150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150"/>
    <n v="0"/>
    <n v="0"/>
    <n v="0"/>
    <n v="0"/>
    <n v="0"/>
    <n v="150"/>
    <n v="2424337.4999999995"/>
    <n v="11850000"/>
    <n v="4.4435757285143982"/>
  </r>
  <r>
    <n v="0"/>
    <n v="0"/>
    <n v="8"/>
    <n v="8"/>
    <s v="전략"/>
    <x v="30"/>
    <s v="ELH-대경-05"/>
    <s v="ELH-대경-05ELHTHF4726NY"/>
    <n v="18"/>
    <s v="ELH-대경-0518"/>
    <s v="ELH-대경-0518-ELHTHF4726NAVYOLL"/>
    <s v="ELH의류726"/>
    <s v="ELH"/>
    <s v="ELSTHE"/>
    <m/>
    <s v="ELH"/>
    <s v="ELS HATSON"/>
    <s v="F"/>
    <n v="4"/>
    <s v="TH"/>
    <s v="HOODED T-SHIRTS"/>
    <s v="K"/>
    <n v="726"/>
    <n v="726"/>
    <s v="ELHTHF4726"/>
    <n v="8.3333333333333329E-2"/>
    <s v="ELSTHE1726NYOLL"/>
    <s v="NY"/>
    <s v="NAVY"/>
    <s v="ELHTHF4726NY"/>
    <x v="1"/>
    <n v="0.25"/>
    <n v="0"/>
    <n v="1"/>
    <s v="OLL"/>
    <n v="85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85"/>
    <n v="0"/>
    <n v="0"/>
    <n v="0"/>
    <n v="0"/>
    <n v="0"/>
    <n v="85"/>
    <n v="1373791.2499999998"/>
    <n v="6715000"/>
    <n v="4.4435757285143982"/>
  </r>
  <r>
    <n v="0"/>
    <n v="0"/>
    <n v="8"/>
    <n v="8"/>
    <s v="전략"/>
    <x v="30"/>
    <s v="ELH-대경-05"/>
    <s v="ELH-대경-05ELHTHF4726NY"/>
    <n v="18"/>
    <s v="ELH-대경-0518"/>
    <s v="ELH-대경-0518-ELHTHF4726NAVYOXL"/>
    <s v="ELH의류726"/>
    <s v="ELH"/>
    <s v="ELSTHE"/>
    <m/>
    <s v="ELH"/>
    <s v="ELS HATSON"/>
    <s v="F"/>
    <n v="4"/>
    <s v="TH"/>
    <s v="HOODED T-SHIRTS"/>
    <s v="K"/>
    <n v="726"/>
    <n v="726"/>
    <s v="ELHTHF4726"/>
    <n v="8.3333333333333329E-2"/>
    <s v="ELSTHE1726NYOXL"/>
    <s v="NY"/>
    <s v="NAVY"/>
    <s v="ELHTHF4726NY"/>
    <x v="1"/>
    <n v="0.25"/>
    <n v="0"/>
    <n v="1"/>
    <s v="OXL"/>
    <n v="38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38"/>
    <n v="0"/>
    <n v="0"/>
    <n v="0"/>
    <n v="0"/>
    <n v="0"/>
    <n v="38"/>
    <n v="614165.49999999988"/>
    <n v="3002000"/>
    <n v="4.4435757285143982"/>
  </r>
  <r>
    <n v="0"/>
    <n v="0"/>
    <n v="8"/>
    <n v="8"/>
    <s v="전략"/>
    <x v="30"/>
    <s v="ELH-대경-05"/>
    <s v="ELH-대경-05ELHTHF4726RE"/>
    <n v="19"/>
    <s v="ELH-대경-0519"/>
    <s v="ELH-대경-0519-ELHTHF4726REDOSS"/>
    <s v="ELH의류726"/>
    <s v="ELH"/>
    <s v="ELSTHE"/>
    <m/>
    <s v="ELH"/>
    <s v="ELS HATSON"/>
    <s v="F"/>
    <n v="4"/>
    <s v="TH"/>
    <s v="HOODED T-SHIRTS"/>
    <s v="K"/>
    <n v="726"/>
    <n v="726"/>
    <s v="ELHTHF4726"/>
    <n v="8.3333333333333329E-2"/>
    <s v="ELSTHE1726REOSS"/>
    <s v="RE"/>
    <s v="RED"/>
    <s v="ELHTHF4726RE"/>
    <x v="1"/>
    <n v="0.25"/>
    <n v="0"/>
    <n v="1"/>
    <s v="OSS"/>
    <n v="155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55"/>
    <n v="0"/>
    <n v="0"/>
    <n v="0"/>
    <n v="0"/>
    <n v="0"/>
    <n v="155"/>
    <n v="2505148.7499999995"/>
    <n v="12245000"/>
    <n v="4.4435757285143982"/>
  </r>
  <r>
    <n v="0"/>
    <n v="0"/>
    <n v="8"/>
    <n v="8"/>
    <s v="전략"/>
    <x v="30"/>
    <s v="ELH-대경-05"/>
    <s v="ELH-대경-05ELHTHF4726RE"/>
    <n v="19"/>
    <s v="ELH-대경-0519"/>
    <s v="ELH-대경-0519-ELHTHF4726REDOMM"/>
    <s v="ELH의류726"/>
    <s v="ELH"/>
    <s v="ELSTHE"/>
    <m/>
    <s v="ELH"/>
    <s v="ELS HATSON"/>
    <s v="F"/>
    <n v="4"/>
    <s v="TH"/>
    <s v="HOODED T-SHIRTS"/>
    <s v="K"/>
    <n v="726"/>
    <n v="726"/>
    <s v="ELHTHF4726"/>
    <n v="8.3333333333333329E-2"/>
    <s v="ELSTHE1726REOMM"/>
    <s v="RE"/>
    <s v="RED"/>
    <s v="ELHTHF4726RE"/>
    <x v="1"/>
    <n v="0.25"/>
    <n v="0"/>
    <n v="1"/>
    <s v="OMM"/>
    <n v="37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7"/>
    <n v="0"/>
    <n v="0"/>
    <n v="0"/>
    <n v="0"/>
    <n v="0"/>
    <n v="37"/>
    <n v="598003.24999999988"/>
    <n v="2923000"/>
    <n v="4.4435757285143973"/>
  </r>
  <r>
    <n v="0"/>
    <n v="0"/>
    <n v="8"/>
    <n v="8"/>
    <s v="전략"/>
    <x v="30"/>
    <s v="ELH-대경-05"/>
    <s v="ELH-대경-05ELHTHF4726RE"/>
    <n v="19"/>
    <s v="ELH-대경-0519"/>
    <s v="ELH-대경-0519-ELHTHF4726REDOLL"/>
    <s v="ELH의류726"/>
    <s v="ELH"/>
    <s v="ELSTHE"/>
    <m/>
    <s v="ELH"/>
    <s v="ELS HATSON"/>
    <s v="F"/>
    <n v="4"/>
    <s v="TH"/>
    <s v="HOODED T-SHIRTS"/>
    <s v="K"/>
    <n v="726"/>
    <n v="726"/>
    <s v="ELHTHF4726"/>
    <n v="8.3333333333333329E-2"/>
    <s v="ELSTHE1726REOLL"/>
    <s v="RE"/>
    <s v="RED"/>
    <s v="ELHTHF4726RE"/>
    <x v="1"/>
    <n v="0.25"/>
    <n v="0"/>
    <n v="1"/>
    <s v="OLL"/>
    <n v="29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29"/>
    <n v="0"/>
    <n v="0"/>
    <n v="0"/>
    <n v="0"/>
    <n v="0"/>
    <n v="29"/>
    <n v="468705.24999999994"/>
    <n v="2291000"/>
    <n v="4.4435757285143973"/>
  </r>
  <r>
    <n v="0"/>
    <n v="0"/>
    <n v="8"/>
    <n v="8"/>
    <s v="전략"/>
    <x v="30"/>
    <s v="ELH-대경-05"/>
    <s v="ELH-대경-05ELHTHF4726RE"/>
    <n v="19"/>
    <s v="ELH-대경-0519"/>
    <s v="ELH-대경-0519-ELHTHF4726REDOXL"/>
    <s v="ELH의류726"/>
    <s v="ELH"/>
    <s v="ELSTHE"/>
    <m/>
    <s v="ELH"/>
    <s v="ELS HATSON"/>
    <s v="F"/>
    <n v="4"/>
    <s v="TH"/>
    <s v="HOODED T-SHIRTS"/>
    <s v="K"/>
    <n v="726"/>
    <n v="726"/>
    <s v="ELHTHF4726"/>
    <n v="8.3333333333333329E-2"/>
    <s v="ELSTHE1726REOXL"/>
    <s v="RE"/>
    <s v="RED"/>
    <s v="ELHTHF4726RE"/>
    <x v="1"/>
    <n v="0.25"/>
    <n v="0"/>
    <n v="1"/>
    <s v="OXL"/>
    <n v="15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5"/>
    <n v="0"/>
    <n v="0"/>
    <n v="0"/>
    <n v="0"/>
    <n v="0"/>
    <n v="15"/>
    <n v="242433.74999999997"/>
    <n v="1185000"/>
    <n v="4.4435757285143973"/>
  </r>
  <r>
    <n v="0"/>
    <n v="0"/>
    <n v="8"/>
    <n v="8"/>
    <s v="전략"/>
    <x v="30"/>
    <s v="ELH-대경-05"/>
    <s v="ELH-대경-05ELHTHF4726YE"/>
    <n v="20"/>
    <s v="ELH-대경-0520"/>
    <s v="ELH-대경-0520-ELHTHF4726YELLOWOSS"/>
    <s v="ELH의류726"/>
    <s v="ELH"/>
    <s v="ELSTHE"/>
    <m/>
    <s v="ELH"/>
    <s v="ELS HATSON"/>
    <s v="F"/>
    <n v="4"/>
    <s v="TH"/>
    <s v="HOODED T-SHIRTS"/>
    <s v="K"/>
    <n v="726"/>
    <n v="726"/>
    <s v="ELHTHF4726"/>
    <n v="8.3333333333333329E-2"/>
    <s v="ELSTHE1726YEOSS"/>
    <s v="YE"/>
    <s v="YELLOW"/>
    <s v="ELHTHF4726YE"/>
    <x v="1"/>
    <n v="0.25"/>
    <n v="0"/>
    <n v="1"/>
    <s v="OSS"/>
    <n v="115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15"/>
    <n v="0"/>
    <n v="0"/>
    <n v="0"/>
    <n v="0"/>
    <n v="0"/>
    <n v="115"/>
    <n v="1858658.7499999998"/>
    <n v="9085000"/>
    <n v="4.4435757285143973"/>
  </r>
  <r>
    <n v="0"/>
    <n v="0"/>
    <n v="8"/>
    <n v="8"/>
    <s v="전략"/>
    <x v="30"/>
    <s v="ELH-대경-05"/>
    <s v="ELH-대경-05ELHTHF4726YE"/>
    <n v="20"/>
    <s v="ELH-대경-0520"/>
    <s v="ELH-대경-0520-ELHTHF4726YELLOWOMM"/>
    <s v="ELH의류726"/>
    <s v="ELH"/>
    <s v="ELSTHE"/>
    <m/>
    <s v="ELH"/>
    <s v="ELS HATSON"/>
    <s v="F"/>
    <n v="4"/>
    <s v="TH"/>
    <s v="HOODED T-SHIRTS"/>
    <s v="K"/>
    <n v="726"/>
    <n v="726"/>
    <s v="ELHTHF4726"/>
    <n v="8.3333333333333329E-2"/>
    <s v="ELSTHE1726YEOMM"/>
    <s v="YE"/>
    <s v="YELLOW"/>
    <s v="ELHTHF4726YE"/>
    <x v="1"/>
    <n v="0.25"/>
    <n v="0"/>
    <n v="1"/>
    <s v="OMM"/>
    <n v="43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43"/>
    <n v="0"/>
    <n v="0"/>
    <n v="0"/>
    <n v="0"/>
    <n v="0"/>
    <n v="43"/>
    <n v="694976.74999999988"/>
    <n v="3397000"/>
    <n v="4.4435757285143973"/>
  </r>
  <r>
    <n v="0"/>
    <n v="0"/>
    <n v="8"/>
    <n v="8"/>
    <s v="전략"/>
    <x v="30"/>
    <s v="ELH-대경-05"/>
    <s v="ELH-대경-05ELHTHF4726YE"/>
    <n v="20"/>
    <s v="ELH-대경-0520"/>
    <s v="ELH-대경-0520-ELHTHF4726YELLOWOLL"/>
    <s v="ELH의류726"/>
    <s v="ELH"/>
    <s v="ELSTHE"/>
    <m/>
    <s v="ELH"/>
    <s v="ELS HATSON"/>
    <s v="F"/>
    <n v="4"/>
    <s v="TH"/>
    <s v="HOODED T-SHIRTS"/>
    <s v="K"/>
    <n v="726"/>
    <n v="726"/>
    <s v="ELHTHF4726"/>
    <n v="8.3333333333333329E-2"/>
    <s v="ELSTHE1726YEOLL"/>
    <s v="YE"/>
    <s v="YELLOW"/>
    <s v="ELHTHF4726YE"/>
    <x v="1"/>
    <n v="0.25"/>
    <n v="0"/>
    <n v="1"/>
    <s v="OLL"/>
    <n v="82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82"/>
    <n v="0"/>
    <n v="0"/>
    <n v="0"/>
    <n v="0"/>
    <n v="0"/>
    <n v="82"/>
    <n v="1325304.4999999998"/>
    <n v="6478000"/>
    <n v="4.4435757285143973"/>
  </r>
  <r>
    <n v="0"/>
    <n v="0"/>
    <n v="8"/>
    <n v="8"/>
    <s v="전략"/>
    <x v="30"/>
    <s v="ELH-대경-05"/>
    <s v="ELH-대경-05ELHTHF4726YE"/>
    <n v="20"/>
    <s v="ELH-대경-0520"/>
    <s v="ELH-대경-0520-ELHTHF4726YELLOWOXL"/>
    <s v="ELH의류726"/>
    <s v="ELH"/>
    <s v="ELSTHE"/>
    <m/>
    <s v="ELH"/>
    <s v="ELS HATSON"/>
    <s v="F"/>
    <n v="4"/>
    <s v="TH"/>
    <s v="HOODED T-SHIRTS"/>
    <s v="K"/>
    <n v="726"/>
    <n v="726"/>
    <s v="ELHTHF4726"/>
    <n v="8.3333333333333329E-2"/>
    <s v="ELSTHE1726YEOXL"/>
    <s v="YE"/>
    <s v="YELLOW"/>
    <s v="ELHTHF4726YE"/>
    <x v="1"/>
    <n v="0.25"/>
    <n v="0"/>
    <n v="1"/>
    <s v="OXL"/>
    <n v="44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44"/>
    <n v="0"/>
    <n v="0"/>
    <n v="0"/>
    <n v="0"/>
    <n v="0"/>
    <n v="44"/>
    <n v="711138.99999999988"/>
    <n v="3476000"/>
    <n v="4.4435757285143982"/>
  </r>
  <r>
    <n v="0"/>
    <n v="0"/>
    <n v="8"/>
    <n v="8"/>
    <s v="전략"/>
    <x v="30"/>
    <s v="ELH-대경-05"/>
    <s v="ELH-대경-05ELHTHF4727BK"/>
    <n v="21"/>
    <s v="ELH-대경-0521"/>
    <s v="ELH-대경-0521-ELHTHF4727BLACKOSS"/>
    <s v="ELH의류727"/>
    <s v="ELH"/>
    <s v="ELSTHE"/>
    <m/>
    <s v="ELH"/>
    <s v="ELS HATSON"/>
    <s v="F"/>
    <n v="4"/>
    <s v="TH"/>
    <s v="HOODED T-SHIRTS"/>
    <s v="K"/>
    <n v="727"/>
    <n v="727"/>
    <s v="ELHTHF4727"/>
    <n v="0.25"/>
    <s v="ELSTHE1727BKOSS"/>
    <s v="BK"/>
    <s v="BLACK"/>
    <s v="ELHTHF4727BK"/>
    <x v="1"/>
    <n v="0.25"/>
    <n v="0"/>
    <n v="1"/>
    <s v="OSS"/>
    <n v="107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7"/>
    <n v="0"/>
    <n v="0"/>
    <n v="0"/>
    <n v="0"/>
    <n v="0"/>
    <n v="107"/>
    <n v="1729360.7499999998"/>
    <n v="8453000"/>
    <n v="4.4435757285143973"/>
  </r>
  <r>
    <n v="0"/>
    <n v="0"/>
    <n v="8"/>
    <n v="8"/>
    <s v="전략"/>
    <x v="30"/>
    <s v="ELH-대경-05"/>
    <s v="ELH-대경-05ELHTHF4727BK"/>
    <n v="21"/>
    <s v="ELH-대경-0521"/>
    <s v="ELH-대경-0521-ELHTHF4727BLACKOMM"/>
    <s v="ELH의류727"/>
    <s v="ELH"/>
    <s v="ELSTHE"/>
    <m/>
    <s v="ELH"/>
    <s v="ELS HATSON"/>
    <s v="F"/>
    <n v="4"/>
    <s v="TH"/>
    <s v="HOODED T-SHIRTS"/>
    <s v="K"/>
    <n v="727"/>
    <n v="727"/>
    <s v="ELHTHF4727"/>
    <n v="0.25"/>
    <s v="ELSTHE1727BKOMM"/>
    <s v="BK"/>
    <s v="BLACK"/>
    <s v="ELHTHF4727BK"/>
    <x v="1"/>
    <n v="0.25"/>
    <n v="0"/>
    <n v="1"/>
    <s v="OMM"/>
    <n v="87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87"/>
    <n v="0"/>
    <n v="0"/>
    <n v="0"/>
    <n v="0"/>
    <n v="0"/>
    <n v="87"/>
    <n v="1406115.7499999998"/>
    <n v="6873000"/>
    <n v="4.4435757285143973"/>
  </r>
  <r>
    <n v="0"/>
    <n v="0"/>
    <n v="8"/>
    <n v="8"/>
    <s v="전략"/>
    <x v="30"/>
    <s v="ELH-대경-05"/>
    <s v="ELH-대경-05ELHTHF4727BK"/>
    <n v="21"/>
    <s v="ELH-대경-0521"/>
    <s v="ELH-대경-0521-ELHTHF4727BLACKOLL"/>
    <s v="ELH의류727"/>
    <s v="ELH"/>
    <s v="ELSTHE"/>
    <m/>
    <s v="ELH"/>
    <s v="ELS HATSON"/>
    <s v="F"/>
    <n v="4"/>
    <s v="TH"/>
    <s v="HOODED T-SHIRTS"/>
    <s v="K"/>
    <n v="727"/>
    <n v="727"/>
    <s v="ELHTHF4727"/>
    <n v="0.25"/>
    <s v="ELSTHE1727BKOLL"/>
    <s v="BK"/>
    <s v="BLACK"/>
    <s v="ELHTHF4727BK"/>
    <x v="1"/>
    <n v="0.25"/>
    <n v="0"/>
    <n v="1"/>
    <s v="OLL"/>
    <n v="22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22"/>
    <n v="0"/>
    <n v="0"/>
    <n v="0"/>
    <n v="0"/>
    <n v="0"/>
    <n v="22"/>
    <n v="355569.49999999994"/>
    <n v="1738000"/>
    <n v="4.4435757285143982"/>
  </r>
  <r>
    <n v="0"/>
    <n v="0"/>
    <n v="8"/>
    <n v="8"/>
    <s v="전략"/>
    <x v="30"/>
    <s v="ELH-대경-05"/>
    <s v="ELH-대경-05ELHTHF4727BK"/>
    <n v="21"/>
    <s v="ELH-대경-0521"/>
    <s v="ELH-대경-0521-ELHTHF4727BLACKOXL"/>
    <s v="ELH의류727"/>
    <s v="ELH"/>
    <s v="ELSTHE"/>
    <m/>
    <s v="ELH"/>
    <s v="ELS HATSON"/>
    <s v="F"/>
    <n v="4"/>
    <s v="TH"/>
    <s v="HOODED T-SHIRTS"/>
    <s v="K"/>
    <n v="727"/>
    <n v="727"/>
    <s v="ELHTHF4727"/>
    <n v="0.25"/>
    <s v="ELSTHE1727BKOXL"/>
    <s v="BK"/>
    <s v="BLACK"/>
    <s v="ELHTHF4727BK"/>
    <x v="1"/>
    <n v="0.25"/>
    <n v="0"/>
    <n v="1"/>
    <s v="OXL"/>
    <n v="11"/>
    <x v="14"/>
    <n v="5"/>
    <x v="5"/>
    <s v="M"/>
    <s v="IN"/>
    <x v="0"/>
    <n v="79000"/>
    <x v="27"/>
    <n v="15959.595959595958"/>
    <n v="16162.249999999998"/>
    <n v="202.65404040404064"/>
    <m/>
    <n v="50"/>
    <m/>
    <n v="50"/>
    <n v="13.9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1"/>
    <n v="0"/>
    <n v="0"/>
    <n v="0"/>
    <n v="0"/>
    <n v="0"/>
    <n v="11"/>
    <n v="177784.74999999997"/>
    <n v="869000"/>
    <n v="4.4435757285143982"/>
  </r>
  <r>
    <n v="0"/>
    <n v="0"/>
    <n v="8"/>
    <n v="8"/>
    <s v="전략"/>
    <x v="30"/>
    <s v="ELH-대경-05"/>
    <s v="ELH-대경-05ELHTLF4706RE"/>
    <n v="22"/>
    <s v="ELH-대경-0522"/>
    <s v="ELH-대경-0522-ELHTLF4706REDOSS"/>
    <s v="ELH의류706"/>
    <s v="ELH"/>
    <s v="ELSTLE"/>
    <m/>
    <s v="ELH"/>
    <s v="ELS HATSON"/>
    <s v="F"/>
    <n v="4"/>
    <s v="TL"/>
    <s v="LONG SLEEVES"/>
    <s v="K"/>
    <n v="706"/>
    <n v="706"/>
    <s v="ELHTLF4706"/>
    <n v="0.33333333333333331"/>
    <s v="ELSTLE1706REOSS"/>
    <s v="RE"/>
    <s v="RED"/>
    <s v="ELHTLF4706RE"/>
    <x v="1"/>
    <n v="0.33333333333333331"/>
    <n v="0"/>
    <n v="1"/>
    <s v="OSS"/>
    <n v="50"/>
    <x v="14"/>
    <n v="5"/>
    <x v="5"/>
    <s v="M"/>
    <s v="IN"/>
    <x v="0"/>
    <n v="69000"/>
    <x v="27"/>
    <n v="13939.393939393938"/>
    <n v="15584.75"/>
    <n v="1645.3560606060619"/>
    <m/>
    <n v="50"/>
    <m/>
    <n v="50"/>
    <n v="13.4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779237.5"/>
    <n v="3450000"/>
    <n v="4.0249136320616445"/>
  </r>
  <r>
    <n v="0"/>
    <n v="0"/>
    <n v="8"/>
    <n v="8"/>
    <s v="전략"/>
    <x v="30"/>
    <s v="ELH-대경-05"/>
    <s v="ELH-대경-05ELHTLF4706RE"/>
    <n v="22"/>
    <s v="ELH-대경-0522"/>
    <s v="ELH-대경-0522-ELHTLF4706REDOMM"/>
    <s v="ELH의류706"/>
    <s v="ELH"/>
    <s v="ELSTLE"/>
    <m/>
    <s v="ELH"/>
    <s v="ELS HATSON"/>
    <s v="F"/>
    <n v="4"/>
    <s v="TL"/>
    <s v="LONG SLEEVES"/>
    <s v="K"/>
    <n v="706"/>
    <n v="706"/>
    <s v="ELHTLF4706"/>
    <n v="0.33333333333333331"/>
    <s v="ELSTLE1706REOMM"/>
    <s v="RE"/>
    <s v="RED"/>
    <s v="ELHTLF4706RE"/>
    <x v="1"/>
    <n v="0.33333333333333331"/>
    <n v="0"/>
    <n v="1"/>
    <s v="OMM"/>
    <n v="49"/>
    <x v="14"/>
    <n v="5"/>
    <x v="5"/>
    <s v="M"/>
    <s v="IN"/>
    <x v="0"/>
    <n v="69000"/>
    <x v="27"/>
    <n v="13939.393939393938"/>
    <n v="15584.75"/>
    <n v="1645.3560606060619"/>
    <m/>
    <n v="50"/>
    <m/>
    <n v="50"/>
    <n v="13.4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49"/>
    <n v="0"/>
    <n v="0"/>
    <n v="0"/>
    <n v="0"/>
    <n v="0"/>
    <n v="49"/>
    <n v="763652.75"/>
    <n v="3381000"/>
    <n v="4.0249136320616454"/>
  </r>
  <r>
    <n v="0"/>
    <n v="0"/>
    <n v="8"/>
    <n v="8"/>
    <s v="전략"/>
    <x v="30"/>
    <s v="ELH-대경-05"/>
    <s v="ELH-대경-05ELHTLF4706RE"/>
    <n v="22"/>
    <s v="ELH-대경-0522"/>
    <s v="ELH-대경-0522-ELHTLF4706REDOLL"/>
    <s v="ELH의류706"/>
    <s v="ELH"/>
    <s v="ELSTLE"/>
    <m/>
    <s v="ELH"/>
    <s v="ELS HATSON"/>
    <s v="F"/>
    <n v="4"/>
    <s v="TL"/>
    <s v="LONG SLEEVES"/>
    <s v="K"/>
    <n v="706"/>
    <n v="706"/>
    <s v="ELHTLF4706"/>
    <n v="0.33333333333333331"/>
    <s v="ELSTLE1706REOLL"/>
    <s v="RE"/>
    <s v="RED"/>
    <s v="ELHTLF4706RE"/>
    <x v="1"/>
    <n v="0.33333333333333331"/>
    <n v="0"/>
    <n v="1"/>
    <s v="OLL"/>
    <n v="7"/>
    <x v="14"/>
    <n v="5"/>
    <x v="5"/>
    <s v="M"/>
    <s v="IN"/>
    <x v="0"/>
    <n v="69000"/>
    <x v="27"/>
    <n v="13939.393939393938"/>
    <n v="15584.75"/>
    <n v="1645.3560606060619"/>
    <m/>
    <n v="50"/>
    <m/>
    <n v="50"/>
    <n v="13.4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7"/>
    <n v="0"/>
    <n v="0"/>
    <n v="0"/>
    <n v="0"/>
    <n v="0"/>
    <n v="7"/>
    <n v="109093.25"/>
    <n v="483000"/>
    <n v="4.0249136320616445"/>
  </r>
  <r>
    <n v="0"/>
    <n v="0"/>
    <n v="8"/>
    <n v="8"/>
    <s v="전략"/>
    <x v="30"/>
    <s v="ELH-대경-05"/>
    <s v="ELH-대경-05ELHTLF4707PK"/>
    <n v="23"/>
    <s v="ELH-대경-0523"/>
    <s v="ELH-대경-0523-ELHTLF4707PINKOSS"/>
    <s v="ELH의류707"/>
    <s v="ELH"/>
    <s v="ELSTLE"/>
    <m/>
    <s v="ELH"/>
    <s v="ELS HATSON"/>
    <s v="F"/>
    <n v="4"/>
    <s v="TL"/>
    <s v="LONG SLEEVES"/>
    <s v="K"/>
    <n v="707"/>
    <n v="707"/>
    <s v="ELHTLF4707"/>
    <n v="0.33333333333333331"/>
    <s v="ELSTLE1707PKOSS"/>
    <s v="PK"/>
    <s v="PINK"/>
    <s v="ELHTLF4707PK"/>
    <x v="1"/>
    <n v="0.33333333333333331"/>
    <n v="0"/>
    <n v="1"/>
    <s v="OSS"/>
    <n v="50"/>
    <x v="14"/>
    <n v="5"/>
    <x v="5"/>
    <s v="M"/>
    <s v="IN"/>
    <x v="0"/>
    <n v="69000"/>
    <x v="27"/>
    <n v="13939.393939393938"/>
    <n v="15584.75"/>
    <n v="1645.3560606060619"/>
    <m/>
    <n v="50"/>
    <m/>
    <n v="50"/>
    <n v="13.4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779237.5"/>
    <n v="3450000"/>
    <n v="4.0249136320616445"/>
  </r>
  <r>
    <n v="0"/>
    <n v="0"/>
    <n v="8"/>
    <n v="8"/>
    <s v="전략"/>
    <x v="30"/>
    <s v="ELH-대경-05"/>
    <s v="ELH-대경-05ELHTLF4707PK"/>
    <n v="23"/>
    <s v="ELH-대경-0523"/>
    <s v="ELH-대경-0523-ELHTLF4707PINKOMM"/>
    <s v="ELH의류707"/>
    <s v="ELH"/>
    <s v="ELSTLE"/>
    <m/>
    <s v="ELH"/>
    <s v="ELS HATSON"/>
    <s v="F"/>
    <n v="4"/>
    <s v="TL"/>
    <s v="LONG SLEEVES"/>
    <s v="K"/>
    <n v="707"/>
    <n v="707"/>
    <s v="ELHTLF4707"/>
    <n v="0.33333333333333331"/>
    <s v="ELSTLE1707PKOMM"/>
    <s v="PK"/>
    <s v="PINK"/>
    <s v="ELHTLF4707PK"/>
    <x v="1"/>
    <n v="0.33333333333333331"/>
    <n v="0"/>
    <n v="1"/>
    <s v="OMM"/>
    <n v="50"/>
    <x v="14"/>
    <n v="5"/>
    <x v="5"/>
    <s v="M"/>
    <s v="IN"/>
    <x v="0"/>
    <n v="69000"/>
    <x v="27"/>
    <n v="13939.393939393938"/>
    <n v="15584.75"/>
    <n v="1645.3560606060619"/>
    <m/>
    <n v="50"/>
    <m/>
    <n v="50"/>
    <n v="13.4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779237.5"/>
    <n v="3450000"/>
    <n v="4.0249136320616445"/>
  </r>
  <r>
    <n v="0"/>
    <n v="0"/>
    <n v="8"/>
    <n v="8"/>
    <s v="전략"/>
    <x v="30"/>
    <s v="ELH-대경-05"/>
    <s v="ELH-대경-05ELHTLF4707PK"/>
    <n v="23"/>
    <s v="ELH-대경-0523"/>
    <s v="ELH-대경-0523-ELHTLF4707PINKOLL"/>
    <s v="ELH의류707"/>
    <s v="ELH"/>
    <s v="ELSTLE"/>
    <m/>
    <s v="ELH"/>
    <s v="ELS HATSON"/>
    <s v="F"/>
    <n v="4"/>
    <s v="TL"/>
    <s v="LONG SLEEVES"/>
    <s v="K"/>
    <n v="707"/>
    <n v="707"/>
    <s v="ELHTLF4707"/>
    <n v="0.33333333333333331"/>
    <s v="ELSTLE1707PKOLL"/>
    <s v="PK"/>
    <s v="PINK"/>
    <s v="ELHTLF4707PK"/>
    <x v="1"/>
    <n v="0.33333333333333331"/>
    <n v="0"/>
    <n v="1"/>
    <s v="OLL"/>
    <n v="26"/>
    <x v="14"/>
    <n v="5"/>
    <x v="5"/>
    <s v="M"/>
    <s v="IN"/>
    <x v="0"/>
    <n v="69000"/>
    <x v="27"/>
    <n v="13939.393939393938"/>
    <n v="15584.75"/>
    <n v="1645.3560606060619"/>
    <m/>
    <n v="50"/>
    <m/>
    <n v="50"/>
    <n v="13.4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26"/>
    <n v="0"/>
    <n v="0"/>
    <n v="0"/>
    <n v="0"/>
    <n v="0"/>
    <n v="26"/>
    <n v="405203.5"/>
    <n v="1794000"/>
    <n v="4.0249136320616454"/>
  </r>
  <r>
    <n v="0"/>
    <n v="0"/>
    <n v="8"/>
    <n v="8"/>
    <s v="전략"/>
    <x v="30"/>
    <s v="ELH-대경-05"/>
    <s v="ELH-대경-05ELHTLF4708OR"/>
    <n v="24"/>
    <s v="ELH-대경-0524"/>
    <s v="ELH-대경-0524-ELHTLF4708ORANGEOSS"/>
    <s v="ELH의류708"/>
    <s v="ELH"/>
    <s v="ELSTLE"/>
    <m/>
    <s v="ELH"/>
    <s v="ELS HATSON"/>
    <s v="F"/>
    <n v="4"/>
    <s v="TL"/>
    <s v="LONG SLEEVES"/>
    <s v="K"/>
    <n v="708"/>
    <n v="708"/>
    <s v="ELHTLF4708"/>
    <n v="0.33333333333333331"/>
    <s v="ELSTLE1708OROSS"/>
    <s v="OR"/>
    <s v="ORANGE"/>
    <s v="ELHTLF4708OR"/>
    <x v="1"/>
    <n v="0.33333333333333331"/>
    <n v="0"/>
    <n v="1"/>
    <s v="OSS"/>
    <n v="50"/>
    <x v="14"/>
    <n v="5"/>
    <x v="5"/>
    <s v="M"/>
    <s v="IN"/>
    <x v="0"/>
    <n v="69000"/>
    <x v="27"/>
    <n v="13939.393939393938"/>
    <n v="16566.5"/>
    <n v="2627.1060606060619"/>
    <m/>
    <n v="50"/>
    <m/>
    <n v="50"/>
    <n v="14.3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828325"/>
    <n v="3450000"/>
    <n v="3.7863925830605569"/>
  </r>
  <r>
    <n v="0"/>
    <n v="0"/>
    <n v="8"/>
    <n v="8"/>
    <s v="전략"/>
    <x v="30"/>
    <s v="ELH-대경-05"/>
    <s v="ELH-대경-05ELHTLF4708OR"/>
    <n v="24"/>
    <s v="ELH-대경-0524"/>
    <s v="ELH-대경-0524-ELHTLF4708ORANGEOMM"/>
    <s v="ELH의류708"/>
    <s v="ELH"/>
    <s v="ELSTLE"/>
    <m/>
    <s v="ELH"/>
    <s v="ELS HATSON"/>
    <s v="F"/>
    <n v="4"/>
    <s v="TL"/>
    <s v="LONG SLEEVES"/>
    <s v="K"/>
    <n v="708"/>
    <n v="708"/>
    <s v="ELHTLF4708"/>
    <n v="0.33333333333333331"/>
    <s v="ELSTLE1708OROMM"/>
    <s v="OR"/>
    <s v="ORANGE"/>
    <s v="ELHTLF4708OR"/>
    <x v="1"/>
    <n v="0.33333333333333331"/>
    <n v="0"/>
    <n v="1"/>
    <s v="OMM"/>
    <n v="50"/>
    <x v="14"/>
    <n v="5"/>
    <x v="5"/>
    <s v="M"/>
    <s v="IN"/>
    <x v="0"/>
    <n v="69000"/>
    <x v="27"/>
    <n v="13939.393939393938"/>
    <n v="16566.5"/>
    <n v="2627.1060606060619"/>
    <m/>
    <n v="50"/>
    <m/>
    <n v="50"/>
    <n v="14.3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828325"/>
    <n v="3450000"/>
    <n v="3.7863925830605569"/>
  </r>
  <r>
    <n v="0"/>
    <n v="0"/>
    <n v="8"/>
    <n v="8"/>
    <s v="전략"/>
    <x v="30"/>
    <s v="ELH-대경-05"/>
    <s v="ELH-대경-05ELHTLF4708OR"/>
    <n v="24"/>
    <s v="ELH-대경-0524"/>
    <s v="ELH-대경-0524-ELHTLF4708ORANGEOLL"/>
    <s v="ELH의류708"/>
    <s v="ELH"/>
    <s v="ELSTLE"/>
    <m/>
    <s v="ELH"/>
    <s v="ELS HATSON"/>
    <s v="F"/>
    <n v="4"/>
    <s v="TL"/>
    <s v="LONG SLEEVES"/>
    <s v="K"/>
    <n v="708"/>
    <n v="708"/>
    <s v="ELHTLF4708"/>
    <n v="0.33333333333333331"/>
    <s v="ELSTLE1708OROLL"/>
    <s v="OR"/>
    <s v="ORANGE"/>
    <s v="ELHTLF4708OR"/>
    <x v="1"/>
    <n v="0.33333333333333331"/>
    <n v="0"/>
    <n v="1"/>
    <s v="OLL"/>
    <n v="7"/>
    <x v="14"/>
    <n v="5"/>
    <x v="5"/>
    <s v="M"/>
    <s v="IN"/>
    <x v="0"/>
    <n v="69000"/>
    <x v="27"/>
    <n v="13939.393939393938"/>
    <n v="16566.5"/>
    <n v="2627.1060606060619"/>
    <m/>
    <n v="50"/>
    <m/>
    <n v="50"/>
    <n v="14.3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7"/>
    <n v="0"/>
    <n v="0"/>
    <n v="0"/>
    <n v="0"/>
    <n v="0"/>
    <n v="7"/>
    <n v="115965.5"/>
    <n v="483000"/>
    <n v="3.7863925830605569"/>
  </r>
  <r>
    <n v="0"/>
    <n v="0"/>
    <n v="8"/>
    <n v="8"/>
    <s v="전략"/>
    <x v="30"/>
    <s v="ELH-대경-05"/>
    <s v="ELH-대경-05ELHTLF4722BW"/>
    <n v="25"/>
    <s v="ELH-대경-0525"/>
    <s v="ELH-대경-0525-ELHTLF4722BROWNOSS"/>
    <s v="ELH의류722"/>
    <s v="ELH"/>
    <s v="ELSTLE"/>
    <m/>
    <s v="ELH"/>
    <s v="ELS HATSON"/>
    <s v="F"/>
    <n v="4"/>
    <s v="TL"/>
    <s v="LONG SLEEVES"/>
    <s v="K"/>
    <n v="722"/>
    <n v="722"/>
    <s v="ELHTLF4722"/>
    <n v="0.33333333333333331"/>
    <s v="ELSTLE1722BWOSS"/>
    <s v="BW"/>
    <s v="BROWN"/>
    <s v="ELHTLF4722BW"/>
    <x v="1"/>
    <n v="0.33333333333333331"/>
    <n v="0"/>
    <n v="1"/>
    <s v="OSS"/>
    <n v="9"/>
    <x v="14"/>
    <n v="5"/>
    <x v="5"/>
    <s v="M"/>
    <s v="IN"/>
    <x v="0"/>
    <n v="79000"/>
    <x v="27"/>
    <n v="15959.595959595958"/>
    <n v="18356.750000000004"/>
    <n v="2397.1540404040461"/>
    <m/>
    <n v="50"/>
    <m/>
    <n v="50"/>
    <n v="15.8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9"/>
    <n v="0"/>
    <n v="0"/>
    <n v="0"/>
    <n v="0"/>
    <n v="0"/>
    <n v="9"/>
    <n v="165210.75000000003"/>
    <n v="711000"/>
    <n v="3.912358223442701"/>
  </r>
  <r>
    <n v="0"/>
    <n v="0"/>
    <n v="8"/>
    <n v="8"/>
    <s v="전략"/>
    <x v="30"/>
    <s v="ELH-대경-05"/>
    <s v="ELH-대경-05ELHTLF4722BW"/>
    <n v="25"/>
    <s v="ELH-대경-0525"/>
    <s v="ELH-대경-0525-ELHTLF4722BROWNOMM"/>
    <s v="ELH의류722"/>
    <s v="ELH"/>
    <s v="ELSTLE"/>
    <m/>
    <s v="ELH"/>
    <s v="ELS HATSON"/>
    <s v="F"/>
    <n v="4"/>
    <s v="TL"/>
    <s v="LONG SLEEVES"/>
    <s v="K"/>
    <n v="722"/>
    <n v="722"/>
    <s v="ELHTLF4722"/>
    <n v="0.33333333333333331"/>
    <s v="ELSTLE1722BWOMM"/>
    <s v="BW"/>
    <s v="BROWN"/>
    <s v="ELHTLF4722BW"/>
    <x v="1"/>
    <n v="0.33333333333333331"/>
    <n v="0"/>
    <n v="1"/>
    <s v="OMM"/>
    <n v="14"/>
    <x v="14"/>
    <n v="5"/>
    <x v="5"/>
    <s v="M"/>
    <s v="IN"/>
    <x v="0"/>
    <n v="79000"/>
    <x v="27"/>
    <n v="15959.595959595958"/>
    <n v="18356.750000000004"/>
    <n v="2397.1540404040461"/>
    <m/>
    <n v="50"/>
    <m/>
    <n v="50"/>
    <n v="15.8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4"/>
    <n v="0"/>
    <n v="0"/>
    <n v="0"/>
    <n v="0"/>
    <n v="0"/>
    <n v="14"/>
    <n v="256994.50000000006"/>
    <n v="1106000"/>
    <n v="3.912358223442701"/>
  </r>
  <r>
    <n v="0"/>
    <n v="0"/>
    <n v="8"/>
    <n v="8"/>
    <s v="전략"/>
    <x v="30"/>
    <s v="ELH-대경-05"/>
    <s v="ELH-대경-05ELHTLF4722BW"/>
    <n v="25"/>
    <s v="ELH-대경-0525"/>
    <s v="ELH-대경-0525-ELHTLF4722BROWNOLL"/>
    <s v="ELH의류722"/>
    <s v="ELH"/>
    <s v="ELSTLE"/>
    <m/>
    <s v="ELH"/>
    <s v="ELS HATSON"/>
    <s v="F"/>
    <n v="4"/>
    <s v="TL"/>
    <s v="LONG SLEEVES"/>
    <s v="K"/>
    <n v="722"/>
    <n v="722"/>
    <s v="ELHTLF4722"/>
    <n v="0.33333333333333331"/>
    <s v="ELSTLE1722BWOLL"/>
    <s v="BW"/>
    <s v="BROWN"/>
    <s v="ELHTLF4722BW"/>
    <x v="1"/>
    <n v="0.33333333333333331"/>
    <n v="0"/>
    <n v="1"/>
    <s v="OLL"/>
    <n v="5"/>
    <x v="14"/>
    <n v="5"/>
    <x v="5"/>
    <s v="M"/>
    <s v="IN"/>
    <x v="0"/>
    <n v="79000"/>
    <x v="27"/>
    <n v="15959.595959595958"/>
    <n v="18356.750000000004"/>
    <n v="2397.1540404040461"/>
    <m/>
    <n v="50"/>
    <m/>
    <n v="50"/>
    <n v="15.85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91783.750000000015"/>
    <n v="395000"/>
    <n v="3.9123582234427006"/>
  </r>
  <r>
    <n v="0"/>
    <n v="0"/>
    <n v="8"/>
    <n v="8"/>
    <s v="전략"/>
    <x v="30"/>
    <s v="ELH-대경-05"/>
    <s v="ELH-대경-05ELHTLF4723BK"/>
    <n v="26"/>
    <s v="ELH-대경-0526"/>
    <s v="ELH-대경-0526-ELHTLF4723BLACKOSS"/>
    <s v="ELH의류723"/>
    <s v="ELH"/>
    <s v="ELSTLE"/>
    <m/>
    <s v="ELH"/>
    <s v="ELS HATSON"/>
    <s v="F"/>
    <n v="4"/>
    <s v="TL"/>
    <s v="LONG SLEEVES"/>
    <s v="K"/>
    <n v="723"/>
    <n v="723"/>
    <s v="ELHTLF4723"/>
    <n v="0.33333333333333331"/>
    <s v="ELSTLE1723BKOSS"/>
    <s v="BK"/>
    <s v="BLACK"/>
    <s v="ELHTLF4723BK"/>
    <x v="1"/>
    <n v="0.33333333333333331"/>
    <n v="0"/>
    <n v="1"/>
    <s v="OSS"/>
    <n v="49"/>
    <x v="14"/>
    <n v="5"/>
    <x v="5"/>
    <s v="M"/>
    <s v="IN"/>
    <x v="0"/>
    <n v="79000"/>
    <x v="27"/>
    <n v="15959.595959595958"/>
    <n v="18356.750000000004"/>
    <n v="2397.1540404040461"/>
    <m/>
    <n v="50"/>
    <m/>
    <n v="50"/>
    <n v="15.85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49"/>
    <n v="1"/>
    <n v="0"/>
    <n v="0"/>
    <n v="0"/>
    <n v="0"/>
    <n v="49"/>
    <n v="899480.75000000023"/>
    <n v="3871000"/>
    <n v="3.9123582234427006"/>
  </r>
  <r>
    <n v="0"/>
    <n v="0"/>
    <n v="8"/>
    <n v="8"/>
    <s v="전략"/>
    <x v="30"/>
    <s v="ELH-대경-05"/>
    <s v="ELH-대경-05ELHTLF4723BK"/>
    <n v="26"/>
    <s v="ELH-대경-0526"/>
    <s v="ELH-대경-0526-ELHTLF4723BLACKOMM"/>
    <s v="ELH의류723"/>
    <s v="ELH"/>
    <s v="ELSTLE"/>
    <m/>
    <s v="ELH"/>
    <s v="ELS HATSON"/>
    <s v="F"/>
    <n v="4"/>
    <s v="TL"/>
    <s v="LONG SLEEVES"/>
    <s v="K"/>
    <n v="723"/>
    <n v="723"/>
    <s v="ELHTLF4723"/>
    <n v="0.33333333333333331"/>
    <s v="ELSTLE1723BKOMM"/>
    <s v="BK"/>
    <s v="BLACK"/>
    <s v="ELHTLF4723BK"/>
    <x v="1"/>
    <n v="0.33333333333333331"/>
    <n v="0"/>
    <n v="1"/>
    <s v="OMM"/>
    <n v="50"/>
    <x v="14"/>
    <n v="5"/>
    <x v="5"/>
    <s v="M"/>
    <s v="IN"/>
    <x v="0"/>
    <n v="79000"/>
    <x v="27"/>
    <n v="15959.595959595958"/>
    <n v="18356.750000000004"/>
    <n v="2397.1540404040461"/>
    <m/>
    <n v="50"/>
    <m/>
    <n v="50"/>
    <n v="15.85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50"/>
    <n v="0"/>
    <n v="0"/>
    <n v="0"/>
    <n v="0"/>
    <n v="0"/>
    <n v="50"/>
    <n v="917837.50000000023"/>
    <n v="3950000"/>
    <n v="3.9123582234427006"/>
  </r>
  <r>
    <n v="0"/>
    <n v="0"/>
    <n v="8"/>
    <n v="8"/>
    <s v="전략"/>
    <x v="30"/>
    <s v="ELH-대경-05"/>
    <s v="ELH-대경-05ELHTLF4723BK"/>
    <n v="26"/>
    <s v="ELH-대경-0526"/>
    <s v="ELH-대경-0526-ELHTLF4723BLACKOLL"/>
    <s v="ELH의류723"/>
    <s v="ELH"/>
    <s v="ELSTLE"/>
    <m/>
    <s v="ELH"/>
    <s v="ELS HATSON"/>
    <s v="F"/>
    <n v="4"/>
    <s v="TL"/>
    <s v="LONG SLEEVES"/>
    <s v="K"/>
    <n v="723"/>
    <n v="723"/>
    <s v="ELHTLF4723"/>
    <n v="0.33333333333333331"/>
    <s v="ELSTLE1723BKOLL"/>
    <s v="BK"/>
    <s v="BLACK"/>
    <s v="ELHTLF4723BK"/>
    <x v="1"/>
    <n v="0.33333333333333331"/>
    <n v="0"/>
    <n v="1"/>
    <s v="OLL"/>
    <n v="6"/>
    <x v="14"/>
    <n v="5"/>
    <x v="5"/>
    <s v="M"/>
    <s v="IN"/>
    <x v="0"/>
    <n v="79000"/>
    <x v="27"/>
    <n v="15959.595959595958"/>
    <n v="18356.750000000004"/>
    <n v="2397.1540404040461"/>
    <m/>
    <n v="50"/>
    <m/>
    <n v="50"/>
    <n v="15.85"/>
    <m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6"/>
    <n v="0"/>
    <n v="0"/>
    <n v="0"/>
    <n v="0"/>
    <n v="0"/>
    <n v="6"/>
    <n v="110140.50000000003"/>
    <n v="474000"/>
    <n v="3.9123582234427006"/>
  </r>
  <r>
    <n v="0"/>
    <n v="0"/>
    <s v=""/>
    <n v="8"/>
    <s v=""/>
    <x v="1"/>
    <s v=""/>
    <s v=""/>
    <n v="0"/>
    <s v="0"/>
    <s v="0-"/>
    <n v="0"/>
    <s v="TTL"/>
    <s v=""/>
    <s v="ELH-대경-05 TTL"/>
    <m/>
    <s v=""/>
    <s v=""/>
    <m/>
    <m/>
    <s v=""/>
    <m/>
    <m/>
    <s v=""/>
    <s v=""/>
    <n v="19.000000000000014"/>
    <m/>
    <s v=""/>
    <m/>
    <s v=""/>
    <x v="0"/>
    <n v="25.999999999999979"/>
    <n v="0"/>
    <m/>
    <m/>
    <m/>
    <x v="1"/>
    <m/>
    <x v="1"/>
    <m/>
    <m/>
    <x v="1"/>
    <n v="0"/>
    <x v="1"/>
    <n v="0"/>
    <n v="0"/>
    <n v="0"/>
    <m/>
    <m/>
    <m/>
    <n v="0"/>
    <m/>
    <m/>
    <d v="1899-12-30T00:00:00"/>
    <m/>
    <d v="1899-12-30T00:00:00"/>
    <m/>
    <d v="2014-08-11T00:00:00"/>
    <m/>
    <m/>
    <m/>
    <m/>
    <x v="3"/>
    <m/>
    <n v="5705"/>
    <n v="2"/>
    <n v="0"/>
    <n v="0"/>
    <n v="0"/>
    <n v="0"/>
    <n v="5705"/>
    <n v="112495925.5"/>
    <n v="567095000"/>
    <n v="4.5827518356734531"/>
  </r>
  <r>
    <n v="0"/>
    <n v="0"/>
    <n v="8"/>
    <n v="8"/>
    <s v="전략"/>
    <x v="30"/>
    <s v="ELH-EVERGREEN-05"/>
    <s v="ELH-EVERGREEN-05ELHPTF4755YE"/>
    <n v="1"/>
    <s v="ELH-EVERGREEN-051"/>
    <s v="ELH-EVERGREEN-051-ELHPTF4755YELLOWOSS"/>
    <s v="ELH의류755"/>
    <s v="ELH"/>
    <s v="ELSPTE"/>
    <m/>
    <s v="ELH"/>
    <s v="ELS HATSON"/>
    <s v="F"/>
    <n v="4"/>
    <s v="PT"/>
    <s v="PANTS"/>
    <s v="K"/>
    <n v="755"/>
    <n v="755"/>
    <s v="ELHPTF4755"/>
    <n v="0.5"/>
    <s v="ELSPTE1755YEOSS"/>
    <s v="YE"/>
    <s v="YELLOW"/>
    <s v="ELHPTF4755YE"/>
    <x v="1"/>
    <n v="0.5"/>
    <n v="0"/>
    <n v="1"/>
    <s v="OSS"/>
    <n v="50"/>
    <x v="13"/>
    <n v="5"/>
    <x v="5"/>
    <s v="M"/>
    <s v="CN"/>
    <x v="0"/>
    <n v="65000"/>
    <x v="27"/>
    <n v="11818.181818181818"/>
    <n v="11535.320000000002"/>
    <n v="-282.86181818181649"/>
    <m/>
    <n v="50"/>
    <m/>
    <n v="50"/>
    <n v="8.8000000000000007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48"/>
    <n v="0"/>
    <n v="0"/>
    <n v="0"/>
    <n v="0"/>
    <n v="0"/>
    <n v="50"/>
    <n v="576766.00000000012"/>
    <n v="3250000"/>
    <n v="5.1226068363000827"/>
  </r>
  <r>
    <n v="0"/>
    <n v="0"/>
    <n v="8"/>
    <n v="8"/>
    <s v="전략"/>
    <x v="30"/>
    <s v="ELH-EVERGREEN-05"/>
    <s v="ELH-EVERGREEN-05ELHPTF4755YE"/>
    <n v="1"/>
    <s v="ELH-EVERGREEN-051"/>
    <s v="ELH-EVERGREEN-051-ELHPTF4755YELLOWOMM"/>
    <s v="ELH의류755"/>
    <s v="ELH"/>
    <s v="ELSPTE"/>
    <m/>
    <s v="ELH"/>
    <s v="ELS HATSON"/>
    <s v="F"/>
    <n v="4"/>
    <s v="PT"/>
    <s v="PANTS"/>
    <s v="K"/>
    <n v="755"/>
    <n v="755"/>
    <s v="ELHPTF4755"/>
    <n v="0.5"/>
    <s v="ELSPTE1755YEOMM"/>
    <s v="YE"/>
    <s v="YELLOW"/>
    <s v="ELHPTF4755YE"/>
    <x v="1"/>
    <n v="0.5"/>
    <n v="0"/>
    <n v="1"/>
    <s v="OMM"/>
    <n v="19"/>
    <x v="13"/>
    <n v="5"/>
    <x v="5"/>
    <s v="M"/>
    <s v="CN"/>
    <x v="0"/>
    <n v="65000"/>
    <x v="27"/>
    <n v="11818.181818181818"/>
    <n v="11535.320000000002"/>
    <n v="-282.86181818181649"/>
    <m/>
    <n v="50"/>
    <m/>
    <n v="50"/>
    <n v="8.8000000000000007"/>
    <m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8"/>
    <n v="0"/>
    <n v="0"/>
    <n v="0"/>
    <n v="0"/>
    <n v="0"/>
    <n v="19"/>
    <n v="219171.08000000002"/>
    <n v="1235000"/>
    <n v="5.1226068363000836"/>
  </r>
  <r>
    <n v="0"/>
    <n v="0"/>
    <s v=""/>
    <s v=""/>
    <s v=""/>
    <x v="1"/>
    <s v=""/>
    <s v=""/>
    <n v="0"/>
    <s v="0"/>
    <s v="0-"/>
    <n v="0"/>
    <s v="TTL"/>
    <s v=""/>
    <s v="ELH-EVERGREEN-05 TTL"/>
    <m/>
    <s v=""/>
    <s v=""/>
    <m/>
    <m/>
    <s v=""/>
    <m/>
    <m/>
    <s v=""/>
    <s v=""/>
    <n v="1"/>
    <m/>
    <s v=""/>
    <m/>
    <s v=""/>
    <x v="0"/>
    <n v="1"/>
    <n v="0"/>
    <m/>
    <m/>
    <m/>
    <x v="1"/>
    <m/>
    <x v="1"/>
    <m/>
    <m/>
    <x v="1"/>
    <n v="0"/>
    <x v="1"/>
    <n v="0"/>
    <n v="0"/>
    <n v="0"/>
    <m/>
    <m/>
    <m/>
    <n v="0"/>
    <m/>
    <m/>
    <d v="1899-12-30T00:00:00"/>
    <m/>
    <d v="1899-12-30T00:00:00"/>
    <m/>
    <m/>
    <m/>
    <m/>
    <m/>
    <m/>
    <x v="3"/>
    <m/>
    <n v="66"/>
    <n v="0"/>
    <n v="0"/>
    <n v="0"/>
    <n v="0"/>
    <n v="0"/>
    <n v="69"/>
    <n v="795937.08000000007"/>
    <n v="4485000"/>
    <n v="5.1226068363000836"/>
  </r>
  <r>
    <n v="0"/>
    <n v="0"/>
    <n v="8"/>
    <n v="8"/>
    <s v="전략"/>
    <x v="30"/>
    <s v="ELH-아트인드림-08"/>
    <s v="ELH-아트인드림-08ELHPTF4757GY"/>
    <n v="1"/>
    <s v="ELH-아트인드림-081"/>
    <s v="ELH-아트인드림-081-ELHPTF4757GREYOSS"/>
    <s v="ELH의류757"/>
    <s v="ELH"/>
    <s v="ELSPTE"/>
    <m/>
    <s v="ELH"/>
    <s v="ELS HATSON"/>
    <s v="F"/>
    <n v="4"/>
    <s v="PT"/>
    <s v="PANTS"/>
    <s v="K"/>
    <n v="757"/>
    <n v="757"/>
    <s v="ELHPTF4757"/>
    <n v="0.5"/>
    <s v="ELSPTE1757GYOSS"/>
    <s v="GY"/>
    <s v="GREY"/>
    <s v="ELHPTF4757GY"/>
    <x v="1"/>
    <n v="0.5"/>
    <n v="0"/>
    <n v="1"/>
    <s v="OSS"/>
    <n v="43"/>
    <x v="15"/>
    <n v="8"/>
    <x v="15"/>
    <s v="M"/>
    <s v="KR"/>
    <x v="3"/>
    <n v="85000"/>
    <x v="27"/>
    <n v="21464.646464646463"/>
    <n v="21120"/>
    <n v="-344.64646464646285"/>
    <m/>
    <n v="20"/>
    <m/>
    <n v="20"/>
    <m/>
    <n v="211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9"/>
    <n v="0"/>
    <n v="0"/>
    <n v="0"/>
    <n v="0"/>
    <n v="0"/>
    <n v="43"/>
    <n v="908160"/>
    <n v="3655000"/>
    <n v="3.6587465564738286"/>
  </r>
  <r>
    <n v="0"/>
    <n v="0"/>
    <n v="8"/>
    <n v="8"/>
    <s v="전략"/>
    <x v="30"/>
    <s v="ELH-아트인드림-08"/>
    <s v="ELH-아트인드림-08ELHPTF4757GY"/>
    <n v="1"/>
    <s v="ELH-아트인드림-081"/>
    <s v="ELH-아트인드림-081-ELHPTF4757GREYOMM"/>
    <s v="ELH의류757"/>
    <s v="ELH"/>
    <s v="ELSPTE"/>
    <m/>
    <s v="ELH"/>
    <s v="ELS HATSON"/>
    <s v="F"/>
    <n v="4"/>
    <s v="PT"/>
    <s v="PANTS"/>
    <s v="K"/>
    <n v="757"/>
    <n v="757"/>
    <s v="ELHPTF4757"/>
    <n v="0.5"/>
    <s v="ELSPTE1757GYOMM"/>
    <s v="GY"/>
    <s v="GREY"/>
    <s v="ELHPTF4757GY"/>
    <x v="1"/>
    <n v="0.5"/>
    <n v="0"/>
    <n v="1"/>
    <s v="OMM"/>
    <n v="20"/>
    <x v="15"/>
    <n v="8"/>
    <x v="15"/>
    <s v="M"/>
    <s v="KR"/>
    <x v="3"/>
    <n v="85000"/>
    <x v="27"/>
    <n v="21464.646464646463"/>
    <n v="21120"/>
    <n v="-344.64646464646285"/>
    <m/>
    <n v="20"/>
    <m/>
    <n v="20"/>
    <m/>
    <n v="211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22"/>
    <n v="0"/>
    <n v="0"/>
    <n v="0"/>
    <n v="0"/>
    <n v="0"/>
    <n v="20"/>
    <n v="422400"/>
    <n v="1700000"/>
    <n v="3.6587465564738286"/>
  </r>
  <r>
    <n v="0"/>
    <n v="0"/>
    <s v=""/>
    <s v=""/>
    <s v=""/>
    <x v="1"/>
    <s v=""/>
    <s v=""/>
    <n v="0"/>
    <s v="0"/>
    <s v="0-"/>
    <n v="0"/>
    <s v="TTL"/>
    <s v=""/>
    <s v="ELH-아트인드림-08 TTL"/>
    <m/>
    <s v=""/>
    <s v=""/>
    <s v=""/>
    <m/>
    <s v=""/>
    <s v="K"/>
    <s v=""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1"/>
    <n v="0"/>
    <n v="0"/>
    <n v="0"/>
    <n v="0"/>
    <n v="0"/>
    <n v="63"/>
    <n v="1330560"/>
    <n v="5355000"/>
    <n v="3.6587465564738286"/>
  </r>
  <r>
    <n v="0"/>
    <n v="0"/>
    <n v="8"/>
    <n v="8"/>
    <s v="전략"/>
    <x v="30"/>
    <s v="ELH-아트인드림-09"/>
    <s v="ELH-아트인드림-09ELHJPF4832BK"/>
    <n v="1"/>
    <s v="ELH-아트인드림-091"/>
    <s v="ELH-아트인드림-091-ELHJPF4832BLACKOXS"/>
    <s v="ELH의류832"/>
    <s v="ELH"/>
    <s v="ELSJPE"/>
    <m/>
    <s v="ELH"/>
    <s v="ELS HATSON"/>
    <s v="F"/>
    <n v="4"/>
    <s v="JP"/>
    <s v="JUMPER"/>
    <s v="K"/>
    <n v="832"/>
    <n v="832"/>
    <s v="ELHJPF4832"/>
    <n v="0.1111111111111111"/>
    <s v="ELSJPE4832BKOXS"/>
    <s v="BK"/>
    <s v="BLACK"/>
    <s v="ELHJPF4832BK"/>
    <x v="1"/>
    <n v="0.33333333333333331"/>
    <n v="0"/>
    <n v="1"/>
    <s v="OXS"/>
    <n v="50"/>
    <x v="15"/>
    <n v="9"/>
    <x v="8"/>
    <s v="M"/>
    <s v="KR"/>
    <x v="3"/>
    <n v="89000"/>
    <x v="27"/>
    <n v="22474.74747474747"/>
    <n v="21020"/>
    <n v="-1454.7474747474698"/>
    <m/>
    <n v="20"/>
    <m/>
    <n v="20"/>
    <m/>
    <n v="21000"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50"/>
    <n v="0"/>
    <n v="0"/>
    <n v="0"/>
    <n v="0"/>
    <n v="0"/>
    <n v="50"/>
    <n v="1051000"/>
    <n v="4450000"/>
    <n v="3.849147997578064"/>
  </r>
  <r>
    <n v="0"/>
    <n v="0"/>
    <n v="8"/>
    <n v="8"/>
    <s v="전략"/>
    <x v="30"/>
    <s v="ELH-아트인드림-09"/>
    <s v="ELH-아트인드림-09ELHJPF4832BK"/>
    <n v="1"/>
    <s v="ELH-아트인드림-091"/>
    <s v="ELH-아트인드림-091-ELHJPF4832BLACKOMM"/>
    <s v="ELH의류832"/>
    <s v="ELH"/>
    <s v="ELSJPE"/>
    <m/>
    <s v="ELH"/>
    <s v="ELS HATSON"/>
    <s v="F"/>
    <n v="4"/>
    <s v="JP"/>
    <s v="JUMPER"/>
    <s v="K"/>
    <n v="832"/>
    <n v="832"/>
    <s v="ELHJPF4832"/>
    <n v="0.1111111111111111"/>
    <s v="ELSJPE4832BKOMM"/>
    <s v="BK"/>
    <s v="BLACK"/>
    <s v="ELHJPF4832BK"/>
    <x v="1"/>
    <n v="0.33333333333333331"/>
    <n v="0"/>
    <n v="1"/>
    <s v="OMM"/>
    <n v="50"/>
    <x v="15"/>
    <n v="9"/>
    <x v="8"/>
    <s v="M"/>
    <s v="KR"/>
    <x v="3"/>
    <n v="89000"/>
    <x v="27"/>
    <n v="22474.74747474747"/>
    <n v="21020"/>
    <n v="-1454.7474747474698"/>
    <m/>
    <n v="20"/>
    <m/>
    <n v="20"/>
    <m/>
    <n v="21000"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50"/>
    <n v="0"/>
    <n v="0"/>
    <n v="0"/>
    <n v="0"/>
    <n v="0"/>
    <n v="50"/>
    <n v="1051000"/>
    <n v="4450000"/>
    <n v="3.849147997578064"/>
  </r>
  <r>
    <n v="0"/>
    <n v="0"/>
    <n v="8"/>
    <n v="8"/>
    <s v="전략"/>
    <x v="30"/>
    <s v="ELH-아트인드림-09"/>
    <s v="ELH-아트인드림-09ELHJPF4832BK"/>
    <n v="1"/>
    <s v="ELH-아트인드림-091"/>
    <s v="ELH-아트인드림-091-ELHJPF4832BLACKOXL"/>
    <s v="ELH의류832"/>
    <s v="ELH"/>
    <s v="ELSJPE"/>
    <m/>
    <s v="ELH"/>
    <s v="ELS HATSON"/>
    <s v="F"/>
    <n v="4"/>
    <s v="JP"/>
    <s v="JUMPER"/>
    <s v="K"/>
    <n v="832"/>
    <n v="832"/>
    <s v="ELHJPF4832"/>
    <n v="0.1111111111111111"/>
    <s v="ELSJPE4832BKOXL"/>
    <s v="BK"/>
    <s v="BLACK"/>
    <s v="ELHJPF4832BK"/>
    <x v="1"/>
    <n v="0.33333333333333331"/>
    <n v="0"/>
    <n v="1"/>
    <s v="OXL"/>
    <n v="50"/>
    <x v="15"/>
    <n v="9"/>
    <x v="8"/>
    <s v="M"/>
    <s v="KR"/>
    <x v="3"/>
    <n v="89000"/>
    <x v="27"/>
    <n v="22474.74747474747"/>
    <n v="21020"/>
    <n v="-1454.7474747474698"/>
    <m/>
    <n v="20"/>
    <m/>
    <n v="20"/>
    <m/>
    <n v="21000"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49"/>
    <n v="1"/>
    <n v="0"/>
    <n v="0"/>
    <n v="0"/>
    <n v="0"/>
    <n v="50"/>
    <n v="1051000"/>
    <n v="4450000"/>
    <n v="3.849147997578064"/>
  </r>
  <r>
    <n v="0"/>
    <n v="0"/>
    <n v="8"/>
    <n v="8"/>
    <s v="전략"/>
    <x v="30"/>
    <s v="ELH-아트인드림-09"/>
    <s v="ELH-아트인드림-09ELHJPF4832BW"/>
    <n v="2"/>
    <s v="ELH-아트인드림-092"/>
    <s v="ELH-아트인드림-092-ELHJPF4832BROWNOXS"/>
    <s v="ELH의류832"/>
    <s v="ELH"/>
    <s v="ELSJPE"/>
    <m/>
    <s v="ELH"/>
    <s v="ELS HATSON"/>
    <s v="F"/>
    <n v="4"/>
    <s v="JP"/>
    <s v="JUMPER"/>
    <s v="K"/>
    <n v="832"/>
    <n v="832"/>
    <s v="ELHJPF4832"/>
    <n v="0.1111111111111111"/>
    <s v="ELSJPE4832BWOXS"/>
    <s v="BW"/>
    <s v="BROWN"/>
    <s v="ELHJPF4832BW"/>
    <x v="1"/>
    <n v="0.33333333333333331"/>
    <n v="0"/>
    <n v="1"/>
    <s v="OXS"/>
    <n v="50"/>
    <x v="15"/>
    <n v="9"/>
    <x v="8"/>
    <s v="M"/>
    <s v="KR"/>
    <x v="3"/>
    <n v="89000"/>
    <x v="27"/>
    <n v="22474.74747474747"/>
    <n v="21020"/>
    <n v="-1454.7474747474698"/>
    <m/>
    <n v="20"/>
    <m/>
    <n v="20"/>
    <m/>
    <n v="210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051000"/>
    <n v="4450000"/>
    <n v="3.849147997578064"/>
  </r>
  <r>
    <n v="0"/>
    <n v="0"/>
    <n v="8"/>
    <n v="8"/>
    <s v="전략"/>
    <x v="30"/>
    <s v="ELH-아트인드림-09"/>
    <s v="ELH-아트인드림-09ELHJPF4832BW"/>
    <n v="2"/>
    <s v="ELH-아트인드림-092"/>
    <s v="ELH-아트인드림-092-ELHJPF4832BROWNOMM"/>
    <s v="ELH의류832"/>
    <s v="ELH"/>
    <s v="ELSJPE"/>
    <m/>
    <s v="ELH"/>
    <s v="ELS HATSON"/>
    <s v="F"/>
    <n v="4"/>
    <s v="JP"/>
    <s v="JUMPER"/>
    <s v="K"/>
    <n v="832"/>
    <n v="832"/>
    <s v="ELHJPF4832"/>
    <n v="0.1111111111111111"/>
    <s v="ELSJPE4832BWOMM"/>
    <s v="BW"/>
    <s v="BROWN"/>
    <s v="ELHJPF4832BW"/>
    <x v="1"/>
    <n v="0.33333333333333331"/>
    <n v="0"/>
    <n v="1"/>
    <s v="OMM"/>
    <n v="50"/>
    <x v="15"/>
    <n v="9"/>
    <x v="8"/>
    <s v="M"/>
    <s v="KR"/>
    <x v="3"/>
    <n v="89000"/>
    <x v="27"/>
    <n v="22474.74747474747"/>
    <n v="21020"/>
    <n v="-1454.7474747474698"/>
    <m/>
    <n v="20"/>
    <m/>
    <n v="20"/>
    <m/>
    <n v="210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051000"/>
    <n v="4450000"/>
    <n v="3.849147997578064"/>
  </r>
  <r>
    <n v="0"/>
    <n v="0"/>
    <n v="8"/>
    <n v="8"/>
    <s v="전략"/>
    <x v="30"/>
    <s v="ELH-아트인드림-09"/>
    <s v="ELH-아트인드림-09ELHJPF4832BW"/>
    <n v="2"/>
    <s v="ELH-아트인드림-092"/>
    <s v="ELH-아트인드림-092-ELHJPF4832BROWNOXL"/>
    <s v="ELH의류832"/>
    <s v="ELH"/>
    <s v="ELSJPE"/>
    <m/>
    <s v="ELH"/>
    <s v="ELS HATSON"/>
    <s v="F"/>
    <n v="4"/>
    <s v="JP"/>
    <s v="JUMPER"/>
    <s v="K"/>
    <n v="832"/>
    <n v="832"/>
    <s v="ELHJPF4832"/>
    <n v="0.1111111111111111"/>
    <s v="ELSJPE4832BWOXL"/>
    <s v="BW"/>
    <s v="BROWN"/>
    <s v="ELHJPF4832BW"/>
    <x v="1"/>
    <n v="0.33333333333333331"/>
    <n v="0"/>
    <n v="1"/>
    <s v="OXL"/>
    <n v="50"/>
    <x v="15"/>
    <n v="9"/>
    <x v="8"/>
    <s v="M"/>
    <s v="KR"/>
    <x v="3"/>
    <n v="89000"/>
    <x v="27"/>
    <n v="22474.74747474747"/>
    <n v="21020"/>
    <n v="-1454.7474747474698"/>
    <m/>
    <n v="20"/>
    <m/>
    <n v="20"/>
    <m/>
    <n v="210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051000"/>
    <n v="4450000"/>
    <n v="3.849147997578064"/>
  </r>
  <r>
    <n v="0"/>
    <n v="0"/>
    <n v="8"/>
    <n v="8"/>
    <s v="전략"/>
    <x v="30"/>
    <s v="ELH-아트인드림-09"/>
    <s v="ELH-아트인드림-09ELHJPF4832RE"/>
    <n v="3"/>
    <s v="ELH-아트인드림-093"/>
    <s v="ELH-아트인드림-093-ELHJPF4832REDOXS"/>
    <s v="ELH의류832"/>
    <s v="ELH"/>
    <s v="ELSJPE"/>
    <m/>
    <s v="ELH"/>
    <s v="ELS HATSON"/>
    <s v="F"/>
    <n v="4"/>
    <s v="JP"/>
    <s v="JUMPER"/>
    <s v="K"/>
    <n v="832"/>
    <n v="832"/>
    <s v="ELHJPF4832"/>
    <n v="0.1111111111111111"/>
    <s v="ELSJPE4832REOXS"/>
    <s v="RE"/>
    <s v="RED"/>
    <s v="ELHJPF4832RE"/>
    <x v="1"/>
    <n v="0.33333333333333331"/>
    <n v="0"/>
    <n v="1"/>
    <s v="OXS"/>
    <n v="50"/>
    <x v="15"/>
    <n v="9"/>
    <x v="8"/>
    <s v="M"/>
    <s v="KR"/>
    <x v="3"/>
    <n v="89000"/>
    <x v="27"/>
    <n v="22474.74747474747"/>
    <n v="20020"/>
    <n v="-2454.7474747474698"/>
    <m/>
    <n v="20"/>
    <m/>
    <n v="20"/>
    <m/>
    <n v="200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001000"/>
    <n v="4450000"/>
    <n v="4.0414131323222229"/>
  </r>
  <r>
    <n v="0"/>
    <n v="0"/>
    <n v="8"/>
    <n v="8"/>
    <s v="전략"/>
    <x v="30"/>
    <s v="ELH-아트인드림-09"/>
    <s v="ELH-아트인드림-09ELHJPF4832RE"/>
    <n v="3"/>
    <s v="ELH-아트인드림-093"/>
    <s v="ELH-아트인드림-093-ELHJPF4832REDOMM"/>
    <s v="ELH의류832"/>
    <s v="ELH"/>
    <s v="ELSJPE"/>
    <m/>
    <s v="ELH"/>
    <s v="ELS HATSON"/>
    <s v="F"/>
    <n v="4"/>
    <s v="JP"/>
    <s v="JUMPER"/>
    <s v="K"/>
    <n v="832"/>
    <n v="832"/>
    <s v="ELHJPF4832"/>
    <n v="0.1111111111111111"/>
    <s v="ELSJPE4832REOMM"/>
    <s v="RE"/>
    <s v="RED"/>
    <s v="ELHJPF4832RE"/>
    <x v="1"/>
    <n v="0.33333333333333331"/>
    <n v="0"/>
    <n v="1"/>
    <s v="OMM"/>
    <n v="50"/>
    <x v="15"/>
    <n v="9"/>
    <x v="8"/>
    <s v="M"/>
    <s v="KR"/>
    <x v="3"/>
    <n v="89000"/>
    <x v="27"/>
    <n v="22474.74747474747"/>
    <n v="20020"/>
    <n v="-2454.7474747474698"/>
    <m/>
    <n v="20"/>
    <m/>
    <n v="20"/>
    <m/>
    <n v="200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001000"/>
    <n v="4450000"/>
    <n v="4.0414131323222229"/>
  </r>
  <r>
    <n v="0"/>
    <n v="0"/>
    <n v="8"/>
    <n v="8"/>
    <s v="전략"/>
    <x v="30"/>
    <s v="ELH-아트인드림-09"/>
    <s v="ELH-아트인드림-09ELHJPF4832RE"/>
    <n v="3"/>
    <s v="ELH-아트인드림-093"/>
    <s v="ELH-아트인드림-093-ELHJPF4832REDOXL"/>
    <s v="ELH의류832"/>
    <s v="ELH"/>
    <s v="ELSJPE"/>
    <m/>
    <s v="ELH"/>
    <s v="ELS HATSON"/>
    <s v="F"/>
    <n v="4"/>
    <s v="JP"/>
    <s v="JUMPER"/>
    <s v="K"/>
    <n v="832"/>
    <n v="832"/>
    <s v="ELHJPF4832"/>
    <n v="0.1111111111111111"/>
    <s v="ELSJPE4832REOXL"/>
    <s v="RE"/>
    <s v="RED"/>
    <s v="ELHJPF4832RE"/>
    <x v="1"/>
    <n v="0.33333333333333331"/>
    <n v="0"/>
    <n v="1"/>
    <s v="OXL"/>
    <n v="50"/>
    <x v="15"/>
    <n v="9"/>
    <x v="8"/>
    <s v="M"/>
    <s v="KR"/>
    <x v="3"/>
    <n v="89000"/>
    <x v="27"/>
    <n v="22474.74747474747"/>
    <n v="20020"/>
    <n v="-2454.7474747474698"/>
    <m/>
    <n v="20"/>
    <m/>
    <n v="20"/>
    <m/>
    <n v="200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001000"/>
    <n v="4450000"/>
    <n v="4.0414131323222229"/>
  </r>
  <r>
    <n v="0"/>
    <n v="0"/>
    <n v="8"/>
    <n v="8"/>
    <s v="전략"/>
    <x v="30"/>
    <s v="ELH-아트인드림-09"/>
    <s v="ELH-아트인드림-09ELHPTF4833BK"/>
    <n v="4"/>
    <s v="ELH-아트인드림-094"/>
    <s v="ELH-아트인드림-094-ELHPTF4833BLACKOXS"/>
    <s v="ELH의류833"/>
    <s v="ELH"/>
    <s v="ELSPTE"/>
    <m/>
    <s v="ELH"/>
    <s v="ELS HATSON"/>
    <s v="F"/>
    <n v="4"/>
    <s v="PT"/>
    <s v="PANTS"/>
    <s v="K"/>
    <n v="833"/>
    <n v="833"/>
    <s v="ELHPTF4833"/>
    <n v="0.1111111111111111"/>
    <s v="ELSPTE4833BKOXS"/>
    <s v="BK"/>
    <s v="BLACK"/>
    <s v="ELHPTF4833BK"/>
    <x v="1"/>
    <n v="0.33333333333333331"/>
    <n v="0"/>
    <n v="1"/>
    <s v="OXS"/>
    <n v="50"/>
    <x v="15"/>
    <n v="9"/>
    <x v="8"/>
    <s v="M"/>
    <s v="KR"/>
    <x v="3"/>
    <n v="59000"/>
    <x v="27"/>
    <n v="14898.989898989897"/>
    <n v="12520"/>
    <n v="-2378.9898989898975"/>
    <m/>
    <n v="20"/>
    <m/>
    <n v="20"/>
    <m/>
    <n v="125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626000"/>
    <n v="2950000"/>
    <n v="4.2840546035434217"/>
  </r>
  <r>
    <n v="0"/>
    <n v="0"/>
    <n v="8"/>
    <n v="8"/>
    <s v="전략"/>
    <x v="30"/>
    <s v="ELH-아트인드림-09"/>
    <s v="ELH-아트인드림-09ELHPTF4833BK"/>
    <n v="4"/>
    <s v="ELH-아트인드림-094"/>
    <s v="ELH-아트인드림-094-ELHPTF4833BLACKOMM"/>
    <s v="ELH의류833"/>
    <s v="ELH"/>
    <s v="ELSPTE"/>
    <m/>
    <s v="ELH"/>
    <s v="ELS HATSON"/>
    <s v="F"/>
    <n v="4"/>
    <s v="PT"/>
    <s v="PANTS"/>
    <s v="K"/>
    <n v="833"/>
    <n v="833"/>
    <s v="ELHPTF4833"/>
    <n v="0.1111111111111111"/>
    <s v="ELSPTE4833BKOMM"/>
    <s v="BK"/>
    <s v="BLACK"/>
    <s v="ELHPTF4833BK"/>
    <x v="1"/>
    <n v="0.33333333333333331"/>
    <n v="0"/>
    <n v="1"/>
    <s v="OMM"/>
    <n v="50"/>
    <x v="15"/>
    <n v="9"/>
    <x v="8"/>
    <s v="M"/>
    <s v="KR"/>
    <x v="3"/>
    <n v="59000"/>
    <x v="27"/>
    <n v="14898.989898989897"/>
    <n v="12520"/>
    <n v="-2378.9898989898975"/>
    <m/>
    <n v="20"/>
    <m/>
    <n v="20"/>
    <m/>
    <n v="125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626000"/>
    <n v="2950000"/>
    <n v="4.2840546035434217"/>
  </r>
  <r>
    <n v="0"/>
    <n v="0"/>
    <n v="8"/>
    <n v="8"/>
    <s v="전략"/>
    <x v="30"/>
    <s v="ELH-아트인드림-09"/>
    <s v="ELH-아트인드림-09ELHPTF4833BK"/>
    <n v="4"/>
    <s v="ELH-아트인드림-094"/>
    <s v="ELH-아트인드림-094-ELHPTF4833BLACKOXL"/>
    <s v="ELH의류833"/>
    <s v="ELH"/>
    <s v="ELSPTE"/>
    <m/>
    <s v="ELH"/>
    <s v="ELS HATSON"/>
    <s v="F"/>
    <n v="4"/>
    <s v="PT"/>
    <s v="PANTS"/>
    <s v="K"/>
    <n v="833"/>
    <n v="833"/>
    <s v="ELHPTF4833"/>
    <n v="0.1111111111111111"/>
    <s v="ELSPTE4833BKOXL"/>
    <s v="BK"/>
    <s v="BLACK"/>
    <s v="ELHPTF4833BK"/>
    <x v="1"/>
    <n v="0.33333333333333331"/>
    <n v="0"/>
    <n v="1"/>
    <s v="OXL"/>
    <n v="50"/>
    <x v="15"/>
    <n v="9"/>
    <x v="8"/>
    <s v="M"/>
    <s v="KR"/>
    <x v="3"/>
    <n v="59000"/>
    <x v="27"/>
    <n v="14898.989898989897"/>
    <n v="12520"/>
    <n v="-2378.9898989898975"/>
    <m/>
    <n v="20"/>
    <m/>
    <n v="20"/>
    <m/>
    <n v="125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626000"/>
    <n v="2950000"/>
    <n v="4.2840546035434217"/>
  </r>
  <r>
    <n v="0"/>
    <n v="0"/>
    <n v="8"/>
    <n v="8"/>
    <s v="전략"/>
    <x v="30"/>
    <s v="ELH-아트인드림-09"/>
    <s v="ELH-아트인드림-09ELHPTF4833BW"/>
    <n v="5"/>
    <s v="ELH-아트인드림-095"/>
    <s v="ELH-아트인드림-095-ELHPTF4833BROWNOXS"/>
    <s v="ELH의류833"/>
    <s v="ELH"/>
    <s v="ELSPTE"/>
    <m/>
    <s v="ELH"/>
    <s v="ELS HATSON"/>
    <s v="F"/>
    <n v="4"/>
    <s v="PT"/>
    <s v="PANTS"/>
    <s v="K"/>
    <n v="833"/>
    <n v="833"/>
    <s v="ELHPTF4833"/>
    <n v="0.1111111111111111"/>
    <s v="ELSPTE4833BWOXS"/>
    <s v="BW"/>
    <s v="BROWN"/>
    <s v="ELHPTF4833BW"/>
    <x v="1"/>
    <n v="0.33333333333333331"/>
    <n v="0"/>
    <n v="1"/>
    <s v="OXS"/>
    <n v="50"/>
    <x v="15"/>
    <n v="9"/>
    <x v="8"/>
    <s v="M"/>
    <s v="KR"/>
    <x v="3"/>
    <n v="59000"/>
    <x v="27"/>
    <n v="14898.989898989897"/>
    <n v="12520"/>
    <n v="-2378.9898989898975"/>
    <m/>
    <n v="20"/>
    <m/>
    <n v="20"/>
    <m/>
    <n v="12500"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50"/>
    <n v="1"/>
    <n v="0"/>
    <n v="0"/>
    <n v="0"/>
    <n v="0"/>
    <n v="50"/>
    <n v="626000"/>
    <n v="2950000"/>
    <n v="4.2840546035434217"/>
  </r>
  <r>
    <n v="0"/>
    <n v="0"/>
    <n v="8"/>
    <n v="8"/>
    <s v="전략"/>
    <x v="30"/>
    <s v="ELH-아트인드림-09"/>
    <s v="ELH-아트인드림-09ELHPTF4833BW"/>
    <n v="5"/>
    <s v="ELH-아트인드림-095"/>
    <s v="ELH-아트인드림-095-ELHPTF4833BROWNOMM"/>
    <s v="ELH의류833"/>
    <s v="ELH"/>
    <s v="ELSPTE"/>
    <m/>
    <s v="ELH"/>
    <s v="ELS HATSON"/>
    <s v="F"/>
    <n v="4"/>
    <s v="PT"/>
    <s v="PANTS"/>
    <s v="K"/>
    <n v="833"/>
    <n v="833"/>
    <s v="ELHPTF4833"/>
    <n v="0.1111111111111111"/>
    <s v="ELSPTE4833BWOMM"/>
    <s v="BW"/>
    <s v="BROWN"/>
    <s v="ELHPTF4833BW"/>
    <x v="1"/>
    <n v="0.33333333333333331"/>
    <n v="0"/>
    <n v="1"/>
    <s v="OMM"/>
    <n v="50"/>
    <x v="15"/>
    <n v="9"/>
    <x v="8"/>
    <s v="M"/>
    <s v="KR"/>
    <x v="3"/>
    <n v="59000"/>
    <x v="27"/>
    <n v="14898.989898989897"/>
    <n v="12520"/>
    <n v="-2378.9898989898975"/>
    <m/>
    <n v="20"/>
    <m/>
    <n v="20"/>
    <m/>
    <n v="12500"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50"/>
    <n v="0"/>
    <n v="0"/>
    <n v="0"/>
    <n v="0"/>
    <n v="0"/>
    <n v="50"/>
    <n v="626000"/>
    <n v="2950000"/>
    <n v="4.2840546035434217"/>
  </r>
  <r>
    <n v="0"/>
    <n v="0"/>
    <n v="8"/>
    <n v="8"/>
    <s v="전략"/>
    <x v="30"/>
    <s v="ELH-아트인드림-09"/>
    <s v="ELH-아트인드림-09ELHPTF4833BW"/>
    <n v="5"/>
    <s v="ELH-아트인드림-095"/>
    <s v="ELH-아트인드림-095-ELHPTF4833BROWNOXL"/>
    <s v="ELH의류833"/>
    <s v="ELH"/>
    <s v="ELSPTE"/>
    <m/>
    <s v="ELH"/>
    <s v="ELS HATSON"/>
    <s v="F"/>
    <n v="4"/>
    <s v="PT"/>
    <s v="PANTS"/>
    <s v="K"/>
    <n v="833"/>
    <n v="833"/>
    <s v="ELHPTF4833"/>
    <n v="0.1111111111111111"/>
    <s v="ELSPTE4833BWOXL"/>
    <s v="BW"/>
    <s v="BROWN"/>
    <s v="ELHPTF4833BW"/>
    <x v="1"/>
    <n v="0.33333333333333331"/>
    <n v="0"/>
    <n v="1"/>
    <s v="OXL"/>
    <n v="50"/>
    <x v="15"/>
    <n v="9"/>
    <x v="8"/>
    <s v="M"/>
    <s v="KR"/>
    <x v="3"/>
    <n v="59000"/>
    <x v="27"/>
    <n v="14898.989898989897"/>
    <n v="12520"/>
    <n v="-2378.9898989898975"/>
    <m/>
    <n v="20"/>
    <m/>
    <n v="20"/>
    <m/>
    <n v="12500"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50"/>
    <n v="1"/>
    <n v="0"/>
    <n v="0"/>
    <n v="0"/>
    <n v="0"/>
    <n v="50"/>
    <n v="626000"/>
    <n v="2950000"/>
    <n v="4.2840546035434217"/>
  </r>
  <r>
    <n v="0"/>
    <n v="0"/>
    <n v="8"/>
    <n v="8"/>
    <s v="전략"/>
    <x v="30"/>
    <s v="ELH-아트인드림-09"/>
    <s v="ELH-아트인드림-09ELHPTF4833RE"/>
    <n v="6"/>
    <s v="ELH-아트인드림-096"/>
    <s v="ELH-아트인드림-096-ELHPTF4833REDOXS"/>
    <s v="ELH의류833"/>
    <s v="ELH"/>
    <s v="ELSPTE"/>
    <m/>
    <s v="ELH"/>
    <s v="ELS HATSON"/>
    <s v="F"/>
    <n v="4"/>
    <s v="PT"/>
    <s v="PANTS"/>
    <s v="K"/>
    <n v="833"/>
    <n v="833"/>
    <s v="ELHPTF4833"/>
    <n v="0.1111111111111111"/>
    <s v="ELSPTE4833REOXS"/>
    <s v="RE"/>
    <s v="RED"/>
    <s v="ELHPTF4833RE"/>
    <x v="1"/>
    <n v="0.33333333333333331"/>
    <n v="0"/>
    <n v="1"/>
    <s v="OXS"/>
    <n v="50"/>
    <x v="15"/>
    <n v="9"/>
    <x v="8"/>
    <s v="M"/>
    <s v="KR"/>
    <x v="3"/>
    <n v="59000"/>
    <x v="27"/>
    <n v="14898.989898989897"/>
    <n v="12220"/>
    <n v="-2678.9898989898975"/>
    <m/>
    <n v="20"/>
    <m/>
    <n v="20"/>
    <m/>
    <n v="122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611000"/>
    <n v="2950000"/>
    <n v="4.389227793483113"/>
  </r>
  <r>
    <n v="0"/>
    <n v="0"/>
    <n v="8"/>
    <n v="8"/>
    <s v="전략"/>
    <x v="30"/>
    <s v="ELH-아트인드림-09"/>
    <s v="ELH-아트인드림-09ELHPTF4833RE"/>
    <n v="6"/>
    <s v="ELH-아트인드림-096"/>
    <s v="ELH-아트인드림-096-ELHPTF4833REDOMM"/>
    <s v="ELH의류833"/>
    <s v="ELH"/>
    <s v="ELSPTE"/>
    <m/>
    <s v="ELH"/>
    <s v="ELS HATSON"/>
    <s v="F"/>
    <n v="4"/>
    <s v="PT"/>
    <s v="PANTS"/>
    <s v="K"/>
    <n v="833"/>
    <n v="833"/>
    <s v="ELHPTF4833"/>
    <n v="0.1111111111111111"/>
    <s v="ELSPTE4833REOMM"/>
    <s v="RE"/>
    <s v="RED"/>
    <s v="ELHPTF4833RE"/>
    <x v="1"/>
    <n v="0.33333333333333331"/>
    <n v="0"/>
    <n v="1"/>
    <s v="OMM"/>
    <n v="50"/>
    <x v="15"/>
    <n v="9"/>
    <x v="8"/>
    <s v="M"/>
    <s v="KR"/>
    <x v="3"/>
    <n v="59000"/>
    <x v="27"/>
    <n v="14898.989898989897"/>
    <n v="12220"/>
    <n v="-2678.9898989898975"/>
    <m/>
    <n v="20"/>
    <m/>
    <n v="20"/>
    <m/>
    <n v="122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611000"/>
    <n v="2950000"/>
    <n v="4.389227793483113"/>
  </r>
  <r>
    <n v="0"/>
    <n v="0"/>
    <n v="8"/>
    <n v="8"/>
    <s v="전략"/>
    <x v="30"/>
    <s v="ELH-아트인드림-09"/>
    <s v="ELH-아트인드림-09ELHPTF4833RE"/>
    <n v="6"/>
    <s v="ELH-아트인드림-096"/>
    <s v="ELH-아트인드림-096-ELHPTF4833REDOXL"/>
    <s v="ELH의류833"/>
    <s v="ELH"/>
    <s v="ELSPTE"/>
    <m/>
    <s v="ELH"/>
    <s v="ELS HATSON"/>
    <s v="F"/>
    <n v="4"/>
    <s v="PT"/>
    <s v="PANTS"/>
    <s v="K"/>
    <n v="833"/>
    <n v="833"/>
    <s v="ELHPTF4833"/>
    <n v="0.1111111111111111"/>
    <s v="ELSPTE4833REOXL"/>
    <s v="RE"/>
    <s v="RED"/>
    <s v="ELHPTF4833RE"/>
    <x v="1"/>
    <n v="0.33333333333333331"/>
    <n v="0"/>
    <n v="1"/>
    <s v="OXL"/>
    <n v="50"/>
    <x v="15"/>
    <n v="9"/>
    <x v="8"/>
    <s v="M"/>
    <s v="KR"/>
    <x v="3"/>
    <n v="59000"/>
    <x v="27"/>
    <n v="14898.989898989897"/>
    <n v="12220"/>
    <n v="-2678.9898989898975"/>
    <m/>
    <n v="20"/>
    <m/>
    <n v="20"/>
    <m/>
    <n v="122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611000"/>
    <n v="2950000"/>
    <n v="4.389227793483113"/>
  </r>
  <r>
    <n v="0"/>
    <n v="0"/>
    <s v=""/>
    <s v=""/>
    <s v=""/>
    <x v="1"/>
    <s v=""/>
    <s v=""/>
    <n v="0"/>
    <s v="0"/>
    <s v="0-"/>
    <n v="0"/>
    <s v="TTL"/>
    <s v=""/>
    <s v="ELH-아트인드림-09 TTL"/>
    <m/>
    <s v=""/>
    <s v=""/>
    <s v=""/>
    <s v=""/>
    <s v=""/>
    <s v="K"/>
    <s v=""/>
    <s v=""/>
    <s v=""/>
    <n v="2.0000000000000004"/>
    <m/>
    <s v=""/>
    <m/>
    <s v=""/>
    <x v="0"/>
    <n v="5.999999999999998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899"/>
    <n v="3"/>
    <n v="0"/>
    <n v="0"/>
    <n v="0"/>
    <n v="0"/>
    <n v="900"/>
    <n v="14898000"/>
    <n v="66600000"/>
    <n v="4.0639988283967341"/>
  </r>
  <r>
    <n v="0"/>
    <n v="0"/>
    <n v="8"/>
    <n v="8"/>
    <s v="전략"/>
    <x v="30"/>
    <s v="ELH-EVERGREEN-06"/>
    <s v="ELH-EVERGREEN-06ELHHPF4923RE"/>
    <n v="1"/>
    <s v="ELH-EVERGREEN-061"/>
    <s v="ELH-EVERGREEN-061-ELHHPF4923REDOXS"/>
    <s v="ELH의류923"/>
    <s v="ELH"/>
    <s v="ELSHPF"/>
    <m/>
    <s v="ELH"/>
    <s v="ELS HATSON"/>
    <s v="F"/>
    <n v="4"/>
    <s v="HP"/>
    <s v="HOODED JUMPER"/>
    <s v="K"/>
    <n v="923"/>
    <n v="923"/>
    <s v="ELHHPF4923"/>
    <n v="0.16666666666666666"/>
    <s v="ELSHPF1923REOXS"/>
    <s v="RE"/>
    <s v="RED"/>
    <s v="ELHHPF4923RE"/>
    <x v="1"/>
    <n v="0.16666666666666666"/>
    <n v="0"/>
    <n v="1"/>
    <s v="OXS"/>
    <n v="100"/>
    <x v="13"/>
    <n v="6"/>
    <x v="6"/>
    <s v="M"/>
    <s v="CN"/>
    <x v="0"/>
    <n v="79000"/>
    <x v="27"/>
    <n v="14363.636363636362"/>
    <n v="15972.829999999998"/>
    <n v="1609.193636363636"/>
    <n v="0"/>
    <n v="50"/>
    <s v=""/>
    <n v="50"/>
    <n v="12.2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597282.9999999998"/>
    <n v="7900000"/>
    <n v="4.4962715948383494"/>
  </r>
  <r>
    <n v="0"/>
    <n v="0"/>
    <n v="8"/>
    <n v="8"/>
    <s v="전략"/>
    <x v="30"/>
    <s v="ELH-EVERGREEN-06"/>
    <s v="ELH-EVERGREEN-06ELHHPF4923RE"/>
    <n v="1"/>
    <s v="ELH-EVERGREEN-061"/>
    <s v="ELH-EVERGREEN-061-ELHHPF4923REDOSS"/>
    <s v="ELH의류923"/>
    <s v="ELH"/>
    <s v="ELSHPF"/>
    <m/>
    <s v="ELH"/>
    <s v="ELS HATSON"/>
    <s v="F"/>
    <n v="4"/>
    <s v="HP"/>
    <s v="HOODED JUMPER"/>
    <s v="K"/>
    <n v="923"/>
    <n v="923"/>
    <s v="ELHHPF4923"/>
    <n v="0.16666666666666666"/>
    <s v="ELSHPF1923REOSS"/>
    <s v="RE"/>
    <s v="RED"/>
    <s v="ELHHPF4923RE"/>
    <x v="1"/>
    <n v="0.16666666666666666"/>
    <n v="0"/>
    <n v="1"/>
    <s v="OSS"/>
    <n v="100"/>
    <x v="13"/>
    <n v="6"/>
    <x v="6"/>
    <s v="M"/>
    <s v="CN"/>
    <x v="0"/>
    <n v="79000"/>
    <x v="27"/>
    <n v="14363.636363636362"/>
    <n v="15972.829999999998"/>
    <n v="1609.193636363636"/>
    <n v="0"/>
    <n v="50"/>
    <s v=""/>
    <n v="50"/>
    <n v="12.2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597282.9999999998"/>
    <n v="7900000"/>
    <n v="4.4962715948383494"/>
  </r>
  <r>
    <n v="0"/>
    <n v="0"/>
    <n v="8"/>
    <n v="8"/>
    <s v="전략"/>
    <x v="30"/>
    <s v="ELH-EVERGREEN-06"/>
    <s v="ELH-EVERGREEN-06ELHHPF4923RE"/>
    <n v="1"/>
    <s v="ELH-EVERGREEN-061"/>
    <s v="ELH-EVERGREEN-061-ELHHPF4923REDOMM"/>
    <s v="ELH의류923"/>
    <s v="ELH"/>
    <s v="ELSHPF"/>
    <m/>
    <s v="ELH"/>
    <s v="ELS HATSON"/>
    <s v="F"/>
    <n v="4"/>
    <s v="HP"/>
    <s v="HOODED JUMPER"/>
    <s v="K"/>
    <n v="923"/>
    <n v="923"/>
    <s v="ELHHPF4923"/>
    <n v="0.16666666666666666"/>
    <s v="ELSHPF1923REOMM"/>
    <s v="RE"/>
    <s v="RED"/>
    <s v="ELHHPF4923RE"/>
    <x v="1"/>
    <n v="0.16666666666666666"/>
    <n v="0"/>
    <n v="1"/>
    <s v="OMM"/>
    <n v="100"/>
    <x v="13"/>
    <n v="6"/>
    <x v="6"/>
    <s v="M"/>
    <s v="CN"/>
    <x v="0"/>
    <n v="79000"/>
    <x v="27"/>
    <n v="14363.636363636362"/>
    <n v="15972.829999999998"/>
    <n v="1609.193636363636"/>
    <n v="0"/>
    <n v="50"/>
    <s v=""/>
    <n v="50"/>
    <n v="12.2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597282.9999999998"/>
    <n v="7900000"/>
    <n v="4.4962715948383494"/>
  </r>
  <r>
    <n v="0"/>
    <n v="0"/>
    <n v="8"/>
    <n v="8"/>
    <s v="전략"/>
    <x v="30"/>
    <s v="ELH-EVERGREEN-06"/>
    <s v="ELH-EVERGREEN-06ELHHPF4923RE"/>
    <n v="1"/>
    <s v="ELH-EVERGREEN-061"/>
    <s v="ELH-EVERGREEN-061-ELHHPF4923REDOLL"/>
    <s v="ELH의류923"/>
    <s v="ELH"/>
    <s v="ELSHPF"/>
    <m/>
    <s v="ELH"/>
    <s v="ELS HATSON"/>
    <s v="F"/>
    <n v="4"/>
    <s v="HP"/>
    <s v="HOODED JUMPER"/>
    <s v="K"/>
    <n v="923"/>
    <n v="923"/>
    <s v="ELHHPF4923"/>
    <n v="0.16666666666666666"/>
    <s v="ELSHPF1923REOLL"/>
    <s v="RE"/>
    <s v="RED"/>
    <s v="ELHHPF4923RE"/>
    <x v="1"/>
    <n v="0.16666666666666666"/>
    <n v="0"/>
    <n v="1"/>
    <s v="OLL"/>
    <n v="50"/>
    <x v="13"/>
    <n v="6"/>
    <x v="6"/>
    <s v="M"/>
    <s v="CN"/>
    <x v="0"/>
    <n v="79000"/>
    <x v="27"/>
    <n v="14363.636363636362"/>
    <n v="15972.829999999998"/>
    <n v="1609.193636363636"/>
    <n v="0"/>
    <n v="50"/>
    <s v=""/>
    <n v="50"/>
    <n v="12.2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798641.49999999988"/>
    <n v="3950000"/>
    <n v="4.4962715948383494"/>
  </r>
  <r>
    <n v="0"/>
    <n v="0"/>
    <n v="8"/>
    <n v="8"/>
    <s v="전략"/>
    <x v="30"/>
    <s v="ELH-EVERGREEN-06"/>
    <s v="ELH-EVERGREEN-06ELHHPF4923RE"/>
    <n v="1"/>
    <s v="ELH-EVERGREEN-061"/>
    <s v="ELH-EVERGREEN-061-ELHHPF4923REDOXL"/>
    <s v="ELH의류923"/>
    <s v="ELH"/>
    <s v="ELSHPF"/>
    <m/>
    <s v="ELH"/>
    <s v="ELS HATSON"/>
    <s v="F"/>
    <n v="4"/>
    <s v="HP"/>
    <s v="HOODED JUMPER"/>
    <s v="K"/>
    <n v="923"/>
    <n v="923"/>
    <s v="ELHHPF4923"/>
    <n v="0.16666666666666666"/>
    <s v="ELSHPF1923REOXL"/>
    <s v="RE"/>
    <s v="RED"/>
    <s v="ELHHPF4923RE"/>
    <x v="1"/>
    <n v="0.16666666666666666"/>
    <n v="0"/>
    <n v="1"/>
    <s v="OXL"/>
    <n v="50"/>
    <x v="13"/>
    <n v="6"/>
    <x v="6"/>
    <s v="M"/>
    <s v="CN"/>
    <x v="0"/>
    <n v="79000"/>
    <x v="27"/>
    <n v="14363.636363636362"/>
    <n v="15972.829999999998"/>
    <n v="1609.193636363636"/>
    <n v="0"/>
    <n v="50"/>
    <s v=""/>
    <n v="50"/>
    <n v="12.2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798641.49999999988"/>
    <n v="3950000"/>
    <n v="4.4962715948383494"/>
  </r>
  <r>
    <n v="0"/>
    <n v="0"/>
    <n v="8"/>
    <n v="8"/>
    <s v="전략"/>
    <x v="30"/>
    <s v="ELH-EVERGREEN-06"/>
    <s v="ELH-EVERGREEN-06ELHHPF4923RE"/>
    <n v="1"/>
    <s v="ELH-EVERGREEN-061"/>
    <s v="ELH-EVERGREEN-061-ELHHPF4923REDXXS"/>
    <s v="ELH의류923"/>
    <s v="ELH"/>
    <s v="ELSHPF"/>
    <m/>
    <s v="ELH"/>
    <s v="ELS HATSON"/>
    <s v="F"/>
    <n v="4"/>
    <s v="HP"/>
    <s v="HOODED JUMPER"/>
    <s v="K"/>
    <n v="923"/>
    <n v="923"/>
    <s v="ELHHPF4923"/>
    <n v="0.16666666666666666"/>
    <s v="ELSHPF1923REXXS"/>
    <s v="RE"/>
    <s v="RED"/>
    <s v="ELHHPF4923RE"/>
    <x v="1"/>
    <n v="0.16666666666666666"/>
    <n v="0"/>
    <n v="1"/>
    <s v="XXS"/>
    <n v="100"/>
    <x v="13"/>
    <n v="6"/>
    <x v="6"/>
    <s v="M"/>
    <s v="CN"/>
    <x v="0"/>
    <n v="79000"/>
    <x v="27"/>
    <n v="14363.636363636362"/>
    <n v="15972.829999999998"/>
    <n v="1609.193636363636"/>
    <n v="0"/>
    <n v="50"/>
    <s v=""/>
    <n v="50"/>
    <n v="12.2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597282.9999999998"/>
    <n v="7900000"/>
    <n v="4.4962715948383494"/>
  </r>
  <r>
    <n v="0"/>
    <n v="0"/>
    <n v="8"/>
    <n v="8"/>
    <s v="전략"/>
    <x v="30"/>
    <s v="ELH-EVERGREEN-06"/>
    <s v="ELH-EVERGREEN-06ELHTHF4930YE"/>
    <n v="2"/>
    <s v="ELH-EVERGREEN-062"/>
    <s v="ELH-EVERGREEN-062-ELHTHF4930YELLOWOXS"/>
    <s v="ELH의류930"/>
    <s v="ELH"/>
    <s v="ELSTHF"/>
    <m/>
    <s v="ELH"/>
    <s v="ELS HATSON"/>
    <s v="F"/>
    <n v="4"/>
    <s v="TH"/>
    <s v="HOODED T-SHIRTS"/>
    <s v="K"/>
    <n v="930"/>
    <n v="930"/>
    <s v="ELHTHF4930"/>
    <n v="0.16666666666666666"/>
    <s v="ELSTHF1930YEOXS"/>
    <s v="YE"/>
    <s v="YELLOW"/>
    <s v="ELHTHF4930YE"/>
    <x v="1"/>
    <n v="0.16666666666666666"/>
    <n v="0"/>
    <n v="1"/>
    <s v="OXS"/>
    <n v="100"/>
    <x v="13"/>
    <n v="6"/>
    <x v="6"/>
    <s v="M"/>
    <s v="CN"/>
    <x v="0"/>
    <n v="69000"/>
    <x v="27"/>
    <n v="12545.454545454544"/>
    <n v="15928.71"/>
    <n v="3383.255454545455"/>
    <n v="0"/>
    <n v="1050"/>
    <s v=""/>
    <n v="1050"/>
    <n v="11.4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592871"/>
    <n v="6900000"/>
    <n v="3.9380008002702493"/>
  </r>
  <r>
    <n v="0"/>
    <n v="0"/>
    <n v="8"/>
    <n v="8"/>
    <s v="전략"/>
    <x v="30"/>
    <s v="ELH-EVERGREEN-06"/>
    <s v="ELH-EVERGREEN-06ELHTHF4930YE"/>
    <n v="2"/>
    <s v="ELH-EVERGREEN-062"/>
    <s v="ELH-EVERGREEN-062-ELHTHF4930YELLOWOSS"/>
    <s v="ELH의류930"/>
    <s v="ELH"/>
    <s v="ELSTHF"/>
    <m/>
    <s v="ELH"/>
    <s v="ELS HATSON"/>
    <s v="F"/>
    <n v="4"/>
    <s v="TH"/>
    <s v="HOODED T-SHIRTS"/>
    <s v="K"/>
    <n v="930"/>
    <n v="930"/>
    <s v="ELHTHF4930"/>
    <n v="0.16666666666666666"/>
    <s v="ELSTHF1930YEOSS"/>
    <s v="YE"/>
    <s v="YELLOW"/>
    <s v="ELHTHF4930YE"/>
    <x v="1"/>
    <n v="0.16666666666666666"/>
    <n v="0"/>
    <n v="1"/>
    <s v="OSS"/>
    <n v="100"/>
    <x v="13"/>
    <n v="6"/>
    <x v="6"/>
    <s v="M"/>
    <s v="CN"/>
    <x v="0"/>
    <n v="69000"/>
    <x v="27"/>
    <n v="12545.454545454544"/>
    <n v="15928.71"/>
    <n v="3383.255454545455"/>
    <n v="0"/>
    <n v="1050"/>
    <s v=""/>
    <n v="1050"/>
    <n v="11.4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592871"/>
    <n v="6900000"/>
    <n v="3.9380008002702493"/>
  </r>
  <r>
    <n v="0"/>
    <n v="0"/>
    <n v="8"/>
    <n v="8"/>
    <s v="전략"/>
    <x v="30"/>
    <s v="ELH-EVERGREEN-06"/>
    <s v="ELH-EVERGREEN-06ELHTHF4930YE"/>
    <n v="2"/>
    <s v="ELH-EVERGREEN-062"/>
    <s v="ELH-EVERGREEN-062-ELHTHF4930YELLOWOMM"/>
    <s v="ELH의류930"/>
    <s v="ELH"/>
    <s v="ELSTHF"/>
    <m/>
    <s v="ELH"/>
    <s v="ELS HATSON"/>
    <s v="F"/>
    <n v="4"/>
    <s v="TH"/>
    <s v="HOODED T-SHIRTS"/>
    <s v="K"/>
    <n v="930"/>
    <n v="930"/>
    <s v="ELHTHF4930"/>
    <n v="0.16666666666666666"/>
    <s v="ELSTHF1930YEOMM"/>
    <s v="YE"/>
    <s v="YELLOW"/>
    <s v="ELHTHF4930YE"/>
    <x v="1"/>
    <n v="0.16666666666666666"/>
    <n v="0"/>
    <n v="1"/>
    <s v="OMM"/>
    <n v="100"/>
    <x v="13"/>
    <n v="6"/>
    <x v="6"/>
    <s v="M"/>
    <s v="CN"/>
    <x v="0"/>
    <n v="69000"/>
    <x v="27"/>
    <n v="12545.454545454544"/>
    <n v="15928.71"/>
    <n v="3383.255454545455"/>
    <n v="0"/>
    <n v="1050"/>
    <s v=""/>
    <n v="1050"/>
    <n v="11.4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592871"/>
    <n v="6900000"/>
    <n v="3.9380008002702493"/>
  </r>
  <r>
    <n v="0"/>
    <n v="0"/>
    <n v="8"/>
    <n v="8"/>
    <s v="전략"/>
    <x v="30"/>
    <s v="ELH-EVERGREEN-06"/>
    <s v="ELH-EVERGREEN-06ELHTHF4930YE"/>
    <n v="2"/>
    <s v="ELH-EVERGREEN-062"/>
    <s v="ELH-EVERGREEN-062-ELHTHF4930YELLOWOLL"/>
    <s v="ELH의류930"/>
    <s v="ELH"/>
    <s v="ELSTHF"/>
    <m/>
    <s v="ELH"/>
    <s v="ELS HATSON"/>
    <s v="F"/>
    <n v="4"/>
    <s v="TH"/>
    <s v="HOODED T-SHIRTS"/>
    <s v="K"/>
    <n v="930"/>
    <n v="930"/>
    <s v="ELHTHF4930"/>
    <n v="0.16666666666666666"/>
    <s v="ELSTHF1930YEOLL"/>
    <s v="YE"/>
    <s v="YELLOW"/>
    <s v="ELHTHF4930YE"/>
    <x v="1"/>
    <n v="0.16666666666666666"/>
    <n v="0"/>
    <n v="1"/>
    <s v="OLL"/>
    <n v="50"/>
    <x v="13"/>
    <n v="6"/>
    <x v="6"/>
    <s v="M"/>
    <s v="CN"/>
    <x v="0"/>
    <n v="69000"/>
    <x v="27"/>
    <n v="12545.454545454544"/>
    <n v="15928.71"/>
    <n v="3383.255454545455"/>
    <n v="0"/>
    <n v="1050"/>
    <s v=""/>
    <n v="1050"/>
    <n v="11.4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796435.5"/>
    <n v="3450000"/>
    <n v="3.9380008002702493"/>
  </r>
  <r>
    <n v="0"/>
    <n v="0"/>
    <n v="8"/>
    <n v="8"/>
    <s v="전략"/>
    <x v="30"/>
    <s v="ELH-EVERGREEN-06"/>
    <s v="ELH-EVERGREEN-06ELHTHF4930YE"/>
    <n v="2"/>
    <s v="ELH-EVERGREEN-062"/>
    <s v="ELH-EVERGREEN-062-ELHTHF4930YELLOWOXL"/>
    <s v="ELH의류930"/>
    <s v="ELH"/>
    <s v="ELSTHF"/>
    <m/>
    <s v="ELH"/>
    <s v="ELS HATSON"/>
    <s v="F"/>
    <n v="4"/>
    <s v="TH"/>
    <s v="HOODED T-SHIRTS"/>
    <s v="K"/>
    <n v="930"/>
    <n v="930"/>
    <s v="ELHTHF4930"/>
    <n v="0.16666666666666666"/>
    <s v="ELSTHF1930YEOXL"/>
    <s v="YE"/>
    <s v="YELLOW"/>
    <s v="ELHTHF4930YE"/>
    <x v="1"/>
    <n v="0.16666666666666666"/>
    <n v="0"/>
    <n v="1"/>
    <s v="OXL"/>
    <n v="50"/>
    <x v="13"/>
    <n v="6"/>
    <x v="6"/>
    <s v="M"/>
    <s v="CN"/>
    <x v="0"/>
    <n v="69000"/>
    <x v="27"/>
    <n v="12545.454545454544"/>
    <n v="15928.71"/>
    <n v="3383.255454545455"/>
    <n v="0"/>
    <n v="1050"/>
    <s v=""/>
    <n v="1050"/>
    <n v="11.4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796435.5"/>
    <n v="3450000"/>
    <n v="3.9380008002702493"/>
  </r>
  <r>
    <n v="0"/>
    <n v="0"/>
    <n v="8"/>
    <n v="8"/>
    <s v="전략"/>
    <x v="30"/>
    <s v="ELH-EVERGREEN-06"/>
    <s v="ELH-EVERGREEN-06ELHTHF4930YE"/>
    <n v="2"/>
    <s v="ELH-EVERGREEN-062"/>
    <s v="ELH-EVERGREEN-062-ELHTHF4930YELLOWXXS"/>
    <s v="ELH의류930"/>
    <s v="ELH"/>
    <s v="ELSTHF"/>
    <m/>
    <s v="ELH"/>
    <s v="ELS HATSON"/>
    <s v="F"/>
    <n v="4"/>
    <s v="TH"/>
    <s v="HOODED T-SHIRTS"/>
    <s v="K"/>
    <n v="930"/>
    <n v="930"/>
    <s v="ELHTHF4930"/>
    <n v="0.16666666666666666"/>
    <s v="ELSTHF1930YEXXS"/>
    <s v="YE"/>
    <s v="YELLOW"/>
    <s v="ELHTHF4930YE"/>
    <x v="1"/>
    <n v="0.16666666666666666"/>
    <n v="0"/>
    <n v="1"/>
    <s v="XXS"/>
    <n v="100"/>
    <x v="13"/>
    <n v="6"/>
    <x v="6"/>
    <s v="M"/>
    <s v="CN"/>
    <x v="0"/>
    <n v="69000"/>
    <x v="27"/>
    <n v="12545.454545454544"/>
    <n v="15928.71"/>
    <n v="3383.255454545455"/>
    <n v="0"/>
    <n v="1050"/>
    <s v=""/>
    <n v="1050"/>
    <n v="11.4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592871"/>
    <n v="6900000"/>
    <n v="3.9380008002702493"/>
  </r>
  <r>
    <n v="0"/>
    <n v="0"/>
    <s v=""/>
    <n v="8"/>
    <s v=""/>
    <x v="1"/>
    <s v=""/>
    <s v=""/>
    <n v="0"/>
    <s v="0"/>
    <s v="0-"/>
    <n v="0"/>
    <s v="TTL"/>
    <s v=""/>
    <s v="ELH-EVERGREEN-06 TTL"/>
    <m/>
    <s v=""/>
    <s v=""/>
    <m/>
    <m/>
    <s v=""/>
    <m/>
    <m/>
    <s v=""/>
    <s v=""/>
    <n v="2"/>
    <m/>
    <s v=""/>
    <m/>
    <s v=""/>
    <x v="0"/>
    <n v="2"/>
    <n v="0"/>
    <m/>
    <m/>
    <m/>
    <x v="1"/>
    <m/>
    <x v="1"/>
    <m/>
    <m/>
    <x v="1"/>
    <n v="0"/>
    <x v="1"/>
    <n v="0"/>
    <n v="0"/>
    <n v="0"/>
    <m/>
    <m/>
    <m/>
    <n v="0"/>
    <m/>
    <m/>
    <d v="1899-12-30T00:00:00"/>
    <m/>
    <d v="1899-12-30T00:00:00"/>
    <m/>
    <d v="2014-08-11T00:00:00"/>
    <m/>
    <m/>
    <m/>
    <m/>
    <x v="3"/>
    <m/>
    <n v="1000"/>
    <n v="0"/>
    <n v="0"/>
    <n v="0"/>
    <n v="0"/>
    <n v="0"/>
    <n v="1000"/>
    <n v="15950770"/>
    <n v="74000000"/>
    <n v="4.2175222432978012"/>
  </r>
  <r>
    <n v="0"/>
    <n v="0"/>
    <n v="8"/>
    <n v="8"/>
    <s v="전략"/>
    <x v="30"/>
    <s v="ELH-아트인드림-10"/>
    <s v="ELH-아트인드림-10ELHPTF4986BK"/>
    <n v="1"/>
    <s v="ELH-아트인드림-101"/>
    <s v="ELH-아트인드림-101-ELHPTF4986BLACKOXS"/>
    <s v="ELH의류986"/>
    <s v="ELH"/>
    <s v="ELSPTF"/>
    <m/>
    <s v="ELH"/>
    <s v="ELS HATSON"/>
    <s v="F"/>
    <n v="4"/>
    <s v="PT"/>
    <s v="PANTS"/>
    <s v="K"/>
    <n v="986"/>
    <n v="986"/>
    <s v="ELHPTF4986"/>
    <n v="0.33333333333333331"/>
    <s v="ELSPTF1986BKOXS"/>
    <s v="BK"/>
    <s v="BLACK"/>
    <s v="ELHPTF4986BK"/>
    <x v="1"/>
    <n v="0.33333333333333331"/>
    <n v="0"/>
    <n v="1"/>
    <s v="OXS"/>
    <n v="100"/>
    <x v="15"/>
    <n v="10"/>
    <x v="21"/>
    <s v="M"/>
    <s v="KR"/>
    <x v="3"/>
    <n v="69000"/>
    <x v="27"/>
    <n v="17424.24242424242"/>
    <n v="17220"/>
    <n v="-204.24242424242038"/>
    <n v="0"/>
    <n v="20"/>
    <s v=""/>
    <n v="20"/>
    <n v="0"/>
    <n v="172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722000"/>
    <n v="6900000"/>
    <n v="3.6426987646499835"/>
  </r>
  <r>
    <n v="0"/>
    <n v="0"/>
    <n v="8"/>
    <n v="8"/>
    <s v="전략"/>
    <x v="30"/>
    <s v="ELH-아트인드림-10"/>
    <s v="ELH-아트인드림-10ELHPTF4986BK"/>
    <n v="1"/>
    <s v="ELH-아트인드림-101"/>
    <s v="ELH-아트인드림-101-ELHPTF4986BLACKOMM"/>
    <s v="ELH의류986"/>
    <s v="ELH"/>
    <s v="ELSPTF"/>
    <m/>
    <s v="ELH"/>
    <s v="ELS HATSON"/>
    <s v="F"/>
    <n v="4"/>
    <s v="PT"/>
    <s v="PANTS"/>
    <s v="K"/>
    <n v="986"/>
    <n v="986"/>
    <s v="ELHPTF4986"/>
    <n v="0.33333333333333331"/>
    <s v="ELSPTF1986BKOMM"/>
    <s v="BK"/>
    <s v="BLACK"/>
    <s v="ELHPTF4986BK"/>
    <x v="1"/>
    <n v="0.33333333333333331"/>
    <n v="0"/>
    <n v="1"/>
    <s v="OMM"/>
    <n v="100"/>
    <x v="15"/>
    <n v="10"/>
    <x v="21"/>
    <s v="M"/>
    <s v="KR"/>
    <x v="3"/>
    <n v="69000"/>
    <x v="27"/>
    <n v="17424.24242424242"/>
    <n v="17220"/>
    <n v="-204.24242424242038"/>
    <n v="0"/>
    <n v="20"/>
    <s v=""/>
    <n v="20"/>
    <n v="0"/>
    <n v="172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722000"/>
    <n v="6900000"/>
    <n v="3.6426987646499835"/>
  </r>
  <r>
    <n v="0"/>
    <n v="0"/>
    <n v="8"/>
    <n v="8"/>
    <s v="전략"/>
    <x v="30"/>
    <s v="ELH-아트인드림-10"/>
    <s v="ELH-아트인드림-10ELHPTF4986BK"/>
    <n v="1"/>
    <s v="ELH-아트인드림-101"/>
    <s v="ELH-아트인드림-101-ELHPTF4986BLACKOXL"/>
    <s v="ELH의류986"/>
    <s v="ELH"/>
    <s v="ELSPTF"/>
    <m/>
    <s v="ELH"/>
    <s v="ELS HATSON"/>
    <s v="F"/>
    <n v="4"/>
    <s v="PT"/>
    <s v="PANTS"/>
    <s v="K"/>
    <n v="986"/>
    <n v="986"/>
    <s v="ELHPTF4986"/>
    <n v="0.33333333333333331"/>
    <s v="ELSPTF1986BKOXL"/>
    <s v="BK"/>
    <s v="BLACK"/>
    <s v="ELHPTF4986BK"/>
    <x v="1"/>
    <n v="0.33333333333333331"/>
    <n v="0"/>
    <n v="1"/>
    <s v="OXL"/>
    <n v="100"/>
    <x v="15"/>
    <n v="10"/>
    <x v="21"/>
    <s v="M"/>
    <s v="KR"/>
    <x v="3"/>
    <n v="69000"/>
    <x v="27"/>
    <n v="17424.24242424242"/>
    <n v="17220"/>
    <n v="-204.24242424242038"/>
    <n v="0"/>
    <n v="20"/>
    <s v=""/>
    <n v="20"/>
    <n v="0"/>
    <n v="172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722000"/>
    <n v="6900000"/>
    <n v="3.6426987646499835"/>
  </r>
  <r>
    <n v="0"/>
    <n v="0"/>
    <n v="8"/>
    <n v="8"/>
    <s v="전략"/>
    <x v="30"/>
    <s v="ELH-아트인드림-10"/>
    <s v="ELH-아트인드림-10ELHPTF4987KH"/>
    <n v="2"/>
    <s v="ELH-아트인드림-102"/>
    <s v="ELH-아트인드림-102-ELHPTF4987KHAKIOXS"/>
    <s v="ELH의류987"/>
    <s v="ELH"/>
    <s v="ELSPTF"/>
    <m/>
    <s v="ELH"/>
    <s v="ELS HATSON"/>
    <s v="F"/>
    <n v="4"/>
    <s v="PT"/>
    <s v="PANTS"/>
    <s v="K"/>
    <n v="987"/>
    <n v="987"/>
    <s v="ELHPTF4987"/>
    <n v="0.33333333333333331"/>
    <s v="ELSPTF1987KHOXS"/>
    <s v="KH"/>
    <s v="KHAKI"/>
    <s v="ELHPTF4987KH"/>
    <x v="1"/>
    <n v="0.33333333333333331"/>
    <n v="0"/>
    <n v="1"/>
    <s v="OXS"/>
    <n v="100"/>
    <x v="15"/>
    <n v="10"/>
    <x v="21"/>
    <s v="M"/>
    <s v="KR"/>
    <x v="3"/>
    <n v="69000"/>
    <x v="27"/>
    <n v="17424.24242424242"/>
    <n v="16520"/>
    <n v="-904.24242424242038"/>
    <n v="0"/>
    <n v="20"/>
    <s v=""/>
    <n v="20"/>
    <n v="0"/>
    <n v="165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652000"/>
    <n v="6900000"/>
    <n v="3.7970504072198983"/>
  </r>
  <r>
    <n v="0"/>
    <n v="0"/>
    <n v="8"/>
    <n v="8"/>
    <s v="전략"/>
    <x v="30"/>
    <s v="ELH-아트인드림-10"/>
    <s v="ELH-아트인드림-10ELHPTF4987KH"/>
    <n v="2"/>
    <s v="ELH-아트인드림-102"/>
    <s v="ELH-아트인드림-102-ELHPTF4987KHAKIOMM"/>
    <s v="ELH의류987"/>
    <s v="ELH"/>
    <s v="ELSPTF"/>
    <m/>
    <s v="ELH"/>
    <s v="ELS HATSON"/>
    <s v="F"/>
    <n v="4"/>
    <s v="PT"/>
    <s v="PANTS"/>
    <s v="K"/>
    <n v="987"/>
    <n v="987"/>
    <s v="ELHPTF4987"/>
    <n v="0.33333333333333331"/>
    <s v="ELSPTF1987KHOMM"/>
    <s v="KH"/>
    <s v="KHAKI"/>
    <s v="ELHPTF4987KH"/>
    <x v="1"/>
    <n v="0.33333333333333331"/>
    <n v="0"/>
    <n v="1"/>
    <s v="OMM"/>
    <n v="100"/>
    <x v="15"/>
    <n v="10"/>
    <x v="21"/>
    <s v="M"/>
    <s v="KR"/>
    <x v="3"/>
    <n v="69000"/>
    <x v="27"/>
    <n v="17424.24242424242"/>
    <n v="16520"/>
    <n v="-904.24242424242038"/>
    <n v="0"/>
    <n v="20"/>
    <s v=""/>
    <n v="20"/>
    <n v="0"/>
    <n v="165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652000"/>
    <n v="6900000"/>
    <n v="3.7970504072198983"/>
  </r>
  <r>
    <n v="0"/>
    <n v="0"/>
    <n v="8"/>
    <n v="8"/>
    <s v="전략"/>
    <x v="30"/>
    <s v="ELH-아트인드림-10"/>
    <s v="ELH-아트인드림-10ELHPTF4987KH"/>
    <n v="2"/>
    <s v="ELH-아트인드림-102"/>
    <s v="ELH-아트인드림-102-ELHPTF4987KHAKIOXL"/>
    <s v="ELH의류987"/>
    <s v="ELH"/>
    <s v="ELSPTF"/>
    <m/>
    <s v="ELH"/>
    <s v="ELS HATSON"/>
    <s v="F"/>
    <n v="4"/>
    <s v="PT"/>
    <s v="PANTS"/>
    <s v="K"/>
    <n v="987"/>
    <n v="987"/>
    <s v="ELHPTF4987"/>
    <n v="0.33333333333333331"/>
    <s v="ELSPTF1987KHOXL"/>
    <s v="KH"/>
    <s v="KHAKI"/>
    <s v="ELHPTF4987KH"/>
    <x v="1"/>
    <n v="0.33333333333333331"/>
    <n v="0"/>
    <n v="1"/>
    <s v="OXL"/>
    <n v="100"/>
    <x v="15"/>
    <n v="10"/>
    <x v="21"/>
    <s v="M"/>
    <s v="KR"/>
    <x v="3"/>
    <n v="69000"/>
    <x v="27"/>
    <n v="17424.24242424242"/>
    <n v="16520"/>
    <n v="-904.24242424242038"/>
    <n v="0"/>
    <n v="20"/>
    <s v=""/>
    <n v="20"/>
    <n v="0"/>
    <n v="165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652000"/>
    <n v="6900000"/>
    <n v="3.7970504072198983"/>
  </r>
  <r>
    <n v="0"/>
    <n v="0"/>
    <s v=""/>
    <s v=""/>
    <s v=""/>
    <x v="1"/>
    <s v=""/>
    <s v=""/>
    <n v="0"/>
    <s v="0"/>
    <s v="0-"/>
    <n v="0"/>
    <s v="TTL"/>
    <s v=""/>
    <s v="ELH-아트인드림-10 TTL"/>
    <m/>
    <s v=""/>
    <s v=""/>
    <m/>
    <m/>
    <s v=""/>
    <m/>
    <m/>
    <s v=""/>
    <s v=""/>
    <n v="1.9999999999999998"/>
    <m/>
    <s v=""/>
    <m/>
    <s v=""/>
    <x v="0"/>
    <n v="1.9999999999999998"/>
    <n v="0"/>
    <m/>
    <m/>
    <m/>
    <x v="1"/>
    <m/>
    <x v="1"/>
    <m/>
    <m/>
    <x v="1"/>
    <n v="0"/>
    <x v="1"/>
    <n v="0"/>
    <n v="0"/>
    <n v="0"/>
    <m/>
    <m/>
    <m/>
    <n v="0"/>
    <m/>
    <m/>
    <d v="1899-12-30T00:00:00"/>
    <m/>
    <d v="1899-12-30T00:00:00"/>
    <m/>
    <m/>
    <m/>
    <m/>
    <m/>
    <m/>
    <x v="3"/>
    <m/>
    <n v="600"/>
    <n v="0"/>
    <n v="0"/>
    <n v="0"/>
    <n v="0"/>
    <n v="0"/>
    <n v="600"/>
    <n v="10122000"/>
    <n v="41400000"/>
    <n v="3.7182734278169964"/>
  </r>
  <r>
    <n v="0"/>
    <n v="0"/>
    <n v="8"/>
    <n v="8"/>
    <s v="전략"/>
    <x v="30"/>
    <s v="ELH-대경-06"/>
    <s v="ELH-대경-06ELHHPF4924YE"/>
    <n v="1"/>
    <s v="ELH-대경-061"/>
    <s v="ELH-대경-061-ELHHPF4924YELLOWOXS"/>
    <s v="ELH의류924"/>
    <s v="ELH"/>
    <s v="ELSHPF"/>
    <m/>
    <s v="ELH"/>
    <s v="ELS HATSON"/>
    <s v="F"/>
    <n v="4"/>
    <s v="HP"/>
    <s v="HOODED JUMPER"/>
    <s v="K"/>
    <n v="924"/>
    <n v="924"/>
    <s v="ELHHPF4924"/>
    <n v="0.16666666666666666"/>
    <s v="ELSHPF1924YEOXS"/>
    <s v="YE"/>
    <s v="YELLOW"/>
    <s v="ELHHPF4924YE"/>
    <x v="1"/>
    <n v="0.16666666666666666"/>
    <n v="0"/>
    <n v="1"/>
    <s v="OXS"/>
    <n v="100"/>
    <x v="14"/>
    <n v="6"/>
    <x v="6"/>
    <s v="M"/>
    <s v="IN"/>
    <x v="0"/>
    <n v="99000"/>
    <x v="27"/>
    <n v="20000"/>
    <n v="21098.75"/>
    <n v="1098.75"/>
    <n v="0"/>
    <n v="20"/>
    <s v=""/>
    <n v="20"/>
    <n v="18.2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2109875"/>
    <n v="9900000"/>
    <n v="4.2656555483144736"/>
  </r>
  <r>
    <n v="0"/>
    <n v="0"/>
    <n v="8"/>
    <n v="8"/>
    <s v="전략"/>
    <x v="30"/>
    <s v="ELH-대경-06"/>
    <s v="ELH-대경-06ELHHPF4924YE"/>
    <n v="1"/>
    <s v="ELH-대경-061"/>
    <s v="ELH-대경-061-ELHHPF4924YELLOWOSS"/>
    <s v="ELH의류924"/>
    <s v="ELH"/>
    <s v="ELSHPF"/>
    <m/>
    <s v="ELH"/>
    <s v="ELS HATSON"/>
    <s v="F"/>
    <n v="4"/>
    <s v="HP"/>
    <s v="HOODED JUMPER"/>
    <s v="K"/>
    <n v="924"/>
    <n v="924"/>
    <s v="ELHHPF4924"/>
    <n v="0.16666666666666666"/>
    <s v="ELSHPF1924YEOSS"/>
    <s v="YE"/>
    <s v="YELLOW"/>
    <s v="ELHHPF4924YE"/>
    <x v="1"/>
    <n v="0.16666666666666666"/>
    <n v="0"/>
    <n v="1"/>
    <s v="OSS"/>
    <n v="100"/>
    <x v="14"/>
    <n v="6"/>
    <x v="6"/>
    <s v="M"/>
    <s v="IN"/>
    <x v="0"/>
    <n v="99000"/>
    <x v="27"/>
    <n v="20000"/>
    <n v="21098.75"/>
    <n v="1098.75"/>
    <n v="0"/>
    <n v="20"/>
    <s v=""/>
    <n v="20"/>
    <n v="18.2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2109875"/>
    <n v="9900000"/>
    <n v="4.2656555483144736"/>
  </r>
  <r>
    <n v="0"/>
    <n v="0"/>
    <n v="8"/>
    <n v="8"/>
    <s v="전략"/>
    <x v="30"/>
    <s v="ELH-대경-06"/>
    <s v="ELH-대경-06ELHHPF4924YE"/>
    <n v="1"/>
    <s v="ELH-대경-061"/>
    <s v="ELH-대경-061-ELHHPF4924YELLOWOMM"/>
    <s v="ELH의류924"/>
    <s v="ELH"/>
    <s v="ELSHPF"/>
    <m/>
    <s v="ELH"/>
    <s v="ELS HATSON"/>
    <s v="F"/>
    <n v="4"/>
    <s v="HP"/>
    <s v="HOODED JUMPER"/>
    <s v="K"/>
    <n v="924"/>
    <n v="924"/>
    <s v="ELHHPF4924"/>
    <n v="0.16666666666666666"/>
    <s v="ELSHPF1924YEOMM"/>
    <s v="YE"/>
    <s v="YELLOW"/>
    <s v="ELHHPF4924YE"/>
    <x v="1"/>
    <n v="0.16666666666666666"/>
    <n v="0"/>
    <n v="1"/>
    <s v="OMM"/>
    <n v="50"/>
    <x v="14"/>
    <n v="6"/>
    <x v="6"/>
    <s v="M"/>
    <s v="IN"/>
    <x v="0"/>
    <n v="99000"/>
    <x v="27"/>
    <n v="20000"/>
    <n v="21098.75"/>
    <n v="1098.75"/>
    <n v="0"/>
    <n v="20"/>
    <s v=""/>
    <n v="20"/>
    <n v="18.2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054937.5"/>
    <n v="4950000"/>
    <n v="4.2656555483144736"/>
  </r>
  <r>
    <n v="0"/>
    <n v="0"/>
    <n v="8"/>
    <n v="8"/>
    <s v="전략"/>
    <x v="30"/>
    <s v="ELH-대경-06"/>
    <s v="ELH-대경-06ELHHPF4924YE"/>
    <n v="1"/>
    <s v="ELH-대경-061"/>
    <s v="ELH-대경-061-ELHHPF4924YELLOWOLL"/>
    <s v="ELH의류924"/>
    <s v="ELH"/>
    <s v="ELSHPF"/>
    <m/>
    <s v="ELH"/>
    <s v="ELS HATSON"/>
    <s v="F"/>
    <n v="4"/>
    <s v="HP"/>
    <s v="HOODED JUMPER"/>
    <s v="K"/>
    <n v="924"/>
    <n v="924"/>
    <s v="ELHHPF4924"/>
    <n v="0.16666666666666666"/>
    <s v="ELSHPF1924YEOLL"/>
    <s v="YE"/>
    <s v="YELLOW"/>
    <s v="ELHHPF4924YE"/>
    <x v="1"/>
    <n v="0.16666666666666666"/>
    <n v="0"/>
    <n v="1"/>
    <s v="OLL"/>
    <n v="50"/>
    <x v="14"/>
    <n v="6"/>
    <x v="6"/>
    <s v="M"/>
    <s v="IN"/>
    <x v="0"/>
    <n v="99000"/>
    <x v="27"/>
    <n v="20000"/>
    <n v="21098.75"/>
    <n v="1098.75"/>
    <n v="0"/>
    <n v="20"/>
    <s v=""/>
    <n v="20"/>
    <n v="18.2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054937.5"/>
    <n v="4950000"/>
    <n v="4.2656555483144736"/>
  </r>
  <r>
    <n v="0"/>
    <n v="0"/>
    <n v="8"/>
    <n v="8"/>
    <s v="전략"/>
    <x v="30"/>
    <s v="ELH-대경-06"/>
    <s v="ELH-대경-06ELHHPF4924YE"/>
    <n v="1"/>
    <s v="ELH-대경-061"/>
    <s v="ELH-대경-061-ELHHPF4924YELLOWOXL"/>
    <s v="ELH의류924"/>
    <s v="ELH"/>
    <s v="ELSHPF"/>
    <m/>
    <s v="ELH"/>
    <s v="ELS HATSON"/>
    <s v="F"/>
    <n v="4"/>
    <s v="HP"/>
    <s v="HOODED JUMPER"/>
    <s v="K"/>
    <n v="924"/>
    <n v="924"/>
    <s v="ELHHPF4924"/>
    <n v="0.16666666666666666"/>
    <s v="ELSHPF1924YEOXL"/>
    <s v="YE"/>
    <s v="YELLOW"/>
    <s v="ELHHPF4924YE"/>
    <x v="1"/>
    <n v="0.16666666666666666"/>
    <n v="0"/>
    <n v="1"/>
    <s v="OXL"/>
    <n v="50"/>
    <x v="14"/>
    <n v="6"/>
    <x v="6"/>
    <s v="M"/>
    <s v="IN"/>
    <x v="0"/>
    <n v="99000"/>
    <x v="27"/>
    <n v="20000"/>
    <n v="21098.75"/>
    <n v="1098.75"/>
    <n v="0"/>
    <n v="20"/>
    <s v=""/>
    <n v="20"/>
    <n v="18.2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054937.5"/>
    <n v="4950000"/>
    <n v="4.2656555483144736"/>
  </r>
  <r>
    <n v="0"/>
    <n v="0"/>
    <n v="8"/>
    <n v="8"/>
    <s v="전략"/>
    <x v="30"/>
    <s v="ELH-대경-06"/>
    <s v="ELH-대경-06ELHHPF4924YE"/>
    <n v="1"/>
    <s v="ELH-대경-061"/>
    <s v="ELH-대경-061-ELHHPF4924YELLOWXXS"/>
    <s v="ELH의류924"/>
    <s v="ELH"/>
    <s v="ELSHPF"/>
    <m/>
    <s v="ELH"/>
    <s v="ELS HATSON"/>
    <s v="F"/>
    <n v="4"/>
    <s v="HP"/>
    <s v="HOODED JUMPER"/>
    <s v="K"/>
    <n v="924"/>
    <n v="924"/>
    <s v="ELHHPF4924"/>
    <n v="0.16666666666666666"/>
    <s v="ELSHPF1924YEXXS"/>
    <s v="YE"/>
    <s v="YELLOW"/>
    <s v="ELHHPF4924YE"/>
    <x v="1"/>
    <n v="0.16666666666666666"/>
    <n v="0"/>
    <n v="1"/>
    <s v="XXS"/>
    <n v="100"/>
    <x v="14"/>
    <n v="6"/>
    <x v="6"/>
    <s v="M"/>
    <s v="IN"/>
    <x v="0"/>
    <n v="99000"/>
    <x v="27"/>
    <n v="20000"/>
    <n v="21098.75"/>
    <n v="1098.75"/>
    <n v="0"/>
    <n v="20"/>
    <s v=""/>
    <n v="20"/>
    <n v="18.2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2109875"/>
    <n v="9900000"/>
    <n v="4.2656555483144736"/>
  </r>
  <r>
    <n v="0"/>
    <n v="0"/>
    <n v="8"/>
    <n v="8"/>
    <s v="전략"/>
    <x v="30"/>
    <s v="ELH-대경-06"/>
    <s v="ELH-대경-06ELHHPF4926GY"/>
    <n v="2"/>
    <s v="ELH-대경-062"/>
    <s v="ELH-대경-062-ELHHPF4926GREYOXS"/>
    <s v="ELH의류926"/>
    <s v="ELH"/>
    <s v="ELSHPF"/>
    <m/>
    <s v="ELH"/>
    <s v="ELS HATSON"/>
    <s v="F"/>
    <n v="4"/>
    <s v="HP"/>
    <s v="HOODED JUMPER"/>
    <s v="K"/>
    <n v="926"/>
    <n v="926"/>
    <s v="ELHHPF4926"/>
    <n v="0.16666666666666666"/>
    <s v="ELSHPF1926GYOXS"/>
    <s v="GY"/>
    <s v="GREY"/>
    <s v="ELHHPF4926GY"/>
    <x v="1"/>
    <n v="0.16666666666666666"/>
    <n v="0"/>
    <n v="1"/>
    <s v="OXS"/>
    <n v="100"/>
    <x v="14"/>
    <n v="6"/>
    <x v="6"/>
    <s v="M"/>
    <s v="IN"/>
    <x v="0"/>
    <n v="99000"/>
    <x v="27"/>
    <n v="20000"/>
    <n v="19712.75"/>
    <n v="-287.25"/>
    <n v="0"/>
    <n v="20"/>
    <s v=""/>
    <n v="20"/>
    <n v="17.0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971275"/>
    <n v="9900000"/>
    <n v="4.5655730428276113"/>
  </r>
  <r>
    <n v="0"/>
    <n v="0"/>
    <n v="8"/>
    <n v="8"/>
    <s v="전략"/>
    <x v="30"/>
    <s v="ELH-대경-06"/>
    <s v="ELH-대경-06ELHHPF4926GY"/>
    <n v="2"/>
    <s v="ELH-대경-062"/>
    <s v="ELH-대경-062-ELHHPF4926GREYOSS"/>
    <s v="ELH의류926"/>
    <s v="ELH"/>
    <s v="ELSHPF"/>
    <m/>
    <s v="ELH"/>
    <s v="ELS HATSON"/>
    <s v="F"/>
    <n v="4"/>
    <s v="HP"/>
    <s v="HOODED JUMPER"/>
    <s v="K"/>
    <n v="926"/>
    <n v="926"/>
    <s v="ELHHPF4926"/>
    <n v="0.16666666666666666"/>
    <s v="ELSHPF1926GYOSS"/>
    <s v="GY"/>
    <s v="GREY"/>
    <s v="ELHHPF4926GY"/>
    <x v="1"/>
    <n v="0.16666666666666666"/>
    <n v="0"/>
    <n v="1"/>
    <s v="OSS"/>
    <n v="100"/>
    <x v="14"/>
    <n v="6"/>
    <x v="6"/>
    <s v="M"/>
    <s v="IN"/>
    <x v="0"/>
    <n v="99000"/>
    <x v="27"/>
    <n v="20000"/>
    <n v="19712.75"/>
    <n v="-287.25"/>
    <n v="0"/>
    <n v="20"/>
    <s v=""/>
    <n v="20"/>
    <n v="17.0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971275"/>
    <n v="9900000"/>
    <n v="4.5655730428276113"/>
  </r>
  <r>
    <n v="0"/>
    <n v="0"/>
    <n v="8"/>
    <n v="8"/>
    <s v="전략"/>
    <x v="30"/>
    <s v="ELH-대경-06"/>
    <s v="ELH-대경-06ELHHPF4926GY"/>
    <n v="2"/>
    <s v="ELH-대경-062"/>
    <s v="ELH-대경-062-ELHHPF4926GREYOMM"/>
    <s v="ELH의류926"/>
    <s v="ELH"/>
    <s v="ELSHPF"/>
    <m/>
    <s v="ELH"/>
    <s v="ELS HATSON"/>
    <s v="F"/>
    <n v="4"/>
    <s v="HP"/>
    <s v="HOODED JUMPER"/>
    <s v="K"/>
    <n v="926"/>
    <n v="926"/>
    <s v="ELHHPF4926"/>
    <n v="0.16666666666666666"/>
    <s v="ELSHPF1926GYOMM"/>
    <s v="GY"/>
    <s v="GREY"/>
    <s v="ELHHPF4926GY"/>
    <x v="1"/>
    <n v="0.16666666666666666"/>
    <n v="0"/>
    <n v="1"/>
    <s v="OMM"/>
    <n v="50"/>
    <x v="14"/>
    <n v="6"/>
    <x v="6"/>
    <s v="M"/>
    <s v="IN"/>
    <x v="0"/>
    <n v="99000"/>
    <x v="27"/>
    <n v="20000"/>
    <n v="19712.75"/>
    <n v="-287.25"/>
    <n v="0"/>
    <n v="20"/>
    <s v=""/>
    <n v="20"/>
    <n v="17.0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985637.5"/>
    <n v="4950000"/>
    <n v="4.5655730428276113"/>
  </r>
  <r>
    <n v="0"/>
    <n v="0"/>
    <n v="8"/>
    <n v="8"/>
    <s v="전략"/>
    <x v="30"/>
    <s v="ELH-대경-06"/>
    <s v="ELH-대경-06ELHHPF4926GY"/>
    <n v="2"/>
    <s v="ELH-대경-062"/>
    <s v="ELH-대경-062-ELHHPF4926GREYOLL"/>
    <s v="ELH의류926"/>
    <s v="ELH"/>
    <s v="ELSHPF"/>
    <m/>
    <s v="ELH"/>
    <s v="ELS HATSON"/>
    <s v="F"/>
    <n v="4"/>
    <s v="HP"/>
    <s v="HOODED JUMPER"/>
    <s v="K"/>
    <n v="926"/>
    <n v="926"/>
    <s v="ELHHPF4926"/>
    <n v="0.16666666666666666"/>
    <s v="ELSHPF1926GYOLL"/>
    <s v="GY"/>
    <s v="GREY"/>
    <s v="ELHHPF4926GY"/>
    <x v="1"/>
    <n v="0.16666666666666666"/>
    <n v="0"/>
    <n v="1"/>
    <s v="OLL"/>
    <n v="50"/>
    <x v="14"/>
    <n v="6"/>
    <x v="6"/>
    <s v="M"/>
    <s v="IN"/>
    <x v="0"/>
    <n v="99000"/>
    <x v="27"/>
    <n v="20000"/>
    <n v="19712.75"/>
    <n v="-287.25"/>
    <n v="0"/>
    <n v="20"/>
    <s v=""/>
    <n v="20"/>
    <n v="17.0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985637.5"/>
    <n v="4950000"/>
    <n v="4.5655730428276113"/>
  </r>
  <r>
    <n v="0"/>
    <n v="0"/>
    <n v="8"/>
    <n v="8"/>
    <s v="전략"/>
    <x v="30"/>
    <s v="ELH-대경-06"/>
    <s v="ELH-대경-06ELHHPF4926GY"/>
    <n v="2"/>
    <s v="ELH-대경-062"/>
    <s v="ELH-대경-062-ELHHPF4926GREYOXL"/>
    <s v="ELH의류926"/>
    <s v="ELH"/>
    <s v="ELSHPF"/>
    <m/>
    <s v="ELH"/>
    <s v="ELS HATSON"/>
    <s v="F"/>
    <n v="4"/>
    <s v="HP"/>
    <s v="HOODED JUMPER"/>
    <s v="K"/>
    <n v="926"/>
    <n v="926"/>
    <s v="ELHHPF4926"/>
    <n v="0.16666666666666666"/>
    <s v="ELSHPF1926GYOXL"/>
    <s v="GY"/>
    <s v="GREY"/>
    <s v="ELHHPF4926GY"/>
    <x v="1"/>
    <n v="0.16666666666666666"/>
    <n v="0"/>
    <n v="1"/>
    <s v="OXL"/>
    <n v="50"/>
    <x v="14"/>
    <n v="6"/>
    <x v="6"/>
    <s v="M"/>
    <s v="IN"/>
    <x v="0"/>
    <n v="99000"/>
    <x v="27"/>
    <n v="20000"/>
    <n v="19712.75"/>
    <n v="-287.25"/>
    <n v="0"/>
    <n v="20"/>
    <s v=""/>
    <n v="20"/>
    <n v="17.0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985637.5"/>
    <n v="4950000"/>
    <n v="4.5655730428276113"/>
  </r>
  <r>
    <n v="0"/>
    <n v="0"/>
    <n v="8"/>
    <n v="8"/>
    <s v="전략"/>
    <x v="30"/>
    <s v="ELH-대경-06"/>
    <s v="ELH-대경-06ELHHPF4926GY"/>
    <n v="2"/>
    <s v="ELH-대경-062"/>
    <s v="ELH-대경-062-ELHHPF4926GREYXXS"/>
    <s v="ELH의류926"/>
    <s v="ELH"/>
    <s v="ELSHPF"/>
    <m/>
    <s v="ELH"/>
    <s v="ELS HATSON"/>
    <s v="F"/>
    <n v="4"/>
    <s v="HP"/>
    <s v="HOODED JUMPER"/>
    <s v="K"/>
    <n v="926"/>
    <n v="926"/>
    <s v="ELHHPF4926"/>
    <n v="0.16666666666666666"/>
    <s v="ELSHPF1926GYXXS"/>
    <s v="GY"/>
    <s v="GREY"/>
    <s v="ELHHPF4926GY"/>
    <x v="1"/>
    <n v="0.16666666666666666"/>
    <n v="0"/>
    <n v="1"/>
    <s v="XXS"/>
    <n v="50"/>
    <x v="14"/>
    <n v="6"/>
    <x v="6"/>
    <s v="M"/>
    <s v="IN"/>
    <x v="0"/>
    <n v="99000"/>
    <x v="27"/>
    <n v="20000"/>
    <n v="19712.75"/>
    <n v="-287.25"/>
    <n v="0"/>
    <n v="20"/>
    <s v=""/>
    <n v="20"/>
    <n v="17.0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985637.5"/>
    <n v="4950000"/>
    <n v="4.5655730428276113"/>
  </r>
  <r>
    <n v="0"/>
    <n v="0"/>
    <n v="8"/>
    <n v="8"/>
    <s v="전략"/>
    <x v="30"/>
    <s v="ELH-대경-06"/>
    <s v="ELH-대경-06ELHJPF4928BL"/>
    <n v="3"/>
    <s v="ELH-대경-063"/>
    <s v="ELH-대경-063-ELHJPF4928BLUEOXS"/>
    <s v="ELH의류928"/>
    <s v="ELH"/>
    <s v="ELSJPF"/>
    <m/>
    <s v="ELH"/>
    <s v="ELS HATSON"/>
    <s v="F"/>
    <n v="4"/>
    <s v="JP"/>
    <s v="JUMPER"/>
    <s v="K"/>
    <n v="928"/>
    <n v="928"/>
    <s v="ELHJPF4928"/>
    <n v="8.3333333333333329E-2"/>
    <s v="ELSJPF1928BLOXS"/>
    <s v="BL"/>
    <s v="BLUE"/>
    <s v="ELHJPF4928BL"/>
    <x v="1"/>
    <n v="0.16666666666666666"/>
    <n v="0"/>
    <n v="1"/>
    <s v="OXS"/>
    <n v="50"/>
    <x v="14"/>
    <n v="6"/>
    <x v="6"/>
    <s v="M"/>
    <s v="IN"/>
    <x v="0"/>
    <n v="109000"/>
    <x v="27"/>
    <n v="22020.202020202021"/>
    <n v="23004.5"/>
    <n v="984.29797979797877"/>
    <n v="0"/>
    <n v="20"/>
    <s v=""/>
    <n v="20"/>
    <n v="19.899999999999999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150225"/>
    <n v="5450000"/>
    <n v="4.3074576318072157"/>
  </r>
  <r>
    <n v="0"/>
    <n v="0"/>
    <n v="8"/>
    <n v="8"/>
    <s v="전략"/>
    <x v="30"/>
    <s v="ELH-대경-06"/>
    <s v="ELH-대경-06ELHJPF4928BL"/>
    <n v="3"/>
    <s v="ELH-대경-063"/>
    <s v="ELH-대경-063-ELHJPF4928BLUEOSS"/>
    <s v="ELH의류928"/>
    <s v="ELH"/>
    <s v="ELSJPF"/>
    <m/>
    <s v="ELH"/>
    <s v="ELS HATSON"/>
    <s v="F"/>
    <n v="4"/>
    <s v="JP"/>
    <s v="JUMPER"/>
    <s v="K"/>
    <n v="928"/>
    <n v="928"/>
    <s v="ELHJPF4928"/>
    <n v="8.3333333333333329E-2"/>
    <s v="ELSJPF1928BLOSS"/>
    <s v="BL"/>
    <s v="BLUE"/>
    <s v="ELHJPF4928BL"/>
    <x v="1"/>
    <n v="0.16666666666666666"/>
    <n v="0"/>
    <n v="1"/>
    <s v="OSS"/>
    <n v="50"/>
    <x v="14"/>
    <n v="6"/>
    <x v="6"/>
    <s v="M"/>
    <s v="IN"/>
    <x v="0"/>
    <n v="109000"/>
    <x v="27"/>
    <n v="22020.202020202021"/>
    <n v="23004.5"/>
    <n v="984.29797979797877"/>
    <n v="0"/>
    <n v="20"/>
    <s v=""/>
    <n v="20"/>
    <n v="19.899999999999999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150225"/>
    <n v="5450000"/>
    <n v="4.3074576318072157"/>
  </r>
  <r>
    <n v="0"/>
    <n v="0"/>
    <n v="8"/>
    <n v="8"/>
    <s v="전략"/>
    <x v="30"/>
    <s v="ELH-대경-06"/>
    <s v="ELH-대경-06ELHJPF4928BL"/>
    <n v="3"/>
    <s v="ELH-대경-063"/>
    <s v="ELH-대경-063-ELHJPF4928BLUEOMM"/>
    <s v="ELH의류928"/>
    <s v="ELH"/>
    <s v="ELSJPF"/>
    <m/>
    <s v="ELH"/>
    <s v="ELS HATSON"/>
    <s v="F"/>
    <n v="4"/>
    <s v="JP"/>
    <s v="JUMPER"/>
    <s v="K"/>
    <n v="928"/>
    <n v="928"/>
    <s v="ELHJPF4928"/>
    <n v="8.3333333333333329E-2"/>
    <s v="ELSJPF1928BLOMM"/>
    <s v="BL"/>
    <s v="BLUE"/>
    <s v="ELHJPF4928BL"/>
    <x v="1"/>
    <n v="0.16666666666666666"/>
    <n v="0"/>
    <n v="1"/>
    <s v="OMM"/>
    <n v="50"/>
    <x v="14"/>
    <n v="6"/>
    <x v="6"/>
    <s v="M"/>
    <s v="IN"/>
    <x v="0"/>
    <n v="109000"/>
    <x v="27"/>
    <n v="22020.202020202021"/>
    <n v="23004.5"/>
    <n v="984.29797979797877"/>
    <n v="0"/>
    <n v="20"/>
    <s v=""/>
    <n v="20"/>
    <n v="19.899999999999999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150225"/>
    <n v="5450000"/>
    <n v="4.3074576318072157"/>
  </r>
  <r>
    <n v="0"/>
    <n v="0"/>
    <n v="8"/>
    <n v="8"/>
    <s v="전략"/>
    <x v="30"/>
    <s v="ELH-대경-06"/>
    <s v="ELH-대경-06ELHJPF4928BL"/>
    <n v="3"/>
    <s v="ELH-대경-063"/>
    <s v="ELH-대경-063-ELHJPF4928BLUEOLL"/>
    <s v="ELH의류928"/>
    <s v="ELH"/>
    <s v="ELSJPF"/>
    <m/>
    <s v="ELH"/>
    <s v="ELS HATSON"/>
    <s v="F"/>
    <n v="4"/>
    <s v="JP"/>
    <s v="JUMPER"/>
    <s v="K"/>
    <n v="928"/>
    <n v="928"/>
    <s v="ELHJPF4928"/>
    <n v="8.3333333333333329E-2"/>
    <s v="ELSJPF1928BLOLL"/>
    <s v="BL"/>
    <s v="BLUE"/>
    <s v="ELHJPF4928BL"/>
    <x v="1"/>
    <n v="0.16666666666666666"/>
    <n v="0"/>
    <n v="1"/>
    <s v="OLL"/>
    <n v="50"/>
    <x v="14"/>
    <n v="6"/>
    <x v="6"/>
    <s v="M"/>
    <s v="IN"/>
    <x v="0"/>
    <n v="109000"/>
    <x v="27"/>
    <n v="22020.202020202021"/>
    <n v="23004.5"/>
    <n v="984.29797979797877"/>
    <n v="0"/>
    <n v="20"/>
    <s v=""/>
    <n v="20"/>
    <n v="19.899999999999999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150225"/>
    <n v="5450000"/>
    <n v="4.3074576318072157"/>
  </r>
  <r>
    <n v="0"/>
    <n v="0"/>
    <n v="8"/>
    <n v="8"/>
    <s v="전략"/>
    <x v="30"/>
    <s v="ELH-대경-06"/>
    <s v="ELH-대경-06ELHJPF4928BL"/>
    <n v="3"/>
    <s v="ELH-대경-063"/>
    <s v="ELH-대경-063-ELHJPF4928BLUEOXL"/>
    <s v="ELH의류928"/>
    <s v="ELH"/>
    <s v="ELSJPF"/>
    <m/>
    <s v="ELH"/>
    <s v="ELS HATSON"/>
    <s v="F"/>
    <n v="4"/>
    <s v="JP"/>
    <s v="JUMPER"/>
    <s v="K"/>
    <n v="928"/>
    <n v="928"/>
    <s v="ELHJPF4928"/>
    <n v="8.3333333333333329E-2"/>
    <s v="ELSJPF1928BLOXL"/>
    <s v="BL"/>
    <s v="BLUE"/>
    <s v="ELHJPF4928BL"/>
    <x v="1"/>
    <n v="0.16666666666666666"/>
    <n v="0"/>
    <n v="1"/>
    <s v="OXL"/>
    <n v="50"/>
    <x v="14"/>
    <n v="6"/>
    <x v="6"/>
    <s v="M"/>
    <s v="IN"/>
    <x v="0"/>
    <n v="109000"/>
    <x v="27"/>
    <n v="22020.202020202021"/>
    <n v="23004.5"/>
    <n v="984.29797979797877"/>
    <n v="0"/>
    <n v="20"/>
    <s v=""/>
    <n v="20"/>
    <n v="19.899999999999999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150225"/>
    <n v="5450000"/>
    <n v="4.3074576318072157"/>
  </r>
  <r>
    <n v="0"/>
    <n v="0"/>
    <n v="8"/>
    <n v="8"/>
    <s v="전략"/>
    <x v="30"/>
    <s v="ELH-대경-06"/>
    <s v="ELH-대경-06ELHJPF4928BL"/>
    <n v="3"/>
    <s v="ELH-대경-063"/>
    <s v="ELH-대경-063-ELHJPF4928BLUEXXS"/>
    <s v="ELH의류928"/>
    <s v="ELH"/>
    <s v="ELSJPF"/>
    <m/>
    <s v="ELH"/>
    <s v="ELS HATSON"/>
    <s v="F"/>
    <n v="4"/>
    <s v="JP"/>
    <s v="JUMPER"/>
    <s v="K"/>
    <n v="928"/>
    <n v="928"/>
    <s v="ELHJPF4928"/>
    <n v="8.3333333333333329E-2"/>
    <s v="ELSJPF1928BLXXS"/>
    <s v="BL"/>
    <s v="BLUE"/>
    <s v="ELHJPF4928BL"/>
    <x v="1"/>
    <n v="0.16666666666666666"/>
    <n v="0"/>
    <n v="1"/>
    <s v="XXS"/>
    <n v="50"/>
    <x v="14"/>
    <n v="6"/>
    <x v="6"/>
    <s v="M"/>
    <s v="IN"/>
    <x v="0"/>
    <n v="109000"/>
    <x v="27"/>
    <n v="22020.202020202021"/>
    <n v="23004.5"/>
    <n v="984.29797979797877"/>
    <n v="0"/>
    <n v="20"/>
    <s v=""/>
    <n v="20"/>
    <n v="19.899999999999999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150225"/>
    <n v="5450000"/>
    <n v="4.3074576318072157"/>
  </r>
  <r>
    <n v="0"/>
    <n v="0"/>
    <n v="8"/>
    <n v="8"/>
    <s v="전략"/>
    <x v="30"/>
    <s v="ELH-대경-06"/>
    <s v="ELH-대경-06ELHJPF4928RE"/>
    <n v="4"/>
    <s v="ELH-대경-064"/>
    <s v="ELH-대경-064-ELHJPF4928REDOXS"/>
    <s v="ELH의류928"/>
    <s v="ELH"/>
    <s v="ELSJPF"/>
    <m/>
    <s v="ELH"/>
    <s v="ELS HATSON"/>
    <s v="F"/>
    <n v="4"/>
    <s v="JP"/>
    <s v="JUMPER"/>
    <s v="K"/>
    <n v="928"/>
    <n v="928"/>
    <s v="ELHJPF4928"/>
    <n v="8.3333333333333329E-2"/>
    <s v="ELSJPF1928REOXS"/>
    <s v="RE"/>
    <s v="RED"/>
    <s v="ELHJPF4928RE"/>
    <x v="1"/>
    <n v="0.16666666666666666"/>
    <n v="0"/>
    <n v="1"/>
    <s v="OXS"/>
    <n v="50"/>
    <x v="14"/>
    <n v="6"/>
    <x v="6"/>
    <s v="M"/>
    <s v="IN"/>
    <x v="0"/>
    <n v="109000"/>
    <x v="27"/>
    <n v="22020.202020202021"/>
    <n v="23004.5"/>
    <n v="984.29797979797877"/>
    <n v="0"/>
    <n v="20"/>
    <s v=""/>
    <n v="20"/>
    <n v="19.899999999999999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150225"/>
    <n v="5450000"/>
    <n v="4.3074576318072157"/>
  </r>
  <r>
    <n v="0"/>
    <n v="0"/>
    <n v="8"/>
    <n v="8"/>
    <s v="전략"/>
    <x v="30"/>
    <s v="ELH-대경-06"/>
    <s v="ELH-대경-06ELHJPF4928RE"/>
    <n v="4"/>
    <s v="ELH-대경-064"/>
    <s v="ELH-대경-064-ELHJPF4928REDOSS"/>
    <s v="ELH의류928"/>
    <s v="ELH"/>
    <s v="ELSJPF"/>
    <m/>
    <s v="ELH"/>
    <s v="ELS HATSON"/>
    <s v="F"/>
    <n v="4"/>
    <s v="JP"/>
    <s v="JUMPER"/>
    <s v="K"/>
    <n v="928"/>
    <n v="928"/>
    <s v="ELHJPF4928"/>
    <n v="8.3333333333333329E-2"/>
    <s v="ELSJPF1928REOSS"/>
    <s v="RE"/>
    <s v="RED"/>
    <s v="ELHJPF4928RE"/>
    <x v="1"/>
    <n v="0.16666666666666666"/>
    <n v="0"/>
    <n v="1"/>
    <s v="OSS"/>
    <n v="50"/>
    <x v="14"/>
    <n v="6"/>
    <x v="6"/>
    <s v="M"/>
    <s v="IN"/>
    <x v="0"/>
    <n v="109000"/>
    <x v="27"/>
    <n v="22020.202020202021"/>
    <n v="23004.5"/>
    <n v="984.29797979797877"/>
    <n v="0"/>
    <n v="20"/>
    <s v=""/>
    <n v="20"/>
    <n v="19.899999999999999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150225"/>
    <n v="5450000"/>
    <n v="4.3074576318072157"/>
  </r>
  <r>
    <n v="0"/>
    <n v="0"/>
    <n v="8"/>
    <n v="8"/>
    <s v="전략"/>
    <x v="30"/>
    <s v="ELH-대경-06"/>
    <s v="ELH-대경-06ELHJPF4928RE"/>
    <n v="4"/>
    <s v="ELH-대경-064"/>
    <s v="ELH-대경-064-ELHJPF4928REDOMM"/>
    <s v="ELH의류928"/>
    <s v="ELH"/>
    <s v="ELSJPF"/>
    <m/>
    <s v="ELH"/>
    <s v="ELS HATSON"/>
    <s v="F"/>
    <n v="4"/>
    <s v="JP"/>
    <s v="JUMPER"/>
    <s v="K"/>
    <n v="928"/>
    <n v="928"/>
    <s v="ELHJPF4928"/>
    <n v="8.3333333333333329E-2"/>
    <s v="ELSJPF1928REOMM"/>
    <s v="RE"/>
    <s v="RED"/>
    <s v="ELHJPF4928RE"/>
    <x v="1"/>
    <n v="0.16666666666666666"/>
    <n v="0"/>
    <n v="1"/>
    <s v="OMM"/>
    <n v="50"/>
    <x v="14"/>
    <n v="6"/>
    <x v="6"/>
    <s v="M"/>
    <s v="IN"/>
    <x v="0"/>
    <n v="109000"/>
    <x v="27"/>
    <n v="22020.202020202021"/>
    <n v="23004.5"/>
    <n v="984.29797979797877"/>
    <n v="0"/>
    <n v="20"/>
    <s v=""/>
    <n v="20"/>
    <n v="19.899999999999999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150225"/>
    <n v="5450000"/>
    <n v="4.3074576318072157"/>
  </r>
  <r>
    <n v="0"/>
    <n v="0"/>
    <n v="8"/>
    <n v="8"/>
    <s v="전략"/>
    <x v="30"/>
    <s v="ELH-대경-06"/>
    <s v="ELH-대경-06ELHJPF4928RE"/>
    <n v="4"/>
    <s v="ELH-대경-064"/>
    <s v="ELH-대경-064-ELHJPF4928REDOLL"/>
    <s v="ELH의류928"/>
    <s v="ELH"/>
    <s v="ELSJPF"/>
    <m/>
    <s v="ELH"/>
    <s v="ELS HATSON"/>
    <s v="F"/>
    <n v="4"/>
    <s v="JP"/>
    <s v="JUMPER"/>
    <s v="K"/>
    <n v="928"/>
    <n v="928"/>
    <s v="ELHJPF4928"/>
    <n v="8.3333333333333329E-2"/>
    <s v="ELSJPF1928REOLL"/>
    <s v="RE"/>
    <s v="RED"/>
    <s v="ELHJPF4928RE"/>
    <x v="1"/>
    <n v="0.16666666666666666"/>
    <n v="0"/>
    <n v="1"/>
    <s v="OLL"/>
    <n v="50"/>
    <x v="14"/>
    <n v="6"/>
    <x v="6"/>
    <s v="M"/>
    <s v="IN"/>
    <x v="0"/>
    <n v="109000"/>
    <x v="27"/>
    <n v="22020.202020202021"/>
    <n v="23004.5"/>
    <n v="984.29797979797877"/>
    <n v="0"/>
    <n v="20"/>
    <s v=""/>
    <n v="20"/>
    <n v="19.899999999999999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150225"/>
    <n v="5450000"/>
    <n v="4.3074576318072157"/>
  </r>
  <r>
    <n v="0"/>
    <n v="0"/>
    <n v="8"/>
    <n v="8"/>
    <s v="전략"/>
    <x v="30"/>
    <s v="ELH-대경-06"/>
    <s v="ELH-대경-06ELHJPF4928RE"/>
    <n v="4"/>
    <s v="ELH-대경-064"/>
    <s v="ELH-대경-064-ELHJPF4928REDOXL"/>
    <s v="ELH의류928"/>
    <s v="ELH"/>
    <s v="ELSJPF"/>
    <m/>
    <s v="ELH"/>
    <s v="ELS HATSON"/>
    <s v="F"/>
    <n v="4"/>
    <s v="JP"/>
    <s v="JUMPER"/>
    <s v="K"/>
    <n v="928"/>
    <n v="928"/>
    <s v="ELHJPF4928"/>
    <n v="8.3333333333333329E-2"/>
    <s v="ELSJPF1928REOXL"/>
    <s v="RE"/>
    <s v="RED"/>
    <s v="ELHJPF4928RE"/>
    <x v="1"/>
    <n v="0.16666666666666666"/>
    <n v="0"/>
    <n v="1"/>
    <s v="OXL"/>
    <n v="50"/>
    <x v="14"/>
    <n v="6"/>
    <x v="6"/>
    <s v="M"/>
    <s v="IN"/>
    <x v="0"/>
    <n v="109000"/>
    <x v="27"/>
    <n v="22020.202020202021"/>
    <n v="23004.5"/>
    <n v="984.29797979797877"/>
    <n v="0"/>
    <n v="20"/>
    <s v=""/>
    <n v="20"/>
    <n v="19.899999999999999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150225"/>
    <n v="5450000"/>
    <n v="4.3074576318072157"/>
  </r>
  <r>
    <n v="0"/>
    <n v="0"/>
    <n v="8"/>
    <n v="8"/>
    <s v="전략"/>
    <x v="30"/>
    <s v="ELH-대경-06"/>
    <s v="ELH-대경-06ELHJPF4928RE"/>
    <n v="4"/>
    <s v="ELH-대경-064"/>
    <s v="ELH-대경-064-ELHJPF4928REDXXS"/>
    <s v="ELH의류928"/>
    <s v="ELH"/>
    <s v="ELSJPF"/>
    <m/>
    <s v="ELH"/>
    <s v="ELS HATSON"/>
    <s v="F"/>
    <n v="4"/>
    <s v="JP"/>
    <s v="JUMPER"/>
    <s v="K"/>
    <n v="928"/>
    <n v="928"/>
    <s v="ELHJPF4928"/>
    <n v="8.3333333333333329E-2"/>
    <s v="ELSJPF1928REXXS"/>
    <s v="RE"/>
    <s v="RED"/>
    <s v="ELHJPF4928RE"/>
    <x v="1"/>
    <n v="0.16666666666666666"/>
    <n v="0"/>
    <n v="1"/>
    <s v="XXS"/>
    <n v="50"/>
    <x v="14"/>
    <n v="6"/>
    <x v="6"/>
    <s v="M"/>
    <s v="IN"/>
    <x v="0"/>
    <n v="109000"/>
    <x v="27"/>
    <n v="22020.202020202021"/>
    <n v="23004.5"/>
    <n v="984.29797979797877"/>
    <n v="0"/>
    <n v="20"/>
    <s v=""/>
    <n v="20"/>
    <n v="19.899999999999999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150225"/>
    <n v="5450000"/>
    <n v="4.3074576318072157"/>
  </r>
  <r>
    <n v="0"/>
    <n v="0"/>
    <n v="8"/>
    <n v="8"/>
    <s v="전략"/>
    <x v="30"/>
    <s v="ELH-대경-06"/>
    <s v="ELH-대경-06ELHJSF4949GY"/>
    <n v="5"/>
    <s v="ELH-대경-065"/>
    <s v="ELH-대경-065-ELHJSF4949GREYOXS"/>
    <s v="ELH의류949"/>
    <s v="ELH"/>
    <s v="ELSJSF"/>
    <m/>
    <s v="ELH"/>
    <s v="ELS HATSON"/>
    <s v="F"/>
    <n v="4"/>
    <s v="JS"/>
    <s v="JUMPSUIT"/>
    <s v="K"/>
    <n v="949"/>
    <n v="949"/>
    <s v="ELHJSF4949"/>
    <n v="0.16666666666666666"/>
    <s v="ELSJSF1949GYOXS"/>
    <s v="GY"/>
    <s v="GREY"/>
    <s v="ELHJSF4949GY"/>
    <x v="1"/>
    <n v="0.16666666666666666"/>
    <n v="0"/>
    <n v="1"/>
    <s v="OXS"/>
    <n v="50"/>
    <x v="14"/>
    <n v="6"/>
    <x v="6"/>
    <s v="M"/>
    <s v="IN"/>
    <x v="0"/>
    <n v="79000"/>
    <x v="27"/>
    <n v="15959.595959595958"/>
    <n v="19655"/>
    <n v="3695.4040404040425"/>
    <n v="0"/>
    <n v="20"/>
    <s v=""/>
    <n v="20"/>
    <n v="17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982750"/>
    <n v="3950000"/>
    <n v="3.6539395481140584"/>
  </r>
  <r>
    <n v="0"/>
    <n v="0"/>
    <n v="8"/>
    <n v="8"/>
    <s v="전략"/>
    <x v="30"/>
    <s v="ELH-대경-06"/>
    <s v="ELH-대경-06ELHJSF4949GY"/>
    <n v="5"/>
    <s v="ELH-대경-065"/>
    <s v="ELH-대경-065-ELHJSF4949GREYOSS"/>
    <s v="ELH의류949"/>
    <s v="ELH"/>
    <s v="ELSJSF"/>
    <m/>
    <s v="ELH"/>
    <s v="ELS HATSON"/>
    <s v="F"/>
    <n v="4"/>
    <s v="JS"/>
    <s v="JUMPSUIT"/>
    <s v="K"/>
    <n v="949"/>
    <n v="949"/>
    <s v="ELHJSF4949"/>
    <n v="0.16666666666666666"/>
    <s v="ELSJSF1949GYOSS"/>
    <s v="GY"/>
    <s v="GREY"/>
    <s v="ELHJSF4949GY"/>
    <x v="1"/>
    <n v="0.16666666666666666"/>
    <n v="0"/>
    <n v="1"/>
    <s v="OSS"/>
    <n v="50"/>
    <x v="14"/>
    <n v="6"/>
    <x v="6"/>
    <s v="M"/>
    <s v="IN"/>
    <x v="0"/>
    <n v="79000"/>
    <x v="27"/>
    <n v="15959.595959595958"/>
    <n v="19655"/>
    <n v="3695.4040404040425"/>
    <n v="0"/>
    <n v="20"/>
    <s v=""/>
    <n v="20"/>
    <n v="17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982750"/>
    <n v="3950000"/>
    <n v="3.6539395481140584"/>
  </r>
  <r>
    <n v="0"/>
    <n v="0"/>
    <n v="8"/>
    <n v="8"/>
    <s v="전략"/>
    <x v="30"/>
    <s v="ELH-대경-06"/>
    <s v="ELH-대경-06ELHJSF4949GY"/>
    <n v="5"/>
    <s v="ELH-대경-065"/>
    <s v="ELH-대경-065-ELHJSF4949GREYOMM"/>
    <s v="ELH의류949"/>
    <s v="ELH"/>
    <s v="ELSJSF"/>
    <m/>
    <s v="ELH"/>
    <s v="ELS HATSON"/>
    <s v="F"/>
    <n v="4"/>
    <s v="JS"/>
    <s v="JUMPSUIT"/>
    <s v="K"/>
    <n v="949"/>
    <n v="949"/>
    <s v="ELHJSF4949"/>
    <n v="0.16666666666666666"/>
    <s v="ELSJSF1949GYOMM"/>
    <s v="GY"/>
    <s v="GREY"/>
    <s v="ELHJSF4949GY"/>
    <x v="1"/>
    <n v="0.16666666666666666"/>
    <n v="0"/>
    <n v="1"/>
    <s v="OMM"/>
    <n v="50"/>
    <x v="14"/>
    <n v="6"/>
    <x v="6"/>
    <s v="M"/>
    <s v="IN"/>
    <x v="0"/>
    <n v="79000"/>
    <x v="27"/>
    <n v="15959.595959595958"/>
    <n v="19655"/>
    <n v="3695.4040404040425"/>
    <n v="0"/>
    <n v="20"/>
    <s v=""/>
    <n v="20"/>
    <n v="17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982750"/>
    <n v="3950000"/>
    <n v="3.6539395481140584"/>
  </r>
  <r>
    <n v="0"/>
    <n v="0"/>
    <n v="8"/>
    <n v="8"/>
    <s v="전략"/>
    <x v="30"/>
    <s v="ELH-대경-06"/>
    <s v="ELH-대경-06ELHJSF4949GY"/>
    <n v="5"/>
    <s v="ELH-대경-065"/>
    <s v="ELH-대경-065-ELHJSF4949GREYOLL"/>
    <s v="ELH의류949"/>
    <s v="ELH"/>
    <s v="ELSJSF"/>
    <m/>
    <s v="ELH"/>
    <s v="ELS HATSON"/>
    <s v="F"/>
    <n v="4"/>
    <s v="JS"/>
    <s v="JUMPSUIT"/>
    <s v="K"/>
    <n v="949"/>
    <n v="949"/>
    <s v="ELHJSF4949"/>
    <n v="0.16666666666666666"/>
    <s v="ELSJSF1949GYOLL"/>
    <s v="GY"/>
    <s v="GREY"/>
    <s v="ELHJSF4949GY"/>
    <x v="1"/>
    <n v="0.16666666666666666"/>
    <n v="0"/>
    <n v="1"/>
    <s v="OLL"/>
    <n v="50"/>
    <x v="14"/>
    <n v="6"/>
    <x v="6"/>
    <s v="M"/>
    <s v="IN"/>
    <x v="0"/>
    <n v="79000"/>
    <x v="27"/>
    <n v="15959.595959595958"/>
    <n v="19655"/>
    <n v="3695.4040404040425"/>
    <n v="0"/>
    <n v="20"/>
    <s v=""/>
    <n v="20"/>
    <n v="17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982750"/>
    <n v="3950000"/>
    <n v="3.6539395481140584"/>
  </r>
  <r>
    <n v="0"/>
    <n v="0"/>
    <n v="8"/>
    <n v="8"/>
    <s v="전략"/>
    <x v="30"/>
    <s v="ELH-대경-06"/>
    <s v="ELH-대경-06ELHJSF4949GY"/>
    <n v="5"/>
    <s v="ELH-대경-065"/>
    <s v="ELH-대경-065-ELHJSF4949GREYOXL"/>
    <s v="ELH의류949"/>
    <s v="ELH"/>
    <s v="ELSJSF"/>
    <m/>
    <s v="ELH"/>
    <s v="ELS HATSON"/>
    <s v="F"/>
    <n v="4"/>
    <s v="JS"/>
    <s v="JUMPSUIT"/>
    <s v="K"/>
    <n v="949"/>
    <n v="949"/>
    <s v="ELHJSF4949"/>
    <n v="0.16666666666666666"/>
    <s v="ELSJSF1949GYOXL"/>
    <s v="GY"/>
    <s v="GREY"/>
    <s v="ELHJSF4949GY"/>
    <x v="1"/>
    <n v="0.16666666666666666"/>
    <n v="0"/>
    <n v="1"/>
    <s v="OXL"/>
    <n v="50"/>
    <x v="14"/>
    <n v="6"/>
    <x v="6"/>
    <s v="M"/>
    <s v="IN"/>
    <x v="0"/>
    <n v="79000"/>
    <x v="27"/>
    <n v="15959.595959595958"/>
    <n v="19655"/>
    <n v="3695.4040404040425"/>
    <n v="0"/>
    <n v="20"/>
    <s v=""/>
    <n v="20"/>
    <n v="17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982750"/>
    <n v="3950000"/>
    <n v="3.6539395481140584"/>
  </r>
  <r>
    <n v="0"/>
    <n v="0"/>
    <n v="8"/>
    <n v="8"/>
    <s v="전략"/>
    <x v="30"/>
    <s v="ELH-대경-06"/>
    <s v="ELH-대경-06ELHJSF4949GY"/>
    <n v="5"/>
    <s v="ELH-대경-065"/>
    <s v="ELH-대경-065-ELHJSF4949GREYXXS"/>
    <s v="ELH의류949"/>
    <s v="ELH"/>
    <s v="ELSJSF"/>
    <m/>
    <s v="ELH"/>
    <s v="ELS HATSON"/>
    <s v="F"/>
    <n v="4"/>
    <s v="JS"/>
    <s v="JUMPSUIT"/>
    <s v="K"/>
    <n v="949"/>
    <n v="949"/>
    <s v="ELHJSF4949"/>
    <n v="0.16666666666666666"/>
    <s v="ELSJSF1949GYXXS"/>
    <s v="GY"/>
    <s v="GREY"/>
    <s v="ELHJSF4949GY"/>
    <x v="1"/>
    <n v="0.16666666666666666"/>
    <n v="0"/>
    <n v="1"/>
    <s v="XXS"/>
    <n v="50"/>
    <x v="14"/>
    <n v="6"/>
    <x v="6"/>
    <s v="M"/>
    <s v="IN"/>
    <x v="0"/>
    <n v="79000"/>
    <x v="27"/>
    <n v="15959.595959595958"/>
    <n v="19655"/>
    <n v="3695.4040404040425"/>
    <n v="0"/>
    <n v="20"/>
    <s v=""/>
    <n v="20"/>
    <n v="17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982750"/>
    <n v="3950000"/>
    <n v="3.6539395481140584"/>
  </r>
  <r>
    <n v="0"/>
    <n v="0"/>
    <n v="8"/>
    <n v="8"/>
    <s v="전략"/>
    <x v="30"/>
    <s v="ELH-대경-06"/>
    <s v="ELH-대경-06ELHJSF4950BK"/>
    <n v="6"/>
    <s v="ELH-대경-066"/>
    <s v="ELH-대경-066-ELHJSF4950BLACKOXS"/>
    <s v="ELH의류950"/>
    <s v="ELH"/>
    <s v="ELSJSF"/>
    <m/>
    <s v="ELH"/>
    <s v="ELS HATSON"/>
    <s v="F"/>
    <n v="4"/>
    <s v="JS"/>
    <s v="JUMPSUIT"/>
    <s v="K"/>
    <n v="950"/>
    <n v="950"/>
    <s v="ELHJSF4950"/>
    <n v="0.16666666666666666"/>
    <s v="ELSJSF1950BKOXS"/>
    <s v="BK"/>
    <s v="BLACK"/>
    <s v="ELHJSF4950BK"/>
    <x v="1"/>
    <n v="0.16666666666666666"/>
    <n v="0"/>
    <n v="1"/>
    <s v="OXS"/>
    <n v="50"/>
    <x v="14"/>
    <n v="6"/>
    <x v="6"/>
    <s v="M"/>
    <s v="IN"/>
    <x v="0"/>
    <n v="79000"/>
    <x v="27"/>
    <n v="15959.595959595958"/>
    <n v="19655"/>
    <n v="3695.4040404040425"/>
    <n v="0"/>
    <n v="20"/>
    <s v=""/>
    <n v="20"/>
    <n v="17"/>
    <n v="0"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50"/>
    <n v="0"/>
    <n v="0"/>
    <n v="0"/>
    <n v="0"/>
    <n v="0"/>
    <n v="50"/>
    <n v="982750"/>
    <n v="3950000"/>
    <n v="3.6539395481140584"/>
  </r>
  <r>
    <n v="0"/>
    <n v="0"/>
    <n v="8"/>
    <n v="8"/>
    <s v="전략"/>
    <x v="30"/>
    <s v="ELH-대경-06"/>
    <s v="ELH-대경-06ELHJSF4950BK"/>
    <n v="6"/>
    <s v="ELH-대경-066"/>
    <s v="ELH-대경-066-ELHJSF4950BLACKOSS"/>
    <s v="ELH의류950"/>
    <s v="ELH"/>
    <s v="ELSJSF"/>
    <m/>
    <s v="ELH"/>
    <s v="ELS HATSON"/>
    <s v="F"/>
    <n v="4"/>
    <s v="JS"/>
    <s v="JUMPSUIT"/>
    <s v="K"/>
    <n v="950"/>
    <n v="950"/>
    <s v="ELHJSF4950"/>
    <n v="0.16666666666666666"/>
    <s v="ELSJSF1950BKOSS"/>
    <s v="BK"/>
    <s v="BLACK"/>
    <s v="ELHJSF4950BK"/>
    <x v="1"/>
    <n v="0.16666666666666666"/>
    <n v="0"/>
    <n v="1"/>
    <s v="OSS"/>
    <n v="50"/>
    <x v="14"/>
    <n v="6"/>
    <x v="6"/>
    <s v="M"/>
    <s v="IN"/>
    <x v="0"/>
    <n v="79000"/>
    <x v="27"/>
    <n v="15959.595959595958"/>
    <n v="19655"/>
    <n v="3695.4040404040425"/>
    <n v="0"/>
    <n v="20"/>
    <s v=""/>
    <n v="20"/>
    <n v="17"/>
    <n v="0"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50"/>
    <n v="0"/>
    <n v="0"/>
    <n v="0"/>
    <n v="0"/>
    <n v="0"/>
    <n v="50"/>
    <n v="982750"/>
    <n v="3950000"/>
    <n v="3.6539395481140584"/>
  </r>
  <r>
    <n v="0"/>
    <n v="0"/>
    <n v="8"/>
    <n v="8"/>
    <s v="전략"/>
    <x v="30"/>
    <s v="ELH-대경-06"/>
    <s v="ELH-대경-06ELHJSF4950BK"/>
    <n v="6"/>
    <s v="ELH-대경-066"/>
    <s v="ELH-대경-066-ELHJSF4950BLACKOMM"/>
    <s v="ELH의류950"/>
    <s v="ELH"/>
    <s v="ELSJSF"/>
    <m/>
    <s v="ELH"/>
    <s v="ELS HATSON"/>
    <s v="F"/>
    <n v="4"/>
    <s v="JS"/>
    <s v="JUMPSUIT"/>
    <s v="K"/>
    <n v="950"/>
    <n v="950"/>
    <s v="ELHJSF4950"/>
    <n v="0.16666666666666666"/>
    <s v="ELSJSF1950BKOMM"/>
    <s v="BK"/>
    <s v="BLACK"/>
    <s v="ELHJSF4950BK"/>
    <x v="1"/>
    <n v="0.16666666666666666"/>
    <n v="0"/>
    <n v="1"/>
    <s v="OMM"/>
    <n v="50"/>
    <x v="14"/>
    <n v="6"/>
    <x v="6"/>
    <s v="M"/>
    <s v="IN"/>
    <x v="0"/>
    <n v="79000"/>
    <x v="27"/>
    <n v="15959.595959595958"/>
    <n v="19655"/>
    <n v="3695.4040404040425"/>
    <n v="0"/>
    <n v="20"/>
    <s v=""/>
    <n v="20"/>
    <n v="17"/>
    <n v="0"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50"/>
    <n v="0"/>
    <n v="0"/>
    <n v="0"/>
    <n v="0"/>
    <n v="0"/>
    <n v="50"/>
    <n v="982750"/>
    <n v="3950000"/>
    <n v="3.6539395481140584"/>
  </r>
  <r>
    <n v="0"/>
    <n v="0"/>
    <n v="8"/>
    <n v="8"/>
    <s v="전략"/>
    <x v="30"/>
    <s v="ELH-대경-06"/>
    <s v="ELH-대경-06ELHJSF4950BK"/>
    <n v="6"/>
    <s v="ELH-대경-066"/>
    <s v="ELH-대경-066-ELHJSF4950BLACKOLL"/>
    <s v="ELH의류950"/>
    <s v="ELH"/>
    <s v="ELSJSF"/>
    <m/>
    <s v="ELH"/>
    <s v="ELS HATSON"/>
    <s v="F"/>
    <n v="4"/>
    <s v="JS"/>
    <s v="JUMPSUIT"/>
    <s v="K"/>
    <n v="950"/>
    <n v="950"/>
    <s v="ELHJSF4950"/>
    <n v="0.16666666666666666"/>
    <s v="ELSJSF1950BKOLL"/>
    <s v="BK"/>
    <s v="BLACK"/>
    <s v="ELHJSF4950BK"/>
    <x v="1"/>
    <n v="0.16666666666666666"/>
    <n v="0"/>
    <n v="1"/>
    <s v="OLL"/>
    <n v="50"/>
    <x v="14"/>
    <n v="6"/>
    <x v="6"/>
    <s v="M"/>
    <s v="IN"/>
    <x v="0"/>
    <n v="79000"/>
    <x v="27"/>
    <n v="15959.595959595958"/>
    <n v="19655"/>
    <n v="3695.4040404040425"/>
    <n v="0"/>
    <n v="20"/>
    <s v=""/>
    <n v="20"/>
    <n v="17"/>
    <n v="0"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50"/>
    <n v="0"/>
    <n v="0"/>
    <n v="0"/>
    <n v="0"/>
    <n v="0"/>
    <n v="50"/>
    <n v="982750"/>
    <n v="3950000"/>
    <n v="3.6539395481140584"/>
  </r>
  <r>
    <n v="0"/>
    <n v="0"/>
    <n v="8"/>
    <n v="8"/>
    <s v="전략"/>
    <x v="30"/>
    <s v="ELH-대경-06"/>
    <s v="ELH-대경-06ELHJSF4950BK"/>
    <n v="6"/>
    <s v="ELH-대경-066"/>
    <s v="ELH-대경-066-ELHJSF4950BLACKOXL"/>
    <s v="ELH의류950"/>
    <s v="ELH"/>
    <s v="ELSJSF"/>
    <m/>
    <s v="ELH"/>
    <s v="ELS HATSON"/>
    <s v="F"/>
    <n v="4"/>
    <s v="JS"/>
    <s v="JUMPSUIT"/>
    <s v="K"/>
    <n v="950"/>
    <n v="950"/>
    <s v="ELHJSF4950"/>
    <n v="0.16666666666666666"/>
    <s v="ELSJSF1950BKOXL"/>
    <s v="BK"/>
    <s v="BLACK"/>
    <s v="ELHJSF4950BK"/>
    <x v="1"/>
    <n v="0.16666666666666666"/>
    <n v="0"/>
    <n v="1"/>
    <s v="OXL"/>
    <n v="50"/>
    <x v="14"/>
    <n v="6"/>
    <x v="6"/>
    <s v="M"/>
    <s v="IN"/>
    <x v="0"/>
    <n v="79000"/>
    <x v="27"/>
    <n v="15959.595959595958"/>
    <n v="19655"/>
    <n v="3695.4040404040425"/>
    <n v="0"/>
    <n v="20"/>
    <s v=""/>
    <n v="20"/>
    <n v="17"/>
    <n v="0"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50"/>
    <n v="0"/>
    <n v="0"/>
    <n v="0"/>
    <n v="0"/>
    <n v="0"/>
    <n v="50"/>
    <n v="982750"/>
    <n v="3950000"/>
    <n v="3.6539395481140584"/>
  </r>
  <r>
    <n v="0"/>
    <n v="0"/>
    <n v="8"/>
    <n v="8"/>
    <s v="전략"/>
    <x v="30"/>
    <s v="ELH-대경-06"/>
    <s v="ELH-대경-06ELHJSF4950BK"/>
    <n v="6"/>
    <s v="ELH-대경-066"/>
    <s v="ELH-대경-066-ELHJSF4950BLACKXXS"/>
    <s v="ELH의류950"/>
    <s v="ELH"/>
    <s v="ELSJSF"/>
    <m/>
    <s v="ELH"/>
    <s v="ELS HATSON"/>
    <s v="F"/>
    <n v="4"/>
    <s v="JS"/>
    <s v="JUMPSUIT"/>
    <s v="K"/>
    <n v="950"/>
    <n v="950"/>
    <s v="ELHJSF4950"/>
    <n v="0.16666666666666666"/>
    <s v="ELSJSF1950BKXXS"/>
    <s v="BK"/>
    <s v="BLACK"/>
    <s v="ELHJSF4950BK"/>
    <x v="1"/>
    <n v="0.16666666666666666"/>
    <n v="0"/>
    <n v="1"/>
    <s v="XXS"/>
    <n v="50"/>
    <x v="14"/>
    <n v="6"/>
    <x v="6"/>
    <s v="M"/>
    <s v="IN"/>
    <x v="0"/>
    <n v="79000"/>
    <x v="27"/>
    <n v="15959.595959595958"/>
    <n v="19655"/>
    <n v="3695.4040404040425"/>
    <n v="0"/>
    <n v="20"/>
    <s v=""/>
    <n v="20"/>
    <n v="17"/>
    <n v="0"/>
    <d v="2014-08-04T00:00:00"/>
    <d v="1899-12-30T00:00:00"/>
    <d v="2014-08-11T00:00:00"/>
    <d v="1899-12-30T00:00:00"/>
    <d v="2014-08-11T00:00:00"/>
    <d v="2014-11-18T00:00:00"/>
    <d v="1899-12-30T00:00:00"/>
    <d v="1899-12-30T00:00:00"/>
    <d v="1899-12-30T00:00:00"/>
    <x v="1"/>
    <n v="0"/>
    <n v="50"/>
    <n v="1"/>
    <n v="0"/>
    <n v="0"/>
    <n v="0"/>
    <n v="0"/>
    <n v="50"/>
    <n v="982750"/>
    <n v="3950000"/>
    <n v="3.6539395481140584"/>
  </r>
  <r>
    <n v="0"/>
    <n v="0"/>
    <n v="8"/>
    <n v="8"/>
    <s v="전략"/>
    <x v="30"/>
    <s v="ELH-대경-06"/>
    <s v="ELH-대경-06ELHTHF4932MT"/>
    <n v="7"/>
    <s v="ELH-대경-067"/>
    <s v="ELH-대경-067-ELHTHF4932MINTOXS"/>
    <s v="ELH의류932"/>
    <s v="ELH"/>
    <s v="ELSTHF"/>
    <m/>
    <s v="ELH"/>
    <s v="ELS HATSON"/>
    <s v="F"/>
    <n v="4"/>
    <s v="TH"/>
    <s v="HOODED T-SHIRTS"/>
    <s v="K"/>
    <n v="932"/>
    <n v="932"/>
    <s v="ELHTHF4932"/>
    <n v="0.16666666666666666"/>
    <s v="ELSTHF1932MTOXS"/>
    <s v="MT"/>
    <s v="MINT"/>
    <s v="ELHTHF4932MT"/>
    <x v="1"/>
    <n v="0.16666666666666666"/>
    <n v="0"/>
    <n v="1"/>
    <s v="OXS"/>
    <n v="100"/>
    <x v="14"/>
    <n v="6"/>
    <x v="6"/>
    <s v="M"/>
    <s v="IN"/>
    <x v="0"/>
    <n v="79000"/>
    <x v="27"/>
    <n v="15959.595959595958"/>
    <n v="17171.75"/>
    <n v="1212.1540404040425"/>
    <n v="0"/>
    <n v="20"/>
    <s v=""/>
    <n v="20"/>
    <n v="14.8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717175"/>
    <n v="7900000"/>
    <n v="4.1823449455170154"/>
  </r>
  <r>
    <n v="0"/>
    <n v="0"/>
    <n v="8"/>
    <n v="8"/>
    <s v="전략"/>
    <x v="30"/>
    <s v="ELH-대경-06"/>
    <s v="ELH-대경-06ELHTHF4932MT"/>
    <n v="7"/>
    <s v="ELH-대경-067"/>
    <s v="ELH-대경-067-ELHTHF4932MINTOSS"/>
    <s v="ELH의류932"/>
    <s v="ELH"/>
    <s v="ELSTHF"/>
    <m/>
    <s v="ELH"/>
    <s v="ELS HATSON"/>
    <s v="F"/>
    <n v="4"/>
    <s v="TH"/>
    <s v="HOODED T-SHIRTS"/>
    <s v="K"/>
    <n v="932"/>
    <n v="932"/>
    <s v="ELHTHF4932"/>
    <n v="0.16666666666666666"/>
    <s v="ELSTHF1932MTOSS"/>
    <s v="MT"/>
    <s v="MINT"/>
    <s v="ELHTHF4932MT"/>
    <x v="1"/>
    <n v="0.16666666666666666"/>
    <n v="0"/>
    <n v="1"/>
    <s v="OSS"/>
    <n v="100"/>
    <x v="14"/>
    <n v="6"/>
    <x v="6"/>
    <s v="M"/>
    <s v="IN"/>
    <x v="0"/>
    <n v="79000"/>
    <x v="27"/>
    <n v="15959.595959595958"/>
    <n v="17171.75"/>
    <n v="1212.1540404040425"/>
    <n v="0"/>
    <n v="20"/>
    <s v=""/>
    <n v="20"/>
    <n v="14.8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717175"/>
    <n v="7900000"/>
    <n v="4.1823449455170154"/>
  </r>
  <r>
    <n v="0"/>
    <n v="0"/>
    <n v="8"/>
    <n v="8"/>
    <s v="전략"/>
    <x v="30"/>
    <s v="ELH-대경-06"/>
    <s v="ELH-대경-06ELHTHF4932MT"/>
    <n v="7"/>
    <s v="ELH-대경-067"/>
    <s v="ELH-대경-067-ELHTHF4932MINTOMM"/>
    <s v="ELH의류932"/>
    <s v="ELH"/>
    <s v="ELSTHF"/>
    <m/>
    <s v="ELH"/>
    <s v="ELS HATSON"/>
    <s v="F"/>
    <n v="4"/>
    <s v="TH"/>
    <s v="HOODED T-SHIRTS"/>
    <s v="K"/>
    <n v="932"/>
    <n v="932"/>
    <s v="ELHTHF4932"/>
    <n v="0.16666666666666666"/>
    <s v="ELSTHF1932MTOMM"/>
    <s v="MT"/>
    <s v="MINT"/>
    <s v="ELHTHF4932MT"/>
    <x v="1"/>
    <n v="0.16666666666666666"/>
    <n v="0"/>
    <n v="1"/>
    <s v="OMM"/>
    <n v="100"/>
    <x v="14"/>
    <n v="6"/>
    <x v="6"/>
    <s v="M"/>
    <s v="IN"/>
    <x v="0"/>
    <n v="79000"/>
    <x v="27"/>
    <n v="15959.595959595958"/>
    <n v="17171.75"/>
    <n v="1212.1540404040425"/>
    <n v="0"/>
    <n v="20"/>
    <s v=""/>
    <n v="20"/>
    <n v="14.8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717175"/>
    <n v="7900000"/>
    <n v="4.1823449455170154"/>
  </r>
  <r>
    <n v="0"/>
    <n v="0"/>
    <n v="8"/>
    <n v="8"/>
    <s v="전략"/>
    <x v="30"/>
    <s v="ELH-대경-06"/>
    <s v="ELH-대경-06ELHTHF4932MT"/>
    <n v="7"/>
    <s v="ELH-대경-067"/>
    <s v="ELH-대경-067-ELHTHF4932MINTOLL"/>
    <s v="ELH의류932"/>
    <s v="ELH"/>
    <s v="ELSTHF"/>
    <m/>
    <s v="ELH"/>
    <s v="ELS HATSON"/>
    <s v="F"/>
    <n v="4"/>
    <s v="TH"/>
    <s v="HOODED T-SHIRTS"/>
    <s v="K"/>
    <n v="932"/>
    <n v="932"/>
    <s v="ELHTHF4932"/>
    <n v="0.16666666666666666"/>
    <s v="ELSTHF1932MTOLL"/>
    <s v="MT"/>
    <s v="MINT"/>
    <s v="ELHTHF4932MT"/>
    <x v="1"/>
    <n v="0.16666666666666666"/>
    <n v="0"/>
    <n v="1"/>
    <s v="OLL"/>
    <n v="50"/>
    <x v="14"/>
    <n v="6"/>
    <x v="6"/>
    <s v="M"/>
    <s v="IN"/>
    <x v="0"/>
    <n v="79000"/>
    <x v="27"/>
    <n v="15959.595959595958"/>
    <n v="17171.75"/>
    <n v="1212.1540404040425"/>
    <n v="0"/>
    <n v="20"/>
    <s v=""/>
    <n v="20"/>
    <n v="14.8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858587.5"/>
    <n v="3950000"/>
    <n v="4.1823449455170154"/>
  </r>
  <r>
    <n v="0"/>
    <n v="0"/>
    <n v="8"/>
    <n v="8"/>
    <s v="전략"/>
    <x v="30"/>
    <s v="ELH-대경-06"/>
    <s v="ELH-대경-06ELHTHF4932MT"/>
    <n v="7"/>
    <s v="ELH-대경-067"/>
    <s v="ELH-대경-067-ELHTHF4932MINTOXL"/>
    <s v="ELH의류932"/>
    <s v="ELH"/>
    <s v="ELSTHF"/>
    <m/>
    <s v="ELH"/>
    <s v="ELS HATSON"/>
    <s v="F"/>
    <n v="4"/>
    <s v="TH"/>
    <s v="HOODED T-SHIRTS"/>
    <s v="K"/>
    <n v="932"/>
    <n v="932"/>
    <s v="ELHTHF4932"/>
    <n v="0.16666666666666666"/>
    <s v="ELSTHF1932MTOXL"/>
    <s v="MT"/>
    <s v="MINT"/>
    <s v="ELHTHF4932MT"/>
    <x v="1"/>
    <n v="0.16666666666666666"/>
    <n v="0"/>
    <n v="1"/>
    <s v="OXL"/>
    <n v="50"/>
    <x v="14"/>
    <n v="6"/>
    <x v="6"/>
    <s v="M"/>
    <s v="IN"/>
    <x v="0"/>
    <n v="79000"/>
    <x v="27"/>
    <n v="15959.595959595958"/>
    <n v="17171.75"/>
    <n v="1212.1540404040425"/>
    <n v="0"/>
    <n v="20"/>
    <s v=""/>
    <n v="20"/>
    <n v="14.8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858587.5"/>
    <n v="3950000"/>
    <n v="4.1823449455170154"/>
  </r>
  <r>
    <n v="0"/>
    <n v="0"/>
    <n v="8"/>
    <n v="8"/>
    <s v="전략"/>
    <x v="30"/>
    <s v="ELH-대경-06"/>
    <s v="ELH-대경-06ELHTHF4932MT"/>
    <n v="7"/>
    <s v="ELH-대경-067"/>
    <s v="ELH-대경-067-ELHTHF4932MINTXXS"/>
    <s v="ELH의류932"/>
    <s v="ELH"/>
    <s v="ELSTHF"/>
    <m/>
    <s v="ELH"/>
    <s v="ELS HATSON"/>
    <s v="F"/>
    <n v="4"/>
    <s v="TH"/>
    <s v="HOODED T-SHIRTS"/>
    <s v="K"/>
    <n v="932"/>
    <n v="932"/>
    <s v="ELHTHF4932"/>
    <n v="0.16666666666666666"/>
    <s v="ELSTHF1932MTXXS"/>
    <s v="MT"/>
    <s v="MINT"/>
    <s v="ELHTHF4932MT"/>
    <x v="1"/>
    <n v="0.16666666666666666"/>
    <n v="0"/>
    <n v="1"/>
    <s v="XXS"/>
    <n v="50"/>
    <x v="14"/>
    <n v="6"/>
    <x v="6"/>
    <s v="M"/>
    <s v="IN"/>
    <x v="0"/>
    <n v="79000"/>
    <x v="27"/>
    <n v="15959.595959595958"/>
    <n v="17171.75"/>
    <n v="1212.1540404040425"/>
    <n v="0"/>
    <n v="20"/>
    <s v=""/>
    <n v="20"/>
    <n v="14.8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858587.5"/>
    <n v="3950000"/>
    <n v="4.1823449455170154"/>
  </r>
  <r>
    <n v="0"/>
    <n v="0"/>
    <n v="8"/>
    <n v="8"/>
    <s v="전략"/>
    <x v="30"/>
    <s v="ELH-대경-06"/>
    <s v="ELH-대경-06ELHTHF4933PK"/>
    <n v="8"/>
    <s v="ELH-대경-068"/>
    <s v="ELH-대경-068-ELHTHF4933PINKOXS"/>
    <s v="ELH의류933"/>
    <s v="ELH"/>
    <s v="ELSTHF"/>
    <m/>
    <s v="ELH"/>
    <s v="ELS HATSON"/>
    <s v="F"/>
    <n v="4"/>
    <s v="TH"/>
    <s v="HOODED T-SHIRTS"/>
    <s v="K"/>
    <n v="933"/>
    <n v="933"/>
    <s v="ELHTHF4933"/>
    <n v="0.16666666666666666"/>
    <s v="ELSTHF1933PKOXS"/>
    <s v="PK"/>
    <s v="PINK"/>
    <s v="ELHTHF4933PK"/>
    <x v="1"/>
    <n v="0.16666666666666666"/>
    <n v="0"/>
    <n v="1"/>
    <s v="OXS"/>
    <n v="100"/>
    <x v="14"/>
    <n v="6"/>
    <x v="6"/>
    <s v="M"/>
    <s v="IN"/>
    <x v="0"/>
    <n v="79000"/>
    <x v="27"/>
    <n v="15959.595959595958"/>
    <n v="17922.500000000004"/>
    <n v="1962.9040404040461"/>
    <n v="0"/>
    <n v="20"/>
    <s v=""/>
    <n v="20"/>
    <n v="15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792250.0000000005"/>
    <n v="7900000"/>
    <n v="4.0071520054781304"/>
  </r>
  <r>
    <n v="0"/>
    <n v="0"/>
    <n v="8"/>
    <n v="8"/>
    <s v="전략"/>
    <x v="30"/>
    <s v="ELH-대경-06"/>
    <s v="ELH-대경-06ELHTHF4933PK"/>
    <n v="8"/>
    <s v="ELH-대경-068"/>
    <s v="ELH-대경-068-ELHTHF4933PINKOSS"/>
    <s v="ELH의류933"/>
    <s v="ELH"/>
    <s v="ELSTHF"/>
    <m/>
    <s v="ELH"/>
    <s v="ELS HATSON"/>
    <s v="F"/>
    <n v="4"/>
    <s v="TH"/>
    <s v="HOODED T-SHIRTS"/>
    <s v="K"/>
    <n v="933"/>
    <n v="933"/>
    <s v="ELHTHF4933"/>
    <n v="0.16666666666666666"/>
    <s v="ELSTHF1933PKOSS"/>
    <s v="PK"/>
    <s v="PINK"/>
    <s v="ELHTHF4933PK"/>
    <x v="1"/>
    <n v="0.16666666666666666"/>
    <n v="0"/>
    <n v="1"/>
    <s v="OSS"/>
    <n v="100"/>
    <x v="14"/>
    <n v="6"/>
    <x v="6"/>
    <s v="M"/>
    <s v="IN"/>
    <x v="0"/>
    <n v="79000"/>
    <x v="27"/>
    <n v="15959.595959595958"/>
    <n v="17922.500000000004"/>
    <n v="1962.9040404040461"/>
    <n v="0"/>
    <n v="20"/>
    <s v=""/>
    <n v="20"/>
    <n v="15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792250.0000000005"/>
    <n v="7900000"/>
    <n v="4.0071520054781304"/>
  </r>
  <r>
    <n v="0"/>
    <n v="0"/>
    <n v="8"/>
    <n v="8"/>
    <s v="전략"/>
    <x v="30"/>
    <s v="ELH-대경-06"/>
    <s v="ELH-대경-06ELHTHF4933PK"/>
    <n v="8"/>
    <s v="ELH-대경-068"/>
    <s v="ELH-대경-068-ELHTHF4933PINKOMM"/>
    <s v="ELH의류933"/>
    <s v="ELH"/>
    <s v="ELSTHF"/>
    <m/>
    <s v="ELH"/>
    <s v="ELS HATSON"/>
    <s v="F"/>
    <n v="4"/>
    <s v="TH"/>
    <s v="HOODED T-SHIRTS"/>
    <s v="K"/>
    <n v="933"/>
    <n v="933"/>
    <s v="ELHTHF4933"/>
    <n v="0.16666666666666666"/>
    <s v="ELSTHF1933PKOMM"/>
    <s v="PK"/>
    <s v="PINK"/>
    <s v="ELHTHF4933PK"/>
    <x v="1"/>
    <n v="0.16666666666666666"/>
    <n v="0"/>
    <n v="1"/>
    <s v="OMM"/>
    <n v="50"/>
    <x v="14"/>
    <n v="6"/>
    <x v="6"/>
    <s v="M"/>
    <s v="IN"/>
    <x v="0"/>
    <n v="79000"/>
    <x v="27"/>
    <n v="15959.595959595958"/>
    <n v="17922.500000000004"/>
    <n v="1962.9040404040461"/>
    <n v="0"/>
    <n v="20"/>
    <s v=""/>
    <n v="20"/>
    <n v="15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896125.00000000023"/>
    <n v="3950000"/>
    <n v="4.0071520054781304"/>
  </r>
  <r>
    <n v="0"/>
    <n v="0"/>
    <n v="8"/>
    <n v="8"/>
    <s v="전략"/>
    <x v="30"/>
    <s v="ELH-대경-06"/>
    <s v="ELH-대경-06ELHTHF4933PK"/>
    <n v="8"/>
    <s v="ELH-대경-068"/>
    <s v="ELH-대경-068-ELHTHF4933PINKOLL"/>
    <s v="ELH의류933"/>
    <s v="ELH"/>
    <s v="ELSTHF"/>
    <m/>
    <s v="ELH"/>
    <s v="ELS HATSON"/>
    <s v="F"/>
    <n v="4"/>
    <s v="TH"/>
    <s v="HOODED T-SHIRTS"/>
    <s v="K"/>
    <n v="933"/>
    <n v="933"/>
    <s v="ELHTHF4933"/>
    <n v="0.16666666666666666"/>
    <s v="ELSTHF1933PKOLL"/>
    <s v="PK"/>
    <s v="PINK"/>
    <s v="ELHTHF4933PK"/>
    <x v="1"/>
    <n v="0.16666666666666666"/>
    <n v="0"/>
    <n v="1"/>
    <s v="OLL"/>
    <n v="30"/>
    <x v="14"/>
    <n v="6"/>
    <x v="6"/>
    <s v="M"/>
    <s v="IN"/>
    <x v="0"/>
    <n v="79000"/>
    <x v="27"/>
    <n v="15959.595959595958"/>
    <n v="17922.500000000004"/>
    <n v="1962.9040404040461"/>
    <n v="0"/>
    <n v="20"/>
    <s v=""/>
    <n v="20"/>
    <n v="15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537675.00000000012"/>
    <n v="2370000"/>
    <n v="4.0071520054781304"/>
  </r>
  <r>
    <n v="0"/>
    <n v="0"/>
    <n v="8"/>
    <n v="8"/>
    <s v="전략"/>
    <x v="30"/>
    <s v="ELH-대경-06"/>
    <s v="ELH-대경-06ELHTHF4933PK"/>
    <n v="8"/>
    <s v="ELH-대경-068"/>
    <s v="ELH-대경-068-ELHTHF4933PINKOXL"/>
    <s v="ELH의류933"/>
    <s v="ELH"/>
    <s v="ELSTHF"/>
    <m/>
    <s v="ELH"/>
    <s v="ELS HATSON"/>
    <s v="F"/>
    <n v="4"/>
    <s v="TH"/>
    <s v="HOODED T-SHIRTS"/>
    <s v="K"/>
    <n v="933"/>
    <n v="933"/>
    <s v="ELHTHF4933"/>
    <n v="0.16666666666666666"/>
    <s v="ELSTHF1933PKOXL"/>
    <s v="PK"/>
    <s v="PINK"/>
    <s v="ELHTHF4933PK"/>
    <x v="1"/>
    <n v="0.16666666666666666"/>
    <n v="0"/>
    <n v="1"/>
    <s v="OXL"/>
    <n v="30"/>
    <x v="14"/>
    <n v="6"/>
    <x v="6"/>
    <s v="M"/>
    <s v="IN"/>
    <x v="0"/>
    <n v="79000"/>
    <x v="27"/>
    <n v="15959.595959595958"/>
    <n v="17922.500000000004"/>
    <n v="1962.9040404040461"/>
    <n v="0"/>
    <n v="20"/>
    <s v=""/>
    <n v="20"/>
    <n v="15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537675.00000000012"/>
    <n v="2370000"/>
    <n v="4.0071520054781304"/>
  </r>
  <r>
    <n v="0"/>
    <n v="0"/>
    <n v="8"/>
    <n v="8"/>
    <s v="전략"/>
    <x v="30"/>
    <s v="ELH-대경-06"/>
    <s v="ELH-대경-06ELHTHF4933PK"/>
    <n v="8"/>
    <s v="ELH-대경-068"/>
    <s v="ELH-대경-068-ELHTHF4933PINKXXS"/>
    <s v="ELH의류933"/>
    <s v="ELH"/>
    <s v="ELSTHF"/>
    <m/>
    <s v="ELH"/>
    <s v="ELS HATSON"/>
    <s v="F"/>
    <n v="4"/>
    <s v="TH"/>
    <s v="HOODED T-SHIRTS"/>
    <s v="K"/>
    <n v="933"/>
    <n v="933"/>
    <s v="ELHTHF4933"/>
    <n v="0.16666666666666666"/>
    <s v="ELSTHF1933PKXXS"/>
    <s v="PK"/>
    <s v="PINK"/>
    <s v="ELHTHF4933PK"/>
    <x v="1"/>
    <n v="0.16666666666666666"/>
    <n v="0"/>
    <n v="1"/>
    <s v="XXS"/>
    <n v="50"/>
    <x v="14"/>
    <n v="6"/>
    <x v="6"/>
    <s v="M"/>
    <s v="IN"/>
    <x v="0"/>
    <n v="79000"/>
    <x v="27"/>
    <n v="15959.595959595958"/>
    <n v="17922.500000000004"/>
    <n v="1962.9040404040461"/>
    <n v="0"/>
    <n v="20"/>
    <s v=""/>
    <n v="20"/>
    <n v="15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896125.00000000023"/>
    <n v="3950000"/>
    <n v="4.0071520054781304"/>
  </r>
  <r>
    <n v="0"/>
    <n v="0"/>
    <n v="8"/>
    <n v="8"/>
    <s v="전략"/>
    <x v="30"/>
    <s v="ELH-대경-06"/>
    <s v="ELH-대경-06ELHTHF4935BK"/>
    <n v="9"/>
    <s v="ELH-대경-069"/>
    <s v="ELH-대경-069-ELHTHF4935BLACKOXS"/>
    <s v="ELH의류935"/>
    <s v="ELH"/>
    <s v="ELSTHF"/>
    <m/>
    <s v="ELH"/>
    <s v="ELS HATSON"/>
    <s v="F"/>
    <n v="4"/>
    <s v="TH"/>
    <s v="HOODED T-SHIRTS"/>
    <s v="K"/>
    <n v="935"/>
    <n v="935"/>
    <s v="ELHTHF4935"/>
    <n v="0.16666666666666666"/>
    <s v="ELSTHF1935BKOXS"/>
    <s v="BK"/>
    <s v="BLACK"/>
    <s v="ELHTHF4935BK"/>
    <x v="1"/>
    <n v="0.16666666666666666"/>
    <n v="0"/>
    <n v="1"/>
    <s v="OXS"/>
    <n v="100"/>
    <x v="14"/>
    <n v="6"/>
    <x v="6"/>
    <s v="M"/>
    <s v="IN"/>
    <x v="0"/>
    <n v="79000"/>
    <x v="27"/>
    <n v="15959.595959595958"/>
    <n v="17922.500000000004"/>
    <n v="1962.9040404040461"/>
    <n v="0"/>
    <n v="20"/>
    <s v=""/>
    <n v="20"/>
    <n v="15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792250.0000000005"/>
    <n v="7900000"/>
    <n v="4.0071520054781304"/>
  </r>
  <r>
    <n v="0"/>
    <n v="0"/>
    <n v="8"/>
    <n v="8"/>
    <s v="전략"/>
    <x v="30"/>
    <s v="ELH-대경-06"/>
    <s v="ELH-대경-06ELHTHF4935BK"/>
    <n v="9"/>
    <s v="ELH-대경-069"/>
    <s v="ELH-대경-069-ELHTHF4935BLACKOSS"/>
    <s v="ELH의류935"/>
    <s v="ELH"/>
    <s v="ELSTHF"/>
    <m/>
    <s v="ELH"/>
    <s v="ELS HATSON"/>
    <s v="F"/>
    <n v="4"/>
    <s v="TH"/>
    <s v="HOODED T-SHIRTS"/>
    <s v="K"/>
    <n v="935"/>
    <n v="935"/>
    <s v="ELHTHF4935"/>
    <n v="0.16666666666666666"/>
    <s v="ELSTHF1935BKOSS"/>
    <s v="BK"/>
    <s v="BLACK"/>
    <s v="ELHTHF4935BK"/>
    <x v="1"/>
    <n v="0.16666666666666666"/>
    <n v="0"/>
    <n v="1"/>
    <s v="OSS"/>
    <n v="100"/>
    <x v="14"/>
    <n v="6"/>
    <x v="6"/>
    <s v="M"/>
    <s v="IN"/>
    <x v="0"/>
    <n v="79000"/>
    <x v="27"/>
    <n v="15959.595959595958"/>
    <n v="17922.500000000004"/>
    <n v="1962.9040404040461"/>
    <n v="0"/>
    <n v="20"/>
    <s v=""/>
    <n v="20"/>
    <n v="15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792250.0000000005"/>
    <n v="7900000"/>
    <n v="4.0071520054781304"/>
  </r>
  <r>
    <n v="0"/>
    <n v="0"/>
    <n v="8"/>
    <n v="8"/>
    <s v="전략"/>
    <x v="30"/>
    <s v="ELH-대경-06"/>
    <s v="ELH-대경-06ELHTHF4935BK"/>
    <n v="9"/>
    <s v="ELH-대경-069"/>
    <s v="ELH-대경-069-ELHTHF4935BLACKOMM"/>
    <s v="ELH의류935"/>
    <s v="ELH"/>
    <s v="ELSTHF"/>
    <m/>
    <s v="ELH"/>
    <s v="ELS HATSON"/>
    <s v="F"/>
    <n v="4"/>
    <s v="TH"/>
    <s v="HOODED T-SHIRTS"/>
    <s v="K"/>
    <n v="935"/>
    <n v="935"/>
    <s v="ELHTHF4935"/>
    <n v="0.16666666666666666"/>
    <s v="ELSTHF1935BKOMM"/>
    <s v="BK"/>
    <s v="BLACK"/>
    <s v="ELHTHF4935BK"/>
    <x v="1"/>
    <n v="0.16666666666666666"/>
    <n v="0"/>
    <n v="1"/>
    <s v="OMM"/>
    <n v="100"/>
    <x v="14"/>
    <n v="6"/>
    <x v="6"/>
    <s v="M"/>
    <s v="IN"/>
    <x v="0"/>
    <n v="79000"/>
    <x v="27"/>
    <n v="15959.595959595958"/>
    <n v="17922.500000000004"/>
    <n v="1962.9040404040461"/>
    <n v="0"/>
    <n v="20"/>
    <s v=""/>
    <n v="20"/>
    <n v="15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792250.0000000005"/>
    <n v="7900000"/>
    <n v="4.0071520054781304"/>
  </r>
  <r>
    <n v="0"/>
    <n v="0"/>
    <n v="8"/>
    <n v="8"/>
    <s v="전략"/>
    <x v="30"/>
    <s v="ELH-대경-06"/>
    <s v="ELH-대경-06ELHTHF4935BK"/>
    <n v="9"/>
    <s v="ELH-대경-069"/>
    <s v="ELH-대경-069-ELHTHF4935BLACKOLL"/>
    <s v="ELH의류935"/>
    <s v="ELH"/>
    <s v="ELSTHF"/>
    <m/>
    <s v="ELH"/>
    <s v="ELS HATSON"/>
    <s v="F"/>
    <n v="4"/>
    <s v="TH"/>
    <s v="HOODED T-SHIRTS"/>
    <s v="K"/>
    <n v="935"/>
    <n v="935"/>
    <s v="ELHTHF4935"/>
    <n v="0.16666666666666666"/>
    <s v="ELSTHF1935BKOLL"/>
    <s v="BK"/>
    <s v="BLACK"/>
    <s v="ELHTHF4935BK"/>
    <x v="1"/>
    <n v="0.16666666666666666"/>
    <n v="0"/>
    <n v="1"/>
    <s v="OLL"/>
    <n v="50"/>
    <x v="14"/>
    <n v="6"/>
    <x v="6"/>
    <s v="M"/>
    <s v="IN"/>
    <x v="0"/>
    <n v="79000"/>
    <x v="27"/>
    <n v="15959.595959595958"/>
    <n v="17922.500000000004"/>
    <n v="1962.9040404040461"/>
    <n v="0"/>
    <n v="20"/>
    <s v=""/>
    <n v="20"/>
    <n v="15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896125.00000000023"/>
    <n v="3950000"/>
    <n v="4.0071520054781304"/>
  </r>
  <r>
    <n v="0"/>
    <n v="0"/>
    <n v="8"/>
    <n v="8"/>
    <s v="전략"/>
    <x v="30"/>
    <s v="ELH-대경-06"/>
    <s v="ELH-대경-06ELHTHF4935BK"/>
    <n v="9"/>
    <s v="ELH-대경-069"/>
    <s v="ELH-대경-069-ELHTHF4935BLACKOXL"/>
    <s v="ELH의류935"/>
    <s v="ELH"/>
    <s v="ELSTHF"/>
    <m/>
    <s v="ELH"/>
    <s v="ELS HATSON"/>
    <s v="F"/>
    <n v="4"/>
    <s v="TH"/>
    <s v="HOODED T-SHIRTS"/>
    <s v="K"/>
    <n v="935"/>
    <n v="935"/>
    <s v="ELHTHF4935"/>
    <n v="0.16666666666666666"/>
    <s v="ELSTHF1935BKOXL"/>
    <s v="BK"/>
    <s v="BLACK"/>
    <s v="ELHTHF4935BK"/>
    <x v="1"/>
    <n v="0.16666666666666666"/>
    <n v="0"/>
    <n v="1"/>
    <s v="OXL"/>
    <n v="50"/>
    <x v="14"/>
    <n v="6"/>
    <x v="6"/>
    <s v="M"/>
    <s v="IN"/>
    <x v="0"/>
    <n v="79000"/>
    <x v="27"/>
    <n v="15959.595959595958"/>
    <n v="17922.500000000004"/>
    <n v="1962.9040404040461"/>
    <n v="0"/>
    <n v="20"/>
    <s v=""/>
    <n v="20"/>
    <n v="15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896125.00000000023"/>
    <n v="3950000"/>
    <n v="4.0071520054781304"/>
  </r>
  <r>
    <n v="0"/>
    <n v="0"/>
    <n v="8"/>
    <n v="8"/>
    <s v="전략"/>
    <x v="30"/>
    <s v="ELH-대경-06"/>
    <s v="ELH-대경-06ELHTHF4935BK"/>
    <n v="9"/>
    <s v="ELH-대경-069"/>
    <s v="ELH-대경-069-ELHTHF4935BLACKXXS"/>
    <s v="ELH의류935"/>
    <s v="ELH"/>
    <s v="ELSTHF"/>
    <m/>
    <s v="ELH"/>
    <s v="ELS HATSON"/>
    <s v="F"/>
    <n v="4"/>
    <s v="TH"/>
    <s v="HOODED T-SHIRTS"/>
    <s v="K"/>
    <n v="935"/>
    <n v="935"/>
    <s v="ELHTHF4935"/>
    <n v="0.16666666666666666"/>
    <s v="ELSTHF1935BKXXS"/>
    <s v="BK"/>
    <s v="BLACK"/>
    <s v="ELHTHF4935BK"/>
    <x v="1"/>
    <n v="0.16666666666666666"/>
    <n v="0"/>
    <n v="1"/>
    <s v="XXS"/>
    <n v="100"/>
    <x v="14"/>
    <n v="6"/>
    <x v="6"/>
    <s v="M"/>
    <s v="IN"/>
    <x v="0"/>
    <n v="79000"/>
    <x v="27"/>
    <n v="15959.595959595958"/>
    <n v="17922.500000000004"/>
    <n v="1962.9040404040461"/>
    <n v="0"/>
    <n v="20"/>
    <s v=""/>
    <n v="20"/>
    <n v="15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792250.0000000005"/>
    <n v="7900000"/>
    <n v="4.0071520054781304"/>
  </r>
  <r>
    <n v="0"/>
    <n v="0"/>
    <n v="8"/>
    <n v="8"/>
    <s v="전략"/>
    <x v="30"/>
    <s v="ELH-대경-06"/>
    <s v="ELH-대경-06ELHTLF4936OR"/>
    <n v="10"/>
    <s v="ELH-대경-0610"/>
    <s v="ELH-대경-0610-ELHTLF4936ORANGEOXS"/>
    <s v="ELH의류936"/>
    <s v="ELH"/>
    <s v="ELSTLF"/>
    <m/>
    <s v="ELH"/>
    <s v="ELS HATSON"/>
    <s v="F"/>
    <n v="4"/>
    <s v="TL"/>
    <s v="LONG SLEEVES"/>
    <s v="K"/>
    <n v="936"/>
    <n v="936"/>
    <s v="ELHTLF4936"/>
    <n v="0.16666666666666666"/>
    <s v="ELSTLF1936OROXS"/>
    <s v="OR"/>
    <s v="ORANGE"/>
    <s v="ELHTLF4936OR"/>
    <x v="1"/>
    <n v="0.16666666666666666"/>
    <n v="0"/>
    <n v="1"/>
    <s v="OXS"/>
    <n v="50"/>
    <x v="14"/>
    <n v="6"/>
    <x v="6"/>
    <s v="M"/>
    <s v="IN"/>
    <x v="0"/>
    <n v="59000"/>
    <x v="27"/>
    <n v="11919.191919191919"/>
    <n v="13302.500000000002"/>
    <n v="1383.3080808080831"/>
    <n v="0"/>
    <n v="20"/>
    <s v=""/>
    <n v="20"/>
    <n v="11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665125.00000000012"/>
    <n v="2950000"/>
    <n v="4.0320513915702776"/>
  </r>
  <r>
    <n v="0"/>
    <n v="0"/>
    <n v="8"/>
    <n v="8"/>
    <s v="전략"/>
    <x v="30"/>
    <s v="ELH-대경-06"/>
    <s v="ELH-대경-06ELHTLF4936OR"/>
    <n v="10"/>
    <s v="ELH-대경-0610"/>
    <s v="ELH-대경-0610-ELHTLF4936ORANGEOSS"/>
    <s v="ELH의류936"/>
    <s v="ELH"/>
    <s v="ELSTLF"/>
    <m/>
    <s v="ELH"/>
    <s v="ELS HATSON"/>
    <s v="F"/>
    <n v="4"/>
    <s v="TL"/>
    <s v="LONG SLEEVES"/>
    <s v="K"/>
    <n v="936"/>
    <n v="936"/>
    <s v="ELHTLF4936"/>
    <n v="0.16666666666666666"/>
    <s v="ELSTLF1936OROSS"/>
    <s v="OR"/>
    <s v="ORANGE"/>
    <s v="ELHTLF4936OR"/>
    <x v="1"/>
    <n v="0.16666666666666666"/>
    <n v="0"/>
    <n v="1"/>
    <s v="OSS"/>
    <n v="50"/>
    <x v="14"/>
    <n v="6"/>
    <x v="6"/>
    <s v="M"/>
    <s v="IN"/>
    <x v="0"/>
    <n v="59000"/>
    <x v="27"/>
    <n v="11919.191919191919"/>
    <n v="13302.500000000002"/>
    <n v="1383.3080808080831"/>
    <n v="0"/>
    <n v="20"/>
    <s v=""/>
    <n v="20"/>
    <n v="11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665125.00000000012"/>
    <n v="2950000"/>
    <n v="4.0320513915702776"/>
  </r>
  <r>
    <n v="0"/>
    <n v="0"/>
    <n v="8"/>
    <n v="8"/>
    <s v="전략"/>
    <x v="30"/>
    <s v="ELH-대경-06"/>
    <s v="ELH-대경-06ELHTLF4936OR"/>
    <n v="10"/>
    <s v="ELH-대경-0610"/>
    <s v="ELH-대경-0610-ELHTLF4936ORANGEOMM"/>
    <s v="ELH의류936"/>
    <s v="ELH"/>
    <s v="ELSTLF"/>
    <m/>
    <s v="ELH"/>
    <s v="ELS HATSON"/>
    <s v="F"/>
    <n v="4"/>
    <s v="TL"/>
    <s v="LONG SLEEVES"/>
    <s v="K"/>
    <n v="936"/>
    <n v="936"/>
    <s v="ELHTLF4936"/>
    <n v="0.16666666666666666"/>
    <s v="ELSTLF1936OROMM"/>
    <s v="OR"/>
    <s v="ORANGE"/>
    <s v="ELHTLF4936OR"/>
    <x v="1"/>
    <n v="0.16666666666666666"/>
    <n v="0"/>
    <n v="1"/>
    <s v="OMM"/>
    <n v="50"/>
    <x v="14"/>
    <n v="6"/>
    <x v="6"/>
    <s v="M"/>
    <s v="IN"/>
    <x v="0"/>
    <n v="59000"/>
    <x v="27"/>
    <n v="11919.191919191919"/>
    <n v="13302.500000000002"/>
    <n v="1383.3080808080831"/>
    <n v="0"/>
    <n v="20"/>
    <s v=""/>
    <n v="20"/>
    <n v="11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665125.00000000012"/>
    <n v="2950000"/>
    <n v="4.0320513915702776"/>
  </r>
  <r>
    <n v="0"/>
    <n v="0"/>
    <n v="8"/>
    <n v="8"/>
    <s v="전략"/>
    <x v="30"/>
    <s v="ELH-대경-06"/>
    <s v="ELH-대경-06ELHTLF4936OR"/>
    <n v="10"/>
    <s v="ELH-대경-0610"/>
    <s v="ELH-대경-0610-ELHTLF4936ORANGEOLL"/>
    <s v="ELH의류936"/>
    <s v="ELH"/>
    <s v="ELSTLF"/>
    <m/>
    <s v="ELH"/>
    <s v="ELS HATSON"/>
    <s v="F"/>
    <n v="4"/>
    <s v="TL"/>
    <s v="LONG SLEEVES"/>
    <s v="K"/>
    <n v="936"/>
    <n v="936"/>
    <s v="ELHTLF4936"/>
    <n v="0.16666666666666666"/>
    <s v="ELSTLF1936OROLL"/>
    <s v="OR"/>
    <s v="ORANGE"/>
    <s v="ELHTLF4936OR"/>
    <x v="1"/>
    <n v="0.16666666666666666"/>
    <n v="0"/>
    <n v="1"/>
    <s v="OLL"/>
    <n v="50"/>
    <x v="14"/>
    <n v="6"/>
    <x v="6"/>
    <s v="M"/>
    <s v="IN"/>
    <x v="0"/>
    <n v="59000"/>
    <x v="27"/>
    <n v="11919.191919191919"/>
    <n v="13302.500000000002"/>
    <n v="1383.3080808080831"/>
    <n v="0"/>
    <n v="20"/>
    <s v=""/>
    <n v="20"/>
    <n v="11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665125.00000000012"/>
    <n v="2950000"/>
    <n v="4.0320513915702776"/>
  </r>
  <r>
    <n v="0"/>
    <n v="0"/>
    <n v="8"/>
    <n v="8"/>
    <s v="전략"/>
    <x v="30"/>
    <s v="ELH-대경-06"/>
    <s v="ELH-대경-06ELHTLF4936OR"/>
    <n v="10"/>
    <s v="ELH-대경-0610"/>
    <s v="ELH-대경-0610-ELHTLF4936ORANGEOXL"/>
    <s v="ELH의류936"/>
    <s v="ELH"/>
    <s v="ELSTLF"/>
    <m/>
    <s v="ELH"/>
    <s v="ELS HATSON"/>
    <s v="F"/>
    <n v="4"/>
    <s v="TL"/>
    <s v="LONG SLEEVES"/>
    <s v="K"/>
    <n v="936"/>
    <n v="936"/>
    <s v="ELHTLF4936"/>
    <n v="0.16666666666666666"/>
    <s v="ELSTLF1936OROXL"/>
    <s v="OR"/>
    <s v="ORANGE"/>
    <s v="ELHTLF4936OR"/>
    <x v="1"/>
    <n v="0.16666666666666666"/>
    <n v="0"/>
    <n v="1"/>
    <s v="OXL"/>
    <n v="50"/>
    <x v="14"/>
    <n v="6"/>
    <x v="6"/>
    <s v="M"/>
    <s v="IN"/>
    <x v="0"/>
    <n v="59000"/>
    <x v="27"/>
    <n v="11919.191919191919"/>
    <n v="13302.500000000002"/>
    <n v="1383.3080808080831"/>
    <n v="0"/>
    <n v="20"/>
    <s v=""/>
    <n v="20"/>
    <n v="11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665125.00000000012"/>
    <n v="2950000"/>
    <n v="4.0320513915702776"/>
  </r>
  <r>
    <n v="0"/>
    <n v="0"/>
    <n v="8"/>
    <n v="8"/>
    <s v="전략"/>
    <x v="30"/>
    <s v="ELH-대경-06"/>
    <s v="ELH-대경-06ELHTLF4936OR"/>
    <n v="10"/>
    <s v="ELH-대경-0610"/>
    <s v="ELH-대경-0610-ELHTLF4936ORANGEXXS"/>
    <s v="ELH의류936"/>
    <s v="ELH"/>
    <s v="ELSTLF"/>
    <m/>
    <s v="ELH"/>
    <s v="ELS HATSON"/>
    <s v="F"/>
    <n v="4"/>
    <s v="TL"/>
    <s v="LONG SLEEVES"/>
    <s v="K"/>
    <n v="936"/>
    <n v="936"/>
    <s v="ELHTLF4936"/>
    <n v="0.16666666666666666"/>
    <s v="ELSTLF1936ORXXS"/>
    <s v="OR"/>
    <s v="ORANGE"/>
    <s v="ELHTLF4936OR"/>
    <x v="1"/>
    <n v="0.16666666666666666"/>
    <n v="0"/>
    <n v="1"/>
    <s v="XXS"/>
    <n v="50"/>
    <x v="14"/>
    <n v="6"/>
    <x v="6"/>
    <s v="M"/>
    <s v="IN"/>
    <x v="0"/>
    <n v="59000"/>
    <x v="27"/>
    <n v="11919.191919191919"/>
    <n v="13302.500000000002"/>
    <n v="1383.3080808080831"/>
    <n v="0"/>
    <n v="20"/>
    <s v=""/>
    <n v="20"/>
    <n v="11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665125.00000000012"/>
    <n v="2950000"/>
    <n v="4.0320513915702776"/>
  </r>
  <r>
    <n v="0"/>
    <n v="0"/>
    <n v="8"/>
    <n v="8"/>
    <s v="전략"/>
    <x v="30"/>
    <s v="ELH-대경-06"/>
    <s v="ELH-대경-06ELHTLF4938BK"/>
    <n v="11"/>
    <s v="ELH-대경-0611"/>
    <s v="ELH-대경-0611-ELHTLF4938BLACKOXS"/>
    <s v="ELH의류938"/>
    <s v="ELH"/>
    <s v="ELSTLF"/>
    <m/>
    <s v="ELH"/>
    <s v="ELS HATSON"/>
    <s v="F"/>
    <n v="4"/>
    <s v="TL"/>
    <s v="LONG SLEEVES"/>
    <s v="K"/>
    <n v="938"/>
    <n v="938"/>
    <s v="ELHTLF4938"/>
    <n v="0.16666666666666666"/>
    <s v="ELSTLF1938BKOXS"/>
    <s v="BK"/>
    <s v="BLACK"/>
    <s v="ELHTLF4938BK"/>
    <x v="1"/>
    <n v="0.16666666666666666"/>
    <n v="0"/>
    <n v="1"/>
    <s v="OXS"/>
    <n v="95"/>
    <x v="14"/>
    <n v="6"/>
    <x v="6"/>
    <s v="M"/>
    <s v="IN"/>
    <x v="0"/>
    <n v="69000"/>
    <x v="27"/>
    <n v="13939.393939393938"/>
    <n v="15612.5"/>
    <n v="1673.1060606060619"/>
    <n v="0"/>
    <n v="20"/>
    <s v=""/>
    <n v="20"/>
    <n v="13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90"/>
    <n v="0"/>
    <n v="0"/>
    <n v="0"/>
    <n v="0"/>
    <n v="0"/>
    <n v="95"/>
    <n v="1483187.5"/>
    <n v="6555000"/>
    <n v="4.0177596622752745"/>
  </r>
  <r>
    <n v="0"/>
    <n v="0"/>
    <n v="8"/>
    <n v="8"/>
    <s v="전략"/>
    <x v="30"/>
    <s v="ELH-대경-06"/>
    <s v="ELH-대경-06ELHTLF4938BK"/>
    <n v="11"/>
    <s v="ELH-대경-0611"/>
    <s v="ELH-대경-0611-ELHTLF4938BLACKOSS"/>
    <s v="ELH의류938"/>
    <s v="ELH"/>
    <s v="ELSTLF"/>
    <m/>
    <s v="ELH"/>
    <s v="ELS HATSON"/>
    <s v="F"/>
    <n v="4"/>
    <s v="TL"/>
    <s v="LONG SLEEVES"/>
    <s v="K"/>
    <n v="938"/>
    <n v="938"/>
    <s v="ELHTLF4938"/>
    <n v="0.16666666666666666"/>
    <s v="ELSTLF1938BKOSS"/>
    <s v="BK"/>
    <s v="BLACK"/>
    <s v="ELHTLF4938BK"/>
    <x v="1"/>
    <n v="0.16666666666666666"/>
    <n v="0"/>
    <n v="1"/>
    <s v="OSS"/>
    <n v="65"/>
    <x v="14"/>
    <n v="6"/>
    <x v="6"/>
    <s v="M"/>
    <s v="IN"/>
    <x v="0"/>
    <n v="69000"/>
    <x v="27"/>
    <n v="13939.393939393938"/>
    <n v="15612.5"/>
    <n v="1673.1060606060619"/>
    <n v="0"/>
    <n v="20"/>
    <s v=""/>
    <n v="20"/>
    <n v="13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65"/>
    <n v="0"/>
    <n v="0"/>
    <n v="0"/>
    <n v="0"/>
    <n v="0"/>
    <n v="65"/>
    <n v="1014812.5"/>
    <n v="4485000"/>
    <n v="4.0177596622752745"/>
  </r>
  <r>
    <n v="0"/>
    <n v="0"/>
    <n v="8"/>
    <n v="8"/>
    <s v="전략"/>
    <x v="30"/>
    <s v="ELH-대경-06"/>
    <s v="ELH-대경-06ELHTLF4938BK"/>
    <n v="11"/>
    <s v="ELH-대경-0611"/>
    <s v="ELH-대경-0611-ELHTLF4938BLACKOMM"/>
    <s v="ELH의류938"/>
    <s v="ELH"/>
    <s v="ELSTLF"/>
    <m/>
    <s v="ELH"/>
    <s v="ELS HATSON"/>
    <s v="F"/>
    <n v="4"/>
    <s v="TL"/>
    <s v="LONG SLEEVES"/>
    <s v="K"/>
    <n v="938"/>
    <n v="938"/>
    <s v="ELHTLF4938"/>
    <n v="0.16666666666666666"/>
    <s v="ELSTLF1938BKOMM"/>
    <s v="BK"/>
    <s v="BLACK"/>
    <s v="ELHTLF4938BK"/>
    <x v="1"/>
    <n v="0.16666666666666666"/>
    <n v="0"/>
    <n v="1"/>
    <s v="OMM"/>
    <n v="9"/>
    <x v="14"/>
    <n v="6"/>
    <x v="6"/>
    <s v="M"/>
    <s v="IN"/>
    <x v="0"/>
    <n v="69000"/>
    <x v="27"/>
    <n v="13939.393939393938"/>
    <n v="15612.5"/>
    <n v="1673.1060606060619"/>
    <n v="0"/>
    <n v="20"/>
    <s v=""/>
    <n v="20"/>
    <n v="13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1"/>
    <n v="0"/>
    <n v="0"/>
    <n v="0"/>
    <n v="0"/>
    <n v="0"/>
    <n v="9"/>
    <n v="140512.5"/>
    <n v="621000"/>
    <n v="4.0177596622752745"/>
  </r>
  <r>
    <n v="0"/>
    <n v="0"/>
    <n v="8"/>
    <n v="8"/>
    <s v="전략"/>
    <x v="30"/>
    <s v="ELH-대경-06"/>
    <s v="ELH-대경-06ELHTLF4938BK"/>
    <n v="11"/>
    <s v="ELH-대경-0611"/>
    <s v="ELH-대경-0611-ELHTLF4938BLACKOLL"/>
    <s v="ELH의류938"/>
    <s v="ELH"/>
    <s v="ELSTLF"/>
    <m/>
    <s v="ELH"/>
    <s v="ELS HATSON"/>
    <s v="F"/>
    <n v="4"/>
    <s v="TL"/>
    <s v="LONG SLEEVES"/>
    <s v="K"/>
    <n v="938"/>
    <n v="938"/>
    <s v="ELHTLF4938"/>
    <n v="0.16666666666666666"/>
    <s v="ELSTLF1938BKOLL"/>
    <s v="BK"/>
    <s v="BLACK"/>
    <s v="ELHTLF4938BK"/>
    <x v="1"/>
    <n v="0.16666666666666666"/>
    <n v="0"/>
    <n v="1"/>
    <s v="OLL"/>
    <n v="14"/>
    <x v="14"/>
    <n v="6"/>
    <x v="6"/>
    <s v="M"/>
    <s v="IN"/>
    <x v="0"/>
    <n v="69000"/>
    <x v="27"/>
    <n v="13939.393939393938"/>
    <n v="15612.5"/>
    <n v="1673.1060606060619"/>
    <n v="0"/>
    <n v="20"/>
    <s v=""/>
    <n v="20"/>
    <n v="13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3"/>
    <n v="0"/>
    <n v="0"/>
    <n v="0"/>
    <n v="0"/>
    <n v="0"/>
    <n v="14"/>
    <n v="218575"/>
    <n v="966000"/>
    <n v="4.0177596622752745"/>
  </r>
  <r>
    <n v="0"/>
    <n v="0"/>
    <n v="8"/>
    <n v="8"/>
    <s v="전략"/>
    <x v="30"/>
    <s v="ELH-대경-06"/>
    <s v="ELH-대경-06ELHTLF4938BK"/>
    <n v="11"/>
    <s v="ELH-대경-0611"/>
    <s v="ELH-대경-0611-ELHTLF4938BLACKOXL"/>
    <s v="ELH의류938"/>
    <s v="ELH"/>
    <s v="ELSTLF"/>
    <m/>
    <s v="ELH"/>
    <s v="ELS HATSON"/>
    <s v="F"/>
    <n v="4"/>
    <s v="TL"/>
    <s v="LONG SLEEVES"/>
    <s v="K"/>
    <n v="938"/>
    <n v="938"/>
    <s v="ELHTLF4938"/>
    <n v="0.16666666666666666"/>
    <s v="ELSTLF1938BKOXL"/>
    <s v="BK"/>
    <s v="BLACK"/>
    <s v="ELHTLF4938BK"/>
    <x v="1"/>
    <n v="0.16666666666666666"/>
    <n v="0"/>
    <n v="1"/>
    <s v="OXL"/>
    <n v="16"/>
    <x v="14"/>
    <n v="6"/>
    <x v="6"/>
    <s v="M"/>
    <s v="IN"/>
    <x v="0"/>
    <n v="69000"/>
    <x v="27"/>
    <n v="13939.393939393938"/>
    <n v="15612.5"/>
    <n v="1673.1060606060619"/>
    <n v="0"/>
    <n v="20"/>
    <s v=""/>
    <n v="20"/>
    <n v="13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5"/>
    <n v="0"/>
    <n v="0"/>
    <n v="0"/>
    <n v="0"/>
    <n v="0"/>
    <n v="16"/>
    <n v="249800"/>
    <n v="1104000"/>
    <n v="4.0177596622752745"/>
  </r>
  <r>
    <n v="0"/>
    <n v="0"/>
    <n v="8"/>
    <n v="8"/>
    <s v="전략"/>
    <x v="30"/>
    <s v="ELH-대경-06"/>
    <s v="ELH-대경-06ELHTLF4938BK"/>
    <n v="11"/>
    <s v="ELH-대경-0611"/>
    <s v="ELH-대경-0611-ELHTLF4938BLACKXXS"/>
    <s v="ELH의류938"/>
    <s v="ELH"/>
    <s v="ELSTLF"/>
    <m/>
    <s v="ELH"/>
    <s v="ELS HATSON"/>
    <s v="F"/>
    <n v="4"/>
    <s v="TL"/>
    <s v="LONG SLEEVES"/>
    <s v="K"/>
    <n v="938"/>
    <n v="938"/>
    <s v="ELHTLF4938"/>
    <n v="0.16666666666666666"/>
    <s v="ELSTLF1938BKXXS"/>
    <s v="BK"/>
    <s v="BLACK"/>
    <s v="ELHTLF4938BK"/>
    <x v="1"/>
    <n v="0.16666666666666666"/>
    <n v="0"/>
    <n v="1"/>
    <s v="XXS"/>
    <n v="38"/>
    <x v="14"/>
    <n v="6"/>
    <x v="6"/>
    <s v="M"/>
    <s v="IN"/>
    <x v="0"/>
    <n v="69000"/>
    <x v="27"/>
    <n v="13939.393939393938"/>
    <n v="15612.5"/>
    <n v="1673.1060606060619"/>
    <n v="0"/>
    <n v="20"/>
    <s v=""/>
    <n v="20"/>
    <n v="13.5"/>
    <n v="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8"/>
    <n v="0"/>
    <n v="0"/>
    <n v="0"/>
    <n v="0"/>
    <n v="0"/>
    <n v="38"/>
    <n v="593275"/>
    <n v="2622000"/>
    <n v="4.0177596622752745"/>
  </r>
  <r>
    <n v="0"/>
    <n v="0"/>
    <s v=""/>
    <s v=""/>
    <s v=""/>
    <x v="1"/>
    <s v=""/>
    <s v=""/>
    <n v="0"/>
    <s v="0"/>
    <s v="0-"/>
    <n v="0"/>
    <s v="TTL"/>
    <s v=""/>
    <s v="ELH-대경-06 TTL"/>
    <m/>
    <s v=""/>
    <s v=""/>
    <s v=""/>
    <m/>
    <s v=""/>
    <s v="K"/>
    <m/>
    <s v=""/>
    <s v=""/>
    <n v="10"/>
    <m/>
    <s v=""/>
    <m/>
    <s v=""/>
    <x v="0"/>
    <n v="10.999999999999995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892"/>
    <n v="1"/>
    <n v="0"/>
    <n v="0"/>
    <n v="0"/>
    <n v="0"/>
    <n v="3897"/>
    <n v="73806787.5"/>
    <n v="334493000"/>
    <n v="4.1200078712888768"/>
  </r>
  <r>
    <n v="0"/>
    <n v="0"/>
    <n v="8"/>
    <n v="8"/>
    <s v="전략"/>
    <x v="31"/>
    <s v="PLH-아트인드림-11"/>
    <s v="PLH-아트인드림-11PLHJPF4901BK"/>
    <n v="1"/>
    <s v="PLH-아트인드림-111"/>
    <s v="PLH-아트인드림-111-PLHJPF4901BLACKOXS"/>
    <s v="PLH의류901"/>
    <s v="PLH"/>
    <s v="PLAJPF"/>
    <m/>
    <s v="PLH"/>
    <s v="PLA HATSON"/>
    <s v="F"/>
    <n v="4"/>
    <s v="JP"/>
    <s v="JUMPER"/>
    <s v="K"/>
    <n v="901"/>
    <n v="901"/>
    <s v="PLHJPF4901"/>
    <n v="0.25"/>
    <s v="PLAJPF1901BKOXS"/>
    <s v="BK"/>
    <s v="BLACK"/>
    <s v="PLHJPF4901BK"/>
    <x v="1"/>
    <n v="0.25"/>
    <n v="0"/>
    <n v="1"/>
    <s v="OXS"/>
    <n v="50"/>
    <x v="15"/>
    <n v="11"/>
    <x v="23"/>
    <s v="M"/>
    <s v="KR"/>
    <x v="3"/>
    <n v="109000"/>
    <x v="27"/>
    <n v="27525.252525252523"/>
    <n v="24120"/>
    <n v="-3405.2525252525229"/>
    <n v="0"/>
    <n v="20"/>
    <s v=""/>
    <n v="20"/>
    <n v="0"/>
    <n v="241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206000"/>
    <n v="5450000"/>
    <n v="4.1082466455600786"/>
  </r>
  <r>
    <n v="0"/>
    <n v="0"/>
    <n v="8"/>
    <n v="8"/>
    <s v="전략"/>
    <x v="31"/>
    <s v="PLH-아트인드림-11"/>
    <s v="PLH-아트인드림-11PLHJPF4901BK"/>
    <n v="1"/>
    <s v="PLH-아트인드림-111"/>
    <s v="PLH-아트인드림-111-PLHJPF4901BLACKOMM"/>
    <s v="PLH의류901"/>
    <s v="PLH"/>
    <s v="PLAJPF"/>
    <m/>
    <s v="PLH"/>
    <s v="PLA HATSON"/>
    <s v="F"/>
    <n v="4"/>
    <s v="JP"/>
    <s v="JUMPER"/>
    <s v="K"/>
    <n v="901"/>
    <n v="901"/>
    <s v="PLHJPF4901"/>
    <n v="0.25"/>
    <s v="PLAJPF1901BKOMM"/>
    <s v="BK"/>
    <s v="BLACK"/>
    <s v="PLHJPF4901BK"/>
    <x v="1"/>
    <n v="0.25"/>
    <n v="0"/>
    <n v="1"/>
    <s v="OMM"/>
    <n v="50"/>
    <x v="15"/>
    <n v="11"/>
    <x v="23"/>
    <s v="M"/>
    <s v="KR"/>
    <x v="3"/>
    <n v="109000"/>
    <x v="27"/>
    <n v="27525.252525252523"/>
    <n v="24120"/>
    <n v="-3405.2525252525229"/>
    <n v="0"/>
    <n v="20"/>
    <s v=""/>
    <n v="20"/>
    <n v="0"/>
    <n v="241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206000"/>
    <n v="5450000"/>
    <n v="4.1082466455600786"/>
  </r>
  <r>
    <n v="0"/>
    <n v="0"/>
    <n v="8"/>
    <n v="8"/>
    <s v="전략"/>
    <x v="31"/>
    <s v="PLH-아트인드림-11"/>
    <s v="PLH-아트인드림-11PLHJPF4901BK"/>
    <n v="1"/>
    <s v="PLH-아트인드림-111"/>
    <s v="PLH-아트인드림-111-PLHJPF4901BLACKOXL"/>
    <s v="PLH의류901"/>
    <s v="PLH"/>
    <s v="PLAJPF"/>
    <m/>
    <s v="PLH"/>
    <s v="PLA HATSON"/>
    <s v="F"/>
    <n v="4"/>
    <s v="JP"/>
    <s v="JUMPER"/>
    <s v="K"/>
    <n v="901"/>
    <n v="901"/>
    <s v="PLHJPF4901"/>
    <n v="0.25"/>
    <s v="PLAJPF1901BKOXL"/>
    <s v="BK"/>
    <s v="BLACK"/>
    <s v="PLHJPF4901BK"/>
    <x v="1"/>
    <n v="0.25"/>
    <n v="0"/>
    <n v="1"/>
    <s v="OXL"/>
    <n v="50"/>
    <x v="15"/>
    <n v="11"/>
    <x v="23"/>
    <s v="M"/>
    <s v="KR"/>
    <x v="3"/>
    <n v="109000"/>
    <x v="27"/>
    <n v="27525.252525252523"/>
    <n v="24120"/>
    <n v="-3405.2525252525229"/>
    <n v="0"/>
    <n v="20"/>
    <s v=""/>
    <n v="20"/>
    <n v="0"/>
    <n v="241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206000"/>
    <n v="5450000"/>
    <n v="4.1082466455600786"/>
  </r>
  <r>
    <n v="0"/>
    <n v="0"/>
    <n v="8"/>
    <n v="8"/>
    <s v="전략"/>
    <x v="31"/>
    <s v="PLH-아트인드림-11"/>
    <s v="PLH-아트인드림-11PLHJPF4901BK"/>
    <n v="1"/>
    <s v="PLH-아트인드림-111"/>
    <s v="PLH-아트인드림-111-PLHJPF4901BLACKXXS"/>
    <s v="PLH의류901"/>
    <s v="PLH"/>
    <s v="PLAJPF"/>
    <m/>
    <s v="PLH"/>
    <s v="PLA HATSON"/>
    <s v="F"/>
    <n v="4"/>
    <s v="JP"/>
    <s v="JUMPER"/>
    <s v="K"/>
    <n v="901"/>
    <n v="901"/>
    <s v="PLHJPF4901"/>
    <n v="0.25"/>
    <s v="PLAJPF1901BKXXS"/>
    <s v="BK"/>
    <s v="BLACK"/>
    <s v="PLHJPF4901BK"/>
    <x v="1"/>
    <n v="0.25"/>
    <n v="0"/>
    <n v="1"/>
    <s v="XXS"/>
    <n v="40"/>
    <x v="15"/>
    <n v="11"/>
    <x v="23"/>
    <s v="M"/>
    <s v="KR"/>
    <x v="3"/>
    <n v="109000"/>
    <x v="27"/>
    <n v="27525.252525252523"/>
    <n v="24120"/>
    <n v="-3405.2525252525229"/>
    <n v="0"/>
    <n v="20"/>
    <s v=""/>
    <n v="20"/>
    <n v="0"/>
    <n v="2410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40"/>
    <n v="0"/>
    <n v="0"/>
    <n v="0"/>
    <n v="0"/>
    <n v="0"/>
    <n v="40"/>
    <n v="964800"/>
    <n v="4360000"/>
    <n v="4.1082466455600786"/>
  </r>
  <r>
    <n v="0"/>
    <n v="0"/>
    <n v="8"/>
    <n v="8"/>
    <s v="전략"/>
    <x v="31"/>
    <s v="PLH-아트인드림-11"/>
    <s v="PLH-아트인드림-11PLHTLF4902WH"/>
    <n v="2"/>
    <s v="PLH-아트인드림-112"/>
    <s v="PLH-아트인드림-112-PLHTLF4902WHITEOXS"/>
    <s v="PLH의류902"/>
    <s v="PLH"/>
    <s v="PLATLF"/>
    <m/>
    <s v="PLH"/>
    <s v="PLA HATSON"/>
    <s v="F"/>
    <n v="4"/>
    <s v="TL"/>
    <s v="LONG SLEEVES"/>
    <s v="K"/>
    <n v="902"/>
    <n v="902"/>
    <s v="PLHTLF4902"/>
    <n v="0.16666666666666666"/>
    <s v="PLATLF1902WHOXS"/>
    <s v="WH"/>
    <s v="WHITE"/>
    <s v="PLHTLF4902WH"/>
    <x v="1"/>
    <n v="0.16666666666666666"/>
    <n v="0"/>
    <n v="1"/>
    <s v="OXS"/>
    <n v="100"/>
    <x v="15"/>
    <n v="11"/>
    <x v="23"/>
    <s v="M"/>
    <s v="KR"/>
    <x v="3"/>
    <n v="69000"/>
    <x v="27"/>
    <n v="17424.24242424242"/>
    <n v="17100"/>
    <n v="-324.24242424242038"/>
    <n v="0"/>
    <n v="20"/>
    <s v=""/>
    <n v="20"/>
    <n v="0"/>
    <n v="1708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710000"/>
    <n v="6900000"/>
    <n v="3.6682615629984046"/>
  </r>
  <r>
    <n v="0"/>
    <n v="0"/>
    <n v="8"/>
    <n v="8"/>
    <s v="전략"/>
    <x v="31"/>
    <s v="PLH-아트인드림-11"/>
    <s v="PLH-아트인드림-11PLHTLF4902WH"/>
    <n v="2"/>
    <s v="PLH-아트인드림-112"/>
    <s v="PLH-아트인드림-112-PLHTLF4902WHITEOSS"/>
    <s v="PLH의류902"/>
    <s v="PLH"/>
    <s v="PLATLF"/>
    <m/>
    <s v="PLH"/>
    <s v="PLA HATSON"/>
    <s v="F"/>
    <n v="4"/>
    <s v="TL"/>
    <s v="LONG SLEEVES"/>
    <s v="K"/>
    <n v="902"/>
    <n v="902"/>
    <s v="PLHTLF4902"/>
    <n v="0.16666666666666666"/>
    <s v="PLATLF1902WHOSS"/>
    <s v="WH"/>
    <s v="WHITE"/>
    <s v="PLHTLF4902WH"/>
    <x v="1"/>
    <n v="0.16666666666666666"/>
    <n v="0"/>
    <n v="1"/>
    <s v="OSS"/>
    <n v="100"/>
    <x v="15"/>
    <n v="11"/>
    <x v="23"/>
    <s v="M"/>
    <s v="KR"/>
    <x v="3"/>
    <n v="69000"/>
    <x v="27"/>
    <n v="17424.24242424242"/>
    <n v="17100"/>
    <n v="-324.24242424242038"/>
    <n v="0"/>
    <n v="20"/>
    <s v=""/>
    <n v="20"/>
    <n v="0"/>
    <n v="1708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710000"/>
    <n v="6900000"/>
    <n v="3.6682615629984046"/>
  </r>
  <r>
    <n v="0"/>
    <n v="0"/>
    <n v="8"/>
    <n v="8"/>
    <s v="전략"/>
    <x v="31"/>
    <s v="PLH-아트인드림-11"/>
    <s v="PLH-아트인드림-11PLHTLF4902WH"/>
    <n v="2"/>
    <s v="PLH-아트인드림-112"/>
    <s v="PLH-아트인드림-112-PLHTLF4902WHITEOMM"/>
    <s v="PLH의류902"/>
    <s v="PLH"/>
    <s v="PLATLF"/>
    <m/>
    <s v="PLH"/>
    <s v="PLA HATSON"/>
    <s v="F"/>
    <n v="4"/>
    <s v="TL"/>
    <s v="LONG SLEEVES"/>
    <s v="K"/>
    <n v="902"/>
    <n v="902"/>
    <s v="PLHTLF4902"/>
    <n v="0.16666666666666666"/>
    <s v="PLATLF1902WHOMM"/>
    <s v="WH"/>
    <s v="WHITE"/>
    <s v="PLHTLF4902WH"/>
    <x v="1"/>
    <n v="0.16666666666666666"/>
    <n v="0"/>
    <n v="1"/>
    <s v="OMM"/>
    <n v="80"/>
    <x v="15"/>
    <n v="11"/>
    <x v="23"/>
    <s v="M"/>
    <s v="KR"/>
    <x v="3"/>
    <n v="69000"/>
    <x v="27"/>
    <n v="17424.24242424242"/>
    <n v="17100"/>
    <n v="-324.24242424242038"/>
    <n v="0"/>
    <n v="20"/>
    <s v=""/>
    <n v="20"/>
    <n v="0"/>
    <n v="1708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80"/>
    <n v="0"/>
    <n v="0"/>
    <n v="0"/>
    <n v="0"/>
    <n v="0"/>
    <n v="80"/>
    <n v="1368000"/>
    <n v="5520000"/>
    <n v="3.6682615629984046"/>
  </r>
  <r>
    <n v="0"/>
    <n v="0"/>
    <n v="8"/>
    <n v="8"/>
    <s v="전략"/>
    <x v="31"/>
    <s v="PLH-아트인드림-11"/>
    <s v="PLH-아트인드림-11PLHTLF4902WH"/>
    <n v="2"/>
    <s v="PLH-아트인드림-112"/>
    <s v="PLH-아트인드림-112-PLHTLF4902WHITEOLL"/>
    <s v="PLH의류902"/>
    <s v="PLH"/>
    <s v="PLATLF"/>
    <m/>
    <s v="PLH"/>
    <s v="PLA HATSON"/>
    <s v="F"/>
    <n v="4"/>
    <s v="TL"/>
    <s v="LONG SLEEVES"/>
    <s v="K"/>
    <n v="902"/>
    <n v="902"/>
    <s v="PLHTLF4902"/>
    <n v="0.16666666666666666"/>
    <s v="PLATLF1902WHOLL"/>
    <s v="WH"/>
    <s v="WHITE"/>
    <s v="PLHTLF4902WH"/>
    <x v="1"/>
    <n v="0.16666666666666666"/>
    <n v="0"/>
    <n v="1"/>
    <s v="OLL"/>
    <n v="80"/>
    <x v="15"/>
    <n v="11"/>
    <x v="23"/>
    <s v="M"/>
    <s v="KR"/>
    <x v="3"/>
    <n v="69000"/>
    <x v="27"/>
    <n v="17424.24242424242"/>
    <n v="17100"/>
    <n v="-324.24242424242038"/>
    <n v="0"/>
    <n v="20"/>
    <s v=""/>
    <n v="20"/>
    <n v="0"/>
    <n v="1708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80"/>
    <n v="0"/>
    <n v="0"/>
    <n v="0"/>
    <n v="0"/>
    <n v="0"/>
    <n v="80"/>
    <n v="1368000"/>
    <n v="5520000"/>
    <n v="3.6682615629984046"/>
  </r>
  <r>
    <n v="0"/>
    <n v="0"/>
    <n v="8"/>
    <n v="8"/>
    <s v="전략"/>
    <x v="31"/>
    <s v="PLH-아트인드림-11"/>
    <s v="PLH-아트인드림-11PLHTLF4902WH"/>
    <n v="2"/>
    <s v="PLH-아트인드림-112"/>
    <s v="PLH-아트인드림-112-PLHTLF4902WHITEOXL"/>
    <s v="PLH의류902"/>
    <s v="PLH"/>
    <s v="PLATLF"/>
    <m/>
    <s v="PLH"/>
    <s v="PLA HATSON"/>
    <s v="F"/>
    <n v="4"/>
    <s v="TL"/>
    <s v="LONG SLEEVES"/>
    <s v="K"/>
    <n v="902"/>
    <n v="902"/>
    <s v="PLHTLF4902"/>
    <n v="0.16666666666666666"/>
    <s v="PLATLF1902WHOXL"/>
    <s v="WH"/>
    <s v="WHITE"/>
    <s v="PLHTLF4902WH"/>
    <x v="1"/>
    <n v="0.16666666666666666"/>
    <n v="0"/>
    <n v="1"/>
    <s v="OXL"/>
    <n v="80"/>
    <x v="15"/>
    <n v="11"/>
    <x v="23"/>
    <s v="M"/>
    <s v="KR"/>
    <x v="3"/>
    <n v="69000"/>
    <x v="27"/>
    <n v="17424.24242424242"/>
    <n v="17100"/>
    <n v="-324.24242424242038"/>
    <n v="0"/>
    <n v="20"/>
    <s v=""/>
    <n v="20"/>
    <n v="0"/>
    <n v="1708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80"/>
    <n v="0"/>
    <n v="0"/>
    <n v="0"/>
    <n v="0"/>
    <n v="0"/>
    <n v="80"/>
    <n v="1368000"/>
    <n v="5520000"/>
    <n v="3.6682615629984046"/>
  </r>
  <r>
    <n v="0"/>
    <n v="0"/>
    <n v="8"/>
    <n v="8"/>
    <s v="전략"/>
    <x v="31"/>
    <s v="PLH-아트인드림-11"/>
    <s v="PLH-아트인드림-11PLHTLF4902WH"/>
    <n v="2"/>
    <s v="PLH-아트인드림-112"/>
    <s v="PLH-아트인드림-112-PLHTLF4902WHITEXXS"/>
    <s v="PLH의류902"/>
    <s v="PLH"/>
    <s v="PLATLF"/>
    <m/>
    <s v="PLH"/>
    <s v="PLA HATSON"/>
    <s v="F"/>
    <n v="4"/>
    <s v="TL"/>
    <s v="LONG SLEEVES"/>
    <s v="K"/>
    <n v="902"/>
    <n v="902"/>
    <s v="PLHTLF4902"/>
    <n v="0.16666666666666666"/>
    <s v="PLATLF1902WHXXS"/>
    <s v="WH"/>
    <s v="WHITE"/>
    <s v="PLHTLF4902WH"/>
    <x v="1"/>
    <n v="0.16666666666666666"/>
    <n v="0"/>
    <n v="1"/>
    <s v="XXS"/>
    <n v="100"/>
    <x v="15"/>
    <n v="11"/>
    <x v="23"/>
    <s v="M"/>
    <s v="KR"/>
    <x v="3"/>
    <n v="69000"/>
    <x v="27"/>
    <n v="17424.24242424242"/>
    <n v="17100"/>
    <n v="-324.24242424242038"/>
    <n v="0"/>
    <n v="20"/>
    <s v=""/>
    <n v="20"/>
    <n v="0"/>
    <n v="1708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710000"/>
    <n v="6900000"/>
    <n v="3.6682615629984046"/>
  </r>
  <r>
    <n v="0"/>
    <n v="0"/>
    <n v="8"/>
    <n v="8"/>
    <s v="전략"/>
    <x v="31"/>
    <s v="PLH-아트인드림-11"/>
    <s v="PLH-아트인드림-11PLHTLF4903BK"/>
    <n v="3"/>
    <s v="PLH-아트인드림-113"/>
    <s v="PLH-아트인드림-113-PLHTLF4903BLACKOXS"/>
    <s v="PLH의류903"/>
    <s v="PLH"/>
    <s v="PLATLF"/>
    <m/>
    <s v="PLH"/>
    <s v="PLA HATSON"/>
    <s v="F"/>
    <n v="4"/>
    <s v="TL"/>
    <s v="LONG SLEEVES"/>
    <s v="K"/>
    <n v="903"/>
    <n v="903"/>
    <s v="PLHTLF4903"/>
    <n v="0.16666666666666666"/>
    <s v="PLATLF1903BKOXS"/>
    <s v="BK"/>
    <s v="BLACK"/>
    <s v="PLHTLF4903BK"/>
    <x v="1"/>
    <n v="0.16666666666666666"/>
    <n v="0"/>
    <n v="1"/>
    <s v="OXS"/>
    <n v="100"/>
    <x v="15"/>
    <n v="11"/>
    <x v="23"/>
    <s v="M"/>
    <s v="KR"/>
    <x v="3"/>
    <n v="69000"/>
    <x v="27"/>
    <n v="17424.24242424242"/>
    <n v="17680"/>
    <n v="255.75757575757962"/>
    <n v="0"/>
    <n v="20"/>
    <s v=""/>
    <n v="20"/>
    <n v="0"/>
    <n v="1766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768000"/>
    <n v="6900000"/>
    <n v="3.547922665569724"/>
  </r>
  <r>
    <n v="0"/>
    <n v="0"/>
    <n v="8"/>
    <n v="8"/>
    <s v="전략"/>
    <x v="31"/>
    <s v="PLH-아트인드림-11"/>
    <s v="PLH-아트인드림-11PLHTLF4903BK"/>
    <n v="3"/>
    <s v="PLH-아트인드림-113"/>
    <s v="PLH-아트인드림-113-PLHTLF4903BLACKOSS"/>
    <s v="PLH의류903"/>
    <s v="PLH"/>
    <s v="PLATLF"/>
    <m/>
    <s v="PLH"/>
    <s v="PLA HATSON"/>
    <s v="F"/>
    <n v="4"/>
    <s v="TL"/>
    <s v="LONG SLEEVES"/>
    <s v="K"/>
    <n v="903"/>
    <n v="903"/>
    <s v="PLHTLF4903"/>
    <n v="0.16666666666666666"/>
    <s v="PLATLF1903BKOSS"/>
    <s v="BK"/>
    <s v="BLACK"/>
    <s v="PLHTLF4903BK"/>
    <x v="1"/>
    <n v="0.16666666666666666"/>
    <n v="0"/>
    <n v="1"/>
    <s v="OSS"/>
    <n v="100"/>
    <x v="15"/>
    <n v="11"/>
    <x v="23"/>
    <s v="M"/>
    <s v="KR"/>
    <x v="3"/>
    <n v="69000"/>
    <x v="27"/>
    <n v="17424.24242424242"/>
    <n v="17680"/>
    <n v="255.75757575757962"/>
    <n v="0"/>
    <n v="20"/>
    <s v=""/>
    <n v="20"/>
    <n v="0"/>
    <n v="1766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768000"/>
    <n v="6900000"/>
    <n v="3.547922665569724"/>
  </r>
  <r>
    <n v="0"/>
    <n v="0"/>
    <n v="8"/>
    <n v="8"/>
    <s v="전략"/>
    <x v="31"/>
    <s v="PLH-아트인드림-11"/>
    <s v="PLH-아트인드림-11PLHTLF4903BK"/>
    <n v="3"/>
    <s v="PLH-아트인드림-113"/>
    <s v="PLH-아트인드림-113-PLHTLF4903BLACKOMM"/>
    <s v="PLH의류903"/>
    <s v="PLH"/>
    <s v="PLATLF"/>
    <m/>
    <s v="PLH"/>
    <s v="PLA HATSON"/>
    <s v="F"/>
    <n v="4"/>
    <s v="TL"/>
    <s v="LONG SLEEVES"/>
    <s v="K"/>
    <n v="903"/>
    <n v="903"/>
    <s v="PLHTLF4903"/>
    <n v="0.16666666666666666"/>
    <s v="PLATLF1903BKOMM"/>
    <s v="BK"/>
    <s v="BLACK"/>
    <s v="PLHTLF4903BK"/>
    <x v="1"/>
    <n v="0.16666666666666666"/>
    <n v="0"/>
    <n v="1"/>
    <s v="OMM"/>
    <n v="80"/>
    <x v="15"/>
    <n v="11"/>
    <x v="23"/>
    <s v="M"/>
    <s v="KR"/>
    <x v="3"/>
    <n v="69000"/>
    <x v="27"/>
    <n v="17424.24242424242"/>
    <n v="17680"/>
    <n v="255.75757575757962"/>
    <n v="0"/>
    <n v="20"/>
    <s v=""/>
    <n v="20"/>
    <n v="0"/>
    <n v="1766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80"/>
    <n v="0"/>
    <n v="0"/>
    <n v="0"/>
    <n v="0"/>
    <n v="0"/>
    <n v="80"/>
    <n v="1414400"/>
    <n v="5520000"/>
    <n v="3.547922665569724"/>
  </r>
  <r>
    <n v="0"/>
    <n v="0"/>
    <n v="8"/>
    <n v="8"/>
    <s v="전략"/>
    <x v="31"/>
    <s v="PLH-아트인드림-11"/>
    <s v="PLH-아트인드림-11PLHTLF4903BK"/>
    <n v="3"/>
    <s v="PLH-아트인드림-113"/>
    <s v="PLH-아트인드림-113-PLHTLF4903BLACKOLL"/>
    <s v="PLH의류903"/>
    <s v="PLH"/>
    <s v="PLATLF"/>
    <m/>
    <s v="PLH"/>
    <s v="PLA HATSON"/>
    <s v="F"/>
    <n v="4"/>
    <s v="TL"/>
    <s v="LONG SLEEVES"/>
    <s v="K"/>
    <n v="903"/>
    <n v="903"/>
    <s v="PLHTLF4903"/>
    <n v="0.16666666666666666"/>
    <s v="PLATLF1903BKOLL"/>
    <s v="BK"/>
    <s v="BLACK"/>
    <s v="PLHTLF4903BK"/>
    <x v="1"/>
    <n v="0.16666666666666666"/>
    <n v="0"/>
    <n v="1"/>
    <s v="OLL"/>
    <n v="80"/>
    <x v="15"/>
    <n v="11"/>
    <x v="23"/>
    <s v="M"/>
    <s v="KR"/>
    <x v="3"/>
    <n v="69000"/>
    <x v="27"/>
    <n v="17424.24242424242"/>
    <n v="17680"/>
    <n v="255.75757575757962"/>
    <n v="0"/>
    <n v="20"/>
    <s v=""/>
    <n v="20"/>
    <n v="0"/>
    <n v="1766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80"/>
    <n v="0"/>
    <n v="0"/>
    <n v="0"/>
    <n v="0"/>
    <n v="0"/>
    <n v="80"/>
    <n v="1414400"/>
    <n v="5520000"/>
    <n v="3.547922665569724"/>
  </r>
  <r>
    <n v="0"/>
    <n v="0"/>
    <n v="8"/>
    <n v="8"/>
    <s v="전략"/>
    <x v="31"/>
    <s v="PLH-아트인드림-11"/>
    <s v="PLH-아트인드림-11PLHTLF4903BK"/>
    <n v="3"/>
    <s v="PLH-아트인드림-113"/>
    <s v="PLH-아트인드림-113-PLHTLF4903BLACKOXL"/>
    <s v="PLH의류903"/>
    <s v="PLH"/>
    <s v="PLATLF"/>
    <m/>
    <s v="PLH"/>
    <s v="PLA HATSON"/>
    <s v="F"/>
    <n v="4"/>
    <s v="TL"/>
    <s v="LONG SLEEVES"/>
    <s v="K"/>
    <n v="903"/>
    <n v="903"/>
    <s v="PLHTLF4903"/>
    <n v="0.16666666666666666"/>
    <s v="PLATLF1903BKOXL"/>
    <s v="BK"/>
    <s v="BLACK"/>
    <s v="PLHTLF4903BK"/>
    <x v="1"/>
    <n v="0.16666666666666666"/>
    <n v="0"/>
    <n v="1"/>
    <s v="OXL"/>
    <n v="30"/>
    <x v="15"/>
    <n v="11"/>
    <x v="23"/>
    <s v="M"/>
    <s v="KR"/>
    <x v="3"/>
    <n v="69000"/>
    <x v="27"/>
    <n v="17424.24242424242"/>
    <n v="17680"/>
    <n v="255.75757575757962"/>
    <n v="0"/>
    <n v="20"/>
    <s v=""/>
    <n v="20"/>
    <n v="0"/>
    <n v="1766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530400"/>
    <n v="2070000"/>
    <n v="3.5479226655697245"/>
  </r>
  <r>
    <n v="0"/>
    <n v="0"/>
    <n v="8"/>
    <n v="8"/>
    <s v="전략"/>
    <x v="31"/>
    <s v="PLH-아트인드림-11"/>
    <s v="PLH-아트인드림-11PLHTLF4903BK"/>
    <n v="3"/>
    <s v="PLH-아트인드림-113"/>
    <s v="PLH-아트인드림-113-PLHTLF4903BLACKXXS"/>
    <s v="PLH의류903"/>
    <s v="PLH"/>
    <s v="PLATLF"/>
    <m/>
    <s v="PLH"/>
    <s v="PLA HATSON"/>
    <s v="F"/>
    <n v="4"/>
    <s v="TL"/>
    <s v="LONG SLEEVES"/>
    <s v="K"/>
    <n v="903"/>
    <n v="903"/>
    <s v="PLHTLF4903"/>
    <n v="0.16666666666666666"/>
    <s v="PLATLF1903BKXXS"/>
    <s v="BK"/>
    <s v="BLACK"/>
    <s v="PLHTLF4903BK"/>
    <x v="1"/>
    <n v="0.16666666666666666"/>
    <n v="0"/>
    <n v="1"/>
    <s v="XXS"/>
    <n v="100"/>
    <x v="15"/>
    <n v="11"/>
    <x v="23"/>
    <s v="M"/>
    <s v="KR"/>
    <x v="3"/>
    <n v="69000"/>
    <x v="27"/>
    <n v="17424.24242424242"/>
    <n v="17680"/>
    <n v="255.75757575757962"/>
    <n v="0"/>
    <n v="20"/>
    <s v=""/>
    <n v="20"/>
    <n v="0"/>
    <n v="17660"/>
    <d v="2014-08-04T00:00:00"/>
    <d v="1899-12-30T00:00:00"/>
    <d v="2014-08-11T00:00:00"/>
    <d v="1899-12-30T00:00:00"/>
    <d v="2014-08-11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768000"/>
    <n v="6900000"/>
    <n v="3.547922665569724"/>
  </r>
  <r>
    <n v="0"/>
    <n v="0"/>
    <s v=""/>
    <s v=""/>
    <s v=""/>
    <x v="1"/>
    <s v=""/>
    <s v=""/>
    <n v="0"/>
    <s v="0"/>
    <s v="0-"/>
    <n v="0"/>
    <s v="TTL"/>
    <s v=""/>
    <s v="PLH-아트인드림-11 TTL"/>
    <m/>
    <s v=""/>
    <s v=""/>
    <s v=""/>
    <m/>
    <s v=""/>
    <s v="K"/>
    <m/>
    <s v=""/>
    <s v=""/>
    <n v="2.9999999999999996"/>
    <m/>
    <s v=""/>
    <m/>
    <s v=""/>
    <x v="0"/>
    <n v="2.9999999999999996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220"/>
    <n v="0"/>
    <n v="0"/>
    <n v="0"/>
    <n v="0"/>
    <n v="0"/>
    <n v="1220"/>
    <n v="22480000"/>
    <n v="91780000"/>
    <n v="3.7115820122937557"/>
  </r>
  <r>
    <n v="0"/>
    <n v="0"/>
    <n v="8"/>
    <n v="8"/>
    <s v="전략"/>
    <x v="32"/>
    <s v="ELH-바이칼-05"/>
    <s v="ELH-바이칼-05ELHCRF3901YE"/>
    <n v="1"/>
    <s v="ELH-바이칼-051"/>
    <s v="ELH-바이칼-051-ELHCRF3901YELLOWFRE"/>
    <s v="ELH의류외901"/>
    <s v="ELH"/>
    <s v="ELSCRF"/>
    <m/>
    <s v="ELH"/>
    <s v="ELS HATSON"/>
    <s v="F"/>
    <s v="3"/>
    <s v="CR"/>
    <s v="CARRIER (캐리어)"/>
    <s v="K"/>
    <n v="901"/>
    <n v="901"/>
    <s v="ELHCRF3901"/>
    <n v="1"/>
    <s v="ELSCRF0901YEFRE"/>
    <s v="YE"/>
    <s v="YELLOW"/>
    <s v="ELHCRF3901YE"/>
    <x v="1"/>
    <n v="1"/>
    <n v="0"/>
    <n v="1"/>
    <s v="FRE"/>
    <n v="100"/>
    <x v="11"/>
    <n v="5"/>
    <x v="5"/>
    <s v="M"/>
    <s v="CN"/>
    <x v="0"/>
    <n v="149000"/>
    <x v="28"/>
    <n v="33863.63636363636"/>
    <n v="31570"/>
    <n v="-2293.6363636363603"/>
    <n v="0"/>
    <n v="0"/>
    <n v="20"/>
    <n v="20"/>
    <n v="0"/>
    <n v="31550"/>
    <d v="2014-08-12T00:00:00"/>
    <d v="1899-12-30T00:00:00"/>
    <d v="2014-08-19T00:00:00"/>
    <d v="1899-12-30T00:00:00"/>
    <d v="2014-08-21T00:00:00"/>
    <m/>
    <d v="1899-12-30T00:00:00"/>
    <d v="1899-12-30T00:00:00"/>
    <d v="1899-12-30T00:00:00"/>
    <x v="1"/>
    <n v="0"/>
    <n v="100"/>
    <n v="0"/>
    <n v="0"/>
    <n v="0"/>
    <n v="0"/>
    <n v="0"/>
    <n v="100"/>
    <n v="3157000"/>
    <n v="14900000"/>
    <n v="4.2906096121173718"/>
  </r>
  <r>
    <n v="0"/>
    <n v="0"/>
    <n v="8"/>
    <n v="8"/>
    <s v="전략"/>
    <x v="32"/>
    <s v="ELH-바이칼-05"/>
    <s v="ELH-바이칼-05ELHCRF3902BK"/>
    <n v="2"/>
    <s v="ELH-바이칼-052"/>
    <s v="ELH-바이칼-052-ELHCRF3902BLACKFRE"/>
    <s v="ELH의류외902"/>
    <s v="ELH"/>
    <s v="ELSCRF"/>
    <m/>
    <s v="ELH"/>
    <s v="ELS HATSON"/>
    <s v="F"/>
    <s v="3"/>
    <s v="CR"/>
    <s v="CARRIER (캐리어)"/>
    <s v="K"/>
    <n v="902"/>
    <n v="902"/>
    <s v="ELHCRF3902"/>
    <n v="1"/>
    <s v="ELSCRF0902BKFRE"/>
    <s v="BK"/>
    <s v="BLACK"/>
    <s v="ELHCRF3902BK"/>
    <x v="1"/>
    <n v="1"/>
    <n v="0"/>
    <n v="1"/>
    <s v="FRE"/>
    <n v="50"/>
    <x v="11"/>
    <n v="5"/>
    <x v="5"/>
    <s v="M"/>
    <s v="CN"/>
    <x v="0"/>
    <n v="149000"/>
    <x v="28"/>
    <n v="33863.63636363636"/>
    <n v="31570"/>
    <n v="-2293.6363636363603"/>
    <n v="0"/>
    <n v="0"/>
    <n v="20"/>
    <n v="20"/>
    <n v="0"/>
    <n v="31550"/>
    <d v="2014-08-12T00:00:00"/>
    <d v="1899-12-30T00:00:00"/>
    <d v="2014-08-19T00:00:00"/>
    <d v="1899-12-30T00:00:00"/>
    <d v="2014-08-21T00:00:00"/>
    <m/>
    <d v="1899-12-30T00:00:00"/>
    <d v="1899-12-30T00:00:00"/>
    <d v="1899-12-30T00:00:00"/>
    <x v="1"/>
    <n v="0"/>
    <n v="50"/>
    <n v="0"/>
    <n v="0"/>
    <n v="0"/>
    <n v="0"/>
    <n v="0"/>
    <n v="50"/>
    <n v="1578500"/>
    <n v="7450000"/>
    <n v="4.2906096121173718"/>
  </r>
  <r>
    <n v="0"/>
    <n v="0"/>
    <n v="8"/>
    <n v="8"/>
    <s v="전략"/>
    <x v="32"/>
    <s v="ELH-바이칼-05"/>
    <s v="ELH-바이칼-05ELHCRF3913PK"/>
    <n v="3"/>
    <s v="ELH-바이칼-053"/>
    <s v="ELH-바이칼-053-ELHCRF3913PINKFRE"/>
    <s v="ELH의류외913"/>
    <s v="ELH"/>
    <s v="ELSCRF"/>
    <m/>
    <s v="ELH"/>
    <s v="ELS HATSON"/>
    <s v="F"/>
    <s v="3"/>
    <s v="CR"/>
    <s v="CARRIER (캐리어)"/>
    <s v="K"/>
    <n v="913"/>
    <n v="913"/>
    <s v="ELHCRF3913"/>
    <n v="1"/>
    <s v="ELSCRF0913PKFRE"/>
    <s v="PK"/>
    <s v="PINK"/>
    <s v="ELHCRF3913PK"/>
    <x v="1"/>
    <n v="1"/>
    <n v="0"/>
    <n v="1"/>
    <s v="FRE"/>
    <n v="70"/>
    <x v="11"/>
    <n v="5"/>
    <x v="5"/>
    <s v="M"/>
    <s v="CN"/>
    <x v="0"/>
    <n v="149000"/>
    <x v="28"/>
    <n v="33863.63636363636"/>
    <n v="31570"/>
    <n v="-2293.6363636363603"/>
    <n v="0"/>
    <n v="0"/>
    <n v="20"/>
    <n v="20"/>
    <n v="0"/>
    <n v="31550"/>
    <d v="2014-08-12T00:00:00"/>
    <d v="1899-12-30T00:00:00"/>
    <d v="2014-08-19T00:00:00"/>
    <d v="1899-12-30T00:00:00"/>
    <d v="2014-08-21T00:00:00"/>
    <m/>
    <d v="1899-12-30T00:00:00"/>
    <d v="1899-12-30T00:00:00"/>
    <d v="1899-12-30T00:00:00"/>
    <x v="1"/>
    <n v="0"/>
    <n v="70"/>
    <n v="0"/>
    <n v="0"/>
    <n v="0"/>
    <n v="0"/>
    <n v="0"/>
    <n v="70"/>
    <n v="2209900"/>
    <n v="10430000"/>
    <n v="4.2906096121173727"/>
  </r>
  <r>
    <n v="0"/>
    <n v="0"/>
    <s v=""/>
    <s v=""/>
    <s v=""/>
    <x v="1"/>
    <s v=""/>
    <s v=""/>
    <n v="0"/>
    <s v="0"/>
    <s v="0-"/>
    <n v="0"/>
    <s v="TTL"/>
    <s v=""/>
    <s v="ELH-바이칼-05 TTL"/>
    <m/>
    <s v=""/>
    <s v=""/>
    <s v=""/>
    <m/>
    <s v=""/>
    <s v="K"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20"/>
    <n v="0"/>
    <n v="0"/>
    <n v="0"/>
    <n v="0"/>
    <n v="0"/>
    <n v="220"/>
    <n v="6945400"/>
    <n v="32780000"/>
    <n v="4.2906096121173718"/>
  </r>
  <r>
    <n v="0"/>
    <n v="0"/>
    <n v="9"/>
    <n v="9"/>
    <s v="F-CAP"/>
    <x v="33"/>
    <s v="DPH-캡보이-04"/>
    <s v="DPH-캡보이-04DPHSNF3501PK"/>
    <n v="1"/>
    <s v="DPH-캡보이-041"/>
    <s v="DPH-캡보이-041-DPHSNF3501PINKOSM"/>
    <s v="DPH의류외501"/>
    <s v="DPH"/>
    <s v="DPSSNF"/>
    <m/>
    <s v="DPH"/>
    <s v="DPS HATSON"/>
    <s v="F"/>
    <s v="3"/>
    <s v="SN"/>
    <s v="SNAPBACK"/>
    <s v="K"/>
    <n v="501"/>
    <n v="501"/>
    <s v="DPHSNF3501"/>
    <n v="0.5"/>
    <s v="DPSSNF3501PKOSM"/>
    <s v="PK"/>
    <s v="PINK"/>
    <s v="DPHSNF3501PK"/>
    <x v="0"/>
    <n v="0.5"/>
    <n v="0"/>
    <n v="1"/>
    <s v="OSM"/>
    <n v="70"/>
    <x v="8"/>
    <n v="4"/>
    <x v="3"/>
    <s v="M"/>
    <s v="KR"/>
    <x v="3"/>
    <n v="45000"/>
    <x v="29"/>
    <n v="10227.272727272726"/>
    <n v="11700"/>
    <n v="1472.7272727272739"/>
    <n v="0"/>
    <n v="0"/>
    <s v=""/>
    <n v="0"/>
    <n v="0"/>
    <n v="11700"/>
    <d v="2014-09-02T00:00:00"/>
    <d v="1899-12-30T00:00:00"/>
    <d v="2014-09-05T00:00:00"/>
    <d v="1899-12-30T00:00:00"/>
    <d v="2014-09-02T00:00:00"/>
    <d v="2014-11-18T00:00:00"/>
    <d v="1899-12-30T00:00:00"/>
    <d v="1899-12-30T00:00:00"/>
    <d v="1899-12-30T00:00:00"/>
    <x v="1"/>
    <n v="0"/>
    <n v="70"/>
    <n v="2"/>
    <n v="0"/>
    <n v="0"/>
    <n v="0"/>
    <n v="0"/>
    <n v="70"/>
    <n v="819000"/>
    <n v="3150000"/>
    <n v="3.4965034965034962"/>
  </r>
  <r>
    <n v="0"/>
    <n v="0"/>
    <n v="9"/>
    <n v="9"/>
    <s v="F-CAP"/>
    <x v="33"/>
    <s v="DPH-캡보이-04"/>
    <s v="DPH-캡보이-04DPHSNF3501PK"/>
    <n v="1"/>
    <s v="DPH-캡보이-041"/>
    <s v="DPH-캡보이-041-DPHSNF3501PINKOML"/>
    <s v="DPH의류외501"/>
    <s v="DPH"/>
    <s v="DPSSNF"/>
    <m/>
    <s v="DPH"/>
    <s v="DPS HATSON"/>
    <s v="F"/>
    <s v="3"/>
    <s v="SN"/>
    <s v="SNAPBACK"/>
    <s v="K"/>
    <n v="501"/>
    <n v="501"/>
    <s v="DPHSNF3501"/>
    <n v="0.5"/>
    <s v="DPSSNF3501PKOML"/>
    <s v="PK"/>
    <s v="PINK"/>
    <s v="DPHSNF3501PK"/>
    <x v="0"/>
    <n v="0.5"/>
    <n v="0"/>
    <n v="1"/>
    <s v="OML"/>
    <n v="100"/>
    <x v="8"/>
    <n v="4"/>
    <x v="3"/>
    <s v="M"/>
    <s v="KR"/>
    <x v="3"/>
    <n v="45000"/>
    <x v="29"/>
    <n v="10227.272727272726"/>
    <n v="11700"/>
    <n v="1472.7272727272739"/>
    <n v="0"/>
    <n v="0"/>
    <s v=""/>
    <n v="0"/>
    <n v="0"/>
    <n v="11700"/>
    <d v="2014-09-02T00:00:00"/>
    <d v="1899-12-30T00:00:00"/>
    <d v="2014-09-05T00:00:00"/>
    <d v="1899-12-30T00:00:00"/>
    <d v="2014-09-02T00:00:00"/>
    <d v="2014-11-18T00:00:00"/>
    <d v="1899-12-30T00:00:00"/>
    <d v="1899-12-30T00:00:00"/>
    <d v="1899-12-30T00:00:00"/>
    <x v="1"/>
    <n v="0"/>
    <n v="100"/>
    <n v="0"/>
    <n v="0"/>
    <n v="0"/>
    <n v="0"/>
    <n v="0"/>
    <n v="100"/>
    <n v="1170000"/>
    <n v="4500000"/>
    <n v="3.4965034965034967"/>
  </r>
  <r>
    <n v="0"/>
    <n v="0"/>
    <s v=""/>
    <s v=""/>
    <s v=""/>
    <x v="1"/>
    <s v=""/>
    <s v=""/>
    <n v="0"/>
    <s v="0"/>
    <s v="0-"/>
    <n v="0"/>
    <s v="TTL"/>
    <s v=""/>
    <s v="DPH-캡보이-04 TTL"/>
    <m/>
    <s v=""/>
    <s v=""/>
    <s v=""/>
    <m/>
    <s v=""/>
    <s v="K"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70"/>
    <n v="2"/>
    <n v="0"/>
    <n v="0"/>
    <n v="0"/>
    <n v="0"/>
    <n v="170"/>
    <n v="1989000"/>
    <n v="7650000"/>
    <n v="3.4965034965034967"/>
  </r>
  <r>
    <n v="0"/>
    <n v="0"/>
    <n v="9"/>
    <n v="9"/>
    <s v="전략"/>
    <x v="32"/>
    <s v="ELH-바이칼-06"/>
    <s v="ELH-바이칼-06ELHBPF3601BK"/>
    <n v="1"/>
    <s v="ELH-바이칼-061"/>
    <s v="ELH-바이칼-061-ELHBPF3601BLACKOMM"/>
    <s v="ELH의류외601"/>
    <s v="ELH"/>
    <s v="ELSBPF"/>
    <m/>
    <s v="ELH"/>
    <s v="ELS HATSON"/>
    <s v="F"/>
    <s v="3"/>
    <s v="BP"/>
    <s v="BACK PACK"/>
    <s v="K"/>
    <n v="601"/>
    <n v="601"/>
    <s v="ELHBPF3601"/>
    <n v="1"/>
    <s v="ELSBPF0601BKOMM"/>
    <s v="BK"/>
    <s v="BLACK"/>
    <s v="ELHBPF3601BK"/>
    <x v="1"/>
    <n v="1"/>
    <n v="0"/>
    <n v="1"/>
    <s v="OMM"/>
    <n v="20"/>
    <x v="11"/>
    <n v="6"/>
    <x v="6"/>
    <s v="M"/>
    <s v="CN"/>
    <x v="0"/>
    <n v="109000"/>
    <x v="29"/>
    <n v="24772.727272727272"/>
    <n v="22900"/>
    <n v="-1872.7272727272721"/>
    <n v="0"/>
    <n v="0"/>
    <s v=""/>
    <n v="0"/>
    <n v="0"/>
    <n v="22900"/>
    <d v="2014-09-02T00:00:00"/>
    <d v="1899-12-30T00:00:00"/>
    <d v="2014-09-05T00:00:00"/>
    <d v="1899-12-30T00:00:00"/>
    <d v="2014-09-02T00:00:00"/>
    <d v="1899-12-30T00:00:00"/>
    <d v="1899-12-30T00:00:00"/>
    <d v="1899-12-30T00:00:00"/>
    <d v="1899-12-30T00:00:00"/>
    <x v="1"/>
    <n v="0"/>
    <n v="20"/>
    <n v="0"/>
    <n v="0"/>
    <n v="0"/>
    <n v="0"/>
    <n v="0"/>
    <n v="20"/>
    <n v="458000"/>
    <n v="2180000"/>
    <n v="4.3271139341008329"/>
  </r>
  <r>
    <n v="0"/>
    <n v="0"/>
    <n v="9"/>
    <n v="9"/>
    <s v="전략"/>
    <x v="32"/>
    <s v="ELH-바이칼-06"/>
    <s v="ELH-바이칼-06ELHBPF3915BK"/>
    <n v="2"/>
    <s v="ELH-바이칼-062"/>
    <s v="ELH-바이칼-062-ELHBPF3915BLACKOSS"/>
    <s v="ELH의류외915"/>
    <s v="ELH"/>
    <s v="ELSBPF"/>
    <m/>
    <s v="ELH"/>
    <s v="ELS HATSON"/>
    <s v="F"/>
    <s v="3"/>
    <s v="BP"/>
    <s v="BACK PACK"/>
    <s v="K"/>
    <n v="915"/>
    <n v="915"/>
    <s v="ELHBPF3915"/>
    <n v="1"/>
    <s v="ELSBPF0915BKOSS"/>
    <s v="BK"/>
    <s v="BLACK"/>
    <s v="ELHBPF3915BK"/>
    <x v="1"/>
    <n v="1"/>
    <n v="0"/>
    <n v="1"/>
    <s v="OSS"/>
    <n v="30"/>
    <x v="11"/>
    <n v="6"/>
    <x v="6"/>
    <s v="M"/>
    <s v="CN"/>
    <x v="0"/>
    <n v="75000"/>
    <x v="29"/>
    <n v="17045.454545454544"/>
    <n v="15000"/>
    <n v="-2045.4545454545441"/>
    <n v="0"/>
    <n v="0"/>
    <s v=""/>
    <n v="0"/>
    <n v="0"/>
    <n v="15000"/>
    <d v="2014-09-02T00:00:00"/>
    <d v="1899-12-30T00:00:00"/>
    <d v="2014-09-05T00:00:00"/>
    <d v="1899-12-30T00:00:00"/>
    <d v="2014-09-02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450000"/>
    <n v="2250000"/>
    <n v="4.545454545454545"/>
  </r>
  <r>
    <n v="0"/>
    <n v="0"/>
    <n v="9"/>
    <n v="9"/>
    <s v="전략"/>
    <x v="32"/>
    <s v="ELH-바이칼-06"/>
    <s v="ELH-바이칼-06ELHBPF3916YE"/>
    <n v="3"/>
    <s v="ELH-바이칼-063"/>
    <s v="ELH-바이칼-063-ELHBPF3916YELLOWOSS"/>
    <s v="ELH의류외916"/>
    <s v="ELH"/>
    <s v="ELSBPF"/>
    <m/>
    <s v="ELH"/>
    <s v="ELS HATSON"/>
    <s v="F"/>
    <s v="3"/>
    <s v="BP"/>
    <s v="BACK PACK"/>
    <s v="K"/>
    <n v="916"/>
    <n v="916"/>
    <s v="ELHBPF3916"/>
    <n v="1"/>
    <s v="ELSBPF0916YEOSS"/>
    <s v="YE"/>
    <s v="YELLOW"/>
    <s v="ELHBPF3916YE"/>
    <x v="1"/>
    <n v="1"/>
    <n v="0"/>
    <n v="1"/>
    <s v="OSS"/>
    <n v="20"/>
    <x v="11"/>
    <n v="6"/>
    <x v="6"/>
    <s v="M"/>
    <s v="CN"/>
    <x v="0"/>
    <n v="75000"/>
    <x v="29"/>
    <n v="17045.454545454544"/>
    <n v="15000"/>
    <n v="-2045.4545454545441"/>
    <n v="0"/>
    <n v="0"/>
    <s v=""/>
    <n v="0"/>
    <n v="0"/>
    <n v="15000"/>
    <d v="2014-09-02T00:00:00"/>
    <d v="1899-12-30T00:00:00"/>
    <d v="2014-09-05T00:00:00"/>
    <d v="1899-12-30T00:00:00"/>
    <d v="2014-09-02T00:00:00"/>
    <d v="1899-12-30T00:00:00"/>
    <d v="1899-12-30T00:00:00"/>
    <d v="1899-12-30T00:00:00"/>
    <d v="1899-12-30T00:00:00"/>
    <x v="1"/>
    <n v="0"/>
    <n v="20"/>
    <n v="0"/>
    <n v="0"/>
    <n v="0"/>
    <n v="0"/>
    <n v="0"/>
    <n v="20"/>
    <n v="300000"/>
    <n v="1500000"/>
    <n v="4.5454545454545459"/>
  </r>
  <r>
    <n v="0"/>
    <n v="0"/>
    <n v="9"/>
    <n v="9"/>
    <s v="전략"/>
    <x v="32"/>
    <s v="ELH-바이칼-06"/>
    <s v="ELH-바이칼-06ELHCRF3903BK"/>
    <n v="4"/>
    <s v="ELH-바이칼-064"/>
    <s v="ELH-바이칼-064-ELHCRF3903BLACKFRE"/>
    <s v="ELH의류외903"/>
    <s v="ELH"/>
    <s v="ELSCRF"/>
    <m/>
    <s v="ELH"/>
    <s v="ELS HATSON"/>
    <s v="F"/>
    <s v="3"/>
    <s v="CR"/>
    <s v="CARRIER (캐리어)"/>
    <s v="K"/>
    <n v="903"/>
    <n v="903"/>
    <s v="ELHCRF3903"/>
    <n v="1"/>
    <s v="ELSCRF0903BKFRE"/>
    <s v="BK"/>
    <s v="BLACK"/>
    <s v="ELHCRF3903BK"/>
    <x v="1"/>
    <n v="1"/>
    <n v="0"/>
    <n v="1"/>
    <s v="FRE"/>
    <n v="50"/>
    <x v="11"/>
    <n v="6"/>
    <x v="6"/>
    <s v="M"/>
    <s v="CN"/>
    <x v="0"/>
    <n v="119000"/>
    <x v="29"/>
    <n v="27045.454545454544"/>
    <n v="26020"/>
    <n v="-1025.4545454545441"/>
    <n v="0"/>
    <n v="0"/>
    <s v=""/>
    <n v="0"/>
    <n v="0"/>
    <n v="26020"/>
    <d v="2014-09-02T00:00:00"/>
    <d v="1899-12-30T00:00:00"/>
    <d v="2014-09-05T00:00:00"/>
    <d v="1899-12-30T00:00:00"/>
    <d v="2014-09-02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301000"/>
    <n v="5950000"/>
    <n v="4.157640975473412"/>
  </r>
  <r>
    <n v="0"/>
    <n v="0"/>
    <n v="9"/>
    <n v="9"/>
    <s v="전략"/>
    <x v="32"/>
    <s v="ELH-바이칼-06"/>
    <s v="ELH-바이칼-06ELHCRF3904YE"/>
    <n v="5"/>
    <s v="ELH-바이칼-065"/>
    <s v="ELH-바이칼-065-ELHCRF3904YELLOWFRE"/>
    <s v="ELH의류외904"/>
    <s v="ELH"/>
    <s v="ELSCRF"/>
    <m/>
    <s v="ELH"/>
    <s v="ELS HATSON"/>
    <s v="F"/>
    <s v="3"/>
    <s v="CR"/>
    <s v="CARRIER (캐리어)"/>
    <s v="K"/>
    <n v="904"/>
    <n v="904"/>
    <s v="ELHCRF3904"/>
    <n v="1"/>
    <s v="ELSCRF0904YEFRE"/>
    <s v="YE"/>
    <s v="YELLOW"/>
    <s v="ELHCRF3904YE"/>
    <x v="1"/>
    <n v="1"/>
    <n v="0"/>
    <n v="1"/>
    <s v="FRE"/>
    <n v="20"/>
    <x v="11"/>
    <n v="6"/>
    <x v="6"/>
    <s v="M"/>
    <s v="CN"/>
    <x v="0"/>
    <n v="119000"/>
    <x v="29"/>
    <n v="27045.454545454544"/>
    <n v="26020"/>
    <n v="-1025.4545454545441"/>
    <n v="0"/>
    <n v="0"/>
    <s v=""/>
    <n v="0"/>
    <n v="0"/>
    <n v="26020"/>
    <d v="2014-09-02T00:00:00"/>
    <d v="1899-12-30T00:00:00"/>
    <d v="2014-09-05T00:00:00"/>
    <d v="1899-12-30T00:00:00"/>
    <d v="2014-09-02T00:00:00"/>
    <d v="1899-12-30T00:00:00"/>
    <d v="1899-12-30T00:00:00"/>
    <d v="1899-12-30T00:00:00"/>
    <d v="1899-12-30T00:00:00"/>
    <x v="1"/>
    <n v="0"/>
    <n v="20"/>
    <n v="0"/>
    <n v="0"/>
    <n v="0"/>
    <n v="0"/>
    <n v="0"/>
    <n v="20"/>
    <n v="520400"/>
    <n v="2380000"/>
    <n v="4.157640975473412"/>
  </r>
  <r>
    <n v="0"/>
    <n v="0"/>
    <n v="9"/>
    <n v="9"/>
    <s v="전략"/>
    <x v="32"/>
    <s v="ELH-바이칼-06"/>
    <s v="ELH-바이칼-06ELHCRF3905PK"/>
    <n v="6"/>
    <s v="ELH-바이칼-066"/>
    <s v="ELH-바이칼-066-ELHCRF3905PINKFRE"/>
    <s v="ELH의류외905"/>
    <s v="ELH"/>
    <s v="ELSCRF"/>
    <m/>
    <s v="ELH"/>
    <s v="ELS HATSON"/>
    <s v="F"/>
    <s v="3"/>
    <s v="CR"/>
    <s v="CARRIER (캐리어)"/>
    <s v="K"/>
    <n v="905"/>
    <n v="905"/>
    <s v="ELHCRF3905"/>
    <n v="1"/>
    <s v="ELSCRF0905PKFRE"/>
    <s v="PK"/>
    <s v="PINK"/>
    <s v="ELHCRF3905PK"/>
    <x v="1"/>
    <n v="1"/>
    <n v="0"/>
    <n v="1"/>
    <s v="FRE"/>
    <n v="30"/>
    <x v="11"/>
    <n v="6"/>
    <x v="6"/>
    <s v="M"/>
    <s v="CN"/>
    <x v="0"/>
    <n v="119000"/>
    <x v="29"/>
    <n v="27045.454545454544"/>
    <n v="26020"/>
    <n v="-1025.4545454545441"/>
    <n v="0"/>
    <n v="0"/>
    <s v=""/>
    <n v="0"/>
    <n v="0"/>
    <n v="26020"/>
    <d v="2014-09-02T00:00:00"/>
    <d v="1899-12-30T00:00:00"/>
    <d v="2014-09-05T00:00:00"/>
    <d v="1899-12-30T00:00:00"/>
    <d v="2014-09-02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780600"/>
    <n v="3570000"/>
    <n v="4.1576409754734112"/>
  </r>
  <r>
    <n v="0"/>
    <n v="0"/>
    <s v=""/>
    <s v=""/>
    <s v=""/>
    <x v="1"/>
    <s v=""/>
    <s v=""/>
    <n v="0"/>
    <s v="0"/>
    <s v="0-"/>
    <n v="0"/>
    <s v="TTL"/>
    <s v=""/>
    <s v="ELH-바이칼-06 TTL"/>
    <m/>
    <s v=""/>
    <s v=""/>
    <s v=""/>
    <m/>
    <s v=""/>
    <s v="K"/>
    <m/>
    <s v=""/>
    <s v=""/>
    <n v="6"/>
    <m/>
    <s v=""/>
    <m/>
    <s v=""/>
    <x v="0"/>
    <n v="6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70"/>
    <n v="0"/>
    <n v="0"/>
    <n v="0"/>
    <n v="0"/>
    <n v="0"/>
    <n v="170"/>
    <n v="3810000"/>
    <n v="17830000"/>
    <n v="4.2543545693151987"/>
  </r>
  <r>
    <n v="0"/>
    <n v="0"/>
    <n v="9"/>
    <n v="9"/>
    <s v="F-CAP"/>
    <x v="23"/>
    <s v="ELH-성진-15"/>
    <s v="ELH-성진-15ELHFIF3661BK"/>
    <n v="1"/>
    <s v="ELH-성진-151"/>
    <s v="ELH-성진-151-ELHFIF3661BLACKFRE"/>
    <s v="ELH의류외661"/>
    <s v="ELH"/>
    <s v="ELSFIE"/>
    <m/>
    <s v="ELH"/>
    <s v="ELS HATSON"/>
    <s v="F"/>
    <s v="3"/>
    <s v="FI"/>
    <s v="FITTED CAP"/>
    <s v="K"/>
    <n v="661"/>
    <n v="661"/>
    <s v="ELHFIF3661"/>
    <n v="1"/>
    <s v="ELSFIE3661BKFRE"/>
    <s v="BK"/>
    <s v="BLACK"/>
    <s v="ELHFIF3661BK"/>
    <x v="1"/>
    <n v="1"/>
    <n v="0"/>
    <n v="1"/>
    <s v="FRE"/>
    <n v="100"/>
    <x v="7"/>
    <n v="15"/>
    <x v="9"/>
    <s v="M"/>
    <s v="BG"/>
    <x v="0"/>
    <n v="43000"/>
    <x v="29"/>
    <n v="6515.151515151515"/>
    <n v="5390"/>
    <n v="-1125.151515151515"/>
    <n v="0"/>
    <n v="0"/>
    <s v=""/>
    <n v="0"/>
    <n v="0"/>
    <n v="5390"/>
    <d v="2014-09-02T00:00:00"/>
    <d v="1899-12-30T00:00:00"/>
    <d v="2014-09-05T00:00:00"/>
    <d v="1899-12-30T00:00:00"/>
    <d v="2014-09-02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539000"/>
    <n v="4300000"/>
    <n v="7.2524877719682914"/>
  </r>
  <r>
    <n v="0"/>
    <n v="0"/>
    <s v=""/>
    <s v=""/>
    <s v=""/>
    <x v="1"/>
    <s v=""/>
    <s v=""/>
    <n v="0"/>
    <s v="0"/>
    <s v="0-"/>
    <n v="0"/>
    <s v="TTL"/>
    <s v=""/>
    <s v="ELH-성진-15 TTL"/>
    <m/>
    <s v=""/>
    <s v=""/>
    <s v=""/>
    <m/>
    <s v=""/>
    <s v="K"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539000"/>
    <n v="4300000"/>
    <n v="7.2524877719682914"/>
  </r>
  <r>
    <n v="0"/>
    <n v="0"/>
    <n v="9"/>
    <n v="9"/>
    <s v="SPORTS"/>
    <x v="25"/>
    <s v="SMH-성진-16"/>
    <s v="SMH-성진-16SMHFIF3705BK"/>
    <n v="1"/>
    <s v="SMH-성진-161"/>
    <s v="SMH-성진-161-SMHFIF3705BLACKOSM"/>
    <s v="SMH의류외705"/>
    <s v="SMH"/>
    <s v="SMBFIF"/>
    <m/>
    <s v="SMH"/>
    <s v="SMB HATSON"/>
    <s v="F"/>
    <s v="3"/>
    <s v="FI"/>
    <s v="FITTED CAP"/>
    <s v="K"/>
    <n v="705"/>
    <n v="705"/>
    <s v="SMHFIF3705"/>
    <n v="1"/>
    <s v="SMBFIF3705BKOSM"/>
    <s v="BK"/>
    <s v="BLACK"/>
    <s v="SMHFIF3705BK"/>
    <x v="1"/>
    <n v="1"/>
    <n v="0"/>
    <n v="1"/>
    <s v="OSM"/>
    <n v="100"/>
    <x v="7"/>
    <n v="16"/>
    <x v="17"/>
    <s v="M"/>
    <s v="BG"/>
    <x v="0"/>
    <n v="43000"/>
    <x v="29"/>
    <n v="6515.151515151515"/>
    <n v="6064"/>
    <n v="-451.15151515151501"/>
    <n v="0"/>
    <n v="0"/>
    <s v=""/>
    <n v="0"/>
    <n v="0"/>
    <n v="6064"/>
    <d v="2014-09-02T00:00:00"/>
    <d v="1899-12-30T00:00:00"/>
    <d v="2014-09-05T00:00:00"/>
    <d v="1899-12-30T00:00:00"/>
    <d v="2014-09-02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606400"/>
    <n v="4300000"/>
    <n v="6.4463900215879111"/>
  </r>
  <r>
    <n v="0"/>
    <n v="0"/>
    <s v=""/>
    <s v=""/>
    <s v=""/>
    <x v="1"/>
    <s v=""/>
    <s v=""/>
    <n v="0"/>
    <s v="0"/>
    <s v="0-"/>
    <n v="0"/>
    <s v="TTL"/>
    <s v=""/>
    <s v="SMH-성진-16 TTL"/>
    <m/>
    <s v=""/>
    <s v=""/>
    <s v=""/>
    <m/>
    <s v=""/>
    <s v="K"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606400"/>
    <n v="4300000"/>
    <n v="6.4463900215879111"/>
  </r>
  <r>
    <n v="0"/>
    <n v="0"/>
    <n v="9"/>
    <n v="9"/>
    <s v="전략"/>
    <x v="30"/>
    <s v="ELH-대경-07"/>
    <s v="ELH-대경-07ELHHPF5804BK"/>
    <n v="1"/>
    <s v="ELH-대경-071"/>
    <s v="ELH-대경-071-ELHHPF5804BLACKOXS"/>
    <s v="ELH의류804"/>
    <s v="ELH"/>
    <s v="ELSHPE"/>
    <m/>
    <s v="ELH"/>
    <s v="ELS HATSON"/>
    <s v="F"/>
    <n v="5"/>
    <s v="HP"/>
    <s v="HOODED JUMPER"/>
    <s v="K"/>
    <n v="804"/>
    <n v="804"/>
    <s v="ELHHPF5804"/>
    <n v="0.33333333333333331"/>
    <s v="ELSHPE5804BKOXS"/>
    <s v="BK"/>
    <s v="BLACK"/>
    <s v="ELHHPF5804BK"/>
    <x v="1"/>
    <n v="0.33333333333333331"/>
    <n v="0"/>
    <n v="1"/>
    <s v="OXS"/>
    <n v="80"/>
    <x v="14"/>
    <n v="7"/>
    <x v="7"/>
    <s v="M"/>
    <s v="IN"/>
    <x v="0"/>
    <n v="129000"/>
    <x v="30"/>
    <n v="26060.60606060606"/>
    <n v="0"/>
    <n v="-26060.60606060606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80"/>
    <n v="0"/>
    <n v="0"/>
    <n v="0"/>
    <n v="0"/>
    <n v="0"/>
    <n v="80"/>
    <n v="2084848.4848484849"/>
    <n v="10320000"/>
    <n v="4.5"/>
  </r>
  <r>
    <n v="0"/>
    <n v="0"/>
    <n v="9"/>
    <n v="9"/>
    <s v="전략"/>
    <x v="30"/>
    <s v="ELH-대경-07"/>
    <s v="ELH-대경-07ELHHPF5804BK"/>
    <n v="1"/>
    <s v="ELH-대경-071"/>
    <s v="ELH-대경-071-ELHHPF5804BLACKOMM"/>
    <s v="ELH의류804"/>
    <s v="ELH"/>
    <s v="ELSHPE"/>
    <m/>
    <s v="ELH"/>
    <s v="ELS HATSON"/>
    <s v="F"/>
    <n v="5"/>
    <s v="HP"/>
    <s v="HOODED JUMPER"/>
    <s v="K"/>
    <n v="804"/>
    <n v="804"/>
    <s v="ELHHPF5804"/>
    <n v="0.33333333333333331"/>
    <s v="ELSHPE5804BKOMM"/>
    <s v="BK"/>
    <s v="BLACK"/>
    <s v="ELHHPF5804BK"/>
    <x v="1"/>
    <n v="0.33333333333333331"/>
    <n v="0"/>
    <n v="1"/>
    <s v="OMM"/>
    <n v="80"/>
    <x v="14"/>
    <n v="7"/>
    <x v="7"/>
    <s v="M"/>
    <s v="IN"/>
    <x v="0"/>
    <n v="129000"/>
    <x v="30"/>
    <n v="26060.60606060606"/>
    <n v="0"/>
    <n v="-26060.60606060606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80"/>
    <n v="0"/>
    <n v="0"/>
    <n v="0"/>
    <n v="0"/>
    <n v="0"/>
    <n v="80"/>
    <n v="2084848.4848484849"/>
    <n v="10320000"/>
    <n v="4.5"/>
  </r>
  <r>
    <n v="0"/>
    <n v="0"/>
    <n v="9"/>
    <n v="9"/>
    <s v="전략"/>
    <x v="30"/>
    <s v="ELH-대경-07"/>
    <s v="ELH-대경-07ELHHPF5804BK"/>
    <n v="1"/>
    <s v="ELH-대경-071"/>
    <s v="ELH-대경-071-ELHHPF5804BLACKOXL"/>
    <s v="ELH의류804"/>
    <s v="ELH"/>
    <s v="ELSHPE"/>
    <m/>
    <s v="ELH"/>
    <s v="ELS HATSON"/>
    <s v="F"/>
    <n v="5"/>
    <s v="HP"/>
    <s v="HOODED JUMPER"/>
    <s v="K"/>
    <n v="804"/>
    <n v="804"/>
    <s v="ELHHPF5804"/>
    <n v="0.33333333333333331"/>
    <s v="ELSHPE5804BKOXL"/>
    <s v="BK"/>
    <s v="BLACK"/>
    <s v="ELHHPF5804BK"/>
    <x v="1"/>
    <n v="0.33333333333333331"/>
    <n v="0"/>
    <n v="1"/>
    <s v="OXL"/>
    <n v="80"/>
    <x v="14"/>
    <n v="7"/>
    <x v="7"/>
    <s v="M"/>
    <s v="IN"/>
    <x v="0"/>
    <n v="129000"/>
    <x v="30"/>
    <n v="26060.60606060606"/>
    <n v="0"/>
    <n v="-26060.60606060606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80"/>
    <n v="0"/>
    <n v="0"/>
    <n v="0"/>
    <n v="0"/>
    <n v="0"/>
    <n v="80"/>
    <n v="2084848.4848484849"/>
    <n v="10320000"/>
    <n v="4.5"/>
  </r>
  <r>
    <n v="0"/>
    <n v="0"/>
    <n v="9"/>
    <n v="9"/>
    <s v="전략"/>
    <x v="30"/>
    <s v="ELH-대경-07"/>
    <s v="ELH-대경-07ELHHPF5823BK"/>
    <n v="2"/>
    <s v="ELH-대경-072"/>
    <s v="ELH-대경-072-ELHHPF5823BLACKOXS"/>
    <s v="ELH의류823"/>
    <s v="ELH"/>
    <s v="ELSHPE"/>
    <m/>
    <s v="ELH"/>
    <s v="ELS HATSON"/>
    <s v="F"/>
    <n v="5"/>
    <s v="HP"/>
    <s v="HOODED JUMPER"/>
    <s v="K"/>
    <n v="823"/>
    <n v="823"/>
    <s v="ELHHPF5823"/>
    <n v="0.25"/>
    <s v="ELSHPE5823BKOXS"/>
    <s v="BK"/>
    <s v="BLACK"/>
    <s v="ELHHPF5823BK"/>
    <x v="1"/>
    <n v="0.25"/>
    <n v="0"/>
    <n v="1"/>
    <s v="OXS"/>
    <n v="75"/>
    <x v="14"/>
    <n v="7"/>
    <x v="7"/>
    <s v="M"/>
    <s v="IN"/>
    <x v="0"/>
    <n v="119000"/>
    <x v="30"/>
    <n v="24040.404040404039"/>
    <n v="0"/>
    <n v="-24040.404040404039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75"/>
    <n v="0"/>
    <n v="0"/>
    <n v="0"/>
    <n v="0"/>
    <n v="0"/>
    <n v="75"/>
    <n v="1803030.303030303"/>
    <n v="8925000"/>
    <n v="4.5"/>
  </r>
  <r>
    <n v="0"/>
    <n v="0"/>
    <n v="9"/>
    <n v="9"/>
    <s v="전략"/>
    <x v="30"/>
    <s v="ELH-대경-07"/>
    <s v="ELH-대경-07ELHHPF5823BK"/>
    <n v="2"/>
    <s v="ELH-대경-072"/>
    <s v="ELH-대경-072-ELHHPF5823BLACKOSS"/>
    <s v="ELH의류823"/>
    <s v="ELH"/>
    <s v="ELSHPE"/>
    <m/>
    <s v="ELH"/>
    <s v="ELS HATSON"/>
    <s v="F"/>
    <n v="5"/>
    <s v="HP"/>
    <s v="HOODED JUMPER"/>
    <s v="K"/>
    <n v="823"/>
    <n v="823"/>
    <s v="ELHHPF5823"/>
    <n v="0.25"/>
    <s v="ELSHPE5823BKOSS"/>
    <s v="BK"/>
    <s v="BLACK"/>
    <s v="ELHHPF5823BK"/>
    <x v="1"/>
    <n v="0.25"/>
    <n v="0"/>
    <n v="1"/>
    <s v="OSS"/>
    <n v="100"/>
    <x v="14"/>
    <n v="7"/>
    <x v="7"/>
    <s v="M"/>
    <s v="IN"/>
    <x v="0"/>
    <n v="119000"/>
    <x v="30"/>
    <n v="24040.404040404039"/>
    <n v="0"/>
    <n v="-24040.404040404039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2404040.4040404037"/>
    <n v="11900000"/>
    <n v="4.5000000000000009"/>
  </r>
  <r>
    <n v="0"/>
    <n v="0"/>
    <n v="9"/>
    <n v="9"/>
    <s v="전략"/>
    <x v="30"/>
    <s v="ELH-대경-07"/>
    <s v="ELH-대경-07ELHHPF5823BK"/>
    <n v="2"/>
    <s v="ELH-대경-072"/>
    <s v="ELH-대경-072-ELHHPF5823BLACKOMM"/>
    <s v="ELH의류823"/>
    <s v="ELH"/>
    <s v="ELSHPE"/>
    <m/>
    <s v="ELH"/>
    <s v="ELS HATSON"/>
    <s v="F"/>
    <n v="5"/>
    <s v="HP"/>
    <s v="HOODED JUMPER"/>
    <s v="K"/>
    <n v="823"/>
    <n v="823"/>
    <s v="ELHHPF5823"/>
    <n v="0.25"/>
    <s v="ELSHPE5823BKOMM"/>
    <s v="BK"/>
    <s v="BLACK"/>
    <s v="ELHHPF5823BK"/>
    <x v="1"/>
    <n v="0.25"/>
    <n v="0"/>
    <n v="1"/>
    <s v="OMM"/>
    <n v="100"/>
    <x v="14"/>
    <n v="7"/>
    <x v="7"/>
    <s v="M"/>
    <s v="IN"/>
    <x v="0"/>
    <n v="119000"/>
    <x v="30"/>
    <n v="24040.404040404039"/>
    <n v="0"/>
    <n v="-24040.404040404039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2404040.4040404037"/>
    <n v="11900000"/>
    <n v="4.5000000000000009"/>
  </r>
  <r>
    <n v="0"/>
    <n v="0"/>
    <n v="9"/>
    <n v="9"/>
    <s v="전략"/>
    <x v="30"/>
    <s v="ELH-대경-07"/>
    <s v="ELH-대경-07ELHHPF5823BK"/>
    <n v="2"/>
    <s v="ELH-대경-072"/>
    <s v="ELH-대경-072-ELHHPF5823BLACKOXL"/>
    <s v="ELH의류823"/>
    <s v="ELH"/>
    <s v="ELSHPE"/>
    <m/>
    <s v="ELH"/>
    <s v="ELS HATSON"/>
    <s v="F"/>
    <n v="5"/>
    <s v="HP"/>
    <s v="HOODED JUMPER"/>
    <s v="K"/>
    <n v="823"/>
    <n v="823"/>
    <s v="ELHHPF5823"/>
    <n v="0.25"/>
    <s v="ELSHPE5823BKOXL"/>
    <s v="BK"/>
    <s v="BLACK"/>
    <s v="ELHHPF5823BK"/>
    <x v="1"/>
    <n v="0.25"/>
    <n v="0"/>
    <n v="1"/>
    <s v="OXL"/>
    <n v="100"/>
    <x v="14"/>
    <n v="7"/>
    <x v="7"/>
    <s v="M"/>
    <s v="IN"/>
    <x v="0"/>
    <n v="119000"/>
    <x v="30"/>
    <n v="24040.404040404039"/>
    <n v="0"/>
    <n v="-24040.404040404039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2404040.4040404037"/>
    <n v="11900000"/>
    <n v="4.5000000000000009"/>
  </r>
  <r>
    <n v="0"/>
    <n v="0"/>
    <n v="9"/>
    <n v="9"/>
    <s v="전략"/>
    <x v="30"/>
    <s v="ELH-대경-07"/>
    <s v="ELH-대경-07ELHJPF5801BU"/>
    <n v="3"/>
    <s v="ELH-대경-073"/>
    <s v="ELH-대경-073-ELHJPF5801BURGUNDYOXS"/>
    <s v="ELH의류801"/>
    <s v="ELH"/>
    <s v="ELSJPE"/>
    <m/>
    <s v="ELH"/>
    <s v="ELS HATSON"/>
    <s v="F"/>
    <n v="5"/>
    <s v="JP"/>
    <s v="JUMPER"/>
    <s v="K"/>
    <n v="801"/>
    <n v="801"/>
    <s v="ELHJPF5801"/>
    <n v="0.33333333333333331"/>
    <s v="ELSJPE5801BUOXS"/>
    <s v="BU"/>
    <s v="BURGUNDY"/>
    <s v="ELHJPF5801BU"/>
    <x v="1"/>
    <n v="0.33333333333333331"/>
    <n v="0"/>
    <n v="1"/>
    <s v="OXS"/>
    <n v="50"/>
    <x v="14"/>
    <n v="7"/>
    <x v="7"/>
    <s v="M"/>
    <s v="IN"/>
    <x v="0"/>
    <n v="169000"/>
    <x v="30"/>
    <n v="34141.414141414134"/>
    <n v="0"/>
    <n v="-34141.414141414134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707070.7070707066"/>
    <n v="8450000"/>
    <n v="4.5000000000000009"/>
  </r>
  <r>
    <n v="0"/>
    <n v="0"/>
    <n v="9"/>
    <n v="9"/>
    <s v="전략"/>
    <x v="30"/>
    <s v="ELH-대경-07"/>
    <s v="ELH-대경-07ELHJPF5801BU"/>
    <n v="3"/>
    <s v="ELH-대경-073"/>
    <s v="ELH-대경-073-ELHJPF5801BURGUNDYOMM"/>
    <s v="ELH의류801"/>
    <s v="ELH"/>
    <s v="ELSJPE"/>
    <m/>
    <s v="ELH"/>
    <s v="ELS HATSON"/>
    <s v="F"/>
    <n v="5"/>
    <s v="JP"/>
    <s v="JUMPER"/>
    <s v="K"/>
    <n v="801"/>
    <n v="801"/>
    <s v="ELHJPF5801"/>
    <n v="0.33333333333333331"/>
    <s v="ELSJPE5801BUOMM"/>
    <s v="BU"/>
    <s v="BURGUNDY"/>
    <s v="ELHJPF5801BU"/>
    <x v="1"/>
    <n v="0.33333333333333331"/>
    <n v="0"/>
    <n v="1"/>
    <s v="OMM"/>
    <n v="50"/>
    <x v="14"/>
    <n v="7"/>
    <x v="7"/>
    <s v="M"/>
    <s v="IN"/>
    <x v="0"/>
    <n v="169000"/>
    <x v="30"/>
    <n v="34141.414141414134"/>
    <n v="0"/>
    <n v="-34141.414141414134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707070.7070707066"/>
    <n v="8450000"/>
    <n v="4.5000000000000009"/>
  </r>
  <r>
    <n v="0"/>
    <n v="0"/>
    <n v="9"/>
    <n v="9"/>
    <s v="전략"/>
    <x v="30"/>
    <s v="ELH-대경-07"/>
    <s v="ELH-대경-07ELHJPF5801BU"/>
    <n v="3"/>
    <s v="ELH-대경-073"/>
    <s v="ELH-대경-073-ELHJPF5801BURGUNDYOXL"/>
    <s v="ELH의류801"/>
    <s v="ELH"/>
    <s v="ELSJPE"/>
    <m/>
    <s v="ELH"/>
    <s v="ELS HATSON"/>
    <s v="F"/>
    <n v="5"/>
    <s v="JP"/>
    <s v="JUMPER"/>
    <s v="K"/>
    <n v="801"/>
    <n v="801"/>
    <s v="ELHJPF5801"/>
    <n v="0.33333333333333331"/>
    <s v="ELSJPE5801BUOXL"/>
    <s v="BU"/>
    <s v="BURGUNDY"/>
    <s v="ELHJPF5801BU"/>
    <x v="1"/>
    <n v="0.33333333333333331"/>
    <n v="0"/>
    <n v="1"/>
    <s v="OXL"/>
    <n v="50"/>
    <x v="14"/>
    <n v="7"/>
    <x v="7"/>
    <s v="M"/>
    <s v="IN"/>
    <x v="0"/>
    <n v="169000"/>
    <x v="30"/>
    <n v="34141.414141414134"/>
    <n v="0"/>
    <n v="-34141.414141414134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707070.7070707066"/>
    <n v="8450000"/>
    <n v="4.5000000000000009"/>
  </r>
  <r>
    <n v="0"/>
    <n v="0"/>
    <n v="9"/>
    <n v="9"/>
    <s v="전략"/>
    <x v="30"/>
    <s v="ELH-대경-07"/>
    <s v="ELH-대경-07ELHJPF5826GR"/>
    <n v="4"/>
    <s v="ELH-대경-074"/>
    <s v="ELH-대경-074-ELHJPF5826GREENOXS"/>
    <s v="ELH의류826"/>
    <s v="ELH"/>
    <s v="ELSJPE"/>
    <m/>
    <s v="ELH"/>
    <s v="ELS HATSON"/>
    <s v="F"/>
    <n v="5"/>
    <s v="JP"/>
    <s v="JUMPER"/>
    <s v="K"/>
    <n v="826"/>
    <n v="826"/>
    <s v="ELHJPF5826"/>
    <n v="0.33333333333333331"/>
    <s v="ELSJPE5826GROXS"/>
    <s v="GR"/>
    <s v="GREEN"/>
    <s v="ELHJPF5826GR"/>
    <x v="1"/>
    <n v="0.33333333333333331"/>
    <n v="0"/>
    <n v="1"/>
    <s v="OXS"/>
    <n v="30"/>
    <x v="14"/>
    <n v="7"/>
    <x v="7"/>
    <s v="M"/>
    <s v="IN"/>
    <x v="0"/>
    <n v="169000"/>
    <x v="30"/>
    <n v="34141.414141414134"/>
    <n v="0"/>
    <n v="-34141.414141414134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1024242.4242424241"/>
    <n v="5070000"/>
    <n v="4.5000000000000009"/>
  </r>
  <r>
    <n v="0"/>
    <n v="0"/>
    <n v="9"/>
    <n v="9"/>
    <s v="전략"/>
    <x v="30"/>
    <s v="ELH-대경-07"/>
    <s v="ELH-대경-07ELHJPF5826GR"/>
    <n v="4"/>
    <s v="ELH-대경-074"/>
    <s v="ELH-대경-074-ELHJPF5826GREENOMM"/>
    <s v="ELH의류826"/>
    <s v="ELH"/>
    <s v="ELSJPE"/>
    <m/>
    <s v="ELH"/>
    <s v="ELS HATSON"/>
    <s v="F"/>
    <n v="5"/>
    <s v="JP"/>
    <s v="JUMPER"/>
    <s v="K"/>
    <n v="826"/>
    <n v="826"/>
    <s v="ELHJPF5826"/>
    <n v="0.33333333333333331"/>
    <s v="ELSJPE5826GROMM"/>
    <s v="GR"/>
    <s v="GREEN"/>
    <s v="ELHJPF5826GR"/>
    <x v="1"/>
    <n v="0.33333333333333331"/>
    <n v="0"/>
    <n v="1"/>
    <s v="OMM"/>
    <n v="30"/>
    <x v="14"/>
    <n v="7"/>
    <x v="7"/>
    <s v="M"/>
    <s v="IN"/>
    <x v="0"/>
    <n v="169000"/>
    <x v="30"/>
    <n v="34141.414141414134"/>
    <n v="0"/>
    <n v="-34141.414141414134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1024242.4242424241"/>
    <n v="5070000"/>
    <n v="4.5000000000000009"/>
  </r>
  <r>
    <n v="0"/>
    <n v="0"/>
    <n v="9"/>
    <n v="9"/>
    <s v="전략"/>
    <x v="30"/>
    <s v="ELH-대경-07"/>
    <s v="ELH-대경-07ELHJPF5826GR"/>
    <n v="4"/>
    <s v="ELH-대경-074"/>
    <s v="ELH-대경-074-ELHJPF5826GREENOXL"/>
    <s v="ELH의류826"/>
    <s v="ELH"/>
    <s v="ELSJPE"/>
    <m/>
    <s v="ELH"/>
    <s v="ELS HATSON"/>
    <s v="F"/>
    <n v="5"/>
    <s v="JP"/>
    <s v="JUMPER"/>
    <s v="K"/>
    <n v="826"/>
    <n v="826"/>
    <s v="ELHJPF5826"/>
    <n v="0.33333333333333331"/>
    <s v="ELSJPE5826GROXL"/>
    <s v="GR"/>
    <s v="GREEN"/>
    <s v="ELHJPF5826GR"/>
    <x v="1"/>
    <n v="0.33333333333333331"/>
    <n v="0"/>
    <n v="1"/>
    <s v="OXL"/>
    <n v="30"/>
    <x v="14"/>
    <n v="7"/>
    <x v="7"/>
    <s v="M"/>
    <s v="IN"/>
    <x v="0"/>
    <n v="169000"/>
    <x v="30"/>
    <n v="34141.414141414134"/>
    <n v="0"/>
    <n v="-34141.414141414134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1024242.4242424241"/>
    <n v="5070000"/>
    <n v="4.5000000000000009"/>
  </r>
  <r>
    <n v="0"/>
    <n v="0"/>
    <n v="9"/>
    <n v="9"/>
    <s v="전략"/>
    <x v="30"/>
    <s v="ELH-대경-07"/>
    <s v="ELH-대경-07ELHJSF5827BW"/>
    <n v="5"/>
    <s v="ELH-대경-075"/>
    <s v="ELH-대경-075-ELHJSF5827BROWNOXS"/>
    <s v="ELH의류827"/>
    <s v="ELH"/>
    <s v="ELSJSE"/>
    <m/>
    <s v="ELH"/>
    <s v="ELS HATSON"/>
    <s v="F"/>
    <n v="5"/>
    <s v="JS"/>
    <s v="JUMPSUIT"/>
    <s v="K"/>
    <n v="827"/>
    <n v="827"/>
    <s v="ELHJSF5827"/>
    <n v="0.33333333333333331"/>
    <s v="ELSJSE5827BWOXS"/>
    <s v="BW"/>
    <s v="BROWN"/>
    <s v="ELHJSF5827BW"/>
    <x v="1"/>
    <n v="0.33333333333333331"/>
    <n v="0"/>
    <n v="1"/>
    <s v="OXS"/>
    <n v="50"/>
    <x v="14"/>
    <n v="7"/>
    <x v="7"/>
    <s v="M"/>
    <s v="IN"/>
    <x v="0"/>
    <n v="139000"/>
    <x v="30"/>
    <n v="28080.808080808078"/>
    <n v="0"/>
    <n v="-28080.808080808078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404040.4040404039"/>
    <n v="6950000"/>
    <n v="4.5"/>
  </r>
  <r>
    <n v="0"/>
    <n v="0"/>
    <n v="9"/>
    <n v="9"/>
    <s v="전략"/>
    <x v="30"/>
    <s v="ELH-대경-07"/>
    <s v="ELH-대경-07ELHJSF5827BW"/>
    <n v="5"/>
    <s v="ELH-대경-075"/>
    <s v="ELH-대경-075-ELHJSF5827BROWNOMM"/>
    <s v="ELH의류827"/>
    <s v="ELH"/>
    <s v="ELSJSE"/>
    <m/>
    <s v="ELH"/>
    <s v="ELS HATSON"/>
    <s v="F"/>
    <n v="5"/>
    <s v="JS"/>
    <s v="JUMPSUIT"/>
    <s v="K"/>
    <n v="827"/>
    <n v="827"/>
    <s v="ELHJSF5827"/>
    <n v="0.33333333333333331"/>
    <s v="ELSJSE5827BWOMM"/>
    <s v="BW"/>
    <s v="BROWN"/>
    <s v="ELHJSF5827BW"/>
    <x v="1"/>
    <n v="0.33333333333333331"/>
    <n v="0"/>
    <n v="1"/>
    <s v="OMM"/>
    <n v="100"/>
    <x v="14"/>
    <n v="7"/>
    <x v="7"/>
    <s v="M"/>
    <s v="IN"/>
    <x v="0"/>
    <n v="139000"/>
    <x v="30"/>
    <n v="28080.808080808078"/>
    <n v="0"/>
    <n v="-28080.808080808078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2808080.8080808078"/>
    <n v="13900000"/>
    <n v="4.5"/>
  </r>
  <r>
    <n v="0"/>
    <n v="0"/>
    <n v="9"/>
    <n v="9"/>
    <s v="전략"/>
    <x v="30"/>
    <s v="ELH-대경-07"/>
    <s v="ELH-대경-07ELHJSF5827BW"/>
    <n v="5"/>
    <s v="ELH-대경-075"/>
    <s v="ELH-대경-075-ELHJSF5827BROWNOXL"/>
    <s v="ELH의류827"/>
    <s v="ELH"/>
    <s v="ELSJSE"/>
    <m/>
    <s v="ELH"/>
    <s v="ELS HATSON"/>
    <s v="F"/>
    <n v="5"/>
    <s v="JS"/>
    <s v="JUMPSUIT"/>
    <s v="K"/>
    <n v="827"/>
    <n v="827"/>
    <s v="ELHJSF5827"/>
    <n v="0.33333333333333331"/>
    <s v="ELSJSE5827BWOXL"/>
    <s v="BW"/>
    <s v="BROWN"/>
    <s v="ELHJSF5827BW"/>
    <x v="1"/>
    <n v="0.33333333333333331"/>
    <n v="0"/>
    <n v="1"/>
    <s v="OXL"/>
    <n v="50"/>
    <x v="14"/>
    <n v="7"/>
    <x v="7"/>
    <s v="M"/>
    <s v="IN"/>
    <x v="0"/>
    <n v="139000"/>
    <x v="30"/>
    <n v="28080.808080808078"/>
    <n v="0"/>
    <n v="-28080.808080808078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404040.4040404039"/>
    <n v="6950000"/>
    <n v="4.5"/>
  </r>
  <r>
    <n v="0"/>
    <n v="0"/>
    <n v="9"/>
    <n v="9"/>
    <s v="전략"/>
    <x v="30"/>
    <s v="ELH-대경-07"/>
    <s v="ELH-대경-07ELHTHF5806LI"/>
    <n v="6"/>
    <s v="ELH-대경-076"/>
    <s v="ELH-대경-076-ELHTHF5806LIMEOXS"/>
    <s v="ELH의류806"/>
    <s v="ELH"/>
    <s v="ELSTHE"/>
    <m/>
    <s v="ELH"/>
    <s v="ELS HATSON"/>
    <s v="F"/>
    <n v="5"/>
    <s v="TH"/>
    <s v="HOODED T-SHIRTS"/>
    <s v="K"/>
    <n v="806"/>
    <n v="806"/>
    <s v="ELHTHF5806"/>
    <n v="0.25"/>
    <s v="ELSTHE5806LIOXS"/>
    <s v="LI"/>
    <s v="LIME"/>
    <s v="ELHTHF5806LI"/>
    <x v="1"/>
    <n v="0.25"/>
    <n v="0"/>
    <n v="1"/>
    <s v="OXS"/>
    <n v="30"/>
    <x v="14"/>
    <n v="7"/>
    <x v="7"/>
    <s v="M"/>
    <s v="IN"/>
    <x v="0"/>
    <n v="89000"/>
    <x v="30"/>
    <n v="17979.797979797979"/>
    <n v="0"/>
    <n v="-17979.797979797979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539393.93939393933"/>
    <n v="2670000"/>
    <n v="4.5"/>
  </r>
  <r>
    <n v="0"/>
    <n v="0"/>
    <n v="9"/>
    <n v="9"/>
    <s v="전략"/>
    <x v="30"/>
    <s v="ELH-대경-07"/>
    <s v="ELH-대경-07ELHTHF5806LI"/>
    <n v="6"/>
    <s v="ELH-대경-076"/>
    <s v="ELH-대경-076-ELHTHF5806LIMEOSS"/>
    <s v="ELH의류806"/>
    <s v="ELH"/>
    <s v="ELSTHE"/>
    <m/>
    <s v="ELH"/>
    <s v="ELS HATSON"/>
    <s v="F"/>
    <n v="5"/>
    <s v="TH"/>
    <s v="HOODED T-SHIRTS"/>
    <s v="K"/>
    <n v="806"/>
    <n v="806"/>
    <s v="ELHTHF5806"/>
    <n v="0.25"/>
    <s v="ELSTHE5806LIOSS"/>
    <s v="LI"/>
    <s v="LIME"/>
    <s v="ELHTHF5806LI"/>
    <x v="1"/>
    <n v="0.25"/>
    <n v="0"/>
    <n v="1"/>
    <s v="OSS"/>
    <n v="30"/>
    <x v="14"/>
    <n v="7"/>
    <x v="7"/>
    <s v="M"/>
    <s v="IN"/>
    <x v="0"/>
    <n v="89000"/>
    <x v="30"/>
    <n v="17979.797979797979"/>
    <n v="0"/>
    <n v="-17979.797979797979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539393.93939393933"/>
    <n v="2670000"/>
    <n v="4.5"/>
  </r>
  <r>
    <n v="0"/>
    <n v="0"/>
    <n v="9"/>
    <n v="9"/>
    <s v="전략"/>
    <x v="30"/>
    <s v="ELH-대경-07"/>
    <s v="ELH-대경-07ELHTHF5806LI"/>
    <n v="6"/>
    <s v="ELH-대경-076"/>
    <s v="ELH-대경-076-ELHTHF5806LIMEOMM"/>
    <s v="ELH의류806"/>
    <s v="ELH"/>
    <s v="ELSTHE"/>
    <m/>
    <s v="ELH"/>
    <s v="ELS HATSON"/>
    <s v="F"/>
    <n v="5"/>
    <s v="TH"/>
    <s v="HOODED T-SHIRTS"/>
    <s v="K"/>
    <n v="806"/>
    <n v="806"/>
    <s v="ELHTHF5806"/>
    <n v="0.25"/>
    <s v="ELSTHE5806LIOMM"/>
    <s v="LI"/>
    <s v="LIME"/>
    <s v="ELHTHF5806LI"/>
    <x v="1"/>
    <n v="0.25"/>
    <n v="0"/>
    <n v="1"/>
    <s v="OMM"/>
    <n v="30"/>
    <x v="14"/>
    <n v="7"/>
    <x v="7"/>
    <s v="M"/>
    <s v="IN"/>
    <x v="0"/>
    <n v="89000"/>
    <x v="30"/>
    <n v="17979.797979797979"/>
    <n v="0"/>
    <n v="-17979.797979797979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539393.93939393933"/>
    <n v="2670000"/>
    <n v="4.5"/>
  </r>
  <r>
    <n v="0"/>
    <n v="0"/>
    <n v="9"/>
    <n v="9"/>
    <s v="전략"/>
    <x v="30"/>
    <s v="ELH-대경-07"/>
    <s v="ELH-대경-07ELHTHF5806LI"/>
    <n v="6"/>
    <s v="ELH-대경-076"/>
    <s v="ELH-대경-076-ELHTHF5806LIMEOXL"/>
    <s v="ELH의류806"/>
    <s v="ELH"/>
    <s v="ELSTHE"/>
    <m/>
    <s v="ELH"/>
    <s v="ELS HATSON"/>
    <s v="F"/>
    <n v="5"/>
    <s v="TH"/>
    <s v="HOODED T-SHIRTS"/>
    <s v="K"/>
    <n v="806"/>
    <n v="806"/>
    <s v="ELHTHF5806"/>
    <n v="0.25"/>
    <s v="ELSTHE5806LIOXL"/>
    <s v="LI"/>
    <s v="LIME"/>
    <s v="ELHTHF5806LI"/>
    <x v="1"/>
    <n v="0.25"/>
    <n v="0"/>
    <n v="1"/>
    <s v="OXL"/>
    <n v="30"/>
    <x v="14"/>
    <n v="7"/>
    <x v="7"/>
    <s v="M"/>
    <s v="IN"/>
    <x v="0"/>
    <n v="89000"/>
    <x v="30"/>
    <n v="17979.797979797979"/>
    <n v="0"/>
    <n v="-17979.797979797979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539393.93939393933"/>
    <n v="2670000"/>
    <n v="4.5"/>
  </r>
  <r>
    <n v="0"/>
    <n v="0"/>
    <n v="9"/>
    <n v="9"/>
    <s v="전략"/>
    <x v="30"/>
    <s v="ELH-대경-07"/>
    <s v="ELH-대경-07ELHTHF5806MT"/>
    <n v="7"/>
    <s v="ELH-대경-077"/>
    <s v="ELH-대경-077-ELHTHF5806MINTOXS"/>
    <s v="ELH의류806"/>
    <s v="ELH"/>
    <s v="ELSTHE"/>
    <m/>
    <s v="ELH"/>
    <s v="ELS HATSON"/>
    <s v="F"/>
    <n v="5"/>
    <s v="TH"/>
    <s v="HOODED T-SHIRTS"/>
    <s v="K"/>
    <n v="806"/>
    <n v="806"/>
    <s v="ELHTHF5806"/>
    <n v="0.25"/>
    <s v="ELSTHE5806MTOXS"/>
    <s v="MT"/>
    <s v="MINT"/>
    <s v="ELHTHF5806MT"/>
    <x v="1"/>
    <n v="0.25"/>
    <n v="0"/>
    <n v="1"/>
    <s v="OXS"/>
    <n v="80"/>
    <x v="14"/>
    <n v="7"/>
    <x v="7"/>
    <s v="M"/>
    <s v="IN"/>
    <x v="0"/>
    <n v="89000"/>
    <x v="30"/>
    <n v="17979.797979797979"/>
    <n v="0"/>
    <n v="-17979.797979797979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80"/>
    <n v="0"/>
    <n v="0"/>
    <n v="0"/>
    <n v="0"/>
    <n v="0"/>
    <n v="80"/>
    <n v="1438383.8383838383"/>
    <n v="7120000"/>
    <n v="4.5"/>
  </r>
  <r>
    <n v="0"/>
    <n v="0"/>
    <n v="9"/>
    <n v="9"/>
    <s v="전략"/>
    <x v="30"/>
    <s v="ELH-대경-07"/>
    <s v="ELH-대경-07ELHTHF5806MT"/>
    <n v="7"/>
    <s v="ELH-대경-077"/>
    <s v="ELH-대경-077-ELHTHF5806MINTOSS"/>
    <s v="ELH의류806"/>
    <s v="ELH"/>
    <s v="ELSTHE"/>
    <m/>
    <s v="ELH"/>
    <s v="ELS HATSON"/>
    <s v="F"/>
    <n v="5"/>
    <s v="TH"/>
    <s v="HOODED T-SHIRTS"/>
    <s v="K"/>
    <n v="806"/>
    <n v="806"/>
    <s v="ELHTHF5806"/>
    <n v="0.25"/>
    <s v="ELSTHE5806MTOSS"/>
    <s v="MT"/>
    <s v="MINT"/>
    <s v="ELHTHF5806MT"/>
    <x v="1"/>
    <n v="0.25"/>
    <n v="0"/>
    <n v="1"/>
    <s v="OSS"/>
    <n v="80"/>
    <x v="14"/>
    <n v="7"/>
    <x v="7"/>
    <s v="M"/>
    <s v="IN"/>
    <x v="0"/>
    <n v="89000"/>
    <x v="30"/>
    <n v="17979.797979797979"/>
    <n v="0"/>
    <n v="-17979.797979797979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80"/>
    <n v="0"/>
    <n v="0"/>
    <n v="0"/>
    <n v="0"/>
    <n v="0"/>
    <n v="80"/>
    <n v="1438383.8383838383"/>
    <n v="7120000"/>
    <n v="4.5"/>
  </r>
  <r>
    <n v="0"/>
    <n v="0"/>
    <n v="9"/>
    <n v="9"/>
    <s v="전략"/>
    <x v="30"/>
    <s v="ELH-대경-07"/>
    <s v="ELH-대경-07ELHTHF5806MT"/>
    <n v="7"/>
    <s v="ELH-대경-077"/>
    <s v="ELH-대경-077-ELHTHF5806MINTOMM"/>
    <s v="ELH의류806"/>
    <s v="ELH"/>
    <s v="ELSTHE"/>
    <m/>
    <s v="ELH"/>
    <s v="ELS HATSON"/>
    <s v="F"/>
    <n v="5"/>
    <s v="TH"/>
    <s v="HOODED T-SHIRTS"/>
    <s v="K"/>
    <n v="806"/>
    <n v="806"/>
    <s v="ELHTHF5806"/>
    <n v="0.25"/>
    <s v="ELSTHE5806MTOMM"/>
    <s v="MT"/>
    <s v="MINT"/>
    <s v="ELHTHF5806MT"/>
    <x v="1"/>
    <n v="0.25"/>
    <n v="0"/>
    <n v="1"/>
    <s v="OMM"/>
    <n v="17"/>
    <x v="14"/>
    <n v="7"/>
    <x v="7"/>
    <s v="M"/>
    <s v="IN"/>
    <x v="0"/>
    <n v="89000"/>
    <x v="30"/>
    <n v="17979.797979797979"/>
    <n v="0"/>
    <n v="-17979.797979797979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17"/>
    <n v="0"/>
    <n v="0"/>
    <n v="0"/>
    <n v="0"/>
    <n v="0"/>
    <n v="17"/>
    <n v="305656.56565656565"/>
    <n v="1513000"/>
    <n v="4.5"/>
  </r>
  <r>
    <n v="0"/>
    <n v="0"/>
    <n v="9"/>
    <n v="9"/>
    <s v="전략"/>
    <x v="30"/>
    <s v="ELH-대경-07"/>
    <s v="ELH-대경-07ELHTHF5806MT"/>
    <n v="7"/>
    <s v="ELH-대경-077"/>
    <s v="ELH-대경-077-ELHTHF5806MINTOXL"/>
    <s v="ELH의류806"/>
    <s v="ELH"/>
    <s v="ELSTHE"/>
    <m/>
    <s v="ELH"/>
    <s v="ELS HATSON"/>
    <s v="F"/>
    <n v="5"/>
    <s v="TH"/>
    <s v="HOODED T-SHIRTS"/>
    <s v="K"/>
    <n v="806"/>
    <n v="806"/>
    <s v="ELHTHF5806"/>
    <n v="0.25"/>
    <s v="ELSTHE5806MTOXL"/>
    <s v="MT"/>
    <s v="MINT"/>
    <s v="ELHTHF5806MT"/>
    <x v="1"/>
    <n v="0.25"/>
    <n v="0"/>
    <n v="1"/>
    <s v="OXL"/>
    <n v="8"/>
    <x v="14"/>
    <n v="7"/>
    <x v="7"/>
    <s v="M"/>
    <s v="IN"/>
    <x v="0"/>
    <n v="89000"/>
    <x v="30"/>
    <n v="17979.797979797979"/>
    <n v="0"/>
    <n v="-17979.797979797979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8"/>
    <n v="0"/>
    <n v="0"/>
    <n v="0"/>
    <n v="0"/>
    <n v="0"/>
    <n v="8"/>
    <n v="143838.38383838383"/>
    <n v="712000"/>
    <n v="4.5"/>
  </r>
  <r>
    <n v="0"/>
    <n v="0"/>
    <n v="9"/>
    <n v="9"/>
    <s v="전략"/>
    <x v="30"/>
    <s v="ELH-대경-07"/>
    <s v="ELH-대경-07ELHTHF5815BW"/>
    <n v="8"/>
    <s v="ELH-대경-078"/>
    <s v="ELH-대경-078-ELHTHF5815BROWNOXS"/>
    <s v="ELH의류815"/>
    <s v="ELH"/>
    <s v="ELSTHE"/>
    <m/>
    <s v="ELH"/>
    <s v="ELS HATSON"/>
    <s v="F"/>
    <n v="5"/>
    <s v="TH"/>
    <s v="HOODED T-SHIRTS"/>
    <s v="K"/>
    <n v="815"/>
    <n v="815"/>
    <s v="ELHTHF5815"/>
    <n v="0.25"/>
    <s v="ELSTHE5815BWOXS"/>
    <s v="BW"/>
    <s v="BROWN"/>
    <s v="ELHTHF5815BW"/>
    <x v="1"/>
    <n v="0.25"/>
    <n v="0"/>
    <n v="1"/>
    <s v="OXS"/>
    <n v="70"/>
    <x v="14"/>
    <n v="7"/>
    <x v="7"/>
    <s v="M"/>
    <s v="IN"/>
    <x v="0"/>
    <n v="89000"/>
    <x v="30"/>
    <n v="17979.797979797979"/>
    <n v="0"/>
    <n v="-17979.797979797979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70"/>
    <n v="0"/>
    <n v="0"/>
    <n v="0"/>
    <n v="0"/>
    <n v="0"/>
    <n v="70"/>
    <n v="1258585.8585858585"/>
    <n v="6230000"/>
    <n v="4.5"/>
  </r>
  <r>
    <n v="0"/>
    <n v="0"/>
    <n v="9"/>
    <n v="9"/>
    <s v="전략"/>
    <x v="30"/>
    <s v="ELH-대경-07"/>
    <s v="ELH-대경-07ELHTHF5815BW"/>
    <n v="8"/>
    <s v="ELH-대경-078"/>
    <s v="ELH-대경-078-ELHTHF5815BROWNOSS"/>
    <s v="ELH의류815"/>
    <s v="ELH"/>
    <s v="ELSTHE"/>
    <m/>
    <s v="ELH"/>
    <s v="ELS HATSON"/>
    <s v="F"/>
    <n v="5"/>
    <s v="TH"/>
    <s v="HOODED T-SHIRTS"/>
    <s v="K"/>
    <n v="815"/>
    <n v="815"/>
    <s v="ELHTHF5815"/>
    <n v="0.25"/>
    <s v="ELSTHE5815BWOSS"/>
    <s v="BW"/>
    <s v="BROWN"/>
    <s v="ELHTHF5815BW"/>
    <x v="1"/>
    <n v="0.25"/>
    <n v="0"/>
    <n v="1"/>
    <s v="OSS"/>
    <n v="100"/>
    <x v="14"/>
    <n v="7"/>
    <x v="7"/>
    <s v="M"/>
    <s v="IN"/>
    <x v="0"/>
    <n v="89000"/>
    <x v="30"/>
    <n v="17979.797979797979"/>
    <n v="0"/>
    <n v="-17979.797979797979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797979.7979797979"/>
    <n v="8900000"/>
    <n v="4.4999999999999991"/>
  </r>
  <r>
    <n v="0"/>
    <n v="0"/>
    <n v="9"/>
    <n v="9"/>
    <s v="전략"/>
    <x v="30"/>
    <s v="ELH-대경-07"/>
    <s v="ELH-대경-07ELHTHF5815BW"/>
    <n v="8"/>
    <s v="ELH-대경-078"/>
    <s v="ELH-대경-078-ELHTHF5815BROWNOMM"/>
    <s v="ELH의류815"/>
    <s v="ELH"/>
    <s v="ELSTHE"/>
    <m/>
    <s v="ELH"/>
    <s v="ELS HATSON"/>
    <s v="F"/>
    <n v="5"/>
    <s v="TH"/>
    <s v="HOODED T-SHIRTS"/>
    <s v="K"/>
    <n v="815"/>
    <n v="815"/>
    <s v="ELHTHF5815"/>
    <n v="0.25"/>
    <s v="ELSTHE5815BWOMM"/>
    <s v="BW"/>
    <s v="BROWN"/>
    <s v="ELHTHF5815BW"/>
    <x v="1"/>
    <n v="0.25"/>
    <n v="0"/>
    <n v="1"/>
    <s v="OMM"/>
    <n v="100"/>
    <x v="14"/>
    <n v="7"/>
    <x v="7"/>
    <s v="M"/>
    <s v="IN"/>
    <x v="0"/>
    <n v="89000"/>
    <x v="30"/>
    <n v="17979.797979797979"/>
    <n v="0"/>
    <n v="-17979.797979797979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797979.7979797979"/>
    <n v="8900000"/>
    <n v="4.4999999999999991"/>
  </r>
  <r>
    <n v="0"/>
    <n v="0"/>
    <n v="9"/>
    <n v="9"/>
    <s v="전략"/>
    <x v="30"/>
    <s v="ELH-대경-07"/>
    <s v="ELH-대경-07ELHTHF5815BW"/>
    <n v="8"/>
    <s v="ELH-대경-078"/>
    <s v="ELH-대경-078-ELHTHF5815BROWNOXL"/>
    <s v="ELH의류815"/>
    <s v="ELH"/>
    <s v="ELSTHE"/>
    <m/>
    <s v="ELH"/>
    <s v="ELS HATSON"/>
    <s v="F"/>
    <n v="5"/>
    <s v="TH"/>
    <s v="HOODED T-SHIRTS"/>
    <s v="K"/>
    <n v="815"/>
    <n v="815"/>
    <s v="ELHTHF5815"/>
    <n v="0.25"/>
    <s v="ELSTHE5815BWOXL"/>
    <s v="BW"/>
    <s v="BROWN"/>
    <s v="ELHTHF5815BW"/>
    <x v="1"/>
    <n v="0.25"/>
    <n v="0"/>
    <n v="1"/>
    <s v="OXL"/>
    <n v="70"/>
    <x v="14"/>
    <n v="7"/>
    <x v="7"/>
    <s v="M"/>
    <s v="IN"/>
    <x v="0"/>
    <n v="89000"/>
    <x v="30"/>
    <n v="17979.797979797979"/>
    <n v="0"/>
    <n v="-17979.797979797979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70"/>
    <n v="0"/>
    <n v="0"/>
    <n v="0"/>
    <n v="0"/>
    <n v="0"/>
    <n v="70"/>
    <n v="1258585.8585858585"/>
    <n v="6230000"/>
    <n v="4.5"/>
  </r>
  <r>
    <n v="0"/>
    <n v="0"/>
    <s v=""/>
    <s v=""/>
    <s v=""/>
    <x v="1"/>
    <s v=""/>
    <s v=""/>
    <n v="0"/>
    <s v="0"/>
    <s v="0-"/>
    <n v="0"/>
    <s v="TTL"/>
    <s v=""/>
    <s v="ELH-대경-07 TTL"/>
    <m/>
    <s v=""/>
    <s v=""/>
    <s v=""/>
    <s v=""/>
    <s v=""/>
    <s v="K"/>
    <s v=""/>
    <s v=""/>
    <s v=""/>
    <n v="8"/>
    <m/>
    <s v=""/>
    <m/>
    <s v=""/>
    <x v="0"/>
    <n v="8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700"/>
    <n v="0"/>
    <n v="0"/>
    <n v="0"/>
    <n v="0"/>
    <n v="0"/>
    <n v="1700"/>
    <n v="40676767.676767662"/>
    <n v="201350000"/>
    <n v="4.5000000000000009"/>
  </r>
  <r>
    <n v="0"/>
    <n v="0"/>
    <n v="9"/>
    <n v="9"/>
    <s v="전략"/>
    <x v="31"/>
    <s v="PLH-대경-08"/>
    <s v="PLH-대경-08PLHJPF5806BK"/>
    <n v="1"/>
    <s v="PLH-대경-081"/>
    <s v="PLH-대경-081-PLHJPF5806BLACKOXS"/>
    <s v="PLH의류806"/>
    <s v="PLH"/>
    <s v="PLAJPE"/>
    <m/>
    <s v="PLH"/>
    <s v="PLA HATSON"/>
    <s v="F"/>
    <n v="5"/>
    <s v="JP"/>
    <s v="JUMPER"/>
    <s v="K"/>
    <n v="806"/>
    <n v="806"/>
    <s v="PLHJPF5806"/>
    <n v="0.33333333333333331"/>
    <s v="PLAJPE5806BKOXS"/>
    <s v="BK"/>
    <s v="BLACK"/>
    <s v="PLHJPF5806BK"/>
    <x v="1"/>
    <n v="0.33333333333333331"/>
    <n v="0"/>
    <n v="1"/>
    <s v="OXS"/>
    <n v="30"/>
    <x v="14"/>
    <n v="8"/>
    <x v="15"/>
    <s v="M"/>
    <s v="IN"/>
    <x v="0"/>
    <n v="179000"/>
    <x v="30"/>
    <n v="36161.616161616155"/>
    <n v="0"/>
    <n v="-36161.616161616155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1084848.4848484846"/>
    <n v="5370000"/>
    <n v="4.5"/>
  </r>
  <r>
    <n v="0"/>
    <n v="0"/>
    <n v="9"/>
    <n v="9"/>
    <s v="전략"/>
    <x v="31"/>
    <s v="PLH-대경-08"/>
    <s v="PLH-대경-08PLHJPF5806BK"/>
    <n v="1"/>
    <s v="PLH-대경-081"/>
    <s v="PLH-대경-081-PLHJPF5806BLACKOMM"/>
    <s v="PLH의류806"/>
    <s v="PLH"/>
    <s v="PLAJPE"/>
    <m/>
    <s v="PLH"/>
    <s v="PLA HATSON"/>
    <s v="F"/>
    <n v="5"/>
    <s v="JP"/>
    <s v="JUMPER"/>
    <s v="K"/>
    <n v="806"/>
    <n v="806"/>
    <s v="PLHJPF5806"/>
    <n v="0.33333333333333331"/>
    <s v="PLAJPE5806BKOMM"/>
    <s v="BK"/>
    <s v="BLACK"/>
    <s v="PLHJPF5806BK"/>
    <x v="1"/>
    <n v="0.33333333333333331"/>
    <n v="0"/>
    <n v="1"/>
    <s v="OMM"/>
    <n v="30"/>
    <x v="14"/>
    <n v="8"/>
    <x v="15"/>
    <s v="M"/>
    <s v="IN"/>
    <x v="0"/>
    <n v="179000"/>
    <x v="30"/>
    <n v="36161.616161616155"/>
    <n v="0"/>
    <n v="-36161.616161616155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1084848.4848484846"/>
    <n v="5370000"/>
    <n v="4.5"/>
  </r>
  <r>
    <n v="0"/>
    <n v="0"/>
    <n v="9"/>
    <n v="9"/>
    <s v="전략"/>
    <x v="31"/>
    <s v="PLH-대경-08"/>
    <s v="PLH-대경-08PLHJPF5806BK"/>
    <n v="1"/>
    <s v="PLH-대경-081"/>
    <s v="PLH-대경-081-PLHJPF5806BLACKOXL"/>
    <s v="PLH의류806"/>
    <s v="PLH"/>
    <s v="PLAJPE"/>
    <m/>
    <s v="PLH"/>
    <s v="PLA HATSON"/>
    <s v="F"/>
    <n v="5"/>
    <s v="JP"/>
    <s v="JUMPER"/>
    <s v="K"/>
    <n v="806"/>
    <n v="806"/>
    <s v="PLHJPF5806"/>
    <n v="0.33333333333333331"/>
    <s v="PLAJPE5806BKOXL"/>
    <s v="BK"/>
    <s v="BLACK"/>
    <s v="PLHJPF5806BK"/>
    <x v="1"/>
    <n v="0.33333333333333331"/>
    <n v="0"/>
    <n v="1"/>
    <s v="OXL"/>
    <n v="30"/>
    <x v="14"/>
    <n v="8"/>
    <x v="15"/>
    <s v="M"/>
    <s v="IN"/>
    <x v="0"/>
    <n v="179000"/>
    <x v="30"/>
    <n v="36161.616161616155"/>
    <n v="0"/>
    <n v="-36161.616161616155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1084848.4848484846"/>
    <n v="5370000"/>
    <n v="4.5"/>
  </r>
  <r>
    <n v="0"/>
    <n v="0"/>
    <n v="9"/>
    <n v="9"/>
    <s v="전략"/>
    <x v="31"/>
    <s v="PLH-대경-08"/>
    <s v="PLH-대경-08PLHTLF5801BK"/>
    <n v="2"/>
    <s v="PLH-대경-082"/>
    <s v="PLH-대경-082-PLHTLF5801BLACKOXS"/>
    <s v="PLH의류801"/>
    <s v="PLH"/>
    <s v="PLATLE"/>
    <m/>
    <s v="PLH"/>
    <s v="PLA HATSON"/>
    <s v="F"/>
    <n v="5"/>
    <s v="TL"/>
    <s v="LONG SLEEVES"/>
    <s v="K"/>
    <n v="801"/>
    <n v="801"/>
    <s v="PLHTLF5801"/>
    <n v="0.25"/>
    <s v="PLATLE5801BKOXS"/>
    <s v="BK"/>
    <s v="BLACK"/>
    <s v="PLHTLF5801BK"/>
    <x v="1"/>
    <n v="0.25"/>
    <n v="0"/>
    <n v="1"/>
    <s v="OXS"/>
    <n v="50"/>
    <x v="14"/>
    <n v="8"/>
    <x v="15"/>
    <s v="M"/>
    <s v="IN"/>
    <x v="0"/>
    <n v="89000"/>
    <x v="30"/>
    <n v="17979.797979797979"/>
    <n v="0"/>
    <n v="-17979.797979797979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898989.89898989897"/>
    <n v="4450000"/>
    <n v="4.4999999999999991"/>
  </r>
  <r>
    <n v="0"/>
    <n v="0"/>
    <n v="9"/>
    <n v="9"/>
    <s v="전략"/>
    <x v="31"/>
    <s v="PLH-대경-08"/>
    <s v="PLH-대경-08PLHTLF5801BK"/>
    <n v="2"/>
    <s v="PLH-대경-082"/>
    <s v="PLH-대경-082-PLHTLF5801BLACKOSS"/>
    <s v="PLH의류801"/>
    <s v="PLH"/>
    <s v="PLATLE"/>
    <m/>
    <s v="PLH"/>
    <s v="PLA HATSON"/>
    <s v="F"/>
    <n v="5"/>
    <s v="TL"/>
    <s v="LONG SLEEVES"/>
    <s v="K"/>
    <n v="801"/>
    <n v="801"/>
    <s v="PLHTLF5801"/>
    <n v="0.25"/>
    <s v="PLATLE5801BKOSS"/>
    <s v="BK"/>
    <s v="BLACK"/>
    <s v="PLHTLF5801BK"/>
    <x v="1"/>
    <n v="0.25"/>
    <n v="0"/>
    <n v="1"/>
    <s v="OSS"/>
    <n v="50"/>
    <x v="14"/>
    <n v="8"/>
    <x v="15"/>
    <s v="M"/>
    <s v="IN"/>
    <x v="0"/>
    <n v="89000"/>
    <x v="30"/>
    <n v="17979.797979797979"/>
    <n v="0"/>
    <n v="-17979.797979797979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898989.89898989897"/>
    <n v="4450000"/>
    <n v="4.4999999999999991"/>
  </r>
  <r>
    <n v="0"/>
    <n v="0"/>
    <n v="9"/>
    <n v="9"/>
    <s v="전략"/>
    <x v="31"/>
    <s v="PLH-대경-08"/>
    <s v="PLH-대경-08PLHTLF5801BK"/>
    <n v="2"/>
    <s v="PLH-대경-082"/>
    <s v="PLH-대경-082-PLHTLF5801BLACKOMM"/>
    <s v="PLH의류801"/>
    <s v="PLH"/>
    <s v="PLATLE"/>
    <m/>
    <s v="PLH"/>
    <s v="PLA HATSON"/>
    <s v="F"/>
    <n v="5"/>
    <s v="TL"/>
    <s v="LONG SLEEVES"/>
    <s v="K"/>
    <n v="801"/>
    <n v="801"/>
    <s v="PLHTLF5801"/>
    <n v="0.25"/>
    <s v="PLATLE5801BKOMM"/>
    <s v="BK"/>
    <s v="BLACK"/>
    <s v="PLHTLF5801BK"/>
    <x v="1"/>
    <n v="0.25"/>
    <n v="0"/>
    <n v="1"/>
    <s v="OMM"/>
    <n v="50"/>
    <x v="14"/>
    <n v="8"/>
    <x v="15"/>
    <s v="M"/>
    <s v="IN"/>
    <x v="0"/>
    <n v="89000"/>
    <x v="30"/>
    <n v="17979.797979797979"/>
    <n v="0"/>
    <n v="-17979.797979797979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898989.89898989897"/>
    <n v="4450000"/>
    <n v="4.4999999999999991"/>
  </r>
  <r>
    <n v="0"/>
    <n v="0"/>
    <n v="9"/>
    <n v="9"/>
    <s v="전략"/>
    <x v="31"/>
    <s v="PLH-대경-08"/>
    <s v="PLH-대경-08PLHTLF5801BK"/>
    <n v="2"/>
    <s v="PLH-대경-082"/>
    <s v="PLH-대경-082-PLHTLF5801BLACKOXL"/>
    <s v="PLH의류801"/>
    <s v="PLH"/>
    <s v="PLATLE"/>
    <m/>
    <s v="PLH"/>
    <s v="PLA HATSON"/>
    <s v="F"/>
    <n v="5"/>
    <s v="TL"/>
    <s v="LONG SLEEVES"/>
    <s v="K"/>
    <n v="801"/>
    <n v="801"/>
    <s v="PLHTLF5801"/>
    <n v="0.25"/>
    <s v="PLATLE5801BKOXL"/>
    <s v="BK"/>
    <s v="BLACK"/>
    <s v="PLHTLF5801BK"/>
    <x v="1"/>
    <n v="0.25"/>
    <n v="0"/>
    <n v="1"/>
    <s v="OXL"/>
    <n v="50"/>
    <x v="14"/>
    <n v="8"/>
    <x v="15"/>
    <s v="M"/>
    <s v="IN"/>
    <x v="0"/>
    <n v="89000"/>
    <x v="30"/>
    <n v="17979.797979797979"/>
    <n v="0"/>
    <n v="-17979.797979797979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898989.89898989897"/>
    <n v="4450000"/>
    <n v="4.4999999999999991"/>
  </r>
  <r>
    <n v="0"/>
    <n v="0"/>
    <n v="9"/>
    <n v="9"/>
    <s v="전략"/>
    <x v="31"/>
    <s v="PLH-대경-08"/>
    <s v="PLH-대경-08PLHTLF5802BK"/>
    <n v="3"/>
    <s v="PLH-대경-083"/>
    <s v="PLH-대경-083-PLHTLF5802BLACKOXS"/>
    <s v="PLH의류802"/>
    <s v="PLH"/>
    <s v="PLATLE"/>
    <m/>
    <s v="PLH"/>
    <s v="PLA HATSON"/>
    <s v="F"/>
    <n v="5"/>
    <s v="TL"/>
    <s v="LONG SLEEVES"/>
    <s v="K"/>
    <n v="802"/>
    <n v="802"/>
    <s v="PLHTLF5802"/>
    <n v="0.25"/>
    <s v="PLATLE5802BKOXS"/>
    <s v="BK"/>
    <s v="BLACK"/>
    <s v="PLHTLF5802BK"/>
    <x v="1"/>
    <n v="0.25"/>
    <n v="0"/>
    <n v="1"/>
    <s v="OXS"/>
    <n v="50"/>
    <x v="14"/>
    <n v="8"/>
    <x v="15"/>
    <s v="M"/>
    <s v="IN"/>
    <x v="0"/>
    <n v="79000"/>
    <x v="30"/>
    <n v="15959.595959595958"/>
    <n v="0"/>
    <n v="-15959.595959595958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797979.79797979794"/>
    <n v="3950000"/>
    <n v="4.5"/>
  </r>
  <r>
    <n v="0"/>
    <n v="0"/>
    <n v="9"/>
    <n v="9"/>
    <s v="전략"/>
    <x v="31"/>
    <s v="PLH-대경-08"/>
    <s v="PLH-대경-08PLHTLF5802BK"/>
    <n v="3"/>
    <s v="PLH-대경-083"/>
    <s v="PLH-대경-083-PLHTLF5802BLACKOSS"/>
    <s v="PLH의류802"/>
    <s v="PLH"/>
    <s v="PLATLE"/>
    <m/>
    <s v="PLH"/>
    <s v="PLA HATSON"/>
    <s v="F"/>
    <n v="5"/>
    <s v="TL"/>
    <s v="LONG SLEEVES"/>
    <s v="K"/>
    <n v="802"/>
    <n v="802"/>
    <s v="PLHTLF5802"/>
    <n v="0.25"/>
    <s v="PLATLE5802BKOSS"/>
    <s v="BK"/>
    <s v="BLACK"/>
    <s v="PLHTLF5802BK"/>
    <x v="1"/>
    <n v="0.25"/>
    <n v="0"/>
    <n v="1"/>
    <s v="OSS"/>
    <n v="50"/>
    <x v="14"/>
    <n v="8"/>
    <x v="15"/>
    <s v="M"/>
    <s v="IN"/>
    <x v="0"/>
    <n v="79000"/>
    <x v="30"/>
    <n v="15959.595959595958"/>
    <n v="0"/>
    <n v="-15959.595959595958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797979.79797979794"/>
    <n v="3950000"/>
    <n v="4.5"/>
  </r>
  <r>
    <n v="0"/>
    <n v="0"/>
    <n v="9"/>
    <n v="9"/>
    <s v="전략"/>
    <x v="31"/>
    <s v="PLH-대경-08"/>
    <s v="PLH-대경-08PLHTLF5802BK"/>
    <n v="3"/>
    <s v="PLH-대경-083"/>
    <s v="PLH-대경-083-PLHTLF5802BLACKOMM"/>
    <s v="PLH의류802"/>
    <s v="PLH"/>
    <s v="PLATLE"/>
    <m/>
    <s v="PLH"/>
    <s v="PLA HATSON"/>
    <s v="F"/>
    <n v="5"/>
    <s v="TL"/>
    <s v="LONG SLEEVES"/>
    <s v="K"/>
    <n v="802"/>
    <n v="802"/>
    <s v="PLHTLF5802"/>
    <n v="0.25"/>
    <s v="PLATLE5802BKOMM"/>
    <s v="BK"/>
    <s v="BLACK"/>
    <s v="PLHTLF5802BK"/>
    <x v="1"/>
    <n v="0.25"/>
    <n v="0"/>
    <n v="1"/>
    <s v="OMM"/>
    <n v="50"/>
    <x v="14"/>
    <n v="8"/>
    <x v="15"/>
    <s v="M"/>
    <s v="IN"/>
    <x v="0"/>
    <n v="79000"/>
    <x v="30"/>
    <n v="15959.595959595958"/>
    <n v="0"/>
    <n v="-15959.595959595958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797979.79797979794"/>
    <n v="3950000"/>
    <n v="4.5"/>
  </r>
  <r>
    <n v="0"/>
    <n v="0"/>
    <n v="9"/>
    <n v="9"/>
    <s v="전략"/>
    <x v="31"/>
    <s v="PLH-대경-08"/>
    <s v="PLH-대경-08PLHTLF5802BK"/>
    <n v="3"/>
    <s v="PLH-대경-083"/>
    <s v="PLH-대경-083-PLHTLF5802BLACKOXL"/>
    <s v="PLH의류802"/>
    <s v="PLH"/>
    <s v="PLATLE"/>
    <m/>
    <s v="PLH"/>
    <s v="PLA HATSON"/>
    <s v="F"/>
    <n v="5"/>
    <s v="TL"/>
    <s v="LONG SLEEVES"/>
    <s v="K"/>
    <n v="802"/>
    <n v="802"/>
    <s v="PLHTLF5802"/>
    <n v="0.25"/>
    <s v="PLATLE5802BKOXL"/>
    <s v="BK"/>
    <s v="BLACK"/>
    <s v="PLHTLF5802BK"/>
    <x v="1"/>
    <n v="0.25"/>
    <n v="0"/>
    <n v="1"/>
    <s v="OXL"/>
    <n v="50"/>
    <x v="14"/>
    <n v="8"/>
    <x v="15"/>
    <s v="M"/>
    <s v="IN"/>
    <x v="0"/>
    <n v="79000"/>
    <x v="30"/>
    <n v="15959.595959595958"/>
    <n v="0"/>
    <n v="-15959.595959595958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797979.79797979794"/>
    <n v="3950000"/>
    <n v="4.5"/>
  </r>
  <r>
    <n v="0"/>
    <n v="0"/>
    <s v=""/>
    <s v=""/>
    <s v=""/>
    <x v="1"/>
    <s v=""/>
    <s v=""/>
    <n v="0"/>
    <s v="0"/>
    <s v="0-"/>
    <n v="0"/>
    <s v="TTL"/>
    <s v=""/>
    <s v="PLH-대경-08 TTL"/>
    <m/>
    <s v=""/>
    <s v=""/>
    <s v=""/>
    <s v=""/>
    <s v=""/>
    <s v="K"/>
    <s v=""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490"/>
    <n v="0"/>
    <n v="0"/>
    <n v="0"/>
    <n v="0"/>
    <n v="0"/>
    <n v="490"/>
    <n v="10042424.242424242"/>
    <n v="49710000"/>
    <n v="4.4999999999999991"/>
  </r>
  <r>
    <n v="0"/>
    <n v="0"/>
    <n v="9"/>
    <n v="9"/>
    <s v="전략"/>
    <x v="30"/>
    <s v="ELH-써니-01"/>
    <s v="ELH-써니-01ELHHPF5821BW"/>
    <n v="1"/>
    <s v="ELH-써니-011"/>
    <s v="ELH-써니-011-ELHHPF5821BROWNOXS"/>
    <s v="ELH의류821"/>
    <s v="ELH"/>
    <s v="ELSHPE"/>
    <m/>
    <s v="ELH"/>
    <s v="ELS HATSON"/>
    <s v="F"/>
    <n v="5"/>
    <s v="HP"/>
    <s v="HOODED JUMPER"/>
    <s v="K"/>
    <n v="821"/>
    <n v="821"/>
    <s v="ELHHPF5821"/>
    <n v="0.25"/>
    <s v="ELSHPE5821BWOXS"/>
    <s v="BW"/>
    <s v="BROWN"/>
    <s v="ELHHPF5821BW"/>
    <x v="1"/>
    <n v="0.25"/>
    <n v="0"/>
    <n v="1"/>
    <s v="OXS"/>
    <n v="30"/>
    <x v="17"/>
    <n v="1"/>
    <x v="0"/>
    <s v="M"/>
    <s v="CN"/>
    <x v="0"/>
    <n v="119000"/>
    <x v="30"/>
    <n v="21636.363636363636"/>
    <n v="0"/>
    <n v="-21636.363636363636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649090.90909090906"/>
    <n v="3570000"/>
    <n v="5"/>
  </r>
  <r>
    <n v="0"/>
    <n v="0"/>
    <n v="9"/>
    <n v="9"/>
    <s v="전략"/>
    <x v="30"/>
    <s v="ELH-써니-01"/>
    <s v="ELH-써니-01ELHHPF5821BW"/>
    <n v="1"/>
    <s v="ELH-써니-011"/>
    <s v="ELH-써니-011-ELHHPF5821BROWNOSS"/>
    <s v="ELH의류821"/>
    <s v="ELH"/>
    <s v="ELSHPE"/>
    <m/>
    <s v="ELH"/>
    <s v="ELS HATSON"/>
    <s v="F"/>
    <n v="5"/>
    <s v="HP"/>
    <s v="HOODED JUMPER"/>
    <s v="K"/>
    <n v="821"/>
    <n v="821"/>
    <s v="ELHHPF5821"/>
    <n v="0.25"/>
    <s v="ELSHPE5821BWOSS"/>
    <s v="BW"/>
    <s v="BROWN"/>
    <s v="ELHHPF5821BW"/>
    <x v="1"/>
    <n v="0.25"/>
    <n v="0"/>
    <n v="1"/>
    <s v="OSS"/>
    <n v="30"/>
    <x v="17"/>
    <n v="1"/>
    <x v="0"/>
    <s v="M"/>
    <s v="CN"/>
    <x v="0"/>
    <n v="119000"/>
    <x v="30"/>
    <n v="21636.363636363636"/>
    <n v="0"/>
    <n v="-21636.363636363636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649090.90909090906"/>
    <n v="3570000"/>
    <n v="5"/>
  </r>
  <r>
    <n v="0"/>
    <n v="0"/>
    <n v="9"/>
    <n v="9"/>
    <s v="전략"/>
    <x v="30"/>
    <s v="ELH-써니-01"/>
    <s v="ELH-써니-01ELHHPF5821BW"/>
    <n v="1"/>
    <s v="ELH-써니-011"/>
    <s v="ELH-써니-011-ELHHPF5821BROWNOMM"/>
    <s v="ELH의류821"/>
    <s v="ELH"/>
    <s v="ELSHPE"/>
    <m/>
    <s v="ELH"/>
    <s v="ELS HATSON"/>
    <s v="F"/>
    <n v="5"/>
    <s v="HP"/>
    <s v="HOODED JUMPER"/>
    <s v="K"/>
    <n v="821"/>
    <n v="821"/>
    <s v="ELHHPF5821"/>
    <n v="0.25"/>
    <s v="ELSHPE5821BWOMM"/>
    <s v="BW"/>
    <s v="BROWN"/>
    <s v="ELHHPF5821BW"/>
    <x v="1"/>
    <n v="0.25"/>
    <n v="0"/>
    <n v="1"/>
    <s v="OMM"/>
    <n v="30"/>
    <x v="17"/>
    <n v="1"/>
    <x v="0"/>
    <s v="M"/>
    <s v="CN"/>
    <x v="0"/>
    <n v="119000"/>
    <x v="30"/>
    <n v="21636.363636363636"/>
    <n v="0"/>
    <n v="-21636.363636363636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2"/>
    <n v="0"/>
    <n v="0"/>
    <n v="0"/>
    <n v="0"/>
    <n v="0"/>
    <n v="30"/>
    <n v="649090.90909090906"/>
    <n v="3570000"/>
    <n v="5"/>
  </r>
  <r>
    <n v="0"/>
    <n v="0"/>
    <n v="9"/>
    <n v="9"/>
    <s v="전략"/>
    <x v="30"/>
    <s v="ELH-써니-01"/>
    <s v="ELH-써니-01ELHHPF5821BW"/>
    <n v="1"/>
    <s v="ELH-써니-011"/>
    <s v="ELH-써니-011-ELHHPF5821BROWNOXL"/>
    <s v="ELH의류821"/>
    <s v="ELH"/>
    <s v="ELSHPE"/>
    <m/>
    <s v="ELH"/>
    <s v="ELS HATSON"/>
    <s v="F"/>
    <n v="5"/>
    <s v="HP"/>
    <s v="HOODED JUMPER"/>
    <s v="K"/>
    <n v="821"/>
    <n v="821"/>
    <s v="ELHHPF5821"/>
    <n v="0.25"/>
    <s v="ELSHPE5821BWOXL"/>
    <s v="BW"/>
    <s v="BROWN"/>
    <s v="ELHHPF5821BW"/>
    <x v="1"/>
    <n v="0.25"/>
    <n v="0"/>
    <n v="1"/>
    <s v="OXL"/>
    <n v="30"/>
    <x v="17"/>
    <n v="1"/>
    <x v="0"/>
    <s v="M"/>
    <s v="CN"/>
    <x v="0"/>
    <n v="119000"/>
    <x v="30"/>
    <n v="21636.363636363636"/>
    <n v="0"/>
    <n v="-21636.363636363636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649090.90909090906"/>
    <n v="3570000"/>
    <n v="5"/>
  </r>
  <r>
    <n v="0"/>
    <n v="0"/>
    <n v="9"/>
    <n v="9"/>
    <s v="전략"/>
    <x v="30"/>
    <s v="ELH-써니-01"/>
    <s v="ELH-써니-01ELHHPF5822RE"/>
    <n v="2"/>
    <s v="ELH-써니-012"/>
    <s v="ELH-써니-012-ELHHPF5822REDOXS"/>
    <s v="ELH의류822"/>
    <s v="ELH"/>
    <s v="ELSHPE"/>
    <m/>
    <s v="ELH"/>
    <s v="ELS HATSON"/>
    <s v="F"/>
    <n v="5"/>
    <s v="HP"/>
    <s v="HOODED JUMPER"/>
    <s v="K"/>
    <n v="822"/>
    <n v="822"/>
    <s v="ELHHPF5822"/>
    <n v="0.25"/>
    <s v="ELSHPE5822REOXS"/>
    <s v="RE"/>
    <s v="RED"/>
    <s v="ELHHPF5822RE"/>
    <x v="1"/>
    <n v="0.25"/>
    <n v="0"/>
    <n v="1"/>
    <s v="OXS"/>
    <n v="30"/>
    <x v="17"/>
    <n v="1"/>
    <x v="0"/>
    <s v="M"/>
    <s v="CN"/>
    <x v="0"/>
    <n v="119000"/>
    <x v="30"/>
    <n v="21636.363636363636"/>
    <n v="0"/>
    <n v="-21636.363636363636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1"/>
    <n v="0"/>
    <n v="0"/>
    <n v="0"/>
    <n v="0"/>
    <n v="0"/>
    <n v="30"/>
    <n v="649090.90909090906"/>
    <n v="3570000"/>
    <n v="5"/>
  </r>
  <r>
    <n v="0"/>
    <n v="0"/>
    <n v="9"/>
    <n v="9"/>
    <s v="전략"/>
    <x v="30"/>
    <s v="ELH-써니-01"/>
    <s v="ELH-써니-01ELHHPF5822RE"/>
    <n v="2"/>
    <s v="ELH-써니-012"/>
    <s v="ELH-써니-012-ELHHPF5822REDOSS"/>
    <s v="ELH의류822"/>
    <s v="ELH"/>
    <s v="ELSHPE"/>
    <m/>
    <s v="ELH"/>
    <s v="ELS HATSON"/>
    <s v="F"/>
    <n v="5"/>
    <s v="HP"/>
    <s v="HOODED JUMPER"/>
    <s v="K"/>
    <n v="822"/>
    <n v="822"/>
    <s v="ELHHPF5822"/>
    <n v="0.25"/>
    <s v="ELSHPE5822REOSS"/>
    <s v="RE"/>
    <s v="RED"/>
    <s v="ELHHPF5822RE"/>
    <x v="1"/>
    <n v="0.25"/>
    <n v="0"/>
    <n v="1"/>
    <s v="OSS"/>
    <n v="30"/>
    <x v="17"/>
    <n v="1"/>
    <x v="0"/>
    <s v="M"/>
    <s v="CN"/>
    <x v="0"/>
    <n v="119000"/>
    <x v="30"/>
    <n v="21636.363636363636"/>
    <n v="0"/>
    <n v="-21636.363636363636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649090.90909090906"/>
    <n v="3570000"/>
    <n v="5"/>
  </r>
  <r>
    <n v="0"/>
    <n v="0"/>
    <n v="9"/>
    <n v="9"/>
    <s v="전략"/>
    <x v="30"/>
    <s v="ELH-써니-01"/>
    <s v="ELH-써니-01ELHHPF5822RE"/>
    <n v="2"/>
    <s v="ELH-써니-012"/>
    <s v="ELH-써니-012-ELHHPF5822REDOMM"/>
    <s v="ELH의류822"/>
    <s v="ELH"/>
    <s v="ELSHPE"/>
    <m/>
    <s v="ELH"/>
    <s v="ELS HATSON"/>
    <s v="F"/>
    <n v="5"/>
    <s v="HP"/>
    <s v="HOODED JUMPER"/>
    <s v="K"/>
    <n v="822"/>
    <n v="822"/>
    <s v="ELHHPF5822"/>
    <n v="0.25"/>
    <s v="ELSHPE5822REOMM"/>
    <s v="RE"/>
    <s v="RED"/>
    <s v="ELHHPF5822RE"/>
    <x v="1"/>
    <n v="0.25"/>
    <n v="0"/>
    <n v="1"/>
    <s v="OMM"/>
    <n v="30"/>
    <x v="17"/>
    <n v="1"/>
    <x v="0"/>
    <s v="M"/>
    <s v="CN"/>
    <x v="0"/>
    <n v="119000"/>
    <x v="30"/>
    <n v="21636.363636363636"/>
    <n v="0"/>
    <n v="-21636.363636363636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649090.90909090906"/>
    <n v="3570000"/>
    <n v="5"/>
  </r>
  <r>
    <n v="0"/>
    <n v="0"/>
    <n v="9"/>
    <n v="9"/>
    <s v="전략"/>
    <x v="30"/>
    <s v="ELH-써니-01"/>
    <s v="ELH-써니-01ELHHPF5822RE"/>
    <n v="2"/>
    <s v="ELH-써니-012"/>
    <s v="ELH-써니-012-ELHHPF5822REDOXL"/>
    <s v="ELH의류822"/>
    <s v="ELH"/>
    <s v="ELSHPE"/>
    <m/>
    <s v="ELH"/>
    <s v="ELS HATSON"/>
    <s v="F"/>
    <n v="5"/>
    <s v="HP"/>
    <s v="HOODED JUMPER"/>
    <s v="K"/>
    <n v="822"/>
    <n v="822"/>
    <s v="ELHHPF5822"/>
    <n v="0.25"/>
    <s v="ELSHPE5822REOXL"/>
    <s v="RE"/>
    <s v="RED"/>
    <s v="ELHHPF5822RE"/>
    <x v="1"/>
    <n v="0.25"/>
    <n v="0"/>
    <n v="1"/>
    <s v="OXL"/>
    <n v="30"/>
    <x v="17"/>
    <n v="1"/>
    <x v="0"/>
    <s v="M"/>
    <s v="CN"/>
    <x v="0"/>
    <n v="119000"/>
    <x v="30"/>
    <n v="21636.363636363636"/>
    <n v="0"/>
    <n v="-21636.363636363636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649090.90909090906"/>
    <n v="3570000"/>
    <n v="5"/>
  </r>
  <r>
    <n v="0"/>
    <n v="0"/>
    <n v="9"/>
    <n v="9"/>
    <s v="전략"/>
    <x v="30"/>
    <s v="ELH-써니-01"/>
    <s v="ELH-써니-01ELHTLF5810BL"/>
    <n v="3"/>
    <s v="ELH-써니-013"/>
    <s v="ELH-써니-013-ELHTLF5810BLUEOXS"/>
    <s v="ELH의류810"/>
    <s v="ELH"/>
    <s v="ELSTLE"/>
    <m/>
    <s v="ELH"/>
    <s v="ELS HATSON"/>
    <s v="F"/>
    <n v="5"/>
    <s v="TL"/>
    <s v="LONG SLEEVES"/>
    <s v="K"/>
    <n v="810"/>
    <n v="810"/>
    <s v="ELHTLF5810"/>
    <n v="0.25"/>
    <s v="ELSTLE5810BLOXS"/>
    <s v="BL"/>
    <s v="BLUE"/>
    <s v="ELHTLF5810BL"/>
    <x v="1"/>
    <n v="0.25"/>
    <n v="0"/>
    <n v="1"/>
    <s v="OXS"/>
    <n v="30"/>
    <x v="17"/>
    <n v="1"/>
    <x v="0"/>
    <s v="M"/>
    <s v="CN"/>
    <x v="0"/>
    <n v="79000"/>
    <x v="30"/>
    <n v="14363.636363636362"/>
    <n v="0"/>
    <n v="-14363.636363636362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430909.09090909088"/>
    <n v="2370000"/>
    <n v="5"/>
  </r>
  <r>
    <n v="0"/>
    <n v="0"/>
    <n v="9"/>
    <n v="9"/>
    <s v="전략"/>
    <x v="30"/>
    <s v="ELH-써니-01"/>
    <s v="ELH-써니-01ELHTLF5810BL"/>
    <n v="3"/>
    <s v="ELH-써니-013"/>
    <s v="ELH-써니-013-ELHTLF5810BLUEOSS"/>
    <s v="ELH의류810"/>
    <s v="ELH"/>
    <s v="ELSTLE"/>
    <m/>
    <s v="ELH"/>
    <s v="ELS HATSON"/>
    <s v="F"/>
    <n v="5"/>
    <s v="TL"/>
    <s v="LONG SLEEVES"/>
    <s v="K"/>
    <n v="810"/>
    <n v="810"/>
    <s v="ELHTLF5810"/>
    <n v="0.25"/>
    <s v="ELSTLE5810BLOSS"/>
    <s v="BL"/>
    <s v="BLUE"/>
    <s v="ELHTLF5810BL"/>
    <x v="1"/>
    <n v="0.25"/>
    <n v="0"/>
    <n v="1"/>
    <s v="OSS"/>
    <n v="50"/>
    <x v="17"/>
    <n v="1"/>
    <x v="0"/>
    <s v="M"/>
    <s v="CN"/>
    <x v="0"/>
    <n v="79000"/>
    <x v="30"/>
    <n v="14363.636363636362"/>
    <n v="0"/>
    <n v="-14363.636363636362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718181.81818181812"/>
    <n v="3950000"/>
    <n v="5"/>
  </r>
  <r>
    <n v="0"/>
    <n v="0"/>
    <n v="9"/>
    <n v="9"/>
    <s v="전략"/>
    <x v="30"/>
    <s v="ELH-써니-01"/>
    <s v="ELH-써니-01ELHTLF5810BL"/>
    <n v="3"/>
    <s v="ELH-써니-013"/>
    <s v="ELH-써니-013-ELHTLF5810BLUEOMM"/>
    <s v="ELH의류810"/>
    <s v="ELH"/>
    <s v="ELSTLE"/>
    <m/>
    <s v="ELH"/>
    <s v="ELS HATSON"/>
    <s v="F"/>
    <n v="5"/>
    <s v="TL"/>
    <s v="LONG SLEEVES"/>
    <s v="K"/>
    <n v="810"/>
    <n v="810"/>
    <s v="ELHTLF5810"/>
    <n v="0.25"/>
    <s v="ELSTLE5810BLOMM"/>
    <s v="BL"/>
    <s v="BLUE"/>
    <s v="ELHTLF5810BL"/>
    <x v="1"/>
    <n v="0.25"/>
    <n v="0"/>
    <n v="1"/>
    <s v="OMM"/>
    <n v="50"/>
    <x v="17"/>
    <n v="1"/>
    <x v="0"/>
    <s v="M"/>
    <s v="CN"/>
    <x v="0"/>
    <n v="79000"/>
    <x v="30"/>
    <n v="14363.636363636362"/>
    <n v="0"/>
    <n v="-14363.636363636362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718181.81818181812"/>
    <n v="3950000"/>
    <n v="5"/>
  </r>
  <r>
    <n v="0"/>
    <n v="0"/>
    <n v="9"/>
    <n v="9"/>
    <s v="전략"/>
    <x v="30"/>
    <s v="ELH-써니-01"/>
    <s v="ELH-써니-01ELHTLF5810BL"/>
    <n v="3"/>
    <s v="ELH-써니-013"/>
    <s v="ELH-써니-013-ELHTLF5810BLUEOXL"/>
    <s v="ELH의류810"/>
    <s v="ELH"/>
    <s v="ELSTLE"/>
    <m/>
    <s v="ELH"/>
    <s v="ELS HATSON"/>
    <s v="F"/>
    <n v="5"/>
    <s v="TL"/>
    <s v="LONG SLEEVES"/>
    <s v="K"/>
    <n v="810"/>
    <n v="810"/>
    <s v="ELHTLF5810"/>
    <n v="0.25"/>
    <s v="ELSTLE5810BLOXL"/>
    <s v="BL"/>
    <s v="BLUE"/>
    <s v="ELHTLF5810BL"/>
    <x v="1"/>
    <n v="0.25"/>
    <n v="0"/>
    <n v="1"/>
    <s v="OXL"/>
    <n v="50"/>
    <x v="17"/>
    <n v="1"/>
    <x v="0"/>
    <s v="M"/>
    <s v="CN"/>
    <x v="0"/>
    <n v="79000"/>
    <x v="30"/>
    <n v="14363.636363636362"/>
    <n v="0"/>
    <n v="-14363.636363636362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718181.81818181812"/>
    <n v="3950000"/>
    <n v="5"/>
  </r>
  <r>
    <n v="0"/>
    <n v="0"/>
    <n v="9"/>
    <n v="9"/>
    <s v="전략"/>
    <x v="30"/>
    <s v="ELH-써니-01"/>
    <s v="ELH-써니-01ELHTLF5810RE"/>
    <n v="4"/>
    <s v="ELH-써니-014"/>
    <s v="ELH-써니-014-ELHTLF5810REDOXS"/>
    <s v="ELH의류810"/>
    <s v="ELH"/>
    <s v="ELSTLE"/>
    <m/>
    <s v="ELH"/>
    <s v="ELS HATSON"/>
    <s v="F"/>
    <n v="5"/>
    <s v="TL"/>
    <s v="LONG SLEEVES"/>
    <s v="K"/>
    <n v="810"/>
    <n v="810"/>
    <s v="ELHTLF5810"/>
    <n v="0.25"/>
    <s v="ELSTLE5810REOXS"/>
    <s v="RE"/>
    <s v="RED"/>
    <s v="ELHTLF5810RE"/>
    <x v="1"/>
    <n v="0.25"/>
    <n v="0"/>
    <n v="1"/>
    <s v="OXS"/>
    <n v="50"/>
    <x v="17"/>
    <n v="1"/>
    <x v="0"/>
    <s v="M"/>
    <s v="CN"/>
    <x v="0"/>
    <n v="79000"/>
    <x v="30"/>
    <n v="14363.636363636362"/>
    <n v="0"/>
    <n v="-14363.636363636362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718181.81818181812"/>
    <n v="3950000"/>
    <n v="5"/>
  </r>
  <r>
    <n v="0"/>
    <n v="0"/>
    <n v="9"/>
    <n v="9"/>
    <s v="전략"/>
    <x v="30"/>
    <s v="ELH-써니-01"/>
    <s v="ELH-써니-01ELHTLF5810RE"/>
    <n v="4"/>
    <s v="ELH-써니-014"/>
    <s v="ELH-써니-014-ELHTLF5810REDOSS"/>
    <s v="ELH의류810"/>
    <s v="ELH"/>
    <s v="ELSTLE"/>
    <m/>
    <s v="ELH"/>
    <s v="ELS HATSON"/>
    <s v="F"/>
    <n v="5"/>
    <s v="TL"/>
    <s v="LONG SLEEVES"/>
    <s v="K"/>
    <n v="810"/>
    <n v="810"/>
    <s v="ELHTLF5810"/>
    <n v="0.25"/>
    <s v="ELSTLE5810REOSS"/>
    <s v="RE"/>
    <s v="RED"/>
    <s v="ELHTLF5810RE"/>
    <x v="1"/>
    <n v="0.25"/>
    <n v="0"/>
    <n v="1"/>
    <s v="OSS"/>
    <n v="50"/>
    <x v="17"/>
    <n v="1"/>
    <x v="0"/>
    <s v="M"/>
    <s v="CN"/>
    <x v="0"/>
    <n v="79000"/>
    <x v="30"/>
    <n v="14363.636363636362"/>
    <n v="0"/>
    <n v="-14363.636363636362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718181.81818181812"/>
    <n v="3950000"/>
    <n v="5"/>
  </r>
  <r>
    <n v="0"/>
    <n v="0"/>
    <n v="9"/>
    <n v="9"/>
    <s v="전략"/>
    <x v="30"/>
    <s v="ELH-써니-01"/>
    <s v="ELH-써니-01ELHTLF5810RE"/>
    <n v="4"/>
    <s v="ELH-써니-014"/>
    <s v="ELH-써니-014-ELHTLF5810REDOMM"/>
    <s v="ELH의류810"/>
    <s v="ELH"/>
    <s v="ELSTLE"/>
    <m/>
    <s v="ELH"/>
    <s v="ELS HATSON"/>
    <s v="F"/>
    <n v="5"/>
    <s v="TL"/>
    <s v="LONG SLEEVES"/>
    <s v="K"/>
    <n v="810"/>
    <n v="810"/>
    <s v="ELHTLF5810"/>
    <n v="0.25"/>
    <s v="ELSTLE5810REOMM"/>
    <s v="RE"/>
    <s v="RED"/>
    <s v="ELHTLF5810RE"/>
    <x v="1"/>
    <n v="0.25"/>
    <n v="0"/>
    <n v="1"/>
    <s v="OMM"/>
    <n v="80"/>
    <x v="17"/>
    <n v="1"/>
    <x v="0"/>
    <s v="M"/>
    <s v="CN"/>
    <x v="0"/>
    <n v="79000"/>
    <x v="30"/>
    <n v="14363.636363636362"/>
    <n v="0"/>
    <n v="-14363.636363636362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80"/>
    <n v="0"/>
    <n v="0"/>
    <n v="0"/>
    <n v="0"/>
    <n v="0"/>
    <n v="80"/>
    <n v="1149090.9090909089"/>
    <n v="6320000"/>
    <n v="5"/>
  </r>
  <r>
    <n v="0"/>
    <n v="0"/>
    <n v="9"/>
    <n v="9"/>
    <s v="전략"/>
    <x v="30"/>
    <s v="ELH-써니-01"/>
    <s v="ELH-써니-01ELHTLF5810RE"/>
    <n v="4"/>
    <s v="ELH-써니-014"/>
    <s v="ELH-써니-014-ELHTLF5810REDOXL"/>
    <s v="ELH의류810"/>
    <s v="ELH"/>
    <s v="ELSTLE"/>
    <m/>
    <s v="ELH"/>
    <s v="ELS HATSON"/>
    <s v="F"/>
    <n v="5"/>
    <s v="TL"/>
    <s v="LONG SLEEVES"/>
    <s v="K"/>
    <n v="810"/>
    <n v="810"/>
    <s v="ELHTLF5810"/>
    <n v="0.25"/>
    <s v="ELSTLE5810REOXL"/>
    <s v="RE"/>
    <s v="RED"/>
    <s v="ELHTLF5810RE"/>
    <x v="1"/>
    <n v="0.25"/>
    <n v="0"/>
    <n v="1"/>
    <s v="OXL"/>
    <n v="80"/>
    <x v="17"/>
    <n v="1"/>
    <x v="0"/>
    <s v="M"/>
    <s v="CN"/>
    <x v="0"/>
    <n v="79000"/>
    <x v="30"/>
    <n v="14363.636363636362"/>
    <n v="0"/>
    <n v="-14363.636363636362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80"/>
    <n v="0"/>
    <n v="0"/>
    <n v="0"/>
    <n v="0"/>
    <n v="0"/>
    <n v="80"/>
    <n v="1149090.9090909089"/>
    <n v="6320000"/>
    <n v="5"/>
  </r>
  <r>
    <n v="0"/>
    <n v="0"/>
    <s v=""/>
    <s v=""/>
    <s v=""/>
    <x v="1"/>
    <s v=""/>
    <s v=""/>
    <n v="0"/>
    <s v="0"/>
    <s v="0-"/>
    <n v="0"/>
    <s v="TTL"/>
    <s v=""/>
    <s v="ELH-써니-01 TTL"/>
    <m/>
    <s v=""/>
    <s v=""/>
    <s v=""/>
    <s v=""/>
    <s v=""/>
    <s v="K"/>
    <s v=""/>
    <s v=""/>
    <s v=""/>
    <n v="4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83"/>
    <n v="0"/>
    <n v="0"/>
    <n v="0"/>
    <n v="0"/>
    <n v="0"/>
    <n v="680"/>
    <n v="11512727.272727272"/>
    <n v="63320000"/>
    <n v="5"/>
  </r>
  <r>
    <n v="0"/>
    <n v="0"/>
    <n v="9"/>
    <n v="9"/>
    <s v="전략"/>
    <x v="30"/>
    <s v="ELH-아트인드림-12"/>
    <s v="ELH-아트인드림-12ELHPTF5830BK"/>
    <n v="1"/>
    <s v="ELH-아트인드림-121"/>
    <s v="ELH-아트인드림-121-ELHPTF5830BLACKOXS"/>
    <s v="ELH의류830"/>
    <s v="ELH"/>
    <s v="ELSPTE"/>
    <m/>
    <s v="ELH"/>
    <s v="ELS HATSON"/>
    <s v="F"/>
    <n v="5"/>
    <s v="PT"/>
    <s v="PANTS"/>
    <s v="K"/>
    <n v="830"/>
    <n v="830"/>
    <s v="ELHPTF5830"/>
    <n v="0.33333333333333331"/>
    <s v="ELSPTE5830BKOXS"/>
    <s v="BK"/>
    <s v="BLACK"/>
    <s v="ELHPTF5830BK"/>
    <x v="1"/>
    <n v="0.33333333333333331"/>
    <n v="0"/>
    <n v="1"/>
    <s v="OXS"/>
    <n v="80"/>
    <x v="15"/>
    <n v="12"/>
    <x v="11"/>
    <s v="M"/>
    <s v="KR"/>
    <x v="3"/>
    <n v="79000"/>
    <x v="30"/>
    <n v="19949.494949494947"/>
    <n v="0"/>
    <n v="-19949.494949494947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80"/>
    <n v="0"/>
    <n v="0"/>
    <n v="0"/>
    <n v="0"/>
    <n v="0"/>
    <n v="80"/>
    <n v="1595959.5959595959"/>
    <n v="6320000"/>
    <n v="3.6"/>
  </r>
  <r>
    <n v="0"/>
    <n v="0"/>
    <n v="9"/>
    <n v="9"/>
    <s v="전략"/>
    <x v="30"/>
    <s v="ELH-아트인드림-12"/>
    <s v="ELH-아트인드림-12ELHPTF5830BK"/>
    <n v="1"/>
    <s v="ELH-아트인드림-121"/>
    <s v="ELH-아트인드림-121-ELHPTF5830BLACKOMM"/>
    <s v="ELH의류830"/>
    <s v="ELH"/>
    <s v="ELSPTE"/>
    <m/>
    <s v="ELH"/>
    <s v="ELS HATSON"/>
    <s v="F"/>
    <n v="5"/>
    <s v="PT"/>
    <s v="PANTS"/>
    <s v="K"/>
    <n v="830"/>
    <n v="830"/>
    <s v="ELHPTF5830"/>
    <n v="0.33333333333333331"/>
    <s v="ELSPTE5830BKOMM"/>
    <s v="BK"/>
    <s v="BLACK"/>
    <s v="ELHPTF5830BK"/>
    <x v="1"/>
    <n v="0.33333333333333331"/>
    <n v="0"/>
    <n v="1"/>
    <s v="OMM"/>
    <n v="100"/>
    <x v="15"/>
    <n v="12"/>
    <x v="11"/>
    <s v="M"/>
    <s v="KR"/>
    <x v="3"/>
    <n v="79000"/>
    <x v="30"/>
    <n v="19949.494949494947"/>
    <n v="0"/>
    <n v="-19949.494949494947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994949.4949494947"/>
    <n v="7900000"/>
    <n v="3.6"/>
  </r>
  <r>
    <n v="0"/>
    <n v="0"/>
    <n v="9"/>
    <n v="9"/>
    <s v="전략"/>
    <x v="30"/>
    <s v="ELH-아트인드림-12"/>
    <s v="ELH-아트인드림-12ELHPTF5830BK"/>
    <n v="1"/>
    <s v="ELH-아트인드림-121"/>
    <s v="ELH-아트인드림-121-ELHPTF5830BLACKOXL"/>
    <s v="ELH의류830"/>
    <s v="ELH"/>
    <s v="ELSPTE"/>
    <m/>
    <s v="ELH"/>
    <s v="ELS HATSON"/>
    <s v="F"/>
    <n v="5"/>
    <s v="PT"/>
    <s v="PANTS"/>
    <s v="K"/>
    <n v="830"/>
    <n v="830"/>
    <s v="ELHPTF5830"/>
    <n v="0.33333333333333331"/>
    <s v="ELSPTE5830BKOXL"/>
    <s v="BK"/>
    <s v="BLACK"/>
    <s v="ELHPTF5830BK"/>
    <x v="1"/>
    <n v="0.33333333333333331"/>
    <n v="0"/>
    <n v="1"/>
    <s v="OXL"/>
    <n v="100"/>
    <x v="15"/>
    <n v="12"/>
    <x v="11"/>
    <s v="M"/>
    <s v="KR"/>
    <x v="3"/>
    <n v="79000"/>
    <x v="30"/>
    <n v="19949.494949494947"/>
    <n v="0"/>
    <n v="-19949.494949494947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994949.4949494947"/>
    <n v="7900000"/>
    <n v="3.6"/>
  </r>
  <r>
    <n v="0"/>
    <n v="0"/>
    <n v="9"/>
    <n v="9"/>
    <s v="전략"/>
    <x v="30"/>
    <s v="ELH-아트인드림-12"/>
    <s v="ELH-아트인드림-12ELHPTF5831BW"/>
    <n v="2"/>
    <s v="ELH-아트인드림-122"/>
    <s v="ELH-아트인드림-122-ELHPTF5831BROWNOXS"/>
    <s v="ELH의류831"/>
    <s v="ELH"/>
    <s v="ELSPTE"/>
    <m/>
    <s v="ELH"/>
    <s v="ELS HATSON"/>
    <s v="F"/>
    <n v="5"/>
    <s v="PT"/>
    <s v="PANTS"/>
    <s v="K"/>
    <n v="831"/>
    <n v="831"/>
    <s v="ELHPTF5831"/>
    <n v="0.33333333333333331"/>
    <s v="ELSPTE5831BWOXS"/>
    <s v="BW"/>
    <s v="BROWN"/>
    <s v="ELHPTF5831BW"/>
    <x v="1"/>
    <n v="0.33333333333333331"/>
    <n v="0"/>
    <n v="1"/>
    <s v="OXS"/>
    <n v="80"/>
    <x v="15"/>
    <n v="12"/>
    <x v="11"/>
    <s v="M"/>
    <s v="KR"/>
    <x v="3"/>
    <n v="79000"/>
    <x v="30"/>
    <n v="19949.494949494947"/>
    <n v="0"/>
    <n v="-19949.494949494947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80"/>
    <n v="0"/>
    <n v="0"/>
    <n v="0"/>
    <n v="0"/>
    <n v="0"/>
    <n v="80"/>
    <n v="1595959.5959595959"/>
    <n v="6320000"/>
    <n v="3.6"/>
  </r>
  <r>
    <n v="0"/>
    <n v="0"/>
    <n v="9"/>
    <n v="9"/>
    <s v="전략"/>
    <x v="30"/>
    <s v="ELH-아트인드림-12"/>
    <s v="ELH-아트인드림-12ELHPTF5831BW"/>
    <n v="2"/>
    <s v="ELH-아트인드림-122"/>
    <s v="ELH-아트인드림-122-ELHPTF5831BROWNOMM"/>
    <s v="ELH의류831"/>
    <s v="ELH"/>
    <s v="ELSPTE"/>
    <m/>
    <s v="ELH"/>
    <s v="ELS HATSON"/>
    <s v="F"/>
    <n v="5"/>
    <s v="PT"/>
    <s v="PANTS"/>
    <s v="K"/>
    <n v="831"/>
    <n v="831"/>
    <s v="ELHPTF5831"/>
    <n v="0.33333333333333331"/>
    <s v="ELSPTE5831BWOMM"/>
    <s v="BW"/>
    <s v="BROWN"/>
    <s v="ELHPTF5831BW"/>
    <x v="1"/>
    <n v="0.33333333333333331"/>
    <n v="0"/>
    <n v="1"/>
    <s v="OMM"/>
    <n v="80"/>
    <x v="15"/>
    <n v="12"/>
    <x v="11"/>
    <s v="M"/>
    <s v="KR"/>
    <x v="3"/>
    <n v="79000"/>
    <x v="30"/>
    <n v="19949.494949494947"/>
    <n v="0"/>
    <n v="-19949.494949494947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80"/>
    <n v="0"/>
    <n v="0"/>
    <n v="0"/>
    <n v="0"/>
    <n v="0"/>
    <n v="80"/>
    <n v="1595959.5959595959"/>
    <n v="6320000"/>
    <n v="3.6"/>
  </r>
  <r>
    <n v="0"/>
    <n v="0"/>
    <n v="9"/>
    <n v="9"/>
    <s v="전략"/>
    <x v="30"/>
    <s v="ELH-아트인드림-12"/>
    <s v="ELH-아트인드림-12ELHPTF5831BW"/>
    <n v="2"/>
    <s v="ELH-아트인드림-122"/>
    <s v="ELH-아트인드림-122-ELHPTF5831BROWNOXL"/>
    <s v="ELH의류831"/>
    <s v="ELH"/>
    <s v="ELSPTE"/>
    <m/>
    <s v="ELH"/>
    <s v="ELS HATSON"/>
    <s v="F"/>
    <n v="5"/>
    <s v="PT"/>
    <s v="PANTS"/>
    <s v="K"/>
    <n v="831"/>
    <n v="831"/>
    <s v="ELHPTF5831"/>
    <n v="0.33333333333333331"/>
    <s v="ELSPTE5831BWOXL"/>
    <s v="BW"/>
    <s v="BROWN"/>
    <s v="ELHPTF5831BW"/>
    <x v="1"/>
    <n v="0.33333333333333331"/>
    <n v="0"/>
    <n v="1"/>
    <s v="OXL"/>
    <n v="50"/>
    <x v="15"/>
    <n v="12"/>
    <x v="11"/>
    <s v="M"/>
    <s v="KR"/>
    <x v="3"/>
    <n v="79000"/>
    <x v="30"/>
    <n v="19949.494949494947"/>
    <n v="0"/>
    <n v="-19949.494949494947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997474.74747474736"/>
    <n v="3950000"/>
    <n v="3.6"/>
  </r>
  <r>
    <n v="0"/>
    <n v="0"/>
    <n v="9"/>
    <n v="9"/>
    <s v="전략"/>
    <x v="30"/>
    <s v="ELH-아트인드림-12"/>
    <s v="ELH-아트인드림-12ELHTHF5813NY"/>
    <n v="3"/>
    <s v="ELH-아트인드림-123"/>
    <s v="ELH-아트인드림-123-ELHTHF5813NAVYOXS"/>
    <s v="ELH의류813"/>
    <s v="ELH"/>
    <s v="ELSTHE"/>
    <m/>
    <s v="ELH"/>
    <s v="ELS HATSON"/>
    <s v="F"/>
    <n v="5"/>
    <s v="TH"/>
    <s v="HOODED T-SHIRTS"/>
    <s v="K"/>
    <n v="813"/>
    <n v="813"/>
    <s v="ELHTHF5813"/>
    <n v="0.25"/>
    <s v="ELSTHE5813NYOXS"/>
    <s v="NY"/>
    <s v="NAVY"/>
    <s v="ELHTHF5813NY"/>
    <x v="1"/>
    <n v="0.25"/>
    <n v="0"/>
    <n v="1"/>
    <s v="OXS"/>
    <n v="30"/>
    <x v="15"/>
    <n v="12"/>
    <x v="11"/>
    <s v="M"/>
    <s v="KR"/>
    <x v="3"/>
    <n v="99000"/>
    <x v="30"/>
    <n v="25000"/>
    <n v="0"/>
    <n v="-25000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750000"/>
    <n v="2970000"/>
    <n v="3.5999999999999996"/>
  </r>
  <r>
    <n v="0"/>
    <n v="0"/>
    <n v="9"/>
    <n v="9"/>
    <s v="전략"/>
    <x v="30"/>
    <s v="ELH-아트인드림-12"/>
    <s v="ELH-아트인드림-12ELHTHF5813NY"/>
    <n v="3"/>
    <s v="ELH-아트인드림-123"/>
    <s v="ELH-아트인드림-123-ELHTHF5813NAVYOSS"/>
    <s v="ELH의류813"/>
    <s v="ELH"/>
    <s v="ELSTHE"/>
    <m/>
    <s v="ELH"/>
    <s v="ELS HATSON"/>
    <s v="F"/>
    <n v="5"/>
    <s v="TH"/>
    <s v="HOODED T-SHIRTS"/>
    <s v="K"/>
    <n v="813"/>
    <n v="813"/>
    <s v="ELHTHF5813"/>
    <n v="0.25"/>
    <s v="ELSTHE5813NYOSS"/>
    <s v="NY"/>
    <s v="NAVY"/>
    <s v="ELHTHF5813NY"/>
    <x v="1"/>
    <n v="0.25"/>
    <n v="0"/>
    <n v="1"/>
    <s v="OSS"/>
    <n v="30"/>
    <x v="15"/>
    <n v="12"/>
    <x v="11"/>
    <s v="M"/>
    <s v="KR"/>
    <x v="3"/>
    <n v="99000"/>
    <x v="30"/>
    <n v="25000"/>
    <n v="0"/>
    <n v="-25000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750000"/>
    <n v="2970000"/>
    <n v="3.5999999999999996"/>
  </r>
  <r>
    <n v="0"/>
    <n v="0"/>
    <n v="9"/>
    <n v="9"/>
    <s v="전략"/>
    <x v="30"/>
    <s v="ELH-아트인드림-12"/>
    <s v="ELH-아트인드림-12ELHTHF5813NY"/>
    <n v="3"/>
    <s v="ELH-아트인드림-123"/>
    <s v="ELH-아트인드림-123-ELHTHF5813NAVYOMM"/>
    <s v="ELH의류813"/>
    <s v="ELH"/>
    <s v="ELSTHE"/>
    <m/>
    <s v="ELH"/>
    <s v="ELS HATSON"/>
    <s v="F"/>
    <n v="5"/>
    <s v="TH"/>
    <s v="HOODED T-SHIRTS"/>
    <s v="K"/>
    <n v="813"/>
    <n v="813"/>
    <s v="ELHTHF5813"/>
    <n v="0.25"/>
    <s v="ELSTHE5813NYOMM"/>
    <s v="NY"/>
    <s v="NAVY"/>
    <s v="ELHTHF5813NY"/>
    <x v="1"/>
    <n v="0.25"/>
    <n v="0"/>
    <n v="1"/>
    <s v="OMM"/>
    <n v="30"/>
    <x v="15"/>
    <n v="12"/>
    <x v="11"/>
    <s v="M"/>
    <s v="KR"/>
    <x v="3"/>
    <n v="99000"/>
    <x v="30"/>
    <n v="25000"/>
    <n v="0"/>
    <n v="-25000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750000"/>
    <n v="2970000"/>
    <n v="3.5999999999999996"/>
  </r>
  <r>
    <n v="0"/>
    <n v="0"/>
    <n v="9"/>
    <n v="9"/>
    <s v="전략"/>
    <x v="30"/>
    <s v="ELH-아트인드림-12"/>
    <s v="ELH-아트인드림-12ELHTHF5813NY"/>
    <n v="3"/>
    <s v="ELH-아트인드림-123"/>
    <s v="ELH-아트인드림-123-ELHTHF5813NAVYOXL"/>
    <s v="ELH의류813"/>
    <s v="ELH"/>
    <s v="ELSTHE"/>
    <m/>
    <s v="ELH"/>
    <s v="ELS HATSON"/>
    <s v="F"/>
    <n v="5"/>
    <s v="TH"/>
    <s v="HOODED T-SHIRTS"/>
    <s v="K"/>
    <n v="813"/>
    <n v="813"/>
    <s v="ELHTHF5813"/>
    <n v="0.25"/>
    <s v="ELSTHE5813NYOXL"/>
    <s v="NY"/>
    <s v="NAVY"/>
    <s v="ELHTHF5813NY"/>
    <x v="1"/>
    <n v="0.25"/>
    <n v="0"/>
    <n v="1"/>
    <s v="OXL"/>
    <n v="30"/>
    <x v="15"/>
    <n v="12"/>
    <x v="11"/>
    <s v="M"/>
    <s v="KR"/>
    <x v="3"/>
    <n v="99000"/>
    <x v="30"/>
    <n v="25000"/>
    <n v="0"/>
    <n v="-25000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750000"/>
    <n v="2970000"/>
    <n v="3.5999999999999996"/>
  </r>
  <r>
    <n v="0"/>
    <n v="0"/>
    <s v=""/>
    <s v=""/>
    <s v=""/>
    <x v="1"/>
    <s v=""/>
    <s v=""/>
    <n v="0"/>
    <s v="0"/>
    <s v="0-"/>
    <n v="0"/>
    <s v="TTL"/>
    <s v=""/>
    <s v="ELH-아트인드림-12 TTL"/>
    <m/>
    <s v=""/>
    <s v=""/>
    <s v=""/>
    <s v=""/>
    <s v=""/>
    <s v="K"/>
    <s v=""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10"/>
    <n v="0"/>
    <n v="0"/>
    <n v="0"/>
    <n v="0"/>
    <n v="0"/>
    <n v="610"/>
    <n v="12775252.525252525"/>
    <n v="50590000"/>
    <n v="3.6"/>
  </r>
  <r>
    <n v="0"/>
    <n v="0"/>
    <n v="9"/>
    <n v="9"/>
    <s v="전략"/>
    <x v="31"/>
    <s v="PLH-아트인드림-13"/>
    <s v="PLH-아트인드림-13PLHJPF5807BL"/>
    <n v="1"/>
    <s v="PLH-아트인드림-131"/>
    <s v="PLH-아트인드림-131-PLHJPF5807BLUEOXS"/>
    <s v="PLH의류807"/>
    <s v="PLH"/>
    <s v="PLAJPE"/>
    <m/>
    <s v="PLH"/>
    <s v="PLA HATSON"/>
    <s v="F"/>
    <n v="5"/>
    <s v="JP"/>
    <s v="JUMPER"/>
    <s v="K"/>
    <n v="807"/>
    <n v="807"/>
    <s v="PLHJPF5807"/>
    <n v="0.33333333333333331"/>
    <s v="PLAJPE5807BLOXS"/>
    <s v="BL"/>
    <s v="BLUE"/>
    <s v="PLHJPF5807BL"/>
    <x v="1"/>
    <n v="0.33333333333333331"/>
    <n v="0"/>
    <n v="1"/>
    <s v="OXS"/>
    <n v="30"/>
    <x v="15"/>
    <n v="13"/>
    <x v="12"/>
    <s v="M"/>
    <s v="KR"/>
    <x v="3"/>
    <n v="179000"/>
    <x v="30"/>
    <n v="45202.020202020198"/>
    <n v="0"/>
    <n v="-45202.020202020198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1356060.606060606"/>
    <n v="5370000"/>
    <n v="3.5999999999999996"/>
  </r>
  <r>
    <n v="0"/>
    <n v="0"/>
    <n v="9"/>
    <n v="9"/>
    <s v="전략"/>
    <x v="31"/>
    <s v="PLH-아트인드림-13"/>
    <s v="PLH-아트인드림-13PLHJPF5807BL"/>
    <n v="1"/>
    <s v="PLH-아트인드림-131"/>
    <s v="PLH-아트인드림-131-PLHJPF5807BLUEOMM"/>
    <s v="PLH의류807"/>
    <s v="PLH"/>
    <s v="PLAJPE"/>
    <m/>
    <s v="PLH"/>
    <s v="PLA HATSON"/>
    <s v="F"/>
    <n v="5"/>
    <s v="JP"/>
    <s v="JUMPER"/>
    <s v="K"/>
    <n v="807"/>
    <n v="807"/>
    <s v="PLHJPF5807"/>
    <n v="0.33333333333333331"/>
    <s v="PLAJPE5807BLOMM"/>
    <s v="BL"/>
    <s v="BLUE"/>
    <s v="PLHJPF5807BL"/>
    <x v="1"/>
    <n v="0.33333333333333331"/>
    <n v="0"/>
    <n v="1"/>
    <s v="OMM"/>
    <n v="30"/>
    <x v="15"/>
    <n v="13"/>
    <x v="12"/>
    <s v="M"/>
    <s v="KR"/>
    <x v="3"/>
    <n v="179000"/>
    <x v="30"/>
    <n v="45202.020202020198"/>
    <n v="0"/>
    <n v="-45202.020202020198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1356060.606060606"/>
    <n v="5370000"/>
    <n v="3.5999999999999996"/>
  </r>
  <r>
    <n v="0"/>
    <n v="0"/>
    <n v="9"/>
    <n v="9"/>
    <s v="전략"/>
    <x v="31"/>
    <s v="PLH-아트인드림-13"/>
    <s v="PLH-아트인드림-13PLHJPF5807BL"/>
    <n v="1"/>
    <s v="PLH-아트인드림-131"/>
    <s v="PLH-아트인드림-131-PLHJPF5807BLUEOXL"/>
    <s v="PLH의류807"/>
    <s v="PLH"/>
    <s v="PLAJPE"/>
    <m/>
    <s v="PLH"/>
    <s v="PLA HATSON"/>
    <s v="F"/>
    <n v="5"/>
    <s v="JP"/>
    <s v="JUMPER"/>
    <s v="K"/>
    <n v="807"/>
    <n v="807"/>
    <s v="PLHJPF5807"/>
    <n v="0.33333333333333331"/>
    <s v="PLAJPE5807BLOXL"/>
    <s v="BL"/>
    <s v="BLUE"/>
    <s v="PLHJPF5807BL"/>
    <x v="1"/>
    <n v="0.33333333333333331"/>
    <n v="0"/>
    <n v="1"/>
    <s v="OXL"/>
    <n v="30"/>
    <x v="15"/>
    <n v="13"/>
    <x v="12"/>
    <s v="M"/>
    <s v="KR"/>
    <x v="3"/>
    <n v="179000"/>
    <x v="30"/>
    <n v="45202.020202020198"/>
    <n v="0"/>
    <n v="-45202.020202020198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1356060.606060606"/>
    <n v="5370000"/>
    <n v="3.5999999999999996"/>
  </r>
  <r>
    <n v="0"/>
    <n v="0"/>
    <n v="9"/>
    <n v="9"/>
    <s v="전략"/>
    <x v="31"/>
    <s v="PLH-아트인드림-13"/>
    <s v="PLH-아트인드림-13PLHTLF5803BK"/>
    <n v="2"/>
    <s v="PLH-아트인드림-132"/>
    <s v="PLH-아트인드림-132-PLHTLF5803BLACKOXS"/>
    <s v="PLH의류803"/>
    <s v="PLH"/>
    <s v="PLATLE"/>
    <m/>
    <s v="PLH"/>
    <s v="PLA HATSON"/>
    <s v="F"/>
    <n v="5"/>
    <s v="TL"/>
    <s v="LONG SLEEVES"/>
    <s v="K"/>
    <n v="803"/>
    <n v="803"/>
    <s v="PLHTLF5803"/>
    <n v="0.25"/>
    <s v="PLATLE5803BKOXS"/>
    <s v="BK"/>
    <s v="BLACK"/>
    <s v="PLHTLF5803BK"/>
    <x v="1"/>
    <n v="0.25"/>
    <n v="0"/>
    <n v="1"/>
    <s v="OXS"/>
    <n v="50"/>
    <x v="15"/>
    <n v="13"/>
    <x v="12"/>
    <s v="M"/>
    <s v="KR"/>
    <x v="3"/>
    <n v="89000"/>
    <x v="30"/>
    <n v="22474.74747474747"/>
    <n v="0"/>
    <n v="-22474.74747474747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123737.3737373734"/>
    <n v="4450000"/>
    <n v="3.600000000000001"/>
  </r>
  <r>
    <n v="0"/>
    <n v="0"/>
    <n v="9"/>
    <n v="9"/>
    <s v="전략"/>
    <x v="31"/>
    <s v="PLH-아트인드림-13"/>
    <s v="PLH-아트인드림-13PLHTLF5803BK"/>
    <n v="2"/>
    <s v="PLH-아트인드림-132"/>
    <s v="PLH-아트인드림-132-PLHTLF5803BLACKOSS"/>
    <s v="PLH의류803"/>
    <s v="PLH"/>
    <s v="PLATLE"/>
    <m/>
    <s v="PLH"/>
    <s v="PLA HATSON"/>
    <s v="F"/>
    <n v="5"/>
    <s v="TL"/>
    <s v="LONG SLEEVES"/>
    <s v="K"/>
    <n v="803"/>
    <n v="803"/>
    <s v="PLHTLF5803"/>
    <n v="0.25"/>
    <s v="PLATLE5803BKOSS"/>
    <s v="BK"/>
    <s v="BLACK"/>
    <s v="PLHTLF5803BK"/>
    <x v="1"/>
    <n v="0.25"/>
    <n v="0"/>
    <n v="1"/>
    <s v="OSS"/>
    <n v="50"/>
    <x v="15"/>
    <n v="13"/>
    <x v="12"/>
    <s v="M"/>
    <s v="KR"/>
    <x v="3"/>
    <n v="89000"/>
    <x v="30"/>
    <n v="22474.74747474747"/>
    <n v="0"/>
    <n v="-22474.74747474747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123737.3737373734"/>
    <n v="4450000"/>
    <n v="3.600000000000001"/>
  </r>
  <r>
    <n v="0"/>
    <n v="0"/>
    <n v="9"/>
    <n v="9"/>
    <s v="전략"/>
    <x v="31"/>
    <s v="PLH-아트인드림-13"/>
    <s v="PLH-아트인드림-13PLHTLF5803BK"/>
    <n v="2"/>
    <s v="PLH-아트인드림-132"/>
    <s v="PLH-아트인드림-132-PLHTLF5803BLACKOMM"/>
    <s v="PLH의류803"/>
    <s v="PLH"/>
    <s v="PLATLE"/>
    <m/>
    <s v="PLH"/>
    <s v="PLA HATSON"/>
    <s v="F"/>
    <n v="5"/>
    <s v="TL"/>
    <s v="LONG SLEEVES"/>
    <s v="K"/>
    <n v="803"/>
    <n v="803"/>
    <s v="PLHTLF5803"/>
    <n v="0.25"/>
    <s v="PLATLE5803BKOMM"/>
    <s v="BK"/>
    <s v="BLACK"/>
    <s v="PLHTLF5803BK"/>
    <x v="1"/>
    <n v="0.25"/>
    <n v="0"/>
    <n v="1"/>
    <s v="OMM"/>
    <n v="50"/>
    <x v="15"/>
    <n v="13"/>
    <x v="12"/>
    <s v="M"/>
    <s v="KR"/>
    <x v="3"/>
    <n v="89000"/>
    <x v="30"/>
    <n v="22474.74747474747"/>
    <n v="0"/>
    <n v="-22474.74747474747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123737.3737373734"/>
    <n v="4450000"/>
    <n v="3.600000000000001"/>
  </r>
  <r>
    <n v="0"/>
    <n v="0"/>
    <n v="9"/>
    <n v="9"/>
    <s v="전략"/>
    <x v="31"/>
    <s v="PLH-아트인드림-13"/>
    <s v="PLH-아트인드림-13PLHTLF5803BK"/>
    <n v="2"/>
    <s v="PLH-아트인드림-132"/>
    <s v="PLH-아트인드림-132-PLHTLF5803BLACKOXL"/>
    <s v="PLH의류803"/>
    <s v="PLH"/>
    <s v="PLATLE"/>
    <m/>
    <s v="PLH"/>
    <s v="PLA HATSON"/>
    <s v="F"/>
    <n v="5"/>
    <s v="TL"/>
    <s v="LONG SLEEVES"/>
    <s v="K"/>
    <n v="803"/>
    <n v="803"/>
    <s v="PLHTLF5803"/>
    <n v="0.25"/>
    <s v="PLATLE5803BKOXL"/>
    <s v="BK"/>
    <s v="BLACK"/>
    <s v="PLHTLF5803BK"/>
    <x v="1"/>
    <n v="0.25"/>
    <n v="0"/>
    <n v="1"/>
    <s v="OXL"/>
    <n v="50"/>
    <x v="15"/>
    <n v="13"/>
    <x v="12"/>
    <s v="M"/>
    <s v="KR"/>
    <x v="3"/>
    <n v="89000"/>
    <x v="30"/>
    <n v="22474.74747474747"/>
    <n v="0"/>
    <n v="-22474.74747474747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123737.3737373734"/>
    <n v="4450000"/>
    <n v="3.600000000000001"/>
  </r>
  <r>
    <n v="0"/>
    <n v="0"/>
    <n v="9"/>
    <n v="9"/>
    <s v="전략"/>
    <x v="31"/>
    <s v="PLH-아트인드림-13"/>
    <s v="PLH-아트인드림-13PLHTLF5804RE"/>
    <n v="3"/>
    <s v="PLH-아트인드림-133"/>
    <s v="PLH-아트인드림-133-PLHTLF5804REDOXS"/>
    <s v="PLH의류804"/>
    <s v="PLH"/>
    <s v="PLATLE"/>
    <m/>
    <s v="PLH"/>
    <s v="PLA HATSON"/>
    <s v="F"/>
    <n v="5"/>
    <s v="TL"/>
    <s v="LONG SLEEVES"/>
    <s v="K"/>
    <n v="804"/>
    <n v="804"/>
    <s v="PLHTLF5804"/>
    <n v="0.25"/>
    <s v="PLATLE5804REOXS"/>
    <s v="RE"/>
    <s v="RED"/>
    <s v="PLHTLF5804RE"/>
    <x v="1"/>
    <n v="0.25"/>
    <n v="0"/>
    <n v="1"/>
    <s v="OXS"/>
    <n v="30"/>
    <x v="15"/>
    <n v="13"/>
    <x v="12"/>
    <s v="M"/>
    <s v="KR"/>
    <x v="3"/>
    <n v="89000"/>
    <x v="30"/>
    <n v="22474.74747474747"/>
    <n v="0"/>
    <n v="-22474.74747474747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674242.42424242408"/>
    <n v="2670000"/>
    <n v="3.6000000000000005"/>
  </r>
  <r>
    <n v="0"/>
    <n v="0"/>
    <n v="9"/>
    <n v="9"/>
    <s v="전략"/>
    <x v="31"/>
    <s v="PLH-아트인드림-13"/>
    <s v="PLH-아트인드림-13PLHTLF5804RE"/>
    <n v="3"/>
    <s v="PLH-아트인드림-133"/>
    <s v="PLH-아트인드림-133-PLHTLF5804REDOSS"/>
    <s v="PLH의류804"/>
    <s v="PLH"/>
    <s v="PLATLE"/>
    <m/>
    <s v="PLH"/>
    <s v="PLA HATSON"/>
    <s v="F"/>
    <n v="5"/>
    <s v="TL"/>
    <s v="LONG SLEEVES"/>
    <s v="K"/>
    <n v="804"/>
    <n v="804"/>
    <s v="PLHTLF5804"/>
    <n v="0.25"/>
    <s v="PLATLE5804REOSS"/>
    <s v="RE"/>
    <s v="RED"/>
    <s v="PLHTLF5804RE"/>
    <x v="1"/>
    <n v="0.25"/>
    <n v="0"/>
    <n v="1"/>
    <s v="OSS"/>
    <n v="30"/>
    <x v="15"/>
    <n v="13"/>
    <x v="12"/>
    <s v="M"/>
    <s v="KR"/>
    <x v="3"/>
    <n v="89000"/>
    <x v="30"/>
    <n v="22474.74747474747"/>
    <n v="0"/>
    <n v="-22474.74747474747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674242.42424242408"/>
    <n v="2670000"/>
    <n v="3.6000000000000005"/>
  </r>
  <r>
    <n v="0"/>
    <n v="0"/>
    <n v="9"/>
    <n v="9"/>
    <s v="전략"/>
    <x v="31"/>
    <s v="PLH-아트인드림-13"/>
    <s v="PLH-아트인드림-13PLHTLF5804RE"/>
    <n v="3"/>
    <s v="PLH-아트인드림-133"/>
    <s v="PLH-아트인드림-133-PLHTLF5804REDOMM"/>
    <s v="PLH의류804"/>
    <s v="PLH"/>
    <s v="PLATLE"/>
    <m/>
    <s v="PLH"/>
    <s v="PLA HATSON"/>
    <s v="F"/>
    <n v="5"/>
    <s v="TL"/>
    <s v="LONG SLEEVES"/>
    <s v="K"/>
    <n v="804"/>
    <n v="804"/>
    <s v="PLHTLF5804"/>
    <n v="0.25"/>
    <s v="PLATLE5804REOMM"/>
    <s v="RE"/>
    <s v="RED"/>
    <s v="PLHTLF5804RE"/>
    <x v="1"/>
    <n v="0.25"/>
    <n v="0"/>
    <n v="1"/>
    <s v="OMM"/>
    <n v="30"/>
    <x v="15"/>
    <n v="13"/>
    <x v="12"/>
    <s v="M"/>
    <s v="KR"/>
    <x v="3"/>
    <n v="89000"/>
    <x v="30"/>
    <n v="22474.74747474747"/>
    <n v="0"/>
    <n v="-22474.74747474747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674242.42424242408"/>
    <n v="2670000"/>
    <n v="3.6000000000000005"/>
  </r>
  <r>
    <n v="0"/>
    <n v="0"/>
    <n v="9"/>
    <n v="9"/>
    <s v="전략"/>
    <x v="31"/>
    <s v="PLH-아트인드림-13"/>
    <s v="PLH-아트인드림-13PLHTLF5804RE"/>
    <n v="3"/>
    <s v="PLH-아트인드림-133"/>
    <s v="PLH-아트인드림-133-PLHTLF5804REDOXL"/>
    <s v="PLH의류804"/>
    <s v="PLH"/>
    <s v="PLATLE"/>
    <m/>
    <s v="PLH"/>
    <s v="PLA HATSON"/>
    <s v="F"/>
    <n v="5"/>
    <s v="TL"/>
    <s v="LONG SLEEVES"/>
    <s v="K"/>
    <n v="804"/>
    <n v="804"/>
    <s v="PLHTLF5804"/>
    <n v="0.25"/>
    <s v="PLATLE5804REOXL"/>
    <s v="RE"/>
    <s v="RED"/>
    <s v="PLHTLF5804RE"/>
    <x v="1"/>
    <n v="0.25"/>
    <n v="0"/>
    <n v="1"/>
    <s v="OXL"/>
    <n v="30"/>
    <x v="15"/>
    <n v="13"/>
    <x v="12"/>
    <s v="M"/>
    <s v="KR"/>
    <x v="3"/>
    <n v="89000"/>
    <x v="30"/>
    <n v="22474.74747474747"/>
    <n v="0"/>
    <n v="-22474.74747474747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674242.42424242408"/>
    <n v="2670000"/>
    <n v="3.6000000000000005"/>
  </r>
  <r>
    <n v="0"/>
    <n v="0"/>
    <s v=""/>
    <s v=""/>
    <s v=""/>
    <x v="1"/>
    <s v=""/>
    <s v=""/>
    <n v="0"/>
    <s v="0"/>
    <s v="0-"/>
    <n v="0"/>
    <s v="TTL"/>
    <s v=""/>
    <s v="PLH-아트인드림-13 TTL"/>
    <m/>
    <s v=""/>
    <s v=""/>
    <s v=""/>
    <s v=""/>
    <s v=""/>
    <s v="K"/>
    <s v=""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410"/>
    <n v="0"/>
    <n v="0"/>
    <n v="0"/>
    <n v="0"/>
    <n v="0"/>
    <n v="410"/>
    <n v="11260101.010101005"/>
    <n v="44590000"/>
    <n v="3.6000000000000014"/>
  </r>
  <r>
    <n v="0"/>
    <n v="0"/>
    <n v="9"/>
    <n v="9"/>
    <s v="전략"/>
    <x v="30"/>
    <s v="ELH-EVERGREEN-07"/>
    <s v="ELH-EVERGREEN-07ELHTHF5814BK"/>
    <n v="1"/>
    <s v="ELH-EVERGREEN-071"/>
    <s v="ELH-EVERGREEN-071-ELHTHF5814BLACKOXS"/>
    <s v="ELH의류814"/>
    <s v="ELH"/>
    <s v="ELSTHE"/>
    <m/>
    <s v="ELH"/>
    <s v="ELS HATSON"/>
    <s v="F"/>
    <n v="5"/>
    <s v="TH"/>
    <s v="HOODED T-SHIRTS"/>
    <s v="K"/>
    <n v="814"/>
    <n v="814"/>
    <s v="ELHTHF5814"/>
    <n v="0.25"/>
    <s v="ELSTHE5814BKOXS"/>
    <s v="BK"/>
    <s v="BLACK"/>
    <s v="ELHTHF5814BK"/>
    <x v="1"/>
    <n v="0.25"/>
    <n v="0"/>
    <n v="1"/>
    <s v="OXS"/>
    <n v="130"/>
    <x v="13"/>
    <n v="7"/>
    <x v="7"/>
    <s v="M"/>
    <s v="CN"/>
    <x v="0"/>
    <n v="89000"/>
    <x v="30"/>
    <n v="16181.81818181818"/>
    <n v="0"/>
    <n v="-16181.81818181818"/>
    <n v="0"/>
    <n v="0"/>
    <s v=""/>
    <n v="0"/>
    <n v="0"/>
    <n v="0"/>
    <d v="2014-09-16T00:00:00"/>
    <d v="1899-12-30T00:00:00"/>
    <d v="2014-09-19T00:00:00"/>
    <d v="1899-12-30T00:00:00"/>
    <d v="2014-09-17T00:00:00"/>
    <d v="2014-10-14T00:00:00"/>
    <d v="1899-12-30T00:00:00"/>
    <d v="1899-12-30T00:00:00"/>
    <d v="1899-12-30T00:00:00"/>
    <x v="1"/>
    <n v="0"/>
    <n v="30"/>
    <n v="100"/>
    <n v="0"/>
    <n v="0"/>
    <n v="0"/>
    <n v="0"/>
    <n v="130"/>
    <n v="2103636.3636363633"/>
    <n v="11570000"/>
    <n v="5"/>
  </r>
  <r>
    <n v="0"/>
    <n v="0"/>
    <n v="9"/>
    <n v="9"/>
    <s v="전략"/>
    <x v="30"/>
    <s v="ELH-EVERGREEN-07"/>
    <s v="ELH-EVERGREEN-07ELHTHF5814BK"/>
    <n v="1"/>
    <s v="ELH-EVERGREEN-071"/>
    <s v="ELH-EVERGREEN-071-ELHTHF5814BLACKOSS"/>
    <s v="ELH의류814"/>
    <s v="ELH"/>
    <s v="ELSTHE"/>
    <m/>
    <s v="ELH"/>
    <s v="ELS HATSON"/>
    <s v="F"/>
    <n v="5"/>
    <s v="TH"/>
    <s v="HOODED T-SHIRTS"/>
    <s v="K"/>
    <n v="814"/>
    <n v="814"/>
    <s v="ELHTHF5814"/>
    <n v="0.25"/>
    <s v="ELSTHE5814BKOSS"/>
    <s v="BK"/>
    <s v="BLACK"/>
    <s v="ELHTHF5814BK"/>
    <x v="1"/>
    <n v="0.25"/>
    <n v="0"/>
    <n v="1"/>
    <s v="OSS"/>
    <n v="130"/>
    <x v="13"/>
    <n v="7"/>
    <x v="7"/>
    <s v="M"/>
    <s v="CN"/>
    <x v="0"/>
    <n v="89000"/>
    <x v="30"/>
    <n v="16181.81818181818"/>
    <n v="0"/>
    <n v="-16181.81818181818"/>
    <n v="0"/>
    <n v="0"/>
    <s v=""/>
    <n v="0"/>
    <n v="0"/>
    <n v="0"/>
    <d v="2014-09-16T00:00:00"/>
    <d v="1899-12-30T00:00:00"/>
    <d v="2014-09-19T00:00:00"/>
    <d v="1899-12-30T00:00:00"/>
    <d v="2014-09-17T00:00:00"/>
    <d v="2014-10-14T00:00:00"/>
    <d v="1899-12-30T00:00:00"/>
    <d v="1899-12-30T00:00:00"/>
    <d v="1899-12-30T00:00:00"/>
    <x v="1"/>
    <n v="0"/>
    <n v="30"/>
    <n v="100"/>
    <n v="0"/>
    <n v="0"/>
    <n v="0"/>
    <n v="0"/>
    <n v="130"/>
    <n v="2103636.3636363633"/>
    <n v="11570000"/>
    <n v="5"/>
  </r>
  <r>
    <n v="0"/>
    <n v="0"/>
    <n v="9"/>
    <n v="9"/>
    <s v="전략"/>
    <x v="30"/>
    <s v="ELH-EVERGREEN-07"/>
    <s v="ELH-EVERGREEN-07ELHTHF5814BK"/>
    <n v="1"/>
    <s v="ELH-EVERGREEN-071"/>
    <s v="ELH-EVERGREEN-071-ELHTHF5814BLACKOMM"/>
    <s v="ELH의류814"/>
    <s v="ELH"/>
    <s v="ELSTHE"/>
    <m/>
    <s v="ELH"/>
    <s v="ELS HATSON"/>
    <s v="F"/>
    <n v="5"/>
    <s v="TH"/>
    <s v="HOODED T-SHIRTS"/>
    <s v="K"/>
    <n v="814"/>
    <n v="814"/>
    <s v="ELHTHF5814"/>
    <n v="0.25"/>
    <s v="ELSTHE5814BKOMM"/>
    <s v="BK"/>
    <s v="BLACK"/>
    <s v="ELHTHF5814BK"/>
    <x v="1"/>
    <n v="0.25"/>
    <n v="0"/>
    <n v="1"/>
    <s v="OMM"/>
    <n v="130"/>
    <x v="13"/>
    <n v="7"/>
    <x v="7"/>
    <s v="M"/>
    <s v="CN"/>
    <x v="0"/>
    <n v="89000"/>
    <x v="30"/>
    <n v="16181.81818181818"/>
    <n v="0"/>
    <n v="-16181.81818181818"/>
    <n v="0"/>
    <n v="0"/>
    <s v=""/>
    <n v="0"/>
    <n v="0"/>
    <n v="0"/>
    <d v="2014-09-16T00:00:00"/>
    <d v="1899-12-30T00:00:00"/>
    <d v="2014-09-19T00:00:00"/>
    <d v="1899-12-30T00:00:00"/>
    <d v="2014-09-17T00:00:00"/>
    <d v="2014-10-14T00:00:00"/>
    <d v="1899-12-30T00:00:00"/>
    <d v="1899-12-30T00:00:00"/>
    <d v="1899-12-30T00:00:00"/>
    <x v="1"/>
    <n v="0"/>
    <n v="30"/>
    <n v="100"/>
    <n v="0"/>
    <n v="0"/>
    <n v="0"/>
    <n v="0"/>
    <n v="130"/>
    <n v="2103636.3636363633"/>
    <n v="11570000"/>
    <n v="5"/>
  </r>
  <r>
    <n v="0"/>
    <n v="0"/>
    <n v="9"/>
    <n v="9"/>
    <s v="전략"/>
    <x v="30"/>
    <s v="ELH-EVERGREEN-07"/>
    <s v="ELH-EVERGREEN-07ELHTHF5814BK"/>
    <n v="1"/>
    <s v="ELH-EVERGREEN-071"/>
    <s v="ELH-EVERGREEN-071-ELHTHF5814BLACKOXL"/>
    <s v="ELH의류814"/>
    <s v="ELH"/>
    <s v="ELSTHE"/>
    <m/>
    <s v="ELH"/>
    <s v="ELS HATSON"/>
    <s v="F"/>
    <n v="5"/>
    <s v="TH"/>
    <s v="HOODED T-SHIRTS"/>
    <s v="K"/>
    <n v="814"/>
    <n v="814"/>
    <s v="ELHTHF5814"/>
    <n v="0.25"/>
    <s v="ELSTHE5814BKOXL"/>
    <s v="BK"/>
    <s v="BLACK"/>
    <s v="ELHTHF5814BK"/>
    <x v="1"/>
    <n v="0.25"/>
    <n v="0"/>
    <n v="1"/>
    <s v="OXL"/>
    <n v="130"/>
    <x v="13"/>
    <n v="7"/>
    <x v="7"/>
    <s v="M"/>
    <s v="CN"/>
    <x v="0"/>
    <n v="89000"/>
    <x v="30"/>
    <n v="16181.81818181818"/>
    <n v="0"/>
    <n v="-16181.81818181818"/>
    <n v="0"/>
    <n v="0"/>
    <s v=""/>
    <n v="0"/>
    <n v="0"/>
    <n v="0"/>
    <d v="2014-09-16T00:00:00"/>
    <d v="1899-12-30T00:00:00"/>
    <d v="2014-09-19T00:00:00"/>
    <d v="1899-12-30T00:00:00"/>
    <d v="2014-09-17T00:00:00"/>
    <d v="2014-10-14T00:00:00"/>
    <d v="1899-12-30T00:00:00"/>
    <d v="1899-12-30T00:00:00"/>
    <d v="1899-12-30T00:00:00"/>
    <x v="1"/>
    <n v="0"/>
    <n v="30"/>
    <n v="100"/>
    <n v="0"/>
    <n v="0"/>
    <n v="0"/>
    <n v="0"/>
    <n v="130"/>
    <n v="2103636.3636363633"/>
    <n v="11570000"/>
    <n v="5"/>
  </r>
  <r>
    <n v="0"/>
    <n v="0"/>
    <n v="9"/>
    <n v="9"/>
    <s v="전략"/>
    <x v="30"/>
    <s v="ELH-EVERGREEN-07"/>
    <s v="ELH-EVERGREEN-07ELHTHF5818NY"/>
    <n v="2"/>
    <s v="ELH-EVERGREEN-072"/>
    <s v="ELH-EVERGREEN-072-ELHTHF5818NAVYOXS"/>
    <s v="ELH의류818"/>
    <s v="ELH"/>
    <s v="ELSTHE"/>
    <m/>
    <s v="ELH"/>
    <s v="ELS HATSON"/>
    <s v="F"/>
    <n v="5"/>
    <s v="TH"/>
    <s v="HOODED T-SHIRTS"/>
    <s v="K"/>
    <n v="818"/>
    <n v="818"/>
    <s v="ELHTHF5818"/>
    <n v="0.25"/>
    <s v="ELSTHE5818NYOXS"/>
    <s v="NY"/>
    <s v="NAVY"/>
    <s v="ELHTHF5818NY"/>
    <x v="1"/>
    <n v="0.25"/>
    <n v="0"/>
    <n v="1"/>
    <s v="OXS"/>
    <n v="50"/>
    <x v="13"/>
    <n v="7"/>
    <x v="7"/>
    <s v="M"/>
    <s v="CN"/>
    <x v="0"/>
    <n v="89000"/>
    <x v="30"/>
    <n v="16181.81818181818"/>
    <n v="0"/>
    <n v="-16181.81818181818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809090.90909090906"/>
    <n v="4450000"/>
    <n v="5"/>
  </r>
  <r>
    <n v="0"/>
    <n v="0"/>
    <n v="9"/>
    <n v="9"/>
    <s v="전략"/>
    <x v="30"/>
    <s v="ELH-EVERGREEN-07"/>
    <s v="ELH-EVERGREEN-07ELHTHF5818NY"/>
    <n v="2"/>
    <s v="ELH-EVERGREEN-072"/>
    <s v="ELH-EVERGREEN-072-ELHTHF5818NAVYOSS"/>
    <s v="ELH의류818"/>
    <s v="ELH"/>
    <s v="ELSTHE"/>
    <m/>
    <s v="ELH"/>
    <s v="ELS HATSON"/>
    <s v="F"/>
    <n v="5"/>
    <s v="TH"/>
    <s v="HOODED T-SHIRTS"/>
    <s v="K"/>
    <n v="818"/>
    <n v="818"/>
    <s v="ELHTHF5818"/>
    <n v="0.25"/>
    <s v="ELSTHE5818NYOSS"/>
    <s v="NY"/>
    <s v="NAVY"/>
    <s v="ELHTHF5818NY"/>
    <x v="1"/>
    <n v="0.25"/>
    <n v="0"/>
    <n v="1"/>
    <s v="OSS"/>
    <n v="80"/>
    <x v="13"/>
    <n v="7"/>
    <x v="7"/>
    <s v="M"/>
    <s v="CN"/>
    <x v="0"/>
    <n v="89000"/>
    <x v="30"/>
    <n v="16181.81818181818"/>
    <n v="0"/>
    <n v="-16181.81818181818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80"/>
    <n v="0"/>
    <n v="0"/>
    <n v="0"/>
    <n v="0"/>
    <n v="0"/>
    <n v="80"/>
    <n v="1294545.4545454544"/>
    <n v="7120000"/>
    <n v="5"/>
  </r>
  <r>
    <n v="0"/>
    <n v="0"/>
    <n v="9"/>
    <n v="9"/>
    <s v="전략"/>
    <x v="30"/>
    <s v="ELH-EVERGREEN-07"/>
    <s v="ELH-EVERGREEN-07ELHTHF5818NY"/>
    <n v="2"/>
    <s v="ELH-EVERGREEN-072"/>
    <s v="ELH-EVERGREEN-072-ELHTHF5818NAVYOMM"/>
    <s v="ELH의류818"/>
    <s v="ELH"/>
    <s v="ELSTHE"/>
    <m/>
    <s v="ELH"/>
    <s v="ELS HATSON"/>
    <s v="F"/>
    <n v="5"/>
    <s v="TH"/>
    <s v="HOODED T-SHIRTS"/>
    <s v="K"/>
    <n v="818"/>
    <n v="818"/>
    <s v="ELHTHF5818"/>
    <n v="0.25"/>
    <s v="ELSTHE5818NYOMM"/>
    <s v="NY"/>
    <s v="NAVY"/>
    <s v="ELHTHF5818NY"/>
    <x v="1"/>
    <n v="0.25"/>
    <n v="0"/>
    <n v="1"/>
    <s v="OMM"/>
    <n v="80"/>
    <x v="13"/>
    <n v="7"/>
    <x v="7"/>
    <s v="M"/>
    <s v="CN"/>
    <x v="0"/>
    <n v="89000"/>
    <x v="30"/>
    <n v="16181.81818181818"/>
    <n v="0"/>
    <n v="-16181.81818181818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80"/>
    <n v="0"/>
    <n v="0"/>
    <n v="0"/>
    <n v="0"/>
    <n v="0"/>
    <n v="80"/>
    <n v="1294545.4545454544"/>
    <n v="7120000"/>
    <n v="5"/>
  </r>
  <r>
    <n v="0"/>
    <n v="0"/>
    <n v="9"/>
    <n v="9"/>
    <s v="전략"/>
    <x v="30"/>
    <s v="ELH-EVERGREEN-07"/>
    <s v="ELH-EVERGREEN-07ELHTHF5818NY"/>
    <n v="2"/>
    <s v="ELH-EVERGREEN-072"/>
    <s v="ELH-EVERGREEN-072-ELHTHF5818NAVYOXL"/>
    <s v="ELH의류818"/>
    <s v="ELH"/>
    <s v="ELSTHE"/>
    <m/>
    <s v="ELH"/>
    <s v="ELS HATSON"/>
    <s v="F"/>
    <n v="5"/>
    <s v="TH"/>
    <s v="HOODED T-SHIRTS"/>
    <s v="K"/>
    <n v="818"/>
    <n v="818"/>
    <s v="ELHTHF5818"/>
    <n v="0.25"/>
    <s v="ELSTHE5818NYOXL"/>
    <s v="NY"/>
    <s v="NAVY"/>
    <s v="ELHTHF5818NY"/>
    <x v="1"/>
    <n v="0.25"/>
    <n v="0"/>
    <n v="1"/>
    <s v="OXL"/>
    <n v="80"/>
    <x v="13"/>
    <n v="7"/>
    <x v="7"/>
    <s v="M"/>
    <s v="CN"/>
    <x v="0"/>
    <n v="89000"/>
    <x v="30"/>
    <n v="16181.81818181818"/>
    <n v="0"/>
    <n v="-16181.81818181818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80"/>
    <n v="0"/>
    <n v="0"/>
    <n v="0"/>
    <n v="0"/>
    <n v="0"/>
    <n v="80"/>
    <n v="1294545.4545454544"/>
    <n v="7120000"/>
    <n v="5"/>
  </r>
  <r>
    <n v="0"/>
    <n v="0"/>
    <n v="9"/>
    <n v="9"/>
    <s v="전략"/>
    <x v="30"/>
    <s v="ELH-EVERGREEN-07"/>
    <s v="ELH-EVERGREEN-07ELHTLF5807RE"/>
    <n v="3"/>
    <s v="ELH-EVERGREEN-073"/>
    <s v="ELH-EVERGREEN-073-ELHTLF5807REDOXS"/>
    <s v="ELH의류807"/>
    <s v="ELH"/>
    <s v="ELSTLE"/>
    <m/>
    <s v="ELH"/>
    <s v="ELS HATSON"/>
    <s v="F"/>
    <n v="5"/>
    <s v="TL"/>
    <s v="LONG SLEEVES"/>
    <s v="K"/>
    <n v="807"/>
    <n v="807"/>
    <s v="ELHTLF5807"/>
    <n v="0.25"/>
    <s v="ELSTLE5807REOXS"/>
    <s v="RE"/>
    <s v="RED"/>
    <s v="ELHTLF5807RE"/>
    <x v="1"/>
    <n v="0.25"/>
    <n v="0"/>
    <n v="1"/>
    <s v="OXS"/>
    <n v="50"/>
    <x v="13"/>
    <n v="7"/>
    <x v="7"/>
    <s v="M"/>
    <s v="CN"/>
    <x v="0"/>
    <n v="69000"/>
    <x v="30"/>
    <n v="12545.454545454544"/>
    <n v="0"/>
    <n v="-12545.454545454544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1"/>
    <n v="0"/>
    <n v="0"/>
    <n v="0"/>
    <n v="0"/>
    <n v="0"/>
    <n v="50"/>
    <n v="627272.72727272718"/>
    <n v="3450000"/>
    <n v="5"/>
  </r>
  <r>
    <n v="0"/>
    <n v="0"/>
    <n v="9"/>
    <n v="9"/>
    <s v="전략"/>
    <x v="30"/>
    <s v="ELH-EVERGREEN-07"/>
    <s v="ELH-EVERGREEN-07ELHTLF5807RE"/>
    <n v="3"/>
    <s v="ELH-EVERGREEN-073"/>
    <s v="ELH-EVERGREEN-073-ELHTLF5807REDOSS"/>
    <s v="ELH의류807"/>
    <s v="ELH"/>
    <s v="ELSTLE"/>
    <m/>
    <s v="ELH"/>
    <s v="ELS HATSON"/>
    <s v="F"/>
    <n v="5"/>
    <s v="TL"/>
    <s v="LONG SLEEVES"/>
    <s v="K"/>
    <n v="807"/>
    <n v="807"/>
    <s v="ELHTLF5807"/>
    <n v="0.25"/>
    <s v="ELSTLE5807REOSS"/>
    <s v="RE"/>
    <s v="RED"/>
    <s v="ELHTLF5807RE"/>
    <x v="1"/>
    <n v="0.25"/>
    <n v="0"/>
    <n v="1"/>
    <s v="OSS"/>
    <n v="50"/>
    <x v="13"/>
    <n v="7"/>
    <x v="7"/>
    <s v="M"/>
    <s v="CN"/>
    <x v="0"/>
    <n v="69000"/>
    <x v="30"/>
    <n v="12545.454545454544"/>
    <n v="0"/>
    <n v="-12545.454545454544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627272.72727272718"/>
    <n v="3450000"/>
    <n v="5"/>
  </r>
  <r>
    <n v="0"/>
    <n v="0"/>
    <n v="9"/>
    <n v="9"/>
    <s v="전략"/>
    <x v="30"/>
    <s v="ELH-EVERGREEN-07"/>
    <s v="ELH-EVERGREEN-07ELHTLF5807RE"/>
    <n v="3"/>
    <s v="ELH-EVERGREEN-073"/>
    <s v="ELH-EVERGREEN-073-ELHTLF5807REDOMM"/>
    <s v="ELH의류807"/>
    <s v="ELH"/>
    <s v="ELSTLE"/>
    <m/>
    <s v="ELH"/>
    <s v="ELS HATSON"/>
    <s v="F"/>
    <n v="5"/>
    <s v="TL"/>
    <s v="LONG SLEEVES"/>
    <s v="K"/>
    <n v="807"/>
    <n v="807"/>
    <s v="ELHTLF5807"/>
    <n v="0.25"/>
    <s v="ELSTLE5807REOMM"/>
    <s v="RE"/>
    <s v="RED"/>
    <s v="ELHTLF5807RE"/>
    <x v="1"/>
    <n v="0.25"/>
    <n v="0"/>
    <n v="1"/>
    <s v="OMM"/>
    <n v="50"/>
    <x v="13"/>
    <n v="7"/>
    <x v="7"/>
    <s v="M"/>
    <s v="CN"/>
    <x v="0"/>
    <n v="69000"/>
    <x v="30"/>
    <n v="12545.454545454544"/>
    <n v="0"/>
    <n v="-12545.454545454544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627272.72727272718"/>
    <n v="3450000"/>
    <n v="5"/>
  </r>
  <r>
    <n v="0"/>
    <n v="0"/>
    <n v="9"/>
    <n v="9"/>
    <s v="전략"/>
    <x v="30"/>
    <s v="ELH-EVERGREEN-07"/>
    <s v="ELH-EVERGREEN-07ELHTLF5807RE"/>
    <n v="3"/>
    <s v="ELH-EVERGREEN-073"/>
    <s v="ELH-EVERGREEN-073-ELHTLF5807REDOXL"/>
    <s v="ELH의류807"/>
    <s v="ELH"/>
    <s v="ELSTLE"/>
    <m/>
    <s v="ELH"/>
    <s v="ELS HATSON"/>
    <s v="F"/>
    <n v="5"/>
    <s v="TL"/>
    <s v="LONG SLEEVES"/>
    <s v="K"/>
    <n v="807"/>
    <n v="807"/>
    <s v="ELHTLF5807"/>
    <n v="0.25"/>
    <s v="ELSTLE5807REOXL"/>
    <s v="RE"/>
    <s v="RED"/>
    <s v="ELHTLF5807RE"/>
    <x v="1"/>
    <n v="0.25"/>
    <n v="0"/>
    <n v="1"/>
    <s v="OXL"/>
    <n v="50"/>
    <x v="13"/>
    <n v="7"/>
    <x v="7"/>
    <s v="M"/>
    <s v="CN"/>
    <x v="0"/>
    <n v="69000"/>
    <x v="30"/>
    <n v="12545.454545454544"/>
    <n v="0"/>
    <n v="-12545.454545454544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51"/>
    <n v="0"/>
    <n v="0"/>
    <n v="0"/>
    <n v="0"/>
    <n v="0"/>
    <n v="50"/>
    <n v="627272.72727272718"/>
    <n v="3450000"/>
    <n v="5"/>
  </r>
  <r>
    <n v="0"/>
    <n v="0"/>
    <n v="9"/>
    <n v="9"/>
    <s v="전략"/>
    <x v="30"/>
    <s v="ELH-EVERGREEN-07"/>
    <s v="ELH-EVERGREEN-07ELHTLF5808BK"/>
    <n v="4"/>
    <s v="ELH-EVERGREEN-074"/>
    <s v="ELH-EVERGREEN-074-ELHTLF5808BLACKOXS"/>
    <s v="ELH의류808"/>
    <s v="ELH"/>
    <s v="ELSTLE"/>
    <m/>
    <s v="ELH"/>
    <s v="ELS HATSON"/>
    <s v="F"/>
    <n v="5"/>
    <s v="TL"/>
    <s v="LONG SLEEVES"/>
    <s v="K"/>
    <n v="808"/>
    <n v="808"/>
    <s v="ELHTLF5808"/>
    <n v="0.25"/>
    <s v="ELSTLE5808BKOXS"/>
    <s v="BK"/>
    <s v="BLACK"/>
    <s v="ELHTLF5808BK"/>
    <x v="1"/>
    <n v="0.25"/>
    <n v="0"/>
    <n v="1"/>
    <s v="OXS"/>
    <n v="100"/>
    <x v="13"/>
    <n v="7"/>
    <x v="7"/>
    <s v="M"/>
    <s v="CN"/>
    <x v="0"/>
    <n v="69000"/>
    <x v="30"/>
    <n v="12545.454545454544"/>
    <n v="0"/>
    <n v="-12545.454545454544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254545.4545454544"/>
    <n v="6900000"/>
    <n v="5"/>
  </r>
  <r>
    <n v="0"/>
    <n v="0"/>
    <n v="9"/>
    <n v="9"/>
    <s v="전략"/>
    <x v="30"/>
    <s v="ELH-EVERGREEN-07"/>
    <s v="ELH-EVERGREEN-07ELHTLF5808BK"/>
    <n v="4"/>
    <s v="ELH-EVERGREEN-074"/>
    <s v="ELH-EVERGREEN-074-ELHTLF5808BLACKOSS"/>
    <s v="ELH의류808"/>
    <s v="ELH"/>
    <s v="ELSTLE"/>
    <m/>
    <s v="ELH"/>
    <s v="ELS HATSON"/>
    <s v="F"/>
    <n v="5"/>
    <s v="TL"/>
    <s v="LONG SLEEVES"/>
    <s v="K"/>
    <n v="808"/>
    <n v="808"/>
    <s v="ELHTLF5808"/>
    <n v="0.25"/>
    <s v="ELSTLE5808BKOSS"/>
    <s v="BK"/>
    <s v="BLACK"/>
    <s v="ELHTLF5808BK"/>
    <x v="1"/>
    <n v="0.25"/>
    <n v="0"/>
    <n v="1"/>
    <s v="OSS"/>
    <n v="130"/>
    <x v="13"/>
    <n v="7"/>
    <x v="7"/>
    <s v="M"/>
    <s v="CN"/>
    <x v="0"/>
    <n v="69000"/>
    <x v="30"/>
    <n v="12545.454545454544"/>
    <n v="0"/>
    <n v="-12545.454545454544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130"/>
    <n v="0"/>
    <n v="0"/>
    <n v="0"/>
    <n v="0"/>
    <n v="0"/>
    <n v="130"/>
    <n v="1630909.0909090908"/>
    <n v="8970000"/>
    <n v="5"/>
  </r>
  <r>
    <n v="0"/>
    <n v="0"/>
    <n v="9"/>
    <n v="9"/>
    <s v="전략"/>
    <x v="30"/>
    <s v="ELH-EVERGREEN-07"/>
    <s v="ELH-EVERGREEN-07ELHTLF5808BK"/>
    <n v="4"/>
    <s v="ELH-EVERGREEN-074"/>
    <s v="ELH-EVERGREEN-074-ELHTLF5808BLACKOMM"/>
    <s v="ELH의류808"/>
    <s v="ELH"/>
    <s v="ELSTLE"/>
    <m/>
    <s v="ELH"/>
    <s v="ELS HATSON"/>
    <s v="F"/>
    <n v="5"/>
    <s v="TL"/>
    <s v="LONG SLEEVES"/>
    <s v="K"/>
    <n v="808"/>
    <n v="808"/>
    <s v="ELHTLF5808"/>
    <n v="0.25"/>
    <s v="ELSTLE5808BKOMM"/>
    <s v="BK"/>
    <s v="BLACK"/>
    <s v="ELHTLF5808BK"/>
    <x v="1"/>
    <n v="0.25"/>
    <n v="0"/>
    <n v="1"/>
    <s v="OMM"/>
    <n v="25"/>
    <x v="13"/>
    <n v="7"/>
    <x v="7"/>
    <s v="M"/>
    <s v="CN"/>
    <x v="0"/>
    <n v="69000"/>
    <x v="30"/>
    <n v="12545.454545454544"/>
    <n v="0"/>
    <n v="-12545.454545454544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23"/>
    <n v="0"/>
    <n v="0"/>
    <n v="0"/>
    <n v="0"/>
    <n v="0"/>
    <n v="25"/>
    <n v="313636.36363636359"/>
    <n v="1725000"/>
    <n v="5"/>
  </r>
  <r>
    <n v="0"/>
    <n v="0"/>
    <n v="9"/>
    <n v="9"/>
    <s v="전략"/>
    <x v="30"/>
    <s v="ELH-EVERGREEN-07"/>
    <s v="ELH-EVERGREEN-07ELHTLF5808BK"/>
    <n v="4"/>
    <s v="ELH-EVERGREEN-074"/>
    <s v="ELH-EVERGREEN-074-ELHTLF5808BLACKOXL"/>
    <s v="ELH의류808"/>
    <s v="ELH"/>
    <s v="ELSTLE"/>
    <m/>
    <s v="ELH"/>
    <s v="ELS HATSON"/>
    <s v="F"/>
    <n v="5"/>
    <s v="TL"/>
    <s v="LONG SLEEVES"/>
    <s v="K"/>
    <n v="808"/>
    <n v="808"/>
    <s v="ELHTLF5808"/>
    <n v="0.25"/>
    <s v="ELSTLE5808BKOXL"/>
    <s v="BK"/>
    <s v="BLACK"/>
    <s v="ELHTLF5808BK"/>
    <x v="1"/>
    <n v="0.25"/>
    <n v="0"/>
    <n v="1"/>
    <s v="OXL"/>
    <n v="16"/>
    <x v="13"/>
    <n v="7"/>
    <x v="7"/>
    <s v="M"/>
    <s v="CN"/>
    <x v="0"/>
    <n v="69000"/>
    <x v="30"/>
    <n v="12545.454545454544"/>
    <n v="0"/>
    <n v="-12545.454545454544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16"/>
    <n v="0"/>
    <n v="0"/>
    <n v="0"/>
    <n v="0"/>
    <n v="0"/>
    <n v="16"/>
    <n v="200727.27272727271"/>
    <n v="1104000"/>
    <n v="5"/>
  </r>
  <r>
    <n v="0"/>
    <n v="0"/>
    <n v="9"/>
    <n v="9"/>
    <s v="전략"/>
    <x v="30"/>
    <s v="ELH-EVERGREEN-07"/>
    <s v="ELH-EVERGREEN-07ELHTLF5809YE"/>
    <n v="5"/>
    <s v="ELH-EVERGREEN-075"/>
    <s v="ELH-EVERGREEN-075-ELHTLF5809YELLOWOXS"/>
    <s v="ELH의류809"/>
    <s v="ELH"/>
    <s v="ELSTLE"/>
    <m/>
    <s v="ELH"/>
    <s v="ELS HATSON"/>
    <s v="F"/>
    <n v="5"/>
    <s v="TL"/>
    <s v="LONG SLEEVES"/>
    <s v="K"/>
    <n v="809"/>
    <n v="809"/>
    <s v="ELHTLF5809"/>
    <n v="0.25"/>
    <s v="ELSTLE5809YEOXS"/>
    <s v="YE"/>
    <s v="YELLOW"/>
    <s v="ELHTLF5809YE"/>
    <x v="1"/>
    <n v="0.25"/>
    <n v="0"/>
    <n v="1"/>
    <s v="OXS"/>
    <n v="100"/>
    <x v="13"/>
    <n v="7"/>
    <x v="7"/>
    <s v="M"/>
    <s v="CN"/>
    <x v="0"/>
    <n v="69000"/>
    <x v="30"/>
    <n v="12545.454545454544"/>
    <n v="0"/>
    <n v="-12545.454545454544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254545.4545454544"/>
    <n v="6900000"/>
    <n v="5"/>
  </r>
  <r>
    <n v="0"/>
    <n v="0"/>
    <n v="9"/>
    <n v="9"/>
    <s v="전략"/>
    <x v="30"/>
    <s v="ELH-EVERGREEN-07"/>
    <s v="ELH-EVERGREEN-07ELHTLF5809YE"/>
    <n v="5"/>
    <s v="ELH-EVERGREEN-075"/>
    <s v="ELH-EVERGREEN-075-ELHTLF5809YELLOWOSS"/>
    <s v="ELH의류809"/>
    <s v="ELH"/>
    <s v="ELSTLE"/>
    <m/>
    <s v="ELH"/>
    <s v="ELS HATSON"/>
    <s v="F"/>
    <n v="5"/>
    <s v="TL"/>
    <s v="LONG SLEEVES"/>
    <s v="K"/>
    <n v="809"/>
    <n v="809"/>
    <s v="ELHTLF5809"/>
    <n v="0.25"/>
    <s v="ELSTLE5809YEOSS"/>
    <s v="YE"/>
    <s v="YELLOW"/>
    <s v="ELHTLF5809YE"/>
    <x v="1"/>
    <n v="0.25"/>
    <n v="0"/>
    <n v="1"/>
    <s v="OSS"/>
    <n v="100"/>
    <x v="13"/>
    <n v="7"/>
    <x v="7"/>
    <s v="M"/>
    <s v="CN"/>
    <x v="0"/>
    <n v="69000"/>
    <x v="30"/>
    <n v="12545.454545454544"/>
    <n v="0"/>
    <n v="-12545.454545454544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254545.4545454544"/>
    <n v="6900000"/>
    <n v="5"/>
  </r>
  <r>
    <n v="0"/>
    <n v="0"/>
    <n v="9"/>
    <n v="9"/>
    <s v="전략"/>
    <x v="30"/>
    <s v="ELH-EVERGREEN-07"/>
    <s v="ELH-EVERGREEN-07ELHTLF5809YE"/>
    <n v="5"/>
    <s v="ELH-EVERGREEN-075"/>
    <s v="ELH-EVERGREEN-075-ELHTLF5809YELLOWOMM"/>
    <s v="ELH의류809"/>
    <s v="ELH"/>
    <s v="ELSTLE"/>
    <m/>
    <s v="ELH"/>
    <s v="ELS HATSON"/>
    <s v="F"/>
    <n v="5"/>
    <s v="TL"/>
    <s v="LONG SLEEVES"/>
    <s v="K"/>
    <n v="809"/>
    <n v="809"/>
    <s v="ELHTLF5809"/>
    <n v="0.25"/>
    <s v="ELSTLE5809YEOMM"/>
    <s v="YE"/>
    <s v="YELLOW"/>
    <s v="ELHTLF5809YE"/>
    <x v="1"/>
    <n v="0.25"/>
    <n v="0"/>
    <n v="1"/>
    <s v="OMM"/>
    <n v="100"/>
    <x v="13"/>
    <n v="7"/>
    <x v="7"/>
    <s v="M"/>
    <s v="CN"/>
    <x v="0"/>
    <n v="69000"/>
    <x v="30"/>
    <n v="12545.454545454544"/>
    <n v="0"/>
    <n v="-12545.454545454544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254545.4545454544"/>
    <n v="6900000"/>
    <n v="5"/>
  </r>
  <r>
    <n v="0"/>
    <n v="0"/>
    <n v="9"/>
    <n v="9"/>
    <s v="전략"/>
    <x v="30"/>
    <s v="ELH-EVERGREEN-07"/>
    <s v="ELH-EVERGREEN-07ELHTLF5809YE"/>
    <n v="5"/>
    <s v="ELH-EVERGREEN-075"/>
    <s v="ELH-EVERGREEN-075-ELHTLF5809YELLOWOXL"/>
    <s v="ELH의류809"/>
    <s v="ELH"/>
    <s v="ELSTLE"/>
    <m/>
    <s v="ELH"/>
    <s v="ELS HATSON"/>
    <s v="F"/>
    <n v="5"/>
    <s v="TL"/>
    <s v="LONG SLEEVES"/>
    <s v="K"/>
    <n v="809"/>
    <n v="809"/>
    <s v="ELHTLF5809"/>
    <n v="0.25"/>
    <s v="ELSTLE5809YEOXL"/>
    <s v="YE"/>
    <s v="YELLOW"/>
    <s v="ELHTLF5809YE"/>
    <x v="1"/>
    <n v="0.25"/>
    <n v="0"/>
    <n v="1"/>
    <s v="OXL"/>
    <n v="100"/>
    <x v="13"/>
    <n v="7"/>
    <x v="7"/>
    <s v="M"/>
    <s v="CN"/>
    <x v="0"/>
    <n v="69000"/>
    <x v="30"/>
    <n v="12545.454545454544"/>
    <n v="0"/>
    <n v="-12545.454545454544"/>
    <n v="0"/>
    <n v="0"/>
    <s v=""/>
    <n v="0"/>
    <n v="0"/>
    <n v="0"/>
    <d v="2014-09-16T00:00:00"/>
    <d v="1899-12-30T00:00:00"/>
    <d v="2014-09-19T00:00:00"/>
    <d v="1899-12-30T00:00:00"/>
    <d v="2014-09-17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254545.4545454544"/>
    <n v="6900000"/>
    <n v="5"/>
  </r>
  <r>
    <n v="0"/>
    <n v="0"/>
    <s v=""/>
    <s v=""/>
    <s v=""/>
    <x v="1"/>
    <s v=""/>
    <s v=""/>
    <n v="0"/>
    <s v="0"/>
    <s v="0-"/>
    <n v="0"/>
    <s v="TTL"/>
    <s v=""/>
    <s v="ELH-EVERGREEN-07 TTL"/>
    <m/>
    <s v=""/>
    <s v=""/>
    <s v=""/>
    <s v=""/>
    <s v=""/>
    <s v="K"/>
    <s v=""/>
    <s v=""/>
    <s v=""/>
    <n v="5"/>
    <m/>
    <s v=""/>
    <m/>
    <s v=""/>
    <x v="0"/>
    <n v="5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281"/>
    <n v="400"/>
    <n v="0"/>
    <n v="0"/>
    <n v="0"/>
    <n v="0"/>
    <n v="1681"/>
    <n v="24034363.636363626"/>
    <n v="132189000"/>
    <n v="5.0000000000000018"/>
  </r>
  <r>
    <n v="0"/>
    <n v="0"/>
    <n v="10"/>
    <n v="10"/>
    <s v="F-CAP"/>
    <x v="23"/>
    <s v="ELH-FOREMOST-27"/>
    <s v="ELH-FOREMOST-27ELHBEF5802GR"/>
    <n v="1"/>
    <s v="ELH-FOREMOST-271"/>
    <s v="ELH-FOREMOST-271-ELHBEF5802GREENFRE"/>
    <s v="ELH의류외802"/>
    <s v="ELH"/>
    <s v="ELSBEE"/>
    <m/>
    <s v="ELH"/>
    <s v="ELS HATSON"/>
    <s v="F"/>
    <n v="5"/>
    <s v="BE"/>
    <s v="BEANIE"/>
    <s v="K"/>
    <n v="802"/>
    <n v="802"/>
    <s v="ELHBEF5802"/>
    <n v="1"/>
    <s v="ELSBEE5802GRFRE"/>
    <s v="GR"/>
    <s v="GREEN"/>
    <s v="ELHBEF5802GR"/>
    <x v="1"/>
    <n v="1"/>
    <n v="0"/>
    <n v="1"/>
    <s v="FRE"/>
    <n v="100"/>
    <x v="4"/>
    <n v="27"/>
    <x v="30"/>
    <s v="M"/>
    <s v="CN"/>
    <x v="0"/>
    <n v="45000"/>
    <x v="20"/>
    <n v="6818.1818181818171"/>
    <n v="0"/>
    <n v="-6818.181818181817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681818.18181818177"/>
    <n v="4500000"/>
    <n v="6"/>
  </r>
  <r>
    <n v="0"/>
    <n v="0"/>
    <n v="10"/>
    <n v="10"/>
    <s v="F-CAP"/>
    <x v="23"/>
    <s v="ELH-FOREMOST-27"/>
    <s v="ELH-FOREMOST-27ELHBEF5803BL"/>
    <n v="2"/>
    <s v="ELH-FOREMOST-272"/>
    <s v="ELH-FOREMOST-272-ELHBEF5803BLUEFRE"/>
    <s v="ELH의류외803"/>
    <s v="ELH"/>
    <s v="ELSBEE"/>
    <m/>
    <s v="ELH"/>
    <s v="ELS HATSON"/>
    <s v="F"/>
    <n v="5"/>
    <s v="BE"/>
    <s v="BEANIE"/>
    <s v="K"/>
    <n v="803"/>
    <n v="803"/>
    <s v="ELHBEF5803"/>
    <n v="1"/>
    <s v="ELSBEE5803BLFRE"/>
    <s v="BL"/>
    <s v="BLUE"/>
    <s v="ELHBEF5803BL"/>
    <x v="1"/>
    <n v="1"/>
    <n v="0"/>
    <n v="1"/>
    <s v="FRE"/>
    <n v="100"/>
    <x v="4"/>
    <n v="27"/>
    <x v="30"/>
    <s v="M"/>
    <s v="CN"/>
    <x v="0"/>
    <n v="45000"/>
    <x v="20"/>
    <n v="6818.1818181818171"/>
    <n v="0"/>
    <n v="-6818.181818181817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681818.18181818177"/>
    <n v="4500000"/>
    <n v="6"/>
  </r>
  <r>
    <n v="0"/>
    <n v="0"/>
    <n v="10"/>
    <n v="10"/>
    <s v="F-CAP"/>
    <x v="23"/>
    <s v="ELH-FOREMOST-27"/>
    <s v="ELH-FOREMOST-27ELHBEF5804BK"/>
    <n v="3"/>
    <s v="ELH-FOREMOST-273"/>
    <s v="ELH-FOREMOST-273-ELHBEF5804BLACKFRE"/>
    <s v="ELH의류외804"/>
    <s v="ELH"/>
    <s v="ELSBEE"/>
    <m/>
    <s v="ELH"/>
    <s v="ELS HATSON"/>
    <s v="F"/>
    <n v="5"/>
    <s v="BE"/>
    <s v="BEANIE"/>
    <s v="K"/>
    <n v="804"/>
    <n v="804"/>
    <s v="ELHBEF5804"/>
    <n v="1"/>
    <s v="ELSBEE5804BKFRE"/>
    <s v="BK"/>
    <s v="BLACK"/>
    <s v="ELHBEF5804BK"/>
    <x v="1"/>
    <n v="1"/>
    <n v="0"/>
    <n v="1"/>
    <s v="FRE"/>
    <n v="50"/>
    <x v="4"/>
    <n v="27"/>
    <x v="30"/>
    <s v="M"/>
    <s v="CN"/>
    <x v="0"/>
    <n v="35000"/>
    <x v="20"/>
    <n v="5303.030303030303"/>
    <n v="0"/>
    <n v="-5303.030303030303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265151.51515151514"/>
    <n v="1750000"/>
    <n v="6"/>
  </r>
  <r>
    <n v="0"/>
    <n v="0"/>
    <n v="10"/>
    <n v="10"/>
    <s v="F-CAP"/>
    <x v="23"/>
    <s v="ELH-FOREMOST-27"/>
    <s v="ELH-FOREMOST-27ELHBEF5804GR"/>
    <n v="4"/>
    <s v="ELH-FOREMOST-274"/>
    <s v="ELH-FOREMOST-274-ELHBEF5804GREENFRE"/>
    <s v="ELH의류외804"/>
    <s v="ELH"/>
    <s v="ELSBEE"/>
    <m/>
    <s v="ELH"/>
    <s v="ELS HATSON"/>
    <s v="F"/>
    <n v="5"/>
    <s v="BE"/>
    <s v="BEANIE"/>
    <s v="K"/>
    <n v="804"/>
    <n v="804"/>
    <s v="ELHBEF5804"/>
    <n v="1"/>
    <s v="ELSBEE5804GRFRE"/>
    <s v="GR"/>
    <s v="GREEN"/>
    <s v="ELHBEF5804GR"/>
    <x v="1"/>
    <n v="1"/>
    <n v="0"/>
    <n v="1"/>
    <s v="FRE"/>
    <n v="50"/>
    <x v="4"/>
    <n v="27"/>
    <x v="30"/>
    <s v="M"/>
    <s v="CN"/>
    <x v="0"/>
    <n v="35000"/>
    <x v="20"/>
    <n v="5303.030303030303"/>
    <n v="0"/>
    <n v="-5303.030303030303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265151.51515151514"/>
    <n v="1750000"/>
    <n v="6"/>
  </r>
  <r>
    <n v="0"/>
    <n v="0"/>
    <n v="10"/>
    <n v="10"/>
    <s v="F-CAP"/>
    <x v="23"/>
    <s v="ELH-FOREMOST-27"/>
    <s v="ELH-FOREMOST-27ELHBEF5804PK"/>
    <n v="5"/>
    <s v="ELH-FOREMOST-275"/>
    <s v="ELH-FOREMOST-275-ELHBEF5804PINKFRE"/>
    <s v="ELH의류외804"/>
    <s v="ELH"/>
    <s v="ELSBEE"/>
    <m/>
    <s v="ELH"/>
    <s v="ELS HATSON"/>
    <s v="F"/>
    <n v="5"/>
    <s v="BE"/>
    <s v="BEANIE"/>
    <s v="K"/>
    <n v="804"/>
    <n v="804"/>
    <s v="ELHBEF5804"/>
    <n v="1"/>
    <s v="ELSBEE5804PKFRE"/>
    <s v="PK"/>
    <s v="PINK"/>
    <s v="ELHBEF5804PK"/>
    <x v="1"/>
    <n v="1"/>
    <n v="0"/>
    <n v="1"/>
    <s v="FRE"/>
    <n v="50"/>
    <x v="4"/>
    <n v="27"/>
    <x v="30"/>
    <s v="M"/>
    <s v="CN"/>
    <x v="0"/>
    <n v="35000"/>
    <x v="20"/>
    <n v="5303.030303030303"/>
    <n v="0"/>
    <n v="-5303.030303030303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265151.51515151514"/>
    <n v="1750000"/>
    <n v="6"/>
  </r>
  <r>
    <n v="0"/>
    <n v="0"/>
    <n v="10"/>
    <n v="10"/>
    <s v="F-CAP"/>
    <x v="23"/>
    <s v="ELH-FOREMOST-27"/>
    <s v="ELH-FOREMOST-27ELHBEF5838MT"/>
    <n v="6"/>
    <s v="ELH-FOREMOST-276"/>
    <s v="ELH-FOREMOST-276-ELHBEF5838MINTFRE"/>
    <s v="ELH의류외838"/>
    <s v="ELH"/>
    <s v="ELSBEE"/>
    <m/>
    <s v="ELH"/>
    <s v="ELS HATSON"/>
    <s v="F"/>
    <n v="5"/>
    <s v="BE"/>
    <s v="BEANIE"/>
    <s v="K"/>
    <n v="838"/>
    <n v="838"/>
    <s v="ELHBEF5838"/>
    <n v="1"/>
    <s v="ELSBEE5838MTFRE"/>
    <s v="MT"/>
    <s v="MINT"/>
    <s v="ELHBEF5838MT"/>
    <x v="1"/>
    <n v="1"/>
    <n v="0"/>
    <n v="1"/>
    <s v="FRE"/>
    <n v="100"/>
    <x v="4"/>
    <n v="27"/>
    <x v="30"/>
    <s v="M"/>
    <s v="CN"/>
    <x v="0"/>
    <n v="45000"/>
    <x v="20"/>
    <n v="6818.1818181818171"/>
    <n v="0"/>
    <n v="-6818.181818181817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681818.18181818177"/>
    <n v="4500000"/>
    <n v="6"/>
  </r>
  <r>
    <n v="0"/>
    <n v="0"/>
    <n v="10"/>
    <n v="10"/>
    <s v="F-CAP"/>
    <x v="23"/>
    <s v="ELH-FOREMOST-27"/>
    <s v="ELH-FOREMOST-27ELHBEF5839BL"/>
    <n v="7"/>
    <s v="ELH-FOREMOST-277"/>
    <s v="ELH-FOREMOST-277-ELHBEF5839BLUEFRE"/>
    <s v="ELH의류외839"/>
    <s v="ELH"/>
    <s v="ELSBEE"/>
    <m/>
    <s v="ELH"/>
    <s v="ELS HATSON"/>
    <s v="F"/>
    <n v="5"/>
    <s v="BE"/>
    <s v="BEANIE"/>
    <s v="K"/>
    <n v="839"/>
    <n v="839"/>
    <s v="ELHBEF5839"/>
    <n v="1"/>
    <s v="ELSBEE5839BLFRE"/>
    <s v="BL"/>
    <s v="BLUE"/>
    <s v="ELHBEF5839BL"/>
    <x v="1"/>
    <n v="1"/>
    <n v="0"/>
    <n v="1"/>
    <s v="FRE"/>
    <n v="50"/>
    <x v="4"/>
    <n v="27"/>
    <x v="30"/>
    <s v="M"/>
    <s v="CN"/>
    <x v="0"/>
    <n v="45000"/>
    <x v="20"/>
    <n v="6818.1818181818171"/>
    <n v="0"/>
    <n v="-6818.181818181817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340909.09090909088"/>
    <n v="2250000"/>
    <n v="6"/>
  </r>
  <r>
    <n v="0"/>
    <n v="0"/>
    <n v="10"/>
    <n v="10"/>
    <s v="F-CAP"/>
    <x v="23"/>
    <s v="ELH-FOREMOST-27"/>
    <s v="ELH-FOREMOST-27ELHEBF5828GY"/>
    <n v="8"/>
    <s v="ELH-FOREMOST-278"/>
    <s v="ELH-FOREMOST-278-ELHEBF5828GREYFRE"/>
    <s v="ELH의류외828"/>
    <s v="ELH"/>
    <s v="ELSEBE"/>
    <m/>
    <s v="ELH"/>
    <s v="ELS HATSON"/>
    <s v="F"/>
    <n v="5"/>
    <s v="EB"/>
    <s v="EARFLAP BEANIE"/>
    <s v="K"/>
    <n v="828"/>
    <n v="828"/>
    <s v="ELHEBF5828"/>
    <n v="1"/>
    <s v="ELSEBE5828GYFRE"/>
    <s v="GY"/>
    <s v="GREY"/>
    <s v="ELHEBF5828GY"/>
    <x v="1"/>
    <n v="1"/>
    <n v="0"/>
    <n v="1"/>
    <s v="FRE"/>
    <n v="100"/>
    <x v="4"/>
    <n v="27"/>
    <x v="30"/>
    <s v="M"/>
    <s v="CN"/>
    <x v="0"/>
    <n v="45000"/>
    <x v="20"/>
    <n v="6818.1818181818171"/>
    <n v="0"/>
    <n v="-6818.181818181817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681818.18181818177"/>
    <n v="4500000"/>
    <n v="6"/>
  </r>
  <r>
    <n v="0"/>
    <n v="0"/>
    <n v="10"/>
    <n v="10"/>
    <s v="F-CAP"/>
    <x v="23"/>
    <s v="ELH-FOREMOST-27"/>
    <s v="ELH-FOREMOST-27ELHEBF5828MT"/>
    <n v="9"/>
    <s v="ELH-FOREMOST-279"/>
    <s v="ELH-FOREMOST-279-ELHEBF5828MINTFRE"/>
    <s v="ELH의류외828"/>
    <s v="ELH"/>
    <s v="ELSEBE"/>
    <m/>
    <s v="ELH"/>
    <s v="ELS HATSON"/>
    <s v="F"/>
    <n v="5"/>
    <s v="EB"/>
    <s v="EARFLAP BEANIE"/>
    <s v="K"/>
    <n v="828"/>
    <n v="828"/>
    <s v="ELHEBF5828"/>
    <n v="1"/>
    <s v="ELSEBE5828MTFRE"/>
    <s v="MT"/>
    <s v="MINT"/>
    <s v="ELHEBF5828MT"/>
    <x v="1"/>
    <n v="1"/>
    <n v="0"/>
    <n v="1"/>
    <s v="FRE"/>
    <n v="100"/>
    <x v="4"/>
    <n v="27"/>
    <x v="30"/>
    <s v="M"/>
    <s v="CN"/>
    <x v="0"/>
    <n v="45000"/>
    <x v="20"/>
    <n v="6818.1818181818171"/>
    <n v="0"/>
    <n v="-6818.181818181817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681818.18181818177"/>
    <n v="4500000"/>
    <n v="6"/>
  </r>
  <r>
    <n v="0"/>
    <n v="0"/>
    <n v="10"/>
    <n v="10"/>
    <s v="F-CAP"/>
    <x v="23"/>
    <s v="ELH-FOREMOST-27"/>
    <s v="ELH-FOREMOST-27ELHEBF5829BL"/>
    <n v="10"/>
    <s v="ELH-FOREMOST-2710"/>
    <s v="ELH-FOREMOST-2710-ELHEBF5829BLUEFRE"/>
    <s v="ELH의류외829"/>
    <s v="ELH"/>
    <s v="ELSEBE"/>
    <m/>
    <s v="ELH"/>
    <s v="ELS HATSON"/>
    <s v="F"/>
    <n v="5"/>
    <s v="EB"/>
    <s v="EARFLAP BEANIE"/>
    <s v="K"/>
    <n v="829"/>
    <n v="829"/>
    <s v="ELHEBF5829"/>
    <n v="1"/>
    <s v="ELSEBE5829BLFRE"/>
    <s v="BL"/>
    <s v="BLUE"/>
    <s v="ELHEBF5829BL"/>
    <x v="1"/>
    <n v="1"/>
    <n v="0"/>
    <n v="1"/>
    <s v="FRE"/>
    <n v="50"/>
    <x v="4"/>
    <n v="27"/>
    <x v="30"/>
    <s v="M"/>
    <s v="CN"/>
    <x v="0"/>
    <n v="43000"/>
    <x v="20"/>
    <n v="6515.151515151515"/>
    <n v="0"/>
    <n v="-6515.151515151515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325757.57575757575"/>
    <n v="2150000"/>
    <n v="5.9999999999999991"/>
  </r>
  <r>
    <n v="0"/>
    <n v="0"/>
    <n v="10"/>
    <n v="10"/>
    <s v="F-CAP"/>
    <x v="23"/>
    <s v="ELH-FOREMOST-27"/>
    <s v="ELH-FOREMOST-27ELHEBF5829MT"/>
    <n v="11"/>
    <s v="ELH-FOREMOST-2711"/>
    <s v="ELH-FOREMOST-2711-ELHEBF5829MINTFRE"/>
    <s v="ELH의류외829"/>
    <s v="ELH"/>
    <s v="ELSEBE"/>
    <m/>
    <s v="ELH"/>
    <s v="ELS HATSON"/>
    <s v="F"/>
    <n v="5"/>
    <s v="EB"/>
    <s v="EARFLAP BEANIE"/>
    <s v="K"/>
    <n v="829"/>
    <n v="829"/>
    <s v="ELHEBF5829"/>
    <n v="1"/>
    <s v="ELSEBE5829MTFRE"/>
    <s v="MT"/>
    <s v="MINT"/>
    <s v="ELHEBF5829MT"/>
    <x v="1"/>
    <n v="1"/>
    <n v="0"/>
    <n v="1"/>
    <s v="FRE"/>
    <n v="50"/>
    <x v="4"/>
    <n v="27"/>
    <x v="30"/>
    <s v="M"/>
    <s v="CN"/>
    <x v="0"/>
    <n v="43000"/>
    <x v="20"/>
    <n v="6515.151515151515"/>
    <n v="0"/>
    <n v="-6515.151515151515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325757.57575757575"/>
    <n v="2150000"/>
    <n v="5.9999999999999991"/>
  </r>
  <r>
    <n v="0"/>
    <n v="0"/>
    <n v="10"/>
    <n v="10"/>
    <s v="F-CAP"/>
    <x v="23"/>
    <s v="ELH-FOREMOST-27"/>
    <s v="ELH-FOREMOST-27ELHEBF5829NY"/>
    <n v="12"/>
    <s v="ELH-FOREMOST-2712"/>
    <s v="ELH-FOREMOST-2712-ELHEBF5829NAVYFRE"/>
    <s v="ELH의류외829"/>
    <s v="ELH"/>
    <s v="ELSEBE"/>
    <m/>
    <s v="ELH"/>
    <s v="ELS HATSON"/>
    <s v="F"/>
    <n v="5"/>
    <s v="EB"/>
    <s v="EARFLAP BEANIE"/>
    <s v="K"/>
    <n v="829"/>
    <n v="829"/>
    <s v="ELHEBF5829"/>
    <n v="1"/>
    <s v="ELSEBE5829NYFRE"/>
    <s v="NY"/>
    <s v="NAVY"/>
    <s v="ELHEBF5829NY"/>
    <x v="1"/>
    <n v="1"/>
    <n v="0"/>
    <n v="1"/>
    <s v="FRE"/>
    <n v="50"/>
    <x v="4"/>
    <n v="27"/>
    <x v="30"/>
    <s v="M"/>
    <s v="CN"/>
    <x v="0"/>
    <n v="43000"/>
    <x v="20"/>
    <n v="6515.151515151515"/>
    <n v="0"/>
    <n v="-6515.151515151515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325757.57575757575"/>
    <n v="2150000"/>
    <n v="5.9999999999999991"/>
  </r>
  <r>
    <n v="0"/>
    <n v="0"/>
    <n v="10"/>
    <n v="10"/>
    <s v="F-CAP"/>
    <x v="23"/>
    <s v="ELH-FOREMOST-27"/>
    <s v="ELH-FOREMOST-27ELHEBF5830BL"/>
    <n v="13"/>
    <s v="ELH-FOREMOST-2713"/>
    <s v="ELH-FOREMOST-2713-ELHEBF5830BLUEFRE"/>
    <s v="ELH의류외830"/>
    <s v="ELH"/>
    <s v="ELSEBE"/>
    <m/>
    <s v="ELH"/>
    <s v="ELS HATSON"/>
    <s v="F"/>
    <n v="5"/>
    <s v="EB"/>
    <s v="EARFLAP BEANIE"/>
    <s v="K"/>
    <n v="830"/>
    <n v="830"/>
    <s v="ELHEBF5830"/>
    <n v="1"/>
    <s v="ELSEBE5830BLFRE"/>
    <s v="BL"/>
    <s v="BLUE"/>
    <s v="ELHEBF5830BL"/>
    <x v="1"/>
    <n v="1"/>
    <n v="0"/>
    <n v="1"/>
    <s v="FRE"/>
    <n v="50"/>
    <x v="4"/>
    <n v="27"/>
    <x v="30"/>
    <s v="M"/>
    <s v="CN"/>
    <x v="0"/>
    <n v="45000"/>
    <x v="20"/>
    <n v="6818.1818181818171"/>
    <n v="0"/>
    <n v="-6818.181818181817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340909.09090909088"/>
    <n v="2250000"/>
    <n v="6"/>
  </r>
  <r>
    <n v="0"/>
    <n v="0"/>
    <n v="10"/>
    <n v="10"/>
    <s v="F-CAP"/>
    <x v="23"/>
    <s v="ELH-FOREMOST-27"/>
    <s v="ELH-FOREMOST-27ELHEBF5840PK"/>
    <n v="14"/>
    <s v="ELH-FOREMOST-2714"/>
    <s v="ELH-FOREMOST-2714-ELHEBF5840PINKFRE"/>
    <s v="ELH의류외840"/>
    <s v="ELH"/>
    <s v="ELSEBE"/>
    <m/>
    <s v="ELH"/>
    <s v="ELS HATSON"/>
    <s v="F"/>
    <n v="5"/>
    <s v="EB"/>
    <s v="EARFLAP BEANIE"/>
    <s v="K"/>
    <n v="840"/>
    <n v="840"/>
    <s v="ELHEBF5840"/>
    <n v="1"/>
    <s v="ELSEBE5840PKFRE"/>
    <s v="PK"/>
    <s v="PINK"/>
    <s v="ELHEBF5840PK"/>
    <x v="1"/>
    <n v="1"/>
    <n v="0"/>
    <n v="1"/>
    <s v="FRE"/>
    <n v="50"/>
    <x v="4"/>
    <n v="27"/>
    <x v="30"/>
    <s v="M"/>
    <s v="CN"/>
    <x v="0"/>
    <n v="45000"/>
    <x v="20"/>
    <n v="6818.1818181818171"/>
    <n v="0"/>
    <n v="-6818.181818181817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340909.09090909088"/>
    <n v="2250000"/>
    <n v="6"/>
  </r>
  <r>
    <n v="0"/>
    <n v="0"/>
    <n v="10"/>
    <n v="10"/>
    <s v="F-CAP"/>
    <x v="23"/>
    <s v="ELH-FOREMOST-27"/>
    <s v="ELH-FOREMOST-27ELHTPF5608BU"/>
    <n v="15"/>
    <s v="ELH-FOREMOST-2715"/>
    <s v="ELH-FOREMOST-2715-ELHTPF5608BURGUNDYFRE"/>
    <s v="ELH의류외608"/>
    <s v="ELH"/>
    <s v="ELSTPE"/>
    <m/>
    <s v="ELH"/>
    <s v="ELS HATSON"/>
    <s v="F"/>
    <n v="5"/>
    <s v="TP"/>
    <s v="TROOPER"/>
    <s v="K"/>
    <n v="608"/>
    <n v="608"/>
    <s v="ELHTPF5608"/>
    <n v="1"/>
    <s v="ELSTPE5608BUFRE"/>
    <s v="BU"/>
    <s v="BURGUNDY"/>
    <s v="ELHTPF5608BU"/>
    <x v="1"/>
    <n v="1"/>
    <n v="0"/>
    <n v="1"/>
    <s v="FRE"/>
    <n v="200"/>
    <x v="4"/>
    <n v="27"/>
    <x v="30"/>
    <s v="M"/>
    <s v="CN"/>
    <x v="0"/>
    <n v="49000"/>
    <x v="20"/>
    <n v="7424.242424242424"/>
    <n v="0"/>
    <n v="-7424.242424242424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200"/>
    <n v="0"/>
    <n v="0"/>
    <n v="0"/>
    <n v="0"/>
    <n v="0"/>
    <n v="200"/>
    <n v="1484848.4848484849"/>
    <n v="9800000"/>
    <n v="5.9999999999999991"/>
  </r>
  <r>
    <n v="0"/>
    <n v="0"/>
    <n v="10"/>
    <n v="10"/>
    <s v="F-CAP"/>
    <x v="23"/>
    <s v="ELH-FOREMOST-27"/>
    <s v="ELH-FOREMOST-27ELHTPF5648NY"/>
    <n v="16"/>
    <s v="ELH-FOREMOST-2716"/>
    <s v="ELH-FOREMOST-2716-ELHTPF5648NAVYFRE"/>
    <s v="ELH의류외648"/>
    <s v="ELH"/>
    <s v="ELSTPE"/>
    <m/>
    <s v="ELH"/>
    <s v="ELS HATSON"/>
    <s v="F"/>
    <n v="5"/>
    <s v="TP"/>
    <s v="TROOPER"/>
    <s v="K"/>
    <n v="648"/>
    <n v="648"/>
    <s v="ELHTPF5648"/>
    <n v="1"/>
    <s v="ELSTPE5648NYFRE"/>
    <s v="NY"/>
    <s v="NAVY"/>
    <s v="ELHTPF5648NY"/>
    <x v="1"/>
    <n v="1"/>
    <n v="0"/>
    <n v="1"/>
    <s v="FRE"/>
    <n v="200"/>
    <x v="4"/>
    <n v="27"/>
    <x v="30"/>
    <s v="M"/>
    <s v="CN"/>
    <x v="0"/>
    <n v="59000"/>
    <x v="20"/>
    <n v="8939.3939393939381"/>
    <n v="0"/>
    <n v="-8939.393939393938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200"/>
    <n v="0"/>
    <n v="0"/>
    <n v="0"/>
    <n v="0"/>
    <n v="0"/>
    <n v="200"/>
    <n v="1787878.7878787876"/>
    <n v="11800000"/>
    <n v="6.0000000000000009"/>
  </r>
  <r>
    <n v="0"/>
    <n v="0"/>
    <n v="10"/>
    <n v="10"/>
    <s v="F-CAP"/>
    <x v="23"/>
    <s v="ELH-FOREMOST-27"/>
    <s v="ELH-FOREMOST-27ELHTPF5648PK"/>
    <n v="17"/>
    <s v="ELH-FOREMOST-2717"/>
    <s v="ELH-FOREMOST-2717-ELHTPF5648PINKFRE"/>
    <s v="ELH의류외648"/>
    <s v="ELH"/>
    <s v="ELSTPE"/>
    <m/>
    <s v="ELH"/>
    <s v="ELS HATSON"/>
    <s v="F"/>
    <n v="5"/>
    <s v="TP"/>
    <s v="TROOPER"/>
    <s v="K"/>
    <n v="648"/>
    <n v="648"/>
    <s v="ELHTPF5648"/>
    <n v="1"/>
    <s v="ELSTPE5648PKFRE"/>
    <s v="PK"/>
    <s v="PINK"/>
    <s v="ELHTPF5648PK"/>
    <x v="1"/>
    <n v="1"/>
    <n v="0"/>
    <n v="1"/>
    <s v="FRE"/>
    <n v="235"/>
    <x v="4"/>
    <n v="27"/>
    <x v="30"/>
    <s v="M"/>
    <s v="CN"/>
    <x v="0"/>
    <n v="59000"/>
    <x v="20"/>
    <n v="8939.3939393939381"/>
    <n v="0"/>
    <n v="-8939.393939393938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235"/>
    <n v="0"/>
    <n v="0"/>
    <n v="0"/>
    <n v="0"/>
    <n v="0"/>
    <n v="235"/>
    <n v="2100757.5757575757"/>
    <n v="13865000"/>
    <n v="6"/>
  </r>
  <r>
    <n v="0"/>
    <n v="0"/>
    <n v="10"/>
    <n v="10"/>
    <s v="F-CAP"/>
    <x v="23"/>
    <s v="ELH-FOREMOST-27"/>
    <s v="ELH-FOREMOST-27ELHTPF5824NY"/>
    <n v="18"/>
    <s v="ELH-FOREMOST-2718"/>
    <s v="ELH-FOREMOST-2718-ELHTPF5824NAVYFRE"/>
    <s v="ELH의류외824"/>
    <s v="ELH"/>
    <s v="ELSTPE"/>
    <m/>
    <s v="ELH"/>
    <s v="ELS HATSON"/>
    <s v="F"/>
    <n v="5"/>
    <s v="TP"/>
    <s v="TROOPER"/>
    <s v="K"/>
    <n v="824"/>
    <n v="824"/>
    <s v="ELHTPF5824"/>
    <n v="1"/>
    <s v="ELSTPE5824NYFRE"/>
    <s v="NY"/>
    <s v="NAVY"/>
    <s v="ELHTPF5824NY"/>
    <x v="1"/>
    <n v="1"/>
    <n v="0"/>
    <n v="1"/>
    <s v="FRE"/>
    <n v="76"/>
    <x v="4"/>
    <n v="27"/>
    <x v="30"/>
    <s v="M"/>
    <s v="CN"/>
    <x v="0"/>
    <n v="55000"/>
    <x v="20"/>
    <n v="8333.3333333333321"/>
    <n v="0"/>
    <n v="-8333.333333333332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76"/>
    <n v="0"/>
    <n v="0"/>
    <n v="0"/>
    <n v="0"/>
    <n v="0"/>
    <n v="76"/>
    <n v="633333.33333333326"/>
    <n v="4180000"/>
    <n v="6"/>
  </r>
  <r>
    <n v="0"/>
    <n v="0"/>
    <n v="10"/>
    <n v="10"/>
    <s v="F-CAP"/>
    <x v="23"/>
    <s v="ELH-FOREMOST-27"/>
    <s v="ELH-FOREMOST-27ELHTPF5831NY"/>
    <n v="19"/>
    <s v="ELH-FOREMOST-2719"/>
    <s v="ELH-FOREMOST-2719-ELHTPF5831NAVYFRE"/>
    <s v="ELH의류외831"/>
    <s v="ELH"/>
    <s v="ELSTPE"/>
    <m/>
    <s v="ELH"/>
    <s v="ELS HATSON"/>
    <s v="F"/>
    <n v="5"/>
    <s v="TP"/>
    <s v="TROOPER"/>
    <s v="K"/>
    <n v="831"/>
    <n v="831"/>
    <s v="ELHTPF5831"/>
    <n v="1"/>
    <s v="ELSTPE5831NYFRE"/>
    <s v="NY"/>
    <s v="NAVY"/>
    <s v="ELHTPF5831NY"/>
    <x v="1"/>
    <n v="1"/>
    <n v="0"/>
    <n v="1"/>
    <s v="FRE"/>
    <n v="50"/>
    <x v="4"/>
    <n v="27"/>
    <x v="30"/>
    <s v="M"/>
    <s v="CN"/>
    <x v="0"/>
    <n v="49000"/>
    <x v="20"/>
    <n v="7424.242424242424"/>
    <n v="0"/>
    <n v="-7424.242424242424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371212.12121212122"/>
    <n v="2450000"/>
    <n v="5.9999999999999991"/>
  </r>
  <r>
    <n v="0"/>
    <n v="0"/>
    <n v="10"/>
    <n v="10"/>
    <s v="F-CAP"/>
    <x v="23"/>
    <s v="ELH-FOREMOST-27"/>
    <s v="ELH-FOREMOST-27ELHTPF5831OR"/>
    <n v="20"/>
    <s v="ELH-FOREMOST-2720"/>
    <s v="ELH-FOREMOST-2720-ELHTPF5831ORANGEFRE"/>
    <s v="ELH의류외831"/>
    <s v="ELH"/>
    <s v="ELSTPE"/>
    <m/>
    <s v="ELH"/>
    <s v="ELS HATSON"/>
    <s v="F"/>
    <n v="5"/>
    <s v="TP"/>
    <s v="TROOPER"/>
    <s v="K"/>
    <n v="831"/>
    <n v="831"/>
    <s v="ELHTPF5831"/>
    <n v="1"/>
    <s v="ELSTPE5831ORFRE"/>
    <s v="OR"/>
    <s v="ORANGE"/>
    <s v="ELHTPF5831OR"/>
    <x v="1"/>
    <n v="1"/>
    <n v="0"/>
    <n v="1"/>
    <s v="FRE"/>
    <n v="50"/>
    <x v="4"/>
    <n v="27"/>
    <x v="30"/>
    <s v="M"/>
    <s v="CN"/>
    <x v="0"/>
    <n v="49000"/>
    <x v="20"/>
    <n v="7424.242424242424"/>
    <n v="0"/>
    <n v="-7424.242424242424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371212.12121212122"/>
    <n v="2450000"/>
    <n v="5.9999999999999991"/>
  </r>
  <r>
    <n v="0"/>
    <n v="0"/>
    <n v="10"/>
    <n v="10"/>
    <s v="F-CAP"/>
    <x v="23"/>
    <s v="ELH-FOREMOST-27"/>
    <s v="ELH-FOREMOST-27ELHVBF5822OR"/>
    <n v="21"/>
    <s v="ELH-FOREMOST-2721"/>
    <s v="ELH-FOREMOST-2721-ELHVBF5822ORANGEFRE"/>
    <s v="ELH의류외822"/>
    <s v="ELH"/>
    <s v="ELSVBE"/>
    <m/>
    <s v="ELH"/>
    <s v="ELS HATSON"/>
    <s v="F"/>
    <n v="5"/>
    <s v="VB"/>
    <s v="VISOR BEANIE"/>
    <s v="K"/>
    <n v="822"/>
    <n v="822"/>
    <s v="ELHVBF5822"/>
    <n v="1"/>
    <s v="ELSVBE5822ORFRE"/>
    <s v="OR"/>
    <s v="ORANGE"/>
    <s v="ELHVBF5822OR"/>
    <x v="1"/>
    <n v="1"/>
    <n v="0"/>
    <n v="1"/>
    <s v="FRE"/>
    <n v="100"/>
    <x v="4"/>
    <n v="27"/>
    <x v="30"/>
    <s v="M"/>
    <s v="CN"/>
    <x v="0"/>
    <n v="45000"/>
    <x v="20"/>
    <n v="6818.1818181818171"/>
    <n v="0"/>
    <n v="-6818.181818181817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681818.18181818177"/>
    <n v="4500000"/>
    <n v="6"/>
  </r>
  <r>
    <n v="0"/>
    <n v="0"/>
    <s v=""/>
    <s v=""/>
    <s v=""/>
    <x v="1"/>
    <s v=""/>
    <s v=""/>
    <n v="0"/>
    <s v="0"/>
    <s v="0-"/>
    <n v="0"/>
    <s v="TTL"/>
    <s v=""/>
    <s v="ELH-FOREMOST-27 TTL"/>
    <m/>
    <s v=""/>
    <s v=""/>
    <s v=""/>
    <s v=""/>
    <s v=""/>
    <s v="K"/>
    <s v=""/>
    <s v=""/>
    <s v=""/>
    <n v="21"/>
    <m/>
    <s v=""/>
    <m/>
    <s v=""/>
    <x v="0"/>
    <n v="2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861"/>
    <n v="0"/>
    <n v="0"/>
    <n v="0"/>
    <n v="0"/>
    <n v="0"/>
    <n v="1861"/>
    <n v="13635606.060606061"/>
    <n v="89995000"/>
    <n v="5.9999999999999991"/>
  </r>
  <r>
    <n v="0"/>
    <n v="0"/>
    <n v="10"/>
    <n v="10"/>
    <s v="F-CAP"/>
    <x v="23"/>
    <s v="ELH-동일모자-25"/>
    <s v="ELH-동일모자-25ELHERF5644RE"/>
    <n v="1"/>
    <s v="ELH-동일모자-251"/>
    <s v="ELH-동일모자-251-ELHERF5644REDFRE"/>
    <s v="ELH의류외644"/>
    <s v="ELH"/>
    <s v="ELSERE"/>
    <m/>
    <s v="ELH"/>
    <s v="ELS HATSON"/>
    <s v="F"/>
    <n v="5"/>
    <s v="ER"/>
    <s v="EARCAP"/>
    <s v="K"/>
    <n v="644"/>
    <n v="644"/>
    <s v="ELHERF5644"/>
    <n v="1"/>
    <s v="ELSERE5644REFRE"/>
    <s v="RE"/>
    <s v="RED"/>
    <s v="ELHERF5644RE"/>
    <x v="1"/>
    <n v="1"/>
    <n v="0"/>
    <n v="1"/>
    <s v="FRE"/>
    <n v="8"/>
    <x v="5"/>
    <n v="25"/>
    <x v="28"/>
    <s v="M"/>
    <s v="CN"/>
    <x v="0"/>
    <n v="63000"/>
    <x v="20"/>
    <n v="9545.4545454545441"/>
    <n v="0"/>
    <n v="-9545.454545454544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7"/>
    <n v="0"/>
    <n v="0"/>
    <n v="0"/>
    <n v="0"/>
    <m/>
    <n v="8"/>
    <n v="76363.636363636353"/>
    <n v="504000"/>
    <n v="6"/>
  </r>
  <r>
    <n v="0"/>
    <n v="0"/>
    <n v="10"/>
    <n v="10"/>
    <s v="F-CAP"/>
    <x v="23"/>
    <s v="ELH-동일모자-25"/>
    <s v="ELH-동일모자-25ELHERF5645BK"/>
    <n v="2"/>
    <s v="ELH-동일모자-252"/>
    <s v="ELH-동일모자-252-ELHERF5645BLACKFRE"/>
    <s v="ELH의류외645"/>
    <s v="ELH"/>
    <s v="ELSERE"/>
    <m/>
    <s v="ELH"/>
    <s v="ELS HATSON"/>
    <s v="F"/>
    <n v="5"/>
    <s v="ER"/>
    <s v="EARCAP"/>
    <s v="K"/>
    <n v="645"/>
    <n v="645"/>
    <s v="ELHERF5645"/>
    <n v="1"/>
    <s v="ELSERE5645BKFRE"/>
    <s v="BK"/>
    <s v="BLACK"/>
    <s v="ELHERF5645BK"/>
    <x v="1"/>
    <n v="1"/>
    <n v="0"/>
    <n v="1"/>
    <s v="FRE"/>
    <n v="134"/>
    <x v="5"/>
    <n v="25"/>
    <x v="28"/>
    <s v="M"/>
    <s v="CN"/>
    <x v="0"/>
    <n v="63000"/>
    <x v="20"/>
    <n v="9545.4545454545441"/>
    <n v="0"/>
    <n v="-9545.454545454544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132"/>
    <n v="0"/>
    <n v="0"/>
    <n v="0"/>
    <n v="0"/>
    <n v="0"/>
    <n v="134"/>
    <n v="1279090.9090909089"/>
    <n v="8442000"/>
    <n v="6"/>
  </r>
  <r>
    <n v="0"/>
    <n v="0"/>
    <n v="10"/>
    <n v="10"/>
    <s v="F-CAP"/>
    <x v="23"/>
    <s v="ELH-동일모자-25"/>
    <s v="ELH-동일모자-25ELHERF5832GY"/>
    <n v="3"/>
    <s v="ELH-동일모자-253"/>
    <s v="ELH-동일모자-253-ELHERF5832GREYFRE"/>
    <s v="ELH의류외832"/>
    <s v="ELH"/>
    <s v="ELSERE"/>
    <m/>
    <s v="ELH"/>
    <s v="ELS HATSON"/>
    <s v="F"/>
    <n v="5"/>
    <s v="ER"/>
    <s v="EARCAP"/>
    <s v="K"/>
    <n v="832"/>
    <n v="832"/>
    <s v="ELHERF5832"/>
    <n v="1"/>
    <s v="ELSERE5832GYFRE"/>
    <s v="GY"/>
    <s v="GREY"/>
    <s v="ELHERF5832GY"/>
    <x v="1"/>
    <n v="1"/>
    <n v="0"/>
    <n v="1"/>
    <s v="FRE"/>
    <n v="56"/>
    <x v="5"/>
    <n v="25"/>
    <x v="28"/>
    <s v="M"/>
    <s v="CN"/>
    <x v="0"/>
    <n v="65000"/>
    <x v="20"/>
    <n v="9848.484848484848"/>
    <n v="0"/>
    <n v="-9848.484848484848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6"/>
    <n v="0"/>
    <n v="0"/>
    <n v="0"/>
    <n v="0"/>
    <n v="0"/>
    <n v="56"/>
    <n v="551515.15151515149"/>
    <n v="3640000"/>
    <n v="5.9999999999999991"/>
  </r>
  <r>
    <n v="0"/>
    <n v="0"/>
    <n v="10"/>
    <n v="10"/>
    <s v="F-CAP"/>
    <x v="23"/>
    <s v="ELH-동일모자-25"/>
    <s v="ELH-동일모자-25ELHERF5833NY"/>
    <n v="4"/>
    <s v="ELH-동일모자-254"/>
    <s v="ELH-동일모자-254-ELHERF5833NAVYFRE"/>
    <s v="ELH의류외833"/>
    <s v="ELH"/>
    <s v="ELSERE"/>
    <m/>
    <s v="ELH"/>
    <s v="ELS HATSON"/>
    <s v="F"/>
    <n v="5"/>
    <s v="ER"/>
    <s v="EARCAP"/>
    <s v="K"/>
    <n v="833"/>
    <n v="833"/>
    <s v="ELHERF5833"/>
    <n v="1"/>
    <s v="ELSERE5833NYFRE"/>
    <s v="NY"/>
    <s v="NAVY"/>
    <s v="ELHERF5833NY"/>
    <x v="1"/>
    <n v="1"/>
    <n v="0"/>
    <n v="1"/>
    <s v="FRE"/>
    <n v="100"/>
    <x v="5"/>
    <n v="25"/>
    <x v="28"/>
    <s v="M"/>
    <s v="CN"/>
    <x v="0"/>
    <n v="55000"/>
    <x v="20"/>
    <n v="8333.3333333333321"/>
    <n v="0"/>
    <n v="-8333.333333333332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833333.33333333326"/>
    <n v="5500000"/>
    <n v="6"/>
  </r>
  <r>
    <n v="0"/>
    <n v="0"/>
    <n v="10"/>
    <n v="10"/>
    <s v="F-CAP"/>
    <x v="23"/>
    <s v="ELH-동일모자-25"/>
    <s v="ELH-동일모자-25ELHERF5834YE"/>
    <n v="5"/>
    <s v="ELH-동일모자-255"/>
    <s v="ELH-동일모자-255-ELHERF5834YELLOWFRE"/>
    <s v="ELH의류외834"/>
    <s v="ELH"/>
    <s v="ELSERE"/>
    <m/>
    <s v="ELH"/>
    <s v="ELS HATSON"/>
    <s v="F"/>
    <n v="5"/>
    <s v="ER"/>
    <s v="EARCAP"/>
    <s v="K"/>
    <n v="834"/>
    <n v="834"/>
    <s v="ELHERF5834"/>
    <n v="1"/>
    <s v="ELSERE5834YEFRE"/>
    <s v="YE"/>
    <s v="YELLOW"/>
    <s v="ELHERF5834YE"/>
    <x v="1"/>
    <n v="1"/>
    <n v="0"/>
    <n v="1"/>
    <s v="FRE"/>
    <n v="100"/>
    <x v="5"/>
    <n v="25"/>
    <x v="28"/>
    <s v="M"/>
    <s v="CN"/>
    <x v="0"/>
    <n v="55000"/>
    <x v="20"/>
    <n v="8333.3333333333321"/>
    <n v="0"/>
    <n v="-8333.333333333332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833333.33333333326"/>
    <n v="5500000"/>
    <n v="6"/>
  </r>
  <r>
    <n v="0"/>
    <n v="0"/>
    <s v=""/>
    <s v=""/>
    <s v=""/>
    <x v="1"/>
    <s v=""/>
    <s v=""/>
    <n v="0"/>
    <s v="0"/>
    <s v="0-"/>
    <n v="0"/>
    <s v="TTL"/>
    <s v=""/>
    <s v="ELH-동일모자-25 TTL"/>
    <m/>
    <s v=""/>
    <s v=""/>
    <s v=""/>
    <s v=""/>
    <s v=""/>
    <s v="K"/>
    <s v=""/>
    <s v=""/>
    <s v=""/>
    <n v="5"/>
    <m/>
    <s v=""/>
    <m/>
    <s v=""/>
    <x v="0"/>
    <n v="5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95"/>
    <n v="0"/>
    <n v="0"/>
    <n v="0"/>
    <n v="0"/>
    <n v="0"/>
    <n v="398"/>
    <n v="3573636.3636363633"/>
    <n v="23586000"/>
    <n v="6"/>
  </r>
  <r>
    <n v="0"/>
    <n v="0"/>
    <n v="10"/>
    <n v="10"/>
    <s v="F-CAP"/>
    <x v="23"/>
    <s v="ELH-성진-17"/>
    <s v="ELH-성진-17ELHERF5810PK"/>
    <n v="1"/>
    <s v="ELH-성진-171"/>
    <s v="ELH-성진-171-ELHERF5810PINKFRE"/>
    <s v="ELH의류외810"/>
    <s v="ELH"/>
    <s v="ELSERE"/>
    <m/>
    <s v="ELH"/>
    <s v="ELS HATSON"/>
    <s v="F"/>
    <n v="5"/>
    <s v="ER"/>
    <s v="EARCAP"/>
    <s v="K"/>
    <n v="810"/>
    <n v="810"/>
    <s v="ELHERF5810"/>
    <n v="1"/>
    <s v="ELSERE5810PKFRE"/>
    <s v="PK"/>
    <s v="PINK"/>
    <s v="ELHERF5810PK"/>
    <x v="1"/>
    <n v="1"/>
    <n v="0"/>
    <n v="1"/>
    <s v="FRE"/>
    <n v="62"/>
    <x v="7"/>
    <n v="17"/>
    <x v="10"/>
    <s v="M"/>
    <s v="CN"/>
    <x v="0"/>
    <n v="55000"/>
    <x v="20"/>
    <n v="8333.3333333333321"/>
    <n v="0"/>
    <n v="-8333.333333333332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62"/>
    <n v="0"/>
    <n v="0"/>
    <n v="0"/>
    <n v="0"/>
    <n v="0"/>
    <n v="62"/>
    <n v="516666.66666666657"/>
    <n v="3410000"/>
    <n v="6.0000000000000009"/>
  </r>
  <r>
    <n v="0"/>
    <n v="0"/>
    <n v="10"/>
    <n v="10"/>
    <s v="F-CAP"/>
    <x v="23"/>
    <s v="ELH-성진-17"/>
    <s v="ELH-성진-17ELHERF5810YE"/>
    <n v="2"/>
    <s v="ELH-성진-172"/>
    <s v="ELH-성진-172-ELHERF5810YELLOWFRE"/>
    <s v="ELH의류외810"/>
    <s v="ELH"/>
    <s v="ELSERE"/>
    <m/>
    <s v="ELH"/>
    <s v="ELS HATSON"/>
    <s v="F"/>
    <n v="5"/>
    <s v="ER"/>
    <s v="EARCAP"/>
    <s v="K"/>
    <n v="810"/>
    <n v="810"/>
    <s v="ELHERF5810"/>
    <n v="1"/>
    <s v="ELSERE5810YEFRE"/>
    <s v="YE"/>
    <s v="YELLOW"/>
    <s v="ELHERF5810YE"/>
    <x v="1"/>
    <n v="1"/>
    <n v="0"/>
    <n v="1"/>
    <s v="FRE"/>
    <n v="100"/>
    <x v="7"/>
    <n v="17"/>
    <x v="10"/>
    <s v="M"/>
    <s v="CN"/>
    <x v="0"/>
    <n v="55000"/>
    <x v="20"/>
    <n v="8333.3333333333321"/>
    <n v="0"/>
    <n v="-8333.333333333332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833333.33333333326"/>
    <n v="5500000"/>
    <n v="6"/>
  </r>
  <r>
    <n v="0"/>
    <n v="0"/>
    <s v=""/>
    <s v=""/>
    <s v=""/>
    <x v="1"/>
    <s v=""/>
    <s v=""/>
    <n v="0"/>
    <s v="0"/>
    <s v="0-"/>
    <n v="0"/>
    <s v="TTL"/>
    <s v=""/>
    <s v="ELH-성진-17 TTL"/>
    <m/>
    <s v=""/>
    <s v=""/>
    <s v=""/>
    <s v=""/>
    <s v=""/>
    <s v="K"/>
    <s v=""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62"/>
    <n v="0"/>
    <n v="0"/>
    <n v="0"/>
    <n v="0"/>
    <n v="0"/>
    <n v="162"/>
    <n v="1349999.9999999998"/>
    <n v="8910000"/>
    <n v="6.0000000000000009"/>
  </r>
  <r>
    <n v="0"/>
    <n v="0"/>
    <n v="10"/>
    <n v="10"/>
    <s v="F-CAP"/>
    <x v="23"/>
    <s v="ELH-캡보이-05"/>
    <s v="ELH-캡보이-05ELHERF5816BL"/>
    <n v="1"/>
    <s v="ELH-캡보이-051"/>
    <s v="ELH-캡보이-051-ELHERF5816BLUEFRE"/>
    <s v="ELH의류외816"/>
    <s v="ELH"/>
    <s v="ELSERE"/>
    <m/>
    <s v="ELH"/>
    <s v="ELS HATSON"/>
    <s v="F"/>
    <n v="5"/>
    <s v="ER"/>
    <s v="EARCAP"/>
    <s v="K"/>
    <n v="816"/>
    <n v="816"/>
    <s v="ELHERF5816"/>
    <n v="1"/>
    <s v="ELSERE5816BLFRE"/>
    <s v="BL"/>
    <s v="BLUE"/>
    <s v="ELHERF5816BL"/>
    <x v="1"/>
    <n v="1"/>
    <n v="0"/>
    <n v="1"/>
    <s v="FRE"/>
    <n v="50"/>
    <x v="8"/>
    <n v="5"/>
    <x v="5"/>
    <s v="M"/>
    <s v="KR"/>
    <x v="3"/>
    <n v="65000"/>
    <x v="20"/>
    <n v="14772.727272727272"/>
    <n v="0"/>
    <n v="-14772.727272727272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738636.36363636365"/>
    <n v="3250000"/>
    <n v="3.9999999999999996"/>
  </r>
  <r>
    <n v="0"/>
    <n v="0"/>
    <n v="10"/>
    <n v="10"/>
    <s v="F-CAP"/>
    <x v="23"/>
    <s v="ELH-캡보이-05"/>
    <s v="ELH-캡보이-05ELHFIF5647BK"/>
    <n v="2"/>
    <s v="ELH-캡보이-052"/>
    <s v="ELH-캡보이-052-ELHFIF5647BLACKFRE"/>
    <s v="ELH의류외647"/>
    <s v="ELH"/>
    <s v="ELSFIE"/>
    <m/>
    <s v="ELH"/>
    <s v="ELS HATSON"/>
    <s v="F"/>
    <n v="5"/>
    <s v="FI"/>
    <s v="FITTED CAP"/>
    <s v="K"/>
    <n v="647"/>
    <n v="647"/>
    <s v="ELHFIF5647"/>
    <n v="1"/>
    <s v="ELSFIE5647BKFRE"/>
    <s v="BK"/>
    <s v="BLACK"/>
    <s v="ELHFIF5647BK"/>
    <x v="1"/>
    <n v="1"/>
    <n v="0"/>
    <n v="1"/>
    <s v="FRE"/>
    <n v="100"/>
    <x v="8"/>
    <n v="5"/>
    <x v="5"/>
    <s v="M"/>
    <s v="KR"/>
    <x v="3"/>
    <n v="53000"/>
    <x v="20"/>
    <n v="12045.454545454544"/>
    <n v="0"/>
    <n v="-12045.454545454544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204545.4545454544"/>
    <n v="5300000"/>
    <n v="4"/>
  </r>
  <r>
    <n v="0"/>
    <n v="0"/>
    <n v="10"/>
    <n v="10"/>
    <s v="F-CAP"/>
    <x v="23"/>
    <s v="ELH-캡보이-05"/>
    <s v="ELH-캡보이-05ELHERF5643GR"/>
    <n v="3"/>
    <s v="ELH-캡보이-053"/>
    <s v="ELH-캡보이-053-ELHERF5643GREENFRE"/>
    <s v="ELH의류외643"/>
    <s v="ELH"/>
    <s v="ELSERD"/>
    <m/>
    <s v="ELH"/>
    <s v="ELS HATSON"/>
    <s v="F"/>
    <n v="5"/>
    <s v="ER"/>
    <s v="EARCAP"/>
    <s v="K"/>
    <n v="643"/>
    <n v="643"/>
    <s v="ELHERF5643"/>
    <n v="1"/>
    <s v="ELSERD3643GRFRE"/>
    <s v="GR"/>
    <s v="GREEN"/>
    <s v="ELHERF5643GR"/>
    <x v="1"/>
    <n v="1"/>
    <n v="0"/>
    <n v="1"/>
    <s v="FRE"/>
    <n v="120"/>
    <x v="8"/>
    <n v="5"/>
    <x v="5"/>
    <s v="M"/>
    <s v="KR"/>
    <x v="3"/>
    <n v="63000"/>
    <x v="20"/>
    <n v="14318.181818181816"/>
    <n v="0"/>
    <n v="-14318.181818181816"/>
    <n v="0"/>
    <n v="0"/>
    <s v=""/>
    <n v="0"/>
    <n v="0"/>
    <n v="0"/>
    <d v="2014-10-06T00:00:00"/>
    <d v="1899-12-30T00:00:00"/>
    <d v="2014-10-10T00:00:00"/>
    <d v="1899-12-30T00:00:00"/>
    <d v="2014-10-10T00:00:00"/>
    <m/>
    <d v="1899-12-30T00:00:00"/>
    <d v="1899-12-30T00:00:00"/>
    <d v="1899-12-30T00:00:00"/>
    <x v="1"/>
    <n v="0"/>
    <n v="120"/>
    <n v="0"/>
    <n v="0"/>
    <n v="0"/>
    <n v="0"/>
    <n v="0"/>
    <n v="120"/>
    <n v="1718181.8181818179"/>
    <n v="7560000"/>
    <n v="4.0000000000000009"/>
  </r>
  <r>
    <n v="0"/>
    <n v="0"/>
    <n v="10"/>
    <n v="10"/>
    <s v="F-CAP"/>
    <x v="23"/>
    <s v="ELH-캡보이-05"/>
    <s v="ELH-캡보이-05ELHERF5652GY"/>
    <n v="4"/>
    <s v="ELH-캡보이-054"/>
    <s v="ELH-캡보이-054-ELHERF5652GREYFRE"/>
    <s v="ELH의류외652"/>
    <s v="ELH"/>
    <s v="ELSERD"/>
    <m/>
    <s v="ELH"/>
    <s v="ELS HATSON"/>
    <s v="F"/>
    <n v="5"/>
    <s v="ER"/>
    <s v="EARCAP"/>
    <s v="K"/>
    <n v="652"/>
    <n v="652"/>
    <s v="ELHERF5652"/>
    <n v="1"/>
    <s v="ELSERD3652GYFRE"/>
    <s v="GY"/>
    <s v="GREY"/>
    <s v="ELHERF5652GY"/>
    <x v="1"/>
    <n v="1"/>
    <n v="0"/>
    <n v="1"/>
    <s v="FRE"/>
    <n v="161"/>
    <x v="8"/>
    <n v="5"/>
    <x v="5"/>
    <s v="M"/>
    <s v="KR"/>
    <x v="3"/>
    <n v="63000"/>
    <x v="20"/>
    <n v="14318.181818181816"/>
    <n v="0"/>
    <n v="-14318.181818181816"/>
    <n v="0"/>
    <n v="0"/>
    <s v=""/>
    <n v="0"/>
    <n v="0"/>
    <n v="0"/>
    <d v="2014-10-06T00:00:00"/>
    <d v="1899-12-30T00:00:00"/>
    <d v="2014-10-10T00:00:00"/>
    <d v="1899-12-30T00:00:00"/>
    <d v="2014-10-10T00:00:00"/>
    <m/>
    <d v="1899-12-30T00:00:00"/>
    <d v="1899-12-30T00:00:00"/>
    <d v="1899-12-30T00:00:00"/>
    <x v="1"/>
    <n v="0"/>
    <n v="161"/>
    <n v="0"/>
    <n v="0"/>
    <n v="0"/>
    <n v="0"/>
    <n v="0"/>
    <n v="161"/>
    <n v="2305227.2727272725"/>
    <n v="10143000"/>
    <n v="4"/>
  </r>
  <r>
    <n v="0"/>
    <n v="0"/>
    <n v="10"/>
    <n v="10"/>
    <s v="F-CAP"/>
    <x v="23"/>
    <s v="ELH-캡보이-05"/>
    <s v="ELH-캡보이-05ELHERF5664PK"/>
    <n v="5"/>
    <s v="ELH-캡보이-055"/>
    <s v="ELH-캡보이-055-ELHERF5664PINKFRE"/>
    <s v="ELH의류외664"/>
    <s v="ELH"/>
    <s v="ELSERD"/>
    <m/>
    <s v="ELH"/>
    <s v="ELS HATSON"/>
    <s v="F"/>
    <n v="5"/>
    <s v="ER"/>
    <s v="EARCAP"/>
    <s v="K"/>
    <n v="664"/>
    <n v="664"/>
    <s v="ELHERF5664"/>
    <n v="1"/>
    <s v="ELSERD3664PKFRE"/>
    <s v="PK"/>
    <s v="PINK"/>
    <s v="ELHERF5664PK"/>
    <x v="1"/>
    <n v="1"/>
    <n v="0"/>
    <n v="1"/>
    <s v="FRE"/>
    <n v="148"/>
    <x v="8"/>
    <n v="5"/>
    <x v="5"/>
    <s v="M"/>
    <s v="KR"/>
    <x v="3"/>
    <n v="59000"/>
    <x v="20"/>
    <n v="13409.090909090908"/>
    <n v="0"/>
    <n v="-13409.090909090908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148"/>
    <n v="0"/>
    <n v="0"/>
    <n v="0"/>
    <n v="0"/>
    <n v="0"/>
    <n v="148"/>
    <n v="1984545.4545454544"/>
    <n v="8732000"/>
    <n v="4"/>
  </r>
  <r>
    <n v="0"/>
    <n v="0"/>
    <n v="10"/>
    <n v="10"/>
    <s v="F-CAP"/>
    <x v="23"/>
    <s v="ELH-캡보이-05"/>
    <s v="ELH-캡보이-05ELHERF5665MT"/>
    <n v="6"/>
    <s v="ELH-캡보이-056"/>
    <s v="ELH-캡보이-056-ELHERF5665MINTFRE"/>
    <s v="ELH의류외665"/>
    <s v="ELH"/>
    <s v="ELSERD"/>
    <m/>
    <s v="ELH"/>
    <s v="ELS HATSON"/>
    <s v="F"/>
    <n v="5"/>
    <s v="ER"/>
    <s v="EARCAP"/>
    <s v="K"/>
    <n v="665"/>
    <n v="665"/>
    <s v="ELHERF5665"/>
    <n v="1"/>
    <s v="ELSERD3665MTFRE"/>
    <s v="MT"/>
    <s v="MINT"/>
    <s v="ELHERF5665MT"/>
    <x v="1"/>
    <n v="1"/>
    <n v="0"/>
    <n v="1"/>
    <s v="FRE"/>
    <n v="87"/>
    <x v="8"/>
    <n v="5"/>
    <x v="5"/>
    <s v="M"/>
    <s v="KR"/>
    <x v="3"/>
    <n v="59000"/>
    <x v="20"/>
    <n v="13409.090909090908"/>
    <n v="0"/>
    <n v="-13409.090909090908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87"/>
    <n v="0"/>
    <n v="0"/>
    <n v="0"/>
    <n v="0"/>
    <n v="0"/>
    <n v="87"/>
    <n v="1166590.9090909089"/>
    <n v="5133000"/>
    <n v="4"/>
  </r>
  <r>
    <n v="0"/>
    <n v="0"/>
    <n v="10"/>
    <n v="10"/>
    <s v="F-CAP"/>
    <x v="23"/>
    <s v="ELH-캡보이-05"/>
    <s v="ELH-캡보이-05ELHFIF5669PP"/>
    <n v="7"/>
    <s v="ELH-캡보이-057"/>
    <s v="ELH-캡보이-057-ELHFIF5669PURPLEFRE"/>
    <s v="ELH의류외669"/>
    <s v="ELH"/>
    <s v="ELSFID"/>
    <m/>
    <s v="ELH"/>
    <s v="ELS HATSON"/>
    <s v="F"/>
    <n v="5"/>
    <s v="FI"/>
    <s v="FITTED CAP"/>
    <s v="K"/>
    <n v="669"/>
    <n v="669"/>
    <s v="ELHFIF5669"/>
    <n v="1"/>
    <s v="ELSFID3669PPFRE"/>
    <s v="PP"/>
    <s v="PURPLE"/>
    <s v="ELHFIF5669PP"/>
    <x v="1"/>
    <n v="1"/>
    <n v="0"/>
    <n v="1"/>
    <s v="FRE"/>
    <n v="93"/>
    <x v="8"/>
    <n v="5"/>
    <x v="5"/>
    <s v="M"/>
    <s v="KR"/>
    <x v="3"/>
    <n v="59000"/>
    <x v="20"/>
    <n v="13409.090909090908"/>
    <n v="0"/>
    <n v="-13409.090909090908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93"/>
    <n v="0"/>
    <n v="0"/>
    <n v="0"/>
    <n v="0"/>
    <n v="0"/>
    <n v="93"/>
    <n v="1247045.4545454544"/>
    <n v="5487000"/>
    <n v="4"/>
  </r>
  <r>
    <n v="0"/>
    <n v="0"/>
    <s v=""/>
    <s v=""/>
    <s v=""/>
    <x v="1"/>
    <s v=""/>
    <s v=""/>
    <n v="0"/>
    <s v="0"/>
    <s v="0-"/>
    <n v="0"/>
    <s v="TTL"/>
    <s v=""/>
    <s v="ELH-캡보이-05 TTL"/>
    <m/>
    <s v=""/>
    <s v=""/>
    <s v=""/>
    <s v=""/>
    <s v=""/>
    <s v="K"/>
    <s v=""/>
    <s v=""/>
    <s v=""/>
    <n v="7"/>
    <m/>
    <s v=""/>
    <m/>
    <s v=""/>
    <x v="0"/>
    <n v="7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759"/>
    <n v="0"/>
    <n v="0"/>
    <n v="0"/>
    <n v="0"/>
    <n v="0"/>
    <n v="759"/>
    <n v="10364772.727272727"/>
    <n v="45605000"/>
    <n v="4"/>
  </r>
  <r>
    <n v="0"/>
    <n v="0"/>
    <n v="10"/>
    <n v="10"/>
    <s v="F-HAT"/>
    <x v="27"/>
    <s v="JIH-FOREMOST-28"/>
    <s v="JIH-FOREMOST-28JIHBAF5808KH"/>
    <n v="1"/>
    <s v="JIH-FOREMOST-281"/>
    <s v="JIH-FOREMOST-281-JIHBAF5808KHAKIFRE"/>
    <s v="JIH의류외808"/>
    <s v="JIH"/>
    <s v="JILBAE"/>
    <m/>
    <s v="JIH"/>
    <s v="JIL HATSON"/>
    <s v="F"/>
    <n v="5"/>
    <s v="BA"/>
    <s v="BASIC CAP"/>
    <s v="K"/>
    <n v="808"/>
    <n v="808"/>
    <s v="JIHBAF5808"/>
    <n v="1"/>
    <s v="JILBAE5808KHFRE"/>
    <s v="KH"/>
    <s v="KHAKI"/>
    <s v="JIHBAF5808KH"/>
    <x v="1"/>
    <n v="1"/>
    <n v="0"/>
    <n v="1"/>
    <s v="FRE"/>
    <n v="50"/>
    <x v="4"/>
    <n v="28"/>
    <x v="31"/>
    <s v="M"/>
    <s v="CN"/>
    <x v="0"/>
    <n v="45000"/>
    <x v="20"/>
    <n v="6818.1818181818171"/>
    <n v="0"/>
    <n v="-6818.181818181817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340909.09090909088"/>
    <n v="2250000"/>
    <n v="6"/>
  </r>
  <r>
    <n v="0"/>
    <n v="0"/>
    <n v="10"/>
    <n v="10"/>
    <s v="F-HAT"/>
    <x v="27"/>
    <s v="JIH-FOREMOST-28"/>
    <s v="JIH-FOREMOST-28JIHBEF5855KH"/>
    <n v="2"/>
    <s v="JIH-FOREMOST-282"/>
    <s v="JIH-FOREMOST-282-JIHBEF5855KHAKIFRE"/>
    <s v="JIH의류외855"/>
    <s v="JIH"/>
    <s v="JILBEE"/>
    <m/>
    <s v="JIH"/>
    <s v="JIL HATSON"/>
    <s v="F"/>
    <n v="5"/>
    <s v="BE"/>
    <s v="BEANIE"/>
    <s v="K"/>
    <n v="855"/>
    <n v="855"/>
    <s v="JIHBEF5855"/>
    <n v="1"/>
    <s v="JILBEE5855KHFRE"/>
    <s v="KH"/>
    <s v="KHAKI"/>
    <s v="JIHBEF5855KH"/>
    <x v="1"/>
    <n v="1"/>
    <n v="0"/>
    <n v="1"/>
    <s v="FRE"/>
    <n v="50"/>
    <x v="4"/>
    <n v="28"/>
    <x v="31"/>
    <s v="M"/>
    <s v="CN"/>
    <x v="0"/>
    <n v="35000"/>
    <x v="20"/>
    <n v="5303.030303030303"/>
    <n v="0"/>
    <n v="-5303.030303030303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265151.51515151514"/>
    <n v="1750000"/>
    <n v="6"/>
  </r>
  <r>
    <n v="0"/>
    <n v="0"/>
    <n v="10"/>
    <n v="10"/>
    <s v="F-HAT"/>
    <x v="27"/>
    <s v="JIH-FOREMOST-28"/>
    <s v="JIH-FOREMOST-28JIHBEF5855RE"/>
    <n v="3"/>
    <s v="JIH-FOREMOST-283"/>
    <s v="JIH-FOREMOST-283-JIHBEF5855REDFRE"/>
    <s v="JIH의류외855"/>
    <s v="JIH"/>
    <s v="JILBEE"/>
    <m/>
    <s v="JIH"/>
    <s v="JIL HATSON"/>
    <s v="F"/>
    <n v="5"/>
    <s v="BE"/>
    <s v="BEANIE"/>
    <s v="K"/>
    <n v="855"/>
    <n v="855"/>
    <s v="JIHBEF5855"/>
    <n v="1"/>
    <s v="JILBEE5855REFRE"/>
    <s v="RE"/>
    <s v="RED"/>
    <s v="JIHBEF5855RE"/>
    <x v="1"/>
    <n v="1"/>
    <n v="0"/>
    <n v="1"/>
    <s v="FRE"/>
    <n v="50"/>
    <x v="4"/>
    <n v="28"/>
    <x v="31"/>
    <s v="M"/>
    <s v="CN"/>
    <x v="0"/>
    <n v="35000"/>
    <x v="20"/>
    <n v="5303.030303030303"/>
    <n v="0"/>
    <n v="-5303.030303030303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265151.51515151514"/>
    <n v="1750000"/>
    <n v="6"/>
  </r>
  <r>
    <n v="0"/>
    <n v="0"/>
    <n v="10"/>
    <n v="10"/>
    <s v="F-HAT"/>
    <x v="27"/>
    <s v="JIH-FOREMOST-28"/>
    <s v="JIH-FOREMOST-28JIHBEF5856BK"/>
    <n v="4"/>
    <s v="JIH-FOREMOST-284"/>
    <s v="JIH-FOREMOST-284-JIHBEF5856BLACKFRE"/>
    <s v="JIH의류외856"/>
    <s v="JIH"/>
    <s v="JILBEE"/>
    <m/>
    <s v="JIH"/>
    <s v="JIL HATSON"/>
    <s v="F"/>
    <n v="5"/>
    <s v="BE"/>
    <s v="BEANIE"/>
    <s v="K"/>
    <n v="856"/>
    <n v="856"/>
    <s v="JIHBEF5856"/>
    <n v="1"/>
    <s v="JILBEE5856BKFRE"/>
    <s v="BK"/>
    <s v="BLACK"/>
    <s v="JIHBEF5856BK"/>
    <x v="1"/>
    <n v="1"/>
    <n v="0"/>
    <n v="1"/>
    <s v="FRE"/>
    <n v="50"/>
    <x v="4"/>
    <n v="28"/>
    <x v="31"/>
    <s v="M"/>
    <s v="CN"/>
    <x v="0"/>
    <n v="35000"/>
    <x v="20"/>
    <n v="5303.030303030303"/>
    <n v="0"/>
    <n v="-5303.030303030303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265151.51515151514"/>
    <n v="1750000"/>
    <n v="6"/>
  </r>
  <r>
    <n v="0"/>
    <n v="0"/>
    <n v="10"/>
    <n v="10"/>
    <s v="F-HAT"/>
    <x v="27"/>
    <s v="JIH-FOREMOST-28"/>
    <s v="JIH-FOREMOST-28JIHBEF5856MT"/>
    <n v="5"/>
    <s v="JIH-FOREMOST-285"/>
    <s v="JIH-FOREMOST-285-JIHBEF5856MINTFRE"/>
    <s v="JIH의류외856"/>
    <s v="JIH"/>
    <s v="JILBEE"/>
    <m/>
    <s v="JIH"/>
    <s v="JIL HATSON"/>
    <s v="F"/>
    <n v="5"/>
    <s v="BE"/>
    <s v="BEANIE"/>
    <s v="K"/>
    <n v="856"/>
    <n v="856"/>
    <s v="JIHBEF5856"/>
    <n v="1"/>
    <s v="JILBEE5856MTFRE"/>
    <s v="MT"/>
    <s v="MINT"/>
    <s v="JIHBEF5856MT"/>
    <x v="1"/>
    <n v="1"/>
    <n v="0"/>
    <n v="1"/>
    <s v="FRE"/>
    <n v="50"/>
    <x v="4"/>
    <n v="28"/>
    <x v="31"/>
    <s v="M"/>
    <s v="CN"/>
    <x v="0"/>
    <n v="35000"/>
    <x v="20"/>
    <n v="5303.030303030303"/>
    <n v="0"/>
    <n v="-5303.030303030303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265151.51515151514"/>
    <n v="1750000"/>
    <n v="6"/>
  </r>
  <r>
    <n v="0"/>
    <n v="0"/>
    <n v="10"/>
    <n v="10"/>
    <s v="F-HAT"/>
    <x v="27"/>
    <s v="JIH-FOREMOST-28"/>
    <s v="JIH-FOREMOST-28JIHBEF5856NY"/>
    <n v="6"/>
    <s v="JIH-FOREMOST-286"/>
    <s v="JIH-FOREMOST-286-JIHBEF5856NAVYFRE"/>
    <s v="JIH의류외856"/>
    <s v="JIH"/>
    <s v="JILBEE"/>
    <m/>
    <s v="JIH"/>
    <s v="JIL HATSON"/>
    <s v="F"/>
    <n v="5"/>
    <s v="BE"/>
    <s v="BEANIE"/>
    <s v="K"/>
    <n v="856"/>
    <n v="856"/>
    <s v="JIHBEF5856"/>
    <n v="1"/>
    <s v="JILBEE5856NYFRE"/>
    <s v="NY"/>
    <s v="NAVY"/>
    <s v="JIHBEF5856NY"/>
    <x v="1"/>
    <n v="1"/>
    <n v="0"/>
    <n v="1"/>
    <s v="FRE"/>
    <n v="50"/>
    <x v="4"/>
    <n v="28"/>
    <x v="31"/>
    <s v="M"/>
    <s v="CN"/>
    <x v="0"/>
    <n v="35000"/>
    <x v="20"/>
    <n v="5303.030303030303"/>
    <n v="0"/>
    <n v="-5303.030303030303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265151.51515151514"/>
    <n v="1750000"/>
    <n v="6"/>
  </r>
  <r>
    <n v="0"/>
    <n v="0"/>
    <n v="10"/>
    <n v="10"/>
    <s v="F-HAT"/>
    <x v="27"/>
    <s v="JIH-FOREMOST-28"/>
    <s v="JIH-FOREMOST-28JIHEBF5850BW"/>
    <n v="7"/>
    <s v="JIH-FOREMOST-287"/>
    <s v="JIH-FOREMOST-287-JIHEBF5850BROWNFRE"/>
    <s v="JIH의류외850"/>
    <s v="JIH"/>
    <s v="JILEBE"/>
    <m/>
    <s v="JIH"/>
    <s v="JIL HATSON"/>
    <s v="F"/>
    <n v="5"/>
    <s v="EB"/>
    <s v="EARFLAP BEANIE"/>
    <s v="K"/>
    <n v="850"/>
    <n v="850"/>
    <s v="JIHEBF5850"/>
    <n v="1"/>
    <s v="JILEBE5850BWFRE"/>
    <s v="BW"/>
    <s v="BROWN"/>
    <s v="JIHEBF5850BW"/>
    <x v="1"/>
    <n v="1"/>
    <n v="0"/>
    <n v="1"/>
    <s v="FRE"/>
    <n v="50"/>
    <x v="4"/>
    <n v="28"/>
    <x v="31"/>
    <s v="M"/>
    <s v="CN"/>
    <x v="0"/>
    <n v="39000"/>
    <x v="20"/>
    <n v="5909.0909090909081"/>
    <n v="0"/>
    <n v="-5909.090909090908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295454.54545454541"/>
    <n v="1950000"/>
    <n v="6"/>
  </r>
  <r>
    <n v="0"/>
    <n v="0"/>
    <n v="10"/>
    <n v="10"/>
    <s v="F-HAT"/>
    <x v="27"/>
    <s v="JIH-FOREMOST-28"/>
    <s v="JIH-FOREMOST-28JIHEBF5850NY"/>
    <n v="8"/>
    <s v="JIH-FOREMOST-288"/>
    <s v="JIH-FOREMOST-288-JIHEBF5850NAVYFRE"/>
    <s v="JIH의류외850"/>
    <s v="JIH"/>
    <s v="JILEBE"/>
    <m/>
    <s v="JIH"/>
    <s v="JIL HATSON"/>
    <s v="F"/>
    <n v="5"/>
    <s v="EB"/>
    <s v="EARFLAP BEANIE"/>
    <s v="K"/>
    <n v="850"/>
    <n v="850"/>
    <s v="JIHEBF5850"/>
    <n v="1"/>
    <s v="JILEBE5850NYFRE"/>
    <s v="NY"/>
    <s v="NAVY"/>
    <s v="JIHEBF5850NY"/>
    <x v="1"/>
    <n v="1"/>
    <n v="0"/>
    <n v="1"/>
    <s v="FRE"/>
    <n v="50"/>
    <x v="4"/>
    <n v="28"/>
    <x v="31"/>
    <s v="M"/>
    <s v="CN"/>
    <x v="0"/>
    <n v="39000"/>
    <x v="20"/>
    <n v="5909.0909090909081"/>
    <n v="0"/>
    <n v="-5909.090909090908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295454.54545454541"/>
    <n v="1950000"/>
    <n v="6"/>
  </r>
  <r>
    <n v="0"/>
    <n v="0"/>
    <n v="10"/>
    <n v="10"/>
    <s v="F-HAT"/>
    <x v="27"/>
    <s v="JIH-FOREMOST-28"/>
    <s v="JIH-FOREMOST-28JIHERF5806MT"/>
    <n v="9"/>
    <s v="JIH-FOREMOST-289"/>
    <s v="JIH-FOREMOST-289-JIHERF5806MINTFRE"/>
    <s v="JIH의류외806"/>
    <s v="JIH"/>
    <s v="JILERE"/>
    <m/>
    <s v="JIH"/>
    <s v="JIL HATSON"/>
    <s v="F"/>
    <n v="5"/>
    <s v="ER"/>
    <s v="EARCAP"/>
    <s v="K"/>
    <n v="806"/>
    <n v="806"/>
    <s v="JIHERF5806"/>
    <n v="1"/>
    <s v="JILERE5806MTFRE"/>
    <s v="MT"/>
    <s v="MINT"/>
    <s v="JIHERF5806MT"/>
    <x v="1"/>
    <n v="1"/>
    <n v="0"/>
    <n v="1"/>
    <s v="FRE"/>
    <n v="50"/>
    <x v="4"/>
    <n v="28"/>
    <x v="31"/>
    <s v="M"/>
    <s v="CN"/>
    <x v="0"/>
    <n v="55000"/>
    <x v="20"/>
    <n v="8333.3333333333321"/>
    <n v="0"/>
    <n v="-8333.333333333332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416666.66666666663"/>
    <n v="2750000"/>
    <n v="6"/>
  </r>
  <r>
    <n v="0"/>
    <n v="0"/>
    <n v="10"/>
    <n v="10"/>
    <s v="F-HAT"/>
    <x v="27"/>
    <s v="JIH-FOREMOST-28"/>
    <s v="JIH-FOREMOST-28JIHERF5806YE"/>
    <n v="10"/>
    <s v="JIH-FOREMOST-2810"/>
    <s v="JIH-FOREMOST-2810-JIHERF5806YELLOWFRE"/>
    <s v="JIH의류외806"/>
    <s v="JIH"/>
    <s v="JILERE"/>
    <m/>
    <s v="JIH"/>
    <s v="JIL HATSON"/>
    <s v="F"/>
    <n v="5"/>
    <s v="ER"/>
    <s v="EARCAP"/>
    <s v="K"/>
    <n v="806"/>
    <n v="806"/>
    <s v="JIHERF5806"/>
    <n v="1"/>
    <s v="JILERE5806YEFRE"/>
    <s v="YE"/>
    <s v="YELLOW"/>
    <s v="JIHERF5806YE"/>
    <x v="1"/>
    <n v="1"/>
    <n v="0"/>
    <n v="1"/>
    <s v="FRE"/>
    <n v="50"/>
    <x v="4"/>
    <n v="28"/>
    <x v="31"/>
    <s v="M"/>
    <s v="CN"/>
    <x v="0"/>
    <n v="55000"/>
    <x v="20"/>
    <n v="8333.3333333333321"/>
    <n v="0"/>
    <n v="-8333.333333333332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416666.66666666663"/>
    <n v="2750000"/>
    <n v="6"/>
  </r>
  <r>
    <n v="0"/>
    <n v="0"/>
    <n v="10"/>
    <n v="10"/>
    <s v="F-HAT"/>
    <x v="27"/>
    <s v="JIH-FOREMOST-28"/>
    <s v="JIH-FOREMOST-28JIHTPF5833GR"/>
    <n v="11"/>
    <s v="JIH-FOREMOST-2811"/>
    <s v="JIH-FOREMOST-2811-JIHTPF5833GREENFRE"/>
    <s v="JIH의류외833"/>
    <s v="JIH"/>
    <s v="JILTPE"/>
    <m/>
    <s v="JIH"/>
    <s v="JIL HATSON"/>
    <s v="F"/>
    <n v="5"/>
    <s v="TP"/>
    <s v="TROOPER"/>
    <s v="K"/>
    <n v="833"/>
    <n v="833"/>
    <s v="JIHTPF5833"/>
    <n v="1"/>
    <s v="JILTPE5833GRFRE"/>
    <s v="GR"/>
    <s v="GREEN"/>
    <s v="JIHTPF5833GR"/>
    <x v="1"/>
    <n v="1"/>
    <n v="0"/>
    <n v="1"/>
    <s v="FRE"/>
    <n v="50"/>
    <x v="4"/>
    <n v="28"/>
    <x v="31"/>
    <s v="M"/>
    <s v="CN"/>
    <x v="0"/>
    <n v="65000"/>
    <x v="20"/>
    <n v="9848.484848484848"/>
    <n v="0"/>
    <n v="-9848.484848484848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492424.24242424243"/>
    <n v="3250000"/>
    <n v="5.9999999999999991"/>
  </r>
  <r>
    <n v="0"/>
    <n v="0"/>
    <n v="10"/>
    <n v="10"/>
    <s v="F-HAT"/>
    <x v="27"/>
    <s v="JIH-FOREMOST-28"/>
    <s v="JIH-FOREMOST-28JIHTPF5833RE"/>
    <n v="12"/>
    <s v="JIH-FOREMOST-2812"/>
    <s v="JIH-FOREMOST-2812-JIHTPF5833REDFRE"/>
    <s v="JIH의류외833"/>
    <s v="JIH"/>
    <s v="JILTPE"/>
    <m/>
    <s v="JIH"/>
    <s v="JIL HATSON"/>
    <s v="F"/>
    <n v="5"/>
    <s v="TP"/>
    <s v="TROOPER"/>
    <s v="K"/>
    <n v="833"/>
    <n v="833"/>
    <s v="JIHTPF5833"/>
    <n v="1"/>
    <s v="JILTPE5833REFRE"/>
    <s v="RE"/>
    <s v="RED"/>
    <s v="JIHTPF5833RE"/>
    <x v="1"/>
    <n v="1"/>
    <n v="0"/>
    <n v="1"/>
    <s v="FRE"/>
    <n v="50"/>
    <x v="4"/>
    <n v="28"/>
    <x v="31"/>
    <s v="M"/>
    <s v="CN"/>
    <x v="0"/>
    <n v="65000"/>
    <x v="20"/>
    <n v="9848.484848484848"/>
    <n v="0"/>
    <n v="-9848.484848484848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492424.24242424243"/>
    <n v="3250000"/>
    <n v="5.9999999999999991"/>
  </r>
  <r>
    <n v="0"/>
    <n v="0"/>
    <n v="10"/>
    <n v="10"/>
    <s v="F-HAT"/>
    <x v="27"/>
    <s v="JIH-FOREMOST-28"/>
    <s v="JIH-FOREMOST-28JIHTPF5834BK"/>
    <n v="13"/>
    <s v="JIH-FOREMOST-2813"/>
    <s v="JIH-FOREMOST-2813-JIHTPF5834BLACKFRE"/>
    <s v="JIH의류외834"/>
    <s v="JIH"/>
    <s v="JILTPE"/>
    <m/>
    <s v="JIH"/>
    <s v="JIL HATSON"/>
    <s v="F"/>
    <n v="5"/>
    <s v="TP"/>
    <s v="TROOPER"/>
    <s v="K"/>
    <n v="834"/>
    <n v="834"/>
    <s v="JIHTPF5834"/>
    <n v="1"/>
    <s v="JILTPE5834BKFRE"/>
    <s v="BK"/>
    <s v="BLACK"/>
    <s v="JIHTPF5834BK"/>
    <x v="1"/>
    <n v="1"/>
    <n v="0"/>
    <n v="1"/>
    <s v="FRE"/>
    <n v="50"/>
    <x v="4"/>
    <n v="28"/>
    <x v="31"/>
    <s v="M"/>
    <s v="CN"/>
    <x v="0"/>
    <n v="55000"/>
    <x v="20"/>
    <n v="8333.3333333333321"/>
    <n v="0"/>
    <n v="-8333.333333333332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416666.66666666663"/>
    <n v="2750000"/>
    <n v="6"/>
  </r>
  <r>
    <n v="0"/>
    <n v="0"/>
    <s v=""/>
    <s v=""/>
    <s v=""/>
    <x v="1"/>
    <s v=""/>
    <s v=""/>
    <n v="0"/>
    <s v="0"/>
    <s v="0-"/>
    <n v="0"/>
    <s v="TTL"/>
    <s v=""/>
    <s v="JIH-FOREMOST-28 TTL"/>
    <m/>
    <s v=""/>
    <s v=""/>
    <s v=""/>
    <s v=""/>
    <s v=""/>
    <s v="K"/>
    <s v=""/>
    <s v=""/>
    <s v=""/>
    <n v="13"/>
    <m/>
    <s v=""/>
    <m/>
    <s v=""/>
    <x v="0"/>
    <n v="1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m/>
    <d v="1899-12-30T00:00:00"/>
    <d v="1899-12-30T00:00:00"/>
    <d v="1899-12-30T00:00:00"/>
    <d v="1899-12-30T00:00:00"/>
    <x v="1"/>
    <n v="0"/>
    <n v="650"/>
    <n v="0"/>
    <n v="0"/>
    <n v="0"/>
    <n v="0"/>
    <n v="0"/>
    <n v="650"/>
    <n v="4492424.2424242422"/>
    <n v="29650000"/>
    <n v="6"/>
  </r>
  <r>
    <n v="0"/>
    <n v="0"/>
    <n v="10"/>
    <n v="10"/>
    <s v="F-HAT"/>
    <x v="27"/>
    <s v="JIH-NT SENHONG-01"/>
    <s v="JIH-NT SENHONG-01JIHBEF5842GR"/>
    <n v="1"/>
    <s v="JIH-NT SENHONG-011"/>
    <s v="JIH-NT SENHONG-011-JIHBEF5842GREENFRE"/>
    <s v="JIH의류외842"/>
    <s v="JIH"/>
    <s v="JILBEE"/>
    <m/>
    <s v="JIH"/>
    <s v="JIL HATSON"/>
    <s v="F"/>
    <n v="5"/>
    <s v="BE"/>
    <s v="BEANIE"/>
    <s v="K"/>
    <n v="842"/>
    <n v="842"/>
    <s v="JIHBEF5842"/>
    <n v="1"/>
    <s v="JILBEE5842GRFRE"/>
    <s v="GR"/>
    <s v="GREEN"/>
    <s v="JIHBEF5842GR"/>
    <x v="1"/>
    <n v="1"/>
    <n v="0"/>
    <n v="1"/>
    <s v="FRE"/>
    <n v="50"/>
    <x v="18"/>
    <n v="1"/>
    <x v="0"/>
    <s v="M"/>
    <s v="CN"/>
    <x v="0"/>
    <n v="25000"/>
    <x v="20"/>
    <n v="3246.7532467532465"/>
    <n v="0"/>
    <n v="-3246.7532467532465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62337.66233766233"/>
    <n v="1250000"/>
    <n v="7"/>
  </r>
  <r>
    <n v="0"/>
    <n v="0"/>
    <n v="10"/>
    <n v="10"/>
    <s v="F-HAT"/>
    <x v="27"/>
    <s v="JIH-NT SENHONG-01"/>
    <s v="JIH-NT SENHONG-01JIHBEF5842NY"/>
    <n v="2"/>
    <s v="JIH-NT SENHONG-012"/>
    <s v="JIH-NT SENHONG-012-JIHBEF5842NAVYFRE"/>
    <s v="JIH의류외842"/>
    <s v="JIH"/>
    <s v="JILBEE"/>
    <m/>
    <s v="JIH"/>
    <s v="JIL HATSON"/>
    <s v="F"/>
    <n v="5"/>
    <s v="BE"/>
    <s v="BEANIE"/>
    <s v="K"/>
    <n v="842"/>
    <n v="842"/>
    <s v="JIHBEF5842"/>
    <n v="1"/>
    <s v="JILBEE5842NYFRE"/>
    <s v="NY"/>
    <s v="NAVY"/>
    <s v="JIHBEF5842NY"/>
    <x v="1"/>
    <n v="1"/>
    <n v="0"/>
    <n v="1"/>
    <s v="FRE"/>
    <n v="50"/>
    <x v="18"/>
    <n v="1"/>
    <x v="0"/>
    <s v="M"/>
    <s v="CN"/>
    <x v="0"/>
    <n v="25000"/>
    <x v="20"/>
    <n v="3246.7532467532465"/>
    <n v="0"/>
    <n v="-3246.7532467532465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162337.66233766233"/>
    <n v="1250000"/>
    <n v="7"/>
  </r>
  <r>
    <n v="0"/>
    <n v="0"/>
    <s v=""/>
    <s v=""/>
    <s v=""/>
    <x v="1"/>
    <s v=""/>
    <s v=""/>
    <n v="0"/>
    <s v="0"/>
    <s v="0-"/>
    <n v="0"/>
    <s v="TTL"/>
    <s v=""/>
    <s v="JIH-NT SENHONG-01 TTL"/>
    <m/>
    <s v=""/>
    <s v=""/>
    <s v=""/>
    <s v=""/>
    <s v=""/>
    <s v="K"/>
    <s v=""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324675.32467532466"/>
    <n v="2500000"/>
    <n v="7"/>
  </r>
  <r>
    <n v="0"/>
    <n v="0"/>
    <n v="10"/>
    <n v="10"/>
    <s v="F-HAT"/>
    <x v="27"/>
    <s v="JIH-Y&amp;Y-05"/>
    <s v="JIH-Y&amp;Y-05JIHBEF5844MT"/>
    <n v="1"/>
    <s v="JIH-Y&amp;Y-051"/>
    <s v="JIH-Y&amp;Y-051-JIHBEF5844MINTFRE"/>
    <s v="JIH의류외844"/>
    <s v="JIH"/>
    <s v="JILBEE"/>
    <m/>
    <s v="JIH"/>
    <s v="JIL HATSON"/>
    <s v="F"/>
    <n v="5"/>
    <s v="BE"/>
    <s v="BEANIE"/>
    <s v="K"/>
    <n v="844"/>
    <n v="844"/>
    <s v="JIHBEF5844"/>
    <n v="1"/>
    <s v="JILBEE5844MTFRE"/>
    <s v="MT"/>
    <s v="MINT"/>
    <s v="JIHBEF5844MT"/>
    <x v="1"/>
    <n v="1"/>
    <n v="0"/>
    <n v="1"/>
    <s v="FRE"/>
    <n v="50"/>
    <x v="6"/>
    <n v="5"/>
    <x v="5"/>
    <s v="M"/>
    <s v="CN"/>
    <x v="0"/>
    <n v="35000"/>
    <x v="20"/>
    <n v="4545.454545454545"/>
    <n v="0"/>
    <n v="-4545.454545454545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227272.72727272726"/>
    <n v="1750000"/>
    <n v="7"/>
  </r>
  <r>
    <n v="0"/>
    <n v="0"/>
    <n v="10"/>
    <n v="10"/>
    <s v="F-HAT"/>
    <x v="27"/>
    <s v="JIH-Y&amp;Y-05"/>
    <s v="JIH-Y&amp;Y-05JIHBEF5844RE"/>
    <n v="2"/>
    <s v="JIH-Y&amp;Y-052"/>
    <s v="JIH-Y&amp;Y-052-JIHBEF5844REDFRE"/>
    <s v="JIH의류외844"/>
    <s v="JIH"/>
    <s v="JILBEE"/>
    <m/>
    <s v="JIH"/>
    <s v="JIL HATSON"/>
    <s v="F"/>
    <n v="5"/>
    <s v="BE"/>
    <s v="BEANIE"/>
    <s v="K"/>
    <n v="844"/>
    <n v="844"/>
    <s v="JIHBEF5844"/>
    <n v="1"/>
    <s v="JILBEE5844REFRE"/>
    <s v="RE"/>
    <s v="RED"/>
    <s v="JIHBEF5844RE"/>
    <x v="1"/>
    <n v="1"/>
    <n v="0"/>
    <n v="1"/>
    <s v="FRE"/>
    <n v="50"/>
    <x v="6"/>
    <n v="5"/>
    <x v="5"/>
    <s v="M"/>
    <s v="CN"/>
    <x v="0"/>
    <n v="35000"/>
    <x v="20"/>
    <n v="4545.454545454545"/>
    <n v="0"/>
    <n v="-4545.454545454545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227272.72727272726"/>
    <n v="1750000"/>
    <n v="7"/>
  </r>
  <r>
    <n v="0"/>
    <n v="0"/>
    <n v="10"/>
    <n v="10"/>
    <s v="F-HAT"/>
    <x v="27"/>
    <s v="JIH-Y&amp;Y-05"/>
    <s v="JIH-Y&amp;Y-05JIHBEF5849BK"/>
    <n v="3"/>
    <s v="JIH-Y&amp;Y-053"/>
    <s v="JIH-Y&amp;Y-053-JIHBEF5849BLACKFRE"/>
    <s v="JIH의류외849"/>
    <s v="JIH"/>
    <s v="JILBEE"/>
    <m/>
    <s v="JIH"/>
    <s v="JIL HATSON"/>
    <s v="F"/>
    <n v="5"/>
    <s v="BE"/>
    <s v="BEANIE"/>
    <s v="K"/>
    <n v="849"/>
    <n v="849"/>
    <s v="JIHBEF5849"/>
    <n v="1"/>
    <s v="JILBEE5849BKFRE"/>
    <s v="BK"/>
    <s v="BLACK"/>
    <s v="JIHBEF5849BK"/>
    <x v="1"/>
    <n v="1"/>
    <n v="0"/>
    <n v="1"/>
    <s v="FRE"/>
    <n v="50"/>
    <x v="6"/>
    <n v="5"/>
    <x v="5"/>
    <s v="M"/>
    <s v="CN"/>
    <x v="0"/>
    <n v="35000"/>
    <x v="20"/>
    <n v="4545.454545454545"/>
    <n v="0"/>
    <n v="-4545.454545454545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227272.72727272726"/>
    <n v="1750000"/>
    <n v="7"/>
  </r>
  <r>
    <n v="0"/>
    <n v="0"/>
    <n v="10"/>
    <n v="10"/>
    <s v="F-HAT"/>
    <x v="27"/>
    <s v="JIH-Y&amp;Y-05"/>
    <s v="JIH-Y&amp;Y-05JIHEBF5843RE"/>
    <n v="4"/>
    <s v="JIH-Y&amp;Y-054"/>
    <s v="JIH-Y&amp;Y-054-JIHEBF5843REDFRE"/>
    <s v="JIH의류외843"/>
    <s v="JIH"/>
    <s v="JILEBE"/>
    <m/>
    <s v="JIH"/>
    <s v="JIL HATSON"/>
    <s v="F"/>
    <n v="5"/>
    <s v="EB"/>
    <s v="EARFLAP BEANIE"/>
    <s v="K"/>
    <n v="843"/>
    <n v="843"/>
    <s v="JIHEBF5843"/>
    <n v="1"/>
    <s v="JILEBE5843REFRE"/>
    <s v="RE"/>
    <s v="RED"/>
    <s v="JIHEBF5843RE"/>
    <x v="1"/>
    <n v="1"/>
    <n v="0"/>
    <n v="1"/>
    <s v="FRE"/>
    <n v="50"/>
    <x v="6"/>
    <n v="5"/>
    <x v="5"/>
    <s v="M"/>
    <s v="CN"/>
    <x v="0"/>
    <n v="39000"/>
    <x v="20"/>
    <n v="5064.9350649350645"/>
    <n v="0"/>
    <n v="-5064.9350649350645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253246.75324675321"/>
    <n v="1950000"/>
    <n v="7"/>
  </r>
  <r>
    <n v="0"/>
    <n v="0"/>
    <s v=""/>
    <s v=""/>
    <s v=""/>
    <x v="1"/>
    <s v=""/>
    <s v=""/>
    <n v="0"/>
    <s v="0"/>
    <s v="0-"/>
    <n v="0"/>
    <s v="TTL"/>
    <s v=""/>
    <s v="JIH-Y&amp;Y-05 TTL"/>
    <m/>
    <s v=""/>
    <s v=""/>
    <s v=""/>
    <s v=""/>
    <s v=""/>
    <s v="K"/>
    <s v=""/>
    <s v=""/>
    <s v=""/>
    <n v="4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00"/>
    <n v="0"/>
    <n v="0"/>
    <n v="0"/>
    <n v="0"/>
    <n v="0"/>
    <n v="200"/>
    <n v="935064.93506493501"/>
    <n v="7200000"/>
    <n v="6.9999999999999991"/>
  </r>
  <r>
    <n v="0"/>
    <n v="0"/>
    <n v="10"/>
    <n v="10"/>
    <s v="F-HAT"/>
    <x v="27"/>
    <s v="JIH-ELEGANCE-01"/>
    <s v="JIH-ELEGANCE-01JIHFAF5604BK"/>
    <n v="1"/>
    <s v="JIH-ELEGANCE-011"/>
    <s v="JIH-ELEGANCE-011-JIHFAF5604BLACKFRE"/>
    <s v="JIH의류외604"/>
    <s v="JIH"/>
    <s v="JILFAE"/>
    <m/>
    <s v="JIH"/>
    <s v="JIL HATSON"/>
    <s v="F"/>
    <n v="5"/>
    <s v="FA"/>
    <s v="FASHION HAT"/>
    <s v="K"/>
    <n v="604"/>
    <n v="604"/>
    <s v="JIHFAF5604"/>
    <n v="1"/>
    <s v="JILFAE5604BKFRE"/>
    <s v="BK"/>
    <s v="BLACK"/>
    <s v="JIHFAF5604BK"/>
    <x v="1"/>
    <n v="1"/>
    <n v="0"/>
    <n v="1"/>
    <s v="FRE"/>
    <n v="9"/>
    <x v="19"/>
    <n v="1"/>
    <x v="0"/>
    <s v="M"/>
    <s v="CN"/>
    <x v="0"/>
    <n v="49000"/>
    <x v="20"/>
    <n v="7424.242424242424"/>
    <n v="0"/>
    <n v="-7424.242424242424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9"/>
    <n v="0"/>
    <n v="0"/>
    <n v="0"/>
    <n v="0"/>
    <n v="0"/>
    <n v="9"/>
    <n v="66818.181818181823"/>
    <n v="441000"/>
    <n v="5.9999999999999991"/>
  </r>
  <r>
    <n v="0"/>
    <n v="0"/>
    <s v=""/>
    <s v=""/>
    <s v=""/>
    <x v="1"/>
    <s v=""/>
    <s v=""/>
    <n v="0"/>
    <s v="0"/>
    <s v="0-"/>
    <n v="0"/>
    <s v="TTL"/>
    <s v=""/>
    <s v="JIH-ELEGANCE-01 TTL"/>
    <m/>
    <s v=""/>
    <s v=""/>
    <s v=""/>
    <s v=""/>
    <s v=""/>
    <s v="K"/>
    <s v=""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9"/>
    <n v="0"/>
    <n v="0"/>
    <n v="0"/>
    <n v="0"/>
    <n v="0"/>
    <n v="9"/>
    <n v="66818.181818181823"/>
    <n v="441000"/>
    <n v="5.9999999999999991"/>
  </r>
  <r>
    <n v="0"/>
    <n v="0"/>
    <n v="10"/>
    <n v="10"/>
    <s v="F-HAT"/>
    <x v="28"/>
    <s v="JOH-FOREMOST-29"/>
    <s v="JOH-FOREMOST-29JOHEBF5604YE"/>
    <n v="1"/>
    <s v="JOH-FOREMOST-291"/>
    <s v="JOH-FOREMOST-291-JOHEBF5604YELLOWFRE"/>
    <s v="JOH의류외604"/>
    <s v="JOH"/>
    <s v="JOIEBE"/>
    <m/>
    <s v="JOH"/>
    <s v="JOI HATSON"/>
    <s v="F"/>
    <n v="5"/>
    <s v="EB"/>
    <s v="EARFLAP BEANIE"/>
    <s v="K"/>
    <n v="604"/>
    <n v="604"/>
    <s v="JOHEBF5604"/>
    <n v="1"/>
    <s v="JOIEBE5604YEFRE"/>
    <s v="YE"/>
    <s v="YELLOW"/>
    <s v="JOHEBF5604YE"/>
    <x v="1"/>
    <n v="1"/>
    <n v="0"/>
    <n v="1"/>
    <s v="FRE"/>
    <n v="250"/>
    <x v="4"/>
    <n v="29"/>
    <x v="25"/>
    <s v="M"/>
    <s v="CN"/>
    <x v="0"/>
    <n v="53000"/>
    <x v="20"/>
    <n v="8030.3030303030291"/>
    <n v="0"/>
    <n v="-8030.303030303029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282"/>
    <n v="0"/>
    <n v="0"/>
    <n v="0"/>
    <n v="0"/>
    <n v="0"/>
    <n v="250"/>
    <n v="2007575.7575757573"/>
    <n v="13250000"/>
    <n v="6.0000000000000009"/>
  </r>
  <r>
    <n v="0"/>
    <n v="0"/>
    <n v="10"/>
    <n v="10"/>
    <s v="F-HAT"/>
    <x v="28"/>
    <s v="JOH-FOREMOST-29"/>
    <s v="JOH-FOREMOST-29JOHEBF5606BW"/>
    <n v="2"/>
    <s v="JOH-FOREMOST-292"/>
    <s v="JOH-FOREMOST-292-JOHEBF5606BROWNFRE"/>
    <s v="JOH의류외606"/>
    <s v="JOH"/>
    <s v="JOIEBE"/>
    <m/>
    <s v="JOH"/>
    <s v="JOI HATSON"/>
    <s v="F"/>
    <n v="5"/>
    <s v="EB"/>
    <s v="EARFLAP BEANIE"/>
    <s v="K"/>
    <n v="606"/>
    <n v="606"/>
    <s v="JOHEBF5606"/>
    <n v="1"/>
    <s v="JOIEBE5606BWFRE"/>
    <s v="BW"/>
    <s v="BROWN"/>
    <s v="JOHEBF5606BW"/>
    <x v="1"/>
    <n v="1"/>
    <n v="0"/>
    <n v="1"/>
    <s v="FRE"/>
    <n v="40"/>
    <x v="4"/>
    <n v="29"/>
    <x v="25"/>
    <s v="M"/>
    <s v="CN"/>
    <x v="0"/>
    <n v="53000"/>
    <x v="20"/>
    <n v="8030.3030303030291"/>
    <n v="0"/>
    <n v="-8030.303030303029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3"/>
    <n v="0"/>
    <n v="0"/>
    <n v="0"/>
    <n v="0"/>
    <n v="0"/>
    <n v="40"/>
    <n v="321212.12121212116"/>
    <n v="2120000"/>
    <n v="6"/>
  </r>
  <r>
    <n v="0"/>
    <n v="0"/>
    <n v="10"/>
    <n v="10"/>
    <s v="F-HAT"/>
    <x v="28"/>
    <s v="JOH-FOREMOST-29"/>
    <s v="JOH-FOREMOST-29JOHEBF5805GY"/>
    <n v="3"/>
    <s v="JOH-FOREMOST-293"/>
    <s v="JOH-FOREMOST-293-JOHEBF5805GREYFRE"/>
    <s v="JOH의류외805"/>
    <s v="JOH"/>
    <s v="JOIEBE"/>
    <m/>
    <s v="JOH"/>
    <s v="JOI HATSON"/>
    <s v="F"/>
    <n v="5"/>
    <s v="EB"/>
    <s v="EARFLAP BEANIE"/>
    <s v="K"/>
    <n v="805"/>
    <n v="805"/>
    <s v="JOHEBF5805"/>
    <n v="1"/>
    <s v="JOIEBE5805GYFRE"/>
    <s v="GY"/>
    <s v="GREY"/>
    <s v="JOHEBF5805GY"/>
    <x v="1"/>
    <n v="1"/>
    <n v="0"/>
    <n v="1"/>
    <s v="FRE"/>
    <n v="100"/>
    <x v="4"/>
    <n v="29"/>
    <x v="25"/>
    <s v="M"/>
    <s v="CN"/>
    <x v="0"/>
    <n v="59000"/>
    <x v="20"/>
    <n v="8939.3939393939381"/>
    <n v="0"/>
    <n v="-8939.393939393938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893939.39393939381"/>
    <n v="5900000"/>
    <n v="6.0000000000000009"/>
  </r>
  <r>
    <n v="0"/>
    <n v="0"/>
    <n v="10"/>
    <n v="10"/>
    <s v="F-HAT"/>
    <x v="28"/>
    <s v="JOH-FOREMOST-29"/>
    <s v="JOH-FOREMOST-29JOHEBF5807BL"/>
    <n v="4"/>
    <s v="JOH-FOREMOST-294"/>
    <s v="JOH-FOREMOST-294-JOHEBF5807BLUEFRE"/>
    <s v="JOH의류외807"/>
    <s v="JOH"/>
    <s v="JOIEBE"/>
    <m/>
    <s v="JOH"/>
    <s v="JOI HATSON"/>
    <s v="F"/>
    <n v="5"/>
    <s v="EB"/>
    <s v="EARFLAP BEANIE"/>
    <s v="K"/>
    <n v="807"/>
    <n v="807"/>
    <s v="JOHEBF5807"/>
    <n v="1"/>
    <s v="JOIEBE5807BLFRE"/>
    <s v="BL"/>
    <s v="BLUE"/>
    <s v="JOHEBF5807BL"/>
    <x v="1"/>
    <n v="1"/>
    <n v="0"/>
    <n v="1"/>
    <s v="FRE"/>
    <n v="100"/>
    <x v="4"/>
    <n v="29"/>
    <x v="25"/>
    <s v="M"/>
    <s v="CN"/>
    <x v="0"/>
    <n v="55000"/>
    <x v="20"/>
    <n v="8333.3333333333321"/>
    <n v="0"/>
    <n v="-8333.333333333332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833333.33333333326"/>
    <n v="5500000"/>
    <n v="6"/>
  </r>
  <r>
    <n v="0"/>
    <n v="0"/>
    <n v="10"/>
    <n v="10"/>
    <s v="F-HAT"/>
    <x v="28"/>
    <s v="JOH-FOREMOST-29"/>
    <s v="JOH-FOREMOST-29JOHEBF5817MT"/>
    <n v="5"/>
    <s v="JOH-FOREMOST-295"/>
    <s v="JOH-FOREMOST-295-JOHEBF5817MINTFRE"/>
    <s v="JOH의류외817"/>
    <s v="JOH"/>
    <s v="JOIEBE"/>
    <m/>
    <s v="JOH"/>
    <s v="JOI HATSON"/>
    <s v="F"/>
    <n v="5"/>
    <s v="EB"/>
    <s v="EARFLAP BEANIE"/>
    <s v="K"/>
    <n v="817"/>
    <n v="817"/>
    <s v="JOHEBF5817"/>
    <n v="1"/>
    <s v="JOIEBE5817MTFRE"/>
    <s v="MT"/>
    <s v="MINT"/>
    <s v="JOHEBF5817MT"/>
    <x v="1"/>
    <n v="1"/>
    <n v="0"/>
    <n v="1"/>
    <s v="FRE"/>
    <n v="100"/>
    <x v="4"/>
    <n v="29"/>
    <x v="25"/>
    <s v="M"/>
    <s v="CN"/>
    <x v="0"/>
    <n v="55000"/>
    <x v="20"/>
    <n v="8333.3333333333321"/>
    <n v="0"/>
    <n v="-8333.333333333332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833333.33333333326"/>
    <n v="5500000"/>
    <n v="6"/>
  </r>
  <r>
    <n v="0"/>
    <n v="0"/>
    <n v="10"/>
    <n v="10"/>
    <s v="전략"/>
    <x v="34"/>
    <s v="JOH-FOREMOST-29"/>
    <s v="JOH-FOREMOST-29JOHMUF5814KH"/>
    <n v="6"/>
    <s v="JOH-FOREMOST-296"/>
    <s v="JOH-FOREMOST-296-JOHMUF5814KHAKIFRE"/>
    <s v="JOH의류외814"/>
    <s v="JOH"/>
    <s v="JOIMUE"/>
    <m/>
    <s v="JOH"/>
    <s v="JOI HATSON"/>
    <s v="F"/>
    <n v="5"/>
    <s v="MU"/>
    <s v="MUFFLER"/>
    <s v="K"/>
    <n v="814"/>
    <n v="814"/>
    <s v="JOHMUF5814"/>
    <n v="1"/>
    <s v="JOIMUE5814KHFRE"/>
    <s v="KH"/>
    <s v="KHAKI"/>
    <s v="JOHMUF5814KH"/>
    <x v="1"/>
    <n v="1"/>
    <n v="0"/>
    <n v="1"/>
    <s v="FRE"/>
    <n v="50"/>
    <x v="4"/>
    <n v="29"/>
    <x v="25"/>
    <s v="M"/>
    <s v="CN"/>
    <x v="0"/>
    <n v="49000"/>
    <x v="20"/>
    <n v="7424.242424242424"/>
    <n v="0"/>
    <n v="-7424.242424242424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371212.12121212122"/>
    <n v="2450000"/>
    <n v="5.9999999999999991"/>
  </r>
  <r>
    <n v="0"/>
    <n v="0"/>
    <n v="10"/>
    <n v="10"/>
    <s v="전략"/>
    <x v="34"/>
    <s v="JOH-FOREMOST-29"/>
    <s v="JOH-FOREMOST-29JOHMUF5816MT"/>
    <n v="7"/>
    <s v="JOH-FOREMOST-297"/>
    <s v="JOH-FOREMOST-297-JOHMUF5816MINTFRE"/>
    <s v="JOH의류외816"/>
    <s v="JOH"/>
    <s v="JOIMUE"/>
    <m/>
    <s v="JOH"/>
    <s v="JOI HATSON"/>
    <s v="F"/>
    <n v="5"/>
    <s v="MU"/>
    <s v="MUFFLER"/>
    <s v="K"/>
    <n v="816"/>
    <n v="816"/>
    <s v="JOHMUF5816"/>
    <n v="1"/>
    <s v="JOIMUE5816MTFRE"/>
    <s v="MT"/>
    <s v="MINT"/>
    <s v="JOHMUF5816MT"/>
    <x v="1"/>
    <n v="1"/>
    <n v="0"/>
    <n v="1"/>
    <s v="FRE"/>
    <n v="58"/>
    <x v="4"/>
    <n v="29"/>
    <x v="25"/>
    <s v="M"/>
    <s v="CN"/>
    <x v="0"/>
    <n v="55000"/>
    <x v="20"/>
    <n v="8333.3333333333321"/>
    <n v="0"/>
    <n v="-8333.333333333332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8"/>
    <n v="0"/>
    <n v="0"/>
    <n v="0"/>
    <n v="0"/>
    <n v="0"/>
    <n v="58"/>
    <n v="483333.33333333326"/>
    <n v="3190000"/>
    <n v="6"/>
  </r>
  <r>
    <n v="0"/>
    <n v="0"/>
    <n v="10"/>
    <n v="10"/>
    <s v="전략"/>
    <x v="34"/>
    <s v="JOH-FOREMOST-29"/>
    <s v="JOH-FOREMOST-29JOHMUF5818BL"/>
    <n v="8"/>
    <s v="JOH-FOREMOST-298"/>
    <s v="JOH-FOREMOST-298-JOHMUF5818BLUEFRE"/>
    <s v="JOH의류외818"/>
    <s v="JOH"/>
    <s v="JOIMUE"/>
    <m/>
    <s v="JOH"/>
    <s v="JOI HATSON"/>
    <s v="F"/>
    <n v="5"/>
    <s v="MU"/>
    <s v="MUFFLER"/>
    <s v="K"/>
    <n v="818"/>
    <n v="818"/>
    <s v="JOHMUF5818"/>
    <n v="1"/>
    <s v="JOIMUE5818BLFRE"/>
    <s v="BL"/>
    <s v="BLUE"/>
    <s v="JOHMUF5818BL"/>
    <x v="1"/>
    <n v="1"/>
    <n v="0"/>
    <n v="1"/>
    <s v="FRE"/>
    <n v="50"/>
    <x v="4"/>
    <n v="29"/>
    <x v="25"/>
    <s v="M"/>
    <s v="CN"/>
    <x v="0"/>
    <n v="55000"/>
    <x v="20"/>
    <n v="8333.3333333333321"/>
    <n v="0"/>
    <n v="-8333.333333333332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416666.66666666663"/>
    <n v="2750000"/>
    <n v="6"/>
  </r>
  <r>
    <n v="0"/>
    <n v="0"/>
    <n v="10"/>
    <n v="10"/>
    <s v="F-HAT"/>
    <x v="28"/>
    <s v="JOH-FOREMOST-29"/>
    <s v="JOH-FOREMOST-29JOHEBF5601BG"/>
    <n v="9"/>
    <s v="JOH-FOREMOST-299"/>
    <s v="JOH-FOREMOST-299-JOHEBF5601BEIGEFRE"/>
    <s v="JOH의류외601"/>
    <s v="JOH"/>
    <s v="JOIEBD"/>
    <m/>
    <s v="JOH"/>
    <s v="JOI HATSON"/>
    <s v="F"/>
    <n v="5"/>
    <s v="EB"/>
    <s v="EARFLAP BEANIE"/>
    <s v="K"/>
    <n v="601"/>
    <n v="601"/>
    <s v="JOHEBF5601"/>
    <n v="0.5"/>
    <s v="JOIEBD3601BGFRE"/>
    <s v="BG"/>
    <s v="BEIGE"/>
    <s v="JOHEBF5601BG"/>
    <x v="1"/>
    <n v="0.5"/>
    <n v="0"/>
    <n v="1"/>
    <s v="FRE"/>
    <n v="90"/>
    <x v="4"/>
    <n v="29"/>
    <x v="25"/>
    <s v="M"/>
    <s v="CN"/>
    <x v="0"/>
    <n v="53000"/>
    <x v="20"/>
    <n v="8030.3030303030291"/>
    <n v="0"/>
    <n v="-8030.303030303029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84"/>
    <n v="0"/>
    <n v="0"/>
    <n v="0"/>
    <n v="0"/>
    <n v="0"/>
    <n v="90"/>
    <n v="722727.27272727259"/>
    <n v="4770000"/>
    <n v="6.0000000000000009"/>
  </r>
  <r>
    <n v="0"/>
    <n v="0"/>
    <n v="10"/>
    <n v="10"/>
    <s v="F-HAT"/>
    <x v="28"/>
    <s v="JOH-FOREMOST-29"/>
    <s v="JOH-FOREMOST-29JOHEBF5601BG"/>
    <n v="9"/>
    <s v="JOH-FOREMOST-299"/>
    <s v="JOH-FOREMOST-299-JOHEBF5601BEIGEOLL"/>
    <s v="JOH의류외601"/>
    <s v="JOH"/>
    <s v="JOIEBD"/>
    <m/>
    <s v="JOH"/>
    <s v="JOI HATSON"/>
    <s v="F"/>
    <n v="5"/>
    <s v="EB"/>
    <s v="EARFLAP BEANIE"/>
    <s v="K"/>
    <n v="601"/>
    <n v="601"/>
    <s v="JOHEBF5601"/>
    <n v="0.5"/>
    <s v="JOIEBD3601BGOLL"/>
    <s v="BG"/>
    <s v="BEIGE"/>
    <s v="JOHEBF5601BG"/>
    <x v="1"/>
    <n v="0.5"/>
    <n v="0"/>
    <n v="1"/>
    <s v="OLL"/>
    <n v="150"/>
    <x v="4"/>
    <n v="29"/>
    <x v="25"/>
    <s v="M"/>
    <s v="CN"/>
    <x v="0"/>
    <n v="53000"/>
    <x v="20"/>
    <n v="8030.3030303030291"/>
    <n v="0"/>
    <n v="-8030.303030303029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150"/>
    <n v="0"/>
    <n v="0"/>
    <n v="0"/>
    <n v="0"/>
    <n v="0"/>
    <n v="150"/>
    <n v="1204545.4545454544"/>
    <n v="7950000"/>
    <n v="6"/>
  </r>
  <r>
    <n v="0"/>
    <n v="0"/>
    <n v="10"/>
    <n v="10"/>
    <s v="F-HAT"/>
    <x v="28"/>
    <s v="JOH-FOREMOST-29"/>
    <s v="JOH-FOREMOST-29JOHEBF5604YE"/>
    <n v="10"/>
    <s v="JOH-FOREMOST-2910"/>
    <s v="JOH-FOREMOST-2910-JOHEBF5604YELLOWFRE"/>
    <s v="JOH의류외604"/>
    <s v="JOH"/>
    <s v="JOIEBD"/>
    <m/>
    <s v="JOH"/>
    <s v="JOI HATSON"/>
    <s v="F"/>
    <n v="5"/>
    <s v="EB"/>
    <s v="EARFLAP BEANIE"/>
    <s v="K"/>
    <n v="604"/>
    <n v="604"/>
    <s v="JOHEBF5604"/>
    <n v="0"/>
    <s v="JOIEBD3604YEFRE"/>
    <s v="YE"/>
    <s v="YELLOW"/>
    <s v="JOHEBF5604YE"/>
    <x v="1"/>
    <n v="0"/>
    <n v="0"/>
    <n v="1"/>
    <s v="FRE"/>
    <n v="33"/>
    <x v="4"/>
    <n v="29"/>
    <x v="25"/>
    <s v="M"/>
    <s v="CN"/>
    <x v="0"/>
    <n v="53000"/>
    <x v="20"/>
    <n v="8030.3030303030291"/>
    <n v="0"/>
    <n v="-8030.303030303029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282"/>
    <n v="0"/>
    <n v="0"/>
    <n v="0"/>
    <n v="0"/>
    <n v="0"/>
    <n v="33"/>
    <n v="264999.99999999994"/>
    <n v="1749000"/>
    <n v="6.0000000000000009"/>
  </r>
  <r>
    <n v="0"/>
    <n v="0"/>
    <n v="10"/>
    <n v="10"/>
    <s v="F-HAT"/>
    <x v="28"/>
    <s v="JOH-FOREMOST-29"/>
    <s v="JOH-FOREMOST-29JOHEBF5605OR"/>
    <n v="11"/>
    <s v="JOH-FOREMOST-2911"/>
    <s v="JOH-FOREMOST-2911-JOHEBF5605ORANGEFRE"/>
    <s v="JOH의류외605"/>
    <s v="JOH"/>
    <s v="JOIEBD"/>
    <m/>
    <s v="JOH"/>
    <s v="JOI HATSON"/>
    <s v="F"/>
    <n v="5"/>
    <s v="EB"/>
    <s v="EARFLAP BEANIE"/>
    <s v="K"/>
    <n v="605"/>
    <n v="605"/>
    <s v="JOHEBF5605"/>
    <n v="1"/>
    <s v="JOIEBD3605ORFRE"/>
    <s v="OR"/>
    <s v="ORANGE"/>
    <s v="JOHEBF5605OR"/>
    <x v="1"/>
    <n v="1"/>
    <n v="0"/>
    <n v="1"/>
    <s v="FRE"/>
    <n v="23"/>
    <x v="4"/>
    <n v="29"/>
    <x v="25"/>
    <s v="M"/>
    <s v="CN"/>
    <x v="0"/>
    <n v="53000"/>
    <x v="20"/>
    <n v="8030.3030303030291"/>
    <n v="0"/>
    <n v="-8030.303030303029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23"/>
    <n v="0"/>
    <n v="0"/>
    <n v="0"/>
    <n v="0"/>
    <n v="0"/>
    <n v="23"/>
    <n v="184696.96969696967"/>
    <n v="1219000"/>
    <n v="6"/>
  </r>
  <r>
    <n v="0"/>
    <n v="0"/>
    <n v="10"/>
    <n v="10"/>
    <s v="F-HAT"/>
    <x v="28"/>
    <s v="JOH-FOREMOST-29"/>
    <s v="JOH-FOREMOST-29JOHEBF5606BW"/>
    <n v="12"/>
    <s v="JOH-FOREMOST-2912"/>
    <s v="JOH-FOREMOST-2912-JOHEBF5606BROWNFRE"/>
    <s v="JOH의류외606"/>
    <s v="JOH"/>
    <s v="JOIEBD"/>
    <m/>
    <s v="JOH"/>
    <s v="JOI HATSON"/>
    <s v="F"/>
    <n v="5"/>
    <s v="EB"/>
    <s v="EARFLAP BEANIE"/>
    <s v="K"/>
    <n v="606"/>
    <n v="606"/>
    <s v="JOHEBF5606"/>
    <n v="0"/>
    <s v="JOIEBD3606BWFRE"/>
    <s v="BW"/>
    <s v="BROWN"/>
    <s v="JOHEBF5606BW"/>
    <x v="1"/>
    <n v="0"/>
    <n v="0"/>
    <n v="1"/>
    <s v="FRE"/>
    <n v="15"/>
    <x v="4"/>
    <n v="29"/>
    <x v="25"/>
    <s v="M"/>
    <s v="CN"/>
    <x v="0"/>
    <n v="53000"/>
    <x v="20"/>
    <n v="8030.3030303030291"/>
    <n v="0"/>
    <n v="-8030.303030303029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3"/>
    <n v="0"/>
    <n v="0"/>
    <n v="0"/>
    <n v="0"/>
    <n v="0"/>
    <n v="15"/>
    <n v="120454.54545454544"/>
    <n v="795000"/>
    <n v="6"/>
  </r>
  <r>
    <n v="0"/>
    <n v="0"/>
    <n v="10"/>
    <n v="10"/>
    <s v="F-HAT"/>
    <x v="28"/>
    <s v="JOH-FOREMOST-29"/>
    <s v="JOH-FOREMOST-29JOHEBF5612BG"/>
    <n v="13"/>
    <s v="JOH-FOREMOST-2913"/>
    <s v="JOH-FOREMOST-2913-JOHEBF5612BEIGEFRE"/>
    <s v="JOH의류외612"/>
    <s v="JOH"/>
    <s v="JOIEBD"/>
    <m/>
    <s v="JOH"/>
    <s v="JOI HATSON"/>
    <s v="F"/>
    <n v="5"/>
    <s v="EB"/>
    <s v="EARFLAP BEANIE"/>
    <s v="K"/>
    <n v="612"/>
    <n v="612"/>
    <s v="JOHEBF5612"/>
    <n v="1"/>
    <s v="JOIEBD3612BGFRE"/>
    <s v="BG"/>
    <s v="BEIGE"/>
    <s v="JOHEBF5612BG"/>
    <x v="1"/>
    <n v="1"/>
    <n v="0"/>
    <n v="1"/>
    <s v="FRE"/>
    <n v="115"/>
    <x v="4"/>
    <n v="29"/>
    <x v="25"/>
    <s v="M"/>
    <s v="CN"/>
    <x v="0"/>
    <n v="69000"/>
    <x v="20"/>
    <n v="10454.545454545454"/>
    <n v="0"/>
    <n v="-10454.545454545454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114"/>
    <n v="0"/>
    <n v="0"/>
    <n v="0"/>
    <n v="0"/>
    <n v="0"/>
    <n v="115"/>
    <n v="1202272.7272727273"/>
    <n v="7935000"/>
    <n v="5.9999999999999991"/>
  </r>
  <r>
    <n v="0"/>
    <n v="0"/>
    <s v=""/>
    <s v=""/>
    <s v=""/>
    <x v="1"/>
    <s v=""/>
    <s v=""/>
    <n v="0"/>
    <s v="0"/>
    <s v="0-"/>
    <n v="0"/>
    <s v="TTL"/>
    <s v=""/>
    <s v="JOH-FOREMOST-29 TTL"/>
    <m/>
    <s v=""/>
    <s v=""/>
    <s v=""/>
    <s v=""/>
    <s v=""/>
    <s v="K"/>
    <s v=""/>
    <s v=""/>
    <s v=""/>
    <n v="11"/>
    <m/>
    <s v=""/>
    <m/>
    <s v=""/>
    <x v="0"/>
    <n v="1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499"/>
    <n v="0"/>
    <n v="0"/>
    <n v="0"/>
    <n v="0"/>
    <n v="0"/>
    <n v="1174"/>
    <n v="9860303.0303030275"/>
    <n v="65078000"/>
    <n v="6.0000000000000018"/>
  </r>
  <r>
    <n v="0"/>
    <n v="0"/>
    <n v="10"/>
    <n v="10"/>
    <s v="F-HAT"/>
    <x v="28"/>
    <s v="JOH-KIDS FIRST TOYS-03"/>
    <s v="JOH-KIDS FIRST TOYS-03JOHEBF5808IV"/>
    <n v="1"/>
    <s v="JOH-KIDS FIRST TOYS-031"/>
    <s v="JOH-KIDS FIRST TOYS-031-JOHEBF5808IVORYFRE"/>
    <s v="JOH의류외808"/>
    <s v="JOH"/>
    <s v="JOIEBE"/>
    <m/>
    <s v="JOH"/>
    <s v="JOI HATSON"/>
    <s v="F"/>
    <n v="5"/>
    <s v="EB"/>
    <s v="EARFLAP BEANIE"/>
    <s v="K"/>
    <n v="808"/>
    <n v="808"/>
    <s v="JOHEBF5808"/>
    <n v="1"/>
    <s v="JOIEBE5808IVFRE"/>
    <s v="IV"/>
    <s v="IVORY"/>
    <s v="JOHEBF5808IV"/>
    <x v="1"/>
    <n v="1"/>
    <n v="0"/>
    <n v="1"/>
    <s v="FRE"/>
    <n v="73"/>
    <x v="10"/>
    <n v="3"/>
    <x v="2"/>
    <s v="M"/>
    <s v="CN"/>
    <x v="0"/>
    <n v="49000"/>
    <x v="20"/>
    <n v="7424.242424242424"/>
    <n v="0"/>
    <n v="-7424.242424242424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73"/>
    <n v="0"/>
    <n v="0"/>
    <n v="0"/>
    <n v="0"/>
    <n v="0"/>
    <n v="73"/>
    <n v="541969.6969696969"/>
    <n v="3577000"/>
    <n v="6"/>
  </r>
  <r>
    <n v="0"/>
    <n v="0"/>
    <n v="10"/>
    <n v="10"/>
    <s v="F-HAT"/>
    <x v="28"/>
    <s v="JOH-KIDS FIRST TOYS-03"/>
    <s v="JOH-KIDS FIRST TOYS-03JOHEBF5809BL"/>
    <n v="2"/>
    <s v="JOH-KIDS FIRST TOYS-032"/>
    <s v="JOH-KIDS FIRST TOYS-032-JOHEBF5809BLUEFRE"/>
    <s v="JOH의류외809"/>
    <s v="JOH"/>
    <s v="JOIEBE"/>
    <m/>
    <s v="JOH"/>
    <s v="JOI HATSON"/>
    <s v="F"/>
    <n v="5"/>
    <s v="EB"/>
    <s v="EARFLAP BEANIE"/>
    <s v="K"/>
    <n v="809"/>
    <n v="809"/>
    <s v="JOHEBF5809"/>
    <n v="1"/>
    <s v="JOIEBE5809BLFRE"/>
    <s v="BL"/>
    <s v="BLUE"/>
    <s v="JOHEBF5809BL"/>
    <x v="1"/>
    <n v="1"/>
    <n v="0"/>
    <n v="1"/>
    <s v="FRE"/>
    <n v="50"/>
    <x v="10"/>
    <n v="3"/>
    <x v="2"/>
    <s v="M"/>
    <s v="CN"/>
    <x v="0"/>
    <n v="49000"/>
    <x v="20"/>
    <n v="7424.242424242424"/>
    <n v="0"/>
    <n v="-7424.242424242424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371212.12121212122"/>
    <n v="2450000"/>
    <n v="5.9999999999999991"/>
  </r>
  <r>
    <n v="0"/>
    <n v="0"/>
    <n v="10"/>
    <n v="10"/>
    <s v="F-HAT"/>
    <x v="28"/>
    <s v="JOH-KIDS FIRST TOYS-03"/>
    <s v="JOH-KIDS FIRST TOYS-03JOHEBF5812YE"/>
    <n v="3"/>
    <s v="JOH-KIDS FIRST TOYS-033"/>
    <s v="JOH-KIDS FIRST TOYS-033-JOHEBF5812YELLOWFRE"/>
    <s v="JOH의류외812"/>
    <s v="JOH"/>
    <s v="JOIEBE"/>
    <m/>
    <s v="JOH"/>
    <s v="JOI HATSON"/>
    <s v="F"/>
    <n v="5"/>
    <s v="EB"/>
    <s v="EARFLAP BEANIE"/>
    <s v="K"/>
    <n v="812"/>
    <n v="812"/>
    <s v="JOHEBF5812"/>
    <n v="1"/>
    <s v="JOIEBE5812YEFRE"/>
    <s v="YE"/>
    <s v="YELLOW"/>
    <s v="JOHEBF5812YE"/>
    <x v="1"/>
    <n v="1"/>
    <n v="0"/>
    <n v="1"/>
    <s v="FRE"/>
    <n v="8"/>
    <x v="10"/>
    <n v="3"/>
    <x v="2"/>
    <s v="M"/>
    <s v="CN"/>
    <x v="0"/>
    <n v="49000"/>
    <x v="20"/>
    <n v="7424.242424242424"/>
    <n v="0"/>
    <n v="-7424.242424242424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7"/>
    <n v="0"/>
    <n v="0"/>
    <n v="0"/>
    <n v="0"/>
    <m/>
    <n v="8"/>
    <n v="59393.939393939392"/>
    <n v="392000"/>
    <n v="6"/>
  </r>
  <r>
    <n v="0"/>
    <n v="0"/>
    <n v="10"/>
    <n v="10"/>
    <s v="F-HAT"/>
    <x v="28"/>
    <s v="JOH-KIDS FIRST TOYS-03"/>
    <s v="JOH-KIDS FIRST TOYS-03JOHTPF5653IV"/>
    <n v="4"/>
    <s v="JOH-KIDS FIRST TOYS-034"/>
    <s v="JOH-KIDS FIRST TOYS-034-JOHTPF5653IVORYFRE"/>
    <s v="JOH의류외653"/>
    <s v="JOH"/>
    <s v="JOITPD"/>
    <m/>
    <s v="JOH"/>
    <s v="JOI HATSON"/>
    <s v="F"/>
    <n v="5"/>
    <s v="TP"/>
    <s v="TROOPER"/>
    <s v="K"/>
    <n v="653"/>
    <n v="653"/>
    <s v="JOHTPF5653"/>
    <n v="1"/>
    <s v="JOITPD3653IVFRE"/>
    <s v="IV"/>
    <s v="IVORY"/>
    <s v="JOHTPF5653IV"/>
    <x v="1"/>
    <n v="1"/>
    <n v="0"/>
    <n v="1"/>
    <s v="FRE"/>
    <n v="171"/>
    <x v="10"/>
    <n v="3"/>
    <x v="2"/>
    <s v="M"/>
    <s v="CN"/>
    <x v="0"/>
    <n v="69000"/>
    <x v="20"/>
    <n v="10454.545454545454"/>
    <n v="0"/>
    <n v="-10454.545454545454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169"/>
    <n v="0"/>
    <n v="0"/>
    <n v="0"/>
    <n v="0"/>
    <n v="0"/>
    <n v="171"/>
    <n v="1787727.2727272727"/>
    <n v="11799000"/>
    <n v="5.9999999999999991"/>
  </r>
  <r>
    <n v="0"/>
    <n v="0"/>
    <n v="10"/>
    <n v="10"/>
    <s v="F-HAT"/>
    <x v="28"/>
    <s v="JOH-KIDS FIRST TOYS-03"/>
    <s v="JOH-KIDS FIRST TOYS-03JOHTPF5656GR"/>
    <n v="5"/>
    <s v="JOH-KIDS FIRST TOYS-035"/>
    <s v="JOH-KIDS FIRST TOYS-035-JOHTPF5656GREENFRE"/>
    <s v="JOH의류외656"/>
    <s v="JOH"/>
    <s v="JOITPD"/>
    <m/>
    <s v="JOH"/>
    <s v="JOI HATSON"/>
    <s v="F"/>
    <n v="5"/>
    <s v="TP"/>
    <s v="TROOPER"/>
    <s v="K"/>
    <n v="656"/>
    <n v="656"/>
    <s v="JOHTPF5656"/>
    <n v="1"/>
    <s v="JOITPD3656GRFRE"/>
    <s v="GR"/>
    <s v="GREEN"/>
    <s v="JOHTPF5656GR"/>
    <x v="1"/>
    <n v="1"/>
    <n v="0"/>
    <n v="1"/>
    <s v="FRE"/>
    <n v="213"/>
    <x v="10"/>
    <n v="3"/>
    <x v="2"/>
    <s v="M"/>
    <s v="CN"/>
    <x v="0"/>
    <n v="69000"/>
    <x v="20"/>
    <n v="10454.545454545454"/>
    <n v="0"/>
    <n v="-10454.545454545454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200"/>
    <n v="0"/>
    <n v="0"/>
    <n v="0"/>
    <n v="0"/>
    <n v="0"/>
    <n v="213"/>
    <n v="2226818.1818181816"/>
    <n v="14697000"/>
    <n v="6"/>
  </r>
  <r>
    <n v="0"/>
    <n v="0"/>
    <s v=""/>
    <s v=""/>
    <s v=""/>
    <x v="1"/>
    <s v=""/>
    <s v=""/>
    <n v="0"/>
    <s v="0"/>
    <s v="0-"/>
    <n v="0"/>
    <s v="TTL"/>
    <s v=""/>
    <s v="JOH-KIDS FIRST TOYS-03 TTL"/>
    <m/>
    <s v=""/>
    <s v=""/>
    <s v=""/>
    <s v=""/>
    <s v=""/>
    <s v="K"/>
    <s v=""/>
    <s v=""/>
    <s v=""/>
    <n v="5"/>
    <m/>
    <s v=""/>
    <m/>
    <s v=""/>
    <x v="0"/>
    <n v="5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499"/>
    <n v="0"/>
    <n v="0"/>
    <n v="0"/>
    <n v="0"/>
    <n v="0"/>
    <n v="515"/>
    <n v="4987121.2121212119"/>
    <n v="32915000"/>
    <n v="5.9999999999999991"/>
  </r>
  <r>
    <n v="0"/>
    <n v="0"/>
    <n v="10"/>
    <n v="10"/>
    <s v="F-HAT"/>
    <x v="28"/>
    <s v="JOH-동일모자-26"/>
    <s v="JOH-동일모자-26JOHERF5801PK"/>
    <n v="1"/>
    <s v="JOH-동일모자-261"/>
    <s v="JOH-동일모자-261-JOHERF5801PINKFRE"/>
    <s v="JOH의류외801"/>
    <s v="JOH"/>
    <s v="JOIERE"/>
    <m/>
    <s v="JOH"/>
    <s v="JOI HATSON"/>
    <s v="F"/>
    <n v="5"/>
    <s v="ER"/>
    <s v="EARCAP"/>
    <s v="K"/>
    <n v="801"/>
    <n v="801"/>
    <s v="JOHERF5801"/>
    <n v="1"/>
    <s v="JOIERE5801PKFRE"/>
    <s v="PK"/>
    <s v="PINK"/>
    <s v="JOHERF5801PK"/>
    <x v="1"/>
    <n v="1"/>
    <n v="0"/>
    <n v="1"/>
    <s v="FRE"/>
    <n v="2"/>
    <x v="5"/>
    <n v="26"/>
    <x v="29"/>
    <s v="M"/>
    <s v="CN"/>
    <x v="0"/>
    <n v="59000"/>
    <x v="20"/>
    <n v="8939.3939393939381"/>
    <n v="0"/>
    <n v="-8939.393939393938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17878.787878787876"/>
    <n v="118000"/>
    <n v="6.0000000000000009"/>
  </r>
  <r>
    <n v="0"/>
    <n v="0"/>
    <n v="10"/>
    <n v="10"/>
    <s v="F-HAT"/>
    <x v="28"/>
    <s v="JOH-동일모자-26"/>
    <s v="JOH-동일모자-26JOHERF5802OR"/>
    <n v="2"/>
    <s v="JOH-동일모자-262"/>
    <s v="JOH-동일모자-262-JOHERF5802ORANGEFRE"/>
    <s v="JOH의류외802"/>
    <s v="JOH"/>
    <s v="JOIERE"/>
    <m/>
    <s v="JOH"/>
    <s v="JOI HATSON"/>
    <s v="F"/>
    <n v="5"/>
    <s v="ER"/>
    <s v="EARCAP"/>
    <s v="K"/>
    <n v="802"/>
    <n v="802"/>
    <s v="JOHERF5802"/>
    <n v="1"/>
    <s v="JOIERE5802ORFRE"/>
    <s v="OR"/>
    <s v="ORANGE"/>
    <s v="JOHERF5802OR"/>
    <x v="1"/>
    <n v="1"/>
    <n v="0"/>
    <n v="1"/>
    <s v="FRE"/>
    <n v="100"/>
    <x v="5"/>
    <n v="26"/>
    <x v="29"/>
    <s v="M"/>
    <s v="CN"/>
    <x v="0"/>
    <n v="59000"/>
    <x v="20"/>
    <n v="8939.3939393939381"/>
    <n v="0"/>
    <n v="-8939.393939393938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893939.39393939381"/>
    <n v="5900000"/>
    <n v="6.0000000000000009"/>
  </r>
  <r>
    <n v="0"/>
    <n v="0"/>
    <s v=""/>
    <s v=""/>
    <s v=""/>
    <x v="1"/>
    <s v=""/>
    <s v=""/>
    <n v="0"/>
    <s v="0"/>
    <s v="0-"/>
    <n v="0"/>
    <s v="TTL"/>
    <s v=""/>
    <s v="JOH-동일모자-26 TTL"/>
    <m/>
    <s v=""/>
    <s v=""/>
    <s v=""/>
    <s v=""/>
    <s v=""/>
    <s v="K"/>
    <s v=""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2"/>
    <n v="0"/>
    <n v="0"/>
    <n v="0"/>
    <n v="0"/>
    <n v="0"/>
    <n v="102"/>
    <n v="911818.18181818165"/>
    <n v="6018000"/>
    <n v="6.0000000000000009"/>
  </r>
  <r>
    <n v="0"/>
    <n v="0"/>
    <n v="10"/>
    <n v="10"/>
    <s v="SPORTS"/>
    <x v="24"/>
    <s v="NOH-FOREMOST-30"/>
    <s v="NOH-FOREMOST-30NOHBAF5803OR"/>
    <n v="1"/>
    <s v="NOH-FOREMOST-301"/>
    <s v="NOH-FOREMOST-301-NOHBAF5803ORANGEFRE"/>
    <s v="NOH의류외803"/>
    <s v="NOH"/>
    <s v="NOVBAE"/>
    <m/>
    <s v="NOH"/>
    <s v="NOV HATSON"/>
    <s v="F"/>
    <n v="5"/>
    <s v="BA"/>
    <s v="BASIC CAP"/>
    <s v="K"/>
    <n v="803"/>
    <n v="803"/>
    <s v="NOHBAF5803"/>
    <n v="1"/>
    <s v="NOVBAE5803ORFRE"/>
    <s v="OR"/>
    <s v="ORANGE"/>
    <s v="NOHBAF5803OR"/>
    <x v="1"/>
    <n v="1"/>
    <n v="0"/>
    <n v="1"/>
    <s v="FRE"/>
    <n v="50"/>
    <x v="4"/>
    <n v="30"/>
    <x v="32"/>
    <s v="M"/>
    <s v="CN"/>
    <x v="0"/>
    <n v="45000"/>
    <x v="20"/>
    <n v="6818.1818181818171"/>
    <n v="0"/>
    <n v="-6818.181818181817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340909.09090909088"/>
    <n v="2250000"/>
    <n v="6"/>
  </r>
  <r>
    <n v="0"/>
    <n v="0"/>
    <n v="10"/>
    <n v="10"/>
    <s v="SPORTS"/>
    <x v="24"/>
    <s v="NOH-FOREMOST-30"/>
    <s v="NOH-FOREMOST-30NOHBAF5804BL"/>
    <n v="2"/>
    <s v="NOH-FOREMOST-302"/>
    <s v="NOH-FOREMOST-302-NOHBAF5804BLUEFRE"/>
    <s v="NOH의류외804"/>
    <s v="NOH"/>
    <s v="NOVBAE"/>
    <m/>
    <s v="NOH"/>
    <s v="NOV HATSON"/>
    <s v="F"/>
    <n v="5"/>
    <s v="BA"/>
    <s v="BASIC CAP"/>
    <s v="K"/>
    <n v="804"/>
    <n v="804"/>
    <s v="NOHBAF5804"/>
    <n v="1"/>
    <s v="NOVBAE5804BLFRE"/>
    <s v="BL"/>
    <s v="BLUE"/>
    <s v="NOHBAF5804BL"/>
    <x v="1"/>
    <n v="1"/>
    <n v="0"/>
    <n v="1"/>
    <s v="FRE"/>
    <n v="50"/>
    <x v="4"/>
    <n v="30"/>
    <x v="32"/>
    <s v="M"/>
    <s v="CN"/>
    <x v="0"/>
    <n v="45000"/>
    <x v="20"/>
    <n v="6818.1818181818171"/>
    <n v="0"/>
    <n v="-6818.181818181817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340909.09090909088"/>
    <n v="2250000"/>
    <n v="6"/>
  </r>
  <r>
    <n v="0"/>
    <n v="0"/>
    <n v="10"/>
    <n v="10"/>
    <s v="SPORTS"/>
    <x v="24"/>
    <s v="NOH-FOREMOST-30"/>
    <s v="NOH-FOREMOST-30NOHBAF5819NY"/>
    <n v="3"/>
    <s v="NOH-FOREMOST-303"/>
    <s v="NOH-FOREMOST-303-NOHBAF5819NAVYFRE"/>
    <s v="NOH의류외819"/>
    <s v="NOH"/>
    <s v="NOVBAE"/>
    <m/>
    <s v="NOH"/>
    <s v="NOV HATSON"/>
    <s v="F"/>
    <n v="5"/>
    <s v="BA"/>
    <s v="BASIC CAP"/>
    <s v="K"/>
    <n v="819"/>
    <n v="819"/>
    <s v="NOHBAF5819"/>
    <n v="1"/>
    <s v="NOVBAE5819NYFRE"/>
    <s v="NY"/>
    <s v="NAVY"/>
    <s v="NOHBAF5819NY"/>
    <x v="1"/>
    <n v="1"/>
    <n v="0"/>
    <n v="1"/>
    <s v="FRE"/>
    <n v="50"/>
    <x v="4"/>
    <n v="30"/>
    <x v="32"/>
    <s v="M"/>
    <s v="CN"/>
    <x v="0"/>
    <n v="45000"/>
    <x v="20"/>
    <n v="6818.1818181818171"/>
    <n v="0"/>
    <n v="-6818.181818181817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340909.09090909088"/>
    <n v="2250000"/>
    <n v="6"/>
  </r>
  <r>
    <n v="0"/>
    <n v="0"/>
    <n v="10"/>
    <n v="10"/>
    <s v="SPORTS"/>
    <x v="24"/>
    <s v="NOH-FOREMOST-30"/>
    <s v="NOH-FOREMOST-30NOHMIF5820KH"/>
    <n v="4"/>
    <s v="NOH-FOREMOST-304"/>
    <s v="NOH-FOREMOST-304-NOHMIF5820KHAKIFRE"/>
    <s v="NOH의류외820"/>
    <s v="NOH"/>
    <s v="NOVMIE"/>
    <m/>
    <s v="NOH"/>
    <s v="NOV HATSON"/>
    <s v="F"/>
    <n v="5"/>
    <s v="MI"/>
    <s v="MILITARY CAP"/>
    <s v="K"/>
    <n v="820"/>
    <n v="820"/>
    <s v="NOHMIF5820"/>
    <n v="1"/>
    <s v="NOVMIE5820KHFRE"/>
    <s v="KH"/>
    <s v="KHAKI"/>
    <s v="NOHMIF5820KH"/>
    <x v="1"/>
    <n v="1"/>
    <n v="0"/>
    <n v="1"/>
    <s v="FRE"/>
    <n v="50"/>
    <x v="4"/>
    <n v="30"/>
    <x v="32"/>
    <s v="M"/>
    <s v="CN"/>
    <x v="0"/>
    <n v="45000"/>
    <x v="20"/>
    <n v="6818.1818181818171"/>
    <n v="0"/>
    <n v="-6818.181818181817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340909.09090909088"/>
    <n v="2250000"/>
    <n v="6"/>
  </r>
  <r>
    <n v="0"/>
    <n v="0"/>
    <n v="10"/>
    <n v="10"/>
    <s v="SPORTS"/>
    <x v="24"/>
    <s v="NOH-FOREMOST-30"/>
    <s v="NOH-FOREMOST-30NOHTPF5807PP"/>
    <n v="5"/>
    <s v="NOH-FOREMOST-305"/>
    <s v="NOH-FOREMOST-305-NOHTPF5807PURPLEFRE"/>
    <s v="NOH의류외807"/>
    <s v="NOH"/>
    <s v="NOVTPE"/>
    <m/>
    <s v="NOH"/>
    <s v="NOV HATSON"/>
    <s v="F"/>
    <n v="5"/>
    <s v="TP"/>
    <s v="TROOPER"/>
    <s v="K"/>
    <n v="807"/>
    <n v="807"/>
    <s v="NOHTPF5807"/>
    <n v="1"/>
    <s v="NOVTPE5807PPFRE"/>
    <s v="PP"/>
    <s v="PURPLE"/>
    <s v="NOHTPF5807PP"/>
    <x v="1"/>
    <n v="1"/>
    <n v="0"/>
    <n v="1"/>
    <s v="FRE"/>
    <n v="50"/>
    <x v="4"/>
    <n v="30"/>
    <x v="32"/>
    <s v="M"/>
    <s v="CN"/>
    <x v="0"/>
    <n v="65000"/>
    <x v="20"/>
    <n v="9848.484848484848"/>
    <n v="0"/>
    <n v="-9848.484848484848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492424.24242424243"/>
    <n v="3250000"/>
    <n v="5.9999999999999991"/>
  </r>
  <r>
    <n v="0"/>
    <n v="0"/>
    <n v="10"/>
    <n v="10"/>
    <s v="SPORTS"/>
    <x v="24"/>
    <s v="NOH-FOREMOST-30"/>
    <s v="NOH-FOREMOST-30NOHTPF5809OR"/>
    <n v="6"/>
    <s v="NOH-FOREMOST-306"/>
    <s v="NOH-FOREMOST-306-NOHTPF5809ORANGEFRE"/>
    <s v="NOH의류외809"/>
    <s v="NOH"/>
    <s v="NOVTPE"/>
    <m/>
    <s v="NOH"/>
    <s v="NOV HATSON"/>
    <s v="F"/>
    <n v="5"/>
    <s v="TP"/>
    <s v="TROOPER"/>
    <s v="K"/>
    <n v="809"/>
    <n v="809"/>
    <s v="NOHTPF5809"/>
    <n v="1"/>
    <s v="NOVTPE5809ORFRE"/>
    <s v="OR"/>
    <s v="ORANGE"/>
    <s v="NOHTPF5809OR"/>
    <x v="1"/>
    <n v="1"/>
    <n v="0"/>
    <n v="1"/>
    <s v="FRE"/>
    <n v="50"/>
    <x v="4"/>
    <n v="30"/>
    <x v="32"/>
    <s v="M"/>
    <s v="CN"/>
    <x v="0"/>
    <n v="65000"/>
    <x v="20"/>
    <n v="9848.484848484848"/>
    <n v="0"/>
    <n v="-9848.484848484848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492424.24242424243"/>
    <n v="3250000"/>
    <n v="5.9999999999999991"/>
  </r>
  <r>
    <n v="0"/>
    <n v="0"/>
    <n v="10"/>
    <n v="10"/>
    <s v="SPORTS"/>
    <x v="24"/>
    <s v="NOH-FOREMOST-30"/>
    <s v="NOH-FOREMOST-30NOHTPF5809PK"/>
    <n v="7"/>
    <s v="NOH-FOREMOST-307"/>
    <s v="NOH-FOREMOST-307-NOHTPF5809PINKFRE"/>
    <s v="NOH의류외809"/>
    <s v="NOH"/>
    <s v="NOVTPE"/>
    <m/>
    <s v="NOH"/>
    <s v="NOV HATSON"/>
    <s v="F"/>
    <n v="5"/>
    <s v="TP"/>
    <s v="TROOPER"/>
    <s v="K"/>
    <n v="809"/>
    <n v="809"/>
    <s v="NOHTPF5809"/>
    <n v="1"/>
    <s v="NOVTPE5809PKFRE"/>
    <s v="PK"/>
    <s v="PINK"/>
    <s v="NOHTPF5809PK"/>
    <x v="1"/>
    <n v="1"/>
    <n v="0"/>
    <n v="1"/>
    <s v="FRE"/>
    <n v="68"/>
    <x v="4"/>
    <n v="30"/>
    <x v="32"/>
    <s v="M"/>
    <s v="CN"/>
    <x v="0"/>
    <n v="65000"/>
    <x v="20"/>
    <n v="9848.484848484848"/>
    <n v="0"/>
    <n v="-9848.484848484848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68"/>
    <n v="0"/>
    <n v="0"/>
    <n v="0"/>
    <n v="0"/>
    <n v="0"/>
    <n v="68"/>
    <n v="669696.96969696973"/>
    <n v="4420000"/>
    <n v="5.9999999999999991"/>
  </r>
  <r>
    <n v="0"/>
    <n v="0"/>
    <s v=""/>
    <s v=""/>
    <s v=""/>
    <x v="1"/>
    <s v=""/>
    <s v=""/>
    <n v="0"/>
    <s v="0"/>
    <s v="0-"/>
    <n v="0"/>
    <s v="TTL"/>
    <s v=""/>
    <s v="NOH-FOREMOST-30 TTL"/>
    <m/>
    <s v=""/>
    <s v=""/>
    <s v=""/>
    <s v=""/>
    <s v=""/>
    <s v="K"/>
    <s v=""/>
    <s v=""/>
    <s v=""/>
    <n v="7"/>
    <m/>
    <s v=""/>
    <m/>
    <s v=""/>
    <x v="0"/>
    <n v="7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m/>
    <d v="1899-12-30T00:00:00"/>
    <d v="1899-12-30T00:00:00"/>
    <d v="1899-12-30T00:00:00"/>
    <d v="1899-12-30T00:00:00"/>
    <x v="1"/>
    <n v="0"/>
    <n v="368"/>
    <n v="0"/>
    <n v="0"/>
    <n v="0"/>
    <n v="0"/>
    <n v="0"/>
    <n v="368"/>
    <n v="3018181.8181818184"/>
    <n v="19920000"/>
    <n v="5.9999999999999991"/>
  </r>
  <r>
    <n v="0"/>
    <n v="0"/>
    <n v="10"/>
    <n v="10"/>
    <s v="SPORTS"/>
    <x v="25"/>
    <s v="SMH-Y&amp;Y-06"/>
    <s v="SMH-Y&amp;Y-06SMHBEF5863RE"/>
    <n v="1"/>
    <s v="SMH-Y&amp;Y-061"/>
    <s v="SMH-Y&amp;Y-061-SMHBEF5863REDFRE"/>
    <s v="SMH의류외863"/>
    <s v="SMH"/>
    <s v="SMBBEE"/>
    <m/>
    <s v="SMH"/>
    <s v="SMB HATSON"/>
    <s v="F"/>
    <n v="5"/>
    <s v="BE"/>
    <s v="BEANIE"/>
    <s v="K"/>
    <n v="863"/>
    <n v="863"/>
    <s v="SMHBEF5863"/>
    <n v="1"/>
    <s v="SMBBEE5863REFRE"/>
    <s v="RE"/>
    <s v="RED"/>
    <s v="SMHBEF5863RE"/>
    <x v="1"/>
    <n v="1"/>
    <n v="0"/>
    <n v="1"/>
    <s v="FRE"/>
    <n v="50"/>
    <x v="6"/>
    <n v="6"/>
    <x v="6"/>
    <s v="M"/>
    <s v="CN"/>
    <x v="0"/>
    <n v="45000"/>
    <x v="20"/>
    <n v="5844.1558441558436"/>
    <n v="0"/>
    <n v="-5844.1558441558436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292207.79220779217"/>
    <n v="2250000"/>
    <n v="7"/>
  </r>
  <r>
    <n v="0"/>
    <n v="0"/>
    <s v=""/>
    <s v=""/>
    <s v=""/>
    <x v="1"/>
    <s v=""/>
    <s v=""/>
    <n v="0"/>
    <s v="0"/>
    <s v="0-"/>
    <n v="0"/>
    <s v="TTL"/>
    <s v=""/>
    <s v="SMH-Y&amp;Y-06 TTL"/>
    <m/>
    <s v=""/>
    <s v=""/>
    <s v=""/>
    <s v=""/>
    <s v=""/>
    <s v="K"/>
    <s v=""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292207.79220779217"/>
    <n v="2250000"/>
    <n v="7"/>
  </r>
  <r>
    <n v="0"/>
    <n v="0"/>
    <n v="10"/>
    <n v="10"/>
    <s v="SPORTS"/>
    <x v="25"/>
    <s v="SMH-QF-13"/>
    <s v="SMH-QF-13SMHFIF5855OR"/>
    <n v="1"/>
    <s v="SMH-QF-131"/>
    <s v="SMH-QF-131-SMHFIF5855ORANGEFRE"/>
    <s v="SMH의류외855"/>
    <s v="SMH"/>
    <s v="SMBFIE"/>
    <m/>
    <s v="SMH"/>
    <s v="SMB HATSON"/>
    <s v="F"/>
    <n v="5"/>
    <s v="FI"/>
    <s v="FITTED CAP"/>
    <s v="K"/>
    <n v="855"/>
    <n v="855"/>
    <s v="SMHFIF5855"/>
    <n v="1"/>
    <s v="SMBFIE5855ORFRE"/>
    <s v="OR"/>
    <s v="ORANGE"/>
    <s v="SMHFIF5855OR"/>
    <x v="1"/>
    <n v="1"/>
    <n v="0"/>
    <n v="1"/>
    <s v="FRE"/>
    <n v="100"/>
    <x v="2"/>
    <n v="13"/>
    <x v="12"/>
    <s v="M"/>
    <s v="CN"/>
    <x v="0"/>
    <n v="55000"/>
    <x v="20"/>
    <n v="5555.5555555555547"/>
    <n v="0"/>
    <n v="-5555.5555555555547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555555.5555555555"/>
    <n v="5500000"/>
    <n v="9"/>
  </r>
  <r>
    <n v="0"/>
    <n v="0"/>
    <n v="10"/>
    <n v="10"/>
    <s v="SPORTS"/>
    <x v="25"/>
    <s v="SMH-QF-13"/>
    <s v="SMH-QF-13SMHFIF5860YE"/>
    <n v="2"/>
    <s v="SMH-QF-132"/>
    <s v="SMH-QF-132-SMHFIF5860YELLOWFRE"/>
    <s v="SMH의류외860"/>
    <s v="SMH"/>
    <s v="SMBFIE"/>
    <m/>
    <s v="SMH"/>
    <s v="SMB HATSON"/>
    <s v="F"/>
    <n v="5"/>
    <s v="FI"/>
    <s v="FITTED CAP"/>
    <s v="K"/>
    <n v="860"/>
    <n v="860"/>
    <s v="SMHFIF5860"/>
    <n v="1"/>
    <s v="SMBFIE5860YEFRE"/>
    <s v="YE"/>
    <s v="YELLOW"/>
    <s v="SMHFIF5860YE"/>
    <x v="1"/>
    <n v="1"/>
    <n v="0"/>
    <n v="1"/>
    <s v="FRE"/>
    <n v="100"/>
    <x v="2"/>
    <n v="13"/>
    <x v="12"/>
    <s v="M"/>
    <s v="CN"/>
    <x v="0"/>
    <n v="45000"/>
    <x v="20"/>
    <n v="4545.454545454545"/>
    <n v="0"/>
    <n v="-4545.454545454545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454545.45454545453"/>
    <n v="4500000"/>
    <n v="9"/>
  </r>
  <r>
    <n v="0"/>
    <n v="0"/>
    <s v=""/>
    <s v=""/>
    <s v=""/>
    <x v="1"/>
    <s v=""/>
    <s v=""/>
    <n v="0"/>
    <s v="0"/>
    <s v="0-"/>
    <n v="0"/>
    <s v="TTL"/>
    <s v=""/>
    <s v="SMH-QF-13 TTL"/>
    <m/>
    <s v=""/>
    <s v=""/>
    <s v=""/>
    <s v=""/>
    <s v=""/>
    <s v="K"/>
    <s v=""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00"/>
    <n v="0"/>
    <n v="0"/>
    <n v="0"/>
    <n v="0"/>
    <n v="0"/>
    <n v="200"/>
    <n v="1010101.0101010101"/>
    <n v="10000000"/>
    <n v="8.9999999999999982"/>
  </r>
  <r>
    <n v="0"/>
    <n v="0"/>
    <n v="10"/>
    <n v="10"/>
    <s v="SPORTS"/>
    <x v="25"/>
    <s v="SMH-캡보이-06"/>
    <s v="SMH-캡보이-06SMHBAF5636PK"/>
    <n v="1"/>
    <s v="SMH-캡보이-061"/>
    <s v="SMH-캡보이-061-SMHBAF5636PINKFRE"/>
    <s v="SMH의류외636"/>
    <s v="SMH"/>
    <s v="SMBBAD"/>
    <m/>
    <s v="SMH"/>
    <s v="SMB HATSON"/>
    <s v="F"/>
    <n v="5"/>
    <s v="BA"/>
    <s v="BASIC CAP"/>
    <s v="K"/>
    <n v="636"/>
    <n v="636"/>
    <s v="SMHBAF5636"/>
    <n v="1"/>
    <s v="SMBBAD3636PKFRE"/>
    <s v="PK"/>
    <s v="PINK"/>
    <s v="SMHBAF5636PK"/>
    <x v="1"/>
    <n v="1"/>
    <n v="0"/>
    <n v="1"/>
    <s v="FRE"/>
    <n v="43"/>
    <x v="8"/>
    <n v="6"/>
    <x v="6"/>
    <s v="M"/>
    <s v="KR"/>
    <x v="3"/>
    <n v="55000"/>
    <x v="20"/>
    <n v="12499.999999999998"/>
    <n v="0"/>
    <n v="-12499.999999999998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"/>
    <n v="0"/>
    <n v="0"/>
    <n v="0"/>
    <n v="0"/>
    <m/>
    <n v="43"/>
    <n v="537499.99999999988"/>
    <n v="2365000"/>
    <n v="4.0000000000000009"/>
  </r>
  <r>
    <n v="0"/>
    <n v="0"/>
    <n v="10"/>
    <n v="10"/>
    <s v="SPORTS"/>
    <x v="25"/>
    <s v="SMH-캡보이-06"/>
    <s v="SMH-캡보이-06SMHBAF5637YE"/>
    <n v="2"/>
    <s v="SMH-캡보이-062"/>
    <s v="SMH-캡보이-062-SMHBAF5637YELLOWFRE"/>
    <s v="SMH의류외637"/>
    <s v="SMH"/>
    <s v="SMBBAD"/>
    <m/>
    <s v="SMH"/>
    <s v="SMB HATSON"/>
    <s v="F"/>
    <n v="5"/>
    <s v="BA"/>
    <s v="BASIC CAP"/>
    <s v="K"/>
    <n v="637"/>
    <n v="637"/>
    <s v="SMHBAF5637"/>
    <n v="1"/>
    <s v="SMBBAD3637YEFRE"/>
    <s v="YE"/>
    <s v="YELLOW"/>
    <s v="SMHBAF5637YE"/>
    <x v="1"/>
    <n v="1"/>
    <n v="0"/>
    <n v="1"/>
    <s v="FRE"/>
    <n v="21"/>
    <x v="8"/>
    <n v="6"/>
    <x v="6"/>
    <s v="M"/>
    <s v="KR"/>
    <x v="3"/>
    <n v="55000"/>
    <x v="20"/>
    <n v="12499.999999999998"/>
    <n v="0"/>
    <n v="-12499.999999999998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6"/>
    <n v="0"/>
    <n v="0"/>
    <n v="0"/>
    <n v="0"/>
    <m/>
    <n v="21"/>
    <n v="262499.99999999994"/>
    <n v="1155000"/>
    <n v="4.0000000000000009"/>
  </r>
  <r>
    <n v="0"/>
    <n v="0"/>
    <s v=""/>
    <s v=""/>
    <s v=""/>
    <x v="1"/>
    <s v=""/>
    <s v=""/>
    <n v="0"/>
    <s v="0"/>
    <s v="0-"/>
    <n v="0"/>
    <s v="TTL"/>
    <s v=""/>
    <s v="SMH-캡보이-06 TTL"/>
    <m/>
    <s v=""/>
    <s v=""/>
    <s v=""/>
    <s v=""/>
    <s v=""/>
    <s v="K"/>
    <s v=""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1"/>
    <n v="0"/>
    <n v="0"/>
    <n v="0"/>
    <n v="0"/>
    <n v="0"/>
    <n v="64"/>
    <n v="799999.99999999977"/>
    <n v="3520000"/>
    <n v="4.0000000000000009"/>
  </r>
  <r>
    <n v="0"/>
    <n v="0"/>
    <n v="10"/>
    <n v="10"/>
    <s v="SPORTS"/>
    <x v="25"/>
    <s v="SMH-FOREMOST-31"/>
    <s v="SMH-FOREMOST-31SMHBEF5628PK"/>
    <n v="1"/>
    <s v="SMH-FOREMOST-311"/>
    <s v="SMH-FOREMOST-311-SMHBEF5628PINKFRE"/>
    <s v="SMH의류외628"/>
    <s v="SMH"/>
    <s v="SMBBED"/>
    <m/>
    <s v="SMH"/>
    <s v="SMB HATSON"/>
    <s v="F"/>
    <n v="5"/>
    <s v="BE"/>
    <s v="BEANIE"/>
    <s v="K"/>
    <n v="628"/>
    <n v="628"/>
    <s v="SMHBEF5628"/>
    <n v="1"/>
    <s v="SMBBED3628PKFRE"/>
    <s v="PK"/>
    <s v="PINK"/>
    <s v="SMHBEF5628PK"/>
    <x v="1"/>
    <n v="1"/>
    <n v="0"/>
    <n v="1"/>
    <s v="FRE"/>
    <n v="150"/>
    <x v="4"/>
    <n v="31"/>
    <x v="33"/>
    <s v="M"/>
    <s v="CN"/>
    <x v="0"/>
    <n v="39000"/>
    <x v="20"/>
    <n v="5909.0909090909081"/>
    <n v="0"/>
    <n v="-5909.090909090908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149"/>
    <n v="0"/>
    <n v="0"/>
    <n v="0"/>
    <n v="0"/>
    <n v="0"/>
    <n v="150"/>
    <n v="886363.63636363624"/>
    <n v="5850000"/>
    <n v="6.0000000000000009"/>
  </r>
  <r>
    <n v="0"/>
    <n v="0"/>
    <n v="10"/>
    <n v="10"/>
    <s v="SPORTS"/>
    <x v="25"/>
    <s v="SMH-FOREMOST-31"/>
    <s v="SMH-FOREMOST-31SMHBEF5630BL"/>
    <n v="2"/>
    <s v="SMH-FOREMOST-312"/>
    <s v="SMH-FOREMOST-312-SMHBEF5630BLUEFRE"/>
    <s v="SMH의류외630"/>
    <s v="SMH"/>
    <s v="SMBBED"/>
    <m/>
    <s v="SMH"/>
    <s v="SMB HATSON"/>
    <s v="F"/>
    <n v="5"/>
    <s v="BE"/>
    <s v="BEANIE"/>
    <s v="K"/>
    <n v="630"/>
    <n v="630"/>
    <s v="SMHBEF5630"/>
    <n v="1"/>
    <s v="SMBBED3630BLFRE"/>
    <s v="BL"/>
    <s v="BLUE"/>
    <s v="SMHBEF5630BL"/>
    <x v="1"/>
    <n v="1"/>
    <n v="0"/>
    <n v="1"/>
    <s v="FRE"/>
    <n v="246"/>
    <x v="4"/>
    <n v="31"/>
    <x v="33"/>
    <s v="M"/>
    <s v="CN"/>
    <x v="0"/>
    <n v="39000"/>
    <x v="20"/>
    <n v="5909.0909090909081"/>
    <n v="0"/>
    <n v="-5909.090909090908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246"/>
    <n v="0"/>
    <n v="0"/>
    <n v="0"/>
    <n v="0"/>
    <n v="0"/>
    <n v="246"/>
    <n v="1453636.3636363633"/>
    <n v="9594000"/>
    <n v="6.0000000000000009"/>
  </r>
  <r>
    <n v="0"/>
    <n v="0"/>
    <s v=""/>
    <s v=""/>
    <s v=""/>
    <x v="1"/>
    <s v=""/>
    <s v=""/>
    <n v="0"/>
    <s v="0"/>
    <s v="0-"/>
    <n v="0"/>
    <s v="TTL"/>
    <s v=""/>
    <s v="SMH-FOREMOST-31 TTL"/>
    <m/>
    <s v=""/>
    <s v=""/>
    <s v=""/>
    <s v=""/>
    <s v=""/>
    <s v="K"/>
    <s v=""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95"/>
    <n v="0"/>
    <n v="0"/>
    <n v="0"/>
    <n v="0"/>
    <n v="0"/>
    <n v="396"/>
    <n v="2339999.9999999995"/>
    <n v="15444000"/>
    <n v="6.0000000000000009"/>
  </r>
  <r>
    <n v="0"/>
    <n v="0"/>
    <n v="10"/>
    <n v="10"/>
    <s v="SPORTS"/>
    <x v="26"/>
    <s v="VBH-FOREMOST-32"/>
    <s v="VBH-FOREMOST-32VBHBAF5802BK"/>
    <n v="1"/>
    <s v="VBH-FOREMOST-321"/>
    <s v="VBH-FOREMOST-321-VBHBAF5802BLACKFRE"/>
    <s v="VBH의류외802"/>
    <s v="VBH"/>
    <s v="VBLBAE"/>
    <m/>
    <s v="VBH"/>
    <s v="VBL HATSON"/>
    <s v="F"/>
    <n v="5"/>
    <s v="BA"/>
    <s v="BASIC CAP"/>
    <s v="K"/>
    <n v="802"/>
    <n v="802"/>
    <s v="VBHBAF5802"/>
    <n v="1"/>
    <s v="VBLBAE5802BKFRE"/>
    <s v="BK"/>
    <s v="BLACK"/>
    <s v="VBHBAF5802BK"/>
    <x v="1"/>
    <n v="1"/>
    <n v="0"/>
    <n v="1"/>
    <s v="FRE"/>
    <n v="50"/>
    <x v="4"/>
    <n v="32"/>
    <x v="34"/>
    <s v="M"/>
    <s v="CN"/>
    <x v="0"/>
    <n v="45000"/>
    <x v="20"/>
    <n v="6818.1818181818171"/>
    <n v="0"/>
    <n v="-6818.181818181817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340909.09090909088"/>
    <n v="2250000"/>
    <n v="6"/>
  </r>
  <r>
    <n v="0"/>
    <n v="0"/>
    <n v="10"/>
    <n v="10"/>
    <s v="SPORTS"/>
    <x v="26"/>
    <s v="VBH-FOREMOST-32"/>
    <s v="VBH-FOREMOST-32VBHERF5814BK"/>
    <n v="2"/>
    <s v="VBH-FOREMOST-322"/>
    <s v="VBH-FOREMOST-322-VBHERF5814BLACKFRE"/>
    <s v="VBH의류외814"/>
    <s v="VBH"/>
    <s v="VBLERE"/>
    <m/>
    <s v="VBH"/>
    <s v="VBL HATSON"/>
    <s v="F"/>
    <n v="5"/>
    <s v="ER"/>
    <s v="EARCAP"/>
    <s v="K"/>
    <n v="814"/>
    <n v="814"/>
    <s v="VBHERF5814"/>
    <n v="1"/>
    <s v="VBLERE5814BKFRE"/>
    <s v="BK"/>
    <s v="BLACK"/>
    <s v="VBHERF5814BK"/>
    <x v="1"/>
    <n v="1"/>
    <n v="0"/>
    <n v="1"/>
    <s v="FRE"/>
    <n v="50"/>
    <x v="4"/>
    <n v="32"/>
    <x v="34"/>
    <s v="M"/>
    <s v="CN"/>
    <x v="0"/>
    <n v="53000"/>
    <x v="20"/>
    <n v="8030.3030303030291"/>
    <n v="0"/>
    <n v="-8030.3030303030291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401515.15151515143"/>
    <n v="2650000"/>
    <n v="6.0000000000000009"/>
  </r>
  <r>
    <n v="0"/>
    <n v="0"/>
    <s v=""/>
    <s v=""/>
    <s v=""/>
    <x v="1"/>
    <s v=""/>
    <s v=""/>
    <n v="0"/>
    <s v="0"/>
    <s v="0-"/>
    <n v="0"/>
    <s v="TTL"/>
    <s v=""/>
    <s v="VBH-FOREMOST-32 TTL"/>
    <m/>
    <s v=""/>
    <s v=""/>
    <s v=""/>
    <s v=""/>
    <s v=""/>
    <s v="K"/>
    <s v=""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742424.24242424231"/>
    <n v="4900000"/>
    <n v="6"/>
  </r>
  <r>
    <n v="0"/>
    <n v="0"/>
    <n v="10"/>
    <n v="10"/>
    <s v="SPORTS"/>
    <x v="26"/>
    <s v="VBH-캡보이-07"/>
    <s v="VBH-캡보이-07VBHERF5801OR"/>
    <n v="1"/>
    <s v="VBH-캡보이-071"/>
    <s v="VBH-캡보이-071-VBHERF5801ORANGEFRE"/>
    <s v="VBH의류외801"/>
    <s v="VBH"/>
    <s v="VBLERE"/>
    <m/>
    <s v="VBH"/>
    <s v="VBL HATSON"/>
    <s v="F"/>
    <n v="5"/>
    <s v="ER"/>
    <s v="EARCAP"/>
    <s v="K"/>
    <n v="801"/>
    <n v="801"/>
    <s v="VBHERF5801"/>
    <n v="1"/>
    <s v="VBLERE5801ORFRE"/>
    <s v="OR"/>
    <s v="ORANGE"/>
    <s v="VBHERF5801OR"/>
    <x v="1"/>
    <n v="1"/>
    <n v="0"/>
    <n v="1"/>
    <s v="FRE"/>
    <n v="50"/>
    <x v="8"/>
    <n v="7"/>
    <x v="7"/>
    <s v="M"/>
    <s v="KR"/>
    <x v="3"/>
    <n v="63000"/>
    <x v="20"/>
    <n v="14318.181818181816"/>
    <n v="0"/>
    <n v="-14318.181818181816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715909.09090909082"/>
    <n v="3150000"/>
    <n v="4"/>
  </r>
  <r>
    <n v="0"/>
    <n v="0"/>
    <s v=""/>
    <s v=""/>
    <s v=""/>
    <x v="1"/>
    <s v=""/>
    <s v=""/>
    <n v="0"/>
    <s v="0"/>
    <s v="0-"/>
    <n v="0"/>
    <s v="TTL"/>
    <s v=""/>
    <s v="VBH-캡보이-07 TTL"/>
    <m/>
    <s v=""/>
    <s v=""/>
    <s v=""/>
    <s v=""/>
    <s v=""/>
    <s v="K"/>
    <s v=""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715909.09090909082"/>
    <n v="3150000"/>
    <n v="4"/>
  </r>
  <r>
    <n v="0"/>
    <n v="0"/>
    <n v="10"/>
    <n v="10"/>
    <s v="F-HAT"/>
    <x v="35"/>
    <s v="WTH-캡보이-08"/>
    <s v="WTH-캡보이-08WTHERF5806OR"/>
    <n v="1"/>
    <s v="WTH-캡보이-081"/>
    <s v="WTH-캡보이-081-WTHERF5806ORANGEFRE"/>
    <s v="WTH의류외806"/>
    <s v="WTH"/>
    <s v="WTRERE"/>
    <m/>
    <s v="WTH"/>
    <s v="WTR HATSON"/>
    <s v="F"/>
    <n v="5"/>
    <s v="ER"/>
    <s v="EARCAP"/>
    <s v="K"/>
    <n v="806"/>
    <n v="806"/>
    <s v="WTHERF5806"/>
    <n v="1"/>
    <s v="WTRERE5806ORFRE"/>
    <s v="OR"/>
    <s v="ORANGE"/>
    <s v="WTHERF5806OR"/>
    <x v="1"/>
    <n v="1"/>
    <n v="0"/>
    <n v="1"/>
    <s v="FRE"/>
    <n v="50"/>
    <x v="8"/>
    <n v="8"/>
    <x v="15"/>
    <s v="M"/>
    <s v="KR"/>
    <x v="3"/>
    <n v="63000"/>
    <x v="20"/>
    <n v="14318.181818181816"/>
    <n v="0"/>
    <n v="-14318.181818181816"/>
    <n v="0"/>
    <n v="0"/>
    <s v=""/>
    <n v="0"/>
    <n v="0"/>
    <n v="0"/>
    <d v="2014-10-06T00:00:00"/>
    <d v="1899-12-30T00:00:00"/>
    <d v="2014-10-10T00:00:00"/>
    <d v="1899-12-30T00:00:00"/>
    <d v="2014-10-1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715909.09090909082"/>
    <n v="3150000"/>
    <n v="4"/>
  </r>
  <r>
    <n v="0"/>
    <n v="0"/>
    <s v=""/>
    <s v=""/>
    <s v=""/>
    <x v="1"/>
    <s v=""/>
    <s v=""/>
    <n v="0"/>
    <s v="0"/>
    <s v="0-"/>
    <n v="0"/>
    <s v="TTL"/>
    <s v=""/>
    <s v="WTH-캡보이-08 TTL"/>
    <m/>
    <s v=""/>
    <s v=""/>
    <s v=""/>
    <m/>
    <s v=""/>
    <s v="K"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715909.09090909082"/>
    <n v="3150000"/>
    <n v="4"/>
  </r>
  <r>
    <n v="0"/>
    <n v="0"/>
    <n v="10"/>
    <n v="10"/>
    <s v="전략"/>
    <x v="30"/>
    <s v="ELH-아트인드림-14"/>
    <s v="ELH-아트인드림-14ELHHPF5636BW"/>
    <n v="1"/>
    <s v="ELH-아트인드림-141"/>
    <s v="ELH-아트인드림-141-ELHHPF5636BROWNOSS"/>
    <s v="ELH의류636"/>
    <s v="ELH"/>
    <s v="ELSHPD"/>
    <m/>
    <s v="ELH"/>
    <s v="ELS HATSON"/>
    <s v="F"/>
    <n v="5"/>
    <s v="HP"/>
    <s v="HOODED JUMPER"/>
    <s v="K"/>
    <n v="636"/>
    <n v="636"/>
    <s v="ELHHPF5636"/>
    <n v="0.5"/>
    <s v="ELSHPD3636BWOSS"/>
    <s v="BW"/>
    <s v="BROWN"/>
    <s v="ELHHPF5636BW"/>
    <x v="1"/>
    <n v="0.5"/>
    <n v="0"/>
    <n v="1"/>
    <s v="OSS"/>
    <n v="100"/>
    <x v="15"/>
    <n v="14"/>
    <x v="16"/>
    <s v="M"/>
    <s v="KR"/>
    <x v="3"/>
    <n v="119000"/>
    <x v="31"/>
    <n v="30050.505050505049"/>
    <n v="0"/>
    <n v="-30050.505050505049"/>
    <n v="0"/>
    <n v="0"/>
    <s v=""/>
    <n v="0"/>
    <n v="0"/>
    <n v="0"/>
    <d v="2014-10-23T00:00:00"/>
    <d v="1899-12-30T00:00:00"/>
    <d v="2014-10-30T00:00:00"/>
    <d v="1899-12-30T00:00:00"/>
    <d v="2014-10-27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3005050.505050505"/>
    <n v="11900000"/>
    <n v="3.5999999999999996"/>
  </r>
  <r>
    <n v="0"/>
    <n v="0"/>
    <n v="10"/>
    <n v="10"/>
    <s v="전략"/>
    <x v="30"/>
    <s v="ELH-아트인드림-14"/>
    <s v="ELH-아트인드림-14ELHHPF5636BW"/>
    <n v="1"/>
    <s v="ELH-아트인드림-141"/>
    <s v="ELH-아트인드림-141-ELHHPF5636BROWNOMM"/>
    <s v="ELH의류636"/>
    <s v="ELH"/>
    <s v="ELSHPD"/>
    <m/>
    <s v="ELH"/>
    <s v="ELS HATSON"/>
    <s v="F"/>
    <n v="5"/>
    <s v="HP"/>
    <s v="HOODED JUMPER"/>
    <s v="K"/>
    <n v="636"/>
    <n v="636"/>
    <s v="ELHHPF5636"/>
    <n v="0.5"/>
    <s v="ELSHPD3636BWOMM"/>
    <s v="BW"/>
    <s v="BROWN"/>
    <s v="ELHHPF5636BW"/>
    <x v="1"/>
    <n v="0.5"/>
    <n v="0"/>
    <n v="1"/>
    <s v="OMM"/>
    <n v="100"/>
    <x v="15"/>
    <n v="14"/>
    <x v="16"/>
    <s v="M"/>
    <s v="KR"/>
    <x v="3"/>
    <n v="119000"/>
    <x v="31"/>
    <n v="30050.505050505049"/>
    <n v="0"/>
    <n v="-30050.505050505049"/>
    <n v="0"/>
    <n v="0"/>
    <s v=""/>
    <n v="0"/>
    <n v="0"/>
    <n v="0"/>
    <d v="2014-10-23T00:00:00"/>
    <d v="1899-12-30T00:00:00"/>
    <d v="2014-10-30T00:00:00"/>
    <d v="1899-12-30T00:00:00"/>
    <d v="2014-10-27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3005050.505050505"/>
    <n v="11900000"/>
    <n v="3.5999999999999996"/>
  </r>
  <r>
    <n v="0"/>
    <n v="0"/>
    <n v="10"/>
    <n v="10"/>
    <s v="전략"/>
    <x v="30"/>
    <s v="ELH-아트인드림-14"/>
    <s v="ELH-아트인드림-14ELHTHF5635OR"/>
    <n v="2"/>
    <s v="ELH-아트인드림-142"/>
    <s v="ELH-아트인드림-142-ELHTHF5635ORANGEOSS"/>
    <s v="ELH의류635"/>
    <s v="ELH"/>
    <s v="ELSTHD"/>
    <m/>
    <s v="ELH"/>
    <s v="ELS HATSON"/>
    <s v="F"/>
    <n v="5"/>
    <s v="TH"/>
    <s v="HOODED T-SHIRTS"/>
    <s v="K"/>
    <n v="635"/>
    <n v="635"/>
    <s v="ELHTHF5635"/>
    <n v="1"/>
    <s v="ELSTHD3635OROSS"/>
    <s v="OR"/>
    <s v="ORANGE"/>
    <s v="ELHTHF5635OR"/>
    <x v="1"/>
    <n v="1"/>
    <n v="0"/>
    <n v="1"/>
    <s v="OSS"/>
    <n v="100"/>
    <x v="15"/>
    <n v="14"/>
    <x v="16"/>
    <s v="M"/>
    <s v="KR"/>
    <x v="3"/>
    <n v="89000"/>
    <x v="31"/>
    <n v="22474.74747474747"/>
    <n v="0"/>
    <n v="-22474.74747474747"/>
    <n v="0"/>
    <n v="0"/>
    <s v=""/>
    <n v="0"/>
    <n v="0"/>
    <n v="0"/>
    <d v="2014-10-23T00:00:00"/>
    <d v="1899-12-30T00:00:00"/>
    <d v="2014-10-30T00:00:00"/>
    <d v="1899-12-30T00:00:00"/>
    <d v="2014-10-27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2247474.7474747468"/>
    <n v="8900000"/>
    <n v="3.600000000000001"/>
  </r>
  <r>
    <n v="0"/>
    <n v="0"/>
    <n v="10"/>
    <n v="10"/>
    <s v="전략"/>
    <x v="30"/>
    <s v="ELH-아트인드림-14"/>
    <s v="ELH-아트인드림-14ELHTLF5639PK"/>
    <n v="3"/>
    <s v="ELH-아트인드림-143"/>
    <s v="ELH-아트인드림-143-ELHTLF5639PINKOSS"/>
    <s v="ELH의류639"/>
    <s v="ELH"/>
    <s v="ELSTLD"/>
    <m/>
    <s v="ELH"/>
    <s v="ELS HATSON"/>
    <s v="F"/>
    <n v="5"/>
    <s v="TL"/>
    <s v="LONG SLEEVES"/>
    <s v="K"/>
    <n v="639"/>
    <n v="639"/>
    <s v="ELHTLF5639"/>
    <n v="0.5"/>
    <s v="ELSTLD3639PKOSS"/>
    <s v="PK"/>
    <s v="PINK"/>
    <s v="ELHTLF5639PK"/>
    <x v="1"/>
    <n v="0.5"/>
    <n v="0"/>
    <n v="1"/>
    <s v="OSS"/>
    <n v="129"/>
    <x v="15"/>
    <n v="14"/>
    <x v="16"/>
    <s v="M"/>
    <s v="KR"/>
    <x v="3"/>
    <n v="79000"/>
    <x v="31"/>
    <n v="19949.494949494947"/>
    <n v="0"/>
    <n v="-19949.494949494947"/>
    <n v="0"/>
    <n v="0"/>
    <s v=""/>
    <n v="0"/>
    <n v="0"/>
    <n v="0"/>
    <d v="2014-10-23T00:00:00"/>
    <d v="1899-12-30T00:00:00"/>
    <d v="2014-10-30T00:00:00"/>
    <d v="1899-12-30T00:00:00"/>
    <d v="2014-10-27T00:00:00"/>
    <d v="1899-12-30T00:00:00"/>
    <d v="1899-12-30T00:00:00"/>
    <d v="1899-12-30T00:00:00"/>
    <d v="1899-12-30T00:00:00"/>
    <x v="1"/>
    <n v="0"/>
    <n v="127"/>
    <n v="0"/>
    <n v="0"/>
    <n v="0"/>
    <n v="0"/>
    <n v="0"/>
    <n v="129"/>
    <n v="2573484.8484848482"/>
    <n v="10191000"/>
    <n v="3.6000000000000005"/>
  </r>
  <r>
    <n v="0"/>
    <n v="0"/>
    <s v=""/>
    <s v=""/>
    <s v=""/>
    <x v="1"/>
    <s v=""/>
    <s v=""/>
    <n v="0"/>
    <s v="0"/>
    <s v="0-"/>
    <n v="0"/>
    <s v="TTL"/>
    <s v=""/>
    <s v="ELH-아트인드림-14 TTL"/>
    <m/>
    <s v=""/>
    <s v=""/>
    <s v=""/>
    <m/>
    <s v=""/>
    <s v="K"/>
    <m/>
    <s v=""/>
    <s v=""/>
    <n v="2.5"/>
    <m/>
    <s v=""/>
    <m/>
    <s v=""/>
    <x v="0"/>
    <n v="2.5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427"/>
    <n v="0"/>
    <n v="0"/>
    <n v="0"/>
    <n v="0"/>
    <n v="0"/>
    <n v="429"/>
    <n v="10831060.606060605"/>
    <n v="42891000"/>
    <n v="3.5999999999999996"/>
  </r>
  <r>
    <n v="0"/>
    <n v="0"/>
    <n v="10"/>
    <n v="10"/>
    <s v="전략"/>
    <x v="30"/>
    <s v="ELH-EVERGREEN-08"/>
    <s v="ELH-EVERGREEN-08ELHTHF5617NY"/>
    <n v="1"/>
    <s v="ELH-EVERGREEN-081"/>
    <s v="ELH-EVERGREEN-081-ELHTHF5617NAVYOMM"/>
    <s v="ELH의류617"/>
    <s v="ELH"/>
    <s v="ELSTHD"/>
    <m/>
    <s v="ELH"/>
    <s v="ELS HATSON"/>
    <s v="F"/>
    <n v="5"/>
    <s v="TH"/>
    <s v="HOODED T-SHIRTS"/>
    <s v="K"/>
    <n v="617"/>
    <n v="617"/>
    <s v="ELHTHF5617"/>
    <n v="0.33333333333333331"/>
    <s v="ELSTHD3617NYOMM"/>
    <s v="NY"/>
    <s v="NAVY"/>
    <s v="ELHTHF5617NY"/>
    <x v="1"/>
    <n v="0.33333333333333331"/>
    <n v="0"/>
    <n v="1"/>
    <s v="OMM"/>
    <n v="101"/>
    <x v="13"/>
    <n v="8"/>
    <x v="15"/>
    <s v="M"/>
    <s v="CN"/>
    <x v="0"/>
    <n v="79000"/>
    <x v="31"/>
    <n v="14363.636363636362"/>
    <n v="0"/>
    <n v="-14363.636363636362"/>
    <n v="0"/>
    <n v="0"/>
    <s v=""/>
    <n v="0"/>
    <n v="0"/>
    <n v="0"/>
    <d v="2014-10-23T00:00:00"/>
    <d v="1899-12-30T00:00:00"/>
    <d v="2014-10-30T00:00:00"/>
    <d v="1899-12-30T00:00:00"/>
    <d v="2014-10-27T00:00:00"/>
    <d v="1899-12-30T00:00:00"/>
    <d v="1899-12-30T00:00:00"/>
    <d v="1899-12-30T00:00:00"/>
    <d v="1899-12-30T00:00:00"/>
    <x v="1"/>
    <n v="0"/>
    <n v="97"/>
    <n v="0"/>
    <n v="0"/>
    <n v="0"/>
    <n v="0"/>
    <n v="0"/>
    <n v="101"/>
    <n v="1450727.2727272725"/>
    <n v="7979000"/>
    <n v="5.0000000000000009"/>
  </r>
  <r>
    <n v="0"/>
    <n v="0"/>
    <n v="10"/>
    <n v="10"/>
    <s v="전략"/>
    <x v="30"/>
    <s v="ELH-EVERGREEN-08"/>
    <s v="ELH-EVERGREEN-08ELHTHF5617NY"/>
    <n v="1"/>
    <s v="ELH-EVERGREEN-081"/>
    <s v="ELH-EVERGREEN-081-ELHTHF5617NAVYOSS"/>
    <s v="ELH의류617"/>
    <s v="ELH"/>
    <s v="ELSTHD"/>
    <m/>
    <s v="ELH"/>
    <s v="ELS HATSON"/>
    <s v="F"/>
    <n v="5"/>
    <s v="TH"/>
    <s v="HOODED T-SHIRTS"/>
    <s v="K"/>
    <n v="617"/>
    <n v="617"/>
    <s v="ELHTHF5617"/>
    <n v="0.33333333333333331"/>
    <s v="ELSTHD3617NYOSS"/>
    <s v="NY"/>
    <s v="NAVY"/>
    <s v="ELHTHF5617NY"/>
    <x v="1"/>
    <n v="0.33333333333333331"/>
    <n v="0"/>
    <n v="1"/>
    <s v="OSS"/>
    <n v="54"/>
    <x v="13"/>
    <n v="8"/>
    <x v="15"/>
    <s v="M"/>
    <s v="CN"/>
    <x v="0"/>
    <n v="79000"/>
    <x v="31"/>
    <n v="14363.636363636362"/>
    <n v="0"/>
    <n v="-14363.636363636362"/>
    <n v="0"/>
    <n v="0"/>
    <s v=""/>
    <n v="0"/>
    <n v="0"/>
    <n v="0"/>
    <d v="2014-10-23T00:00:00"/>
    <d v="1899-12-30T00:00:00"/>
    <d v="2014-10-30T00:00:00"/>
    <d v="1899-12-30T00:00:00"/>
    <d v="2014-10-27T00:00:00"/>
    <d v="1899-12-30T00:00:00"/>
    <d v="1899-12-30T00:00:00"/>
    <d v="1899-12-30T00:00:00"/>
    <d v="1899-12-30T00:00:00"/>
    <x v="1"/>
    <n v="0"/>
    <n v="54"/>
    <n v="0"/>
    <n v="0"/>
    <n v="0"/>
    <n v="0"/>
    <n v="0"/>
    <n v="54"/>
    <n v="775636.36363636353"/>
    <n v="4266000"/>
    <n v="5"/>
  </r>
  <r>
    <n v="0"/>
    <n v="0"/>
    <n v="10"/>
    <n v="10"/>
    <s v="전략"/>
    <x v="30"/>
    <s v="ELH-EVERGREEN-08"/>
    <s v="ELH-EVERGREEN-08ELHTHF5617RE"/>
    <n v="2"/>
    <s v="ELH-EVERGREEN-082"/>
    <s v="ELH-EVERGREEN-082-ELHTHF5617REDOSS"/>
    <s v="ELH의류617"/>
    <s v="ELH"/>
    <s v="ELSTHD"/>
    <m/>
    <s v="ELH"/>
    <s v="ELS HATSON"/>
    <s v="F"/>
    <n v="5"/>
    <s v="TH"/>
    <s v="HOODED T-SHIRTS"/>
    <s v="K"/>
    <n v="617"/>
    <n v="617"/>
    <s v="ELHTHF5617"/>
    <n v="0.5"/>
    <s v="ELSTHD3617REOSS"/>
    <s v="RE"/>
    <s v="RED"/>
    <s v="ELHTHF5617RE"/>
    <x v="1"/>
    <n v="0.5"/>
    <n v="0"/>
    <n v="1"/>
    <s v="OSS"/>
    <n v="23"/>
    <x v="13"/>
    <n v="8"/>
    <x v="15"/>
    <s v="M"/>
    <s v="CN"/>
    <x v="0"/>
    <n v="79000"/>
    <x v="31"/>
    <n v="14363.636363636362"/>
    <n v="0"/>
    <n v="-14363.636363636362"/>
    <n v="0"/>
    <n v="0"/>
    <s v=""/>
    <n v="0"/>
    <n v="0"/>
    <n v="0"/>
    <d v="2014-10-23T00:00:00"/>
    <d v="1899-12-30T00:00:00"/>
    <d v="2014-10-30T00:00:00"/>
    <d v="1899-12-30T00:00:00"/>
    <d v="2014-10-27T00:00:00"/>
    <d v="1899-12-30T00:00:00"/>
    <d v="1899-12-30T00:00:00"/>
    <d v="1899-12-30T00:00:00"/>
    <d v="1899-12-30T00:00:00"/>
    <x v="1"/>
    <n v="0"/>
    <n v="22"/>
    <n v="0"/>
    <n v="0"/>
    <n v="0"/>
    <n v="0"/>
    <n v="0"/>
    <n v="23"/>
    <n v="330363.63636363635"/>
    <n v="1817000"/>
    <n v="5"/>
  </r>
  <r>
    <n v="0"/>
    <n v="0"/>
    <n v="10"/>
    <n v="10"/>
    <s v="전략"/>
    <x v="30"/>
    <s v="ELH-EVERGREEN-08"/>
    <s v="ELH-EVERGREEN-08ELHTHF5618MT"/>
    <n v="3"/>
    <s v="ELH-EVERGREEN-083"/>
    <s v="ELH-EVERGREEN-083-ELHTHF5618MINTOSS"/>
    <s v="ELH의류618"/>
    <s v="ELH"/>
    <s v="ELSTHD"/>
    <m/>
    <s v="ELH"/>
    <s v="ELS HATSON"/>
    <s v="F"/>
    <n v="5"/>
    <s v="TH"/>
    <s v="HOODED T-SHIRTS"/>
    <s v="K"/>
    <n v="618"/>
    <n v="618"/>
    <s v="ELHTHF5618"/>
    <n v="0.5"/>
    <s v="ELSTHD3618MTOSS"/>
    <s v="MT"/>
    <s v="MINT"/>
    <s v="ELHTHF5618MT"/>
    <x v="1"/>
    <n v="0.5"/>
    <n v="0"/>
    <n v="1"/>
    <s v="OSS"/>
    <n v="33"/>
    <x v="13"/>
    <n v="8"/>
    <x v="15"/>
    <s v="M"/>
    <s v="CN"/>
    <x v="0"/>
    <n v="79000"/>
    <x v="31"/>
    <n v="14363.636363636362"/>
    <n v="0"/>
    <n v="-14363.636363636362"/>
    <n v="0"/>
    <n v="0"/>
    <s v=""/>
    <n v="0"/>
    <n v="0"/>
    <n v="0"/>
    <d v="2014-10-23T00:00:00"/>
    <d v="1899-12-30T00:00:00"/>
    <d v="2014-10-30T00:00:00"/>
    <d v="1899-12-30T00:00:00"/>
    <d v="2014-10-27T00:00:00"/>
    <d v="1899-12-30T00:00:00"/>
    <d v="1899-12-30T00:00:00"/>
    <d v="1899-12-30T00:00:00"/>
    <d v="1899-12-30T00:00:00"/>
    <x v="1"/>
    <n v="0"/>
    <n v="33"/>
    <n v="0"/>
    <n v="0"/>
    <n v="0"/>
    <n v="0"/>
    <n v="0"/>
    <n v="33"/>
    <n v="473999.99999999994"/>
    <n v="2607000"/>
    <n v="5"/>
  </r>
  <r>
    <n v="0"/>
    <n v="0"/>
    <n v="10"/>
    <n v="10"/>
    <s v="전략"/>
    <x v="30"/>
    <s v="ELH-EVERGREEN-08"/>
    <s v="ELH-EVERGREEN-08ELHTHF5625GY"/>
    <n v="4"/>
    <s v="ELH-EVERGREEN-084"/>
    <s v="ELH-EVERGREEN-084-ELHTHF5625GREYOSS"/>
    <s v="ELH의류625"/>
    <s v="ELH"/>
    <s v="ELSTHD"/>
    <m/>
    <s v="ELH"/>
    <s v="ELS HATSON"/>
    <s v="F"/>
    <n v="5"/>
    <s v="TH"/>
    <s v="HOODED T-SHIRTS"/>
    <s v="K"/>
    <n v="625"/>
    <n v="625"/>
    <s v="ELHTHF5625"/>
    <n v="0.5"/>
    <s v="ELSTHD3625GYOSS"/>
    <s v="GY"/>
    <s v="GREY"/>
    <s v="ELHTHF5625GY"/>
    <x v="1"/>
    <n v="0.5"/>
    <n v="0"/>
    <n v="1"/>
    <s v="OSS"/>
    <n v="41"/>
    <x v="13"/>
    <n v="8"/>
    <x v="15"/>
    <s v="M"/>
    <s v="CN"/>
    <x v="0"/>
    <n v="79000"/>
    <x v="31"/>
    <n v="14363.636363636362"/>
    <n v="0"/>
    <n v="-14363.636363636362"/>
    <n v="0"/>
    <n v="0"/>
    <s v=""/>
    <n v="0"/>
    <n v="0"/>
    <n v="0"/>
    <d v="2014-10-23T00:00:00"/>
    <d v="1899-12-30T00:00:00"/>
    <d v="2014-10-30T00:00:00"/>
    <d v="1899-12-30T00:00:00"/>
    <d v="2014-10-27T00:00:00"/>
    <d v="1899-12-30T00:00:00"/>
    <d v="1899-12-30T00:00:00"/>
    <d v="1899-12-30T00:00:00"/>
    <d v="1899-12-30T00:00:00"/>
    <x v="1"/>
    <n v="0"/>
    <n v="41"/>
    <n v="0"/>
    <n v="0"/>
    <n v="0"/>
    <n v="0"/>
    <n v="0"/>
    <n v="41"/>
    <n v="588909.09090909082"/>
    <n v="3239000"/>
    <n v="5"/>
  </r>
  <r>
    <n v="0"/>
    <n v="0"/>
    <n v="10"/>
    <n v="10"/>
    <s v="전략"/>
    <x v="30"/>
    <s v="ELH-EVERGREEN-08"/>
    <s v="ELH-EVERGREEN-08ELHTHF5625GY"/>
    <n v="4"/>
    <s v="ELH-EVERGREEN-084"/>
    <s v="ELH-EVERGREEN-084-ELHTHF5625GREYOMM"/>
    <s v="ELH의류625"/>
    <s v="ELH"/>
    <s v="ELSTHD"/>
    <m/>
    <s v="ELH"/>
    <s v="ELS HATSON"/>
    <s v="F"/>
    <n v="5"/>
    <s v="TH"/>
    <s v="HOODED T-SHIRTS"/>
    <s v="K"/>
    <n v="625"/>
    <n v="625"/>
    <s v="ELHTHF5625"/>
    <n v="0.5"/>
    <s v="ELSTHD3625GYOMM"/>
    <s v="GY"/>
    <s v="GREY"/>
    <s v="ELHTHF5625GY"/>
    <x v="1"/>
    <n v="0.5"/>
    <n v="0"/>
    <n v="1"/>
    <s v="OMM"/>
    <n v="28"/>
    <x v="13"/>
    <n v="8"/>
    <x v="15"/>
    <s v="M"/>
    <s v="CN"/>
    <x v="0"/>
    <n v="79000"/>
    <x v="31"/>
    <n v="14363.636363636362"/>
    <n v="0"/>
    <n v="-14363.636363636362"/>
    <n v="0"/>
    <n v="0"/>
    <s v=""/>
    <n v="0"/>
    <n v="0"/>
    <n v="0"/>
    <d v="2014-10-23T00:00:00"/>
    <d v="1899-12-30T00:00:00"/>
    <d v="2014-10-30T00:00:00"/>
    <d v="1899-12-30T00:00:00"/>
    <d v="2014-10-27T00:00:00"/>
    <d v="1899-12-30T00:00:00"/>
    <d v="1899-12-30T00:00:00"/>
    <d v="1899-12-30T00:00:00"/>
    <d v="1899-12-30T00:00:00"/>
    <x v="1"/>
    <n v="0"/>
    <n v="28"/>
    <n v="0"/>
    <n v="0"/>
    <n v="0"/>
    <n v="0"/>
    <n v="0"/>
    <n v="28"/>
    <n v="402181.81818181812"/>
    <n v="2212000"/>
    <n v="5.0000000000000009"/>
  </r>
  <r>
    <n v="0"/>
    <n v="0"/>
    <n v="10"/>
    <n v="10"/>
    <s v="전략"/>
    <x v="30"/>
    <s v="ELH-EVERGREEN-08"/>
    <s v="ELH-EVERGREEN-08ELHTHF5625PK"/>
    <n v="5"/>
    <s v="ELH-EVERGREEN-085"/>
    <s v="ELH-EVERGREEN-085-ELHTHF5625PINKOSS"/>
    <s v="ELH의류625"/>
    <s v="ELH"/>
    <s v="ELSTHD"/>
    <m/>
    <s v="ELH"/>
    <s v="ELS HATSON"/>
    <s v="F"/>
    <n v="5"/>
    <s v="TH"/>
    <s v="HOODED T-SHIRTS"/>
    <s v="K"/>
    <n v="625"/>
    <n v="625"/>
    <s v="ELHTHF5625"/>
    <n v="0.5"/>
    <s v="ELSTHD3625PKOSS"/>
    <s v="PK"/>
    <s v="PINK"/>
    <s v="ELHTHF5625PK"/>
    <x v="1"/>
    <n v="0.5"/>
    <n v="0"/>
    <n v="1"/>
    <s v="OSS"/>
    <n v="26"/>
    <x v="13"/>
    <n v="8"/>
    <x v="15"/>
    <s v="M"/>
    <s v="CN"/>
    <x v="0"/>
    <n v="79000"/>
    <x v="31"/>
    <n v="14363.636363636362"/>
    <n v="0"/>
    <n v="-14363.636363636362"/>
    <n v="0"/>
    <n v="0"/>
    <s v=""/>
    <n v="0"/>
    <n v="0"/>
    <n v="0"/>
    <d v="2014-10-23T00:00:00"/>
    <d v="1899-12-30T00:00:00"/>
    <d v="2014-10-30T00:00:00"/>
    <d v="1899-12-30T00:00:00"/>
    <d v="2014-10-27T00:00:00"/>
    <d v="1899-12-30T00:00:00"/>
    <d v="1899-12-30T00:00:00"/>
    <d v="1899-12-30T00:00:00"/>
    <d v="1899-12-30T00:00:00"/>
    <x v="1"/>
    <n v="0"/>
    <n v="21"/>
    <n v="0"/>
    <n v="0"/>
    <n v="0"/>
    <n v="0"/>
    <m/>
    <n v="26"/>
    <n v="373454.54545454541"/>
    <n v="2054000"/>
    <n v="5"/>
  </r>
  <r>
    <n v="0"/>
    <n v="0"/>
    <n v="10"/>
    <n v="10"/>
    <s v="전략"/>
    <x v="30"/>
    <s v="ELH-EVERGREEN-08"/>
    <s v="ELH-EVERGREEN-08ELHTHF5625PK"/>
    <n v="5"/>
    <s v="ELH-EVERGREEN-085"/>
    <s v="ELH-EVERGREEN-085-ELHTHF5625PINKOMM"/>
    <s v="ELH의류625"/>
    <s v="ELH"/>
    <s v="ELSTHD"/>
    <m/>
    <s v="ELH"/>
    <s v="ELS HATSON"/>
    <s v="F"/>
    <n v="5"/>
    <s v="TH"/>
    <s v="HOODED T-SHIRTS"/>
    <s v="K"/>
    <n v="625"/>
    <n v="625"/>
    <s v="ELHTHF5625"/>
    <n v="0.5"/>
    <s v="ELSTHD3625PKOMM"/>
    <s v="PK"/>
    <s v="PINK"/>
    <s v="ELHTHF5625PK"/>
    <x v="1"/>
    <n v="0.5"/>
    <n v="0"/>
    <n v="1"/>
    <s v="OMM"/>
    <n v="19"/>
    <x v="13"/>
    <n v="8"/>
    <x v="15"/>
    <s v="M"/>
    <s v="CN"/>
    <x v="0"/>
    <n v="79000"/>
    <x v="31"/>
    <n v="14363.636363636362"/>
    <n v="0"/>
    <n v="-14363.636363636362"/>
    <n v="0"/>
    <n v="0"/>
    <s v=""/>
    <n v="0"/>
    <n v="0"/>
    <n v="0"/>
    <d v="2014-10-23T00:00:00"/>
    <d v="1899-12-30T00:00:00"/>
    <d v="2014-10-30T00:00:00"/>
    <d v="1899-12-30T00:00:00"/>
    <d v="2014-10-27T00:00:00"/>
    <d v="1899-12-30T00:00:00"/>
    <d v="1899-12-30T00:00:00"/>
    <d v="1899-12-30T00:00:00"/>
    <d v="1899-12-30T00:00:00"/>
    <x v="1"/>
    <n v="0"/>
    <n v="15"/>
    <n v="0"/>
    <n v="0"/>
    <n v="0"/>
    <n v="0"/>
    <m/>
    <n v="19"/>
    <n v="272909.09090909088"/>
    <n v="1501000"/>
    <n v="5"/>
  </r>
  <r>
    <n v="0"/>
    <n v="0"/>
    <n v="10"/>
    <n v="10"/>
    <s v="전략"/>
    <x v="30"/>
    <s v="ELH-EVERGREEN-08"/>
    <s v="ELH-EVERGREEN-08ELHTLF5607YE"/>
    <n v="6"/>
    <s v="ELH-EVERGREEN-086"/>
    <s v="ELH-EVERGREEN-086-ELHTLF5607YELLOWOMM"/>
    <s v="ELH의류607"/>
    <s v="ELH"/>
    <s v="ELSTLD"/>
    <m/>
    <s v="ELH"/>
    <s v="ELS HATSON"/>
    <s v="F"/>
    <n v="5"/>
    <s v="TL"/>
    <s v="LONG SLEEVES"/>
    <s v="K"/>
    <n v="607"/>
    <n v="607"/>
    <s v="ELHTLF5607"/>
    <n v="1"/>
    <s v="ELSTLD3607YEOMM"/>
    <s v="YE"/>
    <s v="YELLOW"/>
    <s v="ELHTLF5607YE"/>
    <x v="1"/>
    <n v="1"/>
    <n v="0"/>
    <n v="1"/>
    <s v="OMM"/>
    <n v="23"/>
    <x v="13"/>
    <n v="8"/>
    <x v="15"/>
    <s v="M"/>
    <s v="CN"/>
    <x v="0"/>
    <n v="59000"/>
    <x v="31"/>
    <n v="10727.272727272726"/>
    <n v="0"/>
    <n v="-10727.272727272726"/>
    <n v="0"/>
    <n v="0"/>
    <s v=""/>
    <n v="0"/>
    <n v="0"/>
    <n v="0"/>
    <d v="2014-10-23T00:00:00"/>
    <d v="1899-12-30T00:00:00"/>
    <d v="2014-10-30T00:00:00"/>
    <d v="1899-12-30T00:00:00"/>
    <d v="2014-10-27T00:00:00"/>
    <d v="1899-12-30T00:00:00"/>
    <d v="1899-12-30T00:00:00"/>
    <d v="1899-12-30T00:00:00"/>
    <d v="1899-12-30T00:00:00"/>
    <x v="1"/>
    <n v="0"/>
    <n v="21"/>
    <n v="0"/>
    <n v="0"/>
    <n v="0"/>
    <n v="0"/>
    <n v="0"/>
    <n v="23"/>
    <n v="246727.27272727271"/>
    <n v="1357000"/>
    <n v="5"/>
  </r>
  <r>
    <n v="0"/>
    <n v="0"/>
    <s v=""/>
    <s v=""/>
    <s v=""/>
    <x v="1"/>
    <s v=""/>
    <s v=""/>
    <n v="0"/>
    <s v="0"/>
    <s v="0-"/>
    <n v="0"/>
    <s v="TTL"/>
    <s v=""/>
    <s v="ELH-EVERGREEN-08 TTL"/>
    <m/>
    <s v=""/>
    <s v=""/>
    <s v=""/>
    <m/>
    <s v=""/>
    <s v="K"/>
    <m/>
    <s v=""/>
    <s v=""/>
    <n v="4.6666666666666661"/>
    <m/>
    <s v=""/>
    <m/>
    <s v=""/>
    <x v="0"/>
    <n v="4.666666666666666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32"/>
    <n v="0"/>
    <n v="0"/>
    <n v="0"/>
    <n v="0"/>
    <n v="0"/>
    <n v="348"/>
    <n v="4914909.0909090899"/>
    <n v="27032000"/>
    <n v="5.0000000000000009"/>
  </r>
  <r>
    <n v="0"/>
    <n v="0"/>
    <n v="10"/>
    <n v="10"/>
    <s v="전략"/>
    <x v="30"/>
    <s v="ELH-현주실업-01"/>
    <s v="ELH-현주실업-01ELHTHF5628MT"/>
    <n v="1"/>
    <s v="ELH-현주실업-011"/>
    <s v="ELH-현주실업-011-ELHTHF5628MINTOSS"/>
    <s v="ELH의류628"/>
    <s v="ELH"/>
    <s v="ELSTHD"/>
    <m/>
    <s v="ELH"/>
    <s v="ELS HATSON"/>
    <s v="F"/>
    <n v="5"/>
    <s v="TH"/>
    <s v="HOODED T-SHIRTS"/>
    <s v="K"/>
    <n v="628"/>
    <n v="628"/>
    <s v="ELHTHF5628"/>
    <n v="0.5"/>
    <s v="ELSTHD3628MTOSS"/>
    <s v="MT"/>
    <s v="MINT"/>
    <s v="ELHTHF5628MT"/>
    <x v="1"/>
    <n v="0.5"/>
    <n v="0"/>
    <n v="1"/>
    <s v="OSS"/>
    <n v="100"/>
    <x v="20"/>
    <n v="1"/>
    <x v="0"/>
    <s v="M"/>
    <s v="KR"/>
    <x v="3"/>
    <n v="89000"/>
    <x v="31"/>
    <n v="22474.74747474747"/>
    <n v="0"/>
    <n v="-22474.74747474747"/>
    <n v="0"/>
    <n v="0"/>
    <s v=""/>
    <n v="0"/>
    <n v="0"/>
    <n v="0"/>
    <d v="2014-10-23T00:00:00"/>
    <d v="1899-12-30T00:00:00"/>
    <d v="2014-10-30T00:00:00"/>
    <d v="1899-12-30T00:00:00"/>
    <d v="2014-10-27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2247474.7474747468"/>
    <n v="8900000"/>
    <n v="3.600000000000001"/>
  </r>
  <r>
    <n v="0"/>
    <n v="0"/>
    <n v="10"/>
    <n v="10"/>
    <s v="전략"/>
    <x v="30"/>
    <s v="ELH-현주실업-01"/>
    <s v="ELH-현주실업-01ELHTHF5628MT"/>
    <n v="1"/>
    <s v="ELH-현주실업-011"/>
    <s v="ELH-현주실업-011-ELHTHF5628MINTOMM"/>
    <s v="ELH의류628"/>
    <s v="ELH"/>
    <s v="ELSTHD"/>
    <m/>
    <s v="ELH"/>
    <s v="ELS HATSON"/>
    <s v="F"/>
    <n v="5"/>
    <s v="TH"/>
    <s v="HOODED T-SHIRTS"/>
    <s v="K"/>
    <n v="628"/>
    <n v="628"/>
    <s v="ELHTHF5628"/>
    <n v="0.5"/>
    <s v="ELSTHD3628MTOMM"/>
    <s v="MT"/>
    <s v="MINT"/>
    <s v="ELHTHF5628MT"/>
    <x v="1"/>
    <n v="0.5"/>
    <n v="0"/>
    <n v="1"/>
    <s v="OMM"/>
    <n v="100"/>
    <x v="20"/>
    <n v="1"/>
    <x v="0"/>
    <s v="M"/>
    <s v="KR"/>
    <x v="3"/>
    <n v="89000"/>
    <x v="31"/>
    <n v="22474.74747474747"/>
    <n v="0"/>
    <n v="-22474.74747474747"/>
    <n v="0"/>
    <n v="0"/>
    <s v=""/>
    <n v="0"/>
    <n v="0"/>
    <n v="0"/>
    <d v="2014-10-23T00:00:00"/>
    <d v="1899-12-30T00:00:00"/>
    <d v="2014-10-30T00:00:00"/>
    <d v="1899-12-30T00:00:00"/>
    <d v="2014-10-27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2247474.7474747468"/>
    <n v="8900000"/>
    <n v="3.600000000000001"/>
  </r>
  <r>
    <n v="0"/>
    <n v="0"/>
    <n v="10"/>
    <n v="10"/>
    <s v="전략"/>
    <x v="30"/>
    <s v="ELH-현주실업-01"/>
    <s v="ELH-현주실업-01ELHTHF5629PK"/>
    <n v="2"/>
    <s v="ELH-현주실업-012"/>
    <s v="ELH-현주실업-012-ELHTHF5629PINKOSS"/>
    <s v="ELH의류629"/>
    <s v="ELH"/>
    <s v="ELSTHD"/>
    <m/>
    <s v="ELH"/>
    <s v="ELS HATSON"/>
    <s v="F"/>
    <n v="5"/>
    <s v="TH"/>
    <s v="HOODED T-SHIRTS"/>
    <s v="K"/>
    <n v="629"/>
    <n v="629"/>
    <s v="ELHTHF5629"/>
    <n v="0.33333333333333331"/>
    <s v="ELSTHD3629PKOSS"/>
    <s v="PK"/>
    <s v="PINK"/>
    <s v="ELHTHF5629PK"/>
    <x v="1"/>
    <n v="0.33333333333333331"/>
    <n v="0"/>
    <n v="1"/>
    <s v="OSS"/>
    <n v="119"/>
    <x v="20"/>
    <n v="1"/>
    <x v="0"/>
    <s v="M"/>
    <s v="KR"/>
    <x v="3"/>
    <n v="89000"/>
    <x v="31"/>
    <n v="22474.74747474747"/>
    <n v="0"/>
    <n v="-22474.74747474747"/>
    <n v="0"/>
    <n v="0"/>
    <s v=""/>
    <n v="0"/>
    <n v="0"/>
    <n v="0"/>
    <d v="2014-10-23T00:00:00"/>
    <d v="1899-12-30T00:00:00"/>
    <d v="2014-10-30T00:00:00"/>
    <d v="1899-12-30T00:00:00"/>
    <d v="2014-10-27T00:00:00"/>
    <d v="1899-12-30T00:00:00"/>
    <d v="1899-12-30T00:00:00"/>
    <d v="1899-12-30T00:00:00"/>
    <d v="1899-12-30T00:00:00"/>
    <x v="1"/>
    <n v="0"/>
    <n v="119"/>
    <n v="0"/>
    <n v="0"/>
    <n v="0"/>
    <n v="0"/>
    <n v="0"/>
    <n v="119"/>
    <n v="2674494.9494949491"/>
    <n v="10591000"/>
    <n v="3.6000000000000005"/>
  </r>
  <r>
    <n v="0"/>
    <n v="0"/>
    <s v=""/>
    <s v=""/>
    <s v=""/>
    <x v="1"/>
    <s v=""/>
    <s v=""/>
    <n v="0"/>
    <s v="0"/>
    <s v="0-"/>
    <n v="0"/>
    <s v="TTL"/>
    <s v=""/>
    <s v="ELH-현주실업-01 TTL"/>
    <m/>
    <s v=""/>
    <s v=""/>
    <s v=""/>
    <m/>
    <s v=""/>
    <s v="K"/>
    <m/>
    <s v=""/>
    <s v=""/>
    <n v="1.3333333333333333"/>
    <m/>
    <s v=""/>
    <m/>
    <s v=""/>
    <x v="0"/>
    <n v="1.333333333333333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19"/>
    <n v="0"/>
    <n v="0"/>
    <n v="0"/>
    <n v="0"/>
    <n v="0"/>
    <n v="319"/>
    <n v="7169444.4444444422"/>
    <n v="28391000"/>
    <n v="3.600000000000001"/>
  </r>
  <r>
    <n v="0"/>
    <n v="0"/>
    <n v="10"/>
    <n v="10"/>
    <s v="F-CAP"/>
    <x v="23"/>
    <s v="ELH-FOREMOST-33"/>
    <s v="ELH-FOREMOST-33ELHTPF5608BU"/>
    <n v="1"/>
    <s v="ELH-FOREMOST-331"/>
    <s v="ELH-FOREMOST-331-ELHTPF5608BURGUNDYFRE"/>
    <s v="ELH의류외608"/>
    <s v="ELH"/>
    <s v="ELSTPE"/>
    <m/>
    <s v="ELH"/>
    <s v="ELS HATSON"/>
    <s v="F"/>
    <n v="5"/>
    <s v="TP"/>
    <s v="TROOPER"/>
    <s v="K"/>
    <n v="608"/>
    <n v="608"/>
    <s v="ELHTPF5608"/>
    <n v="0"/>
    <s v="ELSTPE5608BUFRE"/>
    <s v="BU"/>
    <s v="BURGUNDY"/>
    <s v="ELHTPF5608BU"/>
    <x v="2"/>
    <n v="0"/>
    <n v="0"/>
    <n v="1"/>
    <s v="FRE"/>
    <n v="197"/>
    <x v="4"/>
    <n v="33"/>
    <x v="35"/>
    <s v="M"/>
    <s v="CN"/>
    <x v="0"/>
    <n v="49000"/>
    <x v="31"/>
    <n v="7424.242424242424"/>
    <n v="0"/>
    <n v="-7424.242424242424"/>
    <n v="0"/>
    <n v="0"/>
    <s v=""/>
    <n v="0"/>
    <n v="0"/>
    <n v="0"/>
    <d v="2014-10-23T00:00:00"/>
    <d v="1899-12-30T00:00:00"/>
    <d v="2014-10-30T00:00:00"/>
    <d v="1899-12-30T00:00:00"/>
    <d v="2014-10-27T00:00:00"/>
    <d v="1899-12-30T00:00:00"/>
    <d v="1899-12-30T00:00:00"/>
    <d v="1899-12-30T00:00:00"/>
    <d v="1899-12-30T00:00:00"/>
    <x v="1"/>
    <n v="0"/>
    <n v="196"/>
    <n v="0"/>
    <n v="0"/>
    <n v="0"/>
    <n v="0"/>
    <n v="0"/>
    <n v="197"/>
    <n v="1462575.7575757576"/>
    <n v="9653000"/>
    <n v="5.9999999999999991"/>
  </r>
  <r>
    <n v="0"/>
    <n v="0"/>
    <n v="10"/>
    <n v="10"/>
    <s v="F-CAP"/>
    <x v="23"/>
    <s v="ELH-FOREMOST-33"/>
    <s v="ELH-FOREMOST-33ELHTPF5648NY"/>
    <n v="2"/>
    <s v="ELH-FOREMOST-332"/>
    <s v="ELH-FOREMOST-332-ELHTPF5648NAVYFRE"/>
    <s v="ELH의류외648"/>
    <s v="ELH"/>
    <s v="ELSTPE"/>
    <m/>
    <s v="ELH"/>
    <s v="ELS HATSON"/>
    <s v="F"/>
    <n v="5"/>
    <s v="TP"/>
    <s v="TROOPER"/>
    <s v="K"/>
    <n v="648"/>
    <n v="648"/>
    <s v="ELHTPF5648"/>
    <n v="0"/>
    <s v="ELSTPE5648NYFRE"/>
    <s v="NY"/>
    <s v="NAVY"/>
    <s v="ELHTPF5648NY"/>
    <x v="2"/>
    <n v="0"/>
    <n v="0"/>
    <n v="1"/>
    <s v="FRE"/>
    <n v="159"/>
    <x v="4"/>
    <n v="33"/>
    <x v="35"/>
    <s v="M"/>
    <s v="CN"/>
    <x v="0"/>
    <n v="59000"/>
    <x v="31"/>
    <n v="8939.3939393939381"/>
    <n v="0"/>
    <n v="-8939.3939393939381"/>
    <n v="0"/>
    <n v="0"/>
    <s v=""/>
    <n v="0"/>
    <n v="0"/>
    <n v="0"/>
    <d v="2014-10-23T00:00:00"/>
    <d v="1899-12-30T00:00:00"/>
    <d v="2014-10-30T00:00:00"/>
    <d v="1899-12-30T00:00:00"/>
    <d v="2014-10-27T00:00:00"/>
    <d v="1899-12-30T00:00:00"/>
    <d v="1899-12-30T00:00:00"/>
    <d v="1899-12-30T00:00:00"/>
    <d v="1899-12-30T00:00:00"/>
    <x v="1"/>
    <n v="0"/>
    <n v="158"/>
    <n v="0"/>
    <n v="0"/>
    <n v="0"/>
    <n v="0"/>
    <n v="0"/>
    <n v="159"/>
    <n v="1421363.6363636362"/>
    <n v="9381000"/>
    <n v="6"/>
  </r>
  <r>
    <n v="0"/>
    <n v="0"/>
    <s v=""/>
    <s v=""/>
    <s v=""/>
    <x v="1"/>
    <s v=""/>
    <s v=""/>
    <n v="0"/>
    <s v="0"/>
    <s v="0-"/>
    <n v="0"/>
    <s v="TTL"/>
    <s v=""/>
    <s v="ELH-FOREMOST-33 TTL"/>
    <m/>
    <s v=""/>
    <s v=""/>
    <s v=""/>
    <m/>
    <s v=""/>
    <s v="K"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54"/>
    <n v="0"/>
    <n v="0"/>
    <n v="0"/>
    <n v="0"/>
    <n v="0"/>
    <n v="356"/>
    <n v="2883939.3939393936"/>
    <n v="19034000"/>
    <n v="6.0000000000000009"/>
  </r>
  <r>
    <n v="0"/>
    <n v="0"/>
    <n v="11"/>
    <n v="11"/>
    <s v="F-CAP"/>
    <x v="23"/>
    <s v="ELH-FOREMOST-35"/>
    <s v="ELH-FOREMOST-35ELHBEF5802GR"/>
    <n v="1"/>
    <s v="ELH-FOREMOST-351"/>
    <s v="ELH-FOREMOST-351-ELHBEF5802GREENFRE"/>
    <s v="ELH의류외802"/>
    <s v="ELH"/>
    <s v="ELSBEE"/>
    <m/>
    <s v="ELH"/>
    <s v="ELS HATSON"/>
    <s v="F"/>
    <n v="5"/>
    <s v="BE"/>
    <s v="BEANIE"/>
    <s v="K"/>
    <n v="802"/>
    <n v="802"/>
    <s v="ELHBEF5802"/>
    <n v="0"/>
    <s v="ELSBEE5802GRFRE"/>
    <s v="GR"/>
    <s v="GREEN"/>
    <s v="ELHBEF5802GR"/>
    <x v="2"/>
    <n v="0"/>
    <n v="0"/>
    <n v="1"/>
    <s v="FRE"/>
    <n v="268"/>
    <x v="4"/>
    <n v="35"/>
    <x v="36"/>
    <s v="M"/>
    <s v="CN"/>
    <x v="0"/>
    <n v="45000"/>
    <x v="20"/>
    <n v="6818.1818181818171"/>
    <n v="0"/>
    <n v="-6818.181818181817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268"/>
    <n v="0"/>
    <n v="0"/>
    <n v="0"/>
    <n v="0"/>
    <n v="0"/>
    <n v="268"/>
    <n v="1827272.7272727271"/>
    <n v="12060000"/>
    <n v="6"/>
  </r>
  <r>
    <n v="0"/>
    <n v="0"/>
    <n v="11"/>
    <n v="11"/>
    <s v="F-CAP"/>
    <x v="23"/>
    <s v="ELH-FOREMOST-35"/>
    <s v="ELH-FOREMOST-35ELHBEF5803BL"/>
    <n v="2"/>
    <s v="ELH-FOREMOST-352"/>
    <s v="ELH-FOREMOST-352-ELHBEF5803BLUEFRE"/>
    <s v="ELH의류외803"/>
    <s v="ELH"/>
    <s v="ELSBEE"/>
    <m/>
    <s v="ELH"/>
    <s v="ELS HATSON"/>
    <s v="F"/>
    <n v="5"/>
    <s v="BE"/>
    <s v="BEANIE"/>
    <s v="K"/>
    <n v="803"/>
    <n v="803"/>
    <s v="ELHBEF5803"/>
    <n v="0"/>
    <s v="ELSBEE5803BLFRE"/>
    <s v="BL"/>
    <s v="BLUE"/>
    <s v="ELHBEF5803BL"/>
    <x v="2"/>
    <n v="0"/>
    <n v="0"/>
    <n v="1"/>
    <s v="FRE"/>
    <n v="314"/>
    <x v="4"/>
    <n v="35"/>
    <x v="36"/>
    <s v="M"/>
    <s v="CN"/>
    <x v="0"/>
    <n v="45000"/>
    <x v="20"/>
    <n v="6818.1818181818171"/>
    <n v="0"/>
    <n v="-6818.181818181817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314"/>
    <n v="0"/>
    <n v="0"/>
    <n v="0"/>
    <n v="0"/>
    <n v="0"/>
    <n v="314"/>
    <n v="2140909.0909090904"/>
    <n v="14130000"/>
    <n v="6.0000000000000009"/>
  </r>
  <r>
    <n v="0"/>
    <n v="0"/>
    <n v="11"/>
    <n v="11"/>
    <s v="F-CAP"/>
    <x v="23"/>
    <s v="ELH-FOREMOST-35"/>
    <s v="ELH-FOREMOST-35ELHBEF5804BK"/>
    <n v="3"/>
    <s v="ELH-FOREMOST-353"/>
    <s v="ELH-FOREMOST-353-ELHBEF5804BLACKFRE"/>
    <s v="ELH의류외804"/>
    <s v="ELH"/>
    <s v="ELSBEE"/>
    <m/>
    <s v="ELH"/>
    <s v="ELS HATSON"/>
    <s v="F"/>
    <n v="5"/>
    <s v="BE"/>
    <s v="BEANIE"/>
    <s v="K"/>
    <n v="804"/>
    <n v="804"/>
    <s v="ELHBEF5804"/>
    <n v="0"/>
    <s v="ELSBEE5804BKFRE"/>
    <s v="BK"/>
    <s v="BLACK"/>
    <s v="ELHBEF5804BK"/>
    <x v="2"/>
    <n v="0"/>
    <n v="0"/>
    <n v="1"/>
    <s v="FRE"/>
    <n v="308"/>
    <x v="4"/>
    <n v="35"/>
    <x v="36"/>
    <s v="M"/>
    <s v="CN"/>
    <x v="0"/>
    <n v="35000"/>
    <x v="20"/>
    <n v="5303.030303030303"/>
    <n v="0"/>
    <n v="-5303.030303030303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308"/>
    <n v="0"/>
    <n v="0"/>
    <n v="0"/>
    <n v="0"/>
    <n v="0"/>
    <n v="308"/>
    <n v="1633333.3333333333"/>
    <n v="10780000"/>
    <n v="6"/>
  </r>
  <r>
    <n v="0"/>
    <n v="0"/>
    <n v="11"/>
    <n v="11"/>
    <s v="F-CAP"/>
    <x v="23"/>
    <s v="ELH-FOREMOST-35"/>
    <s v="ELH-FOREMOST-35ELHBEF5804GR"/>
    <n v="4"/>
    <s v="ELH-FOREMOST-354"/>
    <s v="ELH-FOREMOST-354-ELHBEF5804GREENFRE"/>
    <s v="ELH의류외804"/>
    <s v="ELH"/>
    <s v="ELSBEE"/>
    <m/>
    <s v="ELH"/>
    <s v="ELS HATSON"/>
    <s v="F"/>
    <n v="5"/>
    <s v="BE"/>
    <s v="BEANIE"/>
    <s v="K"/>
    <n v="804"/>
    <n v="804"/>
    <s v="ELHBEF5804"/>
    <n v="0"/>
    <s v="ELSBEE5804GRFRE"/>
    <s v="GR"/>
    <s v="GREEN"/>
    <s v="ELHBEF5804GR"/>
    <x v="2"/>
    <n v="0"/>
    <n v="0"/>
    <n v="1"/>
    <s v="FRE"/>
    <n v="356"/>
    <x v="4"/>
    <n v="35"/>
    <x v="36"/>
    <s v="M"/>
    <s v="CN"/>
    <x v="0"/>
    <n v="35000"/>
    <x v="20"/>
    <n v="5303.030303030303"/>
    <n v="0"/>
    <n v="-5303.030303030303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356"/>
    <n v="0"/>
    <n v="0"/>
    <n v="0"/>
    <n v="0"/>
    <n v="0"/>
    <n v="356"/>
    <n v="1887878.7878787878"/>
    <n v="12460000"/>
    <n v="6"/>
  </r>
  <r>
    <n v="0"/>
    <n v="0"/>
    <n v="11"/>
    <n v="11"/>
    <s v="F-CAP"/>
    <x v="23"/>
    <s v="ELH-FOREMOST-35"/>
    <s v="ELH-FOREMOST-35ELHBEF5804PK"/>
    <n v="5"/>
    <s v="ELH-FOREMOST-355"/>
    <s v="ELH-FOREMOST-355-ELHBEF5804PINKFRE"/>
    <s v="ELH의류외804"/>
    <s v="ELH"/>
    <s v="ELSBEE"/>
    <m/>
    <s v="ELH"/>
    <s v="ELS HATSON"/>
    <s v="F"/>
    <n v="5"/>
    <s v="BE"/>
    <s v="BEANIE"/>
    <s v="K"/>
    <n v="804"/>
    <n v="804"/>
    <s v="ELHBEF5804"/>
    <n v="0"/>
    <s v="ELSBEE5804PKFRE"/>
    <s v="PK"/>
    <s v="PINK"/>
    <s v="ELHBEF5804PK"/>
    <x v="2"/>
    <n v="0"/>
    <n v="0"/>
    <n v="1"/>
    <s v="FRE"/>
    <n v="311"/>
    <x v="4"/>
    <n v="35"/>
    <x v="36"/>
    <s v="M"/>
    <s v="CN"/>
    <x v="0"/>
    <n v="35000"/>
    <x v="20"/>
    <n v="5303.030303030303"/>
    <n v="0"/>
    <n v="-5303.030303030303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311"/>
    <n v="0"/>
    <n v="0"/>
    <n v="0"/>
    <n v="0"/>
    <n v="0"/>
    <n v="311"/>
    <n v="1649242.4242424243"/>
    <n v="10885000"/>
    <n v="5.9999999999999991"/>
  </r>
  <r>
    <n v="0"/>
    <n v="0"/>
    <n v="11"/>
    <n v="11"/>
    <s v="F-CAP"/>
    <x v="23"/>
    <s v="ELH-FOREMOST-35"/>
    <s v="ELH-FOREMOST-35ELHBEF5838MT"/>
    <n v="6"/>
    <s v="ELH-FOREMOST-356"/>
    <s v="ELH-FOREMOST-356-ELHBEF5838MINTFRE"/>
    <s v="ELH의류외838"/>
    <s v="ELH"/>
    <s v="ELSBEE"/>
    <m/>
    <s v="ELH"/>
    <s v="ELS HATSON"/>
    <s v="F"/>
    <n v="5"/>
    <s v="BE"/>
    <s v="BEANIE"/>
    <s v="K"/>
    <n v="838"/>
    <n v="838"/>
    <s v="ELHBEF5838"/>
    <n v="0"/>
    <s v="ELSBEE5838MTFRE"/>
    <s v="MT"/>
    <s v="MINT"/>
    <s v="ELHBEF5838MT"/>
    <x v="2"/>
    <n v="0"/>
    <n v="0"/>
    <n v="1"/>
    <s v="FRE"/>
    <n v="314"/>
    <x v="4"/>
    <n v="35"/>
    <x v="36"/>
    <s v="M"/>
    <s v="CN"/>
    <x v="0"/>
    <n v="45000"/>
    <x v="20"/>
    <n v="6818.1818181818171"/>
    <n v="0"/>
    <n v="-6818.181818181817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314"/>
    <n v="0"/>
    <n v="0"/>
    <n v="0"/>
    <n v="0"/>
    <n v="0"/>
    <n v="314"/>
    <n v="2140909.0909090904"/>
    <n v="14130000"/>
    <n v="6.0000000000000009"/>
  </r>
  <r>
    <n v="0"/>
    <n v="0"/>
    <n v="11"/>
    <n v="11"/>
    <s v="F-CAP"/>
    <x v="23"/>
    <s v="ELH-FOREMOST-35"/>
    <s v="ELH-FOREMOST-35ELHBEF5839BL"/>
    <n v="7"/>
    <s v="ELH-FOREMOST-357"/>
    <s v="ELH-FOREMOST-357-ELHBEF5839BLUEFRE"/>
    <s v="ELH의류외839"/>
    <s v="ELH"/>
    <s v="ELSBEE"/>
    <m/>
    <s v="ELH"/>
    <s v="ELS HATSON"/>
    <s v="F"/>
    <n v="5"/>
    <s v="BE"/>
    <s v="BEANIE"/>
    <s v="K"/>
    <n v="839"/>
    <n v="839"/>
    <s v="ELHBEF5839"/>
    <n v="0"/>
    <s v="ELSBEE5839BLFRE"/>
    <s v="BL"/>
    <s v="BLUE"/>
    <s v="ELHBEF5839BL"/>
    <x v="2"/>
    <n v="0"/>
    <n v="0"/>
    <n v="1"/>
    <s v="FRE"/>
    <n v="365"/>
    <x v="4"/>
    <n v="35"/>
    <x v="36"/>
    <s v="M"/>
    <s v="CN"/>
    <x v="0"/>
    <n v="45000"/>
    <x v="20"/>
    <n v="6818.1818181818171"/>
    <n v="0"/>
    <n v="-6818.181818181817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365"/>
    <n v="0"/>
    <n v="0"/>
    <n v="0"/>
    <n v="0"/>
    <n v="0"/>
    <n v="365"/>
    <n v="2488636.3636363633"/>
    <n v="16425000"/>
    <n v="6"/>
  </r>
  <r>
    <n v="0"/>
    <n v="0"/>
    <n v="11"/>
    <n v="11"/>
    <s v="F-CAP"/>
    <x v="23"/>
    <s v="ELH-FOREMOST-35"/>
    <s v="ELH-FOREMOST-35ELHEBF5828GY"/>
    <n v="8"/>
    <s v="ELH-FOREMOST-358"/>
    <s v="ELH-FOREMOST-358-ELHEBF5828GREYFRE"/>
    <s v="ELH의류외828"/>
    <s v="ELH"/>
    <s v="ELSEBE"/>
    <m/>
    <s v="ELH"/>
    <s v="ELS HATSON"/>
    <s v="F"/>
    <n v="5"/>
    <s v="EB"/>
    <s v="EARFLAP BEANIE"/>
    <s v="K"/>
    <n v="828"/>
    <n v="828"/>
    <s v="ELHEBF5828"/>
    <n v="0"/>
    <s v="ELSEBE5828GYFRE"/>
    <s v="GY"/>
    <s v="GREY"/>
    <s v="ELHEBF5828GY"/>
    <x v="2"/>
    <n v="0"/>
    <n v="0"/>
    <n v="1"/>
    <s v="FRE"/>
    <n v="300"/>
    <x v="4"/>
    <n v="35"/>
    <x v="36"/>
    <s v="M"/>
    <s v="CN"/>
    <x v="0"/>
    <n v="45000"/>
    <x v="20"/>
    <n v="6818.1818181818171"/>
    <n v="0"/>
    <n v="-6818.181818181817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300"/>
    <n v="0"/>
    <n v="0"/>
    <n v="0"/>
    <n v="0"/>
    <n v="0"/>
    <n v="300"/>
    <n v="2045454.5454545452"/>
    <n v="13500000"/>
    <n v="6"/>
  </r>
  <r>
    <n v="0"/>
    <n v="0"/>
    <n v="11"/>
    <n v="11"/>
    <s v="F-CAP"/>
    <x v="23"/>
    <s v="ELH-FOREMOST-35"/>
    <s v="ELH-FOREMOST-35ELHEBF5828MT"/>
    <n v="9"/>
    <s v="ELH-FOREMOST-359"/>
    <s v="ELH-FOREMOST-359-ELHEBF5828MINTFRE"/>
    <s v="ELH의류외828"/>
    <s v="ELH"/>
    <s v="ELSEBE"/>
    <m/>
    <s v="ELH"/>
    <s v="ELS HATSON"/>
    <s v="F"/>
    <n v="5"/>
    <s v="EB"/>
    <s v="EARFLAP BEANIE"/>
    <s v="K"/>
    <n v="828"/>
    <n v="828"/>
    <s v="ELHEBF5828"/>
    <n v="0"/>
    <s v="ELSEBE5828MTFRE"/>
    <s v="MT"/>
    <s v="MINT"/>
    <s v="ELHEBF5828MT"/>
    <x v="2"/>
    <n v="0"/>
    <n v="0"/>
    <n v="1"/>
    <s v="FRE"/>
    <n v="300"/>
    <x v="4"/>
    <n v="35"/>
    <x v="36"/>
    <s v="M"/>
    <s v="CN"/>
    <x v="0"/>
    <n v="45000"/>
    <x v="20"/>
    <n v="6818.1818181818171"/>
    <n v="0"/>
    <n v="-6818.181818181817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300"/>
    <n v="0"/>
    <n v="0"/>
    <n v="0"/>
    <n v="0"/>
    <n v="0"/>
    <n v="300"/>
    <n v="2045454.5454545452"/>
    <n v="13500000"/>
    <n v="6"/>
  </r>
  <r>
    <n v="0"/>
    <n v="0"/>
    <n v="11"/>
    <n v="11"/>
    <s v="F-CAP"/>
    <x v="23"/>
    <s v="ELH-FOREMOST-35"/>
    <s v="ELH-FOREMOST-35ELHEBF5829BL"/>
    <n v="10"/>
    <s v="ELH-FOREMOST-3510"/>
    <s v="ELH-FOREMOST-3510-ELHEBF5829BLUEFRE"/>
    <s v="ELH의류외829"/>
    <s v="ELH"/>
    <s v="ELSEBE"/>
    <m/>
    <s v="ELH"/>
    <s v="ELS HATSON"/>
    <s v="F"/>
    <n v="5"/>
    <s v="EB"/>
    <s v="EARFLAP BEANIE"/>
    <s v="K"/>
    <n v="829"/>
    <n v="829"/>
    <s v="ELHEBF5829"/>
    <n v="0"/>
    <s v="ELSEBE5829BLFRE"/>
    <s v="BL"/>
    <s v="BLUE"/>
    <s v="ELHEBF5829BL"/>
    <x v="2"/>
    <n v="0"/>
    <n v="0"/>
    <n v="1"/>
    <s v="FRE"/>
    <n v="245"/>
    <x v="4"/>
    <n v="35"/>
    <x v="36"/>
    <s v="M"/>
    <s v="CN"/>
    <x v="0"/>
    <n v="43000"/>
    <x v="20"/>
    <n v="6515.151515151515"/>
    <n v="0"/>
    <n v="-6515.151515151515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245"/>
    <n v="0"/>
    <n v="0"/>
    <n v="0"/>
    <n v="0"/>
    <n v="0"/>
    <n v="245"/>
    <n v="1596212.1212121211"/>
    <n v="10535000"/>
    <n v="6"/>
  </r>
  <r>
    <n v="0"/>
    <n v="0"/>
    <n v="11"/>
    <n v="11"/>
    <s v="F-CAP"/>
    <x v="23"/>
    <s v="ELH-FOREMOST-35"/>
    <s v="ELH-FOREMOST-35ELHEBF5829MT"/>
    <n v="11"/>
    <s v="ELH-FOREMOST-3511"/>
    <s v="ELH-FOREMOST-3511-ELHEBF5829MINTFRE"/>
    <s v="ELH의류외829"/>
    <s v="ELH"/>
    <s v="ELSEBE"/>
    <m/>
    <s v="ELH"/>
    <s v="ELS HATSON"/>
    <s v="F"/>
    <n v="5"/>
    <s v="EB"/>
    <s v="EARFLAP BEANIE"/>
    <s v="K"/>
    <n v="829"/>
    <n v="829"/>
    <s v="ELHEBF5829"/>
    <n v="0"/>
    <s v="ELSEBE5829MTFRE"/>
    <s v="MT"/>
    <s v="MINT"/>
    <s v="ELHEBF5829MT"/>
    <x v="2"/>
    <n v="0"/>
    <n v="0"/>
    <n v="1"/>
    <s v="FRE"/>
    <n v="67"/>
    <x v="4"/>
    <n v="35"/>
    <x v="36"/>
    <s v="M"/>
    <s v="CN"/>
    <x v="0"/>
    <n v="43000"/>
    <x v="20"/>
    <n v="6515.151515151515"/>
    <n v="0"/>
    <n v="-6515.151515151515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67"/>
    <n v="0"/>
    <n v="0"/>
    <n v="0"/>
    <n v="0"/>
    <n v="0"/>
    <n v="67"/>
    <n v="436515.15151515149"/>
    <n v="2881000"/>
    <n v="6"/>
  </r>
  <r>
    <n v="0"/>
    <n v="0"/>
    <n v="11"/>
    <n v="11"/>
    <s v="F-CAP"/>
    <x v="23"/>
    <s v="ELH-FOREMOST-35"/>
    <s v="ELH-FOREMOST-35ELHEBF5829NY"/>
    <n v="12"/>
    <s v="ELH-FOREMOST-3512"/>
    <s v="ELH-FOREMOST-3512-ELHEBF5829NAVYFRE"/>
    <s v="ELH의류외829"/>
    <s v="ELH"/>
    <s v="ELSEBE"/>
    <m/>
    <s v="ELH"/>
    <s v="ELS HATSON"/>
    <s v="F"/>
    <n v="5"/>
    <s v="EB"/>
    <s v="EARFLAP BEANIE"/>
    <s v="K"/>
    <n v="829"/>
    <n v="829"/>
    <s v="ELHEBF5829"/>
    <n v="0"/>
    <s v="ELSEBE5829NYFRE"/>
    <s v="NY"/>
    <s v="NAVY"/>
    <s v="ELHEBF5829NY"/>
    <x v="2"/>
    <n v="0"/>
    <n v="0"/>
    <n v="1"/>
    <s v="FRE"/>
    <n v="86"/>
    <x v="4"/>
    <n v="35"/>
    <x v="36"/>
    <s v="M"/>
    <s v="CN"/>
    <x v="0"/>
    <n v="43000"/>
    <x v="20"/>
    <n v="6515.151515151515"/>
    <n v="0"/>
    <n v="-6515.151515151515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86"/>
    <n v="0"/>
    <n v="0"/>
    <n v="0"/>
    <n v="0"/>
    <n v="0"/>
    <n v="86"/>
    <n v="560303.03030303027"/>
    <n v="3698000"/>
    <n v="6"/>
  </r>
  <r>
    <n v="0"/>
    <n v="0"/>
    <n v="11"/>
    <n v="11"/>
    <s v="F-CAP"/>
    <x v="23"/>
    <s v="ELH-FOREMOST-35"/>
    <s v="ELH-FOREMOST-35ELHEBF5830BL"/>
    <n v="13"/>
    <s v="ELH-FOREMOST-3513"/>
    <s v="ELH-FOREMOST-3513-ELHEBF5830BLUEFRE"/>
    <s v="ELH의류외830"/>
    <s v="ELH"/>
    <s v="ELSEBE"/>
    <m/>
    <s v="ELH"/>
    <s v="ELS HATSON"/>
    <s v="F"/>
    <n v="5"/>
    <s v="EB"/>
    <s v="EARFLAP BEANIE"/>
    <s v="K"/>
    <n v="830"/>
    <n v="830"/>
    <s v="ELHEBF5830"/>
    <n v="0"/>
    <s v="ELSEBE5830BLFRE"/>
    <s v="BL"/>
    <s v="BLUE"/>
    <s v="ELHEBF5830BL"/>
    <x v="2"/>
    <n v="0"/>
    <n v="0"/>
    <n v="1"/>
    <s v="FRE"/>
    <n v="484"/>
    <x v="4"/>
    <n v="35"/>
    <x v="36"/>
    <s v="M"/>
    <s v="CN"/>
    <x v="0"/>
    <n v="45000"/>
    <x v="20"/>
    <n v="6818.1818181818171"/>
    <n v="0"/>
    <n v="-6818.181818181817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484"/>
    <n v="0"/>
    <n v="0"/>
    <n v="0"/>
    <n v="0"/>
    <n v="0"/>
    <n v="484"/>
    <n v="3299999.9999999995"/>
    <n v="21780000"/>
    <n v="6"/>
  </r>
  <r>
    <n v="0"/>
    <n v="0"/>
    <n v="11"/>
    <n v="11"/>
    <s v="F-CAP"/>
    <x v="23"/>
    <s v="ELH-FOREMOST-35"/>
    <s v="ELH-FOREMOST-35ELHEBF5840PK"/>
    <n v="14"/>
    <s v="ELH-FOREMOST-3514"/>
    <s v="ELH-FOREMOST-3514-ELHEBF5840PINKFRE"/>
    <s v="ELH의류외840"/>
    <s v="ELH"/>
    <s v="ELSEBE"/>
    <m/>
    <s v="ELH"/>
    <s v="ELS HATSON"/>
    <s v="F"/>
    <n v="5"/>
    <s v="EB"/>
    <s v="EARFLAP BEANIE"/>
    <s v="K"/>
    <n v="840"/>
    <n v="840"/>
    <s v="ELHEBF5840"/>
    <n v="0"/>
    <s v="ELSEBE5840PKFRE"/>
    <s v="PK"/>
    <s v="PINK"/>
    <s v="ELHEBF5840PK"/>
    <x v="2"/>
    <n v="0"/>
    <n v="0"/>
    <n v="1"/>
    <s v="FRE"/>
    <n v="145"/>
    <x v="4"/>
    <n v="35"/>
    <x v="36"/>
    <s v="M"/>
    <s v="CN"/>
    <x v="0"/>
    <n v="45000"/>
    <x v="20"/>
    <n v="6818.1818181818171"/>
    <n v="0"/>
    <n v="-6818.181818181817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145"/>
    <n v="0"/>
    <n v="0"/>
    <n v="0"/>
    <n v="0"/>
    <n v="0"/>
    <n v="145"/>
    <n v="988636.36363636353"/>
    <n v="6525000"/>
    <n v="6"/>
  </r>
  <r>
    <n v="0"/>
    <n v="0"/>
    <n v="11"/>
    <n v="11"/>
    <s v="F-CAP"/>
    <x v="23"/>
    <s v="ELH-FOREMOST-35"/>
    <s v="ELH-FOREMOST-35ELHTPF5831NY"/>
    <n v="15"/>
    <s v="ELH-FOREMOST-3515"/>
    <s v="ELH-FOREMOST-3515-ELHTPF5831NAVYFRE"/>
    <s v="ELH의류외831"/>
    <s v="ELH"/>
    <s v="ELSTPE"/>
    <m/>
    <s v="ELH"/>
    <s v="ELS HATSON"/>
    <s v="F"/>
    <n v="5"/>
    <s v="TP"/>
    <s v="TROOPER"/>
    <s v="K"/>
    <n v="831"/>
    <n v="831"/>
    <s v="ELHTPF5831"/>
    <n v="0"/>
    <s v="ELSTPE5831NYFRE"/>
    <s v="NY"/>
    <s v="NAVY"/>
    <s v="ELHTPF5831NY"/>
    <x v="2"/>
    <n v="0"/>
    <n v="0"/>
    <n v="1"/>
    <s v="FRE"/>
    <n v="200"/>
    <x v="4"/>
    <n v="35"/>
    <x v="36"/>
    <s v="M"/>
    <s v="CN"/>
    <x v="0"/>
    <n v="49000"/>
    <x v="20"/>
    <n v="7424.242424242424"/>
    <n v="0"/>
    <n v="-7424.242424242424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200"/>
    <n v="0"/>
    <n v="0"/>
    <n v="0"/>
    <n v="0"/>
    <n v="0"/>
    <n v="200"/>
    <n v="1484848.4848484849"/>
    <n v="9800000"/>
    <n v="5.9999999999999991"/>
  </r>
  <r>
    <n v="0"/>
    <n v="0"/>
    <n v="11"/>
    <n v="11"/>
    <s v="F-CAP"/>
    <x v="23"/>
    <s v="ELH-FOREMOST-35"/>
    <s v="ELH-FOREMOST-35ELHTPF5831OR"/>
    <n v="16"/>
    <s v="ELH-FOREMOST-3516"/>
    <s v="ELH-FOREMOST-3516-ELHTPF5831ORANGEFRE"/>
    <s v="ELH의류외831"/>
    <s v="ELH"/>
    <s v="ELSTPE"/>
    <m/>
    <s v="ELH"/>
    <s v="ELS HATSON"/>
    <s v="F"/>
    <n v="5"/>
    <s v="TP"/>
    <s v="TROOPER"/>
    <s v="K"/>
    <n v="831"/>
    <n v="831"/>
    <s v="ELHTPF5831"/>
    <n v="0"/>
    <s v="ELSTPE5831ORFRE"/>
    <s v="OR"/>
    <s v="ORANGE"/>
    <s v="ELHTPF5831OR"/>
    <x v="2"/>
    <n v="0"/>
    <n v="0"/>
    <n v="1"/>
    <s v="FRE"/>
    <n v="200"/>
    <x v="4"/>
    <n v="35"/>
    <x v="36"/>
    <s v="M"/>
    <s v="CN"/>
    <x v="0"/>
    <n v="49000"/>
    <x v="20"/>
    <n v="7424.242424242424"/>
    <n v="0"/>
    <n v="-7424.242424242424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200"/>
    <n v="0"/>
    <n v="0"/>
    <n v="0"/>
    <n v="0"/>
    <n v="0"/>
    <n v="200"/>
    <n v="1484848.4848484849"/>
    <n v="9800000"/>
    <n v="5.9999999999999991"/>
  </r>
  <r>
    <n v="0"/>
    <n v="0"/>
    <n v="11"/>
    <n v="11"/>
    <s v="F-CAP"/>
    <x v="23"/>
    <s v="ELH-FOREMOST-35"/>
    <s v="ELH-FOREMOST-35ELHVBF5822OR"/>
    <n v="17"/>
    <s v="ELH-FOREMOST-3517"/>
    <s v="ELH-FOREMOST-3517-ELHVBF5822ORANGEFRE"/>
    <s v="ELH의류외822"/>
    <s v="ELH"/>
    <s v="ELSVBE"/>
    <m/>
    <s v="ELH"/>
    <s v="ELS HATSON"/>
    <s v="F"/>
    <n v="5"/>
    <s v="VB"/>
    <s v="VISOR BEANIE"/>
    <s v="K"/>
    <n v="822"/>
    <n v="822"/>
    <s v="ELHVBF5822"/>
    <n v="0"/>
    <s v="ELSVBE5822ORFRE"/>
    <s v="OR"/>
    <s v="ORANGE"/>
    <s v="ELHVBF5822OR"/>
    <x v="2"/>
    <n v="0"/>
    <n v="0"/>
    <n v="1"/>
    <s v="FRE"/>
    <n v="152"/>
    <x v="4"/>
    <n v="35"/>
    <x v="36"/>
    <s v="M"/>
    <s v="CN"/>
    <x v="0"/>
    <n v="45000"/>
    <x v="20"/>
    <n v="6818.1818181818171"/>
    <n v="0"/>
    <n v="-6818.181818181817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152"/>
    <n v="0"/>
    <n v="0"/>
    <n v="0"/>
    <n v="0"/>
    <n v="0"/>
    <n v="152"/>
    <n v="1036363.6363636362"/>
    <n v="6840000"/>
    <n v="6"/>
  </r>
  <r>
    <n v="0"/>
    <n v="0"/>
    <s v=""/>
    <s v=""/>
    <s v=""/>
    <x v="1"/>
    <s v=""/>
    <s v=""/>
    <n v="0"/>
    <s v="0"/>
    <s v="0-"/>
    <n v="0"/>
    <s v="TTL"/>
    <s v=""/>
    <s v="ELH-FOREMOST-35 TTL"/>
    <m/>
    <s v=""/>
    <s v=""/>
    <s v=""/>
    <s v=""/>
    <s v=""/>
    <s v="K"/>
    <s v=""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4415"/>
    <n v="0"/>
    <n v="0"/>
    <n v="0"/>
    <n v="0"/>
    <n v="0"/>
    <n v="4415"/>
    <n v="28746818.18181818"/>
    <n v="189729000"/>
    <n v="6"/>
  </r>
  <r>
    <n v="0"/>
    <n v="0"/>
    <n v="11"/>
    <n v="11"/>
    <s v="F-CAP"/>
    <x v="23"/>
    <s v="ELH-동일모자-27"/>
    <s v="ELH-동일모자-27ELHERF5833NY"/>
    <n v="1"/>
    <s v="ELH-동일모자-271"/>
    <s v="ELH-동일모자-271-ELHERF5833NAVYFRE"/>
    <s v="ELH의류외833"/>
    <s v="ELH"/>
    <s v="ELSERE"/>
    <m/>
    <s v="ELH"/>
    <s v="ELS HATSON"/>
    <s v="F"/>
    <n v="5"/>
    <s v="ER"/>
    <s v="EARCAP"/>
    <s v="K"/>
    <n v="833"/>
    <n v="833"/>
    <s v="ELHERF5833"/>
    <n v="0"/>
    <s v="ELSERE5833NYFRE"/>
    <s v="NY"/>
    <s v="NAVY"/>
    <s v="ELHERF5833NY"/>
    <x v="2"/>
    <n v="0"/>
    <n v="0"/>
    <n v="1"/>
    <s v="FRE"/>
    <n v="214"/>
    <x v="5"/>
    <n v="27"/>
    <x v="30"/>
    <s v="M"/>
    <s v="CN"/>
    <x v="0"/>
    <n v="55000"/>
    <x v="20"/>
    <n v="8333.3333333333321"/>
    <n v="0"/>
    <n v="-8333.333333333332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194"/>
    <n v="0"/>
    <n v="0"/>
    <n v="0"/>
    <n v="0"/>
    <n v="0"/>
    <n v="214"/>
    <n v="1783333.333333333"/>
    <n v="11770000"/>
    <n v="6.0000000000000009"/>
  </r>
  <r>
    <n v="0"/>
    <n v="0"/>
    <n v="11"/>
    <n v="11"/>
    <s v="F-CAP"/>
    <x v="23"/>
    <s v="ELH-동일모자-27"/>
    <s v="ELH-동일모자-27ELHERF5834YE"/>
    <n v="2"/>
    <s v="ELH-동일모자-272"/>
    <s v="ELH-동일모자-272-ELHERF5834YELLOWFRE"/>
    <s v="ELH의류외834"/>
    <s v="ELH"/>
    <s v="ELSERE"/>
    <m/>
    <s v="ELH"/>
    <s v="ELS HATSON"/>
    <s v="F"/>
    <n v="5"/>
    <s v="ER"/>
    <s v="EARCAP"/>
    <s v="K"/>
    <n v="834"/>
    <n v="834"/>
    <s v="ELHERF5834"/>
    <n v="0"/>
    <s v="ELSERE5834YEFRE"/>
    <s v="YE"/>
    <s v="YELLOW"/>
    <s v="ELHERF5834YE"/>
    <x v="2"/>
    <n v="0"/>
    <n v="0"/>
    <n v="1"/>
    <s v="FRE"/>
    <n v="79"/>
    <x v="5"/>
    <n v="27"/>
    <x v="30"/>
    <s v="M"/>
    <s v="CN"/>
    <x v="0"/>
    <n v="55000"/>
    <x v="20"/>
    <n v="8333.3333333333321"/>
    <n v="0"/>
    <n v="-8333.333333333332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79"/>
    <n v="0"/>
    <n v="0"/>
    <n v="0"/>
    <n v="0"/>
    <n v="0"/>
    <n v="79"/>
    <n v="658333.33333333326"/>
    <n v="4345000"/>
    <n v="6"/>
  </r>
  <r>
    <n v="0"/>
    <n v="0"/>
    <s v=""/>
    <s v=""/>
    <s v=""/>
    <x v="1"/>
    <s v=""/>
    <s v=""/>
    <n v="0"/>
    <s v="0"/>
    <s v="0-"/>
    <n v="0"/>
    <s v="TTL"/>
    <s v=""/>
    <s v="ELH-동일모자-27 TTL"/>
    <m/>
    <s v=""/>
    <s v=""/>
    <s v=""/>
    <s v=""/>
    <s v=""/>
    <s v="K"/>
    <s v=""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73"/>
    <n v="0"/>
    <n v="0"/>
    <n v="0"/>
    <n v="0"/>
    <n v="0"/>
    <n v="293"/>
    <n v="2441666.666666666"/>
    <n v="16115000"/>
    <n v="6.0000000000000009"/>
  </r>
  <r>
    <n v="0"/>
    <n v="0"/>
    <n v="11"/>
    <n v="11"/>
    <s v="F-CAP"/>
    <x v="23"/>
    <s v="ELH-성진-18"/>
    <s v="ELH-성진-18ELHERF5810YE"/>
    <n v="1"/>
    <s v="ELH-성진-181"/>
    <s v="ELH-성진-181-ELHERF5810YELLOWFRE"/>
    <s v="ELH의류외810"/>
    <s v="ELH"/>
    <s v="ELSERE"/>
    <m/>
    <s v="ELH"/>
    <s v="ELS HATSON"/>
    <s v="F"/>
    <n v="5"/>
    <s v="ER"/>
    <s v="EARCAP"/>
    <s v="K"/>
    <n v="810"/>
    <n v="810"/>
    <s v="ELHERF5810"/>
    <n v="0"/>
    <s v="ELSERE5810YEFRE"/>
    <s v="YE"/>
    <s v="YELLOW"/>
    <s v="ELHERF5810YE"/>
    <x v="2"/>
    <n v="0"/>
    <n v="0"/>
    <n v="1"/>
    <s v="FRE"/>
    <n v="278"/>
    <x v="7"/>
    <n v="18"/>
    <x v="13"/>
    <s v="M"/>
    <s v="CN"/>
    <x v="0"/>
    <n v="55000"/>
    <x v="20"/>
    <n v="8333.3333333333321"/>
    <n v="0"/>
    <n v="-8333.333333333332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258"/>
    <n v="0"/>
    <n v="0"/>
    <n v="0"/>
    <n v="0"/>
    <n v="0"/>
    <n v="278"/>
    <n v="2316666.6666666665"/>
    <n v="15290000"/>
    <n v="6"/>
  </r>
  <r>
    <n v="0"/>
    <n v="0"/>
    <s v=""/>
    <s v=""/>
    <s v=""/>
    <x v="1"/>
    <s v=""/>
    <s v=""/>
    <n v="0"/>
    <s v="0"/>
    <s v="0-"/>
    <n v="0"/>
    <s v="TTL"/>
    <s v=""/>
    <s v="ELH-성진-18 TTL"/>
    <m/>
    <s v=""/>
    <s v=""/>
    <s v=""/>
    <s v=""/>
    <s v=""/>
    <s v="K"/>
    <s v=""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58"/>
    <n v="0"/>
    <n v="0"/>
    <n v="0"/>
    <n v="0"/>
    <n v="0"/>
    <n v="278"/>
    <n v="2316666.6666666665"/>
    <n v="15290000"/>
    <n v="6"/>
  </r>
  <r>
    <n v="0"/>
    <n v="0"/>
    <n v="11"/>
    <n v="11"/>
    <s v="F-CAP"/>
    <x v="23"/>
    <s v="ELH-캡보이-09"/>
    <s v="ELH-캡보이-09ELHERF5816BL"/>
    <n v="1"/>
    <s v="ELH-캡보이-091"/>
    <s v="ELH-캡보이-091-ELHERF5816BLUEFRE"/>
    <s v="ELH의류외816"/>
    <s v="ELH"/>
    <s v="ELSERE"/>
    <m/>
    <s v="ELH"/>
    <s v="ELS HATSON"/>
    <s v="F"/>
    <n v="5"/>
    <s v="ER"/>
    <s v="EARCAP"/>
    <s v="K"/>
    <n v="816"/>
    <n v="816"/>
    <s v="ELHERF5816"/>
    <n v="0"/>
    <s v="ELSERE5816BLFRE"/>
    <s v="BL"/>
    <s v="BLUE"/>
    <s v="ELHERF5816BL"/>
    <x v="2"/>
    <n v="0"/>
    <n v="0"/>
    <n v="1"/>
    <s v="FRE"/>
    <n v="616"/>
    <x v="8"/>
    <n v="9"/>
    <x v="8"/>
    <s v="M"/>
    <s v="KR"/>
    <x v="3"/>
    <n v="65000"/>
    <x v="20"/>
    <n v="14772.727272727272"/>
    <n v="0"/>
    <n v="-14772.727272727272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596"/>
    <n v="0"/>
    <n v="0"/>
    <n v="0"/>
    <n v="0"/>
    <n v="0"/>
    <n v="616"/>
    <n v="9100000"/>
    <n v="40040000"/>
    <n v="4"/>
  </r>
  <r>
    <n v="0"/>
    <n v="0"/>
    <n v="11"/>
    <n v="11"/>
    <s v="F-CAP"/>
    <x v="23"/>
    <s v="ELH-캡보이-09"/>
    <s v="ELH-캡보이-09ELHFIF5647BK"/>
    <n v="2"/>
    <s v="ELH-캡보이-092"/>
    <s v="ELH-캡보이-092-ELHFIF5647BLACKFRE"/>
    <s v="ELH의류외647"/>
    <s v="ELH"/>
    <s v="ELSFIE"/>
    <m/>
    <s v="ELH"/>
    <s v="ELS HATSON"/>
    <s v="F"/>
    <n v="5"/>
    <s v="FI"/>
    <s v="FITTED CAP"/>
    <s v="K"/>
    <n v="647"/>
    <n v="647"/>
    <s v="ELHFIF5647"/>
    <n v="0"/>
    <s v="ELSFIE5647BKFRE"/>
    <s v="BK"/>
    <s v="BLACK"/>
    <s v="ELHFIF5647BK"/>
    <x v="2"/>
    <n v="0"/>
    <n v="0"/>
    <n v="1"/>
    <s v="FRE"/>
    <n v="217"/>
    <x v="8"/>
    <n v="9"/>
    <x v="8"/>
    <s v="M"/>
    <s v="KR"/>
    <x v="3"/>
    <n v="53000"/>
    <x v="20"/>
    <n v="12045.454545454544"/>
    <n v="0"/>
    <n v="-12045.454545454544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217"/>
    <n v="0"/>
    <n v="0"/>
    <n v="0"/>
    <n v="0"/>
    <n v="0"/>
    <n v="217"/>
    <n v="2613863.6363636362"/>
    <n v="11501000"/>
    <n v="4"/>
  </r>
  <r>
    <n v="0"/>
    <n v="0"/>
    <s v=""/>
    <s v=""/>
    <s v=""/>
    <x v="1"/>
    <s v=""/>
    <s v=""/>
    <n v="0"/>
    <s v="0"/>
    <s v="0-"/>
    <n v="0"/>
    <s v="TTL"/>
    <s v=""/>
    <s v="ELH-캡보이-09 TTL"/>
    <m/>
    <s v=""/>
    <s v=""/>
    <s v=""/>
    <s v=""/>
    <s v=""/>
    <s v="K"/>
    <s v=""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813"/>
    <n v="0"/>
    <n v="0"/>
    <n v="0"/>
    <n v="0"/>
    <n v="0"/>
    <n v="833"/>
    <n v="11713863.636363637"/>
    <n v="51541000"/>
    <n v="3.9999999999999996"/>
  </r>
  <r>
    <n v="0"/>
    <n v="0"/>
    <n v="11"/>
    <n v="11"/>
    <s v="F-HAT"/>
    <x v="27"/>
    <s v="JIH-NT SENHONG-02"/>
    <s v="JIH-NT SENHONG-02JIHBEF5842GR"/>
    <n v="1"/>
    <s v="JIH-NT SENHONG-021"/>
    <s v="JIH-NT SENHONG-021-JIHBEF5842GREENFRE"/>
    <s v="JIH의류외842"/>
    <s v="JIH"/>
    <s v="JILBEE"/>
    <m/>
    <s v="JIH"/>
    <s v="JIL HATSON"/>
    <s v="F"/>
    <n v="5"/>
    <s v="BE"/>
    <s v="BEANIE"/>
    <s v="K"/>
    <n v="842"/>
    <n v="842"/>
    <s v="JIHBEF5842"/>
    <n v="0"/>
    <s v="JILBEE5842GRFRE"/>
    <s v="GR"/>
    <s v="GREEN"/>
    <s v="JIHBEF5842GR"/>
    <x v="2"/>
    <n v="0"/>
    <n v="0"/>
    <n v="1"/>
    <s v="FRE"/>
    <n v="349"/>
    <x v="18"/>
    <n v="2"/>
    <x v="4"/>
    <s v="M"/>
    <s v="CN"/>
    <x v="0"/>
    <n v="25000"/>
    <x v="20"/>
    <n v="3246.7532467532465"/>
    <n v="0"/>
    <n v="-3246.7532467532465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349"/>
    <n v="0"/>
    <n v="0"/>
    <n v="0"/>
    <n v="0"/>
    <n v="0"/>
    <n v="349"/>
    <n v="1133116.883116883"/>
    <n v="8725000"/>
    <n v="7"/>
  </r>
  <r>
    <n v="0"/>
    <n v="0"/>
    <n v="11"/>
    <n v="11"/>
    <s v="F-HAT"/>
    <x v="27"/>
    <s v="JIH-NT SENHONG-02"/>
    <s v="JIH-NT SENHONG-02JIHBEF5842NY"/>
    <n v="2"/>
    <s v="JIH-NT SENHONG-022"/>
    <s v="JIH-NT SENHONG-022-JIHBEF5842NAVYFRE"/>
    <s v="JIH의류외842"/>
    <s v="JIH"/>
    <s v="JILBEE"/>
    <m/>
    <s v="JIH"/>
    <s v="JIL HATSON"/>
    <s v="F"/>
    <n v="5"/>
    <s v="BE"/>
    <s v="BEANIE"/>
    <s v="K"/>
    <n v="842"/>
    <n v="842"/>
    <s v="JIHBEF5842"/>
    <n v="0"/>
    <s v="JILBEE5842NYFRE"/>
    <s v="NY"/>
    <s v="NAVY"/>
    <s v="JIHBEF5842NY"/>
    <x v="2"/>
    <n v="0"/>
    <n v="0"/>
    <n v="1"/>
    <s v="FRE"/>
    <n v="227"/>
    <x v="18"/>
    <n v="2"/>
    <x v="4"/>
    <s v="M"/>
    <s v="CN"/>
    <x v="0"/>
    <n v="25000"/>
    <x v="20"/>
    <n v="3246.7532467532465"/>
    <n v="0"/>
    <n v="-3246.7532467532465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227"/>
    <n v="0"/>
    <n v="0"/>
    <n v="0"/>
    <n v="0"/>
    <n v="0"/>
    <n v="227"/>
    <n v="737012.98701298691"/>
    <n v="5675000"/>
    <n v="7"/>
  </r>
  <r>
    <n v="0"/>
    <n v="0"/>
    <s v=""/>
    <s v=""/>
    <s v=""/>
    <x v="1"/>
    <s v=""/>
    <s v=""/>
    <n v="0"/>
    <s v="0"/>
    <s v="0-"/>
    <n v="0"/>
    <s v="TTL"/>
    <s v=""/>
    <s v="JIH-NT SENHONG-02 TTL"/>
    <m/>
    <s v=""/>
    <s v=""/>
    <s v=""/>
    <s v=""/>
    <s v=""/>
    <s v="K"/>
    <s v=""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76"/>
    <n v="0"/>
    <n v="0"/>
    <n v="0"/>
    <n v="0"/>
    <n v="0"/>
    <n v="576"/>
    <n v="1870129.8701298698"/>
    <n v="14400000"/>
    <n v="7"/>
  </r>
  <r>
    <n v="0"/>
    <n v="0"/>
    <n v="11"/>
    <n v="11"/>
    <s v="F-HAT"/>
    <x v="27"/>
    <s v="JIH-Y&amp;Y-07"/>
    <s v="JIH-Y&amp;Y-07JIHBEF5844MT"/>
    <n v="1"/>
    <s v="JIH-Y&amp;Y-071"/>
    <s v="JIH-Y&amp;Y-071-JIHBEF5844MINTFRE"/>
    <s v="JIH의류외844"/>
    <s v="JIH"/>
    <s v="JILBEE"/>
    <m/>
    <s v="JIH"/>
    <s v="JIL HATSON"/>
    <s v="F"/>
    <n v="5"/>
    <s v="BE"/>
    <s v="BEANIE"/>
    <s v="K"/>
    <n v="844"/>
    <n v="844"/>
    <s v="JIHBEF5844"/>
    <n v="0"/>
    <s v="JILBEE5844MTFRE"/>
    <s v="MT"/>
    <s v="MINT"/>
    <s v="JIHBEF5844MT"/>
    <x v="2"/>
    <n v="0"/>
    <n v="0"/>
    <n v="1"/>
    <s v="FRE"/>
    <n v="280"/>
    <x v="6"/>
    <n v="7"/>
    <x v="7"/>
    <s v="M"/>
    <s v="CN"/>
    <x v="0"/>
    <n v="35000"/>
    <x v="20"/>
    <n v="4545.454545454545"/>
    <n v="0"/>
    <n v="-4545.454545454545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280"/>
    <n v="0"/>
    <n v="0"/>
    <n v="0"/>
    <n v="0"/>
    <n v="0"/>
    <n v="280"/>
    <n v="1272727.2727272727"/>
    <n v="9800000"/>
    <n v="7"/>
  </r>
  <r>
    <n v="0"/>
    <n v="0"/>
    <n v="11"/>
    <n v="11"/>
    <s v="F-HAT"/>
    <x v="27"/>
    <s v="JIH-Y&amp;Y-07"/>
    <s v="JIH-Y&amp;Y-07JIHBEF5844RE"/>
    <n v="2"/>
    <s v="JIH-Y&amp;Y-072"/>
    <s v="JIH-Y&amp;Y-072-JIHBEF5844REDFRE"/>
    <s v="JIH의류외844"/>
    <s v="JIH"/>
    <s v="JILBEE"/>
    <m/>
    <s v="JIH"/>
    <s v="JIL HATSON"/>
    <s v="F"/>
    <n v="5"/>
    <s v="BE"/>
    <s v="BEANIE"/>
    <s v="K"/>
    <n v="844"/>
    <n v="844"/>
    <s v="JIHBEF5844"/>
    <n v="0"/>
    <s v="JILBEE5844REFRE"/>
    <s v="RE"/>
    <s v="RED"/>
    <s v="JIHBEF5844RE"/>
    <x v="2"/>
    <n v="0"/>
    <n v="0"/>
    <n v="1"/>
    <s v="FRE"/>
    <n v="63"/>
    <x v="6"/>
    <n v="7"/>
    <x v="7"/>
    <s v="M"/>
    <s v="CN"/>
    <x v="0"/>
    <n v="35000"/>
    <x v="20"/>
    <n v="4545.454545454545"/>
    <n v="0"/>
    <n v="-4545.454545454545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62"/>
    <n v="0"/>
    <n v="0"/>
    <n v="0"/>
    <n v="0"/>
    <n v="0"/>
    <n v="63"/>
    <n v="286363.63636363635"/>
    <n v="2205000"/>
    <n v="7"/>
  </r>
  <r>
    <n v="0"/>
    <n v="0"/>
    <n v="11"/>
    <n v="11"/>
    <s v="F-HAT"/>
    <x v="27"/>
    <s v="JIH-Y&amp;Y-07"/>
    <s v="JIH-Y&amp;Y-07JIHBEF5849BK"/>
    <n v="3"/>
    <s v="JIH-Y&amp;Y-073"/>
    <s v="JIH-Y&amp;Y-073-JIHBEF5849BLACKFRE"/>
    <s v="JIH의류외849"/>
    <s v="JIH"/>
    <s v="JILBEE"/>
    <m/>
    <s v="JIH"/>
    <s v="JIL HATSON"/>
    <s v="F"/>
    <n v="5"/>
    <s v="BE"/>
    <s v="BEANIE"/>
    <s v="K"/>
    <n v="849"/>
    <n v="849"/>
    <s v="JIHBEF5849"/>
    <n v="0"/>
    <s v="JILBEE5849BKFRE"/>
    <s v="BK"/>
    <s v="BLACK"/>
    <s v="JIHBEF5849BK"/>
    <x v="2"/>
    <n v="0"/>
    <n v="0"/>
    <n v="1"/>
    <s v="FRE"/>
    <n v="347"/>
    <x v="6"/>
    <n v="7"/>
    <x v="7"/>
    <s v="M"/>
    <s v="CN"/>
    <x v="0"/>
    <n v="35000"/>
    <x v="20"/>
    <n v="4545.454545454545"/>
    <n v="0"/>
    <n v="-4545.454545454545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347"/>
    <n v="0"/>
    <n v="0"/>
    <n v="0"/>
    <n v="0"/>
    <n v="0"/>
    <n v="347"/>
    <n v="1577272.7272727271"/>
    <n v="12145000"/>
    <n v="7"/>
  </r>
  <r>
    <n v="0"/>
    <n v="0"/>
    <n v="11"/>
    <n v="11"/>
    <s v="F-HAT"/>
    <x v="27"/>
    <s v="JIH-Y&amp;Y-07"/>
    <s v="JIH-Y&amp;Y-07JIHEBF5843RE"/>
    <n v="4"/>
    <s v="JIH-Y&amp;Y-074"/>
    <s v="JIH-Y&amp;Y-074-JIHEBF5843REDFRE"/>
    <s v="JIH의류외843"/>
    <s v="JIH"/>
    <s v="JILEBE"/>
    <m/>
    <s v="JIH"/>
    <s v="JIL HATSON"/>
    <s v="F"/>
    <n v="5"/>
    <s v="EB"/>
    <s v="EARFLAP BEANIE"/>
    <s v="K"/>
    <n v="843"/>
    <n v="843"/>
    <s v="JIHEBF5843"/>
    <n v="0"/>
    <s v="JILEBE5843REFRE"/>
    <s v="RE"/>
    <s v="RED"/>
    <s v="JIHEBF5843RE"/>
    <x v="2"/>
    <n v="0"/>
    <n v="0"/>
    <n v="1"/>
    <s v="FRE"/>
    <n v="500"/>
    <x v="6"/>
    <n v="7"/>
    <x v="7"/>
    <s v="M"/>
    <s v="CN"/>
    <x v="0"/>
    <n v="39000"/>
    <x v="20"/>
    <n v="5064.9350649350645"/>
    <n v="0"/>
    <n v="-5064.9350649350645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500"/>
    <n v="0"/>
    <n v="0"/>
    <n v="0"/>
    <n v="0"/>
    <n v="0"/>
    <n v="500"/>
    <n v="2532467.5324675324"/>
    <n v="19500000"/>
    <n v="6.9999999999999991"/>
  </r>
  <r>
    <n v="0"/>
    <n v="0"/>
    <s v=""/>
    <s v=""/>
    <s v=""/>
    <x v="1"/>
    <s v=""/>
    <s v=""/>
    <n v="0"/>
    <s v="0"/>
    <s v="0-"/>
    <n v="0"/>
    <s v="TTL"/>
    <s v=""/>
    <s v="JIH-Y&amp;Y-07 TTL"/>
    <m/>
    <s v=""/>
    <s v=""/>
    <s v=""/>
    <s v=""/>
    <s v=""/>
    <s v="K"/>
    <s v=""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189"/>
    <n v="0"/>
    <n v="0"/>
    <n v="0"/>
    <n v="0"/>
    <n v="0"/>
    <n v="1190"/>
    <n v="5668831.1688311687"/>
    <n v="43650000"/>
    <n v="6.9999999999999991"/>
  </r>
  <r>
    <n v="0"/>
    <n v="0"/>
    <n v="11"/>
    <n v="11"/>
    <s v="F-HAT"/>
    <x v="27"/>
    <s v="JIH-FOREMOST-36"/>
    <s v="JIH-FOREMOST-36JIHBEF5855KH"/>
    <n v="1"/>
    <s v="JIH-FOREMOST-361"/>
    <s v="JIH-FOREMOST-361-JIHBEF5855KHAKIFRE"/>
    <s v="JIH의류외855"/>
    <s v="JIH"/>
    <s v="JILBEE"/>
    <m/>
    <s v="JIH"/>
    <s v="JIL HATSON"/>
    <s v="F"/>
    <n v="5"/>
    <s v="BE"/>
    <s v="BEANIE"/>
    <s v="K"/>
    <n v="855"/>
    <n v="855"/>
    <s v="JIHBEF5855"/>
    <n v="0"/>
    <s v="JILBEE5855KHFRE"/>
    <s v="KH"/>
    <s v="KHAKI"/>
    <s v="JIHBEF5855KH"/>
    <x v="2"/>
    <n v="0"/>
    <n v="0"/>
    <n v="1"/>
    <s v="FRE"/>
    <n v="300"/>
    <x v="4"/>
    <n v="36"/>
    <x v="37"/>
    <s v="M"/>
    <s v="CN"/>
    <x v="0"/>
    <n v="35000"/>
    <x v="20"/>
    <n v="5303.030303030303"/>
    <n v="0"/>
    <n v="-5303.030303030303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300"/>
    <n v="0"/>
    <n v="0"/>
    <n v="0"/>
    <n v="0"/>
    <n v="0"/>
    <n v="300"/>
    <n v="1590909.0909090908"/>
    <n v="10500000"/>
    <n v="6"/>
  </r>
  <r>
    <n v="0"/>
    <n v="0"/>
    <n v="11"/>
    <n v="11"/>
    <s v="F-HAT"/>
    <x v="27"/>
    <s v="JIH-FOREMOST-36"/>
    <s v="JIH-FOREMOST-36JIHBEF5855RE"/>
    <n v="2"/>
    <s v="JIH-FOREMOST-362"/>
    <s v="JIH-FOREMOST-362-JIHBEF5855REDFRE"/>
    <s v="JIH의류외855"/>
    <s v="JIH"/>
    <s v="JILBEE"/>
    <m/>
    <s v="JIH"/>
    <s v="JIL HATSON"/>
    <s v="F"/>
    <n v="5"/>
    <s v="BE"/>
    <s v="BEANIE"/>
    <s v="K"/>
    <n v="855"/>
    <n v="855"/>
    <s v="JIHBEF5855"/>
    <n v="0"/>
    <s v="JILBEE5855REFRE"/>
    <s v="RE"/>
    <s v="RED"/>
    <s v="JIHBEF5855RE"/>
    <x v="2"/>
    <n v="0"/>
    <n v="0"/>
    <n v="1"/>
    <s v="FRE"/>
    <n v="300"/>
    <x v="4"/>
    <n v="36"/>
    <x v="37"/>
    <s v="M"/>
    <s v="CN"/>
    <x v="0"/>
    <n v="35000"/>
    <x v="20"/>
    <n v="5303.030303030303"/>
    <n v="0"/>
    <n v="-5303.030303030303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300"/>
    <n v="0"/>
    <n v="0"/>
    <n v="0"/>
    <n v="0"/>
    <n v="0"/>
    <n v="300"/>
    <n v="1590909.0909090908"/>
    <n v="10500000"/>
    <n v="6"/>
  </r>
  <r>
    <n v="0"/>
    <n v="0"/>
    <n v="11"/>
    <n v="11"/>
    <s v="F-HAT"/>
    <x v="27"/>
    <s v="JIH-FOREMOST-36"/>
    <s v="JIH-FOREMOST-36JIHBEF5856BK"/>
    <n v="3"/>
    <s v="JIH-FOREMOST-363"/>
    <s v="JIH-FOREMOST-363-JIHBEF5856BLACKFRE"/>
    <s v="JIH의류외856"/>
    <s v="JIH"/>
    <s v="JILBEE"/>
    <m/>
    <s v="JIH"/>
    <s v="JIL HATSON"/>
    <s v="F"/>
    <n v="5"/>
    <s v="BE"/>
    <s v="BEANIE"/>
    <s v="K"/>
    <n v="856"/>
    <n v="856"/>
    <s v="JIHBEF5856"/>
    <n v="0"/>
    <s v="JILBEE5856BKFRE"/>
    <s v="BK"/>
    <s v="BLACK"/>
    <s v="JIHBEF5856BK"/>
    <x v="2"/>
    <n v="0"/>
    <n v="0"/>
    <n v="1"/>
    <s v="FRE"/>
    <n v="500"/>
    <x v="4"/>
    <n v="36"/>
    <x v="37"/>
    <s v="M"/>
    <s v="CN"/>
    <x v="0"/>
    <n v="35000"/>
    <x v="20"/>
    <n v="5303.030303030303"/>
    <n v="0"/>
    <n v="-5303.030303030303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500"/>
    <n v="0"/>
    <n v="0"/>
    <n v="0"/>
    <n v="0"/>
    <n v="0"/>
    <n v="500"/>
    <n v="2651515.1515151514"/>
    <n v="17500000"/>
    <n v="5.9999999999999991"/>
  </r>
  <r>
    <n v="0"/>
    <n v="0"/>
    <n v="11"/>
    <n v="11"/>
    <s v="F-HAT"/>
    <x v="27"/>
    <s v="JIH-FOREMOST-36"/>
    <s v="JIH-FOREMOST-36JIHBEF5856MT"/>
    <n v="4"/>
    <s v="JIH-FOREMOST-364"/>
    <s v="JIH-FOREMOST-364-JIHBEF5856MINTFRE"/>
    <s v="JIH의류외856"/>
    <s v="JIH"/>
    <s v="JILBEE"/>
    <m/>
    <s v="JIH"/>
    <s v="JIL HATSON"/>
    <s v="F"/>
    <n v="5"/>
    <s v="BE"/>
    <s v="BEANIE"/>
    <s v="K"/>
    <n v="856"/>
    <n v="856"/>
    <s v="JIHBEF5856"/>
    <n v="0"/>
    <s v="JILBEE5856MTFRE"/>
    <s v="MT"/>
    <s v="MINT"/>
    <s v="JIHBEF5856MT"/>
    <x v="2"/>
    <n v="0"/>
    <n v="0"/>
    <n v="1"/>
    <s v="FRE"/>
    <n v="500"/>
    <x v="4"/>
    <n v="36"/>
    <x v="37"/>
    <s v="M"/>
    <s v="CN"/>
    <x v="0"/>
    <n v="35000"/>
    <x v="20"/>
    <n v="5303.030303030303"/>
    <n v="0"/>
    <n v="-5303.030303030303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500"/>
    <n v="0"/>
    <n v="0"/>
    <n v="0"/>
    <n v="0"/>
    <n v="0"/>
    <n v="500"/>
    <n v="2651515.1515151514"/>
    <n v="17500000"/>
    <n v="5.9999999999999991"/>
  </r>
  <r>
    <n v="0"/>
    <n v="0"/>
    <n v="11"/>
    <n v="11"/>
    <s v="F-HAT"/>
    <x v="27"/>
    <s v="JIH-FOREMOST-36"/>
    <s v="JIH-FOREMOST-36JIHBEF5856NY"/>
    <n v="5"/>
    <s v="JIH-FOREMOST-365"/>
    <s v="JIH-FOREMOST-365-JIHBEF5856NAVYFRE"/>
    <s v="JIH의류외856"/>
    <s v="JIH"/>
    <s v="JILBEE"/>
    <m/>
    <s v="JIH"/>
    <s v="JIL HATSON"/>
    <s v="F"/>
    <n v="5"/>
    <s v="BE"/>
    <s v="BEANIE"/>
    <s v="K"/>
    <n v="856"/>
    <n v="856"/>
    <s v="JIHBEF5856"/>
    <n v="0"/>
    <s v="JILBEE5856NYFRE"/>
    <s v="NY"/>
    <s v="NAVY"/>
    <s v="JIHBEF5856NY"/>
    <x v="2"/>
    <n v="0"/>
    <n v="0"/>
    <n v="1"/>
    <s v="FRE"/>
    <n v="500"/>
    <x v="4"/>
    <n v="36"/>
    <x v="37"/>
    <s v="M"/>
    <s v="CN"/>
    <x v="0"/>
    <n v="35000"/>
    <x v="20"/>
    <n v="5303.030303030303"/>
    <n v="0"/>
    <n v="-5303.030303030303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500"/>
    <n v="0"/>
    <n v="0"/>
    <n v="0"/>
    <n v="0"/>
    <n v="0"/>
    <n v="500"/>
    <n v="2651515.1515151514"/>
    <n v="17500000"/>
    <n v="5.9999999999999991"/>
  </r>
  <r>
    <n v="0"/>
    <n v="0"/>
    <n v="11"/>
    <n v="11"/>
    <s v="F-HAT"/>
    <x v="27"/>
    <s v="JIH-FOREMOST-36"/>
    <s v="JIH-FOREMOST-36JIHEBF5850BW"/>
    <n v="6"/>
    <s v="JIH-FOREMOST-366"/>
    <s v="JIH-FOREMOST-366-JIHEBF5850BROWNFRE"/>
    <s v="JIH의류외850"/>
    <s v="JIH"/>
    <s v="JILEBE"/>
    <m/>
    <s v="JIH"/>
    <s v="JIL HATSON"/>
    <s v="F"/>
    <n v="5"/>
    <s v="EB"/>
    <s v="EARFLAP BEANIE"/>
    <s v="K"/>
    <n v="850"/>
    <n v="850"/>
    <s v="JIHEBF5850"/>
    <n v="0"/>
    <s v="JILEBE5850BWFRE"/>
    <s v="BW"/>
    <s v="BROWN"/>
    <s v="JIHEBF5850BW"/>
    <x v="2"/>
    <n v="0"/>
    <n v="0"/>
    <n v="1"/>
    <s v="FRE"/>
    <n v="28"/>
    <x v="4"/>
    <n v="36"/>
    <x v="37"/>
    <s v="M"/>
    <s v="CN"/>
    <x v="0"/>
    <n v="39000"/>
    <x v="20"/>
    <n v="5909.0909090909081"/>
    <n v="0"/>
    <n v="-5909.090909090908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28"/>
    <n v="0"/>
    <n v="0"/>
    <n v="0"/>
    <n v="0"/>
    <n v="0"/>
    <n v="28"/>
    <n v="165454.54545454541"/>
    <n v="1092000"/>
    <n v="6.0000000000000009"/>
  </r>
  <r>
    <n v="0"/>
    <n v="0"/>
    <n v="11"/>
    <n v="11"/>
    <s v="F-HAT"/>
    <x v="27"/>
    <s v="JIH-FOREMOST-36"/>
    <s v="JIH-FOREMOST-36JIHEBF5850NY"/>
    <n v="7"/>
    <s v="JIH-FOREMOST-367"/>
    <s v="JIH-FOREMOST-367-JIHEBF5850NAVYFRE"/>
    <s v="JIH의류외850"/>
    <s v="JIH"/>
    <s v="JILEBE"/>
    <m/>
    <s v="JIH"/>
    <s v="JIL HATSON"/>
    <s v="F"/>
    <n v="5"/>
    <s v="EB"/>
    <s v="EARFLAP BEANIE"/>
    <s v="K"/>
    <n v="850"/>
    <n v="850"/>
    <s v="JIHEBF5850"/>
    <n v="0"/>
    <s v="JILEBE5850NYFRE"/>
    <s v="NY"/>
    <s v="NAVY"/>
    <s v="JIHEBF5850NY"/>
    <x v="2"/>
    <n v="0"/>
    <n v="0"/>
    <n v="1"/>
    <s v="FRE"/>
    <n v="165"/>
    <x v="4"/>
    <n v="36"/>
    <x v="37"/>
    <s v="M"/>
    <s v="CN"/>
    <x v="0"/>
    <n v="39000"/>
    <x v="20"/>
    <n v="5909.0909090909081"/>
    <n v="0"/>
    <n v="-5909.090909090908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165"/>
    <n v="0"/>
    <n v="0"/>
    <n v="0"/>
    <n v="0"/>
    <n v="0"/>
    <n v="165"/>
    <n v="974999.99999999988"/>
    <n v="6435000"/>
    <n v="6"/>
  </r>
  <r>
    <n v="0"/>
    <n v="0"/>
    <n v="11"/>
    <n v="11"/>
    <s v="F-HAT"/>
    <x v="27"/>
    <s v="JIH-FOREMOST-36"/>
    <s v="JIH-FOREMOST-36JIHERF5806MT"/>
    <n v="8"/>
    <s v="JIH-FOREMOST-368"/>
    <s v="JIH-FOREMOST-368-JIHERF5806MINTFRE"/>
    <s v="JIH의류외806"/>
    <s v="JIH"/>
    <s v="JILERE"/>
    <m/>
    <s v="JIH"/>
    <s v="JIL HATSON"/>
    <s v="F"/>
    <n v="5"/>
    <s v="ER"/>
    <s v="EARCAP"/>
    <s v="K"/>
    <n v="806"/>
    <n v="806"/>
    <s v="JIHERF5806"/>
    <n v="0"/>
    <s v="JILERE5806MTFRE"/>
    <s v="MT"/>
    <s v="MINT"/>
    <s v="JIHERF5806MT"/>
    <x v="2"/>
    <n v="0"/>
    <n v="0"/>
    <n v="1"/>
    <s v="FRE"/>
    <n v="353"/>
    <x v="4"/>
    <n v="36"/>
    <x v="37"/>
    <s v="M"/>
    <s v="CN"/>
    <x v="0"/>
    <n v="55000"/>
    <x v="20"/>
    <n v="8333.3333333333321"/>
    <n v="0"/>
    <n v="-8333.333333333332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353"/>
    <n v="0"/>
    <n v="0"/>
    <n v="0"/>
    <n v="0"/>
    <n v="0"/>
    <n v="353"/>
    <n v="2941666.666666666"/>
    <n v="19415000"/>
    <n v="6.0000000000000009"/>
  </r>
  <r>
    <n v="0"/>
    <n v="0"/>
    <n v="11"/>
    <n v="11"/>
    <s v="F-HAT"/>
    <x v="27"/>
    <s v="JIH-FOREMOST-36"/>
    <s v="JIH-FOREMOST-36JIHERF5806YE"/>
    <n v="9"/>
    <s v="JIH-FOREMOST-369"/>
    <s v="JIH-FOREMOST-369-JIHERF5806YELLOWFRE"/>
    <s v="JIH의류외806"/>
    <s v="JIH"/>
    <s v="JILERE"/>
    <m/>
    <s v="JIH"/>
    <s v="JIL HATSON"/>
    <s v="F"/>
    <n v="5"/>
    <s v="ER"/>
    <s v="EARCAP"/>
    <s v="K"/>
    <n v="806"/>
    <n v="806"/>
    <s v="JIHERF5806"/>
    <n v="0"/>
    <s v="JILERE5806YEFRE"/>
    <s v="YE"/>
    <s v="YELLOW"/>
    <s v="JIHERF5806YE"/>
    <x v="2"/>
    <n v="0"/>
    <n v="0"/>
    <n v="1"/>
    <s v="FRE"/>
    <n v="355"/>
    <x v="4"/>
    <n v="36"/>
    <x v="37"/>
    <s v="M"/>
    <s v="CN"/>
    <x v="0"/>
    <n v="55000"/>
    <x v="20"/>
    <n v="8333.3333333333321"/>
    <n v="0"/>
    <n v="-8333.333333333332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355"/>
    <n v="0"/>
    <n v="0"/>
    <n v="0"/>
    <n v="0"/>
    <n v="0"/>
    <n v="355"/>
    <n v="2958333.333333333"/>
    <n v="19525000"/>
    <n v="6"/>
  </r>
  <r>
    <n v="0"/>
    <n v="0"/>
    <n v="11"/>
    <n v="11"/>
    <s v="F-HAT"/>
    <x v="27"/>
    <s v="JIH-FOREMOST-36"/>
    <s v="JIH-FOREMOST-36JIHTPF5833GR"/>
    <n v="10"/>
    <s v="JIH-FOREMOST-3610"/>
    <s v="JIH-FOREMOST-3610-JIHTPF5833GREENFRE"/>
    <s v="JIH의류외833"/>
    <s v="JIH"/>
    <s v="JILTPE"/>
    <m/>
    <s v="JIH"/>
    <s v="JIL HATSON"/>
    <s v="F"/>
    <n v="5"/>
    <s v="TP"/>
    <s v="TROOPER"/>
    <s v="K"/>
    <n v="833"/>
    <n v="833"/>
    <s v="JIHTPF5833"/>
    <n v="0"/>
    <s v="JILTPE5833GRFRE"/>
    <s v="GR"/>
    <s v="GREEN"/>
    <s v="JIHTPF5833GR"/>
    <x v="2"/>
    <n v="0"/>
    <n v="0"/>
    <n v="1"/>
    <s v="FRE"/>
    <n v="220"/>
    <x v="4"/>
    <n v="36"/>
    <x v="37"/>
    <s v="M"/>
    <s v="CN"/>
    <x v="0"/>
    <n v="65000"/>
    <x v="20"/>
    <n v="9848.484848484848"/>
    <n v="0"/>
    <n v="-9848.484848484848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220"/>
    <n v="0"/>
    <n v="0"/>
    <n v="0"/>
    <n v="0"/>
    <n v="0"/>
    <n v="220"/>
    <n v="2166666.6666666665"/>
    <n v="14300000"/>
    <n v="6"/>
  </r>
  <r>
    <n v="0"/>
    <n v="0"/>
    <n v="11"/>
    <n v="11"/>
    <s v="F-HAT"/>
    <x v="27"/>
    <s v="JIH-FOREMOST-36"/>
    <s v="JIH-FOREMOST-36JIHTPF5833RE"/>
    <n v="11"/>
    <s v="JIH-FOREMOST-3611"/>
    <s v="JIH-FOREMOST-3611-JIHTPF5833REDFRE"/>
    <s v="JIH의류외833"/>
    <s v="JIH"/>
    <s v="JILTPE"/>
    <m/>
    <s v="JIH"/>
    <s v="JIL HATSON"/>
    <s v="F"/>
    <n v="5"/>
    <s v="TP"/>
    <s v="TROOPER"/>
    <s v="K"/>
    <n v="833"/>
    <n v="833"/>
    <s v="JIHTPF5833"/>
    <n v="0"/>
    <s v="JILTPE5833REFRE"/>
    <s v="RE"/>
    <s v="RED"/>
    <s v="JIHTPF5833RE"/>
    <x v="2"/>
    <n v="0"/>
    <n v="0"/>
    <n v="1"/>
    <s v="FRE"/>
    <n v="170"/>
    <x v="4"/>
    <n v="36"/>
    <x v="37"/>
    <s v="M"/>
    <s v="CN"/>
    <x v="0"/>
    <n v="65000"/>
    <x v="20"/>
    <n v="9848.484848484848"/>
    <n v="0"/>
    <n v="-9848.484848484848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170"/>
    <n v="0"/>
    <n v="0"/>
    <n v="0"/>
    <n v="0"/>
    <n v="0"/>
    <n v="170"/>
    <n v="1674242.4242424241"/>
    <n v="11050000"/>
    <n v="6"/>
  </r>
  <r>
    <n v="0"/>
    <n v="0"/>
    <n v="11"/>
    <n v="11"/>
    <s v="F-HAT"/>
    <x v="27"/>
    <s v="JIH-FOREMOST-36"/>
    <s v="JIH-FOREMOST-36JIHTPF5834BK"/>
    <n v="12"/>
    <s v="JIH-FOREMOST-3612"/>
    <s v="JIH-FOREMOST-3612-JIHTPF5834BLACKFRE"/>
    <s v="JIH의류외834"/>
    <s v="JIH"/>
    <s v="JILTPE"/>
    <m/>
    <s v="JIH"/>
    <s v="JIL HATSON"/>
    <s v="F"/>
    <n v="5"/>
    <s v="TP"/>
    <s v="TROOPER"/>
    <s v="K"/>
    <n v="834"/>
    <n v="834"/>
    <s v="JIHTPF5834"/>
    <n v="0"/>
    <s v="JILTPE5834BKFRE"/>
    <s v="BK"/>
    <s v="BLACK"/>
    <s v="JIHTPF5834BK"/>
    <x v="2"/>
    <n v="0"/>
    <n v="0"/>
    <n v="1"/>
    <s v="FRE"/>
    <n v="200"/>
    <x v="4"/>
    <n v="36"/>
    <x v="37"/>
    <s v="M"/>
    <s v="CN"/>
    <x v="0"/>
    <n v="55000"/>
    <x v="20"/>
    <n v="8333.3333333333321"/>
    <n v="0"/>
    <n v="-8333.333333333332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200"/>
    <n v="0"/>
    <n v="0"/>
    <n v="0"/>
    <n v="0"/>
    <n v="0"/>
    <n v="200"/>
    <n v="1666666.6666666665"/>
    <n v="11000000"/>
    <n v="6"/>
  </r>
  <r>
    <n v="0"/>
    <n v="0"/>
    <s v=""/>
    <s v=""/>
    <s v=""/>
    <x v="1"/>
    <s v=""/>
    <s v=""/>
    <n v="0"/>
    <s v="0"/>
    <s v="0-"/>
    <n v="0"/>
    <s v="TTL"/>
    <s v=""/>
    <s v="JIH-FOREMOST-36 TTL"/>
    <m/>
    <s v=""/>
    <s v=""/>
    <s v=""/>
    <s v=""/>
    <s v=""/>
    <s v="K"/>
    <s v=""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591"/>
    <n v="0"/>
    <n v="0"/>
    <n v="0"/>
    <n v="0"/>
    <n v="0"/>
    <n v="3591"/>
    <n v="23684393.939393941"/>
    <n v="156317000"/>
    <n v="5.9999999999999991"/>
  </r>
  <r>
    <n v="0"/>
    <n v="0"/>
    <n v="11"/>
    <n v="11"/>
    <s v="F-HAT"/>
    <x v="28"/>
    <s v="JOH-FOREMOST-37"/>
    <s v="JOH-FOREMOST-37JOHEBF5805GY"/>
    <n v="1"/>
    <s v="JOH-FOREMOST-371"/>
    <s v="JOH-FOREMOST-371-JOHEBF5805GREYFRE"/>
    <s v="JOH의류외805"/>
    <s v="JOH"/>
    <s v="JOIEBE"/>
    <m/>
    <s v="JOH"/>
    <s v="JOI HATSON"/>
    <s v="F"/>
    <n v="5"/>
    <s v="EB"/>
    <s v="EARFLAP BEANIE"/>
    <s v="K"/>
    <n v="805"/>
    <n v="805"/>
    <s v="JOHEBF5805"/>
    <n v="0"/>
    <s v="JOIEBE5805GYFRE"/>
    <s v="GY"/>
    <s v="GREY"/>
    <s v="JOHEBF5805GY"/>
    <x v="2"/>
    <n v="0"/>
    <n v="0"/>
    <n v="1"/>
    <s v="FRE"/>
    <n v="247"/>
    <x v="4"/>
    <n v="37"/>
    <x v="38"/>
    <s v="M"/>
    <s v="CN"/>
    <x v="0"/>
    <n v="59000"/>
    <x v="20"/>
    <n v="8939.3939393939381"/>
    <n v="0"/>
    <n v="-8939.393939393938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247"/>
    <n v="0"/>
    <n v="0"/>
    <n v="0"/>
    <n v="0"/>
    <n v="0"/>
    <n v="247"/>
    <n v="2208030.3030303027"/>
    <n v="14573000"/>
    <n v="6.0000000000000009"/>
  </r>
  <r>
    <n v="0"/>
    <n v="0"/>
    <n v="11"/>
    <n v="11"/>
    <s v="F-HAT"/>
    <x v="28"/>
    <s v="JOH-FOREMOST-37"/>
    <s v="JOH-FOREMOST-37JOHEBF5807BL"/>
    <n v="2"/>
    <s v="JOH-FOREMOST-372"/>
    <s v="JOH-FOREMOST-372-JOHEBF5807BLUEFRE"/>
    <s v="JOH의류외807"/>
    <s v="JOH"/>
    <s v="JOIEBE"/>
    <m/>
    <s v="JOH"/>
    <s v="JOI HATSON"/>
    <s v="F"/>
    <n v="5"/>
    <s v="EB"/>
    <s v="EARFLAP BEANIE"/>
    <s v="K"/>
    <n v="807"/>
    <n v="807"/>
    <s v="JOHEBF5807"/>
    <n v="0"/>
    <s v="JOIEBE5807BLFRE"/>
    <s v="BL"/>
    <s v="BLUE"/>
    <s v="JOHEBF5807BL"/>
    <x v="2"/>
    <n v="0"/>
    <n v="0"/>
    <n v="1"/>
    <s v="FRE"/>
    <n v="85"/>
    <x v="4"/>
    <n v="37"/>
    <x v="38"/>
    <s v="M"/>
    <s v="CN"/>
    <x v="0"/>
    <n v="55000"/>
    <x v="20"/>
    <n v="8333.3333333333321"/>
    <n v="0"/>
    <n v="-8333.333333333332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85"/>
    <n v="0"/>
    <n v="0"/>
    <n v="0"/>
    <n v="0"/>
    <n v="0"/>
    <n v="85"/>
    <n v="708333.33333333326"/>
    <n v="4675000"/>
    <n v="6"/>
  </r>
  <r>
    <n v="0"/>
    <n v="0"/>
    <n v="11"/>
    <n v="11"/>
    <s v="F-HAT"/>
    <x v="28"/>
    <s v="JOH-FOREMOST-37"/>
    <s v="JOH-FOREMOST-37JOHEBF5817MT"/>
    <n v="3"/>
    <s v="JOH-FOREMOST-373"/>
    <s v="JOH-FOREMOST-373-JOHEBF5817MINTFRE"/>
    <s v="JOH의류외817"/>
    <s v="JOH"/>
    <s v="JOIEBE"/>
    <m/>
    <s v="JOH"/>
    <s v="JOI HATSON"/>
    <s v="F"/>
    <n v="5"/>
    <s v="EB"/>
    <s v="EARFLAP BEANIE"/>
    <s v="K"/>
    <n v="817"/>
    <n v="817"/>
    <s v="JOHEBF5817"/>
    <n v="0"/>
    <s v="JOIEBE5817MTFRE"/>
    <s v="MT"/>
    <s v="MINT"/>
    <s v="JOHEBF5817MT"/>
    <x v="2"/>
    <n v="0"/>
    <n v="0"/>
    <n v="1"/>
    <s v="FRE"/>
    <n v="56"/>
    <x v="4"/>
    <n v="37"/>
    <x v="38"/>
    <s v="M"/>
    <s v="CN"/>
    <x v="0"/>
    <n v="55000"/>
    <x v="20"/>
    <n v="8333.3333333333321"/>
    <n v="0"/>
    <n v="-8333.333333333332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56"/>
    <n v="0"/>
    <n v="0"/>
    <n v="0"/>
    <n v="0"/>
    <n v="0"/>
    <n v="56"/>
    <n v="466666.66666666663"/>
    <n v="3080000"/>
    <n v="6"/>
  </r>
  <r>
    <n v="0"/>
    <n v="0"/>
    <n v="11"/>
    <n v="11"/>
    <s v="전략"/>
    <x v="34"/>
    <s v="JOH-FOREMOST-37"/>
    <s v="JOH-FOREMOST-37JOHMUF5818BL"/>
    <n v="4"/>
    <s v="JOH-FOREMOST-374"/>
    <s v="JOH-FOREMOST-374-JOHMUF5818BLUEFRE"/>
    <s v="JOH의류외818"/>
    <s v="JOH"/>
    <s v="JOIMUE"/>
    <m/>
    <s v="JOH"/>
    <s v="JOI HATSON"/>
    <s v="F"/>
    <n v="5"/>
    <s v="MU"/>
    <s v="MUFFLER"/>
    <s v="K"/>
    <n v="818"/>
    <n v="818"/>
    <s v="JOHMUF5818"/>
    <n v="0"/>
    <s v="JOIMUE5818BLFRE"/>
    <s v="BL"/>
    <s v="BLUE"/>
    <s v="JOHMUF5818BL"/>
    <x v="2"/>
    <n v="0"/>
    <n v="0"/>
    <n v="1"/>
    <s v="FRE"/>
    <n v="120"/>
    <x v="4"/>
    <n v="37"/>
    <x v="38"/>
    <s v="M"/>
    <s v="CN"/>
    <x v="0"/>
    <n v="55000"/>
    <x v="20"/>
    <n v="8333.3333333333321"/>
    <n v="0"/>
    <n v="-8333.333333333332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120"/>
    <n v="0"/>
    <n v="0"/>
    <n v="0"/>
    <n v="0"/>
    <n v="0"/>
    <n v="120"/>
    <n v="999999.99999999988"/>
    <n v="6600000"/>
    <n v="6"/>
  </r>
  <r>
    <n v="0"/>
    <n v="0"/>
    <s v=""/>
    <s v=""/>
    <s v=""/>
    <x v="1"/>
    <s v=""/>
    <s v=""/>
    <n v="0"/>
    <s v="0"/>
    <s v="0-"/>
    <n v="0"/>
    <s v="TTL"/>
    <s v=""/>
    <s v="JOH-FOREMOST-37 TTL"/>
    <m/>
    <s v=""/>
    <s v=""/>
    <s v=""/>
    <s v=""/>
    <s v=""/>
    <s v="K"/>
    <s v=""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08"/>
    <n v="0"/>
    <n v="0"/>
    <n v="0"/>
    <n v="0"/>
    <n v="0"/>
    <n v="508"/>
    <n v="4383030.3030303018"/>
    <n v="28928000"/>
    <n v="6.0000000000000018"/>
  </r>
  <r>
    <n v="0"/>
    <n v="0"/>
    <n v="11"/>
    <n v="11"/>
    <s v="F-HAT"/>
    <x v="28"/>
    <s v="JOH-KIDS FIRST TOYS-04"/>
    <s v="JOH-KIDS FIRST TOYS-04JOHEBF5809BL"/>
    <n v="1"/>
    <s v="JOH-KIDS FIRST TOYS-041"/>
    <s v="JOH-KIDS FIRST TOYS-041-JOHEBF5809BLUEFRE"/>
    <s v="JOH의류외809"/>
    <s v="JOH"/>
    <s v="JOIEBE"/>
    <m/>
    <s v="JOH"/>
    <s v="JOI HATSON"/>
    <s v="F"/>
    <n v="5"/>
    <s v="EB"/>
    <s v="EARFLAP BEANIE"/>
    <s v="K"/>
    <n v="809"/>
    <n v="809"/>
    <s v="JOHEBF5809"/>
    <n v="0"/>
    <s v="JOIEBE5809BLFRE"/>
    <s v="BL"/>
    <s v="BLUE"/>
    <s v="JOHEBF5809BL"/>
    <x v="2"/>
    <n v="0"/>
    <n v="0"/>
    <n v="1"/>
    <s v="FRE"/>
    <n v="305"/>
    <x v="10"/>
    <n v="4"/>
    <x v="3"/>
    <s v="M"/>
    <s v="CN"/>
    <x v="0"/>
    <n v="49000"/>
    <x v="20"/>
    <n v="7424.242424242424"/>
    <n v="0"/>
    <n v="-7424.242424242424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305"/>
    <n v="0"/>
    <n v="0"/>
    <n v="0"/>
    <n v="0"/>
    <n v="0"/>
    <n v="305"/>
    <n v="2264393.9393939395"/>
    <n v="14945000"/>
    <n v="6"/>
  </r>
  <r>
    <n v="0"/>
    <n v="0"/>
    <s v=""/>
    <s v=""/>
    <s v=""/>
    <x v="1"/>
    <s v=""/>
    <s v=""/>
    <n v="0"/>
    <s v="0"/>
    <s v="0-"/>
    <n v="0"/>
    <s v="TTL"/>
    <s v=""/>
    <s v="JOH-KIDS FIRST TOYS-04 TTL"/>
    <m/>
    <s v=""/>
    <s v=""/>
    <s v=""/>
    <s v=""/>
    <s v=""/>
    <s v="K"/>
    <s v=""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05"/>
    <n v="0"/>
    <n v="0"/>
    <n v="0"/>
    <n v="0"/>
    <n v="0"/>
    <n v="305"/>
    <n v="2264393.9393939395"/>
    <n v="14945000"/>
    <n v="6"/>
  </r>
  <r>
    <n v="0"/>
    <n v="0"/>
    <n v="11"/>
    <n v="11"/>
    <s v="F-HAT"/>
    <x v="28"/>
    <s v="JOH-동일모자-28"/>
    <s v="JOH-동일모자-28JOHERF5802OR"/>
    <n v="1"/>
    <s v="JOH-동일모자-281"/>
    <s v="JOH-동일모자-281-JOHERF5802ORANGEFRE"/>
    <s v="JOH의류외802"/>
    <s v="JOH"/>
    <s v="JOIERE"/>
    <m/>
    <s v="JOH"/>
    <s v="JOI HATSON"/>
    <s v="F"/>
    <n v="5"/>
    <s v="ER"/>
    <s v="EARCAP"/>
    <s v="K"/>
    <n v="802"/>
    <n v="802"/>
    <s v="JOHERF5802"/>
    <n v="0"/>
    <s v="JOIERE5802ORFRE"/>
    <s v="OR"/>
    <s v="ORANGE"/>
    <s v="JOHERF5802OR"/>
    <x v="2"/>
    <n v="0"/>
    <n v="0"/>
    <n v="1"/>
    <s v="FRE"/>
    <n v="145"/>
    <x v="5"/>
    <n v="28"/>
    <x v="31"/>
    <s v="M"/>
    <s v="CN"/>
    <x v="0"/>
    <n v="59000"/>
    <x v="20"/>
    <n v="8939.3939393939381"/>
    <n v="0"/>
    <n v="-8939.393939393938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145"/>
    <n v="0"/>
    <n v="0"/>
    <n v="0"/>
    <n v="0"/>
    <n v="0"/>
    <n v="145"/>
    <n v="1296212.1212121211"/>
    <n v="8555000"/>
    <n v="6"/>
  </r>
  <r>
    <n v="0"/>
    <n v="0"/>
    <s v=""/>
    <s v=""/>
    <s v=""/>
    <x v="1"/>
    <s v=""/>
    <s v=""/>
    <n v="0"/>
    <s v="0"/>
    <s v="0-"/>
    <n v="0"/>
    <s v="TTL"/>
    <s v=""/>
    <s v="JOH-동일모자-28 TTL"/>
    <m/>
    <s v=""/>
    <s v=""/>
    <s v=""/>
    <s v=""/>
    <s v=""/>
    <s v="K"/>
    <s v=""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45"/>
    <n v="0"/>
    <n v="0"/>
    <n v="0"/>
    <n v="0"/>
    <n v="0"/>
    <n v="145"/>
    <n v="1296212.1212121211"/>
    <n v="8555000"/>
    <n v="6"/>
  </r>
  <r>
    <n v="0"/>
    <n v="0"/>
    <n v="11"/>
    <n v="11"/>
    <s v="SPORTS"/>
    <x v="24"/>
    <s v="NOH-FOREMOST-38"/>
    <s v="NOH-FOREMOST-38NOHBAF5803OR"/>
    <n v="1"/>
    <s v="NOH-FOREMOST-381"/>
    <s v="NOH-FOREMOST-381-NOHBAF5803ORANGEFRE"/>
    <s v="NOH의류외803"/>
    <s v="NOH"/>
    <s v="NOVBAE"/>
    <m/>
    <s v="NOH"/>
    <s v="NOV HATSON"/>
    <s v="F"/>
    <n v="5"/>
    <s v="BA"/>
    <s v="BASIC CAP"/>
    <s v="K"/>
    <n v="803"/>
    <n v="803"/>
    <s v="NOHBAF5803"/>
    <n v="0"/>
    <s v="NOVBAE5803ORFRE"/>
    <s v="OR"/>
    <s v="ORANGE"/>
    <s v="NOHBAF5803OR"/>
    <x v="2"/>
    <n v="0"/>
    <n v="0"/>
    <n v="1"/>
    <s v="FRE"/>
    <n v="100"/>
    <x v="4"/>
    <n v="38"/>
    <x v="39"/>
    <s v="M"/>
    <s v="CN"/>
    <x v="0"/>
    <n v="45000"/>
    <x v="20"/>
    <n v="6818.1818181818171"/>
    <n v="0"/>
    <n v="-6818.181818181817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681818.18181818177"/>
    <n v="4500000"/>
    <n v="6"/>
  </r>
  <r>
    <n v="0"/>
    <n v="0"/>
    <n v="11"/>
    <n v="11"/>
    <s v="SPORTS"/>
    <x v="24"/>
    <s v="NOH-FOREMOST-38"/>
    <s v="NOH-FOREMOST-38NOHBAF5804BL"/>
    <n v="2"/>
    <s v="NOH-FOREMOST-382"/>
    <s v="NOH-FOREMOST-382-NOHBAF5804BLUEFRE"/>
    <s v="NOH의류외804"/>
    <s v="NOH"/>
    <s v="NOVBAE"/>
    <m/>
    <s v="NOH"/>
    <s v="NOV HATSON"/>
    <s v="F"/>
    <n v="5"/>
    <s v="BA"/>
    <s v="BASIC CAP"/>
    <s v="K"/>
    <n v="804"/>
    <n v="804"/>
    <s v="NOHBAF5804"/>
    <n v="0"/>
    <s v="NOVBAE5804BLFRE"/>
    <s v="BL"/>
    <s v="BLUE"/>
    <s v="NOHBAF5804BL"/>
    <x v="2"/>
    <n v="0"/>
    <n v="0"/>
    <n v="1"/>
    <s v="FRE"/>
    <n v="100"/>
    <x v="4"/>
    <n v="38"/>
    <x v="39"/>
    <s v="M"/>
    <s v="CN"/>
    <x v="0"/>
    <n v="45000"/>
    <x v="20"/>
    <n v="6818.1818181818171"/>
    <n v="0"/>
    <n v="-6818.181818181817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681818.18181818177"/>
    <n v="4500000"/>
    <n v="6"/>
  </r>
  <r>
    <n v="0"/>
    <n v="0"/>
    <n v="11"/>
    <n v="11"/>
    <s v="SPORTS"/>
    <x v="24"/>
    <s v="NOH-FOREMOST-38"/>
    <s v="NOH-FOREMOST-38NOHBAF5819NY"/>
    <n v="3"/>
    <s v="NOH-FOREMOST-383"/>
    <s v="NOH-FOREMOST-383-NOHBAF5819NAVYFRE"/>
    <s v="NOH의류외819"/>
    <s v="NOH"/>
    <s v="NOVBAE"/>
    <m/>
    <s v="NOH"/>
    <s v="NOV HATSON"/>
    <s v="F"/>
    <n v="5"/>
    <s v="BA"/>
    <s v="BASIC CAP"/>
    <s v="K"/>
    <n v="819"/>
    <n v="819"/>
    <s v="NOHBAF5819"/>
    <n v="0"/>
    <s v="NOVBAE5819NYFRE"/>
    <s v="NY"/>
    <s v="NAVY"/>
    <s v="NOHBAF5819NY"/>
    <x v="2"/>
    <n v="0"/>
    <n v="0"/>
    <n v="1"/>
    <s v="FRE"/>
    <n v="100"/>
    <x v="4"/>
    <n v="38"/>
    <x v="39"/>
    <s v="M"/>
    <s v="CN"/>
    <x v="0"/>
    <n v="45000"/>
    <x v="20"/>
    <n v="6818.1818181818171"/>
    <n v="0"/>
    <n v="-6818.181818181817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681818.18181818177"/>
    <n v="4500000"/>
    <n v="6"/>
  </r>
  <r>
    <n v="0"/>
    <n v="0"/>
    <n v="11"/>
    <n v="11"/>
    <s v="SPORTS"/>
    <x v="24"/>
    <s v="NOH-FOREMOST-38"/>
    <s v="NOH-FOREMOST-38NOHMIF5820KH"/>
    <n v="4"/>
    <s v="NOH-FOREMOST-384"/>
    <s v="NOH-FOREMOST-384-NOHMIF5820KHAKIFRE"/>
    <s v="NOH의류외820"/>
    <s v="NOH"/>
    <s v="NOVMIE"/>
    <m/>
    <s v="NOH"/>
    <s v="NOV HATSON"/>
    <s v="F"/>
    <n v="5"/>
    <s v="MI"/>
    <s v="MILITARY CAP"/>
    <s v="K"/>
    <n v="820"/>
    <n v="820"/>
    <s v="NOHMIF5820"/>
    <n v="0"/>
    <s v="NOVMIE5820KHFRE"/>
    <s v="KH"/>
    <s v="KHAKI"/>
    <s v="NOHMIF5820KH"/>
    <x v="2"/>
    <n v="0"/>
    <n v="0"/>
    <n v="1"/>
    <s v="FRE"/>
    <n v="100"/>
    <x v="4"/>
    <n v="38"/>
    <x v="39"/>
    <s v="M"/>
    <s v="CN"/>
    <x v="0"/>
    <n v="45000"/>
    <x v="20"/>
    <n v="6818.1818181818171"/>
    <n v="0"/>
    <n v="-6818.181818181817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681818.18181818177"/>
    <n v="4500000"/>
    <n v="6"/>
  </r>
  <r>
    <n v="0"/>
    <n v="0"/>
    <n v="11"/>
    <n v="11"/>
    <s v="SPORTS"/>
    <x v="24"/>
    <s v="NOH-FOREMOST-38"/>
    <s v="NOH-FOREMOST-38NOHTPF5807PP"/>
    <n v="5"/>
    <s v="NOH-FOREMOST-385"/>
    <s v="NOH-FOREMOST-385-NOHTPF5807PURPLEFRE"/>
    <s v="NOH의류외807"/>
    <s v="NOH"/>
    <s v="NOVTPE"/>
    <m/>
    <s v="NOH"/>
    <s v="NOV HATSON"/>
    <s v="F"/>
    <n v="5"/>
    <s v="TP"/>
    <s v="TROOPER"/>
    <s v="K"/>
    <n v="807"/>
    <n v="807"/>
    <s v="NOHTPF5807"/>
    <n v="0"/>
    <s v="NOVTPE5807PPFRE"/>
    <s v="PP"/>
    <s v="PURPLE"/>
    <s v="NOHTPF5807PP"/>
    <x v="2"/>
    <n v="0"/>
    <n v="0"/>
    <n v="1"/>
    <s v="FRE"/>
    <n v="127"/>
    <x v="4"/>
    <n v="38"/>
    <x v="39"/>
    <s v="M"/>
    <s v="CN"/>
    <x v="0"/>
    <n v="65000"/>
    <x v="20"/>
    <n v="9848.484848484848"/>
    <n v="0"/>
    <n v="-9848.484848484848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129"/>
    <n v="0"/>
    <n v="0"/>
    <n v="0"/>
    <n v="0"/>
    <n v="0"/>
    <n v="127"/>
    <n v="1250757.5757575757"/>
    <n v="8255000"/>
    <n v="6"/>
  </r>
  <r>
    <n v="0"/>
    <n v="0"/>
    <n v="11"/>
    <n v="11"/>
    <s v="SPORTS"/>
    <x v="24"/>
    <s v="NOH-FOREMOST-38"/>
    <s v="NOH-FOREMOST-38NOHTPF5809OR"/>
    <n v="6"/>
    <s v="NOH-FOREMOST-386"/>
    <s v="NOH-FOREMOST-386-NOHTPF5809ORANGEFRE"/>
    <s v="NOH의류외809"/>
    <s v="NOH"/>
    <s v="NOVTPE"/>
    <m/>
    <s v="NOH"/>
    <s v="NOV HATSON"/>
    <s v="F"/>
    <n v="5"/>
    <s v="TP"/>
    <s v="TROOPER"/>
    <s v="K"/>
    <n v="809"/>
    <n v="809"/>
    <s v="NOHTPF5809"/>
    <n v="0"/>
    <s v="NOVTPE5809ORFRE"/>
    <s v="OR"/>
    <s v="ORANGE"/>
    <s v="NOHTPF5809OR"/>
    <x v="2"/>
    <n v="0"/>
    <n v="0"/>
    <n v="1"/>
    <s v="FRE"/>
    <n v="170"/>
    <x v="4"/>
    <n v="38"/>
    <x v="39"/>
    <s v="M"/>
    <s v="CN"/>
    <x v="0"/>
    <n v="65000"/>
    <x v="20"/>
    <n v="9848.484848484848"/>
    <n v="0"/>
    <n v="-9848.484848484848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170"/>
    <n v="0"/>
    <n v="0"/>
    <n v="0"/>
    <n v="0"/>
    <n v="0"/>
    <n v="170"/>
    <n v="1674242.4242424241"/>
    <n v="11050000"/>
    <n v="6"/>
  </r>
  <r>
    <n v="0"/>
    <n v="0"/>
    <s v=""/>
    <s v=""/>
    <s v=""/>
    <x v="1"/>
    <s v=""/>
    <s v=""/>
    <n v="0"/>
    <s v="0"/>
    <s v="0-"/>
    <n v="0"/>
    <s v="TTL"/>
    <s v=""/>
    <s v="NOH-FOREMOST-38 TTL"/>
    <m/>
    <s v=""/>
    <s v=""/>
    <s v=""/>
    <s v=""/>
    <s v=""/>
    <s v="K"/>
    <s v=""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99"/>
    <n v="0"/>
    <n v="0"/>
    <n v="0"/>
    <n v="0"/>
    <n v="0"/>
    <n v="697"/>
    <n v="5652272.7272727266"/>
    <n v="37305000"/>
    <n v="6"/>
  </r>
  <r>
    <n v="0"/>
    <n v="0"/>
    <n v="11"/>
    <n v="11"/>
    <s v="SPORTS"/>
    <x v="25"/>
    <s v="SMH-Y&amp;Y-08"/>
    <s v="SMH-Y&amp;Y-08SMHBEF5863RE"/>
    <n v="1"/>
    <s v="SMH-Y&amp;Y-081"/>
    <s v="SMH-Y&amp;Y-081-SMHBEF5863REDFRE"/>
    <s v="SMH의류외863"/>
    <s v="SMH"/>
    <s v="SMBBEE"/>
    <m/>
    <s v="SMH"/>
    <s v="SMB HATSON"/>
    <s v="F"/>
    <n v="5"/>
    <s v="BE"/>
    <s v="BEANIE"/>
    <s v="K"/>
    <n v="863"/>
    <n v="863"/>
    <s v="SMHBEF5863"/>
    <n v="0"/>
    <s v="SMBBEE5863REFRE"/>
    <s v="RE"/>
    <s v="RED"/>
    <s v="SMHBEF5863RE"/>
    <x v="2"/>
    <n v="0"/>
    <n v="0"/>
    <n v="1"/>
    <s v="FRE"/>
    <n v="333"/>
    <x v="6"/>
    <n v="8"/>
    <x v="15"/>
    <s v="M"/>
    <s v="CN"/>
    <x v="0"/>
    <n v="45000"/>
    <x v="20"/>
    <n v="5844.1558441558436"/>
    <n v="0"/>
    <n v="-5844.1558441558436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333"/>
    <n v="0"/>
    <n v="0"/>
    <n v="0"/>
    <n v="0"/>
    <n v="0"/>
    <n v="333"/>
    <n v="1946103.896103896"/>
    <n v="14985000"/>
    <n v="6.9999999999999991"/>
  </r>
  <r>
    <n v="0"/>
    <n v="0"/>
    <s v=""/>
    <s v=""/>
    <s v=""/>
    <x v="1"/>
    <s v=""/>
    <s v=""/>
    <n v="0"/>
    <s v="0"/>
    <s v="0-"/>
    <n v="0"/>
    <s v="TTL"/>
    <s v=""/>
    <s v="SMH-Y&amp;Y-08 TTL"/>
    <m/>
    <s v=""/>
    <s v=""/>
    <s v=""/>
    <s v=""/>
    <s v=""/>
    <s v="K"/>
    <s v=""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33"/>
    <n v="0"/>
    <n v="0"/>
    <n v="0"/>
    <n v="0"/>
    <n v="0"/>
    <n v="333"/>
    <n v="1946103.896103896"/>
    <n v="14985000"/>
    <n v="6.9999999999999991"/>
  </r>
  <r>
    <n v="0"/>
    <n v="0"/>
    <n v="11"/>
    <n v="11"/>
    <s v="SPORTS"/>
    <x v="25"/>
    <s v="SMH-QF-14"/>
    <s v="SMH-QF-14SMHFIF5855OR"/>
    <n v="1"/>
    <s v="SMH-QF-141"/>
    <s v="SMH-QF-141-SMHFIF5855ORANGEFRE"/>
    <s v="SMH의류외855"/>
    <s v="SMH"/>
    <s v="SMBFIE"/>
    <m/>
    <s v="SMH"/>
    <s v="SMB HATSON"/>
    <s v="F"/>
    <n v="5"/>
    <s v="FI"/>
    <s v="FITTED CAP"/>
    <s v="K"/>
    <n v="855"/>
    <n v="855"/>
    <s v="SMHFIF5855"/>
    <n v="0"/>
    <s v="SMBFIE5855ORFRE"/>
    <s v="OR"/>
    <s v="ORANGE"/>
    <s v="SMHFIF5855OR"/>
    <x v="2"/>
    <n v="0"/>
    <n v="0"/>
    <n v="1"/>
    <s v="FRE"/>
    <n v="100"/>
    <x v="2"/>
    <n v="14"/>
    <x v="16"/>
    <s v="M"/>
    <s v="CN"/>
    <x v="0"/>
    <n v="55000"/>
    <x v="20"/>
    <n v="5555.5555555555547"/>
    <n v="0"/>
    <n v="-5555.5555555555547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555555.5555555555"/>
    <n v="5500000"/>
    <n v="9"/>
  </r>
  <r>
    <n v="0"/>
    <n v="0"/>
    <n v="11"/>
    <n v="11"/>
    <s v="SPORTS"/>
    <x v="25"/>
    <s v="SMH-QF-14"/>
    <s v="SMH-QF-14SMHFIF5860YE"/>
    <n v="2"/>
    <s v="SMH-QF-142"/>
    <s v="SMH-QF-142-SMHFIF5860YELLOWFRE"/>
    <s v="SMH의류외860"/>
    <s v="SMH"/>
    <s v="SMBFIE"/>
    <m/>
    <s v="SMH"/>
    <s v="SMB HATSON"/>
    <s v="F"/>
    <n v="5"/>
    <s v="FI"/>
    <s v="FITTED CAP"/>
    <s v="K"/>
    <n v="860"/>
    <n v="860"/>
    <s v="SMHFIF5860"/>
    <n v="0"/>
    <s v="SMBFIE5860YEFRE"/>
    <s v="YE"/>
    <s v="YELLOW"/>
    <s v="SMHFIF5860YE"/>
    <x v="2"/>
    <n v="0"/>
    <n v="0"/>
    <n v="1"/>
    <s v="FRE"/>
    <n v="100"/>
    <x v="2"/>
    <n v="14"/>
    <x v="16"/>
    <s v="M"/>
    <s v="CN"/>
    <x v="0"/>
    <n v="45000"/>
    <x v="20"/>
    <n v="4545.454545454545"/>
    <n v="0"/>
    <n v="-4545.454545454545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454545.45454545453"/>
    <n v="4500000"/>
    <n v="9"/>
  </r>
  <r>
    <n v="0"/>
    <n v="0"/>
    <s v=""/>
    <s v=""/>
    <s v=""/>
    <x v="1"/>
    <s v=""/>
    <s v=""/>
    <n v="0"/>
    <s v="0"/>
    <s v="0-"/>
    <n v="0"/>
    <s v="TTL"/>
    <s v=""/>
    <s v="SMH-QF-14 TTL"/>
    <m/>
    <s v=""/>
    <s v=""/>
    <s v=""/>
    <s v=""/>
    <s v=""/>
    <s v="K"/>
    <s v=""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00"/>
    <n v="0"/>
    <n v="0"/>
    <n v="0"/>
    <n v="0"/>
    <n v="0"/>
    <n v="200"/>
    <n v="1010101.0101010101"/>
    <n v="10000000"/>
    <n v="8.9999999999999982"/>
  </r>
  <r>
    <n v="0"/>
    <n v="0"/>
    <n v="11"/>
    <n v="11"/>
    <s v="SPORTS"/>
    <x v="26"/>
    <s v="VBH-FOREMOST-39"/>
    <s v="VBH-FOREMOST-39VBHBAF5802BK"/>
    <n v="1"/>
    <s v="VBH-FOREMOST-391"/>
    <s v="VBH-FOREMOST-391-VBHBAF5802BLACKFRE"/>
    <s v="VBH의류외802"/>
    <s v="VBH"/>
    <s v="VBLBAE"/>
    <m/>
    <s v="VBH"/>
    <s v="VBL HATSON"/>
    <s v="F"/>
    <n v="5"/>
    <s v="BA"/>
    <s v="BASIC CAP"/>
    <s v="K"/>
    <n v="802"/>
    <n v="802"/>
    <s v="VBHBAF5802"/>
    <n v="0"/>
    <s v="VBLBAE5802BKFRE"/>
    <s v="BK"/>
    <s v="BLACK"/>
    <s v="VBHBAF5802BK"/>
    <x v="2"/>
    <n v="0"/>
    <n v="0"/>
    <n v="1"/>
    <s v="FRE"/>
    <n v="100"/>
    <x v="4"/>
    <n v="39"/>
    <x v="40"/>
    <s v="M"/>
    <s v="CN"/>
    <x v="0"/>
    <n v="45000"/>
    <x v="20"/>
    <n v="6818.1818181818171"/>
    <n v="0"/>
    <n v="-6818.181818181817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681818.18181818177"/>
    <n v="4500000"/>
    <n v="6"/>
  </r>
  <r>
    <n v="0"/>
    <n v="0"/>
    <n v="11"/>
    <n v="11"/>
    <s v="SPORTS"/>
    <x v="26"/>
    <s v="VBH-FOREMOST-39"/>
    <s v="VBH-FOREMOST-39VBHERF5814BK"/>
    <n v="2"/>
    <s v="VBH-FOREMOST-392"/>
    <s v="VBH-FOREMOST-392-VBHERF5814BLACKFRE"/>
    <s v="VBH의류외814"/>
    <s v="VBH"/>
    <s v="VBLERE"/>
    <m/>
    <s v="VBH"/>
    <s v="VBL HATSON"/>
    <s v="F"/>
    <n v="5"/>
    <s v="ER"/>
    <s v="EARCAP"/>
    <s v="K"/>
    <n v="814"/>
    <n v="814"/>
    <s v="VBHERF5814"/>
    <n v="0"/>
    <s v="VBLERE5814BKFRE"/>
    <s v="BK"/>
    <s v="BLACK"/>
    <s v="VBHERF5814BK"/>
    <x v="2"/>
    <n v="0"/>
    <n v="0"/>
    <n v="1"/>
    <s v="FRE"/>
    <n v="100"/>
    <x v="4"/>
    <n v="39"/>
    <x v="40"/>
    <s v="M"/>
    <s v="CN"/>
    <x v="0"/>
    <n v="53000"/>
    <x v="20"/>
    <n v="8030.3030303030291"/>
    <n v="0"/>
    <n v="-8030.3030303030291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72"/>
    <n v="0"/>
    <n v="0"/>
    <n v="0"/>
    <n v="0"/>
    <m/>
    <n v="100"/>
    <n v="803030.30303030286"/>
    <n v="5300000"/>
    <n v="6.0000000000000009"/>
  </r>
  <r>
    <n v="0"/>
    <n v="0"/>
    <s v=""/>
    <s v=""/>
    <s v=""/>
    <x v="1"/>
    <s v=""/>
    <s v=""/>
    <n v="0"/>
    <s v="0"/>
    <s v="0-"/>
    <n v="0"/>
    <s v="TTL"/>
    <s v=""/>
    <s v="VBH-FOREMOST-39 TTL"/>
    <m/>
    <s v=""/>
    <s v=""/>
    <s v=""/>
    <s v=""/>
    <s v=""/>
    <s v="K"/>
    <s v=""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72"/>
    <n v="0"/>
    <n v="0"/>
    <n v="0"/>
    <n v="0"/>
    <n v="0"/>
    <n v="200"/>
    <n v="1484848.4848484846"/>
    <n v="9800000"/>
    <n v="6"/>
  </r>
  <r>
    <n v="0"/>
    <n v="0"/>
    <n v="11"/>
    <n v="11"/>
    <s v="SPORTS"/>
    <x v="26"/>
    <s v="VBH-캡보이-10"/>
    <s v="VBH-캡보이-10VBHERF5801OR"/>
    <n v="1"/>
    <s v="VBH-캡보이-101"/>
    <s v="VBH-캡보이-101-VBHERF5801ORANGEFRE"/>
    <s v="VBH의류외801"/>
    <s v="VBH"/>
    <s v="VBLERE"/>
    <m/>
    <s v="VBH"/>
    <s v="VBL HATSON"/>
    <s v="F"/>
    <n v="5"/>
    <s v="ER"/>
    <s v="EARCAP"/>
    <s v="K"/>
    <n v="801"/>
    <n v="801"/>
    <s v="VBHERF5801"/>
    <n v="0"/>
    <s v="VBLERE5801ORFRE"/>
    <s v="OR"/>
    <s v="ORANGE"/>
    <s v="VBHERF5801OR"/>
    <x v="2"/>
    <n v="0"/>
    <n v="0"/>
    <n v="1"/>
    <s v="FRE"/>
    <n v="100"/>
    <x v="8"/>
    <n v="10"/>
    <x v="21"/>
    <s v="M"/>
    <s v="KR"/>
    <x v="3"/>
    <n v="63000"/>
    <x v="20"/>
    <n v="14318.181818181816"/>
    <n v="0"/>
    <n v="-14318.181818181816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431818.1818181816"/>
    <n v="6300000"/>
    <n v="4"/>
  </r>
  <r>
    <n v="0"/>
    <n v="0"/>
    <s v=""/>
    <s v=""/>
    <s v=""/>
    <x v="1"/>
    <s v=""/>
    <s v=""/>
    <n v="0"/>
    <s v="0"/>
    <s v="0-"/>
    <n v="0"/>
    <s v="TTL"/>
    <s v=""/>
    <s v="VBH-캡보이-10 TTL"/>
    <m/>
    <s v=""/>
    <s v=""/>
    <s v=""/>
    <s v=""/>
    <s v=""/>
    <s v="K"/>
    <s v=""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431818.1818181816"/>
    <n v="6300000"/>
    <n v="4"/>
  </r>
  <r>
    <n v="0"/>
    <n v="0"/>
    <n v="11"/>
    <n v="11"/>
    <s v="F-HAT"/>
    <x v="35"/>
    <s v="WTH-캡보이-11"/>
    <s v="WTH-캡보이-11WTHERF5806OR"/>
    <n v="1"/>
    <s v="WTH-캡보이-111"/>
    <s v="WTH-캡보이-111-WTHERF5806ORANGEFRE"/>
    <s v="WTH의류외806"/>
    <s v="WTH"/>
    <s v="WTRERE"/>
    <m/>
    <s v="WTH"/>
    <s v="WTR HATSON"/>
    <s v="F"/>
    <n v="5"/>
    <s v="ER"/>
    <s v="EARCAP"/>
    <s v="K"/>
    <n v="806"/>
    <n v="806"/>
    <s v="WTHERF5806"/>
    <n v="0"/>
    <s v="WTRERE5806ORFRE"/>
    <s v="OR"/>
    <s v="ORANGE"/>
    <s v="WTHERF5806OR"/>
    <x v="2"/>
    <n v="0"/>
    <n v="0"/>
    <n v="1"/>
    <s v="FRE"/>
    <n v="100"/>
    <x v="8"/>
    <n v="11"/>
    <x v="23"/>
    <s v="M"/>
    <s v="KR"/>
    <x v="3"/>
    <n v="63000"/>
    <x v="20"/>
    <n v="14318.181818181816"/>
    <n v="0"/>
    <n v="-14318.181818181816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431818.1818181816"/>
    <n v="6300000"/>
    <n v="4"/>
  </r>
  <r>
    <n v="0"/>
    <n v="0"/>
    <s v=""/>
    <s v=""/>
    <s v=""/>
    <x v="1"/>
    <s v=""/>
    <s v=""/>
    <n v="0"/>
    <s v="0"/>
    <s v="0-"/>
    <n v="0"/>
    <s v="TTL"/>
    <s v=""/>
    <s v="WTH-캡보이-11 TTL"/>
    <m/>
    <s v=""/>
    <s v=""/>
    <s v=""/>
    <m/>
    <s v=""/>
    <s v="K"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0"/>
    <n v="0"/>
    <n v="0"/>
    <n v="0"/>
    <n v="0"/>
    <n v="0"/>
    <n v="100"/>
    <n v="1431818.1818181816"/>
    <n v="6300000"/>
    <n v="4"/>
  </r>
  <r>
    <n v="0"/>
    <n v="0"/>
    <n v="11"/>
    <n v="11"/>
    <s v="전략"/>
    <x v="30"/>
    <s v="ELH-아트인드림-15"/>
    <s v="ELH-아트인드림-15ELHTHF5635OR"/>
    <n v="1"/>
    <s v="ELH-아트인드림-151"/>
    <s v="ELH-아트인드림-151-ELHTHF5635ORANGEOSS"/>
    <s v="ELH의류635"/>
    <s v="ELH"/>
    <s v="ELSTHD"/>
    <m/>
    <s v="ELH"/>
    <s v="ELS HATSON"/>
    <s v="F"/>
    <n v="5"/>
    <s v="TH"/>
    <s v="HOODED T-SHIRTS"/>
    <s v="K"/>
    <n v="635"/>
    <n v="635"/>
    <s v="ELHTHF5635"/>
    <n v="0"/>
    <s v="ELSTHD3635OROSS"/>
    <s v="OR"/>
    <s v="ORANGE"/>
    <s v="ELHTHF5635OR"/>
    <x v="2"/>
    <n v="0"/>
    <n v="0"/>
    <n v="1"/>
    <s v="OSS"/>
    <n v="67"/>
    <x v="15"/>
    <n v="15"/>
    <x v="9"/>
    <s v="M"/>
    <s v="KR"/>
    <x v="3"/>
    <n v="89000"/>
    <x v="31"/>
    <n v="22474.74747474747"/>
    <n v="0"/>
    <n v="-22474.74747474747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67"/>
    <n v="0"/>
    <n v="0"/>
    <n v="0"/>
    <n v="0"/>
    <n v="0"/>
    <n v="67"/>
    <n v="1505808.0808080805"/>
    <n v="5963000"/>
    <n v="3.6"/>
  </r>
  <r>
    <n v="0"/>
    <n v="0"/>
    <n v="11"/>
    <n v="11"/>
    <s v="전략"/>
    <x v="30"/>
    <s v="ELH-아트인드림-15"/>
    <s v="ELH-아트인드림-15ELHTLF5639PK"/>
    <n v="2"/>
    <s v="ELH-아트인드림-152"/>
    <s v="ELH-아트인드림-152-ELHTLF5639PINKOSS"/>
    <s v="ELH의류639"/>
    <s v="ELH"/>
    <s v="ELSTLD"/>
    <m/>
    <s v="ELH"/>
    <s v="ELS HATSON"/>
    <s v="F"/>
    <n v="5"/>
    <s v="TL"/>
    <s v="LONG SLEEVES"/>
    <s v="K"/>
    <n v="639"/>
    <n v="639"/>
    <s v="ELHTLF5639"/>
    <n v="0"/>
    <s v="ELSTLD3639PKOSS"/>
    <s v="PK"/>
    <s v="PINK"/>
    <s v="ELHTLF5639PK"/>
    <x v="2"/>
    <n v="0"/>
    <n v="0"/>
    <n v="1"/>
    <s v="OSS"/>
    <n v="8"/>
    <x v="15"/>
    <n v="15"/>
    <x v="9"/>
    <s v="M"/>
    <s v="KR"/>
    <x v="3"/>
    <n v="79000"/>
    <x v="31"/>
    <n v="19949.494949494947"/>
    <n v="0"/>
    <n v="-19949.494949494947"/>
    <n v="0"/>
    <n v="0"/>
    <s v=""/>
    <n v="0"/>
    <n v="0"/>
    <n v="0"/>
    <d v="2014-11-04T00:00:00"/>
    <d v="1899-12-30T00:00:00"/>
    <d v="2014-11-05T00:00:00"/>
    <d v="1899-12-30T00:00:00"/>
    <d v="2014-11-10T00:00:00"/>
    <d v="1899-12-30T00:00:00"/>
    <d v="1899-12-30T00:00:00"/>
    <d v="1899-12-30T00:00:00"/>
    <d v="1899-12-30T00:00:00"/>
    <x v="1"/>
    <n v="0"/>
    <n v="6"/>
    <n v="0"/>
    <n v="0"/>
    <n v="0"/>
    <n v="0"/>
    <m/>
    <n v="8"/>
    <n v="159595.95959595958"/>
    <n v="632000"/>
    <n v="3.6000000000000005"/>
  </r>
  <r>
    <n v="0"/>
    <n v="0"/>
    <s v=""/>
    <s v=""/>
    <s v=""/>
    <x v="1"/>
    <s v=""/>
    <s v=""/>
    <n v="0"/>
    <s v="0"/>
    <s v="0-"/>
    <n v="0"/>
    <s v="TTL"/>
    <s v=""/>
    <s v="ELH-아트인드림-15 TTL"/>
    <m/>
    <s v=""/>
    <s v=""/>
    <s v=""/>
    <m/>
    <s v=""/>
    <s v="K"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73"/>
    <n v="0"/>
    <n v="0"/>
    <n v="0"/>
    <n v="0"/>
    <n v="0"/>
    <n v="75"/>
    <n v="1665404.0404040401"/>
    <n v="6595000"/>
    <n v="3.6000000000000005"/>
  </r>
  <r>
    <n v="0"/>
    <n v="0"/>
    <n v="11"/>
    <n v="11"/>
    <s v="전략"/>
    <x v="30"/>
    <s v="ELH-EVERGREEN-09"/>
    <s v="ELH-EVERGREEN-09ELHTHF5617NY"/>
    <n v="1"/>
    <s v="ELH-EVERGREEN-091"/>
    <s v="ELH-EVERGREEN-091-ELHTHF5617NAVYOMM"/>
    <s v="ELH의류617"/>
    <s v="ELH"/>
    <s v="ELSTHD"/>
    <m/>
    <s v="ELH"/>
    <s v="ELS HATSON"/>
    <s v="F"/>
    <n v="5"/>
    <s v="TH"/>
    <s v="HOODED T-SHIRTS"/>
    <s v="K"/>
    <n v="617"/>
    <n v="617"/>
    <s v="ELHTHF5617"/>
    <n v="0"/>
    <s v="ELSTHD3617NYOMM"/>
    <s v="NY"/>
    <s v="NAVY"/>
    <s v="ELHTHF5617NY"/>
    <x v="2"/>
    <n v="0"/>
    <n v="0"/>
    <n v="1"/>
    <s v="OMM"/>
    <n v="11"/>
    <x v="13"/>
    <n v="9"/>
    <x v="8"/>
    <s v="M"/>
    <s v="CN"/>
    <x v="0"/>
    <n v="79000"/>
    <x v="31"/>
    <n v="14363.636363636362"/>
    <n v="0"/>
    <n v="-14363.636363636362"/>
    <n v="0"/>
    <n v="0"/>
    <s v=""/>
    <n v="0"/>
    <n v="0"/>
    <n v="0"/>
    <d v="2014-11-04T00:00:00"/>
    <d v="1899-12-30T00:00:00"/>
    <d v="2014-11-05T00:00:00"/>
    <d v="1899-12-30T00:00:00"/>
    <d v="2014-11-10T00:00:00"/>
    <d v="1899-12-30T00:00:00"/>
    <d v="1899-12-30T00:00:00"/>
    <d v="1899-12-30T00:00:00"/>
    <d v="1899-12-30T00:00:00"/>
    <x v="1"/>
    <n v="0"/>
    <n v="10"/>
    <n v="0"/>
    <n v="0"/>
    <n v="0"/>
    <n v="0"/>
    <n v="0"/>
    <n v="11"/>
    <n v="157999.99999999997"/>
    <n v="869000"/>
    <n v="5.0000000000000009"/>
  </r>
  <r>
    <n v="0"/>
    <n v="0"/>
    <n v="11"/>
    <n v="11"/>
    <s v="전략"/>
    <x v="30"/>
    <s v="ELH-EVERGREEN-09"/>
    <s v="ELH-EVERGREEN-09ELHTHF5617NY"/>
    <n v="1"/>
    <s v="ELH-EVERGREEN-091"/>
    <s v="ELH-EVERGREEN-091-ELHTHF5617NAVYOSS"/>
    <s v="ELH의류617"/>
    <s v="ELH"/>
    <s v="ELSTHD"/>
    <m/>
    <s v="ELH"/>
    <s v="ELS HATSON"/>
    <s v="F"/>
    <n v="5"/>
    <s v="TH"/>
    <s v="HOODED T-SHIRTS"/>
    <s v="K"/>
    <n v="617"/>
    <n v="617"/>
    <s v="ELHTHF5617"/>
    <n v="0"/>
    <s v="ELSTHD3617NYOSS"/>
    <s v="NY"/>
    <s v="NAVY"/>
    <s v="ELHTHF5617NY"/>
    <x v="2"/>
    <n v="0"/>
    <n v="0"/>
    <n v="1"/>
    <s v="OSS"/>
    <n v="17"/>
    <x v="13"/>
    <n v="9"/>
    <x v="8"/>
    <s v="M"/>
    <s v="CN"/>
    <x v="0"/>
    <n v="79000"/>
    <x v="31"/>
    <n v="14363.636363636362"/>
    <n v="0"/>
    <n v="-14363.636363636362"/>
    <n v="0"/>
    <n v="0"/>
    <s v=""/>
    <n v="0"/>
    <n v="0"/>
    <n v="0"/>
    <d v="2014-11-04T00:00:00"/>
    <d v="1899-12-30T00:00:00"/>
    <d v="2014-11-05T00:00:00"/>
    <d v="1899-12-30T00:00:00"/>
    <d v="2014-11-10T00:00:00"/>
    <d v="1899-12-30T00:00:00"/>
    <d v="1899-12-30T00:00:00"/>
    <d v="1899-12-30T00:00:00"/>
    <d v="1899-12-30T00:00:00"/>
    <x v="1"/>
    <n v="0"/>
    <n v="17"/>
    <n v="0"/>
    <n v="0"/>
    <n v="0"/>
    <n v="0"/>
    <n v="0"/>
    <n v="17"/>
    <n v="244181.81818181815"/>
    <n v="1343000"/>
    <n v="5"/>
  </r>
  <r>
    <n v="0"/>
    <n v="0"/>
    <n v="11"/>
    <n v="11"/>
    <s v="전략"/>
    <x v="30"/>
    <s v="ELH-EVERGREEN-09"/>
    <s v="ELH-EVERGREEN-09ELHTHF5617RE"/>
    <n v="2"/>
    <s v="ELH-EVERGREEN-092"/>
    <s v="ELH-EVERGREEN-092-ELHTHF5617REDOSS"/>
    <s v="ELH의류617"/>
    <s v="ELH"/>
    <s v="ELSTHD"/>
    <m/>
    <s v="ELH"/>
    <s v="ELS HATSON"/>
    <s v="F"/>
    <n v="5"/>
    <s v="TH"/>
    <s v="HOODED T-SHIRTS"/>
    <s v="K"/>
    <n v="617"/>
    <n v="617"/>
    <s v="ELHTHF5617"/>
    <n v="0"/>
    <s v="ELSTHD3617REOSS"/>
    <s v="RE"/>
    <s v="RED"/>
    <s v="ELHTHF5617RE"/>
    <x v="2"/>
    <n v="0"/>
    <n v="0"/>
    <n v="1"/>
    <s v="OSS"/>
    <n v="14"/>
    <x v="13"/>
    <n v="9"/>
    <x v="8"/>
    <s v="M"/>
    <s v="CN"/>
    <x v="0"/>
    <n v="79000"/>
    <x v="31"/>
    <n v="14363.636363636362"/>
    <n v="0"/>
    <n v="-14363.636363636362"/>
    <n v="0"/>
    <n v="0"/>
    <s v=""/>
    <n v="0"/>
    <n v="0"/>
    <n v="0"/>
    <d v="2014-11-04T00:00:00"/>
    <d v="1899-12-30T00:00:00"/>
    <d v="2014-11-05T00:00:00"/>
    <d v="1899-12-30T00:00:00"/>
    <d v="2014-11-10T00:00:00"/>
    <d v="1899-12-30T00:00:00"/>
    <d v="1899-12-30T00:00:00"/>
    <d v="1899-12-30T00:00:00"/>
    <d v="1899-12-30T00:00:00"/>
    <x v="1"/>
    <n v="0"/>
    <n v="11"/>
    <n v="0"/>
    <n v="0"/>
    <n v="0"/>
    <n v="0"/>
    <m/>
    <n v="14"/>
    <n v="201090.90909090906"/>
    <n v="1106000"/>
    <n v="5.0000000000000009"/>
  </r>
  <r>
    <n v="0"/>
    <n v="0"/>
    <n v="11"/>
    <n v="11"/>
    <s v="전략"/>
    <x v="30"/>
    <s v="ELH-EVERGREEN-09"/>
    <s v="ELH-EVERGREEN-09ELHTHF5618MT"/>
    <n v="3"/>
    <s v="ELH-EVERGREEN-093"/>
    <s v="ELH-EVERGREEN-093-ELHTHF5618MINTOSS"/>
    <s v="ELH의류618"/>
    <s v="ELH"/>
    <s v="ELSTHD"/>
    <m/>
    <s v="ELH"/>
    <s v="ELS HATSON"/>
    <s v="F"/>
    <n v="5"/>
    <s v="TH"/>
    <s v="HOODED T-SHIRTS"/>
    <s v="K"/>
    <n v="618"/>
    <n v="618"/>
    <s v="ELHTHF5618"/>
    <n v="0"/>
    <s v="ELSTHD3618MTOSS"/>
    <s v="MT"/>
    <s v="MINT"/>
    <s v="ELHTHF5618MT"/>
    <x v="2"/>
    <n v="0"/>
    <n v="0"/>
    <n v="1"/>
    <s v="OSS"/>
    <n v="24"/>
    <x v="13"/>
    <n v="9"/>
    <x v="8"/>
    <s v="M"/>
    <s v="CN"/>
    <x v="0"/>
    <n v="79000"/>
    <x v="31"/>
    <n v="14363.636363636362"/>
    <n v="0"/>
    <n v="-14363.636363636362"/>
    <n v="0"/>
    <n v="0"/>
    <s v=""/>
    <n v="0"/>
    <n v="0"/>
    <n v="0"/>
    <d v="2014-11-04T00:00:00"/>
    <d v="1899-12-30T00:00:00"/>
    <d v="2014-11-05T00:00:00"/>
    <d v="1899-12-30T00:00:00"/>
    <d v="2014-11-10T00:00:00"/>
    <d v="1899-12-30T00:00:00"/>
    <d v="1899-12-30T00:00:00"/>
    <d v="1899-12-30T00:00:00"/>
    <d v="1899-12-30T00:00:00"/>
    <x v="1"/>
    <n v="0"/>
    <n v="22"/>
    <n v="0"/>
    <n v="0"/>
    <n v="0"/>
    <n v="0"/>
    <n v="0"/>
    <n v="24"/>
    <n v="344727.27272727271"/>
    <n v="1896000"/>
    <n v="5"/>
  </r>
  <r>
    <n v="0"/>
    <n v="0"/>
    <n v="11"/>
    <n v="11"/>
    <s v="전략"/>
    <x v="30"/>
    <s v="ELH-EVERGREEN-09"/>
    <s v="ELH-EVERGREEN-09ELHTHF5625GY"/>
    <n v="4"/>
    <s v="ELH-EVERGREEN-094"/>
    <s v="ELH-EVERGREEN-094-ELHTHF5625GREYOSS"/>
    <s v="ELH의류625"/>
    <s v="ELH"/>
    <s v="ELSTHD"/>
    <m/>
    <s v="ELH"/>
    <s v="ELS HATSON"/>
    <s v="F"/>
    <n v="5"/>
    <s v="TH"/>
    <s v="HOODED T-SHIRTS"/>
    <s v="K"/>
    <n v="625"/>
    <n v="625"/>
    <s v="ELHTHF5625"/>
    <n v="0"/>
    <s v="ELSTHD3625GYOSS"/>
    <s v="GY"/>
    <s v="GREY"/>
    <s v="ELHTHF5625GY"/>
    <x v="2"/>
    <n v="0"/>
    <n v="0"/>
    <n v="1"/>
    <s v="OSS"/>
    <n v="25"/>
    <x v="13"/>
    <n v="9"/>
    <x v="8"/>
    <s v="M"/>
    <s v="CN"/>
    <x v="0"/>
    <n v="79000"/>
    <x v="31"/>
    <n v="14363.636363636362"/>
    <n v="0"/>
    <n v="-14363.636363636362"/>
    <n v="0"/>
    <n v="0"/>
    <s v=""/>
    <n v="0"/>
    <n v="0"/>
    <n v="0"/>
    <d v="2014-11-04T00:00:00"/>
    <d v="1899-12-30T00:00:00"/>
    <d v="2014-11-05T00:00:00"/>
    <d v="1899-12-30T00:00:00"/>
    <d v="2014-11-10T00:00:00"/>
    <d v="1899-12-30T00:00:00"/>
    <d v="1899-12-30T00:00:00"/>
    <d v="1899-12-30T00:00:00"/>
    <d v="1899-12-30T00:00:00"/>
    <x v="1"/>
    <n v="0"/>
    <n v="23"/>
    <n v="0"/>
    <n v="0"/>
    <n v="0"/>
    <n v="0"/>
    <n v="0"/>
    <n v="25"/>
    <n v="359090.90909090906"/>
    <n v="1975000"/>
    <n v="5"/>
  </r>
  <r>
    <n v="0"/>
    <n v="0"/>
    <n v="11"/>
    <n v="11"/>
    <s v="전략"/>
    <x v="30"/>
    <s v="ELH-EVERGREEN-09"/>
    <s v="ELH-EVERGREEN-09ELHTHF5625GY"/>
    <n v="4"/>
    <s v="ELH-EVERGREEN-094"/>
    <s v="ELH-EVERGREEN-094-ELHTHF5625GREYOMM"/>
    <s v="ELH의류625"/>
    <s v="ELH"/>
    <s v="ELSTHD"/>
    <m/>
    <s v="ELH"/>
    <s v="ELS HATSON"/>
    <s v="F"/>
    <n v="5"/>
    <s v="TH"/>
    <s v="HOODED T-SHIRTS"/>
    <s v="K"/>
    <n v="625"/>
    <n v="625"/>
    <s v="ELHTHF5625"/>
    <n v="0"/>
    <s v="ELSTHD3625GYOMM"/>
    <s v="GY"/>
    <s v="GREY"/>
    <s v="ELHTHF5625GY"/>
    <x v="2"/>
    <n v="0"/>
    <n v="0"/>
    <n v="1"/>
    <s v="OMM"/>
    <n v="4"/>
    <x v="13"/>
    <n v="9"/>
    <x v="8"/>
    <s v="M"/>
    <s v="CN"/>
    <x v="0"/>
    <n v="79000"/>
    <x v="31"/>
    <n v="14363.636363636362"/>
    <n v="0"/>
    <n v="-14363.636363636362"/>
    <n v="0"/>
    <n v="0"/>
    <s v=""/>
    <n v="0"/>
    <n v="0"/>
    <n v="0"/>
    <d v="2014-11-04T00:00:00"/>
    <d v="1899-12-30T00:00:00"/>
    <d v="2014-11-05T00:00:00"/>
    <d v="1899-12-30T00:00:00"/>
    <d v="2014-11-10T00:00:00"/>
    <d v="1899-12-30T00:00:00"/>
    <d v="1899-12-30T00:00:00"/>
    <d v="1899-12-30T00:00:00"/>
    <d v="1899-12-30T00:00:00"/>
    <x v="1"/>
    <n v="0"/>
    <n v="3"/>
    <n v="0"/>
    <n v="0"/>
    <n v="0"/>
    <n v="0"/>
    <m/>
    <n v="4"/>
    <n v="57454.545454545449"/>
    <n v="316000"/>
    <n v="5"/>
  </r>
  <r>
    <n v="0"/>
    <n v="0"/>
    <n v="11"/>
    <n v="11"/>
    <s v="전략"/>
    <x v="30"/>
    <s v="ELH-EVERGREEN-09"/>
    <s v="ELH-EVERGREEN-09ELHTHF5625PK"/>
    <n v="5"/>
    <s v="ELH-EVERGREEN-095"/>
    <s v="ELH-EVERGREEN-095-ELHTHF5625PINKOSS"/>
    <s v="ELH의류625"/>
    <s v="ELH"/>
    <s v="ELSTHD"/>
    <m/>
    <s v="ELH"/>
    <s v="ELS HATSON"/>
    <s v="F"/>
    <n v="5"/>
    <s v="TH"/>
    <s v="HOODED T-SHIRTS"/>
    <s v="K"/>
    <n v="625"/>
    <n v="625"/>
    <s v="ELHTHF5625"/>
    <n v="0"/>
    <s v="ELSTHD3625PKOSS"/>
    <s v="PK"/>
    <s v="PINK"/>
    <s v="ELHTHF5625PK"/>
    <x v="2"/>
    <n v="0"/>
    <n v="0"/>
    <n v="1"/>
    <s v="OSS"/>
    <n v="30"/>
    <x v="13"/>
    <n v="9"/>
    <x v="8"/>
    <s v="M"/>
    <s v="CN"/>
    <x v="0"/>
    <n v="79000"/>
    <x v="31"/>
    <n v="14363.636363636362"/>
    <n v="0"/>
    <n v="-14363.636363636362"/>
    <n v="0"/>
    <n v="0"/>
    <s v=""/>
    <n v="0"/>
    <n v="0"/>
    <n v="0"/>
    <d v="2014-11-04T00:00:00"/>
    <d v="1899-12-30T00:00:00"/>
    <d v="2014-11-05T00:00:00"/>
    <d v="1899-12-30T00:00:00"/>
    <d v="2014-11-10T00:00:00"/>
    <d v="1899-12-30T00:00:00"/>
    <d v="1899-12-30T00:00:00"/>
    <d v="1899-12-30T00:00:00"/>
    <d v="1899-12-30T00:00:00"/>
    <x v="1"/>
    <n v="0"/>
    <n v="18"/>
    <n v="0"/>
    <n v="0"/>
    <n v="0"/>
    <n v="0"/>
    <m/>
    <n v="30"/>
    <n v="430909.09090909088"/>
    <n v="2370000"/>
    <n v="5"/>
  </r>
  <r>
    <n v="0"/>
    <n v="0"/>
    <n v="11"/>
    <n v="11"/>
    <s v="전략"/>
    <x v="30"/>
    <s v="ELH-EVERGREEN-09"/>
    <s v="ELH-EVERGREEN-09ELHTHF5625PK"/>
    <n v="5"/>
    <s v="ELH-EVERGREEN-095"/>
    <s v="ELH-EVERGREEN-095-ELHTHF5625PINKOMM"/>
    <s v="ELH의류625"/>
    <s v="ELH"/>
    <s v="ELSTHD"/>
    <m/>
    <s v="ELH"/>
    <s v="ELS HATSON"/>
    <s v="F"/>
    <n v="5"/>
    <s v="TH"/>
    <s v="HOODED T-SHIRTS"/>
    <s v="K"/>
    <n v="625"/>
    <n v="625"/>
    <s v="ELHTHF5625"/>
    <n v="0"/>
    <s v="ELSTHD3625PKOMM"/>
    <s v="PK"/>
    <s v="PINK"/>
    <s v="ELHTHF5625PK"/>
    <x v="2"/>
    <n v="0"/>
    <n v="0"/>
    <n v="1"/>
    <s v="OMM"/>
    <n v="11"/>
    <x v="13"/>
    <n v="9"/>
    <x v="8"/>
    <s v="M"/>
    <s v="CN"/>
    <x v="0"/>
    <n v="79000"/>
    <x v="31"/>
    <n v="14363.636363636362"/>
    <n v="0"/>
    <n v="-14363.636363636362"/>
    <n v="0"/>
    <n v="0"/>
    <s v=""/>
    <n v="0"/>
    <n v="0"/>
    <n v="0"/>
    <d v="2014-11-04T00:00:00"/>
    <d v="1899-12-30T00:00:00"/>
    <d v="2014-11-05T00:00:00"/>
    <d v="1899-12-30T00:00:00"/>
    <d v="2014-11-10T00:00:00"/>
    <d v="1899-12-30T00:00:00"/>
    <d v="1899-12-30T00:00:00"/>
    <d v="1899-12-30T00:00:00"/>
    <d v="1899-12-30T00:00:00"/>
    <x v="1"/>
    <n v="0"/>
    <n v="4"/>
    <n v="0"/>
    <n v="0"/>
    <n v="0"/>
    <n v="0"/>
    <m/>
    <n v="11"/>
    <n v="157999.99999999997"/>
    <n v="869000"/>
    <n v="5.0000000000000009"/>
  </r>
  <r>
    <n v="0"/>
    <n v="0"/>
    <n v="11"/>
    <n v="11"/>
    <s v="전략"/>
    <x v="30"/>
    <s v="ELH-EVERGREEN-09"/>
    <s v="ELH-EVERGREEN-09ELHTLF5607YE"/>
    <n v="6"/>
    <s v="ELH-EVERGREEN-096"/>
    <s v="ELH-EVERGREEN-096-ELHTLF5607YELLOWOMM"/>
    <s v="ELH의류607"/>
    <s v="ELH"/>
    <s v="ELSTLD"/>
    <m/>
    <s v="ELH"/>
    <s v="ELS HATSON"/>
    <s v="F"/>
    <n v="5"/>
    <s v="TL"/>
    <s v="LONG SLEEVES"/>
    <s v="K"/>
    <n v="607"/>
    <n v="607"/>
    <s v="ELHTLF5607"/>
    <n v="0"/>
    <s v="ELSTLD3607YEOMM"/>
    <s v="YE"/>
    <s v="YELLOW"/>
    <s v="ELHTLF5607YE"/>
    <x v="2"/>
    <n v="0"/>
    <n v="0"/>
    <n v="1"/>
    <s v="OMM"/>
    <n v="15"/>
    <x v="13"/>
    <n v="9"/>
    <x v="8"/>
    <s v="M"/>
    <s v="CN"/>
    <x v="0"/>
    <n v="59000"/>
    <x v="31"/>
    <n v="10727.272727272726"/>
    <n v="0"/>
    <n v="-10727.272727272726"/>
    <n v="0"/>
    <n v="0"/>
    <s v=""/>
    <n v="0"/>
    <n v="0"/>
    <n v="0"/>
    <d v="2014-11-04T00:00:00"/>
    <d v="1899-12-30T00:00:00"/>
    <d v="2014-11-05T00:00:00"/>
    <d v="1899-12-30T00:00:00"/>
    <d v="2014-11-10T00:00:00"/>
    <d v="1899-12-30T00:00:00"/>
    <d v="1899-12-30T00:00:00"/>
    <d v="1899-12-30T00:00:00"/>
    <d v="1899-12-30T00:00:00"/>
    <x v="1"/>
    <n v="0"/>
    <n v="13"/>
    <n v="0"/>
    <n v="0"/>
    <n v="0"/>
    <n v="0"/>
    <m/>
    <n v="15"/>
    <n v="160909.09090909088"/>
    <n v="885000"/>
    <n v="5.0000000000000009"/>
  </r>
  <r>
    <n v="0"/>
    <n v="0"/>
    <s v=""/>
    <s v=""/>
    <s v=""/>
    <x v="1"/>
    <s v=""/>
    <s v=""/>
    <n v="0"/>
    <s v="0"/>
    <s v="0-"/>
    <n v="0"/>
    <s v="TTL"/>
    <s v=""/>
    <s v="ELH-EVERGREEN-09 TTL"/>
    <m/>
    <s v=""/>
    <s v=""/>
    <s v=""/>
    <m/>
    <s v=""/>
    <s v="K"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21"/>
    <n v="0"/>
    <n v="0"/>
    <n v="0"/>
    <n v="0"/>
    <n v="0"/>
    <n v="151"/>
    <n v="2114363.6363636362"/>
    <n v="11629000"/>
    <n v="5"/>
  </r>
  <r>
    <n v="0"/>
    <n v="0"/>
    <n v="11"/>
    <n v="11"/>
    <s v="전략"/>
    <x v="30"/>
    <s v="ELH-현주실업-02"/>
    <s v="ELH-현주실업-02ELHTHF5628MT"/>
    <n v="1"/>
    <s v="ELH-현주실업-021"/>
    <s v="ELH-현주실업-021-ELHTHF5628MINTOSS"/>
    <s v="ELH의류628"/>
    <s v="ELH"/>
    <s v="ELSTHD"/>
    <m/>
    <s v="ELH"/>
    <s v="ELS HATSON"/>
    <s v="F"/>
    <n v="5"/>
    <s v="TH"/>
    <s v="HOODED T-SHIRTS"/>
    <s v="K"/>
    <n v="628"/>
    <n v="628"/>
    <s v="ELHTHF5628"/>
    <n v="0"/>
    <s v="ELSTHD3628MTOSS"/>
    <s v="MT"/>
    <s v="MINT"/>
    <s v="ELHTHF5628MT"/>
    <x v="2"/>
    <n v="0"/>
    <n v="0"/>
    <n v="1"/>
    <s v="OSS"/>
    <n v="284"/>
    <x v="20"/>
    <n v="2"/>
    <x v="4"/>
    <s v="M"/>
    <s v="KR"/>
    <x v="3"/>
    <n v="89000"/>
    <x v="31"/>
    <n v="22474.74747474747"/>
    <n v="0"/>
    <n v="-22474.74747474747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279"/>
    <n v="0"/>
    <n v="0"/>
    <n v="0"/>
    <n v="0"/>
    <n v="0"/>
    <n v="284"/>
    <n v="6382828.2828282816"/>
    <n v="25276000"/>
    <n v="3.6000000000000005"/>
  </r>
  <r>
    <n v="0"/>
    <n v="0"/>
    <n v="11"/>
    <n v="11"/>
    <s v="전략"/>
    <x v="30"/>
    <s v="ELH-현주실업-02"/>
    <s v="ELH-현주실업-02ELHTHF5628MT"/>
    <n v="1"/>
    <s v="ELH-현주실업-021"/>
    <s v="ELH-현주실업-021-ELHTHF5628MINTOMM"/>
    <s v="ELH의류628"/>
    <s v="ELH"/>
    <s v="ELSTHD"/>
    <m/>
    <s v="ELH"/>
    <s v="ELS HATSON"/>
    <s v="F"/>
    <n v="5"/>
    <s v="TH"/>
    <s v="HOODED T-SHIRTS"/>
    <s v="K"/>
    <n v="628"/>
    <n v="628"/>
    <s v="ELHTHF5628"/>
    <n v="0"/>
    <s v="ELSTHD3628MTOMM"/>
    <s v="MT"/>
    <s v="MINT"/>
    <s v="ELHTHF5628MT"/>
    <x v="2"/>
    <n v="0"/>
    <n v="0"/>
    <n v="1"/>
    <s v="OMM"/>
    <n v="54"/>
    <x v="20"/>
    <n v="2"/>
    <x v="4"/>
    <s v="M"/>
    <s v="KR"/>
    <x v="3"/>
    <n v="89000"/>
    <x v="31"/>
    <n v="22474.74747474747"/>
    <n v="0"/>
    <n v="-22474.74747474747"/>
    <n v="0"/>
    <n v="0"/>
    <s v=""/>
    <n v="0"/>
    <n v="0"/>
    <n v="0"/>
    <d v="2014-11-04T00:00:00"/>
    <d v="1899-12-30T00:00:00"/>
    <d v="2014-11-05T00:00:00"/>
    <d v="1899-12-30T00:00:00"/>
    <d v="2014-11-04T00:00:00"/>
    <d v="1899-12-30T00:00:00"/>
    <d v="1899-12-30T00:00:00"/>
    <d v="1899-12-30T00:00:00"/>
    <d v="1899-12-30T00:00:00"/>
    <x v="1"/>
    <n v="0"/>
    <n v="48"/>
    <n v="0"/>
    <n v="0"/>
    <n v="0"/>
    <n v="0"/>
    <m/>
    <n v="54"/>
    <n v="1213636.3636363633"/>
    <n v="4806000"/>
    <n v="3.6000000000000005"/>
  </r>
  <r>
    <n v="0"/>
    <n v="0"/>
    <n v="11"/>
    <n v="11"/>
    <s v="전략"/>
    <x v="30"/>
    <s v="ELH-현주실업-02"/>
    <s v="ELH-현주실업-02ELHTHF5629PK"/>
    <n v="2"/>
    <s v="ELH-현주실업-022"/>
    <s v="ELH-현주실업-022-ELHTHF5629PINKOSS"/>
    <s v="ELH의류629"/>
    <s v="ELH"/>
    <s v="ELSTHD"/>
    <m/>
    <s v="ELH"/>
    <s v="ELS HATSON"/>
    <s v="F"/>
    <n v="5"/>
    <s v="TH"/>
    <s v="HOODED T-SHIRTS"/>
    <s v="K"/>
    <n v="629"/>
    <n v="629"/>
    <s v="ELHTHF5629"/>
    <n v="0"/>
    <s v="ELSTHD3629PKOSS"/>
    <s v="PK"/>
    <s v="PINK"/>
    <s v="ELHTHF5629PK"/>
    <x v="2"/>
    <n v="0"/>
    <n v="0"/>
    <n v="1"/>
    <s v="OSS"/>
    <n v="24"/>
    <x v="20"/>
    <n v="2"/>
    <x v="4"/>
    <s v="M"/>
    <s v="KR"/>
    <x v="3"/>
    <n v="89000"/>
    <x v="31"/>
    <n v="22474.74747474747"/>
    <n v="0"/>
    <n v="-22474.74747474747"/>
    <n v="0"/>
    <n v="0"/>
    <s v=""/>
    <n v="0"/>
    <n v="0"/>
    <n v="0"/>
    <d v="2014-11-04T00:00:00"/>
    <d v="1899-12-30T00:00:00"/>
    <d v="2014-11-05T00:00:00"/>
    <d v="1899-12-30T00:00:00"/>
    <d v="2014-11-10T00:00:00"/>
    <d v="1899-12-30T00:00:00"/>
    <d v="1899-12-30T00:00:00"/>
    <d v="1899-12-30T00:00:00"/>
    <d v="1899-12-30T00:00:00"/>
    <x v="1"/>
    <n v="0"/>
    <n v="26"/>
    <n v="0"/>
    <n v="0"/>
    <n v="0"/>
    <n v="0"/>
    <n v="0"/>
    <n v="24"/>
    <n v="539393.93939393922"/>
    <n v="2136000"/>
    <n v="3.600000000000001"/>
  </r>
  <r>
    <n v="0"/>
    <n v="0"/>
    <s v=""/>
    <s v=""/>
    <s v=""/>
    <x v="1"/>
    <s v=""/>
    <s v=""/>
    <n v="0"/>
    <s v="0"/>
    <s v="0-"/>
    <n v="0"/>
    <s v="TTL"/>
    <s v=""/>
    <s v="ELH-현주실업-02 TTL"/>
    <m/>
    <s v=""/>
    <s v=""/>
    <s v=""/>
    <m/>
    <s v=""/>
    <s v="K"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53"/>
    <n v="0"/>
    <n v="0"/>
    <n v="0"/>
    <n v="0"/>
    <n v="0"/>
    <n v="362"/>
    <n v="8135858.5858585844"/>
    <n v="32218000"/>
    <n v="3.6"/>
  </r>
  <r>
    <n v="0"/>
    <n v="0"/>
    <n v="11"/>
    <n v="11"/>
    <s v="전략"/>
    <x v="30"/>
    <s v="ELH-EVERGREEN-10"/>
    <s v="ELH-EVERGREEN-10ELHTHF5617NY"/>
    <n v="1"/>
    <s v="ELH-EVERGREEN-101"/>
    <s v="ELH-EVERGREEN-101-ELHTHF5617NAVYOLL"/>
    <s v="ELH의류617"/>
    <s v="ELH"/>
    <s v="ELSTHD"/>
    <m/>
    <s v="ELH"/>
    <s v="ELS HATSON"/>
    <s v="F"/>
    <n v="5"/>
    <s v="TH"/>
    <s v="HOODED T-SHIRTS"/>
    <s v="K"/>
    <n v="617"/>
    <n v="617"/>
    <s v="ELHTHF5617"/>
    <n v="0.33333333333333331"/>
    <s v="ELSTHD3617NYOLL"/>
    <s v="NY"/>
    <s v="NAVY"/>
    <s v="ELHTHF5617NY"/>
    <x v="1"/>
    <n v="0.33333333333333331"/>
    <n v="0"/>
    <n v="1"/>
    <s v="OLL"/>
    <n v="1"/>
    <x v="13"/>
    <n v="10"/>
    <x v="21"/>
    <s v="M"/>
    <s v="CN"/>
    <x v="0"/>
    <n v="79000"/>
    <x v="31"/>
    <n v="14363.636363636362"/>
    <n v="0"/>
    <n v="-14363.636363636362"/>
    <n v="0"/>
    <n v="0"/>
    <s v=""/>
    <n v="0"/>
    <n v="0"/>
    <n v="0"/>
    <d v="2014-11-10T00:00:00"/>
    <d v="1899-12-30T00:00:00"/>
    <d v="2014-11-13T00:00:00"/>
    <d v="1899-12-30T00:00:00"/>
    <d v="2014-11-10T00:00:00"/>
    <d v="1899-12-30T00:00:00"/>
    <d v="1899-12-30T00:00:00"/>
    <d v="1899-12-30T00:00:00"/>
    <d v="1899-12-30T00:00:00"/>
    <x v="1"/>
    <n v="0"/>
    <n v="1"/>
    <n v="0"/>
    <n v="0"/>
    <n v="0"/>
    <n v="0"/>
    <n v="0"/>
    <n v="1"/>
    <n v="14363.636363636362"/>
    <n v="79000"/>
    <n v="5"/>
  </r>
  <r>
    <n v="0"/>
    <n v="0"/>
    <n v="11"/>
    <n v="11"/>
    <s v="전략"/>
    <x v="30"/>
    <s v="ELH-EVERGREEN-10"/>
    <s v="ELH-EVERGREEN-10ELHTHF5617RE"/>
    <n v="2"/>
    <s v="ELH-EVERGREEN-102"/>
    <s v="ELH-EVERGREEN-102-ELHTHF5617REDOMM"/>
    <s v="ELH의류617"/>
    <s v="ELH"/>
    <s v="ELSTHD"/>
    <m/>
    <s v="ELH"/>
    <s v="ELS HATSON"/>
    <s v="F"/>
    <n v="5"/>
    <s v="TH"/>
    <s v="HOODED T-SHIRTS"/>
    <s v="K"/>
    <n v="617"/>
    <n v="617"/>
    <s v="ELHTHF5617"/>
    <n v="0.5"/>
    <s v="ELSTHD3617REOMM"/>
    <s v="RE"/>
    <s v="RED"/>
    <s v="ELHTHF5617RE"/>
    <x v="1"/>
    <n v="0.5"/>
    <n v="0"/>
    <n v="1"/>
    <s v="OMM"/>
    <n v="1"/>
    <x v="13"/>
    <n v="10"/>
    <x v="21"/>
    <s v="M"/>
    <s v="CN"/>
    <x v="0"/>
    <n v="79000"/>
    <x v="31"/>
    <n v="14363.636363636362"/>
    <n v="0"/>
    <n v="-14363.636363636362"/>
    <n v="0"/>
    <n v="0"/>
    <s v=""/>
    <n v="0"/>
    <n v="0"/>
    <n v="0"/>
    <d v="2014-11-10T00:00:00"/>
    <d v="1899-12-30T00:00:00"/>
    <d v="2014-11-13T00:00:00"/>
    <d v="1899-12-30T00:00:00"/>
    <d v="2014-11-10T00:00:00"/>
    <d v="1899-12-30T00:00:00"/>
    <d v="1899-12-30T00:00:00"/>
    <d v="1899-12-30T00:00:00"/>
    <d v="1899-12-30T00:00:00"/>
    <x v="1"/>
    <n v="0"/>
    <n v="1"/>
    <n v="0"/>
    <n v="0"/>
    <n v="0"/>
    <n v="0"/>
    <n v="0"/>
    <n v="1"/>
    <n v="14363.636363636362"/>
    <n v="79000"/>
    <n v="5"/>
  </r>
  <r>
    <n v="0"/>
    <n v="0"/>
    <n v="11"/>
    <n v="11"/>
    <s v="전략"/>
    <x v="30"/>
    <s v="ELH-EVERGREEN-10"/>
    <s v="ELH-EVERGREEN-10ELHTHF5618BK"/>
    <n v="3"/>
    <s v="ELH-EVERGREEN-103"/>
    <s v="ELH-EVERGREEN-103-ELHTHF5618BLACKOSS"/>
    <s v="ELH의류618"/>
    <s v="ELH"/>
    <s v="ELSTHD"/>
    <m/>
    <s v="ELH"/>
    <s v="ELS HATSON"/>
    <s v="F"/>
    <n v="5"/>
    <s v="TH"/>
    <s v="HOODED T-SHIRTS"/>
    <s v="K"/>
    <n v="618"/>
    <n v="618"/>
    <s v="ELHTHF5618"/>
    <n v="0.5"/>
    <s v="ELSTHD3618BKOSS"/>
    <s v="BK"/>
    <s v="BLACK"/>
    <s v="ELHTHF5618BK"/>
    <x v="1"/>
    <n v="0.5"/>
    <n v="0"/>
    <n v="1"/>
    <s v="OSS"/>
    <n v="3"/>
    <x v="13"/>
    <n v="10"/>
    <x v="21"/>
    <s v="M"/>
    <s v="CN"/>
    <x v="0"/>
    <n v="79000"/>
    <x v="31"/>
    <n v="14363.636363636362"/>
    <n v="0"/>
    <n v="-14363.636363636362"/>
    <n v="0"/>
    <n v="0"/>
    <s v=""/>
    <n v="0"/>
    <n v="0"/>
    <n v="0"/>
    <d v="2014-11-10T00:00:00"/>
    <d v="1899-12-30T00:00:00"/>
    <d v="2014-11-13T00:00:00"/>
    <d v="1899-12-30T00:00:00"/>
    <d v="2014-11-10T00:00:00"/>
    <d v="1899-12-30T00:00:00"/>
    <d v="1899-12-30T00:00:00"/>
    <d v="1899-12-30T00:00:00"/>
    <d v="1899-12-30T00:00:00"/>
    <x v="1"/>
    <n v="0"/>
    <n v="3"/>
    <n v="0"/>
    <n v="0"/>
    <n v="0"/>
    <n v="0"/>
    <n v="0"/>
    <n v="3"/>
    <n v="43090.909090909088"/>
    <n v="237000"/>
    <n v="5"/>
  </r>
  <r>
    <n v="0"/>
    <n v="0"/>
    <n v="11"/>
    <n v="11"/>
    <s v="전략"/>
    <x v="30"/>
    <s v="ELH-EVERGREEN-10"/>
    <s v="ELH-EVERGREEN-10ELHTHF5618BK"/>
    <n v="3"/>
    <s v="ELH-EVERGREEN-103"/>
    <s v="ELH-EVERGREEN-103-ELHTHF5618BLACKOMM"/>
    <s v="ELH의류618"/>
    <s v="ELH"/>
    <s v="ELSTHD"/>
    <m/>
    <s v="ELH"/>
    <s v="ELS HATSON"/>
    <s v="F"/>
    <n v="5"/>
    <s v="TH"/>
    <s v="HOODED T-SHIRTS"/>
    <s v="K"/>
    <n v="618"/>
    <n v="618"/>
    <s v="ELHTHF5618"/>
    <n v="0.5"/>
    <s v="ELSTHD3618BKOMM"/>
    <s v="BK"/>
    <s v="BLACK"/>
    <s v="ELHTHF5618BK"/>
    <x v="1"/>
    <n v="0.5"/>
    <n v="0"/>
    <n v="1"/>
    <s v="OMM"/>
    <n v="2"/>
    <x v="13"/>
    <n v="10"/>
    <x v="21"/>
    <s v="M"/>
    <s v="CN"/>
    <x v="0"/>
    <n v="79000"/>
    <x v="31"/>
    <n v="14363.636363636362"/>
    <n v="0"/>
    <n v="-14363.636363636362"/>
    <n v="0"/>
    <n v="0"/>
    <s v=""/>
    <n v="0"/>
    <n v="0"/>
    <n v="0"/>
    <d v="2014-11-10T00:00:00"/>
    <d v="1899-12-30T00:00:00"/>
    <d v="2014-11-13T00:00:00"/>
    <d v="1899-12-30T00:00:00"/>
    <d v="2014-11-10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28727.272727272724"/>
    <n v="158000"/>
    <n v="5"/>
  </r>
  <r>
    <n v="0"/>
    <n v="0"/>
    <n v="11"/>
    <n v="11"/>
    <s v="전략"/>
    <x v="30"/>
    <s v="ELH-EVERGREEN-10"/>
    <s v="ELH-EVERGREEN-10ELHTHF5618MT"/>
    <n v="4"/>
    <s v="ELH-EVERGREEN-104"/>
    <s v="ELH-EVERGREEN-104-ELHTHF5618MINTOMM"/>
    <s v="ELH의류618"/>
    <s v="ELH"/>
    <s v="ELSTHD"/>
    <m/>
    <s v="ELH"/>
    <s v="ELS HATSON"/>
    <s v="F"/>
    <n v="5"/>
    <s v="TH"/>
    <s v="HOODED T-SHIRTS"/>
    <s v="K"/>
    <n v="618"/>
    <n v="618"/>
    <s v="ELHTHF5618"/>
    <n v="0.5"/>
    <s v="ELSTHD3618MTOMM"/>
    <s v="MT"/>
    <s v="MINT"/>
    <s v="ELHTHF5618MT"/>
    <x v="1"/>
    <n v="0.5"/>
    <n v="0"/>
    <n v="1"/>
    <s v="OMM"/>
    <n v="6"/>
    <x v="13"/>
    <n v="10"/>
    <x v="21"/>
    <s v="M"/>
    <s v="CN"/>
    <x v="0"/>
    <n v="79000"/>
    <x v="31"/>
    <n v="14363.636363636362"/>
    <n v="0"/>
    <n v="-14363.636363636362"/>
    <n v="0"/>
    <n v="0"/>
    <s v=""/>
    <n v="0"/>
    <n v="0"/>
    <n v="0"/>
    <d v="2014-11-10T00:00:00"/>
    <d v="1899-12-30T00:00:00"/>
    <d v="2014-11-13T00:00:00"/>
    <d v="1899-12-30T00:00:00"/>
    <d v="2014-11-10T00:00:00"/>
    <d v="1899-12-30T00:00:00"/>
    <d v="1899-12-30T00:00:00"/>
    <d v="1899-12-30T00:00:00"/>
    <d v="1899-12-30T00:00:00"/>
    <x v="1"/>
    <n v="0"/>
    <n v="6"/>
    <n v="0"/>
    <n v="0"/>
    <n v="0"/>
    <n v="0"/>
    <n v="0"/>
    <n v="6"/>
    <n v="86181.818181818177"/>
    <n v="474000"/>
    <n v="5"/>
  </r>
  <r>
    <n v="0"/>
    <n v="0"/>
    <s v=""/>
    <s v=""/>
    <s v=""/>
    <x v="1"/>
    <s v=""/>
    <s v=""/>
    <n v="0"/>
    <s v="0"/>
    <s v="0-"/>
    <n v="0"/>
    <s v="TTL"/>
    <s v=""/>
    <s v="ELH-EVERGREEN-10 TTL"/>
    <m/>
    <s v=""/>
    <s v=""/>
    <s v=""/>
    <m/>
    <s v=""/>
    <s v="K"/>
    <m/>
    <s v=""/>
    <s v=""/>
    <n v="2.333333333333333"/>
    <m/>
    <s v=""/>
    <m/>
    <s v=""/>
    <x v="0"/>
    <n v="2.33333333333333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3"/>
    <n v="0"/>
    <n v="0"/>
    <n v="0"/>
    <n v="0"/>
    <n v="0"/>
    <n v="13"/>
    <n v="186727.27272727271"/>
    <n v="1027000"/>
    <n v="5"/>
  </r>
  <r>
    <n v="0"/>
    <n v="0"/>
    <n v="11"/>
    <n v="11"/>
    <s v="전략"/>
    <x v="30"/>
    <s v="ELH-현주실업-03"/>
    <s v="ELH-현주실업-03ELHTHF5629PK"/>
    <n v="1"/>
    <s v="ELH-현주실업-031"/>
    <s v="ELH-현주실업-031-ELHTHF5629PINKOMM"/>
    <s v="ELH의류629"/>
    <s v="ELH"/>
    <s v="ELSTHD"/>
    <m/>
    <s v="ELH"/>
    <s v="ELS HATSON"/>
    <s v="F"/>
    <n v="5"/>
    <s v="TH"/>
    <s v="HOODED T-SHIRTS"/>
    <s v="K"/>
    <n v="629"/>
    <n v="629"/>
    <s v="ELHTHF5629"/>
    <n v="0.33333333333333331"/>
    <s v="ELSTHD3629PKOMM"/>
    <s v="PK"/>
    <s v="PINK"/>
    <s v="ELHTHF5629PK"/>
    <x v="1"/>
    <n v="0.33333333333333331"/>
    <n v="0"/>
    <n v="1"/>
    <s v="OMM"/>
    <n v="12"/>
    <x v="20"/>
    <n v="3"/>
    <x v="2"/>
    <s v="M"/>
    <s v="KR"/>
    <x v="3"/>
    <n v="89000"/>
    <x v="31"/>
    <n v="22474.74747474747"/>
    <n v="0"/>
    <n v="-22474.74747474747"/>
    <n v="0"/>
    <n v="0"/>
    <s v=""/>
    <n v="0"/>
    <n v="0"/>
    <n v="0"/>
    <d v="2014-11-10T00:00:00"/>
    <d v="1899-12-30T00:00:00"/>
    <d v="2014-11-13T00:00:00"/>
    <d v="1899-12-30T00:00:00"/>
    <d v="2014-11-10T00:00:00"/>
    <d v="1899-12-30T00:00:00"/>
    <d v="1899-12-30T00:00:00"/>
    <d v="1899-12-30T00:00:00"/>
    <d v="1899-12-30T00:00:00"/>
    <x v="1"/>
    <n v="0"/>
    <n v="12"/>
    <n v="0"/>
    <n v="0"/>
    <n v="0"/>
    <n v="0"/>
    <n v="0"/>
    <n v="12"/>
    <n v="269696.96969696961"/>
    <n v="1068000"/>
    <n v="3.600000000000001"/>
  </r>
  <r>
    <n v="0"/>
    <n v="0"/>
    <n v="11"/>
    <n v="11"/>
    <s v="전략"/>
    <x v="30"/>
    <s v="ELH-현주실업-03"/>
    <s v="ELH-현주실업-03ELHTHF5629PK"/>
    <n v="1"/>
    <s v="ELH-현주실업-031"/>
    <s v="ELH-현주실업-031-ELHTHF5629PINKOLL"/>
    <s v="ELH의류629"/>
    <s v="ELH"/>
    <s v="ELSTHD"/>
    <m/>
    <s v="ELH"/>
    <s v="ELS HATSON"/>
    <s v="F"/>
    <n v="5"/>
    <s v="TH"/>
    <s v="HOODED T-SHIRTS"/>
    <s v="K"/>
    <n v="629"/>
    <n v="629"/>
    <s v="ELHTHF5629"/>
    <n v="0.33333333333333331"/>
    <s v="ELSTHD3629PKOLL"/>
    <s v="PK"/>
    <s v="PINK"/>
    <s v="ELHTHF5629PK"/>
    <x v="1"/>
    <n v="0.33333333333333331"/>
    <n v="0"/>
    <n v="1"/>
    <s v="OLL"/>
    <n v="1"/>
    <x v="20"/>
    <n v="3"/>
    <x v="2"/>
    <s v="M"/>
    <s v="KR"/>
    <x v="3"/>
    <n v="89000"/>
    <x v="31"/>
    <n v="22474.74747474747"/>
    <n v="0"/>
    <n v="-22474.74747474747"/>
    <n v="0"/>
    <n v="0"/>
    <s v=""/>
    <n v="0"/>
    <n v="0"/>
    <n v="0"/>
    <d v="2014-11-10T00:00:00"/>
    <d v="1899-12-30T00:00:00"/>
    <d v="2014-11-13T00:00:00"/>
    <d v="1899-12-30T00:00:00"/>
    <d v="2014-11-10T00:00:00"/>
    <d v="1899-12-30T00:00:00"/>
    <d v="1899-12-30T00:00:00"/>
    <d v="1899-12-30T00:00:00"/>
    <d v="1899-12-30T00:00:00"/>
    <x v="1"/>
    <n v="0"/>
    <n v="1"/>
    <n v="0"/>
    <n v="0"/>
    <n v="0"/>
    <n v="0"/>
    <n v="0"/>
    <n v="1"/>
    <n v="22474.74747474747"/>
    <n v="89000"/>
    <n v="3.6000000000000005"/>
  </r>
  <r>
    <n v="0"/>
    <n v="0"/>
    <s v=""/>
    <s v=""/>
    <s v=""/>
    <x v="1"/>
    <s v=""/>
    <s v=""/>
    <n v="0"/>
    <s v="0"/>
    <s v="0-"/>
    <n v="0"/>
    <s v="TTL"/>
    <s v=""/>
    <s v="ELH-현주실업-03 TTL"/>
    <m/>
    <s v=""/>
    <s v=""/>
    <s v=""/>
    <m/>
    <s v=""/>
    <s v="K"/>
    <m/>
    <s v=""/>
    <s v=""/>
    <n v="0.66666666666666663"/>
    <m/>
    <s v=""/>
    <m/>
    <s v=""/>
    <x v="0"/>
    <n v="0.6666666666666666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3"/>
    <n v="0"/>
    <n v="0"/>
    <n v="0"/>
    <n v="0"/>
    <n v="0"/>
    <n v="13"/>
    <n v="292171.71717171709"/>
    <n v="1157000"/>
    <n v="3.600000000000001"/>
  </r>
  <r>
    <n v="0"/>
    <n v="0"/>
    <n v="11"/>
    <n v="11"/>
    <s v="전략"/>
    <x v="30"/>
    <s v="ELH-아트인드림-16"/>
    <s v="ELH-아트인드림-16ELHTLF5639PK"/>
    <n v="1"/>
    <s v="ELH-아트인드림-161"/>
    <s v="ELH-아트인드림-161-ELHTLF5639PINKOLL"/>
    <s v="ELH의류639"/>
    <s v="ELH"/>
    <s v="ELSTLD"/>
    <m/>
    <s v="ELH"/>
    <s v="ELS HATSON"/>
    <s v="F"/>
    <n v="5"/>
    <s v="TL"/>
    <s v="LONG SLEEVES"/>
    <s v="K"/>
    <n v="639"/>
    <n v="639"/>
    <s v="ELHTLF5639"/>
    <n v="0.5"/>
    <s v="ELSTLD3639PKOLL"/>
    <s v="PK"/>
    <s v="PINK"/>
    <s v="ELHTLF5639PK"/>
    <x v="1"/>
    <n v="0.5"/>
    <n v="0"/>
    <n v="1"/>
    <s v="OLL"/>
    <n v="1"/>
    <x v="15"/>
    <n v="16"/>
    <x v="17"/>
    <s v="M"/>
    <s v="KR"/>
    <x v="3"/>
    <n v="79000"/>
    <x v="31"/>
    <n v="19949.494949494947"/>
    <n v="0"/>
    <n v="-19949.494949494947"/>
    <n v="0"/>
    <n v="0"/>
    <s v=""/>
    <n v="0"/>
    <n v="0"/>
    <n v="0"/>
    <d v="2014-11-10T00:00:00"/>
    <d v="1899-12-30T00:00:00"/>
    <d v="2014-11-13T00:00:00"/>
    <d v="1899-12-30T00:00:00"/>
    <d v="2014-11-10T00:00:00"/>
    <d v="1899-12-30T00:00:00"/>
    <d v="1899-12-30T00:00:00"/>
    <d v="1899-12-30T00:00:00"/>
    <d v="1899-12-30T00:00:00"/>
    <x v="1"/>
    <n v="0"/>
    <n v="1"/>
    <n v="0"/>
    <n v="0"/>
    <n v="0"/>
    <n v="0"/>
    <n v="0"/>
    <n v="1"/>
    <n v="19949.494949494947"/>
    <n v="79000"/>
    <n v="3.6000000000000005"/>
  </r>
  <r>
    <n v="0"/>
    <n v="0"/>
    <s v=""/>
    <s v=""/>
    <s v=""/>
    <x v="1"/>
    <s v=""/>
    <s v=""/>
    <n v="0"/>
    <s v="0"/>
    <s v="0-"/>
    <n v="0"/>
    <s v="TTL"/>
    <s v=""/>
    <s v="ELH-아트인드림-16 TTL"/>
    <m/>
    <s v=""/>
    <s v=""/>
    <s v=""/>
    <m/>
    <s v=""/>
    <s v="K"/>
    <m/>
    <s v=""/>
    <s v=""/>
    <n v="0.5"/>
    <m/>
    <s v=""/>
    <m/>
    <s v=""/>
    <x v="0"/>
    <n v="0.5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"/>
    <n v="0"/>
    <n v="0"/>
    <n v="0"/>
    <n v="0"/>
    <n v="0"/>
    <n v="1"/>
    <n v="19949.494949494947"/>
    <n v="79000"/>
    <n v="3.6000000000000005"/>
  </r>
  <r>
    <n v="0"/>
    <n v="0"/>
    <n v="11"/>
    <n v="12"/>
    <s v="STREET"/>
    <x v="36"/>
    <s v="BRH-동일모자-30"/>
    <s v="BRH-동일모자-30BRHERF5504WH"/>
    <n v="1"/>
    <s v="BRH-동일모자-301"/>
    <s v="BRH-동일모자-301-BRHERF5504WHITEOSM"/>
    <s v="BRH의류외504"/>
    <s v="BRH"/>
    <s v="BROERF"/>
    <m/>
    <s v="BRH"/>
    <s v="BEARHEAD"/>
    <s v="F"/>
    <n v="5"/>
    <s v="ER"/>
    <s v="EARCAP"/>
    <s v="K"/>
    <n v="504"/>
    <n v="504"/>
    <s v="BRHERF5504"/>
    <n v="0.5"/>
    <s v="BROERF5504WHOSM"/>
    <s v="WH"/>
    <s v="WHITE"/>
    <s v="BRHERF5504WH"/>
    <x v="0"/>
    <n v="0.5"/>
    <n v="0"/>
    <n v="1"/>
    <s v="OSM"/>
    <n v="50"/>
    <x v="5"/>
    <n v="30"/>
    <x v="32"/>
    <s v="M"/>
    <s v="CN"/>
    <x v="0"/>
    <n v="55000"/>
    <x v="32"/>
    <n v="8333.3333333333321"/>
    <n v="0"/>
    <n v="-8333.333333333332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416666.66666666663"/>
    <n v="2750000"/>
    <n v="6"/>
  </r>
  <r>
    <n v="0"/>
    <n v="0"/>
    <n v="11"/>
    <n v="12"/>
    <s v="STREET"/>
    <x v="36"/>
    <s v="BRH-동일모자-30"/>
    <s v="BRH-동일모자-30BRHERF5504WH"/>
    <n v="1"/>
    <s v="BRH-동일모자-301"/>
    <s v="BRH-동일모자-301-BRHERF5504WHITEOML"/>
    <s v="BRH의류외504"/>
    <s v="BRH"/>
    <s v="BROERF"/>
    <m/>
    <s v="BRH"/>
    <s v="BEARHEAD"/>
    <s v="F"/>
    <n v="5"/>
    <s v="ER"/>
    <s v="EARCAP"/>
    <s v="K"/>
    <n v="504"/>
    <n v="504"/>
    <s v="BRHERF5504"/>
    <n v="0.5"/>
    <s v="BROERF5504WHOML"/>
    <s v="WH"/>
    <s v="WHITE"/>
    <s v="BRHERF5504WH"/>
    <x v="0"/>
    <n v="0.5"/>
    <n v="0"/>
    <n v="1"/>
    <s v="OML"/>
    <n v="30"/>
    <x v="5"/>
    <n v="30"/>
    <x v="32"/>
    <s v="M"/>
    <s v="CN"/>
    <x v="0"/>
    <n v="55000"/>
    <x v="32"/>
    <n v="8333.3333333333321"/>
    <n v="0"/>
    <n v="-8333.333333333332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249999.99999999997"/>
    <n v="1650000"/>
    <n v="6"/>
  </r>
  <r>
    <n v="0"/>
    <n v="0"/>
    <s v=""/>
    <s v=""/>
    <s v=""/>
    <x v="1"/>
    <s v=""/>
    <s v=""/>
    <n v="0"/>
    <s v="0"/>
    <s v="0-"/>
    <n v="0"/>
    <s v="TTL"/>
    <s v=""/>
    <s v="BRH-동일모자-30 TTL"/>
    <m/>
    <s v=""/>
    <s v=""/>
    <s v=""/>
    <m/>
    <s v=""/>
    <s v="K"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80"/>
    <n v="0"/>
    <n v="0"/>
    <n v="0"/>
    <n v="0"/>
    <n v="0"/>
    <n v="80"/>
    <n v="666666.66666666663"/>
    <n v="4400000"/>
    <n v="6"/>
  </r>
  <r>
    <n v="0"/>
    <n v="0"/>
    <n v="11"/>
    <n v="12"/>
    <s v="F-CAP"/>
    <x v="23"/>
    <s v="ELH-동일모자-31"/>
    <s v="ELH-동일모자-31ELHERF5511GR"/>
    <n v="1"/>
    <s v="ELH-동일모자-311"/>
    <s v="ELH-동일모자-311-ELHERF5511GREENOSM"/>
    <s v="ELH의류외511"/>
    <s v="ELH"/>
    <s v="ELSERF"/>
    <m/>
    <s v="ELH"/>
    <s v="ELS HATSON"/>
    <s v="F"/>
    <n v="5"/>
    <s v="ER"/>
    <s v="EARCAP"/>
    <s v="K"/>
    <n v="511"/>
    <n v="511"/>
    <s v="ELHERF5511"/>
    <n v="1"/>
    <s v="ELSERF5511GROSM"/>
    <s v="GR"/>
    <s v="GREEN"/>
    <s v="ELHERF5511GR"/>
    <x v="0"/>
    <n v="1"/>
    <n v="0"/>
    <n v="1"/>
    <s v="OSM"/>
    <n v="50"/>
    <x v="5"/>
    <n v="31"/>
    <x v="33"/>
    <s v="M"/>
    <s v="CN"/>
    <x v="0"/>
    <n v="55000"/>
    <x v="32"/>
    <n v="8333.3333333333321"/>
    <n v="0"/>
    <n v="-8333.333333333332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416666.66666666663"/>
    <n v="2750000"/>
    <n v="6"/>
  </r>
  <r>
    <n v="0"/>
    <n v="0"/>
    <n v="11"/>
    <n v="12"/>
    <s v="F-CAP"/>
    <x v="23"/>
    <s v="ELH-동일모자-31"/>
    <s v="ELH-동일모자-31ELHERF5512RE"/>
    <n v="2"/>
    <s v="ELH-동일모자-312"/>
    <s v="ELH-동일모자-312-ELHERF5512REDOSM"/>
    <s v="ELH의류외512"/>
    <s v="ELH"/>
    <s v="ELSERF"/>
    <m/>
    <s v="ELH"/>
    <s v="ELS HATSON"/>
    <s v="F"/>
    <n v="5"/>
    <s v="ER"/>
    <s v="EARCAP"/>
    <s v="K"/>
    <n v="512"/>
    <n v="512"/>
    <s v="ELHERF5512"/>
    <n v="1"/>
    <s v="ELSERF5512REOSM"/>
    <s v="RE"/>
    <s v="RED"/>
    <s v="ELHERF5512RE"/>
    <x v="0"/>
    <n v="1"/>
    <n v="0"/>
    <n v="1"/>
    <s v="OSM"/>
    <n v="50"/>
    <x v="5"/>
    <n v="31"/>
    <x v="33"/>
    <s v="M"/>
    <s v="CN"/>
    <x v="0"/>
    <n v="55000"/>
    <x v="32"/>
    <n v="8333.3333333333321"/>
    <n v="0"/>
    <n v="-8333.333333333332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416666.66666666663"/>
    <n v="2750000"/>
    <n v="6"/>
  </r>
  <r>
    <n v="0"/>
    <n v="0"/>
    <n v="11"/>
    <n v="12"/>
    <s v="F-CAP"/>
    <x v="23"/>
    <s v="ELH-동일모자-31"/>
    <s v="ELH-동일모자-31ELHERF5513PK"/>
    <n v="3"/>
    <s v="ELH-동일모자-313"/>
    <s v="ELH-동일모자-313-ELHERF5513PINKOML"/>
    <s v="ELH의류외513"/>
    <s v="ELH"/>
    <s v="ELSERF"/>
    <m/>
    <s v="ELH"/>
    <s v="ELS HATSON"/>
    <s v="F"/>
    <n v="5"/>
    <s v="ER"/>
    <s v="EARCAP"/>
    <s v="K"/>
    <n v="513"/>
    <n v="513"/>
    <s v="ELHERF5513"/>
    <n v="1"/>
    <s v="ELSERF5513PKOML"/>
    <s v="PK"/>
    <s v="PINK"/>
    <s v="ELHERF5513PK"/>
    <x v="0"/>
    <n v="1"/>
    <n v="0"/>
    <n v="1"/>
    <s v="OML"/>
    <n v="20"/>
    <x v="5"/>
    <n v="31"/>
    <x v="33"/>
    <s v="M"/>
    <s v="CN"/>
    <x v="0"/>
    <n v="55000"/>
    <x v="32"/>
    <n v="8333.3333333333321"/>
    <n v="0"/>
    <n v="-8333.333333333332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0"/>
    <n v="0"/>
    <n v="0"/>
    <n v="0"/>
    <n v="0"/>
    <n v="0"/>
    <n v="20"/>
    <n v="166666.66666666663"/>
    <n v="1100000"/>
    <n v="6.0000000000000009"/>
  </r>
  <r>
    <n v="0"/>
    <n v="0"/>
    <n v="11"/>
    <n v="12"/>
    <s v="F-CAP"/>
    <x v="23"/>
    <s v="ELH-동일모자-31"/>
    <s v="ELH-동일모자-31ELHERF5519RE"/>
    <n v="4"/>
    <s v="ELH-동일모자-314"/>
    <s v="ELH-동일모자-314-ELHERF5519REDOSM"/>
    <s v="ELH의류외519"/>
    <s v="ELH"/>
    <s v="ELSERF"/>
    <m/>
    <s v="ELH"/>
    <s v="ELS HATSON"/>
    <s v="F"/>
    <n v="5"/>
    <s v="ER"/>
    <s v="EARCAP"/>
    <s v="K"/>
    <n v="519"/>
    <n v="519"/>
    <s v="ELHERF5519"/>
    <n v="0.5"/>
    <s v="ELSERF5519REOSM"/>
    <s v="RE"/>
    <s v="RED"/>
    <s v="ELHERF5519RE"/>
    <x v="0"/>
    <n v="0.5"/>
    <n v="0"/>
    <n v="1"/>
    <s v="OSM"/>
    <n v="30"/>
    <x v="5"/>
    <n v="31"/>
    <x v="33"/>
    <s v="M"/>
    <s v="CN"/>
    <x v="0"/>
    <n v="55000"/>
    <x v="32"/>
    <n v="8333.3333333333321"/>
    <n v="0"/>
    <n v="-8333.333333333332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249999.99999999997"/>
    <n v="1650000"/>
    <n v="6"/>
  </r>
  <r>
    <n v="0"/>
    <n v="0"/>
    <n v="11"/>
    <n v="12"/>
    <s v="F-CAP"/>
    <x v="23"/>
    <s v="ELH-동일모자-31"/>
    <s v="ELH-동일모자-31ELHERF5519RE"/>
    <n v="4"/>
    <s v="ELH-동일모자-314"/>
    <s v="ELH-동일모자-314-ELHERF5519REDOML"/>
    <s v="ELH의류외519"/>
    <s v="ELH"/>
    <s v="ELSERF"/>
    <m/>
    <s v="ELH"/>
    <s v="ELS HATSON"/>
    <s v="F"/>
    <n v="5"/>
    <s v="ER"/>
    <s v="EARCAP"/>
    <s v="K"/>
    <n v="519"/>
    <n v="519"/>
    <s v="ELHERF5519"/>
    <n v="0.5"/>
    <s v="ELSERF5519REOML"/>
    <s v="RE"/>
    <s v="RED"/>
    <s v="ELHERF5519RE"/>
    <x v="0"/>
    <n v="0.5"/>
    <n v="0"/>
    <n v="1"/>
    <s v="OML"/>
    <n v="10"/>
    <x v="5"/>
    <n v="31"/>
    <x v="33"/>
    <s v="M"/>
    <s v="CN"/>
    <x v="0"/>
    <n v="55000"/>
    <x v="32"/>
    <n v="8333.3333333333321"/>
    <n v="0"/>
    <n v="-8333.333333333332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83333.333333333314"/>
    <n v="550000"/>
    <n v="6.0000000000000009"/>
  </r>
  <r>
    <n v="0"/>
    <n v="0"/>
    <s v=""/>
    <s v=""/>
    <s v=""/>
    <x v="1"/>
    <s v=""/>
    <s v=""/>
    <n v="0"/>
    <s v="0"/>
    <s v="0-"/>
    <n v="0"/>
    <s v="TTL"/>
    <s v=""/>
    <s v="ELH-동일모자-31 TTL"/>
    <m/>
    <s v=""/>
    <s v=""/>
    <s v=""/>
    <m/>
    <s v=""/>
    <s v="K"/>
    <m/>
    <s v=""/>
    <s v=""/>
    <n v="4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60"/>
    <n v="0"/>
    <n v="0"/>
    <n v="0"/>
    <n v="0"/>
    <n v="0"/>
    <n v="160"/>
    <n v="1333333.333333333"/>
    <n v="8800000"/>
    <n v="6.0000000000000009"/>
  </r>
  <r>
    <n v="0"/>
    <n v="0"/>
    <n v="11"/>
    <n v="12"/>
    <s v="F-CAP"/>
    <x v="23"/>
    <s v="ELH-FOREMOST-41"/>
    <s v="ELH-FOREMOST-41ELHERF5516OR"/>
    <n v="1"/>
    <s v="ELH-FOREMOST-411"/>
    <s v="ELH-FOREMOST-411-ELHERF5516ORANGEOSM"/>
    <s v="ELH의류외516"/>
    <s v="ELH"/>
    <s v="ELSERF"/>
    <m/>
    <s v="ELH"/>
    <s v="ELS HATSON"/>
    <s v="F"/>
    <n v="5"/>
    <s v="ER"/>
    <s v="EARCAP"/>
    <s v="K"/>
    <n v="516"/>
    <n v="516"/>
    <s v="ELHERF5516"/>
    <n v="1"/>
    <s v="ELSERF5516OROSM"/>
    <s v="OR"/>
    <s v="ORANGE"/>
    <s v="ELHERF5516OR"/>
    <x v="0"/>
    <n v="1"/>
    <n v="0"/>
    <n v="1"/>
    <s v="OSM"/>
    <n v="30"/>
    <x v="4"/>
    <n v="41"/>
    <x v="41"/>
    <s v="M"/>
    <s v="CN"/>
    <x v="0"/>
    <n v="45000"/>
    <x v="32"/>
    <n v="6818.1818181818171"/>
    <n v="0"/>
    <n v="-6818.181818181817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204545.4545454545"/>
    <n v="1350000"/>
    <n v="6.0000000000000009"/>
  </r>
  <r>
    <n v="0"/>
    <n v="0"/>
    <s v=""/>
    <s v=""/>
    <s v=""/>
    <x v="1"/>
    <s v=""/>
    <s v=""/>
    <n v="0"/>
    <s v="0"/>
    <s v="0-"/>
    <n v="0"/>
    <s v="TTL"/>
    <s v=""/>
    <s v="ELH-FOREMOST-41 TTL"/>
    <m/>
    <s v=""/>
    <s v=""/>
    <s v=""/>
    <m/>
    <s v=""/>
    <s v="K"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204545.4545454545"/>
    <n v="1350000"/>
    <n v="6.0000000000000009"/>
  </r>
  <r>
    <n v="0"/>
    <n v="0"/>
    <n v="11"/>
    <n v="12"/>
    <s v="F-CAP"/>
    <x v="37"/>
    <s v="SBH-FOREMOST-42"/>
    <s v="SBH-FOREMOST-42SBHBAF5512BG"/>
    <n v="1"/>
    <s v="SBH-FOREMOST-421"/>
    <s v="SBH-FOREMOST-421-SBHBAF5512BEIGEOSM"/>
    <s v="SBH의류외512"/>
    <s v="SBH"/>
    <s v="SBRBAF"/>
    <m/>
    <s v="SBH"/>
    <s v="SBR HATSON"/>
    <s v="F"/>
    <n v="5"/>
    <s v="BA"/>
    <s v="BASIC CAP"/>
    <s v="K"/>
    <n v="512"/>
    <n v="512"/>
    <s v="SBHBAF5512"/>
    <n v="0.5"/>
    <s v="SBRBAF5512BGOSM"/>
    <s v="BG"/>
    <s v="BEIGE"/>
    <s v="SBHBAF5512BG"/>
    <x v="0"/>
    <n v="0.5"/>
    <n v="0"/>
    <n v="1"/>
    <s v="OSM"/>
    <n v="70"/>
    <x v="4"/>
    <n v="42"/>
    <x v="42"/>
    <s v="M"/>
    <s v="CN"/>
    <x v="0"/>
    <n v="45000"/>
    <x v="32"/>
    <n v="6818.1818181818171"/>
    <n v="0"/>
    <n v="-6818.181818181817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70"/>
    <n v="0"/>
    <n v="0"/>
    <n v="0"/>
    <n v="0"/>
    <n v="0"/>
    <n v="70"/>
    <n v="477272.72727272718"/>
    <n v="3150000"/>
    <n v="6.0000000000000009"/>
  </r>
  <r>
    <n v="0"/>
    <n v="0"/>
    <n v="11"/>
    <n v="12"/>
    <s v="F-CAP"/>
    <x v="37"/>
    <s v="SBH-FOREMOST-42"/>
    <s v="SBH-FOREMOST-42SBHBAF5512BG"/>
    <n v="1"/>
    <s v="SBH-FOREMOST-421"/>
    <s v="SBH-FOREMOST-421-SBHBAF5512BEIGEOML"/>
    <s v="SBH의류외512"/>
    <s v="SBH"/>
    <s v="SBRBAF"/>
    <m/>
    <s v="SBH"/>
    <s v="SBR HATSON"/>
    <s v="F"/>
    <n v="5"/>
    <s v="BA"/>
    <s v="BASIC CAP"/>
    <s v="K"/>
    <n v="512"/>
    <n v="512"/>
    <s v="SBHBAF5512"/>
    <n v="0.5"/>
    <s v="SBRBAF5512BGOML"/>
    <s v="BG"/>
    <s v="BEIGE"/>
    <s v="SBHBAF5512BG"/>
    <x v="0"/>
    <n v="0.5"/>
    <n v="0"/>
    <n v="1"/>
    <s v="OML"/>
    <n v="20"/>
    <x v="4"/>
    <n v="42"/>
    <x v="42"/>
    <s v="M"/>
    <s v="CN"/>
    <x v="0"/>
    <n v="45000"/>
    <x v="32"/>
    <n v="6818.1818181818171"/>
    <n v="0"/>
    <n v="-6818.181818181817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0"/>
    <n v="0"/>
    <n v="0"/>
    <n v="0"/>
    <n v="0"/>
    <n v="0"/>
    <n v="20"/>
    <n v="136363.63636363635"/>
    <n v="900000"/>
    <n v="6"/>
  </r>
  <r>
    <n v="0"/>
    <n v="0"/>
    <s v=""/>
    <s v=""/>
    <s v=""/>
    <x v="1"/>
    <s v=""/>
    <s v=""/>
    <n v="0"/>
    <s v="0"/>
    <s v="0-"/>
    <n v="0"/>
    <s v="TTL"/>
    <s v=""/>
    <s v="SBH-FOREMOST-42 TTL"/>
    <m/>
    <s v=""/>
    <s v=""/>
    <s v=""/>
    <m/>
    <s v=""/>
    <s v="K"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90"/>
    <n v="0"/>
    <n v="0"/>
    <n v="0"/>
    <n v="0"/>
    <n v="0"/>
    <n v="90"/>
    <n v="613636.36363636353"/>
    <n v="4050000"/>
    <n v="6.0000000000000009"/>
  </r>
  <r>
    <n v="0"/>
    <n v="0"/>
    <n v="11"/>
    <n v="12"/>
    <s v="SPORTS"/>
    <x v="38"/>
    <s v="SWH-QF-15"/>
    <s v="SWH-QF-15SWHERF5514PK"/>
    <n v="1"/>
    <s v="SWH-QF-151"/>
    <s v="SWH-QF-151-SWHERF5514PINKOSM"/>
    <s v="SWH의류외514"/>
    <s v="SWH"/>
    <s v="SWBERF"/>
    <m/>
    <s v="SWH"/>
    <s v="SWB HATSON"/>
    <s v="F"/>
    <n v="5"/>
    <s v="ER"/>
    <s v="EARCAP"/>
    <s v="K"/>
    <n v="514"/>
    <n v="514"/>
    <s v="SWHERF5514"/>
    <n v="1"/>
    <s v="SWBERF5514PKOSM"/>
    <s v="PK"/>
    <s v="PINK"/>
    <s v="SWHERF5514PK"/>
    <x v="0"/>
    <n v="1"/>
    <n v="0"/>
    <n v="1"/>
    <s v="OSM"/>
    <n v="50"/>
    <x v="2"/>
    <n v="15"/>
    <x v="9"/>
    <s v="M"/>
    <s v="CN"/>
    <x v="0"/>
    <n v="55000"/>
    <x v="32"/>
    <n v="5555.5555555555547"/>
    <n v="0"/>
    <n v="-5555.5555555555547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277777.77777777775"/>
    <n v="2750000"/>
    <n v="9"/>
  </r>
  <r>
    <n v="0"/>
    <n v="0"/>
    <s v=""/>
    <s v=""/>
    <s v=""/>
    <x v="1"/>
    <s v=""/>
    <s v=""/>
    <n v="0"/>
    <s v="0"/>
    <s v="0-"/>
    <n v="0"/>
    <s v="TTL"/>
    <s v=""/>
    <s v="SWH-QF-15 TTL"/>
    <m/>
    <s v=""/>
    <s v=""/>
    <s v=""/>
    <m/>
    <s v=""/>
    <s v="K"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277777.77777777775"/>
    <n v="2750000"/>
    <n v="9"/>
  </r>
  <r>
    <n v="0"/>
    <n v="0"/>
    <n v="11"/>
    <n v="12"/>
    <s v="SPORTS"/>
    <x v="38"/>
    <s v="SWH-성진-19"/>
    <s v="SWH-성진-19SWHERF5517PK"/>
    <n v="1"/>
    <s v="SWH-성진-191"/>
    <s v="SWH-성진-191-SWHERF5517PINKOSM"/>
    <s v="SWH의류외517"/>
    <s v="SWH"/>
    <s v="SWBERF"/>
    <m/>
    <s v="SWH"/>
    <s v="SWB HATSON"/>
    <s v="F"/>
    <n v="5"/>
    <s v="ER"/>
    <s v="EARCAP"/>
    <s v="K"/>
    <n v="517"/>
    <n v="517"/>
    <s v="SWHERF5517"/>
    <n v="0.5"/>
    <s v="SWBERF5517PKOSM"/>
    <s v="PK"/>
    <s v="PINK"/>
    <s v="SWHERF5517PK"/>
    <x v="0"/>
    <n v="0.5"/>
    <n v="0"/>
    <n v="1"/>
    <s v="OSM"/>
    <n v="20"/>
    <x v="7"/>
    <n v="19"/>
    <x v="14"/>
    <s v="M"/>
    <s v="BG"/>
    <x v="0"/>
    <n v="55000"/>
    <x v="32"/>
    <n v="8333.3333333333321"/>
    <n v="0"/>
    <n v="-8333.333333333332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0"/>
    <n v="0"/>
    <n v="0"/>
    <n v="0"/>
    <n v="0"/>
    <n v="0"/>
    <n v="20"/>
    <n v="166666.66666666663"/>
    <n v="1100000"/>
    <n v="6.0000000000000009"/>
  </r>
  <r>
    <n v="0"/>
    <n v="0"/>
    <n v="11"/>
    <n v="12"/>
    <s v="SPORTS"/>
    <x v="38"/>
    <s v="SWH-성진-19"/>
    <s v="SWH-성진-19SWHERF5517PK"/>
    <n v="1"/>
    <s v="SWH-성진-191"/>
    <s v="SWH-성진-191-SWHERF5517PINKOML"/>
    <s v="SWH의류외517"/>
    <s v="SWH"/>
    <s v="SWBERF"/>
    <m/>
    <s v="SWH"/>
    <s v="SWB HATSON"/>
    <s v="F"/>
    <n v="5"/>
    <s v="ER"/>
    <s v="EARCAP"/>
    <s v="K"/>
    <n v="517"/>
    <n v="517"/>
    <s v="SWHERF5517"/>
    <n v="0.5"/>
    <s v="SWBERF5517PKOML"/>
    <s v="PK"/>
    <s v="PINK"/>
    <s v="SWHERF5517PK"/>
    <x v="0"/>
    <n v="0.5"/>
    <n v="0"/>
    <n v="1"/>
    <s v="OML"/>
    <n v="30"/>
    <x v="7"/>
    <n v="19"/>
    <x v="14"/>
    <s v="M"/>
    <s v="BG"/>
    <x v="0"/>
    <n v="55000"/>
    <x v="32"/>
    <n v="8333.3333333333321"/>
    <n v="0"/>
    <n v="-8333.333333333332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249999.99999999997"/>
    <n v="1650000"/>
    <n v="6"/>
  </r>
  <r>
    <n v="0"/>
    <n v="0"/>
    <s v=""/>
    <s v=""/>
    <s v=""/>
    <x v="1"/>
    <s v=""/>
    <s v=""/>
    <n v="0"/>
    <s v="0"/>
    <s v="0-"/>
    <n v="0"/>
    <s v="TTL"/>
    <s v=""/>
    <s v="SWH-성진-19 TTL"/>
    <m/>
    <s v=""/>
    <s v=""/>
    <s v=""/>
    <m/>
    <s v=""/>
    <s v="K"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0"/>
    <n v="0"/>
    <n v="0"/>
    <n v="0"/>
    <n v="0"/>
    <n v="0"/>
    <n v="50"/>
    <n v="416666.66666666663"/>
    <n v="2750000"/>
    <n v="6"/>
  </r>
  <r>
    <n v="0"/>
    <n v="0"/>
    <n v="11"/>
    <n v="12"/>
    <s v="F-HAT"/>
    <x v="39"/>
    <s v="BLH-FOREMOST-43"/>
    <s v="BLH-FOREMOST-43BLHFEF5003BK"/>
    <n v="1"/>
    <s v="BLH-FOREMOST-431"/>
    <s v="BLH-FOREMOST-431-BLHFEF5003BLACKFRE"/>
    <s v="BLH의류외3"/>
    <s v="BLH"/>
    <s v="BLLFEF"/>
    <m/>
    <s v="BLH"/>
    <s v="BLL HATSON"/>
    <s v="F"/>
    <n v="5"/>
    <s v="FE"/>
    <s v="FEDORA"/>
    <s v="U"/>
    <n v="3"/>
    <s v="003"/>
    <s v="BLHFEF5003"/>
    <n v="1"/>
    <s v="BLLFEF5003BKFRE"/>
    <s v="BK"/>
    <s v="BLACK"/>
    <s v="BLHFEF5003BK"/>
    <x v="0"/>
    <n v="1"/>
    <n v="0"/>
    <n v="1"/>
    <s v="FRE"/>
    <n v="5"/>
    <x v="4"/>
    <n v="43"/>
    <x v="43"/>
    <s v="M"/>
    <s v="CN"/>
    <x v="0"/>
    <n v="69000"/>
    <x v="32"/>
    <n v="10454.545454545454"/>
    <n v="0"/>
    <n v="-10454.545454545454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52272.727272727272"/>
    <n v="345000"/>
    <n v="5.9999999999999991"/>
  </r>
  <r>
    <n v="0"/>
    <n v="0"/>
    <s v=""/>
    <s v=""/>
    <s v=""/>
    <x v="1"/>
    <s v=""/>
    <s v=""/>
    <n v="0"/>
    <s v="0"/>
    <s v="0-"/>
    <n v="0"/>
    <s v="TTL"/>
    <s v=""/>
    <s v="BLH-FOREMOST-43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52272.727272727272"/>
    <n v="345000"/>
    <n v="5.9999999999999991"/>
  </r>
  <r>
    <n v="0"/>
    <n v="0"/>
    <n v="11"/>
    <n v="12"/>
    <s v="전략"/>
    <x v="30"/>
    <s v="ELH-대경-09"/>
    <s v="ELH-대경-09ELHJPF5001BK"/>
    <n v="1"/>
    <s v="ELH-대경-091"/>
    <s v="ELH-대경-091-ELHJPF5001BLACKOXS"/>
    <s v="ELH의류1"/>
    <s v="ELH"/>
    <s v="ELSJPF"/>
    <m/>
    <s v="ELH"/>
    <s v="ELS HATSON"/>
    <s v="F"/>
    <n v="5"/>
    <s v="JP"/>
    <s v="JUMPER"/>
    <s v="U"/>
    <n v="1"/>
    <s v="001"/>
    <s v="ELHJPF5001"/>
    <n v="0.2"/>
    <s v="ELSJPF5001BKOXS"/>
    <s v="BK"/>
    <s v="BLACK"/>
    <s v="ELHJPF5001BK"/>
    <x v="0"/>
    <n v="0.2"/>
    <n v="0"/>
    <n v="1"/>
    <s v="OXS"/>
    <n v="2"/>
    <x v="14"/>
    <n v="9"/>
    <x v="8"/>
    <s v="M"/>
    <s v="IN"/>
    <x v="0"/>
    <n v="238000"/>
    <x v="32"/>
    <n v="48080.808080808078"/>
    <n v="0"/>
    <n v="-48080.808080808078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96161.616161616155"/>
    <n v="476000"/>
    <n v="4.5"/>
  </r>
  <r>
    <n v="0"/>
    <n v="0"/>
    <n v="11"/>
    <n v="12"/>
    <s v="전략"/>
    <x v="30"/>
    <s v="ELH-대경-09"/>
    <s v="ELH-대경-09ELHJPF5001BK"/>
    <n v="1"/>
    <s v="ELH-대경-091"/>
    <s v="ELH-대경-091-ELHJPF5001BLACKOSS"/>
    <s v="ELH의류1"/>
    <s v="ELH"/>
    <s v="ELSJPF"/>
    <m/>
    <s v="ELH"/>
    <s v="ELS HATSON"/>
    <s v="F"/>
    <n v="5"/>
    <s v="JP"/>
    <s v="JUMPER"/>
    <s v="U"/>
    <n v="1"/>
    <s v="001"/>
    <s v="ELHJPF5001"/>
    <n v="0.2"/>
    <s v="ELSJPF5001BKOSS"/>
    <s v="BK"/>
    <s v="BLACK"/>
    <s v="ELHJPF5001BK"/>
    <x v="0"/>
    <n v="0.2"/>
    <n v="0"/>
    <n v="1"/>
    <s v="OSS"/>
    <n v="2"/>
    <x v="14"/>
    <n v="9"/>
    <x v="8"/>
    <s v="M"/>
    <s v="IN"/>
    <x v="0"/>
    <n v="238000"/>
    <x v="32"/>
    <n v="48080.808080808078"/>
    <n v="0"/>
    <n v="-48080.808080808078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96161.616161616155"/>
    <n v="476000"/>
    <n v="4.5"/>
  </r>
  <r>
    <n v="0"/>
    <n v="0"/>
    <n v="11"/>
    <n v="12"/>
    <s v="전략"/>
    <x v="30"/>
    <s v="ELH-대경-09"/>
    <s v="ELH-대경-09ELHJPF5001BK"/>
    <n v="1"/>
    <s v="ELH-대경-091"/>
    <s v="ELH-대경-091-ELHJPF5001BLACKOMM"/>
    <s v="ELH의류1"/>
    <s v="ELH"/>
    <s v="ELSJPF"/>
    <m/>
    <s v="ELH"/>
    <s v="ELS HATSON"/>
    <s v="F"/>
    <n v="5"/>
    <s v="JP"/>
    <s v="JUMPER"/>
    <s v="U"/>
    <n v="1"/>
    <s v="001"/>
    <s v="ELHJPF5001"/>
    <n v="0.2"/>
    <s v="ELSJPF5001BKOMM"/>
    <s v="BK"/>
    <s v="BLACK"/>
    <s v="ELHJPF5001BK"/>
    <x v="0"/>
    <n v="0.2"/>
    <n v="0"/>
    <n v="1"/>
    <s v="OMM"/>
    <n v="2"/>
    <x v="14"/>
    <n v="9"/>
    <x v="8"/>
    <s v="M"/>
    <s v="IN"/>
    <x v="0"/>
    <n v="238000"/>
    <x v="32"/>
    <n v="48080.808080808078"/>
    <n v="0"/>
    <n v="-48080.808080808078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96161.616161616155"/>
    <n v="476000"/>
    <n v="4.5"/>
  </r>
  <r>
    <n v="0"/>
    <n v="0"/>
    <n v="11"/>
    <n v="12"/>
    <s v="전략"/>
    <x v="30"/>
    <s v="ELH-대경-09"/>
    <s v="ELH-대경-09ELHJPF5001BK"/>
    <n v="1"/>
    <s v="ELH-대경-091"/>
    <s v="ELH-대경-091-ELHJPF5001BLACKOLL"/>
    <s v="ELH의류1"/>
    <s v="ELH"/>
    <s v="ELSJPF"/>
    <m/>
    <s v="ELH"/>
    <s v="ELS HATSON"/>
    <s v="F"/>
    <n v="5"/>
    <s v="JP"/>
    <s v="JUMPER"/>
    <s v="U"/>
    <n v="1"/>
    <s v="001"/>
    <s v="ELHJPF5001"/>
    <n v="0.2"/>
    <s v="ELSJPF5001BKOLL"/>
    <s v="BK"/>
    <s v="BLACK"/>
    <s v="ELHJPF5001BK"/>
    <x v="0"/>
    <n v="0.2"/>
    <n v="0"/>
    <n v="1"/>
    <s v="OLL"/>
    <n v="2"/>
    <x v="14"/>
    <n v="9"/>
    <x v="8"/>
    <s v="M"/>
    <s v="IN"/>
    <x v="0"/>
    <n v="238000"/>
    <x v="32"/>
    <n v="48080.808080808078"/>
    <n v="0"/>
    <n v="-48080.808080808078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96161.616161616155"/>
    <n v="476000"/>
    <n v="4.5"/>
  </r>
  <r>
    <n v="0"/>
    <n v="0"/>
    <n v="11"/>
    <n v="12"/>
    <s v="전략"/>
    <x v="30"/>
    <s v="ELH-대경-09"/>
    <s v="ELH-대경-09ELHJPF5001BK"/>
    <n v="1"/>
    <s v="ELH-대경-091"/>
    <s v="ELH-대경-091-ELHJPF5001BLACKOXL"/>
    <s v="ELH의류1"/>
    <s v="ELH"/>
    <s v="ELSJPF"/>
    <m/>
    <s v="ELH"/>
    <s v="ELS HATSON"/>
    <s v="F"/>
    <n v="5"/>
    <s v="JP"/>
    <s v="JUMPER"/>
    <s v="U"/>
    <n v="1"/>
    <s v="001"/>
    <s v="ELHJPF5001"/>
    <n v="0.2"/>
    <s v="ELSJPF5001BKOXL"/>
    <s v="BK"/>
    <s v="BLACK"/>
    <s v="ELHJPF5001BK"/>
    <x v="0"/>
    <n v="0.2"/>
    <n v="0"/>
    <n v="1"/>
    <s v="OXL"/>
    <n v="2"/>
    <x v="14"/>
    <n v="9"/>
    <x v="8"/>
    <s v="M"/>
    <s v="IN"/>
    <x v="0"/>
    <n v="238000"/>
    <x v="32"/>
    <n v="48080.808080808078"/>
    <n v="0"/>
    <n v="-48080.808080808078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96161.616161616155"/>
    <n v="476000"/>
    <n v="4.5"/>
  </r>
  <r>
    <n v="0"/>
    <n v="0"/>
    <n v="11"/>
    <n v="12"/>
    <s v="전략"/>
    <x v="30"/>
    <s v="ELH-대경-09"/>
    <s v="ELH-대경-09ELHJPF5001RE"/>
    <n v="2"/>
    <s v="ELH-대경-092"/>
    <s v="ELH-대경-092-ELHJPF5001REDOXS"/>
    <s v="ELH의류1"/>
    <s v="ELH"/>
    <s v="ELSJPF"/>
    <m/>
    <s v="ELH"/>
    <s v="ELS HATSON"/>
    <s v="F"/>
    <n v="5"/>
    <s v="JP"/>
    <s v="JUMPER"/>
    <s v="U"/>
    <n v="1"/>
    <s v="001"/>
    <s v="ELHJPF5001"/>
    <n v="0.2"/>
    <s v="ELSJPF5001REOXS"/>
    <s v="RE"/>
    <s v="RED"/>
    <s v="ELHJPF5001RE"/>
    <x v="0"/>
    <n v="0.2"/>
    <n v="0"/>
    <n v="1"/>
    <s v="OXS"/>
    <n v="2"/>
    <x v="14"/>
    <n v="9"/>
    <x v="8"/>
    <s v="M"/>
    <s v="IN"/>
    <x v="0"/>
    <n v="238000"/>
    <x v="32"/>
    <n v="48080.808080808078"/>
    <n v="0"/>
    <n v="-48080.808080808078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96161.616161616155"/>
    <n v="476000"/>
    <n v="4.5"/>
  </r>
  <r>
    <n v="0"/>
    <n v="0"/>
    <n v="11"/>
    <n v="12"/>
    <s v="전략"/>
    <x v="30"/>
    <s v="ELH-대경-09"/>
    <s v="ELH-대경-09ELHJPF5001RE"/>
    <n v="2"/>
    <s v="ELH-대경-092"/>
    <s v="ELH-대경-092-ELHJPF5001REDOSS"/>
    <s v="ELH의류1"/>
    <s v="ELH"/>
    <s v="ELSJPF"/>
    <m/>
    <s v="ELH"/>
    <s v="ELS HATSON"/>
    <s v="F"/>
    <n v="5"/>
    <s v="JP"/>
    <s v="JUMPER"/>
    <s v="U"/>
    <n v="1"/>
    <s v="001"/>
    <s v="ELHJPF5001"/>
    <n v="0.2"/>
    <s v="ELSJPF5001REOSS"/>
    <s v="RE"/>
    <s v="RED"/>
    <s v="ELHJPF5001RE"/>
    <x v="0"/>
    <n v="0.2"/>
    <n v="0"/>
    <n v="1"/>
    <s v="OSS"/>
    <n v="2"/>
    <x v="14"/>
    <n v="9"/>
    <x v="8"/>
    <s v="M"/>
    <s v="IN"/>
    <x v="0"/>
    <n v="238000"/>
    <x v="32"/>
    <n v="48080.808080808078"/>
    <n v="0"/>
    <n v="-48080.808080808078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96161.616161616155"/>
    <n v="476000"/>
    <n v="4.5"/>
  </r>
  <r>
    <n v="0"/>
    <n v="0"/>
    <n v="11"/>
    <n v="12"/>
    <s v="전략"/>
    <x v="30"/>
    <s v="ELH-대경-09"/>
    <s v="ELH-대경-09ELHJPF5001RE"/>
    <n v="2"/>
    <s v="ELH-대경-092"/>
    <s v="ELH-대경-092-ELHJPF5001REDOMM"/>
    <s v="ELH의류1"/>
    <s v="ELH"/>
    <s v="ELSJPF"/>
    <m/>
    <s v="ELH"/>
    <s v="ELS HATSON"/>
    <s v="F"/>
    <n v="5"/>
    <s v="JP"/>
    <s v="JUMPER"/>
    <s v="U"/>
    <n v="1"/>
    <s v="001"/>
    <s v="ELHJPF5001"/>
    <n v="0.2"/>
    <s v="ELSJPF5001REOMM"/>
    <s v="RE"/>
    <s v="RED"/>
    <s v="ELHJPF5001RE"/>
    <x v="0"/>
    <n v="0.2"/>
    <n v="0"/>
    <n v="1"/>
    <s v="OMM"/>
    <n v="2"/>
    <x v="14"/>
    <n v="9"/>
    <x v="8"/>
    <s v="M"/>
    <s v="IN"/>
    <x v="0"/>
    <n v="238000"/>
    <x v="32"/>
    <n v="48080.808080808078"/>
    <n v="0"/>
    <n v="-48080.808080808078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96161.616161616155"/>
    <n v="476000"/>
    <n v="4.5"/>
  </r>
  <r>
    <n v="0"/>
    <n v="0"/>
    <n v="11"/>
    <n v="12"/>
    <s v="전략"/>
    <x v="30"/>
    <s v="ELH-대경-09"/>
    <s v="ELH-대경-09ELHJPF5001RE"/>
    <n v="2"/>
    <s v="ELH-대경-092"/>
    <s v="ELH-대경-092-ELHJPF5001REDOLL"/>
    <s v="ELH의류1"/>
    <s v="ELH"/>
    <s v="ELSJPF"/>
    <m/>
    <s v="ELH"/>
    <s v="ELS HATSON"/>
    <s v="F"/>
    <n v="5"/>
    <s v="JP"/>
    <s v="JUMPER"/>
    <s v="U"/>
    <n v="1"/>
    <s v="001"/>
    <s v="ELHJPF5001"/>
    <n v="0.2"/>
    <s v="ELSJPF5001REOLL"/>
    <s v="RE"/>
    <s v="RED"/>
    <s v="ELHJPF5001RE"/>
    <x v="0"/>
    <n v="0.2"/>
    <n v="0"/>
    <n v="1"/>
    <s v="OLL"/>
    <n v="2"/>
    <x v="14"/>
    <n v="9"/>
    <x v="8"/>
    <s v="M"/>
    <s v="IN"/>
    <x v="0"/>
    <n v="238000"/>
    <x v="32"/>
    <n v="48080.808080808078"/>
    <n v="0"/>
    <n v="-48080.808080808078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96161.616161616155"/>
    <n v="476000"/>
    <n v="4.5"/>
  </r>
  <r>
    <n v="0"/>
    <n v="0"/>
    <n v="11"/>
    <n v="12"/>
    <s v="전략"/>
    <x v="30"/>
    <s v="ELH-대경-09"/>
    <s v="ELH-대경-09ELHJPF5001RE"/>
    <n v="2"/>
    <s v="ELH-대경-092"/>
    <s v="ELH-대경-092-ELHJPF5001REDOXL"/>
    <s v="ELH의류1"/>
    <s v="ELH"/>
    <s v="ELSJPF"/>
    <m/>
    <s v="ELH"/>
    <s v="ELS HATSON"/>
    <s v="F"/>
    <n v="5"/>
    <s v="JP"/>
    <s v="JUMPER"/>
    <s v="U"/>
    <n v="1"/>
    <s v="001"/>
    <s v="ELHJPF5001"/>
    <n v="0.2"/>
    <s v="ELSJPF5001REOXL"/>
    <s v="RE"/>
    <s v="RED"/>
    <s v="ELHJPF5001RE"/>
    <x v="0"/>
    <n v="0.2"/>
    <n v="0"/>
    <n v="1"/>
    <s v="OXL"/>
    <n v="2"/>
    <x v="14"/>
    <n v="9"/>
    <x v="8"/>
    <s v="M"/>
    <s v="IN"/>
    <x v="0"/>
    <n v="238000"/>
    <x v="32"/>
    <n v="48080.808080808078"/>
    <n v="0"/>
    <n v="-48080.808080808078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96161.616161616155"/>
    <n v="476000"/>
    <n v="4.5"/>
  </r>
  <r>
    <n v="0"/>
    <n v="0"/>
    <n v="11"/>
    <n v="12"/>
    <s v="전략"/>
    <x v="30"/>
    <s v="ELH-대경-09"/>
    <s v="ELH-대경-09ELHJPF5028BK"/>
    <n v="3"/>
    <s v="ELH-대경-093"/>
    <s v="ELH-대경-093-ELHJPF5028BLACKOXS"/>
    <s v="ELH의류28"/>
    <s v="ELH"/>
    <s v="ELSJPF"/>
    <m/>
    <s v="ELH"/>
    <s v="ELS HATSON"/>
    <s v="F"/>
    <n v="5"/>
    <s v="JP"/>
    <s v="JUMPER"/>
    <s v="U"/>
    <n v="28"/>
    <s v="028"/>
    <s v="ELHJPF5028"/>
    <n v="0.2"/>
    <s v="ELSJPF5028BKOXS"/>
    <s v="BK"/>
    <s v="BLACK"/>
    <s v="ELHJPF5028BK"/>
    <x v="0"/>
    <n v="0.2"/>
    <n v="0"/>
    <n v="1"/>
    <s v="OXS"/>
    <n v="2"/>
    <x v="14"/>
    <n v="9"/>
    <x v="8"/>
    <s v="M"/>
    <s v="IN"/>
    <x v="0"/>
    <n v="218000"/>
    <x v="32"/>
    <n v="44040.404040404042"/>
    <n v="0"/>
    <n v="-44040.404040404042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88080.808080808085"/>
    <n v="436000"/>
    <n v="4.4999999999999991"/>
  </r>
  <r>
    <n v="0"/>
    <n v="0"/>
    <n v="11"/>
    <n v="12"/>
    <s v="전략"/>
    <x v="30"/>
    <s v="ELH-대경-09"/>
    <s v="ELH-대경-09ELHJPF5028BK"/>
    <n v="3"/>
    <s v="ELH-대경-093"/>
    <s v="ELH-대경-093-ELHJPF5028BLACKOSS"/>
    <s v="ELH의류28"/>
    <s v="ELH"/>
    <s v="ELSJPF"/>
    <m/>
    <s v="ELH"/>
    <s v="ELS HATSON"/>
    <s v="F"/>
    <n v="5"/>
    <s v="JP"/>
    <s v="JUMPER"/>
    <s v="U"/>
    <n v="28"/>
    <s v="028"/>
    <s v="ELHJPF5028"/>
    <n v="0.2"/>
    <s v="ELSJPF5028BKOSS"/>
    <s v="BK"/>
    <s v="BLACK"/>
    <s v="ELHJPF5028BK"/>
    <x v="0"/>
    <n v="0.2"/>
    <n v="0"/>
    <n v="1"/>
    <s v="OSS"/>
    <n v="2"/>
    <x v="14"/>
    <n v="9"/>
    <x v="8"/>
    <s v="M"/>
    <s v="IN"/>
    <x v="0"/>
    <n v="218000"/>
    <x v="32"/>
    <n v="44040.404040404042"/>
    <n v="0"/>
    <n v="-44040.404040404042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88080.808080808085"/>
    <n v="436000"/>
    <n v="4.4999999999999991"/>
  </r>
  <r>
    <n v="0"/>
    <n v="0"/>
    <n v="11"/>
    <n v="12"/>
    <s v="전략"/>
    <x v="30"/>
    <s v="ELH-대경-09"/>
    <s v="ELH-대경-09ELHJPF5028BK"/>
    <n v="3"/>
    <s v="ELH-대경-093"/>
    <s v="ELH-대경-093-ELHJPF5028BLACKOMM"/>
    <s v="ELH의류28"/>
    <s v="ELH"/>
    <s v="ELSJPF"/>
    <m/>
    <s v="ELH"/>
    <s v="ELS HATSON"/>
    <s v="F"/>
    <n v="5"/>
    <s v="JP"/>
    <s v="JUMPER"/>
    <s v="U"/>
    <n v="28"/>
    <s v="028"/>
    <s v="ELHJPF5028"/>
    <n v="0.2"/>
    <s v="ELSJPF5028BKOMM"/>
    <s v="BK"/>
    <s v="BLACK"/>
    <s v="ELHJPF5028BK"/>
    <x v="0"/>
    <n v="0.2"/>
    <n v="0"/>
    <n v="1"/>
    <s v="OMM"/>
    <n v="2"/>
    <x v="14"/>
    <n v="9"/>
    <x v="8"/>
    <s v="M"/>
    <s v="IN"/>
    <x v="0"/>
    <n v="218000"/>
    <x v="32"/>
    <n v="44040.404040404042"/>
    <n v="0"/>
    <n v="-44040.404040404042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88080.808080808085"/>
    <n v="436000"/>
    <n v="4.4999999999999991"/>
  </r>
  <r>
    <n v="0"/>
    <n v="0"/>
    <n v="11"/>
    <n v="12"/>
    <s v="전략"/>
    <x v="30"/>
    <s v="ELH-대경-09"/>
    <s v="ELH-대경-09ELHJPF5028BK"/>
    <n v="3"/>
    <s v="ELH-대경-093"/>
    <s v="ELH-대경-093-ELHJPF5028BLACKOLL"/>
    <s v="ELH의류28"/>
    <s v="ELH"/>
    <s v="ELSJPF"/>
    <m/>
    <s v="ELH"/>
    <s v="ELS HATSON"/>
    <s v="F"/>
    <n v="5"/>
    <s v="JP"/>
    <s v="JUMPER"/>
    <s v="U"/>
    <n v="28"/>
    <s v="028"/>
    <s v="ELHJPF5028"/>
    <n v="0.2"/>
    <s v="ELSJPF5028BKOLL"/>
    <s v="BK"/>
    <s v="BLACK"/>
    <s v="ELHJPF5028BK"/>
    <x v="0"/>
    <n v="0.2"/>
    <n v="0"/>
    <n v="1"/>
    <s v="OLL"/>
    <n v="2"/>
    <x v="14"/>
    <n v="9"/>
    <x v="8"/>
    <s v="M"/>
    <s v="IN"/>
    <x v="0"/>
    <n v="218000"/>
    <x v="32"/>
    <n v="44040.404040404042"/>
    <n v="0"/>
    <n v="-44040.404040404042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88080.808080808085"/>
    <n v="436000"/>
    <n v="4.4999999999999991"/>
  </r>
  <r>
    <n v="0"/>
    <n v="0"/>
    <n v="11"/>
    <n v="12"/>
    <s v="전략"/>
    <x v="30"/>
    <s v="ELH-대경-09"/>
    <s v="ELH-대경-09ELHJPF5028BK"/>
    <n v="3"/>
    <s v="ELH-대경-093"/>
    <s v="ELH-대경-093-ELHJPF5028BLACKOXL"/>
    <s v="ELH의류28"/>
    <s v="ELH"/>
    <s v="ELSJPF"/>
    <m/>
    <s v="ELH"/>
    <s v="ELS HATSON"/>
    <s v="F"/>
    <n v="5"/>
    <s v="JP"/>
    <s v="JUMPER"/>
    <s v="U"/>
    <n v="28"/>
    <s v="028"/>
    <s v="ELHJPF5028"/>
    <n v="0.2"/>
    <s v="ELSJPF5028BKOXL"/>
    <s v="BK"/>
    <s v="BLACK"/>
    <s v="ELHJPF5028BK"/>
    <x v="0"/>
    <n v="0.2"/>
    <n v="0"/>
    <n v="1"/>
    <s v="OXL"/>
    <n v="2"/>
    <x v="14"/>
    <n v="9"/>
    <x v="8"/>
    <s v="M"/>
    <s v="IN"/>
    <x v="0"/>
    <n v="218000"/>
    <x v="32"/>
    <n v="44040.404040404042"/>
    <n v="0"/>
    <n v="-44040.404040404042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88080.808080808085"/>
    <n v="436000"/>
    <n v="4.4999999999999991"/>
  </r>
  <r>
    <n v="0"/>
    <n v="0"/>
    <s v=""/>
    <s v=""/>
    <s v=""/>
    <x v="1"/>
    <s v=""/>
    <s v=""/>
    <n v="0"/>
    <s v="0"/>
    <s v="0-"/>
    <n v="0"/>
    <s v="TTL"/>
    <s v=""/>
    <s v="ELH-대경-09 TTL"/>
    <m/>
    <s v=""/>
    <s v=""/>
    <s v=""/>
    <m/>
    <s v=""/>
    <m/>
    <m/>
    <s v=""/>
    <s v=""/>
    <n v="3.0000000000000004"/>
    <m/>
    <s v=""/>
    <m/>
    <s v=""/>
    <x v="0"/>
    <n v="3.0000000000000004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0"/>
    <n v="0"/>
    <n v="0"/>
    <n v="0"/>
    <n v="0"/>
    <n v="0"/>
    <n v="30"/>
    <n v="1402020.2020202018"/>
    <n v="6940000"/>
    <n v="4.5"/>
  </r>
  <r>
    <n v="0"/>
    <n v="0"/>
    <n v="11"/>
    <n v="12"/>
    <s v="전략"/>
    <x v="30"/>
    <s v="ELH-아트인드림-17"/>
    <s v="ELH-아트인드림-17ELHTHF5017BK"/>
    <n v="1"/>
    <s v="ELH-아트인드림-171"/>
    <s v="ELH-아트인드림-171-ELHTHF5017BLACKOSS"/>
    <s v="ELH의류17"/>
    <s v="ELH"/>
    <s v="ELSTHF"/>
    <m/>
    <s v="ELH"/>
    <s v="ELS HATSON"/>
    <s v="F"/>
    <n v="5"/>
    <s v="TH"/>
    <s v="HOODED T-SHIRTS"/>
    <s v="U"/>
    <n v="17"/>
    <s v="017"/>
    <s v="ELHTHF5017"/>
    <n v="0.25"/>
    <s v="ELSTHF5017BKOSS"/>
    <s v="BK"/>
    <s v="BLACK"/>
    <s v="ELHTHF5017BK"/>
    <x v="0"/>
    <n v="0.25"/>
    <n v="0"/>
    <n v="1"/>
    <s v="OSS"/>
    <n v="2"/>
    <x v="15"/>
    <n v="17"/>
    <x v="10"/>
    <s v="M"/>
    <s v="KR"/>
    <x v="3"/>
    <n v="109000"/>
    <x v="32"/>
    <n v="27525.252525252523"/>
    <n v="0"/>
    <n v="-27525.252525252523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55050.505050505046"/>
    <n v="218000"/>
    <n v="3.6"/>
  </r>
  <r>
    <n v="0"/>
    <n v="0"/>
    <n v="11"/>
    <n v="12"/>
    <s v="전략"/>
    <x v="30"/>
    <s v="ELH-아트인드림-17"/>
    <s v="ELH-아트인드림-17ELHTHF5017BK"/>
    <n v="1"/>
    <s v="ELH-아트인드림-171"/>
    <s v="ELH-아트인드림-171-ELHTHF5017BLACKOMM"/>
    <s v="ELH의류17"/>
    <s v="ELH"/>
    <s v="ELSTHF"/>
    <m/>
    <s v="ELH"/>
    <s v="ELS HATSON"/>
    <s v="F"/>
    <n v="5"/>
    <s v="TH"/>
    <s v="HOODED T-SHIRTS"/>
    <s v="U"/>
    <n v="17"/>
    <s v="017"/>
    <s v="ELHTHF5017"/>
    <n v="0.25"/>
    <s v="ELSTHF5017BKOMM"/>
    <s v="BK"/>
    <s v="BLACK"/>
    <s v="ELHTHF5017BK"/>
    <x v="0"/>
    <n v="0.25"/>
    <n v="0"/>
    <n v="1"/>
    <s v="OMM"/>
    <n v="2"/>
    <x v="15"/>
    <n v="17"/>
    <x v="10"/>
    <s v="M"/>
    <s v="KR"/>
    <x v="3"/>
    <n v="109000"/>
    <x v="32"/>
    <n v="27525.252525252523"/>
    <n v="0"/>
    <n v="-27525.252525252523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55050.505050505046"/>
    <n v="218000"/>
    <n v="3.6"/>
  </r>
  <r>
    <n v="0"/>
    <n v="0"/>
    <n v="11"/>
    <n v="12"/>
    <s v="전략"/>
    <x v="30"/>
    <s v="ELH-아트인드림-17"/>
    <s v="ELH-아트인드림-17ELHTHF5017BK"/>
    <n v="1"/>
    <s v="ELH-아트인드림-171"/>
    <s v="ELH-아트인드림-171-ELHTHF5017BLACKOLL"/>
    <s v="ELH의류17"/>
    <s v="ELH"/>
    <s v="ELSTHF"/>
    <m/>
    <s v="ELH"/>
    <s v="ELS HATSON"/>
    <s v="F"/>
    <n v="5"/>
    <s v="TH"/>
    <s v="HOODED T-SHIRTS"/>
    <s v="U"/>
    <n v="17"/>
    <s v="017"/>
    <s v="ELHTHF5017"/>
    <n v="0.25"/>
    <s v="ELSTHF5017BKOLL"/>
    <s v="BK"/>
    <s v="BLACK"/>
    <s v="ELHTHF5017BK"/>
    <x v="0"/>
    <n v="0.25"/>
    <n v="0"/>
    <n v="1"/>
    <s v="OLL"/>
    <n v="2"/>
    <x v="15"/>
    <n v="17"/>
    <x v="10"/>
    <s v="M"/>
    <s v="KR"/>
    <x v="3"/>
    <n v="109000"/>
    <x v="32"/>
    <n v="27525.252525252523"/>
    <n v="0"/>
    <n v="-27525.252525252523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55050.505050505046"/>
    <n v="218000"/>
    <n v="3.6"/>
  </r>
  <r>
    <n v="0"/>
    <n v="0"/>
    <n v="11"/>
    <n v="12"/>
    <s v="전략"/>
    <x v="30"/>
    <s v="ELH-아트인드림-17"/>
    <s v="ELH-아트인드림-17ELHTHF5017BK"/>
    <n v="1"/>
    <s v="ELH-아트인드림-171"/>
    <s v="ELH-아트인드림-171-ELHTHF5017BLACKOXL"/>
    <s v="ELH의류17"/>
    <s v="ELH"/>
    <s v="ELSTHF"/>
    <m/>
    <s v="ELH"/>
    <s v="ELS HATSON"/>
    <s v="F"/>
    <n v="5"/>
    <s v="TH"/>
    <s v="HOODED T-SHIRTS"/>
    <s v="U"/>
    <n v="17"/>
    <s v="017"/>
    <s v="ELHTHF5017"/>
    <n v="0.25"/>
    <s v="ELSTHF5017BKOXL"/>
    <s v="BK"/>
    <s v="BLACK"/>
    <s v="ELHTHF5017BK"/>
    <x v="0"/>
    <n v="0.25"/>
    <n v="0"/>
    <n v="1"/>
    <s v="OXL"/>
    <n v="2"/>
    <x v="15"/>
    <n v="17"/>
    <x v="10"/>
    <s v="M"/>
    <s v="KR"/>
    <x v="3"/>
    <n v="109000"/>
    <x v="32"/>
    <n v="27525.252525252523"/>
    <n v="0"/>
    <n v="-27525.252525252523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55050.505050505046"/>
    <n v="218000"/>
    <n v="3.6"/>
  </r>
  <r>
    <n v="0"/>
    <n v="0"/>
    <n v="11"/>
    <n v="12"/>
    <s v="전략"/>
    <x v="30"/>
    <s v="ELH-아트인드림-17"/>
    <s v="ELH-아트인드림-17ELHTHF5017RE"/>
    <n v="2"/>
    <s v="ELH-아트인드림-172"/>
    <s v="ELH-아트인드림-172-ELHTHF5017REDOXS"/>
    <s v="ELH의류17"/>
    <s v="ELH"/>
    <s v="ELSTHF"/>
    <m/>
    <s v="ELH"/>
    <s v="ELS HATSON"/>
    <s v="F"/>
    <n v="5"/>
    <s v="TH"/>
    <s v="HOODED T-SHIRTS"/>
    <s v="U"/>
    <n v="17"/>
    <s v="017"/>
    <s v="ELHTHF5017"/>
    <n v="0.25"/>
    <s v="ELSTHF5017REOXS"/>
    <s v="RE"/>
    <s v="RED"/>
    <s v="ELHTHF5017RE"/>
    <x v="0"/>
    <n v="0.25"/>
    <n v="0"/>
    <n v="1"/>
    <s v="OXS"/>
    <n v="2"/>
    <x v="15"/>
    <n v="17"/>
    <x v="10"/>
    <s v="M"/>
    <s v="KR"/>
    <x v="3"/>
    <n v="109000"/>
    <x v="32"/>
    <n v="27525.252525252523"/>
    <n v="0"/>
    <n v="-27525.252525252523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55050.505050505046"/>
    <n v="218000"/>
    <n v="3.6"/>
  </r>
  <r>
    <n v="0"/>
    <n v="0"/>
    <n v="11"/>
    <n v="12"/>
    <s v="전략"/>
    <x v="30"/>
    <s v="ELH-아트인드림-17"/>
    <s v="ELH-아트인드림-17ELHTHF5017RE"/>
    <n v="2"/>
    <s v="ELH-아트인드림-172"/>
    <s v="ELH-아트인드림-172-ELHTHF5017REDOSS"/>
    <s v="ELH의류17"/>
    <s v="ELH"/>
    <s v="ELSTHF"/>
    <m/>
    <s v="ELH"/>
    <s v="ELS HATSON"/>
    <s v="F"/>
    <n v="5"/>
    <s v="TH"/>
    <s v="HOODED T-SHIRTS"/>
    <s v="U"/>
    <n v="17"/>
    <s v="017"/>
    <s v="ELHTHF5017"/>
    <n v="0.25"/>
    <s v="ELSTHF5017REOSS"/>
    <s v="RE"/>
    <s v="RED"/>
    <s v="ELHTHF5017RE"/>
    <x v="0"/>
    <n v="0.25"/>
    <n v="0"/>
    <n v="1"/>
    <s v="OSS"/>
    <n v="2"/>
    <x v="15"/>
    <n v="17"/>
    <x v="10"/>
    <s v="M"/>
    <s v="KR"/>
    <x v="3"/>
    <n v="109000"/>
    <x v="32"/>
    <n v="27525.252525252523"/>
    <n v="0"/>
    <n v="-27525.252525252523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55050.505050505046"/>
    <n v="218000"/>
    <n v="3.6"/>
  </r>
  <r>
    <n v="0"/>
    <n v="0"/>
    <n v="11"/>
    <n v="12"/>
    <s v="전략"/>
    <x v="30"/>
    <s v="ELH-아트인드림-17"/>
    <s v="ELH-아트인드림-17ELHTHF5017RE"/>
    <n v="2"/>
    <s v="ELH-아트인드림-172"/>
    <s v="ELH-아트인드림-172-ELHTHF5017REDOMM"/>
    <s v="ELH의류17"/>
    <s v="ELH"/>
    <s v="ELSTHF"/>
    <m/>
    <s v="ELH"/>
    <s v="ELS HATSON"/>
    <s v="F"/>
    <n v="5"/>
    <s v="TH"/>
    <s v="HOODED T-SHIRTS"/>
    <s v="U"/>
    <n v="17"/>
    <s v="017"/>
    <s v="ELHTHF5017"/>
    <n v="0.25"/>
    <s v="ELSTHF5017REOMM"/>
    <s v="RE"/>
    <s v="RED"/>
    <s v="ELHTHF5017RE"/>
    <x v="0"/>
    <n v="0.25"/>
    <n v="0"/>
    <n v="1"/>
    <s v="OMM"/>
    <n v="2"/>
    <x v="15"/>
    <n v="17"/>
    <x v="10"/>
    <s v="M"/>
    <s v="KR"/>
    <x v="3"/>
    <n v="109000"/>
    <x v="32"/>
    <n v="27525.252525252523"/>
    <n v="0"/>
    <n v="-27525.252525252523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55050.505050505046"/>
    <n v="218000"/>
    <n v="3.6"/>
  </r>
  <r>
    <n v="0"/>
    <n v="0"/>
    <n v="11"/>
    <n v="12"/>
    <s v="전략"/>
    <x v="30"/>
    <s v="ELH-아트인드림-17"/>
    <s v="ELH-아트인드림-17ELHTHF5017RE"/>
    <n v="2"/>
    <s v="ELH-아트인드림-172"/>
    <s v="ELH-아트인드림-172-ELHTHF5017REDOLL"/>
    <s v="ELH의류17"/>
    <s v="ELH"/>
    <s v="ELSTHF"/>
    <m/>
    <s v="ELH"/>
    <s v="ELS HATSON"/>
    <s v="F"/>
    <n v="5"/>
    <s v="TH"/>
    <s v="HOODED T-SHIRTS"/>
    <s v="U"/>
    <n v="17"/>
    <s v="017"/>
    <s v="ELHTHF5017"/>
    <n v="0.25"/>
    <s v="ELSTHF5017REOLL"/>
    <s v="RE"/>
    <s v="RED"/>
    <s v="ELHTHF5017RE"/>
    <x v="0"/>
    <n v="0.25"/>
    <n v="0"/>
    <n v="1"/>
    <s v="OLL"/>
    <n v="2"/>
    <x v="15"/>
    <n v="17"/>
    <x v="10"/>
    <s v="M"/>
    <s v="KR"/>
    <x v="3"/>
    <n v="109000"/>
    <x v="32"/>
    <n v="27525.252525252523"/>
    <n v="0"/>
    <n v="-27525.252525252523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55050.505050505046"/>
    <n v="218000"/>
    <n v="3.6"/>
  </r>
  <r>
    <n v="0"/>
    <n v="0"/>
    <s v=""/>
    <s v=""/>
    <s v=""/>
    <x v="1"/>
    <s v=""/>
    <s v=""/>
    <n v="0"/>
    <s v="0"/>
    <s v="0-"/>
    <n v="0"/>
    <s v="TTL"/>
    <s v=""/>
    <s v="ELH-아트인드림-17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6"/>
    <n v="0"/>
    <n v="0"/>
    <n v="0"/>
    <n v="0"/>
    <n v="0"/>
    <n v="16"/>
    <n v="440404.04040404037"/>
    <n v="1744000"/>
    <n v="3.6"/>
  </r>
  <r>
    <n v="0"/>
    <n v="0"/>
    <n v="11"/>
    <n v="12"/>
    <s v="F-CAP"/>
    <x v="23"/>
    <s v="ELH-성진-20"/>
    <s v="ELH-성진-20ELHSNF3001BK"/>
    <n v="1"/>
    <s v="ELH-성진-201"/>
    <s v="ELH-성진-201-ELHSNF3001BLACKFRE"/>
    <s v="ELH의류외1"/>
    <s v="ELH"/>
    <s v="ELSSNF"/>
    <m/>
    <s v="ELH"/>
    <s v="ELS HATSON"/>
    <s v="F"/>
    <s v="3"/>
    <s v="SN"/>
    <s v="SNAPBACK"/>
    <s v="U"/>
    <n v="1"/>
    <s v="001"/>
    <s v="ELHSNF3001"/>
    <n v="1"/>
    <s v="ELSSNF3001BKFRE"/>
    <s v="BK"/>
    <s v="BLACK"/>
    <s v="ELHSNF3001BK"/>
    <x v="0"/>
    <n v="1"/>
    <n v="0"/>
    <n v="1"/>
    <s v="FRE"/>
    <n v="10"/>
    <x v="7"/>
    <n v="20"/>
    <x v="22"/>
    <s v="M"/>
    <s v="VT"/>
    <x v="0"/>
    <n v="45000"/>
    <x v="32"/>
    <n v="6818.1818181818171"/>
    <n v="0"/>
    <n v="-6818.181818181817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68181.818181818177"/>
    <n v="450000"/>
    <n v="6"/>
  </r>
  <r>
    <n v="0"/>
    <n v="0"/>
    <n v="11"/>
    <n v="12"/>
    <s v="F-CAP"/>
    <x v="23"/>
    <s v="ELH-성진-20"/>
    <s v="ELH-성진-20ELHSNF5003RE"/>
    <n v="2"/>
    <s v="ELH-성진-202"/>
    <s v="ELH-성진-202-ELHSNF5003REDFRE"/>
    <s v="ELH의류외3"/>
    <s v="ELH"/>
    <s v="ELSSNF"/>
    <m/>
    <s v="ELH"/>
    <s v="ELS HATSON"/>
    <s v="F"/>
    <n v="5"/>
    <s v="SN"/>
    <s v="SNAPBACK"/>
    <s v="U"/>
    <n v="3"/>
    <s v="003"/>
    <s v="ELHSNF5003"/>
    <n v="1"/>
    <s v="ELSSNF5003REFRE"/>
    <s v="RE"/>
    <s v="RED"/>
    <s v="ELHSNF5003RE"/>
    <x v="0"/>
    <n v="1"/>
    <n v="0"/>
    <n v="1"/>
    <s v="FRE"/>
    <n v="5"/>
    <x v="7"/>
    <n v="20"/>
    <x v="22"/>
    <s v="M"/>
    <s v="BG"/>
    <x v="0"/>
    <n v="49000"/>
    <x v="32"/>
    <n v="7424.242424242424"/>
    <n v="0"/>
    <n v="-7424.242424242424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37121.21212121212"/>
    <n v="245000"/>
    <n v="6"/>
  </r>
  <r>
    <n v="0"/>
    <n v="0"/>
    <s v=""/>
    <s v=""/>
    <s v=""/>
    <x v="1"/>
    <s v=""/>
    <s v=""/>
    <n v="0"/>
    <s v="0"/>
    <s v="0-"/>
    <n v="0"/>
    <s v="TTL"/>
    <s v=""/>
    <s v="ELH-성진-20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5"/>
    <n v="0"/>
    <n v="0"/>
    <n v="0"/>
    <n v="0"/>
    <n v="0"/>
    <n v="15"/>
    <n v="105303.0303030303"/>
    <n v="695000"/>
    <n v="5.9999999999999991"/>
  </r>
  <r>
    <n v="0"/>
    <n v="0"/>
    <n v="11"/>
    <n v="12"/>
    <s v="F-CAP"/>
    <x v="23"/>
    <s v="ELH-동일모자-32"/>
    <s v="ELH-동일모자-32ELHSNF5028GY"/>
    <n v="1"/>
    <s v="ELH-동일모자-321"/>
    <s v="ELH-동일모자-321-ELHSNF5028GREYFRE"/>
    <s v="ELH의류외28"/>
    <s v="ELH"/>
    <s v="ELSSNF"/>
    <m/>
    <s v="ELH"/>
    <s v="ELS HATSON"/>
    <s v="F"/>
    <n v="5"/>
    <s v="SN"/>
    <s v="SNAPBACK"/>
    <s v="U"/>
    <n v="28"/>
    <s v="028"/>
    <s v="ELHSNF5028"/>
    <n v="1"/>
    <s v="ELSSNF5028GYFRE"/>
    <s v="GY"/>
    <s v="GREY"/>
    <s v="ELHSNF5028GY"/>
    <x v="0"/>
    <n v="1"/>
    <n v="0"/>
    <n v="1"/>
    <s v="FRE"/>
    <n v="15"/>
    <x v="5"/>
    <n v="32"/>
    <x v="34"/>
    <s v="M"/>
    <s v="CN"/>
    <x v="0"/>
    <n v="45000"/>
    <x v="32"/>
    <n v="6818.1818181818171"/>
    <n v="0"/>
    <n v="-6818.181818181817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5"/>
    <n v="0"/>
    <n v="0"/>
    <n v="0"/>
    <n v="0"/>
    <n v="0"/>
    <n v="15"/>
    <n v="102272.72727272725"/>
    <n v="675000"/>
    <n v="6.0000000000000009"/>
  </r>
  <r>
    <n v="0"/>
    <n v="0"/>
    <s v=""/>
    <s v=""/>
    <s v=""/>
    <x v="1"/>
    <s v=""/>
    <s v=""/>
    <n v="0"/>
    <s v="0"/>
    <s v="0-"/>
    <n v="0"/>
    <s v="TTL"/>
    <s v=""/>
    <s v="ELH-동일모자-32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5"/>
    <n v="0"/>
    <n v="0"/>
    <n v="0"/>
    <n v="0"/>
    <n v="0"/>
    <n v="15"/>
    <n v="102272.72727272725"/>
    <n v="675000"/>
    <n v="6.0000000000000009"/>
  </r>
  <r>
    <n v="0"/>
    <n v="0"/>
    <n v="11"/>
    <n v="12"/>
    <s v="F-CAP"/>
    <x v="23"/>
    <s v="ELH-FOREMOST-44"/>
    <s v="ELH-FOREMOST-44ELHTPF5301NY"/>
    <n v="1"/>
    <s v="ELH-FOREMOST-441"/>
    <s v="ELH-FOREMOST-441-ELHTPF5301NAVYFRE"/>
    <s v="ELH의류외301"/>
    <s v="ELH"/>
    <s v="ELSTPF"/>
    <m/>
    <s v="ELH"/>
    <s v="ELS HATSON"/>
    <s v="F"/>
    <n v="5"/>
    <s v="TP"/>
    <s v="TROOPER"/>
    <s v="U"/>
    <n v="301"/>
    <n v="301"/>
    <s v="ELHTPF5301"/>
    <n v="1"/>
    <s v="ELSTPF5301NYFRE"/>
    <s v="NY"/>
    <s v="NAVY"/>
    <s v="ELHTPF5301NY"/>
    <x v="1"/>
    <n v="1"/>
    <n v="0"/>
    <n v="1"/>
    <s v="FRE"/>
    <n v="10"/>
    <x v="4"/>
    <n v="44"/>
    <x v="44"/>
    <s v="M"/>
    <s v="CN"/>
    <x v="0"/>
    <n v="59000"/>
    <x v="32"/>
    <n v="8939.3939393939381"/>
    <n v="0"/>
    <n v="-8939.393939393938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89393.939393939378"/>
    <n v="590000"/>
    <n v="6"/>
  </r>
  <r>
    <n v="0"/>
    <n v="0"/>
    <s v=""/>
    <s v=""/>
    <s v=""/>
    <x v="1"/>
    <s v=""/>
    <s v=""/>
    <n v="0"/>
    <s v="0"/>
    <s v="0-"/>
    <n v="0"/>
    <s v="TTL"/>
    <s v=""/>
    <s v="ELH-FOREMOST-44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89393.939393939378"/>
    <n v="590000"/>
    <n v="6"/>
  </r>
  <r>
    <n v="0"/>
    <n v="0"/>
    <n v="11"/>
    <n v="12"/>
    <s v="F-HAT"/>
    <x v="40"/>
    <s v="HCH-동일모자-33"/>
    <s v="HCH-동일모자-33HCHMIF3007BK"/>
    <n v="1"/>
    <s v="HCH-동일모자-331"/>
    <s v="HCH-동일모자-331-HCHMIF3007BLACKFRE"/>
    <s v="HCH의류외7"/>
    <s v="HCH"/>
    <s v="HCUMIF"/>
    <m/>
    <s v="HCH"/>
    <s v="HCU HATSON"/>
    <s v="F"/>
    <s v="3"/>
    <s v="MI"/>
    <s v="MILITARY CAP"/>
    <s v="U"/>
    <n v="7"/>
    <s v="007"/>
    <s v="HCHMIF3007"/>
    <n v="1"/>
    <s v="HCUMIF3007BKFRE"/>
    <s v="BK"/>
    <s v="BLACK"/>
    <s v="HCHMIF3007BK"/>
    <x v="0"/>
    <n v="1"/>
    <n v="0"/>
    <n v="1"/>
    <s v="FRE"/>
    <n v="5"/>
    <x v="5"/>
    <n v="33"/>
    <x v="35"/>
    <s v="M"/>
    <s v="CN"/>
    <x v="0"/>
    <n v="49000"/>
    <x v="32"/>
    <n v="7424.242424242424"/>
    <n v="0"/>
    <n v="-7424.242424242424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37121.21212121212"/>
    <n v="245000"/>
    <n v="6"/>
  </r>
  <r>
    <n v="0"/>
    <n v="0"/>
    <n v="11"/>
    <n v="12"/>
    <s v="F-HAT"/>
    <x v="40"/>
    <s v="HCH-동일모자-33"/>
    <s v="HCH-동일모자-33HCHMIF3306KH"/>
    <n v="2"/>
    <s v="HCH-동일모자-332"/>
    <s v="HCH-동일모자-332-HCHMIF3306KHAKIFRE"/>
    <s v="HCH의류외306"/>
    <s v="HCH"/>
    <s v="HCUMIF"/>
    <m/>
    <s v="HCH"/>
    <s v="HCU HATSON"/>
    <s v="F"/>
    <s v="3"/>
    <s v="MI"/>
    <s v="MILITARY CAP"/>
    <s v="U"/>
    <n v="306"/>
    <n v="306"/>
    <s v="HCHMIF3306"/>
    <n v="1"/>
    <s v="HCUMIF3306KHFRE"/>
    <s v="KH"/>
    <s v="KHAKI"/>
    <s v="HCHMIF3306KH"/>
    <x v="1"/>
    <n v="1"/>
    <n v="0"/>
    <n v="1"/>
    <s v="FRE"/>
    <n v="5"/>
    <x v="5"/>
    <n v="33"/>
    <x v="35"/>
    <s v="M"/>
    <s v="CN"/>
    <x v="0"/>
    <n v="55000"/>
    <x v="32"/>
    <n v="8333.3333333333321"/>
    <n v="0"/>
    <n v="-8333.333333333332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41666.666666666657"/>
    <n v="275000"/>
    <n v="6.0000000000000009"/>
  </r>
  <r>
    <n v="0"/>
    <n v="0"/>
    <s v=""/>
    <s v=""/>
    <s v=""/>
    <x v="1"/>
    <s v=""/>
    <s v=""/>
    <n v="0"/>
    <s v="0"/>
    <s v="0-"/>
    <n v="0"/>
    <s v="TTL"/>
    <s v=""/>
    <s v="HCH-동일모자-33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78787.878787878784"/>
    <n v="520000"/>
    <n v="6"/>
  </r>
  <r>
    <n v="0"/>
    <n v="0"/>
    <n v="11"/>
    <n v="12"/>
    <s v="F-HAT"/>
    <x v="40"/>
    <s v="HCH-FOREMOST-45"/>
    <s v="HCH-FOREMOST-45HCHMIF3010BK"/>
    <n v="1"/>
    <s v="HCH-FOREMOST-451"/>
    <s v="HCH-FOREMOST-451-HCHMIF3010BLACKFRE"/>
    <s v="HCH의류외10"/>
    <s v="HCH"/>
    <s v="HCUMIF"/>
    <m/>
    <s v="HCH"/>
    <s v="HCU HATSON"/>
    <s v="F"/>
    <s v="3"/>
    <s v="MI"/>
    <s v="MILITARY CAP"/>
    <s v="U"/>
    <n v="10"/>
    <s v="010"/>
    <s v="HCHMIF3010"/>
    <n v="1"/>
    <s v="HCUMIF3010BKFRE"/>
    <s v="BK"/>
    <s v="BLACK"/>
    <s v="HCHMIF3010BK"/>
    <x v="0"/>
    <n v="1"/>
    <n v="0"/>
    <n v="1"/>
    <s v="FRE"/>
    <n v="5"/>
    <x v="4"/>
    <n v="45"/>
    <x v="45"/>
    <s v="M"/>
    <s v="CN"/>
    <x v="0"/>
    <n v="45000"/>
    <x v="32"/>
    <n v="6818.1818181818171"/>
    <n v="0"/>
    <n v="-6818.181818181817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34090.909090909088"/>
    <n v="225000"/>
    <n v="6"/>
  </r>
  <r>
    <n v="0"/>
    <n v="0"/>
    <n v="11"/>
    <n v="12"/>
    <s v="F-HAT"/>
    <x v="40"/>
    <s v="HCH-FOREMOST-45"/>
    <s v="HCH-FOREMOST-45HCHMIF3210BK"/>
    <n v="2"/>
    <s v="HCH-FOREMOST-452"/>
    <s v="HCH-FOREMOST-452-HCHMIF3210BLACKFRE"/>
    <s v="HCH의류외210"/>
    <s v="HCH"/>
    <s v="HCUMIF"/>
    <m/>
    <s v="HCH"/>
    <s v="HCU HATSON"/>
    <s v="F"/>
    <s v="3"/>
    <s v="MI"/>
    <s v="MILITARY CAP"/>
    <s v="U"/>
    <n v="210"/>
    <n v="210"/>
    <s v="HCHMIF3210"/>
    <n v="1"/>
    <s v="HCUMIF3210BKFRE"/>
    <s v="BK"/>
    <s v="BLACK"/>
    <s v="HCHMIF3210BK"/>
    <x v="1"/>
    <n v="1"/>
    <n v="0"/>
    <n v="1"/>
    <s v="FRE"/>
    <n v="5"/>
    <x v="4"/>
    <n v="45"/>
    <x v="45"/>
    <s v="M"/>
    <s v="CN"/>
    <x v="0"/>
    <n v="53000"/>
    <x v="32"/>
    <n v="8030.3030303030291"/>
    <n v="0"/>
    <n v="-8030.303030303029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40151.515151515145"/>
    <n v="265000"/>
    <n v="6"/>
  </r>
  <r>
    <n v="0"/>
    <n v="0"/>
    <s v=""/>
    <s v=""/>
    <s v=""/>
    <x v="1"/>
    <s v=""/>
    <s v=""/>
    <n v="0"/>
    <s v="0"/>
    <s v="0-"/>
    <n v="0"/>
    <s v="TTL"/>
    <s v=""/>
    <s v="HCH-FOREMOST-45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74242.424242424226"/>
    <n v="490000"/>
    <n v="6.0000000000000009"/>
  </r>
  <r>
    <n v="0"/>
    <n v="0"/>
    <n v="11"/>
    <n v="12"/>
    <s v="F-CAP"/>
    <x v="41"/>
    <s v="MGH-캡보이2-05"/>
    <s v="MGH-캡보이2-05MGHSNF3001BK"/>
    <n v="1"/>
    <s v="MGH-캡보이2-051"/>
    <s v="MGH-캡보이2-051-MGHSNF3001BLACKFRE"/>
    <s v="MGH의류외1"/>
    <s v="MGH"/>
    <s v="MGMSNF"/>
    <m/>
    <s v="MGH"/>
    <s v="MGM HATSON"/>
    <s v="F"/>
    <s v="3"/>
    <s v="SN"/>
    <s v="SNAPBACK"/>
    <s v="U"/>
    <n v="1"/>
    <s v="001"/>
    <s v="MGHSNF3001"/>
    <n v="1"/>
    <s v="MGMSNF3001BKFRE"/>
    <s v="BK"/>
    <s v="BLACK"/>
    <s v="MGHSNF3001BK"/>
    <x v="0"/>
    <n v="1"/>
    <n v="0"/>
    <n v="1"/>
    <s v="FRE"/>
    <n v="5"/>
    <x v="3"/>
    <n v="5"/>
    <x v="5"/>
    <s v="M"/>
    <s v="VT"/>
    <x v="0"/>
    <n v="45000"/>
    <x v="32"/>
    <n v="8181.8181818181811"/>
    <n v="0"/>
    <n v="-8181.818181818181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40909.090909090904"/>
    <n v="225000"/>
    <n v="5"/>
  </r>
  <r>
    <n v="0"/>
    <n v="0"/>
    <n v="11"/>
    <n v="12"/>
    <s v="F-CAP"/>
    <x v="41"/>
    <s v="MGH-캡보이2-05"/>
    <s v="MGH-캡보이2-05MGHSNF3004GY"/>
    <n v="2"/>
    <s v="MGH-캡보이2-052"/>
    <s v="MGH-캡보이2-052-MGHSNF3004GREYFRE"/>
    <s v="MGH의류외4"/>
    <s v="MGH"/>
    <s v="MGMSNF"/>
    <m/>
    <s v="MGH"/>
    <s v="MGM HATSON"/>
    <s v="F"/>
    <s v="3"/>
    <s v="SN"/>
    <s v="SNAPBACK"/>
    <s v="U"/>
    <n v="4"/>
    <s v="004"/>
    <s v="MGHSNF3004"/>
    <n v="1"/>
    <s v="MGMSNF3004GYFRE"/>
    <s v="GY"/>
    <s v="GREY"/>
    <s v="MGHSNF3004GY"/>
    <x v="0"/>
    <n v="1"/>
    <n v="0"/>
    <n v="1"/>
    <s v="FRE"/>
    <n v="7"/>
    <x v="3"/>
    <n v="5"/>
    <x v="5"/>
    <s v="M"/>
    <s v="VT"/>
    <x v="0"/>
    <n v="45000"/>
    <x v="32"/>
    <n v="8181.8181818181811"/>
    <n v="0"/>
    <n v="-8181.818181818181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7"/>
    <n v="0"/>
    <n v="0"/>
    <n v="0"/>
    <n v="0"/>
    <n v="0"/>
    <n v="7"/>
    <n v="57272.727272727265"/>
    <n v="315000"/>
    <n v="5.0000000000000009"/>
  </r>
  <r>
    <n v="0"/>
    <n v="0"/>
    <s v=""/>
    <s v=""/>
    <s v=""/>
    <x v="1"/>
    <s v=""/>
    <s v=""/>
    <n v="0"/>
    <s v="0"/>
    <s v="0-"/>
    <n v="0"/>
    <s v="TTL"/>
    <s v=""/>
    <s v="MGH-캡보이2-05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2"/>
    <n v="0"/>
    <n v="0"/>
    <n v="0"/>
    <n v="0"/>
    <n v="0"/>
    <n v="12"/>
    <n v="98181.818181818177"/>
    <n v="540000"/>
    <n v="5"/>
  </r>
  <r>
    <n v="0"/>
    <n v="0"/>
    <n v="11"/>
    <n v="12"/>
    <s v="F-CAP"/>
    <x v="41"/>
    <s v="MGH-J&amp;F-02"/>
    <s v="MGH-J&amp;F-02MGHSNF3016NY"/>
    <n v="1"/>
    <s v="MGH-J&amp;F-021"/>
    <s v="MGH-J&amp;F-021-MGHSNF3016NAVYFRE"/>
    <s v="MGH의류외16"/>
    <s v="MGH"/>
    <s v="MGMSNF"/>
    <m/>
    <s v="MGH"/>
    <s v="MGM HATSON"/>
    <s v="F"/>
    <s v="3"/>
    <s v="SN"/>
    <s v="SNAPBACK"/>
    <s v="U"/>
    <n v="16"/>
    <s v="016"/>
    <s v="MGHSNF3016"/>
    <n v="1"/>
    <s v="MGMSNF3016NYFRE"/>
    <s v="NY"/>
    <s v="NAVY"/>
    <s v="MGHSNF3016NY"/>
    <x v="0"/>
    <n v="1"/>
    <n v="0"/>
    <n v="1"/>
    <s v="FRE"/>
    <n v="5"/>
    <x v="0"/>
    <n v="2"/>
    <x v="4"/>
    <s v="M"/>
    <s v="CN"/>
    <x v="0"/>
    <n v="45000"/>
    <x v="32"/>
    <n v="4545.454545454545"/>
    <n v="0"/>
    <n v="-4545.45454545454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22727.272727272724"/>
    <n v="225000"/>
    <n v="9"/>
  </r>
  <r>
    <n v="0"/>
    <n v="0"/>
    <s v=""/>
    <s v=""/>
    <s v=""/>
    <x v="1"/>
    <s v=""/>
    <s v=""/>
    <n v="0"/>
    <s v="0"/>
    <s v="0-"/>
    <n v="0"/>
    <s v="TTL"/>
    <s v=""/>
    <s v="MGH-J&amp;F-02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22727.272727272724"/>
    <n v="225000"/>
    <n v="9"/>
  </r>
  <r>
    <n v="0"/>
    <n v="0"/>
    <n v="11"/>
    <n v="12"/>
    <s v="SPORTS"/>
    <x v="24"/>
    <s v="NOH-FOREMOST-46"/>
    <s v="NOH-FOREMOST-46NOHERF5004BK"/>
    <n v="1"/>
    <s v="NOH-FOREMOST-461"/>
    <s v="NOH-FOREMOST-461-NOHERF5004BLACKFRE"/>
    <s v="NOH의류외4"/>
    <s v="NOH"/>
    <s v="NOVERF"/>
    <m/>
    <s v="NOH"/>
    <s v="NOV HATSON"/>
    <s v="F"/>
    <n v="5"/>
    <s v="ER"/>
    <s v="EARCAP"/>
    <s v="U"/>
    <n v="4"/>
    <s v="004"/>
    <s v="NOHERF5004"/>
    <n v="1"/>
    <s v="NOVERF5004BKFRE"/>
    <s v="BK"/>
    <s v="BLACK"/>
    <s v="NOHERF5004BK"/>
    <x v="0"/>
    <n v="1"/>
    <n v="0"/>
    <n v="1"/>
    <s v="FRE"/>
    <n v="5"/>
    <x v="4"/>
    <n v="46"/>
    <x v="46"/>
    <s v="M"/>
    <s v="CN"/>
    <x v="0"/>
    <n v="69000"/>
    <x v="32"/>
    <n v="10454.545454545454"/>
    <n v="0"/>
    <n v="-10454.545454545454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52272.727272727272"/>
    <n v="345000"/>
    <n v="5.9999999999999991"/>
  </r>
  <r>
    <n v="0"/>
    <n v="0"/>
    <n v="11"/>
    <n v="12"/>
    <s v="SPORTS"/>
    <x v="24"/>
    <s v="NOH-FOREMOST-46"/>
    <s v="NOH-FOREMOST-46NOHERF5004RE"/>
    <n v="2"/>
    <s v="NOH-FOREMOST-462"/>
    <s v="NOH-FOREMOST-462-NOHERF5004REDFRE"/>
    <s v="NOH의류외4"/>
    <s v="NOH"/>
    <s v="NOVERF"/>
    <m/>
    <s v="NOH"/>
    <s v="NOV HATSON"/>
    <s v="F"/>
    <n v="5"/>
    <s v="ER"/>
    <s v="EARCAP"/>
    <s v="U"/>
    <n v="4"/>
    <s v="004"/>
    <s v="NOHERF5004"/>
    <n v="1"/>
    <s v="NOVERF5004REFRE"/>
    <s v="RE"/>
    <s v="RED"/>
    <s v="NOHERF5004RE"/>
    <x v="0"/>
    <n v="1"/>
    <n v="0"/>
    <n v="1"/>
    <s v="FRE"/>
    <n v="5"/>
    <x v="4"/>
    <n v="46"/>
    <x v="46"/>
    <s v="M"/>
    <s v="CN"/>
    <x v="0"/>
    <n v="69000"/>
    <x v="32"/>
    <n v="10454.545454545454"/>
    <n v="0"/>
    <n v="-10454.545454545454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52272.727272727272"/>
    <n v="345000"/>
    <n v="5.9999999999999991"/>
  </r>
  <r>
    <n v="0"/>
    <n v="0"/>
    <s v=""/>
    <s v=""/>
    <s v=""/>
    <x v="1"/>
    <s v=""/>
    <s v=""/>
    <n v="0"/>
    <s v="0"/>
    <s v="0-"/>
    <n v="0"/>
    <s v="TTL"/>
    <s v=""/>
    <s v="NOH-FOREMOST-46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104545.45454545454"/>
    <n v="690000"/>
    <n v="5.9999999999999991"/>
  </r>
  <r>
    <n v="0"/>
    <n v="0"/>
    <n v="11"/>
    <n v="12"/>
    <n v="0"/>
    <x v="42"/>
    <s v="PLH-성진-21"/>
    <s v="PLH-성진-21PLHUMF3407BK"/>
    <n v="1"/>
    <s v="PLH-성진-211"/>
    <s v="PLH-성진-211-PLHUMF3407BLACKFRE"/>
    <s v="PLH의류외407"/>
    <s v="PLH"/>
    <s v="PLAUMF"/>
    <m/>
    <s v="PLH"/>
    <s v="PLA HATSON"/>
    <s v="F"/>
    <s v="3"/>
    <s v="UM"/>
    <s v="UMPIRE"/>
    <s v="U"/>
    <n v="407"/>
    <n v="407"/>
    <s v="PLHUMF3407"/>
    <n v="1"/>
    <s v="PLAUMF3407BKFRE"/>
    <s v="BK"/>
    <s v="BLACK"/>
    <s v="PLHUMF3407BK"/>
    <x v="1"/>
    <n v="1"/>
    <n v="0"/>
    <n v="1"/>
    <s v="FRE"/>
    <n v="7"/>
    <x v="7"/>
    <n v="21"/>
    <x v="18"/>
    <s v="M"/>
    <s v="CN"/>
    <x v="0"/>
    <n v="59000"/>
    <x v="32"/>
    <n v="8939.3939393939381"/>
    <n v="0"/>
    <n v="-8939.393939393938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7"/>
    <n v="0"/>
    <n v="0"/>
    <n v="0"/>
    <n v="0"/>
    <n v="0"/>
    <n v="7"/>
    <n v="62575.757575757569"/>
    <n v="413000"/>
    <n v="6"/>
  </r>
  <r>
    <n v="0"/>
    <n v="0"/>
    <n v="11"/>
    <n v="12"/>
    <n v="0"/>
    <x v="42"/>
    <s v="PLH-성진-21"/>
    <s v="PLH-성진-21PLHUMF3409BK"/>
    <n v="2"/>
    <s v="PLH-성진-212"/>
    <s v="PLH-성진-212-PLHUMF3409BLACKFRE"/>
    <s v="PLH의류외409"/>
    <s v="PLH"/>
    <s v="PLAUMF"/>
    <m/>
    <s v="PLH"/>
    <s v="PLA HATSON"/>
    <s v="F"/>
    <s v="3"/>
    <s v="UM"/>
    <s v="UMPIRE"/>
    <s v="U"/>
    <n v="409"/>
    <n v="409"/>
    <s v="PLHUMF3409"/>
    <n v="1"/>
    <s v="PLAUMF3409BKFRE"/>
    <s v="BK"/>
    <s v="BLACK"/>
    <s v="PLHUMF3409BK"/>
    <x v="1"/>
    <n v="1"/>
    <n v="0"/>
    <n v="1"/>
    <s v="FRE"/>
    <n v="5"/>
    <x v="7"/>
    <n v="21"/>
    <x v="18"/>
    <s v="M"/>
    <s v="CN"/>
    <x v="0"/>
    <n v="59000"/>
    <x v="32"/>
    <n v="8939.3939393939381"/>
    <n v="0"/>
    <n v="-8939.393939393938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44696.969696969689"/>
    <n v="295000"/>
    <n v="6"/>
  </r>
  <r>
    <n v="0"/>
    <n v="0"/>
    <n v="11"/>
    <n v="12"/>
    <n v="0"/>
    <x v="42"/>
    <s v="PLH-성진-21"/>
    <s v="PLH-성진-21PLHUMF3411BK"/>
    <n v="3"/>
    <s v="PLH-성진-213"/>
    <s v="PLH-성진-213-PLHUMF3411BLACKFRE"/>
    <s v="PLH의류외411"/>
    <s v="PLH"/>
    <s v="PLAUMF"/>
    <m/>
    <s v="PLH"/>
    <s v="PLA HATSON"/>
    <s v="F"/>
    <s v="3"/>
    <s v="UM"/>
    <s v="UMPIRE"/>
    <s v="U"/>
    <n v="411"/>
    <n v="411"/>
    <s v="PLHUMF3411"/>
    <n v="1"/>
    <s v="PLAUMF3411BKFRE"/>
    <s v="BK"/>
    <s v="BLACK"/>
    <s v="PLHUMF3411BK"/>
    <x v="1"/>
    <n v="1"/>
    <n v="0"/>
    <n v="1"/>
    <s v="FRE"/>
    <n v="7"/>
    <x v="7"/>
    <n v="21"/>
    <x v="18"/>
    <s v="M"/>
    <s v="CN"/>
    <x v="0"/>
    <n v="59000"/>
    <x v="32"/>
    <n v="8939.3939393939381"/>
    <n v="0"/>
    <n v="-8939.393939393938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7"/>
    <n v="0"/>
    <n v="0"/>
    <n v="0"/>
    <n v="0"/>
    <n v="0"/>
    <n v="7"/>
    <n v="62575.757575757569"/>
    <n v="413000"/>
    <n v="6"/>
  </r>
  <r>
    <n v="0"/>
    <n v="0"/>
    <n v="11"/>
    <n v="12"/>
    <n v="0"/>
    <x v="42"/>
    <s v="PLH-성진-21"/>
    <s v="PLH-성진-21PLHUMF5001BK"/>
    <n v="4"/>
    <s v="PLH-성진-214"/>
    <s v="PLH-성진-214-PLHUMF5001BLACKFRE"/>
    <s v="PLH의류외1"/>
    <s v="PLH"/>
    <s v="PLAUMF"/>
    <m/>
    <s v="PLH"/>
    <s v="PLA HATSON"/>
    <s v="F"/>
    <n v="5"/>
    <s v="UM"/>
    <s v="UMPIRE"/>
    <s v="U"/>
    <n v="1"/>
    <s v="001"/>
    <s v="PLHUMF5001"/>
    <n v="1"/>
    <s v="PLAUMF5001BKFRE"/>
    <s v="BK"/>
    <s v="BLACK"/>
    <s v="PLHUMF5001BK"/>
    <x v="0"/>
    <n v="1"/>
    <n v="0"/>
    <n v="1"/>
    <s v="FRE"/>
    <n v="5"/>
    <x v="7"/>
    <n v="21"/>
    <x v="18"/>
    <s v="M"/>
    <s v="CN"/>
    <x v="0"/>
    <n v="55000"/>
    <x v="32"/>
    <n v="8333.3333333333321"/>
    <n v="0"/>
    <n v="-8333.333333333332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41666.666666666657"/>
    <n v="275000"/>
    <n v="6.0000000000000009"/>
  </r>
  <r>
    <n v="0"/>
    <n v="0"/>
    <n v="11"/>
    <n v="12"/>
    <n v="0"/>
    <x v="42"/>
    <s v="PLH-성진-21"/>
    <s v="PLH-성진-21PLHUMF5001GY"/>
    <n v="5"/>
    <s v="PLH-성진-215"/>
    <s v="PLH-성진-215-PLHUMF5001GREYFRE"/>
    <s v="PLH의류외1"/>
    <s v="PLH"/>
    <s v="PLAUMF"/>
    <m/>
    <s v="PLH"/>
    <s v="PLA HATSON"/>
    <s v="F"/>
    <n v="5"/>
    <s v="UM"/>
    <s v="UMPIRE"/>
    <s v="U"/>
    <n v="1"/>
    <s v="001"/>
    <s v="PLHUMF5001"/>
    <n v="1"/>
    <s v="PLAUMF5001GYFRE"/>
    <s v="GY"/>
    <s v="GREY"/>
    <s v="PLHUMF5001GY"/>
    <x v="0"/>
    <n v="1"/>
    <n v="0"/>
    <n v="1"/>
    <s v="FRE"/>
    <n v="5"/>
    <x v="7"/>
    <n v="21"/>
    <x v="18"/>
    <s v="M"/>
    <s v="CN"/>
    <x v="0"/>
    <n v="55000"/>
    <x v="32"/>
    <n v="8333.3333333333321"/>
    <n v="0"/>
    <n v="-8333.333333333332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41666.666666666657"/>
    <n v="275000"/>
    <n v="6.0000000000000009"/>
  </r>
  <r>
    <n v="0"/>
    <n v="0"/>
    <n v="11"/>
    <n v="12"/>
    <n v="0"/>
    <x v="42"/>
    <s v="PLH-성진-21"/>
    <s v="PLH-성진-21PLHUMF5001NY"/>
    <n v="6"/>
    <s v="PLH-성진-216"/>
    <s v="PLH-성진-216-PLHUMF5001NAVYFRE"/>
    <s v="PLH의류외1"/>
    <s v="PLH"/>
    <s v="PLAUMF"/>
    <m/>
    <s v="PLH"/>
    <s v="PLA HATSON"/>
    <s v="F"/>
    <n v="5"/>
    <s v="UM"/>
    <s v="UMPIRE"/>
    <s v="U"/>
    <n v="1"/>
    <s v="001"/>
    <s v="PLHUMF5001"/>
    <n v="1"/>
    <s v="PLAUMF5001NYFRE"/>
    <s v="NY"/>
    <s v="NAVY"/>
    <s v="PLHUMF5001NY"/>
    <x v="0"/>
    <n v="1"/>
    <n v="0"/>
    <n v="1"/>
    <s v="FRE"/>
    <n v="5"/>
    <x v="7"/>
    <n v="21"/>
    <x v="18"/>
    <s v="M"/>
    <s v="CN"/>
    <x v="0"/>
    <n v="55000"/>
    <x v="32"/>
    <n v="8333.3333333333321"/>
    <n v="0"/>
    <n v="-8333.333333333332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41666.666666666657"/>
    <n v="275000"/>
    <n v="6.0000000000000009"/>
  </r>
  <r>
    <n v="0"/>
    <n v="0"/>
    <n v="11"/>
    <n v="12"/>
    <n v="0"/>
    <x v="42"/>
    <s v="PLH-성진-21"/>
    <s v="PLH-성진-21PLHUMF5001RE"/>
    <n v="7"/>
    <s v="PLH-성진-217"/>
    <s v="PLH-성진-217-PLHUMF5001REDFRE"/>
    <s v="PLH의류외1"/>
    <s v="PLH"/>
    <s v="PLAUMF"/>
    <m/>
    <s v="PLH"/>
    <s v="PLA HATSON"/>
    <s v="F"/>
    <n v="5"/>
    <s v="UM"/>
    <s v="UMPIRE"/>
    <s v="U"/>
    <n v="1"/>
    <s v="001"/>
    <s v="PLHUMF5001"/>
    <n v="1"/>
    <s v="PLAUMF5001REFRE"/>
    <s v="RE"/>
    <s v="RED"/>
    <s v="PLHUMF5001RE"/>
    <x v="0"/>
    <n v="1"/>
    <n v="0"/>
    <n v="1"/>
    <s v="FRE"/>
    <n v="5"/>
    <x v="7"/>
    <n v="21"/>
    <x v="18"/>
    <s v="M"/>
    <s v="CN"/>
    <x v="0"/>
    <n v="55000"/>
    <x v="32"/>
    <n v="8333.3333333333321"/>
    <n v="0"/>
    <n v="-8333.333333333332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41666.666666666657"/>
    <n v="275000"/>
    <n v="6.0000000000000009"/>
  </r>
  <r>
    <n v="0"/>
    <n v="0"/>
    <s v=""/>
    <s v=""/>
    <s v=""/>
    <x v="1"/>
    <s v=""/>
    <s v=""/>
    <n v="0"/>
    <s v="0"/>
    <s v="0-"/>
    <n v="0"/>
    <s v="TTL"/>
    <s v=""/>
    <s v="PLH-성진-21 TTL"/>
    <m/>
    <s v=""/>
    <s v=""/>
    <s v=""/>
    <m/>
    <s v=""/>
    <m/>
    <m/>
    <s v=""/>
    <s v=""/>
    <n v="7"/>
    <m/>
    <s v=""/>
    <m/>
    <s v=""/>
    <x v="0"/>
    <n v="7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9"/>
    <n v="0"/>
    <n v="0"/>
    <n v="0"/>
    <n v="0"/>
    <n v="0"/>
    <n v="39"/>
    <n v="336515.15151515149"/>
    <n v="2221000"/>
    <n v="6"/>
  </r>
  <r>
    <n v="0"/>
    <n v="0"/>
    <n v="11"/>
    <n v="12"/>
    <s v="전략"/>
    <x v="43"/>
    <s v="PNH-유건-01"/>
    <s v="PNH-유건-01PNHJPF5007BK"/>
    <n v="1"/>
    <s v="PNH-유건-011"/>
    <s v="PNH-유건-011-PNHJPF5007BLACKOMM"/>
    <s v="PNH의류7"/>
    <s v="PNH"/>
    <s v="PNYJPF"/>
    <m/>
    <s v="PNH"/>
    <s v="PNY HATSON"/>
    <s v="F"/>
    <n v="5"/>
    <s v="JP"/>
    <s v="JUMPER"/>
    <s v="U"/>
    <n v="7"/>
    <s v="007"/>
    <s v="PNHJPF5007"/>
    <n v="0.5"/>
    <s v="PNYJPF5007BKOMM"/>
    <s v="BK"/>
    <s v="BLACK"/>
    <s v="PNHJPF5007BK"/>
    <x v="0"/>
    <n v="0.5"/>
    <n v="0"/>
    <n v="1"/>
    <s v="OMM"/>
    <n v="2"/>
    <x v="21"/>
    <n v="1"/>
    <x v="0"/>
    <s v="M"/>
    <s v="KR"/>
    <x v="3"/>
    <n v="298000"/>
    <x v="32"/>
    <n v="75252.525252525244"/>
    <n v="0"/>
    <n v="-75252.525252525244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150505.05050505049"/>
    <n v="596000"/>
    <n v="3.5999999999999996"/>
  </r>
  <r>
    <n v="0"/>
    <n v="0"/>
    <n v="11"/>
    <n v="12"/>
    <s v="전략"/>
    <x v="43"/>
    <s v="PNH-유건-01"/>
    <s v="PNH-유건-01PNHJPF5007BK"/>
    <n v="1"/>
    <s v="PNH-유건-011"/>
    <s v="PNH-유건-011-PNHJPF5007BLACKOLL"/>
    <s v="PNH의류7"/>
    <s v="PNH"/>
    <s v="PNYJPF"/>
    <m/>
    <s v="PNH"/>
    <s v="PNY HATSON"/>
    <s v="F"/>
    <n v="5"/>
    <s v="JP"/>
    <s v="JUMPER"/>
    <s v="U"/>
    <n v="7"/>
    <s v="007"/>
    <s v="PNHJPF5007"/>
    <n v="0.5"/>
    <s v="PNYJPF5007BKOLL"/>
    <s v="BK"/>
    <s v="BLACK"/>
    <s v="PNHJPF5007BK"/>
    <x v="0"/>
    <n v="0.5"/>
    <n v="0"/>
    <n v="1"/>
    <s v="OLL"/>
    <n v="2"/>
    <x v="21"/>
    <n v="1"/>
    <x v="0"/>
    <s v="M"/>
    <s v="KR"/>
    <x v="3"/>
    <n v="298000"/>
    <x v="32"/>
    <n v="75252.525252525244"/>
    <n v="0"/>
    <n v="-75252.525252525244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150505.05050505049"/>
    <n v="596000"/>
    <n v="3.5999999999999996"/>
  </r>
  <r>
    <n v="0"/>
    <n v="0"/>
    <s v=""/>
    <s v=""/>
    <s v=""/>
    <x v="1"/>
    <s v=""/>
    <s v=""/>
    <n v="0"/>
    <s v="0"/>
    <s v="0-"/>
    <n v="0"/>
    <s v="TTL"/>
    <s v=""/>
    <s v="PNH-유건-01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4"/>
    <n v="0"/>
    <n v="0"/>
    <n v="0"/>
    <n v="0"/>
    <n v="0"/>
    <n v="4"/>
    <n v="301010.10101010097"/>
    <n v="1192000"/>
    <n v="3.5999999999999996"/>
  </r>
  <r>
    <n v="0"/>
    <n v="0"/>
    <n v="11"/>
    <n v="12"/>
    <s v="전략"/>
    <x v="43"/>
    <s v="PNH-아트인드림-18"/>
    <s v="PNH-아트인드림-18PNHTHF5005BK"/>
    <n v="1"/>
    <s v="PNH-아트인드림-181"/>
    <s v="PNH-아트인드림-181-PNHTHF5005BLACKOSS"/>
    <s v="PNH의류5"/>
    <s v="PNH"/>
    <s v="PNYTHF"/>
    <m/>
    <s v="PNH"/>
    <s v="PNY HATSON"/>
    <s v="F"/>
    <n v="5"/>
    <s v="TH"/>
    <s v="HOODED T-SHIRTS"/>
    <s v="U"/>
    <n v="5"/>
    <s v="005"/>
    <s v="PNHTHF5005"/>
    <n v="0.25"/>
    <s v="PNYTHF5005BKOSS"/>
    <s v="BK"/>
    <s v="BLACK"/>
    <s v="PNHTHF5005BK"/>
    <x v="0"/>
    <n v="0.25"/>
    <n v="0"/>
    <n v="1"/>
    <s v="OSS"/>
    <n v="2"/>
    <x v="15"/>
    <n v="18"/>
    <x v="13"/>
    <s v="M"/>
    <s v="KR"/>
    <x v="3"/>
    <n v="109000"/>
    <x v="32"/>
    <n v="27525.252525252523"/>
    <n v="0"/>
    <n v="-27525.252525252523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55050.505050505046"/>
    <n v="218000"/>
    <n v="3.6"/>
  </r>
  <r>
    <n v="0"/>
    <n v="0"/>
    <n v="11"/>
    <n v="12"/>
    <s v="전략"/>
    <x v="43"/>
    <s v="PNH-아트인드림-18"/>
    <s v="PNH-아트인드림-18PNHTHF5005BK"/>
    <n v="1"/>
    <s v="PNH-아트인드림-181"/>
    <s v="PNH-아트인드림-181-PNHTHF5005BLACKOMM"/>
    <s v="PNH의류5"/>
    <s v="PNH"/>
    <s v="PNYTHF"/>
    <m/>
    <s v="PNH"/>
    <s v="PNY HATSON"/>
    <s v="F"/>
    <n v="5"/>
    <s v="TH"/>
    <s v="HOODED T-SHIRTS"/>
    <s v="U"/>
    <n v="5"/>
    <s v="005"/>
    <s v="PNHTHF5005"/>
    <n v="0.25"/>
    <s v="PNYTHF5005BKOMM"/>
    <s v="BK"/>
    <s v="BLACK"/>
    <s v="PNHTHF5005BK"/>
    <x v="0"/>
    <n v="0.25"/>
    <n v="0"/>
    <n v="1"/>
    <s v="OMM"/>
    <n v="2"/>
    <x v="15"/>
    <n v="18"/>
    <x v="13"/>
    <s v="M"/>
    <s v="KR"/>
    <x v="3"/>
    <n v="109000"/>
    <x v="32"/>
    <n v="27525.252525252523"/>
    <n v="0"/>
    <n v="-27525.252525252523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55050.505050505046"/>
    <n v="218000"/>
    <n v="3.6"/>
  </r>
  <r>
    <n v="0"/>
    <n v="0"/>
    <n v="11"/>
    <n v="12"/>
    <s v="전략"/>
    <x v="43"/>
    <s v="PNH-아트인드림-18"/>
    <s v="PNH-아트인드림-18PNHTHF5005BK"/>
    <n v="1"/>
    <s v="PNH-아트인드림-181"/>
    <s v="PNH-아트인드림-181-PNHTHF5005BLACKOLL"/>
    <s v="PNH의류5"/>
    <s v="PNH"/>
    <s v="PNYTHF"/>
    <m/>
    <s v="PNH"/>
    <s v="PNY HATSON"/>
    <s v="F"/>
    <n v="5"/>
    <s v="TH"/>
    <s v="HOODED T-SHIRTS"/>
    <s v="U"/>
    <n v="5"/>
    <s v="005"/>
    <s v="PNHTHF5005"/>
    <n v="0.25"/>
    <s v="PNYTHF5005BKOLL"/>
    <s v="BK"/>
    <s v="BLACK"/>
    <s v="PNHTHF5005BK"/>
    <x v="0"/>
    <n v="0.25"/>
    <n v="0"/>
    <n v="1"/>
    <s v="OLL"/>
    <n v="2"/>
    <x v="15"/>
    <n v="18"/>
    <x v="13"/>
    <s v="M"/>
    <s v="KR"/>
    <x v="3"/>
    <n v="109000"/>
    <x v="32"/>
    <n v="27525.252525252523"/>
    <n v="0"/>
    <n v="-27525.252525252523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55050.505050505046"/>
    <n v="218000"/>
    <n v="3.6"/>
  </r>
  <r>
    <n v="0"/>
    <n v="0"/>
    <n v="11"/>
    <n v="12"/>
    <s v="전략"/>
    <x v="43"/>
    <s v="PNH-아트인드림-18"/>
    <s v="PNH-아트인드림-18PNHTHF5005BK"/>
    <n v="1"/>
    <s v="PNH-아트인드림-181"/>
    <s v="PNH-아트인드림-181-PNHTHF5005BLACKOXL"/>
    <s v="PNH의류5"/>
    <s v="PNH"/>
    <s v="PNYTHF"/>
    <m/>
    <s v="PNH"/>
    <s v="PNY HATSON"/>
    <s v="F"/>
    <n v="5"/>
    <s v="TH"/>
    <s v="HOODED T-SHIRTS"/>
    <s v="U"/>
    <n v="5"/>
    <s v="005"/>
    <s v="PNHTHF5005"/>
    <n v="0.25"/>
    <s v="PNYTHF5005BKOXL"/>
    <s v="BK"/>
    <s v="BLACK"/>
    <s v="PNHTHF5005BK"/>
    <x v="0"/>
    <n v="0.25"/>
    <n v="0"/>
    <n v="1"/>
    <s v="OXL"/>
    <n v="2"/>
    <x v="15"/>
    <n v="18"/>
    <x v="13"/>
    <s v="M"/>
    <s v="KR"/>
    <x v="3"/>
    <n v="109000"/>
    <x v="32"/>
    <n v="27525.252525252523"/>
    <n v="0"/>
    <n v="-27525.252525252523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55050.505050505046"/>
    <n v="218000"/>
    <n v="3.6"/>
  </r>
  <r>
    <n v="0"/>
    <n v="0"/>
    <s v=""/>
    <s v=""/>
    <s v=""/>
    <x v="1"/>
    <s v=""/>
    <s v=""/>
    <n v="0"/>
    <s v="0"/>
    <s v="0-"/>
    <n v="0"/>
    <s v="TTL"/>
    <s v=""/>
    <s v="PNH-아트인드림-18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8"/>
    <n v="0"/>
    <n v="0"/>
    <n v="0"/>
    <n v="0"/>
    <n v="0"/>
    <n v="8"/>
    <n v="220202.02020202018"/>
    <n v="872000"/>
    <n v="3.6"/>
  </r>
  <r>
    <n v="0"/>
    <n v="0"/>
    <n v="11"/>
    <n v="12"/>
    <s v="F-CAP"/>
    <x v="37"/>
    <s v="SBH-FOREMOST-47"/>
    <s v="SBH-FOREMOST-47SBHBAF5008BG"/>
    <n v="1"/>
    <s v="SBH-FOREMOST-471"/>
    <s v="SBH-FOREMOST-471-SBHBAF5008BEIGEFRE"/>
    <s v="SBH의류외8"/>
    <s v="SBH"/>
    <s v="SBRBAF"/>
    <m/>
    <s v="SBH"/>
    <s v="SBR HATSON"/>
    <s v="F"/>
    <n v="5"/>
    <s v="BA"/>
    <s v="BASIC CAP"/>
    <s v="U"/>
    <n v="8"/>
    <s v="008"/>
    <s v="SBHBAF5008"/>
    <n v="1"/>
    <s v="SBRBAF5008BGFRE"/>
    <s v="BG"/>
    <s v="BEIGE"/>
    <s v="SBHBAF5008BG"/>
    <x v="0"/>
    <n v="1"/>
    <n v="0"/>
    <n v="1"/>
    <s v="FRE"/>
    <n v="10"/>
    <x v="4"/>
    <n v="47"/>
    <x v="47"/>
    <s v="M"/>
    <s v="CN"/>
    <x v="0"/>
    <n v="39000"/>
    <x v="32"/>
    <n v="5909.0909090909081"/>
    <n v="0"/>
    <n v="-5909.090909090908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59090.909090909081"/>
    <n v="390000"/>
    <n v="6.0000000000000009"/>
  </r>
  <r>
    <n v="0"/>
    <n v="0"/>
    <n v="11"/>
    <n v="12"/>
    <s v="F-CAP"/>
    <x v="37"/>
    <s v="SBH-FOREMOST-47"/>
    <s v="SBH-FOREMOST-47SBHBAF5011GY"/>
    <n v="2"/>
    <s v="SBH-FOREMOST-472"/>
    <s v="SBH-FOREMOST-472-SBHBAF5011GREYFRE"/>
    <s v="SBH의류외11"/>
    <s v="SBH"/>
    <s v="SBRBAF"/>
    <m/>
    <s v="SBH"/>
    <s v="SBR HATSON"/>
    <s v="F"/>
    <n v="5"/>
    <s v="BA"/>
    <s v="BASIC CAP"/>
    <s v="U"/>
    <n v="11"/>
    <s v="011"/>
    <s v="SBHBAF5011"/>
    <n v="1"/>
    <s v="SBRBAF5011GYFRE"/>
    <s v="GY"/>
    <s v="GREY"/>
    <s v="SBHBAF5011GY"/>
    <x v="0"/>
    <n v="1"/>
    <n v="0"/>
    <n v="1"/>
    <s v="FRE"/>
    <n v="10"/>
    <x v="4"/>
    <n v="47"/>
    <x v="47"/>
    <s v="M"/>
    <s v="CN"/>
    <x v="0"/>
    <n v="49000"/>
    <x v="32"/>
    <n v="7424.242424242424"/>
    <n v="0"/>
    <n v="-7424.242424242424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74242.42424242424"/>
    <n v="490000"/>
    <n v="6"/>
  </r>
  <r>
    <n v="0"/>
    <n v="0"/>
    <n v="11"/>
    <n v="12"/>
    <s v="F-CAP"/>
    <x v="37"/>
    <s v="SBH-FOREMOST-47"/>
    <s v="SBH-FOREMOST-47SBHBAF5012BG"/>
    <n v="3"/>
    <s v="SBH-FOREMOST-473"/>
    <s v="SBH-FOREMOST-473-SBHBAF5012BEIGEFRE"/>
    <s v="SBH의류외12"/>
    <s v="SBH"/>
    <s v="SBRBAF"/>
    <m/>
    <s v="SBH"/>
    <s v="SBR HATSON"/>
    <s v="F"/>
    <n v="5"/>
    <s v="BA"/>
    <s v="BASIC CAP"/>
    <s v="U"/>
    <n v="12"/>
    <s v="012"/>
    <s v="SBHBAF5012"/>
    <n v="1"/>
    <s v="SBRBAF5012BGFRE"/>
    <s v="BG"/>
    <s v="BEIGE"/>
    <s v="SBHBAF5012BG"/>
    <x v="0"/>
    <n v="1"/>
    <n v="0"/>
    <n v="1"/>
    <s v="FRE"/>
    <n v="15"/>
    <x v="4"/>
    <n v="47"/>
    <x v="47"/>
    <s v="M"/>
    <s v="CN"/>
    <x v="0"/>
    <n v="49000"/>
    <x v="32"/>
    <n v="7424.242424242424"/>
    <n v="0"/>
    <n v="-7424.242424242424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5"/>
    <n v="0"/>
    <n v="0"/>
    <n v="0"/>
    <n v="0"/>
    <n v="0"/>
    <n v="15"/>
    <n v="111363.63636363635"/>
    <n v="735000"/>
    <n v="6"/>
  </r>
  <r>
    <n v="0"/>
    <n v="0"/>
    <n v="11"/>
    <n v="12"/>
    <s v="F-CAP"/>
    <x v="37"/>
    <s v="SBH-FOREMOST-47"/>
    <s v="SBH-FOREMOST-47SBHBAF5012GY"/>
    <n v="4"/>
    <s v="SBH-FOREMOST-474"/>
    <s v="SBH-FOREMOST-474-SBHBAF5012GREYFRE"/>
    <s v="SBH의류외12"/>
    <s v="SBH"/>
    <s v="SBRBAF"/>
    <m/>
    <s v="SBH"/>
    <s v="SBR HATSON"/>
    <s v="F"/>
    <n v="5"/>
    <s v="BA"/>
    <s v="BASIC CAP"/>
    <s v="U"/>
    <n v="12"/>
    <s v="012"/>
    <s v="SBHBAF5012"/>
    <n v="1"/>
    <s v="SBRBAF5012GYFRE"/>
    <s v="GY"/>
    <s v="GREY"/>
    <s v="SBHBAF5012GY"/>
    <x v="0"/>
    <n v="1"/>
    <n v="0"/>
    <n v="1"/>
    <s v="FRE"/>
    <n v="10"/>
    <x v="4"/>
    <n v="47"/>
    <x v="47"/>
    <s v="M"/>
    <s v="CN"/>
    <x v="0"/>
    <n v="49000"/>
    <x v="32"/>
    <n v="7424.242424242424"/>
    <n v="0"/>
    <n v="-7424.242424242424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74242.42424242424"/>
    <n v="490000"/>
    <n v="6"/>
  </r>
  <r>
    <n v="0"/>
    <n v="0"/>
    <n v="11"/>
    <n v="12"/>
    <s v="F-CAP"/>
    <x v="37"/>
    <s v="SBH-FOREMOST-47"/>
    <s v="SBH-FOREMOST-47SBHBAF5017BK"/>
    <n v="5"/>
    <s v="SBH-FOREMOST-475"/>
    <s v="SBH-FOREMOST-475-SBHBAF5017BLACKFRE"/>
    <s v="SBH의류외17"/>
    <s v="SBH"/>
    <s v="SBRBAF"/>
    <m/>
    <s v="SBH"/>
    <s v="SBR HATSON"/>
    <s v="F"/>
    <n v="5"/>
    <s v="BA"/>
    <s v="BASIC CAP"/>
    <s v="U"/>
    <n v="17"/>
    <s v="017"/>
    <s v="SBHBAF5017"/>
    <n v="1"/>
    <s v="SBRBAF5017BKFRE"/>
    <s v="BK"/>
    <s v="BLACK"/>
    <s v="SBHBAF5017BK"/>
    <x v="0"/>
    <n v="1"/>
    <n v="0"/>
    <n v="1"/>
    <s v="FRE"/>
    <n v="5"/>
    <x v="4"/>
    <n v="47"/>
    <x v="47"/>
    <s v="M"/>
    <s v="CN"/>
    <x v="0"/>
    <n v="39000"/>
    <x v="32"/>
    <n v="5909.0909090909081"/>
    <n v="0"/>
    <n v="-5909.090909090908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29545.45454545454"/>
    <n v="195000"/>
    <n v="6.0000000000000009"/>
  </r>
  <r>
    <n v="0"/>
    <n v="0"/>
    <n v="11"/>
    <n v="12"/>
    <s v="F-CAP"/>
    <x v="37"/>
    <s v="SBH-FOREMOST-47"/>
    <s v="SBH-FOREMOST-47SBHBAF5017BW"/>
    <n v="6"/>
    <s v="SBH-FOREMOST-476"/>
    <s v="SBH-FOREMOST-476-SBHBAF5017BROWNFRE"/>
    <s v="SBH의류외17"/>
    <s v="SBH"/>
    <s v="SBRBAF"/>
    <m/>
    <s v="SBH"/>
    <s v="SBR HATSON"/>
    <s v="F"/>
    <n v="5"/>
    <s v="BA"/>
    <s v="BASIC CAP"/>
    <s v="U"/>
    <n v="17"/>
    <s v="017"/>
    <s v="SBHBAF5017"/>
    <n v="1"/>
    <s v="SBRBAF5017BWFRE"/>
    <s v="BW"/>
    <s v="BROWN"/>
    <s v="SBHBAF5017BW"/>
    <x v="0"/>
    <n v="1"/>
    <n v="0"/>
    <n v="1"/>
    <s v="FRE"/>
    <n v="5"/>
    <x v="4"/>
    <n v="47"/>
    <x v="47"/>
    <s v="M"/>
    <s v="CN"/>
    <x v="0"/>
    <n v="39000"/>
    <x v="32"/>
    <n v="5909.0909090909081"/>
    <n v="0"/>
    <n v="-5909.090909090908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29545.45454545454"/>
    <n v="195000"/>
    <n v="6.0000000000000009"/>
  </r>
  <r>
    <n v="0"/>
    <n v="0"/>
    <n v="11"/>
    <n v="12"/>
    <s v="F-CAP"/>
    <x v="37"/>
    <s v="SBH-FOREMOST-47"/>
    <s v="SBH-FOREMOST-47SBHBEF5034BK"/>
    <n v="7"/>
    <s v="SBH-FOREMOST-477"/>
    <s v="SBH-FOREMOST-477-SBHBEF5034BLACKFRE"/>
    <s v="SBH의류외34"/>
    <s v="SBH"/>
    <s v="SBRBEF"/>
    <m/>
    <s v="SBH"/>
    <s v="SBR HATSON"/>
    <s v="F"/>
    <n v="5"/>
    <s v="BE"/>
    <s v="BEANIE"/>
    <s v="U"/>
    <n v="34"/>
    <s v="034"/>
    <s v="SBHBEF5034"/>
    <n v="1"/>
    <s v="SBRBEF5034BKFRE"/>
    <s v="BK"/>
    <s v="BLACK"/>
    <s v="SBHBEF5034BK"/>
    <x v="0"/>
    <n v="1"/>
    <n v="0"/>
    <n v="1"/>
    <s v="FRE"/>
    <n v="15"/>
    <x v="4"/>
    <n v="47"/>
    <x v="47"/>
    <s v="M"/>
    <s v="CN"/>
    <x v="0"/>
    <n v="35000"/>
    <x v="32"/>
    <n v="5303.030303030303"/>
    <n v="0"/>
    <n v="-5303.030303030303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5"/>
    <n v="0"/>
    <n v="0"/>
    <n v="0"/>
    <n v="0"/>
    <n v="0"/>
    <n v="15"/>
    <n v="79545.454545454544"/>
    <n v="525000"/>
    <n v="6"/>
  </r>
  <r>
    <n v="0"/>
    <n v="0"/>
    <n v="11"/>
    <n v="12"/>
    <s v="F-CAP"/>
    <x v="37"/>
    <s v="SBH-FOREMOST-47"/>
    <s v="SBH-FOREMOST-47SBHBEF5034BL"/>
    <n v="8"/>
    <s v="SBH-FOREMOST-478"/>
    <s v="SBH-FOREMOST-478-SBHBEF5034BLUEFRE"/>
    <s v="SBH의류외34"/>
    <s v="SBH"/>
    <s v="SBRBEF"/>
    <m/>
    <s v="SBH"/>
    <s v="SBR HATSON"/>
    <s v="F"/>
    <n v="5"/>
    <s v="BE"/>
    <s v="BEANIE"/>
    <s v="U"/>
    <n v="34"/>
    <s v="034"/>
    <s v="SBHBEF5034"/>
    <n v="1"/>
    <s v="SBRBEF5034BLFRE"/>
    <s v="BL"/>
    <s v="BLUE"/>
    <s v="SBHBEF5034BL"/>
    <x v="0"/>
    <n v="1"/>
    <n v="0"/>
    <n v="1"/>
    <s v="FRE"/>
    <n v="5"/>
    <x v="4"/>
    <n v="47"/>
    <x v="47"/>
    <s v="M"/>
    <s v="CN"/>
    <x v="0"/>
    <n v="35000"/>
    <x v="32"/>
    <n v="5303.030303030303"/>
    <n v="0"/>
    <n v="-5303.030303030303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26515.151515151516"/>
    <n v="175000"/>
    <n v="5.9999999999999991"/>
  </r>
  <r>
    <n v="0"/>
    <n v="0"/>
    <n v="11"/>
    <n v="12"/>
    <s v="F-CAP"/>
    <x v="37"/>
    <s v="SBH-FOREMOST-47"/>
    <s v="SBH-FOREMOST-47SBHBEF5034PP"/>
    <n v="9"/>
    <s v="SBH-FOREMOST-479"/>
    <s v="SBH-FOREMOST-479-SBHBEF5034PURPLEFRE"/>
    <s v="SBH의류외34"/>
    <s v="SBH"/>
    <s v="SBRBEF"/>
    <m/>
    <s v="SBH"/>
    <s v="SBR HATSON"/>
    <s v="F"/>
    <n v="5"/>
    <s v="BE"/>
    <s v="BEANIE"/>
    <s v="U"/>
    <n v="34"/>
    <s v="034"/>
    <s v="SBHBEF5034"/>
    <n v="1"/>
    <s v="SBRBEF5034PPFRE"/>
    <s v="PP"/>
    <s v="PURPLE"/>
    <s v="SBHBEF5034PP"/>
    <x v="0"/>
    <n v="1"/>
    <n v="0"/>
    <n v="1"/>
    <s v="FRE"/>
    <n v="15"/>
    <x v="4"/>
    <n v="47"/>
    <x v="47"/>
    <s v="M"/>
    <s v="CN"/>
    <x v="0"/>
    <n v="35000"/>
    <x v="32"/>
    <n v="5303.030303030303"/>
    <n v="0"/>
    <n v="-5303.030303030303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5"/>
    <n v="0"/>
    <n v="0"/>
    <n v="0"/>
    <n v="0"/>
    <n v="0"/>
    <n v="15"/>
    <n v="79545.454545454544"/>
    <n v="525000"/>
    <n v="6"/>
  </r>
  <r>
    <n v="0"/>
    <n v="0"/>
    <n v="11"/>
    <n v="12"/>
    <s v="F-CAP"/>
    <x v="37"/>
    <s v="SBH-FOREMOST-47"/>
    <s v="SBH-FOREMOST-47SBHBEF5043NY"/>
    <n v="10"/>
    <s v="SBH-FOREMOST-4710"/>
    <s v="SBH-FOREMOST-4710-SBHBEF5043NAVYFRE"/>
    <s v="SBH의류외43"/>
    <s v="SBH"/>
    <s v="SBRBEF"/>
    <m/>
    <s v="SBH"/>
    <s v="SBR HATSON"/>
    <s v="F"/>
    <n v="5"/>
    <s v="BE"/>
    <s v="BEANIE"/>
    <s v="U"/>
    <n v="43"/>
    <s v="043"/>
    <s v="SBHBEF5043"/>
    <n v="1"/>
    <s v="SBRBEF5043NYFRE"/>
    <s v="NY"/>
    <s v="NAVY"/>
    <s v="SBHBEF5043NY"/>
    <x v="0"/>
    <n v="1"/>
    <n v="0"/>
    <n v="1"/>
    <s v="FRE"/>
    <n v="10"/>
    <x v="4"/>
    <n v="47"/>
    <x v="47"/>
    <s v="M"/>
    <s v="CN"/>
    <x v="0"/>
    <n v="39000"/>
    <x v="32"/>
    <n v="5909.0909090909081"/>
    <n v="0"/>
    <n v="-5909.090909090908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59090.909090909081"/>
    <n v="390000"/>
    <n v="6.0000000000000009"/>
  </r>
  <r>
    <n v="0"/>
    <n v="0"/>
    <n v="11"/>
    <n v="12"/>
    <s v="F-CAP"/>
    <x v="37"/>
    <s v="SBH-FOREMOST-47"/>
    <s v="SBH-FOREMOST-47SBHBEF5043PP"/>
    <n v="11"/>
    <s v="SBH-FOREMOST-4711"/>
    <s v="SBH-FOREMOST-4711-SBHBEF5043PURPLEFRE"/>
    <s v="SBH의류외43"/>
    <s v="SBH"/>
    <s v="SBRBEF"/>
    <m/>
    <s v="SBH"/>
    <s v="SBR HATSON"/>
    <s v="F"/>
    <n v="5"/>
    <s v="BE"/>
    <s v="BEANIE"/>
    <s v="U"/>
    <n v="43"/>
    <s v="043"/>
    <s v="SBHBEF5043"/>
    <n v="1"/>
    <s v="SBRBEF5043PPFRE"/>
    <s v="PP"/>
    <s v="PURPLE"/>
    <s v="SBHBEF5043PP"/>
    <x v="0"/>
    <n v="1"/>
    <n v="0"/>
    <n v="1"/>
    <s v="FRE"/>
    <n v="5"/>
    <x v="4"/>
    <n v="47"/>
    <x v="47"/>
    <s v="M"/>
    <s v="CN"/>
    <x v="0"/>
    <n v="39000"/>
    <x v="32"/>
    <n v="5909.0909090909081"/>
    <n v="0"/>
    <n v="-5909.090909090908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29545.45454545454"/>
    <n v="195000"/>
    <n v="6.0000000000000009"/>
  </r>
  <r>
    <n v="0"/>
    <n v="0"/>
    <n v="11"/>
    <n v="12"/>
    <s v="F-CAP"/>
    <x v="37"/>
    <s v="SBH-FOREMOST-47"/>
    <s v="SBH-FOREMOST-47SBHBEF5043RE"/>
    <n v="12"/>
    <s v="SBH-FOREMOST-4712"/>
    <s v="SBH-FOREMOST-4712-SBHBEF5043REDFRE"/>
    <s v="SBH의류외43"/>
    <s v="SBH"/>
    <s v="SBRBEF"/>
    <m/>
    <s v="SBH"/>
    <s v="SBR HATSON"/>
    <s v="F"/>
    <n v="5"/>
    <s v="BE"/>
    <s v="BEANIE"/>
    <s v="U"/>
    <n v="43"/>
    <s v="043"/>
    <s v="SBHBEF5043"/>
    <n v="1"/>
    <s v="SBRBEF5043REFRE"/>
    <s v="RE"/>
    <s v="RED"/>
    <s v="SBHBEF5043RE"/>
    <x v="0"/>
    <n v="1"/>
    <n v="0"/>
    <n v="1"/>
    <s v="FRE"/>
    <n v="10"/>
    <x v="4"/>
    <n v="47"/>
    <x v="47"/>
    <s v="M"/>
    <s v="CN"/>
    <x v="0"/>
    <n v="39000"/>
    <x v="32"/>
    <n v="5909.0909090909081"/>
    <n v="0"/>
    <n v="-5909.090909090908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59090.909090909081"/>
    <n v="390000"/>
    <n v="6.0000000000000009"/>
  </r>
  <r>
    <n v="0"/>
    <n v="0"/>
    <n v="11"/>
    <n v="12"/>
    <s v="F-CAP"/>
    <x v="37"/>
    <s v="SBH-FOREMOST-47"/>
    <s v="SBH-FOREMOST-47SBHEBF5028GY"/>
    <n v="13"/>
    <s v="SBH-FOREMOST-4713"/>
    <s v="SBH-FOREMOST-4713-SBHEBF5028GREYFRE"/>
    <s v="SBH의류외28"/>
    <s v="SBH"/>
    <s v="SBREBF"/>
    <m/>
    <s v="SBH"/>
    <s v="SBR HATSON"/>
    <s v="F"/>
    <n v="5"/>
    <s v="EB"/>
    <s v="EARFLAP BEANIE"/>
    <s v="U"/>
    <n v="28"/>
    <s v="028"/>
    <s v="SBHEBF5028"/>
    <n v="1"/>
    <s v="SBREBF5028GYFRE"/>
    <s v="GY"/>
    <s v="GREY"/>
    <s v="SBHEBF5028GY"/>
    <x v="0"/>
    <n v="1"/>
    <n v="0"/>
    <n v="1"/>
    <s v="FRE"/>
    <n v="10"/>
    <x v="4"/>
    <n v="47"/>
    <x v="47"/>
    <s v="M"/>
    <s v="CN"/>
    <x v="0"/>
    <n v="49000"/>
    <x v="32"/>
    <n v="7424.242424242424"/>
    <n v="0"/>
    <n v="-7424.242424242424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74242.42424242424"/>
    <n v="490000"/>
    <n v="6"/>
  </r>
  <r>
    <n v="0"/>
    <n v="0"/>
    <n v="11"/>
    <n v="12"/>
    <s v="F-CAP"/>
    <x v="37"/>
    <s v="SBH-FOREMOST-47"/>
    <s v="SBH-FOREMOST-47SBHEBF5028NY"/>
    <n v="14"/>
    <s v="SBH-FOREMOST-4714"/>
    <s v="SBH-FOREMOST-4714-SBHEBF5028NAVYFRE"/>
    <s v="SBH의류외28"/>
    <s v="SBH"/>
    <s v="SBREBF"/>
    <m/>
    <s v="SBH"/>
    <s v="SBR HATSON"/>
    <s v="F"/>
    <n v="5"/>
    <s v="EB"/>
    <s v="EARFLAP BEANIE"/>
    <s v="U"/>
    <n v="28"/>
    <s v="028"/>
    <s v="SBHEBF5028"/>
    <n v="1"/>
    <s v="SBREBF5028NYFRE"/>
    <s v="NY"/>
    <s v="NAVY"/>
    <s v="SBHEBF5028NY"/>
    <x v="0"/>
    <n v="1"/>
    <n v="0"/>
    <n v="1"/>
    <s v="FRE"/>
    <n v="10"/>
    <x v="4"/>
    <n v="47"/>
    <x v="47"/>
    <s v="M"/>
    <s v="CN"/>
    <x v="0"/>
    <n v="49000"/>
    <x v="32"/>
    <n v="7424.242424242424"/>
    <n v="0"/>
    <n v="-7424.242424242424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74242.42424242424"/>
    <n v="490000"/>
    <n v="6"/>
  </r>
  <r>
    <n v="0"/>
    <n v="0"/>
    <n v="11"/>
    <n v="12"/>
    <s v="F-CAP"/>
    <x v="37"/>
    <s v="SBH-FOREMOST-47"/>
    <s v="SBH-FOREMOST-47SBHEBF5049BG"/>
    <n v="15"/>
    <s v="SBH-FOREMOST-4715"/>
    <s v="SBH-FOREMOST-4715-SBHEBF5049BEIGEFRE"/>
    <s v="SBH의류외49"/>
    <s v="SBH"/>
    <s v="SBREBF"/>
    <m/>
    <s v="SBH"/>
    <s v="SBR HATSON"/>
    <s v="F"/>
    <n v="5"/>
    <s v="EB"/>
    <s v="EARFLAP BEANIE"/>
    <s v="U"/>
    <n v="49"/>
    <s v="049"/>
    <s v="SBHEBF5049"/>
    <n v="1"/>
    <s v="SBREBF5049BGFRE"/>
    <s v="BG"/>
    <s v="BEIGE"/>
    <s v="SBHEBF5049BG"/>
    <x v="0"/>
    <n v="1"/>
    <n v="0"/>
    <n v="1"/>
    <s v="FRE"/>
    <n v="10"/>
    <x v="4"/>
    <n v="47"/>
    <x v="47"/>
    <s v="M"/>
    <s v="CN"/>
    <x v="0"/>
    <n v="45000"/>
    <x v="32"/>
    <n v="6818.1818181818171"/>
    <n v="0"/>
    <n v="-6818.181818181817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68181.818181818177"/>
    <n v="450000"/>
    <n v="6"/>
  </r>
  <r>
    <n v="0"/>
    <n v="0"/>
    <n v="11"/>
    <n v="12"/>
    <s v="F-CAP"/>
    <x v="37"/>
    <s v="SBH-FOREMOST-47"/>
    <s v="SBH-FOREMOST-47SBHEBF5049BK"/>
    <n v="16"/>
    <s v="SBH-FOREMOST-4716"/>
    <s v="SBH-FOREMOST-4716-SBHEBF5049BLACKFRE"/>
    <s v="SBH의류외49"/>
    <s v="SBH"/>
    <s v="SBREBF"/>
    <m/>
    <s v="SBH"/>
    <s v="SBR HATSON"/>
    <s v="F"/>
    <n v="5"/>
    <s v="EB"/>
    <s v="EARFLAP BEANIE"/>
    <s v="U"/>
    <n v="49"/>
    <s v="049"/>
    <s v="SBHEBF5049"/>
    <n v="1"/>
    <s v="SBREBF5049BKFRE"/>
    <s v="BK"/>
    <s v="BLACK"/>
    <s v="SBHEBF5049BK"/>
    <x v="0"/>
    <n v="1"/>
    <n v="0"/>
    <n v="1"/>
    <s v="FRE"/>
    <n v="5"/>
    <x v="4"/>
    <n v="47"/>
    <x v="47"/>
    <s v="M"/>
    <s v="CN"/>
    <x v="0"/>
    <n v="45000"/>
    <x v="32"/>
    <n v="6818.1818181818171"/>
    <n v="0"/>
    <n v="-6818.181818181817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34090.909090909088"/>
    <n v="225000"/>
    <n v="6"/>
  </r>
  <r>
    <n v="0"/>
    <n v="0"/>
    <n v="11"/>
    <n v="12"/>
    <s v="F-CAP"/>
    <x v="37"/>
    <s v="SBH-FOREMOST-47"/>
    <s v="SBH-FOREMOST-47SBHEBF5049GY"/>
    <n v="17"/>
    <s v="SBH-FOREMOST-4717"/>
    <s v="SBH-FOREMOST-4717-SBHEBF5049GREYFRE"/>
    <s v="SBH의류외49"/>
    <s v="SBH"/>
    <s v="SBREBF"/>
    <m/>
    <s v="SBH"/>
    <s v="SBR HATSON"/>
    <s v="F"/>
    <n v="5"/>
    <s v="EB"/>
    <s v="EARFLAP BEANIE"/>
    <s v="U"/>
    <n v="49"/>
    <s v="049"/>
    <s v="SBHEBF5049"/>
    <n v="1"/>
    <s v="SBREBF5049GYFRE"/>
    <s v="GY"/>
    <s v="GREY"/>
    <s v="SBHEBF5049GY"/>
    <x v="0"/>
    <n v="1"/>
    <n v="0"/>
    <n v="1"/>
    <s v="FRE"/>
    <n v="5"/>
    <x v="4"/>
    <n v="47"/>
    <x v="47"/>
    <s v="M"/>
    <s v="CN"/>
    <x v="0"/>
    <n v="45000"/>
    <x v="32"/>
    <n v="6818.1818181818171"/>
    <n v="0"/>
    <n v="-6818.181818181817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34090.909090909088"/>
    <n v="225000"/>
    <n v="6"/>
  </r>
  <r>
    <n v="0"/>
    <n v="0"/>
    <n v="11"/>
    <n v="12"/>
    <s v="F-CAP"/>
    <x v="37"/>
    <s v="SBH-FOREMOST-47"/>
    <s v="SBH-FOREMOST-47SBHEBF5049RE"/>
    <n v="18"/>
    <s v="SBH-FOREMOST-4718"/>
    <s v="SBH-FOREMOST-4718-SBHEBF5049REDFRE"/>
    <s v="SBH의류외49"/>
    <s v="SBH"/>
    <s v="SBREBF"/>
    <m/>
    <s v="SBH"/>
    <s v="SBR HATSON"/>
    <s v="F"/>
    <n v="5"/>
    <s v="EB"/>
    <s v="EARFLAP BEANIE"/>
    <s v="U"/>
    <n v="49"/>
    <s v="049"/>
    <s v="SBHEBF5049"/>
    <n v="1"/>
    <s v="SBREBF5049REFRE"/>
    <s v="RE"/>
    <s v="RED"/>
    <s v="SBHEBF5049RE"/>
    <x v="0"/>
    <n v="1"/>
    <n v="0"/>
    <n v="1"/>
    <s v="FRE"/>
    <n v="5"/>
    <x v="4"/>
    <n v="47"/>
    <x v="47"/>
    <s v="M"/>
    <s v="CN"/>
    <x v="0"/>
    <n v="45000"/>
    <x v="32"/>
    <n v="6818.1818181818171"/>
    <n v="0"/>
    <n v="-6818.181818181817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34090.909090909088"/>
    <n v="225000"/>
    <n v="6"/>
  </r>
  <r>
    <n v="0"/>
    <n v="0"/>
    <n v="11"/>
    <n v="12"/>
    <s v="F-CAP"/>
    <x v="37"/>
    <s v="SBH-FOREMOST-47"/>
    <s v="SBH-FOREMOST-47SBHERF5019PK"/>
    <n v="19"/>
    <s v="SBH-FOREMOST-4719"/>
    <s v="SBH-FOREMOST-4719-SBHERF5019PINKFRE"/>
    <s v="SBH의류외19"/>
    <s v="SBH"/>
    <s v="SBRERF"/>
    <m/>
    <s v="SBH"/>
    <s v="SBR HATSON"/>
    <s v="F"/>
    <n v="5"/>
    <s v="ER"/>
    <s v="EARCAP"/>
    <s v="U"/>
    <n v="19"/>
    <s v="019"/>
    <s v="SBHERF5019"/>
    <n v="1"/>
    <s v="SBRERF5019PKFRE"/>
    <s v="PK"/>
    <s v="PINK"/>
    <s v="SBHERF5019PK"/>
    <x v="0"/>
    <n v="1"/>
    <n v="0"/>
    <n v="1"/>
    <s v="FRE"/>
    <n v="20"/>
    <x v="4"/>
    <n v="47"/>
    <x v="47"/>
    <s v="M"/>
    <s v="CN"/>
    <x v="0"/>
    <n v="49000"/>
    <x v="32"/>
    <n v="7424.242424242424"/>
    <n v="0"/>
    <n v="-7424.242424242424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0"/>
    <n v="0"/>
    <n v="0"/>
    <n v="0"/>
    <n v="0"/>
    <n v="0"/>
    <n v="20"/>
    <n v="148484.84848484848"/>
    <n v="980000"/>
    <n v="6"/>
  </r>
  <r>
    <n v="0"/>
    <n v="0"/>
    <n v="11"/>
    <n v="12"/>
    <s v="F-CAP"/>
    <x v="37"/>
    <s v="SBH-FOREMOST-47"/>
    <s v="SBH-FOREMOST-47SBHERF5022IV"/>
    <n v="20"/>
    <s v="SBH-FOREMOST-4720"/>
    <s v="SBH-FOREMOST-4720-SBHERF5022IVORYFRE"/>
    <s v="SBH의류외22"/>
    <s v="SBH"/>
    <s v="SBRERF"/>
    <m/>
    <s v="SBH"/>
    <s v="SBR HATSON"/>
    <s v="F"/>
    <n v="5"/>
    <s v="ER"/>
    <s v="EARCAP"/>
    <s v="U"/>
    <n v="22"/>
    <s v="022"/>
    <s v="SBHERF5022"/>
    <n v="1"/>
    <s v="SBRERF5022IVFRE"/>
    <s v="IV"/>
    <s v="IVORY"/>
    <s v="SBHERF5022IV"/>
    <x v="0"/>
    <n v="1"/>
    <n v="0"/>
    <n v="1"/>
    <s v="FRE"/>
    <n v="20"/>
    <x v="4"/>
    <n v="47"/>
    <x v="47"/>
    <s v="M"/>
    <s v="CN"/>
    <x v="0"/>
    <n v="49000"/>
    <x v="32"/>
    <n v="7424.242424242424"/>
    <n v="0"/>
    <n v="-7424.242424242424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0"/>
    <n v="0"/>
    <n v="0"/>
    <n v="0"/>
    <n v="0"/>
    <n v="0"/>
    <n v="20"/>
    <n v="148484.84848484848"/>
    <n v="980000"/>
    <n v="6"/>
  </r>
  <r>
    <n v="0"/>
    <n v="0"/>
    <n v="11"/>
    <n v="12"/>
    <s v="F-CAP"/>
    <x v="37"/>
    <s v="SBH-FOREMOST-47"/>
    <s v="SBH-FOREMOST-47SBHMIF3001BK"/>
    <n v="21"/>
    <s v="SBH-FOREMOST-4721"/>
    <s v="SBH-FOREMOST-4721-SBHMIF3001BLACKOXS"/>
    <s v="SBH의류외1"/>
    <s v="SBH"/>
    <s v="SBRMIF"/>
    <m/>
    <s v="SBH"/>
    <s v="SBR HATSON"/>
    <s v="F"/>
    <s v="3"/>
    <s v="MI"/>
    <s v="MILITARY CAP"/>
    <s v="U"/>
    <n v="1"/>
    <s v="001"/>
    <s v="SBHMIF3001"/>
    <n v="0.5"/>
    <s v="SBRMIF3001BKOXS"/>
    <s v="BK"/>
    <s v="BLACK"/>
    <s v="SBHMIF3001BK"/>
    <x v="0"/>
    <n v="0.5"/>
    <n v="0"/>
    <n v="1"/>
    <s v="OXS"/>
    <n v="7"/>
    <x v="4"/>
    <n v="47"/>
    <x v="47"/>
    <s v="M"/>
    <s v="CN"/>
    <x v="0"/>
    <n v="45000"/>
    <x v="32"/>
    <n v="6818.1818181818171"/>
    <n v="0"/>
    <n v="-6818.181818181817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7"/>
    <n v="0"/>
    <n v="0"/>
    <n v="0"/>
    <n v="0"/>
    <n v="0"/>
    <n v="7"/>
    <n v="47727.272727272721"/>
    <n v="315000"/>
    <n v="6"/>
  </r>
  <r>
    <n v="0"/>
    <n v="0"/>
    <n v="11"/>
    <n v="12"/>
    <s v="F-CAP"/>
    <x v="37"/>
    <s v="SBH-FOREMOST-47"/>
    <s v="SBH-FOREMOST-47SBHMIF3001BK"/>
    <n v="21"/>
    <s v="SBH-FOREMOST-4721"/>
    <s v="SBH-FOREMOST-4721-SBHMIF3001BLACKLXL"/>
    <s v="SBH의류외1"/>
    <s v="SBH"/>
    <s v="SBRMIF"/>
    <m/>
    <s v="SBH"/>
    <s v="SBR HATSON"/>
    <s v="F"/>
    <s v="3"/>
    <s v="MI"/>
    <s v="MILITARY CAP"/>
    <s v="U"/>
    <n v="1"/>
    <s v="001"/>
    <s v="SBHMIF3001"/>
    <n v="0.5"/>
    <s v="SBRMIF3001BKLXL"/>
    <s v="BK"/>
    <s v="BLACK"/>
    <s v="SBHMIF3001BK"/>
    <x v="0"/>
    <n v="0.5"/>
    <n v="0"/>
    <n v="1"/>
    <s v="LXL"/>
    <n v="7"/>
    <x v="4"/>
    <n v="47"/>
    <x v="47"/>
    <s v="M"/>
    <s v="CN"/>
    <x v="0"/>
    <n v="45000"/>
    <x v="32"/>
    <n v="6818.1818181818171"/>
    <n v="0"/>
    <n v="-6818.181818181817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7"/>
    <n v="0"/>
    <n v="0"/>
    <n v="0"/>
    <n v="0"/>
    <n v="0"/>
    <n v="7"/>
    <n v="47727.272727272721"/>
    <n v="315000"/>
    <n v="6"/>
  </r>
  <r>
    <n v="0"/>
    <n v="0"/>
    <n v="11"/>
    <n v="12"/>
    <s v="F-CAP"/>
    <x v="37"/>
    <s v="SBH-FOREMOST-47"/>
    <s v="SBH-FOREMOST-47SBHMIF3001KH"/>
    <n v="22"/>
    <s v="SBH-FOREMOST-4722"/>
    <s v="SBH-FOREMOST-4722-SBHMIF3001KHAKIFRE"/>
    <s v="SBH의류외1"/>
    <s v="SBH"/>
    <s v="SBRMIF"/>
    <m/>
    <s v="SBH"/>
    <s v="SBR HATSON"/>
    <s v="F"/>
    <s v="3"/>
    <s v="MI"/>
    <s v="MILITARY CAP"/>
    <s v="U"/>
    <n v="1"/>
    <s v="001"/>
    <s v="SBHMIF3001"/>
    <n v="1"/>
    <s v="SBRMIF3001KHFRE"/>
    <s v="KH"/>
    <s v="KHAKI"/>
    <s v="SBHMIF3001KH"/>
    <x v="0"/>
    <n v="1"/>
    <n v="0"/>
    <n v="1"/>
    <s v="FRE"/>
    <n v="5"/>
    <x v="4"/>
    <n v="47"/>
    <x v="47"/>
    <s v="M"/>
    <s v="CN"/>
    <x v="0"/>
    <n v="45000"/>
    <x v="32"/>
    <n v="6818.1818181818171"/>
    <n v="0"/>
    <n v="-6818.181818181817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34090.909090909088"/>
    <n v="225000"/>
    <n v="6"/>
  </r>
  <r>
    <n v="0"/>
    <n v="0"/>
    <n v="11"/>
    <n v="12"/>
    <s v="F-CAP"/>
    <x v="37"/>
    <s v="SBH-FOREMOST-47"/>
    <s v="SBH-FOREMOST-47SBHMIF3002BK"/>
    <n v="23"/>
    <s v="SBH-FOREMOST-4723"/>
    <s v="SBH-FOREMOST-4723-SBHMIF3002BLACKFRE"/>
    <s v="SBH의류외2"/>
    <s v="SBH"/>
    <s v="SBRMIF"/>
    <m/>
    <s v="SBH"/>
    <s v="SBR HATSON"/>
    <s v="F"/>
    <s v="3"/>
    <s v="MI"/>
    <s v="MILITARY CAP"/>
    <s v="U"/>
    <n v="2"/>
    <s v="002"/>
    <s v="SBHMIF3002"/>
    <n v="1"/>
    <s v="SBRMIF3002BKFRE"/>
    <s v="BK"/>
    <s v="BLACK"/>
    <s v="SBHMIF3002BK"/>
    <x v="0"/>
    <n v="1"/>
    <n v="0"/>
    <n v="1"/>
    <s v="FRE"/>
    <n v="7"/>
    <x v="4"/>
    <n v="47"/>
    <x v="47"/>
    <s v="M"/>
    <s v="CN"/>
    <x v="0"/>
    <n v="29000"/>
    <x v="32"/>
    <n v="4393.9393939393931"/>
    <n v="0"/>
    <n v="-4393.939393939393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7"/>
    <n v="0"/>
    <n v="0"/>
    <n v="0"/>
    <n v="0"/>
    <n v="0"/>
    <n v="7"/>
    <n v="30757.575757575753"/>
    <n v="203000"/>
    <n v="6.0000000000000009"/>
  </r>
  <r>
    <n v="0"/>
    <n v="0"/>
    <n v="11"/>
    <n v="12"/>
    <s v="F-CAP"/>
    <x v="37"/>
    <s v="SBH-FOREMOST-47"/>
    <s v="SBH-FOREMOST-47SBHTPF5029BK"/>
    <n v="24"/>
    <s v="SBH-FOREMOST-4724"/>
    <s v="SBH-FOREMOST-4724-SBHTPF5029BLACKFRE"/>
    <s v="SBH의류외29"/>
    <s v="SBH"/>
    <s v="SBRTPF"/>
    <m/>
    <s v="SBH"/>
    <s v="SBR HATSON"/>
    <s v="F"/>
    <n v="5"/>
    <s v="TP"/>
    <s v="TROOPER"/>
    <s v="U"/>
    <n v="29"/>
    <s v="029"/>
    <s v="SBHTPF5029"/>
    <n v="1"/>
    <s v="SBRTPF5029BKFRE"/>
    <s v="BK"/>
    <s v="BLACK"/>
    <s v="SBHTPF5029BK"/>
    <x v="0"/>
    <n v="1"/>
    <n v="0"/>
    <n v="1"/>
    <s v="FRE"/>
    <n v="10"/>
    <x v="4"/>
    <n v="47"/>
    <x v="47"/>
    <s v="M"/>
    <s v="CN"/>
    <x v="0"/>
    <n v="65000"/>
    <x v="32"/>
    <n v="9848.484848484848"/>
    <n v="0"/>
    <n v="-9848.484848484848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98484.84848484848"/>
    <n v="650000"/>
    <n v="5.9999999999999991"/>
  </r>
  <r>
    <n v="0"/>
    <n v="0"/>
    <n v="11"/>
    <n v="12"/>
    <s v="F-CAP"/>
    <x v="37"/>
    <s v="SBH-FOREMOST-47"/>
    <s v="SBH-FOREMOST-47SBHTPF5029RE"/>
    <n v="25"/>
    <s v="SBH-FOREMOST-4725"/>
    <s v="SBH-FOREMOST-4725-SBHTPF5029REDFRE"/>
    <s v="SBH의류외29"/>
    <s v="SBH"/>
    <s v="SBRTPF"/>
    <m/>
    <s v="SBH"/>
    <s v="SBR HATSON"/>
    <s v="F"/>
    <n v="5"/>
    <s v="TP"/>
    <s v="TROOPER"/>
    <s v="U"/>
    <n v="29"/>
    <s v="029"/>
    <s v="SBHTPF5029"/>
    <n v="1"/>
    <s v="SBRTPF5029REFRE"/>
    <s v="RE"/>
    <s v="RED"/>
    <s v="SBHTPF5029RE"/>
    <x v="0"/>
    <n v="1"/>
    <n v="0"/>
    <n v="1"/>
    <s v="FRE"/>
    <n v="10"/>
    <x v="4"/>
    <n v="47"/>
    <x v="47"/>
    <s v="M"/>
    <s v="CN"/>
    <x v="0"/>
    <n v="65000"/>
    <x v="32"/>
    <n v="9848.484848484848"/>
    <n v="0"/>
    <n v="-9848.484848484848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98484.84848484848"/>
    <n v="650000"/>
    <n v="5.9999999999999991"/>
  </r>
  <r>
    <n v="0"/>
    <n v="0"/>
    <s v=""/>
    <s v=""/>
    <s v=""/>
    <x v="1"/>
    <s v=""/>
    <s v=""/>
    <n v="0"/>
    <s v="0"/>
    <s v="0-"/>
    <n v="0"/>
    <s v="TTL"/>
    <s v=""/>
    <s v="SBH-FOREMOST-47 TTL"/>
    <m/>
    <s v=""/>
    <s v=""/>
    <s v=""/>
    <m/>
    <s v=""/>
    <m/>
    <m/>
    <s v=""/>
    <s v=""/>
    <n v="25"/>
    <m/>
    <s v=""/>
    <m/>
    <s v=""/>
    <x v="0"/>
    <n v="25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46"/>
    <n v="0"/>
    <n v="0"/>
    <n v="0"/>
    <n v="0"/>
    <n v="0"/>
    <n v="246"/>
    <n v="1684545.4545454539"/>
    <n v="11118000"/>
    <n v="6.0000000000000018"/>
  </r>
  <r>
    <n v="0"/>
    <n v="0"/>
    <n v="11"/>
    <n v="12"/>
    <s v="F-CAP"/>
    <x v="37"/>
    <s v="SBH-Y&amp;Y-10"/>
    <s v="SBH-Y&amp;Y-10SBHBEF5023BK"/>
    <n v="1"/>
    <s v="SBH-Y&amp;Y-101"/>
    <s v="SBH-Y&amp;Y-101-SBHBEF5023BLACKFRE"/>
    <s v="SBH의류외23"/>
    <s v="SBH"/>
    <s v="SBRBEF"/>
    <m/>
    <s v="SBH"/>
    <s v="SBR HATSON"/>
    <s v="F"/>
    <n v="5"/>
    <s v="BE"/>
    <s v="BEANIE"/>
    <s v="U"/>
    <n v="23"/>
    <s v="023"/>
    <s v="SBHBEF5023"/>
    <n v="1"/>
    <s v="SBRBEF5023BKFRE"/>
    <s v="BK"/>
    <s v="BLACK"/>
    <s v="SBHBEF5023BK"/>
    <x v="0"/>
    <n v="1"/>
    <n v="0"/>
    <n v="1"/>
    <s v="FRE"/>
    <n v="20"/>
    <x v="6"/>
    <n v="10"/>
    <x v="21"/>
    <s v="M"/>
    <s v="CN"/>
    <x v="0"/>
    <n v="39000"/>
    <x v="32"/>
    <n v="5064.9350649350645"/>
    <n v="0"/>
    <n v="-5064.935064935064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0"/>
    <n v="0"/>
    <n v="0"/>
    <n v="0"/>
    <n v="0"/>
    <n v="0"/>
    <n v="20"/>
    <n v="101298.70129870129"/>
    <n v="780000"/>
    <n v="7.0000000000000009"/>
  </r>
  <r>
    <n v="0"/>
    <n v="0"/>
    <n v="11"/>
    <n v="12"/>
    <s v="F-CAP"/>
    <x v="37"/>
    <s v="SBH-Y&amp;Y-10"/>
    <s v="SBH-Y&amp;Y-10SBHBEF5023RE"/>
    <n v="2"/>
    <s v="SBH-Y&amp;Y-102"/>
    <s v="SBH-Y&amp;Y-102-SBHBEF5023REDFRE"/>
    <s v="SBH의류외23"/>
    <s v="SBH"/>
    <s v="SBRBEF"/>
    <m/>
    <s v="SBH"/>
    <s v="SBR HATSON"/>
    <s v="F"/>
    <n v="5"/>
    <s v="BE"/>
    <s v="BEANIE"/>
    <s v="U"/>
    <n v="23"/>
    <s v="023"/>
    <s v="SBHBEF5023"/>
    <n v="1"/>
    <s v="SBRBEF5023REFRE"/>
    <s v="RE"/>
    <s v="RED"/>
    <s v="SBHBEF5023RE"/>
    <x v="0"/>
    <n v="1"/>
    <n v="0"/>
    <n v="1"/>
    <s v="FRE"/>
    <n v="20"/>
    <x v="6"/>
    <n v="10"/>
    <x v="21"/>
    <s v="M"/>
    <s v="CN"/>
    <x v="0"/>
    <n v="39000"/>
    <x v="32"/>
    <n v="5064.9350649350645"/>
    <n v="0"/>
    <n v="-5064.935064935064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0"/>
    <n v="0"/>
    <n v="0"/>
    <n v="0"/>
    <n v="0"/>
    <n v="0"/>
    <n v="20"/>
    <n v="101298.70129870129"/>
    <n v="780000"/>
    <n v="7.0000000000000009"/>
  </r>
  <r>
    <n v="0"/>
    <n v="0"/>
    <n v="11"/>
    <n v="12"/>
    <s v="F-CAP"/>
    <x v="37"/>
    <s v="SBH-Y&amp;Y-10"/>
    <s v="SBH-Y&amp;Y-10SBHBEF5024NY"/>
    <n v="3"/>
    <s v="SBH-Y&amp;Y-103"/>
    <s v="SBH-Y&amp;Y-103-SBHBEF5024NAVYFRE"/>
    <s v="SBH의류외24"/>
    <s v="SBH"/>
    <s v="SBRBEF"/>
    <m/>
    <s v="SBH"/>
    <s v="SBR HATSON"/>
    <s v="F"/>
    <n v="5"/>
    <s v="BE"/>
    <s v="BEANIE"/>
    <s v="U"/>
    <n v="24"/>
    <s v="024"/>
    <s v="SBHBEF5024"/>
    <n v="1"/>
    <s v="SBRBEF5024NYFRE"/>
    <s v="NY"/>
    <s v="NAVY"/>
    <s v="SBHBEF5024NY"/>
    <x v="0"/>
    <n v="1"/>
    <n v="0"/>
    <n v="1"/>
    <s v="FRE"/>
    <n v="15"/>
    <x v="6"/>
    <n v="10"/>
    <x v="21"/>
    <s v="M"/>
    <s v="CN"/>
    <x v="0"/>
    <n v="39000"/>
    <x v="32"/>
    <n v="5064.9350649350645"/>
    <n v="0"/>
    <n v="-5064.935064935064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5"/>
    <n v="0"/>
    <n v="0"/>
    <n v="0"/>
    <n v="0"/>
    <n v="0"/>
    <n v="15"/>
    <n v="75974.025974025964"/>
    <n v="585000"/>
    <n v="7.0000000000000009"/>
  </r>
  <r>
    <n v="0"/>
    <n v="0"/>
    <n v="11"/>
    <n v="12"/>
    <s v="F-CAP"/>
    <x v="37"/>
    <s v="SBH-Y&amp;Y-10"/>
    <s v="SBH-Y&amp;Y-10SBHBEF5025BK"/>
    <n v="4"/>
    <s v="SBH-Y&amp;Y-104"/>
    <s v="SBH-Y&amp;Y-104-SBHBEF5025BLACKFRE"/>
    <s v="SBH의류외25"/>
    <s v="SBH"/>
    <s v="SBRBEF"/>
    <m/>
    <s v="SBH"/>
    <s v="SBR HATSON"/>
    <s v="F"/>
    <n v="5"/>
    <s v="BE"/>
    <s v="BEANIE"/>
    <s v="U"/>
    <n v="25"/>
    <s v="025"/>
    <s v="SBHBEF5025"/>
    <n v="1"/>
    <s v="SBRBEF5025BKFRE"/>
    <s v="BK"/>
    <s v="BLACK"/>
    <s v="SBHBEF5025BK"/>
    <x v="0"/>
    <n v="1"/>
    <n v="0"/>
    <n v="1"/>
    <s v="FRE"/>
    <n v="5"/>
    <x v="6"/>
    <n v="10"/>
    <x v="21"/>
    <s v="M"/>
    <s v="CN"/>
    <x v="0"/>
    <n v="39000"/>
    <x v="32"/>
    <n v="5064.9350649350645"/>
    <n v="0"/>
    <n v="-5064.935064935064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25324.675324675321"/>
    <n v="195000"/>
    <n v="7.0000000000000009"/>
  </r>
  <r>
    <n v="0"/>
    <n v="0"/>
    <n v="11"/>
    <n v="12"/>
    <s v="F-CAP"/>
    <x v="37"/>
    <s v="SBH-Y&amp;Y-10"/>
    <s v="SBH-Y&amp;Y-10SBHBEF5025KH"/>
    <n v="5"/>
    <s v="SBH-Y&amp;Y-105"/>
    <s v="SBH-Y&amp;Y-105-SBHBEF5025KHAKIFRE"/>
    <s v="SBH의류외25"/>
    <s v="SBH"/>
    <s v="SBRBEF"/>
    <m/>
    <s v="SBH"/>
    <s v="SBR HATSON"/>
    <s v="F"/>
    <n v="5"/>
    <s v="BE"/>
    <s v="BEANIE"/>
    <s v="U"/>
    <n v="25"/>
    <s v="025"/>
    <s v="SBHBEF5025"/>
    <n v="1"/>
    <s v="SBRBEF5025KHFRE"/>
    <s v="KH"/>
    <s v="KHAKI"/>
    <s v="SBHBEF5025KH"/>
    <x v="0"/>
    <n v="1"/>
    <n v="0"/>
    <n v="1"/>
    <s v="FRE"/>
    <n v="5"/>
    <x v="6"/>
    <n v="10"/>
    <x v="21"/>
    <s v="M"/>
    <s v="CN"/>
    <x v="0"/>
    <n v="39000"/>
    <x v="32"/>
    <n v="5064.9350649350645"/>
    <n v="0"/>
    <n v="-5064.935064935064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25324.675324675321"/>
    <n v="195000"/>
    <n v="7.0000000000000009"/>
  </r>
  <r>
    <n v="0"/>
    <n v="0"/>
    <n v="11"/>
    <n v="12"/>
    <s v="F-CAP"/>
    <x v="37"/>
    <s v="SBH-Y&amp;Y-10"/>
    <s v="SBH-Y&amp;Y-10SBHBEF5032BK"/>
    <n v="6"/>
    <s v="SBH-Y&amp;Y-106"/>
    <s v="SBH-Y&amp;Y-106-SBHBEF5032BLACKFRE"/>
    <s v="SBH의류외32"/>
    <s v="SBH"/>
    <s v="SBRBEF"/>
    <m/>
    <s v="SBH"/>
    <s v="SBR HATSON"/>
    <s v="F"/>
    <n v="5"/>
    <s v="BE"/>
    <s v="BEANIE"/>
    <s v="U"/>
    <n v="32"/>
    <s v="032"/>
    <s v="SBHBEF5032"/>
    <n v="1"/>
    <s v="SBRBEF5032BKFRE"/>
    <s v="BK"/>
    <s v="BLACK"/>
    <s v="SBHBEF5032BK"/>
    <x v="0"/>
    <n v="1"/>
    <n v="0"/>
    <n v="1"/>
    <s v="FRE"/>
    <n v="15"/>
    <x v="6"/>
    <n v="10"/>
    <x v="21"/>
    <s v="M"/>
    <s v="CN"/>
    <x v="0"/>
    <n v="35000"/>
    <x v="32"/>
    <n v="4545.454545454545"/>
    <n v="0"/>
    <n v="-4545.45454545454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5"/>
    <n v="0"/>
    <n v="0"/>
    <n v="0"/>
    <n v="0"/>
    <n v="0"/>
    <n v="15"/>
    <n v="68181.818181818177"/>
    <n v="525000"/>
    <n v="7"/>
  </r>
  <r>
    <n v="0"/>
    <n v="0"/>
    <n v="11"/>
    <n v="12"/>
    <s v="F-CAP"/>
    <x v="37"/>
    <s v="SBH-Y&amp;Y-10"/>
    <s v="SBH-Y&amp;Y-10SBHBEF5032BL"/>
    <n v="7"/>
    <s v="SBH-Y&amp;Y-107"/>
    <s v="SBH-Y&amp;Y-107-SBHBEF5032BLUEFRE"/>
    <s v="SBH의류외32"/>
    <s v="SBH"/>
    <s v="SBRBEF"/>
    <m/>
    <s v="SBH"/>
    <s v="SBR HATSON"/>
    <s v="F"/>
    <n v="5"/>
    <s v="BE"/>
    <s v="BEANIE"/>
    <s v="U"/>
    <n v="32"/>
    <s v="032"/>
    <s v="SBHBEF5032"/>
    <n v="1"/>
    <s v="SBRBEF5032BLFRE"/>
    <s v="BL"/>
    <s v="BLUE"/>
    <s v="SBHBEF5032BL"/>
    <x v="0"/>
    <n v="1"/>
    <n v="0"/>
    <n v="1"/>
    <s v="FRE"/>
    <n v="5"/>
    <x v="6"/>
    <n v="10"/>
    <x v="21"/>
    <s v="M"/>
    <s v="CN"/>
    <x v="0"/>
    <n v="35000"/>
    <x v="32"/>
    <n v="4545.454545454545"/>
    <n v="0"/>
    <n v="-4545.45454545454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22727.272727272724"/>
    <n v="175000"/>
    <n v="7"/>
  </r>
  <r>
    <n v="0"/>
    <n v="0"/>
    <n v="11"/>
    <n v="12"/>
    <s v="F-CAP"/>
    <x v="37"/>
    <s v="SBH-Y&amp;Y-10"/>
    <s v="SBH-Y&amp;Y-10SBHBEF5032GR"/>
    <n v="8"/>
    <s v="SBH-Y&amp;Y-108"/>
    <s v="SBH-Y&amp;Y-108-SBHBEF5032GREENFRE"/>
    <s v="SBH의류외32"/>
    <s v="SBH"/>
    <s v="SBRBEF"/>
    <m/>
    <s v="SBH"/>
    <s v="SBR HATSON"/>
    <s v="F"/>
    <n v="5"/>
    <s v="BE"/>
    <s v="BEANIE"/>
    <s v="U"/>
    <n v="32"/>
    <s v="032"/>
    <s v="SBHBEF5032"/>
    <n v="1"/>
    <s v="SBRBEF5032GRFRE"/>
    <s v="GR"/>
    <s v="GREEN"/>
    <s v="SBHBEF5032GR"/>
    <x v="0"/>
    <n v="1"/>
    <n v="0"/>
    <n v="1"/>
    <s v="FRE"/>
    <n v="5"/>
    <x v="6"/>
    <n v="10"/>
    <x v="21"/>
    <s v="M"/>
    <s v="CN"/>
    <x v="0"/>
    <n v="35000"/>
    <x v="32"/>
    <n v="4545.454545454545"/>
    <n v="0"/>
    <n v="-4545.45454545454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22727.272727272724"/>
    <n v="175000"/>
    <n v="7"/>
  </r>
  <r>
    <n v="0"/>
    <n v="0"/>
    <n v="11"/>
    <n v="12"/>
    <s v="F-CAP"/>
    <x v="37"/>
    <s v="SBH-Y&amp;Y-10"/>
    <s v="SBH-Y&amp;Y-10SBHBEF5032GY"/>
    <n v="9"/>
    <s v="SBH-Y&amp;Y-109"/>
    <s v="SBH-Y&amp;Y-109-SBHBEF5032GREYFRE"/>
    <s v="SBH의류외32"/>
    <s v="SBH"/>
    <s v="SBRBEF"/>
    <m/>
    <s v="SBH"/>
    <s v="SBR HATSON"/>
    <s v="F"/>
    <n v="5"/>
    <s v="BE"/>
    <s v="BEANIE"/>
    <s v="U"/>
    <n v="32"/>
    <s v="032"/>
    <s v="SBHBEF5032"/>
    <n v="1"/>
    <s v="SBRBEF5032GYFRE"/>
    <s v="GY"/>
    <s v="GREY"/>
    <s v="SBHBEF5032GY"/>
    <x v="0"/>
    <n v="1"/>
    <n v="0"/>
    <n v="1"/>
    <s v="FRE"/>
    <n v="15"/>
    <x v="6"/>
    <n v="10"/>
    <x v="21"/>
    <s v="M"/>
    <s v="CN"/>
    <x v="0"/>
    <n v="35000"/>
    <x v="32"/>
    <n v="4545.454545454545"/>
    <n v="0"/>
    <n v="-4545.45454545454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5"/>
    <n v="0"/>
    <n v="0"/>
    <n v="0"/>
    <n v="0"/>
    <n v="0"/>
    <n v="15"/>
    <n v="68181.818181818177"/>
    <n v="525000"/>
    <n v="7"/>
  </r>
  <r>
    <n v="0"/>
    <n v="0"/>
    <n v="11"/>
    <n v="12"/>
    <s v="F-CAP"/>
    <x v="37"/>
    <s v="SBH-Y&amp;Y-10"/>
    <s v="SBH-Y&amp;Y-10SBHBEF5032IV"/>
    <n v="10"/>
    <s v="SBH-Y&amp;Y-1010"/>
    <s v="SBH-Y&amp;Y-1010-SBHBEF5032IVORYFRE"/>
    <s v="SBH의류외32"/>
    <s v="SBH"/>
    <s v="SBRBEF"/>
    <m/>
    <s v="SBH"/>
    <s v="SBR HATSON"/>
    <s v="F"/>
    <n v="5"/>
    <s v="BE"/>
    <s v="BEANIE"/>
    <s v="U"/>
    <n v="32"/>
    <s v="032"/>
    <s v="SBHBEF5032"/>
    <n v="1"/>
    <s v="SBRBEF5032IVFRE"/>
    <s v="IV"/>
    <s v="IVORY"/>
    <s v="SBHBEF5032IV"/>
    <x v="0"/>
    <n v="1"/>
    <n v="0"/>
    <n v="1"/>
    <s v="FRE"/>
    <n v="5"/>
    <x v="6"/>
    <n v="10"/>
    <x v="21"/>
    <s v="M"/>
    <s v="CN"/>
    <x v="0"/>
    <n v="35000"/>
    <x v="32"/>
    <n v="4545.454545454545"/>
    <n v="0"/>
    <n v="-4545.45454545454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22727.272727272724"/>
    <n v="175000"/>
    <n v="7"/>
  </r>
  <r>
    <n v="0"/>
    <n v="0"/>
    <n v="11"/>
    <n v="12"/>
    <s v="F-CAP"/>
    <x v="37"/>
    <s v="SBH-Y&amp;Y-10"/>
    <s v="SBH-Y&amp;Y-10SBHBEF5032RE"/>
    <n v="11"/>
    <s v="SBH-Y&amp;Y-1011"/>
    <s v="SBH-Y&amp;Y-1011-SBHBEF5032REDFRE"/>
    <s v="SBH의류외32"/>
    <s v="SBH"/>
    <s v="SBRBEF"/>
    <m/>
    <s v="SBH"/>
    <s v="SBR HATSON"/>
    <s v="F"/>
    <n v="5"/>
    <s v="BE"/>
    <s v="BEANIE"/>
    <s v="U"/>
    <n v="32"/>
    <s v="032"/>
    <s v="SBHBEF5032"/>
    <n v="1"/>
    <s v="SBRBEF5032REFRE"/>
    <s v="RE"/>
    <s v="RED"/>
    <s v="SBHBEF5032RE"/>
    <x v="0"/>
    <n v="1"/>
    <n v="0"/>
    <n v="1"/>
    <s v="FRE"/>
    <n v="10"/>
    <x v="6"/>
    <n v="10"/>
    <x v="21"/>
    <s v="M"/>
    <s v="CN"/>
    <x v="0"/>
    <n v="35000"/>
    <x v="32"/>
    <n v="4545.454545454545"/>
    <n v="0"/>
    <n v="-4545.45454545454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45454.545454545449"/>
    <n v="350000"/>
    <n v="7"/>
  </r>
  <r>
    <n v="0"/>
    <n v="0"/>
    <n v="11"/>
    <n v="12"/>
    <s v="F-CAP"/>
    <x v="37"/>
    <s v="SBH-Y&amp;Y-10"/>
    <s v="SBH-Y&amp;Y-10SBHBEF5032YE"/>
    <n v="12"/>
    <s v="SBH-Y&amp;Y-1012"/>
    <s v="SBH-Y&amp;Y-1012-SBHBEF5032YELLOWFRE"/>
    <s v="SBH의류외32"/>
    <s v="SBH"/>
    <s v="SBRBEF"/>
    <m/>
    <s v="SBH"/>
    <s v="SBR HATSON"/>
    <s v="F"/>
    <n v="5"/>
    <s v="BE"/>
    <s v="BEANIE"/>
    <s v="U"/>
    <n v="32"/>
    <s v="032"/>
    <s v="SBHBEF5032"/>
    <n v="1"/>
    <s v="SBRBEF5032YEFRE"/>
    <s v="YE"/>
    <s v="YELLOW"/>
    <s v="SBHBEF5032YE"/>
    <x v="0"/>
    <n v="1"/>
    <n v="0"/>
    <n v="1"/>
    <s v="FRE"/>
    <n v="20"/>
    <x v="6"/>
    <n v="10"/>
    <x v="21"/>
    <s v="M"/>
    <s v="CN"/>
    <x v="0"/>
    <n v="35000"/>
    <x v="32"/>
    <n v="4545.454545454545"/>
    <n v="0"/>
    <n v="-4545.45454545454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0"/>
    <n v="0"/>
    <n v="0"/>
    <n v="0"/>
    <n v="0"/>
    <n v="0"/>
    <n v="20"/>
    <n v="90909.090909090897"/>
    <n v="700000"/>
    <n v="7"/>
  </r>
  <r>
    <n v="0"/>
    <n v="0"/>
    <n v="11"/>
    <n v="12"/>
    <s v="F-CAP"/>
    <x v="37"/>
    <s v="SBH-Y&amp;Y-10"/>
    <s v="SBH-Y&amp;Y-10SBHBEF5052BU"/>
    <n v="13"/>
    <s v="SBH-Y&amp;Y-1013"/>
    <s v="SBH-Y&amp;Y-1013-SBHBEF5052BURGUNDYFRE"/>
    <s v="SBH의류외52"/>
    <s v="SBH"/>
    <s v="SBRBEF"/>
    <m/>
    <s v="SBH"/>
    <s v="SBR HATSON"/>
    <s v="F"/>
    <n v="5"/>
    <s v="BE"/>
    <s v="BEANIE"/>
    <s v="U"/>
    <n v="52"/>
    <s v="052"/>
    <s v="SBHBEF5052"/>
    <n v="1"/>
    <s v="SBRBEF5052BUFRE"/>
    <s v="BU"/>
    <s v="BURGUNDY"/>
    <s v="SBHBEF5052BU"/>
    <x v="0"/>
    <n v="1"/>
    <n v="0"/>
    <n v="1"/>
    <s v="FRE"/>
    <n v="10"/>
    <x v="6"/>
    <n v="10"/>
    <x v="21"/>
    <s v="M"/>
    <s v="CN"/>
    <x v="0"/>
    <n v="35000"/>
    <x v="32"/>
    <n v="4545.454545454545"/>
    <n v="0"/>
    <n v="-4545.45454545454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45454.545454545449"/>
    <n v="350000"/>
    <n v="7"/>
  </r>
  <r>
    <n v="0"/>
    <n v="0"/>
    <n v="11"/>
    <n v="12"/>
    <s v="F-CAP"/>
    <x v="37"/>
    <s v="SBH-Y&amp;Y-10"/>
    <s v="SBH-Y&amp;Y-10SBHBEF5052GY"/>
    <n v="14"/>
    <s v="SBH-Y&amp;Y-1014"/>
    <s v="SBH-Y&amp;Y-1014-SBHBEF5052GREYFRE"/>
    <s v="SBH의류외52"/>
    <s v="SBH"/>
    <s v="SBRBEF"/>
    <m/>
    <s v="SBH"/>
    <s v="SBR HATSON"/>
    <s v="F"/>
    <n v="5"/>
    <s v="BE"/>
    <s v="BEANIE"/>
    <s v="U"/>
    <n v="52"/>
    <s v="052"/>
    <s v="SBHBEF5052"/>
    <n v="1"/>
    <s v="SBRBEF5052GYFRE"/>
    <s v="GY"/>
    <s v="GREY"/>
    <s v="SBHBEF5052GY"/>
    <x v="0"/>
    <n v="1"/>
    <n v="0"/>
    <n v="1"/>
    <s v="FRE"/>
    <n v="10"/>
    <x v="6"/>
    <n v="10"/>
    <x v="21"/>
    <s v="M"/>
    <s v="CN"/>
    <x v="0"/>
    <n v="35000"/>
    <x v="32"/>
    <n v="4545.454545454545"/>
    <n v="0"/>
    <n v="-4545.45454545454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45454.545454545449"/>
    <n v="350000"/>
    <n v="7"/>
  </r>
  <r>
    <n v="0"/>
    <n v="0"/>
    <n v="11"/>
    <n v="12"/>
    <s v="F-CAP"/>
    <x v="37"/>
    <s v="SBH-Y&amp;Y-10"/>
    <s v="SBH-Y&amp;Y-10SBHBEF5052NY"/>
    <n v="15"/>
    <s v="SBH-Y&amp;Y-1015"/>
    <s v="SBH-Y&amp;Y-1015-SBHBEF5052NAVYFRE"/>
    <s v="SBH의류외52"/>
    <s v="SBH"/>
    <s v="SBRBEF"/>
    <m/>
    <s v="SBH"/>
    <s v="SBR HATSON"/>
    <s v="F"/>
    <n v="5"/>
    <s v="BE"/>
    <s v="BEANIE"/>
    <s v="U"/>
    <n v="52"/>
    <s v="052"/>
    <s v="SBHBEF5052"/>
    <n v="1"/>
    <s v="SBRBEF5052NYFRE"/>
    <s v="NY"/>
    <s v="NAVY"/>
    <s v="SBHBEF5052NY"/>
    <x v="0"/>
    <n v="1"/>
    <n v="0"/>
    <n v="1"/>
    <s v="FRE"/>
    <n v="10"/>
    <x v="6"/>
    <n v="10"/>
    <x v="21"/>
    <s v="M"/>
    <s v="CN"/>
    <x v="0"/>
    <n v="35000"/>
    <x v="32"/>
    <n v="4545.454545454545"/>
    <n v="0"/>
    <n v="-4545.45454545454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45454.545454545449"/>
    <n v="350000"/>
    <n v="7"/>
  </r>
  <r>
    <n v="0"/>
    <n v="0"/>
    <n v="11"/>
    <n v="12"/>
    <s v="F-CAP"/>
    <x v="37"/>
    <s v="SBH-Y&amp;Y-10"/>
    <s v="SBH-Y&amp;Y-10SBHEBF5026CL"/>
    <n v="16"/>
    <s v="SBH-Y&amp;Y-1016"/>
    <s v="SBH-Y&amp;Y-1016-SBHEBF5026CAMELFRE"/>
    <s v="SBH의류외26"/>
    <s v="SBH"/>
    <s v="SBREBF"/>
    <m/>
    <s v="SBH"/>
    <s v="SBR HATSON"/>
    <s v="F"/>
    <n v="5"/>
    <s v="EB"/>
    <s v="EARFLAP BEANIE"/>
    <s v="U"/>
    <n v="26"/>
    <s v="026"/>
    <s v="SBHEBF5026"/>
    <n v="1"/>
    <s v="SBREBF5026CLFRE"/>
    <s v="CL"/>
    <s v="CAMEL"/>
    <s v="SBHEBF5026CL"/>
    <x v="0"/>
    <n v="1"/>
    <n v="0"/>
    <n v="1"/>
    <s v="FRE"/>
    <n v="10"/>
    <x v="6"/>
    <n v="10"/>
    <x v="21"/>
    <s v="M"/>
    <s v="CN"/>
    <x v="0"/>
    <n v="45000"/>
    <x v="32"/>
    <n v="5844.1558441558436"/>
    <n v="0"/>
    <n v="-5844.1558441558436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58441.558441558438"/>
    <n v="450000"/>
    <n v="6.9999999999999991"/>
  </r>
  <r>
    <n v="0"/>
    <n v="0"/>
    <s v=""/>
    <s v=""/>
    <s v=""/>
    <x v="1"/>
    <s v=""/>
    <s v=""/>
    <n v="0"/>
    <s v="0"/>
    <s v="0-"/>
    <n v="0"/>
    <s v="TTL"/>
    <s v=""/>
    <s v="SBH-Y&amp;Y-10 TTL"/>
    <m/>
    <s v=""/>
    <s v=""/>
    <s v=""/>
    <m/>
    <s v=""/>
    <m/>
    <m/>
    <s v=""/>
    <s v=""/>
    <n v="16"/>
    <m/>
    <s v=""/>
    <m/>
    <s v=""/>
    <x v="0"/>
    <n v="16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80"/>
    <n v="0"/>
    <n v="0"/>
    <n v="0"/>
    <n v="0"/>
    <n v="0"/>
    <n v="180"/>
    <n v="864935.06493506464"/>
    <n v="6660000"/>
    <n v="7.0000000000000018"/>
  </r>
  <r>
    <n v="0"/>
    <n v="0"/>
    <n v="11"/>
    <n v="12"/>
    <s v="F-CAP"/>
    <x v="37"/>
    <s v="SBH-TS-01"/>
    <s v="SBH-TS-01SBHFAF5079BK"/>
    <n v="1"/>
    <s v="SBH-TS-011"/>
    <s v="SBH-TS-011-SBHFAF5079BLACKFRE"/>
    <s v="SBH의류외79"/>
    <s v="SBH"/>
    <s v="SBRFAF"/>
    <m/>
    <s v="SBH"/>
    <s v="SBR HATSON"/>
    <s v="F"/>
    <n v="5"/>
    <s v="FA"/>
    <s v="FASHION HAT"/>
    <s v="U"/>
    <n v="79"/>
    <s v="079"/>
    <s v="SBHFAF5079"/>
    <n v="1"/>
    <s v="SBRFAF5079BKFRE"/>
    <s v="BK"/>
    <s v="BLACK"/>
    <s v="SBHFAF5079BK"/>
    <x v="0"/>
    <n v="1"/>
    <n v="0"/>
    <n v="1"/>
    <s v="FRE"/>
    <n v="5"/>
    <x v="22"/>
    <n v="1"/>
    <x v="0"/>
    <s v="M"/>
    <s v="KR"/>
    <x v="3"/>
    <n v="49000"/>
    <x v="32"/>
    <n v="11136.363636363636"/>
    <n v="0"/>
    <n v="-11136.363636363636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55681.818181818177"/>
    <n v="245000"/>
    <n v="4"/>
  </r>
  <r>
    <n v="0"/>
    <n v="0"/>
    <s v=""/>
    <s v=""/>
    <s v=""/>
    <x v="1"/>
    <s v=""/>
    <s v=""/>
    <n v="0"/>
    <s v="0"/>
    <s v="0-"/>
    <n v="0"/>
    <s v="TTL"/>
    <s v=""/>
    <s v="SBH-TS-01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55681.818181818177"/>
    <n v="245000"/>
    <n v="4"/>
  </r>
  <r>
    <n v="0"/>
    <n v="0"/>
    <n v="11"/>
    <n v="12"/>
    <s v="F-CAP"/>
    <x v="37"/>
    <s v="SBH-동일모자-34"/>
    <s v="SBH-동일모자-34SBHMIF5007BK"/>
    <n v="1"/>
    <s v="SBH-동일모자-341"/>
    <s v="SBH-동일모자-341-SBHMIF5007BLACKOSM"/>
    <s v="SBH의류외7"/>
    <s v="SBH"/>
    <s v="SBRMIF"/>
    <m/>
    <s v="SBH"/>
    <s v="SBR HATSON"/>
    <s v="F"/>
    <n v="5"/>
    <s v="MI"/>
    <s v="MILITARY CAP"/>
    <s v="U"/>
    <n v="7"/>
    <s v="007"/>
    <s v="SBHMIF5007"/>
    <n v="0.5"/>
    <s v="SBRMIF5007BKOSM"/>
    <s v="BK"/>
    <s v="BLACK"/>
    <s v="SBHMIF5007BK"/>
    <x v="0"/>
    <n v="0.5"/>
    <n v="0"/>
    <n v="1"/>
    <s v="OSM"/>
    <n v="4"/>
    <x v="5"/>
    <n v="34"/>
    <x v="20"/>
    <s v="M"/>
    <s v="CN"/>
    <x v="0"/>
    <n v="39000"/>
    <x v="32"/>
    <n v="5909.0909090909081"/>
    <n v="0"/>
    <n v="-5909.090909090908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4"/>
    <n v="0"/>
    <n v="0"/>
    <n v="0"/>
    <n v="0"/>
    <n v="0"/>
    <n v="4"/>
    <n v="23636.363636363632"/>
    <n v="156000"/>
    <n v="6.0000000000000009"/>
  </r>
  <r>
    <n v="0"/>
    <n v="0"/>
    <n v="11"/>
    <n v="12"/>
    <s v="F-CAP"/>
    <x v="37"/>
    <s v="SBH-동일모자-34"/>
    <s v="SBH-동일모자-34SBHMIF5007BK"/>
    <n v="1"/>
    <s v="SBH-동일모자-341"/>
    <s v="SBH-동일모자-341-SBHMIF5007BLACKOML"/>
    <s v="SBH의류외7"/>
    <s v="SBH"/>
    <s v="SBRMIF"/>
    <m/>
    <s v="SBH"/>
    <s v="SBR HATSON"/>
    <s v="F"/>
    <n v="5"/>
    <s v="MI"/>
    <s v="MILITARY CAP"/>
    <s v="U"/>
    <n v="7"/>
    <s v="007"/>
    <s v="SBHMIF5007"/>
    <n v="0.5"/>
    <s v="SBRMIF5007BKOML"/>
    <s v="BK"/>
    <s v="BLACK"/>
    <s v="SBHMIF5007BK"/>
    <x v="0"/>
    <n v="0.5"/>
    <n v="0"/>
    <n v="1"/>
    <s v="OML"/>
    <n v="3"/>
    <x v="5"/>
    <n v="34"/>
    <x v="20"/>
    <s v="M"/>
    <s v="CN"/>
    <x v="0"/>
    <n v="39000"/>
    <x v="32"/>
    <n v="5909.0909090909081"/>
    <n v="0"/>
    <n v="-5909.090909090908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3"/>
    <n v="0"/>
    <n v="0"/>
    <n v="0"/>
    <n v="0"/>
    <n v="0"/>
    <n v="3"/>
    <n v="17727.272727272724"/>
    <n v="117000"/>
    <n v="6"/>
  </r>
  <r>
    <n v="0"/>
    <n v="0"/>
    <n v="11"/>
    <n v="12"/>
    <s v="F-CAP"/>
    <x v="37"/>
    <s v="SBH-동일모자-34"/>
    <s v="SBH-동일모자-34SBHMIF5007GY"/>
    <n v="2"/>
    <s v="SBH-동일모자-342"/>
    <s v="SBH-동일모자-342-SBHMIF5007GREYOSM"/>
    <s v="SBH의류외7"/>
    <s v="SBH"/>
    <s v="SBRMIF"/>
    <m/>
    <s v="SBH"/>
    <s v="SBR HATSON"/>
    <s v="F"/>
    <n v="5"/>
    <s v="MI"/>
    <s v="MILITARY CAP"/>
    <s v="U"/>
    <n v="7"/>
    <s v="007"/>
    <s v="SBHMIF5007"/>
    <n v="0.5"/>
    <s v="SBRMIF5007GYOSM"/>
    <s v="GY"/>
    <s v="GREY"/>
    <s v="SBHMIF5007GY"/>
    <x v="0"/>
    <n v="0.5"/>
    <n v="0"/>
    <n v="1"/>
    <s v="OSM"/>
    <n v="4"/>
    <x v="5"/>
    <n v="34"/>
    <x v="20"/>
    <s v="M"/>
    <s v="CN"/>
    <x v="0"/>
    <n v="39000"/>
    <x v="32"/>
    <n v="5909.0909090909081"/>
    <n v="0"/>
    <n v="-5909.090909090908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4"/>
    <n v="0"/>
    <n v="0"/>
    <n v="0"/>
    <n v="0"/>
    <n v="0"/>
    <n v="4"/>
    <n v="23636.363636363632"/>
    <n v="156000"/>
    <n v="6.0000000000000009"/>
  </r>
  <r>
    <n v="0"/>
    <n v="0"/>
    <n v="11"/>
    <n v="12"/>
    <s v="F-CAP"/>
    <x v="37"/>
    <s v="SBH-동일모자-34"/>
    <s v="SBH-동일모자-34SBHMIF5007GY"/>
    <n v="2"/>
    <s v="SBH-동일모자-342"/>
    <s v="SBH-동일모자-342-SBHMIF5007GREYOML"/>
    <s v="SBH의류외7"/>
    <s v="SBH"/>
    <s v="SBRMIF"/>
    <m/>
    <s v="SBH"/>
    <s v="SBR HATSON"/>
    <s v="F"/>
    <n v="5"/>
    <s v="MI"/>
    <s v="MILITARY CAP"/>
    <s v="U"/>
    <n v="7"/>
    <s v="007"/>
    <s v="SBHMIF5007"/>
    <n v="0.5"/>
    <s v="SBRMIF5007GYOML"/>
    <s v="GY"/>
    <s v="GREY"/>
    <s v="SBHMIF5007GY"/>
    <x v="0"/>
    <n v="0.5"/>
    <n v="0"/>
    <n v="1"/>
    <s v="OML"/>
    <n v="3"/>
    <x v="5"/>
    <n v="34"/>
    <x v="20"/>
    <s v="M"/>
    <s v="CN"/>
    <x v="0"/>
    <n v="39000"/>
    <x v="32"/>
    <n v="5909.0909090909081"/>
    <n v="0"/>
    <n v="-5909.090909090908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3"/>
    <n v="0"/>
    <n v="0"/>
    <n v="0"/>
    <n v="0"/>
    <n v="0"/>
    <n v="3"/>
    <n v="17727.272727272724"/>
    <n v="117000"/>
    <n v="6"/>
  </r>
  <r>
    <n v="0"/>
    <n v="0"/>
    <s v=""/>
    <s v=""/>
    <s v=""/>
    <x v="1"/>
    <s v=""/>
    <s v=""/>
    <n v="0"/>
    <s v="0"/>
    <s v="0-"/>
    <n v="0"/>
    <s v="TTL"/>
    <s v=""/>
    <s v="SBH-동일모자-34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4"/>
    <n v="0"/>
    <n v="0"/>
    <n v="0"/>
    <n v="0"/>
    <n v="0"/>
    <n v="14"/>
    <n v="82727.272727272706"/>
    <n v="546000"/>
    <n v="6.0000000000000009"/>
  </r>
  <r>
    <n v="0"/>
    <n v="0"/>
    <n v="11"/>
    <n v="12"/>
    <s v="F-CAP"/>
    <x v="37"/>
    <s v="SBH-QF-16"/>
    <s v="SBH-QF-16SBHSNF3062NY"/>
    <n v="1"/>
    <s v="SBH-QF-161"/>
    <s v="SBH-QF-161-SBHSNF3062NAVYFRE"/>
    <s v="SBH의류외62"/>
    <s v="SBH"/>
    <s v="SBRSNF"/>
    <m/>
    <s v="SBH"/>
    <s v="SBR HATSON"/>
    <s v="F"/>
    <s v="3"/>
    <s v="SN"/>
    <s v="SNAPBACK"/>
    <s v="U"/>
    <n v="62"/>
    <s v="062"/>
    <s v="SBHSNF3062"/>
    <n v="1"/>
    <s v="SBRSNF3062NYFRE"/>
    <s v="NY"/>
    <s v="NAVY"/>
    <s v="SBHSNF3062NY"/>
    <x v="0"/>
    <n v="1"/>
    <n v="0"/>
    <n v="1"/>
    <s v="FRE"/>
    <n v="5"/>
    <x v="2"/>
    <n v="16"/>
    <x v="17"/>
    <s v="M"/>
    <s v="CN"/>
    <x v="0"/>
    <n v="45000"/>
    <x v="32"/>
    <n v="4545.454545454545"/>
    <n v="0"/>
    <n v="-4545.45454545454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22727.272727272724"/>
    <n v="225000"/>
    <n v="9"/>
  </r>
  <r>
    <n v="0"/>
    <n v="0"/>
    <s v=""/>
    <s v=""/>
    <s v=""/>
    <x v="1"/>
    <s v=""/>
    <s v=""/>
    <n v="0"/>
    <s v="0"/>
    <s v="0-"/>
    <n v="0"/>
    <s v="TTL"/>
    <s v=""/>
    <s v="SBH-QF-16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22727.272727272724"/>
    <n v="225000"/>
    <n v="9"/>
  </r>
  <r>
    <n v="0"/>
    <n v="0"/>
    <n v="11"/>
    <n v="12"/>
    <s v="SPORTS"/>
    <x v="25"/>
    <s v="SMH-동일모자-35"/>
    <s v="SMH-동일모자-35SMHBAF5026GY"/>
    <n v="1"/>
    <s v="SMH-동일모자-351"/>
    <s v="SMH-동일모자-351-SMHBAF5026GREYFRE"/>
    <s v="SMH의류외26"/>
    <s v="SMH"/>
    <s v="SMBBAF"/>
    <m/>
    <s v="SMH"/>
    <s v="SMB HATSON"/>
    <s v="F"/>
    <n v="5"/>
    <s v="BA"/>
    <s v="BASIC CAP"/>
    <s v="U"/>
    <n v="26"/>
    <s v="026"/>
    <s v="SMHBAF5026"/>
    <n v="1"/>
    <s v="SMBBAF5026GYFRE"/>
    <s v="GY"/>
    <s v="GREY"/>
    <s v="SMHBAF5026GY"/>
    <x v="0"/>
    <n v="1"/>
    <n v="0"/>
    <n v="1"/>
    <s v="FRE"/>
    <n v="15"/>
    <x v="5"/>
    <n v="35"/>
    <x v="36"/>
    <s v="M"/>
    <s v="CN"/>
    <x v="0"/>
    <n v="45000"/>
    <x v="32"/>
    <n v="6818.1818181818171"/>
    <n v="0"/>
    <n v="-6818.181818181817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5"/>
    <n v="0"/>
    <n v="0"/>
    <n v="0"/>
    <n v="0"/>
    <n v="0"/>
    <n v="15"/>
    <n v="102272.72727272725"/>
    <n v="675000"/>
    <n v="6.0000000000000009"/>
  </r>
  <r>
    <n v="0"/>
    <n v="0"/>
    <s v=""/>
    <s v=""/>
    <s v=""/>
    <x v="1"/>
    <s v=""/>
    <s v=""/>
    <n v="0"/>
    <s v="0"/>
    <s v="0-"/>
    <n v="0"/>
    <s v="TTL"/>
    <s v=""/>
    <s v="SMH-동일모자-35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5"/>
    <n v="0"/>
    <n v="0"/>
    <n v="0"/>
    <n v="0"/>
    <n v="0"/>
    <n v="15"/>
    <n v="102272.72727272725"/>
    <n v="675000"/>
    <n v="6.0000000000000009"/>
  </r>
  <r>
    <n v="0"/>
    <n v="0"/>
    <n v="11"/>
    <n v="12"/>
    <s v="SPORTS"/>
    <x v="25"/>
    <s v="SMH-성진-22"/>
    <s v="SMH-성진-22SMHSNF3010BK"/>
    <n v="1"/>
    <s v="SMH-성진-221"/>
    <s v="SMH-성진-221-SMHSNF3010BLACKFRE"/>
    <s v="SMH의류외10"/>
    <s v="SMH"/>
    <s v="SMBSNF"/>
    <m/>
    <s v="SMH"/>
    <s v="SMB HATSON"/>
    <s v="F"/>
    <s v="3"/>
    <s v="SN"/>
    <s v="SNAPBACK"/>
    <s v="U"/>
    <n v="10"/>
    <s v="010"/>
    <s v="SMHSNF3010"/>
    <n v="1"/>
    <s v="SMBSNF3010BKFRE"/>
    <s v="BK"/>
    <s v="BLACK"/>
    <s v="SMHSNF3010BK"/>
    <x v="0"/>
    <n v="1"/>
    <n v="0"/>
    <n v="1"/>
    <s v="FRE"/>
    <n v="7"/>
    <x v="7"/>
    <n v="22"/>
    <x v="19"/>
    <s v="M"/>
    <s v="BG"/>
    <x v="0"/>
    <n v="43000"/>
    <x v="32"/>
    <n v="6515.151515151515"/>
    <n v="0"/>
    <n v="-6515.15151515151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7"/>
    <n v="0"/>
    <n v="0"/>
    <n v="0"/>
    <n v="0"/>
    <n v="0"/>
    <n v="7"/>
    <n v="45606.060606060608"/>
    <n v="301000"/>
    <n v="5.9999999999999991"/>
  </r>
  <r>
    <n v="0"/>
    <n v="0"/>
    <s v=""/>
    <s v=""/>
    <s v=""/>
    <x v="1"/>
    <s v=""/>
    <s v=""/>
    <n v="0"/>
    <s v="0"/>
    <s v="0-"/>
    <n v="0"/>
    <s v="TTL"/>
    <s v=""/>
    <s v="SMH-성진-22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7"/>
    <n v="0"/>
    <n v="0"/>
    <n v="0"/>
    <n v="0"/>
    <n v="0"/>
    <n v="7"/>
    <n v="45606.060606060608"/>
    <n v="301000"/>
    <n v="5.9999999999999991"/>
  </r>
  <r>
    <n v="0"/>
    <n v="0"/>
    <n v="11"/>
    <n v="12"/>
    <s v="F-CAP"/>
    <x v="29"/>
    <s v="URH-QF-17"/>
    <s v="URH-QF-17URHFIF3408BK"/>
    <n v="1"/>
    <s v="URH-QF-171"/>
    <s v="URH-QF-171-URHFIF3408BLACKFRE"/>
    <s v="URH의류외408"/>
    <s v="URH"/>
    <s v="URBFIF"/>
    <m/>
    <s v="URH"/>
    <s v="URB HATSON"/>
    <s v="F"/>
    <s v="3"/>
    <s v="FI"/>
    <s v="FITTED CAP"/>
    <s v="U"/>
    <n v="408"/>
    <n v="408"/>
    <s v="URHFIF3408"/>
    <n v="0.5"/>
    <s v="URBFIF3408BKFRE"/>
    <s v="BK"/>
    <s v="BLACK"/>
    <s v="URHFIF3408BK"/>
    <x v="1"/>
    <n v="0.5"/>
    <n v="0"/>
    <n v="1"/>
    <s v="FRE"/>
    <n v="5"/>
    <x v="2"/>
    <n v="17"/>
    <x v="10"/>
    <s v="M"/>
    <s v="CN"/>
    <x v="0"/>
    <n v="35000"/>
    <x v="32"/>
    <n v="3535.3535353535353"/>
    <n v="0"/>
    <n v="-3535.3535353535353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17676.767676767675"/>
    <n v="175000"/>
    <n v="9"/>
  </r>
  <r>
    <n v="0"/>
    <n v="0"/>
    <n v="11"/>
    <n v="12"/>
    <s v="F-CAP"/>
    <x v="29"/>
    <s v="URH-QF-17"/>
    <s v="URH-QF-17URHFIF3408BK"/>
    <n v="1"/>
    <s v="URH-QF-171"/>
    <s v="URH-QF-171-URHFIF3408BLACKLXL"/>
    <s v="URH의류외408"/>
    <s v="URH"/>
    <s v="URBFIF"/>
    <m/>
    <s v="URH"/>
    <s v="URB HATSON"/>
    <s v="F"/>
    <s v="3"/>
    <s v="FI"/>
    <s v="FITTED CAP"/>
    <s v="U"/>
    <n v="408"/>
    <n v="408"/>
    <s v="URHFIF3408"/>
    <n v="0.5"/>
    <s v="URBFIF3408BKLXL"/>
    <s v="BK"/>
    <s v="BLACK"/>
    <s v="URHFIF3408BK"/>
    <x v="1"/>
    <n v="0.5"/>
    <n v="0"/>
    <n v="1"/>
    <s v="LXL"/>
    <n v="5"/>
    <x v="2"/>
    <n v="17"/>
    <x v="10"/>
    <s v="M"/>
    <s v="CN"/>
    <x v="0"/>
    <n v="35000"/>
    <x v="32"/>
    <n v="3535.3535353535353"/>
    <n v="0"/>
    <n v="-3535.3535353535353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17676.767676767675"/>
    <n v="175000"/>
    <n v="9"/>
  </r>
  <r>
    <n v="0"/>
    <n v="0"/>
    <n v="11"/>
    <n v="12"/>
    <s v="F-CAP"/>
    <x v="29"/>
    <s v="URH-QF-17"/>
    <s v="URH-QF-17URHFIF3411BK"/>
    <n v="2"/>
    <s v="URH-QF-172"/>
    <s v="URH-QF-172-URHFIF3411BLACKXSS"/>
    <s v="URH의류외411"/>
    <s v="URH"/>
    <s v="URBFIF"/>
    <m/>
    <s v="URH"/>
    <s v="URB HATSON"/>
    <s v="F"/>
    <s v="3"/>
    <s v="FI"/>
    <s v="FITTED CAP"/>
    <s v="U"/>
    <n v="411"/>
    <n v="411"/>
    <s v="URHFIF3411"/>
    <n v="0.25"/>
    <s v="URBFIF3411BKXSS"/>
    <s v="BK"/>
    <s v="BLACK"/>
    <s v="URHFIF3411BK"/>
    <x v="1"/>
    <n v="0.25"/>
    <n v="0"/>
    <n v="1"/>
    <s v="XSS"/>
    <n v="2"/>
    <x v="2"/>
    <n v="17"/>
    <x v="10"/>
    <s v="M"/>
    <s v="CN"/>
    <x v="0"/>
    <n v="43000"/>
    <x v="32"/>
    <n v="4343.4343434343427"/>
    <n v="0"/>
    <n v="-4343.4343434343427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8686.8686868686855"/>
    <n v="86000"/>
    <n v="9"/>
  </r>
  <r>
    <n v="0"/>
    <n v="0"/>
    <n v="11"/>
    <n v="12"/>
    <s v="F-CAP"/>
    <x v="29"/>
    <s v="URH-QF-17"/>
    <s v="URH-QF-17URHFIF3411BK"/>
    <n v="2"/>
    <s v="URH-QF-172"/>
    <s v="URH-QF-172-URHFIF3411BLACKOSM"/>
    <s v="URH의류외411"/>
    <s v="URH"/>
    <s v="URBFIF"/>
    <m/>
    <s v="URH"/>
    <s v="URB HATSON"/>
    <s v="F"/>
    <s v="3"/>
    <s v="FI"/>
    <s v="FITTED CAP"/>
    <s v="U"/>
    <n v="411"/>
    <n v="411"/>
    <s v="URHFIF3411"/>
    <n v="0.25"/>
    <s v="URBFIF3411BKOSM"/>
    <s v="BK"/>
    <s v="BLACK"/>
    <s v="URHFIF3411BK"/>
    <x v="1"/>
    <n v="0.25"/>
    <n v="0"/>
    <n v="1"/>
    <s v="OSM"/>
    <n v="3"/>
    <x v="2"/>
    <n v="17"/>
    <x v="10"/>
    <s v="M"/>
    <s v="CN"/>
    <x v="0"/>
    <n v="43000"/>
    <x v="32"/>
    <n v="4343.4343434343427"/>
    <n v="0"/>
    <n v="-4343.4343434343427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3"/>
    <n v="0"/>
    <n v="0"/>
    <n v="0"/>
    <n v="0"/>
    <n v="0"/>
    <n v="3"/>
    <n v="13030.303030303028"/>
    <n v="129000"/>
    <n v="9"/>
  </r>
  <r>
    <n v="0"/>
    <n v="0"/>
    <n v="11"/>
    <n v="12"/>
    <s v="F-CAP"/>
    <x v="29"/>
    <s v="URH-QF-17"/>
    <s v="URH-QF-17URHFIF3411BK"/>
    <n v="2"/>
    <s v="URH-QF-172"/>
    <s v="URH-QF-172-URHFIF3411BLACKOML"/>
    <s v="URH의류외411"/>
    <s v="URH"/>
    <s v="URBFIF"/>
    <m/>
    <s v="URH"/>
    <s v="URB HATSON"/>
    <s v="F"/>
    <s v="3"/>
    <s v="FI"/>
    <s v="FITTED CAP"/>
    <s v="U"/>
    <n v="411"/>
    <n v="411"/>
    <s v="URHFIF3411"/>
    <n v="0.25"/>
    <s v="URBFIF3411BKOML"/>
    <s v="BK"/>
    <s v="BLACK"/>
    <s v="URHFIF3411BK"/>
    <x v="1"/>
    <n v="0.25"/>
    <n v="0"/>
    <n v="1"/>
    <s v="OML"/>
    <n v="3"/>
    <x v="2"/>
    <n v="17"/>
    <x v="10"/>
    <s v="M"/>
    <s v="CN"/>
    <x v="0"/>
    <n v="43000"/>
    <x v="32"/>
    <n v="4343.4343434343427"/>
    <n v="0"/>
    <n v="-4343.4343434343427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3"/>
    <n v="0"/>
    <n v="0"/>
    <n v="0"/>
    <n v="0"/>
    <n v="0"/>
    <n v="3"/>
    <n v="13030.303030303028"/>
    <n v="129000"/>
    <n v="9"/>
  </r>
  <r>
    <n v="0"/>
    <n v="0"/>
    <n v="11"/>
    <n v="12"/>
    <s v="F-CAP"/>
    <x v="29"/>
    <s v="URH-QF-17"/>
    <s v="URH-QF-17URHFIF3411BK"/>
    <n v="2"/>
    <s v="URH-QF-172"/>
    <s v="URH-QF-172-URHFIF3411BLACKLXL"/>
    <s v="URH의류외411"/>
    <s v="URH"/>
    <s v="URBFIF"/>
    <m/>
    <s v="URH"/>
    <s v="URB HATSON"/>
    <s v="F"/>
    <s v="3"/>
    <s v="FI"/>
    <s v="FITTED CAP"/>
    <s v="U"/>
    <n v="411"/>
    <n v="411"/>
    <s v="URHFIF3411"/>
    <n v="0.25"/>
    <s v="URBFIF3411BKLXL"/>
    <s v="BK"/>
    <s v="BLACK"/>
    <s v="URHFIF3411BK"/>
    <x v="1"/>
    <n v="0.25"/>
    <n v="0"/>
    <n v="1"/>
    <s v="LXL"/>
    <n v="2"/>
    <x v="2"/>
    <n v="17"/>
    <x v="10"/>
    <s v="M"/>
    <s v="CN"/>
    <x v="0"/>
    <n v="43000"/>
    <x v="32"/>
    <n v="4343.4343434343427"/>
    <n v="0"/>
    <n v="-4343.4343434343427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8686.8686868686855"/>
    <n v="86000"/>
    <n v="9"/>
  </r>
  <r>
    <n v="0"/>
    <n v="0"/>
    <n v="11"/>
    <n v="12"/>
    <s v="F-CAP"/>
    <x v="29"/>
    <s v="URH-QF-17"/>
    <s v="URH-QF-17URHFIF3454MT"/>
    <n v="3"/>
    <s v="URH-QF-173"/>
    <s v="URH-QF-173-URHFIF3454MINTFRE"/>
    <s v="URH의류외454"/>
    <s v="URH"/>
    <s v="URBFIF"/>
    <m/>
    <s v="URH"/>
    <s v="URB HATSON"/>
    <s v="F"/>
    <s v="3"/>
    <s v="FI"/>
    <s v="FITTED CAP"/>
    <s v="U"/>
    <n v="454"/>
    <n v="454"/>
    <s v="URHFIF3454"/>
    <n v="1"/>
    <s v="URBFIF3454MTFRE"/>
    <s v="MT"/>
    <s v="MINT"/>
    <s v="URHFIF3454MT"/>
    <x v="1"/>
    <n v="1"/>
    <n v="0"/>
    <n v="1"/>
    <s v="FRE"/>
    <n v="5"/>
    <x v="2"/>
    <n v="17"/>
    <x v="10"/>
    <s v="M"/>
    <s v="CN"/>
    <x v="0"/>
    <n v="39000"/>
    <x v="32"/>
    <n v="3939.3939393939386"/>
    <n v="0"/>
    <n v="-3939.3939393939386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19696.969696969692"/>
    <n v="195000"/>
    <n v="9.0000000000000018"/>
  </r>
  <r>
    <n v="0"/>
    <n v="0"/>
    <n v="11"/>
    <n v="12"/>
    <s v="F-CAP"/>
    <x v="29"/>
    <s v="URH-QF-17"/>
    <s v="URH-QF-17URHSNF3024BK"/>
    <n v="4"/>
    <s v="URH-QF-174"/>
    <s v="URH-QF-174-URHSNF3024BLACKFRE"/>
    <s v="URH의류외24"/>
    <s v="URH"/>
    <s v="URBSNF"/>
    <m/>
    <s v="URH"/>
    <s v="URB HATSON"/>
    <s v="F"/>
    <s v="3"/>
    <s v="SN"/>
    <s v="SNAPBACK"/>
    <s v="U"/>
    <n v="24"/>
    <s v="024"/>
    <s v="URHSNF3024"/>
    <n v="1"/>
    <s v="URBSNF3024BKFRE"/>
    <s v="BK"/>
    <s v="BLACK"/>
    <s v="URHSNF3024BK"/>
    <x v="0"/>
    <n v="1"/>
    <n v="0"/>
    <n v="1"/>
    <s v="FRE"/>
    <n v="5"/>
    <x v="2"/>
    <n v="17"/>
    <x v="10"/>
    <s v="M"/>
    <s v="CN"/>
    <x v="0"/>
    <n v="43000"/>
    <x v="32"/>
    <n v="4343.4343434343427"/>
    <n v="0"/>
    <n v="-4343.4343434343427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21717.171717171714"/>
    <n v="215000"/>
    <n v="9"/>
  </r>
  <r>
    <n v="0"/>
    <n v="0"/>
    <n v="11"/>
    <n v="12"/>
    <s v="F-CAP"/>
    <x v="29"/>
    <s v="URH-QF-17"/>
    <s v="URH-QF-17URHSNF3403BK"/>
    <n v="5"/>
    <s v="URH-QF-175"/>
    <s v="URH-QF-175-URHSNF3403BLACKFRE"/>
    <s v="URH의류외403"/>
    <s v="URH"/>
    <s v="URBSNF"/>
    <m/>
    <s v="URH"/>
    <s v="URB HATSON"/>
    <s v="F"/>
    <s v="3"/>
    <s v="SN"/>
    <s v="SNAPBACK"/>
    <s v="U"/>
    <n v="403"/>
    <n v="403"/>
    <s v="URHSNF3403"/>
    <n v="1"/>
    <s v="URBSNF3403BKFRE"/>
    <s v="BK"/>
    <s v="BLACK"/>
    <s v="URHSNF3403BK"/>
    <x v="1"/>
    <n v="1"/>
    <n v="0"/>
    <n v="1"/>
    <s v="FRE"/>
    <n v="10"/>
    <x v="2"/>
    <n v="17"/>
    <x v="10"/>
    <s v="M"/>
    <s v="CN"/>
    <x v="0"/>
    <n v="35000"/>
    <x v="32"/>
    <n v="3535.3535353535353"/>
    <n v="0"/>
    <n v="-3535.3535353535353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35353.53535353535"/>
    <n v="350000"/>
    <n v="9"/>
  </r>
  <r>
    <n v="0"/>
    <n v="0"/>
    <n v="11"/>
    <n v="12"/>
    <s v="F-CAP"/>
    <x v="29"/>
    <s v="URH-QF-17"/>
    <s v="URH-QF-17URHSNF3412BK"/>
    <n v="6"/>
    <s v="URH-QF-176"/>
    <s v="URH-QF-176-URHSNF3412BLACKFRE"/>
    <s v="URH의류외412"/>
    <s v="URH"/>
    <s v="URBSNF"/>
    <m/>
    <s v="URH"/>
    <s v="URB HATSON"/>
    <s v="F"/>
    <s v="3"/>
    <s v="SN"/>
    <s v="SNAPBACK"/>
    <s v="U"/>
    <n v="412"/>
    <n v="412"/>
    <s v="URHSNF3412"/>
    <n v="1"/>
    <s v="URBSNF3412BKFRE"/>
    <s v="BK"/>
    <s v="BLACK"/>
    <s v="URHSNF3412BK"/>
    <x v="1"/>
    <n v="1"/>
    <n v="0"/>
    <n v="1"/>
    <s v="FRE"/>
    <n v="7"/>
    <x v="2"/>
    <n v="17"/>
    <x v="10"/>
    <s v="M"/>
    <s v="CN"/>
    <x v="0"/>
    <n v="43000"/>
    <x v="32"/>
    <n v="4343.4343434343427"/>
    <n v="0"/>
    <n v="-4343.4343434343427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7"/>
    <n v="0"/>
    <n v="0"/>
    <n v="0"/>
    <n v="0"/>
    <n v="0"/>
    <n v="7"/>
    <n v="30404.040404040399"/>
    <n v="301000"/>
    <n v="9"/>
  </r>
  <r>
    <n v="0"/>
    <n v="0"/>
    <n v="11"/>
    <n v="12"/>
    <s v="F-CAP"/>
    <x v="29"/>
    <s v="URH-QF-17"/>
    <s v="URH-QF-17URHSNF3413BK"/>
    <n v="7"/>
    <s v="URH-QF-177"/>
    <s v="URH-QF-177-URHSNF3413BLACKFRE"/>
    <s v="URH의류외413"/>
    <s v="URH"/>
    <s v="URBSNF"/>
    <m/>
    <s v="URH"/>
    <s v="URB HATSON"/>
    <s v="F"/>
    <s v="3"/>
    <s v="SN"/>
    <s v="SNAPBACK"/>
    <s v="U"/>
    <n v="413"/>
    <n v="413"/>
    <s v="URHSNF3413"/>
    <n v="1"/>
    <s v="URBSNF3413BKFRE"/>
    <s v="BK"/>
    <s v="BLACK"/>
    <s v="URHSNF3413BK"/>
    <x v="1"/>
    <n v="1"/>
    <n v="0"/>
    <n v="1"/>
    <s v="FRE"/>
    <n v="5"/>
    <x v="2"/>
    <n v="17"/>
    <x v="10"/>
    <s v="M"/>
    <s v="CN"/>
    <x v="0"/>
    <n v="43000"/>
    <x v="32"/>
    <n v="4343.4343434343427"/>
    <n v="0"/>
    <n v="-4343.4343434343427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21717.171717171714"/>
    <n v="215000"/>
    <n v="9"/>
  </r>
  <r>
    <n v="0"/>
    <n v="0"/>
    <n v="11"/>
    <n v="12"/>
    <s v="F-CAP"/>
    <x v="29"/>
    <s v="URH-QF-17"/>
    <s v="URH-QF-17URHSNF3414BK"/>
    <n v="8"/>
    <s v="URH-QF-178"/>
    <s v="URH-QF-178-URHSNF3414BLACKFRE"/>
    <s v="URH의류외414"/>
    <s v="URH"/>
    <s v="URBSNF"/>
    <m/>
    <s v="URH"/>
    <s v="URB HATSON"/>
    <s v="F"/>
    <s v="3"/>
    <s v="SN"/>
    <s v="SNAPBACK"/>
    <s v="U"/>
    <n v="414"/>
    <n v="414"/>
    <s v="URHSNF3414"/>
    <n v="1"/>
    <s v="URBSNF3414BKFRE"/>
    <s v="BK"/>
    <s v="BLACK"/>
    <s v="URHSNF3414BK"/>
    <x v="1"/>
    <n v="1"/>
    <n v="0"/>
    <n v="1"/>
    <s v="FRE"/>
    <n v="5"/>
    <x v="2"/>
    <n v="17"/>
    <x v="10"/>
    <s v="M"/>
    <s v="CN"/>
    <x v="0"/>
    <n v="43000"/>
    <x v="32"/>
    <n v="4343.4343434343427"/>
    <n v="0"/>
    <n v="-4343.4343434343427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21717.171717171714"/>
    <n v="215000"/>
    <n v="9"/>
  </r>
  <r>
    <n v="0"/>
    <n v="0"/>
    <n v="11"/>
    <n v="12"/>
    <s v="F-CAP"/>
    <x v="29"/>
    <s v="URH-QF-17"/>
    <s v="URH-QF-17URHSNF3414WH"/>
    <n v="9"/>
    <s v="URH-QF-179"/>
    <s v="URH-QF-179-URHSNF3414WHITEFRE"/>
    <s v="URH의류외414"/>
    <s v="URH"/>
    <s v="URBSNF"/>
    <m/>
    <s v="URH"/>
    <s v="URB HATSON"/>
    <s v="F"/>
    <s v="3"/>
    <s v="SN"/>
    <s v="SNAPBACK"/>
    <s v="U"/>
    <n v="414"/>
    <n v="414"/>
    <s v="URHSNF3414"/>
    <n v="1"/>
    <s v="URBSNF3414WHFRE"/>
    <s v="WH"/>
    <s v="WHITE"/>
    <s v="URHSNF3414WH"/>
    <x v="1"/>
    <n v="1"/>
    <n v="0"/>
    <n v="1"/>
    <s v="FRE"/>
    <n v="5"/>
    <x v="2"/>
    <n v="17"/>
    <x v="10"/>
    <s v="M"/>
    <s v="CN"/>
    <x v="0"/>
    <n v="43000"/>
    <x v="32"/>
    <n v="4343.4343434343427"/>
    <n v="0"/>
    <n v="-4343.4343434343427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21717.171717171714"/>
    <n v="215000"/>
    <n v="9"/>
  </r>
  <r>
    <n v="0"/>
    <n v="0"/>
    <n v="11"/>
    <n v="12"/>
    <s v="F-CAP"/>
    <x v="29"/>
    <s v="URH-QF-17"/>
    <s v="URH-QF-17URHSNF5020BK"/>
    <n v="10"/>
    <s v="URH-QF-1710"/>
    <s v="URH-QF-1710-URHSNF5020BLACKFRE"/>
    <s v="URH의류외20"/>
    <s v="URH"/>
    <s v="URBSNF"/>
    <m/>
    <s v="URH"/>
    <s v="URB HATSON"/>
    <s v="F"/>
    <n v="5"/>
    <s v="SN"/>
    <s v="SNAPBACK"/>
    <s v="U"/>
    <n v="20"/>
    <s v="020"/>
    <s v="URHSNF5020"/>
    <n v="1"/>
    <s v="URBSNF5020BKFRE"/>
    <s v="BK"/>
    <s v="BLACK"/>
    <s v="URHSNF5020BK"/>
    <x v="0"/>
    <n v="1"/>
    <n v="0"/>
    <n v="1"/>
    <s v="FRE"/>
    <n v="7"/>
    <x v="2"/>
    <n v="17"/>
    <x v="10"/>
    <s v="M"/>
    <s v="CN"/>
    <x v="0"/>
    <n v="43000"/>
    <x v="32"/>
    <n v="4343.4343434343427"/>
    <n v="0"/>
    <n v="-4343.4343434343427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7"/>
    <n v="0"/>
    <n v="0"/>
    <n v="0"/>
    <n v="0"/>
    <n v="0"/>
    <n v="7"/>
    <n v="30404.040404040399"/>
    <n v="301000"/>
    <n v="9"/>
  </r>
  <r>
    <n v="0"/>
    <n v="0"/>
    <n v="11"/>
    <n v="12"/>
    <s v="F-CAP"/>
    <x v="29"/>
    <s v="URH-QF-17"/>
    <s v="URH-QF-17URHSNF5029GY"/>
    <n v="11"/>
    <s v="URH-QF-1711"/>
    <s v="URH-QF-1711-URHSNF5029GREYFRE"/>
    <s v="URH의류외29"/>
    <s v="URH"/>
    <s v="URBSNF"/>
    <m/>
    <s v="URH"/>
    <s v="URB HATSON"/>
    <s v="F"/>
    <n v="5"/>
    <s v="SN"/>
    <s v="SNAPBACK"/>
    <s v="U"/>
    <n v="29"/>
    <s v="029"/>
    <s v="URHSNF5029"/>
    <n v="1"/>
    <s v="URBSNF5029GYFRE"/>
    <s v="GY"/>
    <s v="GREY"/>
    <s v="URHSNF5029GY"/>
    <x v="0"/>
    <n v="1"/>
    <n v="0"/>
    <n v="1"/>
    <s v="FRE"/>
    <n v="15"/>
    <x v="2"/>
    <n v="17"/>
    <x v="10"/>
    <s v="M"/>
    <s v="CN"/>
    <x v="0"/>
    <n v="49000"/>
    <x v="32"/>
    <n v="4949.4949494949497"/>
    <n v="0"/>
    <n v="-4949.4949494949497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15"/>
    <n v="0"/>
    <n v="0"/>
    <n v="0"/>
    <n v="0"/>
    <n v="0"/>
    <n v="15"/>
    <n v="74242.42424242424"/>
    <n v="735000"/>
    <n v="9"/>
  </r>
  <r>
    <n v="0"/>
    <n v="0"/>
    <s v=""/>
    <s v=""/>
    <s v=""/>
    <x v="1"/>
    <s v=""/>
    <s v=""/>
    <n v="0"/>
    <s v="0"/>
    <s v="0-"/>
    <n v="0"/>
    <s v="TTL"/>
    <s v=""/>
    <s v="URH-QF-17 TTL"/>
    <m/>
    <s v=""/>
    <s v=""/>
    <s v=""/>
    <m/>
    <s v=""/>
    <m/>
    <m/>
    <s v=""/>
    <s v=""/>
    <n v="11"/>
    <m/>
    <s v=""/>
    <m/>
    <s v=""/>
    <x v="0"/>
    <n v="11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84"/>
    <n v="0"/>
    <n v="0"/>
    <n v="0"/>
    <n v="0"/>
    <n v="0"/>
    <n v="84"/>
    <n v="355757.57575757575"/>
    <n v="3522000"/>
    <n v="8.9999999999999982"/>
  </r>
  <r>
    <n v="0"/>
    <n v="0"/>
    <n v="11"/>
    <n v="12"/>
    <s v="F-CAP"/>
    <x v="29"/>
    <s v="URH-J&amp;F-03"/>
    <s v="URH-J&amp;F-03URHFIF3451BK"/>
    <n v="1"/>
    <s v="URH-J&amp;F-031"/>
    <s v="URH-J&amp;F-031-URHFIF3451BLACKFRE"/>
    <s v="URH의류외451"/>
    <s v="URH"/>
    <s v="URBFIF"/>
    <m/>
    <s v="URH"/>
    <s v="URB HATSON"/>
    <s v="F"/>
    <s v="3"/>
    <s v="FI"/>
    <s v="FITTED CAP"/>
    <s v="U"/>
    <n v="451"/>
    <n v="451"/>
    <s v="URHFIF3451"/>
    <n v="1"/>
    <s v="URBFIF3451BKFRE"/>
    <s v="BK"/>
    <s v="BLACK"/>
    <s v="URHFIF3451BK"/>
    <x v="1"/>
    <n v="1"/>
    <n v="0"/>
    <n v="1"/>
    <s v="FRE"/>
    <n v="5"/>
    <x v="0"/>
    <n v="3"/>
    <x v="2"/>
    <s v="M"/>
    <s v="CN"/>
    <x v="0"/>
    <n v="39000"/>
    <x v="32"/>
    <n v="3939.3939393939386"/>
    <n v="0"/>
    <n v="-3939.3939393939386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19696.969696969692"/>
    <n v="195000"/>
    <n v="9.0000000000000018"/>
  </r>
  <r>
    <n v="0"/>
    <n v="0"/>
    <n v="11"/>
    <n v="12"/>
    <s v="F-CAP"/>
    <x v="29"/>
    <s v="URH-J&amp;F-03"/>
    <s v="URH-J&amp;F-03URHFIF3451GY"/>
    <n v="2"/>
    <s v="URH-J&amp;F-032"/>
    <s v="URH-J&amp;F-032-URHFIF3451GREYFRE"/>
    <s v="URH의류외451"/>
    <s v="URH"/>
    <s v="URBFIF"/>
    <m/>
    <s v="URH"/>
    <s v="URB HATSON"/>
    <s v="F"/>
    <s v="3"/>
    <s v="FI"/>
    <s v="FITTED CAP"/>
    <s v="U"/>
    <n v="451"/>
    <n v="451"/>
    <s v="URHFIF3451"/>
    <n v="1"/>
    <s v="URBFIF3451GYFRE"/>
    <s v="GY"/>
    <s v="GREY"/>
    <s v="URHFIF3451GY"/>
    <x v="1"/>
    <n v="1"/>
    <n v="0"/>
    <n v="1"/>
    <s v="FRE"/>
    <n v="5"/>
    <x v="0"/>
    <n v="3"/>
    <x v="2"/>
    <s v="M"/>
    <s v="CN"/>
    <x v="0"/>
    <n v="39000"/>
    <x v="32"/>
    <n v="3939.3939393939386"/>
    <n v="0"/>
    <n v="-3939.3939393939386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19696.969696969692"/>
    <n v="195000"/>
    <n v="9.0000000000000018"/>
  </r>
  <r>
    <n v="0"/>
    <n v="0"/>
    <s v=""/>
    <s v=""/>
    <s v=""/>
    <x v="1"/>
    <s v=""/>
    <s v=""/>
    <n v="0"/>
    <s v="0"/>
    <s v="0-"/>
    <n v="0"/>
    <s v="TTL"/>
    <s v=""/>
    <s v="URH-J&amp;F-03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"/>
    <n v="0"/>
    <n v="0"/>
    <n v="0"/>
    <n v="0"/>
    <n v="0"/>
    <n v="10"/>
    <n v="39393.939393939385"/>
    <n v="390000"/>
    <n v="9.0000000000000018"/>
  </r>
  <r>
    <n v="0"/>
    <n v="0"/>
    <n v="11"/>
    <n v="12"/>
    <s v="F-CAP"/>
    <x v="29"/>
    <s v="URH-캡보이2-06"/>
    <s v="URH-캡보이2-06URHSNF3002BK"/>
    <n v="1"/>
    <s v="URH-캡보이2-061"/>
    <s v="URH-캡보이2-061-URHSNF3002BLACKFRE"/>
    <s v="URH의류외2"/>
    <s v="URH"/>
    <s v="URBSNF"/>
    <m/>
    <s v="URH"/>
    <s v="URB HATSON"/>
    <s v="F"/>
    <s v="3"/>
    <s v="SN"/>
    <s v="SNAPBACK"/>
    <s v="U"/>
    <n v="2"/>
    <s v="002"/>
    <s v="URHSNF3002"/>
    <n v="1"/>
    <s v="URBSNF3002BKFRE"/>
    <s v="BK"/>
    <s v="BLACK"/>
    <s v="URHSNF3002BK"/>
    <x v="0"/>
    <n v="1"/>
    <n v="0"/>
    <n v="1"/>
    <s v="FRE"/>
    <n v="5"/>
    <x v="3"/>
    <n v="6"/>
    <x v="6"/>
    <s v="M"/>
    <s v="VT"/>
    <x v="0"/>
    <n v="53000"/>
    <x v="32"/>
    <n v="9636.363636363636"/>
    <n v="0"/>
    <n v="-9636.363636363636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48181.818181818177"/>
    <n v="265000"/>
    <n v="5"/>
  </r>
  <r>
    <n v="0"/>
    <n v="0"/>
    <n v="11"/>
    <n v="12"/>
    <s v="F-CAP"/>
    <x v="29"/>
    <s v="URH-캡보이2-06"/>
    <s v="URH-캡보이2-06URHSNF3011GY"/>
    <n v="2"/>
    <s v="URH-캡보이2-062"/>
    <s v="URH-캡보이2-062-URHSNF3011GREYFRE"/>
    <s v="URH의류외11"/>
    <s v="URH"/>
    <s v="URBSNF"/>
    <m/>
    <s v="URH"/>
    <s v="URB HATSON"/>
    <s v="F"/>
    <s v="3"/>
    <s v="SN"/>
    <s v="SNAPBACK"/>
    <s v="U"/>
    <n v="11"/>
    <s v="011"/>
    <s v="URHSNF3011"/>
    <n v="1"/>
    <s v="URBSNF3011GYFRE"/>
    <s v="GY"/>
    <s v="GREY"/>
    <s v="URHSNF3011GY"/>
    <x v="0"/>
    <n v="1"/>
    <n v="0"/>
    <n v="1"/>
    <s v="FRE"/>
    <n v="5"/>
    <x v="3"/>
    <n v="6"/>
    <x v="6"/>
    <s v="M"/>
    <s v="VT"/>
    <x v="0"/>
    <n v="49000"/>
    <x v="32"/>
    <n v="8909.0909090909081"/>
    <n v="0"/>
    <n v="-8909.090909090908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44545.454545454544"/>
    <n v="245000"/>
    <n v="5"/>
  </r>
  <r>
    <n v="0"/>
    <n v="0"/>
    <n v="11"/>
    <n v="12"/>
    <s v="F-CAP"/>
    <x v="29"/>
    <s v="URH-캡보이2-06"/>
    <s v="URH-캡보이2-06URHSNF3011RE"/>
    <n v="3"/>
    <s v="URH-캡보이2-063"/>
    <s v="URH-캡보이2-063-URHSNF3011REDFRE"/>
    <s v="URH의류외11"/>
    <s v="URH"/>
    <s v="URBSNF"/>
    <m/>
    <s v="URH"/>
    <s v="URB HATSON"/>
    <s v="F"/>
    <s v="3"/>
    <s v="SN"/>
    <s v="SNAPBACK"/>
    <s v="U"/>
    <n v="11"/>
    <s v="011"/>
    <s v="URHSNF3011"/>
    <n v="1"/>
    <s v="URBSNF3011REFRE"/>
    <s v="RE"/>
    <s v="RED"/>
    <s v="URHSNF3011RE"/>
    <x v="0"/>
    <n v="1"/>
    <n v="0"/>
    <n v="1"/>
    <s v="FRE"/>
    <n v="5"/>
    <x v="3"/>
    <n v="6"/>
    <x v="6"/>
    <s v="M"/>
    <s v="VT"/>
    <x v="0"/>
    <n v="49000"/>
    <x v="32"/>
    <n v="8909.0909090909081"/>
    <n v="0"/>
    <n v="-8909.090909090908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44545.454545454544"/>
    <n v="245000"/>
    <n v="5"/>
  </r>
  <r>
    <n v="0"/>
    <n v="0"/>
    <n v="11"/>
    <n v="12"/>
    <s v="F-CAP"/>
    <x v="29"/>
    <s v="URH-캡보이2-06"/>
    <s v="URH-캡보이2-06URHSNF3012BK"/>
    <n v="4"/>
    <s v="URH-캡보이2-064"/>
    <s v="URH-캡보이2-064-URHSNF3012BLACKFRE"/>
    <s v="URH의류외12"/>
    <s v="URH"/>
    <s v="URBSNF"/>
    <m/>
    <s v="URH"/>
    <s v="URB HATSON"/>
    <s v="F"/>
    <s v="3"/>
    <s v="SN"/>
    <s v="SNAPBACK"/>
    <s v="U"/>
    <n v="12"/>
    <s v="012"/>
    <s v="URHSNF3012"/>
    <n v="1"/>
    <s v="URBSNF3012BKFRE"/>
    <s v="BK"/>
    <s v="BLACK"/>
    <s v="URHSNF3012BK"/>
    <x v="0"/>
    <n v="1"/>
    <n v="0"/>
    <n v="1"/>
    <s v="FRE"/>
    <n v="5"/>
    <x v="3"/>
    <n v="6"/>
    <x v="6"/>
    <s v="M"/>
    <s v="VT"/>
    <x v="0"/>
    <n v="49000"/>
    <x v="32"/>
    <n v="8909.0909090909081"/>
    <n v="0"/>
    <n v="-8909.090909090908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44545.454545454544"/>
    <n v="245000"/>
    <n v="5"/>
  </r>
  <r>
    <n v="0"/>
    <n v="0"/>
    <n v="11"/>
    <n v="12"/>
    <s v="F-CAP"/>
    <x v="29"/>
    <s v="URH-캡보이2-06"/>
    <s v="URH-캡보이2-06URHSNF3304BK"/>
    <n v="5"/>
    <s v="URH-캡보이2-065"/>
    <s v="URH-캡보이2-065-URHSNF3304BLACKFRE"/>
    <s v="URH의류외304"/>
    <s v="URH"/>
    <s v="URBSNF"/>
    <m/>
    <s v="URH"/>
    <s v="URB HATSON"/>
    <s v="F"/>
    <s v="3"/>
    <s v="SN"/>
    <s v="SNAPBACK"/>
    <s v="U"/>
    <n v="304"/>
    <n v="304"/>
    <s v="URHSNF3304"/>
    <n v="1"/>
    <s v="URBSNF3304BKFRE"/>
    <s v="BK"/>
    <s v="BLACK"/>
    <s v="URHSNF3304BK"/>
    <x v="1"/>
    <n v="1"/>
    <n v="0"/>
    <n v="1"/>
    <s v="FRE"/>
    <n v="5"/>
    <x v="3"/>
    <n v="6"/>
    <x v="6"/>
    <s v="M"/>
    <s v="VT"/>
    <x v="0"/>
    <n v="49000"/>
    <x v="32"/>
    <n v="8909.0909090909081"/>
    <n v="0"/>
    <n v="-8909.090909090908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44545.454545454544"/>
    <n v="245000"/>
    <n v="5"/>
  </r>
  <r>
    <n v="0"/>
    <n v="0"/>
    <s v=""/>
    <s v=""/>
    <s v=""/>
    <x v="1"/>
    <s v=""/>
    <s v=""/>
    <n v="0"/>
    <s v="0"/>
    <s v="0-"/>
    <n v="0"/>
    <s v="TTL"/>
    <s v=""/>
    <s v="URH-캡보이2-06 TTL"/>
    <m/>
    <s v=""/>
    <s v=""/>
    <s v=""/>
    <m/>
    <s v=""/>
    <m/>
    <m/>
    <s v=""/>
    <s v=""/>
    <n v="5"/>
    <m/>
    <s v=""/>
    <m/>
    <s v=""/>
    <x v="0"/>
    <n v="5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5"/>
    <n v="0"/>
    <n v="0"/>
    <n v="0"/>
    <n v="0"/>
    <n v="0"/>
    <n v="25"/>
    <n v="226363.63636363635"/>
    <n v="1245000"/>
    <n v="5"/>
  </r>
  <r>
    <n v="0"/>
    <n v="0"/>
    <n v="11"/>
    <n v="12"/>
    <s v="전략"/>
    <x v="44"/>
    <s v="URH-대경-10"/>
    <s v="URH-대경-10URHJPF5005BK"/>
    <n v="1"/>
    <s v="URH-대경-101"/>
    <s v="URH-대경-101-URHJPF5005BLACKOSS"/>
    <s v="URH의류5"/>
    <s v="URH"/>
    <s v="URBJPF"/>
    <m/>
    <s v="URH"/>
    <s v="URB HATSON"/>
    <s v="F"/>
    <n v="5"/>
    <s v="JP"/>
    <s v="JUMPER"/>
    <s v="U"/>
    <n v="5"/>
    <s v="005"/>
    <s v="URHJPF5005"/>
    <n v="0.33333333333333331"/>
    <s v="URBJPF5005BKOSS"/>
    <s v="BK"/>
    <s v="BLACK"/>
    <s v="URHJPF5005BK"/>
    <x v="0"/>
    <n v="0.33333333333333331"/>
    <n v="0"/>
    <n v="1"/>
    <s v="OSS"/>
    <n v="2"/>
    <x v="14"/>
    <n v="10"/>
    <x v="21"/>
    <s v="M"/>
    <s v="IN"/>
    <x v="0"/>
    <n v="158000"/>
    <x v="32"/>
    <n v="31919.191919191915"/>
    <n v="0"/>
    <n v="-31919.19191919191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63838.38383838383"/>
    <n v="316000"/>
    <n v="4.5"/>
  </r>
  <r>
    <n v="0"/>
    <n v="0"/>
    <n v="11"/>
    <n v="12"/>
    <s v="전략"/>
    <x v="44"/>
    <s v="URH-대경-10"/>
    <s v="URH-대경-10URHJPF5005BK"/>
    <n v="1"/>
    <s v="URH-대경-101"/>
    <s v="URH-대경-101-URHJPF5005BLACKOMM"/>
    <s v="URH의류5"/>
    <s v="URH"/>
    <s v="URBJPF"/>
    <m/>
    <s v="URH"/>
    <s v="URB HATSON"/>
    <s v="F"/>
    <n v="5"/>
    <s v="JP"/>
    <s v="JUMPER"/>
    <s v="U"/>
    <n v="5"/>
    <s v="005"/>
    <s v="URHJPF5005"/>
    <n v="0.33333333333333331"/>
    <s v="URBJPF5005BKOMM"/>
    <s v="BK"/>
    <s v="BLACK"/>
    <s v="URHJPF5005BK"/>
    <x v="0"/>
    <n v="0.33333333333333331"/>
    <n v="0"/>
    <n v="1"/>
    <s v="OMM"/>
    <n v="2"/>
    <x v="14"/>
    <n v="10"/>
    <x v="21"/>
    <s v="M"/>
    <s v="IN"/>
    <x v="0"/>
    <n v="158000"/>
    <x v="32"/>
    <n v="31919.191919191915"/>
    <n v="0"/>
    <n v="-31919.19191919191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63838.38383838383"/>
    <n v="316000"/>
    <n v="4.5"/>
  </r>
  <r>
    <n v="0"/>
    <n v="0"/>
    <n v="11"/>
    <n v="12"/>
    <s v="전략"/>
    <x v="44"/>
    <s v="URH-대경-10"/>
    <s v="URH-대경-10URHJPF5005BK"/>
    <n v="1"/>
    <s v="URH-대경-101"/>
    <s v="URH-대경-101-URHJPF5005BLACKOLL"/>
    <s v="URH의류5"/>
    <s v="URH"/>
    <s v="URBJPF"/>
    <m/>
    <s v="URH"/>
    <s v="URB HATSON"/>
    <s v="F"/>
    <n v="5"/>
    <s v="JP"/>
    <s v="JUMPER"/>
    <s v="U"/>
    <n v="5"/>
    <s v="005"/>
    <s v="URHJPF5005"/>
    <n v="0.33333333333333331"/>
    <s v="URBJPF5005BKOLL"/>
    <s v="BK"/>
    <s v="BLACK"/>
    <s v="URHJPF5005BK"/>
    <x v="0"/>
    <n v="0.33333333333333331"/>
    <n v="0"/>
    <n v="1"/>
    <s v="OLL"/>
    <n v="2"/>
    <x v="14"/>
    <n v="10"/>
    <x v="21"/>
    <s v="M"/>
    <s v="IN"/>
    <x v="0"/>
    <n v="158000"/>
    <x v="32"/>
    <n v="31919.191919191915"/>
    <n v="0"/>
    <n v="-31919.19191919191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63838.38383838383"/>
    <n v="316000"/>
    <n v="4.5"/>
  </r>
  <r>
    <n v="0"/>
    <n v="0"/>
    <n v="11"/>
    <n v="12"/>
    <s v="전략"/>
    <x v="44"/>
    <s v="URH-대경-10"/>
    <s v="URH-대경-10URHJPF5007BK"/>
    <n v="2"/>
    <s v="URH-대경-102"/>
    <s v="URH-대경-102-URHJPF5007BLACKOXS"/>
    <s v="URH의류7"/>
    <s v="URH"/>
    <s v="URBJPF"/>
    <m/>
    <s v="URH"/>
    <s v="URB HATSON"/>
    <s v="F"/>
    <n v="5"/>
    <s v="JP"/>
    <s v="JUMPER"/>
    <s v="U"/>
    <n v="7"/>
    <s v="007"/>
    <s v="URHJPF5007"/>
    <n v="0.2"/>
    <s v="URBJPF5007BKOXS"/>
    <s v="BK"/>
    <s v="BLACK"/>
    <s v="URHJPF5007BK"/>
    <x v="0"/>
    <n v="0.2"/>
    <n v="0"/>
    <n v="1"/>
    <s v="OXS"/>
    <n v="2"/>
    <x v="14"/>
    <n v="10"/>
    <x v="21"/>
    <s v="M"/>
    <s v="IN"/>
    <x v="0"/>
    <n v="278000"/>
    <x v="32"/>
    <n v="56161.616161616155"/>
    <n v="0"/>
    <n v="-56161.61616161615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112323.23232323231"/>
    <n v="556000"/>
    <n v="4.5"/>
  </r>
  <r>
    <n v="0"/>
    <n v="0"/>
    <n v="11"/>
    <n v="12"/>
    <s v="전략"/>
    <x v="44"/>
    <s v="URH-대경-10"/>
    <s v="URH-대경-10URHJPF5007BK"/>
    <n v="2"/>
    <s v="URH-대경-102"/>
    <s v="URH-대경-102-URHJPF5007BLACKOSS"/>
    <s v="URH의류7"/>
    <s v="URH"/>
    <s v="URBJPF"/>
    <m/>
    <s v="URH"/>
    <s v="URB HATSON"/>
    <s v="F"/>
    <n v="5"/>
    <s v="JP"/>
    <s v="JUMPER"/>
    <s v="U"/>
    <n v="7"/>
    <s v="007"/>
    <s v="URHJPF5007"/>
    <n v="0.2"/>
    <s v="URBJPF5007BKOSS"/>
    <s v="BK"/>
    <s v="BLACK"/>
    <s v="URHJPF5007BK"/>
    <x v="0"/>
    <n v="0.2"/>
    <n v="0"/>
    <n v="1"/>
    <s v="OSS"/>
    <n v="2"/>
    <x v="14"/>
    <n v="10"/>
    <x v="21"/>
    <s v="M"/>
    <s v="IN"/>
    <x v="0"/>
    <n v="278000"/>
    <x v="32"/>
    <n v="56161.616161616155"/>
    <n v="0"/>
    <n v="-56161.61616161615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112323.23232323231"/>
    <n v="556000"/>
    <n v="4.5"/>
  </r>
  <r>
    <n v="0"/>
    <n v="0"/>
    <n v="11"/>
    <n v="12"/>
    <s v="전략"/>
    <x v="44"/>
    <s v="URH-대경-10"/>
    <s v="URH-대경-10URHJPF5007BK"/>
    <n v="2"/>
    <s v="URH-대경-102"/>
    <s v="URH-대경-102-URHJPF5007BLACKOMM"/>
    <s v="URH의류7"/>
    <s v="URH"/>
    <s v="URBJPF"/>
    <m/>
    <s v="URH"/>
    <s v="URB HATSON"/>
    <s v="F"/>
    <n v="5"/>
    <s v="JP"/>
    <s v="JUMPER"/>
    <s v="U"/>
    <n v="7"/>
    <s v="007"/>
    <s v="URHJPF5007"/>
    <n v="0.2"/>
    <s v="URBJPF5007BKOMM"/>
    <s v="BK"/>
    <s v="BLACK"/>
    <s v="URHJPF5007BK"/>
    <x v="0"/>
    <n v="0.2"/>
    <n v="0"/>
    <n v="1"/>
    <s v="OMM"/>
    <n v="2"/>
    <x v="14"/>
    <n v="10"/>
    <x v="21"/>
    <s v="M"/>
    <s v="IN"/>
    <x v="0"/>
    <n v="278000"/>
    <x v="32"/>
    <n v="56161.616161616155"/>
    <n v="0"/>
    <n v="-56161.61616161615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112323.23232323231"/>
    <n v="556000"/>
    <n v="4.5"/>
  </r>
  <r>
    <n v="0"/>
    <n v="0"/>
    <n v="11"/>
    <n v="12"/>
    <s v="전략"/>
    <x v="44"/>
    <s v="URH-대경-10"/>
    <s v="URH-대경-10URHJPF5007BK"/>
    <n v="2"/>
    <s v="URH-대경-102"/>
    <s v="URH-대경-102-URHJPF5007BLACKOLL"/>
    <s v="URH의류7"/>
    <s v="URH"/>
    <s v="URBJPF"/>
    <m/>
    <s v="URH"/>
    <s v="URB HATSON"/>
    <s v="F"/>
    <n v="5"/>
    <s v="JP"/>
    <s v="JUMPER"/>
    <s v="U"/>
    <n v="7"/>
    <s v="007"/>
    <s v="URHJPF5007"/>
    <n v="0.2"/>
    <s v="URBJPF5007BKOLL"/>
    <s v="BK"/>
    <s v="BLACK"/>
    <s v="URHJPF5007BK"/>
    <x v="0"/>
    <n v="0.2"/>
    <n v="0"/>
    <n v="1"/>
    <s v="OLL"/>
    <n v="2"/>
    <x v="14"/>
    <n v="10"/>
    <x v="21"/>
    <s v="M"/>
    <s v="IN"/>
    <x v="0"/>
    <n v="278000"/>
    <x v="32"/>
    <n v="56161.616161616155"/>
    <n v="0"/>
    <n v="-56161.61616161615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112323.23232323231"/>
    <n v="556000"/>
    <n v="4.5"/>
  </r>
  <r>
    <n v="0"/>
    <n v="0"/>
    <n v="11"/>
    <n v="12"/>
    <s v="전략"/>
    <x v="44"/>
    <s v="URH-대경-10"/>
    <s v="URH-대경-10URHJPF5007BK"/>
    <n v="2"/>
    <s v="URH-대경-102"/>
    <s v="URH-대경-102-URHJPF5007BLACKOXL"/>
    <s v="URH의류7"/>
    <s v="URH"/>
    <s v="URBJPF"/>
    <m/>
    <s v="URH"/>
    <s v="URB HATSON"/>
    <s v="F"/>
    <n v="5"/>
    <s v="JP"/>
    <s v="JUMPER"/>
    <s v="U"/>
    <n v="7"/>
    <s v="007"/>
    <s v="URHJPF5007"/>
    <n v="0.2"/>
    <s v="URBJPF5007BKOXL"/>
    <s v="BK"/>
    <s v="BLACK"/>
    <s v="URHJPF5007BK"/>
    <x v="0"/>
    <n v="0.2"/>
    <n v="0"/>
    <n v="1"/>
    <s v="OXL"/>
    <n v="2"/>
    <x v="14"/>
    <n v="10"/>
    <x v="21"/>
    <s v="M"/>
    <s v="IN"/>
    <x v="0"/>
    <n v="278000"/>
    <x v="32"/>
    <n v="56161.616161616155"/>
    <n v="0"/>
    <n v="-56161.61616161615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112323.23232323231"/>
    <n v="556000"/>
    <n v="4.5"/>
  </r>
  <r>
    <n v="0"/>
    <n v="0"/>
    <n v="11"/>
    <n v="12"/>
    <s v="전략"/>
    <x v="44"/>
    <s v="URH-대경-10"/>
    <s v="URH-대경-10URHJPF5007RE"/>
    <n v="3"/>
    <s v="URH-대경-103"/>
    <s v="URH-대경-103-URHJPF5007REDOXS"/>
    <s v="URH의류7"/>
    <s v="URH"/>
    <s v="URBJPF"/>
    <m/>
    <s v="URH"/>
    <s v="URB HATSON"/>
    <s v="F"/>
    <n v="5"/>
    <s v="JP"/>
    <s v="JUMPER"/>
    <s v="U"/>
    <n v="7"/>
    <s v="007"/>
    <s v="URHJPF5007"/>
    <n v="0.2"/>
    <s v="URBJPF5007REOXS"/>
    <s v="RE"/>
    <s v="RED"/>
    <s v="URHJPF5007RE"/>
    <x v="0"/>
    <n v="0.2"/>
    <n v="0"/>
    <n v="1"/>
    <s v="OXS"/>
    <n v="2"/>
    <x v="14"/>
    <n v="10"/>
    <x v="21"/>
    <s v="M"/>
    <s v="IN"/>
    <x v="0"/>
    <n v="278000"/>
    <x v="32"/>
    <n v="56161.616161616155"/>
    <n v="0"/>
    <n v="-56161.61616161615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112323.23232323231"/>
    <n v="556000"/>
    <n v="4.5"/>
  </r>
  <r>
    <n v="0"/>
    <n v="0"/>
    <n v="11"/>
    <n v="12"/>
    <s v="전략"/>
    <x v="44"/>
    <s v="URH-대경-10"/>
    <s v="URH-대경-10URHJPF5007RE"/>
    <n v="3"/>
    <s v="URH-대경-103"/>
    <s v="URH-대경-103-URHJPF5007REDOSS"/>
    <s v="URH의류7"/>
    <s v="URH"/>
    <s v="URBJPF"/>
    <m/>
    <s v="URH"/>
    <s v="URB HATSON"/>
    <s v="F"/>
    <n v="5"/>
    <s v="JP"/>
    <s v="JUMPER"/>
    <s v="U"/>
    <n v="7"/>
    <s v="007"/>
    <s v="URHJPF5007"/>
    <n v="0.2"/>
    <s v="URBJPF5007REOSS"/>
    <s v="RE"/>
    <s v="RED"/>
    <s v="URHJPF5007RE"/>
    <x v="0"/>
    <n v="0.2"/>
    <n v="0"/>
    <n v="1"/>
    <s v="OSS"/>
    <n v="2"/>
    <x v="14"/>
    <n v="10"/>
    <x v="21"/>
    <s v="M"/>
    <s v="IN"/>
    <x v="0"/>
    <n v="278000"/>
    <x v="32"/>
    <n v="56161.616161616155"/>
    <n v="0"/>
    <n v="-56161.61616161615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112323.23232323231"/>
    <n v="556000"/>
    <n v="4.5"/>
  </r>
  <r>
    <n v="0"/>
    <n v="0"/>
    <n v="11"/>
    <n v="12"/>
    <s v="전략"/>
    <x v="44"/>
    <s v="URH-대경-10"/>
    <s v="URH-대경-10URHJPF5007RE"/>
    <n v="3"/>
    <s v="URH-대경-103"/>
    <s v="URH-대경-103-URHJPF5007REDOMM"/>
    <s v="URH의류7"/>
    <s v="URH"/>
    <s v="URBJPF"/>
    <m/>
    <s v="URH"/>
    <s v="URB HATSON"/>
    <s v="F"/>
    <n v="5"/>
    <s v="JP"/>
    <s v="JUMPER"/>
    <s v="U"/>
    <n v="7"/>
    <s v="007"/>
    <s v="URHJPF5007"/>
    <n v="0.2"/>
    <s v="URBJPF5007REOMM"/>
    <s v="RE"/>
    <s v="RED"/>
    <s v="URHJPF5007RE"/>
    <x v="0"/>
    <n v="0.2"/>
    <n v="0"/>
    <n v="1"/>
    <s v="OMM"/>
    <n v="2"/>
    <x v="14"/>
    <n v="10"/>
    <x v="21"/>
    <s v="M"/>
    <s v="IN"/>
    <x v="0"/>
    <n v="278000"/>
    <x v="32"/>
    <n v="56161.616161616155"/>
    <n v="0"/>
    <n v="-56161.61616161615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112323.23232323231"/>
    <n v="556000"/>
    <n v="4.5"/>
  </r>
  <r>
    <n v="0"/>
    <n v="0"/>
    <n v="11"/>
    <n v="12"/>
    <s v="전략"/>
    <x v="44"/>
    <s v="URH-대경-10"/>
    <s v="URH-대경-10URHJPF5007RE"/>
    <n v="3"/>
    <s v="URH-대경-103"/>
    <s v="URH-대경-103-URHJPF5007REDOLL"/>
    <s v="URH의류7"/>
    <s v="URH"/>
    <s v="URBJPF"/>
    <m/>
    <s v="URH"/>
    <s v="URB HATSON"/>
    <s v="F"/>
    <n v="5"/>
    <s v="JP"/>
    <s v="JUMPER"/>
    <s v="U"/>
    <n v="7"/>
    <s v="007"/>
    <s v="URHJPF5007"/>
    <n v="0.2"/>
    <s v="URBJPF5007REOLL"/>
    <s v="RE"/>
    <s v="RED"/>
    <s v="URHJPF5007RE"/>
    <x v="0"/>
    <n v="0.2"/>
    <n v="0"/>
    <n v="1"/>
    <s v="OLL"/>
    <n v="2"/>
    <x v="14"/>
    <n v="10"/>
    <x v="21"/>
    <s v="M"/>
    <s v="IN"/>
    <x v="0"/>
    <n v="278000"/>
    <x v="32"/>
    <n v="56161.616161616155"/>
    <n v="0"/>
    <n v="-56161.61616161615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112323.23232323231"/>
    <n v="556000"/>
    <n v="4.5"/>
  </r>
  <r>
    <n v="0"/>
    <n v="0"/>
    <n v="11"/>
    <n v="12"/>
    <s v="전략"/>
    <x v="44"/>
    <s v="URH-대경-10"/>
    <s v="URH-대경-10URHJPF5007RE"/>
    <n v="3"/>
    <s v="URH-대경-103"/>
    <s v="URH-대경-103-URHJPF5007REDOXL"/>
    <s v="URH의류7"/>
    <s v="URH"/>
    <s v="URBJPF"/>
    <m/>
    <s v="URH"/>
    <s v="URB HATSON"/>
    <s v="F"/>
    <n v="5"/>
    <s v="JP"/>
    <s v="JUMPER"/>
    <s v="U"/>
    <n v="7"/>
    <s v="007"/>
    <s v="URHJPF5007"/>
    <n v="0.2"/>
    <s v="URBJPF5007REOXL"/>
    <s v="RE"/>
    <s v="RED"/>
    <s v="URHJPF5007RE"/>
    <x v="0"/>
    <n v="0.2"/>
    <n v="0"/>
    <n v="1"/>
    <s v="OXL"/>
    <n v="2"/>
    <x v="14"/>
    <n v="10"/>
    <x v="21"/>
    <s v="M"/>
    <s v="IN"/>
    <x v="0"/>
    <n v="278000"/>
    <x v="32"/>
    <n v="56161.616161616155"/>
    <n v="0"/>
    <n v="-56161.616161616155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2"/>
    <n v="0"/>
    <n v="0"/>
    <n v="0"/>
    <n v="0"/>
    <n v="0"/>
    <n v="2"/>
    <n v="112323.23232323231"/>
    <n v="556000"/>
    <n v="4.5"/>
  </r>
  <r>
    <n v="0"/>
    <n v="0"/>
    <s v=""/>
    <s v=""/>
    <s v=""/>
    <x v="1"/>
    <s v=""/>
    <s v=""/>
    <n v="0"/>
    <s v="0"/>
    <s v="0-"/>
    <n v="0"/>
    <s v="TTL"/>
    <s v=""/>
    <s v="URH-대경-10 TTL"/>
    <m/>
    <s v=""/>
    <s v=""/>
    <s v=""/>
    <m/>
    <s v=""/>
    <m/>
    <m/>
    <s v=""/>
    <s v=""/>
    <n v="3.0000000000000004"/>
    <m/>
    <s v=""/>
    <m/>
    <s v=""/>
    <x v="0"/>
    <n v="3.0000000000000004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m/>
    <d v="1899-12-30T00:00:00"/>
    <d v="1899-12-30T00:00:00"/>
    <d v="1899-12-30T00:00:00"/>
    <d v="1899-12-30T00:00:00"/>
    <x v="1"/>
    <n v="0"/>
    <n v="26"/>
    <n v="0"/>
    <n v="0"/>
    <n v="0"/>
    <n v="0"/>
    <n v="0"/>
    <n v="26"/>
    <n v="1314747.4747474748"/>
    <n v="6508000"/>
    <n v="4.4999999999999991"/>
  </r>
  <r>
    <n v="0"/>
    <n v="0"/>
    <n v="11"/>
    <n v="12"/>
    <s v="SPORTS"/>
    <x v="26"/>
    <s v="VBH-FOREMOST-48"/>
    <s v="VBH-FOREMOST-48VBHBAF3404NY"/>
    <n v="1"/>
    <s v="VBH-FOREMOST-481"/>
    <s v="VBH-FOREMOST-481-VBHBAF3404NAVYFRE"/>
    <s v="VBH의류외404"/>
    <s v="VBH"/>
    <s v="VBLBAF"/>
    <m/>
    <s v="VBH"/>
    <s v="VBL HATSON"/>
    <s v="F"/>
    <s v="3"/>
    <s v="BA"/>
    <s v="BASIC CAP"/>
    <s v="U"/>
    <n v="404"/>
    <n v="404"/>
    <s v="VBHBAF3404"/>
    <n v="1"/>
    <s v="VBLBAF3404NYFRE"/>
    <s v="NY"/>
    <s v="NAVY"/>
    <s v="VBHBAF3404NY"/>
    <x v="1"/>
    <n v="1"/>
    <n v="0"/>
    <n v="1"/>
    <s v="FRE"/>
    <n v="5"/>
    <x v="4"/>
    <n v="48"/>
    <x v="48"/>
    <s v="M"/>
    <s v="CN"/>
    <x v="0"/>
    <n v="49000"/>
    <x v="32"/>
    <n v="7424.242424242424"/>
    <n v="0"/>
    <n v="-7424.242424242424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37121.21212121212"/>
    <n v="245000"/>
    <n v="6"/>
  </r>
  <r>
    <n v="0"/>
    <n v="0"/>
    <n v="11"/>
    <n v="12"/>
    <s v="SPORTS"/>
    <x v="26"/>
    <s v="VBH-FOREMOST-48"/>
    <s v="VBH-FOREMOST-48VBHBAF5002BK"/>
    <n v="2"/>
    <s v="VBH-FOREMOST-482"/>
    <s v="VBH-FOREMOST-482-VBHBAF5002BLACKFRE"/>
    <s v="VBH의류외2"/>
    <s v="VBH"/>
    <s v="VBLBAF"/>
    <m/>
    <s v="VBH"/>
    <s v="VBL HATSON"/>
    <s v="F"/>
    <n v="5"/>
    <s v="BA"/>
    <s v="BASIC CAP"/>
    <s v="U"/>
    <n v="2"/>
    <s v="002"/>
    <s v="VBHBAF5002"/>
    <n v="1"/>
    <s v="VBLBAF5002BKFRE"/>
    <s v="BK"/>
    <s v="BLACK"/>
    <s v="VBHBAF5002BK"/>
    <x v="0"/>
    <n v="1"/>
    <n v="0"/>
    <n v="1"/>
    <s v="FRE"/>
    <n v="5"/>
    <x v="4"/>
    <n v="48"/>
    <x v="48"/>
    <s v="M"/>
    <s v="CN"/>
    <x v="0"/>
    <n v="49000"/>
    <x v="32"/>
    <n v="7424.242424242424"/>
    <n v="0"/>
    <n v="-7424.242424242424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37121.21212121212"/>
    <n v="245000"/>
    <n v="6"/>
  </r>
  <r>
    <n v="0"/>
    <n v="0"/>
    <n v="11"/>
    <n v="12"/>
    <s v="SPORTS"/>
    <x v="26"/>
    <s v="VBH-FOREMOST-48"/>
    <s v="VBH-FOREMOST-48VBHBAF5113RE"/>
    <n v="3"/>
    <s v="VBH-FOREMOST-483"/>
    <s v="VBH-FOREMOST-483-VBHBAF5113REDFRE"/>
    <s v="VBH의류외113"/>
    <s v="VBH"/>
    <s v="VBLBAF"/>
    <m/>
    <s v="VBH"/>
    <s v="VBL HATSON"/>
    <s v="F"/>
    <n v="5"/>
    <s v="BA"/>
    <s v="BASIC CAP"/>
    <s v="U"/>
    <n v="113"/>
    <n v="113"/>
    <s v="VBHBAF5113"/>
    <n v="1"/>
    <s v="VBLBAF5113REFRE"/>
    <s v="RE"/>
    <s v="RED"/>
    <s v="VBHBAF5113RE"/>
    <x v="1"/>
    <n v="1"/>
    <n v="0"/>
    <n v="1"/>
    <s v="FRE"/>
    <n v="5"/>
    <x v="4"/>
    <n v="48"/>
    <x v="48"/>
    <s v="M"/>
    <s v="CN"/>
    <x v="0"/>
    <n v="55000"/>
    <x v="32"/>
    <n v="8333.3333333333321"/>
    <n v="0"/>
    <n v="-8333.333333333332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41666.666666666657"/>
    <n v="275000"/>
    <n v="6.0000000000000009"/>
  </r>
  <r>
    <n v="0"/>
    <n v="0"/>
    <n v="11"/>
    <n v="12"/>
    <s v="SPORTS"/>
    <x v="26"/>
    <s v="VBH-FOREMOST-48"/>
    <s v="VBH-FOREMOST-48VBHERF5007GY"/>
    <n v="4"/>
    <s v="VBH-FOREMOST-484"/>
    <s v="VBH-FOREMOST-484-VBHERF5007GREYFRE"/>
    <s v="VBH의류외7"/>
    <s v="VBH"/>
    <s v="VBLERF"/>
    <m/>
    <s v="VBH"/>
    <s v="VBL HATSON"/>
    <s v="F"/>
    <n v="5"/>
    <s v="ER"/>
    <s v="EARCAP"/>
    <s v="U"/>
    <n v="7"/>
    <s v="007"/>
    <s v="VBHERF5007"/>
    <n v="1"/>
    <s v="VBLERF5007GYFRE"/>
    <s v="GY"/>
    <s v="GREY"/>
    <s v="VBHERF5007GY"/>
    <x v="0"/>
    <n v="1"/>
    <n v="0"/>
    <n v="1"/>
    <s v="FRE"/>
    <n v="7"/>
    <x v="4"/>
    <n v="48"/>
    <x v="48"/>
    <s v="M"/>
    <s v="CN"/>
    <x v="0"/>
    <n v="59000"/>
    <x v="32"/>
    <n v="8939.3939393939381"/>
    <n v="0"/>
    <n v="-8939.393939393938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7"/>
    <n v="0"/>
    <n v="0"/>
    <n v="0"/>
    <n v="0"/>
    <n v="0"/>
    <n v="7"/>
    <n v="62575.757575757569"/>
    <n v="413000"/>
    <n v="6"/>
  </r>
  <r>
    <n v="0"/>
    <n v="0"/>
    <s v=""/>
    <s v=""/>
    <s v=""/>
    <x v="1"/>
    <s v=""/>
    <s v=""/>
    <n v="0"/>
    <s v="0"/>
    <s v="0-"/>
    <n v="0"/>
    <s v="TTL"/>
    <s v=""/>
    <s v="VBH-FOREMOST-48 TTL"/>
    <m/>
    <s v=""/>
    <s v=""/>
    <s v=""/>
    <m/>
    <s v=""/>
    <m/>
    <m/>
    <s v=""/>
    <s v=""/>
    <n v="4"/>
    <m/>
    <s v=""/>
    <m/>
    <s v=""/>
    <x v="0"/>
    <n v="4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2"/>
    <n v="0"/>
    <n v="0"/>
    <n v="0"/>
    <n v="0"/>
    <n v="0"/>
    <n v="22"/>
    <n v="178484.84848484845"/>
    <n v="1178000"/>
    <n v="6.0000000000000009"/>
  </r>
  <r>
    <n v="0"/>
    <n v="0"/>
    <n v="11"/>
    <n v="12"/>
    <s v="F-HAT"/>
    <x v="35"/>
    <s v="WTH-동일모자-36"/>
    <s v="WTH-동일모자-36WTHERF5011BG"/>
    <n v="1"/>
    <s v="WTH-동일모자-361"/>
    <s v="WTH-동일모자-361-WTHERF5011BEIGEFRE"/>
    <s v="WTH의류외11"/>
    <s v="WTH"/>
    <s v="WTRERF"/>
    <m/>
    <s v="WTH"/>
    <s v="WTR HATSON"/>
    <s v="F"/>
    <n v="5"/>
    <s v="ER"/>
    <s v="EARCAP"/>
    <s v="U"/>
    <n v="11"/>
    <s v="011"/>
    <s v="WTHERF5011"/>
    <n v="1"/>
    <s v="WTRERF5011BGFRE"/>
    <s v="BG"/>
    <s v="BEIGE"/>
    <s v="WTHERF5011BG"/>
    <x v="0"/>
    <n v="1"/>
    <n v="0"/>
    <n v="1"/>
    <s v="FRE"/>
    <n v="5"/>
    <x v="5"/>
    <n v="36"/>
    <x v="37"/>
    <s v="M"/>
    <s v="CN"/>
    <x v="0"/>
    <n v="59000"/>
    <x v="32"/>
    <n v="8939.3939393939381"/>
    <n v="0"/>
    <n v="-8939.3939393939381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44696.969696969689"/>
    <n v="295000"/>
    <n v="6"/>
  </r>
  <r>
    <n v="0"/>
    <n v="0"/>
    <s v=""/>
    <s v=""/>
    <s v=""/>
    <x v="1"/>
    <s v=""/>
    <s v=""/>
    <n v="0"/>
    <s v="0"/>
    <s v="0-"/>
    <n v="0"/>
    <s v="TTL"/>
    <s v=""/>
    <s v="WTH-동일모자-36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44696.969696969689"/>
    <n v="295000"/>
    <n v="6"/>
  </r>
  <r>
    <n v="0"/>
    <n v="0"/>
    <n v="11"/>
    <n v="12"/>
    <s v="F-HAT"/>
    <x v="35"/>
    <s v="WTH-FOREMOST-49"/>
    <s v="WTH-FOREMOST-49WTHTPF5305GY"/>
    <n v="1"/>
    <s v="WTH-FOREMOST-491"/>
    <s v="WTH-FOREMOST-491-WTHTPF5305GREYFRE"/>
    <s v="WTH의류외305"/>
    <s v="WTH"/>
    <s v="WTRTPF"/>
    <m/>
    <s v="WTH"/>
    <s v="WTR HATSON"/>
    <s v="F"/>
    <n v="5"/>
    <s v="TP"/>
    <s v="TROOPER"/>
    <s v="U"/>
    <n v="305"/>
    <n v="305"/>
    <s v="WTHTPF5305"/>
    <n v="1"/>
    <s v="WTRTPF5305GYFRE"/>
    <s v="GY"/>
    <s v="GREY"/>
    <s v="WTHTPF5305GY"/>
    <x v="1"/>
    <n v="1"/>
    <n v="0"/>
    <n v="1"/>
    <s v="FRE"/>
    <n v="5"/>
    <x v="4"/>
    <n v="49"/>
    <x v="49"/>
    <s v="M"/>
    <s v="CN"/>
    <x v="0"/>
    <n v="79000"/>
    <x v="32"/>
    <n v="11969.696969696968"/>
    <n v="0"/>
    <n v="-11969.696969696968"/>
    <n v="0"/>
    <n v="0"/>
    <s v=""/>
    <n v="0"/>
    <n v="0"/>
    <n v="0"/>
    <d v="2014-11-28T00:00:00"/>
    <d v="1899-12-30T00:00:00"/>
    <d v="2014-12-03T00:00:00"/>
    <d v="1899-12-30T00:00:00"/>
    <d v="2014-12-02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59848.484848484841"/>
    <n v="395000"/>
    <n v="6"/>
  </r>
  <r>
    <n v="0"/>
    <n v="0"/>
    <s v=""/>
    <s v=""/>
    <s v=""/>
    <x v="1"/>
    <s v=""/>
    <s v=""/>
    <n v="0"/>
    <s v="0"/>
    <s v="0-"/>
    <n v="0"/>
    <s v="TTL"/>
    <s v=""/>
    <s v="WTH-FOREMOST-49 TTL"/>
    <m/>
    <s v=""/>
    <s v=""/>
    <s v=""/>
    <m/>
    <s v=""/>
    <s v="K"/>
    <m/>
    <s v=""/>
    <s v=""/>
    <n v="1"/>
    <m/>
    <s v=""/>
    <m/>
    <s v=""/>
    <x v="0"/>
    <n v="1"/>
    <n v="0"/>
    <n v="1"/>
    <m/>
    <m/>
    <x v="1"/>
    <m/>
    <x v="1"/>
    <s v="M"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59848.484848484841"/>
    <n v="395000"/>
    <n v="6"/>
  </r>
  <r>
    <m/>
    <m/>
    <m/>
    <m/>
    <m/>
    <x v="45"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x v="1"/>
    <m/>
    <x v="50"/>
    <m/>
    <m/>
    <x v="2"/>
    <m/>
    <x v="33"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2" cacheId="114" applyNumberFormats="0" applyBorderFormats="0" applyFontFormats="0" applyPatternFormats="0" applyAlignmentFormats="0" applyWidthHeightFormats="1" dataCaption="데이터" updatedVersion="3" minRefreshableVersion="3" asteriskTotals="1" showMemberPropertyTips="0" useAutoFormatting="1" itemPrintTitles="1" createdVersion="3" indent="0" compact="0" compactData="0" gridDropZones="1">
  <location ref="G4:O376" firstHeaderRow="1" firstDataRow="2" firstDataCol="5" rowPageCount="2" colPageCount="1"/>
  <pivotFields count="75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axis="axisRow" compact="0" outline="0" subtotalTop="0" showAll="0" includeNewItemsInFilter="1">
      <items count="112">
        <item h="1" x="1"/>
        <item m="1" x="82"/>
        <item m="1" x="63"/>
        <item m="1" x="89"/>
        <item m="1" x="52"/>
        <item m="1" x="51"/>
        <item m="1" x="96"/>
        <item m="1" x="105"/>
        <item m="1" x="49"/>
        <item m="1" x="64"/>
        <item m="1" x="81"/>
        <item m="1" x="92"/>
        <item m="1" x="91"/>
        <item m="1" x="65"/>
        <item m="1" x="88"/>
        <item m="1" x="70"/>
        <item m="1" x="74"/>
        <item m="1" x="46"/>
        <item m="1" x="56"/>
        <item m="1" x="48"/>
        <item m="1" x="84"/>
        <item h="1" x="45"/>
        <item m="1" x="109"/>
        <item m="1" x="85"/>
        <item m="1" x="47"/>
        <item m="1" x="78"/>
        <item m="1" x="58"/>
        <item m="1" x="102"/>
        <item m="1" x="86"/>
        <item m="1" x="104"/>
        <item m="1" x="60"/>
        <item m="1" x="108"/>
        <item m="1" x="100"/>
        <item m="1" x="106"/>
        <item m="1" x="83"/>
        <item m="1" x="87"/>
        <item m="1" x="61"/>
        <item m="1" x="50"/>
        <item m="1" x="72"/>
        <item m="1" x="107"/>
        <item m="1" x="77"/>
        <item m="1" x="59"/>
        <item m="1" x="57"/>
        <item m="1" x="97"/>
        <item m="1" x="54"/>
        <item m="1" x="93"/>
        <item m="1" x="55"/>
        <item m="1" x="67"/>
        <item m="1" x="62"/>
        <item m="1" x="99"/>
        <item m="1" x="103"/>
        <item m="1" x="68"/>
        <item m="1" x="101"/>
        <item m="1" x="80"/>
        <item m="1" x="95"/>
        <item m="1" x="66"/>
        <item m="1" x="73"/>
        <item m="1" x="98"/>
        <item m="1" x="71"/>
        <item m="1" x="75"/>
        <item m="1" x="94"/>
        <item m="1" x="79"/>
        <item x="15"/>
        <item x="10"/>
        <item x="11"/>
        <item x="18"/>
        <item x="20"/>
        <item x="21"/>
        <item x="2"/>
        <item x="22"/>
        <item x="4"/>
        <item x="6"/>
        <item m="1" x="69"/>
        <item x="3"/>
        <item m="1" x="53"/>
        <item m="1" x="90"/>
        <item x="0"/>
        <item m="1" x="76"/>
        <item x="12"/>
        <item x="13"/>
        <item m="1" x="110"/>
        <item x="14"/>
        <item x="8"/>
        <item x="9"/>
        <item x="17"/>
        <item x="5"/>
        <item x="19"/>
        <item x="16"/>
        <item x="7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m="1" x="6"/>
        <item x="3"/>
        <item x="0"/>
        <item x="1"/>
        <item x="2"/>
        <item m="1" x="4"/>
        <item m="1" x="5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>
      <items count="49">
        <item m="1" x="27"/>
        <item x="14"/>
        <item x="5"/>
        <item x="16"/>
        <item x="11"/>
        <item x="7"/>
        <item m="1" x="24"/>
        <item x="17"/>
        <item x="15"/>
        <item x="8"/>
        <item m="1" x="26"/>
        <item m="1" x="23"/>
        <item x="13"/>
        <item x="4"/>
        <item m="1" x="43"/>
        <item m="1" x="41"/>
        <item m="1" x="37"/>
        <item m="1" x="40"/>
        <item m="1" x="44"/>
        <item m="1" x="42"/>
        <item m="1" x="38"/>
        <item x="22"/>
        <item m="1" x="34"/>
        <item m="1" x="28"/>
        <item x="1"/>
        <item x="19"/>
        <item m="1" x="47"/>
        <item m="1" x="39"/>
        <item m="1" x="45"/>
        <item x="6"/>
        <item m="1" x="35"/>
        <item m="1" x="29"/>
        <item m="1" x="33"/>
        <item x="10"/>
        <item x="18"/>
        <item x="2"/>
        <item x="3"/>
        <item m="1" x="46"/>
        <item m="1" x="31"/>
        <item m="1" x="36"/>
        <item m="1" x="30"/>
        <item m="1" x="32"/>
        <item m="1" x="25"/>
        <item x="9"/>
        <item x="0"/>
        <item x="12"/>
        <item x="20"/>
        <item x="21"/>
        <item t="default"/>
      </items>
    </pivotField>
    <pivotField compact="0" outline="0" showAll="0" defaultSubtotal="0"/>
    <pivotField axis="axisRow" compact="0" outline="0" showAll="0" sortType="ascending" defaultSubtotal="0">
      <items count="61">
        <item x="21"/>
        <item x="23"/>
        <item x="11"/>
        <item x="12"/>
        <item x="16"/>
        <item x="9"/>
        <item x="17"/>
        <item x="10"/>
        <item x="13"/>
        <item x="14"/>
        <item x="22"/>
        <item x="18"/>
        <item x="19"/>
        <item x="26"/>
        <item x="27"/>
        <item x="28"/>
        <item x="29"/>
        <item x="30"/>
        <item x="31"/>
        <item x="25"/>
        <item x="32"/>
        <item x="33"/>
        <item x="34"/>
        <item x="35"/>
        <item x="20"/>
        <item x="36"/>
        <item x="37"/>
        <item x="38"/>
        <item x="39"/>
        <item x="40"/>
        <item x="24"/>
        <item x="41"/>
        <item x="42"/>
        <item x="43"/>
        <item x="44"/>
        <item x="45"/>
        <item x="46"/>
        <item x="47"/>
        <item x="48"/>
        <item x="49"/>
        <item m="1" x="53"/>
        <item m="1" x="58"/>
        <item m="1" x="54"/>
        <item m="1" x="59"/>
        <item m="1" x="55"/>
        <item m="1" x="60"/>
        <item m="1" x="56"/>
        <item m="1" x="51"/>
        <item m="1" x="57"/>
        <item m="1" x="52"/>
        <item x="1"/>
        <item x="0"/>
        <item x="4"/>
        <item x="2"/>
        <item x="3"/>
        <item sd="0" x="5"/>
        <item x="6"/>
        <item x="7"/>
        <item x="15"/>
        <item x="8"/>
        <item x="50"/>
      </items>
    </pivotField>
    <pivotField compact="0" outline="0" showAll="0" defaultSubtotal="0"/>
    <pivotField compact="0" outline="0" showAll="0" defaultSubtotal="0"/>
    <pivotField axis="axisPage" compact="0" outline="0" showAll="0" defaultSubtotal="0">
      <items count="4">
        <item x="0"/>
        <item x="3"/>
        <item x="2"/>
        <item x="1"/>
      </items>
    </pivotField>
    <pivotField compact="0" outline="0" showAll="0" defaultSubtotal="0"/>
    <pivotField axis="axisPage" compact="0" outline="0" multipleItemSelectionAllowed="1" showAll="0" defaultSubtotal="0">
      <items count="67">
        <item x="1"/>
        <item x="33"/>
        <item m="1" x="48"/>
        <item m="1" x="58"/>
        <item m="1" x="63"/>
        <item m="1" x="65"/>
        <item m="1" x="42"/>
        <item m="1" x="38"/>
        <item m="1" x="52"/>
        <item m="1" x="46"/>
        <item m="1" x="37"/>
        <item m="1" x="55"/>
        <item m="1" x="45"/>
        <item m="1" x="39"/>
        <item m="1" x="49"/>
        <item m="1" x="35"/>
        <item m="1" x="59"/>
        <item m="1" x="57"/>
        <item m="1" x="61"/>
        <item m="1" x="64"/>
        <item m="1" x="40"/>
        <item m="1" x="50"/>
        <item m="1" x="66"/>
        <item m="1" x="51"/>
        <item m="1" x="44"/>
        <item m="1" x="62"/>
        <item m="1" x="47"/>
        <item m="1" x="53"/>
        <item m="1" x="34"/>
        <item m="1" x="56"/>
        <item m="1" x="54"/>
        <item m="1" x="36"/>
        <item m="1" x="43"/>
        <item m="1" x="41"/>
        <item m="1" x="60"/>
        <item x="5"/>
        <item x="11"/>
        <item x="8"/>
        <item x="16"/>
        <item x="24"/>
        <item x="0"/>
        <item x="3"/>
        <item x="4"/>
        <item x="14"/>
        <item x="22"/>
        <item x="6"/>
        <item x="21"/>
        <item x="7"/>
        <item x="2"/>
        <item x="9"/>
        <item x="25"/>
        <item x="15"/>
        <item x="12"/>
        <item x="26"/>
        <item x="10"/>
        <item x="17"/>
        <item x="27"/>
        <item x="19"/>
        <item x="23"/>
        <item x="28"/>
        <item x="29"/>
        <item x="30"/>
        <item x="18"/>
        <item x="20"/>
        <item x="31"/>
        <item x="13"/>
        <item x="3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multipleItemSelectionAllowed="1" showAll="0" defaultSubtotal="0">
      <items count="4">
        <item x="3"/>
        <item x="1"/>
        <item x="0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dataField="1" compact="0" outline="0" dragToRow="0" dragToCol="0" dragToPage="0" showAll="0" defaultSubtotal="0"/>
  </pivotFields>
  <rowFields count="5">
    <field x="5"/>
    <field x="36"/>
    <field x="38"/>
    <field x="30"/>
    <field x="62"/>
  </rowFields>
  <rowItems count="371">
    <i>
      <x v="62"/>
      <x v="33"/>
      <x v="52"/>
      <x v="2"/>
      <x v="2"/>
    </i>
    <i t="default" r="1">
      <x v="33"/>
    </i>
    <i t="default">
      <x v="62"/>
    </i>
    <i>
      <x v="63"/>
      <x v="2"/>
      <x/>
      <x v="2"/>
      <x v="2"/>
    </i>
    <i r="2">
      <x v="12"/>
      <x v="2"/>
      <x v="2"/>
    </i>
    <i t="default" r="1">
      <x v="2"/>
    </i>
    <i r="1">
      <x v="13"/>
      <x v="10"/>
      <x v="2"/>
      <x v="2"/>
    </i>
    <i r="2">
      <x v="52"/>
      <x v="3"/>
      <x v="2"/>
    </i>
    <i t="default" r="1">
      <x v="13"/>
    </i>
    <i r="1">
      <x v="33"/>
      <x v="51"/>
      <x v="2"/>
      <x v="2"/>
    </i>
    <i t="default" r="1">
      <x v="33"/>
    </i>
    <i r="1">
      <x v="45"/>
      <x v="51"/>
      <x v="2"/>
      <x v="2"/>
    </i>
    <i t="default" r="1">
      <x v="45"/>
    </i>
    <i t="default">
      <x v="63"/>
    </i>
    <i>
      <x v="64"/>
      <x v="13"/>
      <x v="53"/>
      <x v="2"/>
      <x v="2"/>
    </i>
    <i r="2">
      <x v="54"/>
      <x v="2"/>
      <x v="2"/>
    </i>
    <i t="default" r="1">
      <x v="13"/>
    </i>
    <i r="1">
      <x v="43"/>
      <x v="51"/>
      <x v="2"/>
      <x v="2"/>
    </i>
    <i t="default" r="1">
      <x v="43"/>
    </i>
    <i t="default">
      <x v="64"/>
    </i>
    <i>
      <x v="65"/>
      <x v="1"/>
      <x v="51"/>
      <x v="2"/>
      <x v="2"/>
    </i>
    <i r="2">
      <x v="52"/>
      <x v="2"/>
      <x v="2"/>
    </i>
    <i r="2">
      <x v="53"/>
      <x v="2"/>
      <x v="2"/>
    </i>
    <i t="default" r="1">
      <x v="1"/>
    </i>
    <i r="1">
      <x v="8"/>
      <x v="53"/>
      <x v="2"/>
      <x v="2"/>
    </i>
    <i r="2">
      <x v="54"/>
      <x v="2"/>
      <x v="2"/>
    </i>
    <i r="2">
      <x v="55"/>
    </i>
    <i r="2">
      <x v="57"/>
      <x v="2"/>
      <x v="2"/>
    </i>
    <i t="default" r="1">
      <x v="8"/>
    </i>
    <i r="1">
      <x v="12"/>
      <x v="52"/>
      <x v="2"/>
      <x v="2"/>
    </i>
    <i r="2">
      <x v="53"/>
      <x v="2"/>
      <x v="2"/>
    </i>
    <i t="default" r="1">
      <x v="12"/>
    </i>
    <i t="default">
      <x v="65"/>
    </i>
    <i>
      <x v="66"/>
      <x v="2"/>
      <x v="1"/>
      <x v="2"/>
      <x v="2"/>
    </i>
    <i r="2">
      <x v="4"/>
      <x v="2"/>
      <x v="2"/>
    </i>
    <i r="2">
      <x v="10"/>
      <x v="3"/>
      <x v="2"/>
    </i>
    <i r="2">
      <x v="11"/>
      <x v="2"/>
      <x v="2"/>
    </i>
    <i r="2">
      <x v="19"/>
      <x v="3"/>
      <x v="2"/>
    </i>
    <i r="2">
      <x v="53"/>
      <x v="2"/>
      <x v="2"/>
    </i>
    <i r="2">
      <x v="54"/>
      <x v="2"/>
      <x v="2"/>
    </i>
    <i t="default" r="1">
      <x v="2"/>
    </i>
    <i r="1">
      <x v="5"/>
      <x v="55"/>
    </i>
    <i t="default" r="1">
      <x v="5"/>
    </i>
    <i r="1">
      <x v="8"/>
      <x v="57"/>
      <x v="2"/>
      <x v="2"/>
    </i>
    <i t="default" r="1">
      <x v="8"/>
    </i>
    <i r="1">
      <x v="13"/>
      <x/>
      <x v="2"/>
      <x v="2"/>
    </i>
    <i r="2">
      <x v="1"/>
      <x v="2"/>
      <x v="2"/>
    </i>
    <i r="2">
      <x v="51"/>
      <x v="3"/>
      <x v="2"/>
    </i>
    <i t="default" r="1">
      <x v="13"/>
    </i>
    <i t="default">
      <x v="66"/>
    </i>
    <i>
      <x v="67"/>
      <x v="13"/>
      <x v="1"/>
      <x v="2"/>
      <x v="2"/>
    </i>
    <i t="default" r="1">
      <x v="13"/>
    </i>
    <i t="default">
      <x v="67"/>
    </i>
    <i>
      <x v="68"/>
      <x v="13"/>
      <x v="7"/>
      <x v="3"/>
      <x v="2"/>
    </i>
    <i r="2">
      <x v="56"/>
      <x v="2"/>
      <x v="2"/>
    </i>
    <i r="2">
      <x v="57"/>
      <x v="2"/>
      <x v="2"/>
    </i>
    <i t="default" r="1">
      <x v="13"/>
    </i>
    <i t="default">
      <x v="68"/>
    </i>
    <i>
      <x v="69"/>
      <x v="4"/>
      <x v="51"/>
      <x v="2"/>
      <x v="3"/>
    </i>
    <i r="2">
      <x v="53"/>
      <x v="3"/>
      <x v="2"/>
    </i>
    <i r="2">
      <x v="54"/>
      <x v="2"/>
      <x v="2"/>
    </i>
    <i t="default" r="1">
      <x v="4"/>
    </i>
    <i t="default">
      <x v="69"/>
    </i>
    <i>
      <x v="70"/>
      <x v="2"/>
      <x v="8"/>
      <x v="2"/>
      <x v="3"/>
    </i>
    <i r="2">
      <x v="9"/>
      <x v="2"/>
      <x v="3"/>
    </i>
    <i r="2">
      <x v="51"/>
      <x v="2"/>
      <x v="3"/>
    </i>
    <i r="2">
      <x v="52"/>
      <x v="2"/>
      <x v="3"/>
    </i>
    <i t="default" r="1">
      <x v="2"/>
    </i>
    <i r="1">
      <x v="5"/>
      <x v="51"/>
      <x v="3"/>
      <x v="3"/>
    </i>
    <i r="2">
      <x v="54"/>
      <x v="2"/>
      <x v="3"/>
    </i>
    <i r="2">
      <x v="58"/>
      <x v="3"/>
      <x v="3"/>
    </i>
    <i r="2">
      <x v="59"/>
      <x v="3"/>
      <x v="3"/>
    </i>
    <i t="default" r="1">
      <x v="5"/>
    </i>
    <i r="1">
      <x v="13"/>
      <x v="2"/>
      <x v="2"/>
      <x v="3"/>
    </i>
    <i t="default" r="1">
      <x v="13"/>
    </i>
    <i r="1">
      <x v="29"/>
      <x v="51"/>
      <x v="2"/>
      <x v="2"/>
    </i>
    <i r="2">
      <x v="59"/>
      <x v="3"/>
      <x v="3"/>
    </i>
    <i t="default" r="1">
      <x v="29"/>
    </i>
    <i r="1">
      <x v="35"/>
      <x v="51"/>
      <x v="2"/>
      <x v="3"/>
    </i>
    <i r="2">
      <x v="57"/>
      <x v="2"/>
      <x v="3"/>
    </i>
    <i t="default" r="1">
      <x v="35"/>
    </i>
    <i r="1">
      <x v="36"/>
      <x v="51"/>
      <x v="2"/>
      <x v="2"/>
    </i>
    <i t="default" r="1">
      <x v="36"/>
    </i>
    <i t="default">
      <x v="70"/>
    </i>
    <i>
      <x v="71"/>
      <x v="2"/>
      <x v="2"/>
      <x v="2"/>
      <x v="3"/>
    </i>
    <i r="2">
      <x v="3"/>
      <x v="2"/>
      <x v="3"/>
    </i>
    <i t="default" r="1">
      <x v="2"/>
    </i>
    <i t="default">
      <x v="71"/>
    </i>
    <i>
      <x v="73"/>
      <x v="2"/>
      <x v="5"/>
      <x v="2"/>
      <x v="2"/>
    </i>
    <i r="2">
      <x v="59"/>
      <x v="2"/>
      <x v="2"/>
    </i>
    <i t="default" r="1">
      <x v="2"/>
    </i>
    <i t="default">
      <x v="73"/>
    </i>
    <i>
      <x v="76"/>
      <x v="29"/>
      <x v="54"/>
      <x v="2"/>
      <x v="2"/>
    </i>
    <i t="default" r="1">
      <x v="29"/>
    </i>
    <i r="1">
      <x v="35"/>
      <x v="53"/>
      <x v="2"/>
      <x v="2"/>
    </i>
    <i r="2">
      <x v="54"/>
      <x v="2"/>
      <x v="2"/>
    </i>
    <i r="2">
      <x v="55"/>
    </i>
    <i t="default" r="1">
      <x v="35"/>
    </i>
    <i r="1">
      <x v="36"/>
      <x v="52"/>
      <x v="2"/>
      <x v="2"/>
    </i>
    <i r="2">
      <x v="54"/>
      <x v="3"/>
      <x v="2"/>
    </i>
    <i t="default" r="1">
      <x v="36"/>
    </i>
    <i r="1">
      <x v="44"/>
      <x v="51"/>
      <x v="2"/>
      <x v="2"/>
    </i>
    <i t="default" r="1">
      <x v="44"/>
    </i>
    <i t="default">
      <x v="76"/>
    </i>
    <i>
      <x v="78"/>
      <x v="2"/>
      <x v="57"/>
      <x v="2"/>
      <x v="2"/>
    </i>
    <i r="2">
      <x v="58"/>
      <x v="2"/>
      <x v="2"/>
    </i>
    <i t="default" r="1">
      <x v="2"/>
    </i>
    <i t="default">
      <x v="78"/>
    </i>
    <i>
      <x v="79"/>
      <x v="33"/>
      <x v="51"/>
      <x v="2"/>
      <x v="2"/>
    </i>
    <i r="2">
      <x v="52"/>
      <x v="2"/>
      <x v="2"/>
    </i>
    <i t="default" r="1">
      <x v="33"/>
    </i>
    <i t="default">
      <x v="79"/>
    </i>
    <i>
      <x v="81"/>
      <x v="2"/>
      <x v="6"/>
      <x v="2"/>
      <x v="2"/>
    </i>
    <i t="default" r="1">
      <x v="2"/>
    </i>
    <i r="1">
      <x v="13"/>
      <x v="8"/>
      <x v="2"/>
      <x v="2"/>
    </i>
    <i r="2">
      <x v="30"/>
      <x v="3"/>
      <x v="1"/>
    </i>
    <i t="default" r="1">
      <x v="13"/>
    </i>
    <i r="1">
      <x v="36"/>
      <x v="53"/>
      <x v="3"/>
      <x v="2"/>
    </i>
    <i t="default" r="1">
      <x v="36"/>
    </i>
    <i t="default">
      <x v="81"/>
    </i>
    <i>
      <x v="82"/>
      <x v="9"/>
      <x v="51"/>
      <x v="2"/>
      <x v="2"/>
    </i>
    <i t="default" r="1">
      <x v="9"/>
    </i>
    <i r="1">
      <x v="13"/>
      <x v="9"/>
      <x v="2"/>
      <x v="2"/>
    </i>
    <i t="default" r="1">
      <x v="13"/>
    </i>
    <i r="1">
      <x v="35"/>
      <x v="1"/>
      <x v="2"/>
      <x v="2"/>
    </i>
    <i r="2">
      <x v="2"/>
      <x v="2"/>
      <x v="2"/>
    </i>
    <i t="default" r="1">
      <x v="35"/>
    </i>
    <i t="default">
      <x v="82"/>
    </i>
    <i>
      <x v="83"/>
      <x v="13"/>
      <x v="4"/>
      <x v="2"/>
      <x v="2"/>
    </i>
    <i r="2">
      <x v="6"/>
      <x v="2"/>
      <x v="2"/>
    </i>
    <i r="2">
      <x v="11"/>
      <x v="2"/>
      <x v="2"/>
    </i>
    <i r="2">
      <x v="12"/>
      <x v="2"/>
      <x v="2"/>
    </i>
    <i r="2">
      <x v="24"/>
      <x v="3"/>
      <x v="1"/>
    </i>
    <i r="2">
      <x v="58"/>
      <x v="2"/>
      <x v="2"/>
    </i>
    <i r="2">
      <x v="59"/>
      <x v="2"/>
      <x v="2"/>
    </i>
    <i t="default" r="1">
      <x v="13"/>
    </i>
    <i r="1">
      <x v="29"/>
      <x v="52"/>
      <x v="2"/>
      <x v="2"/>
    </i>
    <i r="2">
      <x v="53"/>
      <x v="2"/>
      <x v="2"/>
    </i>
    <i t="default" r="1">
      <x v="29"/>
    </i>
    <i t="default">
      <x v="83"/>
    </i>
    <i>
      <x v="84"/>
      <x v="12"/>
      <x v="51"/>
      <x v="2"/>
      <x v="2"/>
    </i>
    <i t="default" r="1">
      <x v="12"/>
    </i>
    <i t="default">
      <x v="84"/>
    </i>
    <i>
      <x v="85"/>
      <x v="2"/>
      <x v="7"/>
      <x v="2"/>
      <x v="3"/>
    </i>
    <i r="2">
      <x v="55"/>
    </i>
    <i t="default" r="1">
      <x v="2"/>
    </i>
    <i r="1">
      <x v="5"/>
      <x v="56"/>
      <x v="2"/>
      <x v="2"/>
    </i>
    <i r="2">
      <x v="57"/>
      <x v="2"/>
      <x v="2"/>
    </i>
    <i t="default" r="1">
      <x v="5"/>
    </i>
    <i r="1">
      <x v="13"/>
      <x v="3"/>
      <x v="2"/>
      <x v="3"/>
    </i>
    <i t="default" r="1">
      <x v="13"/>
    </i>
    <i r="1">
      <x v="35"/>
      <x v="52"/>
      <x v="2"/>
      <x v="3"/>
    </i>
    <i r="2">
      <x v="56"/>
      <x v="2"/>
      <x v="3"/>
    </i>
    <i t="default" r="1">
      <x v="35"/>
    </i>
    <i t="default">
      <x v="85"/>
    </i>
    <i>
      <x v="86"/>
      <x v="1"/>
      <x v="54"/>
      <x v="2"/>
      <x v="2"/>
    </i>
    <i t="default" r="1">
      <x v="1"/>
    </i>
    <i r="1">
      <x v="8"/>
      <x v="56"/>
      <x v="2"/>
      <x v="2"/>
    </i>
    <i t="default" r="1">
      <x v="8"/>
    </i>
    <i r="1">
      <x v="12"/>
      <x v="54"/>
      <x v="2"/>
      <x v="2"/>
    </i>
    <i t="default" r="1">
      <x v="12"/>
    </i>
    <i t="default">
      <x v="86"/>
    </i>
    <i>
      <x v="87"/>
      <x v="4"/>
      <x v="52"/>
      <x v="2"/>
      <x v="2"/>
    </i>
    <i t="default" r="1">
      <x v="4"/>
    </i>
    <i t="default">
      <x v="87"/>
    </i>
    <i>
      <x v="88"/>
      <x v="2"/>
      <x v="56"/>
      <x v="2"/>
      <x v="2"/>
    </i>
    <i t="default" r="1">
      <x v="2"/>
    </i>
    <i r="1">
      <x v="5"/>
      <x v="52"/>
      <x v="2"/>
      <x v="2"/>
    </i>
    <i t="default" r="1">
      <x v="5"/>
    </i>
    <i t="default">
      <x v="88"/>
    </i>
    <i>
      <x v="89"/>
      <x v="2"/>
      <x v="13"/>
      <x v="3"/>
      <x v="1"/>
    </i>
    <i r="2">
      <x v="15"/>
      <x v="3"/>
      <x v="1"/>
    </i>
    <i r="2">
      <x v="17"/>
      <x v="4"/>
      <x v="1"/>
    </i>
    <i r="2">
      <x v="21"/>
      <x v="2"/>
      <x v="1"/>
    </i>
    <i r="2">
      <x v="22"/>
      <x v="2"/>
      <x v="1"/>
    </i>
    <i t="default" r="1">
      <x v="2"/>
    </i>
    <i r="1">
      <x v="3"/>
      <x v="51"/>
      <x v="3"/>
      <x/>
    </i>
    <i t="default" r="1">
      <x v="3"/>
    </i>
    <i r="1">
      <x v="5"/>
      <x/>
      <x v="3"/>
      <x v="1"/>
    </i>
    <i r="2">
      <x v="2"/>
      <x v="3"/>
      <x v="1"/>
    </i>
    <i r="2">
      <x v="5"/>
      <x v="3"/>
      <x v="1"/>
    </i>
    <i r="2">
      <x v="7"/>
      <x v="3"/>
      <x v="1"/>
    </i>
    <i r="2">
      <x v="8"/>
      <x v="4"/>
      <x v="1"/>
    </i>
    <i r="2">
      <x v="10"/>
      <x v="2"/>
      <x v="1"/>
    </i>
    <i t="default" r="1">
      <x v="5"/>
    </i>
    <i r="1">
      <x v="9"/>
      <x v="53"/>
      <x v="3"/>
      <x v="1"/>
    </i>
    <i r="2">
      <x v="55"/>
    </i>
    <i r="2">
      <x v="59"/>
      <x v="4"/>
      <x v="1"/>
    </i>
    <i t="default" r="1">
      <x v="9"/>
    </i>
    <i r="1">
      <x v="13"/>
      <x v="13"/>
      <x v="3"/>
      <x v="1"/>
    </i>
    <i r="2">
      <x v="17"/>
      <x v="3"/>
      <x v="1"/>
    </i>
    <i r="2">
      <x v="23"/>
      <x v="4"/>
      <x v="1"/>
    </i>
    <i r="2">
      <x v="25"/>
      <x v="4"/>
      <x v="1"/>
    </i>
    <i r="2">
      <x v="31"/>
      <x v="2"/>
      <x v="1"/>
    </i>
    <i r="2">
      <x v="34"/>
      <x v="3"/>
      <x v="1"/>
    </i>
    <i t="default" r="1">
      <x v="13"/>
    </i>
    <i t="default">
      <x v="89"/>
    </i>
    <i>
      <x v="90"/>
      <x v="13"/>
      <x v="14"/>
      <x v="3"/>
      <x v="1"/>
    </i>
    <i r="2">
      <x v="20"/>
      <x v="3"/>
      <x v="1"/>
    </i>
    <i r="2">
      <x v="28"/>
      <x v="4"/>
      <x v="1"/>
    </i>
    <i r="2">
      <x v="36"/>
      <x v="2"/>
      <x v="1"/>
    </i>
    <i t="default" r="1">
      <x v="13"/>
    </i>
    <i t="default">
      <x v="90"/>
    </i>
    <i>
      <x v="91"/>
      <x v="2"/>
      <x v="25"/>
      <x v="2"/>
      <x v="1"/>
    </i>
    <i t="default" r="1">
      <x v="2"/>
    </i>
    <i r="1">
      <x v="5"/>
      <x v="1"/>
      <x v="3"/>
      <x v="1"/>
    </i>
    <i r="2">
      <x v="4"/>
      <x v="3"/>
      <x v="1"/>
    </i>
    <i r="2">
      <x v="6"/>
      <x v="3"/>
      <x v="1"/>
    </i>
    <i r="2">
      <x v="12"/>
      <x v="2"/>
      <x v="1"/>
    </i>
    <i t="default" r="1">
      <x v="5"/>
    </i>
    <i r="1">
      <x v="9"/>
      <x v="56"/>
      <x v="3"/>
      <x v="1"/>
    </i>
    <i t="default" r="1">
      <x v="9"/>
    </i>
    <i r="1">
      <x v="13"/>
      <x v="21"/>
      <x v="3"/>
      <x v="1"/>
    </i>
    <i t="default" r="1">
      <x v="13"/>
    </i>
    <i r="1">
      <x v="29"/>
      <x v="56"/>
      <x v="3"/>
      <x v="1"/>
    </i>
    <i r="2">
      <x v="58"/>
      <x v="4"/>
      <x v="1"/>
    </i>
    <i t="default" r="1">
      <x v="29"/>
    </i>
    <i r="1">
      <x v="35"/>
      <x v="3"/>
      <x v="3"/>
      <x v="1"/>
    </i>
    <i r="2">
      <x v="4"/>
      <x v="4"/>
      <x v="1"/>
    </i>
    <i r="2">
      <x v="59"/>
      <x v="3"/>
      <x v="1"/>
    </i>
    <i t="default" r="1">
      <x v="35"/>
    </i>
    <i t="default">
      <x v="91"/>
    </i>
    <i>
      <x v="92"/>
      <x v="9"/>
      <x/>
      <x v="4"/>
      <x v="1"/>
    </i>
    <i r="2">
      <x v="57"/>
      <x v="3"/>
      <x v="1"/>
    </i>
    <i t="default" r="1">
      <x v="9"/>
    </i>
    <i r="1">
      <x v="13"/>
      <x v="15"/>
      <x v="3"/>
      <x v="1"/>
    </i>
    <i r="2">
      <x v="16"/>
      <x v="3"/>
      <x v="1"/>
    </i>
    <i r="2">
      <x v="22"/>
      <x v="3"/>
      <x v="1"/>
    </i>
    <i r="2">
      <x v="29"/>
      <x v="4"/>
      <x v="1"/>
    </i>
    <i r="2">
      <x v="38"/>
      <x v="2"/>
      <x v="1"/>
    </i>
    <i r="3">
      <x v="3"/>
      <x v="1"/>
    </i>
    <i t="default" r="1">
      <x v="13"/>
    </i>
    <i t="default">
      <x v="92"/>
    </i>
    <i>
      <x v="93"/>
      <x v="5"/>
      <x v="3"/>
      <x v="3"/>
      <x v="1"/>
    </i>
    <i t="default" r="1">
      <x v="5"/>
    </i>
    <i r="1">
      <x v="13"/>
      <x v="18"/>
      <x v="3"/>
      <x v="1"/>
    </i>
    <i r="2">
      <x v="26"/>
      <x v="4"/>
      <x v="1"/>
    </i>
    <i t="default" r="1">
      <x v="13"/>
    </i>
    <i r="1">
      <x v="25"/>
      <x v="51"/>
      <x v="3"/>
      <x v="1"/>
    </i>
    <i t="default" r="1">
      <x v="25"/>
    </i>
    <i r="1">
      <x v="29"/>
      <x v="55"/>
    </i>
    <i r="2">
      <x v="57"/>
      <x v="4"/>
      <x v="1"/>
    </i>
    <i t="default" r="1">
      <x v="29"/>
    </i>
    <i r="1">
      <x v="34"/>
      <x v="51"/>
      <x v="3"/>
      <x v="1"/>
    </i>
    <i r="2">
      <x v="52"/>
      <x v="4"/>
      <x v="1"/>
    </i>
    <i t="default" r="1">
      <x v="34"/>
    </i>
    <i r="1">
      <x v="35"/>
      <x v="58"/>
      <x v="3"/>
      <x v="1"/>
    </i>
    <i t="default" r="1">
      <x v="35"/>
    </i>
    <i t="default">
      <x v="93"/>
    </i>
    <i>
      <x v="94"/>
      <x v="2"/>
      <x v="14"/>
      <x v="3"/>
      <x v="1"/>
    </i>
    <i r="2">
      <x v="16"/>
      <x v="3"/>
      <x v="1"/>
    </i>
    <i r="2">
      <x v="18"/>
      <x v="4"/>
      <x v="1"/>
    </i>
    <i t="default" r="1">
      <x v="2"/>
    </i>
    <i r="1">
      <x v="13"/>
      <x v="19"/>
      <x v="3"/>
      <x v="1"/>
    </i>
    <i r="2">
      <x v="27"/>
      <x v="4"/>
      <x v="1"/>
    </i>
    <i t="default" r="1">
      <x v="13"/>
    </i>
    <i r="1">
      <x v="33"/>
      <x v="53"/>
      <x v="3"/>
      <x v="1"/>
    </i>
    <i r="2">
      <x v="54"/>
      <x v="4"/>
      <x v="1"/>
    </i>
    <i t="default" r="1">
      <x v="33"/>
    </i>
    <i t="default">
      <x v="94"/>
    </i>
    <i>
      <x v="95"/>
      <x v="35"/>
      <x/>
      <x v="3"/>
      <x v="1"/>
    </i>
    <i r="2">
      <x v="7"/>
      <x v="2"/>
      <x v="1"/>
    </i>
    <i r="3">
      <x v="3"/>
      <x v="1"/>
    </i>
    <i t="default" r="1">
      <x v="35"/>
    </i>
    <i r="1">
      <x v="36"/>
      <x v="56"/>
      <x v="2"/>
      <x v="1"/>
    </i>
    <i r="3">
      <x v="3"/>
      <x v="1"/>
    </i>
    <i t="default" r="1">
      <x v="36"/>
    </i>
    <i r="1">
      <x v="44"/>
      <x v="53"/>
      <x v="3"/>
      <x v="1"/>
    </i>
    <i t="default" r="1">
      <x v="44"/>
    </i>
    <i t="default">
      <x v="95"/>
    </i>
    <i>
      <x v="96"/>
      <x v="1"/>
      <x v="55"/>
    </i>
    <i r="2">
      <x v="56"/>
      <x v="3"/>
      <x v="1"/>
    </i>
    <i r="2">
      <x v="57"/>
      <x v="3"/>
      <x v="1"/>
    </i>
    <i r="2">
      <x v="59"/>
      <x v="2"/>
      <x v="1"/>
    </i>
    <i t="default" r="1">
      <x v="1"/>
    </i>
    <i r="1">
      <x v="7"/>
      <x v="51"/>
      <x v="3"/>
      <x v="1"/>
    </i>
    <i t="default" r="1">
      <x v="7"/>
    </i>
    <i r="1">
      <x v="8"/>
      <x/>
      <x v="3"/>
      <x v="1"/>
    </i>
    <i r="2">
      <x v="2"/>
      <x v="3"/>
      <x v="1"/>
    </i>
    <i r="2">
      <x v="4"/>
      <x v="3"/>
      <x v="1"/>
    </i>
    <i r="2">
      <x v="5"/>
      <x v="4"/>
      <x v="1"/>
    </i>
    <i r="2">
      <x v="6"/>
      <x v="3"/>
      <x v="1"/>
    </i>
    <i r="2">
      <x v="7"/>
      <x v="2"/>
      <x v="1"/>
    </i>
    <i r="2">
      <x v="58"/>
      <x v="3"/>
      <x v="1"/>
    </i>
    <i r="2">
      <x v="59"/>
      <x v="3"/>
      <x v="1"/>
    </i>
    <i t="default" r="1">
      <x v="8"/>
    </i>
    <i r="1">
      <x v="12"/>
      <x/>
      <x v="3"/>
      <x v="1"/>
    </i>
    <i r="2">
      <x v="55"/>
    </i>
    <i r="2">
      <x v="56"/>
      <x v="3"/>
      <x v="1"/>
    </i>
    <i r="2">
      <x v="57"/>
      <x v="3"/>
      <x v="1"/>
    </i>
    <i r="2">
      <x v="58"/>
      <x v="3"/>
      <x v="1"/>
    </i>
    <i r="2">
      <x v="59"/>
      <x v="4"/>
      <x v="1"/>
    </i>
    <i t="default" r="1">
      <x v="12"/>
    </i>
    <i r="1">
      <x v="46"/>
      <x v="51"/>
      <x v="3"/>
      <x v="1"/>
    </i>
    <i r="2">
      <x v="52"/>
      <x v="4"/>
      <x v="1"/>
    </i>
    <i r="2">
      <x v="53"/>
      <x v="3"/>
      <x v="1"/>
    </i>
    <i t="default" r="1">
      <x v="46"/>
    </i>
    <i t="default">
      <x v="96"/>
    </i>
    <i>
      <x v="97"/>
      <x v="1"/>
      <x v="58"/>
      <x v="3"/>
      <x v="1"/>
    </i>
    <i t="default" r="1">
      <x v="1"/>
    </i>
    <i r="1">
      <x v="8"/>
      <x v="1"/>
      <x v="3"/>
      <x v="1"/>
    </i>
    <i r="2">
      <x v="3"/>
      <x v="3"/>
      <x v="1"/>
    </i>
    <i t="default" r="1">
      <x v="8"/>
    </i>
    <i t="default">
      <x v="97"/>
    </i>
    <i>
      <x v="98"/>
      <x v="4"/>
      <x v="55"/>
    </i>
    <i r="2">
      <x v="56"/>
      <x v="3"/>
      <x v="1"/>
    </i>
    <i t="default" r="1">
      <x v="4"/>
    </i>
    <i t="default">
      <x v="98"/>
    </i>
    <i>
      <x v="99"/>
      <x v="9"/>
      <x v="54"/>
      <x v="2"/>
      <x v="1"/>
    </i>
    <i t="default" r="1">
      <x v="9"/>
    </i>
    <i t="default">
      <x v="99"/>
    </i>
    <i>
      <x v="100"/>
      <x v="13"/>
      <x v="19"/>
      <x v="3"/>
      <x v="1"/>
    </i>
    <i r="2">
      <x v="27"/>
      <x v="4"/>
      <x v="1"/>
    </i>
    <i t="default" r="1">
      <x v="13"/>
    </i>
    <i t="default">
      <x v="100"/>
    </i>
    <i>
      <x v="101"/>
      <x v="2"/>
      <x v="26"/>
      <x v="2"/>
      <x v="1"/>
    </i>
    <i t="default" r="1">
      <x v="2"/>
    </i>
    <i r="1">
      <x v="9"/>
      <x v="1"/>
      <x v="4"/>
      <x v="1"/>
    </i>
    <i r="2">
      <x v="58"/>
      <x v="3"/>
      <x v="1"/>
    </i>
    <i t="default" r="1">
      <x v="9"/>
    </i>
    <i r="1">
      <x v="13"/>
      <x v="39"/>
      <x v="3"/>
      <x v="1"/>
    </i>
    <i t="default" r="1">
      <x v="13"/>
    </i>
    <i t="default">
      <x v="101"/>
    </i>
    <i>
      <x v="102"/>
      <x v="2"/>
      <x v="20"/>
      <x v="2"/>
      <x v="1"/>
    </i>
    <i t="default" r="1">
      <x v="2"/>
    </i>
    <i t="default">
      <x v="102"/>
    </i>
    <i>
      <x v="103"/>
      <x v="2"/>
      <x v="24"/>
      <x v="2"/>
      <x v="1"/>
    </i>
    <i t="default" r="1">
      <x v="2"/>
    </i>
    <i r="1">
      <x v="13"/>
      <x v="32"/>
      <x v="2"/>
      <x v="1"/>
    </i>
    <i r="2">
      <x v="37"/>
      <x v="2"/>
      <x v="1"/>
    </i>
    <i t="default" r="1">
      <x v="13"/>
    </i>
    <i r="1">
      <x v="21"/>
      <x v="51"/>
      <x v="2"/>
      <x v="1"/>
    </i>
    <i t="default" r="1">
      <x v="21"/>
    </i>
    <i r="1">
      <x v="29"/>
      <x/>
      <x v="2"/>
      <x v="1"/>
    </i>
    <i t="default" r="1">
      <x v="29"/>
    </i>
    <i r="1">
      <x v="35"/>
      <x v="6"/>
      <x v="2"/>
      <x v="1"/>
    </i>
    <i t="default" r="1">
      <x v="35"/>
    </i>
    <i t="default">
      <x v="103"/>
    </i>
    <i>
      <x v="104"/>
      <x v="5"/>
      <x v="9"/>
      <x v="2"/>
      <x v="1"/>
    </i>
    <i t="default" r="1">
      <x v="5"/>
    </i>
    <i r="1">
      <x v="35"/>
      <x v="5"/>
      <x v="2"/>
      <x v="1"/>
    </i>
    <i t="default" r="1">
      <x v="35"/>
    </i>
    <i t="default">
      <x v="104"/>
    </i>
    <i>
      <x v="105"/>
      <x v="13"/>
      <x v="33"/>
      <x v="2"/>
      <x v="1"/>
    </i>
    <i t="default" r="1">
      <x v="13"/>
    </i>
    <i t="default">
      <x v="105"/>
    </i>
    <i>
      <x v="106"/>
      <x v="2"/>
      <x v="23"/>
      <x v="2"/>
      <x v="1"/>
    </i>
    <i r="3">
      <x v="3"/>
      <x v="1"/>
    </i>
    <i t="default" r="1">
      <x v="2"/>
    </i>
    <i r="1">
      <x v="13"/>
      <x v="35"/>
      <x v="2"/>
      <x v="1"/>
    </i>
    <i r="3">
      <x v="3"/>
      <x v="1"/>
    </i>
    <i t="default" r="1">
      <x v="13"/>
    </i>
    <i t="default">
      <x v="106"/>
    </i>
    <i>
      <x v="107"/>
      <x v="36"/>
      <x v="55"/>
    </i>
    <i t="default" r="1">
      <x v="36"/>
    </i>
    <i r="1">
      <x v="44"/>
      <x v="52"/>
      <x v="2"/>
      <x v="1"/>
    </i>
    <i t="default" r="1">
      <x v="44"/>
    </i>
    <i t="default">
      <x v="107"/>
    </i>
    <i>
      <x v="108"/>
      <x v="5"/>
      <x v="11"/>
      <x v="2"/>
      <x v="1"/>
    </i>
    <i r="3">
      <x v="3"/>
      <x v="1"/>
    </i>
    <i t="default" r="1">
      <x v="5"/>
    </i>
    <i t="default">
      <x v="108"/>
    </i>
    <i>
      <x v="109"/>
      <x v="8"/>
      <x v="8"/>
      <x v="2"/>
      <x v="1"/>
    </i>
    <i t="default" r="1">
      <x v="8"/>
    </i>
    <i r="1">
      <x v="47"/>
      <x v="51"/>
      <x v="2"/>
      <x v="1"/>
    </i>
    <i t="default" r="1">
      <x v="47"/>
    </i>
    <i t="default">
      <x v="109"/>
    </i>
    <i>
      <x v="110"/>
      <x v="1"/>
      <x/>
      <x v="2"/>
      <x v="1"/>
    </i>
    <i t="default" r="1">
      <x v="1"/>
    </i>
    <i t="default">
      <x v="1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41" hier="-1"/>
    <pageField fld="43" hier="-1"/>
  </pageFields>
  <dataFields count="4">
    <dataField name=" 수량" fld="70" baseField="0" baseItem="0" numFmtId="3"/>
    <dataField name=" 원가금액" fld="71" baseField="0" baseItem="0" numFmtId="3"/>
    <dataField name=" TAG가금액" fld="72" baseField="0" baseItem="0" numFmtId="3"/>
    <dataField name=" 배수" fld="74" baseField="0" baseItem="0" numFmtId="4"/>
  </dataFields>
  <formats count="42">
    <format dxfId="129">
      <pivotArea outline="0" fieldPosition="0">
        <references count="1">
          <reference field="4294967294" count="1">
            <x v="3"/>
          </reference>
        </references>
      </pivotArea>
    </format>
    <format dxfId="128">
      <pivotArea field="38" type="button" dataOnly="0" labelOnly="1" outline="0" axis="axisRow" fieldPosition="2"/>
    </format>
    <format dxfId="127">
      <pivotArea dataOnly="0" labelOnly="1" outline="0" fieldPosition="0">
        <references count="1">
          <reference field="5" count="1" defaultSubtotal="1">
            <x v="4"/>
          </reference>
        </references>
      </pivotArea>
    </format>
    <format dxfId="126">
      <pivotArea dataOnly="0" labelOnly="1" outline="0" fieldPosition="0">
        <references count="1">
          <reference field="5" count="1" defaultSubtotal="1">
            <x v="9"/>
          </reference>
        </references>
      </pivotArea>
    </format>
    <format dxfId="125">
      <pivotArea dataOnly="0" labelOnly="1" outline="0" fieldPosition="0">
        <references count="1">
          <reference field="5" count="1" defaultSubtotal="1">
            <x v="10"/>
          </reference>
        </references>
      </pivotArea>
    </format>
    <format dxfId="124">
      <pivotArea dataOnly="0" labelOnly="1" outline="0" fieldPosition="0">
        <references count="1">
          <reference field="5" count="1" defaultSubtotal="1">
            <x v="11"/>
          </reference>
        </references>
      </pivotArea>
    </format>
    <format dxfId="123">
      <pivotArea dataOnly="0" labelOnly="1" outline="0" fieldPosition="0">
        <references count="1">
          <reference field="5" count="1" defaultSubtotal="1">
            <x v="15"/>
          </reference>
        </references>
      </pivotArea>
    </format>
    <format dxfId="122">
      <pivotArea dataOnly="0" labelOnly="1" outline="0" fieldPosition="0">
        <references count="1">
          <reference field="5" count="1" defaultSubtotal="1">
            <x v="16"/>
          </reference>
        </references>
      </pivotArea>
    </format>
    <format dxfId="121">
      <pivotArea dataOnly="0" labelOnly="1" outline="0" fieldPosition="0">
        <references count="1">
          <reference field="5" count="1" defaultSubtotal="1">
            <x v="17"/>
          </reference>
        </references>
      </pivotArea>
    </format>
    <format dxfId="120">
      <pivotArea dataOnly="0" labelOnly="1" outline="0" fieldPosition="0">
        <references count="1">
          <reference field="5" count="1" defaultSubtotal="1">
            <x v="18"/>
          </reference>
        </references>
      </pivotArea>
    </format>
    <format dxfId="119">
      <pivotArea dataOnly="0" labelOnly="1" outline="0" fieldPosition="0">
        <references count="1">
          <reference field="5" count="1" defaultSubtotal="1">
            <x v="19"/>
          </reference>
        </references>
      </pivotArea>
    </format>
    <format dxfId="118">
      <pivotArea dataOnly="0" labelOnly="1" outline="0" fieldPosition="0">
        <references count="1">
          <reference field="5" count="1" defaultSubtotal="1">
            <x v="20"/>
          </reference>
        </references>
      </pivotArea>
    </format>
    <format dxfId="117">
      <pivotArea dataOnly="0" labelOnly="1" outline="0" fieldPosition="0">
        <references count="1">
          <reference field="5" count="1" defaultSubtotal="1">
            <x v="25"/>
          </reference>
        </references>
      </pivotArea>
    </format>
    <format dxfId="116">
      <pivotArea dataOnly="0" labelOnly="1" outline="0" fieldPosition="0">
        <references count="1">
          <reference field="5" count="1" defaultSubtotal="1">
            <x v="26"/>
          </reference>
        </references>
      </pivotArea>
    </format>
    <format dxfId="115">
      <pivotArea dataOnly="0" labelOnly="1" outline="0" fieldPosition="0">
        <references count="1">
          <reference field="5" count="1" defaultSubtotal="1">
            <x v="27"/>
          </reference>
        </references>
      </pivotArea>
    </format>
    <format dxfId="114">
      <pivotArea dataOnly="0" labelOnly="1" outline="0" fieldPosition="0">
        <references count="1">
          <reference field="5" count="1" defaultSubtotal="1">
            <x v="29"/>
          </reference>
        </references>
      </pivotArea>
    </format>
    <format dxfId="113">
      <pivotArea dataOnly="0" labelOnly="1" outline="0" fieldPosition="0">
        <references count="1">
          <reference field="5" count="1" defaultSubtotal="1">
            <x v="32"/>
          </reference>
        </references>
      </pivotArea>
    </format>
    <format dxfId="112">
      <pivotArea dataOnly="0" labelOnly="1" outline="0" fieldPosition="0">
        <references count="1">
          <reference field="5" count="1" defaultSubtotal="1">
            <x v="34"/>
          </reference>
        </references>
      </pivotArea>
    </format>
    <format dxfId="111">
      <pivotArea dataOnly="0" labelOnly="1" outline="0" fieldPosition="0">
        <references count="1">
          <reference field="5" count="1" defaultSubtotal="1">
            <x v="35"/>
          </reference>
        </references>
      </pivotArea>
    </format>
    <format dxfId="110">
      <pivotArea dataOnly="0" labelOnly="1" outline="0" fieldPosition="0">
        <references count="1">
          <reference field="5" count="1" defaultSubtotal="1">
            <x v="36"/>
          </reference>
        </references>
      </pivotArea>
    </format>
    <format dxfId="109">
      <pivotArea dataOnly="0" labelOnly="1" outline="0" fieldPosition="0">
        <references count="1">
          <reference field="5" count="1" defaultSubtotal="1">
            <x v="37"/>
          </reference>
        </references>
      </pivotArea>
    </format>
    <format dxfId="108">
      <pivotArea dataOnly="0" labelOnly="1" outline="0" fieldPosition="0">
        <references count="1">
          <reference field="5" count="1" defaultSubtotal="1">
            <x v="38"/>
          </reference>
        </references>
      </pivotArea>
    </format>
    <format dxfId="107">
      <pivotArea dataOnly="0" labelOnly="1" outline="0" fieldPosition="0">
        <references count="1">
          <reference field="5" count="1" defaultSubtotal="1">
            <x v="48"/>
          </reference>
        </references>
      </pivotArea>
    </format>
    <format dxfId="106">
      <pivotArea dataOnly="0" labelOnly="1" outline="0" fieldPosition="0">
        <references count="1">
          <reference field="5" count="1" defaultSubtotal="1">
            <x v="49"/>
          </reference>
        </references>
      </pivotArea>
    </format>
    <format dxfId="105">
      <pivotArea dataOnly="0" labelOnly="1" grandRow="1" outline="0" fieldPosition="0"/>
    </format>
    <format dxfId="104">
      <pivotArea dataOnly="0" labelOnly="1" outline="0" fieldPosition="0">
        <references count="3">
          <reference field="5" count="1" selected="0">
            <x v="4"/>
          </reference>
          <reference field="36" count="1" selected="0">
            <x v="13"/>
          </reference>
          <reference field="38" count="1">
            <x v="0"/>
          </reference>
        </references>
      </pivotArea>
    </format>
    <format dxfId="103">
      <pivotArea dataOnly="0" labelOnly="1" outline="0" fieldPosition="0">
        <references count="3">
          <reference field="5" count="1" selected="0">
            <x v="11"/>
          </reference>
          <reference field="36" count="1" selected="0">
            <x v="13"/>
          </reference>
          <reference field="38" count="1">
            <x v="5"/>
          </reference>
        </references>
      </pivotArea>
    </format>
    <format dxfId="102">
      <pivotArea dataOnly="0" labelOnly="1" outline="0" fieldPosition="0">
        <references count="3">
          <reference field="5" count="1" selected="0">
            <x v="15"/>
          </reference>
          <reference field="36" count="1" selected="0">
            <x v="13"/>
          </reference>
          <reference field="38" count="2">
            <x v="1"/>
            <x v="4"/>
          </reference>
        </references>
      </pivotArea>
    </format>
    <format dxfId="101">
      <pivotArea dataOnly="0" labelOnly="1" outline="0" fieldPosition="0">
        <references count="3">
          <reference field="5" count="1" selected="0">
            <x v="16"/>
          </reference>
          <reference field="36" count="1" selected="0">
            <x v="13"/>
          </reference>
          <reference field="38" count="1">
            <x v="6"/>
          </reference>
        </references>
      </pivotArea>
    </format>
    <format dxfId="100">
      <pivotArea dataOnly="0" labelOnly="1" outline="0" fieldPosition="0">
        <references count="3">
          <reference field="5" count="1" selected="0">
            <x v="19"/>
          </reference>
          <reference field="36" count="1" selected="0">
            <x v="9"/>
          </reference>
          <reference field="38" count="1">
            <x v="2"/>
          </reference>
        </references>
      </pivotArea>
    </format>
    <format dxfId="99">
      <pivotArea dataOnly="0" labelOnly="1" outline="0" fieldPosition="0">
        <references count="3">
          <reference field="5" count="1" selected="0">
            <x v="25"/>
          </reference>
          <reference field="36" count="1" selected="0">
            <x v="9"/>
          </reference>
          <reference field="38" count="1">
            <x v="0"/>
          </reference>
        </references>
      </pivotArea>
    </format>
    <format dxfId="98">
      <pivotArea dataOnly="0" labelOnly="1" outline="0" fieldPosition="0">
        <references count="3">
          <reference field="5" count="1" selected="0">
            <x v="25"/>
          </reference>
          <reference field="36" count="1" selected="0">
            <x v="13"/>
          </reference>
          <reference field="38" count="1">
            <x v="2"/>
          </reference>
        </references>
      </pivotArea>
    </format>
    <format dxfId="97">
      <pivotArea dataOnly="0" labelOnly="1" outline="0" fieldPosition="0">
        <references count="3">
          <reference field="5" count="1" selected="0">
            <x v="26"/>
          </reference>
          <reference field="36" count="1" selected="0">
            <x v="9"/>
          </reference>
          <reference field="38" count="1">
            <x v="1"/>
          </reference>
        </references>
      </pivotArea>
    </format>
    <format dxfId="96">
      <pivotArea dataOnly="0" labelOnly="1" outline="0" fieldPosition="0">
        <references count="3">
          <reference field="5" count="1" selected="0">
            <x v="27"/>
          </reference>
          <reference field="36" count="1" selected="0">
            <x v="13"/>
          </reference>
          <reference field="38" count="1">
            <x v="3"/>
          </reference>
        </references>
      </pivotArea>
    </format>
    <format dxfId="95">
      <pivotArea dataOnly="0" outline="0" fieldPosition="0">
        <references count="1">
          <reference field="5" count="0" defaultSubtotal="1"/>
        </references>
      </pivotArea>
    </format>
    <format dxfId="94">
      <pivotArea outline="0" fieldPosition="0">
        <references count="1">
          <reference field="4294967294" count="1">
            <x v="0"/>
          </reference>
        </references>
      </pivotArea>
    </format>
    <format dxfId="93">
      <pivotArea outline="0" fieldPosition="0">
        <references count="1">
          <reference field="4294967294" count="1">
            <x v="1"/>
          </reference>
        </references>
      </pivotArea>
    </format>
    <format dxfId="92">
      <pivotArea outline="0" fieldPosition="0">
        <references count="1">
          <reference field="4294967294" count="1">
            <x v="2"/>
          </reference>
        </references>
      </pivotArea>
    </format>
    <format dxfId="91">
      <pivotArea type="all" dataOnly="0" outline="0" fieldPosition="0"/>
    </format>
    <format dxfId="90">
      <pivotArea type="all" dataOnly="0" outline="0" fieldPosition="0"/>
    </format>
    <format dxfId="89">
      <pivotArea dataOnly="0" outline="0" fieldPosition="0">
        <references count="1">
          <reference field="36" count="0" defaultSubtotal="1"/>
        </references>
      </pivotArea>
    </format>
    <format dxfId="8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1" cacheId="114" dataOnRows="1" applyNumberFormats="0" applyBorderFormats="0" applyFontFormats="0" applyPatternFormats="0" applyAlignmentFormats="0" applyWidthHeightFormats="1" dataCaption="데이터" updatedVersion="3" minRefreshableVersion="3" asteriskTotals="1" showMemberPropertyTips="0" useAutoFormatting="1" itemPrintTitles="1" createdVersion="3" indent="0" compact="0" compactData="0" gridDropZones="1">
  <location ref="A3:B49" firstHeaderRow="2" firstDataRow="2" firstDataCol="1"/>
  <pivotFields count="75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axis="axisRow" compact="0" outline="0" subtotalTop="0" showAll="0" includeNewItemsInFilter="1">
      <items count="112">
        <item h="1" x="1"/>
        <item m="1" x="82"/>
        <item m="1" x="63"/>
        <item m="1" x="89"/>
        <item m="1" x="52"/>
        <item m="1" x="51"/>
        <item m="1" x="96"/>
        <item m="1" x="105"/>
        <item m="1" x="49"/>
        <item m="1" x="64"/>
        <item m="1" x="81"/>
        <item m="1" x="92"/>
        <item m="1" x="91"/>
        <item m="1" x="65"/>
        <item m="1" x="88"/>
        <item m="1" x="70"/>
        <item m="1" x="74"/>
        <item m="1" x="46"/>
        <item m="1" x="56"/>
        <item m="1" x="48"/>
        <item m="1" x="84"/>
        <item h="1" x="45"/>
        <item m="1" x="109"/>
        <item m="1" x="85"/>
        <item m="1" x="47"/>
        <item m="1" x="78"/>
        <item m="1" x="58"/>
        <item m="1" x="102"/>
        <item m="1" x="86"/>
        <item m="1" x="104"/>
        <item m="1" x="60"/>
        <item m="1" x="108"/>
        <item m="1" x="100"/>
        <item m="1" x="106"/>
        <item m="1" x="83"/>
        <item m="1" x="87"/>
        <item m="1" x="61"/>
        <item m="1" x="50"/>
        <item m="1" x="72"/>
        <item m="1" x="107"/>
        <item m="1" x="77"/>
        <item m="1" x="59"/>
        <item m="1" x="57"/>
        <item m="1" x="97"/>
        <item m="1" x="54"/>
        <item m="1" x="93"/>
        <item m="1" x="55"/>
        <item m="1" x="67"/>
        <item m="1" x="62"/>
        <item m="1" x="99"/>
        <item m="1" x="103"/>
        <item m="1" x="68"/>
        <item m="1" x="101"/>
        <item m="1" x="80"/>
        <item m="1" x="95"/>
        <item m="1" x="66"/>
        <item m="1" x="73"/>
        <item m="1" x="98"/>
        <item m="1" x="71"/>
        <item m="1" x="75"/>
        <item m="1" x="94"/>
        <item m="1" x="79"/>
        <item x="15"/>
        <item x="10"/>
        <item x="11"/>
        <item x="18"/>
        <item x="20"/>
        <item x="21"/>
        <item x="2"/>
        <item x="22"/>
        <item x="4"/>
        <item x="6"/>
        <item m="1" x="69"/>
        <item x="3"/>
        <item m="1" x="53"/>
        <item m="1" x="90"/>
        <item x="0"/>
        <item m="1" x="76"/>
        <item x="12"/>
        <item x="13"/>
        <item m="1" x="110"/>
        <item x="14"/>
        <item x="8"/>
        <item x="9"/>
        <item x="17"/>
        <item x="5"/>
        <item x="19"/>
        <item x="16"/>
        <item x="7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dragToRow="0" dragToCol="0" dragToPage="0" showAll="0" defaultSubtotal="0"/>
  </pivotFields>
  <rowFields count="1">
    <field x="5"/>
  </rowFields>
  <rowItems count="45"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3"/>
    </i>
    <i>
      <x v="76"/>
    </i>
    <i>
      <x v="78"/>
    </i>
    <i>
      <x v="79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 t="grand">
      <x/>
    </i>
  </rowItems>
  <colItems count="1">
    <i/>
  </colItems>
  <dataFields count="1">
    <dataField name=" 수량" fld="35" baseField="0" baseItem="0" numFmtId="3"/>
  </dataFields>
  <formats count="2">
    <format dxfId="131">
      <pivotArea type="all" dataOnly="0" outline="0" fieldPosition="0"/>
    </format>
    <format dxfId="130">
      <pivotArea type="all" dataOnly="0" outline="0" fieldPosition="0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76"/>
  <sheetViews>
    <sheetView showZeros="0" tabSelected="1" zoomScale="80" workbookViewId="0">
      <pane xSplit="1" ySplit="5" topLeftCell="B15" activePane="bottomRight" state="frozen"/>
      <selection pane="topRight" activeCell="B1" sqref="B1"/>
      <selection pane="bottomLeft" activeCell="A6" sqref="A6"/>
      <selection pane="bottomRight" activeCell="S38" sqref="S38"/>
    </sheetView>
  </sheetViews>
  <sheetFormatPr defaultRowHeight="13.5"/>
  <cols>
    <col min="1" max="1" width="12.21875" style="22" customWidth="1"/>
    <col min="2" max="2" width="6.88671875" style="22" customWidth="1"/>
    <col min="3" max="3" width="2.21875" style="22" customWidth="1"/>
    <col min="4" max="4" width="2.77734375" style="22" customWidth="1"/>
    <col min="5" max="6" width="2.21875" style="22" customWidth="1"/>
    <col min="7" max="7" width="13.33203125" style="22" customWidth="1"/>
    <col min="8" max="8" width="18.77734375" style="22" customWidth="1"/>
    <col min="9" max="9" width="10.21875" style="25" customWidth="1"/>
    <col min="10" max="11" width="13.33203125" style="22" bestFit="1" customWidth="1"/>
    <col min="12" max="12" width="8.44140625" style="22" bestFit="1" customWidth="1"/>
    <col min="13" max="14" width="10.77734375" style="22" bestFit="1" customWidth="1"/>
    <col min="15" max="15" width="5.44140625" style="40" customWidth="1"/>
    <col min="16" max="16384" width="8.88671875" style="22"/>
  </cols>
  <sheetData>
    <row r="1" spans="1:15">
      <c r="A1" s="22" t="s">
        <v>8</v>
      </c>
      <c r="G1" s="23" t="s">
        <v>36</v>
      </c>
      <c r="H1" s="24" t="s">
        <v>65</v>
      </c>
    </row>
    <row r="2" spans="1:15">
      <c r="G2" s="23" t="s">
        <v>38</v>
      </c>
      <c r="H2" s="24" t="s">
        <v>65</v>
      </c>
    </row>
    <row r="3" spans="1:15">
      <c r="A3" s="26" t="s">
        <v>64</v>
      </c>
      <c r="B3" s="27"/>
      <c r="I3" s="22"/>
    </row>
    <row r="4" spans="1:15">
      <c r="A4" s="26" t="s">
        <v>3</v>
      </c>
      <c r="B4" s="27" t="s">
        <v>1</v>
      </c>
      <c r="G4" s="28"/>
      <c r="H4" s="29"/>
      <c r="I4" s="29"/>
      <c r="J4" s="29"/>
      <c r="K4" s="29"/>
      <c r="L4" s="26" t="s">
        <v>69</v>
      </c>
      <c r="M4" s="29"/>
      <c r="N4" s="29"/>
      <c r="O4" s="30"/>
    </row>
    <row r="5" spans="1:15">
      <c r="A5" s="28" t="s">
        <v>2268</v>
      </c>
      <c r="B5" s="57">
        <v>600</v>
      </c>
      <c r="G5" s="26" t="s">
        <v>3</v>
      </c>
      <c r="H5" s="26" t="s">
        <v>31</v>
      </c>
      <c r="I5" s="31" t="s">
        <v>33</v>
      </c>
      <c r="J5" s="26" t="s">
        <v>26</v>
      </c>
      <c r="K5" s="26" t="s">
        <v>66</v>
      </c>
      <c r="L5" s="28" t="s">
        <v>64</v>
      </c>
      <c r="M5" s="32" t="s">
        <v>70</v>
      </c>
      <c r="N5" s="32" t="s">
        <v>71</v>
      </c>
      <c r="O5" s="33" t="s">
        <v>72</v>
      </c>
    </row>
    <row r="6" spans="1:15">
      <c r="A6" s="49" t="s">
        <v>387</v>
      </c>
      <c r="B6" s="58">
        <v>5530</v>
      </c>
      <c r="G6" s="28" t="s">
        <v>2268</v>
      </c>
      <c r="H6" s="28" t="s">
        <v>572</v>
      </c>
      <c r="I6" s="28" t="s">
        <v>94</v>
      </c>
      <c r="J6" s="28" t="s">
        <v>91</v>
      </c>
      <c r="K6" s="28" t="s">
        <v>401</v>
      </c>
      <c r="L6" s="42">
        <v>600</v>
      </c>
      <c r="M6" s="43">
        <v>6094038</v>
      </c>
      <c r="N6" s="43">
        <v>27600000</v>
      </c>
      <c r="O6" s="54">
        <v>4.1172879281207448</v>
      </c>
    </row>
    <row r="7" spans="1:15">
      <c r="A7" s="49" t="s">
        <v>425</v>
      </c>
      <c r="B7" s="58">
        <v>2850</v>
      </c>
      <c r="G7" s="44"/>
      <c r="H7" s="50" t="s">
        <v>1624</v>
      </c>
      <c r="I7" s="51"/>
      <c r="J7" s="51"/>
      <c r="K7" s="51"/>
      <c r="L7" s="52">
        <v>600</v>
      </c>
      <c r="M7" s="53">
        <v>6094038</v>
      </c>
      <c r="N7" s="53">
        <v>27600000</v>
      </c>
      <c r="O7" s="55">
        <v>4.1172879281207448</v>
      </c>
    </row>
    <row r="8" spans="1:15">
      <c r="A8" s="49" t="s">
        <v>665</v>
      </c>
      <c r="B8" s="58">
        <v>13060</v>
      </c>
      <c r="G8" s="45" t="s">
        <v>2443</v>
      </c>
      <c r="H8" s="46"/>
      <c r="I8" s="46"/>
      <c r="J8" s="46"/>
      <c r="K8" s="46"/>
      <c r="L8" s="47">
        <v>600</v>
      </c>
      <c r="M8" s="48">
        <v>6094038</v>
      </c>
      <c r="N8" s="48">
        <v>27600000</v>
      </c>
      <c r="O8" s="56">
        <v>4.1172879281207448</v>
      </c>
    </row>
    <row r="9" spans="1:15">
      <c r="A9" s="49" t="s">
        <v>671</v>
      </c>
      <c r="B9" s="58">
        <v>7965</v>
      </c>
      <c r="G9" s="28" t="s">
        <v>387</v>
      </c>
      <c r="H9" s="28" t="s">
        <v>111</v>
      </c>
      <c r="I9" s="28">
        <v>10</v>
      </c>
      <c r="J9" s="28" t="s">
        <v>91</v>
      </c>
      <c r="K9" s="28" t="s">
        <v>401</v>
      </c>
      <c r="L9" s="42">
        <v>250</v>
      </c>
      <c r="M9" s="43">
        <v>2359467.5</v>
      </c>
      <c r="N9" s="43">
        <v>13750000</v>
      </c>
      <c r="O9" s="54">
        <v>5.2978055429879838</v>
      </c>
    </row>
    <row r="10" spans="1:15">
      <c r="A10" s="49" t="s">
        <v>1318</v>
      </c>
      <c r="B10" s="58">
        <v>480</v>
      </c>
      <c r="G10" s="44"/>
      <c r="H10" s="44"/>
      <c r="I10" s="28">
        <v>22</v>
      </c>
      <c r="J10" s="28" t="s">
        <v>91</v>
      </c>
      <c r="K10" s="28" t="s">
        <v>401</v>
      </c>
      <c r="L10" s="42">
        <v>1910</v>
      </c>
      <c r="M10" s="43">
        <v>15927782.5</v>
      </c>
      <c r="N10" s="43">
        <v>94490000</v>
      </c>
      <c r="O10" s="54">
        <v>5.3930922273706337</v>
      </c>
    </row>
    <row r="11" spans="1:15">
      <c r="A11" s="49" t="s">
        <v>632</v>
      </c>
      <c r="B11" s="58">
        <v>2590</v>
      </c>
      <c r="G11" s="44"/>
      <c r="H11" s="50" t="s">
        <v>1622</v>
      </c>
      <c r="I11" s="51"/>
      <c r="J11" s="51"/>
      <c r="K11" s="51"/>
      <c r="L11" s="52">
        <v>2160</v>
      </c>
      <c r="M11" s="53">
        <v>18287250</v>
      </c>
      <c r="N11" s="53">
        <v>108240000</v>
      </c>
      <c r="O11" s="55">
        <v>5.380798097034817</v>
      </c>
    </row>
    <row r="12" spans="1:15">
      <c r="A12" s="49" t="s">
        <v>1841</v>
      </c>
      <c r="B12" s="58">
        <v>550</v>
      </c>
      <c r="G12" s="44"/>
      <c r="H12" s="28" t="s">
        <v>179</v>
      </c>
      <c r="I12" s="28">
        <v>20</v>
      </c>
      <c r="J12" s="28" t="s">
        <v>91</v>
      </c>
      <c r="K12" s="28" t="s">
        <v>401</v>
      </c>
      <c r="L12" s="42">
        <v>360</v>
      </c>
      <c r="M12" s="43">
        <v>3180024.0000000005</v>
      </c>
      <c r="N12" s="43">
        <v>17640000</v>
      </c>
      <c r="O12" s="54">
        <v>5.0428435874583437</v>
      </c>
    </row>
    <row r="13" spans="1:15">
      <c r="A13" s="49" t="s">
        <v>1393</v>
      </c>
      <c r="B13" s="58">
        <v>9320</v>
      </c>
      <c r="G13" s="44"/>
      <c r="H13" s="44"/>
      <c r="I13" s="28" t="s">
        <v>94</v>
      </c>
      <c r="J13" s="28" t="s">
        <v>400</v>
      </c>
      <c r="K13" s="28" t="s">
        <v>401</v>
      </c>
      <c r="L13" s="42">
        <v>1000</v>
      </c>
      <c r="M13" s="43">
        <v>9472797.5</v>
      </c>
      <c r="N13" s="43">
        <v>55000000</v>
      </c>
      <c r="O13" s="54">
        <v>5.2782718093572676</v>
      </c>
    </row>
    <row r="14" spans="1:15">
      <c r="A14" s="49" t="s">
        <v>1501</v>
      </c>
      <c r="B14" s="58">
        <v>1700</v>
      </c>
      <c r="G14" s="44"/>
      <c r="H14" s="50" t="s">
        <v>1623</v>
      </c>
      <c r="I14" s="51"/>
      <c r="J14" s="51"/>
      <c r="K14" s="51"/>
      <c r="L14" s="52">
        <v>1360</v>
      </c>
      <c r="M14" s="53">
        <v>12652821.5</v>
      </c>
      <c r="N14" s="53">
        <v>72640000</v>
      </c>
      <c r="O14" s="55">
        <v>5.2191018134859197</v>
      </c>
    </row>
    <row r="15" spans="1:15">
      <c r="A15" s="49" t="s">
        <v>1190</v>
      </c>
      <c r="B15" s="58">
        <v>2250</v>
      </c>
      <c r="G15" s="44"/>
      <c r="H15" s="28" t="s">
        <v>572</v>
      </c>
      <c r="I15" s="28" t="s">
        <v>130</v>
      </c>
      <c r="J15" s="28" t="s">
        <v>91</v>
      </c>
      <c r="K15" s="28" t="s">
        <v>401</v>
      </c>
      <c r="L15" s="42">
        <v>1650</v>
      </c>
      <c r="M15" s="43">
        <v>12140461.300000001</v>
      </c>
      <c r="N15" s="43">
        <v>80850000</v>
      </c>
      <c r="O15" s="54">
        <v>6.0541356859314721</v>
      </c>
    </row>
    <row r="16" spans="1:15">
      <c r="A16" s="49" t="s">
        <v>1019</v>
      </c>
      <c r="B16" s="58">
        <v>6380</v>
      </c>
      <c r="G16" s="44"/>
      <c r="H16" s="50" t="s">
        <v>1624</v>
      </c>
      <c r="I16" s="51"/>
      <c r="J16" s="51"/>
      <c r="K16" s="51"/>
      <c r="L16" s="52">
        <v>1650</v>
      </c>
      <c r="M16" s="53">
        <v>12140461.300000001</v>
      </c>
      <c r="N16" s="53">
        <v>80850000</v>
      </c>
      <c r="O16" s="55">
        <v>6.0541356859314721</v>
      </c>
    </row>
    <row r="17" spans="1:15">
      <c r="A17" s="49" t="s">
        <v>503</v>
      </c>
      <c r="B17" s="58">
        <v>2370</v>
      </c>
      <c r="G17" s="44"/>
      <c r="H17" s="28" t="s">
        <v>4286</v>
      </c>
      <c r="I17" s="28" t="s">
        <v>130</v>
      </c>
      <c r="J17" s="28" t="s">
        <v>91</v>
      </c>
      <c r="K17" s="28" t="s">
        <v>401</v>
      </c>
      <c r="L17" s="42">
        <v>360</v>
      </c>
      <c r="M17" s="43">
        <v>2067901.2000000004</v>
      </c>
      <c r="N17" s="43">
        <v>14040000</v>
      </c>
      <c r="O17" s="54">
        <v>6.172266046190388</v>
      </c>
    </row>
    <row r="18" spans="1:15">
      <c r="A18" s="49" t="s">
        <v>575</v>
      </c>
      <c r="B18" s="58">
        <v>2420</v>
      </c>
      <c r="G18" s="44"/>
      <c r="H18" s="50" t="s">
        <v>4291</v>
      </c>
      <c r="I18" s="51"/>
      <c r="J18" s="51"/>
      <c r="K18" s="51"/>
      <c r="L18" s="52">
        <v>360</v>
      </c>
      <c r="M18" s="53">
        <v>2067901.2000000004</v>
      </c>
      <c r="N18" s="53">
        <v>14040000</v>
      </c>
      <c r="O18" s="55">
        <v>6.172266046190388</v>
      </c>
    </row>
    <row r="19" spans="1:15">
      <c r="A19" s="49" t="s">
        <v>1760</v>
      </c>
      <c r="B19" s="58">
        <v>2400</v>
      </c>
      <c r="G19" s="45" t="s">
        <v>1625</v>
      </c>
      <c r="H19" s="46"/>
      <c r="I19" s="46"/>
      <c r="J19" s="46"/>
      <c r="K19" s="46"/>
      <c r="L19" s="47">
        <v>5530</v>
      </c>
      <c r="M19" s="48">
        <v>45148434</v>
      </c>
      <c r="N19" s="48">
        <v>275770000</v>
      </c>
      <c r="O19" s="56">
        <v>5.5527950316061894</v>
      </c>
    </row>
    <row r="20" spans="1:15">
      <c r="A20" s="49" t="s">
        <v>115</v>
      </c>
      <c r="B20" s="58">
        <v>920</v>
      </c>
      <c r="G20" s="28" t="s">
        <v>425</v>
      </c>
      <c r="H20" s="28" t="s">
        <v>179</v>
      </c>
      <c r="I20" s="28" t="s">
        <v>438</v>
      </c>
      <c r="J20" s="28" t="s">
        <v>91</v>
      </c>
      <c r="K20" s="28" t="s">
        <v>401</v>
      </c>
      <c r="L20" s="42">
        <v>1250</v>
      </c>
      <c r="M20" s="43">
        <v>8119492.8000000007</v>
      </c>
      <c r="N20" s="43">
        <v>56950000</v>
      </c>
      <c r="O20" s="54">
        <v>6.3763499208629462</v>
      </c>
    </row>
    <row r="21" spans="1:15">
      <c r="A21" s="49" t="s">
        <v>164</v>
      </c>
      <c r="B21" s="58">
        <v>12500</v>
      </c>
      <c r="G21" s="44"/>
      <c r="H21" s="44"/>
      <c r="I21" s="28" t="s">
        <v>470</v>
      </c>
      <c r="J21" s="28" t="s">
        <v>91</v>
      </c>
      <c r="K21" s="28" t="s">
        <v>401</v>
      </c>
      <c r="L21" s="42">
        <v>700</v>
      </c>
      <c r="M21" s="43">
        <v>9356564</v>
      </c>
      <c r="N21" s="43">
        <v>45500000</v>
      </c>
      <c r="O21" s="54">
        <v>4.4208147738460788</v>
      </c>
    </row>
    <row r="22" spans="1:15">
      <c r="A22" s="49" t="s">
        <v>626</v>
      </c>
      <c r="B22" s="58">
        <v>1080</v>
      </c>
      <c r="G22" s="44"/>
      <c r="H22" s="50" t="s">
        <v>1623</v>
      </c>
      <c r="I22" s="51"/>
      <c r="J22" s="51"/>
      <c r="K22" s="51"/>
      <c r="L22" s="52">
        <v>1950</v>
      </c>
      <c r="M22" s="53">
        <v>17476056.800000001</v>
      </c>
      <c r="N22" s="53">
        <v>102450000</v>
      </c>
      <c r="O22" s="55">
        <v>5.3293694740316715</v>
      </c>
    </row>
    <row r="23" spans="1:15">
      <c r="A23" s="49" t="s">
        <v>1451</v>
      </c>
      <c r="B23" s="58">
        <v>8530</v>
      </c>
      <c r="G23" s="44"/>
      <c r="H23" s="28" t="s">
        <v>493</v>
      </c>
      <c r="I23" s="28" t="s">
        <v>130</v>
      </c>
      <c r="J23" s="28" t="s">
        <v>91</v>
      </c>
      <c r="K23" s="28" t="s">
        <v>401</v>
      </c>
      <c r="L23" s="42">
        <v>900</v>
      </c>
      <c r="M23" s="43">
        <v>11509412</v>
      </c>
      <c r="N23" s="43">
        <v>67500000</v>
      </c>
      <c r="O23" s="54">
        <v>5.3316048086241379</v>
      </c>
    </row>
    <row r="24" spans="1:15">
      <c r="A24" s="49" t="s">
        <v>2365</v>
      </c>
      <c r="B24" s="58">
        <v>2065</v>
      </c>
      <c r="G24" s="44"/>
      <c r="H24" s="50" t="s">
        <v>1626</v>
      </c>
      <c r="I24" s="51"/>
      <c r="J24" s="51"/>
      <c r="K24" s="51"/>
      <c r="L24" s="52">
        <v>900</v>
      </c>
      <c r="M24" s="53">
        <v>11509412</v>
      </c>
      <c r="N24" s="53">
        <v>67500000</v>
      </c>
      <c r="O24" s="55">
        <v>5.3316048086241379</v>
      </c>
    </row>
    <row r="25" spans="1:15">
      <c r="A25" s="49" t="s">
        <v>2526</v>
      </c>
      <c r="B25" s="58">
        <v>300</v>
      </c>
      <c r="G25" s="45" t="s">
        <v>1627</v>
      </c>
      <c r="H25" s="46"/>
      <c r="I25" s="46"/>
      <c r="J25" s="46"/>
      <c r="K25" s="46"/>
      <c r="L25" s="47">
        <v>2850</v>
      </c>
      <c r="M25" s="48">
        <v>28985468.800000001</v>
      </c>
      <c r="N25" s="48">
        <v>169950000</v>
      </c>
      <c r="O25" s="56">
        <v>5.3302570700529772</v>
      </c>
    </row>
    <row r="26" spans="1:15">
      <c r="A26" s="49" t="s">
        <v>2371</v>
      </c>
      <c r="B26" s="58">
        <v>1500</v>
      </c>
      <c r="G26" s="28" t="s">
        <v>665</v>
      </c>
      <c r="H26" s="28" t="s">
        <v>679</v>
      </c>
      <c r="I26" s="28" t="s">
        <v>130</v>
      </c>
      <c r="J26" s="28" t="s">
        <v>91</v>
      </c>
      <c r="K26" s="28" t="s">
        <v>401</v>
      </c>
      <c r="L26" s="42">
        <v>1800</v>
      </c>
      <c r="M26" s="43">
        <v>79445137.5</v>
      </c>
      <c r="N26" s="43">
        <v>323700000</v>
      </c>
      <c r="O26" s="54">
        <v>3.7040999176661664</v>
      </c>
    </row>
    <row r="27" spans="1:15">
      <c r="A27" s="49" t="s">
        <v>2667</v>
      </c>
      <c r="B27" s="58">
        <v>16953</v>
      </c>
      <c r="G27" s="44"/>
      <c r="H27" s="44"/>
      <c r="I27" s="28" t="s">
        <v>94</v>
      </c>
      <c r="J27" s="28" t="s">
        <v>91</v>
      </c>
      <c r="K27" s="28" t="s">
        <v>401</v>
      </c>
      <c r="L27" s="42">
        <v>480</v>
      </c>
      <c r="M27" s="43">
        <v>15532800.000000002</v>
      </c>
      <c r="N27" s="43">
        <v>61920000</v>
      </c>
      <c r="O27" s="54">
        <v>3.624002696932239</v>
      </c>
    </row>
    <row r="28" spans="1:15">
      <c r="A28" s="49" t="s">
        <v>2790</v>
      </c>
      <c r="B28" s="58">
        <v>1399</v>
      </c>
      <c r="G28" s="44"/>
      <c r="H28" s="44"/>
      <c r="I28" s="28" t="s">
        <v>438</v>
      </c>
      <c r="J28" s="28" t="s">
        <v>91</v>
      </c>
      <c r="K28" s="28" t="s">
        <v>401</v>
      </c>
      <c r="L28" s="42">
        <v>2380</v>
      </c>
      <c r="M28" s="43">
        <v>58513700</v>
      </c>
      <c r="N28" s="43">
        <v>272820000</v>
      </c>
      <c r="O28" s="54">
        <v>4.2386344021687536</v>
      </c>
    </row>
    <row r="29" spans="1:15">
      <c r="A29" s="49" t="s">
        <v>2810</v>
      </c>
      <c r="B29" s="58">
        <v>2640</v>
      </c>
      <c r="G29" s="44"/>
      <c r="H29" s="50" t="s">
        <v>1628</v>
      </c>
      <c r="I29" s="51"/>
      <c r="J29" s="51"/>
      <c r="K29" s="51"/>
      <c r="L29" s="52">
        <v>4660</v>
      </c>
      <c r="M29" s="53">
        <v>153491637.5</v>
      </c>
      <c r="N29" s="53">
        <v>658440000</v>
      </c>
      <c r="O29" s="55">
        <v>3.8997682735765862</v>
      </c>
    </row>
    <row r="30" spans="1:15">
      <c r="A30" s="49" t="s">
        <v>2870</v>
      </c>
      <c r="B30" s="58">
        <v>1265</v>
      </c>
      <c r="G30" s="44"/>
      <c r="H30" s="28" t="s">
        <v>780</v>
      </c>
      <c r="I30" s="28" t="s">
        <v>438</v>
      </c>
      <c r="J30" s="28" t="s">
        <v>91</v>
      </c>
      <c r="K30" s="28" t="s">
        <v>401</v>
      </c>
      <c r="L30" s="42">
        <v>2460</v>
      </c>
      <c r="M30" s="43">
        <v>54954000</v>
      </c>
      <c r="N30" s="43">
        <v>222740000</v>
      </c>
      <c r="O30" s="54">
        <v>3.6847346706501631</v>
      </c>
    </row>
    <row r="31" spans="1:15">
      <c r="A31" s="49" t="s">
        <v>2960</v>
      </c>
      <c r="B31" s="58">
        <v>6452</v>
      </c>
      <c r="G31" s="44"/>
      <c r="H31" s="44"/>
      <c r="I31" s="28" t="s">
        <v>470</v>
      </c>
      <c r="J31" s="28" t="s">
        <v>91</v>
      </c>
      <c r="K31" s="28" t="s">
        <v>401</v>
      </c>
      <c r="L31" s="42">
        <v>1230</v>
      </c>
      <c r="M31" s="43">
        <v>28186200</v>
      </c>
      <c r="N31" s="43">
        <v>121770000</v>
      </c>
      <c r="O31" s="54">
        <v>3.9274538603997695</v>
      </c>
    </row>
    <row r="32" spans="1:15">
      <c r="A32" s="49" t="s">
        <v>2999</v>
      </c>
      <c r="B32" s="58">
        <v>2521</v>
      </c>
      <c r="G32" s="44"/>
      <c r="H32" s="44"/>
      <c r="I32" s="28" t="s">
        <v>485</v>
      </c>
      <c r="J32" s="29"/>
      <c r="K32" s="29"/>
      <c r="L32" s="42">
        <v>450</v>
      </c>
      <c r="M32" s="43">
        <v>7708500</v>
      </c>
      <c r="N32" s="43">
        <v>35550000</v>
      </c>
      <c r="O32" s="54">
        <v>4.1925383431513028</v>
      </c>
    </row>
    <row r="33" spans="1:15">
      <c r="A33" s="49" t="s">
        <v>3040</v>
      </c>
      <c r="B33" s="58">
        <v>169</v>
      </c>
      <c r="G33" s="44"/>
      <c r="H33" s="44"/>
      <c r="I33" s="28" t="s">
        <v>514</v>
      </c>
      <c r="J33" s="28" t="s">
        <v>91</v>
      </c>
      <c r="K33" s="28" t="s">
        <v>401</v>
      </c>
      <c r="L33" s="42">
        <v>700</v>
      </c>
      <c r="M33" s="43">
        <v>4354000</v>
      </c>
      <c r="N33" s="43">
        <v>16100000</v>
      </c>
      <c r="O33" s="54">
        <v>3.3615901783104354</v>
      </c>
    </row>
    <row r="34" spans="1:15">
      <c r="A34" s="49" t="s">
        <v>3089</v>
      </c>
      <c r="B34" s="58">
        <v>18662</v>
      </c>
      <c r="G34" s="44"/>
      <c r="H34" s="50" t="s">
        <v>1629</v>
      </c>
      <c r="I34" s="51"/>
      <c r="J34" s="51"/>
      <c r="K34" s="51"/>
      <c r="L34" s="52">
        <v>4840</v>
      </c>
      <c r="M34" s="53">
        <v>95202700</v>
      </c>
      <c r="N34" s="53">
        <v>396160000</v>
      </c>
      <c r="O34" s="55">
        <v>3.782933199850997</v>
      </c>
    </row>
    <row r="35" spans="1:15">
      <c r="A35" s="49" t="s">
        <v>3735</v>
      </c>
      <c r="B35" s="58">
        <v>2120</v>
      </c>
      <c r="G35" s="44"/>
      <c r="H35" s="28" t="s">
        <v>641</v>
      </c>
      <c r="I35" s="28" t="s">
        <v>94</v>
      </c>
      <c r="J35" s="28" t="s">
        <v>91</v>
      </c>
      <c r="K35" s="28" t="s">
        <v>401</v>
      </c>
      <c r="L35" s="42">
        <v>1500</v>
      </c>
      <c r="M35" s="43">
        <v>20073794.999999996</v>
      </c>
      <c r="N35" s="43">
        <v>97500000</v>
      </c>
      <c r="O35" s="54">
        <v>4.4155259947789469</v>
      </c>
    </row>
    <row r="36" spans="1:15">
      <c r="A36" s="49" t="s">
        <v>3827</v>
      </c>
      <c r="B36" s="58">
        <v>390</v>
      </c>
      <c r="G36" s="44"/>
      <c r="H36" s="44"/>
      <c r="I36" s="28" t="s">
        <v>438</v>
      </c>
      <c r="J36" s="28" t="s">
        <v>91</v>
      </c>
      <c r="K36" s="28" t="s">
        <v>401</v>
      </c>
      <c r="L36" s="42">
        <v>2060</v>
      </c>
      <c r="M36" s="43">
        <v>30456308.75</v>
      </c>
      <c r="N36" s="43">
        <v>152540000</v>
      </c>
      <c r="O36" s="54">
        <v>4.5531692107214816</v>
      </c>
    </row>
    <row r="37" spans="1:15">
      <c r="A37" s="49" t="s">
        <v>3869</v>
      </c>
      <c r="B37" s="58">
        <v>170</v>
      </c>
      <c r="G37" s="44"/>
      <c r="H37" s="50" t="s">
        <v>1630</v>
      </c>
      <c r="I37" s="51"/>
      <c r="J37" s="51"/>
      <c r="K37" s="51"/>
      <c r="L37" s="52">
        <v>3560</v>
      </c>
      <c r="M37" s="53">
        <v>50530103.75</v>
      </c>
      <c r="N37" s="53">
        <v>250040000</v>
      </c>
      <c r="O37" s="55">
        <v>4.4984885056581918</v>
      </c>
    </row>
    <row r="38" spans="1:15">
      <c r="A38" s="49" t="s">
        <v>4709</v>
      </c>
      <c r="B38" s="58">
        <v>278</v>
      </c>
      <c r="G38" s="45" t="s">
        <v>1631</v>
      </c>
      <c r="H38" s="46"/>
      <c r="I38" s="46"/>
      <c r="J38" s="46"/>
      <c r="K38" s="46"/>
      <c r="L38" s="47">
        <v>13060</v>
      </c>
      <c r="M38" s="48">
        <v>299224441.25</v>
      </c>
      <c r="N38" s="48">
        <v>1304640000</v>
      </c>
      <c r="O38" s="56">
        <v>3.963701490031152</v>
      </c>
    </row>
    <row r="39" spans="1:15">
      <c r="A39" s="49" t="s">
        <v>4955</v>
      </c>
      <c r="B39" s="58">
        <v>160</v>
      </c>
      <c r="G39" s="28" t="s">
        <v>671</v>
      </c>
      <c r="H39" s="28" t="s">
        <v>111</v>
      </c>
      <c r="I39" s="28">
        <v>11</v>
      </c>
      <c r="J39" s="28" t="s">
        <v>91</v>
      </c>
      <c r="K39" s="28" t="s">
        <v>401</v>
      </c>
      <c r="L39" s="42">
        <v>1090</v>
      </c>
      <c r="M39" s="43">
        <v>9901349.4000000004</v>
      </c>
      <c r="N39" s="43">
        <v>59950000</v>
      </c>
      <c r="O39" s="54">
        <v>5.5043002522464253</v>
      </c>
    </row>
    <row r="40" spans="1:15">
      <c r="A40" s="49" t="s">
        <v>5399</v>
      </c>
      <c r="B40" s="58">
        <v>80</v>
      </c>
      <c r="G40" s="44"/>
      <c r="H40" s="44"/>
      <c r="I40" s="28">
        <v>14</v>
      </c>
      <c r="J40" s="28" t="s">
        <v>91</v>
      </c>
      <c r="K40" s="28" t="s">
        <v>401</v>
      </c>
      <c r="L40" s="42">
        <v>240</v>
      </c>
      <c r="M40" s="43">
        <v>2719399.2</v>
      </c>
      <c r="N40" s="43">
        <v>14160000</v>
      </c>
      <c r="O40" s="54">
        <v>4.7336659041185536</v>
      </c>
    </row>
    <row r="41" spans="1:15">
      <c r="A41" s="49" t="s">
        <v>5455</v>
      </c>
      <c r="B41" s="58">
        <v>540</v>
      </c>
      <c r="G41" s="44"/>
      <c r="H41" s="44"/>
      <c r="I41" s="28">
        <v>20</v>
      </c>
      <c r="J41" s="28" t="s">
        <v>400</v>
      </c>
      <c r="K41" s="28" t="s">
        <v>401</v>
      </c>
      <c r="L41" s="42">
        <v>1200</v>
      </c>
      <c r="M41" s="43">
        <v>8556216.0000000019</v>
      </c>
      <c r="N41" s="43">
        <v>63600000</v>
      </c>
      <c r="O41" s="54">
        <v>6.7574476635678433</v>
      </c>
    </row>
    <row r="42" spans="1:15">
      <c r="A42" s="49" t="s">
        <v>5469</v>
      </c>
      <c r="B42" s="58">
        <v>100</v>
      </c>
      <c r="G42" s="44"/>
      <c r="H42" s="44"/>
      <c r="I42" s="28">
        <v>21</v>
      </c>
      <c r="J42" s="28" t="s">
        <v>91</v>
      </c>
      <c r="K42" s="28" t="s">
        <v>401</v>
      </c>
      <c r="L42" s="42">
        <v>410</v>
      </c>
      <c r="M42" s="43">
        <v>3572408.0999999996</v>
      </c>
      <c r="N42" s="43">
        <v>21170000</v>
      </c>
      <c r="O42" s="54">
        <v>5.3872497225203766</v>
      </c>
    </row>
    <row r="43" spans="1:15">
      <c r="A43" s="49" t="s">
        <v>5492</v>
      </c>
      <c r="B43" s="58">
        <v>5</v>
      </c>
      <c r="G43" s="44"/>
      <c r="H43" s="44"/>
      <c r="I43" s="28">
        <v>29</v>
      </c>
      <c r="J43" s="28" t="s">
        <v>400</v>
      </c>
      <c r="K43" s="28" t="s">
        <v>401</v>
      </c>
      <c r="L43" s="42">
        <v>600</v>
      </c>
      <c r="M43" s="43">
        <v>5600058.0000000009</v>
      </c>
      <c r="N43" s="43">
        <v>33000000</v>
      </c>
      <c r="O43" s="54">
        <v>5.357087373023635</v>
      </c>
    </row>
    <row r="44" spans="1:15">
      <c r="A44" s="49" t="s">
        <v>5618</v>
      </c>
      <c r="B44" s="58">
        <v>20</v>
      </c>
      <c r="G44" s="44"/>
      <c r="H44" s="44"/>
      <c r="I44" s="28" t="s">
        <v>438</v>
      </c>
      <c r="J44" s="28" t="s">
        <v>91</v>
      </c>
      <c r="K44" s="28" t="s">
        <v>401</v>
      </c>
      <c r="L44" s="42">
        <v>1250</v>
      </c>
      <c r="M44" s="43">
        <v>9246255.0000000019</v>
      </c>
      <c r="N44" s="43">
        <v>56250000</v>
      </c>
      <c r="O44" s="54">
        <v>5.5304946312170298</v>
      </c>
    </row>
    <row r="45" spans="1:15">
      <c r="A45" s="49" t="s">
        <v>5655</v>
      </c>
      <c r="B45" s="58">
        <v>17</v>
      </c>
      <c r="G45" s="44"/>
      <c r="H45" s="44"/>
      <c r="I45" s="28" t="s">
        <v>470</v>
      </c>
      <c r="J45" s="28" t="s">
        <v>91</v>
      </c>
      <c r="K45" s="28" t="s">
        <v>401</v>
      </c>
      <c r="L45" s="42">
        <v>450</v>
      </c>
      <c r="M45" s="43">
        <v>4103788.0000000005</v>
      </c>
      <c r="N45" s="43">
        <v>24750000</v>
      </c>
      <c r="O45" s="54">
        <v>5.4827393617798963</v>
      </c>
    </row>
    <row r="46" spans="1:15">
      <c r="A46" s="49" t="s">
        <v>3741</v>
      </c>
      <c r="B46" s="58">
        <v>39</v>
      </c>
      <c r="G46" s="44"/>
      <c r="H46" s="50" t="s">
        <v>1622</v>
      </c>
      <c r="I46" s="51"/>
      <c r="J46" s="51"/>
      <c r="K46" s="51"/>
      <c r="L46" s="52">
        <v>5240</v>
      </c>
      <c r="M46" s="53">
        <v>43699473.700000003</v>
      </c>
      <c r="N46" s="53">
        <v>272880000</v>
      </c>
      <c r="O46" s="55">
        <v>5.6767898161832377</v>
      </c>
    </row>
    <row r="47" spans="1:15">
      <c r="A47" s="49" t="s">
        <v>5746</v>
      </c>
      <c r="B47" s="58">
        <v>12</v>
      </c>
      <c r="G47" s="44"/>
      <c r="H47" s="28" t="s">
        <v>93</v>
      </c>
      <c r="I47" s="28" t="s">
        <v>485</v>
      </c>
      <c r="J47" s="29"/>
      <c r="K47" s="29"/>
      <c r="L47" s="42">
        <v>550</v>
      </c>
      <c r="M47" s="43">
        <v>3839825.0000000005</v>
      </c>
      <c r="N47" s="43">
        <v>24750000</v>
      </c>
      <c r="O47" s="54">
        <v>5.8596420409784287</v>
      </c>
    </row>
    <row r="48" spans="1:15">
      <c r="A48" s="49" t="s">
        <v>6246</v>
      </c>
      <c r="B48" s="58">
        <v>26</v>
      </c>
      <c r="G48" s="44"/>
      <c r="H48" s="50" t="s">
        <v>1632</v>
      </c>
      <c r="I48" s="51"/>
      <c r="J48" s="51"/>
      <c r="K48" s="51"/>
      <c r="L48" s="52">
        <v>550</v>
      </c>
      <c r="M48" s="53">
        <v>3839825.0000000005</v>
      </c>
      <c r="N48" s="53">
        <v>24750000</v>
      </c>
      <c r="O48" s="55">
        <v>5.8596420409784287</v>
      </c>
    </row>
    <row r="49" spans="1:15">
      <c r="A49" s="34" t="s">
        <v>2</v>
      </c>
      <c r="B49" s="35">
        <v>141378</v>
      </c>
      <c r="G49" s="44"/>
      <c r="H49" s="28" t="s">
        <v>780</v>
      </c>
      <c r="I49" s="28" t="s">
        <v>514</v>
      </c>
      <c r="J49" s="28" t="s">
        <v>91</v>
      </c>
      <c r="K49" s="28" t="s">
        <v>401</v>
      </c>
      <c r="L49" s="42">
        <v>800</v>
      </c>
      <c r="M49" s="43">
        <v>4416000</v>
      </c>
      <c r="N49" s="43">
        <v>18400000</v>
      </c>
      <c r="O49" s="54">
        <v>3.7878787878787881</v>
      </c>
    </row>
    <row r="50" spans="1:15">
      <c r="G50" s="44"/>
      <c r="H50" s="50" t="s">
        <v>1629</v>
      </c>
      <c r="I50" s="51"/>
      <c r="J50" s="51"/>
      <c r="K50" s="51"/>
      <c r="L50" s="52">
        <v>800</v>
      </c>
      <c r="M50" s="53">
        <v>4416000</v>
      </c>
      <c r="N50" s="53">
        <v>18400000</v>
      </c>
      <c r="O50" s="55">
        <v>3.7878787878787881</v>
      </c>
    </row>
    <row r="51" spans="1:15">
      <c r="G51" s="44"/>
      <c r="H51" s="28" t="s">
        <v>179</v>
      </c>
      <c r="I51" s="28">
        <v>10</v>
      </c>
      <c r="J51" s="28" t="s">
        <v>91</v>
      </c>
      <c r="K51" s="28" t="s">
        <v>401</v>
      </c>
      <c r="L51" s="42">
        <v>725</v>
      </c>
      <c r="M51" s="43">
        <v>5073127.1739130439</v>
      </c>
      <c r="N51" s="43">
        <v>34125000</v>
      </c>
      <c r="O51" s="54">
        <v>6.1151093219684816</v>
      </c>
    </row>
    <row r="52" spans="1:15">
      <c r="G52" s="44"/>
      <c r="H52" s="44"/>
      <c r="I52" s="28">
        <v>11</v>
      </c>
      <c r="J52" s="28" t="s">
        <v>91</v>
      </c>
      <c r="K52" s="28" t="s">
        <v>401</v>
      </c>
      <c r="L52" s="42">
        <v>150</v>
      </c>
      <c r="M52" s="43">
        <v>1736130</v>
      </c>
      <c r="N52" s="43">
        <v>8850000</v>
      </c>
      <c r="O52" s="54">
        <v>4.6341313988321984</v>
      </c>
    </row>
    <row r="53" spans="1:15">
      <c r="G53" s="44"/>
      <c r="H53" s="44"/>
      <c r="I53" s="28" t="s">
        <v>130</v>
      </c>
      <c r="J53" s="28" t="s">
        <v>400</v>
      </c>
      <c r="K53" s="28" t="s">
        <v>401</v>
      </c>
      <c r="L53" s="42">
        <v>500</v>
      </c>
      <c r="M53" s="43">
        <v>3790760</v>
      </c>
      <c r="N53" s="43">
        <v>25000000</v>
      </c>
      <c r="O53" s="54">
        <v>5.9954396288007485</v>
      </c>
    </row>
    <row r="54" spans="1:15">
      <c r="G54" s="44"/>
      <c r="H54" s="50" t="s">
        <v>1623</v>
      </c>
      <c r="I54" s="51"/>
      <c r="J54" s="51"/>
      <c r="K54" s="51"/>
      <c r="L54" s="52">
        <v>1375</v>
      </c>
      <c r="M54" s="53">
        <v>10600017.173913043</v>
      </c>
      <c r="N54" s="53">
        <v>67975000</v>
      </c>
      <c r="O54" s="55">
        <v>5.8297504175309252</v>
      </c>
    </row>
    <row r="55" spans="1:15">
      <c r="G55" s="45" t="s">
        <v>1633</v>
      </c>
      <c r="H55" s="46"/>
      <c r="I55" s="46"/>
      <c r="J55" s="46"/>
      <c r="K55" s="46"/>
      <c r="L55" s="47">
        <v>7965</v>
      </c>
      <c r="M55" s="48">
        <v>62555315.87391305</v>
      </c>
      <c r="N55" s="48">
        <v>384005000</v>
      </c>
      <c r="O55" s="56">
        <v>5.5805881509589659</v>
      </c>
    </row>
    <row r="56" spans="1:15">
      <c r="G56" s="28" t="s">
        <v>1318</v>
      </c>
      <c r="H56" s="28" t="s">
        <v>179</v>
      </c>
      <c r="I56" s="28">
        <v>11</v>
      </c>
      <c r="J56" s="28" t="s">
        <v>91</v>
      </c>
      <c r="K56" s="28" t="s">
        <v>401</v>
      </c>
      <c r="L56" s="42">
        <v>480</v>
      </c>
      <c r="M56" s="43">
        <v>4373094.4000000004</v>
      </c>
      <c r="N56" s="43">
        <v>21600000</v>
      </c>
      <c r="O56" s="54">
        <v>4.4902674948804293</v>
      </c>
    </row>
    <row r="57" spans="1:15">
      <c r="G57" s="44"/>
      <c r="H57" s="50" t="s">
        <v>1623</v>
      </c>
      <c r="I57" s="51"/>
      <c r="J57" s="51"/>
      <c r="K57" s="51"/>
      <c r="L57" s="52">
        <v>480</v>
      </c>
      <c r="M57" s="53">
        <v>4373094.4000000004</v>
      </c>
      <c r="N57" s="53">
        <v>21600000</v>
      </c>
      <c r="O57" s="55">
        <v>4.4902674948804293</v>
      </c>
    </row>
    <row r="58" spans="1:15">
      <c r="G58" s="45" t="s">
        <v>1634</v>
      </c>
      <c r="H58" s="46"/>
      <c r="I58" s="46"/>
      <c r="J58" s="46"/>
      <c r="K58" s="46"/>
      <c r="L58" s="47">
        <v>480</v>
      </c>
      <c r="M58" s="48">
        <v>4373094.4000000004</v>
      </c>
      <c r="N58" s="48">
        <v>21600000</v>
      </c>
      <c r="O58" s="56">
        <v>4.4902674948804293</v>
      </c>
    </row>
    <row r="59" spans="1:15">
      <c r="G59" s="28" t="s">
        <v>632</v>
      </c>
      <c r="H59" s="28" t="s">
        <v>179</v>
      </c>
      <c r="I59" s="28">
        <v>17</v>
      </c>
      <c r="J59" s="28" t="s">
        <v>400</v>
      </c>
      <c r="K59" s="28" t="s">
        <v>401</v>
      </c>
      <c r="L59" s="42">
        <v>290</v>
      </c>
      <c r="M59" s="43">
        <v>1327922.7000000002</v>
      </c>
      <c r="N59" s="43">
        <v>15370000</v>
      </c>
      <c r="O59" s="54">
        <v>10.522244459506016</v>
      </c>
    </row>
    <row r="60" spans="1:15">
      <c r="G60" s="44"/>
      <c r="H60" s="44"/>
      <c r="I60" s="28" t="s">
        <v>112</v>
      </c>
      <c r="J60" s="28" t="s">
        <v>91</v>
      </c>
      <c r="K60" s="28" t="s">
        <v>401</v>
      </c>
      <c r="L60" s="42">
        <v>900</v>
      </c>
      <c r="M60" s="43">
        <v>5999265.0000000019</v>
      </c>
      <c r="N60" s="43">
        <v>40500000</v>
      </c>
      <c r="O60" s="54">
        <v>6.1371154330041771</v>
      </c>
    </row>
    <row r="61" spans="1:15">
      <c r="G61" s="44"/>
      <c r="H61" s="44"/>
      <c r="I61" s="28" t="s">
        <v>514</v>
      </c>
      <c r="J61" s="28" t="s">
        <v>91</v>
      </c>
      <c r="K61" s="28" t="s">
        <v>401</v>
      </c>
      <c r="L61" s="42">
        <v>1400</v>
      </c>
      <c r="M61" s="43">
        <v>11623547</v>
      </c>
      <c r="N61" s="43">
        <v>74800000</v>
      </c>
      <c r="O61" s="54">
        <v>5.8501935768832007</v>
      </c>
    </row>
    <row r="62" spans="1:15">
      <c r="G62" s="44"/>
      <c r="H62" s="50" t="s">
        <v>1623</v>
      </c>
      <c r="I62" s="51"/>
      <c r="J62" s="51"/>
      <c r="K62" s="51"/>
      <c r="L62" s="52">
        <v>2590</v>
      </c>
      <c r="M62" s="53">
        <v>18950734.700000003</v>
      </c>
      <c r="N62" s="53">
        <v>130670000</v>
      </c>
      <c r="O62" s="55">
        <v>6.268406527315749</v>
      </c>
    </row>
    <row r="63" spans="1:15">
      <c r="G63" s="45" t="s">
        <v>1635</v>
      </c>
      <c r="H63" s="46"/>
      <c r="I63" s="46"/>
      <c r="J63" s="46"/>
      <c r="K63" s="46"/>
      <c r="L63" s="47">
        <v>2590</v>
      </c>
      <c r="M63" s="48">
        <v>18950734.700000003</v>
      </c>
      <c r="N63" s="48">
        <v>130670000</v>
      </c>
      <c r="O63" s="56">
        <v>6.268406527315749</v>
      </c>
    </row>
    <row r="64" spans="1:15">
      <c r="G64" s="28" t="s">
        <v>1841</v>
      </c>
      <c r="H64" s="28" t="s">
        <v>1848</v>
      </c>
      <c r="I64" s="28" t="s">
        <v>130</v>
      </c>
      <c r="J64" s="28" t="s">
        <v>91</v>
      </c>
      <c r="K64" s="28" t="s">
        <v>2173</v>
      </c>
      <c r="L64" s="42">
        <v>300</v>
      </c>
      <c r="M64" s="43">
        <v>5956000</v>
      </c>
      <c r="N64" s="43">
        <v>25700000</v>
      </c>
      <c r="O64" s="54">
        <v>3.9227059039013366</v>
      </c>
    </row>
    <row r="65" spans="7:15">
      <c r="G65" s="44"/>
      <c r="H65" s="44"/>
      <c r="I65" s="28" t="s">
        <v>438</v>
      </c>
      <c r="J65" s="28" t="s">
        <v>400</v>
      </c>
      <c r="K65" s="28" t="s">
        <v>401</v>
      </c>
      <c r="L65" s="42">
        <v>100</v>
      </c>
      <c r="M65" s="43">
        <v>982000</v>
      </c>
      <c r="N65" s="43">
        <v>4500000</v>
      </c>
      <c r="O65" s="54">
        <v>4.1658952045917426</v>
      </c>
    </row>
    <row r="66" spans="7:15">
      <c r="G66" s="44"/>
      <c r="H66" s="44"/>
      <c r="I66" s="28" t="s">
        <v>470</v>
      </c>
      <c r="J66" s="28" t="s">
        <v>91</v>
      </c>
      <c r="K66" s="28" t="s">
        <v>401</v>
      </c>
      <c r="L66" s="42">
        <v>150</v>
      </c>
      <c r="M66" s="43">
        <v>3528000</v>
      </c>
      <c r="N66" s="43">
        <v>16350000</v>
      </c>
      <c r="O66" s="54">
        <v>4.2130488559059982</v>
      </c>
    </row>
    <row r="67" spans="7:15">
      <c r="G67" s="44"/>
      <c r="H67" s="50" t="s">
        <v>1850</v>
      </c>
      <c r="I67" s="51"/>
      <c r="J67" s="51"/>
      <c r="K67" s="51"/>
      <c r="L67" s="52">
        <v>550</v>
      </c>
      <c r="M67" s="53">
        <v>10466000</v>
      </c>
      <c r="N67" s="53">
        <v>46550000</v>
      </c>
      <c r="O67" s="55">
        <v>4.0433959314142767</v>
      </c>
    </row>
    <row r="68" spans="7:15">
      <c r="G68" s="45" t="s">
        <v>1851</v>
      </c>
      <c r="H68" s="46"/>
      <c r="I68" s="46"/>
      <c r="J68" s="46"/>
      <c r="K68" s="46"/>
      <c r="L68" s="47">
        <v>550</v>
      </c>
      <c r="M68" s="48">
        <v>10466000</v>
      </c>
      <c r="N68" s="48">
        <v>46550000</v>
      </c>
      <c r="O68" s="56">
        <v>4.0433959314142767</v>
      </c>
    </row>
    <row r="69" spans="7:15">
      <c r="G69" s="28" t="s">
        <v>1393</v>
      </c>
      <c r="H69" s="28" t="s">
        <v>111</v>
      </c>
      <c r="I69" s="28">
        <v>18</v>
      </c>
      <c r="J69" s="28" t="s">
        <v>91</v>
      </c>
      <c r="K69" s="28" t="s">
        <v>2173</v>
      </c>
      <c r="L69" s="42">
        <v>150</v>
      </c>
      <c r="M69" s="43">
        <v>1002972.0000000002</v>
      </c>
      <c r="N69" s="43">
        <v>6450000</v>
      </c>
      <c r="O69" s="54">
        <v>5.8462612751266851</v>
      </c>
    </row>
    <row r="70" spans="7:15">
      <c r="G70" s="44"/>
      <c r="H70" s="44"/>
      <c r="I70" s="28">
        <v>19</v>
      </c>
      <c r="J70" s="28" t="s">
        <v>91</v>
      </c>
      <c r="K70" s="28" t="s">
        <v>2173</v>
      </c>
      <c r="L70" s="42">
        <v>120</v>
      </c>
      <c r="M70" s="43">
        <v>1056847.2000000002</v>
      </c>
      <c r="N70" s="43">
        <v>5400000</v>
      </c>
      <c r="O70" s="54">
        <v>4.6450337466862832</v>
      </c>
    </row>
    <row r="71" spans="7:15">
      <c r="G71" s="44"/>
      <c r="H71" s="44"/>
      <c r="I71" s="28" t="s">
        <v>130</v>
      </c>
      <c r="J71" s="28" t="s">
        <v>91</v>
      </c>
      <c r="K71" s="28" t="s">
        <v>2173</v>
      </c>
      <c r="L71" s="42">
        <v>700</v>
      </c>
      <c r="M71" s="43">
        <v>4133038</v>
      </c>
      <c r="N71" s="43">
        <v>23100000</v>
      </c>
      <c r="O71" s="54">
        <v>5.0810082075219238</v>
      </c>
    </row>
    <row r="72" spans="7:15">
      <c r="G72" s="44"/>
      <c r="H72" s="44"/>
      <c r="I72" s="28" t="s">
        <v>94</v>
      </c>
      <c r="J72" s="28" t="s">
        <v>91</v>
      </c>
      <c r="K72" s="28" t="s">
        <v>2173</v>
      </c>
      <c r="L72" s="42">
        <v>300</v>
      </c>
      <c r="M72" s="43">
        <v>2356554.0000000005</v>
      </c>
      <c r="N72" s="43">
        <v>13500000</v>
      </c>
      <c r="O72" s="54">
        <v>5.2079126015051083</v>
      </c>
    </row>
    <row r="73" spans="7:15">
      <c r="G73" s="44"/>
      <c r="H73" s="50" t="s">
        <v>1622</v>
      </c>
      <c r="I73" s="51"/>
      <c r="J73" s="51"/>
      <c r="K73" s="51"/>
      <c r="L73" s="52">
        <v>1270</v>
      </c>
      <c r="M73" s="53">
        <v>8549411.2000000011</v>
      </c>
      <c r="N73" s="53">
        <v>48450000</v>
      </c>
      <c r="O73" s="55">
        <v>5.1518699375992743</v>
      </c>
    </row>
    <row r="74" spans="7:15">
      <c r="G74" s="44"/>
      <c r="H74" s="28" t="s">
        <v>93</v>
      </c>
      <c r="I74" s="28" t="s">
        <v>130</v>
      </c>
      <c r="J74" s="28" t="s">
        <v>400</v>
      </c>
      <c r="K74" s="28" t="s">
        <v>2173</v>
      </c>
      <c r="L74" s="42">
        <v>250</v>
      </c>
      <c r="M74" s="43">
        <v>1993062.5000000005</v>
      </c>
      <c r="N74" s="43">
        <v>13750000</v>
      </c>
      <c r="O74" s="54">
        <v>6.2717551506789162</v>
      </c>
    </row>
    <row r="75" spans="7:15">
      <c r="G75" s="44"/>
      <c r="H75" s="44"/>
      <c r="I75" s="28" t="s">
        <v>470</v>
      </c>
      <c r="J75" s="28" t="s">
        <v>91</v>
      </c>
      <c r="K75" s="28" t="s">
        <v>2173</v>
      </c>
      <c r="L75" s="42">
        <v>280</v>
      </c>
      <c r="M75" s="43">
        <v>1581020.0000000002</v>
      </c>
      <c r="N75" s="43">
        <v>9240000</v>
      </c>
      <c r="O75" s="54">
        <v>5.313025768174974</v>
      </c>
    </row>
    <row r="76" spans="7:15">
      <c r="G76" s="44"/>
      <c r="H76" s="44"/>
      <c r="I76" s="28" t="s">
        <v>180</v>
      </c>
      <c r="J76" s="28" t="s">
        <v>400</v>
      </c>
      <c r="K76" s="28" t="s">
        <v>2173</v>
      </c>
      <c r="L76" s="42">
        <v>1400</v>
      </c>
      <c r="M76" s="43">
        <v>9773750</v>
      </c>
      <c r="N76" s="43">
        <v>60200000</v>
      </c>
      <c r="O76" s="54">
        <v>5.5994140148124032</v>
      </c>
    </row>
    <row r="77" spans="7:15">
      <c r="G77" s="44"/>
      <c r="H77" s="44"/>
      <c r="I77" s="28" t="s">
        <v>235</v>
      </c>
      <c r="J77" s="28" t="s">
        <v>400</v>
      </c>
      <c r="K77" s="28" t="s">
        <v>2173</v>
      </c>
      <c r="L77" s="42">
        <v>800</v>
      </c>
      <c r="M77" s="43">
        <v>5061950</v>
      </c>
      <c r="N77" s="43">
        <v>36000000</v>
      </c>
      <c r="O77" s="54">
        <v>6.465348872919078</v>
      </c>
    </row>
    <row r="78" spans="7:15">
      <c r="G78" s="44"/>
      <c r="H78" s="50" t="s">
        <v>1632</v>
      </c>
      <c r="I78" s="51"/>
      <c r="J78" s="51"/>
      <c r="K78" s="51"/>
      <c r="L78" s="52">
        <v>2730</v>
      </c>
      <c r="M78" s="53">
        <v>18409782.5</v>
      </c>
      <c r="N78" s="53">
        <v>119190000</v>
      </c>
      <c r="O78" s="55">
        <v>5.8857048123488394</v>
      </c>
    </row>
    <row r="79" spans="7:15">
      <c r="G79" s="44"/>
      <c r="H79" s="28" t="s">
        <v>179</v>
      </c>
      <c r="I79" s="28">
        <v>12</v>
      </c>
      <c r="J79" s="28" t="s">
        <v>91</v>
      </c>
      <c r="K79" s="28" t="s">
        <v>2173</v>
      </c>
      <c r="L79" s="42">
        <v>2000</v>
      </c>
      <c r="M79" s="43">
        <v>10867432.000000002</v>
      </c>
      <c r="N79" s="43">
        <v>72000000</v>
      </c>
      <c r="O79" s="54">
        <v>6.0230002317516629</v>
      </c>
    </row>
    <row r="80" spans="7:15">
      <c r="G80" s="44"/>
      <c r="H80" s="50" t="s">
        <v>1623</v>
      </c>
      <c r="I80" s="51"/>
      <c r="J80" s="51"/>
      <c r="K80" s="51"/>
      <c r="L80" s="52">
        <v>2000</v>
      </c>
      <c r="M80" s="53">
        <v>10867432.000000002</v>
      </c>
      <c r="N80" s="53">
        <v>72000000</v>
      </c>
      <c r="O80" s="55">
        <v>6.0230002317516629</v>
      </c>
    </row>
    <row r="81" spans="7:15">
      <c r="G81" s="44"/>
      <c r="H81" s="28" t="s">
        <v>252</v>
      </c>
      <c r="I81" s="28" t="s">
        <v>130</v>
      </c>
      <c r="J81" s="28" t="s">
        <v>91</v>
      </c>
      <c r="K81" s="28" t="s">
        <v>401</v>
      </c>
      <c r="L81" s="42">
        <v>1000</v>
      </c>
      <c r="M81" s="43">
        <v>4051784.0000000009</v>
      </c>
      <c r="N81" s="43">
        <v>33000000</v>
      </c>
      <c r="O81" s="54">
        <v>7.4041459268312408</v>
      </c>
    </row>
    <row r="82" spans="7:15">
      <c r="G82" s="44"/>
      <c r="H82" s="44"/>
      <c r="I82" s="28" t="s">
        <v>235</v>
      </c>
      <c r="J82" s="28" t="s">
        <v>400</v>
      </c>
      <c r="K82" s="28" t="s">
        <v>2173</v>
      </c>
      <c r="L82" s="42">
        <v>100</v>
      </c>
      <c r="M82" s="43">
        <v>431105.60000000003</v>
      </c>
      <c r="N82" s="43">
        <v>3300000</v>
      </c>
      <c r="O82" s="54">
        <v>6.958851845116369</v>
      </c>
    </row>
    <row r="83" spans="7:15">
      <c r="G83" s="44"/>
      <c r="H83" s="50" t="s">
        <v>1636</v>
      </c>
      <c r="I83" s="51"/>
      <c r="J83" s="51"/>
      <c r="K83" s="51"/>
      <c r="L83" s="52">
        <v>1100</v>
      </c>
      <c r="M83" s="53">
        <v>4482889.6000000006</v>
      </c>
      <c r="N83" s="53">
        <v>36300000</v>
      </c>
      <c r="O83" s="55">
        <v>7.361323374994555</v>
      </c>
    </row>
    <row r="84" spans="7:15">
      <c r="G84" s="44"/>
      <c r="H84" s="28" t="s">
        <v>1047</v>
      </c>
      <c r="I84" s="28" t="s">
        <v>130</v>
      </c>
      <c r="J84" s="28" t="s">
        <v>91</v>
      </c>
      <c r="K84" s="28" t="s">
        <v>2173</v>
      </c>
      <c r="L84" s="42">
        <v>80</v>
      </c>
      <c r="M84" s="43">
        <v>365272.00000000006</v>
      </c>
      <c r="N84" s="43">
        <v>2800000</v>
      </c>
      <c r="O84" s="54">
        <v>6.9686549898556285</v>
      </c>
    </row>
    <row r="85" spans="7:15">
      <c r="G85" s="44"/>
      <c r="H85" s="44"/>
      <c r="I85" s="28" t="s">
        <v>514</v>
      </c>
      <c r="J85" s="28" t="s">
        <v>91</v>
      </c>
      <c r="K85" s="28" t="s">
        <v>2173</v>
      </c>
      <c r="L85" s="42">
        <v>1840</v>
      </c>
      <c r="M85" s="43">
        <v>11413885.199999999</v>
      </c>
      <c r="N85" s="43">
        <v>81160000</v>
      </c>
      <c r="O85" s="54">
        <v>6.4642158992293153</v>
      </c>
    </row>
    <row r="86" spans="7:15">
      <c r="G86" s="44"/>
      <c r="H86" s="50" t="s">
        <v>1637</v>
      </c>
      <c r="I86" s="51"/>
      <c r="J86" s="51"/>
      <c r="K86" s="51"/>
      <c r="L86" s="52">
        <v>1920</v>
      </c>
      <c r="M86" s="53">
        <v>11779157.199999999</v>
      </c>
      <c r="N86" s="53">
        <v>83960000</v>
      </c>
      <c r="O86" s="55">
        <v>6.4798585697856828</v>
      </c>
    </row>
    <row r="87" spans="7:15">
      <c r="G87" s="44"/>
      <c r="H87" s="28" t="s">
        <v>1113</v>
      </c>
      <c r="I87" s="28" t="s">
        <v>130</v>
      </c>
      <c r="J87" s="28" t="s">
        <v>91</v>
      </c>
      <c r="K87" s="28" t="s">
        <v>401</v>
      </c>
      <c r="L87" s="42">
        <v>300</v>
      </c>
      <c r="M87" s="43">
        <v>2646000</v>
      </c>
      <c r="N87" s="43">
        <v>13500000</v>
      </c>
      <c r="O87" s="54">
        <v>4.6382189239332092</v>
      </c>
    </row>
    <row r="88" spans="7:15">
      <c r="G88" s="44"/>
      <c r="H88" s="50" t="s">
        <v>1638</v>
      </c>
      <c r="I88" s="51"/>
      <c r="J88" s="51"/>
      <c r="K88" s="51"/>
      <c r="L88" s="52">
        <v>300</v>
      </c>
      <c r="M88" s="53">
        <v>2646000</v>
      </c>
      <c r="N88" s="53">
        <v>13500000</v>
      </c>
      <c r="O88" s="55">
        <v>4.6382189239332092</v>
      </c>
    </row>
    <row r="89" spans="7:15">
      <c r="G89" s="45" t="s">
        <v>1639</v>
      </c>
      <c r="H89" s="46"/>
      <c r="I89" s="46"/>
      <c r="J89" s="46"/>
      <c r="K89" s="46"/>
      <c r="L89" s="47">
        <v>9320</v>
      </c>
      <c r="M89" s="48">
        <v>56734672.5</v>
      </c>
      <c r="N89" s="48">
        <v>373400000</v>
      </c>
      <c r="O89" s="56">
        <v>5.9831938829742146</v>
      </c>
    </row>
    <row r="90" spans="7:15">
      <c r="G90" s="28" t="s">
        <v>1501</v>
      </c>
      <c r="H90" s="28" t="s">
        <v>111</v>
      </c>
      <c r="I90" s="28">
        <v>12</v>
      </c>
      <c r="J90" s="28" t="s">
        <v>91</v>
      </c>
      <c r="K90" s="28" t="s">
        <v>2173</v>
      </c>
      <c r="L90" s="42">
        <v>900</v>
      </c>
      <c r="M90" s="43">
        <v>7090110.0000000019</v>
      </c>
      <c r="N90" s="43">
        <v>44100000</v>
      </c>
      <c r="O90" s="54">
        <v>5.6544833706259956</v>
      </c>
    </row>
    <row r="91" spans="7:15">
      <c r="G91" s="44"/>
      <c r="H91" s="44"/>
      <c r="I91" s="28">
        <v>13</v>
      </c>
      <c r="J91" s="28" t="s">
        <v>91</v>
      </c>
      <c r="K91" s="28" t="s">
        <v>2173</v>
      </c>
      <c r="L91" s="42">
        <v>800</v>
      </c>
      <c r="M91" s="43">
        <v>7106836</v>
      </c>
      <c r="N91" s="43">
        <v>44000000</v>
      </c>
      <c r="O91" s="54">
        <v>5.6283837139340207</v>
      </c>
    </row>
    <row r="92" spans="7:15">
      <c r="G92" s="44"/>
      <c r="H92" s="50" t="s">
        <v>1622</v>
      </c>
      <c r="I92" s="51"/>
      <c r="J92" s="51"/>
      <c r="K92" s="51"/>
      <c r="L92" s="52">
        <v>1700</v>
      </c>
      <c r="M92" s="53">
        <v>14196946.000000002</v>
      </c>
      <c r="N92" s="53">
        <v>88100000</v>
      </c>
      <c r="O92" s="55">
        <v>5.6414181677460116</v>
      </c>
    </row>
    <row r="93" spans="7:15">
      <c r="G93" s="45" t="s">
        <v>1640</v>
      </c>
      <c r="H93" s="46"/>
      <c r="I93" s="46"/>
      <c r="J93" s="46"/>
      <c r="K93" s="46"/>
      <c r="L93" s="47">
        <v>1700</v>
      </c>
      <c r="M93" s="48">
        <v>14196946.000000002</v>
      </c>
      <c r="N93" s="48">
        <v>88100000</v>
      </c>
      <c r="O93" s="56">
        <v>5.6414181677460116</v>
      </c>
    </row>
    <row r="94" spans="7:15">
      <c r="G94" s="28" t="s">
        <v>1190</v>
      </c>
      <c r="H94" s="28" t="s">
        <v>111</v>
      </c>
      <c r="I94" s="28">
        <v>15</v>
      </c>
      <c r="J94" s="28" t="s">
        <v>91</v>
      </c>
      <c r="K94" s="28" t="s">
        <v>401</v>
      </c>
      <c r="L94" s="42">
        <v>1800</v>
      </c>
      <c r="M94" s="43">
        <v>14692488</v>
      </c>
      <c r="N94" s="43">
        <v>83400000</v>
      </c>
      <c r="O94" s="54">
        <v>5.1603364806683398</v>
      </c>
    </row>
    <row r="95" spans="7:15">
      <c r="G95" s="44"/>
      <c r="H95" s="44"/>
      <c r="I95" s="28" t="s">
        <v>235</v>
      </c>
      <c r="J95" s="28" t="s">
        <v>91</v>
      </c>
      <c r="K95" s="28" t="s">
        <v>401</v>
      </c>
      <c r="L95" s="42">
        <v>450</v>
      </c>
      <c r="M95" s="43">
        <v>3381534</v>
      </c>
      <c r="N95" s="43">
        <v>22050000</v>
      </c>
      <c r="O95" s="54">
        <v>5.927917491131109</v>
      </c>
    </row>
    <row r="96" spans="7:15">
      <c r="G96" s="44"/>
      <c r="H96" s="50" t="s">
        <v>1622</v>
      </c>
      <c r="I96" s="51"/>
      <c r="J96" s="51"/>
      <c r="K96" s="51"/>
      <c r="L96" s="52">
        <v>2250</v>
      </c>
      <c r="M96" s="53">
        <v>18074022</v>
      </c>
      <c r="N96" s="53">
        <v>105450000</v>
      </c>
      <c r="O96" s="55">
        <v>5.3039459818980159</v>
      </c>
    </row>
    <row r="97" spans="7:15">
      <c r="G97" s="45" t="s">
        <v>1641</v>
      </c>
      <c r="H97" s="46"/>
      <c r="I97" s="46"/>
      <c r="J97" s="46"/>
      <c r="K97" s="46"/>
      <c r="L97" s="47">
        <v>2250</v>
      </c>
      <c r="M97" s="48">
        <v>18074022</v>
      </c>
      <c r="N97" s="48">
        <v>105450000</v>
      </c>
      <c r="O97" s="56">
        <v>5.3039459818980159</v>
      </c>
    </row>
    <row r="98" spans="7:15">
      <c r="G98" s="28" t="s">
        <v>1019</v>
      </c>
      <c r="H98" s="28" t="s">
        <v>252</v>
      </c>
      <c r="I98" s="28" t="s">
        <v>470</v>
      </c>
      <c r="J98" s="28" t="s">
        <v>91</v>
      </c>
      <c r="K98" s="28" t="s">
        <v>401</v>
      </c>
      <c r="L98" s="42">
        <v>500</v>
      </c>
      <c r="M98" s="43">
        <v>2669785</v>
      </c>
      <c r="N98" s="43">
        <v>17500000</v>
      </c>
      <c r="O98" s="54">
        <v>5.9589408544474205</v>
      </c>
    </row>
    <row r="99" spans="7:15">
      <c r="G99" s="44"/>
      <c r="H99" s="50" t="s">
        <v>1636</v>
      </c>
      <c r="I99" s="51"/>
      <c r="J99" s="51"/>
      <c r="K99" s="51"/>
      <c r="L99" s="52">
        <v>500</v>
      </c>
      <c r="M99" s="53">
        <v>2669785</v>
      </c>
      <c r="N99" s="53">
        <v>17500000</v>
      </c>
      <c r="O99" s="55">
        <v>5.9589408544474205</v>
      </c>
    </row>
    <row r="100" spans="7:15">
      <c r="G100" s="44"/>
      <c r="H100" s="28" t="s">
        <v>1047</v>
      </c>
      <c r="I100" s="28" t="s">
        <v>438</v>
      </c>
      <c r="J100" s="28" t="s">
        <v>91</v>
      </c>
      <c r="K100" s="28" t="s">
        <v>401</v>
      </c>
      <c r="L100" s="42">
        <v>2040</v>
      </c>
      <c r="M100" s="43">
        <v>10828508.600000001</v>
      </c>
      <c r="N100" s="43">
        <v>79560000</v>
      </c>
      <c r="O100" s="54">
        <v>6.6793383464896277</v>
      </c>
    </row>
    <row r="101" spans="7:15">
      <c r="G101" s="44"/>
      <c r="H101" s="44"/>
      <c r="I101" s="28" t="s">
        <v>470</v>
      </c>
      <c r="J101" s="28" t="s">
        <v>91</v>
      </c>
      <c r="K101" s="28" t="s">
        <v>401</v>
      </c>
      <c r="L101" s="42">
        <v>1570</v>
      </c>
      <c r="M101" s="43">
        <v>7287755.3999999994</v>
      </c>
      <c r="N101" s="43">
        <v>61230000</v>
      </c>
      <c r="O101" s="54">
        <v>7.6379671529091606</v>
      </c>
    </row>
    <row r="102" spans="7:15">
      <c r="G102" s="44"/>
      <c r="H102" s="44"/>
      <c r="I102" s="28" t="s">
        <v>485</v>
      </c>
      <c r="J102" s="29"/>
      <c r="K102" s="29"/>
      <c r="L102" s="42">
        <v>800</v>
      </c>
      <c r="M102" s="43">
        <v>6261604</v>
      </c>
      <c r="N102" s="43">
        <v>42400000</v>
      </c>
      <c r="O102" s="54">
        <v>6.155843541919058</v>
      </c>
    </row>
    <row r="103" spans="7:15">
      <c r="G103" s="44"/>
      <c r="H103" s="50" t="s">
        <v>1637</v>
      </c>
      <c r="I103" s="51"/>
      <c r="J103" s="51"/>
      <c r="K103" s="51"/>
      <c r="L103" s="52">
        <v>4410</v>
      </c>
      <c r="M103" s="53">
        <v>24377868</v>
      </c>
      <c r="N103" s="53">
        <v>183190000</v>
      </c>
      <c r="O103" s="55">
        <v>6.8314572724884561</v>
      </c>
    </row>
    <row r="104" spans="7:15">
      <c r="G104" s="44"/>
      <c r="H104" s="28" t="s">
        <v>1113</v>
      </c>
      <c r="I104" s="28" t="s">
        <v>94</v>
      </c>
      <c r="J104" s="28" t="s">
        <v>91</v>
      </c>
      <c r="K104" s="28" t="s">
        <v>401</v>
      </c>
      <c r="L104" s="42">
        <v>800</v>
      </c>
      <c r="M104" s="43">
        <v>6600000</v>
      </c>
      <c r="N104" s="43">
        <v>36000000</v>
      </c>
      <c r="O104" s="54">
        <v>4.9586776859504127</v>
      </c>
    </row>
    <row r="105" spans="7:15">
      <c r="G105" s="44"/>
      <c r="H105" s="44"/>
      <c r="I105" s="28" t="s">
        <v>470</v>
      </c>
      <c r="J105" s="28" t="s">
        <v>400</v>
      </c>
      <c r="K105" s="28" t="s">
        <v>401</v>
      </c>
      <c r="L105" s="42">
        <v>450</v>
      </c>
      <c r="M105" s="43">
        <v>3366000</v>
      </c>
      <c r="N105" s="43">
        <v>20250000</v>
      </c>
      <c r="O105" s="54">
        <v>5.4691298006806024</v>
      </c>
    </row>
    <row r="106" spans="7:15">
      <c r="G106" s="44"/>
      <c r="H106" s="50" t="s">
        <v>1638</v>
      </c>
      <c r="I106" s="51"/>
      <c r="J106" s="51"/>
      <c r="K106" s="51"/>
      <c r="L106" s="52">
        <v>1250</v>
      </c>
      <c r="M106" s="53">
        <v>9966000</v>
      </c>
      <c r="N106" s="53">
        <v>56250000</v>
      </c>
      <c r="O106" s="55">
        <v>5.1310820425811396</v>
      </c>
    </row>
    <row r="107" spans="7:15">
      <c r="G107" s="44"/>
      <c r="H107" s="28" t="s">
        <v>1030</v>
      </c>
      <c r="I107" s="28" t="s">
        <v>130</v>
      </c>
      <c r="J107" s="28" t="s">
        <v>91</v>
      </c>
      <c r="K107" s="28" t="s">
        <v>401</v>
      </c>
      <c r="L107" s="42">
        <v>220</v>
      </c>
      <c r="M107" s="43">
        <v>934062.39999999991</v>
      </c>
      <c r="N107" s="43">
        <v>8580000</v>
      </c>
      <c r="O107" s="54">
        <v>8.3506198301098511</v>
      </c>
    </row>
    <row r="108" spans="7:15">
      <c r="G108" s="44"/>
      <c r="H108" s="50" t="s">
        <v>1642</v>
      </c>
      <c r="I108" s="51"/>
      <c r="J108" s="51"/>
      <c r="K108" s="51"/>
      <c r="L108" s="52">
        <v>220</v>
      </c>
      <c r="M108" s="53">
        <v>934062.39999999991</v>
      </c>
      <c r="N108" s="53">
        <v>8580000</v>
      </c>
      <c r="O108" s="55">
        <v>8.3506198301098511</v>
      </c>
    </row>
    <row r="109" spans="7:15">
      <c r="G109" s="45" t="s">
        <v>1643</v>
      </c>
      <c r="H109" s="46"/>
      <c r="I109" s="46"/>
      <c r="J109" s="46"/>
      <c r="K109" s="46"/>
      <c r="L109" s="47">
        <v>6380</v>
      </c>
      <c r="M109" s="48">
        <v>37947715.399999999</v>
      </c>
      <c r="N109" s="48">
        <v>265520000</v>
      </c>
      <c r="O109" s="56">
        <v>6.3609051463956678</v>
      </c>
    </row>
    <row r="110" spans="7:15">
      <c r="G110" s="28" t="s">
        <v>503</v>
      </c>
      <c r="H110" s="28" t="s">
        <v>111</v>
      </c>
      <c r="I110" s="28" t="s">
        <v>514</v>
      </c>
      <c r="J110" s="28" t="s">
        <v>91</v>
      </c>
      <c r="K110" s="28" t="s">
        <v>401</v>
      </c>
      <c r="L110" s="42">
        <v>1200</v>
      </c>
      <c r="M110" s="43">
        <v>8855592</v>
      </c>
      <c r="N110" s="43">
        <v>54000000</v>
      </c>
      <c r="O110" s="54">
        <v>5.5434926418142441</v>
      </c>
    </row>
    <row r="111" spans="7:15">
      <c r="G111" s="44"/>
      <c r="H111" s="44"/>
      <c r="I111" s="28" t="s">
        <v>180</v>
      </c>
      <c r="J111" s="28" t="s">
        <v>91</v>
      </c>
      <c r="K111" s="28" t="s">
        <v>401</v>
      </c>
      <c r="L111" s="42">
        <v>1170</v>
      </c>
      <c r="M111" s="43">
        <v>10894491</v>
      </c>
      <c r="N111" s="43">
        <v>64350000</v>
      </c>
      <c r="O111" s="54">
        <v>5.3696863855319164</v>
      </c>
    </row>
    <row r="112" spans="7:15">
      <c r="G112" s="44"/>
      <c r="H112" s="50" t="s">
        <v>1622</v>
      </c>
      <c r="I112" s="51"/>
      <c r="J112" s="51"/>
      <c r="K112" s="51"/>
      <c r="L112" s="52">
        <v>2370</v>
      </c>
      <c r="M112" s="53">
        <v>19750083</v>
      </c>
      <c r="N112" s="53">
        <v>118350000</v>
      </c>
      <c r="O112" s="55">
        <v>5.4476180728409638</v>
      </c>
    </row>
    <row r="113" spans="7:15">
      <c r="G113" s="45" t="s">
        <v>1644</v>
      </c>
      <c r="H113" s="46"/>
      <c r="I113" s="46"/>
      <c r="J113" s="46"/>
      <c r="K113" s="46"/>
      <c r="L113" s="47">
        <v>2370</v>
      </c>
      <c r="M113" s="48">
        <v>19750083</v>
      </c>
      <c r="N113" s="48">
        <v>118350000</v>
      </c>
      <c r="O113" s="56">
        <v>5.4476180728409638</v>
      </c>
    </row>
    <row r="114" spans="7:15">
      <c r="G114" s="28" t="s">
        <v>575</v>
      </c>
      <c r="H114" s="28" t="s">
        <v>572</v>
      </c>
      <c r="I114" s="28" t="s">
        <v>130</v>
      </c>
      <c r="J114" s="28" t="s">
        <v>91</v>
      </c>
      <c r="K114" s="28" t="s">
        <v>401</v>
      </c>
      <c r="L114" s="42">
        <v>520</v>
      </c>
      <c r="M114" s="43">
        <v>2647403.6000000006</v>
      </c>
      <c r="N114" s="43">
        <v>18280000</v>
      </c>
      <c r="O114" s="54">
        <v>6.2771622045772748</v>
      </c>
    </row>
    <row r="115" spans="7:15">
      <c r="G115" s="44"/>
      <c r="H115" s="44"/>
      <c r="I115" s="28" t="s">
        <v>94</v>
      </c>
      <c r="J115" s="28" t="s">
        <v>91</v>
      </c>
      <c r="K115" s="28" t="s">
        <v>401</v>
      </c>
      <c r="L115" s="42">
        <v>1900</v>
      </c>
      <c r="M115" s="43">
        <v>9736294.2000000011</v>
      </c>
      <c r="N115" s="43">
        <v>45100000</v>
      </c>
      <c r="O115" s="54">
        <v>4.2110477721595538</v>
      </c>
    </row>
    <row r="116" spans="7:15">
      <c r="G116" s="44"/>
      <c r="H116" s="50" t="s">
        <v>1624</v>
      </c>
      <c r="I116" s="51"/>
      <c r="J116" s="51"/>
      <c r="K116" s="51"/>
      <c r="L116" s="52">
        <v>2420</v>
      </c>
      <c r="M116" s="53">
        <v>12383697.800000001</v>
      </c>
      <c r="N116" s="53">
        <v>63380000</v>
      </c>
      <c r="O116" s="55">
        <v>4.6527444991577402</v>
      </c>
    </row>
    <row r="117" spans="7:15">
      <c r="G117" s="45" t="s">
        <v>1645</v>
      </c>
      <c r="H117" s="46"/>
      <c r="I117" s="46"/>
      <c r="J117" s="46"/>
      <c r="K117" s="46"/>
      <c r="L117" s="47">
        <v>2420</v>
      </c>
      <c r="M117" s="48">
        <v>12383697.800000001</v>
      </c>
      <c r="N117" s="48">
        <v>63380000</v>
      </c>
      <c r="O117" s="56">
        <v>4.6527444991577402</v>
      </c>
    </row>
    <row r="118" spans="7:15">
      <c r="G118" s="28" t="s">
        <v>1760</v>
      </c>
      <c r="H118" s="28" t="s">
        <v>111</v>
      </c>
      <c r="I118" s="28">
        <v>16</v>
      </c>
      <c r="J118" s="28" t="s">
        <v>91</v>
      </c>
      <c r="K118" s="28" t="s">
        <v>401</v>
      </c>
      <c r="L118" s="42">
        <v>300</v>
      </c>
      <c r="M118" s="43">
        <v>2311809</v>
      </c>
      <c r="N118" s="43">
        <v>10500000</v>
      </c>
      <c r="O118" s="54">
        <v>4.1289979169795359</v>
      </c>
    </row>
    <row r="119" spans="7:15">
      <c r="G119" s="44"/>
      <c r="H119" s="50" t="s">
        <v>1622</v>
      </c>
      <c r="I119" s="51"/>
      <c r="J119" s="51"/>
      <c r="K119" s="51"/>
      <c r="L119" s="52">
        <v>300</v>
      </c>
      <c r="M119" s="53">
        <v>2311809</v>
      </c>
      <c r="N119" s="53">
        <v>10500000</v>
      </c>
      <c r="O119" s="55">
        <v>4.1289979169795359</v>
      </c>
    </row>
    <row r="120" spans="7:15">
      <c r="G120" s="44"/>
      <c r="H120" s="28" t="s">
        <v>179</v>
      </c>
      <c r="I120" s="28">
        <v>18</v>
      </c>
      <c r="J120" s="28" t="s">
        <v>91</v>
      </c>
      <c r="K120" s="28" t="s">
        <v>401</v>
      </c>
      <c r="L120" s="42">
        <v>300</v>
      </c>
      <c r="M120" s="43">
        <v>3725178.0000000009</v>
      </c>
      <c r="N120" s="43">
        <v>16500000</v>
      </c>
      <c r="O120" s="54">
        <v>4.0266532230137715</v>
      </c>
    </row>
    <row r="121" spans="7:15">
      <c r="G121" s="44"/>
      <c r="H121" s="44"/>
      <c r="I121" s="28">
        <v>40</v>
      </c>
      <c r="J121" s="28" t="s">
        <v>400</v>
      </c>
      <c r="K121" s="28">
        <v>0</v>
      </c>
      <c r="L121" s="42">
        <v>600</v>
      </c>
      <c r="M121" s="43">
        <v>7421556.0000000019</v>
      </c>
      <c r="N121" s="43">
        <v>33000000</v>
      </c>
      <c r="O121" s="54">
        <v>4.0422790045645405</v>
      </c>
    </row>
    <row r="122" spans="7:15">
      <c r="G122" s="44"/>
      <c r="H122" s="50" t="s">
        <v>1623</v>
      </c>
      <c r="I122" s="51"/>
      <c r="J122" s="51"/>
      <c r="K122" s="51"/>
      <c r="L122" s="52">
        <v>900</v>
      </c>
      <c r="M122" s="53">
        <v>11146734.000000004</v>
      </c>
      <c r="N122" s="53">
        <v>49500000</v>
      </c>
      <c r="O122" s="55">
        <v>4.0370569531846705</v>
      </c>
    </row>
    <row r="123" spans="7:15">
      <c r="G123" s="44"/>
      <c r="H123" s="28" t="s">
        <v>1113</v>
      </c>
      <c r="I123" s="28" t="s">
        <v>438</v>
      </c>
      <c r="J123" s="28" t="s">
        <v>400</v>
      </c>
      <c r="K123" s="28" t="s">
        <v>401</v>
      </c>
      <c r="L123" s="42">
        <v>1200</v>
      </c>
      <c r="M123" s="43">
        <v>12115600</v>
      </c>
      <c r="N123" s="43">
        <v>58800000</v>
      </c>
      <c r="O123" s="54">
        <v>4.4120427758051974</v>
      </c>
    </row>
    <row r="124" spans="7:15">
      <c r="G124" s="44"/>
      <c r="H124" s="50" t="s">
        <v>1638</v>
      </c>
      <c r="I124" s="51"/>
      <c r="J124" s="51"/>
      <c r="K124" s="51"/>
      <c r="L124" s="52">
        <v>1200</v>
      </c>
      <c r="M124" s="53">
        <v>12115600</v>
      </c>
      <c r="N124" s="53">
        <v>58800000</v>
      </c>
      <c r="O124" s="55">
        <v>4.4120427758051974</v>
      </c>
    </row>
    <row r="125" spans="7:15">
      <c r="G125" s="45" t="s">
        <v>1852</v>
      </c>
      <c r="H125" s="46"/>
      <c r="I125" s="46"/>
      <c r="J125" s="46"/>
      <c r="K125" s="46"/>
      <c r="L125" s="47">
        <v>2400</v>
      </c>
      <c r="M125" s="48">
        <v>25574143.000000004</v>
      </c>
      <c r="N125" s="48">
        <v>118800000</v>
      </c>
      <c r="O125" s="56">
        <v>4.2230154105261697</v>
      </c>
    </row>
    <row r="126" spans="7:15">
      <c r="G126" s="28" t="s">
        <v>115</v>
      </c>
      <c r="H126" s="28" t="s">
        <v>129</v>
      </c>
      <c r="I126" s="28" t="s">
        <v>130</v>
      </c>
      <c r="J126" s="28" t="s">
        <v>91</v>
      </c>
      <c r="K126" s="28" t="s">
        <v>401</v>
      </c>
      <c r="L126" s="42">
        <v>480</v>
      </c>
      <c r="M126" s="43">
        <v>5448000</v>
      </c>
      <c r="N126" s="43">
        <v>21120000</v>
      </c>
      <c r="O126" s="54">
        <v>3.5242290748898673</v>
      </c>
    </row>
    <row r="127" spans="7:15">
      <c r="G127" s="44"/>
      <c r="H127" s="50" t="s">
        <v>1646</v>
      </c>
      <c r="I127" s="51"/>
      <c r="J127" s="51"/>
      <c r="K127" s="51"/>
      <c r="L127" s="52">
        <v>480</v>
      </c>
      <c r="M127" s="53">
        <v>5448000</v>
      </c>
      <c r="N127" s="53">
        <v>21120000</v>
      </c>
      <c r="O127" s="55">
        <v>3.5242290748898673</v>
      </c>
    </row>
    <row r="128" spans="7:15">
      <c r="G128" s="44"/>
      <c r="H128" s="28" t="s">
        <v>179</v>
      </c>
      <c r="I128" s="28">
        <v>19</v>
      </c>
      <c r="J128" s="28" t="s">
        <v>91</v>
      </c>
      <c r="K128" s="28" t="s">
        <v>401</v>
      </c>
      <c r="L128" s="42">
        <v>120</v>
      </c>
      <c r="M128" s="43">
        <v>885559.20000000007</v>
      </c>
      <c r="N128" s="43">
        <v>5880000</v>
      </c>
      <c r="O128" s="54">
        <v>6.0362475433088436</v>
      </c>
    </row>
    <row r="129" spans="7:15">
      <c r="G129" s="44"/>
      <c r="H129" s="50" t="s">
        <v>1623</v>
      </c>
      <c r="I129" s="51"/>
      <c r="J129" s="51"/>
      <c r="K129" s="51"/>
      <c r="L129" s="52">
        <v>120</v>
      </c>
      <c r="M129" s="53">
        <v>885559.20000000007</v>
      </c>
      <c r="N129" s="53">
        <v>5880000</v>
      </c>
      <c r="O129" s="55">
        <v>6.0362475433088436</v>
      </c>
    </row>
    <row r="130" spans="7:15">
      <c r="G130" s="44"/>
      <c r="H130" s="28" t="s">
        <v>1047</v>
      </c>
      <c r="I130" s="28">
        <v>11</v>
      </c>
      <c r="J130" s="28" t="s">
        <v>91</v>
      </c>
      <c r="K130" s="28" t="s">
        <v>401</v>
      </c>
      <c r="L130" s="42">
        <v>200</v>
      </c>
      <c r="M130" s="43">
        <v>1057972</v>
      </c>
      <c r="N130" s="43">
        <v>9800000</v>
      </c>
      <c r="O130" s="54">
        <v>8.4209137000704253</v>
      </c>
    </row>
    <row r="131" spans="7:15">
      <c r="G131" s="44"/>
      <c r="H131" s="44"/>
      <c r="I131" s="28">
        <v>12</v>
      </c>
      <c r="J131" s="28" t="s">
        <v>91</v>
      </c>
      <c r="K131" s="28" t="s">
        <v>401</v>
      </c>
      <c r="L131" s="42">
        <v>120</v>
      </c>
      <c r="M131" s="43">
        <v>568370.39999999991</v>
      </c>
      <c r="N131" s="43">
        <v>5160000</v>
      </c>
      <c r="O131" s="54">
        <v>8.2532607097573898</v>
      </c>
    </row>
    <row r="132" spans="7:15">
      <c r="G132" s="44"/>
      <c r="H132" s="50" t="s">
        <v>1637</v>
      </c>
      <c r="I132" s="51"/>
      <c r="J132" s="51"/>
      <c r="K132" s="51"/>
      <c r="L132" s="52">
        <v>320</v>
      </c>
      <c r="M132" s="53">
        <v>1626342.3999999999</v>
      </c>
      <c r="N132" s="53">
        <v>14960000</v>
      </c>
      <c r="O132" s="55">
        <v>8.362322718758362</v>
      </c>
    </row>
    <row r="133" spans="7:15">
      <c r="G133" s="45" t="s">
        <v>1647</v>
      </c>
      <c r="H133" s="46"/>
      <c r="I133" s="46"/>
      <c r="J133" s="46"/>
      <c r="K133" s="46"/>
      <c r="L133" s="47">
        <v>920</v>
      </c>
      <c r="M133" s="48">
        <v>7959901.5999999996</v>
      </c>
      <c r="N133" s="48">
        <v>41960000</v>
      </c>
      <c r="O133" s="56">
        <v>4.7922017711191991</v>
      </c>
    </row>
    <row r="134" spans="7:15">
      <c r="G134" s="28" t="s">
        <v>164</v>
      </c>
      <c r="H134" s="28" t="s">
        <v>179</v>
      </c>
      <c r="I134" s="28">
        <v>14</v>
      </c>
      <c r="J134" s="28" t="s">
        <v>91</v>
      </c>
      <c r="K134" s="28" t="s">
        <v>401</v>
      </c>
      <c r="L134" s="42">
        <v>1900</v>
      </c>
      <c r="M134" s="43">
        <v>11157993</v>
      </c>
      <c r="N134" s="43">
        <v>66900000</v>
      </c>
      <c r="O134" s="54">
        <v>5.4506381047363819</v>
      </c>
    </row>
    <row r="135" spans="7:15">
      <c r="G135" s="44"/>
      <c r="H135" s="44"/>
      <c r="I135" s="28">
        <v>16</v>
      </c>
      <c r="J135" s="28" t="s">
        <v>91</v>
      </c>
      <c r="K135" s="28" t="s">
        <v>401</v>
      </c>
      <c r="L135" s="42">
        <v>1960</v>
      </c>
      <c r="M135" s="43">
        <v>12825766.800000001</v>
      </c>
      <c r="N135" s="43">
        <v>79480000</v>
      </c>
      <c r="O135" s="54">
        <v>5.6335458597723331</v>
      </c>
    </row>
    <row r="136" spans="7:15">
      <c r="G136" s="44"/>
      <c r="H136" s="44"/>
      <c r="I136" s="28">
        <v>21</v>
      </c>
      <c r="J136" s="28" t="s">
        <v>91</v>
      </c>
      <c r="K136" s="28" t="s">
        <v>401</v>
      </c>
      <c r="L136" s="42">
        <v>960</v>
      </c>
      <c r="M136" s="43">
        <v>8302694.4000000004</v>
      </c>
      <c r="N136" s="43">
        <v>43200000</v>
      </c>
      <c r="O136" s="54">
        <v>4.7301183664820021</v>
      </c>
    </row>
    <row r="137" spans="7:15">
      <c r="G137" s="44"/>
      <c r="H137" s="44"/>
      <c r="I137" s="28">
        <v>22</v>
      </c>
      <c r="J137" s="28" t="s">
        <v>91</v>
      </c>
      <c r="K137" s="28" t="s">
        <v>401</v>
      </c>
      <c r="L137" s="42">
        <v>400</v>
      </c>
      <c r="M137" s="43">
        <v>3467772.0000000009</v>
      </c>
      <c r="N137" s="43">
        <v>18000000</v>
      </c>
      <c r="O137" s="54">
        <v>4.7187751569700538</v>
      </c>
    </row>
    <row r="138" spans="7:15">
      <c r="G138" s="44"/>
      <c r="H138" s="44"/>
      <c r="I138" s="28">
        <v>34</v>
      </c>
      <c r="J138" s="28" t="s">
        <v>400</v>
      </c>
      <c r="K138" s="28">
        <v>0</v>
      </c>
      <c r="L138" s="42">
        <v>880</v>
      </c>
      <c r="M138" s="43">
        <v>6713950.0000000009</v>
      </c>
      <c r="N138" s="43">
        <v>39600000</v>
      </c>
      <c r="O138" s="54">
        <v>5.3619702261708815</v>
      </c>
    </row>
    <row r="139" spans="7:15">
      <c r="G139" s="44"/>
      <c r="H139" s="44"/>
      <c r="I139" s="28" t="s">
        <v>180</v>
      </c>
      <c r="J139" s="28" t="s">
        <v>91</v>
      </c>
      <c r="K139" s="28" t="s">
        <v>401</v>
      </c>
      <c r="L139" s="42">
        <v>2010</v>
      </c>
      <c r="M139" s="43">
        <v>13878572.300000001</v>
      </c>
      <c r="N139" s="43">
        <v>85050000</v>
      </c>
      <c r="O139" s="54">
        <v>5.5710472335963415</v>
      </c>
    </row>
    <row r="140" spans="7:15">
      <c r="G140" s="44"/>
      <c r="H140" s="44"/>
      <c r="I140" s="28" t="s">
        <v>235</v>
      </c>
      <c r="J140" s="28" t="s">
        <v>91</v>
      </c>
      <c r="K140" s="28" t="s">
        <v>401</v>
      </c>
      <c r="L140" s="42">
        <v>600</v>
      </c>
      <c r="M140" s="43">
        <v>4719667.9999999981</v>
      </c>
      <c r="N140" s="43">
        <v>27000000</v>
      </c>
      <c r="O140" s="54">
        <v>5.2006739765285515</v>
      </c>
    </row>
    <row r="141" spans="7:15">
      <c r="G141" s="44"/>
      <c r="H141" s="50" t="s">
        <v>1623</v>
      </c>
      <c r="I141" s="51"/>
      <c r="J141" s="51"/>
      <c r="K141" s="51"/>
      <c r="L141" s="52">
        <v>8710</v>
      </c>
      <c r="M141" s="53">
        <v>61066416.5</v>
      </c>
      <c r="N141" s="53">
        <v>359230000</v>
      </c>
      <c r="O141" s="55">
        <v>5.3478285773118381</v>
      </c>
    </row>
    <row r="142" spans="7:15">
      <c r="G142" s="44"/>
      <c r="H142" s="28" t="s">
        <v>252</v>
      </c>
      <c r="I142" s="28" t="s">
        <v>94</v>
      </c>
      <c r="J142" s="28" t="s">
        <v>91</v>
      </c>
      <c r="K142" s="28" t="s">
        <v>401</v>
      </c>
      <c r="L142" s="42">
        <v>3150</v>
      </c>
      <c r="M142" s="43">
        <v>12664852.200000001</v>
      </c>
      <c r="N142" s="43">
        <v>98750000</v>
      </c>
      <c r="O142" s="54">
        <v>7.0883359596353808</v>
      </c>
    </row>
    <row r="143" spans="7:15">
      <c r="G143" s="44"/>
      <c r="H143" s="44"/>
      <c r="I143" s="28" t="s">
        <v>438</v>
      </c>
      <c r="J143" s="28" t="s">
        <v>91</v>
      </c>
      <c r="K143" s="28" t="s">
        <v>401</v>
      </c>
      <c r="L143" s="42">
        <v>640</v>
      </c>
      <c r="M143" s="43">
        <v>3119497.9200000009</v>
      </c>
      <c r="N143" s="43">
        <v>22400000</v>
      </c>
      <c r="O143" s="54">
        <v>6.5278570096422301</v>
      </c>
    </row>
    <row r="144" spans="7:15">
      <c r="G144" s="44"/>
      <c r="H144" s="50" t="s">
        <v>1636</v>
      </c>
      <c r="I144" s="51"/>
      <c r="J144" s="51"/>
      <c r="K144" s="51"/>
      <c r="L144" s="52">
        <v>3790</v>
      </c>
      <c r="M144" s="53">
        <v>15784350.120000001</v>
      </c>
      <c r="N144" s="53">
        <v>121150000</v>
      </c>
      <c r="O144" s="55">
        <v>6.977567197829214</v>
      </c>
    </row>
    <row r="145" spans="7:15">
      <c r="G145" s="45" t="s">
        <v>1648</v>
      </c>
      <c r="H145" s="46"/>
      <c r="I145" s="46"/>
      <c r="J145" s="46"/>
      <c r="K145" s="46"/>
      <c r="L145" s="47">
        <v>12500</v>
      </c>
      <c r="M145" s="48">
        <v>76850766.620000005</v>
      </c>
      <c r="N145" s="48">
        <v>480380000</v>
      </c>
      <c r="O145" s="56">
        <v>5.6825599810664711</v>
      </c>
    </row>
    <row r="146" spans="7:15">
      <c r="G146" s="28" t="s">
        <v>626</v>
      </c>
      <c r="H146" s="28" t="s">
        <v>641</v>
      </c>
      <c r="I146" s="28" t="s">
        <v>130</v>
      </c>
      <c r="J146" s="28" t="s">
        <v>91</v>
      </c>
      <c r="K146" s="28" t="s">
        <v>401</v>
      </c>
      <c r="L146" s="42">
        <v>1080</v>
      </c>
      <c r="M146" s="43">
        <v>13466439</v>
      </c>
      <c r="N146" s="43">
        <v>70200000</v>
      </c>
      <c r="O146" s="54">
        <v>4.7390540155553982</v>
      </c>
    </row>
    <row r="147" spans="7:15">
      <c r="G147" s="44"/>
      <c r="H147" s="50" t="s">
        <v>1630</v>
      </c>
      <c r="I147" s="51"/>
      <c r="J147" s="51"/>
      <c r="K147" s="51"/>
      <c r="L147" s="52">
        <v>1080</v>
      </c>
      <c r="M147" s="53">
        <v>13466439</v>
      </c>
      <c r="N147" s="53">
        <v>70200000</v>
      </c>
      <c r="O147" s="55">
        <v>4.7390540155553982</v>
      </c>
    </row>
    <row r="148" spans="7:15">
      <c r="G148" s="45" t="s">
        <v>1649</v>
      </c>
      <c r="H148" s="46"/>
      <c r="I148" s="46"/>
      <c r="J148" s="46"/>
      <c r="K148" s="46"/>
      <c r="L148" s="47">
        <v>1080</v>
      </c>
      <c r="M148" s="48">
        <v>13466439</v>
      </c>
      <c r="N148" s="48">
        <v>70200000</v>
      </c>
      <c r="O148" s="56">
        <v>4.7390540155553982</v>
      </c>
    </row>
    <row r="149" spans="7:15">
      <c r="G149" s="28" t="s">
        <v>1451</v>
      </c>
      <c r="H149" s="28" t="s">
        <v>111</v>
      </c>
      <c r="I149" s="28">
        <v>17</v>
      </c>
      <c r="J149" s="28" t="s">
        <v>91</v>
      </c>
      <c r="K149" s="28" t="s">
        <v>2173</v>
      </c>
      <c r="L149" s="42">
        <v>2400</v>
      </c>
      <c r="M149" s="43">
        <v>19681255.5</v>
      </c>
      <c r="N149" s="43">
        <v>123900000</v>
      </c>
      <c r="O149" s="54">
        <v>5.7230273564795517</v>
      </c>
    </row>
    <row r="150" spans="7:15">
      <c r="G150" s="44"/>
      <c r="H150" s="44"/>
      <c r="I150" s="28" t="s">
        <v>485</v>
      </c>
      <c r="J150" s="29"/>
      <c r="K150" s="29"/>
      <c r="L150" s="42">
        <v>300</v>
      </c>
      <c r="M150" s="43">
        <v>2739954</v>
      </c>
      <c r="N150" s="43">
        <v>14700000</v>
      </c>
      <c r="O150" s="54">
        <v>4.8773214308110147</v>
      </c>
    </row>
    <row r="151" spans="7:15">
      <c r="G151" s="44"/>
      <c r="H151" s="50" t="s">
        <v>1622</v>
      </c>
      <c r="I151" s="51"/>
      <c r="J151" s="51"/>
      <c r="K151" s="51"/>
      <c r="L151" s="52">
        <v>2700</v>
      </c>
      <c r="M151" s="53">
        <v>22421209.5</v>
      </c>
      <c r="N151" s="53">
        <v>138600000</v>
      </c>
      <c r="O151" s="55">
        <v>5.6196789918938128</v>
      </c>
    </row>
    <row r="152" spans="7:15">
      <c r="G152" s="44"/>
      <c r="H152" s="28" t="s">
        <v>93</v>
      </c>
      <c r="I152" s="28" t="s">
        <v>112</v>
      </c>
      <c r="J152" s="28" t="s">
        <v>91</v>
      </c>
      <c r="K152" s="28" t="s">
        <v>401</v>
      </c>
      <c r="L152" s="42">
        <v>2210</v>
      </c>
      <c r="M152" s="43">
        <v>17573810</v>
      </c>
      <c r="N152" s="43">
        <v>99450000</v>
      </c>
      <c r="O152" s="54">
        <v>5.1445355850035313</v>
      </c>
    </row>
    <row r="153" spans="7:15">
      <c r="G153" s="44"/>
      <c r="H153" s="44"/>
      <c r="I153" s="28" t="s">
        <v>514</v>
      </c>
      <c r="J153" s="28" t="s">
        <v>91</v>
      </c>
      <c r="K153" s="28" t="s">
        <v>401</v>
      </c>
      <c r="L153" s="42">
        <v>400</v>
      </c>
      <c r="M153" s="43">
        <v>3882325</v>
      </c>
      <c r="N153" s="43">
        <v>22000000</v>
      </c>
      <c r="O153" s="54">
        <v>5.1515522270804226</v>
      </c>
    </row>
    <row r="154" spans="7:15">
      <c r="G154" s="44"/>
      <c r="H154" s="50" t="s">
        <v>1632</v>
      </c>
      <c r="I154" s="51"/>
      <c r="J154" s="51"/>
      <c r="K154" s="51"/>
      <c r="L154" s="52">
        <v>2610</v>
      </c>
      <c r="M154" s="53">
        <v>21456135</v>
      </c>
      <c r="N154" s="53">
        <v>121450000</v>
      </c>
      <c r="O154" s="55">
        <v>5.1458051932042226</v>
      </c>
    </row>
    <row r="155" spans="7:15">
      <c r="G155" s="44"/>
      <c r="H155" s="28" t="s">
        <v>179</v>
      </c>
      <c r="I155" s="28">
        <v>13</v>
      </c>
      <c r="J155" s="28" t="s">
        <v>91</v>
      </c>
      <c r="K155" s="28" t="s">
        <v>2173</v>
      </c>
      <c r="L155" s="42">
        <v>700</v>
      </c>
      <c r="M155" s="43">
        <v>4891264</v>
      </c>
      <c r="N155" s="43">
        <v>30100000</v>
      </c>
      <c r="O155" s="54">
        <v>5.5943895818414955</v>
      </c>
    </row>
    <row r="156" spans="7:15">
      <c r="G156" s="44"/>
      <c r="H156" s="50" t="s">
        <v>1623</v>
      </c>
      <c r="I156" s="51"/>
      <c r="J156" s="51"/>
      <c r="K156" s="51"/>
      <c r="L156" s="52">
        <v>700</v>
      </c>
      <c r="M156" s="53">
        <v>4891264</v>
      </c>
      <c r="N156" s="53">
        <v>30100000</v>
      </c>
      <c r="O156" s="55">
        <v>5.5943895818414955</v>
      </c>
    </row>
    <row r="157" spans="7:15">
      <c r="G157" s="44"/>
      <c r="H157" s="28" t="s">
        <v>1047</v>
      </c>
      <c r="I157" s="28" t="s">
        <v>94</v>
      </c>
      <c r="J157" s="28" t="s">
        <v>91</v>
      </c>
      <c r="K157" s="28" t="s">
        <v>2173</v>
      </c>
      <c r="L157" s="42">
        <v>800</v>
      </c>
      <c r="M157" s="43">
        <v>4137344</v>
      </c>
      <c r="N157" s="43">
        <v>36000000</v>
      </c>
      <c r="O157" s="54">
        <v>7.9102131046566893</v>
      </c>
    </row>
    <row r="158" spans="7:15">
      <c r="G158" s="44"/>
      <c r="H158" s="44"/>
      <c r="I158" s="28" t="s">
        <v>112</v>
      </c>
      <c r="J158" s="28" t="s">
        <v>91</v>
      </c>
      <c r="K158" s="28" t="s">
        <v>2173</v>
      </c>
      <c r="L158" s="42">
        <v>1720</v>
      </c>
      <c r="M158" s="43">
        <v>11173031.6</v>
      </c>
      <c r="N158" s="43">
        <v>81100000</v>
      </c>
      <c r="O158" s="54">
        <v>6.598681124939513</v>
      </c>
    </row>
    <row r="159" spans="7:15">
      <c r="G159" s="44"/>
      <c r="H159" s="50" t="s">
        <v>1637</v>
      </c>
      <c r="I159" s="51"/>
      <c r="J159" s="51"/>
      <c r="K159" s="51"/>
      <c r="L159" s="52">
        <v>2520</v>
      </c>
      <c r="M159" s="53">
        <v>15310375.6</v>
      </c>
      <c r="N159" s="53">
        <v>117100000</v>
      </c>
      <c r="O159" s="55">
        <v>6.9530982280111697</v>
      </c>
    </row>
    <row r="160" spans="7:15">
      <c r="G160" s="45" t="s">
        <v>1650</v>
      </c>
      <c r="H160" s="46"/>
      <c r="I160" s="46"/>
      <c r="J160" s="46"/>
      <c r="K160" s="46"/>
      <c r="L160" s="47">
        <v>8530</v>
      </c>
      <c r="M160" s="48">
        <v>64078984.100000001</v>
      </c>
      <c r="N160" s="48">
        <v>407250000</v>
      </c>
      <c r="O160" s="56">
        <v>5.7776707594100687</v>
      </c>
    </row>
    <row r="161" spans="7:15">
      <c r="G161" s="28" t="s">
        <v>2365</v>
      </c>
      <c r="H161" s="28" t="s">
        <v>679</v>
      </c>
      <c r="I161" s="28" t="s">
        <v>470</v>
      </c>
      <c r="J161" s="28" t="s">
        <v>91</v>
      </c>
      <c r="K161" s="28" t="s">
        <v>401</v>
      </c>
      <c r="L161" s="42">
        <v>640</v>
      </c>
      <c r="M161" s="43">
        <v>12911840</v>
      </c>
      <c r="N161" s="43">
        <v>60160000</v>
      </c>
      <c r="O161" s="54">
        <v>4.235717689416</v>
      </c>
    </row>
    <row r="162" spans="7:15">
      <c r="G162" s="44"/>
      <c r="H162" s="50" t="s">
        <v>1628</v>
      </c>
      <c r="I162" s="51"/>
      <c r="J162" s="51"/>
      <c r="K162" s="51"/>
      <c r="L162" s="52">
        <v>640</v>
      </c>
      <c r="M162" s="53">
        <v>12911840</v>
      </c>
      <c r="N162" s="53">
        <v>60160000</v>
      </c>
      <c r="O162" s="55">
        <v>4.235717689416</v>
      </c>
    </row>
    <row r="163" spans="7:15">
      <c r="G163" s="44"/>
      <c r="H163" s="28" t="s">
        <v>780</v>
      </c>
      <c r="I163" s="28" t="s">
        <v>112</v>
      </c>
      <c r="J163" s="28" t="s">
        <v>91</v>
      </c>
      <c r="K163" s="28" t="s">
        <v>401</v>
      </c>
      <c r="L163" s="42">
        <v>400</v>
      </c>
      <c r="M163" s="43">
        <v>8596000</v>
      </c>
      <c r="N163" s="43">
        <v>39600000</v>
      </c>
      <c r="O163" s="54">
        <v>4.1879944160074452</v>
      </c>
    </row>
    <row r="164" spans="7:15">
      <c r="G164" s="44"/>
      <c r="H164" s="50" t="s">
        <v>1629</v>
      </c>
      <c r="I164" s="51"/>
      <c r="J164" s="51"/>
      <c r="K164" s="51"/>
      <c r="L164" s="52">
        <v>400</v>
      </c>
      <c r="M164" s="53">
        <v>8596000</v>
      </c>
      <c r="N164" s="53">
        <v>39600000</v>
      </c>
      <c r="O164" s="55">
        <v>4.1879944160074452</v>
      </c>
    </row>
    <row r="165" spans="7:15">
      <c r="G165" s="44"/>
      <c r="H165" s="28" t="s">
        <v>641</v>
      </c>
      <c r="I165" s="28" t="s">
        <v>470</v>
      </c>
      <c r="J165" s="28" t="s">
        <v>91</v>
      </c>
      <c r="K165" s="28" t="s">
        <v>401</v>
      </c>
      <c r="L165" s="42">
        <v>1025</v>
      </c>
      <c r="M165" s="43">
        <v>16144672.25</v>
      </c>
      <c r="N165" s="43">
        <v>70725000</v>
      </c>
      <c r="O165" s="54">
        <v>3.9824564754143301</v>
      </c>
    </row>
    <row r="166" spans="7:15">
      <c r="G166" s="44"/>
      <c r="H166" s="50" t="s">
        <v>1630</v>
      </c>
      <c r="I166" s="51"/>
      <c r="J166" s="51"/>
      <c r="K166" s="51"/>
      <c r="L166" s="52">
        <v>1025</v>
      </c>
      <c r="M166" s="53">
        <v>16144672.25</v>
      </c>
      <c r="N166" s="53">
        <v>70725000</v>
      </c>
      <c r="O166" s="55">
        <v>3.9824564754143301</v>
      </c>
    </row>
    <row r="167" spans="7:15">
      <c r="G167" s="45" t="s">
        <v>2444</v>
      </c>
      <c r="H167" s="46"/>
      <c r="I167" s="46"/>
      <c r="J167" s="46"/>
      <c r="K167" s="46"/>
      <c r="L167" s="47">
        <v>2065</v>
      </c>
      <c r="M167" s="48">
        <v>37652512.25</v>
      </c>
      <c r="N167" s="48">
        <v>170485000</v>
      </c>
      <c r="O167" s="56">
        <v>4.1162290209828853</v>
      </c>
    </row>
    <row r="168" spans="7:15">
      <c r="G168" s="28" t="s">
        <v>2526</v>
      </c>
      <c r="H168" s="28" t="s">
        <v>1848</v>
      </c>
      <c r="I168" s="28" t="s">
        <v>94</v>
      </c>
      <c r="J168" s="28" t="s">
        <v>91</v>
      </c>
      <c r="K168" s="28" t="s">
        <v>401</v>
      </c>
      <c r="L168" s="42">
        <v>300</v>
      </c>
      <c r="M168" s="43">
        <v>10254000</v>
      </c>
      <c r="N168" s="43">
        <v>38700000</v>
      </c>
      <c r="O168" s="54">
        <v>3.4310335656151922</v>
      </c>
    </row>
    <row r="169" spans="7:15">
      <c r="G169" s="44"/>
      <c r="H169" s="50" t="s">
        <v>1850</v>
      </c>
      <c r="I169" s="51"/>
      <c r="J169" s="51"/>
      <c r="K169" s="51"/>
      <c r="L169" s="52">
        <v>300</v>
      </c>
      <c r="M169" s="53">
        <v>10254000</v>
      </c>
      <c r="N169" s="53">
        <v>38700000</v>
      </c>
      <c r="O169" s="55">
        <v>3.4310335656151922</v>
      </c>
    </row>
    <row r="170" spans="7:15">
      <c r="G170" s="45" t="s">
        <v>2547</v>
      </c>
      <c r="H170" s="46"/>
      <c r="I170" s="46"/>
      <c r="J170" s="46"/>
      <c r="K170" s="46"/>
      <c r="L170" s="47">
        <v>300</v>
      </c>
      <c r="M170" s="48">
        <v>10254000</v>
      </c>
      <c r="N170" s="48">
        <v>38700000</v>
      </c>
      <c r="O170" s="56">
        <v>3.4310335656151922</v>
      </c>
    </row>
    <row r="171" spans="7:15">
      <c r="G171" s="28" t="s">
        <v>2371</v>
      </c>
      <c r="H171" s="28" t="s">
        <v>111</v>
      </c>
      <c r="I171" s="28" t="s">
        <v>112</v>
      </c>
      <c r="J171" s="28" t="s">
        <v>91</v>
      </c>
      <c r="K171" s="28" t="s">
        <v>401</v>
      </c>
      <c r="L171" s="42">
        <v>500</v>
      </c>
      <c r="M171" s="43">
        <v>5494295</v>
      </c>
      <c r="N171" s="43">
        <v>31500000</v>
      </c>
      <c r="O171" s="54">
        <v>5.212017854222176</v>
      </c>
    </row>
    <row r="172" spans="7:15">
      <c r="G172" s="44"/>
      <c r="H172" s="50" t="s">
        <v>1622</v>
      </c>
      <c r="I172" s="51"/>
      <c r="J172" s="51"/>
      <c r="K172" s="51"/>
      <c r="L172" s="52">
        <v>500</v>
      </c>
      <c r="M172" s="53">
        <v>5494295</v>
      </c>
      <c r="N172" s="53">
        <v>31500000</v>
      </c>
      <c r="O172" s="55">
        <v>5.212017854222176</v>
      </c>
    </row>
    <row r="173" spans="7:15">
      <c r="G173" s="44"/>
      <c r="H173" s="28" t="s">
        <v>93</v>
      </c>
      <c r="I173" s="28" t="s">
        <v>94</v>
      </c>
      <c r="J173" s="28" t="s">
        <v>91</v>
      </c>
      <c r="K173" s="28" t="s">
        <v>401</v>
      </c>
      <c r="L173" s="42">
        <v>1000</v>
      </c>
      <c r="M173" s="43">
        <v>6686064.0000000009</v>
      </c>
      <c r="N173" s="43">
        <v>53000000</v>
      </c>
      <c r="O173" s="54">
        <v>7.2063052614839123</v>
      </c>
    </row>
    <row r="174" spans="7:15">
      <c r="G174" s="44"/>
      <c r="H174" s="50" t="s">
        <v>1632</v>
      </c>
      <c r="I174" s="51"/>
      <c r="J174" s="51"/>
      <c r="K174" s="51"/>
      <c r="L174" s="52">
        <v>1000</v>
      </c>
      <c r="M174" s="53">
        <v>6686064.0000000009</v>
      </c>
      <c r="N174" s="53">
        <v>53000000</v>
      </c>
      <c r="O174" s="55">
        <v>7.2063052614839123</v>
      </c>
    </row>
    <row r="175" spans="7:15">
      <c r="G175" s="45" t="s">
        <v>2575</v>
      </c>
      <c r="H175" s="46"/>
      <c r="I175" s="46"/>
      <c r="J175" s="46"/>
      <c r="K175" s="46"/>
      <c r="L175" s="47">
        <v>1500</v>
      </c>
      <c r="M175" s="48">
        <v>12180359</v>
      </c>
      <c r="N175" s="48">
        <v>84500000</v>
      </c>
      <c r="O175" s="56">
        <v>6.3067255914363294</v>
      </c>
    </row>
    <row r="176" spans="7:15">
      <c r="G176" s="28" t="s">
        <v>2667</v>
      </c>
      <c r="H176" s="28" t="s">
        <v>111</v>
      </c>
      <c r="I176" s="28">
        <v>23</v>
      </c>
      <c r="J176" s="28" t="s">
        <v>400</v>
      </c>
      <c r="K176" s="28">
        <v>0</v>
      </c>
      <c r="L176" s="42">
        <v>500</v>
      </c>
      <c r="M176" s="43">
        <v>3037225.0000000005</v>
      </c>
      <c r="N176" s="43">
        <v>21500000</v>
      </c>
      <c r="O176" s="54">
        <v>6.4353001655967335</v>
      </c>
    </row>
    <row r="177" spans="7:15">
      <c r="G177" s="44"/>
      <c r="H177" s="44"/>
      <c r="I177" s="28">
        <v>25</v>
      </c>
      <c r="J177" s="28" t="s">
        <v>400</v>
      </c>
      <c r="K177" s="28">
        <v>0</v>
      </c>
      <c r="L177" s="42">
        <v>398</v>
      </c>
      <c r="M177" s="43">
        <v>3573636.3636363633</v>
      </c>
      <c r="N177" s="43">
        <v>23586000</v>
      </c>
      <c r="O177" s="54">
        <v>6</v>
      </c>
    </row>
    <row r="178" spans="7:15">
      <c r="G178" s="44"/>
      <c r="H178" s="44"/>
      <c r="I178" s="28">
        <v>27</v>
      </c>
      <c r="J178" s="28" t="s">
        <v>5071</v>
      </c>
      <c r="K178" s="28">
        <v>0</v>
      </c>
      <c r="L178" s="42">
        <v>293</v>
      </c>
      <c r="M178" s="43">
        <v>2441666.666666666</v>
      </c>
      <c r="N178" s="43">
        <v>16115000</v>
      </c>
      <c r="O178" s="54">
        <v>6.0000000000000009</v>
      </c>
    </row>
    <row r="179" spans="7:15">
      <c r="G179" s="44"/>
      <c r="H179" s="44"/>
      <c r="I179" s="28">
        <v>31</v>
      </c>
      <c r="J179" s="28" t="s">
        <v>91</v>
      </c>
      <c r="K179" s="28">
        <v>0</v>
      </c>
      <c r="L179" s="42">
        <v>160</v>
      </c>
      <c r="M179" s="43">
        <v>1333333.333333333</v>
      </c>
      <c r="N179" s="43">
        <v>8800000</v>
      </c>
      <c r="O179" s="54">
        <v>6.0000000000000009</v>
      </c>
    </row>
    <row r="180" spans="7:15">
      <c r="G180" s="44"/>
      <c r="H180" s="44"/>
      <c r="I180" s="28">
        <v>32</v>
      </c>
      <c r="J180" s="28" t="s">
        <v>91</v>
      </c>
      <c r="K180" s="28">
        <v>0</v>
      </c>
      <c r="L180" s="42">
        <v>15</v>
      </c>
      <c r="M180" s="43">
        <v>102272.72727272725</v>
      </c>
      <c r="N180" s="43">
        <v>675000</v>
      </c>
      <c r="O180" s="54">
        <v>6.0000000000000009</v>
      </c>
    </row>
    <row r="181" spans="7:15">
      <c r="G181" s="44"/>
      <c r="H181" s="50" t="s">
        <v>1622</v>
      </c>
      <c r="I181" s="51"/>
      <c r="J181" s="51"/>
      <c r="K181" s="51"/>
      <c r="L181" s="52">
        <v>1366</v>
      </c>
      <c r="M181" s="53">
        <v>10488134.09090909</v>
      </c>
      <c r="N181" s="53">
        <v>70676000</v>
      </c>
      <c r="O181" s="55">
        <v>6.1260571741355339</v>
      </c>
    </row>
    <row r="182" spans="7:15">
      <c r="G182" s="44"/>
      <c r="H182" s="28" t="s">
        <v>2678</v>
      </c>
      <c r="I182" s="28" t="s">
        <v>130</v>
      </c>
      <c r="J182" s="28" t="s">
        <v>400</v>
      </c>
      <c r="K182" s="28" t="s">
        <v>82</v>
      </c>
      <c r="L182" s="42">
        <v>128</v>
      </c>
      <c r="M182" s="43">
        <v>1024000</v>
      </c>
      <c r="N182" s="43">
        <v>5504000</v>
      </c>
      <c r="O182" s="54">
        <v>4.8863636363636367</v>
      </c>
    </row>
    <row r="183" spans="7:15">
      <c r="G183" s="44"/>
      <c r="H183" s="50" t="s">
        <v>3804</v>
      </c>
      <c r="I183" s="51"/>
      <c r="J183" s="51"/>
      <c r="K183" s="51"/>
      <c r="L183" s="52">
        <v>128</v>
      </c>
      <c r="M183" s="53">
        <v>1024000</v>
      </c>
      <c r="N183" s="53">
        <v>5504000</v>
      </c>
      <c r="O183" s="55">
        <v>4.8863636363636367</v>
      </c>
    </row>
    <row r="184" spans="7:15">
      <c r="G184" s="44"/>
      <c r="H184" s="28" t="s">
        <v>93</v>
      </c>
      <c r="I184" s="28">
        <v>10</v>
      </c>
      <c r="J184" s="28" t="s">
        <v>400</v>
      </c>
      <c r="K184" s="28">
        <v>0</v>
      </c>
      <c r="L184" s="42">
        <v>4300</v>
      </c>
      <c r="M184" s="43">
        <v>28898168</v>
      </c>
      <c r="N184" s="43">
        <v>193900000</v>
      </c>
      <c r="O184" s="54">
        <v>6.0997889995216052</v>
      </c>
    </row>
    <row r="185" spans="7:15">
      <c r="G185" s="44"/>
      <c r="H185" s="44"/>
      <c r="I185" s="28">
        <v>12</v>
      </c>
      <c r="J185" s="28" t="s">
        <v>400</v>
      </c>
      <c r="K185" s="28">
        <v>0</v>
      </c>
      <c r="L185" s="42">
        <v>440</v>
      </c>
      <c r="M185" s="43">
        <v>2848529.2</v>
      </c>
      <c r="N185" s="43">
        <v>19560000</v>
      </c>
      <c r="O185" s="54">
        <v>6.2424559951213343</v>
      </c>
    </row>
    <row r="186" spans="7:15">
      <c r="G186" s="44"/>
      <c r="H186" s="44"/>
      <c r="I186" s="28">
        <v>15</v>
      </c>
      <c r="J186" s="28" t="s">
        <v>400</v>
      </c>
      <c r="K186" s="28">
        <v>0</v>
      </c>
      <c r="L186" s="42">
        <v>100</v>
      </c>
      <c r="M186" s="43">
        <v>539000</v>
      </c>
      <c r="N186" s="43">
        <v>4300000</v>
      </c>
      <c r="O186" s="54">
        <v>7.2524877719682914</v>
      </c>
    </row>
    <row r="187" spans="7:15">
      <c r="G187" s="44"/>
      <c r="H187" s="44"/>
      <c r="I187" s="28">
        <v>17</v>
      </c>
      <c r="J187" s="28" t="s">
        <v>400</v>
      </c>
      <c r="K187" s="28">
        <v>0</v>
      </c>
      <c r="L187" s="42">
        <v>162</v>
      </c>
      <c r="M187" s="43">
        <v>1349999.9999999998</v>
      </c>
      <c r="N187" s="43">
        <v>8910000</v>
      </c>
      <c r="O187" s="54">
        <v>6.0000000000000009</v>
      </c>
    </row>
    <row r="188" spans="7:15">
      <c r="G188" s="44"/>
      <c r="H188" s="44"/>
      <c r="I188" s="28">
        <v>18</v>
      </c>
      <c r="J188" s="28" t="s">
        <v>5071</v>
      </c>
      <c r="K188" s="28">
        <v>0</v>
      </c>
      <c r="L188" s="42">
        <v>278</v>
      </c>
      <c r="M188" s="43">
        <v>2316666.6666666665</v>
      </c>
      <c r="N188" s="43">
        <v>15290000</v>
      </c>
      <c r="O188" s="54">
        <v>6</v>
      </c>
    </row>
    <row r="189" spans="7:15">
      <c r="G189" s="44"/>
      <c r="H189" s="44"/>
      <c r="I189" s="28">
        <v>20</v>
      </c>
      <c r="J189" s="28" t="s">
        <v>91</v>
      </c>
      <c r="K189" s="28">
        <v>0</v>
      </c>
      <c r="L189" s="42">
        <v>15</v>
      </c>
      <c r="M189" s="43">
        <v>105303.0303030303</v>
      </c>
      <c r="N189" s="43">
        <v>695000</v>
      </c>
      <c r="O189" s="54">
        <v>5.9999999999999991</v>
      </c>
    </row>
    <row r="190" spans="7:15">
      <c r="G190" s="44"/>
      <c r="H190" s="50" t="s">
        <v>1632</v>
      </c>
      <c r="I190" s="51"/>
      <c r="J190" s="51"/>
      <c r="K190" s="51"/>
      <c r="L190" s="52">
        <v>5295</v>
      </c>
      <c r="M190" s="53">
        <v>36057666.896969691</v>
      </c>
      <c r="N190" s="53">
        <v>242655000</v>
      </c>
      <c r="O190" s="55">
        <v>6.1178515841243586</v>
      </c>
    </row>
    <row r="191" spans="7:15">
      <c r="G191" s="44"/>
      <c r="H191" s="28" t="s">
        <v>129</v>
      </c>
      <c r="I191" s="28" t="s">
        <v>438</v>
      </c>
      <c r="J191" s="28" t="s">
        <v>400</v>
      </c>
      <c r="K191" s="28">
        <v>0</v>
      </c>
      <c r="L191" s="42">
        <v>1800</v>
      </c>
      <c r="M191" s="43">
        <v>22606000</v>
      </c>
      <c r="N191" s="43">
        <v>99000000</v>
      </c>
      <c r="O191" s="54">
        <v>3.9812439175440142</v>
      </c>
    </row>
    <row r="192" spans="7:15">
      <c r="G192" s="44"/>
      <c r="H192" s="44"/>
      <c r="I192" s="28" t="s">
        <v>485</v>
      </c>
      <c r="J192" s="29"/>
      <c r="K192" s="29"/>
      <c r="L192" s="42">
        <v>759</v>
      </c>
      <c r="M192" s="43">
        <v>10364772.727272727</v>
      </c>
      <c r="N192" s="43">
        <v>45605000</v>
      </c>
      <c r="O192" s="54">
        <v>4</v>
      </c>
    </row>
    <row r="193" spans="7:15">
      <c r="G193" s="44"/>
      <c r="H193" s="44"/>
      <c r="I193" s="28" t="s">
        <v>235</v>
      </c>
      <c r="J193" s="28" t="s">
        <v>5071</v>
      </c>
      <c r="K193" s="28">
        <v>0</v>
      </c>
      <c r="L193" s="42">
        <v>833</v>
      </c>
      <c r="M193" s="43">
        <v>11713863.636363637</v>
      </c>
      <c r="N193" s="43">
        <v>51541000</v>
      </c>
      <c r="O193" s="54">
        <v>3.9999999999999996</v>
      </c>
    </row>
    <row r="194" spans="7:15">
      <c r="G194" s="44"/>
      <c r="H194" s="50" t="s">
        <v>1646</v>
      </c>
      <c r="I194" s="51"/>
      <c r="J194" s="51"/>
      <c r="K194" s="51"/>
      <c r="L194" s="52">
        <v>3392</v>
      </c>
      <c r="M194" s="53">
        <v>44684636.36363636</v>
      </c>
      <c r="N194" s="53">
        <v>196146000</v>
      </c>
      <c r="O194" s="55">
        <v>3.9905112800616855</v>
      </c>
    </row>
    <row r="195" spans="7:15">
      <c r="G195" s="44"/>
      <c r="H195" s="28" t="s">
        <v>179</v>
      </c>
      <c r="I195" s="28">
        <v>23</v>
      </c>
      <c r="J195" s="28" t="s">
        <v>400</v>
      </c>
      <c r="K195" s="28">
        <v>0</v>
      </c>
      <c r="L195" s="42">
        <v>100</v>
      </c>
      <c r="M195" s="43">
        <v>1002099</v>
      </c>
      <c r="N195" s="43">
        <v>5900000</v>
      </c>
      <c r="O195" s="54">
        <v>5.3524016725257315</v>
      </c>
    </row>
    <row r="196" spans="7:15">
      <c r="G196" s="44"/>
      <c r="H196" s="44"/>
      <c r="I196" s="28">
        <v>27</v>
      </c>
      <c r="J196" s="28" t="s">
        <v>400</v>
      </c>
      <c r="K196" s="28">
        <v>0</v>
      </c>
      <c r="L196" s="42">
        <v>1861</v>
      </c>
      <c r="M196" s="43">
        <v>13635606.060606061</v>
      </c>
      <c r="N196" s="43">
        <v>89995000</v>
      </c>
      <c r="O196" s="54">
        <v>5.9999999999999991</v>
      </c>
    </row>
    <row r="197" spans="7:15">
      <c r="G197" s="44"/>
      <c r="H197" s="44"/>
      <c r="I197" s="28">
        <v>33</v>
      </c>
      <c r="J197" s="28" t="s">
        <v>5071</v>
      </c>
      <c r="K197" s="28">
        <v>0</v>
      </c>
      <c r="L197" s="42">
        <v>356</v>
      </c>
      <c r="M197" s="43">
        <v>2883939.3939393936</v>
      </c>
      <c r="N197" s="43">
        <v>19034000</v>
      </c>
      <c r="O197" s="54">
        <v>6.0000000000000009</v>
      </c>
    </row>
    <row r="198" spans="7:15">
      <c r="G198" s="44"/>
      <c r="H198" s="44"/>
      <c r="I198" s="28">
        <v>35</v>
      </c>
      <c r="J198" s="28" t="s">
        <v>5071</v>
      </c>
      <c r="K198" s="28">
        <v>0</v>
      </c>
      <c r="L198" s="42">
        <v>4415</v>
      </c>
      <c r="M198" s="43">
        <v>28746818.18181818</v>
      </c>
      <c r="N198" s="43">
        <v>189729000</v>
      </c>
      <c r="O198" s="54">
        <v>6</v>
      </c>
    </row>
    <row r="199" spans="7:15">
      <c r="G199" s="44"/>
      <c r="H199" s="44"/>
      <c r="I199" s="28">
        <v>41</v>
      </c>
      <c r="J199" s="28" t="s">
        <v>91</v>
      </c>
      <c r="K199" s="28">
        <v>0</v>
      </c>
      <c r="L199" s="42">
        <v>30</v>
      </c>
      <c r="M199" s="43">
        <v>204545.4545454545</v>
      </c>
      <c r="N199" s="43">
        <v>1350000</v>
      </c>
      <c r="O199" s="54">
        <v>6.0000000000000009</v>
      </c>
    </row>
    <row r="200" spans="7:15">
      <c r="G200" s="44"/>
      <c r="H200" s="44"/>
      <c r="I200" s="28">
        <v>44</v>
      </c>
      <c r="J200" s="28" t="s">
        <v>400</v>
      </c>
      <c r="K200" s="28">
        <v>0</v>
      </c>
      <c r="L200" s="42">
        <v>10</v>
      </c>
      <c r="M200" s="43">
        <v>89393.939393939378</v>
      </c>
      <c r="N200" s="43">
        <v>590000</v>
      </c>
      <c r="O200" s="54">
        <v>6</v>
      </c>
    </row>
    <row r="201" spans="7:15">
      <c r="G201" s="44"/>
      <c r="H201" s="50" t="s">
        <v>1623</v>
      </c>
      <c r="I201" s="51"/>
      <c r="J201" s="51"/>
      <c r="K201" s="51"/>
      <c r="L201" s="52">
        <v>6772</v>
      </c>
      <c r="M201" s="53">
        <v>46562402.030303024</v>
      </c>
      <c r="N201" s="53">
        <v>306598000</v>
      </c>
      <c r="O201" s="55">
        <v>5.986062625464613</v>
      </c>
    </row>
    <row r="202" spans="7:15">
      <c r="G202" s="45" t="s">
        <v>3805</v>
      </c>
      <c r="H202" s="46"/>
      <c r="I202" s="46"/>
      <c r="J202" s="46"/>
      <c r="K202" s="46"/>
      <c r="L202" s="47">
        <v>16953</v>
      </c>
      <c r="M202" s="48">
        <v>138816839.38181821</v>
      </c>
      <c r="N202" s="48">
        <v>821579000</v>
      </c>
      <c r="O202" s="56">
        <v>5.3803991167502767</v>
      </c>
    </row>
    <row r="203" spans="7:15">
      <c r="G203" s="28" t="s">
        <v>2790</v>
      </c>
      <c r="H203" s="28" t="s">
        <v>179</v>
      </c>
      <c r="I203" s="28">
        <v>24</v>
      </c>
      <c r="J203" s="28" t="s">
        <v>400</v>
      </c>
      <c r="K203" s="28">
        <v>0</v>
      </c>
      <c r="L203" s="42">
        <v>324</v>
      </c>
      <c r="M203" s="43">
        <v>2172906.0400000005</v>
      </c>
      <c r="N203" s="43">
        <v>15580000</v>
      </c>
      <c r="O203" s="54">
        <v>6.5182921409875405</v>
      </c>
    </row>
    <row r="204" spans="7:15">
      <c r="G204" s="44"/>
      <c r="H204" s="44"/>
      <c r="I204" s="28">
        <v>30</v>
      </c>
      <c r="J204" s="28" t="s">
        <v>400</v>
      </c>
      <c r="K204" s="28">
        <v>0</v>
      </c>
      <c r="L204" s="42">
        <v>368</v>
      </c>
      <c r="M204" s="43">
        <v>3018181.8181818184</v>
      </c>
      <c r="N204" s="43">
        <v>19920000</v>
      </c>
      <c r="O204" s="54">
        <v>5.9999999999999991</v>
      </c>
    </row>
    <row r="205" spans="7:15">
      <c r="G205" s="44"/>
      <c r="H205" s="44"/>
      <c r="I205" s="28">
        <v>38</v>
      </c>
      <c r="J205" s="28" t="s">
        <v>5071</v>
      </c>
      <c r="K205" s="28">
        <v>0</v>
      </c>
      <c r="L205" s="42">
        <v>697</v>
      </c>
      <c r="M205" s="43">
        <v>5652272.7272727266</v>
      </c>
      <c r="N205" s="43">
        <v>37305000</v>
      </c>
      <c r="O205" s="54">
        <v>6</v>
      </c>
    </row>
    <row r="206" spans="7:15">
      <c r="G206" s="44"/>
      <c r="H206" s="44"/>
      <c r="I206" s="28">
        <v>46</v>
      </c>
      <c r="J206" s="28" t="s">
        <v>91</v>
      </c>
      <c r="K206" s="28">
        <v>0</v>
      </c>
      <c r="L206" s="42">
        <v>10</v>
      </c>
      <c r="M206" s="43">
        <v>104545.45454545454</v>
      </c>
      <c r="N206" s="43">
        <v>690000</v>
      </c>
      <c r="O206" s="54">
        <v>5.9999999999999991</v>
      </c>
    </row>
    <row r="207" spans="7:15">
      <c r="G207" s="44"/>
      <c r="H207" s="50" t="s">
        <v>1623</v>
      </c>
      <c r="I207" s="51"/>
      <c r="J207" s="51"/>
      <c r="K207" s="51"/>
      <c r="L207" s="52">
        <v>1399</v>
      </c>
      <c r="M207" s="53">
        <v>10947906.040000001</v>
      </c>
      <c r="N207" s="53">
        <v>73495000</v>
      </c>
      <c r="O207" s="55">
        <v>6.1028689979181054</v>
      </c>
    </row>
    <row r="208" spans="7:15">
      <c r="G208" s="45" t="s">
        <v>3806</v>
      </c>
      <c r="H208" s="46"/>
      <c r="I208" s="46"/>
      <c r="J208" s="46"/>
      <c r="K208" s="46"/>
      <c r="L208" s="47">
        <v>1399</v>
      </c>
      <c r="M208" s="48">
        <v>10947906.040000001</v>
      </c>
      <c r="N208" s="48">
        <v>73495000</v>
      </c>
      <c r="O208" s="56">
        <v>6.1028689979181054</v>
      </c>
    </row>
    <row r="209" spans="7:15">
      <c r="G209" s="28" t="s">
        <v>2810</v>
      </c>
      <c r="H209" s="28" t="s">
        <v>111</v>
      </c>
      <c r="I209" s="28">
        <v>35</v>
      </c>
      <c r="J209" s="28" t="s">
        <v>91</v>
      </c>
      <c r="K209" s="28">
        <v>0</v>
      </c>
      <c r="L209" s="42">
        <v>15</v>
      </c>
      <c r="M209" s="43">
        <v>102272.72727272725</v>
      </c>
      <c r="N209" s="43">
        <v>675000</v>
      </c>
      <c r="O209" s="54">
        <v>6.0000000000000009</v>
      </c>
    </row>
    <row r="210" spans="7:15">
      <c r="G210" s="44"/>
      <c r="H210" s="50" t="s">
        <v>1622</v>
      </c>
      <c r="I210" s="51"/>
      <c r="J210" s="51"/>
      <c r="K210" s="51"/>
      <c r="L210" s="52">
        <v>15</v>
      </c>
      <c r="M210" s="53">
        <v>102272.72727272725</v>
      </c>
      <c r="N210" s="53">
        <v>675000</v>
      </c>
      <c r="O210" s="55">
        <v>6.0000000000000009</v>
      </c>
    </row>
    <row r="211" spans="7:15">
      <c r="G211" s="44"/>
      <c r="H211" s="28" t="s">
        <v>93</v>
      </c>
      <c r="I211" s="28">
        <v>11</v>
      </c>
      <c r="J211" s="28" t="s">
        <v>400</v>
      </c>
      <c r="K211" s="28">
        <v>0</v>
      </c>
      <c r="L211" s="42">
        <v>1177</v>
      </c>
      <c r="M211" s="43">
        <v>7941436.5</v>
      </c>
      <c r="N211" s="43">
        <v>47811000</v>
      </c>
      <c r="O211" s="54">
        <v>5.4731339165836621</v>
      </c>
    </row>
    <row r="212" spans="7:15">
      <c r="G212" s="44"/>
      <c r="H212" s="44"/>
      <c r="I212" s="28">
        <v>14</v>
      </c>
      <c r="J212" s="28" t="s">
        <v>400</v>
      </c>
      <c r="K212" s="28">
        <v>0</v>
      </c>
      <c r="L212" s="42">
        <v>30</v>
      </c>
      <c r="M212" s="43">
        <v>192855.00000000003</v>
      </c>
      <c r="N212" s="43">
        <v>1350000</v>
      </c>
      <c r="O212" s="54">
        <v>6.363707071492712</v>
      </c>
    </row>
    <row r="213" spans="7:15">
      <c r="G213" s="44"/>
      <c r="H213" s="44"/>
      <c r="I213" s="28">
        <v>16</v>
      </c>
      <c r="J213" s="28" t="s">
        <v>400</v>
      </c>
      <c r="K213" s="28">
        <v>0</v>
      </c>
      <c r="L213" s="42">
        <v>100</v>
      </c>
      <c r="M213" s="43">
        <v>606400</v>
      </c>
      <c r="N213" s="43">
        <v>4300000</v>
      </c>
      <c r="O213" s="54">
        <v>6.4463900215879111</v>
      </c>
    </row>
    <row r="214" spans="7:15">
      <c r="G214" s="44"/>
      <c r="H214" s="44"/>
      <c r="I214" s="28">
        <v>22</v>
      </c>
      <c r="J214" s="28" t="s">
        <v>91</v>
      </c>
      <c r="K214" s="28">
        <v>0</v>
      </c>
      <c r="L214" s="42">
        <v>7</v>
      </c>
      <c r="M214" s="43">
        <v>45606.060606060608</v>
      </c>
      <c r="N214" s="43">
        <v>301000</v>
      </c>
      <c r="O214" s="54">
        <v>5.9999999999999991</v>
      </c>
    </row>
    <row r="215" spans="7:15">
      <c r="G215" s="44"/>
      <c r="H215" s="50" t="s">
        <v>1632</v>
      </c>
      <c r="I215" s="51"/>
      <c r="J215" s="51"/>
      <c r="K215" s="51"/>
      <c r="L215" s="52">
        <v>1314</v>
      </c>
      <c r="M215" s="53">
        <v>8786297.5606060605</v>
      </c>
      <c r="N215" s="53">
        <v>53762000</v>
      </c>
      <c r="O215" s="55">
        <v>5.5625870985382591</v>
      </c>
    </row>
    <row r="216" spans="7:15">
      <c r="G216" s="44"/>
      <c r="H216" s="28" t="s">
        <v>129</v>
      </c>
      <c r="I216" s="28" t="s">
        <v>112</v>
      </c>
      <c r="J216" s="28" t="s">
        <v>400</v>
      </c>
      <c r="K216" s="28">
        <v>0</v>
      </c>
      <c r="L216" s="42">
        <v>64</v>
      </c>
      <c r="M216" s="43">
        <v>799999.99999999977</v>
      </c>
      <c r="N216" s="43">
        <v>3520000</v>
      </c>
      <c r="O216" s="54">
        <v>4.0000000000000009</v>
      </c>
    </row>
    <row r="217" spans="7:15">
      <c r="G217" s="44"/>
      <c r="H217" s="50" t="s">
        <v>1646</v>
      </c>
      <c r="I217" s="51"/>
      <c r="J217" s="51"/>
      <c r="K217" s="51"/>
      <c r="L217" s="52">
        <v>64</v>
      </c>
      <c r="M217" s="53">
        <v>799999.99999999977</v>
      </c>
      <c r="N217" s="53">
        <v>3520000</v>
      </c>
      <c r="O217" s="55">
        <v>4.0000000000000009</v>
      </c>
    </row>
    <row r="218" spans="7:15">
      <c r="G218" s="44"/>
      <c r="H218" s="28" t="s">
        <v>179</v>
      </c>
      <c r="I218" s="28">
        <v>31</v>
      </c>
      <c r="J218" s="28" t="s">
        <v>400</v>
      </c>
      <c r="K218" s="28">
        <v>0</v>
      </c>
      <c r="L218" s="42">
        <v>396</v>
      </c>
      <c r="M218" s="43">
        <v>2339999.9999999995</v>
      </c>
      <c r="N218" s="43">
        <v>15444000</v>
      </c>
      <c r="O218" s="54">
        <v>6.0000000000000009</v>
      </c>
    </row>
    <row r="219" spans="7:15">
      <c r="G219" s="44"/>
      <c r="H219" s="50" t="s">
        <v>1623</v>
      </c>
      <c r="I219" s="51"/>
      <c r="J219" s="51"/>
      <c r="K219" s="51"/>
      <c r="L219" s="52">
        <v>396</v>
      </c>
      <c r="M219" s="53">
        <v>2339999.9999999995</v>
      </c>
      <c r="N219" s="53">
        <v>15444000</v>
      </c>
      <c r="O219" s="55">
        <v>6.0000000000000009</v>
      </c>
    </row>
    <row r="220" spans="7:15">
      <c r="G220" s="44"/>
      <c r="H220" s="28" t="s">
        <v>252</v>
      </c>
      <c r="I220" s="28" t="s">
        <v>112</v>
      </c>
      <c r="J220" s="28" t="s">
        <v>400</v>
      </c>
      <c r="K220" s="28">
        <v>0</v>
      </c>
      <c r="L220" s="42">
        <v>50</v>
      </c>
      <c r="M220" s="43">
        <v>292207.79220779217</v>
      </c>
      <c r="N220" s="43">
        <v>2250000</v>
      </c>
      <c r="O220" s="54">
        <v>7</v>
      </c>
    </row>
    <row r="221" spans="7:15">
      <c r="G221" s="44"/>
      <c r="H221" s="44"/>
      <c r="I221" s="28" t="s">
        <v>180</v>
      </c>
      <c r="J221" s="28" t="s">
        <v>5071</v>
      </c>
      <c r="K221" s="28">
        <v>0</v>
      </c>
      <c r="L221" s="42">
        <v>333</v>
      </c>
      <c r="M221" s="43">
        <v>1946103.896103896</v>
      </c>
      <c r="N221" s="43">
        <v>14985000</v>
      </c>
      <c r="O221" s="54">
        <v>6.9999999999999991</v>
      </c>
    </row>
    <row r="222" spans="7:15">
      <c r="G222" s="44"/>
      <c r="H222" s="50" t="s">
        <v>1636</v>
      </c>
      <c r="I222" s="51"/>
      <c r="J222" s="51"/>
      <c r="K222" s="51"/>
      <c r="L222" s="52">
        <v>383</v>
      </c>
      <c r="M222" s="53">
        <v>2238311.6883116881</v>
      </c>
      <c r="N222" s="53">
        <v>17235000</v>
      </c>
      <c r="O222" s="55">
        <v>7</v>
      </c>
    </row>
    <row r="223" spans="7:15">
      <c r="G223" s="44"/>
      <c r="H223" s="28" t="s">
        <v>1047</v>
      </c>
      <c r="I223" s="28">
        <v>13</v>
      </c>
      <c r="J223" s="28" t="s">
        <v>400</v>
      </c>
      <c r="K223" s="28">
        <v>0</v>
      </c>
      <c r="L223" s="42">
        <v>200</v>
      </c>
      <c r="M223" s="43">
        <v>1010101.0101010101</v>
      </c>
      <c r="N223" s="43">
        <v>10000000</v>
      </c>
      <c r="O223" s="54">
        <v>8.9999999999999982</v>
      </c>
    </row>
    <row r="224" spans="7:15">
      <c r="G224" s="44"/>
      <c r="H224" s="44"/>
      <c r="I224" s="28">
        <v>14</v>
      </c>
      <c r="J224" s="28" t="s">
        <v>5071</v>
      </c>
      <c r="K224" s="28">
        <v>0</v>
      </c>
      <c r="L224" s="42">
        <v>200</v>
      </c>
      <c r="M224" s="43">
        <v>1010101.0101010101</v>
      </c>
      <c r="N224" s="43">
        <v>10000000</v>
      </c>
      <c r="O224" s="54">
        <v>8.9999999999999982</v>
      </c>
    </row>
    <row r="225" spans="7:15">
      <c r="G225" s="44"/>
      <c r="H225" s="44"/>
      <c r="I225" s="28" t="s">
        <v>235</v>
      </c>
      <c r="J225" s="28" t="s">
        <v>400</v>
      </c>
      <c r="K225" s="28">
        <v>0</v>
      </c>
      <c r="L225" s="42">
        <v>68</v>
      </c>
      <c r="M225" s="43">
        <v>366171.44000000012</v>
      </c>
      <c r="N225" s="43">
        <v>2924000</v>
      </c>
      <c r="O225" s="54">
        <v>7.2593914429312596</v>
      </c>
    </row>
    <row r="226" spans="7:15">
      <c r="G226" s="44"/>
      <c r="H226" s="50" t="s">
        <v>1637</v>
      </c>
      <c r="I226" s="51"/>
      <c r="J226" s="51"/>
      <c r="K226" s="51"/>
      <c r="L226" s="52">
        <v>468</v>
      </c>
      <c r="M226" s="53">
        <v>2386373.4602020201</v>
      </c>
      <c r="N226" s="53">
        <v>22924000</v>
      </c>
      <c r="O226" s="55">
        <v>8.7329164305388201</v>
      </c>
    </row>
    <row r="227" spans="7:15">
      <c r="G227" s="45" t="s">
        <v>3807</v>
      </c>
      <c r="H227" s="46"/>
      <c r="I227" s="46"/>
      <c r="J227" s="46"/>
      <c r="K227" s="46"/>
      <c r="L227" s="47">
        <v>2640</v>
      </c>
      <c r="M227" s="48">
        <v>16653255.436392495</v>
      </c>
      <c r="N227" s="48">
        <v>113560000</v>
      </c>
      <c r="O227" s="56">
        <v>6.1991701280675944</v>
      </c>
    </row>
    <row r="228" spans="7:15">
      <c r="G228" s="28" t="s">
        <v>2870</v>
      </c>
      <c r="H228" s="28" t="s">
        <v>129</v>
      </c>
      <c r="I228" s="28">
        <v>10</v>
      </c>
      <c r="J228" s="28" t="s">
        <v>5071</v>
      </c>
      <c r="K228" s="28">
        <v>0</v>
      </c>
      <c r="L228" s="42">
        <v>100</v>
      </c>
      <c r="M228" s="43">
        <v>1431818.1818181816</v>
      </c>
      <c r="N228" s="43">
        <v>6300000</v>
      </c>
      <c r="O228" s="54">
        <v>4</v>
      </c>
    </row>
    <row r="229" spans="7:15">
      <c r="G229" s="44"/>
      <c r="H229" s="44"/>
      <c r="I229" s="28" t="s">
        <v>514</v>
      </c>
      <c r="J229" s="28" t="s">
        <v>400</v>
      </c>
      <c r="K229" s="28">
        <v>0</v>
      </c>
      <c r="L229" s="42">
        <v>50</v>
      </c>
      <c r="M229" s="43">
        <v>715909.09090909082</v>
      </c>
      <c r="N229" s="43">
        <v>3150000</v>
      </c>
      <c r="O229" s="54">
        <v>4</v>
      </c>
    </row>
    <row r="230" spans="7:15">
      <c r="G230" s="44"/>
      <c r="H230" s="50" t="s">
        <v>1646</v>
      </c>
      <c r="I230" s="51"/>
      <c r="J230" s="51"/>
      <c r="K230" s="51"/>
      <c r="L230" s="52">
        <v>150</v>
      </c>
      <c r="M230" s="53">
        <v>2147727.2727272725</v>
      </c>
      <c r="N230" s="53">
        <v>9450000</v>
      </c>
      <c r="O230" s="55">
        <v>4</v>
      </c>
    </row>
    <row r="231" spans="7:15">
      <c r="G231" s="44"/>
      <c r="H231" s="28" t="s">
        <v>179</v>
      </c>
      <c r="I231" s="28">
        <v>25</v>
      </c>
      <c r="J231" s="28" t="s">
        <v>400</v>
      </c>
      <c r="K231" s="28">
        <v>0</v>
      </c>
      <c r="L231" s="42">
        <v>633</v>
      </c>
      <c r="M231" s="43">
        <v>3225039.3900000006</v>
      </c>
      <c r="N231" s="43">
        <v>32749000</v>
      </c>
      <c r="O231" s="54">
        <v>9.2314587766378171</v>
      </c>
    </row>
    <row r="232" spans="7:15">
      <c r="G232" s="44"/>
      <c r="H232" s="44"/>
      <c r="I232" s="28">
        <v>26</v>
      </c>
      <c r="J232" s="28" t="s">
        <v>400</v>
      </c>
      <c r="K232" s="28">
        <v>0</v>
      </c>
      <c r="L232" s="42">
        <v>160</v>
      </c>
      <c r="M232" s="43">
        <v>719816</v>
      </c>
      <c r="N232" s="43">
        <v>6440000</v>
      </c>
      <c r="O232" s="54">
        <v>8.1333916647385642</v>
      </c>
    </row>
    <row r="233" spans="7:15">
      <c r="G233" s="44"/>
      <c r="H233" s="44"/>
      <c r="I233" s="28">
        <v>32</v>
      </c>
      <c r="J233" s="28" t="s">
        <v>400</v>
      </c>
      <c r="K233" s="28">
        <v>0</v>
      </c>
      <c r="L233" s="42">
        <v>100</v>
      </c>
      <c r="M233" s="43">
        <v>742424.24242424231</v>
      </c>
      <c r="N233" s="43">
        <v>4900000</v>
      </c>
      <c r="O233" s="54">
        <v>6</v>
      </c>
    </row>
    <row r="234" spans="7:15">
      <c r="G234" s="44"/>
      <c r="H234" s="44"/>
      <c r="I234" s="28">
        <v>39</v>
      </c>
      <c r="J234" s="28" t="s">
        <v>5071</v>
      </c>
      <c r="K234" s="28">
        <v>0</v>
      </c>
      <c r="L234" s="42">
        <v>200</v>
      </c>
      <c r="M234" s="43">
        <v>1484848.4848484846</v>
      </c>
      <c r="N234" s="43">
        <v>9800000</v>
      </c>
      <c r="O234" s="54">
        <v>6</v>
      </c>
    </row>
    <row r="235" spans="7:15">
      <c r="G235" s="44"/>
      <c r="H235" s="44"/>
      <c r="I235" s="28">
        <v>48</v>
      </c>
      <c r="J235" s="28" t="s">
        <v>91</v>
      </c>
      <c r="K235" s="28">
        <v>0</v>
      </c>
      <c r="L235" s="42">
        <v>12</v>
      </c>
      <c r="M235" s="43">
        <v>99696.969696969696</v>
      </c>
      <c r="N235" s="43">
        <v>658000</v>
      </c>
      <c r="O235" s="54">
        <v>6</v>
      </c>
    </row>
    <row r="236" spans="7:15">
      <c r="G236" s="44"/>
      <c r="H236" s="44"/>
      <c r="I236" s="44"/>
      <c r="J236" s="28" t="s">
        <v>400</v>
      </c>
      <c r="K236" s="28">
        <v>0</v>
      </c>
      <c r="L236" s="42">
        <v>10</v>
      </c>
      <c r="M236" s="43">
        <v>78787.878787878784</v>
      </c>
      <c r="N236" s="43">
        <v>520000</v>
      </c>
      <c r="O236" s="54">
        <v>6</v>
      </c>
    </row>
    <row r="237" spans="7:15">
      <c r="G237" s="44"/>
      <c r="H237" s="50" t="s">
        <v>1623</v>
      </c>
      <c r="I237" s="51"/>
      <c r="J237" s="51"/>
      <c r="K237" s="51"/>
      <c r="L237" s="52">
        <v>1115</v>
      </c>
      <c r="M237" s="53">
        <v>6350612.9657575758</v>
      </c>
      <c r="N237" s="53">
        <v>55067000</v>
      </c>
      <c r="O237" s="55">
        <v>7.8828467993305322</v>
      </c>
    </row>
    <row r="238" spans="7:15">
      <c r="G238" s="45" t="s">
        <v>3808</v>
      </c>
      <c r="H238" s="46"/>
      <c r="I238" s="46"/>
      <c r="J238" s="46"/>
      <c r="K238" s="46"/>
      <c r="L238" s="47">
        <v>1265</v>
      </c>
      <c r="M238" s="48">
        <v>8498340.2384848483</v>
      </c>
      <c r="N238" s="48">
        <v>64517000</v>
      </c>
      <c r="O238" s="56">
        <v>6.9015615444781355</v>
      </c>
    </row>
    <row r="239" spans="7:15">
      <c r="G239" s="28" t="s">
        <v>2960</v>
      </c>
      <c r="H239" s="28" t="s">
        <v>93</v>
      </c>
      <c r="I239" s="28">
        <v>13</v>
      </c>
      <c r="J239" s="28" t="s">
        <v>400</v>
      </c>
      <c r="K239" s="28">
        <v>0</v>
      </c>
      <c r="L239" s="42">
        <v>60</v>
      </c>
      <c r="M239" s="43">
        <v>392259.90000000008</v>
      </c>
      <c r="N239" s="43">
        <v>2580000</v>
      </c>
      <c r="O239" s="54">
        <v>5.9793380497332116</v>
      </c>
    </row>
    <row r="240" spans="7:15">
      <c r="G240" s="44"/>
      <c r="H240" s="50" t="s">
        <v>1632</v>
      </c>
      <c r="I240" s="51"/>
      <c r="J240" s="51"/>
      <c r="K240" s="51"/>
      <c r="L240" s="52">
        <v>60</v>
      </c>
      <c r="M240" s="53">
        <v>392259.90000000008</v>
      </c>
      <c r="N240" s="53">
        <v>2580000</v>
      </c>
      <c r="O240" s="55">
        <v>5.9793380497332116</v>
      </c>
    </row>
    <row r="241" spans="7:15">
      <c r="G241" s="44"/>
      <c r="H241" s="28" t="s">
        <v>179</v>
      </c>
      <c r="I241" s="28">
        <v>28</v>
      </c>
      <c r="J241" s="28" t="s">
        <v>400</v>
      </c>
      <c r="K241" s="28">
        <v>0</v>
      </c>
      <c r="L241" s="42">
        <v>650</v>
      </c>
      <c r="M241" s="43">
        <v>4492424.2424242422</v>
      </c>
      <c r="N241" s="43">
        <v>29650000</v>
      </c>
      <c r="O241" s="54">
        <v>6</v>
      </c>
    </row>
    <row r="242" spans="7:15">
      <c r="G242" s="44"/>
      <c r="H242" s="44"/>
      <c r="I242" s="28">
        <v>36</v>
      </c>
      <c r="J242" s="28" t="s">
        <v>5071</v>
      </c>
      <c r="K242" s="28">
        <v>0</v>
      </c>
      <c r="L242" s="42">
        <v>3591</v>
      </c>
      <c r="M242" s="43">
        <v>23684393.939393941</v>
      </c>
      <c r="N242" s="43">
        <v>156317000</v>
      </c>
      <c r="O242" s="54">
        <v>5.9999999999999991</v>
      </c>
    </row>
    <row r="243" spans="7:15">
      <c r="G243" s="44"/>
      <c r="H243" s="50" t="s">
        <v>1623</v>
      </c>
      <c r="I243" s="51"/>
      <c r="J243" s="51"/>
      <c r="K243" s="51"/>
      <c r="L243" s="52">
        <v>4241</v>
      </c>
      <c r="M243" s="53">
        <v>28176818.181818184</v>
      </c>
      <c r="N243" s="53">
        <v>185967000</v>
      </c>
      <c r="O243" s="55">
        <v>5.9999999999999991</v>
      </c>
    </row>
    <row r="244" spans="7:15">
      <c r="G244" s="44"/>
      <c r="H244" s="28" t="s">
        <v>4670</v>
      </c>
      <c r="I244" s="28" t="s">
        <v>130</v>
      </c>
      <c r="J244" s="28" t="s">
        <v>400</v>
      </c>
      <c r="K244" s="28">
        <v>0</v>
      </c>
      <c r="L244" s="42">
        <v>9</v>
      </c>
      <c r="M244" s="43">
        <v>66818.181818181823</v>
      </c>
      <c r="N244" s="43">
        <v>441000</v>
      </c>
      <c r="O244" s="54">
        <v>5.9999999999999991</v>
      </c>
    </row>
    <row r="245" spans="7:15">
      <c r="G245" s="44"/>
      <c r="H245" s="50" t="s">
        <v>4967</v>
      </c>
      <c r="I245" s="51"/>
      <c r="J245" s="51"/>
      <c r="K245" s="51"/>
      <c r="L245" s="52">
        <v>9</v>
      </c>
      <c r="M245" s="53">
        <v>66818.181818181823</v>
      </c>
      <c r="N245" s="53">
        <v>441000</v>
      </c>
      <c r="O245" s="55">
        <v>5.9999999999999991</v>
      </c>
    </row>
    <row r="246" spans="7:15">
      <c r="G246" s="44"/>
      <c r="H246" s="28" t="s">
        <v>252</v>
      </c>
      <c r="I246" s="28" t="s">
        <v>485</v>
      </c>
      <c r="J246" s="29"/>
      <c r="K246" s="29"/>
      <c r="L246" s="42">
        <v>200</v>
      </c>
      <c r="M246" s="43">
        <v>935064.93506493501</v>
      </c>
      <c r="N246" s="43">
        <v>7200000</v>
      </c>
      <c r="O246" s="54">
        <v>6.9999999999999991</v>
      </c>
    </row>
    <row r="247" spans="7:15">
      <c r="G247" s="44"/>
      <c r="H247" s="44"/>
      <c r="I247" s="28" t="s">
        <v>514</v>
      </c>
      <c r="J247" s="28" t="s">
        <v>5071</v>
      </c>
      <c r="K247" s="28">
        <v>0</v>
      </c>
      <c r="L247" s="42">
        <v>1190</v>
      </c>
      <c r="M247" s="43">
        <v>5668831.1688311687</v>
      </c>
      <c r="N247" s="43">
        <v>43650000</v>
      </c>
      <c r="O247" s="54">
        <v>6.9999999999999991</v>
      </c>
    </row>
    <row r="248" spans="7:15">
      <c r="G248" s="44"/>
      <c r="H248" s="50" t="s">
        <v>1636</v>
      </c>
      <c r="I248" s="51"/>
      <c r="J248" s="51"/>
      <c r="K248" s="51"/>
      <c r="L248" s="52">
        <v>1390</v>
      </c>
      <c r="M248" s="53">
        <v>6603896.1038961038</v>
      </c>
      <c r="N248" s="53">
        <v>50850000</v>
      </c>
      <c r="O248" s="55">
        <v>7</v>
      </c>
    </row>
    <row r="249" spans="7:15">
      <c r="G249" s="44"/>
      <c r="H249" s="28" t="s">
        <v>4626</v>
      </c>
      <c r="I249" s="28" t="s">
        <v>130</v>
      </c>
      <c r="J249" s="28" t="s">
        <v>400</v>
      </c>
      <c r="K249" s="28">
        <v>0</v>
      </c>
      <c r="L249" s="42">
        <v>100</v>
      </c>
      <c r="M249" s="43">
        <v>324675.32467532466</v>
      </c>
      <c r="N249" s="43">
        <v>2500000</v>
      </c>
      <c r="O249" s="54">
        <v>7</v>
      </c>
    </row>
    <row r="250" spans="7:15">
      <c r="G250" s="44"/>
      <c r="H250" s="44"/>
      <c r="I250" s="28" t="s">
        <v>94</v>
      </c>
      <c r="J250" s="28" t="s">
        <v>5071</v>
      </c>
      <c r="K250" s="28">
        <v>0</v>
      </c>
      <c r="L250" s="42">
        <v>576</v>
      </c>
      <c r="M250" s="43">
        <v>1870129.8701298698</v>
      </c>
      <c r="N250" s="43">
        <v>14400000</v>
      </c>
      <c r="O250" s="54">
        <v>7</v>
      </c>
    </row>
    <row r="251" spans="7:15">
      <c r="G251" s="44"/>
      <c r="H251" s="50" t="s">
        <v>4968</v>
      </c>
      <c r="I251" s="51"/>
      <c r="J251" s="51"/>
      <c r="K251" s="51"/>
      <c r="L251" s="52">
        <v>676</v>
      </c>
      <c r="M251" s="53">
        <v>2194805.1948051946</v>
      </c>
      <c r="N251" s="53">
        <v>16900000</v>
      </c>
      <c r="O251" s="55">
        <v>7.0000000000000009</v>
      </c>
    </row>
    <row r="252" spans="7:15">
      <c r="G252" s="44"/>
      <c r="H252" s="28" t="s">
        <v>1047</v>
      </c>
      <c r="I252" s="28" t="s">
        <v>180</v>
      </c>
      <c r="J252" s="28" t="s">
        <v>400</v>
      </c>
      <c r="K252" s="28">
        <v>0</v>
      </c>
      <c r="L252" s="42">
        <v>76</v>
      </c>
      <c r="M252" s="43">
        <v>294848.19</v>
      </c>
      <c r="N252" s="43">
        <v>3268000</v>
      </c>
      <c r="O252" s="54">
        <v>10.076063519023435</v>
      </c>
    </row>
    <row r="253" spans="7:15">
      <c r="G253" s="44"/>
      <c r="H253" s="50" t="s">
        <v>1637</v>
      </c>
      <c r="I253" s="51"/>
      <c r="J253" s="51"/>
      <c r="K253" s="51"/>
      <c r="L253" s="52">
        <v>76</v>
      </c>
      <c r="M253" s="53">
        <v>294848.19</v>
      </c>
      <c r="N253" s="53">
        <v>3268000</v>
      </c>
      <c r="O253" s="55">
        <v>10.076063519023435</v>
      </c>
    </row>
    <row r="254" spans="7:15">
      <c r="G254" s="45" t="s">
        <v>3809</v>
      </c>
      <c r="H254" s="46"/>
      <c r="I254" s="46"/>
      <c r="J254" s="46"/>
      <c r="K254" s="46"/>
      <c r="L254" s="47">
        <v>6452</v>
      </c>
      <c r="M254" s="48">
        <v>37729445.752337657</v>
      </c>
      <c r="N254" s="48">
        <v>260006000</v>
      </c>
      <c r="O254" s="56">
        <v>6.2648439751979597</v>
      </c>
    </row>
    <row r="255" spans="7:15">
      <c r="G255" s="28" t="s">
        <v>2999</v>
      </c>
      <c r="H255" s="28" t="s">
        <v>111</v>
      </c>
      <c r="I255" s="28">
        <v>24</v>
      </c>
      <c r="J255" s="28" t="s">
        <v>400</v>
      </c>
      <c r="K255" s="28">
        <v>0</v>
      </c>
      <c r="L255" s="42">
        <v>50</v>
      </c>
      <c r="M255" s="43">
        <v>331970.50000000006</v>
      </c>
      <c r="N255" s="43">
        <v>2250000</v>
      </c>
      <c r="O255" s="54">
        <v>6.1615551546132705</v>
      </c>
    </row>
    <row r="256" spans="7:15">
      <c r="G256" s="44"/>
      <c r="H256" s="44"/>
      <c r="I256" s="28">
        <v>26</v>
      </c>
      <c r="J256" s="28" t="s">
        <v>400</v>
      </c>
      <c r="K256" s="28">
        <v>0</v>
      </c>
      <c r="L256" s="42">
        <v>102</v>
      </c>
      <c r="M256" s="43">
        <v>911818.18181818165</v>
      </c>
      <c r="N256" s="43">
        <v>6018000</v>
      </c>
      <c r="O256" s="54">
        <v>6.0000000000000009</v>
      </c>
    </row>
    <row r="257" spans="7:15">
      <c r="G257" s="44"/>
      <c r="H257" s="44"/>
      <c r="I257" s="28">
        <v>28</v>
      </c>
      <c r="J257" s="28" t="s">
        <v>5071</v>
      </c>
      <c r="K257" s="28">
        <v>0</v>
      </c>
      <c r="L257" s="42">
        <v>145</v>
      </c>
      <c r="M257" s="43">
        <v>1296212.1212121211</v>
      </c>
      <c r="N257" s="43">
        <v>8555000</v>
      </c>
      <c r="O257" s="54">
        <v>6</v>
      </c>
    </row>
    <row r="258" spans="7:15">
      <c r="G258" s="44"/>
      <c r="H258" s="50" t="s">
        <v>1622</v>
      </c>
      <c r="I258" s="51"/>
      <c r="J258" s="51"/>
      <c r="K258" s="51"/>
      <c r="L258" s="52">
        <v>297</v>
      </c>
      <c r="M258" s="53">
        <v>2540000.8030303027</v>
      </c>
      <c r="N258" s="53">
        <v>16823000</v>
      </c>
      <c r="O258" s="55">
        <v>6.0211147749995044</v>
      </c>
    </row>
    <row r="259" spans="7:15">
      <c r="G259" s="44"/>
      <c r="H259" s="28" t="s">
        <v>179</v>
      </c>
      <c r="I259" s="28">
        <v>29</v>
      </c>
      <c r="J259" s="28" t="s">
        <v>400</v>
      </c>
      <c r="K259" s="28">
        <v>0</v>
      </c>
      <c r="L259" s="42">
        <v>1016</v>
      </c>
      <c r="M259" s="43">
        <v>8589090.9090909082</v>
      </c>
      <c r="N259" s="43">
        <v>56688000</v>
      </c>
      <c r="O259" s="54">
        <v>6</v>
      </c>
    </row>
    <row r="260" spans="7:15">
      <c r="G260" s="44"/>
      <c r="H260" s="44"/>
      <c r="I260" s="28">
        <v>37</v>
      </c>
      <c r="J260" s="28" t="s">
        <v>5071</v>
      </c>
      <c r="K260" s="28">
        <v>0</v>
      </c>
      <c r="L260" s="42">
        <v>388</v>
      </c>
      <c r="M260" s="43">
        <v>3383030.3030303023</v>
      </c>
      <c r="N260" s="43">
        <v>22328000</v>
      </c>
      <c r="O260" s="54">
        <v>6.0000000000000009</v>
      </c>
    </row>
    <row r="261" spans="7:15">
      <c r="G261" s="44"/>
      <c r="H261" s="50" t="s">
        <v>1623</v>
      </c>
      <c r="I261" s="51"/>
      <c r="J261" s="51"/>
      <c r="K261" s="51"/>
      <c r="L261" s="52">
        <v>1404</v>
      </c>
      <c r="M261" s="53">
        <v>11972121.212121211</v>
      </c>
      <c r="N261" s="53">
        <v>79016000</v>
      </c>
      <c r="O261" s="55">
        <v>6</v>
      </c>
    </row>
    <row r="262" spans="7:15">
      <c r="G262" s="44"/>
      <c r="H262" s="28" t="s">
        <v>572</v>
      </c>
      <c r="I262" s="28" t="s">
        <v>438</v>
      </c>
      <c r="J262" s="28" t="s">
        <v>400</v>
      </c>
      <c r="K262" s="28">
        <v>0</v>
      </c>
      <c r="L262" s="42">
        <v>515</v>
      </c>
      <c r="M262" s="43">
        <v>4987121.2121212119</v>
      </c>
      <c r="N262" s="43">
        <v>32915000</v>
      </c>
      <c r="O262" s="54">
        <v>5.9999999999999991</v>
      </c>
    </row>
    <row r="263" spans="7:15">
      <c r="G263" s="44"/>
      <c r="H263" s="44"/>
      <c r="I263" s="28" t="s">
        <v>470</v>
      </c>
      <c r="J263" s="28" t="s">
        <v>5071</v>
      </c>
      <c r="K263" s="28">
        <v>0</v>
      </c>
      <c r="L263" s="42">
        <v>305</v>
      </c>
      <c r="M263" s="43">
        <v>2264393.9393939395</v>
      </c>
      <c r="N263" s="43">
        <v>14945000</v>
      </c>
      <c r="O263" s="54">
        <v>6</v>
      </c>
    </row>
    <row r="264" spans="7:15">
      <c r="G264" s="44"/>
      <c r="H264" s="50" t="s">
        <v>1624</v>
      </c>
      <c r="I264" s="51"/>
      <c r="J264" s="51"/>
      <c r="K264" s="51"/>
      <c r="L264" s="52">
        <v>820</v>
      </c>
      <c r="M264" s="53">
        <v>7251515.1515151514</v>
      </c>
      <c r="N264" s="53">
        <v>47860000</v>
      </c>
      <c r="O264" s="55">
        <v>6</v>
      </c>
    </row>
    <row r="265" spans="7:15">
      <c r="G265" s="45" t="s">
        <v>3810</v>
      </c>
      <c r="H265" s="46"/>
      <c r="I265" s="46"/>
      <c r="J265" s="46"/>
      <c r="K265" s="46"/>
      <c r="L265" s="47">
        <v>2521</v>
      </c>
      <c r="M265" s="48">
        <v>21763637.166666664</v>
      </c>
      <c r="N265" s="48">
        <v>143699000</v>
      </c>
      <c r="O265" s="56">
        <v>6.0024642730920315</v>
      </c>
    </row>
    <row r="266" spans="7:15">
      <c r="G266" s="28" t="s">
        <v>3040</v>
      </c>
      <c r="H266" s="28" t="s">
        <v>1047</v>
      </c>
      <c r="I266" s="28">
        <v>10</v>
      </c>
      <c r="J266" s="28" t="s">
        <v>400</v>
      </c>
      <c r="K266" s="28">
        <v>0</v>
      </c>
      <c r="L266" s="42">
        <v>50</v>
      </c>
      <c r="M266" s="43">
        <v>247160.00000000006</v>
      </c>
      <c r="N266" s="43">
        <v>1750000</v>
      </c>
      <c r="O266" s="54">
        <v>6.4367579337639205</v>
      </c>
    </row>
    <row r="267" spans="7:15">
      <c r="G267" s="44"/>
      <c r="H267" s="44"/>
      <c r="I267" s="28">
        <v>17</v>
      </c>
      <c r="J267" s="28" t="s">
        <v>91</v>
      </c>
      <c r="K267" s="28">
        <v>0</v>
      </c>
      <c r="L267" s="42">
        <v>27</v>
      </c>
      <c r="M267" s="43">
        <v>126363.63636363635</v>
      </c>
      <c r="N267" s="43">
        <v>1251000</v>
      </c>
      <c r="O267" s="54">
        <v>9</v>
      </c>
    </row>
    <row r="268" spans="7:15">
      <c r="G268" s="44"/>
      <c r="H268" s="44"/>
      <c r="I268" s="44"/>
      <c r="J268" s="28" t="s">
        <v>400</v>
      </c>
      <c r="K268" s="28">
        <v>0</v>
      </c>
      <c r="L268" s="42">
        <v>57</v>
      </c>
      <c r="M268" s="43">
        <v>229393.93939393939</v>
      </c>
      <c r="N268" s="43">
        <v>2271000</v>
      </c>
      <c r="O268" s="54">
        <v>9</v>
      </c>
    </row>
    <row r="269" spans="7:15">
      <c r="G269" s="44"/>
      <c r="H269" s="50" t="s">
        <v>1637</v>
      </c>
      <c r="I269" s="51"/>
      <c r="J269" s="51"/>
      <c r="K269" s="51"/>
      <c r="L269" s="52">
        <v>134</v>
      </c>
      <c r="M269" s="53">
        <v>602917.5757575758</v>
      </c>
      <c r="N269" s="53">
        <v>5272000</v>
      </c>
      <c r="O269" s="55">
        <v>7.9492246791862611</v>
      </c>
    </row>
    <row r="270" spans="7:15">
      <c r="G270" s="44"/>
      <c r="H270" s="28" t="s">
        <v>1113</v>
      </c>
      <c r="I270" s="28" t="s">
        <v>112</v>
      </c>
      <c r="J270" s="28" t="s">
        <v>91</v>
      </c>
      <c r="K270" s="28">
        <v>0</v>
      </c>
      <c r="L270" s="42">
        <v>20</v>
      </c>
      <c r="M270" s="43">
        <v>181818.18181818182</v>
      </c>
      <c r="N270" s="43">
        <v>1000000</v>
      </c>
      <c r="O270" s="54">
        <v>4.9999999999999991</v>
      </c>
    </row>
    <row r="271" spans="7:15">
      <c r="G271" s="44"/>
      <c r="H271" s="44"/>
      <c r="I271" s="44"/>
      <c r="J271" s="28" t="s">
        <v>400</v>
      </c>
      <c r="K271" s="28">
        <v>0</v>
      </c>
      <c r="L271" s="42">
        <v>5</v>
      </c>
      <c r="M271" s="43">
        <v>44545.454545454544</v>
      </c>
      <c r="N271" s="43">
        <v>245000</v>
      </c>
      <c r="O271" s="54">
        <v>5</v>
      </c>
    </row>
    <row r="272" spans="7:15">
      <c r="G272" s="44"/>
      <c r="H272" s="50" t="s">
        <v>1638</v>
      </c>
      <c r="I272" s="51"/>
      <c r="J272" s="51"/>
      <c r="K272" s="51"/>
      <c r="L272" s="52">
        <v>25</v>
      </c>
      <c r="M272" s="53">
        <v>226363.63636363635</v>
      </c>
      <c r="N272" s="53">
        <v>1245000</v>
      </c>
      <c r="O272" s="55">
        <v>5</v>
      </c>
    </row>
    <row r="273" spans="7:15">
      <c r="G273" s="44"/>
      <c r="H273" s="28" t="s">
        <v>1030</v>
      </c>
      <c r="I273" s="28" t="s">
        <v>438</v>
      </c>
      <c r="J273" s="28" t="s">
        <v>400</v>
      </c>
      <c r="K273" s="28">
        <v>0</v>
      </c>
      <c r="L273" s="42">
        <v>10</v>
      </c>
      <c r="M273" s="43">
        <v>39393.939393939385</v>
      </c>
      <c r="N273" s="43">
        <v>390000</v>
      </c>
      <c r="O273" s="54">
        <v>9.0000000000000018</v>
      </c>
    </row>
    <row r="274" spans="7:15">
      <c r="G274" s="44"/>
      <c r="H274" s="50" t="s">
        <v>1642</v>
      </c>
      <c r="I274" s="51"/>
      <c r="J274" s="51"/>
      <c r="K274" s="51"/>
      <c r="L274" s="52">
        <v>10</v>
      </c>
      <c r="M274" s="53">
        <v>39393.939393939385</v>
      </c>
      <c r="N274" s="53">
        <v>390000</v>
      </c>
      <c r="O274" s="55">
        <v>9.0000000000000018</v>
      </c>
    </row>
    <row r="275" spans="7:15">
      <c r="G275" s="45" t="s">
        <v>3811</v>
      </c>
      <c r="H275" s="46"/>
      <c r="I275" s="46"/>
      <c r="J275" s="46"/>
      <c r="K275" s="46"/>
      <c r="L275" s="47">
        <v>169</v>
      </c>
      <c r="M275" s="48">
        <v>868675.15151515149</v>
      </c>
      <c r="N275" s="48">
        <v>6907000</v>
      </c>
      <c r="O275" s="56">
        <v>7.2283533126725876</v>
      </c>
    </row>
    <row r="276" spans="7:15">
      <c r="G276" s="28" t="s">
        <v>3089</v>
      </c>
      <c r="H276" s="28" t="s">
        <v>679</v>
      </c>
      <c r="I276" s="28" t="s">
        <v>485</v>
      </c>
      <c r="J276" s="29"/>
      <c r="K276" s="29"/>
      <c r="L276" s="42">
        <v>5705</v>
      </c>
      <c r="M276" s="43">
        <v>112495925.5</v>
      </c>
      <c r="N276" s="43">
        <v>567095000</v>
      </c>
      <c r="O276" s="54">
        <v>4.5827518356734531</v>
      </c>
    </row>
    <row r="277" spans="7:15">
      <c r="G277" s="44"/>
      <c r="H277" s="44"/>
      <c r="I277" s="28" t="s">
        <v>112</v>
      </c>
      <c r="J277" s="28" t="s">
        <v>400</v>
      </c>
      <c r="K277" s="28">
        <v>0</v>
      </c>
      <c r="L277" s="42">
        <v>3897</v>
      </c>
      <c r="M277" s="43">
        <v>73806787.5</v>
      </c>
      <c r="N277" s="43">
        <v>334493000</v>
      </c>
      <c r="O277" s="54">
        <v>4.1200078712888768</v>
      </c>
    </row>
    <row r="278" spans="7:15">
      <c r="G278" s="44"/>
      <c r="H278" s="44"/>
      <c r="I278" s="28" t="s">
        <v>514</v>
      </c>
      <c r="J278" s="28" t="s">
        <v>400</v>
      </c>
      <c r="K278" s="28">
        <v>0</v>
      </c>
      <c r="L278" s="42">
        <v>1700</v>
      </c>
      <c r="M278" s="43">
        <v>40676767.676767662</v>
      </c>
      <c r="N278" s="43">
        <v>201350000</v>
      </c>
      <c r="O278" s="54">
        <v>4.5000000000000009</v>
      </c>
    </row>
    <row r="279" spans="7:15">
      <c r="G279" s="44"/>
      <c r="H279" s="44"/>
      <c r="I279" s="28" t="s">
        <v>235</v>
      </c>
      <c r="J279" s="28" t="s">
        <v>91</v>
      </c>
      <c r="K279" s="28">
        <v>0</v>
      </c>
      <c r="L279" s="42">
        <v>30</v>
      </c>
      <c r="M279" s="43">
        <v>1402020.2020202016</v>
      </c>
      <c r="N279" s="43">
        <v>6940000</v>
      </c>
      <c r="O279" s="54">
        <v>4.5000000000000009</v>
      </c>
    </row>
    <row r="280" spans="7:15">
      <c r="G280" s="44"/>
      <c r="H280" s="50" t="s">
        <v>1628</v>
      </c>
      <c r="I280" s="51"/>
      <c r="J280" s="51"/>
      <c r="K280" s="51"/>
      <c r="L280" s="52">
        <v>11332</v>
      </c>
      <c r="M280" s="53">
        <v>228381500.87878785</v>
      </c>
      <c r="N280" s="53">
        <v>1109878000</v>
      </c>
      <c r="O280" s="55">
        <v>4.4179585304306652</v>
      </c>
    </row>
    <row r="281" spans="7:15">
      <c r="G281" s="44"/>
      <c r="H281" s="28" t="s">
        <v>4093</v>
      </c>
      <c r="I281" s="28" t="s">
        <v>130</v>
      </c>
      <c r="J281" s="28" t="s">
        <v>400</v>
      </c>
      <c r="K281" s="28">
        <v>0</v>
      </c>
      <c r="L281" s="42">
        <v>680</v>
      </c>
      <c r="M281" s="43">
        <v>11512727.272727272</v>
      </c>
      <c r="N281" s="43">
        <v>63320000</v>
      </c>
      <c r="O281" s="54">
        <v>5</v>
      </c>
    </row>
    <row r="282" spans="7:15">
      <c r="G282" s="44"/>
      <c r="H282" s="50" t="s">
        <v>4281</v>
      </c>
      <c r="I282" s="51"/>
      <c r="J282" s="51"/>
      <c r="K282" s="51"/>
      <c r="L282" s="52">
        <v>680</v>
      </c>
      <c r="M282" s="53">
        <v>11512727.272727272</v>
      </c>
      <c r="N282" s="53">
        <v>63320000</v>
      </c>
      <c r="O282" s="55">
        <v>5</v>
      </c>
    </row>
    <row r="283" spans="7:15">
      <c r="G283" s="44"/>
      <c r="H283" s="28" t="s">
        <v>780</v>
      </c>
      <c r="I283" s="28">
        <v>10</v>
      </c>
      <c r="J283" s="28" t="s">
        <v>400</v>
      </c>
      <c r="K283" s="28">
        <v>0</v>
      </c>
      <c r="L283" s="42">
        <v>600</v>
      </c>
      <c r="M283" s="43">
        <v>10122000</v>
      </c>
      <c r="N283" s="43">
        <v>41400000</v>
      </c>
      <c r="O283" s="54">
        <v>3.7182734278169964</v>
      </c>
    </row>
    <row r="284" spans="7:15">
      <c r="G284" s="44"/>
      <c r="H284" s="44"/>
      <c r="I284" s="28">
        <v>12</v>
      </c>
      <c r="J284" s="28" t="s">
        <v>400</v>
      </c>
      <c r="K284" s="28">
        <v>0</v>
      </c>
      <c r="L284" s="42">
        <v>610</v>
      </c>
      <c r="M284" s="43">
        <v>12775252.525252525</v>
      </c>
      <c r="N284" s="43">
        <v>50590000</v>
      </c>
      <c r="O284" s="54">
        <v>3.6</v>
      </c>
    </row>
    <row r="285" spans="7:15">
      <c r="G285" s="44"/>
      <c r="H285" s="44"/>
      <c r="I285" s="28">
        <v>14</v>
      </c>
      <c r="J285" s="28" t="s">
        <v>400</v>
      </c>
      <c r="K285" s="28">
        <v>0</v>
      </c>
      <c r="L285" s="42">
        <v>429</v>
      </c>
      <c r="M285" s="43">
        <v>10831060.606060605</v>
      </c>
      <c r="N285" s="43">
        <v>42891000</v>
      </c>
      <c r="O285" s="54">
        <v>3.5999999999999996</v>
      </c>
    </row>
    <row r="286" spans="7:15">
      <c r="G286" s="44"/>
      <c r="H286" s="44"/>
      <c r="I286" s="28">
        <v>15</v>
      </c>
      <c r="J286" s="28" t="s">
        <v>5071</v>
      </c>
      <c r="K286" s="28">
        <v>0</v>
      </c>
      <c r="L286" s="42">
        <v>75</v>
      </c>
      <c r="M286" s="43">
        <v>1665404.0404040401</v>
      </c>
      <c r="N286" s="43">
        <v>6595000</v>
      </c>
      <c r="O286" s="54">
        <v>3.6000000000000005</v>
      </c>
    </row>
    <row r="287" spans="7:15">
      <c r="G287" s="44"/>
      <c r="H287" s="44"/>
      <c r="I287" s="28">
        <v>16</v>
      </c>
      <c r="J287" s="28" t="s">
        <v>400</v>
      </c>
      <c r="K287" s="28">
        <v>0</v>
      </c>
      <c r="L287" s="42">
        <v>1</v>
      </c>
      <c r="M287" s="43">
        <v>19949.494949494947</v>
      </c>
      <c r="N287" s="43">
        <v>79000</v>
      </c>
      <c r="O287" s="54">
        <v>3.6000000000000005</v>
      </c>
    </row>
    <row r="288" spans="7:15">
      <c r="G288" s="44"/>
      <c r="H288" s="44"/>
      <c r="I288" s="28">
        <v>17</v>
      </c>
      <c r="J288" s="28" t="s">
        <v>91</v>
      </c>
      <c r="K288" s="28">
        <v>0</v>
      </c>
      <c r="L288" s="42">
        <v>16</v>
      </c>
      <c r="M288" s="43">
        <v>440404.04040404037</v>
      </c>
      <c r="N288" s="43">
        <v>1744000</v>
      </c>
      <c r="O288" s="54">
        <v>3.6</v>
      </c>
    </row>
    <row r="289" spans="7:15">
      <c r="G289" s="44"/>
      <c r="H289" s="44"/>
      <c r="I289" s="28" t="s">
        <v>180</v>
      </c>
      <c r="J289" s="28" t="s">
        <v>400</v>
      </c>
      <c r="K289" s="28">
        <v>0</v>
      </c>
      <c r="L289" s="42">
        <v>63</v>
      </c>
      <c r="M289" s="43">
        <v>1330560</v>
      </c>
      <c r="N289" s="43">
        <v>5355000</v>
      </c>
      <c r="O289" s="54">
        <v>3.6587465564738286</v>
      </c>
    </row>
    <row r="290" spans="7:15">
      <c r="G290" s="44"/>
      <c r="H290" s="44"/>
      <c r="I290" s="28" t="s">
        <v>235</v>
      </c>
      <c r="J290" s="28" t="s">
        <v>400</v>
      </c>
      <c r="K290" s="28">
        <v>0</v>
      </c>
      <c r="L290" s="42">
        <v>900</v>
      </c>
      <c r="M290" s="43">
        <v>14898000</v>
      </c>
      <c r="N290" s="43">
        <v>66600000</v>
      </c>
      <c r="O290" s="54">
        <v>4.0639988283967341</v>
      </c>
    </row>
    <row r="291" spans="7:15">
      <c r="G291" s="44"/>
      <c r="H291" s="50" t="s">
        <v>1629</v>
      </c>
      <c r="I291" s="51"/>
      <c r="J291" s="51"/>
      <c r="K291" s="51"/>
      <c r="L291" s="52">
        <v>2694</v>
      </c>
      <c r="M291" s="53">
        <v>52082630.707070708</v>
      </c>
      <c r="N291" s="53">
        <v>215254000</v>
      </c>
      <c r="O291" s="55">
        <v>3.7572114136486663</v>
      </c>
    </row>
    <row r="292" spans="7:15">
      <c r="G292" s="44"/>
      <c r="H292" s="28" t="s">
        <v>641</v>
      </c>
      <c r="I292" s="28">
        <v>10</v>
      </c>
      <c r="J292" s="28" t="s">
        <v>400</v>
      </c>
      <c r="K292" s="28">
        <v>0</v>
      </c>
      <c r="L292" s="42">
        <v>13</v>
      </c>
      <c r="M292" s="43">
        <v>186727.27272727271</v>
      </c>
      <c r="N292" s="43">
        <v>1027000</v>
      </c>
      <c r="O292" s="54">
        <v>5</v>
      </c>
    </row>
    <row r="293" spans="7:15">
      <c r="G293" s="44"/>
      <c r="H293" s="44"/>
      <c r="I293" s="28" t="s">
        <v>485</v>
      </c>
      <c r="J293" s="29"/>
      <c r="K293" s="29"/>
      <c r="L293" s="42">
        <v>69</v>
      </c>
      <c r="M293" s="43">
        <v>795937.08000000007</v>
      </c>
      <c r="N293" s="43">
        <v>4485000</v>
      </c>
      <c r="O293" s="54">
        <v>5.1226068363000836</v>
      </c>
    </row>
    <row r="294" spans="7:15">
      <c r="G294" s="44"/>
      <c r="H294" s="44"/>
      <c r="I294" s="28" t="s">
        <v>112</v>
      </c>
      <c r="J294" s="28" t="s">
        <v>400</v>
      </c>
      <c r="K294" s="28">
        <v>0</v>
      </c>
      <c r="L294" s="42">
        <v>1000</v>
      </c>
      <c r="M294" s="43">
        <v>15950770</v>
      </c>
      <c r="N294" s="43">
        <v>74000000</v>
      </c>
      <c r="O294" s="54">
        <v>4.2175222432978012</v>
      </c>
    </row>
    <row r="295" spans="7:15">
      <c r="G295" s="44"/>
      <c r="H295" s="44"/>
      <c r="I295" s="28" t="s">
        <v>514</v>
      </c>
      <c r="J295" s="28" t="s">
        <v>400</v>
      </c>
      <c r="K295" s="28">
        <v>0</v>
      </c>
      <c r="L295" s="42">
        <v>1681</v>
      </c>
      <c r="M295" s="43">
        <v>24034363.636363626</v>
      </c>
      <c r="N295" s="43">
        <v>132189000</v>
      </c>
      <c r="O295" s="54">
        <v>5.0000000000000018</v>
      </c>
    </row>
    <row r="296" spans="7:15">
      <c r="G296" s="44"/>
      <c r="H296" s="44"/>
      <c r="I296" s="28" t="s">
        <v>180</v>
      </c>
      <c r="J296" s="28" t="s">
        <v>400</v>
      </c>
      <c r="K296" s="28">
        <v>0</v>
      </c>
      <c r="L296" s="42">
        <v>348</v>
      </c>
      <c r="M296" s="43">
        <v>4914909.0909090899</v>
      </c>
      <c r="N296" s="43">
        <v>27032000</v>
      </c>
      <c r="O296" s="54">
        <v>5.0000000000000009</v>
      </c>
    </row>
    <row r="297" spans="7:15">
      <c r="G297" s="44"/>
      <c r="H297" s="44"/>
      <c r="I297" s="28" t="s">
        <v>235</v>
      </c>
      <c r="J297" s="28" t="s">
        <v>5071</v>
      </c>
      <c r="K297" s="28">
        <v>0</v>
      </c>
      <c r="L297" s="42">
        <v>151</v>
      </c>
      <c r="M297" s="43">
        <v>2114363.6363636358</v>
      </c>
      <c r="N297" s="43">
        <v>11629000</v>
      </c>
      <c r="O297" s="54">
        <v>5.0000000000000009</v>
      </c>
    </row>
    <row r="298" spans="7:15">
      <c r="G298" s="44"/>
      <c r="H298" s="50" t="s">
        <v>1630</v>
      </c>
      <c r="I298" s="51"/>
      <c r="J298" s="51"/>
      <c r="K298" s="51"/>
      <c r="L298" s="52">
        <v>3262</v>
      </c>
      <c r="M298" s="53">
        <v>47997070.716363616</v>
      </c>
      <c r="N298" s="53">
        <v>250362000</v>
      </c>
      <c r="O298" s="55">
        <v>4.741993933896925</v>
      </c>
    </row>
    <row r="299" spans="7:15">
      <c r="G299" s="44"/>
      <c r="H299" s="28" t="s">
        <v>5056</v>
      </c>
      <c r="I299" s="28" t="s">
        <v>130</v>
      </c>
      <c r="J299" s="28" t="s">
        <v>400</v>
      </c>
      <c r="K299" s="28">
        <v>0</v>
      </c>
      <c r="L299" s="42">
        <v>319</v>
      </c>
      <c r="M299" s="43">
        <v>7169444.4444444422</v>
      </c>
      <c r="N299" s="43">
        <v>28391000</v>
      </c>
      <c r="O299" s="54">
        <v>3.600000000000001</v>
      </c>
    </row>
    <row r="300" spans="7:15">
      <c r="G300" s="44"/>
      <c r="H300" s="44"/>
      <c r="I300" s="28" t="s">
        <v>94</v>
      </c>
      <c r="J300" s="28" t="s">
        <v>5071</v>
      </c>
      <c r="K300" s="28">
        <v>0</v>
      </c>
      <c r="L300" s="42">
        <v>362</v>
      </c>
      <c r="M300" s="43">
        <v>8135858.5858585844</v>
      </c>
      <c r="N300" s="43">
        <v>32218000</v>
      </c>
      <c r="O300" s="54">
        <v>3.6</v>
      </c>
    </row>
    <row r="301" spans="7:15">
      <c r="G301" s="44"/>
      <c r="H301" s="44"/>
      <c r="I301" s="28" t="s">
        <v>438</v>
      </c>
      <c r="J301" s="28" t="s">
        <v>400</v>
      </c>
      <c r="K301" s="28">
        <v>0</v>
      </c>
      <c r="L301" s="42">
        <v>13</v>
      </c>
      <c r="M301" s="43">
        <v>292171.71717171709</v>
      </c>
      <c r="N301" s="43">
        <v>1157000</v>
      </c>
      <c r="O301" s="54">
        <v>3.600000000000001</v>
      </c>
    </row>
    <row r="302" spans="7:15">
      <c r="G302" s="44"/>
      <c r="H302" s="50" t="s">
        <v>5076</v>
      </c>
      <c r="I302" s="51"/>
      <c r="J302" s="51"/>
      <c r="K302" s="51"/>
      <c r="L302" s="52">
        <v>694</v>
      </c>
      <c r="M302" s="53">
        <v>15597474.747474745</v>
      </c>
      <c r="N302" s="53">
        <v>61766000</v>
      </c>
      <c r="O302" s="55">
        <v>3.6000000000000005</v>
      </c>
    </row>
    <row r="303" spans="7:15">
      <c r="G303" s="45" t="s">
        <v>3812</v>
      </c>
      <c r="H303" s="46"/>
      <c r="I303" s="46"/>
      <c r="J303" s="46"/>
      <c r="K303" s="46"/>
      <c r="L303" s="47">
        <v>18662</v>
      </c>
      <c r="M303" s="48">
        <v>355571404.32242411</v>
      </c>
      <c r="N303" s="48">
        <v>1700580000</v>
      </c>
      <c r="O303" s="56">
        <v>4.3478800583748765</v>
      </c>
    </row>
    <row r="304" spans="7:15">
      <c r="G304" s="28" t="s">
        <v>3735</v>
      </c>
      <c r="H304" s="28" t="s">
        <v>679</v>
      </c>
      <c r="I304" s="28" t="s">
        <v>180</v>
      </c>
      <c r="J304" s="28" t="s">
        <v>400</v>
      </c>
      <c r="K304" s="28">
        <v>0</v>
      </c>
      <c r="L304" s="42">
        <v>490</v>
      </c>
      <c r="M304" s="43">
        <v>10042424.242424242</v>
      </c>
      <c r="N304" s="43">
        <v>49710000</v>
      </c>
      <c r="O304" s="54">
        <v>4.4999999999999991</v>
      </c>
    </row>
    <row r="305" spans="7:15">
      <c r="G305" s="44"/>
      <c r="H305" s="50" t="s">
        <v>1628</v>
      </c>
      <c r="I305" s="51"/>
      <c r="J305" s="51"/>
      <c r="K305" s="51"/>
      <c r="L305" s="52">
        <v>490</v>
      </c>
      <c r="M305" s="53">
        <v>10042424.242424242</v>
      </c>
      <c r="N305" s="53">
        <v>49710000</v>
      </c>
      <c r="O305" s="55">
        <v>4.4999999999999991</v>
      </c>
    </row>
    <row r="306" spans="7:15">
      <c r="G306" s="44"/>
      <c r="H306" s="28" t="s">
        <v>780</v>
      </c>
      <c r="I306" s="28">
        <v>11</v>
      </c>
      <c r="J306" s="28" t="s">
        <v>400</v>
      </c>
      <c r="K306" s="28">
        <v>0</v>
      </c>
      <c r="L306" s="42">
        <v>1220</v>
      </c>
      <c r="M306" s="43">
        <v>22480000</v>
      </c>
      <c r="N306" s="43">
        <v>91780000</v>
      </c>
      <c r="O306" s="54">
        <v>3.7115820122937557</v>
      </c>
    </row>
    <row r="307" spans="7:15">
      <c r="G307" s="44"/>
      <c r="H307" s="44"/>
      <c r="I307" s="28">
        <v>13</v>
      </c>
      <c r="J307" s="28" t="s">
        <v>400</v>
      </c>
      <c r="K307" s="28">
        <v>0</v>
      </c>
      <c r="L307" s="42">
        <v>410</v>
      </c>
      <c r="M307" s="43">
        <v>11260101.010101005</v>
      </c>
      <c r="N307" s="43">
        <v>44590000</v>
      </c>
      <c r="O307" s="54">
        <v>3.6000000000000014</v>
      </c>
    </row>
    <row r="308" spans="7:15">
      <c r="G308" s="44"/>
      <c r="H308" s="50" t="s">
        <v>1629</v>
      </c>
      <c r="I308" s="51"/>
      <c r="J308" s="51"/>
      <c r="K308" s="51"/>
      <c r="L308" s="52">
        <v>1630</v>
      </c>
      <c r="M308" s="53">
        <v>33740101.010101005</v>
      </c>
      <c r="N308" s="53">
        <v>136370000</v>
      </c>
      <c r="O308" s="55">
        <v>3.6743436907794877</v>
      </c>
    </row>
    <row r="309" spans="7:15">
      <c r="G309" s="45" t="s">
        <v>3813</v>
      </c>
      <c r="H309" s="46"/>
      <c r="I309" s="46"/>
      <c r="J309" s="46"/>
      <c r="K309" s="46"/>
      <c r="L309" s="47">
        <v>2120</v>
      </c>
      <c r="M309" s="48">
        <v>43782525.252525248</v>
      </c>
      <c r="N309" s="48">
        <v>186080000</v>
      </c>
      <c r="O309" s="56">
        <v>3.8637249767560973</v>
      </c>
    </row>
    <row r="310" spans="7:15">
      <c r="G310" s="28" t="s">
        <v>3827</v>
      </c>
      <c r="H310" s="28" t="s">
        <v>1848</v>
      </c>
      <c r="I310" s="28" t="s">
        <v>485</v>
      </c>
      <c r="J310" s="29"/>
      <c r="K310" s="29"/>
      <c r="L310" s="42">
        <v>220</v>
      </c>
      <c r="M310" s="43">
        <v>6945400</v>
      </c>
      <c r="N310" s="43">
        <v>32780000</v>
      </c>
      <c r="O310" s="54">
        <v>4.2906096121173718</v>
      </c>
    </row>
    <row r="311" spans="7:15">
      <c r="G311" s="44"/>
      <c r="H311" s="44"/>
      <c r="I311" s="28" t="s">
        <v>112</v>
      </c>
      <c r="J311" s="28" t="s">
        <v>400</v>
      </c>
      <c r="K311" s="28">
        <v>0</v>
      </c>
      <c r="L311" s="42">
        <v>170</v>
      </c>
      <c r="M311" s="43">
        <v>3810000</v>
      </c>
      <c r="N311" s="43">
        <v>17830000</v>
      </c>
      <c r="O311" s="54">
        <v>4.2543545693151987</v>
      </c>
    </row>
    <row r="312" spans="7:15">
      <c r="G312" s="44"/>
      <c r="H312" s="50" t="s">
        <v>1850</v>
      </c>
      <c r="I312" s="51"/>
      <c r="J312" s="51"/>
      <c r="K312" s="51"/>
      <c r="L312" s="52">
        <v>390</v>
      </c>
      <c r="M312" s="53">
        <v>10755400</v>
      </c>
      <c r="N312" s="53">
        <v>50610000</v>
      </c>
      <c r="O312" s="55">
        <v>4.2777666018084775</v>
      </c>
    </row>
    <row r="313" spans="7:15">
      <c r="G313" s="45" t="s">
        <v>3866</v>
      </c>
      <c r="H313" s="46"/>
      <c r="I313" s="46"/>
      <c r="J313" s="46"/>
      <c r="K313" s="46"/>
      <c r="L313" s="47">
        <v>390</v>
      </c>
      <c r="M313" s="48">
        <v>10755400</v>
      </c>
      <c r="N313" s="48">
        <v>50610000</v>
      </c>
      <c r="O313" s="56">
        <v>4.2777666018084775</v>
      </c>
    </row>
    <row r="314" spans="7:15">
      <c r="G314" s="28" t="s">
        <v>3869</v>
      </c>
      <c r="H314" s="28" t="s">
        <v>129</v>
      </c>
      <c r="I314" s="28" t="s">
        <v>470</v>
      </c>
      <c r="J314" s="28" t="s">
        <v>91</v>
      </c>
      <c r="K314" s="28">
        <v>0</v>
      </c>
      <c r="L314" s="42">
        <v>170</v>
      </c>
      <c r="M314" s="43">
        <v>1989000</v>
      </c>
      <c r="N314" s="43">
        <v>7650000</v>
      </c>
      <c r="O314" s="54">
        <v>3.4965034965034967</v>
      </c>
    </row>
    <row r="315" spans="7:15">
      <c r="G315" s="44"/>
      <c r="H315" s="50" t="s">
        <v>1646</v>
      </c>
      <c r="I315" s="51"/>
      <c r="J315" s="51"/>
      <c r="K315" s="51"/>
      <c r="L315" s="52">
        <v>170</v>
      </c>
      <c r="M315" s="53">
        <v>1989000</v>
      </c>
      <c r="N315" s="53">
        <v>7650000</v>
      </c>
      <c r="O315" s="55">
        <v>3.4965034965034967</v>
      </c>
    </row>
    <row r="316" spans="7:15">
      <c r="G316" s="45" t="s">
        <v>3946</v>
      </c>
      <c r="H316" s="46"/>
      <c r="I316" s="46"/>
      <c r="J316" s="46"/>
      <c r="K316" s="46"/>
      <c r="L316" s="47">
        <v>170</v>
      </c>
      <c r="M316" s="48">
        <v>1989000</v>
      </c>
      <c r="N316" s="48">
        <v>7650000</v>
      </c>
      <c r="O316" s="56">
        <v>3.4965034965034967</v>
      </c>
    </row>
    <row r="317" spans="7:15">
      <c r="G317" s="28" t="s">
        <v>4709</v>
      </c>
      <c r="H317" s="28" t="s">
        <v>179</v>
      </c>
      <c r="I317" s="28">
        <v>29</v>
      </c>
      <c r="J317" s="28" t="s">
        <v>400</v>
      </c>
      <c r="K317" s="28">
        <v>0</v>
      </c>
      <c r="L317" s="42">
        <v>158</v>
      </c>
      <c r="M317" s="43">
        <v>1271212.1212121211</v>
      </c>
      <c r="N317" s="43">
        <v>8390000</v>
      </c>
      <c r="O317" s="54">
        <v>6</v>
      </c>
    </row>
    <row r="318" spans="7:15">
      <c r="G318" s="44"/>
      <c r="H318" s="44"/>
      <c r="I318" s="28">
        <v>37</v>
      </c>
      <c r="J318" s="28" t="s">
        <v>5071</v>
      </c>
      <c r="K318" s="28">
        <v>0</v>
      </c>
      <c r="L318" s="42">
        <v>120</v>
      </c>
      <c r="M318" s="43">
        <v>999999.99999999988</v>
      </c>
      <c r="N318" s="43">
        <v>6600000</v>
      </c>
      <c r="O318" s="54">
        <v>6</v>
      </c>
    </row>
    <row r="319" spans="7:15">
      <c r="G319" s="44"/>
      <c r="H319" s="50" t="s">
        <v>1623</v>
      </c>
      <c r="I319" s="51"/>
      <c r="J319" s="51"/>
      <c r="K319" s="51"/>
      <c r="L319" s="52">
        <v>278</v>
      </c>
      <c r="M319" s="53">
        <v>2271212.1212121211</v>
      </c>
      <c r="N319" s="53">
        <v>14990000</v>
      </c>
      <c r="O319" s="55">
        <v>6</v>
      </c>
    </row>
    <row r="320" spans="7:15">
      <c r="G320" s="45" t="s">
        <v>4969</v>
      </c>
      <c r="H320" s="46"/>
      <c r="I320" s="46"/>
      <c r="J320" s="46"/>
      <c r="K320" s="46"/>
      <c r="L320" s="47">
        <v>278</v>
      </c>
      <c r="M320" s="48">
        <v>2271212.1212121211</v>
      </c>
      <c r="N320" s="48">
        <v>14990000</v>
      </c>
      <c r="O320" s="56">
        <v>6</v>
      </c>
    </row>
    <row r="321" spans="7:15">
      <c r="G321" s="28" t="s">
        <v>4955</v>
      </c>
      <c r="H321" s="28" t="s">
        <v>111</v>
      </c>
      <c r="I321" s="28">
        <v>36</v>
      </c>
      <c r="J321" s="28" t="s">
        <v>91</v>
      </c>
      <c r="K321" s="28">
        <v>0</v>
      </c>
      <c r="L321" s="42">
        <v>5</v>
      </c>
      <c r="M321" s="43">
        <v>44696.969696969689</v>
      </c>
      <c r="N321" s="43">
        <v>295000</v>
      </c>
      <c r="O321" s="54">
        <v>6</v>
      </c>
    </row>
    <row r="322" spans="7:15">
      <c r="G322" s="44"/>
      <c r="H322" s="50" t="s">
        <v>1622</v>
      </c>
      <c r="I322" s="51"/>
      <c r="J322" s="51"/>
      <c r="K322" s="51"/>
      <c r="L322" s="52">
        <v>5</v>
      </c>
      <c r="M322" s="53">
        <v>44696.969696969689</v>
      </c>
      <c r="N322" s="53">
        <v>295000</v>
      </c>
      <c r="O322" s="55">
        <v>6</v>
      </c>
    </row>
    <row r="323" spans="7:15">
      <c r="G323" s="44"/>
      <c r="H323" s="28" t="s">
        <v>129</v>
      </c>
      <c r="I323" s="28">
        <v>11</v>
      </c>
      <c r="J323" s="28" t="s">
        <v>5071</v>
      </c>
      <c r="K323" s="28">
        <v>0</v>
      </c>
      <c r="L323" s="42">
        <v>100</v>
      </c>
      <c r="M323" s="43">
        <v>1431818.1818181816</v>
      </c>
      <c r="N323" s="43">
        <v>6300000</v>
      </c>
      <c r="O323" s="54">
        <v>4</v>
      </c>
    </row>
    <row r="324" spans="7:15">
      <c r="G324" s="44"/>
      <c r="H324" s="44"/>
      <c r="I324" s="28" t="s">
        <v>180</v>
      </c>
      <c r="J324" s="28" t="s">
        <v>400</v>
      </c>
      <c r="K324" s="28">
        <v>0</v>
      </c>
      <c r="L324" s="42">
        <v>50</v>
      </c>
      <c r="M324" s="43">
        <v>715909.09090909082</v>
      </c>
      <c r="N324" s="43">
        <v>3150000</v>
      </c>
      <c r="O324" s="54">
        <v>4</v>
      </c>
    </row>
    <row r="325" spans="7:15">
      <c r="G325" s="44"/>
      <c r="H325" s="50" t="s">
        <v>1646</v>
      </c>
      <c r="I325" s="51"/>
      <c r="J325" s="51"/>
      <c r="K325" s="51"/>
      <c r="L325" s="52">
        <v>150</v>
      </c>
      <c r="M325" s="53">
        <v>2147727.2727272725</v>
      </c>
      <c r="N325" s="53">
        <v>9450000</v>
      </c>
      <c r="O325" s="55">
        <v>4</v>
      </c>
    </row>
    <row r="326" spans="7:15">
      <c r="G326" s="44"/>
      <c r="H326" s="28" t="s">
        <v>179</v>
      </c>
      <c r="I326" s="28">
        <v>49</v>
      </c>
      <c r="J326" s="28" t="s">
        <v>400</v>
      </c>
      <c r="K326" s="28">
        <v>0</v>
      </c>
      <c r="L326" s="42">
        <v>5</v>
      </c>
      <c r="M326" s="43">
        <v>59848.484848484841</v>
      </c>
      <c r="N326" s="43">
        <v>395000</v>
      </c>
      <c r="O326" s="54">
        <v>6</v>
      </c>
    </row>
    <row r="327" spans="7:15">
      <c r="G327" s="44"/>
      <c r="H327" s="50" t="s">
        <v>1623</v>
      </c>
      <c r="I327" s="51"/>
      <c r="J327" s="51"/>
      <c r="K327" s="51"/>
      <c r="L327" s="52">
        <v>5</v>
      </c>
      <c r="M327" s="53">
        <v>59848.484848484841</v>
      </c>
      <c r="N327" s="53">
        <v>395000</v>
      </c>
      <c r="O327" s="55">
        <v>6</v>
      </c>
    </row>
    <row r="328" spans="7:15">
      <c r="G328" s="45" t="s">
        <v>4970</v>
      </c>
      <c r="H328" s="46"/>
      <c r="I328" s="46"/>
      <c r="J328" s="46"/>
      <c r="K328" s="46"/>
      <c r="L328" s="47">
        <v>160</v>
      </c>
      <c r="M328" s="48">
        <v>2252272.7272727271</v>
      </c>
      <c r="N328" s="48">
        <v>10140000</v>
      </c>
      <c r="O328" s="56">
        <v>4.0928355196770942</v>
      </c>
    </row>
    <row r="329" spans="7:15">
      <c r="G329" s="28" t="s">
        <v>5399</v>
      </c>
      <c r="H329" s="28" t="s">
        <v>111</v>
      </c>
      <c r="I329" s="28">
        <v>30</v>
      </c>
      <c r="J329" s="28" t="s">
        <v>91</v>
      </c>
      <c r="K329" s="28">
        <v>0</v>
      </c>
      <c r="L329" s="42">
        <v>80</v>
      </c>
      <c r="M329" s="43">
        <v>666666.66666666663</v>
      </c>
      <c r="N329" s="43">
        <v>4400000</v>
      </c>
      <c r="O329" s="54">
        <v>6</v>
      </c>
    </row>
    <row r="330" spans="7:15">
      <c r="G330" s="44"/>
      <c r="H330" s="50" t="s">
        <v>1622</v>
      </c>
      <c r="I330" s="51"/>
      <c r="J330" s="51"/>
      <c r="K330" s="51"/>
      <c r="L330" s="52">
        <v>80</v>
      </c>
      <c r="M330" s="53">
        <v>666666.66666666663</v>
      </c>
      <c r="N330" s="53">
        <v>4400000</v>
      </c>
      <c r="O330" s="55">
        <v>6</v>
      </c>
    </row>
    <row r="331" spans="7:15">
      <c r="G331" s="45" t="s">
        <v>6340</v>
      </c>
      <c r="H331" s="46"/>
      <c r="I331" s="46"/>
      <c r="J331" s="46"/>
      <c r="K331" s="46"/>
      <c r="L331" s="47">
        <v>80</v>
      </c>
      <c r="M331" s="48">
        <v>666666.66666666663</v>
      </c>
      <c r="N331" s="48">
        <v>4400000</v>
      </c>
      <c r="O331" s="56">
        <v>6</v>
      </c>
    </row>
    <row r="332" spans="7:15">
      <c r="G332" s="28" t="s">
        <v>5455</v>
      </c>
      <c r="H332" s="28" t="s">
        <v>111</v>
      </c>
      <c r="I332" s="28">
        <v>34</v>
      </c>
      <c r="J332" s="28" t="s">
        <v>91</v>
      </c>
      <c r="K332" s="28">
        <v>0</v>
      </c>
      <c r="L332" s="42">
        <v>14</v>
      </c>
      <c r="M332" s="43">
        <v>82727.272727272706</v>
      </c>
      <c r="N332" s="43">
        <v>546000</v>
      </c>
      <c r="O332" s="54">
        <v>6.0000000000000009</v>
      </c>
    </row>
    <row r="333" spans="7:15">
      <c r="G333" s="44"/>
      <c r="H333" s="50" t="s">
        <v>1622</v>
      </c>
      <c r="I333" s="51"/>
      <c r="J333" s="51"/>
      <c r="K333" s="51"/>
      <c r="L333" s="52">
        <v>14</v>
      </c>
      <c r="M333" s="53">
        <v>82727.272727272706</v>
      </c>
      <c r="N333" s="53">
        <v>546000</v>
      </c>
      <c r="O333" s="55">
        <v>6.0000000000000009</v>
      </c>
    </row>
    <row r="334" spans="7:15">
      <c r="G334" s="44"/>
      <c r="H334" s="28" t="s">
        <v>179</v>
      </c>
      <c r="I334" s="28">
        <v>42</v>
      </c>
      <c r="J334" s="28" t="s">
        <v>91</v>
      </c>
      <c r="K334" s="28">
        <v>0</v>
      </c>
      <c r="L334" s="42">
        <v>90</v>
      </c>
      <c r="M334" s="43">
        <v>613636.36363636353</v>
      </c>
      <c r="N334" s="43">
        <v>4050000</v>
      </c>
      <c r="O334" s="54">
        <v>6.0000000000000009</v>
      </c>
    </row>
    <row r="335" spans="7:15">
      <c r="G335" s="44"/>
      <c r="H335" s="44"/>
      <c r="I335" s="28">
        <v>47</v>
      </c>
      <c r="J335" s="28" t="s">
        <v>91</v>
      </c>
      <c r="K335" s="28">
        <v>0</v>
      </c>
      <c r="L335" s="42">
        <v>246</v>
      </c>
      <c r="M335" s="43">
        <v>1684545.4545454546</v>
      </c>
      <c r="N335" s="43">
        <v>11118000</v>
      </c>
      <c r="O335" s="54">
        <v>5.9999999999999991</v>
      </c>
    </row>
    <row r="336" spans="7:15">
      <c r="G336" s="44"/>
      <c r="H336" s="50" t="s">
        <v>1623</v>
      </c>
      <c r="I336" s="51"/>
      <c r="J336" s="51"/>
      <c r="K336" s="51"/>
      <c r="L336" s="52">
        <v>336</v>
      </c>
      <c r="M336" s="53">
        <v>2298181.8181818184</v>
      </c>
      <c r="N336" s="53">
        <v>15168000</v>
      </c>
      <c r="O336" s="55">
        <v>5.9999999999999982</v>
      </c>
    </row>
    <row r="337" spans="7:15">
      <c r="G337" s="44"/>
      <c r="H337" s="28" t="s">
        <v>6060</v>
      </c>
      <c r="I337" s="28" t="s">
        <v>130</v>
      </c>
      <c r="J337" s="28" t="s">
        <v>91</v>
      </c>
      <c r="K337" s="28">
        <v>0</v>
      </c>
      <c r="L337" s="42">
        <v>5</v>
      </c>
      <c r="M337" s="43">
        <v>55681.818181818177</v>
      </c>
      <c r="N337" s="43">
        <v>245000</v>
      </c>
      <c r="O337" s="54">
        <v>4</v>
      </c>
    </row>
    <row r="338" spans="7:15">
      <c r="G338" s="44"/>
      <c r="H338" s="50" t="s">
        <v>6341</v>
      </c>
      <c r="I338" s="51"/>
      <c r="J338" s="51"/>
      <c r="K338" s="51"/>
      <c r="L338" s="52">
        <v>5</v>
      </c>
      <c r="M338" s="53">
        <v>55681.818181818177</v>
      </c>
      <c r="N338" s="53">
        <v>245000</v>
      </c>
      <c r="O338" s="55">
        <v>4</v>
      </c>
    </row>
    <row r="339" spans="7:15">
      <c r="G339" s="44"/>
      <c r="H339" s="28" t="s">
        <v>252</v>
      </c>
      <c r="I339" s="28">
        <v>10</v>
      </c>
      <c r="J339" s="28" t="s">
        <v>91</v>
      </c>
      <c r="K339" s="28">
        <v>0</v>
      </c>
      <c r="L339" s="42">
        <v>180</v>
      </c>
      <c r="M339" s="43">
        <v>864935.06493506487</v>
      </c>
      <c r="N339" s="43">
        <v>6660000</v>
      </c>
      <c r="O339" s="54">
        <v>7</v>
      </c>
    </row>
    <row r="340" spans="7:15">
      <c r="G340" s="44"/>
      <c r="H340" s="50" t="s">
        <v>1636</v>
      </c>
      <c r="I340" s="51"/>
      <c r="J340" s="51"/>
      <c r="K340" s="51"/>
      <c r="L340" s="52">
        <v>180</v>
      </c>
      <c r="M340" s="53">
        <v>864935.06493506487</v>
      </c>
      <c r="N340" s="53">
        <v>6660000</v>
      </c>
      <c r="O340" s="55">
        <v>7</v>
      </c>
    </row>
    <row r="341" spans="7:15">
      <c r="G341" s="44"/>
      <c r="H341" s="28" t="s">
        <v>1047</v>
      </c>
      <c r="I341" s="28">
        <v>16</v>
      </c>
      <c r="J341" s="28" t="s">
        <v>91</v>
      </c>
      <c r="K341" s="28">
        <v>0</v>
      </c>
      <c r="L341" s="42">
        <v>5</v>
      </c>
      <c r="M341" s="43">
        <v>22727.272727272724</v>
      </c>
      <c r="N341" s="43">
        <v>225000</v>
      </c>
      <c r="O341" s="54">
        <v>9</v>
      </c>
    </row>
    <row r="342" spans="7:15">
      <c r="G342" s="44"/>
      <c r="H342" s="50" t="s">
        <v>1637</v>
      </c>
      <c r="I342" s="51"/>
      <c r="J342" s="51"/>
      <c r="K342" s="51"/>
      <c r="L342" s="52">
        <v>5</v>
      </c>
      <c r="M342" s="53">
        <v>22727.272727272724</v>
      </c>
      <c r="N342" s="53">
        <v>225000</v>
      </c>
      <c r="O342" s="55">
        <v>9</v>
      </c>
    </row>
    <row r="343" spans="7:15">
      <c r="G343" s="45" t="s">
        <v>6342</v>
      </c>
      <c r="H343" s="46"/>
      <c r="I343" s="46"/>
      <c r="J343" s="46"/>
      <c r="K343" s="46"/>
      <c r="L343" s="47">
        <v>540</v>
      </c>
      <c r="M343" s="48">
        <v>3324253.246753247</v>
      </c>
      <c r="N343" s="48">
        <v>22844000</v>
      </c>
      <c r="O343" s="56">
        <v>6.2471993514801669</v>
      </c>
    </row>
    <row r="344" spans="7:15">
      <c r="G344" s="28" t="s">
        <v>5469</v>
      </c>
      <c r="H344" s="28" t="s">
        <v>93</v>
      </c>
      <c r="I344" s="28">
        <v>19</v>
      </c>
      <c r="J344" s="28" t="s">
        <v>91</v>
      </c>
      <c r="K344" s="28">
        <v>0</v>
      </c>
      <c r="L344" s="42">
        <v>50</v>
      </c>
      <c r="M344" s="43">
        <v>416666.66666666663</v>
      </c>
      <c r="N344" s="43">
        <v>2750000</v>
      </c>
      <c r="O344" s="54">
        <v>6</v>
      </c>
    </row>
    <row r="345" spans="7:15">
      <c r="G345" s="44"/>
      <c r="H345" s="50" t="s">
        <v>1632</v>
      </c>
      <c r="I345" s="51"/>
      <c r="J345" s="51"/>
      <c r="K345" s="51"/>
      <c r="L345" s="52">
        <v>50</v>
      </c>
      <c r="M345" s="53">
        <v>416666.66666666663</v>
      </c>
      <c r="N345" s="53">
        <v>2750000</v>
      </c>
      <c r="O345" s="55">
        <v>6</v>
      </c>
    </row>
    <row r="346" spans="7:15">
      <c r="G346" s="44"/>
      <c r="H346" s="28" t="s">
        <v>1047</v>
      </c>
      <c r="I346" s="28">
        <v>15</v>
      </c>
      <c r="J346" s="28" t="s">
        <v>91</v>
      </c>
      <c r="K346" s="28">
        <v>0</v>
      </c>
      <c r="L346" s="42">
        <v>50</v>
      </c>
      <c r="M346" s="43">
        <v>277777.77777777775</v>
      </c>
      <c r="N346" s="43">
        <v>2750000</v>
      </c>
      <c r="O346" s="54">
        <v>9</v>
      </c>
    </row>
    <row r="347" spans="7:15">
      <c r="G347" s="44"/>
      <c r="H347" s="50" t="s">
        <v>1637</v>
      </c>
      <c r="I347" s="51"/>
      <c r="J347" s="51"/>
      <c r="K347" s="51"/>
      <c r="L347" s="52">
        <v>50</v>
      </c>
      <c r="M347" s="53">
        <v>277777.77777777775</v>
      </c>
      <c r="N347" s="53">
        <v>2750000</v>
      </c>
      <c r="O347" s="55">
        <v>9</v>
      </c>
    </row>
    <row r="348" spans="7:15">
      <c r="G348" s="45" t="s">
        <v>6343</v>
      </c>
      <c r="H348" s="46"/>
      <c r="I348" s="46"/>
      <c r="J348" s="46"/>
      <c r="K348" s="46"/>
      <c r="L348" s="47">
        <v>100</v>
      </c>
      <c r="M348" s="48">
        <v>694444.44444444438</v>
      </c>
      <c r="N348" s="48">
        <v>5500000</v>
      </c>
      <c r="O348" s="56">
        <v>7.2</v>
      </c>
    </row>
    <row r="349" spans="7:15">
      <c r="G349" s="28" t="s">
        <v>5492</v>
      </c>
      <c r="H349" s="28" t="s">
        <v>179</v>
      </c>
      <c r="I349" s="28">
        <v>43</v>
      </c>
      <c r="J349" s="28" t="s">
        <v>91</v>
      </c>
      <c r="K349" s="28">
        <v>0</v>
      </c>
      <c r="L349" s="42">
        <v>5</v>
      </c>
      <c r="M349" s="43">
        <v>52272.727272727272</v>
      </c>
      <c r="N349" s="43">
        <v>345000</v>
      </c>
      <c r="O349" s="54">
        <v>5.9999999999999991</v>
      </c>
    </row>
    <row r="350" spans="7:15">
      <c r="G350" s="44"/>
      <c r="H350" s="50" t="s">
        <v>1623</v>
      </c>
      <c r="I350" s="51"/>
      <c r="J350" s="51"/>
      <c r="K350" s="51"/>
      <c r="L350" s="52">
        <v>5</v>
      </c>
      <c r="M350" s="53">
        <v>52272.727272727272</v>
      </c>
      <c r="N350" s="53">
        <v>345000</v>
      </c>
      <c r="O350" s="55">
        <v>5.9999999999999991</v>
      </c>
    </row>
    <row r="351" spans="7:15">
      <c r="G351" s="45" t="s">
        <v>6344</v>
      </c>
      <c r="H351" s="46"/>
      <c r="I351" s="46"/>
      <c r="J351" s="46"/>
      <c r="K351" s="46"/>
      <c r="L351" s="47">
        <v>5</v>
      </c>
      <c r="M351" s="48">
        <v>52272.727272727272</v>
      </c>
      <c r="N351" s="48">
        <v>345000</v>
      </c>
      <c r="O351" s="56">
        <v>5.9999999999999991</v>
      </c>
    </row>
    <row r="352" spans="7:15">
      <c r="G352" s="28" t="s">
        <v>5618</v>
      </c>
      <c r="H352" s="28" t="s">
        <v>111</v>
      </c>
      <c r="I352" s="28">
        <v>33</v>
      </c>
      <c r="J352" s="28" t="s">
        <v>91</v>
      </c>
      <c r="K352" s="28">
        <v>0</v>
      </c>
      <c r="L352" s="42">
        <v>5</v>
      </c>
      <c r="M352" s="43">
        <v>37121.21212121212</v>
      </c>
      <c r="N352" s="43">
        <v>245000</v>
      </c>
      <c r="O352" s="54">
        <v>6</v>
      </c>
    </row>
    <row r="353" spans="7:15">
      <c r="G353" s="44"/>
      <c r="H353" s="44"/>
      <c r="I353" s="44"/>
      <c r="J353" s="28" t="s">
        <v>400</v>
      </c>
      <c r="K353" s="28">
        <v>0</v>
      </c>
      <c r="L353" s="42">
        <v>5</v>
      </c>
      <c r="M353" s="43">
        <v>41666.666666666657</v>
      </c>
      <c r="N353" s="43">
        <v>275000</v>
      </c>
      <c r="O353" s="54">
        <v>6.0000000000000009</v>
      </c>
    </row>
    <row r="354" spans="7:15">
      <c r="G354" s="44"/>
      <c r="H354" s="50" t="s">
        <v>1622</v>
      </c>
      <c r="I354" s="51"/>
      <c r="J354" s="51"/>
      <c r="K354" s="51"/>
      <c r="L354" s="52">
        <v>10</v>
      </c>
      <c r="M354" s="53">
        <v>78787.878787878784</v>
      </c>
      <c r="N354" s="53">
        <v>520000</v>
      </c>
      <c r="O354" s="55">
        <v>6</v>
      </c>
    </row>
    <row r="355" spans="7:15">
      <c r="G355" s="44"/>
      <c r="H355" s="28" t="s">
        <v>179</v>
      </c>
      <c r="I355" s="28">
        <v>45</v>
      </c>
      <c r="J355" s="28" t="s">
        <v>91</v>
      </c>
      <c r="K355" s="28">
        <v>0</v>
      </c>
      <c r="L355" s="42">
        <v>5</v>
      </c>
      <c r="M355" s="43">
        <v>34090.909090909088</v>
      </c>
      <c r="N355" s="43">
        <v>225000</v>
      </c>
      <c r="O355" s="54">
        <v>6</v>
      </c>
    </row>
    <row r="356" spans="7:15">
      <c r="G356" s="44"/>
      <c r="H356" s="44"/>
      <c r="I356" s="44"/>
      <c r="J356" s="28" t="s">
        <v>400</v>
      </c>
      <c r="K356" s="28">
        <v>0</v>
      </c>
      <c r="L356" s="42">
        <v>5</v>
      </c>
      <c r="M356" s="43">
        <v>40151.515151515145</v>
      </c>
      <c r="N356" s="43">
        <v>265000</v>
      </c>
      <c r="O356" s="54">
        <v>6</v>
      </c>
    </row>
    <row r="357" spans="7:15">
      <c r="G357" s="44"/>
      <c r="H357" s="50" t="s">
        <v>1623</v>
      </c>
      <c r="I357" s="51"/>
      <c r="J357" s="51"/>
      <c r="K357" s="51"/>
      <c r="L357" s="52">
        <v>10</v>
      </c>
      <c r="M357" s="53">
        <v>74242.424242424226</v>
      </c>
      <c r="N357" s="53">
        <v>490000</v>
      </c>
      <c r="O357" s="55">
        <v>6.0000000000000009</v>
      </c>
    </row>
    <row r="358" spans="7:15">
      <c r="G358" s="45" t="s">
        <v>6345</v>
      </c>
      <c r="H358" s="46"/>
      <c r="I358" s="46"/>
      <c r="J358" s="46"/>
      <c r="K358" s="46"/>
      <c r="L358" s="47">
        <v>20</v>
      </c>
      <c r="M358" s="48">
        <v>153030.30303030301</v>
      </c>
      <c r="N358" s="48">
        <v>1010000</v>
      </c>
      <c r="O358" s="56">
        <v>6.0000000000000009</v>
      </c>
    </row>
    <row r="359" spans="7:15">
      <c r="G359" s="28" t="s">
        <v>5655</v>
      </c>
      <c r="H359" s="28" t="s">
        <v>1113</v>
      </c>
      <c r="I359" s="28" t="s">
        <v>485</v>
      </c>
      <c r="J359" s="29"/>
      <c r="K359" s="29"/>
      <c r="L359" s="42">
        <v>12</v>
      </c>
      <c r="M359" s="43">
        <v>98181.818181818177</v>
      </c>
      <c r="N359" s="43">
        <v>540000</v>
      </c>
      <c r="O359" s="54">
        <v>5</v>
      </c>
    </row>
    <row r="360" spans="7:15">
      <c r="G360" s="44"/>
      <c r="H360" s="50" t="s">
        <v>1638</v>
      </c>
      <c r="I360" s="51"/>
      <c r="J360" s="51"/>
      <c r="K360" s="51"/>
      <c r="L360" s="52">
        <v>12</v>
      </c>
      <c r="M360" s="53">
        <v>98181.818181818177</v>
      </c>
      <c r="N360" s="53">
        <v>540000</v>
      </c>
      <c r="O360" s="55">
        <v>5</v>
      </c>
    </row>
    <row r="361" spans="7:15">
      <c r="G361" s="44"/>
      <c r="H361" s="28" t="s">
        <v>1030</v>
      </c>
      <c r="I361" s="28" t="s">
        <v>94</v>
      </c>
      <c r="J361" s="28" t="s">
        <v>91</v>
      </c>
      <c r="K361" s="28">
        <v>0</v>
      </c>
      <c r="L361" s="42">
        <v>5</v>
      </c>
      <c r="M361" s="43">
        <v>22727.272727272724</v>
      </c>
      <c r="N361" s="43">
        <v>225000</v>
      </c>
      <c r="O361" s="54">
        <v>9</v>
      </c>
    </row>
    <row r="362" spans="7:15">
      <c r="G362" s="44"/>
      <c r="H362" s="50" t="s">
        <v>1642</v>
      </c>
      <c r="I362" s="51"/>
      <c r="J362" s="51"/>
      <c r="K362" s="51"/>
      <c r="L362" s="52">
        <v>5</v>
      </c>
      <c r="M362" s="53">
        <v>22727.272727272724</v>
      </c>
      <c r="N362" s="53">
        <v>225000</v>
      </c>
      <c r="O362" s="55">
        <v>9</v>
      </c>
    </row>
    <row r="363" spans="7:15">
      <c r="G363" s="45" t="s">
        <v>6346</v>
      </c>
      <c r="H363" s="46"/>
      <c r="I363" s="46"/>
      <c r="J363" s="46"/>
      <c r="K363" s="46"/>
      <c r="L363" s="47">
        <v>17</v>
      </c>
      <c r="M363" s="48">
        <v>120909.0909090909</v>
      </c>
      <c r="N363" s="48">
        <v>765000</v>
      </c>
      <c r="O363" s="56">
        <v>5.7518796992481205</v>
      </c>
    </row>
    <row r="364" spans="7:15">
      <c r="G364" s="28" t="s">
        <v>3741</v>
      </c>
      <c r="H364" s="28" t="s">
        <v>93</v>
      </c>
      <c r="I364" s="28">
        <v>21</v>
      </c>
      <c r="J364" s="28" t="s">
        <v>91</v>
      </c>
      <c r="K364" s="28">
        <v>0</v>
      </c>
      <c r="L364" s="42">
        <v>20</v>
      </c>
      <c r="M364" s="43">
        <v>166666.66666666663</v>
      </c>
      <c r="N364" s="43">
        <v>1100000</v>
      </c>
      <c r="O364" s="54">
        <v>6.0000000000000009</v>
      </c>
    </row>
    <row r="365" spans="7:15">
      <c r="G365" s="44"/>
      <c r="H365" s="44"/>
      <c r="I365" s="44"/>
      <c r="J365" s="28" t="s">
        <v>400</v>
      </c>
      <c r="K365" s="28">
        <v>0</v>
      </c>
      <c r="L365" s="42">
        <v>19</v>
      </c>
      <c r="M365" s="43">
        <v>169848.48484848483</v>
      </c>
      <c r="N365" s="43">
        <v>1121000</v>
      </c>
      <c r="O365" s="54">
        <v>6</v>
      </c>
    </row>
    <row r="366" spans="7:15">
      <c r="G366" s="44"/>
      <c r="H366" s="50" t="s">
        <v>1632</v>
      </c>
      <c r="I366" s="51"/>
      <c r="J366" s="51"/>
      <c r="K366" s="51"/>
      <c r="L366" s="52">
        <v>39</v>
      </c>
      <c r="M366" s="53">
        <v>336515.15151515149</v>
      </c>
      <c r="N366" s="53">
        <v>2221000</v>
      </c>
      <c r="O366" s="55">
        <v>6.0000000000000009</v>
      </c>
    </row>
    <row r="367" spans="7:15">
      <c r="G367" s="45" t="s">
        <v>6347</v>
      </c>
      <c r="H367" s="46"/>
      <c r="I367" s="46"/>
      <c r="J367" s="46"/>
      <c r="K367" s="46"/>
      <c r="L367" s="47">
        <v>39</v>
      </c>
      <c r="M367" s="48">
        <v>336515.15151515149</v>
      </c>
      <c r="N367" s="48">
        <v>2221000</v>
      </c>
      <c r="O367" s="56">
        <v>6.0000000000000009</v>
      </c>
    </row>
    <row r="368" spans="7:15">
      <c r="G368" s="28" t="s">
        <v>5746</v>
      </c>
      <c r="H368" s="28" t="s">
        <v>780</v>
      </c>
      <c r="I368" s="28">
        <v>18</v>
      </c>
      <c r="J368" s="28" t="s">
        <v>91</v>
      </c>
      <c r="K368" s="28">
        <v>0</v>
      </c>
      <c r="L368" s="42">
        <v>8</v>
      </c>
      <c r="M368" s="43">
        <v>220202.02020202018</v>
      </c>
      <c r="N368" s="43">
        <v>872000</v>
      </c>
      <c r="O368" s="54">
        <v>3.6</v>
      </c>
    </row>
    <row r="369" spans="7:15">
      <c r="G369" s="44"/>
      <c r="H369" s="50" t="s">
        <v>1629</v>
      </c>
      <c r="I369" s="51"/>
      <c r="J369" s="51"/>
      <c r="K369" s="51"/>
      <c r="L369" s="52">
        <v>8</v>
      </c>
      <c r="M369" s="53">
        <v>220202.02020202018</v>
      </c>
      <c r="N369" s="53">
        <v>872000</v>
      </c>
      <c r="O369" s="55">
        <v>3.6</v>
      </c>
    </row>
    <row r="370" spans="7:15">
      <c r="G370" s="44"/>
      <c r="H370" s="28" t="s">
        <v>5758</v>
      </c>
      <c r="I370" s="28" t="s">
        <v>130</v>
      </c>
      <c r="J370" s="28" t="s">
        <v>91</v>
      </c>
      <c r="K370" s="28">
        <v>0</v>
      </c>
      <c r="L370" s="42">
        <v>4</v>
      </c>
      <c r="M370" s="43">
        <v>301010.10101010097</v>
      </c>
      <c r="N370" s="43">
        <v>1192000</v>
      </c>
      <c r="O370" s="54">
        <v>3.5999999999999996</v>
      </c>
    </row>
    <row r="371" spans="7:15">
      <c r="G371" s="44"/>
      <c r="H371" s="50" t="s">
        <v>6348</v>
      </c>
      <c r="I371" s="51"/>
      <c r="J371" s="51"/>
      <c r="K371" s="51"/>
      <c r="L371" s="52">
        <v>4</v>
      </c>
      <c r="M371" s="53">
        <v>301010.10101010097</v>
      </c>
      <c r="N371" s="53">
        <v>1192000</v>
      </c>
      <c r="O371" s="55">
        <v>3.5999999999999996</v>
      </c>
    </row>
    <row r="372" spans="7:15">
      <c r="G372" s="45" t="s">
        <v>6349</v>
      </c>
      <c r="H372" s="46"/>
      <c r="I372" s="46"/>
      <c r="J372" s="46"/>
      <c r="K372" s="46"/>
      <c r="L372" s="47">
        <v>12</v>
      </c>
      <c r="M372" s="48">
        <v>521212.12121212116</v>
      </c>
      <c r="N372" s="48">
        <v>2064000</v>
      </c>
      <c r="O372" s="56">
        <v>3.6000000000000005</v>
      </c>
    </row>
    <row r="373" spans="7:15">
      <c r="G373" s="28" t="s">
        <v>6246</v>
      </c>
      <c r="H373" s="28" t="s">
        <v>679</v>
      </c>
      <c r="I373" s="28">
        <v>10</v>
      </c>
      <c r="J373" s="28" t="s">
        <v>91</v>
      </c>
      <c r="K373" s="28">
        <v>0</v>
      </c>
      <c r="L373" s="42">
        <v>26</v>
      </c>
      <c r="M373" s="43">
        <v>1314747.4747474748</v>
      </c>
      <c r="N373" s="43">
        <v>6508000</v>
      </c>
      <c r="O373" s="54">
        <v>4.4999999999999991</v>
      </c>
    </row>
    <row r="374" spans="7:15">
      <c r="G374" s="44"/>
      <c r="H374" s="50" t="s">
        <v>1628</v>
      </c>
      <c r="I374" s="51"/>
      <c r="J374" s="51"/>
      <c r="K374" s="51"/>
      <c r="L374" s="52">
        <v>26</v>
      </c>
      <c r="M374" s="53">
        <v>1314747.4747474748</v>
      </c>
      <c r="N374" s="53">
        <v>6508000</v>
      </c>
      <c r="O374" s="55">
        <v>4.4999999999999991</v>
      </c>
    </row>
    <row r="375" spans="7:15">
      <c r="G375" s="45" t="s">
        <v>6350</v>
      </c>
      <c r="H375" s="46"/>
      <c r="I375" s="46"/>
      <c r="J375" s="46"/>
      <c r="K375" s="46"/>
      <c r="L375" s="47">
        <v>26</v>
      </c>
      <c r="M375" s="48">
        <v>1314747.4747474748</v>
      </c>
      <c r="N375" s="48">
        <v>6508000</v>
      </c>
      <c r="O375" s="56">
        <v>4.4999999999999991</v>
      </c>
    </row>
    <row r="376" spans="7:15">
      <c r="G376" s="36" t="s">
        <v>2</v>
      </c>
      <c r="H376" s="37"/>
      <c r="I376" s="37"/>
      <c r="J376" s="37"/>
      <c r="K376" s="37"/>
      <c r="L376" s="38">
        <v>141378</v>
      </c>
      <c r="M376" s="39">
        <v>1541985734.1111135</v>
      </c>
      <c r="N376" s="39">
        <v>8286730000</v>
      </c>
      <c r="O376" s="41">
        <v>4.8855127141844594</v>
      </c>
    </row>
  </sheetData>
  <phoneticPr fontId="2" type="noConversion"/>
  <pageMargins left="0.75" right="0.75" top="1" bottom="1" header="0.5" footer="0.5"/>
  <pageSetup paperSize="9" orientation="portrait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V1593"/>
  <sheetViews>
    <sheetView showZeros="0" zoomScale="80" workbookViewId="0">
      <pane xSplit="16" ySplit="4" topLeftCell="BO1562" activePane="bottomRight" state="frozen"/>
      <selection pane="topRight" activeCell="H1" sqref="H1"/>
      <selection pane="bottomLeft" activeCell="A5" sqref="A5"/>
      <selection pane="bottomRight" activeCell="BT1588" sqref="BT1585:BT1588"/>
    </sheetView>
  </sheetViews>
  <sheetFormatPr defaultColWidth="7.88671875" defaultRowHeight="12"/>
  <cols>
    <col min="1" max="2" width="7.88671875" style="8"/>
    <col min="3" max="4" width="7.88671875" style="13"/>
    <col min="5" max="34" width="7.88671875" style="20"/>
    <col min="35" max="35" width="7.88671875" style="4"/>
    <col min="36" max="36" width="7.88671875" style="20"/>
    <col min="37" max="42" width="7.88671875" style="4"/>
    <col min="43" max="43" width="7.88671875" style="20"/>
    <col min="44" max="44" width="7.88671875" style="4"/>
    <col min="45" max="53" width="7.88671875" style="20"/>
    <col min="54" max="57" width="7.88671875" style="6"/>
    <col min="58" max="58" width="8.33203125" style="6" bestFit="1" customWidth="1"/>
    <col min="59" max="62" width="7.88671875" style="6"/>
    <col min="63" max="64" width="7.88671875" style="4"/>
    <col min="65" max="71" width="7.88671875" style="20"/>
    <col min="72" max="72" width="9.5546875" style="20" customWidth="1"/>
    <col min="73" max="73" width="11.5546875" style="20" customWidth="1"/>
    <col min="74" max="74" width="7.88671875" style="20"/>
    <col min="75" max="16384" width="7.88671875" style="1"/>
  </cols>
  <sheetData>
    <row r="1" spans="1:74" s="3" customFormat="1">
      <c r="A1" s="2"/>
      <c r="B1" s="2"/>
      <c r="C1" s="2"/>
      <c r="D1" s="2"/>
      <c r="E1" s="2"/>
      <c r="F1" s="2"/>
      <c r="G1" s="2"/>
      <c r="H1" s="2"/>
      <c r="I1" s="2"/>
      <c r="J1" s="2">
        <v>1</v>
      </c>
      <c r="K1" s="2">
        <f>J1+1</f>
        <v>2</v>
      </c>
      <c r="L1" s="2">
        <f t="shared" ref="L1:BV1" si="0">K1+1</f>
        <v>3</v>
      </c>
      <c r="M1" s="2">
        <f t="shared" si="0"/>
        <v>4</v>
      </c>
      <c r="N1" s="2">
        <f t="shared" si="0"/>
        <v>5</v>
      </c>
      <c r="O1" s="2">
        <f t="shared" si="0"/>
        <v>6</v>
      </c>
      <c r="P1" s="2">
        <f t="shared" si="0"/>
        <v>7</v>
      </c>
      <c r="Q1" s="2">
        <f t="shared" si="0"/>
        <v>8</v>
      </c>
      <c r="R1" s="2">
        <f t="shared" si="0"/>
        <v>9</v>
      </c>
      <c r="S1" s="2">
        <f t="shared" si="0"/>
        <v>10</v>
      </c>
      <c r="T1" s="2">
        <f t="shared" si="0"/>
        <v>11</v>
      </c>
      <c r="U1" s="2">
        <f t="shared" si="0"/>
        <v>12</v>
      </c>
      <c r="V1" s="2">
        <f t="shared" si="0"/>
        <v>13</v>
      </c>
      <c r="W1" s="2">
        <f t="shared" si="0"/>
        <v>14</v>
      </c>
      <c r="X1" s="2">
        <f t="shared" si="0"/>
        <v>15</v>
      </c>
      <c r="Y1" s="2">
        <f t="shared" si="0"/>
        <v>16</v>
      </c>
      <c r="Z1" s="2">
        <f t="shared" si="0"/>
        <v>17</v>
      </c>
      <c r="AA1" s="2">
        <f t="shared" si="0"/>
        <v>18</v>
      </c>
      <c r="AB1" s="2">
        <f t="shared" si="0"/>
        <v>19</v>
      </c>
      <c r="AC1" s="2">
        <f t="shared" si="0"/>
        <v>20</v>
      </c>
      <c r="AD1" s="2">
        <f t="shared" si="0"/>
        <v>21</v>
      </c>
      <c r="AE1" s="2">
        <f t="shared" si="0"/>
        <v>22</v>
      </c>
      <c r="AF1" s="2">
        <f t="shared" si="0"/>
        <v>23</v>
      </c>
      <c r="AG1" s="2">
        <f t="shared" si="0"/>
        <v>24</v>
      </c>
      <c r="AH1" s="2">
        <f t="shared" si="0"/>
        <v>25</v>
      </c>
      <c r="AI1" s="2">
        <f t="shared" si="0"/>
        <v>26</v>
      </c>
      <c r="AJ1" s="2">
        <f t="shared" si="0"/>
        <v>27</v>
      </c>
      <c r="AK1" s="2">
        <f t="shared" si="0"/>
        <v>28</v>
      </c>
      <c r="AL1" s="2">
        <f t="shared" si="0"/>
        <v>29</v>
      </c>
      <c r="AM1" s="2">
        <f t="shared" si="0"/>
        <v>30</v>
      </c>
      <c r="AN1" s="2">
        <f t="shared" si="0"/>
        <v>31</v>
      </c>
      <c r="AO1" s="2">
        <f t="shared" si="0"/>
        <v>32</v>
      </c>
      <c r="AP1" s="2">
        <f t="shared" si="0"/>
        <v>33</v>
      </c>
      <c r="AQ1" s="2">
        <f t="shared" si="0"/>
        <v>34</v>
      </c>
      <c r="AR1" s="2">
        <f t="shared" si="0"/>
        <v>35</v>
      </c>
      <c r="AS1" s="2">
        <f t="shared" si="0"/>
        <v>36</v>
      </c>
      <c r="AT1" s="2">
        <f t="shared" si="0"/>
        <v>37</v>
      </c>
      <c r="AU1" s="2">
        <f t="shared" si="0"/>
        <v>38</v>
      </c>
      <c r="AV1" s="2">
        <f t="shared" si="0"/>
        <v>39</v>
      </c>
      <c r="AW1" s="2">
        <f t="shared" si="0"/>
        <v>40</v>
      </c>
      <c r="AX1" s="2">
        <f t="shared" si="0"/>
        <v>41</v>
      </c>
      <c r="AY1" s="2">
        <f t="shared" si="0"/>
        <v>42</v>
      </c>
      <c r="AZ1" s="2">
        <f t="shared" si="0"/>
        <v>43</v>
      </c>
      <c r="BA1" s="2">
        <f t="shared" si="0"/>
        <v>44</v>
      </c>
      <c r="BB1" s="2">
        <f t="shared" si="0"/>
        <v>45</v>
      </c>
      <c r="BC1" s="2">
        <f t="shared" si="0"/>
        <v>46</v>
      </c>
      <c r="BD1" s="2">
        <f t="shared" si="0"/>
        <v>47</v>
      </c>
      <c r="BE1" s="2">
        <f t="shared" si="0"/>
        <v>48</v>
      </c>
      <c r="BF1" s="2">
        <f t="shared" si="0"/>
        <v>49</v>
      </c>
      <c r="BG1" s="2">
        <f t="shared" si="0"/>
        <v>50</v>
      </c>
      <c r="BH1" s="2">
        <f t="shared" si="0"/>
        <v>51</v>
      </c>
      <c r="BI1" s="2">
        <f t="shared" si="0"/>
        <v>52</v>
      </c>
      <c r="BJ1" s="2">
        <f t="shared" si="0"/>
        <v>53</v>
      </c>
      <c r="BK1" s="2">
        <f t="shared" si="0"/>
        <v>54</v>
      </c>
      <c r="BL1" s="2">
        <f t="shared" si="0"/>
        <v>55</v>
      </c>
      <c r="BM1" s="2">
        <f t="shared" si="0"/>
        <v>56</v>
      </c>
      <c r="BN1" s="2">
        <f t="shared" si="0"/>
        <v>57</v>
      </c>
      <c r="BO1" s="2">
        <f t="shared" si="0"/>
        <v>58</v>
      </c>
      <c r="BP1" s="2">
        <f t="shared" si="0"/>
        <v>59</v>
      </c>
      <c r="BQ1" s="2">
        <f t="shared" si="0"/>
        <v>60</v>
      </c>
      <c r="BR1" s="2">
        <f t="shared" si="0"/>
        <v>61</v>
      </c>
      <c r="BS1" s="2">
        <f t="shared" si="0"/>
        <v>62</v>
      </c>
      <c r="BT1" s="2">
        <f t="shared" si="0"/>
        <v>63</v>
      </c>
      <c r="BU1" s="2">
        <f t="shared" si="0"/>
        <v>64</v>
      </c>
      <c r="BV1" s="2">
        <f t="shared" si="0"/>
        <v>65</v>
      </c>
    </row>
    <row r="2" spans="1:74" s="18" customFormat="1" ht="60">
      <c r="A2" s="9" t="s">
        <v>5</v>
      </c>
      <c r="B2" s="9" t="s">
        <v>6</v>
      </c>
      <c r="C2" s="11" t="s">
        <v>7</v>
      </c>
      <c r="D2" s="11" t="s">
        <v>9</v>
      </c>
      <c r="E2" s="21" t="s">
        <v>74</v>
      </c>
      <c r="F2" s="21" t="s">
        <v>4</v>
      </c>
      <c r="G2" s="21" t="s">
        <v>75</v>
      </c>
      <c r="H2" s="21" t="s">
        <v>76</v>
      </c>
      <c r="I2" s="21" t="s">
        <v>77</v>
      </c>
      <c r="J2" s="21" t="s">
        <v>0</v>
      </c>
      <c r="K2" s="21" t="s">
        <v>78</v>
      </c>
      <c r="L2" s="21" t="s">
        <v>79</v>
      </c>
      <c r="M2" s="21" t="s">
        <v>11</v>
      </c>
      <c r="N2" s="21" t="s">
        <v>80</v>
      </c>
      <c r="O2" s="19" t="s">
        <v>81</v>
      </c>
      <c r="P2" s="19" t="s">
        <v>11</v>
      </c>
      <c r="Q2" s="19" t="s">
        <v>12</v>
      </c>
      <c r="R2" s="19" t="s">
        <v>13</v>
      </c>
      <c r="S2" s="19" t="s">
        <v>14</v>
      </c>
      <c r="T2" s="19" t="s">
        <v>15</v>
      </c>
      <c r="U2" s="19" t="s">
        <v>16</v>
      </c>
      <c r="V2" s="19" t="s">
        <v>17</v>
      </c>
      <c r="W2" s="19" t="s">
        <v>18</v>
      </c>
      <c r="X2" s="19" t="s">
        <v>19</v>
      </c>
      <c r="Y2" s="19" t="s">
        <v>20</v>
      </c>
      <c r="Z2" s="19" t="s">
        <v>21</v>
      </c>
      <c r="AA2" s="19" t="s">
        <v>22</v>
      </c>
      <c r="AB2" s="19" t="s">
        <v>23</v>
      </c>
      <c r="AC2" s="19" t="s">
        <v>24</v>
      </c>
      <c r="AD2" s="19" t="s">
        <v>25</v>
      </c>
      <c r="AE2" s="19" t="s">
        <v>26</v>
      </c>
      <c r="AF2" s="19" t="s">
        <v>27</v>
      </c>
      <c r="AG2" s="19" t="s">
        <v>28</v>
      </c>
      <c r="AH2" s="19" t="s">
        <v>29</v>
      </c>
      <c r="AI2" s="15" t="s">
        <v>30</v>
      </c>
      <c r="AJ2" s="19" t="s">
        <v>10</v>
      </c>
      <c r="AK2" s="14" t="s">
        <v>31</v>
      </c>
      <c r="AL2" s="14" t="s">
        <v>32</v>
      </c>
      <c r="AM2" s="14" t="s">
        <v>33</v>
      </c>
      <c r="AN2" s="14" t="s">
        <v>34</v>
      </c>
      <c r="AO2" s="14" t="s">
        <v>35</v>
      </c>
      <c r="AP2" s="14" t="s">
        <v>36</v>
      </c>
      <c r="AQ2" s="19" t="s">
        <v>37</v>
      </c>
      <c r="AR2" s="14" t="s">
        <v>38</v>
      </c>
      <c r="AS2" s="19" t="s">
        <v>39</v>
      </c>
      <c r="AT2" s="19" t="s">
        <v>40</v>
      </c>
      <c r="AU2" s="19" t="s">
        <v>41</v>
      </c>
      <c r="AV2" s="19" t="s">
        <v>42</v>
      </c>
      <c r="AW2" s="19" t="s">
        <v>43</v>
      </c>
      <c r="AX2" s="19" t="s">
        <v>44</v>
      </c>
      <c r="AY2" s="19" t="s">
        <v>45</v>
      </c>
      <c r="AZ2" s="19" t="s">
        <v>46</v>
      </c>
      <c r="BA2" s="19" t="s">
        <v>47</v>
      </c>
      <c r="BB2" s="17" t="s">
        <v>48</v>
      </c>
      <c r="BC2" s="17" t="s">
        <v>49</v>
      </c>
      <c r="BD2" s="17" t="s">
        <v>50</v>
      </c>
      <c r="BE2" s="17" t="s">
        <v>73</v>
      </c>
      <c r="BF2" s="17" t="s">
        <v>51</v>
      </c>
      <c r="BG2" s="17" t="s">
        <v>52</v>
      </c>
      <c r="BH2" s="17" t="s">
        <v>53</v>
      </c>
      <c r="BI2" s="17" t="s">
        <v>54</v>
      </c>
      <c r="BJ2" s="17" t="s">
        <v>55</v>
      </c>
      <c r="BK2" s="16" t="s">
        <v>67</v>
      </c>
      <c r="BL2" s="16" t="s">
        <v>68</v>
      </c>
      <c r="BM2" s="19" t="s">
        <v>56</v>
      </c>
      <c r="BN2" s="19" t="s">
        <v>57</v>
      </c>
      <c r="BO2" s="19" t="s">
        <v>58</v>
      </c>
      <c r="BP2" s="19" t="s">
        <v>58</v>
      </c>
      <c r="BQ2" s="19" t="s">
        <v>58</v>
      </c>
      <c r="BR2" s="19" t="s">
        <v>59</v>
      </c>
      <c r="BS2" s="19" t="s">
        <v>60</v>
      </c>
      <c r="BT2" s="19" t="s">
        <v>61</v>
      </c>
      <c r="BU2" s="19" t="s">
        <v>62</v>
      </c>
      <c r="BV2" s="19" t="s">
        <v>63</v>
      </c>
    </row>
    <row r="3" spans="1:74">
      <c r="A3" s="10">
        <f t="shared" ref="A3:A66" si="1">IF($BL3="공급",$Z3,0)</f>
        <v>0</v>
      </c>
      <c r="B3" s="10">
        <f t="shared" ref="B3:B66" si="2">IF($AV3&gt;0,$Z3,0)</f>
        <v>0.25</v>
      </c>
      <c r="C3" s="12">
        <f>IF($BB3=0,"",MONTH($BB3))</f>
        <v>4</v>
      </c>
      <c r="D3" s="12">
        <f>IF(AND(BD3=0,BF3=0),"",MONTH(IF($BF3=0,$BD3,$BF3)))</f>
        <v>7</v>
      </c>
      <c r="E3" s="20" t="s">
        <v>114</v>
      </c>
      <c r="F3" s="20" t="s">
        <v>1019</v>
      </c>
      <c r="G3" s="20" t="s">
        <v>1020</v>
      </c>
      <c r="H3" s="20" t="s">
        <v>1021</v>
      </c>
      <c r="I3" s="20">
        <v>1</v>
      </c>
      <c r="J3" s="20" t="s">
        <v>1022</v>
      </c>
      <c r="K3" s="20" t="s">
        <v>1023</v>
      </c>
      <c r="L3" s="20" t="s">
        <v>1024</v>
      </c>
      <c r="M3" s="20" t="s">
        <v>1019</v>
      </c>
      <c r="N3" s="20" t="s">
        <v>1025</v>
      </c>
      <c r="P3" s="20" t="s">
        <v>1019</v>
      </c>
      <c r="Q3" s="20" t="s">
        <v>1026</v>
      </c>
      <c r="R3" s="20" t="s">
        <v>84</v>
      </c>
      <c r="S3" s="20" t="s">
        <v>123</v>
      </c>
      <c r="T3" s="20" t="s">
        <v>124</v>
      </c>
      <c r="U3" s="20" t="s">
        <v>125</v>
      </c>
      <c r="V3" s="20" t="s">
        <v>87</v>
      </c>
      <c r="W3" s="20">
        <v>503</v>
      </c>
      <c r="X3" s="20">
        <v>503</v>
      </c>
      <c r="Y3" s="20" t="s">
        <v>1027</v>
      </c>
      <c r="Z3" s="20">
        <v>0.25</v>
      </c>
      <c r="AA3" s="20" t="s">
        <v>1028</v>
      </c>
      <c r="AB3" s="20" t="s">
        <v>109</v>
      </c>
      <c r="AC3" s="20" t="s">
        <v>110</v>
      </c>
      <c r="AD3" s="20" t="s">
        <v>1029</v>
      </c>
      <c r="AE3" s="20" t="s">
        <v>91</v>
      </c>
      <c r="AF3" s="20">
        <v>0.5</v>
      </c>
      <c r="AG3" s="20" t="s">
        <v>2436</v>
      </c>
      <c r="AH3" s="20">
        <v>1</v>
      </c>
      <c r="AI3" s="7" t="s">
        <v>97</v>
      </c>
      <c r="AJ3" s="20">
        <v>70</v>
      </c>
      <c r="AK3" s="4" t="s">
        <v>1030</v>
      </c>
      <c r="AL3" s="4">
        <v>1</v>
      </c>
      <c r="AM3" s="4" t="s">
        <v>130</v>
      </c>
      <c r="AN3" s="4" t="s">
        <v>95</v>
      </c>
      <c r="AO3" s="4" t="s">
        <v>96</v>
      </c>
      <c r="AP3" s="4">
        <v>1</v>
      </c>
      <c r="AQ3" s="20">
        <v>39000</v>
      </c>
      <c r="AR3" s="4">
        <v>41780</v>
      </c>
      <c r="AS3" s="20">
        <v>3939.3939393939386</v>
      </c>
      <c r="AT3" s="20">
        <v>5219.8</v>
      </c>
      <c r="AU3" s="20">
        <v>1280.4060606060616</v>
      </c>
      <c r="AV3" s="20">
        <v>2160</v>
      </c>
      <c r="AW3" s="20">
        <v>545</v>
      </c>
      <c r="AX3" s="20">
        <v>20</v>
      </c>
      <c r="AY3" s="20">
        <v>2725</v>
      </c>
      <c r="AZ3" s="20">
        <v>2</v>
      </c>
      <c r="BB3" s="6">
        <v>41733</v>
      </c>
      <c r="BC3" s="6">
        <v>0</v>
      </c>
      <c r="BD3" s="6">
        <v>41823</v>
      </c>
      <c r="BF3" s="6">
        <v>41843</v>
      </c>
      <c r="BG3" s="6">
        <v>0</v>
      </c>
      <c r="BH3" s="6">
        <v>0</v>
      </c>
      <c r="BI3" s="6">
        <v>0</v>
      </c>
      <c r="BJ3" s="6">
        <v>0</v>
      </c>
      <c r="BK3" s="5" t="s">
        <v>401</v>
      </c>
      <c r="BL3" s="4">
        <v>0</v>
      </c>
      <c r="BM3" s="20">
        <v>70</v>
      </c>
      <c r="BN3" s="20">
        <v>0</v>
      </c>
      <c r="BO3" s="20">
        <v>0</v>
      </c>
      <c r="BP3" s="20">
        <v>0</v>
      </c>
      <c r="BQ3" s="20">
        <v>0</v>
      </c>
      <c r="BR3" s="20">
        <v>0</v>
      </c>
      <c r="BS3" s="20">
        <v>70</v>
      </c>
      <c r="BT3" s="20">
        <v>365386</v>
      </c>
      <c r="BU3" s="20">
        <v>2730000</v>
      </c>
      <c r="BV3" s="20">
        <v>6.7923187582944653</v>
      </c>
    </row>
    <row r="4" spans="1:74">
      <c r="A4" s="10">
        <f t="shared" si="1"/>
        <v>0</v>
      </c>
      <c r="B4" s="10">
        <f t="shared" si="2"/>
        <v>0.25</v>
      </c>
      <c r="C4" s="12">
        <f t="shared" ref="C4:C67" si="3">IF($BB4=0,"",MONTH($BB4))</f>
        <v>4</v>
      </c>
      <c r="D4" s="12">
        <f t="shared" ref="D4" si="4">IF(AND(BD4=0,BF4=0),"",MONTH(IF($BF4=0,$BD4,$BF4)))</f>
        <v>7</v>
      </c>
      <c r="E4" s="20" t="s">
        <v>114</v>
      </c>
      <c r="F4" s="20" t="s">
        <v>1019</v>
      </c>
      <c r="G4" s="20" t="s">
        <v>1020</v>
      </c>
      <c r="H4" s="20" t="s">
        <v>1021</v>
      </c>
      <c r="I4" s="20">
        <v>1</v>
      </c>
      <c r="J4" s="20" t="s">
        <v>1022</v>
      </c>
      <c r="K4" s="20" t="s">
        <v>1031</v>
      </c>
      <c r="L4" s="20" t="s">
        <v>1024</v>
      </c>
      <c r="M4" s="20" t="s">
        <v>1019</v>
      </c>
      <c r="N4" s="20" t="s">
        <v>1025</v>
      </c>
      <c r="P4" s="20" t="s">
        <v>1019</v>
      </c>
      <c r="Q4" s="20" t="s">
        <v>1026</v>
      </c>
      <c r="R4" s="20" t="s">
        <v>84</v>
      </c>
      <c r="S4" s="20" t="s">
        <v>123</v>
      </c>
      <c r="T4" s="20" t="s">
        <v>124</v>
      </c>
      <c r="U4" s="20" t="s">
        <v>125</v>
      </c>
      <c r="V4" s="20" t="s">
        <v>87</v>
      </c>
      <c r="W4" s="20">
        <v>503</v>
      </c>
      <c r="X4" s="20">
        <v>503</v>
      </c>
      <c r="Y4" s="20" t="s">
        <v>1027</v>
      </c>
      <c r="Z4" s="20">
        <v>0.25</v>
      </c>
      <c r="AA4" s="20" t="s">
        <v>1028</v>
      </c>
      <c r="AB4" s="20" t="s">
        <v>109</v>
      </c>
      <c r="AC4" s="20" t="s">
        <v>110</v>
      </c>
      <c r="AD4" s="20" t="s">
        <v>1029</v>
      </c>
      <c r="AE4" s="20" t="s">
        <v>91</v>
      </c>
      <c r="AF4" s="20">
        <v>0.5</v>
      </c>
      <c r="AG4" s="20" t="s">
        <v>2436</v>
      </c>
      <c r="AH4" s="20">
        <v>1</v>
      </c>
      <c r="AI4" s="7" t="s">
        <v>98</v>
      </c>
      <c r="AJ4" s="20">
        <v>30</v>
      </c>
      <c r="AK4" s="4" t="s">
        <v>1030</v>
      </c>
      <c r="AL4" s="4">
        <v>1</v>
      </c>
      <c r="AM4" s="4" t="s">
        <v>130</v>
      </c>
      <c r="AN4" s="4" t="s">
        <v>95</v>
      </c>
      <c r="AO4" s="4" t="s">
        <v>96</v>
      </c>
      <c r="AP4" s="4">
        <v>1</v>
      </c>
      <c r="AQ4" s="20">
        <v>39000</v>
      </c>
      <c r="AR4" s="4">
        <v>41780</v>
      </c>
      <c r="AS4" s="20">
        <v>3939.3939393939386</v>
      </c>
      <c r="AT4" s="20">
        <v>5219.8</v>
      </c>
      <c r="AU4" s="20">
        <v>1280.4060606060616</v>
      </c>
      <c r="AV4" s="20">
        <v>2160</v>
      </c>
      <c r="AW4" s="20">
        <v>545</v>
      </c>
      <c r="AX4" s="20">
        <v>20</v>
      </c>
      <c r="AY4" s="20">
        <v>2725</v>
      </c>
      <c r="AZ4" s="20">
        <v>2</v>
      </c>
      <c r="BA4" s="20">
        <v>0</v>
      </c>
      <c r="BB4" s="6">
        <v>41733</v>
      </c>
      <c r="BC4" s="6">
        <v>0</v>
      </c>
      <c r="BD4" s="6">
        <v>41823</v>
      </c>
      <c r="BE4" s="6">
        <v>0</v>
      </c>
      <c r="BF4" s="6">
        <v>41843</v>
      </c>
      <c r="BG4" s="6">
        <v>0</v>
      </c>
      <c r="BH4" s="6">
        <v>0</v>
      </c>
      <c r="BI4" s="6">
        <v>0</v>
      </c>
      <c r="BJ4" s="6">
        <v>0</v>
      </c>
      <c r="BK4" s="5" t="s">
        <v>401</v>
      </c>
      <c r="BL4" s="4">
        <v>0</v>
      </c>
      <c r="BM4" s="20">
        <v>30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30</v>
      </c>
      <c r="BT4" s="20">
        <v>156594</v>
      </c>
      <c r="BU4" s="20">
        <v>1170000</v>
      </c>
      <c r="BV4" s="20">
        <v>6.7923187582944653</v>
      </c>
    </row>
    <row r="5" spans="1:74">
      <c r="A5" s="10">
        <f t="shared" si="1"/>
        <v>0</v>
      </c>
      <c r="B5" s="10">
        <f t="shared" si="2"/>
        <v>0</v>
      </c>
      <c r="C5" s="12">
        <f t="shared" si="3"/>
        <v>4</v>
      </c>
      <c r="D5" s="12">
        <f t="shared" ref="D5:D68" si="5">IF(AND(BD5=0,BF5=0),"",MONTH(IF($BF5=0,$BD5,$BF5)))</f>
        <v>7</v>
      </c>
      <c r="E5" s="20" t="s">
        <v>114</v>
      </c>
      <c r="F5" s="20" t="s">
        <v>1019</v>
      </c>
      <c r="G5" s="20" t="s">
        <v>1020</v>
      </c>
      <c r="H5" s="20" t="s">
        <v>1032</v>
      </c>
      <c r="I5" s="20">
        <v>2</v>
      </c>
      <c r="J5" s="20" t="s">
        <v>1033</v>
      </c>
      <c r="K5" s="20" t="s">
        <v>1034</v>
      </c>
      <c r="L5" s="20" t="s">
        <v>1024</v>
      </c>
      <c r="M5" s="20" t="s">
        <v>1019</v>
      </c>
      <c r="N5" s="20" t="s">
        <v>1025</v>
      </c>
      <c r="P5" s="20" t="s">
        <v>1019</v>
      </c>
      <c r="Q5" s="20" t="s">
        <v>1026</v>
      </c>
      <c r="R5" s="20" t="s">
        <v>84</v>
      </c>
      <c r="S5" s="20" t="s">
        <v>123</v>
      </c>
      <c r="T5" s="20" t="s">
        <v>124</v>
      </c>
      <c r="U5" s="20" t="s">
        <v>125</v>
      </c>
      <c r="V5" s="20" t="s">
        <v>87</v>
      </c>
      <c r="W5" s="20">
        <v>503</v>
      </c>
      <c r="X5" s="20">
        <v>503</v>
      </c>
      <c r="Y5" s="20" t="s">
        <v>1027</v>
      </c>
      <c r="Z5" s="20">
        <v>0.25</v>
      </c>
      <c r="AA5" s="20" t="s">
        <v>1035</v>
      </c>
      <c r="AB5" s="20" t="s">
        <v>279</v>
      </c>
      <c r="AC5" s="20" t="s">
        <v>280</v>
      </c>
      <c r="AD5" s="20" t="s">
        <v>1036</v>
      </c>
      <c r="AE5" s="20" t="s">
        <v>91</v>
      </c>
      <c r="AF5" s="20">
        <v>0.5</v>
      </c>
      <c r="AG5" s="20" t="s">
        <v>2437</v>
      </c>
      <c r="AH5" s="20">
        <v>1</v>
      </c>
      <c r="AI5" s="7" t="s">
        <v>97</v>
      </c>
      <c r="AJ5" s="20">
        <v>80</v>
      </c>
      <c r="AK5" s="4" t="s">
        <v>1030</v>
      </c>
      <c r="AL5" s="4">
        <v>1</v>
      </c>
      <c r="AM5" s="4" t="s">
        <v>130</v>
      </c>
      <c r="AN5" s="4" t="s">
        <v>95</v>
      </c>
      <c r="AO5" s="4" t="s">
        <v>96</v>
      </c>
      <c r="AP5" s="4">
        <v>1</v>
      </c>
      <c r="AQ5" s="20">
        <v>39000</v>
      </c>
      <c r="AR5" s="4">
        <v>41780</v>
      </c>
      <c r="AS5" s="20">
        <v>3939.3939393939386</v>
      </c>
      <c r="AT5" s="20">
        <v>3434.02</v>
      </c>
      <c r="AU5" s="20">
        <v>-505.3739393939386</v>
      </c>
      <c r="AW5" s="20">
        <v>545</v>
      </c>
      <c r="AX5" s="20">
        <v>20</v>
      </c>
      <c r="AY5" s="20">
        <v>565</v>
      </c>
      <c r="AZ5" s="20">
        <v>2.2999999999999998</v>
      </c>
      <c r="BA5" s="20">
        <v>0</v>
      </c>
      <c r="BB5" s="6">
        <v>41733</v>
      </c>
      <c r="BC5" s="6">
        <v>0</v>
      </c>
      <c r="BD5" s="6">
        <v>41823</v>
      </c>
      <c r="BE5" s="6">
        <v>0</v>
      </c>
      <c r="BF5" s="6">
        <v>41844</v>
      </c>
      <c r="BG5" s="6">
        <v>0</v>
      </c>
      <c r="BH5" s="6">
        <v>0</v>
      </c>
      <c r="BI5" s="6">
        <v>0</v>
      </c>
      <c r="BJ5" s="6">
        <v>0</v>
      </c>
      <c r="BK5" s="5" t="s">
        <v>401</v>
      </c>
      <c r="BL5" s="4">
        <v>0</v>
      </c>
      <c r="BM5" s="20">
        <v>80</v>
      </c>
      <c r="BN5" s="20">
        <v>0</v>
      </c>
      <c r="BO5" s="20">
        <v>0</v>
      </c>
      <c r="BP5" s="20">
        <v>0</v>
      </c>
      <c r="BQ5" s="20">
        <v>0</v>
      </c>
      <c r="BR5" s="20">
        <v>0</v>
      </c>
      <c r="BS5" s="20">
        <v>80</v>
      </c>
      <c r="BT5" s="20">
        <v>274721.59999999998</v>
      </c>
      <c r="BU5" s="20">
        <v>3120000</v>
      </c>
      <c r="BV5" s="20">
        <v>10.324501736898869</v>
      </c>
    </row>
    <row r="6" spans="1:74">
      <c r="A6" s="10">
        <f t="shared" si="1"/>
        <v>0</v>
      </c>
      <c r="B6" s="10">
        <f t="shared" si="2"/>
        <v>0</v>
      </c>
      <c r="C6" s="12">
        <f t="shared" si="3"/>
        <v>4</v>
      </c>
      <c r="D6" s="12">
        <f t="shared" si="5"/>
        <v>7</v>
      </c>
      <c r="E6" s="20" t="s">
        <v>114</v>
      </c>
      <c r="F6" s="20" t="s">
        <v>1019</v>
      </c>
      <c r="G6" s="20" t="s">
        <v>1020</v>
      </c>
      <c r="H6" s="20" t="s">
        <v>1032</v>
      </c>
      <c r="I6" s="20">
        <v>2</v>
      </c>
      <c r="J6" s="20" t="s">
        <v>1033</v>
      </c>
      <c r="K6" s="20" t="s">
        <v>1037</v>
      </c>
      <c r="L6" s="20" t="s">
        <v>1024</v>
      </c>
      <c r="M6" s="20" t="s">
        <v>1019</v>
      </c>
      <c r="N6" s="20" t="s">
        <v>1025</v>
      </c>
      <c r="P6" s="20" t="s">
        <v>1019</v>
      </c>
      <c r="Q6" s="20" t="s">
        <v>1026</v>
      </c>
      <c r="R6" s="20" t="s">
        <v>84</v>
      </c>
      <c r="S6" s="20" t="s">
        <v>123</v>
      </c>
      <c r="T6" s="20" t="s">
        <v>124</v>
      </c>
      <c r="U6" s="20" t="s">
        <v>125</v>
      </c>
      <c r="V6" s="20" t="s">
        <v>87</v>
      </c>
      <c r="W6" s="20">
        <v>503</v>
      </c>
      <c r="X6" s="20">
        <v>503</v>
      </c>
      <c r="Y6" s="20" t="s">
        <v>1027</v>
      </c>
      <c r="Z6" s="20">
        <v>0.25</v>
      </c>
      <c r="AA6" s="20" t="s">
        <v>1035</v>
      </c>
      <c r="AB6" s="20" t="s">
        <v>279</v>
      </c>
      <c r="AC6" s="20" t="s">
        <v>280</v>
      </c>
      <c r="AD6" s="20" t="s">
        <v>1036</v>
      </c>
      <c r="AE6" s="20" t="s">
        <v>91</v>
      </c>
      <c r="AF6" s="20">
        <v>0.5</v>
      </c>
      <c r="AG6" s="20" t="s">
        <v>2437</v>
      </c>
      <c r="AH6" s="20">
        <v>1</v>
      </c>
      <c r="AI6" s="7" t="s">
        <v>98</v>
      </c>
      <c r="AJ6" s="20">
        <v>40</v>
      </c>
      <c r="AK6" s="4" t="s">
        <v>1030</v>
      </c>
      <c r="AL6" s="4">
        <v>1</v>
      </c>
      <c r="AM6" s="4" t="s">
        <v>130</v>
      </c>
      <c r="AN6" s="4" t="s">
        <v>95</v>
      </c>
      <c r="AO6" s="4" t="s">
        <v>96</v>
      </c>
      <c r="AP6" s="4">
        <v>1</v>
      </c>
      <c r="AQ6" s="20">
        <v>39000</v>
      </c>
      <c r="AR6" s="4">
        <v>41780</v>
      </c>
      <c r="AS6" s="20">
        <v>3939.3939393939386</v>
      </c>
      <c r="AT6" s="20">
        <v>3434.02</v>
      </c>
      <c r="AU6" s="20">
        <v>-505.3739393939386</v>
      </c>
      <c r="AW6" s="20">
        <v>545</v>
      </c>
      <c r="AX6" s="20">
        <v>20</v>
      </c>
      <c r="AY6" s="20">
        <v>565</v>
      </c>
      <c r="AZ6" s="20">
        <v>2.2999999999999998</v>
      </c>
      <c r="BA6" s="20">
        <v>0</v>
      </c>
      <c r="BB6" s="6">
        <v>41733</v>
      </c>
      <c r="BC6" s="6">
        <v>0</v>
      </c>
      <c r="BD6" s="6">
        <v>41823</v>
      </c>
      <c r="BE6" s="6">
        <v>0</v>
      </c>
      <c r="BF6" s="6">
        <v>41844</v>
      </c>
      <c r="BG6" s="6">
        <v>0</v>
      </c>
      <c r="BH6" s="6">
        <v>0</v>
      </c>
      <c r="BI6" s="6">
        <v>0</v>
      </c>
      <c r="BJ6" s="6">
        <v>0</v>
      </c>
      <c r="BK6" s="5" t="s">
        <v>401</v>
      </c>
      <c r="BL6" s="4">
        <v>0</v>
      </c>
      <c r="BM6" s="20">
        <v>40</v>
      </c>
      <c r="BN6" s="20">
        <v>0</v>
      </c>
      <c r="BO6" s="20">
        <v>0</v>
      </c>
      <c r="BP6" s="20">
        <v>0</v>
      </c>
      <c r="BQ6" s="20">
        <v>0</v>
      </c>
      <c r="BR6" s="20">
        <v>0</v>
      </c>
      <c r="BS6" s="20">
        <v>40</v>
      </c>
      <c r="BT6" s="20">
        <v>137360.79999999999</v>
      </c>
      <c r="BU6" s="20">
        <v>1560000</v>
      </c>
      <c r="BV6" s="20">
        <v>10.324501736898869</v>
      </c>
    </row>
    <row r="7" spans="1:74">
      <c r="A7" s="10">
        <f t="shared" si="1"/>
        <v>0</v>
      </c>
      <c r="B7" s="10">
        <f t="shared" si="2"/>
        <v>0</v>
      </c>
      <c r="C7" s="12" t="str">
        <f t="shared" si="3"/>
        <v/>
      </c>
      <c r="D7" s="12" t="str">
        <f t="shared" si="5"/>
        <v/>
      </c>
      <c r="E7" s="20" t="s">
        <v>91</v>
      </c>
      <c r="F7" s="20" t="s">
        <v>91</v>
      </c>
      <c r="G7" s="20" t="s">
        <v>91</v>
      </c>
      <c r="H7" s="20" t="s">
        <v>91</v>
      </c>
      <c r="I7" s="20">
        <v>0</v>
      </c>
      <c r="J7" s="20" t="s">
        <v>103</v>
      </c>
      <c r="K7" s="20" t="s">
        <v>104</v>
      </c>
      <c r="L7" s="20">
        <v>0</v>
      </c>
      <c r="M7" s="20" t="s">
        <v>105</v>
      </c>
      <c r="N7" s="20" t="s">
        <v>91</v>
      </c>
      <c r="O7" s="20" t="s">
        <v>1038</v>
      </c>
      <c r="Q7" s="20" t="s">
        <v>91</v>
      </c>
      <c r="R7" s="20" t="s">
        <v>91</v>
      </c>
      <c r="S7" s="20" t="s">
        <v>91</v>
      </c>
      <c r="U7" s="20" t="s">
        <v>91</v>
      </c>
      <c r="V7" s="20" t="s">
        <v>87</v>
      </c>
      <c r="X7" s="20" t="s">
        <v>91</v>
      </c>
      <c r="Y7" s="20" t="s">
        <v>91</v>
      </c>
      <c r="Z7" s="20">
        <v>1</v>
      </c>
      <c r="AB7" s="20" t="s">
        <v>91</v>
      </c>
      <c r="AD7" s="20" t="s">
        <v>91</v>
      </c>
      <c r="AE7" s="20" t="s">
        <v>91</v>
      </c>
      <c r="AF7" s="20">
        <v>2</v>
      </c>
      <c r="AG7" s="20">
        <v>0</v>
      </c>
      <c r="AH7" s="20">
        <v>1</v>
      </c>
      <c r="AI7" s="7"/>
      <c r="AM7" s="4" t="s">
        <v>91</v>
      </c>
      <c r="AP7" s="4" t="s">
        <v>91</v>
      </c>
      <c r="AQ7" s="20">
        <v>0</v>
      </c>
      <c r="AR7" s="4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 t="s">
        <v>91</v>
      </c>
      <c r="AY7" s="20">
        <v>0</v>
      </c>
      <c r="AZ7" s="20">
        <v>0</v>
      </c>
      <c r="BA7" s="20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5">
        <v>0</v>
      </c>
      <c r="BL7" s="4">
        <v>0</v>
      </c>
      <c r="BM7" s="20">
        <v>220</v>
      </c>
      <c r="BN7" s="20">
        <v>0</v>
      </c>
      <c r="BO7" s="20">
        <v>0</v>
      </c>
      <c r="BP7" s="20">
        <v>0</v>
      </c>
      <c r="BQ7" s="20">
        <v>0</v>
      </c>
      <c r="BR7" s="20">
        <v>0</v>
      </c>
      <c r="BS7" s="20">
        <v>220</v>
      </c>
      <c r="BT7" s="20">
        <v>934062.39999999991</v>
      </c>
      <c r="BU7" s="20">
        <v>8580000</v>
      </c>
      <c r="BV7" s="20">
        <v>8.3506198301098511</v>
      </c>
    </row>
    <row r="8" spans="1:74">
      <c r="A8" s="10">
        <f t="shared" si="1"/>
        <v>0</v>
      </c>
      <c r="B8" s="10">
        <f t="shared" si="2"/>
        <v>0.33333333333333331</v>
      </c>
      <c r="C8" s="12">
        <f t="shared" si="3"/>
        <v>4</v>
      </c>
      <c r="D8" s="12">
        <f t="shared" si="5"/>
        <v>8</v>
      </c>
      <c r="E8" s="20" t="s">
        <v>114</v>
      </c>
      <c r="F8" s="20" t="s">
        <v>1019</v>
      </c>
      <c r="G8" s="20" t="s">
        <v>1039</v>
      </c>
      <c r="H8" s="20" t="s">
        <v>1040</v>
      </c>
      <c r="I8" s="20">
        <v>1</v>
      </c>
      <c r="J8" s="20" t="s">
        <v>1041</v>
      </c>
      <c r="K8" s="20" t="s">
        <v>1042</v>
      </c>
      <c r="L8" s="20" t="s">
        <v>1043</v>
      </c>
      <c r="M8" s="20" t="s">
        <v>1019</v>
      </c>
      <c r="N8" s="20" t="s">
        <v>1025</v>
      </c>
      <c r="P8" s="20" t="s">
        <v>1019</v>
      </c>
      <c r="Q8" s="20" t="s">
        <v>1026</v>
      </c>
      <c r="R8" s="20" t="s">
        <v>84</v>
      </c>
      <c r="S8" s="20" t="s">
        <v>123</v>
      </c>
      <c r="T8" s="20" t="s">
        <v>124</v>
      </c>
      <c r="U8" s="20" t="s">
        <v>125</v>
      </c>
      <c r="V8" s="20" t="s">
        <v>87</v>
      </c>
      <c r="W8" s="20">
        <v>505</v>
      </c>
      <c r="X8" s="20">
        <v>505</v>
      </c>
      <c r="Y8" s="20" t="s">
        <v>1044</v>
      </c>
      <c r="Z8" s="20">
        <v>0.33333333333333331</v>
      </c>
      <c r="AA8" s="20" t="s">
        <v>1045</v>
      </c>
      <c r="AB8" s="20" t="s">
        <v>139</v>
      </c>
      <c r="AC8" s="20" t="s">
        <v>140</v>
      </c>
      <c r="AD8" s="20" t="s">
        <v>1046</v>
      </c>
      <c r="AE8" s="20" t="s">
        <v>91</v>
      </c>
      <c r="AF8" s="20">
        <v>0.33333333333333331</v>
      </c>
      <c r="AG8" s="20" t="s">
        <v>2438</v>
      </c>
      <c r="AH8" s="20">
        <v>1</v>
      </c>
      <c r="AI8" s="7" t="s">
        <v>92</v>
      </c>
      <c r="AJ8" s="20">
        <v>350</v>
      </c>
      <c r="AK8" s="4" t="s">
        <v>1047</v>
      </c>
      <c r="AL8" s="4">
        <v>3</v>
      </c>
      <c r="AM8" s="4" t="s">
        <v>438</v>
      </c>
      <c r="AN8" s="4" t="s">
        <v>95</v>
      </c>
      <c r="AO8" s="4" t="s">
        <v>96</v>
      </c>
      <c r="AP8" s="4">
        <v>1</v>
      </c>
      <c r="AQ8" s="20">
        <v>39000</v>
      </c>
      <c r="AR8" s="4">
        <v>41780</v>
      </c>
      <c r="AS8" s="20">
        <v>3939.3939393939386</v>
      </c>
      <c r="AT8" s="20">
        <v>5443.64</v>
      </c>
      <c r="AU8" s="20">
        <v>1504.2460606060617</v>
      </c>
      <c r="AV8" s="20">
        <v>933</v>
      </c>
      <c r="AW8" s="20">
        <v>0</v>
      </c>
      <c r="AX8" s="20">
        <v>20</v>
      </c>
      <c r="AY8" s="20">
        <v>953</v>
      </c>
      <c r="AZ8" s="20">
        <v>3.6</v>
      </c>
      <c r="BA8" s="20">
        <v>0</v>
      </c>
      <c r="BB8" s="6">
        <v>41733</v>
      </c>
      <c r="BC8" s="6">
        <v>0</v>
      </c>
      <c r="BD8" s="6">
        <v>41823</v>
      </c>
      <c r="BE8" s="6">
        <v>0</v>
      </c>
      <c r="BF8" s="6">
        <v>41855</v>
      </c>
      <c r="BG8" s="6">
        <v>0</v>
      </c>
      <c r="BH8" s="6">
        <v>0</v>
      </c>
      <c r="BI8" s="6">
        <v>0</v>
      </c>
      <c r="BJ8" s="6">
        <v>0</v>
      </c>
      <c r="BK8" s="5" t="s">
        <v>401</v>
      </c>
      <c r="BL8" s="4">
        <v>0</v>
      </c>
      <c r="BM8" s="20">
        <v>350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350</v>
      </c>
      <c r="BT8" s="20">
        <v>1905274</v>
      </c>
      <c r="BU8" s="20">
        <v>13650000</v>
      </c>
      <c r="BV8" s="20">
        <v>6.5130217013883085</v>
      </c>
    </row>
    <row r="9" spans="1:74">
      <c r="A9" s="10">
        <f t="shared" si="1"/>
        <v>0</v>
      </c>
      <c r="B9" s="10">
        <f t="shared" si="2"/>
        <v>0.33333333333333331</v>
      </c>
      <c r="C9" s="12">
        <f t="shared" si="3"/>
        <v>4</v>
      </c>
      <c r="D9" s="12">
        <f t="shared" si="5"/>
        <v>8</v>
      </c>
      <c r="E9" s="20" t="s">
        <v>114</v>
      </c>
      <c r="F9" s="20" t="s">
        <v>1019</v>
      </c>
      <c r="G9" s="20" t="s">
        <v>1039</v>
      </c>
      <c r="H9" s="20" t="s">
        <v>1040</v>
      </c>
      <c r="I9" s="20">
        <v>1</v>
      </c>
      <c r="J9" s="20" t="s">
        <v>1041</v>
      </c>
      <c r="K9" s="20" t="s">
        <v>1048</v>
      </c>
      <c r="L9" s="20" t="s">
        <v>1043</v>
      </c>
      <c r="M9" s="20" t="s">
        <v>1019</v>
      </c>
      <c r="N9" s="20" t="s">
        <v>1025</v>
      </c>
      <c r="P9" s="20" t="s">
        <v>1019</v>
      </c>
      <c r="Q9" s="20" t="s">
        <v>1026</v>
      </c>
      <c r="R9" s="20" t="s">
        <v>84</v>
      </c>
      <c r="S9" s="20" t="s">
        <v>123</v>
      </c>
      <c r="T9" s="20" t="s">
        <v>124</v>
      </c>
      <c r="U9" s="20" t="s">
        <v>125</v>
      </c>
      <c r="V9" s="20" t="s">
        <v>87</v>
      </c>
      <c r="W9" s="20">
        <v>505</v>
      </c>
      <c r="X9" s="20">
        <v>505</v>
      </c>
      <c r="Y9" s="20" t="s">
        <v>1044</v>
      </c>
      <c r="Z9" s="20">
        <v>0.33333333333333331</v>
      </c>
      <c r="AA9" s="20" t="s">
        <v>1045</v>
      </c>
      <c r="AB9" s="20" t="s">
        <v>139</v>
      </c>
      <c r="AC9" s="20" t="s">
        <v>140</v>
      </c>
      <c r="AD9" s="20" t="s">
        <v>1046</v>
      </c>
      <c r="AE9" s="20" t="s">
        <v>91</v>
      </c>
      <c r="AF9" s="20">
        <v>0.33333333333333331</v>
      </c>
      <c r="AG9" s="20" t="s">
        <v>2438</v>
      </c>
      <c r="AH9" s="20">
        <v>1</v>
      </c>
      <c r="AI9" s="7" t="s">
        <v>97</v>
      </c>
      <c r="AJ9" s="20">
        <v>80</v>
      </c>
      <c r="AK9" s="4" t="s">
        <v>1047</v>
      </c>
      <c r="AL9" s="4">
        <v>3</v>
      </c>
      <c r="AM9" s="4" t="s">
        <v>438</v>
      </c>
      <c r="AN9" s="4" t="s">
        <v>95</v>
      </c>
      <c r="AO9" s="4" t="s">
        <v>96</v>
      </c>
      <c r="AP9" s="4">
        <v>1</v>
      </c>
      <c r="AQ9" s="20">
        <v>39000</v>
      </c>
      <c r="AR9" s="4">
        <v>41780</v>
      </c>
      <c r="AS9" s="20">
        <v>3939.3939393939386</v>
      </c>
      <c r="AT9" s="20">
        <v>5893.64</v>
      </c>
      <c r="AU9" s="20">
        <v>1954.2460606060617</v>
      </c>
      <c r="AV9" s="20">
        <v>933</v>
      </c>
      <c r="AW9" s="20">
        <v>450</v>
      </c>
      <c r="AX9" s="20">
        <v>20</v>
      </c>
      <c r="AY9" s="20">
        <v>1403</v>
      </c>
      <c r="AZ9" s="20">
        <v>3.6</v>
      </c>
      <c r="BA9" s="20">
        <v>0</v>
      </c>
      <c r="BB9" s="6">
        <v>41733</v>
      </c>
      <c r="BC9" s="6">
        <v>0</v>
      </c>
      <c r="BD9" s="6">
        <v>41823</v>
      </c>
      <c r="BE9" s="6">
        <v>0</v>
      </c>
      <c r="BF9" s="6">
        <v>41855</v>
      </c>
      <c r="BG9" s="6">
        <v>0</v>
      </c>
      <c r="BH9" s="6">
        <v>0</v>
      </c>
      <c r="BI9" s="6">
        <v>0</v>
      </c>
      <c r="BJ9" s="6">
        <v>0</v>
      </c>
      <c r="BK9" s="5" t="s">
        <v>401</v>
      </c>
      <c r="BL9" s="4">
        <v>0</v>
      </c>
      <c r="BM9" s="20">
        <v>80</v>
      </c>
      <c r="BN9" s="20">
        <v>0</v>
      </c>
      <c r="BO9" s="20">
        <v>0</v>
      </c>
      <c r="BP9" s="20">
        <v>0</v>
      </c>
      <c r="BQ9" s="20">
        <v>0</v>
      </c>
      <c r="BR9" s="20">
        <v>0</v>
      </c>
      <c r="BS9" s="20">
        <v>80</v>
      </c>
      <c r="BT9" s="20">
        <v>471491.2</v>
      </c>
      <c r="BU9" s="20">
        <v>3120000</v>
      </c>
      <c r="BV9" s="20">
        <v>6.0157297450379481</v>
      </c>
    </row>
    <row r="10" spans="1:74">
      <c r="A10" s="10">
        <f t="shared" si="1"/>
        <v>0</v>
      </c>
      <c r="B10" s="10">
        <f t="shared" si="2"/>
        <v>0.33333333333333331</v>
      </c>
      <c r="C10" s="12">
        <f t="shared" si="3"/>
        <v>4</v>
      </c>
      <c r="D10" s="12">
        <f t="shared" si="5"/>
        <v>8</v>
      </c>
      <c r="E10" s="20" t="s">
        <v>114</v>
      </c>
      <c r="F10" s="20" t="s">
        <v>1019</v>
      </c>
      <c r="G10" s="20" t="s">
        <v>1039</v>
      </c>
      <c r="H10" s="20" t="s">
        <v>1040</v>
      </c>
      <c r="I10" s="20">
        <v>1</v>
      </c>
      <c r="J10" s="20" t="s">
        <v>1041</v>
      </c>
      <c r="K10" s="20" t="s">
        <v>1049</v>
      </c>
      <c r="L10" s="20" t="s">
        <v>1043</v>
      </c>
      <c r="M10" s="20" t="s">
        <v>1019</v>
      </c>
      <c r="N10" s="20" t="s">
        <v>1025</v>
      </c>
      <c r="P10" s="20" t="s">
        <v>1019</v>
      </c>
      <c r="Q10" s="20" t="s">
        <v>1026</v>
      </c>
      <c r="R10" s="20" t="s">
        <v>84</v>
      </c>
      <c r="S10" s="20" t="s">
        <v>123</v>
      </c>
      <c r="T10" s="20" t="s">
        <v>124</v>
      </c>
      <c r="U10" s="20" t="s">
        <v>125</v>
      </c>
      <c r="V10" s="20" t="s">
        <v>87</v>
      </c>
      <c r="W10" s="20">
        <v>505</v>
      </c>
      <c r="X10" s="20">
        <v>505</v>
      </c>
      <c r="Y10" s="20" t="s">
        <v>1044</v>
      </c>
      <c r="Z10" s="20">
        <v>0.33333333333333331</v>
      </c>
      <c r="AA10" s="20" t="s">
        <v>1045</v>
      </c>
      <c r="AB10" s="20" t="s">
        <v>139</v>
      </c>
      <c r="AC10" s="20" t="s">
        <v>140</v>
      </c>
      <c r="AD10" s="20" t="s">
        <v>1046</v>
      </c>
      <c r="AE10" s="20" t="s">
        <v>91</v>
      </c>
      <c r="AF10" s="20">
        <v>0.33333333333333331</v>
      </c>
      <c r="AG10" s="20" t="s">
        <v>2438</v>
      </c>
      <c r="AH10" s="20">
        <v>1</v>
      </c>
      <c r="AI10" s="7" t="s">
        <v>98</v>
      </c>
      <c r="AJ10" s="20">
        <v>40</v>
      </c>
      <c r="AK10" s="4" t="s">
        <v>1047</v>
      </c>
      <c r="AL10" s="4">
        <v>3</v>
      </c>
      <c r="AM10" s="4" t="s">
        <v>438</v>
      </c>
      <c r="AN10" s="4" t="s">
        <v>95</v>
      </c>
      <c r="AO10" s="4" t="s">
        <v>96</v>
      </c>
      <c r="AP10" s="4">
        <v>1</v>
      </c>
      <c r="AQ10" s="20">
        <v>39000</v>
      </c>
      <c r="AR10" s="4">
        <v>41780</v>
      </c>
      <c r="AS10" s="20">
        <v>3939.3939393939386</v>
      </c>
      <c r="AT10" s="20">
        <v>5893.64</v>
      </c>
      <c r="AU10" s="20">
        <v>1954.2460606060617</v>
      </c>
      <c r="AV10" s="20">
        <v>933</v>
      </c>
      <c r="AW10" s="20">
        <v>450</v>
      </c>
      <c r="AX10" s="20">
        <v>20</v>
      </c>
      <c r="AY10" s="20">
        <v>1403</v>
      </c>
      <c r="AZ10" s="20">
        <v>3.6</v>
      </c>
      <c r="BA10" s="20">
        <v>0</v>
      </c>
      <c r="BB10" s="6">
        <v>41733</v>
      </c>
      <c r="BC10" s="6">
        <v>0</v>
      </c>
      <c r="BD10" s="6">
        <v>41823</v>
      </c>
      <c r="BE10" s="6">
        <v>0</v>
      </c>
      <c r="BF10" s="6">
        <v>41855</v>
      </c>
      <c r="BG10" s="6">
        <v>0</v>
      </c>
      <c r="BH10" s="6">
        <v>0</v>
      </c>
      <c r="BI10" s="6">
        <v>0</v>
      </c>
      <c r="BJ10" s="6">
        <v>0</v>
      </c>
      <c r="BK10" s="5" t="s">
        <v>401</v>
      </c>
      <c r="BL10" s="4">
        <v>0</v>
      </c>
      <c r="BM10" s="20">
        <v>40</v>
      </c>
      <c r="BN10" s="20">
        <v>0</v>
      </c>
      <c r="BO10" s="20">
        <v>0</v>
      </c>
      <c r="BP10" s="20">
        <v>0</v>
      </c>
      <c r="BQ10" s="20">
        <v>0</v>
      </c>
      <c r="BR10" s="20">
        <v>0</v>
      </c>
      <c r="BS10" s="20">
        <v>40</v>
      </c>
      <c r="BT10" s="20">
        <v>235745.6</v>
      </c>
      <c r="BU10" s="20">
        <v>1560000</v>
      </c>
      <c r="BV10" s="20">
        <v>6.0157297450379481</v>
      </c>
    </row>
    <row r="11" spans="1:74">
      <c r="A11" s="10">
        <f t="shared" si="1"/>
        <v>0</v>
      </c>
      <c r="B11" s="10">
        <f t="shared" si="2"/>
        <v>0.33333333333333331</v>
      </c>
      <c r="C11" s="12">
        <f t="shared" si="3"/>
        <v>4</v>
      </c>
      <c r="D11" s="12">
        <f t="shared" si="5"/>
        <v>8</v>
      </c>
      <c r="E11" s="20" t="s">
        <v>114</v>
      </c>
      <c r="F11" s="20" t="s">
        <v>1019</v>
      </c>
      <c r="G11" s="20" t="s">
        <v>1039</v>
      </c>
      <c r="H11" s="20" t="s">
        <v>1050</v>
      </c>
      <c r="I11" s="20">
        <v>2</v>
      </c>
      <c r="J11" s="20" t="s">
        <v>1051</v>
      </c>
      <c r="K11" s="20" t="s">
        <v>1052</v>
      </c>
      <c r="L11" s="20" t="s">
        <v>1053</v>
      </c>
      <c r="M11" s="20" t="s">
        <v>1019</v>
      </c>
      <c r="N11" s="20" t="s">
        <v>1025</v>
      </c>
      <c r="P11" s="20" t="s">
        <v>1019</v>
      </c>
      <c r="Q11" s="20" t="s">
        <v>1026</v>
      </c>
      <c r="R11" s="20" t="s">
        <v>84</v>
      </c>
      <c r="S11" s="20" t="s">
        <v>123</v>
      </c>
      <c r="T11" s="20" t="s">
        <v>124</v>
      </c>
      <c r="U11" s="20" t="s">
        <v>125</v>
      </c>
      <c r="V11" s="20" t="s">
        <v>87</v>
      </c>
      <c r="W11" s="20">
        <v>506</v>
      </c>
      <c r="X11" s="20">
        <v>506</v>
      </c>
      <c r="Y11" s="20" t="s">
        <v>1054</v>
      </c>
      <c r="Z11" s="20">
        <v>0.33333333333333331</v>
      </c>
      <c r="AA11" s="20" t="s">
        <v>1055</v>
      </c>
      <c r="AB11" s="20" t="s">
        <v>248</v>
      </c>
      <c r="AC11" s="20" t="s">
        <v>249</v>
      </c>
      <c r="AD11" s="20" t="s">
        <v>1056</v>
      </c>
      <c r="AE11" s="20" t="s">
        <v>91</v>
      </c>
      <c r="AF11" s="20">
        <v>0.33333333333333331</v>
      </c>
      <c r="AG11" s="20" t="s">
        <v>2439</v>
      </c>
      <c r="AH11" s="20">
        <v>1</v>
      </c>
      <c r="AI11" s="7" t="s">
        <v>92</v>
      </c>
      <c r="AJ11" s="20">
        <v>350</v>
      </c>
      <c r="AK11" s="4" t="s">
        <v>1047</v>
      </c>
      <c r="AL11" s="4">
        <v>3</v>
      </c>
      <c r="AM11" s="4" t="s">
        <v>438</v>
      </c>
      <c r="AN11" s="4" t="s">
        <v>95</v>
      </c>
      <c r="AO11" s="4" t="s">
        <v>96</v>
      </c>
      <c r="AP11" s="4">
        <v>1</v>
      </c>
      <c r="AQ11" s="20">
        <v>39000</v>
      </c>
      <c r="AR11" s="4">
        <v>41780</v>
      </c>
      <c r="AS11" s="20">
        <v>3939.3939393939386</v>
      </c>
      <c r="AT11" s="20">
        <v>5368.34</v>
      </c>
      <c r="AU11" s="20">
        <v>1428.9460606060616</v>
      </c>
      <c r="AV11" s="20">
        <v>234</v>
      </c>
      <c r="AW11" s="20">
        <v>0</v>
      </c>
      <c r="AX11" s="20">
        <v>20</v>
      </c>
      <c r="AY11" s="20">
        <v>254</v>
      </c>
      <c r="AZ11" s="20">
        <v>4.0999999999999996</v>
      </c>
      <c r="BA11" s="20">
        <v>0</v>
      </c>
      <c r="BB11" s="6">
        <v>41733</v>
      </c>
      <c r="BC11" s="6">
        <v>0</v>
      </c>
      <c r="BD11" s="6">
        <v>41823</v>
      </c>
      <c r="BE11" s="6">
        <v>0</v>
      </c>
      <c r="BF11" s="6">
        <v>41863</v>
      </c>
      <c r="BG11" s="6">
        <v>0</v>
      </c>
      <c r="BH11" s="6">
        <v>0</v>
      </c>
      <c r="BI11" s="6">
        <v>0</v>
      </c>
      <c r="BJ11" s="6">
        <v>0</v>
      </c>
      <c r="BK11" s="5" t="s">
        <v>401</v>
      </c>
      <c r="BL11" s="4">
        <v>0</v>
      </c>
      <c r="BM11" s="20">
        <v>350</v>
      </c>
      <c r="BN11" s="20">
        <v>0</v>
      </c>
      <c r="BO11" s="20">
        <v>0</v>
      </c>
      <c r="BP11" s="20">
        <v>0</v>
      </c>
      <c r="BQ11" s="20">
        <v>0</v>
      </c>
      <c r="BR11" s="20">
        <v>0</v>
      </c>
      <c r="BS11" s="20">
        <v>350</v>
      </c>
      <c r="BT11" s="20">
        <v>1878919</v>
      </c>
      <c r="BU11" s="20">
        <v>13650000</v>
      </c>
      <c r="BV11" s="20">
        <v>6.6043777880211483</v>
      </c>
    </row>
    <row r="12" spans="1:74">
      <c r="A12" s="10">
        <f t="shared" si="1"/>
        <v>0</v>
      </c>
      <c r="B12" s="10">
        <f t="shared" si="2"/>
        <v>0.33333333333333331</v>
      </c>
      <c r="C12" s="12">
        <f t="shared" si="3"/>
        <v>4</v>
      </c>
      <c r="D12" s="12">
        <f t="shared" si="5"/>
        <v>8</v>
      </c>
      <c r="E12" s="20" t="s">
        <v>114</v>
      </c>
      <c r="F12" s="20" t="s">
        <v>1019</v>
      </c>
      <c r="G12" s="20" t="s">
        <v>1039</v>
      </c>
      <c r="H12" s="20" t="s">
        <v>1050</v>
      </c>
      <c r="I12" s="20">
        <v>2</v>
      </c>
      <c r="J12" s="20" t="s">
        <v>1051</v>
      </c>
      <c r="K12" s="20" t="s">
        <v>1057</v>
      </c>
      <c r="L12" s="20" t="s">
        <v>1053</v>
      </c>
      <c r="M12" s="20" t="s">
        <v>1019</v>
      </c>
      <c r="N12" s="20" t="s">
        <v>1025</v>
      </c>
      <c r="P12" s="20" t="s">
        <v>1019</v>
      </c>
      <c r="Q12" s="20" t="s">
        <v>1026</v>
      </c>
      <c r="R12" s="20" t="s">
        <v>84</v>
      </c>
      <c r="S12" s="20" t="s">
        <v>123</v>
      </c>
      <c r="T12" s="20" t="s">
        <v>124</v>
      </c>
      <c r="U12" s="20" t="s">
        <v>125</v>
      </c>
      <c r="V12" s="20" t="s">
        <v>87</v>
      </c>
      <c r="W12" s="20">
        <v>506</v>
      </c>
      <c r="X12" s="20">
        <v>506</v>
      </c>
      <c r="Y12" s="20" t="s">
        <v>1054</v>
      </c>
      <c r="Z12" s="20">
        <v>0.33333333333333331</v>
      </c>
      <c r="AA12" s="20" t="s">
        <v>1055</v>
      </c>
      <c r="AB12" s="20" t="s">
        <v>248</v>
      </c>
      <c r="AC12" s="20" t="s">
        <v>249</v>
      </c>
      <c r="AD12" s="20" t="s">
        <v>1056</v>
      </c>
      <c r="AE12" s="20" t="s">
        <v>91</v>
      </c>
      <c r="AF12" s="20">
        <v>0.33333333333333331</v>
      </c>
      <c r="AG12" s="20" t="s">
        <v>2439</v>
      </c>
      <c r="AH12" s="20">
        <v>1</v>
      </c>
      <c r="AI12" s="7" t="s">
        <v>97</v>
      </c>
      <c r="AJ12" s="20">
        <v>80</v>
      </c>
      <c r="AK12" s="4" t="s">
        <v>1047</v>
      </c>
      <c r="AL12" s="4">
        <v>3</v>
      </c>
      <c r="AM12" s="4" t="s">
        <v>438</v>
      </c>
      <c r="AN12" s="4" t="s">
        <v>95</v>
      </c>
      <c r="AO12" s="4" t="s">
        <v>96</v>
      </c>
      <c r="AP12" s="4">
        <v>1</v>
      </c>
      <c r="AQ12" s="20">
        <v>39000</v>
      </c>
      <c r="AR12" s="4">
        <v>41780</v>
      </c>
      <c r="AS12" s="20">
        <v>3939.3939393939386</v>
      </c>
      <c r="AT12" s="20">
        <v>5818.34</v>
      </c>
      <c r="AU12" s="20">
        <v>1878.9460606060616</v>
      </c>
      <c r="AV12" s="20">
        <v>234</v>
      </c>
      <c r="AW12" s="20">
        <v>450</v>
      </c>
      <c r="AX12" s="20">
        <v>20</v>
      </c>
      <c r="AY12" s="20">
        <v>704</v>
      </c>
      <c r="AZ12" s="20">
        <v>4.0999999999999996</v>
      </c>
      <c r="BA12" s="20">
        <v>0</v>
      </c>
      <c r="BB12" s="6">
        <v>41733</v>
      </c>
      <c r="BC12" s="6">
        <v>0</v>
      </c>
      <c r="BD12" s="6">
        <v>41823</v>
      </c>
      <c r="BE12" s="6">
        <v>0</v>
      </c>
      <c r="BF12" s="6">
        <v>41863</v>
      </c>
      <c r="BG12" s="6">
        <v>0</v>
      </c>
      <c r="BH12" s="6">
        <v>0</v>
      </c>
      <c r="BI12" s="6">
        <v>0</v>
      </c>
      <c r="BJ12" s="6">
        <v>0</v>
      </c>
      <c r="BK12" s="5" t="s">
        <v>401</v>
      </c>
      <c r="BL12" s="4">
        <v>0</v>
      </c>
      <c r="BM12" s="20">
        <v>80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80</v>
      </c>
      <c r="BT12" s="20">
        <v>465467.2</v>
      </c>
      <c r="BU12" s="20">
        <v>3120000</v>
      </c>
      <c r="BV12" s="20">
        <v>6.0935843306760091</v>
      </c>
    </row>
    <row r="13" spans="1:74">
      <c r="A13" s="10">
        <f t="shared" si="1"/>
        <v>0</v>
      </c>
      <c r="B13" s="10">
        <f t="shared" si="2"/>
        <v>0.33333333333333331</v>
      </c>
      <c r="C13" s="12">
        <f t="shared" si="3"/>
        <v>4</v>
      </c>
      <c r="D13" s="12">
        <f t="shared" si="5"/>
        <v>8</v>
      </c>
      <c r="E13" s="20" t="s">
        <v>114</v>
      </c>
      <c r="F13" s="20" t="s">
        <v>1019</v>
      </c>
      <c r="G13" s="20" t="s">
        <v>1039</v>
      </c>
      <c r="H13" s="20" t="s">
        <v>1050</v>
      </c>
      <c r="I13" s="20">
        <v>2</v>
      </c>
      <c r="J13" s="20" t="s">
        <v>1051</v>
      </c>
      <c r="K13" s="20" t="s">
        <v>1058</v>
      </c>
      <c r="L13" s="20" t="s">
        <v>1053</v>
      </c>
      <c r="M13" s="20" t="s">
        <v>1019</v>
      </c>
      <c r="N13" s="20" t="s">
        <v>1025</v>
      </c>
      <c r="P13" s="20" t="s">
        <v>1019</v>
      </c>
      <c r="Q13" s="20" t="s">
        <v>1026</v>
      </c>
      <c r="R13" s="20" t="s">
        <v>84</v>
      </c>
      <c r="S13" s="20" t="s">
        <v>123</v>
      </c>
      <c r="T13" s="20" t="s">
        <v>124</v>
      </c>
      <c r="U13" s="20" t="s">
        <v>125</v>
      </c>
      <c r="V13" s="20" t="s">
        <v>87</v>
      </c>
      <c r="W13" s="20">
        <v>506</v>
      </c>
      <c r="X13" s="20">
        <v>506</v>
      </c>
      <c r="Y13" s="20" t="s">
        <v>1054</v>
      </c>
      <c r="Z13" s="20">
        <v>0.33333333333333331</v>
      </c>
      <c r="AA13" s="20" t="s">
        <v>1055</v>
      </c>
      <c r="AB13" s="20" t="s">
        <v>248</v>
      </c>
      <c r="AC13" s="20" t="s">
        <v>249</v>
      </c>
      <c r="AD13" s="20" t="s">
        <v>1056</v>
      </c>
      <c r="AE13" s="20" t="s">
        <v>91</v>
      </c>
      <c r="AF13" s="20">
        <v>0.33333333333333331</v>
      </c>
      <c r="AG13" s="20" t="s">
        <v>2439</v>
      </c>
      <c r="AH13" s="20">
        <v>1</v>
      </c>
      <c r="AI13" s="7" t="s">
        <v>98</v>
      </c>
      <c r="AJ13" s="20">
        <v>40</v>
      </c>
      <c r="AK13" s="4" t="s">
        <v>1047</v>
      </c>
      <c r="AL13" s="4">
        <v>3</v>
      </c>
      <c r="AM13" s="4" t="s">
        <v>438</v>
      </c>
      <c r="AN13" s="4" t="s">
        <v>95</v>
      </c>
      <c r="AO13" s="4" t="s">
        <v>96</v>
      </c>
      <c r="AP13" s="4">
        <v>1</v>
      </c>
      <c r="AQ13" s="20">
        <v>39000</v>
      </c>
      <c r="AR13" s="4">
        <v>41780</v>
      </c>
      <c r="AS13" s="20">
        <v>3939.3939393939386</v>
      </c>
      <c r="AT13" s="20">
        <v>5818.34</v>
      </c>
      <c r="AU13" s="20">
        <v>1878.9460606060616</v>
      </c>
      <c r="AV13" s="20">
        <v>234</v>
      </c>
      <c r="AW13" s="20">
        <v>450</v>
      </c>
      <c r="AX13" s="20">
        <v>20</v>
      </c>
      <c r="AY13" s="20">
        <v>704</v>
      </c>
      <c r="AZ13" s="20">
        <v>4.0999999999999996</v>
      </c>
      <c r="BA13" s="20">
        <v>0</v>
      </c>
      <c r="BB13" s="6">
        <v>41733</v>
      </c>
      <c r="BC13" s="6">
        <v>0</v>
      </c>
      <c r="BD13" s="6">
        <v>41823</v>
      </c>
      <c r="BE13" s="6">
        <v>0</v>
      </c>
      <c r="BF13" s="6">
        <v>41863</v>
      </c>
      <c r="BG13" s="6">
        <v>0</v>
      </c>
      <c r="BH13" s="6">
        <v>0</v>
      </c>
      <c r="BI13" s="6">
        <v>0</v>
      </c>
      <c r="BJ13" s="6">
        <v>0</v>
      </c>
      <c r="BK13" s="5" t="s">
        <v>401</v>
      </c>
      <c r="BL13" s="4">
        <v>0</v>
      </c>
      <c r="BM13" s="20">
        <v>36</v>
      </c>
      <c r="BN13" s="20">
        <v>0</v>
      </c>
      <c r="BO13" s="20">
        <v>0</v>
      </c>
      <c r="BP13" s="20">
        <v>0</v>
      </c>
      <c r="BQ13" s="20">
        <v>0</v>
      </c>
      <c r="BS13" s="20">
        <v>40</v>
      </c>
      <c r="BT13" s="20">
        <v>232733.6</v>
      </c>
      <c r="BU13" s="20">
        <v>1560000</v>
      </c>
      <c r="BV13" s="20">
        <v>6.0935843306760091</v>
      </c>
    </row>
    <row r="14" spans="1:74">
      <c r="A14" s="10">
        <f t="shared" si="1"/>
        <v>0</v>
      </c>
      <c r="B14" s="10">
        <f t="shared" si="2"/>
        <v>0.2</v>
      </c>
      <c r="C14" s="12">
        <f t="shared" si="3"/>
        <v>4</v>
      </c>
      <c r="D14" s="12">
        <f t="shared" si="5"/>
        <v>8</v>
      </c>
      <c r="E14" s="20" t="s">
        <v>114</v>
      </c>
      <c r="F14" s="20" t="s">
        <v>1019</v>
      </c>
      <c r="G14" s="20" t="s">
        <v>1039</v>
      </c>
      <c r="H14" s="20" t="s">
        <v>1059</v>
      </c>
      <c r="I14" s="20">
        <v>3</v>
      </c>
      <c r="J14" s="20" t="s">
        <v>1060</v>
      </c>
      <c r="K14" s="20" t="s">
        <v>1061</v>
      </c>
      <c r="L14" s="20" t="s">
        <v>1062</v>
      </c>
      <c r="M14" s="20" t="s">
        <v>1019</v>
      </c>
      <c r="N14" s="20" t="s">
        <v>1025</v>
      </c>
      <c r="P14" s="20" t="s">
        <v>1019</v>
      </c>
      <c r="Q14" s="20" t="s">
        <v>1026</v>
      </c>
      <c r="R14" s="20" t="s">
        <v>84</v>
      </c>
      <c r="S14" s="20" t="s">
        <v>123</v>
      </c>
      <c r="T14" s="20" t="s">
        <v>124</v>
      </c>
      <c r="U14" s="20" t="s">
        <v>125</v>
      </c>
      <c r="V14" s="20" t="s">
        <v>87</v>
      </c>
      <c r="W14" s="20">
        <v>507</v>
      </c>
      <c r="X14" s="20">
        <v>507</v>
      </c>
      <c r="Y14" s="20" t="s">
        <v>1063</v>
      </c>
      <c r="Z14" s="20">
        <v>0.2</v>
      </c>
      <c r="AA14" s="20" t="s">
        <v>1064</v>
      </c>
      <c r="AB14" s="20" t="s">
        <v>176</v>
      </c>
      <c r="AC14" s="20" t="s">
        <v>177</v>
      </c>
      <c r="AD14" s="20" t="s">
        <v>1065</v>
      </c>
      <c r="AE14" s="20" t="s">
        <v>91</v>
      </c>
      <c r="AF14" s="20">
        <v>0.33333333333333331</v>
      </c>
      <c r="AG14" s="20" t="s">
        <v>2440</v>
      </c>
      <c r="AH14" s="20">
        <v>1</v>
      </c>
      <c r="AI14" s="7" t="s">
        <v>92</v>
      </c>
      <c r="AJ14" s="20">
        <v>300</v>
      </c>
      <c r="AK14" s="4" t="s">
        <v>1047</v>
      </c>
      <c r="AL14" s="4">
        <v>3</v>
      </c>
      <c r="AM14" s="4" t="s">
        <v>438</v>
      </c>
      <c r="AN14" s="4" t="s">
        <v>95</v>
      </c>
      <c r="AO14" s="4" t="s">
        <v>96</v>
      </c>
      <c r="AP14" s="4">
        <v>1</v>
      </c>
      <c r="AQ14" s="20">
        <v>39000</v>
      </c>
      <c r="AR14" s="4">
        <v>41780</v>
      </c>
      <c r="AS14" s="20">
        <v>3939.3939393939386</v>
      </c>
      <c r="AT14" s="20">
        <v>4542.9000000000005</v>
      </c>
      <c r="AU14" s="20">
        <v>603.50606060606196</v>
      </c>
      <c r="AV14" s="20">
        <v>157</v>
      </c>
      <c r="AW14" s="20">
        <v>0</v>
      </c>
      <c r="AX14" s="20">
        <v>20</v>
      </c>
      <c r="AY14" s="20">
        <v>177</v>
      </c>
      <c r="AZ14" s="20">
        <v>3.5</v>
      </c>
      <c r="BA14" s="20">
        <v>0</v>
      </c>
      <c r="BB14" s="6">
        <v>41733</v>
      </c>
      <c r="BC14" s="6">
        <v>0</v>
      </c>
      <c r="BD14" s="6">
        <v>41823</v>
      </c>
      <c r="BE14" s="6">
        <v>0</v>
      </c>
      <c r="BF14" s="6">
        <v>41855</v>
      </c>
      <c r="BG14" s="6">
        <v>0</v>
      </c>
      <c r="BH14" s="6">
        <v>0</v>
      </c>
      <c r="BI14" s="6">
        <v>0</v>
      </c>
      <c r="BJ14" s="6">
        <v>0</v>
      </c>
      <c r="BK14" s="5" t="s">
        <v>401</v>
      </c>
      <c r="BL14" s="4">
        <v>0</v>
      </c>
      <c r="BM14" s="20">
        <v>300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300</v>
      </c>
      <c r="BT14" s="20">
        <v>1362870.0000000002</v>
      </c>
      <c r="BU14" s="20">
        <v>11700000</v>
      </c>
      <c r="BV14" s="20">
        <v>7.8043860649685097</v>
      </c>
    </row>
    <row r="15" spans="1:74">
      <c r="A15" s="10">
        <f t="shared" si="1"/>
        <v>0</v>
      </c>
      <c r="B15" s="10">
        <f t="shared" si="2"/>
        <v>0.2</v>
      </c>
      <c r="C15" s="12">
        <f t="shared" si="3"/>
        <v>4</v>
      </c>
      <c r="D15" s="12">
        <f t="shared" si="5"/>
        <v>8</v>
      </c>
      <c r="E15" s="20" t="s">
        <v>114</v>
      </c>
      <c r="F15" s="20" t="s">
        <v>1019</v>
      </c>
      <c r="G15" s="20" t="s">
        <v>1039</v>
      </c>
      <c r="H15" s="20" t="s">
        <v>1059</v>
      </c>
      <c r="I15" s="20">
        <v>3</v>
      </c>
      <c r="J15" s="20" t="s">
        <v>1060</v>
      </c>
      <c r="K15" s="20" t="s">
        <v>1066</v>
      </c>
      <c r="L15" s="20" t="s">
        <v>1062</v>
      </c>
      <c r="M15" s="20" t="s">
        <v>1019</v>
      </c>
      <c r="N15" s="20" t="s">
        <v>1025</v>
      </c>
      <c r="P15" s="20" t="s">
        <v>1019</v>
      </c>
      <c r="Q15" s="20" t="s">
        <v>1026</v>
      </c>
      <c r="R15" s="20" t="s">
        <v>84</v>
      </c>
      <c r="S15" s="20" t="s">
        <v>123</v>
      </c>
      <c r="T15" s="20" t="s">
        <v>124</v>
      </c>
      <c r="U15" s="20" t="s">
        <v>125</v>
      </c>
      <c r="V15" s="20" t="s">
        <v>87</v>
      </c>
      <c r="W15" s="20">
        <v>507</v>
      </c>
      <c r="X15" s="20">
        <v>507</v>
      </c>
      <c r="Y15" s="20" t="s">
        <v>1063</v>
      </c>
      <c r="Z15" s="20">
        <v>0.2</v>
      </c>
      <c r="AA15" s="20" t="s">
        <v>1064</v>
      </c>
      <c r="AB15" s="20" t="s">
        <v>176</v>
      </c>
      <c r="AC15" s="20" t="s">
        <v>177</v>
      </c>
      <c r="AD15" s="20" t="s">
        <v>1065</v>
      </c>
      <c r="AE15" s="20" t="s">
        <v>91</v>
      </c>
      <c r="AF15" s="20">
        <v>0.33333333333333331</v>
      </c>
      <c r="AG15" s="20" t="s">
        <v>2440</v>
      </c>
      <c r="AH15" s="20">
        <v>1</v>
      </c>
      <c r="AI15" s="7" t="s">
        <v>97</v>
      </c>
      <c r="AJ15" s="20">
        <v>250</v>
      </c>
      <c r="AK15" s="4" t="s">
        <v>1047</v>
      </c>
      <c r="AL15" s="4">
        <v>3</v>
      </c>
      <c r="AM15" s="4" t="s">
        <v>438</v>
      </c>
      <c r="AN15" s="4" t="s">
        <v>95</v>
      </c>
      <c r="AO15" s="4" t="s">
        <v>96</v>
      </c>
      <c r="AP15" s="4">
        <v>1</v>
      </c>
      <c r="AQ15" s="20">
        <v>39000</v>
      </c>
      <c r="AR15" s="4">
        <v>41780</v>
      </c>
      <c r="AS15" s="20">
        <v>3939.3939393939386</v>
      </c>
      <c r="AT15" s="20">
        <v>5142.9000000000005</v>
      </c>
      <c r="AU15" s="20">
        <v>1203.506060606062</v>
      </c>
      <c r="AV15" s="20">
        <v>157</v>
      </c>
      <c r="AW15" s="20">
        <v>600</v>
      </c>
      <c r="AX15" s="20">
        <v>20</v>
      </c>
      <c r="AY15" s="20">
        <v>777</v>
      </c>
      <c r="AZ15" s="20">
        <v>3.5</v>
      </c>
      <c r="BA15" s="20">
        <v>0</v>
      </c>
      <c r="BB15" s="6">
        <v>41733</v>
      </c>
      <c r="BC15" s="6">
        <v>0</v>
      </c>
      <c r="BD15" s="6">
        <v>41823</v>
      </c>
      <c r="BE15" s="6">
        <v>0</v>
      </c>
      <c r="BF15" s="6">
        <v>41855</v>
      </c>
      <c r="BG15" s="6">
        <v>0</v>
      </c>
      <c r="BH15" s="6">
        <v>0</v>
      </c>
      <c r="BI15" s="6">
        <v>0</v>
      </c>
      <c r="BJ15" s="6">
        <v>0</v>
      </c>
      <c r="BK15" s="5" t="s">
        <v>401</v>
      </c>
      <c r="BL15" s="4">
        <v>0</v>
      </c>
      <c r="BM15" s="20">
        <v>250</v>
      </c>
      <c r="BN15" s="20">
        <v>0</v>
      </c>
      <c r="BO15" s="20">
        <v>0</v>
      </c>
      <c r="BP15" s="20">
        <v>0</v>
      </c>
      <c r="BQ15" s="20">
        <v>0</v>
      </c>
      <c r="BR15" s="20">
        <v>0</v>
      </c>
      <c r="BS15" s="20">
        <v>250</v>
      </c>
      <c r="BT15" s="20">
        <v>1285725.0000000002</v>
      </c>
      <c r="BU15" s="20">
        <v>9750000</v>
      </c>
      <c r="BV15" s="20">
        <v>6.8938819449231836</v>
      </c>
    </row>
    <row r="16" spans="1:74">
      <c r="A16" s="10">
        <f t="shared" si="1"/>
        <v>0</v>
      </c>
      <c r="B16" s="10">
        <f t="shared" si="2"/>
        <v>0.2</v>
      </c>
      <c r="C16" s="12">
        <f t="shared" si="3"/>
        <v>4</v>
      </c>
      <c r="D16" s="12">
        <f t="shared" si="5"/>
        <v>8</v>
      </c>
      <c r="E16" s="20" t="s">
        <v>114</v>
      </c>
      <c r="F16" s="20" t="s">
        <v>1019</v>
      </c>
      <c r="G16" s="20" t="s">
        <v>1039</v>
      </c>
      <c r="H16" s="20" t="s">
        <v>1059</v>
      </c>
      <c r="I16" s="20">
        <v>3</v>
      </c>
      <c r="J16" s="20" t="s">
        <v>1060</v>
      </c>
      <c r="K16" s="20" t="s">
        <v>1067</v>
      </c>
      <c r="L16" s="20" t="s">
        <v>1062</v>
      </c>
      <c r="M16" s="20" t="s">
        <v>1019</v>
      </c>
      <c r="N16" s="20" t="s">
        <v>1025</v>
      </c>
      <c r="P16" s="20" t="s">
        <v>1019</v>
      </c>
      <c r="Q16" s="20" t="s">
        <v>1026</v>
      </c>
      <c r="R16" s="20" t="s">
        <v>84</v>
      </c>
      <c r="S16" s="20" t="s">
        <v>123</v>
      </c>
      <c r="T16" s="20" t="s">
        <v>124</v>
      </c>
      <c r="U16" s="20" t="s">
        <v>125</v>
      </c>
      <c r="V16" s="20" t="s">
        <v>87</v>
      </c>
      <c r="W16" s="20">
        <v>507</v>
      </c>
      <c r="X16" s="20">
        <v>507</v>
      </c>
      <c r="Y16" s="20" t="s">
        <v>1063</v>
      </c>
      <c r="Z16" s="20">
        <v>0.2</v>
      </c>
      <c r="AA16" s="20" t="s">
        <v>1064</v>
      </c>
      <c r="AB16" s="20" t="s">
        <v>176</v>
      </c>
      <c r="AC16" s="20" t="s">
        <v>177</v>
      </c>
      <c r="AD16" s="20" t="s">
        <v>1065</v>
      </c>
      <c r="AE16" s="20" t="s">
        <v>91</v>
      </c>
      <c r="AF16" s="20">
        <v>0.33333333333333331</v>
      </c>
      <c r="AG16" s="20" t="s">
        <v>2440</v>
      </c>
      <c r="AH16" s="20">
        <v>1</v>
      </c>
      <c r="AI16" s="7" t="s">
        <v>98</v>
      </c>
      <c r="AJ16" s="20">
        <v>150</v>
      </c>
      <c r="AK16" s="4" t="s">
        <v>1047</v>
      </c>
      <c r="AL16" s="4">
        <v>3</v>
      </c>
      <c r="AM16" s="4" t="s">
        <v>438</v>
      </c>
      <c r="AN16" s="4" t="s">
        <v>95</v>
      </c>
      <c r="AO16" s="4" t="s">
        <v>96</v>
      </c>
      <c r="AP16" s="4">
        <v>1</v>
      </c>
      <c r="AQ16" s="20">
        <v>39000</v>
      </c>
      <c r="AR16" s="4">
        <v>41780</v>
      </c>
      <c r="AS16" s="20">
        <v>3939.3939393939386</v>
      </c>
      <c r="AT16" s="20">
        <v>5142.9000000000005</v>
      </c>
      <c r="AU16" s="20">
        <v>1203.506060606062</v>
      </c>
      <c r="AV16" s="20">
        <v>157</v>
      </c>
      <c r="AW16" s="20">
        <v>600</v>
      </c>
      <c r="AX16" s="20">
        <v>20</v>
      </c>
      <c r="AY16" s="20">
        <v>777</v>
      </c>
      <c r="AZ16" s="20">
        <v>3.5</v>
      </c>
      <c r="BA16" s="20">
        <v>0</v>
      </c>
      <c r="BB16" s="6">
        <v>41733</v>
      </c>
      <c r="BC16" s="6">
        <v>0</v>
      </c>
      <c r="BD16" s="6">
        <v>41823</v>
      </c>
      <c r="BE16" s="6">
        <v>0</v>
      </c>
      <c r="BF16" s="6">
        <v>41855</v>
      </c>
      <c r="BG16" s="6">
        <v>0</v>
      </c>
      <c r="BH16" s="6">
        <v>0</v>
      </c>
      <c r="BI16" s="6">
        <v>0</v>
      </c>
      <c r="BJ16" s="6">
        <v>0</v>
      </c>
      <c r="BK16" s="5" t="s">
        <v>401</v>
      </c>
      <c r="BL16" s="4">
        <v>0</v>
      </c>
      <c r="BM16" s="20">
        <v>150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150</v>
      </c>
      <c r="BT16" s="20">
        <v>771435.00000000012</v>
      </c>
      <c r="BU16" s="20">
        <v>5850000</v>
      </c>
      <c r="BV16" s="20">
        <v>6.8938819449231845</v>
      </c>
    </row>
    <row r="17" spans="1:74">
      <c r="A17" s="10">
        <f t="shared" si="1"/>
        <v>0</v>
      </c>
      <c r="B17" s="10">
        <f t="shared" si="2"/>
        <v>0.2</v>
      </c>
      <c r="C17" s="12">
        <f t="shared" si="3"/>
        <v>4</v>
      </c>
      <c r="D17" s="12">
        <f t="shared" si="5"/>
        <v>8</v>
      </c>
      <c r="E17" s="20" t="s">
        <v>114</v>
      </c>
      <c r="F17" s="20" t="s">
        <v>1019</v>
      </c>
      <c r="G17" s="20" t="s">
        <v>1039</v>
      </c>
      <c r="H17" s="20" t="s">
        <v>1068</v>
      </c>
      <c r="I17" s="20">
        <v>4</v>
      </c>
      <c r="J17" s="20" t="s">
        <v>1069</v>
      </c>
      <c r="K17" s="20" t="s">
        <v>1070</v>
      </c>
      <c r="L17" s="20" t="s">
        <v>1062</v>
      </c>
      <c r="M17" s="20" t="s">
        <v>1019</v>
      </c>
      <c r="N17" s="20" t="s">
        <v>1025</v>
      </c>
      <c r="P17" s="20" t="s">
        <v>1019</v>
      </c>
      <c r="Q17" s="20" t="s">
        <v>1026</v>
      </c>
      <c r="R17" s="20" t="s">
        <v>84</v>
      </c>
      <c r="S17" s="20" t="s">
        <v>123</v>
      </c>
      <c r="T17" s="20" t="s">
        <v>124</v>
      </c>
      <c r="U17" s="20" t="s">
        <v>125</v>
      </c>
      <c r="V17" s="20" t="s">
        <v>87</v>
      </c>
      <c r="W17" s="20">
        <v>507</v>
      </c>
      <c r="X17" s="20">
        <v>507</v>
      </c>
      <c r="Y17" s="20" t="s">
        <v>1063</v>
      </c>
      <c r="Z17" s="20">
        <v>0.2</v>
      </c>
      <c r="AA17" s="20" t="s">
        <v>1071</v>
      </c>
      <c r="AB17" s="20" t="s">
        <v>248</v>
      </c>
      <c r="AC17" s="20" t="s">
        <v>249</v>
      </c>
      <c r="AD17" s="20" t="s">
        <v>1072</v>
      </c>
      <c r="AE17" s="20" t="s">
        <v>91</v>
      </c>
      <c r="AF17" s="20">
        <v>0.5</v>
      </c>
      <c r="AG17" s="20" t="s">
        <v>2439</v>
      </c>
      <c r="AH17" s="20">
        <v>1</v>
      </c>
      <c r="AI17" s="7" t="s">
        <v>97</v>
      </c>
      <c r="AJ17" s="20">
        <v>250</v>
      </c>
      <c r="AK17" s="4" t="s">
        <v>1047</v>
      </c>
      <c r="AL17" s="4">
        <v>3</v>
      </c>
      <c r="AM17" s="4" t="s">
        <v>438</v>
      </c>
      <c r="AN17" s="4" t="s">
        <v>95</v>
      </c>
      <c r="AO17" s="4" t="s">
        <v>96</v>
      </c>
      <c r="AP17" s="4">
        <v>1</v>
      </c>
      <c r="AQ17" s="20">
        <v>39000</v>
      </c>
      <c r="AR17" s="4">
        <v>41780</v>
      </c>
      <c r="AS17" s="20">
        <v>3939.3939393939386</v>
      </c>
      <c r="AT17" s="20">
        <v>5547.12</v>
      </c>
      <c r="AU17" s="20">
        <v>1607.7260606060613</v>
      </c>
      <c r="AV17" s="20">
        <v>187</v>
      </c>
      <c r="AW17" s="20">
        <v>600</v>
      </c>
      <c r="AX17" s="20">
        <v>20</v>
      </c>
      <c r="AY17" s="20">
        <v>807</v>
      </c>
      <c r="AZ17" s="20">
        <v>3.8</v>
      </c>
      <c r="BA17" s="20">
        <v>0</v>
      </c>
      <c r="BB17" s="6">
        <v>41733</v>
      </c>
      <c r="BC17" s="6">
        <v>0</v>
      </c>
      <c r="BD17" s="6">
        <v>41823</v>
      </c>
      <c r="BE17" s="6">
        <v>0</v>
      </c>
      <c r="BF17" s="6">
        <v>41855</v>
      </c>
      <c r="BG17" s="6">
        <v>0</v>
      </c>
      <c r="BH17" s="6">
        <v>0</v>
      </c>
      <c r="BI17" s="6">
        <v>0</v>
      </c>
      <c r="BJ17" s="6">
        <v>0</v>
      </c>
      <c r="BK17" s="5" t="s">
        <v>401</v>
      </c>
      <c r="BL17" s="4">
        <v>0</v>
      </c>
      <c r="BM17" s="20">
        <v>250</v>
      </c>
      <c r="BN17" s="20">
        <v>0</v>
      </c>
      <c r="BO17" s="20">
        <v>0</v>
      </c>
      <c r="BP17" s="20">
        <v>0</v>
      </c>
      <c r="BQ17" s="20">
        <v>0</v>
      </c>
      <c r="BR17" s="20">
        <v>0</v>
      </c>
      <c r="BS17" s="20">
        <v>250</v>
      </c>
      <c r="BT17" s="20">
        <v>1386780</v>
      </c>
      <c r="BU17" s="20">
        <v>9750000</v>
      </c>
      <c r="BV17" s="20">
        <v>6.3915230704483497</v>
      </c>
    </row>
    <row r="18" spans="1:74">
      <c r="A18" s="10">
        <f t="shared" si="1"/>
        <v>0</v>
      </c>
      <c r="B18" s="10">
        <f t="shared" si="2"/>
        <v>0.2</v>
      </c>
      <c r="C18" s="12">
        <f t="shared" si="3"/>
        <v>4</v>
      </c>
      <c r="D18" s="12">
        <f t="shared" si="5"/>
        <v>8</v>
      </c>
      <c r="E18" s="20" t="s">
        <v>114</v>
      </c>
      <c r="F18" s="20" t="s">
        <v>1019</v>
      </c>
      <c r="G18" s="20" t="s">
        <v>1039</v>
      </c>
      <c r="H18" s="20" t="s">
        <v>1068</v>
      </c>
      <c r="I18" s="20">
        <v>4</v>
      </c>
      <c r="J18" s="20" t="s">
        <v>1069</v>
      </c>
      <c r="K18" s="20" t="s">
        <v>1073</v>
      </c>
      <c r="L18" s="20" t="s">
        <v>1062</v>
      </c>
      <c r="M18" s="20" t="s">
        <v>1019</v>
      </c>
      <c r="N18" s="20" t="s">
        <v>1025</v>
      </c>
      <c r="P18" s="20" t="s">
        <v>1019</v>
      </c>
      <c r="Q18" s="20" t="s">
        <v>1026</v>
      </c>
      <c r="R18" s="20" t="s">
        <v>84</v>
      </c>
      <c r="S18" s="20" t="s">
        <v>123</v>
      </c>
      <c r="T18" s="20" t="s">
        <v>124</v>
      </c>
      <c r="U18" s="20" t="s">
        <v>125</v>
      </c>
      <c r="V18" s="20" t="s">
        <v>87</v>
      </c>
      <c r="W18" s="20">
        <v>507</v>
      </c>
      <c r="X18" s="20">
        <v>507</v>
      </c>
      <c r="Y18" s="20" t="s">
        <v>1063</v>
      </c>
      <c r="Z18" s="20">
        <v>0.2</v>
      </c>
      <c r="AA18" s="20" t="s">
        <v>1071</v>
      </c>
      <c r="AB18" s="20" t="s">
        <v>248</v>
      </c>
      <c r="AC18" s="20" t="s">
        <v>249</v>
      </c>
      <c r="AD18" s="20" t="s">
        <v>1072</v>
      </c>
      <c r="AE18" s="20" t="s">
        <v>91</v>
      </c>
      <c r="AF18" s="20">
        <v>0.5</v>
      </c>
      <c r="AG18" s="20" t="s">
        <v>2439</v>
      </c>
      <c r="AH18" s="20">
        <v>1</v>
      </c>
      <c r="AI18" s="7" t="s">
        <v>98</v>
      </c>
      <c r="AJ18" s="20">
        <v>150</v>
      </c>
      <c r="AK18" s="4" t="s">
        <v>1047</v>
      </c>
      <c r="AL18" s="4">
        <v>3</v>
      </c>
      <c r="AM18" s="4" t="s">
        <v>438</v>
      </c>
      <c r="AN18" s="4" t="s">
        <v>95</v>
      </c>
      <c r="AO18" s="4" t="s">
        <v>96</v>
      </c>
      <c r="AP18" s="4">
        <v>1</v>
      </c>
      <c r="AQ18" s="20">
        <v>39000</v>
      </c>
      <c r="AR18" s="4">
        <v>41780</v>
      </c>
      <c r="AS18" s="20">
        <v>3939.3939393939386</v>
      </c>
      <c r="AT18" s="20">
        <v>5547.12</v>
      </c>
      <c r="AU18" s="20">
        <v>1607.7260606060613</v>
      </c>
      <c r="AV18" s="20">
        <v>187</v>
      </c>
      <c r="AW18" s="20">
        <v>600</v>
      </c>
      <c r="AX18" s="20">
        <v>20</v>
      </c>
      <c r="AY18" s="20">
        <v>807</v>
      </c>
      <c r="AZ18" s="20">
        <v>3.8</v>
      </c>
      <c r="BA18" s="20">
        <v>0</v>
      </c>
      <c r="BB18" s="6">
        <v>41733</v>
      </c>
      <c r="BC18" s="6">
        <v>0</v>
      </c>
      <c r="BD18" s="6">
        <v>41823</v>
      </c>
      <c r="BE18" s="6">
        <v>0</v>
      </c>
      <c r="BF18" s="6">
        <v>41855</v>
      </c>
      <c r="BG18" s="6">
        <v>0</v>
      </c>
      <c r="BH18" s="6">
        <v>0</v>
      </c>
      <c r="BI18" s="6">
        <v>0</v>
      </c>
      <c r="BJ18" s="6">
        <v>0</v>
      </c>
      <c r="BK18" s="5" t="s">
        <v>401</v>
      </c>
      <c r="BL18" s="4">
        <v>0</v>
      </c>
      <c r="BM18" s="20">
        <v>150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150</v>
      </c>
      <c r="BT18" s="20">
        <v>832068</v>
      </c>
      <c r="BU18" s="20">
        <v>5850000</v>
      </c>
      <c r="BV18" s="20">
        <v>6.3915230704483506</v>
      </c>
    </row>
    <row r="19" spans="1:74">
      <c r="A19" s="10">
        <f t="shared" si="1"/>
        <v>0</v>
      </c>
      <c r="B19" s="10">
        <f t="shared" si="2"/>
        <v>0</v>
      </c>
      <c r="C19" s="12" t="str">
        <f t="shared" si="3"/>
        <v/>
      </c>
      <c r="D19" s="12" t="str">
        <f t="shared" si="5"/>
        <v/>
      </c>
      <c r="E19" s="20" t="s">
        <v>91</v>
      </c>
      <c r="F19" s="20" t="s">
        <v>91</v>
      </c>
      <c r="G19" s="20" t="s">
        <v>91</v>
      </c>
      <c r="H19" s="20" t="s">
        <v>91</v>
      </c>
      <c r="I19" s="20">
        <v>0</v>
      </c>
      <c r="J19" s="20" t="s">
        <v>103</v>
      </c>
      <c r="K19" s="20" t="s">
        <v>104</v>
      </c>
      <c r="L19" s="20">
        <v>0</v>
      </c>
      <c r="M19" s="20" t="s">
        <v>105</v>
      </c>
      <c r="N19" s="20" t="s">
        <v>91</v>
      </c>
      <c r="O19" s="20" t="s">
        <v>1074</v>
      </c>
      <c r="Q19" s="20" t="s">
        <v>91</v>
      </c>
      <c r="R19" s="20" t="s">
        <v>91</v>
      </c>
      <c r="S19" s="20" t="s">
        <v>91</v>
      </c>
      <c r="U19" s="20" t="s">
        <v>91</v>
      </c>
      <c r="V19" s="20" t="s">
        <v>87</v>
      </c>
      <c r="X19" s="20" t="s">
        <v>91</v>
      </c>
      <c r="Y19" s="20" t="s">
        <v>91</v>
      </c>
      <c r="Z19" s="20">
        <v>3.0000000000000004</v>
      </c>
      <c r="AB19" s="20" t="s">
        <v>91</v>
      </c>
      <c r="AD19" s="20" t="s">
        <v>91</v>
      </c>
      <c r="AE19" s="20" t="s">
        <v>91</v>
      </c>
      <c r="AF19" s="20">
        <v>4</v>
      </c>
      <c r="AG19" s="20">
        <v>0</v>
      </c>
      <c r="AH19" s="20">
        <v>1</v>
      </c>
      <c r="AI19" s="7"/>
      <c r="AM19" s="4" t="s">
        <v>91</v>
      </c>
      <c r="AP19" s="4" t="s">
        <v>91</v>
      </c>
      <c r="AQ19" s="20">
        <v>0</v>
      </c>
      <c r="AR19" s="4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 t="s">
        <v>91</v>
      </c>
      <c r="AY19" s="20">
        <v>0</v>
      </c>
      <c r="AZ19" s="20">
        <v>0</v>
      </c>
      <c r="BA19" s="20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5">
        <v>0</v>
      </c>
      <c r="BL19" s="4">
        <v>0</v>
      </c>
      <c r="BM19" s="20">
        <v>2036</v>
      </c>
      <c r="BN19" s="20">
        <v>0</v>
      </c>
      <c r="BO19" s="20">
        <v>0</v>
      </c>
      <c r="BP19" s="20">
        <v>0</v>
      </c>
      <c r="BQ19" s="20">
        <v>0</v>
      </c>
      <c r="BR19" s="20">
        <v>0</v>
      </c>
      <c r="BS19" s="20">
        <v>2040</v>
      </c>
      <c r="BT19" s="20">
        <v>10828508.600000001</v>
      </c>
      <c r="BU19" s="20">
        <v>79560000</v>
      </c>
      <c r="BV19" s="20">
        <v>6.6793383464896277</v>
      </c>
    </row>
    <row r="20" spans="1:74">
      <c r="A20" s="10">
        <f t="shared" si="1"/>
        <v>0</v>
      </c>
      <c r="B20" s="10">
        <f t="shared" si="2"/>
        <v>0.33333333333333331</v>
      </c>
      <c r="C20" s="12">
        <f t="shared" si="3"/>
        <v>4</v>
      </c>
      <c r="D20" s="12">
        <f t="shared" si="5"/>
        <v>8</v>
      </c>
      <c r="E20" s="20" t="s">
        <v>114</v>
      </c>
      <c r="F20" s="20" t="s">
        <v>1019</v>
      </c>
      <c r="G20" s="20" t="s">
        <v>1075</v>
      </c>
      <c r="H20" s="20" t="s">
        <v>1076</v>
      </c>
      <c r="I20" s="20">
        <v>1</v>
      </c>
      <c r="J20" s="20" t="s">
        <v>1077</v>
      </c>
      <c r="K20" s="20" t="s">
        <v>1078</v>
      </c>
      <c r="L20" s="20" t="s">
        <v>1079</v>
      </c>
      <c r="M20" s="20" t="s">
        <v>1019</v>
      </c>
      <c r="N20" s="20" t="s">
        <v>1080</v>
      </c>
      <c r="P20" s="20" t="s">
        <v>1019</v>
      </c>
      <c r="Q20" s="20" t="s">
        <v>1026</v>
      </c>
      <c r="R20" s="20" t="s">
        <v>84</v>
      </c>
      <c r="S20" s="20" t="s">
        <v>123</v>
      </c>
      <c r="T20" s="20" t="s">
        <v>124</v>
      </c>
      <c r="U20" s="20" t="s">
        <v>125</v>
      </c>
      <c r="V20" s="20" t="s">
        <v>87</v>
      </c>
      <c r="W20" s="20">
        <v>508</v>
      </c>
      <c r="X20" s="20">
        <v>508</v>
      </c>
      <c r="Y20" s="20" t="s">
        <v>1081</v>
      </c>
      <c r="Z20" s="20">
        <v>0.33333333333333331</v>
      </c>
      <c r="AA20" s="20" t="s">
        <v>1082</v>
      </c>
      <c r="AB20" s="20" t="s">
        <v>176</v>
      </c>
      <c r="AC20" s="20" t="s">
        <v>177</v>
      </c>
      <c r="AD20" s="20" t="s">
        <v>1083</v>
      </c>
      <c r="AE20" s="20" t="s">
        <v>91</v>
      </c>
      <c r="AF20" s="20">
        <v>0.33333333333333331</v>
      </c>
      <c r="AH20" s="20">
        <v>1</v>
      </c>
      <c r="AI20" s="7" t="s">
        <v>92</v>
      </c>
      <c r="AJ20" s="20">
        <v>250</v>
      </c>
      <c r="AK20" s="4" t="s">
        <v>1047</v>
      </c>
      <c r="AL20" s="4">
        <v>4</v>
      </c>
      <c r="AM20" s="4" t="s">
        <v>470</v>
      </c>
      <c r="AN20" s="4" t="s">
        <v>95</v>
      </c>
      <c r="AO20" s="4" t="s">
        <v>96</v>
      </c>
      <c r="AP20" s="4">
        <v>1</v>
      </c>
      <c r="AQ20" s="20">
        <v>39000</v>
      </c>
      <c r="AR20" s="4">
        <v>41780</v>
      </c>
      <c r="AS20" s="20">
        <v>3939.3939393939386</v>
      </c>
      <c r="AT20" s="20">
        <v>4495.9400000000005</v>
      </c>
      <c r="AU20" s="20">
        <v>556.54606060606193</v>
      </c>
      <c r="AV20" s="20">
        <v>609</v>
      </c>
      <c r="AW20" s="20">
        <v>0</v>
      </c>
      <c r="AX20" s="20">
        <v>20</v>
      </c>
      <c r="AY20" s="20">
        <v>629</v>
      </c>
      <c r="AZ20" s="20">
        <v>3.1</v>
      </c>
      <c r="BA20" s="20">
        <v>0</v>
      </c>
      <c r="BB20" s="6">
        <v>41733</v>
      </c>
      <c r="BC20" s="6">
        <v>0</v>
      </c>
      <c r="BD20" s="6">
        <v>41852</v>
      </c>
      <c r="BE20" s="6">
        <v>0</v>
      </c>
      <c r="BF20" s="6">
        <v>41863</v>
      </c>
      <c r="BG20" s="6">
        <v>0</v>
      </c>
      <c r="BH20" s="6">
        <v>0</v>
      </c>
      <c r="BI20" s="6">
        <v>0</v>
      </c>
      <c r="BJ20" s="6">
        <v>0</v>
      </c>
      <c r="BK20" s="5" t="s">
        <v>401</v>
      </c>
      <c r="BL20" s="4">
        <v>0</v>
      </c>
      <c r="BM20" s="20">
        <v>250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>
        <v>250</v>
      </c>
      <c r="BT20" s="20">
        <v>1123985.0000000002</v>
      </c>
      <c r="BU20" s="20">
        <v>9750000</v>
      </c>
      <c r="BV20" s="20">
        <v>7.8859027154600465</v>
      </c>
    </row>
    <row r="21" spans="1:74">
      <c r="A21" s="10">
        <f t="shared" si="1"/>
        <v>0</v>
      </c>
      <c r="B21" s="10">
        <f t="shared" si="2"/>
        <v>0.33333333333333331</v>
      </c>
      <c r="C21" s="12">
        <f t="shared" si="3"/>
        <v>4</v>
      </c>
      <c r="D21" s="12">
        <f t="shared" si="5"/>
        <v>8</v>
      </c>
      <c r="E21" s="20" t="s">
        <v>114</v>
      </c>
      <c r="F21" s="20" t="s">
        <v>1019</v>
      </c>
      <c r="G21" s="20" t="s">
        <v>1075</v>
      </c>
      <c r="H21" s="20" t="s">
        <v>1076</v>
      </c>
      <c r="I21" s="20">
        <v>1</v>
      </c>
      <c r="J21" s="20" t="s">
        <v>1077</v>
      </c>
      <c r="K21" s="20" t="s">
        <v>1084</v>
      </c>
      <c r="L21" s="20" t="s">
        <v>1079</v>
      </c>
      <c r="M21" s="20" t="s">
        <v>1019</v>
      </c>
      <c r="N21" s="20" t="s">
        <v>1080</v>
      </c>
      <c r="P21" s="20" t="s">
        <v>1019</v>
      </c>
      <c r="Q21" s="20" t="s">
        <v>1026</v>
      </c>
      <c r="R21" s="20" t="s">
        <v>84</v>
      </c>
      <c r="S21" s="20" t="s">
        <v>123</v>
      </c>
      <c r="T21" s="20" t="s">
        <v>124</v>
      </c>
      <c r="U21" s="20" t="s">
        <v>125</v>
      </c>
      <c r="V21" s="20" t="s">
        <v>87</v>
      </c>
      <c r="W21" s="20">
        <v>508</v>
      </c>
      <c r="X21" s="20">
        <v>508</v>
      </c>
      <c r="Y21" s="20" t="s">
        <v>1081</v>
      </c>
      <c r="Z21" s="20">
        <v>0.33333333333333331</v>
      </c>
      <c r="AA21" s="20" t="s">
        <v>1082</v>
      </c>
      <c r="AB21" s="20" t="s">
        <v>176</v>
      </c>
      <c r="AC21" s="20" t="s">
        <v>177</v>
      </c>
      <c r="AD21" s="20" t="s">
        <v>1083</v>
      </c>
      <c r="AE21" s="20" t="s">
        <v>91</v>
      </c>
      <c r="AF21" s="20">
        <v>0.33333333333333331</v>
      </c>
      <c r="AH21" s="20">
        <v>1</v>
      </c>
      <c r="AI21" s="7" t="s">
        <v>97</v>
      </c>
      <c r="AJ21" s="20">
        <v>200</v>
      </c>
      <c r="AK21" s="4" t="s">
        <v>1047</v>
      </c>
      <c r="AL21" s="4">
        <v>4</v>
      </c>
      <c r="AM21" s="4" t="s">
        <v>470</v>
      </c>
      <c r="AN21" s="4" t="s">
        <v>95</v>
      </c>
      <c r="AO21" s="4" t="s">
        <v>96</v>
      </c>
      <c r="AP21" s="4">
        <v>1</v>
      </c>
      <c r="AQ21" s="20">
        <v>39000</v>
      </c>
      <c r="AR21" s="4">
        <v>41780</v>
      </c>
      <c r="AS21" s="20">
        <v>3939.3939393939386</v>
      </c>
      <c r="AT21" s="20">
        <v>4945.9400000000005</v>
      </c>
      <c r="AU21" s="20">
        <v>1006.5460606060619</v>
      </c>
      <c r="AV21" s="20">
        <v>609</v>
      </c>
      <c r="AW21" s="20">
        <v>450</v>
      </c>
      <c r="AX21" s="20">
        <v>20</v>
      </c>
      <c r="AY21" s="20">
        <v>1079</v>
      </c>
      <c r="AZ21" s="20">
        <v>3.1</v>
      </c>
      <c r="BA21" s="20">
        <v>0</v>
      </c>
      <c r="BB21" s="6">
        <v>41733</v>
      </c>
      <c r="BC21" s="6">
        <v>0</v>
      </c>
      <c r="BD21" s="6">
        <v>41852</v>
      </c>
      <c r="BE21" s="6">
        <v>0</v>
      </c>
      <c r="BF21" s="6">
        <v>41863</v>
      </c>
      <c r="BG21" s="6">
        <v>0</v>
      </c>
      <c r="BH21" s="6">
        <v>0</v>
      </c>
      <c r="BI21" s="6">
        <v>0</v>
      </c>
      <c r="BJ21" s="6">
        <v>0</v>
      </c>
      <c r="BK21" s="5" t="s">
        <v>401</v>
      </c>
      <c r="BL21" s="4">
        <v>0</v>
      </c>
      <c r="BM21" s="20">
        <v>200</v>
      </c>
      <c r="BN21" s="20">
        <v>0</v>
      </c>
      <c r="BO21" s="20">
        <v>0</v>
      </c>
      <c r="BP21" s="20">
        <v>0</v>
      </c>
      <c r="BQ21" s="20">
        <v>0</v>
      </c>
      <c r="BR21" s="20">
        <v>0</v>
      </c>
      <c r="BS21" s="20">
        <v>200</v>
      </c>
      <c r="BT21" s="20">
        <v>989188.00000000012</v>
      </c>
      <c r="BU21" s="20">
        <v>7800000</v>
      </c>
      <c r="BV21" s="20">
        <v>7.168413982892119</v>
      </c>
    </row>
    <row r="22" spans="1:74">
      <c r="A22" s="10">
        <f t="shared" si="1"/>
        <v>0</v>
      </c>
      <c r="B22" s="10">
        <f t="shared" si="2"/>
        <v>0.33333333333333331</v>
      </c>
      <c r="C22" s="12">
        <f t="shared" si="3"/>
        <v>4</v>
      </c>
      <c r="D22" s="12">
        <f t="shared" si="5"/>
        <v>8</v>
      </c>
      <c r="E22" s="20" t="s">
        <v>114</v>
      </c>
      <c r="F22" s="20" t="s">
        <v>1019</v>
      </c>
      <c r="G22" s="20" t="s">
        <v>1075</v>
      </c>
      <c r="H22" s="20" t="s">
        <v>1076</v>
      </c>
      <c r="I22" s="20">
        <v>1</v>
      </c>
      <c r="J22" s="20" t="s">
        <v>1077</v>
      </c>
      <c r="K22" s="20" t="s">
        <v>1085</v>
      </c>
      <c r="L22" s="20" t="s">
        <v>1079</v>
      </c>
      <c r="M22" s="20" t="s">
        <v>1019</v>
      </c>
      <c r="N22" s="20" t="s">
        <v>1080</v>
      </c>
      <c r="P22" s="20" t="s">
        <v>1019</v>
      </c>
      <c r="Q22" s="20" t="s">
        <v>1026</v>
      </c>
      <c r="R22" s="20" t="s">
        <v>84</v>
      </c>
      <c r="S22" s="20" t="s">
        <v>123</v>
      </c>
      <c r="T22" s="20" t="s">
        <v>124</v>
      </c>
      <c r="U22" s="20" t="s">
        <v>125</v>
      </c>
      <c r="V22" s="20" t="s">
        <v>87</v>
      </c>
      <c r="W22" s="20">
        <v>508</v>
      </c>
      <c r="X22" s="20">
        <v>508</v>
      </c>
      <c r="Y22" s="20" t="s">
        <v>1081</v>
      </c>
      <c r="Z22" s="20">
        <v>0.33333333333333331</v>
      </c>
      <c r="AA22" s="20" t="s">
        <v>1082</v>
      </c>
      <c r="AB22" s="20" t="s">
        <v>176</v>
      </c>
      <c r="AC22" s="20" t="s">
        <v>177</v>
      </c>
      <c r="AD22" s="20" t="s">
        <v>1083</v>
      </c>
      <c r="AE22" s="20" t="s">
        <v>91</v>
      </c>
      <c r="AF22" s="20">
        <v>0.33333333333333331</v>
      </c>
      <c r="AH22" s="20">
        <v>1</v>
      </c>
      <c r="AI22" s="7" t="s">
        <v>98</v>
      </c>
      <c r="AJ22" s="20">
        <v>100</v>
      </c>
      <c r="AK22" s="4" t="s">
        <v>1047</v>
      </c>
      <c r="AL22" s="4">
        <v>4</v>
      </c>
      <c r="AM22" s="4" t="s">
        <v>470</v>
      </c>
      <c r="AN22" s="4" t="s">
        <v>95</v>
      </c>
      <c r="AO22" s="4" t="s">
        <v>96</v>
      </c>
      <c r="AP22" s="4">
        <v>1</v>
      </c>
      <c r="AQ22" s="20">
        <v>39000</v>
      </c>
      <c r="AR22" s="4">
        <v>41780</v>
      </c>
      <c r="AS22" s="20">
        <v>3939.3939393939386</v>
      </c>
      <c r="AT22" s="20">
        <v>4945.9400000000005</v>
      </c>
      <c r="AU22" s="20">
        <v>1006.5460606060619</v>
      </c>
      <c r="AV22" s="20">
        <v>609</v>
      </c>
      <c r="AW22" s="20">
        <v>450</v>
      </c>
      <c r="AX22" s="20">
        <v>20</v>
      </c>
      <c r="AY22" s="20">
        <v>1079</v>
      </c>
      <c r="AZ22" s="20">
        <v>3.1</v>
      </c>
      <c r="BA22" s="20">
        <v>0</v>
      </c>
      <c r="BB22" s="6">
        <v>41733</v>
      </c>
      <c r="BC22" s="6">
        <v>0</v>
      </c>
      <c r="BD22" s="6">
        <v>41852</v>
      </c>
      <c r="BE22" s="6">
        <v>0</v>
      </c>
      <c r="BF22" s="6">
        <v>41863</v>
      </c>
      <c r="BG22" s="6">
        <v>0</v>
      </c>
      <c r="BH22" s="6">
        <v>0</v>
      </c>
      <c r="BI22" s="6">
        <v>0</v>
      </c>
      <c r="BJ22" s="6">
        <v>0</v>
      </c>
      <c r="BK22" s="5" t="s">
        <v>401</v>
      </c>
      <c r="BL22" s="4">
        <v>0</v>
      </c>
      <c r="BM22" s="20">
        <v>100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>
        <v>100</v>
      </c>
      <c r="BT22" s="20">
        <v>494594.00000000006</v>
      </c>
      <c r="BU22" s="20">
        <v>3900000</v>
      </c>
      <c r="BV22" s="20">
        <v>7.168413982892119</v>
      </c>
    </row>
    <row r="23" spans="1:74">
      <c r="A23" s="10">
        <f t="shared" si="1"/>
        <v>0</v>
      </c>
      <c r="B23" s="10">
        <f t="shared" si="2"/>
        <v>0.33333333333333331</v>
      </c>
      <c r="C23" s="12">
        <f t="shared" si="3"/>
        <v>4</v>
      </c>
      <c r="D23" s="12">
        <f t="shared" si="5"/>
        <v>8</v>
      </c>
      <c r="E23" s="20" t="s">
        <v>114</v>
      </c>
      <c r="F23" s="20" t="s">
        <v>1019</v>
      </c>
      <c r="G23" s="20" t="s">
        <v>1075</v>
      </c>
      <c r="H23" s="20" t="s">
        <v>1086</v>
      </c>
      <c r="I23" s="20">
        <v>2</v>
      </c>
      <c r="J23" s="20" t="s">
        <v>1087</v>
      </c>
      <c r="K23" s="20" t="s">
        <v>1088</v>
      </c>
      <c r="L23" s="20" t="s">
        <v>1089</v>
      </c>
      <c r="M23" s="20" t="s">
        <v>1019</v>
      </c>
      <c r="N23" s="20" t="s">
        <v>1080</v>
      </c>
      <c r="P23" s="20" t="s">
        <v>1019</v>
      </c>
      <c r="Q23" s="20" t="s">
        <v>1026</v>
      </c>
      <c r="R23" s="20" t="s">
        <v>84</v>
      </c>
      <c r="S23" s="20" t="s">
        <v>123</v>
      </c>
      <c r="T23" s="20" t="s">
        <v>124</v>
      </c>
      <c r="U23" s="20" t="s">
        <v>125</v>
      </c>
      <c r="V23" s="20" t="s">
        <v>87</v>
      </c>
      <c r="W23" s="20">
        <v>509</v>
      </c>
      <c r="X23" s="20">
        <v>509</v>
      </c>
      <c r="Y23" s="20" t="s">
        <v>1090</v>
      </c>
      <c r="Z23" s="20">
        <v>0.33333333333333331</v>
      </c>
      <c r="AA23" s="20" t="s">
        <v>1091</v>
      </c>
      <c r="AB23" s="20" t="s">
        <v>248</v>
      </c>
      <c r="AC23" s="20" t="s">
        <v>249</v>
      </c>
      <c r="AD23" s="20" t="s">
        <v>1092</v>
      </c>
      <c r="AE23" s="20" t="s">
        <v>91</v>
      </c>
      <c r="AF23" s="20">
        <v>0.33333333333333331</v>
      </c>
      <c r="AG23" s="20">
        <v>0</v>
      </c>
      <c r="AH23" s="20">
        <v>1</v>
      </c>
      <c r="AI23" s="7" t="s">
        <v>92</v>
      </c>
      <c r="AJ23" s="20">
        <v>250</v>
      </c>
      <c r="AK23" s="4" t="s">
        <v>1047</v>
      </c>
      <c r="AL23" s="4">
        <v>4</v>
      </c>
      <c r="AM23" s="4" t="s">
        <v>470</v>
      </c>
      <c r="AN23" s="4" t="s">
        <v>95</v>
      </c>
      <c r="AO23" s="4" t="s">
        <v>96</v>
      </c>
      <c r="AP23" s="4">
        <v>1</v>
      </c>
      <c r="AQ23" s="20">
        <v>39000</v>
      </c>
      <c r="AR23" s="4">
        <v>41780</v>
      </c>
      <c r="AS23" s="20">
        <v>3939.3939393939386</v>
      </c>
      <c r="AT23" s="20">
        <v>4385.42</v>
      </c>
      <c r="AU23" s="20">
        <v>446.02606060606149</v>
      </c>
      <c r="AV23" s="20">
        <v>249</v>
      </c>
      <c r="AW23" s="20">
        <v>0</v>
      </c>
      <c r="AX23" s="20">
        <v>20</v>
      </c>
      <c r="AY23" s="20">
        <v>269</v>
      </c>
      <c r="AZ23" s="20">
        <v>3.3</v>
      </c>
      <c r="BA23" s="20">
        <v>0</v>
      </c>
      <c r="BB23" s="6">
        <v>41733</v>
      </c>
      <c r="BC23" s="6">
        <v>0</v>
      </c>
      <c r="BD23" s="6">
        <v>41852</v>
      </c>
      <c r="BE23" s="6">
        <v>0</v>
      </c>
      <c r="BF23" s="6">
        <v>41855</v>
      </c>
      <c r="BG23" s="6">
        <v>0</v>
      </c>
      <c r="BH23" s="6">
        <v>0</v>
      </c>
      <c r="BI23" s="6">
        <v>0</v>
      </c>
      <c r="BJ23" s="6">
        <v>0</v>
      </c>
      <c r="BK23" s="5" t="s">
        <v>401</v>
      </c>
      <c r="BL23" s="4">
        <v>0</v>
      </c>
      <c r="BM23" s="20">
        <v>249</v>
      </c>
      <c r="BN23" s="20">
        <v>0</v>
      </c>
      <c r="BO23" s="20">
        <v>0</v>
      </c>
      <c r="BP23" s="20">
        <v>0</v>
      </c>
      <c r="BQ23" s="20">
        <v>0</v>
      </c>
      <c r="BR23" s="20">
        <v>0</v>
      </c>
      <c r="BS23" s="20">
        <v>250</v>
      </c>
      <c r="BT23" s="20">
        <v>1096355</v>
      </c>
      <c r="BU23" s="20">
        <v>9750000</v>
      </c>
      <c r="BV23" s="20">
        <v>8.0846407994092822</v>
      </c>
    </row>
    <row r="24" spans="1:74">
      <c r="A24" s="10">
        <f t="shared" si="1"/>
        <v>0</v>
      </c>
      <c r="B24" s="10">
        <f t="shared" si="2"/>
        <v>0.33333333333333331</v>
      </c>
      <c r="C24" s="12">
        <f t="shared" si="3"/>
        <v>4</v>
      </c>
      <c r="D24" s="12">
        <f t="shared" si="5"/>
        <v>8</v>
      </c>
      <c r="E24" s="20" t="s">
        <v>114</v>
      </c>
      <c r="F24" s="20" t="s">
        <v>1019</v>
      </c>
      <c r="G24" s="20" t="s">
        <v>1075</v>
      </c>
      <c r="H24" s="20" t="s">
        <v>1086</v>
      </c>
      <c r="I24" s="20">
        <v>2</v>
      </c>
      <c r="J24" s="20" t="s">
        <v>1087</v>
      </c>
      <c r="K24" s="20" t="s">
        <v>1093</v>
      </c>
      <c r="L24" s="20" t="s">
        <v>1089</v>
      </c>
      <c r="M24" s="20" t="s">
        <v>1019</v>
      </c>
      <c r="N24" s="20" t="s">
        <v>1080</v>
      </c>
      <c r="P24" s="20" t="s">
        <v>1019</v>
      </c>
      <c r="Q24" s="20" t="s">
        <v>1026</v>
      </c>
      <c r="R24" s="20" t="s">
        <v>84</v>
      </c>
      <c r="S24" s="20" t="s">
        <v>123</v>
      </c>
      <c r="T24" s="20" t="s">
        <v>124</v>
      </c>
      <c r="U24" s="20" t="s">
        <v>125</v>
      </c>
      <c r="V24" s="20" t="s">
        <v>87</v>
      </c>
      <c r="W24" s="20">
        <v>509</v>
      </c>
      <c r="X24" s="20">
        <v>509</v>
      </c>
      <c r="Y24" s="20" t="s">
        <v>1090</v>
      </c>
      <c r="Z24" s="20">
        <v>0.33333333333333331</v>
      </c>
      <c r="AA24" s="20" t="s">
        <v>1091</v>
      </c>
      <c r="AB24" s="20" t="s">
        <v>248</v>
      </c>
      <c r="AC24" s="20" t="s">
        <v>249</v>
      </c>
      <c r="AD24" s="20" t="s">
        <v>1092</v>
      </c>
      <c r="AE24" s="20" t="s">
        <v>91</v>
      </c>
      <c r="AF24" s="20">
        <v>0.33333333333333331</v>
      </c>
      <c r="AG24" s="20">
        <v>0</v>
      </c>
      <c r="AH24" s="20">
        <v>1</v>
      </c>
      <c r="AI24" s="7" t="s">
        <v>97</v>
      </c>
      <c r="AJ24" s="20">
        <v>200</v>
      </c>
      <c r="AK24" s="4" t="s">
        <v>1047</v>
      </c>
      <c r="AL24" s="4">
        <v>4</v>
      </c>
      <c r="AM24" s="4" t="s">
        <v>470</v>
      </c>
      <c r="AN24" s="4" t="s">
        <v>95</v>
      </c>
      <c r="AO24" s="4" t="s">
        <v>96</v>
      </c>
      <c r="AP24" s="4">
        <v>1</v>
      </c>
      <c r="AQ24" s="20">
        <v>39000</v>
      </c>
      <c r="AR24" s="4">
        <v>41780</v>
      </c>
      <c r="AS24" s="20">
        <v>3939.3939393939386</v>
      </c>
      <c r="AT24" s="20">
        <v>4835.42</v>
      </c>
      <c r="AU24" s="20">
        <v>896.02606060606149</v>
      </c>
      <c r="AV24" s="20">
        <v>249</v>
      </c>
      <c r="AW24" s="20">
        <v>450</v>
      </c>
      <c r="AX24" s="20">
        <v>20</v>
      </c>
      <c r="AY24" s="20">
        <v>719</v>
      </c>
      <c r="AZ24" s="20">
        <v>3.3</v>
      </c>
      <c r="BA24" s="20">
        <v>0</v>
      </c>
      <c r="BB24" s="6">
        <v>41733</v>
      </c>
      <c r="BC24" s="6">
        <v>0</v>
      </c>
      <c r="BD24" s="6">
        <v>41852</v>
      </c>
      <c r="BE24" s="6">
        <v>0</v>
      </c>
      <c r="BF24" s="6">
        <v>41855</v>
      </c>
      <c r="BG24" s="6">
        <v>0</v>
      </c>
      <c r="BH24" s="6">
        <v>0</v>
      </c>
      <c r="BI24" s="6">
        <v>0</v>
      </c>
      <c r="BJ24" s="6">
        <v>0</v>
      </c>
      <c r="BK24" s="5" t="s">
        <v>401</v>
      </c>
      <c r="BL24" s="4">
        <v>0</v>
      </c>
      <c r="BM24" s="20">
        <v>199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200</v>
      </c>
      <c r="BT24" s="20">
        <v>967084</v>
      </c>
      <c r="BU24" s="20">
        <v>7800000</v>
      </c>
      <c r="BV24" s="20">
        <v>7.3322576848640759</v>
      </c>
    </row>
    <row r="25" spans="1:74">
      <c r="A25" s="10">
        <f t="shared" si="1"/>
        <v>0</v>
      </c>
      <c r="B25" s="10">
        <f t="shared" si="2"/>
        <v>0.33333333333333331</v>
      </c>
      <c r="C25" s="12">
        <f t="shared" si="3"/>
        <v>4</v>
      </c>
      <c r="D25" s="12">
        <f t="shared" si="5"/>
        <v>8</v>
      </c>
      <c r="E25" s="20" t="s">
        <v>114</v>
      </c>
      <c r="F25" s="20" t="s">
        <v>1019</v>
      </c>
      <c r="G25" s="20" t="s">
        <v>1075</v>
      </c>
      <c r="H25" s="20" t="s">
        <v>1086</v>
      </c>
      <c r="I25" s="20">
        <v>2</v>
      </c>
      <c r="J25" s="20" t="s">
        <v>1087</v>
      </c>
      <c r="K25" s="20" t="s">
        <v>1094</v>
      </c>
      <c r="L25" s="20" t="s">
        <v>1089</v>
      </c>
      <c r="M25" s="20" t="s">
        <v>1019</v>
      </c>
      <c r="N25" s="20" t="s">
        <v>1080</v>
      </c>
      <c r="P25" s="20" t="s">
        <v>1019</v>
      </c>
      <c r="Q25" s="20" t="s">
        <v>1026</v>
      </c>
      <c r="R25" s="20" t="s">
        <v>84</v>
      </c>
      <c r="S25" s="20" t="s">
        <v>123</v>
      </c>
      <c r="T25" s="20" t="s">
        <v>124</v>
      </c>
      <c r="U25" s="20" t="s">
        <v>125</v>
      </c>
      <c r="V25" s="20" t="s">
        <v>87</v>
      </c>
      <c r="W25" s="20">
        <v>509</v>
      </c>
      <c r="X25" s="20">
        <v>509</v>
      </c>
      <c r="Y25" s="20" t="s">
        <v>1090</v>
      </c>
      <c r="Z25" s="20">
        <v>0.33333333333333331</v>
      </c>
      <c r="AA25" s="20" t="s">
        <v>1091</v>
      </c>
      <c r="AB25" s="20" t="s">
        <v>248</v>
      </c>
      <c r="AC25" s="20" t="s">
        <v>249</v>
      </c>
      <c r="AD25" s="20" t="s">
        <v>1092</v>
      </c>
      <c r="AE25" s="20" t="s">
        <v>91</v>
      </c>
      <c r="AF25" s="20">
        <v>0.33333333333333331</v>
      </c>
      <c r="AG25" s="20">
        <v>0</v>
      </c>
      <c r="AH25" s="20">
        <v>1</v>
      </c>
      <c r="AI25" s="7" t="s">
        <v>98</v>
      </c>
      <c r="AJ25" s="20">
        <v>100</v>
      </c>
      <c r="AK25" s="4" t="s">
        <v>1047</v>
      </c>
      <c r="AL25" s="4">
        <v>4</v>
      </c>
      <c r="AM25" s="4" t="s">
        <v>470</v>
      </c>
      <c r="AN25" s="4" t="s">
        <v>95</v>
      </c>
      <c r="AO25" s="4" t="s">
        <v>96</v>
      </c>
      <c r="AP25" s="4">
        <v>1</v>
      </c>
      <c r="AQ25" s="20">
        <v>39000</v>
      </c>
      <c r="AR25" s="4">
        <v>41780</v>
      </c>
      <c r="AS25" s="20">
        <v>3939.3939393939386</v>
      </c>
      <c r="AT25" s="20">
        <v>4835.42</v>
      </c>
      <c r="AU25" s="20">
        <v>896.02606060606149</v>
      </c>
      <c r="AV25" s="20">
        <v>249</v>
      </c>
      <c r="AW25" s="20">
        <v>450</v>
      </c>
      <c r="AX25" s="20">
        <v>20</v>
      </c>
      <c r="AY25" s="20">
        <v>719</v>
      </c>
      <c r="AZ25" s="20">
        <v>3.3</v>
      </c>
      <c r="BA25" s="20">
        <v>0</v>
      </c>
      <c r="BB25" s="6">
        <v>41733</v>
      </c>
      <c r="BC25" s="6">
        <v>0</v>
      </c>
      <c r="BD25" s="6">
        <v>41852</v>
      </c>
      <c r="BE25" s="6">
        <v>0</v>
      </c>
      <c r="BF25" s="6">
        <v>41855</v>
      </c>
      <c r="BG25" s="6">
        <v>0</v>
      </c>
      <c r="BH25" s="6">
        <v>0</v>
      </c>
      <c r="BI25" s="6">
        <v>0</v>
      </c>
      <c r="BJ25" s="6">
        <v>0</v>
      </c>
      <c r="BK25" s="5" t="s">
        <v>401</v>
      </c>
      <c r="BL25" s="4">
        <v>0</v>
      </c>
      <c r="BM25" s="20">
        <v>100</v>
      </c>
      <c r="BN25" s="20">
        <v>0</v>
      </c>
      <c r="BO25" s="20">
        <v>0</v>
      </c>
      <c r="BP25" s="20">
        <v>0</v>
      </c>
      <c r="BQ25" s="20">
        <v>0</v>
      </c>
      <c r="BR25" s="20">
        <v>0</v>
      </c>
      <c r="BS25" s="20">
        <v>100</v>
      </c>
      <c r="BT25" s="20">
        <v>483542</v>
      </c>
      <c r="BU25" s="20">
        <v>3900000</v>
      </c>
      <c r="BV25" s="20">
        <v>7.3322576848640759</v>
      </c>
    </row>
    <row r="26" spans="1:74">
      <c r="A26" s="10">
        <f t="shared" si="1"/>
        <v>0</v>
      </c>
      <c r="B26" s="10">
        <f t="shared" si="2"/>
        <v>0.33333333333333331</v>
      </c>
      <c r="C26" s="12">
        <f t="shared" si="3"/>
        <v>4</v>
      </c>
      <c r="D26" s="12">
        <f t="shared" si="5"/>
        <v>8</v>
      </c>
      <c r="E26" s="20" t="s">
        <v>114</v>
      </c>
      <c r="F26" s="20" t="s">
        <v>1019</v>
      </c>
      <c r="G26" s="20" t="s">
        <v>1075</v>
      </c>
      <c r="H26" s="20" t="s">
        <v>1095</v>
      </c>
      <c r="I26" s="20">
        <v>3</v>
      </c>
      <c r="J26" s="20" t="s">
        <v>1096</v>
      </c>
      <c r="K26" s="20" t="s">
        <v>1097</v>
      </c>
      <c r="L26" s="20" t="s">
        <v>1098</v>
      </c>
      <c r="M26" s="20" t="s">
        <v>1019</v>
      </c>
      <c r="N26" s="20" t="s">
        <v>1080</v>
      </c>
      <c r="P26" s="20" t="s">
        <v>1019</v>
      </c>
      <c r="Q26" s="20" t="s">
        <v>1026</v>
      </c>
      <c r="R26" s="20" t="s">
        <v>84</v>
      </c>
      <c r="S26" s="20" t="s">
        <v>123</v>
      </c>
      <c r="T26" s="20" t="s">
        <v>124</v>
      </c>
      <c r="U26" s="20" t="s">
        <v>125</v>
      </c>
      <c r="V26" s="20" t="s">
        <v>87</v>
      </c>
      <c r="W26" s="20">
        <v>510</v>
      </c>
      <c r="X26" s="20">
        <v>510</v>
      </c>
      <c r="Y26" s="20" t="s">
        <v>1099</v>
      </c>
      <c r="Z26" s="20">
        <v>0.33333333333333331</v>
      </c>
      <c r="AA26" s="20" t="s">
        <v>1100</v>
      </c>
      <c r="AB26" s="20" t="s">
        <v>101</v>
      </c>
      <c r="AC26" s="20" t="s">
        <v>102</v>
      </c>
      <c r="AD26" s="20" t="s">
        <v>1101</v>
      </c>
      <c r="AE26" s="20" t="s">
        <v>91</v>
      </c>
      <c r="AF26" s="20">
        <v>0.33333333333333331</v>
      </c>
      <c r="AG26" s="20">
        <v>0</v>
      </c>
      <c r="AH26" s="20">
        <v>1</v>
      </c>
      <c r="AI26" s="7" t="s">
        <v>92</v>
      </c>
      <c r="AJ26" s="20">
        <v>350</v>
      </c>
      <c r="AK26" s="4" t="s">
        <v>1047</v>
      </c>
      <c r="AL26" s="4">
        <v>4</v>
      </c>
      <c r="AM26" s="4" t="s">
        <v>470</v>
      </c>
      <c r="AN26" s="4" t="s">
        <v>95</v>
      </c>
      <c r="AO26" s="4" t="s">
        <v>96</v>
      </c>
      <c r="AP26" s="4">
        <v>1</v>
      </c>
      <c r="AQ26" s="20">
        <v>39000</v>
      </c>
      <c r="AR26" s="4">
        <v>41780</v>
      </c>
      <c r="AS26" s="20">
        <v>3939.3939393939386</v>
      </c>
      <c r="AT26" s="20">
        <v>4423.42</v>
      </c>
      <c r="AU26" s="20">
        <v>484.02606060606149</v>
      </c>
      <c r="AV26" s="20">
        <v>287</v>
      </c>
      <c r="AW26" s="20">
        <v>0</v>
      </c>
      <c r="AX26" s="20">
        <v>20</v>
      </c>
      <c r="AY26" s="20">
        <v>307</v>
      </c>
      <c r="AZ26" s="20">
        <v>3.3</v>
      </c>
      <c r="BA26" s="20">
        <v>0</v>
      </c>
      <c r="BB26" s="6">
        <v>41733</v>
      </c>
      <c r="BC26" s="6">
        <v>0</v>
      </c>
      <c r="BD26" s="6">
        <v>41852</v>
      </c>
      <c r="BE26" s="6">
        <v>0</v>
      </c>
      <c r="BF26" s="6">
        <v>41855</v>
      </c>
      <c r="BG26" s="6">
        <v>41863</v>
      </c>
      <c r="BH26" s="6">
        <v>0</v>
      </c>
      <c r="BI26" s="6">
        <v>0</v>
      </c>
      <c r="BJ26" s="6">
        <v>0</v>
      </c>
      <c r="BK26" s="5" t="s">
        <v>401</v>
      </c>
      <c r="BL26" s="4">
        <v>0</v>
      </c>
      <c r="BM26" s="20">
        <v>250</v>
      </c>
      <c r="BN26" s="20">
        <v>100</v>
      </c>
      <c r="BO26" s="20">
        <v>0</v>
      </c>
      <c r="BP26" s="20">
        <v>0</v>
      </c>
      <c r="BQ26" s="20">
        <v>0</v>
      </c>
      <c r="BR26" s="20">
        <v>0</v>
      </c>
      <c r="BS26" s="20">
        <v>350</v>
      </c>
      <c r="BT26" s="20">
        <v>1548197</v>
      </c>
      <c r="BU26" s="20">
        <v>13650000</v>
      </c>
      <c r="BV26" s="20">
        <v>8.0151885768354472</v>
      </c>
    </row>
    <row r="27" spans="1:74">
      <c r="A27" s="10">
        <f t="shared" si="1"/>
        <v>0</v>
      </c>
      <c r="B27" s="10">
        <f t="shared" si="2"/>
        <v>0.33333333333333331</v>
      </c>
      <c r="C27" s="12">
        <f t="shared" si="3"/>
        <v>4</v>
      </c>
      <c r="D27" s="12">
        <f t="shared" si="5"/>
        <v>8</v>
      </c>
      <c r="E27" s="20" t="s">
        <v>114</v>
      </c>
      <c r="F27" s="20" t="s">
        <v>1019</v>
      </c>
      <c r="G27" s="20" t="s">
        <v>1075</v>
      </c>
      <c r="H27" s="20" t="s">
        <v>1095</v>
      </c>
      <c r="I27" s="20">
        <v>3</v>
      </c>
      <c r="J27" s="20" t="s">
        <v>1096</v>
      </c>
      <c r="K27" s="20" t="s">
        <v>1102</v>
      </c>
      <c r="L27" s="20" t="s">
        <v>1098</v>
      </c>
      <c r="M27" s="20" t="s">
        <v>1019</v>
      </c>
      <c r="N27" s="20" t="s">
        <v>1080</v>
      </c>
      <c r="P27" s="20" t="s">
        <v>1019</v>
      </c>
      <c r="Q27" s="20" t="s">
        <v>1026</v>
      </c>
      <c r="R27" s="20" t="s">
        <v>84</v>
      </c>
      <c r="S27" s="20" t="s">
        <v>123</v>
      </c>
      <c r="T27" s="20" t="s">
        <v>124</v>
      </c>
      <c r="U27" s="20" t="s">
        <v>125</v>
      </c>
      <c r="V27" s="20" t="s">
        <v>87</v>
      </c>
      <c r="W27" s="20">
        <v>510</v>
      </c>
      <c r="X27" s="20">
        <v>510</v>
      </c>
      <c r="Y27" s="20" t="s">
        <v>1099</v>
      </c>
      <c r="Z27" s="20">
        <v>0.33333333333333331</v>
      </c>
      <c r="AA27" s="20" t="s">
        <v>1100</v>
      </c>
      <c r="AB27" s="20" t="s">
        <v>101</v>
      </c>
      <c r="AC27" s="20" t="s">
        <v>102</v>
      </c>
      <c r="AD27" s="20" t="s">
        <v>1101</v>
      </c>
      <c r="AE27" s="20" t="s">
        <v>91</v>
      </c>
      <c r="AF27" s="20">
        <v>0.33333333333333331</v>
      </c>
      <c r="AG27" s="20">
        <v>0</v>
      </c>
      <c r="AH27" s="20">
        <v>1</v>
      </c>
      <c r="AI27" s="7" t="s">
        <v>97</v>
      </c>
      <c r="AJ27" s="20">
        <v>80</v>
      </c>
      <c r="AK27" s="4" t="s">
        <v>1047</v>
      </c>
      <c r="AL27" s="4">
        <v>4</v>
      </c>
      <c r="AM27" s="4" t="s">
        <v>470</v>
      </c>
      <c r="AN27" s="4" t="s">
        <v>95</v>
      </c>
      <c r="AO27" s="4" t="s">
        <v>96</v>
      </c>
      <c r="AP27" s="4">
        <v>1</v>
      </c>
      <c r="AQ27" s="20">
        <v>39000</v>
      </c>
      <c r="AR27" s="4">
        <v>41780</v>
      </c>
      <c r="AS27" s="20">
        <v>3939.3939393939386</v>
      </c>
      <c r="AT27" s="20">
        <v>4873.42</v>
      </c>
      <c r="AU27" s="20">
        <v>934.02606060606149</v>
      </c>
      <c r="AV27" s="20">
        <v>287</v>
      </c>
      <c r="AW27" s="20">
        <v>450</v>
      </c>
      <c r="AX27" s="20">
        <v>20</v>
      </c>
      <c r="AY27" s="20">
        <v>757</v>
      </c>
      <c r="AZ27" s="20">
        <v>3.3</v>
      </c>
      <c r="BA27" s="20">
        <v>0</v>
      </c>
      <c r="BB27" s="6">
        <v>41733</v>
      </c>
      <c r="BC27" s="6">
        <v>0</v>
      </c>
      <c r="BD27" s="6">
        <v>41852</v>
      </c>
      <c r="BE27" s="6">
        <v>0</v>
      </c>
      <c r="BF27" s="6">
        <v>41855</v>
      </c>
      <c r="BG27" s="6">
        <v>41863</v>
      </c>
      <c r="BH27" s="6">
        <v>0</v>
      </c>
      <c r="BI27" s="6">
        <v>0</v>
      </c>
      <c r="BJ27" s="6">
        <v>0</v>
      </c>
      <c r="BK27" s="5" t="s">
        <v>401</v>
      </c>
      <c r="BL27" s="4">
        <v>0</v>
      </c>
      <c r="BM27" s="20">
        <v>80</v>
      </c>
      <c r="BN27" s="20">
        <v>0</v>
      </c>
      <c r="BO27" s="20">
        <v>0</v>
      </c>
      <c r="BP27" s="20">
        <v>0</v>
      </c>
      <c r="BQ27" s="20">
        <v>0</v>
      </c>
      <c r="BR27" s="20">
        <v>0</v>
      </c>
      <c r="BS27" s="20">
        <v>80</v>
      </c>
      <c r="BT27" s="20">
        <v>389873.6</v>
      </c>
      <c r="BU27" s="20">
        <v>3120000</v>
      </c>
      <c r="BV27" s="20">
        <v>7.2750851464773101</v>
      </c>
    </row>
    <row r="28" spans="1:74">
      <c r="A28" s="10">
        <f t="shared" si="1"/>
        <v>0</v>
      </c>
      <c r="B28" s="10">
        <f t="shared" si="2"/>
        <v>0.33333333333333331</v>
      </c>
      <c r="C28" s="12">
        <f t="shared" si="3"/>
        <v>4</v>
      </c>
      <c r="D28" s="12">
        <f t="shared" si="5"/>
        <v>8</v>
      </c>
      <c r="E28" s="20" t="s">
        <v>114</v>
      </c>
      <c r="F28" s="20" t="s">
        <v>1019</v>
      </c>
      <c r="G28" s="20" t="s">
        <v>1075</v>
      </c>
      <c r="H28" s="20" t="s">
        <v>1095</v>
      </c>
      <c r="I28" s="20">
        <v>3</v>
      </c>
      <c r="J28" s="20" t="s">
        <v>1096</v>
      </c>
      <c r="K28" s="20" t="s">
        <v>1103</v>
      </c>
      <c r="L28" s="20" t="s">
        <v>1098</v>
      </c>
      <c r="M28" s="20" t="s">
        <v>1019</v>
      </c>
      <c r="N28" s="20" t="s">
        <v>1080</v>
      </c>
      <c r="P28" s="20" t="s">
        <v>1019</v>
      </c>
      <c r="Q28" s="20" t="s">
        <v>1026</v>
      </c>
      <c r="R28" s="20" t="s">
        <v>84</v>
      </c>
      <c r="S28" s="20" t="s">
        <v>123</v>
      </c>
      <c r="T28" s="20" t="s">
        <v>124</v>
      </c>
      <c r="U28" s="20" t="s">
        <v>125</v>
      </c>
      <c r="V28" s="20" t="s">
        <v>87</v>
      </c>
      <c r="W28" s="20">
        <v>510</v>
      </c>
      <c r="X28" s="20">
        <v>510</v>
      </c>
      <c r="Y28" s="20" t="s">
        <v>1099</v>
      </c>
      <c r="Z28" s="20">
        <v>0.33333333333333331</v>
      </c>
      <c r="AA28" s="20" t="s">
        <v>1100</v>
      </c>
      <c r="AB28" s="20" t="s">
        <v>101</v>
      </c>
      <c r="AC28" s="20" t="s">
        <v>102</v>
      </c>
      <c r="AD28" s="20" t="s">
        <v>1101</v>
      </c>
      <c r="AE28" s="20" t="s">
        <v>91</v>
      </c>
      <c r="AF28" s="20">
        <v>0.33333333333333331</v>
      </c>
      <c r="AG28" s="20">
        <v>0</v>
      </c>
      <c r="AH28" s="20">
        <v>1</v>
      </c>
      <c r="AI28" s="7" t="s">
        <v>98</v>
      </c>
      <c r="AJ28" s="20">
        <v>40</v>
      </c>
      <c r="AK28" s="4" t="s">
        <v>1047</v>
      </c>
      <c r="AL28" s="4">
        <v>4</v>
      </c>
      <c r="AM28" s="4" t="s">
        <v>470</v>
      </c>
      <c r="AN28" s="4" t="s">
        <v>95</v>
      </c>
      <c r="AO28" s="4" t="s">
        <v>96</v>
      </c>
      <c r="AP28" s="4">
        <v>1</v>
      </c>
      <c r="AQ28" s="20">
        <v>39000</v>
      </c>
      <c r="AR28" s="4">
        <v>41780</v>
      </c>
      <c r="AS28" s="20">
        <v>3939.3939393939386</v>
      </c>
      <c r="AT28" s="20">
        <v>4873.42</v>
      </c>
      <c r="AU28" s="20">
        <v>934.02606060606149</v>
      </c>
      <c r="AV28" s="20">
        <v>287</v>
      </c>
      <c r="AW28" s="20">
        <v>450</v>
      </c>
      <c r="AX28" s="20">
        <v>20</v>
      </c>
      <c r="AY28" s="20">
        <v>757</v>
      </c>
      <c r="AZ28" s="20">
        <v>3.3</v>
      </c>
      <c r="BA28" s="20">
        <v>0</v>
      </c>
      <c r="BB28" s="6">
        <v>41733</v>
      </c>
      <c r="BC28" s="6">
        <v>0</v>
      </c>
      <c r="BD28" s="6">
        <v>41852</v>
      </c>
      <c r="BE28" s="6">
        <v>0</v>
      </c>
      <c r="BF28" s="6">
        <v>41855</v>
      </c>
      <c r="BG28" s="6">
        <v>41863</v>
      </c>
      <c r="BH28" s="6">
        <v>0</v>
      </c>
      <c r="BI28" s="6">
        <v>0</v>
      </c>
      <c r="BJ28" s="6">
        <v>0</v>
      </c>
      <c r="BK28" s="5" t="s">
        <v>401</v>
      </c>
      <c r="BL28" s="4">
        <v>0</v>
      </c>
      <c r="BM28" s="20">
        <v>0</v>
      </c>
      <c r="BN28" s="20">
        <v>40</v>
      </c>
      <c r="BO28" s="20">
        <v>0</v>
      </c>
      <c r="BP28" s="20">
        <v>0</v>
      </c>
      <c r="BQ28" s="20">
        <v>0</v>
      </c>
      <c r="BR28" s="20">
        <v>0</v>
      </c>
      <c r="BS28" s="20">
        <v>40</v>
      </c>
      <c r="BT28" s="20">
        <v>194936.8</v>
      </c>
      <c r="BU28" s="20">
        <v>1560000</v>
      </c>
      <c r="BV28" s="20">
        <v>7.2750851464773101</v>
      </c>
    </row>
    <row r="29" spans="1:74">
      <c r="A29" s="10">
        <f t="shared" si="1"/>
        <v>0</v>
      </c>
      <c r="B29" s="10">
        <f t="shared" si="2"/>
        <v>0</v>
      </c>
      <c r="C29" s="12" t="str">
        <f t="shared" si="3"/>
        <v/>
      </c>
      <c r="D29" s="12" t="str">
        <f t="shared" si="5"/>
        <v/>
      </c>
      <c r="E29" s="20" t="s">
        <v>91</v>
      </c>
      <c r="F29" s="20" t="s">
        <v>91</v>
      </c>
      <c r="G29" s="20" t="s">
        <v>91</v>
      </c>
      <c r="H29" s="20" t="s">
        <v>91</v>
      </c>
      <c r="I29" s="20">
        <v>0</v>
      </c>
      <c r="J29" s="20" t="s">
        <v>103</v>
      </c>
      <c r="K29" s="20" t="s">
        <v>104</v>
      </c>
      <c r="L29" s="20">
        <v>0</v>
      </c>
      <c r="M29" s="20" t="s">
        <v>105</v>
      </c>
      <c r="N29" s="20" t="s">
        <v>91</v>
      </c>
      <c r="O29" s="20" t="s">
        <v>1104</v>
      </c>
      <c r="Q29" s="20" t="s">
        <v>91</v>
      </c>
      <c r="R29" s="20" t="s">
        <v>91</v>
      </c>
      <c r="S29" s="20" t="s">
        <v>91</v>
      </c>
      <c r="U29" s="20" t="s">
        <v>91</v>
      </c>
      <c r="V29" s="20" t="s">
        <v>87</v>
      </c>
      <c r="X29" s="20" t="s">
        <v>91</v>
      </c>
      <c r="Y29" s="20" t="s">
        <v>91</v>
      </c>
      <c r="Z29" s="20">
        <v>3</v>
      </c>
      <c r="AB29" s="20" t="s">
        <v>91</v>
      </c>
      <c r="AD29" s="20" t="s">
        <v>91</v>
      </c>
      <c r="AE29" s="20" t="s">
        <v>91</v>
      </c>
      <c r="AF29" s="20">
        <v>3</v>
      </c>
      <c r="AG29" s="20">
        <v>0</v>
      </c>
      <c r="AH29" s="20">
        <v>1</v>
      </c>
      <c r="AI29" s="7"/>
      <c r="AM29" s="4" t="s">
        <v>91</v>
      </c>
      <c r="AP29" s="4" t="s">
        <v>91</v>
      </c>
      <c r="AQ29" s="20">
        <v>0</v>
      </c>
      <c r="AR29" s="4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 t="s">
        <v>91</v>
      </c>
      <c r="AY29" s="20">
        <v>0</v>
      </c>
      <c r="AZ29" s="20">
        <v>0</v>
      </c>
      <c r="BA29" s="20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5">
        <v>0</v>
      </c>
      <c r="BL29" s="4">
        <v>0</v>
      </c>
      <c r="BM29" s="20">
        <v>1428</v>
      </c>
      <c r="BN29" s="20">
        <v>140</v>
      </c>
      <c r="BO29" s="20">
        <v>0</v>
      </c>
      <c r="BP29" s="20">
        <v>0</v>
      </c>
      <c r="BQ29" s="20">
        <v>0</v>
      </c>
      <c r="BR29" s="20">
        <v>0</v>
      </c>
      <c r="BS29" s="20">
        <v>1570</v>
      </c>
      <c r="BT29" s="20">
        <v>7287755.3999999994</v>
      </c>
      <c r="BU29" s="20">
        <v>61230000</v>
      </c>
      <c r="BV29" s="20">
        <v>7.6379671529091606</v>
      </c>
    </row>
    <row r="30" spans="1:74">
      <c r="A30" s="10">
        <f t="shared" si="1"/>
        <v>0</v>
      </c>
      <c r="B30" s="10">
        <f t="shared" si="2"/>
        <v>0</v>
      </c>
      <c r="C30" s="12">
        <f t="shared" si="3"/>
        <v>4</v>
      </c>
      <c r="D30" s="12">
        <f t="shared" si="5"/>
        <v>7</v>
      </c>
      <c r="E30" s="20" t="s">
        <v>114</v>
      </c>
      <c r="F30" s="20" t="s">
        <v>1019</v>
      </c>
      <c r="G30" s="20" t="s">
        <v>1105</v>
      </c>
      <c r="H30" s="20" t="s">
        <v>1106</v>
      </c>
      <c r="I30" s="20">
        <v>1</v>
      </c>
      <c r="J30" s="20" t="s">
        <v>1107</v>
      </c>
      <c r="K30" s="20" t="s">
        <v>1108</v>
      </c>
      <c r="L30" s="20" t="s">
        <v>1109</v>
      </c>
      <c r="M30" s="20" t="s">
        <v>1019</v>
      </c>
      <c r="N30" s="20" t="s">
        <v>1080</v>
      </c>
      <c r="P30" s="20" t="s">
        <v>1019</v>
      </c>
      <c r="Q30" s="20" t="s">
        <v>1026</v>
      </c>
      <c r="R30" s="20" t="s">
        <v>84</v>
      </c>
      <c r="S30" s="20" t="s">
        <v>123</v>
      </c>
      <c r="T30" s="20" t="s">
        <v>124</v>
      </c>
      <c r="U30" s="20" t="s">
        <v>125</v>
      </c>
      <c r="V30" s="20" t="s">
        <v>87</v>
      </c>
      <c r="W30" s="20">
        <v>511</v>
      </c>
      <c r="X30" s="20">
        <v>511</v>
      </c>
      <c r="Y30" s="20" t="s">
        <v>1110</v>
      </c>
      <c r="Z30" s="20">
        <v>0.25</v>
      </c>
      <c r="AA30" s="20" t="s">
        <v>1111</v>
      </c>
      <c r="AB30" s="20" t="s">
        <v>89</v>
      </c>
      <c r="AC30" s="20" t="s">
        <v>90</v>
      </c>
      <c r="AD30" s="20" t="s">
        <v>1112</v>
      </c>
      <c r="AE30" s="20" t="s">
        <v>91</v>
      </c>
      <c r="AF30" s="20">
        <v>0.5</v>
      </c>
      <c r="AG30" s="20">
        <v>0</v>
      </c>
      <c r="AH30" s="20">
        <v>1</v>
      </c>
      <c r="AI30" s="7" t="s">
        <v>97</v>
      </c>
      <c r="AJ30" s="20">
        <v>250</v>
      </c>
      <c r="AK30" s="4" t="s">
        <v>1113</v>
      </c>
      <c r="AL30" s="4">
        <v>2</v>
      </c>
      <c r="AM30" s="4" t="s">
        <v>94</v>
      </c>
      <c r="AN30" s="4" t="s">
        <v>95</v>
      </c>
      <c r="AO30" s="4" t="s">
        <v>1018</v>
      </c>
      <c r="AP30" s="4">
        <v>1</v>
      </c>
      <c r="AQ30" s="20">
        <v>45000</v>
      </c>
      <c r="AR30" s="4">
        <v>41780</v>
      </c>
      <c r="AS30" s="20">
        <v>8181.8181818181811</v>
      </c>
      <c r="AT30" s="20">
        <v>8250</v>
      </c>
      <c r="AU30" s="20">
        <v>68.181818181818926</v>
      </c>
      <c r="AV30" s="20">
        <v>0</v>
      </c>
      <c r="AW30" s="20">
        <v>0</v>
      </c>
      <c r="AX30" s="20" t="s">
        <v>91</v>
      </c>
      <c r="AY30" s="20">
        <v>0</v>
      </c>
      <c r="AZ30" s="20">
        <v>7.5</v>
      </c>
      <c r="BA30" s="20">
        <v>0</v>
      </c>
      <c r="BB30" s="6">
        <v>41733</v>
      </c>
      <c r="BC30" s="6">
        <v>0</v>
      </c>
      <c r="BD30" s="6">
        <v>41852</v>
      </c>
      <c r="BE30" s="6">
        <v>0</v>
      </c>
      <c r="BF30" s="6">
        <v>41850</v>
      </c>
      <c r="BG30" s="6">
        <v>0</v>
      </c>
      <c r="BH30" s="6">
        <v>0</v>
      </c>
      <c r="BI30" s="6">
        <v>0</v>
      </c>
      <c r="BJ30" s="6">
        <v>0</v>
      </c>
      <c r="BK30" s="5" t="s">
        <v>401</v>
      </c>
      <c r="BL30" s="4">
        <v>0</v>
      </c>
      <c r="BM30" s="20">
        <v>250</v>
      </c>
      <c r="BN30" s="20">
        <v>0</v>
      </c>
      <c r="BO30" s="20">
        <v>0</v>
      </c>
      <c r="BP30" s="20">
        <v>0</v>
      </c>
      <c r="BQ30" s="20">
        <v>0</v>
      </c>
      <c r="BR30" s="20">
        <v>0</v>
      </c>
      <c r="BS30" s="20">
        <v>250</v>
      </c>
      <c r="BT30" s="20">
        <v>2062500</v>
      </c>
      <c r="BU30" s="20">
        <v>11250000</v>
      </c>
      <c r="BV30" s="20">
        <v>4.9586776859504136</v>
      </c>
    </row>
    <row r="31" spans="1:74">
      <c r="A31" s="10">
        <f t="shared" si="1"/>
        <v>0</v>
      </c>
      <c r="B31" s="10">
        <f t="shared" si="2"/>
        <v>0</v>
      </c>
      <c r="C31" s="12">
        <f t="shared" si="3"/>
        <v>4</v>
      </c>
      <c r="D31" s="12">
        <f t="shared" si="5"/>
        <v>7</v>
      </c>
      <c r="E31" s="20" t="s">
        <v>114</v>
      </c>
      <c r="F31" s="20" t="s">
        <v>1019</v>
      </c>
      <c r="G31" s="20" t="s">
        <v>1105</v>
      </c>
      <c r="H31" s="20" t="s">
        <v>1106</v>
      </c>
      <c r="I31" s="20">
        <v>1</v>
      </c>
      <c r="J31" s="20" t="s">
        <v>1107</v>
      </c>
      <c r="K31" s="20" t="s">
        <v>1114</v>
      </c>
      <c r="L31" s="20" t="s">
        <v>1109</v>
      </c>
      <c r="M31" s="20" t="s">
        <v>1019</v>
      </c>
      <c r="N31" s="20" t="s">
        <v>1080</v>
      </c>
      <c r="P31" s="20" t="s">
        <v>1019</v>
      </c>
      <c r="Q31" s="20" t="s">
        <v>1026</v>
      </c>
      <c r="R31" s="20" t="s">
        <v>84</v>
      </c>
      <c r="S31" s="20" t="s">
        <v>123</v>
      </c>
      <c r="T31" s="20" t="s">
        <v>124</v>
      </c>
      <c r="U31" s="20" t="s">
        <v>125</v>
      </c>
      <c r="V31" s="20" t="s">
        <v>87</v>
      </c>
      <c r="W31" s="20">
        <v>511</v>
      </c>
      <c r="X31" s="20">
        <v>511</v>
      </c>
      <c r="Y31" s="20" t="s">
        <v>1110</v>
      </c>
      <c r="Z31" s="20">
        <v>0.25</v>
      </c>
      <c r="AA31" s="20" t="s">
        <v>1111</v>
      </c>
      <c r="AB31" s="20" t="s">
        <v>89</v>
      </c>
      <c r="AC31" s="20" t="s">
        <v>90</v>
      </c>
      <c r="AD31" s="20" t="s">
        <v>1112</v>
      </c>
      <c r="AE31" s="20" t="s">
        <v>91</v>
      </c>
      <c r="AF31" s="20">
        <v>0.5</v>
      </c>
      <c r="AG31" s="20">
        <v>0</v>
      </c>
      <c r="AH31" s="20">
        <v>1</v>
      </c>
      <c r="AI31" s="7" t="s">
        <v>98</v>
      </c>
      <c r="AJ31" s="20">
        <v>150</v>
      </c>
      <c r="AK31" s="4" t="s">
        <v>1113</v>
      </c>
      <c r="AL31" s="4">
        <v>2</v>
      </c>
      <c r="AM31" s="4" t="s">
        <v>94</v>
      </c>
      <c r="AN31" s="4" t="s">
        <v>95</v>
      </c>
      <c r="AO31" s="4" t="s">
        <v>1018</v>
      </c>
      <c r="AP31" s="4">
        <v>1</v>
      </c>
      <c r="AQ31" s="20">
        <v>45000</v>
      </c>
      <c r="AR31" s="4">
        <v>41780</v>
      </c>
      <c r="AS31" s="20">
        <v>8181.8181818181811</v>
      </c>
      <c r="AT31" s="20">
        <v>8250</v>
      </c>
      <c r="AU31" s="20">
        <v>68.181818181818926</v>
      </c>
      <c r="AV31" s="20">
        <v>0</v>
      </c>
      <c r="AW31" s="20">
        <v>0</v>
      </c>
      <c r="AX31" s="20" t="s">
        <v>91</v>
      </c>
      <c r="AY31" s="20">
        <v>0</v>
      </c>
      <c r="AZ31" s="20">
        <v>7.5</v>
      </c>
      <c r="BA31" s="20">
        <v>0</v>
      </c>
      <c r="BB31" s="6">
        <v>41733</v>
      </c>
      <c r="BC31" s="6">
        <v>0</v>
      </c>
      <c r="BD31" s="6">
        <v>41852</v>
      </c>
      <c r="BE31" s="6">
        <v>0</v>
      </c>
      <c r="BF31" s="6">
        <v>41850</v>
      </c>
      <c r="BG31" s="6">
        <v>0</v>
      </c>
      <c r="BH31" s="6">
        <v>0</v>
      </c>
      <c r="BI31" s="6">
        <v>0</v>
      </c>
      <c r="BJ31" s="6">
        <v>0</v>
      </c>
      <c r="BK31" s="5" t="s">
        <v>401</v>
      </c>
      <c r="BL31" s="4">
        <v>0</v>
      </c>
      <c r="BM31" s="20">
        <v>150</v>
      </c>
      <c r="BN31" s="20">
        <v>0</v>
      </c>
      <c r="BO31" s="20">
        <v>0</v>
      </c>
      <c r="BP31" s="20">
        <v>0</v>
      </c>
      <c r="BQ31" s="20">
        <v>0</v>
      </c>
      <c r="BR31" s="20">
        <v>0</v>
      </c>
      <c r="BS31" s="20">
        <v>150</v>
      </c>
      <c r="BT31" s="20">
        <v>1237500</v>
      </c>
      <c r="BU31" s="20">
        <v>6750000</v>
      </c>
      <c r="BV31" s="20">
        <v>4.9586776859504136</v>
      </c>
    </row>
    <row r="32" spans="1:74">
      <c r="A32" s="10">
        <f t="shared" si="1"/>
        <v>0</v>
      </c>
      <c r="B32" s="10">
        <f t="shared" si="2"/>
        <v>0</v>
      </c>
      <c r="C32" s="12">
        <f t="shared" si="3"/>
        <v>4</v>
      </c>
      <c r="D32" s="12">
        <f t="shared" si="5"/>
        <v>7</v>
      </c>
      <c r="E32" s="20" t="s">
        <v>114</v>
      </c>
      <c r="F32" s="20" t="s">
        <v>1019</v>
      </c>
      <c r="G32" s="20" t="s">
        <v>1105</v>
      </c>
      <c r="H32" s="20" t="s">
        <v>1115</v>
      </c>
      <c r="I32" s="20">
        <v>2</v>
      </c>
      <c r="J32" s="20" t="s">
        <v>1116</v>
      </c>
      <c r="K32" s="20" t="s">
        <v>1117</v>
      </c>
      <c r="L32" s="20" t="s">
        <v>1109</v>
      </c>
      <c r="M32" s="20" t="s">
        <v>1019</v>
      </c>
      <c r="N32" s="20" t="s">
        <v>1080</v>
      </c>
      <c r="P32" s="20" t="s">
        <v>1019</v>
      </c>
      <c r="Q32" s="20" t="s">
        <v>1026</v>
      </c>
      <c r="R32" s="20" t="s">
        <v>84</v>
      </c>
      <c r="S32" s="20" t="s">
        <v>123</v>
      </c>
      <c r="T32" s="20" t="s">
        <v>124</v>
      </c>
      <c r="U32" s="20" t="s">
        <v>125</v>
      </c>
      <c r="V32" s="20" t="s">
        <v>87</v>
      </c>
      <c r="W32" s="20">
        <v>511</v>
      </c>
      <c r="X32" s="20">
        <v>511</v>
      </c>
      <c r="Y32" s="20" t="s">
        <v>1110</v>
      </c>
      <c r="Z32" s="20">
        <v>0.25</v>
      </c>
      <c r="AA32" s="20" t="s">
        <v>1118</v>
      </c>
      <c r="AB32" s="20" t="s">
        <v>176</v>
      </c>
      <c r="AC32" s="20" t="s">
        <v>177</v>
      </c>
      <c r="AD32" s="20" t="s">
        <v>1119</v>
      </c>
      <c r="AE32" s="20" t="s">
        <v>91</v>
      </c>
      <c r="AF32" s="20">
        <v>0.5</v>
      </c>
      <c r="AG32" s="20">
        <v>0</v>
      </c>
      <c r="AH32" s="20">
        <v>1</v>
      </c>
      <c r="AI32" s="7" t="s">
        <v>97</v>
      </c>
      <c r="AJ32" s="20">
        <v>250</v>
      </c>
      <c r="AK32" s="4" t="s">
        <v>1113</v>
      </c>
      <c r="AL32" s="4">
        <v>2</v>
      </c>
      <c r="AM32" s="4" t="s">
        <v>94</v>
      </c>
      <c r="AN32" s="4" t="s">
        <v>95</v>
      </c>
      <c r="AO32" s="4" t="s">
        <v>1018</v>
      </c>
      <c r="AP32" s="4">
        <v>1</v>
      </c>
      <c r="AQ32" s="20">
        <v>45000</v>
      </c>
      <c r="AR32" s="4">
        <v>41780</v>
      </c>
      <c r="AS32" s="20">
        <v>8181.8181818181811</v>
      </c>
      <c r="AT32" s="20">
        <v>8250</v>
      </c>
      <c r="AU32" s="20">
        <v>68.181818181818926</v>
      </c>
      <c r="AV32" s="20">
        <v>0</v>
      </c>
      <c r="AW32" s="20">
        <v>0</v>
      </c>
      <c r="AX32" s="20" t="s">
        <v>91</v>
      </c>
      <c r="AY32" s="20">
        <v>0</v>
      </c>
      <c r="AZ32" s="20">
        <v>7.5</v>
      </c>
      <c r="BA32" s="20">
        <v>0</v>
      </c>
      <c r="BB32" s="6">
        <v>41733</v>
      </c>
      <c r="BC32" s="6">
        <v>0</v>
      </c>
      <c r="BD32" s="6">
        <v>41852</v>
      </c>
      <c r="BE32" s="6">
        <v>0</v>
      </c>
      <c r="BF32" s="6">
        <v>41850</v>
      </c>
      <c r="BG32" s="6">
        <v>0</v>
      </c>
      <c r="BH32" s="6">
        <v>0</v>
      </c>
      <c r="BI32" s="6">
        <v>0</v>
      </c>
      <c r="BJ32" s="6">
        <v>0</v>
      </c>
      <c r="BK32" s="5" t="s">
        <v>401</v>
      </c>
      <c r="BL32" s="4">
        <v>0</v>
      </c>
      <c r="BM32" s="20">
        <v>250</v>
      </c>
      <c r="BN32" s="20">
        <v>0</v>
      </c>
      <c r="BO32" s="20">
        <v>0</v>
      </c>
      <c r="BP32" s="20">
        <v>0</v>
      </c>
      <c r="BQ32" s="20">
        <v>0</v>
      </c>
      <c r="BR32" s="20">
        <v>0</v>
      </c>
      <c r="BS32" s="20">
        <v>250</v>
      </c>
      <c r="BT32" s="20">
        <v>2062500</v>
      </c>
      <c r="BU32" s="20">
        <v>11250000</v>
      </c>
      <c r="BV32" s="20">
        <v>4.9586776859504136</v>
      </c>
    </row>
    <row r="33" spans="1:74">
      <c r="A33" s="10">
        <f t="shared" si="1"/>
        <v>0</v>
      </c>
      <c r="B33" s="10">
        <f t="shared" si="2"/>
        <v>0</v>
      </c>
      <c r="C33" s="12">
        <f t="shared" si="3"/>
        <v>4</v>
      </c>
      <c r="D33" s="12">
        <f t="shared" si="5"/>
        <v>7</v>
      </c>
      <c r="E33" s="20" t="s">
        <v>114</v>
      </c>
      <c r="F33" s="20" t="s">
        <v>1019</v>
      </c>
      <c r="G33" s="20" t="s">
        <v>1105</v>
      </c>
      <c r="H33" s="20" t="s">
        <v>1115</v>
      </c>
      <c r="I33" s="20">
        <v>2</v>
      </c>
      <c r="J33" s="20" t="s">
        <v>1116</v>
      </c>
      <c r="K33" s="20" t="s">
        <v>1120</v>
      </c>
      <c r="L33" s="20" t="s">
        <v>1109</v>
      </c>
      <c r="M33" s="20" t="s">
        <v>1019</v>
      </c>
      <c r="N33" s="20" t="s">
        <v>1080</v>
      </c>
      <c r="P33" s="20" t="s">
        <v>1019</v>
      </c>
      <c r="Q33" s="20" t="s">
        <v>1026</v>
      </c>
      <c r="R33" s="20" t="s">
        <v>84</v>
      </c>
      <c r="S33" s="20" t="s">
        <v>123</v>
      </c>
      <c r="T33" s="20" t="s">
        <v>124</v>
      </c>
      <c r="U33" s="20" t="s">
        <v>125</v>
      </c>
      <c r="V33" s="20" t="s">
        <v>87</v>
      </c>
      <c r="W33" s="20">
        <v>511</v>
      </c>
      <c r="X33" s="20">
        <v>511</v>
      </c>
      <c r="Y33" s="20" t="s">
        <v>1110</v>
      </c>
      <c r="Z33" s="20">
        <v>0.25</v>
      </c>
      <c r="AA33" s="20" t="s">
        <v>1118</v>
      </c>
      <c r="AB33" s="20" t="s">
        <v>176</v>
      </c>
      <c r="AC33" s="20" t="s">
        <v>177</v>
      </c>
      <c r="AD33" s="20" t="s">
        <v>1119</v>
      </c>
      <c r="AE33" s="20" t="s">
        <v>91</v>
      </c>
      <c r="AF33" s="20">
        <v>0.5</v>
      </c>
      <c r="AG33" s="20">
        <v>0</v>
      </c>
      <c r="AH33" s="20">
        <v>1</v>
      </c>
      <c r="AI33" s="7" t="s">
        <v>98</v>
      </c>
      <c r="AJ33" s="20">
        <v>150</v>
      </c>
      <c r="AK33" s="4" t="s">
        <v>1113</v>
      </c>
      <c r="AL33" s="4">
        <v>2</v>
      </c>
      <c r="AM33" s="4" t="s">
        <v>94</v>
      </c>
      <c r="AN33" s="4" t="s">
        <v>95</v>
      </c>
      <c r="AO33" s="4" t="s">
        <v>1018</v>
      </c>
      <c r="AP33" s="4">
        <v>1</v>
      </c>
      <c r="AQ33" s="20">
        <v>45000</v>
      </c>
      <c r="AR33" s="4">
        <v>41780</v>
      </c>
      <c r="AS33" s="20">
        <v>8181.8181818181811</v>
      </c>
      <c r="AT33" s="20">
        <v>8250</v>
      </c>
      <c r="AU33" s="20">
        <v>68.181818181818926</v>
      </c>
      <c r="AV33" s="20">
        <v>0</v>
      </c>
      <c r="AW33" s="20">
        <v>0</v>
      </c>
      <c r="AX33" s="20" t="s">
        <v>91</v>
      </c>
      <c r="AY33" s="20">
        <v>0</v>
      </c>
      <c r="AZ33" s="20">
        <v>7.5</v>
      </c>
      <c r="BA33" s="20">
        <v>0</v>
      </c>
      <c r="BB33" s="6">
        <v>41733</v>
      </c>
      <c r="BC33" s="6">
        <v>0</v>
      </c>
      <c r="BD33" s="6">
        <v>41852</v>
      </c>
      <c r="BE33" s="6">
        <v>0</v>
      </c>
      <c r="BF33" s="6">
        <v>41850</v>
      </c>
      <c r="BG33" s="6">
        <v>0</v>
      </c>
      <c r="BH33" s="6">
        <v>0</v>
      </c>
      <c r="BI33" s="6">
        <v>0</v>
      </c>
      <c r="BJ33" s="6">
        <v>0</v>
      </c>
      <c r="BK33" s="5" t="s">
        <v>401</v>
      </c>
      <c r="BL33" s="4">
        <v>0</v>
      </c>
      <c r="BM33" s="20">
        <v>150</v>
      </c>
      <c r="BN33" s="20">
        <v>0</v>
      </c>
      <c r="BO33" s="20">
        <v>0</v>
      </c>
      <c r="BP33" s="20">
        <v>0</v>
      </c>
      <c r="BQ33" s="20">
        <v>0</v>
      </c>
      <c r="BR33" s="20">
        <v>0</v>
      </c>
      <c r="BS33" s="20">
        <v>150</v>
      </c>
      <c r="BT33" s="20">
        <v>1237500</v>
      </c>
      <c r="BU33" s="20">
        <v>6750000</v>
      </c>
      <c r="BV33" s="20">
        <v>4.9586776859504136</v>
      </c>
    </row>
    <row r="34" spans="1:74">
      <c r="A34" s="10">
        <f t="shared" si="1"/>
        <v>0</v>
      </c>
      <c r="B34" s="10">
        <f t="shared" si="2"/>
        <v>0</v>
      </c>
      <c r="C34" s="12" t="str">
        <f t="shared" si="3"/>
        <v/>
      </c>
      <c r="D34" s="12" t="str">
        <f t="shared" si="5"/>
        <v/>
      </c>
      <c r="E34" s="20" t="s">
        <v>91</v>
      </c>
      <c r="F34" s="20" t="s">
        <v>91</v>
      </c>
      <c r="G34" s="20" t="s">
        <v>91</v>
      </c>
      <c r="H34" s="20" t="s">
        <v>91</v>
      </c>
      <c r="I34" s="20">
        <v>0</v>
      </c>
      <c r="J34" s="20" t="s">
        <v>103</v>
      </c>
      <c r="K34" s="20" t="s">
        <v>104</v>
      </c>
      <c r="L34" s="20">
        <v>0</v>
      </c>
      <c r="M34" s="20" t="s">
        <v>105</v>
      </c>
      <c r="N34" s="20" t="s">
        <v>91</v>
      </c>
      <c r="O34" s="20" t="s">
        <v>1121</v>
      </c>
      <c r="Q34" s="20" t="s">
        <v>91</v>
      </c>
      <c r="R34" s="20" t="s">
        <v>91</v>
      </c>
      <c r="S34" s="20" t="s">
        <v>91</v>
      </c>
      <c r="U34" s="20" t="s">
        <v>91</v>
      </c>
      <c r="V34" s="20" t="s">
        <v>87</v>
      </c>
      <c r="X34" s="20" t="s">
        <v>91</v>
      </c>
      <c r="Y34" s="20" t="s">
        <v>91</v>
      </c>
      <c r="Z34" s="20">
        <v>1</v>
      </c>
      <c r="AB34" s="20" t="s">
        <v>91</v>
      </c>
      <c r="AD34" s="20" t="s">
        <v>91</v>
      </c>
      <c r="AE34" s="20" t="s">
        <v>91</v>
      </c>
      <c r="AF34" s="20">
        <v>2</v>
      </c>
      <c r="AG34" s="20">
        <v>0</v>
      </c>
      <c r="AH34" s="20">
        <v>1</v>
      </c>
      <c r="AI34" s="7"/>
      <c r="AM34" s="4" t="s">
        <v>91</v>
      </c>
      <c r="AP34" s="4" t="s">
        <v>91</v>
      </c>
      <c r="AQ34" s="20">
        <v>0</v>
      </c>
      <c r="AR34" s="4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 t="s">
        <v>91</v>
      </c>
      <c r="AY34" s="20">
        <v>0</v>
      </c>
      <c r="AZ34" s="20">
        <v>0</v>
      </c>
      <c r="BA34" s="20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5">
        <v>0</v>
      </c>
      <c r="BL34" s="4">
        <v>0</v>
      </c>
      <c r="BM34" s="20">
        <v>800</v>
      </c>
      <c r="BN34" s="20">
        <v>0</v>
      </c>
      <c r="BO34" s="20">
        <v>0</v>
      </c>
      <c r="BP34" s="20">
        <v>0</v>
      </c>
      <c r="BQ34" s="20">
        <v>0</v>
      </c>
      <c r="BR34" s="20">
        <v>0</v>
      </c>
      <c r="BS34" s="20">
        <v>800</v>
      </c>
      <c r="BT34" s="20">
        <v>6600000</v>
      </c>
      <c r="BU34" s="20">
        <v>36000000</v>
      </c>
      <c r="BV34" s="20">
        <v>4.9586776859504127</v>
      </c>
    </row>
    <row r="35" spans="1:74">
      <c r="A35" s="10">
        <f t="shared" si="1"/>
        <v>0</v>
      </c>
      <c r="B35" s="10">
        <f t="shared" si="2"/>
        <v>0.5</v>
      </c>
      <c r="C35" s="12">
        <f t="shared" si="3"/>
        <v>4</v>
      </c>
      <c r="D35" s="12">
        <f t="shared" si="5"/>
        <v>9</v>
      </c>
      <c r="E35" s="20" t="s">
        <v>114</v>
      </c>
      <c r="F35" s="20" t="s">
        <v>1019</v>
      </c>
      <c r="G35" s="20" t="s">
        <v>1122</v>
      </c>
      <c r="H35" s="20" t="s">
        <v>1123</v>
      </c>
      <c r="I35" s="20">
        <v>1</v>
      </c>
      <c r="J35" s="20" t="s">
        <v>1124</v>
      </c>
      <c r="K35" s="20" t="s">
        <v>1125</v>
      </c>
      <c r="L35" s="20" t="s">
        <v>1126</v>
      </c>
      <c r="M35" s="20" t="s">
        <v>1019</v>
      </c>
      <c r="N35" s="20" t="s">
        <v>1080</v>
      </c>
      <c r="P35" s="20" t="s">
        <v>1019</v>
      </c>
      <c r="Q35" s="20" t="s">
        <v>1026</v>
      </c>
      <c r="R35" s="20" t="s">
        <v>84</v>
      </c>
      <c r="S35" s="20">
        <v>5</v>
      </c>
      <c r="T35" s="20" t="s">
        <v>106</v>
      </c>
      <c r="U35" s="20" t="s">
        <v>107</v>
      </c>
      <c r="V35" s="20" t="s">
        <v>87</v>
      </c>
      <c r="W35" s="20">
        <v>517</v>
      </c>
      <c r="X35" s="20">
        <v>517</v>
      </c>
      <c r="Y35" s="20" t="s">
        <v>1127</v>
      </c>
      <c r="Z35" s="20">
        <v>0.5</v>
      </c>
      <c r="AA35" s="20" t="s">
        <v>1128</v>
      </c>
      <c r="AB35" s="20" t="s">
        <v>248</v>
      </c>
      <c r="AC35" s="20" t="s">
        <v>249</v>
      </c>
      <c r="AD35" s="20" t="s">
        <v>1129</v>
      </c>
      <c r="AE35" s="20" t="s">
        <v>91</v>
      </c>
      <c r="AF35" s="20">
        <v>0.5</v>
      </c>
      <c r="AG35" s="20" t="s">
        <v>2438</v>
      </c>
      <c r="AH35" s="20">
        <v>1</v>
      </c>
      <c r="AI35" s="7" t="s">
        <v>97</v>
      </c>
      <c r="AJ35" s="20">
        <v>250</v>
      </c>
      <c r="AK35" s="4" t="s">
        <v>1047</v>
      </c>
      <c r="AL35" s="4">
        <v>5</v>
      </c>
      <c r="AM35" s="4" t="s">
        <v>485</v>
      </c>
      <c r="AN35" s="4" t="s">
        <v>95</v>
      </c>
      <c r="AO35" s="4" t="s">
        <v>96</v>
      </c>
      <c r="AP35" s="4">
        <v>1</v>
      </c>
      <c r="AQ35" s="20">
        <v>53000</v>
      </c>
      <c r="AR35" s="4">
        <v>41780</v>
      </c>
      <c r="AS35" s="20">
        <v>5353.5353535353534</v>
      </c>
      <c r="AT35" s="20">
        <v>7017.82</v>
      </c>
      <c r="AU35" s="20">
        <v>1664.2846464646464</v>
      </c>
      <c r="AV35" s="20">
        <v>1184</v>
      </c>
      <c r="AW35" s="20">
        <v>450</v>
      </c>
      <c r="AX35" s="20">
        <v>20</v>
      </c>
      <c r="AY35" s="20">
        <v>1654</v>
      </c>
      <c r="AZ35" s="20">
        <v>4.3</v>
      </c>
      <c r="BA35" s="20">
        <v>0</v>
      </c>
      <c r="BB35" s="6">
        <v>41733</v>
      </c>
      <c r="BC35" s="6">
        <v>0</v>
      </c>
      <c r="BD35" s="6">
        <v>41879</v>
      </c>
      <c r="BE35" s="6">
        <v>0</v>
      </c>
      <c r="BF35" s="6">
        <v>41894</v>
      </c>
      <c r="BG35" s="6">
        <v>0</v>
      </c>
      <c r="BH35" s="6">
        <v>0</v>
      </c>
      <c r="BI35" s="6">
        <v>0</v>
      </c>
      <c r="BJ35" s="6">
        <v>0</v>
      </c>
      <c r="BK35" s="5" t="s">
        <v>401</v>
      </c>
      <c r="BL35" s="4">
        <v>0</v>
      </c>
      <c r="BM35" s="20">
        <v>250</v>
      </c>
      <c r="BN35" s="20">
        <v>0</v>
      </c>
      <c r="BO35" s="20">
        <v>0</v>
      </c>
      <c r="BP35" s="20">
        <v>0</v>
      </c>
      <c r="BQ35" s="20">
        <v>0</v>
      </c>
      <c r="BR35" s="20">
        <v>0</v>
      </c>
      <c r="BS35" s="20">
        <v>250</v>
      </c>
      <c r="BT35" s="20">
        <v>1754455</v>
      </c>
      <c r="BU35" s="20">
        <v>13250000</v>
      </c>
      <c r="BV35" s="20">
        <v>6.8656389280172725</v>
      </c>
    </row>
    <row r="36" spans="1:74">
      <c r="A36" s="10">
        <f t="shared" si="1"/>
        <v>0</v>
      </c>
      <c r="B36" s="10">
        <f t="shared" si="2"/>
        <v>0.5</v>
      </c>
      <c r="C36" s="12">
        <f t="shared" si="3"/>
        <v>4</v>
      </c>
      <c r="D36" s="12">
        <f t="shared" si="5"/>
        <v>9</v>
      </c>
      <c r="E36" s="20" t="s">
        <v>114</v>
      </c>
      <c r="F36" s="20" t="s">
        <v>1019</v>
      </c>
      <c r="G36" s="20" t="s">
        <v>1122</v>
      </c>
      <c r="H36" s="20" t="s">
        <v>1123</v>
      </c>
      <c r="I36" s="20">
        <v>1</v>
      </c>
      <c r="J36" s="20" t="s">
        <v>1124</v>
      </c>
      <c r="K36" s="20" t="s">
        <v>1130</v>
      </c>
      <c r="L36" s="20" t="s">
        <v>1126</v>
      </c>
      <c r="M36" s="20" t="s">
        <v>1019</v>
      </c>
      <c r="N36" s="20" t="s">
        <v>1080</v>
      </c>
      <c r="P36" s="20" t="s">
        <v>1019</v>
      </c>
      <c r="Q36" s="20" t="s">
        <v>1026</v>
      </c>
      <c r="R36" s="20" t="s">
        <v>84</v>
      </c>
      <c r="S36" s="20">
        <v>5</v>
      </c>
      <c r="T36" s="20" t="s">
        <v>106</v>
      </c>
      <c r="U36" s="20" t="s">
        <v>107</v>
      </c>
      <c r="V36" s="20" t="s">
        <v>87</v>
      </c>
      <c r="W36" s="20">
        <v>517</v>
      </c>
      <c r="X36" s="20">
        <v>517</v>
      </c>
      <c r="Y36" s="20" t="s">
        <v>1127</v>
      </c>
      <c r="Z36" s="20">
        <v>0.5</v>
      </c>
      <c r="AA36" s="20" t="s">
        <v>1128</v>
      </c>
      <c r="AB36" s="20" t="s">
        <v>248</v>
      </c>
      <c r="AC36" s="20" t="s">
        <v>249</v>
      </c>
      <c r="AD36" s="20" t="s">
        <v>1129</v>
      </c>
      <c r="AE36" s="20" t="s">
        <v>91</v>
      </c>
      <c r="AF36" s="20">
        <v>0.5</v>
      </c>
      <c r="AG36" s="20" t="s">
        <v>2438</v>
      </c>
      <c r="AH36" s="20">
        <v>1</v>
      </c>
      <c r="AI36" s="7" t="s">
        <v>98</v>
      </c>
      <c r="AJ36" s="20">
        <v>150</v>
      </c>
      <c r="AK36" s="4" t="s">
        <v>1047</v>
      </c>
      <c r="AL36" s="4">
        <v>5</v>
      </c>
      <c r="AM36" s="4" t="s">
        <v>485</v>
      </c>
      <c r="AN36" s="4" t="s">
        <v>95</v>
      </c>
      <c r="AO36" s="4" t="s">
        <v>96</v>
      </c>
      <c r="AP36" s="4">
        <v>1</v>
      </c>
      <c r="AQ36" s="20">
        <v>53000</v>
      </c>
      <c r="AR36" s="4">
        <v>41780</v>
      </c>
      <c r="AS36" s="20">
        <v>5353.5353535353534</v>
      </c>
      <c r="AT36" s="20">
        <v>7017.82</v>
      </c>
      <c r="AU36" s="20">
        <v>1664.2846464646464</v>
      </c>
      <c r="AV36" s="20">
        <v>1184</v>
      </c>
      <c r="AW36" s="20">
        <v>450</v>
      </c>
      <c r="AX36" s="20">
        <v>20</v>
      </c>
      <c r="AY36" s="20">
        <v>1654</v>
      </c>
      <c r="AZ36" s="20">
        <v>4.3</v>
      </c>
      <c r="BA36" s="20">
        <v>0</v>
      </c>
      <c r="BB36" s="6">
        <v>41733</v>
      </c>
      <c r="BC36" s="6">
        <v>0</v>
      </c>
      <c r="BD36" s="6">
        <v>41879</v>
      </c>
      <c r="BE36" s="6">
        <v>0</v>
      </c>
      <c r="BF36" s="6">
        <v>41894</v>
      </c>
      <c r="BG36" s="6">
        <v>0</v>
      </c>
      <c r="BH36" s="6">
        <v>0</v>
      </c>
      <c r="BI36" s="6">
        <v>0</v>
      </c>
      <c r="BJ36" s="6">
        <v>0</v>
      </c>
      <c r="BK36" s="5" t="s">
        <v>401</v>
      </c>
      <c r="BL36" s="4">
        <v>0</v>
      </c>
      <c r="BM36" s="20">
        <v>150</v>
      </c>
      <c r="BN36" s="20">
        <v>0</v>
      </c>
      <c r="BO36" s="20">
        <v>0</v>
      </c>
      <c r="BP36" s="20">
        <v>0</v>
      </c>
      <c r="BQ36" s="20">
        <v>0</v>
      </c>
      <c r="BR36" s="20">
        <v>0</v>
      </c>
      <c r="BS36" s="20">
        <v>150</v>
      </c>
      <c r="BT36" s="20">
        <v>1052673</v>
      </c>
      <c r="BU36" s="20">
        <v>7950000</v>
      </c>
      <c r="BV36" s="20">
        <v>6.8656389280172734</v>
      </c>
    </row>
    <row r="37" spans="1:74">
      <c r="A37" s="10">
        <f t="shared" si="1"/>
        <v>0</v>
      </c>
      <c r="B37" s="10">
        <f t="shared" si="2"/>
        <v>0.5</v>
      </c>
      <c r="C37" s="12">
        <f t="shared" si="3"/>
        <v>4</v>
      </c>
      <c r="D37" s="12">
        <f t="shared" si="5"/>
        <v>9</v>
      </c>
      <c r="E37" s="20" t="s">
        <v>114</v>
      </c>
      <c r="F37" s="20" t="s">
        <v>1019</v>
      </c>
      <c r="G37" s="20" t="s">
        <v>1122</v>
      </c>
      <c r="H37" s="20" t="s">
        <v>1131</v>
      </c>
      <c r="I37" s="20">
        <v>2</v>
      </c>
      <c r="J37" s="20" t="s">
        <v>1132</v>
      </c>
      <c r="K37" s="20" t="s">
        <v>1133</v>
      </c>
      <c r="L37" s="20" t="s">
        <v>1134</v>
      </c>
      <c r="M37" s="20" t="s">
        <v>1019</v>
      </c>
      <c r="N37" s="20" t="s">
        <v>1080</v>
      </c>
      <c r="P37" s="20" t="s">
        <v>1019</v>
      </c>
      <c r="Q37" s="20" t="s">
        <v>1026</v>
      </c>
      <c r="R37" s="20" t="s">
        <v>84</v>
      </c>
      <c r="S37" s="20">
        <v>5</v>
      </c>
      <c r="T37" s="20" t="s">
        <v>106</v>
      </c>
      <c r="U37" s="20" t="s">
        <v>107</v>
      </c>
      <c r="V37" s="20" t="s">
        <v>87</v>
      </c>
      <c r="W37" s="20">
        <v>518</v>
      </c>
      <c r="X37" s="20">
        <v>518</v>
      </c>
      <c r="Y37" s="20" t="s">
        <v>1135</v>
      </c>
      <c r="Z37" s="20">
        <v>0.5</v>
      </c>
      <c r="AA37" s="20" t="s">
        <v>1136</v>
      </c>
      <c r="AB37" s="20" t="s">
        <v>176</v>
      </c>
      <c r="AC37" s="20" t="s">
        <v>177</v>
      </c>
      <c r="AD37" s="20" t="s">
        <v>1137</v>
      </c>
      <c r="AE37" s="20" t="s">
        <v>91</v>
      </c>
      <c r="AF37" s="20">
        <v>0.5</v>
      </c>
      <c r="AG37" s="20" t="s">
        <v>2441</v>
      </c>
      <c r="AH37" s="20">
        <v>1</v>
      </c>
      <c r="AI37" s="7" t="s">
        <v>97</v>
      </c>
      <c r="AJ37" s="20">
        <v>250</v>
      </c>
      <c r="AK37" s="4" t="s">
        <v>1047</v>
      </c>
      <c r="AL37" s="4">
        <v>5</v>
      </c>
      <c r="AM37" s="4" t="s">
        <v>485</v>
      </c>
      <c r="AN37" s="4" t="s">
        <v>95</v>
      </c>
      <c r="AO37" s="4" t="s">
        <v>96</v>
      </c>
      <c r="AP37" s="4">
        <v>1</v>
      </c>
      <c r="AQ37" s="20">
        <v>53000</v>
      </c>
      <c r="AR37" s="4">
        <v>41780</v>
      </c>
      <c r="AS37" s="20">
        <v>5353.5353535353534</v>
      </c>
      <c r="AT37" s="20">
        <v>8636.19</v>
      </c>
      <c r="AU37" s="20">
        <v>3282.6546464646472</v>
      </c>
      <c r="AV37" s="20">
        <v>2740</v>
      </c>
      <c r="AW37" s="20">
        <v>450</v>
      </c>
      <c r="AX37" s="20">
        <v>20</v>
      </c>
      <c r="AY37" s="20">
        <v>3210</v>
      </c>
      <c r="AZ37" s="20">
        <v>4.3499999999999996</v>
      </c>
      <c r="BA37" s="20">
        <v>0</v>
      </c>
      <c r="BB37" s="6">
        <v>41733</v>
      </c>
      <c r="BC37" s="6">
        <v>0</v>
      </c>
      <c r="BD37" s="6">
        <v>41879</v>
      </c>
      <c r="BE37" s="6">
        <v>0</v>
      </c>
      <c r="BF37" s="6">
        <v>41894</v>
      </c>
      <c r="BG37" s="6">
        <v>0</v>
      </c>
      <c r="BH37" s="6">
        <v>0</v>
      </c>
      <c r="BI37" s="6">
        <v>0</v>
      </c>
      <c r="BJ37" s="6">
        <v>0</v>
      </c>
      <c r="BK37" s="5" t="s">
        <v>401</v>
      </c>
      <c r="BL37" s="4">
        <v>0</v>
      </c>
      <c r="BM37" s="20">
        <v>250</v>
      </c>
      <c r="BN37" s="20">
        <v>0</v>
      </c>
      <c r="BO37" s="20">
        <v>0</v>
      </c>
      <c r="BP37" s="20">
        <v>0</v>
      </c>
      <c r="BQ37" s="20">
        <v>0</v>
      </c>
      <c r="BR37" s="20">
        <v>0</v>
      </c>
      <c r="BS37" s="20">
        <v>250</v>
      </c>
      <c r="BT37" s="20">
        <v>2159047.5</v>
      </c>
      <c r="BU37" s="20">
        <v>13250000</v>
      </c>
      <c r="BV37" s="20">
        <v>5.579059536881215</v>
      </c>
    </row>
    <row r="38" spans="1:74">
      <c r="A38" s="10">
        <f t="shared" si="1"/>
        <v>0</v>
      </c>
      <c r="B38" s="10">
        <f t="shared" si="2"/>
        <v>0.5</v>
      </c>
      <c r="C38" s="12">
        <f t="shared" si="3"/>
        <v>4</v>
      </c>
      <c r="D38" s="12">
        <f t="shared" si="5"/>
        <v>9</v>
      </c>
      <c r="E38" s="20" t="s">
        <v>114</v>
      </c>
      <c r="F38" s="20" t="s">
        <v>1019</v>
      </c>
      <c r="G38" s="20" t="s">
        <v>1122</v>
      </c>
      <c r="H38" s="20" t="s">
        <v>1131</v>
      </c>
      <c r="I38" s="20">
        <v>2</v>
      </c>
      <c r="J38" s="20" t="s">
        <v>1132</v>
      </c>
      <c r="K38" s="20" t="s">
        <v>1138</v>
      </c>
      <c r="L38" s="20" t="s">
        <v>1134</v>
      </c>
      <c r="M38" s="20" t="s">
        <v>1019</v>
      </c>
      <c r="N38" s="20" t="s">
        <v>1080</v>
      </c>
      <c r="P38" s="20" t="s">
        <v>1019</v>
      </c>
      <c r="Q38" s="20" t="s">
        <v>1026</v>
      </c>
      <c r="R38" s="20" t="s">
        <v>84</v>
      </c>
      <c r="S38" s="20">
        <v>5</v>
      </c>
      <c r="T38" s="20" t="s">
        <v>106</v>
      </c>
      <c r="U38" s="20" t="s">
        <v>107</v>
      </c>
      <c r="V38" s="20" t="s">
        <v>87</v>
      </c>
      <c r="W38" s="20">
        <v>518</v>
      </c>
      <c r="X38" s="20">
        <v>518</v>
      </c>
      <c r="Y38" s="20" t="s">
        <v>1135</v>
      </c>
      <c r="Z38" s="20">
        <v>0.5</v>
      </c>
      <c r="AA38" s="20" t="s">
        <v>1136</v>
      </c>
      <c r="AB38" s="20" t="s">
        <v>176</v>
      </c>
      <c r="AC38" s="20" t="s">
        <v>177</v>
      </c>
      <c r="AD38" s="20" t="s">
        <v>1137</v>
      </c>
      <c r="AE38" s="20" t="s">
        <v>91</v>
      </c>
      <c r="AF38" s="20">
        <v>0.5</v>
      </c>
      <c r="AG38" s="20" t="s">
        <v>2441</v>
      </c>
      <c r="AH38" s="20">
        <v>1</v>
      </c>
      <c r="AI38" s="7" t="s">
        <v>98</v>
      </c>
      <c r="AJ38" s="20">
        <v>150</v>
      </c>
      <c r="AK38" s="4" t="s">
        <v>1047</v>
      </c>
      <c r="AL38" s="4">
        <v>5</v>
      </c>
      <c r="AM38" s="4" t="s">
        <v>485</v>
      </c>
      <c r="AN38" s="4" t="s">
        <v>95</v>
      </c>
      <c r="AO38" s="4" t="s">
        <v>96</v>
      </c>
      <c r="AP38" s="4">
        <v>1</v>
      </c>
      <c r="AQ38" s="20">
        <v>53000</v>
      </c>
      <c r="AR38" s="4">
        <v>41780</v>
      </c>
      <c r="AS38" s="20">
        <v>5353.5353535353534</v>
      </c>
      <c r="AT38" s="20">
        <v>8636.19</v>
      </c>
      <c r="AU38" s="20">
        <v>3282.6546464646472</v>
      </c>
      <c r="AV38" s="20">
        <v>2740</v>
      </c>
      <c r="AW38" s="20">
        <v>450</v>
      </c>
      <c r="AX38" s="20">
        <v>20</v>
      </c>
      <c r="AY38" s="20">
        <v>3210</v>
      </c>
      <c r="AZ38" s="20">
        <v>4.3499999999999996</v>
      </c>
      <c r="BA38" s="20">
        <v>0</v>
      </c>
      <c r="BB38" s="6">
        <v>41733</v>
      </c>
      <c r="BC38" s="6">
        <v>0</v>
      </c>
      <c r="BD38" s="6">
        <v>41879</v>
      </c>
      <c r="BE38" s="6">
        <v>0</v>
      </c>
      <c r="BF38" s="6">
        <v>41894</v>
      </c>
      <c r="BG38" s="6">
        <v>0</v>
      </c>
      <c r="BH38" s="6">
        <v>0</v>
      </c>
      <c r="BI38" s="6">
        <v>0</v>
      </c>
      <c r="BJ38" s="6">
        <v>0</v>
      </c>
      <c r="BK38" s="5" t="s">
        <v>401</v>
      </c>
      <c r="BL38" s="4">
        <v>0</v>
      </c>
      <c r="BM38" s="20">
        <v>150</v>
      </c>
      <c r="BN38" s="20">
        <v>0</v>
      </c>
      <c r="BO38" s="20">
        <v>0</v>
      </c>
      <c r="BP38" s="20">
        <v>0</v>
      </c>
      <c r="BQ38" s="20">
        <v>0</v>
      </c>
      <c r="BR38" s="20">
        <v>0</v>
      </c>
      <c r="BS38" s="20">
        <v>150</v>
      </c>
      <c r="BT38" s="20">
        <v>1295428.5</v>
      </c>
      <c r="BU38" s="20">
        <v>7950000</v>
      </c>
      <c r="BV38" s="20">
        <v>5.579059536881215</v>
      </c>
    </row>
    <row r="39" spans="1:74">
      <c r="A39" s="10">
        <f t="shared" si="1"/>
        <v>0</v>
      </c>
      <c r="B39" s="10">
        <f t="shared" si="2"/>
        <v>0</v>
      </c>
      <c r="C39" s="12" t="str">
        <f t="shared" si="3"/>
        <v/>
      </c>
      <c r="D39" s="12" t="str">
        <f t="shared" si="5"/>
        <v/>
      </c>
      <c r="E39" s="20" t="s">
        <v>91</v>
      </c>
      <c r="F39" s="20" t="s">
        <v>91</v>
      </c>
      <c r="G39" s="20" t="s">
        <v>91</v>
      </c>
      <c r="H39" s="20" t="s">
        <v>91</v>
      </c>
      <c r="I39" s="20">
        <v>0</v>
      </c>
      <c r="J39" s="20" t="s">
        <v>103</v>
      </c>
      <c r="K39" s="20" t="s">
        <v>104</v>
      </c>
      <c r="L39" s="20">
        <v>0</v>
      </c>
      <c r="M39" s="20" t="s">
        <v>105</v>
      </c>
      <c r="N39" s="20" t="s">
        <v>91</v>
      </c>
      <c r="O39" s="20" t="s">
        <v>1139</v>
      </c>
      <c r="Q39" s="20" t="s">
        <v>91</v>
      </c>
      <c r="R39" s="20" t="s">
        <v>91</v>
      </c>
      <c r="S39" s="20" t="s">
        <v>91</v>
      </c>
      <c r="U39" s="20" t="s">
        <v>91</v>
      </c>
      <c r="V39" s="20" t="s">
        <v>87</v>
      </c>
      <c r="X39" s="20" t="s">
        <v>91</v>
      </c>
      <c r="Y39" s="20" t="s">
        <v>91</v>
      </c>
      <c r="Z39" s="20">
        <v>2</v>
      </c>
      <c r="AB39" s="20" t="s">
        <v>91</v>
      </c>
      <c r="AD39" s="20" t="s">
        <v>91</v>
      </c>
      <c r="AE39" s="20" t="s">
        <v>91</v>
      </c>
      <c r="AF39" s="20">
        <v>2</v>
      </c>
      <c r="AG39" s="20">
        <v>0</v>
      </c>
      <c r="AH39" s="20">
        <v>1</v>
      </c>
      <c r="AI39" s="7"/>
      <c r="AM39" s="4" t="s">
        <v>91</v>
      </c>
      <c r="AP39" s="4" t="s">
        <v>91</v>
      </c>
      <c r="AQ39" s="20">
        <v>0</v>
      </c>
      <c r="AR39" s="4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 t="s">
        <v>91</v>
      </c>
      <c r="AY39" s="20">
        <v>0</v>
      </c>
      <c r="AZ39" s="20">
        <v>0</v>
      </c>
      <c r="BA39" s="20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5">
        <v>0</v>
      </c>
      <c r="BL39" s="4">
        <v>0</v>
      </c>
      <c r="BM39" s="20">
        <v>800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800</v>
      </c>
      <c r="BT39" s="20">
        <v>6261604</v>
      </c>
      <c r="BU39" s="20">
        <v>42400000</v>
      </c>
      <c r="BV39" s="20">
        <v>6.155843541919058</v>
      </c>
    </row>
    <row r="40" spans="1:74">
      <c r="A40" s="10">
        <f t="shared" si="1"/>
        <v>0</v>
      </c>
      <c r="B40" s="10">
        <f t="shared" si="2"/>
        <v>0.25</v>
      </c>
      <c r="C40" s="12">
        <f t="shared" si="3"/>
        <v>4</v>
      </c>
      <c r="D40" s="12">
        <f t="shared" si="5"/>
        <v>8</v>
      </c>
      <c r="E40" s="20" t="s">
        <v>424</v>
      </c>
      <c r="F40" s="20" t="s">
        <v>632</v>
      </c>
      <c r="G40" s="20" t="s">
        <v>1140</v>
      </c>
      <c r="H40" s="20" t="s">
        <v>1141</v>
      </c>
      <c r="I40" s="20">
        <v>1</v>
      </c>
      <c r="J40" s="20" t="s">
        <v>1142</v>
      </c>
      <c r="K40" s="20" t="s">
        <v>1143</v>
      </c>
      <c r="L40" s="20" t="s">
        <v>1144</v>
      </c>
      <c r="M40" s="20" t="s">
        <v>632</v>
      </c>
      <c r="N40" s="20" t="s">
        <v>633</v>
      </c>
      <c r="P40" s="20" t="s">
        <v>632</v>
      </c>
      <c r="Q40" s="20" t="s">
        <v>634</v>
      </c>
      <c r="R40" s="20" t="s">
        <v>84</v>
      </c>
      <c r="S40" s="20">
        <v>5</v>
      </c>
      <c r="T40" s="20" t="s">
        <v>172</v>
      </c>
      <c r="U40" s="20" t="s">
        <v>173</v>
      </c>
      <c r="V40" s="20" t="s">
        <v>87</v>
      </c>
      <c r="W40" s="20">
        <v>504</v>
      </c>
      <c r="X40" s="20">
        <v>504</v>
      </c>
      <c r="Y40" s="20" t="s">
        <v>1145</v>
      </c>
      <c r="Z40" s="20">
        <v>0.25</v>
      </c>
      <c r="AA40" s="20" t="s">
        <v>1146</v>
      </c>
      <c r="AB40" s="20" t="s">
        <v>248</v>
      </c>
      <c r="AC40" s="20" t="s">
        <v>249</v>
      </c>
      <c r="AD40" s="20" t="s">
        <v>1147</v>
      </c>
      <c r="AE40" s="20" t="s">
        <v>91</v>
      </c>
      <c r="AF40" s="20">
        <v>0.5</v>
      </c>
      <c r="AG40" s="20">
        <v>0</v>
      </c>
      <c r="AH40" s="20">
        <v>1</v>
      </c>
      <c r="AI40" s="7" t="s">
        <v>97</v>
      </c>
      <c r="AJ40" s="20">
        <v>300</v>
      </c>
      <c r="AK40" s="4" t="s">
        <v>179</v>
      </c>
      <c r="AL40" s="4">
        <v>6</v>
      </c>
      <c r="AM40" s="4" t="s">
        <v>112</v>
      </c>
      <c r="AN40" s="4" t="s">
        <v>95</v>
      </c>
      <c r="AO40" s="4" t="s">
        <v>96</v>
      </c>
      <c r="AP40" s="4">
        <v>1</v>
      </c>
      <c r="AQ40" s="20">
        <v>45000</v>
      </c>
      <c r="AR40" s="4">
        <v>41780</v>
      </c>
      <c r="AS40" s="20">
        <v>6818.1818181818171</v>
      </c>
      <c r="AT40" s="20">
        <v>6665.8500000000013</v>
      </c>
      <c r="AU40" s="20">
        <v>-152.33181818181583</v>
      </c>
      <c r="AV40" s="20">
        <v>97</v>
      </c>
      <c r="AW40" s="20">
        <v>0</v>
      </c>
      <c r="AX40" s="20">
        <v>20</v>
      </c>
      <c r="AY40" s="20">
        <v>117</v>
      </c>
      <c r="AZ40" s="20">
        <v>5.25</v>
      </c>
      <c r="BA40" s="20">
        <v>0</v>
      </c>
      <c r="BB40" s="6">
        <v>41738</v>
      </c>
      <c r="BC40" s="6">
        <v>0</v>
      </c>
      <c r="BD40" s="6">
        <v>41848</v>
      </c>
      <c r="BE40" s="6">
        <v>0</v>
      </c>
      <c r="BF40" s="6">
        <v>41873</v>
      </c>
      <c r="BG40" s="6">
        <v>0</v>
      </c>
      <c r="BH40" s="6">
        <v>0</v>
      </c>
      <c r="BI40" s="6">
        <v>0</v>
      </c>
      <c r="BJ40" s="6">
        <v>0</v>
      </c>
      <c r="BK40" s="5" t="s">
        <v>401</v>
      </c>
      <c r="BL40" s="4">
        <v>0</v>
      </c>
      <c r="BM40" s="20">
        <v>300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300</v>
      </c>
      <c r="BT40" s="20">
        <v>1999755.0000000005</v>
      </c>
      <c r="BU40" s="20">
        <v>13500000</v>
      </c>
      <c r="BV40" s="20">
        <v>6.1371154330041779</v>
      </c>
    </row>
    <row r="41" spans="1:74">
      <c r="A41" s="10">
        <f t="shared" si="1"/>
        <v>0</v>
      </c>
      <c r="B41" s="10">
        <f t="shared" si="2"/>
        <v>0.25</v>
      </c>
      <c r="C41" s="12">
        <f t="shared" si="3"/>
        <v>4</v>
      </c>
      <c r="D41" s="12">
        <f t="shared" si="5"/>
        <v>8</v>
      </c>
      <c r="E41" s="20" t="s">
        <v>424</v>
      </c>
      <c r="F41" s="20" t="s">
        <v>632</v>
      </c>
      <c r="G41" s="20" t="s">
        <v>1140</v>
      </c>
      <c r="H41" s="20" t="s">
        <v>1141</v>
      </c>
      <c r="I41" s="20">
        <v>1</v>
      </c>
      <c r="J41" s="20" t="s">
        <v>1142</v>
      </c>
      <c r="K41" s="20" t="s">
        <v>1148</v>
      </c>
      <c r="L41" s="20" t="s">
        <v>1144</v>
      </c>
      <c r="M41" s="20" t="s">
        <v>632</v>
      </c>
      <c r="N41" s="20" t="s">
        <v>633</v>
      </c>
      <c r="P41" s="20" t="s">
        <v>632</v>
      </c>
      <c r="Q41" s="20" t="s">
        <v>634</v>
      </c>
      <c r="R41" s="20" t="s">
        <v>84</v>
      </c>
      <c r="S41" s="20">
        <v>5</v>
      </c>
      <c r="T41" s="20" t="s">
        <v>172</v>
      </c>
      <c r="U41" s="20" t="s">
        <v>173</v>
      </c>
      <c r="V41" s="20" t="s">
        <v>87</v>
      </c>
      <c r="W41" s="20">
        <v>504</v>
      </c>
      <c r="X41" s="20">
        <v>504</v>
      </c>
      <c r="Y41" s="20" t="s">
        <v>1145</v>
      </c>
      <c r="Z41" s="20">
        <v>0.25</v>
      </c>
      <c r="AA41" s="20" t="s">
        <v>1146</v>
      </c>
      <c r="AB41" s="20" t="s">
        <v>248</v>
      </c>
      <c r="AC41" s="20" t="s">
        <v>249</v>
      </c>
      <c r="AD41" s="20" t="s">
        <v>1147</v>
      </c>
      <c r="AE41" s="20" t="s">
        <v>91</v>
      </c>
      <c r="AF41" s="20">
        <v>0.5</v>
      </c>
      <c r="AG41" s="20">
        <v>0</v>
      </c>
      <c r="AH41" s="20">
        <v>1</v>
      </c>
      <c r="AI41" s="7" t="s">
        <v>98</v>
      </c>
      <c r="AJ41" s="20">
        <v>150</v>
      </c>
      <c r="AK41" s="4" t="s">
        <v>179</v>
      </c>
      <c r="AL41" s="4">
        <v>6</v>
      </c>
      <c r="AM41" s="4" t="s">
        <v>112</v>
      </c>
      <c r="AN41" s="4" t="s">
        <v>95</v>
      </c>
      <c r="AO41" s="4" t="s">
        <v>96</v>
      </c>
      <c r="AP41" s="4">
        <v>1</v>
      </c>
      <c r="AQ41" s="20">
        <v>45000</v>
      </c>
      <c r="AR41" s="4">
        <v>41780</v>
      </c>
      <c r="AS41" s="20">
        <v>6818.1818181818171</v>
      </c>
      <c r="AT41" s="20">
        <v>6665.8500000000013</v>
      </c>
      <c r="AU41" s="20">
        <v>-152.33181818181583</v>
      </c>
      <c r="AV41" s="20">
        <v>97</v>
      </c>
      <c r="AW41" s="20">
        <v>0</v>
      </c>
      <c r="AX41" s="20">
        <v>20</v>
      </c>
      <c r="AY41" s="20">
        <v>117</v>
      </c>
      <c r="AZ41" s="20">
        <v>5.25</v>
      </c>
      <c r="BA41" s="20">
        <v>0</v>
      </c>
      <c r="BB41" s="6">
        <v>41738</v>
      </c>
      <c r="BC41" s="6">
        <v>0</v>
      </c>
      <c r="BD41" s="6">
        <v>41848</v>
      </c>
      <c r="BE41" s="6">
        <v>0</v>
      </c>
      <c r="BF41" s="6">
        <v>41873</v>
      </c>
      <c r="BG41" s="6">
        <v>0</v>
      </c>
      <c r="BH41" s="6">
        <v>0</v>
      </c>
      <c r="BI41" s="6">
        <v>0</v>
      </c>
      <c r="BJ41" s="6">
        <v>0</v>
      </c>
      <c r="BK41" s="5" t="s">
        <v>401</v>
      </c>
      <c r="BL41" s="4">
        <v>0</v>
      </c>
      <c r="BM41" s="20">
        <v>148</v>
      </c>
      <c r="BN41" s="20">
        <v>0</v>
      </c>
      <c r="BO41" s="20">
        <v>0</v>
      </c>
      <c r="BP41" s="20">
        <v>0</v>
      </c>
      <c r="BQ41" s="20">
        <v>0</v>
      </c>
      <c r="BR41" s="20">
        <v>0</v>
      </c>
      <c r="BS41" s="20">
        <v>150</v>
      </c>
      <c r="BT41" s="20">
        <v>999877.50000000023</v>
      </c>
      <c r="BU41" s="20">
        <v>6750000</v>
      </c>
      <c r="BV41" s="20">
        <v>6.1371154330041779</v>
      </c>
    </row>
    <row r="42" spans="1:74">
      <c r="A42" s="10">
        <f t="shared" si="1"/>
        <v>0</v>
      </c>
      <c r="B42" s="10">
        <f t="shared" si="2"/>
        <v>0.25</v>
      </c>
      <c r="C42" s="12">
        <f t="shared" si="3"/>
        <v>4</v>
      </c>
      <c r="D42" s="12">
        <f t="shared" si="5"/>
        <v>8</v>
      </c>
      <c r="E42" s="20" t="s">
        <v>424</v>
      </c>
      <c r="F42" s="20" t="s">
        <v>632</v>
      </c>
      <c r="G42" s="20" t="s">
        <v>1140</v>
      </c>
      <c r="H42" s="20" t="s">
        <v>1149</v>
      </c>
      <c r="I42" s="20">
        <v>2</v>
      </c>
      <c r="J42" s="20" t="s">
        <v>1150</v>
      </c>
      <c r="K42" s="20" t="s">
        <v>1151</v>
      </c>
      <c r="L42" s="20" t="s">
        <v>1144</v>
      </c>
      <c r="M42" s="20" t="s">
        <v>632</v>
      </c>
      <c r="N42" s="20" t="s">
        <v>633</v>
      </c>
      <c r="P42" s="20" t="s">
        <v>632</v>
      </c>
      <c r="Q42" s="20" t="s">
        <v>634</v>
      </c>
      <c r="R42" s="20" t="s">
        <v>84</v>
      </c>
      <c r="S42" s="20">
        <v>5</v>
      </c>
      <c r="T42" s="20" t="s">
        <v>172</v>
      </c>
      <c r="U42" s="20" t="s">
        <v>173</v>
      </c>
      <c r="V42" s="20" t="s">
        <v>87</v>
      </c>
      <c r="W42" s="20">
        <v>504</v>
      </c>
      <c r="X42" s="20">
        <v>504</v>
      </c>
      <c r="Y42" s="20" t="s">
        <v>1145</v>
      </c>
      <c r="Z42" s="20">
        <v>0.25</v>
      </c>
      <c r="AA42" s="20" t="s">
        <v>1152</v>
      </c>
      <c r="AB42" s="20" t="s">
        <v>101</v>
      </c>
      <c r="AC42" s="20" t="s">
        <v>102</v>
      </c>
      <c r="AD42" s="20" t="s">
        <v>1153</v>
      </c>
      <c r="AE42" s="20" t="s">
        <v>91</v>
      </c>
      <c r="AF42" s="20">
        <v>0.5</v>
      </c>
      <c r="AG42" s="20">
        <v>0</v>
      </c>
      <c r="AH42" s="20">
        <v>1</v>
      </c>
      <c r="AI42" s="7" t="s">
        <v>97</v>
      </c>
      <c r="AJ42" s="20">
        <v>300</v>
      </c>
      <c r="AK42" s="4" t="s">
        <v>179</v>
      </c>
      <c r="AL42" s="4">
        <v>6</v>
      </c>
      <c r="AM42" s="4" t="s">
        <v>112</v>
      </c>
      <c r="AN42" s="4" t="s">
        <v>95</v>
      </c>
      <c r="AO42" s="4" t="s">
        <v>96</v>
      </c>
      <c r="AP42" s="4">
        <v>1</v>
      </c>
      <c r="AQ42" s="20">
        <v>45000</v>
      </c>
      <c r="AR42" s="4">
        <v>41780</v>
      </c>
      <c r="AS42" s="20">
        <v>6818.1818181818171</v>
      </c>
      <c r="AT42" s="20">
        <v>6665.8500000000013</v>
      </c>
      <c r="AU42" s="20">
        <v>-152.33181818181583</v>
      </c>
      <c r="AV42" s="20">
        <v>97</v>
      </c>
      <c r="AW42" s="20">
        <v>0</v>
      </c>
      <c r="AX42" s="20">
        <v>20</v>
      </c>
      <c r="AY42" s="20">
        <v>117</v>
      </c>
      <c r="AZ42" s="20">
        <v>5.25</v>
      </c>
      <c r="BA42" s="20">
        <v>0</v>
      </c>
      <c r="BB42" s="6">
        <v>41738</v>
      </c>
      <c r="BC42" s="6">
        <v>0</v>
      </c>
      <c r="BD42" s="6">
        <v>41848</v>
      </c>
      <c r="BE42" s="6">
        <v>0</v>
      </c>
      <c r="BF42" s="6">
        <v>41873</v>
      </c>
      <c r="BG42" s="6">
        <v>0</v>
      </c>
      <c r="BH42" s="6">
        <v>0</v>
      </c>
      <c r="BI42" s="6">
        <v>0</v>
      </c>
      <c r="BJ42" s="6">
        <v>0</v>
      </c>
      <c r="BK42" s="5" t="s">
        <v>401</v>
      </c>
      <c r="BL42" s="4">
        <v>0</v>
      </c>
      <c r="BM42" s="20">
        <v>299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300</v>
      </c>
      <c r="BT42" s="20">
        <v>1999755.0000000005</v>
      </c>
      <c r="BU42" s="20">
        <v>13500000</v>
      </c>
      <c r="BV42" s="20">
        <v>6.1371154330041779</v>
      </c>
    </row>
    <row r="43" spans="1:74">
      <c r="A43" s="10">
        <f t="shared" si="1"/>
        <v>0</v>
      </c>
      <c r="B43" s="10">
        <f t="shared" si="2"/>
        <v>0.25</v>
      </c>
      <c r="C43" s="12">
        <f t="shared" si="3"/>
        <v>4</v>
      </c>
      <c r="D43" s="12">
        <f t="shared" si="5"/>
        <v>8</v>
      </c>
      <c r="E43" s="20" t="s">
        <v>424</v>
      </c>
      <c r="F43" s="20" t="s">
        <v>632</v>
      </c>
      <c r="G43" s="20" t="s">
        <v>1140</v>
      </c>
      <c r="H43" s="20" t="s">
        <v>1149</v>
      </c>
      <c r="I43" s="20">
        <v>2</v>
      </c>
      <c r="J43" s="20" t="s">
        <v>1150</v>
      </c>
      <c r="K43" s="20" t="s">
        <v>1154</v>
      </c>
      <c r="L43" s="20" t="s">
        <v>1144</v>
      </c>
      <c r="M43" s="20" t="s">
        <v>632</v>
      </c>
      <c r="N43" s="20" t="s">
        <v>633</v>
      </c>
      <c r="P43" s="20" t="s">
        <v>632</v>
      </c>
      <c r="Q43" s="20" t="s">
        <v>634</v>
      </c>
      <c r="R43" s="20" t="s">
        <v>84</v>
      </c>
      <c r="S43" s="20">
        <v>5</v>
      </c>
      <c r="T43" s="20" t="s">
        <v>172</v>
      </c>
      <c r="U43" s="20" t="s">
        <v>173</v>
      </c>
      <c r="V43" s="20" t="s">
        <v>87</v>
      </c>
      <c r="W43" s="20">
        <v>504</v>
      </c>
      <c r="X43" s="20">
        <v>504</v>
      </c>
      <c r="Y43" s="20" t="s">
        <v>1145</v>
      </c>
      <c r="Z43" s="20">
        <v>0.25</v>
      </c>
      <c r="AA43" s="20" t="s">
        <v>1152</v>
      </c>
      <c r="AB43" s="20" t="s">
        <v>101</v>
      </c>
      <c r="AC43" s="20" t="s">
        <v>102</v>
      </c>
      <c r="AD43" s="20" t="s">
        <v>1153</v>
      </c>
      <c r="AE43" s="20" t="s">
        <v>91</v>
      </c>
      <c r="AF43" s="20">
        <v>0.5</v>
      </c>
      <c r="AG43" s="20">
        <v>0</v>
      </c>
      <c r="AH43" s="20">
        <v>1</v>
      </c>
      <c r="AI43" s="7" t="s">
        <v>98</v>
      </c>
      <c r="AJ43" s="20">
        <v>150</v>
      </c>
      <c r="AK43" s="4" t="s">
        <v>179</v>
      </c>
      <c r="AL43" s="4">
        <v>6</v>
      </c>
      <c r="AM43" s="4" t="s">
        <v>112</v>
      </c>
      <c r="AN43" s="4" t="s">
        <v>95</v>
      </c>
      <c r="AO43" s="4" t="s">
        <v>96</v>
      </c>
      <c r="AP43" s="4">
        <v>1</v>
      </c>
      <c r="AQ43" s="20">
        <v>45000</v>
      </c>
      <c r="AR43" s="4">
        <v>41780</v>
      </c>
      <c r="AS43" s="20">
        <v>6818.1818181818171</v>
      </c>
      <c r="AT43" s="20">
        <v>6665.8500000000013</v>
      </c>
      <c r="AU43" s="20">
        <v>-152.33181818181583</v>
      </c>
      <c r="AV43" s="20">
        <v>97</v>
      </c>
      <c r="AW43" s="20">
        <v>0</v>
      </c>
      <c r="AX43" s="20">
        <v>20</v>
      </c>
      <c r="AY43" s="20">
        <v>117</v>
      </c>
      <c r="AZ43" s="20">
        <v>5.25</v>
      </c>
      <c r="BA43" s="20">
        <v>0</v>
      </c>
      <c r="BB43" s="6">
        <v>41738</v>
      </c>
      <c r="BC43" s="6">
        <v>0</v>
      </c>
      <c r="BD43" s="6">
        <v>41848</v>
      </c>
      <c r="BE43" s="6">
        <v>0</v>
      </c>
      <c r="BF43" s="6">
        <v>41873</v>
      </c>
      <c r="BG43" s="6">
        <v>0</v>
      </c>
      <c r="BH43" s="6">
        <v>0</v>
      </c>
      <c r="BI43" s="6">
        <v>0</v>
      </c>
      <c r="BJ43" s="6">
        <v>0</v>
      </c>
      <c r="BK43" s="5" t="s">
        <v>401</v>
      </c>
      <c r="BL43" s="4">
        <v>0</v>
      </c>
      <c r="BM43" s="20">
        <v>150</v>
      </c>
      <c r="BN43" s="20">
        <v>0</v>
      </c>
      <c r="BO43" s="20">
        <v>0</v>
      </c>
      <c r="BP43" s="20">
        <v>0</v>
      </c>
      <c r="BQ43" s="20">
        <v>0</v>
      </c>
      <c r="BR43" s="20">
        <v>0</v>
      </c>
      <c r="BS43" s="20">
        <v>150</v>
      </c>
      <c r="BT43" s="20">
        <v>999877.50000000023</v>
      </c>
      <c r="BU43" s="20">
        <v>6750000</v>
      </c>
      <c r="BV43" s="20">
        <v>6.1371154330041779</v>
      </c>
    </row>
    <row r="44" spans="1:74">
      <c r="A44" s="10">
        <f t="shared" si="1"/>
        <v>0</v>
      </c>
      <c r="B44" s="10">
        <f t="shared" si="2"/>
        <v>0</v>
      </c>
      <c r="C44" s="12" t="str">
        <f t="shared" si="3"/>
        <v/>
      </c>
      <c r="D44" s="12" t="str">
        <f t="shared" si="5"/>
        <v/>
      </c>
      <c r="E44" s="20" t="s">
        <v>91</v>
      </c>
      <c r="F44" s="20" t="s">
        <v>91</v>
      </c>
      <c r="G44" s="20" t="s">
        <v>91</v>
      </c>
      <c r="H44" s="20" t="s">
        <v>91</v>
      </c>
      <c r="I44" s="20">
        <v>0</v>
      </c>
      <c r="J44" s="20" t="s">
        <v>103</v>
      </c>
      <c r="K44" s="20" t="s">
        <v>104</v>
      </c>
      <c r="L44" s="20">
        <v>0</v>
      </c>
      <c r="M44" s="20" t="s">
        <v>105</v>
      </c>
      <c r="N44" s="20" t="s">
        <v>91</v>
      </c>
      <c r="O44" s="20" t="s">
        <v>1155</v>
      </c>
      <c r="Q44" s="20" t="s">
        <v>91</v>
      </c>
      <c r="R44" s="20" t="s">
        <v>91</v>
      </c>
      <c r="S44" s="20" t="s">
        <v>91</v>
      </c>
      <c r="U44" s="20" t="s">
        <v>91</v>
      </c>
      <c r="V44" s="20" t="s">
        <v>87</v>
      </c>
      <c r="X44" s="20" t="s">
        <v>91</v>
      </c>
      <c r="Y44" s="20" t="s">
        <v>91</v>
      </c>
      <c r="Z44" s="20">
        <v>1</v>
      </c>
      <c r="AB44" s="20" t="s">
        <v>91</v>
      </c>
      <c r="AD44" s="20" t="s">
        <v>91</v>
      </c>
      <c r="AE44" s="20" t="s">
        <v>91</v>
      </c>
      <c r="AF44" s="20">
        <v>2</v>
      </c>
      <c r="AG44" s="20">
        <v>0</v>
      </c>
      <c r="AH44" s="20">
        <v>1</v>
      </c>
      <c r="AI44" s="7"/>
      <c r="AM44" s="4" t="s">
        <v>91</v>
      </c>
      <c r="AP44" s="4" t="s">
        <v>91</v>
      </c>
      <c r="AQ44" s="20">
        <v>0</v>
      </c>
      <c r="AR44" s="4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 t="s">
        <v>91</v>
      </c>
      <c r="AY44" s="20">
        <v>0</v>
      </c>
      <c r="AZ44" s="20">
        <v>0</v>
      </c>
      <c r="BA44" s="20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5">
        <v>0</v>
      </c>
      <c r="BL44" s="4">
        <v>0</v>
      </c>
      <c r="BM44" s="20">
        <v>897</v>
      </c>
      <c r="BN44" s="20">
        <v>0</v>
      </c>
      <c r="BO44" s="20">
        <v>0</v>
      </c>
      <c r="BP44" s="20">
        <v>0</v>
      </c>
      <c r="BQ44" s="20">
        <v>0</v>
      </c>
      <c r="BR44" s="20">
        <v>0</v>
      </c>
      <c r="BS44" s="20">
        <v>900</v>
      </c>
      <c r="BT44" s="20">
        <v>5999265.0000000019</v>
      </c>
      <c r="BU44" s="20">
        <v>40500000</v>
      </c>
      <c r="BV44" s="20">
        <v>6.1371154330041771</v>
      </c>
    </row>
    <row r="45" spans="1:74">
      <c r="A45" s="10">
        <f t="shared" si="1"/>
        <v>0</v>
      </c>
      <c r="B45" s="10">
        <f t="shared" si="2"/>
        <v>0.5</v>
      </c>
      <c r="C45" s="12">
        <f t="shared" si="3"/>
        <v>4</v>
      </c>
      <c r="D45" s="12">
        <f t="shared" si="5"/>
        <v>8</v>
      </c>
      <c r="E45" s="20" t="s">
        <v>424</v>
      </c>
      <c r="F45" s="20" t="s">
        <v>632</v>
      </c>
      <c r="G45" s="20" t="s">
        <v>1156</v>
      </c>
      <c r="H45" s="20" t="s">
        <v>1157</v>
      </c>
      <c r="I45" s="20">
        <v>1</v>
      </c>
      <c r="J45" s="20" t="s">
        <v>1158</v>
      </c>
      <c r="K45" s="20" t="s">
        <v>1159</v>
      </c>
      <c r="L45" s="20" t="s">
        <v>1160</v>
      </c>
      <c r="M45" s="20" t="s">
        <v>632</v>
      </c>
      <c r="N45" s="20" t="s">
        <v>633</v>
      </c>
      <c r="P45" s="20" t="s">
        <v>632</v>
      </c>
      <c r="Q45" s="20" t="s">
        <v>634</v>
      </c>
      <c r="R45" s="20" t="s">
        <v>84</v>
      </c>
      <c r="S45" s="20">
        <v>5</v>
      </c>
      <c r="T45" s="20" t="s">
        <v>106</v>
      </c>
      <c r="U45" s="20" t="s">
        <v>107</v>
      </c>
      <c r="V45" s="20" t="s">
        <v>87</v>
      </c>
      <c r="W45" s="20">
        <v>506</v>
      </c>
      <c r="X45" s="20">
        <v>506</v>
      </c>
      <c r="Y45" s="20" t="s">
        <v>1161</v>
      </c>
      <c r="Z45" s="20">
        <v>0.5</v>
      </c>
      <c r="AA45" s="20" t="s">
        <v>1162</v>
      </c>
      <c r="AB45" s="20" t="s">
        <v>176</v>
      </c>
      <c r="AC45" s="20" t="s">
        <v>177</v>
      </c>
      <c r="AD45" s="20" t="s">
        <v>1163</v>
      </c>
      <c r="AE45" s="20" t="s">
        <v>91</v>
      </c>
      <c r="AF45" s="20">
        <v>0.5</v>
      </c>
      <c r="AG45" s="20">
        <v>0</v>
      </c>
      <c r="AH45" s="20">
        <v>1</v>
      </c>
      <c r="AI45" s="7" t="s">
        <v>97</v>
      </c>
      <c r="AJ45" s="20">
        <v>100</v>
      </c>
      <c r="AK45" s="4" t="s">
        <v>179</v>
      </c>
      <c r="AL45" s="4">
        <v>7</v>
      </c>
      <c r="AM45" s="4" t="s">
        <v>514</v>
      </c>
      <c r="AN45" s="4" t="s">
        <v>95</v>
      </c>
      <c r="AO45" s="4" t="s">
        <v>96</v>
      </c>
      <c r="AP45" s="4">
        <v>1</v>
      </c>
      <c r="AQ45" s="20">
        <v>55000</v>
      </c>
      <c r="AR45" s="4">
        <v>41780</v>
      </c>
      <c r="AS45" s="20">
        <v>8333.3333333333321</v>
      </c>
      <c r="AT45" s="20">
        <v>7692.3700000000008</v>
      </c>
      <c r="AU45" s="20">
        <v>-640.96333333333132</v>
      </c>
      <c r="AV45" s="20">
        <v>1373</v>
      </c>
      <c r="AW45" s="20">
        <v>0</v>
      </c>
      <c r="AX45" s="20">
        <v>20</v>
      </c>
      <c r="AY45" s="20">
        <v>1393</v>
      </c>
      <c r="AZ45" s="20">
        <v>5.05</v>
      </c>
      <c r="BA45" s="20">
        <v>0</v>
      </c>
      <c r="BB45" s="6">
        <v>41738</v>
      </c>
      <c r="BC45" s="6">
        <v>0</v>
      </c>
      <c r="BD45" s="6">
        <v>41879</v>
      </c>
      <c r="BE45" s="6">
        <v>0</v>
      </c>
      <c r="BF45" s="6">
        <v>41873</v>
      </c>
      <c r="BG45" s="6">
        <v>0</v>
      </c>
      <c r="BH45" s="6">
        <v>0</v>
      </c>
      <c r="BI45" s="6">
        <v>0</v>
      </c>
      <c r="BJ45" s="6">
        <v>0</v>
      </c>
      <c r="BK45" s="5" t="s">
        <v>401</v>
      </c>
      <c r="BL45" s="4">
        <v>0</v>
      </c>
      <c r="BM45" s="20">
        <v>99</v>
      </c>
      <c r="BN45" s="20">
        <v>0</v>
      </c>
      <c r="BO45" s="20">
        <v>0</v>
      </c>
      <c r="BP45" s="20">
        <v>0</v>
      </c>
      <c r="BQ45" s="20">
        <v>0</v>
      </c>
      <c r="BR45" s="20">
        <v>0</v>
      </c>
      <c r="BS45" s="20">
        <v>100</v>
      </c>
      <c r="BT45" s="20">
        <v>769237.00000000012</v>
      </c>
      <c r="BU45" s="20">
        <v>5500000</v>
      </c>
      <c r="BV45" s="20">
        <v>6.49994735042646</v>
      </c>
    </row>
    <row r="46" spans="1:74">
      <c r="A46" s="10">
        <f t="shared" si="1"/>
        <v>0</v>
      </c>
      <c r="B46" s="10">
        <f t="shared" si="2"/>
        <v>0.5</v>
      </c>
      <c r="C46" s="12">
        <f t="shared" si="3"/>
        <v>4</v>
      </c>
      <c r="D46" s="12">
        <f t="shared" si="5"/>
        <v>8</v>
      </c>
      <c r="E46" s="20" t="s">
        <v>424</v>
      </c>
      <c r="F46" s="20" t="s">
        <v>632</v>
      </c>
      <c r="G46" s="20" t="s">
        <v>1156</v>
      </c>
      <c r="H46" s="20" t="s">
        <v>1157</v>
      </c>
      <c r="I46" s="20">
        <v>1</v>
      </c>
      <c r="J46" s="20" t="s">
        <v>1158</v>
      </c>
      <c r="K46" s="20" t="s">
        <v>1164</v>
      </c>
      <c r="L46" s="20" t="s">
        <v>1160</v>
      </c>
      <c r="M46" s="20" t="s">
        <v>632</v>
      </c>
      <c r="N46" s="20" t="s">
        <v>633</v>
      </c>
      <c r="P46" s="20" t="s">
        <v>632</v>
      </c>
      <c r="Q46" s="20" t="s">
        <v>634</v>
      </c>
      <c r="R46" s="20" t="s">
        <v>84</v>
      </c>
      <c r="S46" s="20">
        <v>5</v>
      </c>
      <c r="T46" s="20" t="s">
        <v>106</v>
      </c>
      <c r="U46" s="20" t="s">
        <v>107</v>
      </c>
      <c r="V46" s="20" t="s">
        <v>87</v>
      </c>
      <c r="W46" s="20">
        <v>506</v>
      </c>
      <c r="X46" s="20">
        <v>506</v>
      </c>
      <c r="Y46" s="20" t="s">
        <v>1161</v>
      </c>
      <c r="Z46" s="20">
        <v>0.5</v>
      </c>
      <c r="AA46" s="20" t="s">
        <v>1162</v>
      </c>
      <c r="AB46" s="20" t="s">
        <v>176</v>
      </c>
      <c r="AC46" s="20" t="s">
        <v>177</v>
      </c>
      <c r="AD46" s="20" t="s">
        <v>1163</v>
      </c>
      <c r="AE46" s="20" t="s">
        <v>91</v>
      </c>
      <c r="AF46" s="20">
        <v>0.5</v>
      </c>
      <c r="AG46" s="20">
        <v>0</v>
      </c>
      <c r="AH46" s="20">
        <v>1</v>
      </c>
      <c r="AI46" s="7" t="s">
        <v>98</v>
      </c>
      <c r="AJ46" s="20">
        <v>50</v>
      </c>
      <c r="AK46" s="4" t="s">
        <v>179</v>
      </c>
      <c r="AL46" s="4">
        <v>7</v>
      </c>
      <c r="AM46" s="4" t="s">
        <v>514</v>
      </c>
      <c r="AN46" s="4" t="s">
        <v>95</v>
      </c>
      <c r="AO46" s="4" t="s">
        <v>96</v>
      </c>
      <c r="AP46" s="4">
        <v>1</v>
      </c>
      <c r="AQ46" s="20">
        <v>55000</v>
      </c>
      <c r="AR46" s="4">
        <v>41780</v>
      </c>
      <c r="AS46" s="20">
        <v>8333.3333333333321</v>
      </c>
      <c r="AT46" s="20">
        <v>7692.3700000000008</v>
      </c>
      <c r="AU46" s="20">
        <v>-640.96333333333132</v>
      </c>
      <c r="AV46" s="20">
        <v>1373</v>
      </c>
      <c r="AW46" s="20">
        <v>0</v>
      </c>
      <c r="AX46" s="20">
        <v>20</v>
      </c>
      <c r="AY46" s="20">
        <v>1393</v>
      </c>
      <c r="AZ46" s="20">
        <v>5.05</v>
      </c>
      <c r="BA46" s="20">
        <v>0</v>
      </c>
      <c r="BB46" s="6">
        <v>41738</v>
      </c>
      <c r="BC46" s="6">
        <v>0</v>
      </c>
      <c r="BD46" s="6">
        <v>41879</v>
      </c>
      <c r="BE46" s="6">
        <v>0</v>
      </c>
      <c r="BF46" s="6">
        <v>41873</v>
      </c>
      <c r="BG46" s="6">
        <v>0</v>
      </c>
      <c r="BH46" s="6">
        <v>0</v>
      </c>
      <c r="BI46" s="6">
        <v>0</v>
      </c>
      <c r="BJ46" s="6">
        <v>0</v>
      </c>
      <c r="BK46" s="5" t="s">
        <v>401</v>
      </c>
      <c r="BL46" s="4">
        <v>0</v>
      </c>
      <c r="BM46" s="20">
        <v>50</v>
      </c>
      <c r="BN46" s="20">
        <v>0</v>
      </c>
      <c r="BO46" s="20">
        <v>0</v>
      </c>
      <c r="BP46" s="20">
        <v>0</v>
      </c>
      <c r="BQ46" s="20">
        <v>0</v>
      </c>
      <c r="BR46" s="20">
        <v>0</v>
      </c>
      <c r="BS46" s="20">
        <v>50</v>
      </c>
      <c r="BT46" s="20">
        <v>384618.50000000006</v>
      </c>
      <c r="BU46" s="20">
        <v>2750000</v>
      </c>
      <c r="BV46" s="20">
        <v>6.49994735042646</v>
      </c>
    </row>
    <row r="47" spans="1:74">
      <c r="A47" s="10">
        <f t="shared" si="1"/>
        <v>0</v>
      </c>
      <c r="B47" s="10">
        <f t="shared" si="2"/>
        <v>0.5</v>
      </c>
      <c r="C47" s="12">
        <f t="shared" si="3"/>
        <v>4</v>
      </c>
      <c r="D47" s="12">
        <f t="shared" si="5"/>
        <v>8</v>
      </c>
      <c r="E47" s="20" t="s">
        <v>424</v>
      </c>
      <c r="F47" s="20" t="s">
        <v>632</v>
      </c>
      <c r="G47" s="20" t="s">
        <v>1156</v>
      </c>
      <c r="H47" s="20" t="s">
        <v>1165</v>
      </c>
      <c r="I47" s="20">
        <v>2</v>
      </c>
      <c r="J47" s="20" t="s">
        <v>1166</v>
      </c>
      <c r="K47" s="20" t="s">
        <v>1167</v>
      </c>
      <c r="L47" s="20" t="s">
        <v>1168</v>
      </c>
      <c r="M47" s="20" t="s">
        <v>632</v>
      </c>
      <c r="N47" s="20" t="s">
        <v>633</v>
      </c>
      <c r="P47" s="20" t="s">
        <v>632</v>
      </c>
      <c r="Q47" s="20" t="s">
        <v>634</v>
      </c>
      <c r="R47" s="20" t="s">
        <v>84</v>
      </c>
      <c r="S47" s="20">
        <v>5</v>
      </c>
      <c r="T47" s="20" t="s">
        <v>106</v>
      </c>
      <c r="U47" s="20" t="s">
        <v>107</v>
      </c>
      <c r="V47" s="20" t="s">
        <v>87</v>
      </c>
      <c r="W47" s="20">
        <v>507</v>
      </c>
      <c r="X47" s="20">
        <v>507</v>
      </c>
      <c r="Y47" s="20" t="s">
        <v>1169</v>
      </c>
      <c r="Z47" s="20">
        <v>0.5</v>
      </c>
      <c r="AA47" s="20" t="s">
        <v>1170</v>
      </c>
      <c r="AB47" s="20" t="s">
        <v>176</v>
      </c>
      <c r="AC47" s="20" t="s">
        <v>177</v>
      </c>
      <c r="AD47" s="20" t="s">
        <v>1171</v>
      </c>
      <c r="AE47" s="20" t="s">
        <v>91</v>
      </c>
      <c r="AF47" s="20">
        <v>0.5</v>
      </c>
      <c r="AG47" s="20">
        <v>0</v>
      </c>
      <c r="AH47" s="20">
        <v>1</v>
      </c>
      <c r="AI47" s="7" t="s">
        <v>97</v>
      </c>
      <c r="AJ47" s="20">
        <v>100</v>
      </c>
      <c r="AK47" s="4" t="s">
        <v>179</v>
      </c>
      <c r="AL47" s="4">
        <v>7</v>
      </c>
      <c r="AM47" s="4" t="s">
        <v>514</v>
      </c>
      <c r="AN47" s="4" t="s">
        <v>95</v>
      </c>
      <c r="AO47" s="4" t="s">
        <v>96</v>
      </c>
      <c r="AP47" s="4">
        <v>1</v>
      </c>
      <c r="AQ47" s="20">
        <v>55000</v>
      </c>
      <c r="AR47" s="4">
        <v>41780</v>
      </c>
      <c r="AS47" s="20">
        <v>8333.3333333333321</v>
      </c>
      <c r="AT47" s="20">
        <v>7463.2900000000009</v>
      </c>
      <c r="AU47" s="20">
        <v>-870.04333333333125</v>
      </c>
      <c r="AV47" s="20">
        <v>146</v>
      </c>
      <c r="AW47" s="20">
        <v>0</v>
      </c>
      <c r="AX47" s="20">
        <v>20</v>
      </c>
      <c r="AY47" s="20">
        <v>166</v>
      </c>
      <c r="AZ47" s="20">
        <v>5.85</v>
      </c>
      <c r="BA47" s="20">
        <v>0</v>
      </c>
      <c r="BB47" s="6">
        <v>41738</v>
      </c>
      <c r="BC47" s="6">
        <v>0</v>
      </c>
      <c r="BD47" s="6">
        <v>41879</v>
      </c>
      <c r="BE47" s="6">
        <v>0</v>
      </c>
      <c r="BF47" s="6">
        <v>41873</v>
      </c>
      <c r="BG47" s="6">
        <v>0</v>
      </c>
      <c r="BH47" s="6">
        <v>0</v>
      </c>
      <c r="BI47" s="6">
        <v>0</v>
      </c>
      <c r="BJ47" s="6">
        <v>0</v>
      </c>
      <c r="BK47" s="5" t="s">
        <v>401</v>
      </c>
      <c r="BL47" s="4">
        <v>0</v>
      </c>
      <c r="BM47" s="20">
        <v>98</v>
      </c>
      <c r="BN47" s="20">
        <v>0</v>
      </c>
      <c r="BO47" s="20">
        <v>0</v>
      </c>
      <c r="BP47" s="20">
        <v>0</v>
      </c>
      <c r="BQ47" s="20">
        <v>0</v>
      </c>
      <c r="BR47" s="20">
        <v>0</v>
      </c>
      <c r="BS47" s="20">
        <v>100</v>
      </c>
      <c r="BT47" s="20">
        <v>746329.00000000012</v>
      </c>
      <c r="BU47" s="20">
        <v>5500000</v>
      </c>
      <c r="BV47" s="20">
        <v>6.6994582818033326</v>
      </c>
    </row>
    <row r="48" spans="1:74">
      <c r="A48" s="10">
        <f t="shared" si="1"/>
        <v>0</v>
      </c>
      <c r="B48" s="10">
        <f t="shared" si="2"/>
        <v>0.5</v>
      </c>
      <c r="C48" s="12">
        <f t="shared" si="3"/>
        <v>4</v>
      </c>
      <c r="D48" s="12">
        <f t="shared" si="5"/>
        <v>8</v>
      </c>
      <c r="E48" s="20" t="s">
        <v>424</v>
      </c>
      <c r="F48" s="20" t="s">
        <v>632</v>
      </c>
      <c r="G48" s="20" t="s">
        <v>1156</v>
      </c>
      <c r="H48" s="20" t="s">
        <v>1165</v>
      </c>
      <c r="I48" s="20">
        <v>2</v>
      </c>
      <c r="J48" s="20" t="s">
        <v>1166</v>
      </c>
      <c r="K48" s="20" t="s">
        <v>1172</v>
      </c>
      <c r="L48" s="20" t="s">
        <v>1168</v>
      </c>
      <c r="M48" s="20" t="s">
        <v>632</v>
      </c>
      <c r="N48" s="20" t="s">
        <v>633</v>
      </c>
      <c r="P48" s="20" t="s">
        <v>632</v>
      </c>
      <c r="Q48" s="20" t="s">
        <v>634</v>
      </c>
      <c r="R48" s="20" t="s">
        <v>84</v>
      </c>
      <c r="S48" s="20">
        <v>5</v>
      </c>
      <c r="T48" s="20" t="s">
        <v>106</v>
      </c>
      <c r="U48" s="20" t="s">
        <v>107</v>
      </c>
      <c r="V48" s="20" t="s">
        <v>87</v>
      </c>
      <c r="W48" s="20">
        <v>507</v>
      </c>
      <c r="X48" s="20">
        <v>507</v>
      </c>
      <c r="Y48" s="20" t="s">
        <v>1169</v>
      </c>
      <c r="Z48" s="20">
        <v>0.5</v>
      </c>
      <c r="AA48" s="20" t="s">
        <v>1170</v>
      </c>
      <c r="AB48" s="20" t="s">
        <v>176</v>
      </c>
      <c r="AC48" s="20" t="s">
        <v>177</v>
      </c>
      <c r="AD48" s="20" t="s">
        <v>1171</v>
      </c>
      <c r="AE48" s="20" t="s">
        <v>91</v>
      </c>
      <c r="AF48" s="20">
        <v>0.5</v>
      </c>
      <c r="AG48" s="20">
        <v>0</v>
      </c>
      <c r="AH48" s="20">
        <v>1</v>
      </c>
      <c r="AI48" s="7" t="s">
        <v>98</v>
      </c>
      <c r="AJ48" s="20">
        <v>50</v>
      </c>
      <c r="AK48" s="4" t="s">
        <v>179</v>
      </c>
      <c r="AL48" s="4">
        <v>7</v>
      </c>
      <c r="AM48" s="4" t="s">
        <v>514</v>
      </c>
      <c r="AN48" s="4" t="s">
        <v>95</v>
      </c>
      <c r="AO48" s="4" t="s">
        <v>96</v>
      </c>
      <c r="AP48" s="4">
        <v>1</v>
      </c>
      <c r="AQ48" s="20">
        <v>55000</v>
      </c>
      <c r="AR48" s="4">
        <v>41780</v>
      </c>
      <c r="AS48" s="20">
        <v>8333.3333333333321</v>
      </c>
      <c r="AT48" s="20">
        <v>7463.2900000000009</v>
      </c>
      <c r="AU48" s="20">
        <v>-870.04333333333125</v>
      </c>
      <c r="AV48" s="20">
        <v>146</v>
      </c>
      <c r="AW48" s="20">
        <v>0</v>
      </c>
      <c r="AX48" s="20">
        <v>20</v>
      </c>
      <c r="AY48" s="20">
        <v>166</v>
      </c>
      <c r="AZ48" s="20">
        <v>5.85</v>
      </c>
      <c r="BA48" s="20">
        <v>0</v>
      </c>
      <c r="BB48" s="6">
        <v>41738</v>
      </c>
      <c r="BC48" s="6">
        <v>0</v>
      </c>
      <c r="BD48" s="6">
        <v>41879</v>
      </c>
      <c r="BE48" s="6">
        <v>0</v>
      </c>
      <c r="BF48" s="6">
        <v>41873</v>
      </c>
      <c r="BG48" s="6">
        <v>0</v>
      </c>
      <c r="BH48" s="6">
        <v>0</v>
      </c>
      <c r="BI48" s="6">
        <v>0</v>
      </c>
      <c r="BJ48" s="6">
        <v>0</v>
      </c>
      <c r="BK48" s="5" t="s">
        <v>401</v>
      </c>
      <c r="BL48" s="4">
        <v>0</v>
      </c>
      <c r="BM48" s="20">
        <v>51</v>
      </c>
      <c r="BN48" s="20">
        <v>0</v>
      </c>
      <c r="BO48" s="20">
        <v>0</v>
      </c>
      <c r="BP48" s="20">
        <v>0</v>
      </c>
      <c r="BQ48" s="20">
        <v>0</v>
      </c>
      <c r="BR48" s="20">
        <v>0</v>
      </c>
      <c r="BS48" s="20">
        <v>50</v>
      </c>
      <c r="BT48" s="20">
        <v>373164.50000000006</v>
      </c>
      <c r="BU48" s="20">
        <v>2750000</v>
      </c>
      <c r="BV48" s="20">
        <v>6.6994582818033326</v>
      </c>
    </row>
    <row r="49" spans="1:74">
      <c r="A49" s="10">
        <f t="shared" si="1"/>
        <v>0</v>
      </c>
      <c r="B49" s="10">
        <f t="shared" si="2"/>
        <v>0.16666666666666666</v>
      </c>
      <c r="C49" s="12">
        <f t="shared" si="3"/>
        <v>4</v>
      </c>
      <c r="D49" s="12">
        <f t="shared" si="5"/>
        <v>9</v>
      </c>
      <c r="E49" s="20" t="s">
        <v>424</v>
      </c>
      <c r="F49" s="20" t="s">
        <v>632</v>
      </c>
      <c r="G49" s="20" t="s">
        <v>1156</v>
      </c>
      <c r="H49" s="20" t="s">
        <v>1173</v>
      </c>
      <c r="I49" s="20">
        <v>3</v>
      </c>
      <c r="J49" s="20" t="s">
        <v>1174</v>
      </c>
      <c r="K49" s="20" t="s">
        <v>1175</v>
      </c>
      <c r="L49" s="20" t="s">
        <v>1176</v>
      </c>
      <c r="M49" s="20" t="s">
        <v>632</v>
      </c>
      <c r="N49" s="20" t="s">
        <v>633</v>
      </c>
      <c r="P49" s="20" t="s">
        <v>632</v>
      </c>
      <c r="Q49" s="20" t="s">
        <v>634</v>
      </c>
      <c r="R49" s="20" t="s">
        <v>84</v>
      </c>
      <c r="S49" s="20">
        <v>5</v>
      </c>
      <c r="T49" s="20" t="s">
        <v>106</v>
      </c>
      <c r="U49" s="20" t="s">
        <v>107</v>
      </c>
      <c r="V49" s="20" t="s">
        <v>87</v>
      </c>
      <c r="W49" s="20">
        <v>508</v>
      </c>
      <c r="X49" s="20">
        <v>508</v>
      </c>
      <c r="Y49" s="20" t="s">
        <v>1177</v>
      </c>
      <c r="Z49" s="20">
        <v>0.16666666666666666</v>
      </c>
      <c r="AA49" s="20" t="s">
        <v>1178</v>
      </c>
      <c r="AB49" s="20" t="s">
        <v>101</v>
      </c>
      <c r="AC49" s="20" t="s">
        <v>102</v>
      </c>
      <c r="AD49" s="20" t="s">
        <v>1179</v>
      </c>
      <c r="AE49" s="20" t="s">
        <v>91</v>
      </c>
      <c r="AF49" s="20">
        <v>0.33333333333333331</v>
      </c>
      <c r="AG49" s="20">
        <v>0</v>
      </c>
      <c r="AH49" s="20">
        <v>1</v>
      </c>
      <c r="AI49" s="7" t="s">
        <v>92</v>
      </c>
      <c r="AJ49" s="20">
        <v>250</v>
      </c>
      <c r="AK49" s="4" t="s">
        <v>179</v>
      </c>
      <c r="AL49" s="4">
        <v>7</v>
      </c>
      <c r="AM49" s="4" t="s">
        <v>514</v>
      </c>
      <c r="AN49" s="4" t="s">
        <v>95</v>
      </c>
      <c r="AO49" s="4" t="s">
        <v>96</v>
      </c>
      <c r="AP49" s="4">
        <v>1</v>
      </c>
      <c r="AQ49" s="20">
        <v>53000</v>
      </c>
      <c r="AR49" s="4">
        <v>41780</v>
      </c>
      <c r="AS49" s="20">
        <v>8030.3030303030291</v>
      </c>
      <c r="AT49" s="20">
        <v>8500.18</v>
      </c>
      <c r="AU49" s="20">
        <v>469.87696969697117</v>
      </c>
      <c r="AV49" s="20">
        <v>1370</v>
      </c>
      <c r="AW49" s="20">
        <v>0</v>
      </c>
      <c r="AX49" s="20">
        <v>20</v>
      </c>
      <c r="AY49" s="20">
        <v>1390</v>
      </c>
      <c r="AZ49" s="20">
        <v>5.7</v>
      </c>
      <c r="BA49" s="20">
        <v>0</v>
      </c>
      <c r="BB49" s="6">
        <v>41738</v>
      </c>
      <c r="BC49" s="6">
        <v>0</v>
      </c>
      <c r="BD49" s="6">
        <v>41879</v>
      </c>
      <c r="BE49" s="6">
        <v>0</v>
      </c>
      <c r="BF49" s="6">
        <v>41887</v>
      </c>
      <c r="BG49" s="6">
        <v>41941</v>
      </c>
      <c r="BH49" s="6">
        <v>0</v>
      </c>
      <c r="BI49" s="6">
        <v>0</v>
      </c>
      <c r="BJ49" s="6">
        <v>0</v>
      </c>
      <c r="BK49" s="5" t="s">
        <v>401</v>
      </c>
      <c r="BL49" s="4">
        <v>0</v>
      </c>
      <c r="BM49" s="20">
        <v>193</v>
      </c>
      <c r="BN49" s="20">
        <v>26</v>
      </c>
      <c r="BO49" s="20">
        <v>0</v>
      </c>
      <c r="BP49" s="20">
        <v>0</v>
      </c>
      <c r="BQ49" s="20">
        <v>0</v>
      </c>
      <c r="BS49" s="20">
        <v>250</v>
      </c>
      <c r="BT49" s="20">
        <v>2125045</v>
      </c>
      <c r="BU49" s="20">
        <v>13250000</v>
      </c>
      <c r="BV49" s="20">
        <v>5.6683291626551648</v>
      </c>
    </row>
    <row r="50" spans="1:74">
      <c r="A50" s="10">
        <f t="shared" si="1"/>
        <v>0</v>
      </c>
      <c r="B50" s="10">
        <f t="shared" si="2"/>
        <v>0.16666666666666666</v>
      </c>
      <c r="C50" s="12">
        <f t="shared" si="3"/>
        <v>4</v>
      </c>
      <c r="D50" s="12">
        <f t="shared" si="5"/>
        <v>9</v>
      </c>
      <c r="E50" s="20" t="s">
        <v>424</v>
      </c>
      <c r="F50" s="20" t="s">
        <v>632</v>
      </c>
      <c r="G50" s="20" t="s">
        <v>1156</v>
      </c>
      <c r="H50" s="20" t="s">
        <v>1173</v>
      </c>
      <c r="I50" s="20">
        <v>3</v>
      </c>
      <c r="J50" s="20" t="s">
        <v>1174</v>
      </c>
      <c r="K50" s="20" t="s">
        <v>1180</v>
      </c>
      <c r="L50" s="20" t="s">
        <v>1176</v>
      </c>
      <c r="M50" s="20" t="s">
        <v>632</v>
      </c>
      <c r="N50" s="20" t="s">
        <v>633</v>
      </c>
      <c r="P50" s="20" t="s">
        <v>632</v>
      </c>
      <c r="Q50" s="20" t="s">
        <v>634</v>
      </c>
      <c r="R50" s="20" t="s">
        <v>84</v>
      </c>
      <c r="S50" s="20">
        <v>5</v>
      </c>
      <c r="T50" s="20" t="s">
        <v>106</v>
      </c>
      <c r="U50" s="20" t="s">
        <v>107</v>
      </c>
      <c r="V50" s="20" t="s">
        <v>87</v>
      </c>
      <c r="W50" s="20">
        <v>508</v>
      </c>
      <c r="X50" s="20">
        <v>508</v>
      </c>
      <c r="Y50" s="20" t="s">
        <v>1177</v>
      </c>
      <c r="Z50" s="20">
        <v>0.16666666666666666</v>
      </c>
      <c r="AA50" s="20" t="s">
        <v>1178</v>
      </c>
      <c r="AB50" s="20" t="s">
        <v>101</v>
      </c>
      <c r="AC50" s="20" t="s">
        <v>102</v>
      </c>
      <c r="AD50" s="20" t="s">
        <v>1179</v>
      </c>
      <c r="AE50" s="20" t="s">
        <v>91</v>
      </c>
      <c r="AF50" s="20">
        <v>0.33333333333333331</v>
      </c>
      <c r="AG50" s="20">
        <v>0</v>
      </c>
      <c r="AH50" s="20">
        <v>1</v>
      </c>
      <c r="AI50" s="7" t="s">
        <v>97</v>
      </c>
      <c r="AJ50" s="20">
        <v>200</v>
      </c>
      <c r="AK50" s="4" t="s">
        <v>179</v>
      </c>
      <c r="AL50" s="4">
        <v>7</v>
      </c>
      <c r="AM50" s="4" t="s">
        <v>514</v>
      </c>
      <c r="AN50" s="4" t="s">
        <v>95</v>
      </c>
      <c r="AO50" s="4" t="s">
        <v>96</v>
      </c>
      <c r="AP50" s="4">
        <v>1</v>
      </c>
      <c r="AQ50" s="20">
        <v>53000</v>
      </c>
      <c r="AR50" s="4">
        <v>41780</v>
      </c>
      <c r="AS50" s="20">
        <v>8030.3030303030291</v>
      </c>
      <c r="AT50" s="20">
        <v>8500.18</v>
      </c>
      <c r="AU50" s="20">
        <v>469.87696969697117</v>
      </c>
      <c r="AV50" s="20">
        <v>1370</v>
      </c>
      <c r="AW50" s="20">
        <v>0</v>
      </c>
      <c r="AX50" s="20">
        <v>20</v>
      </c>
      <c r="AY50" s="20">
        <v>1390</v>
      </c>
      <c r="AZ50" s="20">
        <v>5.7</v>
      </c>
      <c r="BA50" s="20">
        <v>0</v>
      </c>
      <c r="BB50" s="6">
        <v>41738</v>
      </c>
      <c r="BC50" s="6">
        <v>0</v>
      </c>
      <c r="BD50" s="6">
        <v>41879</v>
      </c>
      <c r="BE50" s="6">
        <v>0</v>
      </c>
      <c r="BF50" s="6">
        <v>41887</v>
      </c>
      <c r="BG50" s="6">
        <v>41941</v>
      </c>
      <c r="BH50" s="6">
        <v>0</v>
      </c>
      <c r="BI50" s="6">
        <v>0</v>
      </c>
      <c r="BJ50" s="6">
        <v>0</v>
      </c>
      <c r="BK50" s="5" t="s">
        <v>401</v>
      </c>
      <c r="BL50" s="4">
        <v>0</v>
      </c>
      <c r="BM50" s="20">
        <v>164</v>
      </c>
      <c r="BN50" s="20">
        <v>11</v>
      </c>
      <c r="BO50" s="20">
        <v>0</v>
      </c>
      <c r="BP50" s="20">
        <v>0</v>
      </c>
      <c r="BQ50" s="20">
        <v>0</v>
      </c>
      <c r="BS50" s="20">
        <v>200</v>
      </c>
      <c r="BT50" s="20">
        <v>1700036</v>
      </c>
      <c r="BU50" s="20">
        <v>10600000</v>
      </c>
      <c r="BV50" s="20">
        <v>5.6683291626551648</v>
      </c>
    </row>
    <row r="51" spans="1:74">
      <c r="A51" s="10">
        <f t="shared" si="1"/>
        <v>0</v>
      </c>
      <c r="B51" s="10">
        <f t="shared" si="2"/>
        <v>0.16666666666666666</v>
      </c>
      <c r="C51" s="12">
        <f t="shared" si="3"/>
        <v>4</v>
      </c>
      <c r="D51" s="12">
        <f t="shared" si="5"/>
        <v>9</v>
      </c>
      <c r="E51" s="20" t="s">
        <v>424</v>
      </c>
      <c r="F51" s="20" t="s">
        <v>632</v>
      </c>
      <c r="G51" s="20" t="s">
        <v>1156</v>
      </c>
      <c r="H51" s="20" t="s">
        <v>1173</v>
      </c>
      <c r="I51" s="20">
        <v>3</v>
      </c>
      <c r="J51" s="20" t="s">
        <v>1174</v>
      </c>
      <c r="K51" s="20" t="s">
        <v>1181</v>
      </c>
      <c r="L51" s="20" t="s">
        <v>1176</v>
      </c>
      <c r="M51" s="20" t="s">
        <v>632</v>
      </c>
      <c r="N51" s="20" t="s">
        <v>633</v>
      </c>
      <c r="P51" s="20" t="s">
        <v>632</v>
      </c>
      <c r="Q51" s="20" t="s">
        <v>634</v>
      </c>
      <c r="R51" s="20" t="s">
        <v>84</v>
      </c>
      <c r="S51" s="20">
        <v>5</v>
      </c>
      <c r="T51" s="20" t="s">
        <v>106</v>
      </c>
      <c r="U51" s="20" t="s">
        <v>107</v>
      </c>
      <c r="V51" s="20" t="s">
        <v>87</v>
      </c>
      <c r="W51" s="20">
        <v>508</v>
      </c>
      <c r="X51" s="20">
        <v>508</v>
      </c>
      <c r="Y51" s="20" t="s">
        <v>1177</v>
      </c>
      <c r="Z51" s="20">
        <v>0.16666666666666666</v>
      </c>
      <c r="AA51" s="20" t="s">
        <v>1178</v>
      </c>
      <c r="AB51" s="20" t="s">
        <v>101</v>
      </c>
      <c r="AC51" s="20" t="s">
        <v>102</v>
      </c>
      <c r="AD51" s="20" t="s">
        <v>1179</v>
      </c>
      <c r="AE51" s="20" t="s">
        <v>91</v>
      </c>
      <c r="AF51" s="20">
        <v>0.33333333333333331</v>
      </c>
      <c r="AG51" s="20">
        <v>0</v>
      </c>
      <c r="AH51" s="20">
        <v>1</v>
      </c>
      <c r="AI51" s="7" t="s">
        <v>98</v>
      </c>
      <c r="AJ51" s="20">
        <v>100</v>
      </c>
      <c r="AK51" s="4" t="s">
        <v>179</v>
      </c>
      <c r="AL51" s="4">
        <v>7</v>
      </c>
      <c r="AM51" s="4" t="s">
        <v>514</v>
      </c>
      <c r="AN51" s="4" t="s">
        <v>95</v>
      </c>
      <c r="AO51" s="4" t="s">
        <v>96</v>
      </c>
      <c r="AP51" s="4">
        <v>1</v>
      </c>
      <c r="AQ51" s="20">
        <v>53000</v>
      </c>
      <c r="AR51" s="4">
        <v>41780</v>
      </c>
      <c r="AS51" s="20">
        <v>8030.3030303030291</v>
      </c>
      <c r="AT51" s="20">
        <v>8500.18</v>
      </c>
      <c r="AU51" s="20">
        <v>469.87696969697117</v>
      </c>
      <c r="AV51" s="20">
        <v>1370</v>
      </c>
      <c r="AW51" s="20">
        <v>0</v>
      </c>
      <c r="AX51" s="20">
        <v>20</v>
      </c>
      <c r="AY51" s="20">
        <v>1390</v>
      </c>
      <c r="AZ51" s="20">
        <v>5.7</v>
      </c>
      <c r="BA51" s="20">
        <v>0</v>
      </c>
      <c r="BB51" s="6">
        <v>41738</v>
      </c>
      <c r="BC51" s="6">
        <v>0</v>
      </c>
      <c r="BD51" s="6">
        <v>41879</v>
      </c>
      <c r="BE51" s="6">
        <v>0</v>
      </c>
      <c r="BF51" s="6">
        <v>41887</v>
      </c>
      <c r="BG51" s="6">
        <v>41941</v>
      </c>
      <c r="BH51" s="6">
        <v>0</v>
      </c>
      <c r="BI51" s="6">
        <v>0</v>
      </c>
      <c r="BJ51" s="6">
        <v>0</v>
      </c>
      <c r="BK51" s="5" t="s">
        <v>401</v>
      </c>
      <c r="BL51" s="4">
        <v>0</v>
      </c>
      <c r="BM51" s="20">
        <v>99</v>
      </c>
      <c r="BN51" s="20">
        <v>0</v>
      </c>
      <c r="BO51" s="20">
        <v>0</v>
      </c>
      <c r="BP51" s="20">
        <v>0</v>
      </c>
      <c r="BQ51" s="20">
        <v>0</v>
      </c>
      <c r="BR51" s="20">
        <v>0</v>
      </c>
      <c r="BS51" s="20">
        <v>100</v>
      </c>
      <c r="BT51" s="20">
        <v>850018</v>
      </c>
      <c r="BU51" s="20">
        <v>5300000</v>
      </c>
      <c r="BV51" s="20">
        <v>5.6683291626551648</v>
      </c>
    </row>
    <row r="52" spans="1:74">
      <c r="A52" s="10">
        <f t="shared" si="1"/>
        <v>0</v>
      </c>
      <c r="B52" s="10">
        <f t="shared" si="2"/>
        <v>0.16666666666666666</v>
      </c>
      <c r="C52" s="12">
        <f t="shared" si="3"/>
        <v>4</v>
      </c>
      <c r="D52" s="12">
        <f t="shared" si="5"/>
        <v>9</v>
      </c>
      <c r="E52" s="20" t="s">
        <v>424</v>
      </c>
      <c r="F52" s="20" t="s">
        <v>632</v>
      </c>
      <c r="G52" s="20" t="s">
        <v>1156</v>
      </c>
      <c r="H52" s="20" t="s">
        <v>1182</v>
      </c>
      <c r="I52" s="20">
        <v>4</v>
      </c>
      <c r="J52" s="20" t="s">
        <v>1183</v>
      </c>
      <c r="K52" s="20" t="s">
        <v>1184</v>
      </c>
      <c r="L52" s="20" t="s">
        <v>1176</v>
      </c>
      <c r="M52" s="20" t="s">
        <v>632</v>
      </c>
      <c r="N52" s="20" t="s">
        <v>633</v>
      </c>
      <c r="P52" s="20" t="s">
        <v>632</v>
      </c>
      <c r="Q52" s="20" t="s">
        <v>634</v>
      </c>
      <c r="R52" s="20" t="s">
        <v>84</v>
      </c>
      <c r="S52" s="20">
        <v>5</v>
      </c>
      <c r="T52" s="20" t="s">
        <v>106</v>
      </c>
      <c r="U52" s="20" t="s">
        <v>107</v>
      </c>
      <c r="V52" s="20" t="s">
        <v>87</v>
      </c>
      <c r="W52" s="20">
        <v>508</v>
      </c>
      <c r="X52" s="20">
        <v>508</v>
      </c>
      <c r="Y52" s="20" t="s">
        <v>1177</v>
      </c>
      <c r="Z52" s="20">
        <v>0.16666666666666666</v>
      </c>
      <c r="AA52" s="20" t="s">
        <v>1185</v>
      </c>
      <c r="AB52" s="20" t="s">
        <v>279</v>
      </c>
      <c r="AC52" s="20" t="s">
        <v>280</v>
      </c>
      <c r="AD52" s="20" t="s">
        <v>1186</v>
      </c>
      <c r="AE52" s="20" t="s">
        <v>91</v>
      </c>
      <c r="AF52" s="20">
        <v>0.33333333333333331</v>
      </c>
      <c r="AG52" s="20">
        <v>0</v>
      </c>
      <c r="AH52" s="20">
        <v>1</v>
      </c>
      <c r="AI52" s="7" t="s">
        <v>92</v>
      </c>
      <c r="AJ52" s="20">
        <v>250</v>
      </c>
      <c r="AK52" s="4" t="s">
        <v>179</v>
      </c>
      <c r="AL52" s="4">
        <v>7</v>
      </c>
      <c r="AM52" s="4" t="s">
        <v>514</v>
      </c>
      <c r="AN52" s="4" t="s">
        <v>95</v>
      </c>
      <c r="AO52" s="4" t="s">
        <v>96</v>
      </c>
      <c r="AP52" s="4">
        <v>1</v>
      </c>
      <c r="AQ52" s="20">
        <v>53000</v>
      </c>
      <c r="AR52" s="4">
        <v>41780</v>
      </c>
      <c r="AS52" s="20">
        <v>8030.3030303030291</v>
      </c>
      <c r="AT52" s="20">
        <v>8500.18</v>
      </c>
      <c r="AU52" s="20">
        <v>469.87696969697117</v>
      </c>
      <c r="AV52" s="20">
        <v>1370</v>
      </c>
      <c r="AW52" s="20">
        <v>0</v>
      </c>
      <c r="AX52" s="20">
        <v>20</v>
      </c>
      <c r="AY52" s="20">
        <v>1390</v>
      </c>
      <c r="AZ52" s="20">
        <v>5.7</v>
      </c>
      <c r="BA52" s="20">
        <v>0</v>
      </c>
      <c r="BB52" s="6">
        <v>41738</v>
      </c>
      <c r="BC52" s="6">
        <v>0</v>
      </c>
      <c r="BD52" s="6">
        <v>41879</v>
      </c>
      <c r="BE52" s="6">
        <v>0</v>
      </c>
      <c r="BF52" s="6">
        <v>41887</v>
      </c>
      <c r="BG52" s="6">
        <v>41941</v>
      </c>
      <c r="BH52" s="6">
        <v>0</v>
      </c>
      <c r="BI52" s="6">
        <v>0</v>
      </c>
      <c r="BJ52" s="6">
        <v>0</v>
      </c>
      <c r="BK52" s="5" t="s">
        <v>401</v>
      </c>
      <c r="BL52" s="4">
        <v>0</v>
      </c>
      <c r="BM52" s="20">
        <v>201</v>
      </c>
      <c r="BN52" s="20">
        <v>31</v>
      </c>
      <c r="BO52" s="20">
        <v>0</v>
      </c>
      <c r="BP52" s="20">
        <v>0</v>
      </c>
      <c r="BQ52" s="20">
        <v>0</v>
      </c>
      <c r="BR52" s="20">
        <v>0</v>
      </c>
      <c r="BS52" s="20">
        <v>250</v>
      </c>
      <c r="BT52" s="20">
        <v>2125045</v>
      </c>
      <c r="BU52" s="20">
        <v>13250000</v>
      </c>
      <c r="BV52" s="20">
        <v>5.6683291626551648</v>
      </c>
    </row>
    <row r="53" spans="1:74">
      <c r="A53" s="10">
        <f t="shared" si="1"/>
        <v>0</v>
      </c>
      <c r="B53" s="10">
        <f t="shared" si="2"/>
        <v>0.16666666666666666</v>
      </c>
      <c r="C53" s="12">
        <f t="shared" si="3"/>
        <v>4</v>
      </c>
      <c r="D53" s="12">
        <f t="shared" si="5"/>
        <v>9</v>
      </c>
      <c r="E53" s="20" t="s">
        <v>424</v>
      </c>
      <c r="F53" s="20" t="s">
        <v>632</v>
      </c>
      <c r="G53" s="20" t="s">
        <v>1156</v>
      </c>
      <c r="H53" s="20" t="s">
        <v>1182</v>
      </c>
      <c r="I53" s="20">
        <v>4</v>
      </c>
      <c r="J53" s="20" t="s">
        <v>1183</v>
      </c>
      <c r="K53" s="20" t="s">
        <v>1187</v>
      </c>
      <c r="L53" s="20" t="s">
        <v>1176</v>
      </c>
      <c r="M53" s="20" t="s">
        <v>632</v>
      </c>
      <c r="N53" s="20" t="s">
        <v>633</v>
      </c>
      <c r="P53" s="20" t="s">
        <v>632</v>
      </c>
      <c r="Q53" s="20" t="s">
        <v>634</v>
      </c>
      <c r="R53" s="20" t="s">
        <v>84</v>
      </c>
      <c r="S53" s="20">
        <v>5</v>
      </c>
      <c r="T53" s="20" t="s">
        <v>106</v>
      </c>
      <c r="U53" s="20" t="s">
        <v>107</v>
      </c>
      <c r="V53" s="20" t="s">
        <v>87</v>
      </c>
      <c r="W53" s="20">
        <v>508</v>
      </c>
      <c r="X53" s="20">
        <v>508</v>
      </c>
      <c r="Y53" s="20" t="s">
        <v>1177</v>
      </c>
      <c r="Z53" s="20">
        <v>0.16666666666666666</v>
      </c>
      <c r="AA53" s="20" t="s">
        <v>1185</v>
      </c>
      <c r="AB53" s="20" t="s">
        <v>279</v>
      </c>
      <c r="AC53" s="20" t="s">
        <v>280</v>
      </c>
      <c r="AD53" s="20" t="s">
        <v>1186</v>
      </c>
      <c r="AE53" s="20" t="s">
        <v>91</v>
      </c>
      <c r="AF53" s="20">
        <v>0.33333333333333331</v>
      </c>
      <c r="AG53" s="20">
        <v>0</v>
      </c>
      <c r="AH53" s="20">
        <v>1</v>
      </c>
      <c r="AI53" s="7" t="s">
        <v>97</v>
      </c>
      <c r="AJ53" s="20">
        <v>200</v>
      </c>
      <c r="AK53" s="4" t="s">
        <v>179</v>
      </c>
      <c r="AL53" s="4">
        <v>7</v>
      </c>
      <c r="AM53" s="4" t="s">
        <v>514</v>
      </c>
      <c r="AN53" s="4" t="s">
        <v>95</v>
      </c>
      <c r="AO53" s="4" t="s">
        <v>96</v>
      </c>
      <c r="AP53" s="4">
        <v>1</v>
      </c>
      <c r="AQ53" s="20">
        <v>53000</v>
      </c>
      <c r="AR53" s="4">
        <v>41780</v>
      </c>
      <c r="AS53" s="20">
        <v>8030.3030303030291</v>
      </c>
      <c r="AT53" s="20">
        <v>8500.18</v>
      </c>
      <c r="AU53" s="20">
        <v>469.87696969697117</v>
      </c>
      <c r="AV53" s="20">
        <v>1370</v>
      </c>
      <c r="AW53" s="20">
        <v>0</v>
      </c>
      <c r="AX53" s="20">
        <v>20</v>
      </c>
      <c r="AY53" s="20">
        <v>1390</v>
      </c>
      <c r="AZ53" s="20">
        <v>5.7</v>
      </c>
      <c r="BA53" s="20">
        <v>0</v>
      </c>
      <c r="BB53" s="6">
        <v>41738</v>
      </c>
      <c r="BC53" s="6">
        <v>0</v>
      </c>
      <c r="BD53" s="6">
        <v>41879</v>
      </c>
      <c r="BE53" s="6">
        <v>0</v>
      </c>
      <c r="BF53" s="6">
        <v>41887</v>
      </c>
      <c r="BG53" s="6">
        <v>41941</v>
      </c>
      <c r="BH53" s="6">
        <v>0</v>
      </c>
      <c r="BI53" s="6">
        <v>0</v>
      </c>
      <c r="BJ53" s="6">
        <v>0</v>
      </c>
      <c r="BK53" s="5" t="s">
        <v>401</v>
      </c>
      <c r="BL53" s="4">
        <v>0</v>
      </c>
      <c r="BM53" s="20">
        <v>173</v>
      </c>
      <c r="BN53" s="20">
        <v>11</v>
      </c>
      <c r="BO53" s="20">
        <v>0</v>
      </c>
      <c r="BP53" s="20">
        <v>0</v>
      </c>
      <c r="BQ53" s="20">
        <v>0</v>
      </c>
      <c r="BR53" s="20">
        <v>0</v>
      </c>
      <c r="BS53" s="20">
        <v>200</v>
      </c>
      <c r="BT53" s="20">
        <v>1700036</v>
      </c>
      <c r="BU53" s="20">
        <v>10600000</v>
      </c>
      <c r="BV53" s="20">
        <v>5.6683291626551648</v>
      </c>
    </row>
    <row r="54" spans="1:74">
      <c r="A54" s="10">
        <f t="shared" si="1"/>
        <v>0</v>
      </c>
      <c r="B54" s="10">
        <f t="shared" si="2"/>
        <v>0.16666666666666666</v>
      </c>
      <c r="C54" s="12">
        <f t="shared" si="3"/>
        <v>4</v>
      </c>
      <c r="D54" s="12">
        <f t="shared" si="5"/>
        <v>9</v>
      </c>
      <c r="E54" s="20" t="s">
        <v>424</v>
      </c>
      <c r="F54" s="20" t="s">
        <v>632</v>
      </c>
      <c r="G54" s="20" t="s">
        <v>1156</v>
      </c>
      <c r="H54" s="20" t="s">
        <v>1182</v>
      </c>
      <c r="I54" s="20">
        <v>4</v>
      </c>
      <c r="J54" s="20" t="s">
        <v>1183</v>
      </c>
      <c r="K54" s="20" t="s">
        <v>1188</v>
      </c>
      <c r="L54" s="20" t="s">
        <v>1176</v>
      </c>
      <c r="M54" s="20" t="s">
        <v>632</v>
      </c>
      <c r="N54" s="20" t="s">
        <v>633</v>
      </c>
      <c r="P54" s="20" t="s">
        <v>632</v>
      </c>
      <c r="Q54" s="20" t="s">
        <v>634</v>
      </c>
      <c r="R54" s="20" t="s">
        <v>84</v>
      </c>
      <c r="S54" s="20">
        <v>5</v>
      </c>
      <c r="T54" s="20" t="s">
        <v>106</v>
      </c>
      <c r="U54" s="20" t="s">
        <v>107</v>
      </c>
      <c r="V54" s="20" t="s">
        <v>87</v>
      </c>
      <c r="W54" s="20">
        <v>508</v>
      </c>
      <c r="X54" s="20">
        <v>508</v>
      </c>
      <c r="Y54" s="20" t="s">
        <v>1177</v>
      </c>
      <c r="Z54" s="20">
        <v>0.16666666666666666</v>
      </c>
      <c r="AA54" s="20" t="s">
        <v>1185</v>
      </c>
      <c r="AB54" s="20" t="s">
        <v>279</v>
      </c>
      <c r="AC54" s="20" t="s">
        <v>280</v>
      </c>
      <c r="AD54" s="20" t="s">
        <v>1186</v>
      </c>
      <c r="AE54" s="20" t="s">
        <v>91</v>
      </c>
      <c r="AF54" s="20">
        <v>0.33333333333333331</v>
      </c>
      <c r="AG54" s="20">
        <v>0</v>
      </c>
      <c r="AH54" s="20">
        <v>1</v>
      </c>
      <c r="AI54" s="7" t="s">
        <v>98</v>
      </c>
      <c r="AJ54" s="20">
        <v>100</v>
      </c>
      <c r="AK54" s="4" t="s">
        <v>179</v>
      </c>
      <c r="AL54" s="4">
        <v>7</v>
      </c>
      <c r="AM54" s="4" t="s">
        <v>514</v>
      </c>
      <c r="AN54" s="4" t="s">
        <v>95</v>
      </c>
      <c r="AO54" s="4" t="s">
        <v>96</v>
      </c>
      <c r="AP54" s="4">
        <v>1</v>
      </c>
      <c r="AQ54" s="20">
        <v>53000</v>
      </c>
      <c r="AR54" s="4">
        <v>41780</v>
      </c>
      <c r="AS54" s="20">
        <v>8030.3030303030291</v>
      </c>
      <c r="AT54" s="20">
        <v>8500.18</v>
      </c>
      <c r="AU54" s="20">
        <v>469.87696969697117</v>
      </c>
      <c r="AV54" s="20">
        <v>1370</v>
      </c>
      <c r="AW54" s="20">
        <v>0</v>
      </c>
      <c r="AX54" s="20">
        <v>20</v>
      </c>
      <c r="AY54" s="20">
        <v>1390</v>
      </c>
      <c r="AZ54" s="20">
        <v>5.7</v>
      </c>
      <c r="BA54" s="20">
        <v>0</v>
      </c>
      <c r="BB54" s="6">
        <v>41738</v>
      </c>
      <c r="BC54" s="6">
        <v>0</v>
      </c>
      <c r="BD54" s="6">
        <v>41879</v>
      </c>
      <c r="BE54" s="6">
        <v>0</v>
      </c>
      <c r="BF54" s="6">
        <v>41887</v>
      </c>
      <c r="BG54" s="6">
        <v>41941</v>
      </c>
      <c r="BH54" s="6">
        <v>0</v>
      </c>
      <c r="BI54" s="6">
        <v>0</v>
      </c>
      <c r="BJ54" s="6">
        <v>0</v>
      </c>
      <c r="BK54" s="5" t="s">
        <v>401</v>
      </c>
      <c r="BL54" s="4">
        <v>0</v>
      </c>
      <c r="BM54" s="20">
        <v>80</v>
      </c>
      <c r="BN54" s="20">
        <v>6</v>
      </c>
      <c r="BO54" s="20">
        <v>0</v>
      </c>
      <c r="BP54" s="20">
        <v>0</v>
      </c>
      <c r="BQ54" s="20">
        <v>0</v>
      </c>
      <c r="BS54" s="20">
        <v>100</v>
      </c>
      <c r="BT54" s="20">
        <v>850018</v>
      </c>
      <c r="BU54" s="20">
        <v>5300000</v>
      </c>
      <c r="BV54" s="20">
        <v>5.6683291626551648</v>
      </c>
    </row>
    <row r="55" spans="1:74">
      <c r="A55" s="10">
        <f t="shared" si="1"/>
        <v>0</v>
      </c>
      <c r="B55" s="10">
        <f t="shared" si="2"/>
        <v>0</v>
      </c>
      <c r="C55" s="12" t="str">
        <f t="shared" si="3"/>
        <v/>
      </c>
      <c r="D55" s="12" t="str">
        <f t="shared" si="5"/>
        <v/>
      </c>
      <c r="E55" s="20" t="s">
        <v>91</v>
      </c>
      <c r="F55" s="20" t="s">
        <v>91</v>
      </c>
      <c r="G55" s="20" t="s">
        <v>91</v>
      </c>
      <c r="H55" s="20" t="s">
        <v>91</v>
      </c>
      <c r="I55" s="20">
        <v>0</v>
      </c>
      <c r="J55" s="20" t="s">
        <v>103</v>
      </c>
      <c r="K55" s="20" t="s">
        <v>104</v>
      </c>
      <c r="L55" s="20">
        <v>0</v>
      </c>
      <c r="M55" s="20" t="s">
        <v>105</v>
      </c>
      <c r="N55" s="20" t="s">
        <v>91</v>
      </c>
      <c r="O55" s="20" t="s">
        <v>1189</v>
      </c>
      <c r="Q55" s="20" t="s">
        <v>91</v>
      </c>
      <c r="R55" s="20" t="s">
        <v>91</v>
      </c>
      <c r="S55" s="20" t="s">
        <v>91</v>
      </c>
      <c r="U55" s="20" t="s">
        <v>91</v>
      </c>
      <c r="V55" s="20" t="s">
        <v>87</v>
      </c>
      <c r="X55" s="20" t="s">
        <v>91</v>
      </c>
      <c r="Y55" s="20" t="s">
        <v>91</v>
      </c>
      <c r="Z55" s="20">
        <v>2.9999999999999991</v>
      </c>
      <c r="AB55" s="20" t="s">
        <v>91</v>
      </c>
      <c r="AD55" s="20" t="s">
        <v>91</v>
      </c>
      <c r="AE55" s="20" t="s">
        <v>91</v>
      </c>
      <c r="AF55" s="20">
        <v>4.0000000000000009</v>
      </c>
      <c r="AG55" s="20">
        <v>0</v>
      </c>
      <c r="AH55" s="20">
        <v>1</v>
      </c>
      <c r="AI55" s="7"/>
      <c r="AM55" s="4" t="s">
        <v>91</v>
      </c>
      <c r="AP55" s="4" t="s">
        <v>91</v>
      </c>
      <c r="AQ55" s="20">
        <v>0</v>
      </c>
      <c r="AR55" s="4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 t="s">
        <v>91</v>
      </c>
      <c r="AY55" s="20">
        <v>0</v>
      </c>
      <c r="AZ55" s="20">
        <v>0</v>
      </c>
      <c r="BA55" s="20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5">
        <v>0</v>
      </c>
      <c r="BL55" s="4">
        <v>0</v>
      </c>
      <c r="BM55" s="20">
        <v>1208</v>
      </c>
      <c r="BN55" s="20">
        <v>85</v>
      </c>
      <c r="BO55" s="20">
        <v>0</v>
      </c>
      <c r="BP55" s="20">
        <v>0</v>
      </c>
      <c r="BQ55" s="20">
        <v>0</v>
      </c>
      <c r="BR55" s="20">
        <v>0</v>
      </c>
      <c r="BS55" s="20">
        <v>1400</v>
      </c>
      <c r="BT55" s="20">
        <v>11623547</v>
      </c>
      <c r="BU55" s="20">
        <v>74800000</v>
      </c>
      <c r="BV55" s="20">
        <v>5.8501935768832007</v>
      </c>
    </row>
    <row r="56" spans="1:74">
      <c r="A56" s="10">
        <f t="shared" si="1"/>
        <v>0</v>
      </c>
      <c r="B56" s="10">
        <f t="shared" si="2"/>
        <v>0.33333333333333331</v>
      </c>
      <c r="C56" s="12">
        <f t="shared" si="3"/>
        <v>4</v>
      </c>
      <c r="D56" s="12">
        <f t="shared" si="5"/>
        <v>8</v>
      </c>
      <c r="E56" s="20" t="s">
        <v>386</v>
      </c>
      <c r="F56" s="20" t="s">
        <v>1190</v>
      </c>
      <c r="G56" s="20" t="s">
        <v>1191</v>
      </c>
      <c r="H56" s="20" t="s">
        <v>1192</v>
      </c>
      <c r="I56" s="20">
        <v>1</v>
      </c>
      <c r="J56" s="20" t="s">
        <v>1193</v>
      </c>
      <c r="K56" s="20" t="s">
        <v>1194</v>
      </c>
      <c r="L56" s="20" t="s">
        <v>1195</v>
      </c>
      <c r="M56" s="20" t="s">
        <v>1190</v>
      </c>
      <c r="N56" s="20" t="s">
        <v>1196</v>
      </c>
      <c r="P56" s="20" t="s">
        <v>1190</v>
      </c>
      <c r="Q56" s="20" t="s">
        <v>1197</v>
      </c>
      <c r="R56" s="20" t="s">
        <v>84</v>
      </c>
      <c r="S56" s="20">
        <v>5</v>
      </c>
      <c r="T56" s="20" t="s">
        <v>198</v>
      </c>
      <c r="U56" s="20" t="s">
        <v>199</v>
      </c>
      <c r="V56" s="20" t="s">
        <v>87</v>
      </c>
      <c r="W56" s="20">
        <v>501</v>
      </c>
      <c r="X56" s="20">
        <v>501</v>
      </c>
      <c r="Y56" s="20" t="s">
        <v>1198</v>
      </c>
      <c r="Z56" s="20">
        <v>0.33333333333333331</v>
      </c>
      <c r="AA56" s="20" t="s">
        <v>1199</v>
      </c>
      <c r="AB56" s="20" t="s">
        <v>109</v>
      </c>
      <c r="AC56" s="20" t="s">
        <v>110</v>
      </c>
      <c r="AD56" s="20" t="s">
        <v>1200</v>
      </c>
      <c r="AE56" s="20" t="s">
        <v>91</v>
      </c>
      <c r="AF56" s="20">
        <v>0.33333333333333331</v>
      </c>
      <c r="AG56" s="20">
        <v>0</v>
      </c>
      <c r="AH56" s="20">
        <v>1</v>
      </c>
      <c r="AI56" s="7" t="s">
        <v>92</v>
      </c>
      <c r="AJ56" s="20">
        <v>200</v>
      </c>
      <c r="AK56" s="4" t="s">
        <v>111</v>
      </c>
      <c r="AL56" s="4">
        <v>9</v>
      </c>
      <c r="AM56" s="4" t="s">
        <v>235</v>
      </c>
      <c r="AN56" s="4" t="s">
        <v>95</v>
      </c>
      <c r="AO56" s="4" t="s">
        <v>96</v>
      </c>
      <c r="AP56" s="4">
        <v>1</v>
      </c>
      <c r="AQ56" s="20">
        <v>49000</v>
      </c>
      <c r="AR56" s="4">
        <v>41780</v>
      </c>
      <c r="AS56" s="20">
        <v>7424.242424242424</v>
      </c>
      <c r="AT56" s="20">
        <v>7514.52</v>
      </c>
      <c r="AU56" s="20">
        <v>90.277575757576415</v>
      </c>
      <c r="AV56" s="20">
        <v>1507</v>
      </c>
      <c r="AW56" s="20">
        <v>20</v>
      </c>
      <c r="AX56" s="20" t="s">
        <v>91</v>
      </c>
      <c r="AY56" s="20">
        <v>1527</v>
      </c>
      <c r="AZ56" s="20">
        <v>4.8</v>
      </c>
      <c r="BA56" s="20">
        <v>0</v>
      </c>
      <c r="BB56" s="6">
        <v>41743</v>
      </c>
      <c r="BC56" s="6">
        <v>0</v>
      </c>
      <c r="BD56" s="6">
        <v>41848</v>
      </c>
      <c r="BE56" s="6">
        <v>0</v>
      </c>
      <c r="BF56" s="6">
        <v>41870</v>
      </c>
      <c r="BH56" s="6">
        <v>0</v>
      </c>
      <c r="BI56" s="6">
        <v>0</v>
      </c>
      <c r="BJ56" s="6">
        <v>0</v>
      </c>
      <c r="BK56" s="5" t="s">
        <v>401</v>
      </c>
      <c r="BL56" s="4">
        <v>0</v>
      </c>
      <c r="BM56" s="20">
        <v>199</v>
      </c>
      <c r="BN56" s="20">
        <v>0</v>
      </c>
      <c r="BO56" s="20">
        <v>0</v>
      </c>
      <c r="BP56" s="20">
        <v>0</v>
      </c>
      <c r="BQ56" s="20">
        <v>0</v>
      </c>
      <c r="BR56" s="20">
        <v>0</v>
      </c>
      <c r="BS56" s="20">
        <v>200</v>
      </c>
      <c r="BT56" s="20">
        <v>1502904</v>
      </c>
      <c r="BU56" s="20">
        <v>9800000</v>
      </c>
      <c r="BV56" s="20">
        <v>5.927917491131109</v>
      </c>
    </row>
    <row r="57" spans="1:74">
      <c r="A57" s="10">
        <f t="shared" si="1"/>
        <v>0</v>
      </c>
      <c r="B57" s="10">
        <f t="shared" si="2"/>
        <v>0.33333333333333331</v>
      </c>
      <c r="C57" s="12">
        <f t="shared" si="3"/>
        <v>4</v>
      </c>
      <c r="D57" s="12">
        <f t="shared" si="5"/>
        <v>8</v>
      </c>
      <c r="E57" s="20" t="s">
        <v>386</v>
      </c>
      <c r="F57" s="20" t="s">
        <v>1190</v>
      </c>
      <c r="G57" s="20" t="s">
        <v>1191</v>
      </c>
      <c r="H57" s="20" t="s">
        <v>1192</v>
      </c>
      <c r="I57" s="20">
        <v>1</v>
      </c>
      <c r="J57" s="20" t="s">
        <v>1193</v>
      </c>
      <c r="K57" s="20" t="s">
        <v>1201</v>
      </c>
      <c r="L57" s="20" t="s">
        <v>1195</v>
      </c>
      <c r="M57" s="20" t="s">
        <v>1190</v>
      </c>
      <c r="N57" s="20" t="s">
        <v>1196</v>
      </c>
      <c r="P57" s="20" t="s">
        <v>1190</v>
      </c>
      <c r="Q57" s="20" t="s">
        <v>1197</v>
      </c>
      <c r="R57" s="20" t="s">
        <v>84</v>
      </c>
      <c r="S57" s="20">
        <v>5</v>
      </c>
      <c r="T57" s="20" t="s">
        <v>198</v>
      </c>
      <c r="U57" s="20" t="s">
        <v>199</v>
      </c>
      <c r="V57" s="20" t="s">
        <v>87</v>
      </c>
      <c r="W57" s="20">
        <v>501</v>
      </c>
      <c r="X57" s="20">
        <v>501</v>
      </c>
      <c r="Y57" s="20" t="s">
        <v>1198</v>
      </c>
      <c r="Z57" s="20">
        <v>0.33333333333333331</v>
      </c>
      <c r="AA57" s="20" t="s">
        <v>1199</v>
      </c>
      <c r="AB57" s="20" t="s">
        <v>109</v>
      </c>
      <c r="AC57" s="20" t="s">
        <v>110</v>
      </c>
      <c r="AD57" s="20" t="s">
        <v>1200</v>
      </c>
      <c r="AE57" s="20" t="s">
        <v>91</v>
      </c>
      <c r="AF57" s="20">
        <v>0.33333333333333331</v>
      </c>
      <c r="AG57" s="20">
        <v>0</v>
      </c>
      <c r="AH57" s="20">
        <v>1</v>
      </c>
      <c r="AI57" s="7" t="s">
        <v>97</v>
      </c>
      <c r="AJ57" s="20">
        <v>150</v>
      </c>
      <c r="AK57" s="4" t="s">
        <v>111</v>
      </c>
      <c r="AL57" s="4">
        <v>9</v>
      </c>
      <c r="AM57" s="4" t="s">
        <v>235</v>
      </c>
      <c r="AN57" s="4" t="s">
        <v>95</v>
      </c>
      <c r="AO57" s="4" t="s">
        <v>96</v>
      </c>
      <c r="AP57" s="4">
        <v>1</v>
      </c>
      <c r="AQ57" s="20">
        <v>49000</v>
      </c>
      <c r="AR57" s="4">
        <v>41780</v>
      </c>
      <c r="AS57" s="20">
        <v>7424.242424242424</v>
      </c>
      <c r="AT57" s="20">
        <v>7514.52</v>
      </c>
      <c r="AU57" s="20">
        <v>90.277575757576415</v>
      </c>
      <c r="AV57" s="20">
        <v>1507</v>
      </c>
      <c r="AW57" s="20">
        <v>20</v>
      </c>
      <c r="AX57" s="20" t="s">
        <v>91</v>
      </c>
      <c r="AY57" s="20">
        <v>1527</v>
      </c>
      <c r="AZ57" s="20">
        <v>4.8</v>
      </c>
      <c r="BA57" s="20">
        <v>0</v>
      </c>
      <c r="BB57" s="6">
        <v>41743</v>
      </c>
      <c r="BC57" s="6">
        <v>0</v>
      </c>
      <c r="BD57" s="6">
        <v>41848</v>
      </c>
      <c r="BE57" s="6">
        <v>0</v>
      </c>
      <c r="BF57" s="6">
        <v>41870</v>
      </c>
      <c r="BH57" s="6">
        <v>0</v>
      </c>
      <c r="BI57" s="6">
        <v>0</v>
      </c>
      <c r="BJ57" s="6">
        <v>0</v>
      </c>
      <c r="BK57" s="5" t="s">
        <v>401</v>
      </c>
      <c r="BL57" s="4">
        <v>0</v>
      </c>
      <c r="BM57" s="20">
        <v>150</v>
      </c>
      <c r="BN57" s="20">
        <v>0</v>
      </c>
      <c r="BO57" s="20">
        <v>0</v>
      </c>
      <c r="BP57" s="20">
        <v>0</v>
      </c>
      <c r="BQ57" s="20">
        <v>0</v>
      </c>
      <c r="BR57" s="20">
        <v>0</v>
      </c>
      <c r="BS57" s="20">
        <v>150</v>
      </c>
      <c r="BT57" s="20">
        <v>1127178</v>
      </c>
      <c r="BU57" s="20">
        <v>7350000</v>
      </c>
      <c r="BV57" s="20">
        <v>5.927917491131109</v>
      </c>
    </row>
    <row r="58" spans="1:74">
      <c r="A58" s="10">
        <f t="shared" si="1"/>
        <v>0</v>
      </c>
      <c r="B58" s="10">
        <f t="shared" si="2"/>
        <v>0.33333333333333331</v>
      </c>
      <c r="C58" s="12">
        <f t="shared" si="3"/>
        <v>4</v>
      </c>
      <c r="D58" s="12">
        <f t="shared" si="5"/>
        <v>8</v>
      </c>
      <c r="E58" s="20" t="s">
        <v>386</v>
      </c>
      <c r="F58" s="20" t="s">
        <v>1190</v>
      </c>
      <c r="G58" s="20" t="s">
        <v>1191</v>
      </c>
      <c r="H58" s="20" t="s">
        <v>1192</v>
      </c>
      <c r="I58" s="20">
        <v>1</v>
      </c>
      <c r="J58" s="20" t="s">
        <v>1193</v>
      </c>
      <c r="K58" s="20" t="s">
        <v>1202</v>
      </c>
      <c r="L58" s="20" t="s">
        <v>1195</v>
      </c>
      <c r="M58" s="20" t="s">
        <v>1190</v>
      </c>
      <c r="N58" s="20" t="s">
        <v>1196</v>
      </c>
      <c r="P58" s="20" t="s">
        <v>1190</v>
      </c>
      <c r="Q58" s="20" t="s">
        <v>1197</v>
      </c>
      <c r="R58" s="20" t="s">
        <v>84</v>
      </c>
      <c r="S58" s="20">
        <v>5</v>
      </c>
      <c r="T58" s="20" t="s">
        <v>198</v>
      </c>
      <c r="U58" s="20" t="s">
        <v>199</v>
      </c>
      <c r="V58" s="20" t="s">
        <v>87</v>
      </c>
      <c r="W58" s="20">
        <v>501</v>
      </c>
      <c r="X58" s="20">
        <v>501</v>
      </c>
      <c r="Y58" s="20" t="s">
        <v>1198</v>
      </c>
      <c r="Z58" s="20">
        <v>0.33333333333333331</v>
      </c>
      <c r="AA58" s="20" t="s">
        <v>1199</v>
      </c>
      <c r="AB58" s="20" t="s">
        <v>109</v>
      </c>
      <c r="AC58" s="20" t="s">
        <v>110</v>
      </c>
      <c r="AD58" s="20" t="s">
        <v>1200</v>
      </c>
      <c r="AE58" s="20" t="s">
        <v>91</v>
      </c>
      <c r="AF58" s="20">
        <v>0.33333333333333331</v>
      </c>
      <c r="AG58" s="20">
        <v>0</v>
      </c>
      <c r="AH58" s="20">
        <v>1</v>
      </c>
      <c r="AI58" s="7" t="s">
        <v>98</v>
      </c>
      <c r="AJ58" s="20">
        <v>100</v>
      </c>
      <c r="AK58" s="4" t="s">
        <v>111</v>
      </c>
      <c r="AL58" s="4">
        <v>9</v>
      </c>
      <c r="AM58" s="4" t="s">
        <v>235</v>
      </c>
      <c r="AN58" s="4" t="s">
        <v>95</v>
      </c>
      <c r="AO58" s="4" t="s">
        <v>96</v>
      </c>
      <c r="AP58" s="4">
        <v>1</v>
      </c>
      <c r="AQ58" s="20">
        <v>49000</v>
      </c>
      <c r="AR58" s="4">
        <v>41780</v>
      </c>
      <c r="AS58" s="20">
        <v>7424.242424242424</v>
      </c>
      <c r="AT58" s="20">
        <v>7514.52</v>
      </c>
      <c r="AU58" s="20">
        <v>90.277575757576415</v>
      </c>
      <c r="AV58" s="20">
        <v>1507</v>
      </c>
      <c r="AW58" s="20">
        <v>20</v>
      </c>
      <c r="AX58" s="20" t="s">
        <v>91</v>
      </c>
      <c r="AY58" s="20">
        <v>1527</v>
      </c>
      <c r="AZ58" s="20">
        <v>4.8</v>
      </c>
      <c r="BA58" s="20">
        <v>0</v>
      </c>
      <c r="BB58" s="6">
        <v>41743</v>
      </c>
      <c r="BC58" s="6">
        <v>0</v>
      </c>
      <c r="BD58" s="6">
        <v>41848</v>
      </c>
      <c r="BE58" s="6">
        <v>0</v>
      </c>
      <c r="BF58" s="6">
        <v>41870</v>
      </c>
      <c r="BH58" s="6">
        <v>0</v>
      </c>
      <c r="BI58" s="6">
        <v>0</v>
      </c>
      <c r="BJ58" s="6">
        <v>0</v>
      </c>
      <c r="BK58" s="5" t="s">
        <v>401</v>
      </c>
      <c r="BL58" s="4">
        <v>0</v>
      </c>
      <c r="BM58" s="20">
        <v>102</v>
      </c>
      <c r="BN58" s="20">
        <v>0</v>
      </c>
      <c r="BO58" s="20">
        <v>0</v>
      </c>
      <c r="BP58" s="20">
        <v>0</v>
      </c>
      <c r="BQ58" s="20">
        <v>0</v>
      </c>
      <c r="BR58" s="20">
        <v>0</v>
      </c>
      <c r="BS58" s="20">
        <v>100</v>
      </c>
      <c r="BT58" s="20">
        <v>751452</v>
      </c>
      <c r="BU58" s="20">
        <v>4900000</v>
      </c>
      <c r="BV58" s="20">
        <v>5.927917491131109</v>
      </c>
    </row>
    <row r="59" spans="1:74">
      <c r="A59" s="10">
        <f t="shared" si="1"/>
        <v>0</v>
      </c>
      <c r="B59" s="10">
        <f t="shared" si="2"/>
        <v>0</v>
      </c>
      <c r="C59" s="12" t="str">
        <f t="shared" si="3"/>
        <v/>
      </c>
      <c r="D59" s="12" t="str">
        <f t="shared" si="5"/>
        <v/>
      </c>
      <c r="E59" s="20" t="s">
        <v>91</v>
      </c>
      <c r="F59" s="20" t="s">
        <v>91</v>
      </c>
      <c r="G59" s="20" t="s">
        <v>91</v>
      </c>
      <c r="H59" s="20" t="s">
        <v>91</v>
      </c>
      <c r="I59" s="20">
        <v>0</v>
      </c>
      <c r="J59" s="20" t="s">
        <v>103</v>
      </c>
      <c r="K59" s="20" t="s">
        <v>104</v>
      </c>
      <c r="L59" s="20">
        <v>0</v>
      </c>
      <c r="M59" s="20" t="s">
        <v>105</v>
      </c>
      <c r="N59" s="20" t="s">
        <v>91</v>
      </c>
      <c r="O59" s="20" t="s">
        <v>1203</v>
      </c>
      <c r="Q59" s="20" t="s">
        <v>91</v>
      </c>
      <c r="R59" s="20" t="s">
        <v>91</v>
      </c>
      <c r="S59" s="20" t="s">
        <v>91</v>
      </c>
      <c r="U59" s="20" t="s">
        <v>91</v>
      </c>
      <c r="V59" s="20" t="s">
        <v>87</v>
      </c>
      <c r="X59" s="20" t="s">
        <v>91</v>
      </c>
      <c r="Y59" s="20" t="s">
        <v>91</v>
      </c>
      <c r="Z59" s="20">
        <v>1</v>
      </c>
      <c r="AB59" s="20" t="s">
        <v>91</v>
      </c>
      <c r="AD59" s="20" t="s">
        <v>91</v>
      </c>
      <c r="AE59" s="20" t="s">
        <v>91</v>
      </c>
      <c r="AF59" s="20">
        <v>1</v>
      </c>
      <c r="AG59" s="20">
        <v>0</v>
      </c>
      <c r="AH59" s="20">
        <v>1</v>
      </c>
      <c r="AI59" s="7"/>
      <c r="AM59" s="4" t="s">
        <v>91</v>
      </c>
      <c r="AP59" s="4" t="s">
        <v>91</v>
      </c>
      <c r="AQ59" s="20">
        <v>0</v>
      </c>
      <c r="AR59" s="4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 t="s">
        <v>91</v>
      </c>
      <c r="AY59" s="20">
        <v>0</v>
      </c>
      <c r="AZ59" s="20">
        <v>0</v>
      </c>
      <c r="BA59" s="20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5">
        <v>0</v>
      </c>
      <c r="BL59" s="4">
        <v>0</v>
      </c>
      <c r="BM59" s="20">
        <v>451</v>
      </c>
      <c r="BN59" s="20">
        <v>0</v>
      </c>
      <c r="BO59" s="20">
        <v>0</v>
      </c>
      <c r="BP59" s="20">
        <v>0</v>
      </c>
      <c r="BQ59" s="20">
        <v>0</v>
      </c>
      <c r="BR59" s="20">
        <v>0</v>
      </c>
      <c r="BS59" s="20">
        <v>450</v>
      </c>
      <c r="BT59" s="20">
        <v>3381534</v>
      </c>
      <c r="BU59" s="20">
        <v>22050000</v>
      </c>
      <c r="BV59" s="20">
        <v>5.927917491131109</v>
      </c>
    </row>
    <row r="60" spans="1:74">
      <c r="A60" s="10">
        <f t="shared" si="1"/>
        <v>0</v>
      </c>
      <c r="B60" s="10">
        <f t="shared" si="2"/>
        <v>0</v>
      </c>
      <c r="C60" s="12">
        <f t="shared" si="3"/>
        <v>4</v>
      </c>
      <c r="D60" s="12">
        <f t="shared" si="5"/>
        <v>9</v>
      </c>
      <c r="E60" s="20" t="s">
        <v>114</v>
      </c>
      <c r="F60" s="20" t="s">
        <v>1019</v>
      </c>
      <c r="G60" s="20" t="s">
        <v>2513</v>
      </c>
      <c r="H60" s="20" t="s">
        <v>2514</v>
      </c>
      <c r="I60" s="20">
        <v>1</v>
      </c>
      <c r="J60" s="20" t="s">
        <v>2515</v>
      </c>
      <c r="K60" s="20" t="s">
        <v>2516</v>
      </c>
      <c r="L60" s="20" t="s">
        <v>1204</v>
      </c>
      <c r="M60" s="20" t="s">
        <v>1019</v>
      </c>
      <c r="N60" s="20" t="s">
        <v>1080</v>
      </c>
      <c r="P60" s="20" t="s">
        <v>1019</v>
      </c>
      <c r="Q60" s="20" t="s">
        <v>1026</v>
      </c>
      <c r="R60" s="20" t="s">
        <v>84</v>
      </c>
      <c r="S60" s="20">
        <v>5</v>
      </c>
      <c r="T60" s="20" t="s">
        <v>244</v>
      </c>
      <c r="U60" s="20" t="s">
        <v>245</v>
      </c>
      <c r="V60" s="20" t="s">
        <v>87</v>
      </c>
      <c r="W60" s="20">
        <v>519</v>
      </c>
      <c r="X60" s="20">
        <v>519</v>
      </c>
      <c r="Y60" s="20" t="s">
        <v>1205</v>
      </c>
      <c r="Z60" s="20">
        <v>0.5</v>
      </c>
      <c r="AA60" s="20" t="s">
        <v>1206</v>
      </c>
      <c r="AB60" s="20" t="s">
        <v>248</v>
      </c>
      <c r="AC60" s="20" t="s">
        <v>249</v>
      </c>
      <c r="AD60" s="20" t="s">
        <v>1207</v>
      </c>
      <c r="AE60" s="20" t="s">
        <v>91</v>
      </c>
      <c r="AF60" s="20">
        <v>1</v>
      </c>
      <c r="AG60" s="20">
        <v>0</v>
      </c>
      <c r="AH60" s="20">
        <v>1</v>
      </c>
      <c r="AI60" s="7" t="s">
        <v>251</v>
      </c>
      <c r="AJ60" s="20">
        <v>250</v>
      </c>
      <c r="AK60" s="4" t="s">
        <v>252</v>
      </c>
      <c r="AL60" s="4">
        <v>4</v>
      </c>
      <c r="AM60" s="4" t="s">
        <v>470</v>
      </c>
      <c r="AN60" s="4" t="s">
        <v>95</v>
      </c>
      <c r="AO60" s="4" t="s">
        <v>96</v>
      </c>
      <c r="AP60" s="4">
        <v>1</v>
      </c>
      <c r="AQ60" s="20">
        <v>35000</v>
      </c>
      <c r="AR60" s="4">
        <v>41820</v>
      </c>
      <c r="AS60" s="20">
        <v>4545.454545454545</v>
      </c>
      <c r="AT60" s="20">
        <v>5339.57</v>
      </c>
      <c r="AU60" s="20">
        <v>794.11545454545467</v>
      </c>
      <c r="AV60" s="20">
        <v>0</v>
      </c>
      <c r="AW60" s="20">
        <v>1515</v>
      </c>
      <c r="AX60" s="20">
        <v>20</v>
      </c>
      <c r="AY60" s="20">
        <v>1535</v>
      </c>
      <c r="AZ60" s="20">
        <v>3.05</v>
      </c>
      <c r="BA60" s="20">
        <v>0</v>
      </c>
      <c r="BB60" s="6">
        <v>41751</v>
      </c>
      <c r="BC60" s="6">
        <v>0</v>
      </c>
      <c r="BD60" s="6">
        <v>41869</v>
      </c>
      <c r="BE60" s="6">
        <v>0</v>
      </c>
      <c r="BF60" s="6">
        <v>41897</v>
      </c>
      <c r="BG60" s="6">
        <v>0</v>
      </c>
      <c r="BH60" s="6">
        <v>0</v>
      </c>
      <c r="BI60" s="6">
        <v>0</v>
      </c>
      <c r="BJ60" s="6">
        <v>0</v>
      </c>
      <c r="BK60" s="5" t="s">
        <v>401</v>
      </c>
      <c r="BL60" s="4">
        <v>0</v>
      </c>
      <c r="BM60" s="20">
        <v>251</v>
      </c>
      <c r="BN60" s="20">
        <v>0</v>
      </c>
      <c r="BO60" s="20">
        <v>0</v>
      </c>
      <c r="BP60" s="20">
        <v>0</v>
      </c>
      <c r="BQ60" s="20">
        <v>0</v>
      </c>
      <c r="BR60" s="20">
        <v>0</v>
      </c>
      <c r="BS60" s="20">
        <v>250</v>
      </c>
      <c r="BT60" s="20">
        <v>1334892.5</v>
      </c>
      <c r="BU60" s="20">
        <v>8750000</v>
      </c>
      <c r="BV60" s="20">
        <v>5.9589408544474205</v>
      </c>
    </row>
    <row r="61" spans="1:74">
      <c r="A61" s="10">
        <f t="shared" si="1"/>
        <v>0</v>
      </c>
      <c r="B61" s="10">
        <f t="shared" si="2"/>
        <v>0</v>
      </c>
      <c r="C61" s="12">
        <f t="shared" si="3"/>
        <v>4</v>
      </c>
      <c r="D61" s="12">
        <f t="shared" si="5"/>
        <v>9</v>
      </c>
      <c r="E61" s="20" t="s">
        <v>114</v>
      </c>
      <c r="F61" s="20" t="s">
        <v>1019</v>
      </c>
      <c r="G61" s="20" t="s">
        <v>2513</v>
      </c>
      <c r="H61" s="20" t="s">
        <v>2517</v>
      </c>
      <c r="I61" s="20">
        <v>2</v>
      </c>
      <c r="J61" s="20" t="s">
        <v>2518</v>
      </c>
      <c r="K61" s="20" t="s">
        <v>2519</v>
      </c>
      <c r="L61" s="20" t="s">
        <v>1204</v>
      </c>
      <c r="M61" s="20" t="s">
        <v>1019</v>
      </c>
      <c r="N61" s="20" t="s">
        <v>1080</v>
      </c>
      <c r="P61" s="20" t="s">
        <v>1019</v>
      </c>
      <c r="Q61" s="20" t="s">
        <v>1026</v>
      </c>
      <c r="R61" s="20" t="s">
        <v>84</v>
      </c>
      <c r="S61" s="20">
        <v>5</v>
      </c>
      <c r="T61" s="20" t="s">
        <v>244</v>
      </c>
      <c r="U61" s="20" t="s">
        <v>245</v>
      </c>
      <c r="V61" s="20" t="s">
        <v>87</v>
      </c>
      <c r="W61" s="20">
        <v>519</v>
      </c>
      <c r="X61" s="20">
        <v>519</v>
      </c>
      <c r="Y61" s="20" t="s">
        <v>1205</v>
      </c>
      <c r="Z61" s="20">
        <v>0.5</v>
      </c>
      <c r="AA61" s="20" t="s">
        <v>1208</v>
      </c>
      <c r="AB61" s="20" t="s">
        <v>89</v>
      </c>
      <c r="AC61" s="20" t="s">
        <v>90</v>
      </c>
      <c r="AD61" s="20" t="s">
        <v>1209</v>
      </c>
      <c r="AE61" s="20" t="s">
        <v>91</v>
      </c>
      <c r="AF61" s="20">
        <v>1</v>
      </c>
      <c r="AG61" s="20">
        <v>0</v>
      </c>
      <c r="AH61" s="20">
        <v>1</v>
      </c>
      <c r="AI61" s="7" t="s">
        <v>251</v>
      </c>
      <c r="AJ61" s="20">
        <v>250</v>
      </c>
      <c r="AK61" s="4" t="s">
        <v>252</v>
      </c>
      <c r="AL61" s="4">
        <v>4</v>
      </c>
      <c r="AM61" s="4" t="s">
        <v>470</v>
      </c>
      <c r="AN61" s="4" t="s">
        <v>95</v>
      </c>
      <c r="AO61" s="4" t="s">
        <v>96</v>
      </c>
      <c r="AP61" s="4">
        <v>1</v>
      </c>
      <c r="AQ61" s="20">
        <v>35000</v>
      </c>
      <c r="AR61" s="4">
        <v>41820</v>
      </c>
      <c r="AS61" s="20">
        <v>4545.454545454545</v>
      </c>
      <c r="AT61" s="20">
        <v>5339.57</v>
      </c>
      <c r="AU61" s="20">
        <v>794.11545454545467</v>
      </c>
      <c r="AV61" s="20">
        <v>0</v>
      </c>
      <c r="AW61" s="20">
        <v>1515</v>
      </c>
      <c r="AX61" s="20">
        <v>20</v>
      </c>
      <c r="AY61" s="20">
        <v>1535</v>
      </c>
      <c r="AZ61" s="20">
        <v>3.05</v>
      </c>
      <c r="BA61" s="20">
        <v>0</v>
      </c>
      <c r="BB61" s="6">
        <v>41751</v>
      </c>
      <c r="BC61" s="6">
        <v>0</v>
      </c>
      <c r="BD61" s="6">
        <v>41869</v>
      </c>
      <c r="BE61" s="6">
        <v>0</v>
      </c>
      <c r="BF61" s="6">
        <v>41897</v>
      </c>
      <c r="BG61" s="6">
        <v>0</v>
      </c>
      <c r="BH61" s="6">
        <v>0</v>
      </c>
      <c r="BI61" s="6">
        <v>0</v>
      </c>
      <c r="BJ61" s="6">
        <v>0</v>
      </c>
      <c r="BK61" s="5" t="s">
        <v>401</v>
      </c>
      <c r="BL61" s="4">
        <v>0</v>
      </c>
      <c r="BM61" s="20">
        <v>250</v>
      </c>
      <c r="BN61" s="20">
        <v>0</v>
      </c>
      <c r="BO61" s="20">
        <v>0</v>
      </c>
      <c r="BP61" s="20">
        <v>0</v>
      </c>
      <c r="BQ61" s="20">
        <v>0</v>
      </c>
      <c r="BR61" s="20">
        <v>0</v>
      </c>
      <c r="BS61" s="20">
        <v>250</v>
      </c>
      <c r="BT61" s="20">
        <v>1334892.5</v>
      </c>
      <c r="BU61" s="20">
        <v>8750000</v>
      </c>
      <c r="BV61" s="20">
        <v>5.9589408544474205</v>
      </c>
    </row>
    <row r="62" spans="1:74">
      <c r="A62" s="10">
        <f t="shared" si="1"/>
        <v>0</v>
      </c>
      <c r="B62" s="10">
        <f t="shared" si="2"/>
        <v>0</v>
      </c>
      <c r="C62" s="12" t="str">
        <f t="shared" si="3"/>
        <v/>
      </c>
      <c r="D62" s="12" t="str">
        <f t="shared" si="5"/>
        <v/>
      </c>
      <c r="E62" s="20" t="s">
        <v>91</v>
      </c>
      <c r="F62" s="20" t="s">
        <v>91</v>
      </c>
      <c r="G62" s="20" t="s">
        <v>91</v>
      </c>
      <c r="H62" s="20" t="s">
        <v>91</v>
      </c>
      <c r="I62" s="20">
        <v>0</v>
      </c>
      <c r="J62" s="20" t="s">
        <v>103</v>
      </c>
      <c r="K62" s="20" t="s">
        <v>104</v>
      </c>
      <c r="L62" s="20">
        <v>0</v>
      </c>
      <c r="M62" s="20" t="s">
        <v>105</v>
      </c>
      <c r="N62" s="20" t="s">
        <v>91</v>
      </c>
      <c r="O62" s="20" t="s">
        <v>2520</v>
      </c>
      <c r="Q62" s="20" t="s">
        <v>91</v>
      </c>
      <c r="R62" s="20" t="s">
        <v>91</v>
      </c>
      <c r="S62" s="20" t="s">
        <v>91</v>
      </c>
      <c r="U62" s="20" t="s">
        <v>91</v>
      </c>
      <c r="V62" s="20" t="s">
        <v>87</v>
      </c>
      <c r="X62" s="20" t="s">
        <v>91</v>
      </c>
      <c r="Y62" s="20" t="s">
        <v>91</v>
      </c>
      <c r="Z62" s="20">
        <v>1</v>
      </c>
      <c r="AB62" s="20" t="s">
        <v>91</v>
      </c>
      <c r="AD62" s="20" t="s">
        <v>91</v>
      </c>
      <c r="AE62" s="20" t="s">
        <v>91</v>
      </c>
      <c r="AF62" s="20">
        <v>2</v>
      </c>
      <c r="AG62" s="20">
        <v>0</v>
      </c>
      <c r="AH62" s="20">
        <v>1</v>
      </c>
      <c r="AI62" s="7"/>
      <c r="AM62" s="4" t="s">
        <v>91</v>
      </c>
      <c r="AP62" s="4" t="s">
        <v>91</v>
      </c>
      <c r="AQ62" s="20">
        <v>0</v>
      </c>
      <c r="AR62" s="4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 t="s">
        <v>91</v>
      </c>
      <c r="AY62" s="20">
        <v>0</v>
      </c>
      <c r="AZ62" s="20">
        <v>0</v>
      </c>
      <c r="BA62" s="20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5">
        <v>0</v>
      </c>
      <c r="BL62" s="4">
        <v>0</v>
      </c>
      <c r="BM62" s="20">
        <v>501</v>
      </c>
      <c r="BN62" s="20">
        <v>0</v>
      </c>
      <c r="BO62" s="20">
        <v>0</v>
      </c>
      <c r="BP62" s="20">
        <v>0</v>
      </c>
      <c r="BQ62" s="20">
        <v>0</v>
      </c>
      <c r="BR62" s="20">
        <v>0</v>
      </c>
      <c r="BS62" s="20">
        <v>500</v>
      </c>
      <c r="BT62" s="20">
        <v>2669785</v>
      </c>
      <c r="BU62" s="20">
        <v>17500000</v>
      </c>
      <c r="BV62" s="20">
        <v>5.9589408544474205</v>
      </c>
    </row>
    <row r="63" spans="1:74">
      <c r="A63" s="10">
        <f t="shared" si="1"/>
        <v>0</v>
      </c>
      <c r="B63" s="10">
        <f t="shared" si="2"/>
        <v>0.5</v>
      </c>
      <c r="C63" s="12">
        <f t="shared" si="3"/>
        <v>4</v>
      </c>
      <c r="D63" s="12">
        <f t="shared" si="5"/>
        <v>7</v>
      </c>
      <c r="E63" s="20" t="s">
        <v>386</v>
      </c>
      <c r="F63" s="20" t="s">
        <v>1190</v>
      </c>
      <c r="G63" s="20" t="s">
        <v>1797</v>
      </c>
      <c r="H63" s="20" t="s">
        <v>1798</v>
      </c>
      <c r="I63" s="20">
        <v>1</v>
      </c>
      <c r="J63" s="20" t="s">
        <v>1799</v>
      </c>
      <c r="K63" s="20" t="s">
        <v>1800</v>
      </c>
      <c r="L63" s="20" t="s">
        <v>1801</v>
      </c>
      <c r="M63" s="20" t="s">
        <v>1190</v>
      </c>
      <c r="N63" s="20" t="s">
        <v>1196</v>
      </c>
      <c r="P63" s="20" t="s">
        <v>1190</v>
      </c>
      <c r="Q63" s="20" t="s">
        <v>1197</v>
      </c>
      <c r="R63" s="20" t="s">
        <v>84</v>
      </c>
      <c r="S63" s="20">
        <v>5</v>
      </c>
      <c r="T63" s="20" t="s">
        <v>198</v>
      </c>
      <c r="U63" s="20" t="s">
        <v>199</v>
      </c>
      <c r="V63" s="20" t="s">
        <v>87</v>
      </c>
      <c r="W63" s="20">
        <v>504</v>
      </c>
      <c r="X63" s="20">
        <v>504</v>
      </c>
      <c r="Y63" s="20" t="s">
        <v>1802</v>
      </c>
      <c r="Z63" s="20">
        <v>0.5</v>
      </c>
      <c r="AA63" s="20" t="s">
        <v>1803</v>
      </c>
      <c r="AB63" s="20" t="s">
        <v>109</v>
      </c>
      <c r="AC63" s="20" t="s">
        <v>110</v>
      </c>
      <c r="AD63" s="20" t="s">
        <v>1804</v>
      </c>
      <c r="AE63" s="20" t="s">
        <v>91</v>
      </c>
      <c r="AF63" s="20">
        <v>0.5</v>
      </c>
      <c r="AG63" s="20">
        <v>0</v>
      </c>
      <c r="AH63" s="20">
        <v>1</v>
      </c>
      <c r="AI63" s="7" t="s">
        <v>97</v>
      </c>
      <c r="AJ63" s="20">
        <v>150</v>
      </c>
      <c r="AK63" s="4" t="s">
        <v>111</v>
      </c>
      <c r="AL63" s="4">
        <v>15</v>
      </c>
      <c r="AM63" s="4">
        <v>15</v>
      </c>
      <c r="AN63" s="4" t="s">
        <v>95</v>
      </c>
      <c r="AO63" s="4" t="s">
        <v>96</v>
      </c>
      <c r="AP63" s="4">
        <v>1</v>
      </c>
      <c r="AQ63" s="20">
        <v>53000</v>
      </c>
      <c r="AR63" s="4">
        <v>41780</v>
      </c>
      <c r="AS63" s="20">
        <v>8030.3030303030291</v>
      </c>
      <c r="AT63" s="20">
        <v>10115.36</v>
      </c>
      <c r="AU63" s="20">
        <v>2085.0569696969715</v>
      </c>
      <c r="AV63" s="20">
        <v>2112</v>
      </c>
      <c r="AW63" s="20">
        <v>20</v>
      </c>
      <c r="AX63" s="20" t="s">
        <v>91</v>
      </c>
      <c r="AY63" s="20">
        <v>2132</v>
      </c>
      <c r="AZ63" s="20">
        <v>6.4</v>
      </c>
      <c r="BA63" s="20">
        <v>0</v>
      </c>
      <c r="BB63" s="6">
        <v>41752</v>
      </c>
      <c r="BC63" s="6">
        <v>0</v>
      </c>
      <c r="BD63" s="6">
        <v>41824</v>
      </c>
      <c r="BE63" s="6">
        <v>0</v>
      </c>
      <c r="BF63" s="6">
        <v>41851</v>
      </c>
      <c r="BG63" s="6">
        <v>0</v>
      </c>
      <c r="BH63" s="6">
        <v>0</v>
      </c>
      <c r="BI63" s="6">
        <v>0</v>
      </c>
      <c r="BJ63" s="6">
        <v>0</v>
      </c>
      <c r="BK63" s="5" t="s">
        <v>401</v>
      </c>
      <c r="BL63" s="4">
        <v>0</v>
      </c>
      <c r="BM63" s="20">
        <v>151</v>
      </c>
      <c r="BN63" s="20">
        <v>0</v>
      </c>
      <c r="BO63" s="20">
        <v>0</v>
      </c>
      <c r="BP63" s="20">
        <v>0</v>
      </c>
      <c r="BQ63" s="20">
        <v>0</v>
      </c>
      <c r="BR63" s="20">
        <v>0</v>
      </c>
      <c r="BS63" s="20">
        <v>150</v>
      </c>
      <c r="BT63" s="20">
        <v>1517304</v>
      </c>
      <c r="BU63" s="20">
        <v>7950000</v>
      </c>
      <c r="BV63" s="20">
        <v>4.7632331604429483</v>
      </c>
    </row>
    <row r="64" spans="1:74">
      <c r="A64" s="10">
        <f t="shared" si="1"/>
        <v>0</v>
      </c>
      <c r="B64" s="10">
        <f t="shared" si="2"/>
        <v>0.5</v>
      </c>
      <c r="C64" s="12">
        <f t="shared" si="3"/>
        <v>4</v>
      </c>
      <c r="D64" s="12">
        <f t="shared" si="5"/>
        <v>7</v>
      </c>
      <c r="E64" s="20" t="s">
        <v>386</v>
      </c>
      <c r="F64" s="20" t="s">
        <v>1190</v>
      </c>
      <c r="G64" s="20" t="s">
        <v>1797</v>
      </c>
      <c r="H64" s="20" t="s">
        <v>1798</v>
      </c>
      <c r="I64" s="20">
        <v>1</v>
      </c>
      <c r="J64" s="20" t="s">
        <v>1799</v>
      </c>
      <c r="K64" s="20" t="s">
        <v>1805</v>
      </c>
      <c r="L64" s="20" t="s">
        <v>1801</v>
      </c>
      <c r="M64" s="20" t="s">
        <v>1190</v>
      </c>
      <c r="N64" s="20" t="s">
        <v>1196</v>
      </c>
      <c r="P64" s="20" t="s">
        <v>1190</v>
      </c>
      <c r="Q64" s="20" t="s">
        <v>1197</v>
      </c>
      <c r="R64" s="20" t="s">
        <v>84</v>
      </c>
      <c r="S64" s="20">
        <v>5</v>
      </c>
      <c r="T64" s="20" t="s">
        <v>198</v>
      </c>
      <c r="U64" s="20" t="s">
        <v>199</v>
      </c>
      <c r="V64" s="20" t="s">
        <v>87</v>
      </c>
      <c r="W64" s="20">
        <v>504</v>
      </c>
      <c r="X64" s="20">
        <v>504</v>
      </c>
      <c r="Y64" s="20" t="s">
        <v>1802</v>
      </c>
      <c r="Z64" s="20">
        <v>0.5</v>
      </c>
      <c r="AA64" s="20" t="s">
        <v>1803</v>
      </c>
      <c r="AB64" s="20" t="s">
        <v>109</v>
      </c>
      <c r="AC64" s="20" t="s">
        <v>110</v>
      </c>
      <c r="AD64" s="20" t="s">
        <v>1804</v>
      </c>
      <c r="AE64" s="20" t="s">
        <v>91</v>
      </c>
      <c r="AF64" s="20">
        <v>0.5</v>
      </c>
      <c r="AG64" s="20">
        <v>0</v>
      </c>
      <c r="AH64" s="20">
        <v>1</v>
      </c>
      <c r="AI64" s="7" t="s">
        <v>98</v>
      </c>
      <c r="AJ64" s="20">
        <v>150</v>
      </c>
      <c r="AK64" s="4" t="s">
        <v>111</v>
      </c>
      <c r="AL64" s="4">
        <v>15</v>
      </c>
      <c r="AM64" s="4">
        <v>15</v>
      </c>
      <c r="AN64" s="4" t="s">
        <v>95</v>
      </c>
      <c r="AO64" s="4" t="s">
        <v>96</v>
      </c>
      <c r="AP64" s="4">
        <v>1</v>
      </c>
      <c r="AQ64" s="20">
        <v>53000</v>
      </c>
      <c r="AR64" s="4">
        <v>41780</v>
      </c>
      <c r="AS64" s="20">
        <v>8030.3030303030291</v>
      </c>
      <c r="AT64" s="20">
        <v>10115.36</v>
      </c>
      <c r="AU64" s="20">
        <v>2085.0569696969715</v>
      </c>
      <c r="AV64" s="20">
        <v>2112</v>
      </c>
      <c r="AW64" s="20">
        <v>20</v>
      </c>
      <c r="AX64" s="20" t="s">
        <v>91</v>
      </c>
      <c r="AY64" s="20">
        <v>2132</v>
      </c>
      <c r="AZ64" s="20">
        <v>6.4</v>
      </c>
      <c r="BA64" s="20">
        <v>0</v>
      </c>
      <c r="BB64" s="6">
        <v>41752</v>
      </c>
      <c r="BC64" s="6">
        <v>0</v>
      </c>
      <c r="BD64" s="6">
        <v>41824</v>
      </c>
      <c r="BE64" s="6">
        <v>0</v>
      </c>
      <c r="BF64" s="6">
        <v>41851</v>
      </c>
      <c r="BG64" s="6">
        <v>0</v>
      </c>
      <c r="BH64" s="6">
        <v>0</v>
      </c>
      <c r="BI64" s="6">
        <v>0</v>
      </c>
      <c r="BJ64" s="6">
        <v>0</v>
      </c>
      <c r="BK64" s="5" t="s">
        <v>401</v>
      </c>
      <c r="BL64" s="4">
        <v>0</v>
      </c>
      <c r="BM64" s="20">
        <v>153</v>
      </c>
      <c r="BN64" s="20">
        <v>0</v>
      </c>
      <c r="BO64" s="20">
        <v>0</v>
      </c>
      <c r="BP64" s="20">
        <v>0</v>
      </c>
      <c r="BQ64" s="20">
        <v>0</v>
      </c>
      <c r="BR64" s="20">
        <v>0</v>
      </c>
      <c r="BS64" s="20">
        <v>150</v>
      </c>
      <c r="BT64" s="20">
        <v>1517304</v>
      </c>
      <c r="BU64" s="20">
        <v>7950000</v>
      </c>
      <c r="BV64" s="20">
        <v>4.7632331604429483</v>
      </c>
    </row>
    <row r="65" spans="1:74">
      <c r="A65" s="10">
        <f t="shared" si="1"/>
        <v>0</v>
      </c>
      <c r="B65" s="10">
        <f t="shared" si="2"/>
        <v>0.16666666666666666</v>
      </c>
      <c r="C65" s="12">
        <f t="shared" si="3"/>
        <v>4</v>
      </c>
      <c r="D65" s="12">
        <f t="shared" si="5"/>
        <v>7</v>
      </c>
      <c r="E65" s="20" t="s">
        <v>386</v>
      </c>
      <c r="F65" s="20" t="s">
        <v>1190</v>
      </c>
      <c r="G65" s="20" t="s">
        <v>1797</v>
      </c>
      <c r="H65" s="20" t="s">
        <v>1806</v>
      </c>
      <c r="I65" s="20">
        <v>2</v>
      </c>
      <c r="J65" s="20" t="s">
        <v>1807</v>
      </c>
      <c r="K65" s="20" t="s">
        <v>1808</v>
      </c>
      <c r="L65" s="20" t="s">
        <v>1809</v>
      </c>
      <c r="M65" s="20" t="s">
        <v>1190</v>
      </c>
      <c r="N65" s="20" t="s">
        <v>1196</v>
      </c>
      <c r="P65" s="20" t="s">
        <v>1190</v>
      </c>
      <c r="Q65" s="20" t="s">
        <v>1197</v>
      </c>
      <c r="R65" s="20" t="s">
        <v>84</v>
      </c>
      <c r="S65" s="20" t="s">
        <v>123</v>
      </c>
      <c r="T65" s="20" t="s">
        <v>198</v>
      </c>
      <c r="U65" s="20" t="s">
        <v>199</v>
      </c>
      <c r="V65" s="20" t="s">
        <v>87</v>
      </c>
      <c r="W65" s="20">
        <v>506</v>
      </c>
      <c r="X65" s="20">
        <v>506</v>
      </c>
      <c r="Y65" s="20" t="s">
        <v>1810</v>
      </c>
      <c r="Z65" s="20">
        <v>0.16666666666666666</v>
      </c>
      <c r="AA65" s="20" t="s">
        <v>1811</v>
      </c>
      <c r="AB65" s="20" t="s">
        <v>248</v>
      </c>
      <c r="AC65" s="20" t="s">
        <v>249</v>
      </c>
      <c r="AD65" s="20" t="s">
        <v>1812</v>
      </c>
      <c r="AE65" s="20" t="s">
        <v>91</v>
      </c>
      <c r="AF65" s="20">
        <v>0.5</v>
      </c>
      <c r="AG65" s="20">
        <v>0</v>
      </c>
      <c r="AH65" s="20">
        <v>1</v>
      </c>
      <c r="AI65" s="7" t="s">
        <v>97</v>
      </c>
      <c r="AJ65" s="20">
        <v>150</v>
      </c>
      <c r="AK65" s="4" t="s">
        <v>111</v>
      </c>
      <c r="AL65" s="4">
        <v>15</v>
      </c>
      <c r="AM65" s="4">
        <v>15</v>
      </c>
      <c r="AN65" s="4" t="s">
        <v>95</v>
      </c>
      <c r="AO65" s="4" t="s">
        <v>96</v>
      </c>
      <c r="AP65" s="4">
        <v>1</v>
      </c>
      <c r="AQ65" s="20">
        <v>45000</v>
      </c>
      <c r="AR65" s="4">
        <v>41780</v>
      </c>
      <c r="AS65" s="20">
        <v>6818.1818181818171</v>
      </c>
      <c r="AT65" s="20">
        <v>7771.92</v>
      </c>
      <c r="AU65" s="20">
        <v>953.73818181818297</v>
      </c>
      <c r="AV65" s="20">
        <v>517</v>
      </c>
      <c r="AW65" s="20">
        <v>20</v>
      </c>
      <c r="AX65" s="20" t="s">
        <v>91</v>
      </c>
      <c r="AY65" s="20">
        <v>537</v>
      </c>
      <c r="AZ65" s="20">
        <v>5.8</v>
      </c>
      <c r="BA65" s="20">
        <v>0</v>
      </c>
      <c r="BB65" s="6">
        <v>41752</v>
      </c>
      <c r="BC65" s="6">
        <v>0</v>
      </c>
      <c r="BD65" s="6">
        <v>41824</v>
      </c>
      <c r="BE65" s="6">
        <v>0</v>
      </c>
      <c r="BF65" s="6">
        <v>41851</v>
      </c>
      <c r="BG65" s="6">
        <v>0</v>
      </c>
      <c r="BH65" s="6">
        <v>0</v>
      </c>
      <c r="BI65" s="6">
        <v>0</v>
      </c>
      <c r="BJ65" s="6">
        <v>0</v>
      </c>
      <c r="BK65" s="5" t="s">
        <v>401</v>
      </c>
      <c r="BL65" s="4">
        <v>0</v>
      </c>
      <c r="BM65" s="20">
        <v>153</v>
      </c>
      <c r="BN65" s="20">
        <v>0</v>
      </c>
      <c r="BO65" s="20">
        <v>0</v>
      </c>
      <c r="BP65" s="20">
        <v>0</v>
      </c>
      <c r="BQ65" s="20">
        <v>0</v>
      </c>
      <c r="BR65" s="20">
        <v>0</v>
      </c>
      <c r="BS65" s="20">
        <v>150</v>
      </c>
      <c r="BT65" s="20">
        <v>1165788</v>
      </c>
      <c r="BU65" s="20">
        <v>6750000</v>
      </c>
      <c r="BV65" s="20">
        <v>5.2637045812477368</v>
      </c>
    </row>
    <row r="66" spans="1:74">
      <c r="A66" s="10">
        <f t="shared" si="1"/>
        <v>0</v>
      </c>
      <c r="B66" s="10">
        <f t="shared" si="2"/>
        <v>0.16666666666666666</v>
      </c>
      <c r="C66" s="12">
        <f t="shared" si="3"/>
        <v>4</v>
      </c>
      <c r="D66" s="12">
        <f t="shared" si="5"/>
        <v>7</v>
      </c>
      <c r="E66" s="20" t="s">
        <v>386</v>
      </c>
      <c r="F66" s="20" t="s">
        <v>1190</v>
      </c>
      <c r="G66" s="20" t="s">
        <v>1797</v>
      </c>
      <c r="H66" s="20" t="s">
        <v>1806</v>
      </c>
      <c r="I66" s="20">
        <v>2</v>
      </c>
      <c r="J66" s="20" t="s">
        <v>1807</v>
      </c>
      <c r="K66" s="20" t="s">
        <v>1813</v>
      </c>
      <c r="L66" s="20" t="s">
        <v>1809</v>
      </c>
      <c r="M66" s="20" t="s">
        <v>1190</v>
      </c>
      <c r="N66" s="20" t="s">
        <v>1196</v>
      </c>
      <c r="P66" s="20" t="s">
        <v>1190</v>
      </c>
      <c r="Q66" s="20" t="s">
        <v>1197</v>
      </c>
      <c r="R66" s="20" t="s">
        <v>84</v>
      </c>
      <c r="S66" s="20" t="s">
        <v>123</v>
      </c>
      <c r="T66" s="20" t="s">
        <v>198</v>
      </c>
      <c r="U66" s="20" t="s">
        <v>199</v>
      </c>
      <c r="V66" s="20" t="s">
        <v>87</v>
      </c>
      <c r="W66" s="20">
        <v>506</v>
      </c>
      <c r="X66" s="20">
        <v>506</v>
      </c>
      <c r="Y66" s="20" t="s">
        <v>1810</v>
      </c>
      <c r="Z66" s="20">
        <v>0.16666666666666666</v>
      </c>
      <c r="AA66" s="20" t="s">
        <v>1811</v>
      </c>
      <c r="AB66" s="20" t="s">
        <v>248</v>
      </c>
      <c r="AC66" s="20" t="s">
        <v>249</v>
      </c>
      <c r="AD66" s="20" t="s">
        <v>1812</v>
      </c>
      <c r="AE66" s="20" t="s">
        <v>91</v>
      </c>
      <c r="AF66" s="20">
        <v>0.5</v>
      </c>
      <c r="AG66" s="20">
        <v>0</v>
      </c>
      <c r="AH66" s="20">
        <v>1</v>
      </c>
      <c r="AI66" s="7" t="s">
        <v>98</v>
      </c>
      <c r="AJ66" s="20">
        <v>150</v>
      </c>
      <c r="AK66" s="4" t="s">
        <v>111</v>
      </c>
      <c r="AL66" s="4">
        <v>15</v>
      </c>
      <c r="AM66" s="4">
        <v>15</v>
      </c>
      <c r="AN66" s="4" t="s">
        <v>95</v>
      </c>
      <c r="AO66" s="4" t="s">
        <v>96</v>
      </c>
      <c r="AP66" s="4">
        <v>1</v>
      </c>
      <c r="AQ66" s="20">
        <v>45000</v>
      </c>
      <c r="AR66" s="4">
        <v>41780</v>
      </c>
      <c r="AS66" s="20">
        <v>6818.1818181818171</v>
      </c>
      <c r="AT66" s="20">
        <v>7771.92</v>
      </c>
      <c r="AU66" s="20">
        <v>953.73818181818297</v>
      </c>
      <c r="AV66" s="20">
        <v>517</v>
      </c>
      <c r="AW66" s="20">
        <v>20</v>
      </c>
      <c r="AX66" s="20" t="s">
        <v>91</v>
      </c>
      <c r="AY66" s="20">
        <v>537</v>
      </c>
      <c r="AZ66" s="20">
        <v>5.8</v>
      </c>
      <c r="BA66" s="20">
        <v>0</v>
      </c>
      <c r="BB66" s="6">
        <v>41752</v>
      </c>
      <c r="BC66" s="6">
        <v>0</v>
      </c>
      <c r="BD66" s="6">
        <v>41824</v>
      </c>
      <c r="BE66" s="6">
        <v>0</v>
      </c>
      <c r="BF66" s="6">
        <v>41851</v>
      </c>
      <c r="BG66" s="6">
        <v>0</v>
      </c>
      <c r="BH66" s="6">
        <v>0</v>
      </c>
      <c r="BI66" s="6">
        <v>0</v>
      </c>
      <c r="BJ66" s="6">
        <v>0</v>
      </c>
      <c r="BK66" s="5" t="s">
        <v>401</v>
      </c>
      <c r="BL66" s="4">
        <v>0</v>
      </c>
      <c r="BM66" s="20">
        <v>153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  <c r="BS66" s="20">
        <v>150</v>
      </c>
      <c r="BT66" s="20">
        <v>1165788</v>
      </c>
      <c r="BU66" s="20">
        <v>6750000</v>
      </c>
      <c r="BV66" s="20">
        <v>5.2637045812477368</v>
      </c>
    </row>
    <row r="67" spans="1:74">
      <c r="A67" s="10">
        <f t="shared" ref="A67:A130" si="6">IF($BL67="공급",$Z67,0)</f>
        <v>0</v>
      </c>
      <c r="B67" s="10">
        <f t="shared" ref="B67:B130" si="7">IF($AV67&gt;0,$Z67,0)</f>
        <v>0.16666666666666666</v>
      </c>
      <c r="C67" s="12">
        <f t="shared" si="3"/>
        <v>4</v>
      </c>
      <c r="D67" s="12">
        <f t="shared" si="5"/>
        <v>7</v>
      </c>
      <c r="E67" s="20" t="s">
        <v>386</v>
      </c>
      <c r="F67" s="20" t="s">
        <v>1190</v>
      </c>
      <c r="G67" s="20" t="s">
        <v>1797</v>
      </c>
      <c r="H67" s="20" t="s">
        <v>1814</v>
      </c>
      <c r="I67" s="20">
        <v>3</v>
      </c>
      <c r="J67" s="20" t="s">
        <v>1815</v>
      </c>
      <c r="K67" s="20" t="s">
        <v>1816</v>
      </c>
      <c r="L67" s="20" t="s">
        <v>1809</v>
      </c>
      <c r="M67" s="20" t="s">
        <v>1190</v>
      </c>
      <c r="N67" s="20" t="s">
        <v>1196</v>
      </c>
      <c r="P67" s="20" t="s">
        <v>1190</v>
      </c>
      <c r="Q67" s="20" t="s">
        <v>1197</v>
      </c>
      <c r="R67" s="20" t="s">
        <v>84</v>
      </c>
      <c r="S67" s="20" t="s">
        <v>123</v>
      </c>
      <c r="T67" s="20" t="s">
        <v>198</v>
      </c>
      <c r="U67" s="20" t="s">
        <v>199</v>
      </c>
      <c r="V67" s="20" t="s">
        <v>87</v>
      </c>
      <c r="W67" s="20">
        <v>506</v>
      </c>
      <c r="X67" s="20">
        <v>506</v>
      </c>
      <c r="Y67" s="20" t="s">
        <v>1810</v>
      </c>
      <c r="Z67" s="20">
        <v>0.16666666666666666</v>
      </c>
      <c r="AA67" s="20" t="s">
        <v>1817</v>
      </c>
      <c r="AB67" s="20" t="s">
        <v>221</v>
      </c>
      <c r="AC67" s="20" t="s">
        <v>222</v>
      </c>
      <c r="AD67" s="20" t="s">
        <v>1818</v>
      </c>
      <c r="AE67" s="20" t="s">
        <v>91</v>
      </c>
      <c r="AF67" s="20">
        <v>0.5</v>
      </c>
      <c r="AG67" s="20">
        <v>0</v>
      </c>
      <c r="AH67" s="20">
        <v>1</v>
      </c>
      <c r="AI67" s="7" t="s">
        <v>97</v>
      </c>
      <c r="AJ67" s="20">
        <v>150</v>
      </c>
      <c r="AK67" s="4" t="s">
        <v>111</v>
      </c>
      <c r="AL67" s="4">
        <v>15</v>
      </c>
      <c r="AM67" s="4">
        <v>15</v>
      </c>
      <c r="AN67" s="4" t="s">
        <v>95</v>
      </c>
      <c r="AO67" s="4" t="s">
        <v>96</v>
      </c>
      <c r="AP67" s="4">
        <v>1</v>
      </c>
      <c r="AQ67" s="20">
        <v>45000</v>
      </c>
      <c r="AR67" s="4">
        <v>41780</v>
      </c>
      <c r="AS67" s="20">
        <v>6818.1818181818171</v>
      </c>
      <c r="AT67" s="20">
        <v>7771.92</v>
      </c>
      <c r="AU67" s="20">
        <v>953.73818181818297</v>
      </c>
      <c r="AV67" s="20">
        <v>517</v>
      </c>
      <c r="AW67" s="20">
        <v>20</v>
      </c>
      <c r="AX67" s="20" t="s">
        <v>91</v>
      </c>
      <c r="AY67" s="20">
        <v>537</v>
      </c>
      <c r="AZ67" s="20">
        <v>5.8</v>
      </c>
      <c r="BA67" s="20">
        <v>0</v>
      </c>
      <c r="BB67" s="6">
        <v>41752</v>
      </c>
      <c r="BC67" s="6">
        <v>0</v>
      </c>
      <c r="BD67" s="6">
        <v>41824</v>
      </c>
      <c r="BE67" s="6">
        <v>0</v>
      </c>
      <c r="BF67" s="6">
        <v>41851</v>
      </c>
      <c r="BG67" s="6">
        <v>0</v>
      </c>
      <c r="BH67" s="6">
        <v>0</v>
      </c>
      <c r="BI67" s="6">
        <v>0</v>
      </c>
      <c r="BJ67" s="6">
        <v>0</v>
      </c>
      <c r="BK67" s="5" t="s">
        <v>401</v>
      </c>
      <c r="BL67" s="4">
        <v>0</v>
      </c>
      <c r="BM67" s="20">
        <v>150</v>
      </c>
      <c r="BN67" s="20">
        <v>0</v>
      </c>
      <c r="BO67" s="20">
        <v>0</v>
      </c>
      <c r="BP67" s="20">
        <v>0</v>
      </c>
      <c r="BQ67" s="20">
        <v>0</v>
      </c>
      <c r="BR67" s="20">
        <v>0</v>
      </c>
      <c r="BS67" s="20">
        <v>150</v>
      </c>
      <c r="BT67" s="20">
        <v>1165788</v>
      </c>
      <c r="BU67" s="20">
        <v>6750000</v>
      </c>
      <c r="BV67" s="20">
        <v>5.2637045812477368</v>
      </c>
    </row>
    <row r="68" spans="1:74">
      <c r="A68" s="10">
        <f t="shared" si="6"/>
        <v>0</v>
      </c>
      <c r="B68" s="10">
        <f t="shared" si="7"/>
        <v>0.16666666666666666</v>
      </c>
      <c r="C68" s="12">
        <f t="shared" ref="C68:C131" si="8">IF($BB68=0,"",MONTH($BB68))</f>
        <v>4</v>
      </c>
      <c r="D68" s="12">
        <f t="shared" si="5"/>
        <v>7</v>
      </c>
      <c r="E68" s="20" t="s">
        <v>386</v>
      </c>
      <c r="F68" s="20" t="s">
        <v>1190</v>
      </c>
      <c r="G68" s="20" t="s">
        <v>1797</v>
      </c>
      <c r="H68" s="20" t="s">
        <v>1814</v>
      </c>
      <c r="I68" s="20">
        <v>3</v>
      </c>
      <c r="J68" s="20" t="s">
        <v>1815</v>
      </c>
      <c r="K68" s="20" t="s">
        <v>1819</v>
      </c>
      <c r="L68" s="20" t="s">
        <v>1809</v>
      </c>
      <c r="M68" s="20" t="s">
        <v>1190</v>
      </c>
      <c r="N68" s="20" t="s">
        <v>1196</v>
      </c>
      <c r="P68" s="20" t="s">
        <v>1190</v>
      </c>
      <c r="Q68" s="20" t="s">
        <v>1197</v>
      </c>
      <c r="R68" s="20" t="s">
        <v>84</v>
      </c>
      <c r="S68" s="20" t="s">
        <v>123</v>
      </c>
      <c r="T68" s="20" t="s">
        <v>198</v>
      </c>
      <c r="U68" s="20" t="s">
        <v>199</v>
      </c>
      <c r="V68" s="20" t="s">
        <v>87</v>
      </c>
      <c r="W68" s="20">
        <v>506</v>
      </c>
      <c r="X68" s="20">
        <v>506</v>
      </c>
      <c r="Y68" s="20" t="s">
        <v>1810</v>
      </c>
      <c r="Z68" s="20">
        <v>0.16666666666666666</v>
      </c>
      <c r="AA68" s="20" t="s">
        <v>1817</v>
      </c>
      <c r="AB68" s="20" t="s">
        <v>221</v>
      </c>
      <c r="AC68" s="20" t="s">
        <v>222</v>
      </c>
      <c r="AD68" s="20" t="s">
        <v>1818</v>
      </c>
      <c r="AE68" s="20" t="s">
        <v>91</v>
      </c>
      <c r="AF68" s="20">
        <v>0.5</v>
      </c>
      <c r="AG68" s="20">
        <v>0</v>
      </c>
      <c r="AH68" s="20">
        <v>1</v>
      </c>
      <c r="AI68" s="7" t="s">
        <v>98</v>
      </c>
      <c r="AJ68" s="20">
        <v>150</v>
      </c>
      <c r="AK68" s="4" t="s">
        <v>111</v>
      </c>
      <c r="AL68" s="4">
        <v>15</v>
      </c>
      <c r="AM68" s="4">
        <v>15</v>
      </c>
      <c r="AN68" s="4" t="s">
        <v>95</v>
      </c>
      <c r="AO68" s="4" t="s">
        <v>96</v>
      </c>
      <c r="AP68" s="4">
        <v>1</v>
      </c>
      <c r="AQ68" s="20">
        <v>45000</v>
      </c>
      <c r="AR68" s="4">
        <v>41780</v>
      </c>
      <c r="AS68" s="20">
        <v>6818.1818181818171</v>
      </c>
      <c r="AT68" s="20">
        <v>7771.92</v>
      </c>
      <c r="AU68" s="20">
        <v>953.73818181818297</v>
      </c>
      <c r="AV68" s="20">
        <v>517</v>
      </c>
      <c r="AW68" s="20">
        <v>20</v>
      </c>
      <c r="AX68" s="20" t="s">
        <v>91</v>
      </c>
      <c r="AY68" s="20">
        <v>537</v>
      </c>
      <c r="AZ68" s="20">
        <v>5.8</v>
      </c>
      <c r="BA68" s="20">
        <v>0</v>
      </c>
      <c r="BB68" s="6">
        <v>41752</v>
      </c>
      <c r="BC68" s="6">
        <v>0</v>
      </c>
      <c r="BD68" s="6">
        <v>41824</v>
      </c>
      <c r="BE68" s="6">
        <v>0</v>
      </c>
      <c r="BF68" s="6">
        <v>41851</v>
      </c>
      <c r="BG68" s="6">
        <v>0</v>
      </c>
      <c r="BH68" s="6">
        <v>0</v>
      </c>
      <c r="BI68" s="6">
        <v>0</v>
      </c>
      <c r="BJ68" s="6">
        <v>0</v>
      </c>
      <c r="BK68" s="5" t="s">
        <v>401</v>
      </c>
      <c r="BL68" s="4">
        <v>0</v>
      </c>
      <c r="BM68" s="20">
        <v>151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150</v>
      </c>
      <c r="BT68" s="20">
        <v>1165788</v>
      </c>
      <c r="BU68" s="20">
        <v>6750000</v>
      </c>
      <c r="BV68" s="20">
        <v>5.2637045812477368</v>
      </c>
    </row>
    <row r="69" spans="1:74">
      <c r="A69" s="10">
        <f t="shared" si="6"/>
        <v>0</v>
      </c>
      <c r="B69" s="10">
        <f t="shared" si="7"/>
        <v>0.16666666666666666</v>
      </c>
      <c r="C69" s="12">
        <f t="shared" si="8"/>
        <v>4</v>
      </c>
      <c r="D69" s="12">
        <f t="shared" ref="D69:D132" si="9">IF(AND(BD69=0,BF69=0),"",MONTH(IF($BF69=0,$BD69,$BF69)))</f>
        <v>7</v>
      </c>
      <c r="E69" s="20" t="s">
        <v>386</v>
      </c>
      <c r="F69" s="20" t="s">
        <v>1190</v>
      </c>
      <c r="G69" s="20" t="s">
        <v>1797</v>
      </c>
      <c r="H69" s="20" t="s">
        <v>1820</v>
      </c>
      <c r="I69" s="20">
        <v>4</v>
      </c>
      <c r="J69" s="20" t="s">
        <v>1821</v>
      </c>
      <c r="K69" s="20" t="s">
        <v>1822</v>
      </c>
      <c r="L69" s="20" t="s">
        <v>1809</v>
      </c>
      <c r="M69" s="20" t="s">
        <v>1190</v>
      </c>
      <c r="N69" s="20" t="s">
        <v>1196</v>
      </c>
      <c r="P69" s="20" t="s">
        <v>1190</v>
      </c>
      <c r="Q69" s="20" t="s">
        <v>1197</v>
      </c>
      <c r="R69" s="20" t="s">
        <v>84</v>
      </c>
      <c r="S69" s="20" t="s">
        <v>123</v>
      </c>
      <c r="T69" s="20" t="s">
        <v>198</v>
      </c>
      <c r="U69" s="20" t="s">
        <v>199</v>
      </c>
      <c r="V69" s="20" t="s">
        <v>87</v>
      </c>
      <c r="W69" s="20">
        <v>506</v>
      </c>
      <c r="X69" s="20">
        <v>506</v>
      </c>
      <c r="Y69" s="20" t="s">
        <v>1810</v>
      </c>
      <c r="Z69" s="20">
        <v>0.16666666666666666</v>
      </c>
      <c r="AA69" s="20" t="s">
        <v>1823</v>
      </c>
      <c r="AB69" s="20" t="s">
        <v>109</v>
      </c>
      <c r="AC69" s="20" t="s">
        <v>110</v>
      </c>
      <c r="AD69" s="20" t="s">
        <v>1824</v>
      </c>
      <c r="AE69" s="20" t="s">
        <v>91</v>
      </c>
      <c r="AF69" s="20">
        <v>0.5</v>
      </c>
      <c r="AG69" s="20">
        <v>0</v>
      </c>
      <c r="AH69" s="20">
        <v>1</v>
      </c>
      <c r="AI69" s="7" t="s">
        <v>97</v>
      </c>
      <c r="AJ69" s="20">
        <v>150</v>
      </c>
      <c r="AK69" s="4" t="s">
        <v>111</v>
      </c>
      <c r="AL69" s="4">
        <v>15</v>
      </c>
      <c r="AM69" s="4">
        <v>15</v>
      </c>
      <c r="AN69" s="4" t="s">
        <v>95</v>
      </c>
      <c r="AO69" s="4" t="s">
        <v>96</v>
      </c>
      <c r="AP69" s="4">
        <v>1</v>
      </c>
      <c r="AQ69" s="20">
        <v>45000</v>
      </c>
      <c r="AR69" s="4">
        <v>41780</v>
      </c>
      <c r="AS69" s="20">
        <v>6818.1818181818171</v>
      </c>
      <c r="AT69" s="20">
        <v>7771.92</v>
      </c>
      <c r="AU69" s="20">
        <v>953.73818181818297</v>
      </c>
      <c r="AV69" s="20">
        <v>517</v>
      </c>
      <c r="AW69" s="20">
        <v>20</v>
      </c>
      <c r="AX69" s="20" t="s">
        <v>91</v>
      </c>
      <c r="AY69" s="20">
        <v>537</v>
      </c>
      <c r="AZ69" s="20">
        <v>5.8</v>
      </c>
      <c r="BA69" s="20">
        <v>0</v>
      </c>
      <c r="BB69" s="6">
        <v>41752</v>
      </c>
      <c r="BC69" s="6">
        <v>0</v>
      </c>
      <c r="BD69" s="6">
        <v>41824</v>
      </c>
      <c r="BE69" s="6">
        <v>0</v>
      </c>
      <c r="BF69" s="6">
        <v>41851</v>
      </c>
      <c r="BG69" s="6">
        <v>0</v>
      </c>
      <c r="BH69" s="6">
        <v>0</v>
      </c>
      <c r="BI69" s="6">
        <v>0</v>
      </c>
      <c r="BJ69" s="6">
        <v>0</v>
      </c>
      <c r="BK69" s="5" t="s">
        <v>401</v>
      </c>
      <c r="BL69" s="4">
        <v>0</v>
      </c>
      <c r="BM69" s="20">
        <v>153</v>
      </c>
      <c r="BN69" s="20">
        <v>0</v>
      </c>
      <c r="BO69" s="20">
        <v>0</v>
      </c>
      <c r="BP69" s="20">
        <v>0</v>
      </c>
      <c r="BQ69" s="20">
        <v>0</v>
      </c>
      <c r="BR69" s="20">
        <v>0</v>
      </c>
      <c r="BS69" s="20">
        <v>150</v>
      </c>
      <c r="BT69" s="20">
        <v>1165788</v>
      </c>
      <c r="BU69" s="20">
        <v>6750000</v>
      </c>
      <c r="BV69" s="20">
        <v>5.2637045812477368</v>
      </c>
    </row>
    <row r="70" spans="1:74">
      <c r="A70" s="10">
        <f t="shared" si="6"/>
        <v>0</v>
      </c>
      <c r="B70" s="10">
        <f t="shared" si="7"/>
        <v>0.16666666666666666</v>
      </c>
      <c r="C70" s="12">
        <f t="shared" si="8"/>
        <v>4</v>
      </c>
      <c r="D70" s="12">
        <f t="shared" si="9"/>
        <v>7</v>
      </c>
      <c r="E70" s="20" t="s">
        <v>386</v>
      </c>
      <c r="F70" s="20" t="s">
        <v>1190</v>
      </c>
      <c r="G70" s="20" t="s">
        <v>1797</v>
      </c>
      <c r="H70" s="20" t="s">
        <v>1820</v>
      </c>
      <c r="I70" s="20">
        <v>4</v>
      </c>
      <c r="J70" s="20" t="s">
        <v>1821</v>
      </c>
      <c r="K70" s="20" t="s">
        <v>1825</v>
      </c>
      <c r="L70" s="20" t="s">
        <v>1809</v>
      </c>
      <c r="M70" s="20" t="s">
        <v>1190</v>
      </c>
      <c r="N70" s="20" t="s">
        <v>1196</v>
      </c>
      <c r="P70" s="20" t="s">
        <v>1190</v>
      </c>
      <c r="Q70" s="20" t="s">
        <v>1197</v>
      </c>
      <c r="R70" s="20" t="s">
        <v>84</v>
      </c>
      <c r="S70" s="20" t="s">
        <v>123</v>
      </c>
      <c r="T70" s="20" t="s">
        <v>198</v>
      </c>
      <c r="U70" s="20" t="s">
        <v>199</v>
      </c>
      <c r="V70" s="20" t="s">
        <v>87</v>
      </c>
      <c r="W70" s="20">
        <v>506</v>
      </c>
      <c r="X70" s="20">
        <v>506</v>
      </c>
      <c r="Y70" s="20" t="s">
        <v>1810</v>
      </c>
      <c r="Z70" s="20">
        <v>0.16666666666666666</v>
      </c>
      <c r="AA70" s="20" t="s">
        <v>1823</v>
      </c>
      <c r="AB70" s="20" t="s">
        <v>109</v>
      </c>
      <c r="AC70" s="20" t="s">
        <v>110</v>
      </c>
      <c r="AD70" s="20" t="s">
        <v>1824</v>
      </c>
      <c r="AE70" s="20" t="s">
        <v>91</v>
      </c>
      <c r="AF70" s="20">
        <v>0.5</v>
      </c>
      <c r="AG70" s="20">
        <v>0</v>
      </c>
      <c r="AH70" s="20">
        <v>1</v>
      </c>
      <c r="AI70" s="7" t="s">
        <v>98</v>
      </c>
      <c r="AJ70" s="20">
        <v>150</v>
      </c>
      <c r="AK70" s="4" t="s">
        <v>111</v>
      </c>
      <c r="AL70" s="4">
        <v>15</v>
      </c>
      <c r="AM70" s="4">
        <v>15</v>
      </c>
      <c r="AN70" s="4" t="s">
        <v>95</v>
      </c>
      <c r="AO70" s="4" t="s">
        <v>96</v>
      </c>
      <c r="AP70" s="4">
        <v>1</v>
      </c>
      <c r="AQ70" s="20">
        <v>45000</v>
      </c>
      <c r="AR70" s="4">
        <v>41780</v>
      </c>
      <c r="AS70" s="20">
        <v>6818.1818181818171</v>
      </c>
      <c r="AT70" s="20">
        <v>7771.92</v>
      </c>
      <c r="AU70" s="20">
        <v>953.73818181818297</v>
      </c>
      <c r="AV70" s="20">
        <v>517</v>
      </c>
      <c r="AW70" s="20">
        <v>20</v>
      </c>
      <c r="AX70" s="20" t="s">
        <v>91</v>
      </c>
      <c r="AY70" s="20">
        <v>537</v>
      </c>
      <c r="AZ70" s="20">
        <v>5.8</v>
      </c>
      <c r="BA70" s="20">
        <v>0</v>
      </c>
      <c r="BB70" s="6">
        <v>41752</v>
      </c>
      <c r="BC70" s="6">
        <v>0</v>
      </c>
      <c r="BD70" s="6">
        <v>41824</v>
      </c>
      <c r="BE70" s="6">
        <v>0</v>
      </c>
      <c r="BF70" s="6">
        <v>41851</v>
      </c>
      <c r="BG70" s="6">
        <v>0</v>
      </c>
      <c r="BH70" s="6">
        <v>0</v>
      </c>
      <c r="BI70" s="6">
        <v>0</v>
      </c>
      <c r="BJ70" s="6">
        <v>0</v>
      </c>
      <c r="BK70" s="5" t="s">
        <v>401</v>
      </c>
      <c r="BL70" s="4">
        <v>0</v>
      </c>
      <c r="BM70" s="20">
        <v>152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150</v>
      </c>
      <c r="BT70" s="20">
        <v>1165788</v>
      </c>
      <c r="BU70" s="20">
        <v>6750000</v>
      </c>
      <c r="BV70" s="20">
        <v>5.2637045812477368</v>
      </c>
    </row>
    <row r="71" spans="1:74">
      <c r="A71" s="10">
        <f t="shared" si="6"/>
        <v>0</v>
      </c>
      <c r="B71" s="10">
        <f t="shared" si="7"/>
        <v>0.25</v>
      </c>
      <c r="C71" s="12">
        <f t="shared" si="8"/>
        <v>4</v>
      </c>
      <c r="D71" s="12">
        <f t="shared" si="9"/>
        <v>7</v>
      </c>
      <c r="E71" s="20" t="s">
        <v>386</v>
      </c>
      <c r="F71" s="20" t="s">
        <v>1190</v>
      </c>
      <c r="G71" s="20" t="s">
        <v>1797</v>
      </c>
      <c r="H71" s="20" t="s">
        <v>1826</v>
      </c>
      <c r="I71" s="20">
        <v>5</v>
      </c>
      <c r="J71" s="20" t="s">
        <v>1827</v>
      </c>
      <c r="K71" s="20" t="s">
        <v>1828</v>
      </c>
      <c r="L71" s="20" t="s">
        <v>1829</v>
      </c>
      <c r="M71" s="20" t="s">
        <v>1190</v>
      </c>
      <c r="N71" s="20" t="s">
        <v>1196</v>
      </c>
      <c r="P71" s="20" t="s">
        <v>1190</v>
      </c>
      <c r="Q71" s="20" t="s">
        <v>1197</v>
      </c>
      <c r="R71" s="20" t="s">
        <v>84</v>
      </c>
      <c r="S71" s="20" t="s">
        <v>123</v>
      </c>
      <c r="T71" s="20" t="s">
        <v>198</v>
      </c>
      <c r="U71" s="20" t="s">
        <v>199</v>
      </c>
      <c r="V71" s="20" t="s">
        <v>87</v>
      </c>
      <c r="W71" s="20">
        <v>507</v>
      </c>
      <c r="X71" s="20">
        <v>507</v>
      </c>
      <c r="Y71" s="20" t="s">
        <v>1830</v>
      </c>
      <c r="Z71" s="20">
        <v>0.25</v>
      </c>
      <c r="AA71" s="20" t="s">
        <v>1831</v>
      </c>
      <c r="AB71" s="20" t="s">
        <v>176</v>
      </c>
      <c r="AC71" s="20" t="s">
        <v>177</v>
      </c>
      <c r="AD71" s="20" t="s">
        <v>1832</v>
      </c>
      <c r="AE71" s="20" t="s">
        <v>91</v>
      </c>
      <c r="AF71" s="20">
        <v>0.5</v>
      </c>
      <c r="AG71" s="20">
        <v>0</v>
      </c>
      <c r="AH71" s="20">
        <v>1</v>
      </c>
      <c r="AI71" s="7" t="s">
        <v>97</v>
      </c>
      <c r="AJ71" s="20">
        <v>150</v>
      </c>
      <c r="AK71" s="4" t="s">
        <v>111</v>
      </c>
      <c r="AL71" s="4">
        <v>15</v>
      </c>
      <c r="AM71" s="4">
        <v>15</v>
      </c>
      <c r="AN71" s="4" t="s">
        <v>95</v>
      </c>
      <c r="AO71" s="4" t="s">
        <v>96</v>
      </c>
      <c r="AP71" s="4">
        <v>1</v>
      </c>
      <c r="AQ71" s="20">
        <v>45000</v>
      </c>
      <c r="AR71" s="4">
        <v>41780</v>
      </c>
      <c r="AS71" s="20">
        <v>6818.1818181818171</v>
      </c>
      <c r="AT71" s="20">
        <v>7771.92</v>
      </c>
      <c r="AU71" s="20">
        <v>953.73818181818297</v>
      </c>
      <c r="AV71" s="20">
        <v>517</v>
      </c>
      <c r="AW71" s="20">
        <v>20</v>
      </c>
      <c r="AX71" s="20" t="s">
        <v>91</v>
      </c>
      <c r="AY71" s="20">
        <v>537</v>
      </c>
      <c r="AZ71" s="20">
        <v>5.8</v>
      </c>
      <c r="BA71" s="20">
        <v>0</v>
      </c>
      <c r="BB71" s="6">
        <v>41752</v>
      </c>
      <c r="BC71" s="6">
        <v>0</v>
      </c>
      <c r="BD71" s="6">
        <v>41824</v>
      </c>
      <c r="BE71" s="6">
        <v>0</v>
      </c>
      <c r="BF71" s="6">
        <v>41851</v>
      </c>
      <c r="BG71" s="6">
        <v>0</v>
      </c>
      <c r="BH71" s="6">
        <v>0</v>
      </c>
      <c r="BI71" s="6">
        <v>0</v>
      </c>
      <c r="BJ71" s="6">
        <v>0</v>
      </c>
      <c r="BK71" s="5" t="s">
        <v>401</v>
      </c>
      <c r="BL71" s="4">
        <v>0</v>
      </c>
      <c r="BM71" s="20">
        <v>146</v>
      </c>
      <c r="BN71" s="20">
        <v>0</v>
      </c>
      <c r="BO71" s="20">
        <v>0</v>
      </c>
      <c r="BP71" s="20">
        <v>0</v>
      </c>
      <c r="BQ71" s="20">
        <v>0</v>
      </c>
      <c r="BR71" s="20">
        <v>0</v>
      </c>
      <c r="BS71" s="20">
        <v>150</v>
      </c>
      <c r="BT71" s="20">
        <v>1165788</v>
      </c>
      <c r="BU71" s="20">
        <v>6750000</v>
      </c>
      <c r="BV71" s="20">
        <v>5.2637045812477368</v>
      </c>
    </row>
    <row r="72" spans="1:74">
      <c r="A72" s="10">
        <f t="shared" si="6"/>
        <v>0</v>
      </c>
      <c r="B72" s="10">
        <f t="shared" si="7"/>
        <v>0.25</v>
      </c>
      <c r="C72" s="12">
        <f t="shared" si="8"/>
        <v>4</v>
      </c>
      <c r="D72" s="12">
        <f t="shared" si="9"/>
        <v>7</v>
      </c>
      <c r="E72" s="20" t="s">
        <v>386</v>
      </c>
      <c r="F72" s="20" t="s">
        <v>1190</v>
      </c>
      <c r="G72" s="20" t="s">
        <v>1797</v>
      </c>
      <c r="H72" s="20" t="s">
        <v>1826</v>
      </c>
      <c r="I72" s="20">
        <v>5</v>
      </c>
      <c r="J72" s="20" t="s">
        <v>1827</v>
      </c>
      <c r="K72" s="20" t="s">
        <v>1833</v>
      </c>
      <c r="L72" s="20" t="s">
        <v>1829</v>
      </c>
      <c r="M72" s="20" t="s">
        <v>1190</v>
      </c>
      <c r="N72" s="20" t="s">
        <v>1196</v>
      </c>
      <c r="P72" s="20" t="s">
        <v>1190</v>
      </c>
      <c r="Q72" s="20" t="s">
        <v>1197</v>
      </c>
      <c r="R72" s="20" t="s">
        <v>84</v>
      </c>
      <c r="S72" s="20" t="s">
        <v>123</v>
      </c>
      <c r="T72" s="20" t="s">
        <v>198</v>
      </c>
      <c r="U72" s="20" t="s">
        <v>199</v>
      </c>
      <c r="V72" s="20" t="s">
        <v>87</v>
      </c>
      <c r="W72" s="20">
        <v>507</v>
      </c>
      <c r="X72" s="20">
        <v>507</v>
      </c>
      <c r="Y72" s="20" t="s">
        <v>1830</v>
      </c>
      <c r="Z72" s="20">
        <v>0.25</v>
      </c>
      <c r="AA72" s="20" t="s">
        <v>1831</v>
      </c>
      <c r="AB72" s="20" t="s">
        <v>176</v>
      </c>
      <c r="AC72" s="20" t="s">
        <v>177</v>
      </c>
      <c r="AD72" s="20" t="s">
        <v>1832</v>
      </c>
      <c r="AE72" s="20" t="s">
        <v>91</v>
      </c>
      <c r="AF72" s="20">
        <v>0.5</v>
      </c>
      <c r="AG72" s="20">
        <v>0</v>
      </c>
      <c r="AH72" s="20">
        <v>1</v>
      </c>
      <c r="AI72" s="7" t="s">
        <v>98</v>
      </c>
      <c r="AJ72" s="20">
        <v>150</v>
      </c>
      <c r="AK72" s="4" t="s">
        <v>111</v>
      </c>
      <c r="AL72" s="4">
        <v>15</v>
      </c>
      <c r="AM72" s="4">
        <v>15</v>
      </c>
      <c r="AN72" s="4" t="s">
        <v>95</v>
      </c>
      <c r="AO72" s="4" t="s">
        <v>96</v>
      </c>
      <c r="AP72" s="4">
        <v>1</v>
      </c>
      <c r="AQ72" s="20">
        <v>45000</v>
      </c>
      <c r="AR72" s="4">
        <v>41780</v>
      </c>
      <c r="AS72" s="20">
        <v>6818.1818181818171</v>
      </c>
      <c r="AT72" s="20">
        <v>7771.92</v>
      </c>
      <c r="AU72" s="20">
        <v>953.73818181818297</v>
      </c>
      <c r="AV72" s="20">
        <v>517</v>
      </c>
      <c r="AW72" s="20">
        <v>20</v>
      </c>
      <c r="AX72" s="20" t="s">
        <v>91</v>
      </c>
      <c r="AY72" s="20">
        <v>537</v>
      </c>
      <c r="AZ72" s="20">
        <v>5.8</v>
      </c>
      <c r="BA72" s="20">
        <v>0</v>
      </c>
      <c r="BB72" s="6">
        <v>41752</v>
      </c>
      <c r="BC72" s="6">
        <v>0</v>
      </c>
      <c r="BD72" s="6">
        <v>41824</v>
      </c>
      <c r="BE72" s="6">
        <v>0</v>
      </c>
      <c r="BF72" s="6">
        <v>41851</v>
      </c>
      <c r="BG72" s="6">
        <v>0</v>
      </c>
      <c r="BH72" s="6">
        <v>0</v>
      </c>
      <c r="BI72" s="6">
        <v>0</v>
      </c>
      <c r="BJ72" s="6">
        <v>0</v>
      </c>
      <c r="BK72" s="5" t="s">
        <v>401</v>
      </c>
      <c r="BL72" s="4">
        <v>0</v>
      </c>
      <c r="BM72" s="20">
        <v>150</v>
      </c>
      <c r="BN72" s="20">
        <v>0</v>
      </c>
      <c r="BO72" s="20">
        <v>0</v>
      </c>
      <c r="BP72" s="20">
        <v>0</v>
      </c>
      <c r="BQ72" s="20">
        <v>0</v>
      </c>
      <c r="BR72" s="20">
        <v>0</v>
      </c>
      <c r="BS72" s="20">
        <v>150</v>
      </c>
      <c r="BT72" s="20">
        <v>1165788</v>
      </c>
      <c r="BU72" s="20">
        <v>6750000</v>
      </c>
      <c r="BV72" s="20">
        <v>5.2637045812477368</v>
      </c>
    </row>
    <row r="73" spans="1:74">
      <c r="A73" s="10">
        <f t="shared" si="6"/>
        <v>0</v>
      </c>
      <c r="B73" s="10">
        <f t="shared" si="7"/>
        <v>0.25</v>
      </c>
      <c r="C73" s="12">
        <f t="shared" si="8"/>
        <v>4</v>
      </c>
      <c r="D73" s="12">
        <f t="shared" si="9"/>
        <v>7</v>
      </c>
      <c r="E73" s="20" t="s">
        <v>386</v>
      </c>
      <c r="F73" s="20" t="s">
        <v>1190</v>
      </c>
      <c r="G73" s="20" t="s">
        <v>1797</v>
      </c>
      <c r="H73" s="20" t="s">
        <v>1834</v>
      </c>
      <c r="I73" s="20">
        <v>6</v>
      </c>
      <c r="J73" s="20" t="s">
        <v>1835</v>
      </c>
      <c r="K73" s="20" t="s">
        <v>1836</v>
      </c>
      <c r="L73" s="20" t="s">
        <v>1829</v>
      </c>
      <c r="M73" s="20" t="s">
        <v>1190</v>
      </c>
      <c r="N73" s="20" t="s">
        <v>1196</v>
      </c>
      <c r="P73" s="20" t="s">
        <v>1190</v>
      </c>
      <c r="Q73" s="20" t="s">
        <v>1197</v>
      </c>
      <c r="R73" s="20" t="s">
        <v>84</v>
      </c>
      <c r="S73" s="20" t="s">
        <v>123</v>
      </c>
      <c r="T73" s="20" t="s">
        <v>198</v>
      </c>
      <c r="U73" s="20" t="s">
        <v>199</v>
      </c>
      <c r="V73" s="20" t="s">
        <v>87</v>
      </c>
      <c r="W73" s="20">
        <v>507</v>
      </c>
      <c r="X73" s="20">
        <v>507</v>
      </c>
      <c r="Y73" s="20" t="s">
        <v>1830</v>
      </c>
      <c r="Z73" s="20">
        <v>0.25</v>
      </c>
      <c r="AA73" s="20" t="s">
        <v>1837</v>
      </c>
      <c r="AB73" s="20" t="s">
        <v>248</v>
      </c>
      <c r="AC73" s="20" t="s">
        <v>249</v>
      </c>
      <c r="AD73" s="20" t="s">
        <v>1838</v>
      </c>
      <c r="AE73" s="20" t="s">
        <v>91</v>
      </c>
      <c r="AF73" s="20">
        <v>0.5</v>
      </c>
      <c r="AG73" s="20">
        <v>0</v>
      </c>
      <c r="AH73" s="20">
        <v>1</v>
      </c>
      <c r="AI73" s="7" t="s">
        <v>97</v>
      </c>
      <c r="AJ73" s="20">
        <v>150</v>
      </c>
      <c r="AK73" s="4" t="s">
        <v>111</v>
      </c>
      <c r="AL73" s="4">
        <v>15</v>
      </c>
      <c r="AM73" s="4">
        <v>15</v>
      </c>
      <c r="AN73" s="4" t="s">
        <v>95</v>
      </c>
      <c r="AO73" s="4" t="s">
        <v>96</v>
      </c>
      <c r="AP73" s="4">
        <v>1</v>
      </c>
      <c r="AQ73" s="20">
        <v>45000</v>
      </c>
      <c r="AR73" s="4">
        <v>41780</v>
      </c>
      <c r="AS73" s="20">
        <v>6818.1818181818171</v>
      </c>
      <c r="AT73" s="20">
        <v>7771.92</v>
      </c>
      <c r="AU73" s="20">
        <v>953.73818181818297</v>
      </c>
      <c r="AV73" s="20">
        <v>517</v>
      </c>
      <c r="AW73" s="20">
        <v>20</v>
      </c>
      <c r="AX73" s="20" t="s">
        <v>91</v>
      </c>
      <c r="AY73" s="20">
        <v>537</v>
      </c>
      <c r="AZ73" s="20">
        <v>5.8</v>
      </c>
      <c r="BA73" s="20">
        <v>0</v>
      </c>
      <c r="BB73" s="6">
        <v>41752</v>
      </c>
      <c r="BC73" s="6">
        <v>0</v>
      </c>
      <c r="BD73" s="6">
        <v>41824</v>
      </c>
      <c r="BE73" s="6">
        <v>0</v>
      </c>
      <c r="BF73" s="6">
        <v>41851</v>
      </c>
      <c r="BG73" s="6">
        <v>0</v>
      </c>
      <c r="BH73" s="6">
        <v>0</v>
      </c>
      <c r="BI73" s="6">
        <v>0</v>
      </c>
      <c r="BJ73" s="6">
        <v>0</v>
      </c>
      <c r="BK73" s="5" t="s">
        <v>401</v>
      </c>
      <c r="BL73" s="4">
        <v>0</v>
      </c>
      <c r="BM73" s="20">
        <v>153</v>
      </c>
      <c r="BN73" s="20">
        <v>0</v>
      </c>
      <c r="BO73" s="20">
        <v>0</v>
      </c>
      <c r="BP73" s="20">
        <v>0</v>
      </c>
      <c r="BQ73" s="20">
        <v>0</v>
      </c>
      <c r="BR73" s="20">
        <v>0</v>
      </c>
      <c r="BS73" s="20">
        <v>150</v>
      </c>
      <c r="BT73" s="20">
        <v>1165788</v>
      </c>
      <c r="BU73" s="20">
        <v>6750000</v>
      </c>
      <c r="BV73" s="20">
        <v>5.2637045812477368</v>
      </c>
    </row>
    <row r="74" spans="1:74">
      <c r="A74" s="10">
        <f t="shared" si="6"/>
        <v>0</v>
      </c>
      <c r="B74" s="10">
        <f t="shared" si="7"/>
        <v>0.25</v>
      </c>
      <c r="C74" s="12">
        <f t="shared" si="8"/>
        <v>4</v>
      </c>
      <c r="D74" s="12">
        <f t="shared" si="9"/>
        <v>7</v>
      </c>
      <c r="E74" s="20" t="s">
        <v>386</v>
      </c>
      <c r="F74" s="20" t="s">
        <v>1190</v>
      </c>
      <c r="G74" s="20" t="s">
        <v>1797</v>
      </c>
      <c r="H74" s="20" t="s">
        <v>1834</v>
      </c>
      <c r="I74" s="20">
        <v>6</v>
      </c>
      <c r="J74" s="20" t="s">
        <v>1835</v>
      </c>
      <c r="K74" s="20" t="s">
        <v>1839</v>
      </c>
      <c r="L74" s="20" t="s">
        <v>1829</v>
      </c>
      <c r="M74" s="20" t="s">
        <v>1190</v>
      </c>
      <c r="N74" s="20" t="s">
        <v>1196</v>
      </c>
      <c r="P74" s="20" t="s">
        <v>1190</v>
      </c>
      <c r="Q74" s="20" t="s">
        <v>1197</v>
      </c>
      <c r="R74" s="20" t="s">
        <v>84</v>
      </c>
      <c r="S74" s="20" t="s">
        <v>123</v>
      </c>
      <c r="T74" s="20" t="s">
        <v>198</v>
      </c>
      <c r="U74" s="20" t="s">
        <v>199</v>
      </c>
      <c r="V74" s="20" t="s">
        <v>87</v>
      </c>
      <c r="W74" s="20">
        <v>507</v>
      </c>
      <c r="X74" s="20">
        <v>507</v>
      </c>
      <c r="Y74" s="20" t="s">
        <v>1830</v>
      </c>
      <c r="Z74" s="20">
        <v>0.25</v>
      </c>
      <c r="AA74" s="20" t="s">
        <v>1837</v>
      </c>
      <c r="AB74" s="20" t="s">
        <v>248</v>
      </c>
      <c r="AC74" s="20" t="s">
        <v>249</v>
      </c>
      <c r="AD74" s="20" t="s">
        <v>1838</v>
      </c>
      <c r="AE74" s="20" t="s">
        <v>91</v>
      </c>
      <c r="AF74" s="20">
        <v>0.5</v>
      </c>
      <c r="AG74" s="20">
        <v>0</v>
      </c>
      <c r="AH74" s="20">
        <v>1</v>
      </c>
      <c r="AI74" s="7" t="s">
        <v>98</v>
      </c>
      <c r="AJ74" s="20">
        <v>150</v>
      </c>
      <c r="AK74" s="4" t="s">
        <v>111</v>
      </c>
      <c r="AL74" s="4">
        <v>15</v>
      </c>
      <c r="AM74" s="4">
        <v>15</v>
      </c>
      <c r="AN74" s="4" t="s">
        <v>95</v>
      </c>
      <c r="AO74" s="4" t="s">
        <v>96</v>
      </c>
      <c r="AP74" s="4">
        <v>1</v>
      </c>
      <c r="AQ74" s="20">
        <v>45000</v>
      </c>
      <c r="AR74" s="4">
        <v>41780</v>
      </c>
      <c r="AS74" s="20">
        <v>6818.1818181818171</v>
      </c>
      <c r="AT74" s="20">
        <v>7771.92</v>
      </c>
      <c r="AU74" s="20">
        <v>953.73818181818297</v>
      </c>
      <c r="AV74" s="20">
        <v>517</v>
      </c>
      <c r="AW74" s="20">
        <v>20</v>
      </c>
      <c r="AX74" s="20" t="s">
        <v>91</v>
      </c>
      <c r="AY74" s="20">
        <v>537</v>
      </c>
      <c r="AZ74" s="20">
        <v>5.8</v>
      </c>
      <c r="BA74" s="20">
        <v>0</v>
      </c>
      <c r="BB74" s="6">
        <v>41752</v>
      </c>
      <c r="BC74" s="6">
        <v>0</v>
      </c>
      <c r="BD74" s="6">
        <v>41824</v>
      </c>
      <c r="BE74" s="6">
        <v>0</v>
      </c>
      <c r="BF74" s="6">
        <v>41851</v>
      </c>
      <c r="BG74" s="6">
        <v>0</v>
      </c>
      <c r="BH74" s="6">
        <v>0</v>
      </c>
      <c r="BI74" s="6">
        <v>0</v>
      </c>
      <c r="BJ74" s="6">
        <v>0</v>
      </c>
      <c r="BK74" s="5" t="s">
        <v>401</v>
      </c>
      <c r="BL74" s="4">
        <v>0</v>
      </c>
      <c r="BM74" s="20">
        <v>151</v>
      </c>
      <c r="BN74" s="20">
        <v>0</v>
      </c>
      <c r="BO74" s="20">
        <v>0</v>
      </c>
      <c r="BP74" s="20">
        <v>0</v>
      </c>
      <c r="BQ74" s="20">
        <v>0</v>
      </c>
      <c r="BR74" s="20">
        <v>0</v>
      </c>
      <c r="BS74" s="20">
        <v>150</v>
      </c>
      <c r="BT74" s="20">
        <v>1165788</v>
      </c>
      <c r="BU74" s="20">
        <v>6750000</v>
      </c>
      <c r="BV74" s="20">
        <v>5.2637045812477368</v>
      </c>
    </row>
    <row r="75" spans="1:74">
      <c r="A75" s="10">
        <f t="shared" si="6"/>
        <v>0</v>
      </c>
      <c r="B75" s="10">
        <f t="shared" si="7"/>
        <v>0</v>
      </c>
      <c r="C75" s="12" t="str">
        <f t="shared" si="8"/>
        <v/>
      </c>
      <c r="D75" s="12" t="str">
        <f t="shared" si="9"/>
        <v/>
      </c>
      <c r="E75" s="20" t="s">
        <v>91</v>
      </c>
      <c r="F75" s="20" t="s">
        <v>91</v>
      </c>
      <c r="G75" s="20" t="s">
        <v>91</v>
      </c>
      <c r="H75" s="20" t="s">
        <v>91</v>
      </c>
      <c r="I75" s="20">
        <v>0</v>
      </c>
      <c r="J75" s="20" t="s">
        <v>103</v>
      </c>
      <c r="K75" s="20" t="s">
        <v>104</v>
      </c>
      <c r="L75" s="20">
        <v>0</v>
      </c>
      <c r="M75" s="20" t="s">
        <v>105</v>
      </c>
      <c r="N75" s="20" t="s">
        <v>91</v>
      </c>
      <c r="O75" s="20" t="s">
        <v>1840</v>
      </c>
      <c r="Q75" s="20" t="s">
        <v>91</v>
      </c>
      <c r="R75" s="20" t="s">
        <v>91</v>
      </c>
      <c r="S75" s="20" t="s">
        <v>91</v>
      </c>
      <c r="U75" s="20" t="s">
        <v>91</v>
      </c>
      <c r="V75" s="20" t="s">
        <v>87</v>
      </c>
      <c r="X75" s="20" t="s">
        <v>91</v>
      </c>
      <c r="Y75" s="20" t="s">
        <v>91</v>
      </c>
      <c r="Z75" s="20">
        <v>3.0000000000000004</v>
      </c>
      <c r="AB75" s="20" t="s">
        <v>91</v>
      </c>
      <c r="AD75" s="20" t="s">
        <v>91</v>
      </c>
      <c r="AE75" s="20" t="s">
        <v>91</v>
      </c>
      <c r="AF75" s="20">
        <v>6</v>
      </c>
      <c r="AG75" s="20">
        <v>0</v>
      </c>
      <c r="AH75" s="20">
        <v>1</v>
      </c>
      <c r="AI75" s="7"/>
      <c r="AM75" s="4" t="s">
        <v>91</v>
      </c>
      <c r="AP75" s="4" t="s">
        <v>91</v>
      </c>
      <c r="AQ75" s="20">
        <v>0</v>
      </c>
      <c r="AR75" s="4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 t="s">
        <v>91</v>
      </c>
      <c r="AY75" s="20">
        <v>0</v>
      </c>
      <c r="AZ75" s="20">
        <v>0</v>
      </c>
      <c r="BA75" s="20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5">
        <v>0</v>
      </c>
      <c r="BL75" s="4">
        <v>0</v>
      </c>
      <c r="BM75" s="20">
        <v>1816</v>
      </c>
      <c r="BN75" s="20">
        <v>0</v>
      </c>
      <c r="BO75" s="20">
        <v>0</v>
      </c>
      <c r="BP75" s="20">
        <v>0</v>
      </c>
      <c r="BQ75" s="20">
        <v>0</v>
      </c>
      <c r="BR75" s="20">
        <v>0</v>
      </c>
      <c r="BS75" s="20">
        <v>1800</v>
      </c>
      <c r="BT75" s="20">
        <v>14692488</v>
      </c>
      <c r="BU75" s="20">
        <v>83400000</v>
      </c>
      <c r="BV75" s="20">
        <v>5.1603364806683398</v>
      </c>
    </row>
    <row r="76" spans="1:74">
      <c r="A76" s="10">
        <f t="shared" si="6"/>
        <v>0</v>
      </c>
      <c r="B76" s="10">
        <f t="shared" si="7"/>
        <v>0.33333333333333331</v>
      </c>
      <c r="C76" s="12">
        <f t="shared" si="8"/>
        <v>5</v>
      </c>
      <c r="D76" s="12">
        <f t="shared" si="9"/>
        <v>8</v>
      </c>
      <c r="E76" s="20" t="s">
        <v>424</v>
      </c>
      <c r="F76" s="20" t="s">
        <v>632</v>
      </c>
      <c r="G76" s="20" t="s">
        <v>2246</v>
      </c>
      <c r="H76" s="20" t="s">
        <v>2247</v>
      </c>
      <c r="I76" s="20">
        <v>1</v>
      </c>
      <c r="J76" s="20" t="s">
        <v>2248</v>
      </c>
      <c r="K76" s="20" t="s">
        <v>2249</v>
      </c>
      <c r="L76" s="20" t="s">
        <v>2250</v>
      </c>
      <c r="M76" s="20" t="s">
        <v>632</v>
      </c>
      <c r="N76" s="20" t="s">
        <v>2251</v>
      </c>
      <c r="P76" s="20" t="s">
        <v>632</v>
      </c>
      <c r="Q76" s="20" t="s">
        <v>634</v>
      </c>
      <c r="R76" s="20" t="s">
        <v>84</v>
      </c>
      <c r="S76" s="20" t="s">
        <v>123</v>
      </c>
      <c r="T76" s="20" t="s">
        <v>172</v>
      </c>
      <c r="U76" s="20" t="s">
        <v>173</v>
      </c>
      <c r="V76" s="20" t="s">
        <v>87</v>
      </c>
      <c r="W76" s="20">
        <v>603</v>
      </c>
      <c r="X76" s="20">
        <v>603</v>
      </c>
      <c r="Y76" s="20" t="s">
        <v>2252</v>
      </c>
      <c r="Z76" s="20">
        <v>0.33333333333333331</v>
      </c>
      <c r="AA76" s="20" t="s">
        <v>2253</v>
      </c>
      <c r="AB76" s="20" t="s">
        <v>89</v>
      </c>
      <c r="AC76" s="20" t="s">
        <v>90</v>
      </c>
      <c r="AD76" s="20" t="s">
        <v>2254</v>
      </c>
      <c r="AE76" s="20" t="s">
        <v>400</v>
      </c>
      <c r="AF76" s="20">
        <v>1</v>
      </c>
      <c r="AG76" s="20" t="s">
        <v>2438</v>
      </c>
      <c r="AH76" s="20">
        <v>1</v>
      </c>
      <c r="AI76" s="7" t="s">
        <v>97</v>
      </c>
      <c r="AJ76" s="20">
        <v>120</v>
      </c>
      <c r="AK76" s="4" t="s">
        <v>179</v>
      </c>
      <c r="AL76" s="4">
        <v>17</v>
      </c>
      <c r="AM76" s="4">
        <v>17</v>
      </c>
      <c r="AN76" s="4" t="s">
        <v>95</v>
      </c>
      <c r="AO76" s="4" t="s">
        <v>96</v>
      </c>
      <c r="AP76" s="4">
        <v>1</v>
      </c>
      <c r="AQ76" s="20">
        <v>53000</v>
      </c>
      <c r="AR76" s="4">
        <v>41779</v>
      </c>
      <c r="AS76" s="20">
        <v>8030.3030303030291</v>
      </c>
      <c r="AT76" s="20">
        <v>4386.68</v>
      </c>
      <c r="AU76" s="20">
        <v>-3643.6230303030288</v>
      </c>
      <c r="AV76" s="20">
        <v>375</v>
      </c>
      <c r="AW76" s="20">
        <v>0</v>
      </c>
      <c r="AX76" s="20">
        <v>20</v>
      </c>
      <c r="AY76" s="20">
        <v>395</v>
      </c>
      <c r="AZ76" s="20">
        <v>3.2</v>
      </c>
      <c r="BA76" s="20">
        <v>0</v>
      </c>
      <c r="BB76" s="6">
        <v>41779</v>
      </c>
      <c r="BC76" s="6">
        <v>0</v>
      </c>
      <c r="BD76" s="6">
        <v>41823</v>
      </c>
      <c r="BE76" s="6">
        <v>0</v>
      </c>
      <c r="BF76" s="6">
        <v>41878</v>
      </c>
      <c r="BG76" s="6">
        <v>0</v>
      </c>
      <c r="BH76" s="6">
        <v>0</v>
      </c>
      <c r="BI76" s="6">
        <v>0</v>
      </c>
      <c r="BJ76" s="6">
        <v>0</v>
      </c>
      <c r="BK76" s="5" t="s">
        <v>401</v>
      </c>
      <c r="BL76" s="4">
        <v>0</v>
      </c>
      <c r="BM76" s="20">
        <v>124</v>
      </c>
      <c r="BN76" s="20">
        <v>0</v>
      </c>
      <c r="BO76" s="20">
        <v>0</v>
      </c>
      <c r="BP76" s="20">
        <v>0</v>
      </c>
      <c r="BQ76" s="20">
        <v>0</v>
      </c>
      <c r="BR76" s="20">
        <v>0</v>
      </c>
      <c r="BS76" s="20">
        <v>120</v>
      </c>
      <c r="BT76" s="20">
        <v>526401.60000000009</v>
      </c>
      <c r="BU76" s="20">
        <v>6360000</v>
      </c>
      <c r="BV76" s="20">
        <v>10.98366376891366</v>
      </c>
    </row>
    <row r="77" spans="1:74">
      <c r="A77" s="10">
        <f t="shared" si="6"/>
        <v>0</v>
      </c>
      <c r="B77" s="10">
        <f t="shared" si="7"/>
        <v>0.33333333333333331</v>
      </c>
      <c r="C77" s="12">
        <f t="shared" si="8"/>
        <v>5</v>
      </c>
      <c r="D77" s="12">
        <f t="shared" si="9"/>
        <v>8</v>
      </c>
      <c r="E77" s="20" t="s">
        <v>424</v>
      </c>
      <c r="F77" s="20" t="s">
        <v>632</v>
      </c>
      <c r="G77" s="20" t="s">
        <v>2246</v>
      </c>
      <c r="H77" s="20" t="s">
        <v>2255</v>
      </c>
      <c r="I77" s="20">
        <v>2</v>
      </c>
      <c r="J77" s="20" t="s">
        <v>2256</v>
      </c>
      <c r="K77" s="20" t="s">
        <v>2257</v>
      </c>
      <c r="L77" s="20" t="s">
        <v>2250</v>
      </c>
      <c r="M77" s="20" t="s">
        <v>632</v>
      </c>
      <c r="N77" s="20" t="s">
        <v>2251</v>
      </c>
      <c r="P77" s="20" t="s">
        <v>632</v>
      </c>
      <c r="Q77" s="20" t="s">
        <v>634</v>
      </c>
      <c r="R77" s="20" t="s">
        <v>84</v>
      </c>
      <c r="S77" s="20" t="s">
        <v>123</v>
      </c>
      <c r="T77" s="20" t="s">
        <v>172</v>
      </c>
      <c r="U77" s="20" t="s">
        <v>173</v>
      </c>
      <c r="V77" s="20" t="s">
        <v>87</v>
      </c>
      <c r="W77" s="20">
        <v>603</v>
      </c>
      <c r="X77" s="20">
        <v>603</v>
      </c>
      <c r="Y77" s="20" t="s">
        <v>2252</v>
      </c>
      <c r="Z77" s="20">
        <v>0.33333333333333331</v>
      </c>
      <c r="AA77" s="20" t="s">
        <v>2258</v>
      </c>
      <c r="AB77" s="20" t="s">
        <v>296</v>
      </c>
      <c r="AC77" s="20" t="s">
        <v>297</v>
      </c>
      <c r="AD77" s="20" t="s">
        <v>2259</v>
      </c>
      <c r="AE77" s="20" t="s">
        <v>400</v>
      </c>
      <c r="AF77" s="20">
        <v>0.5</v>
      </c>
      <c r="AG77" s="20" t="s">
        <v>2438</v>
      </c>
      <c r="AH77" s="20">
        <v>1</v>
      </c>
      <c r="AI77" s="7" t="s">
        <v>97</v>
      </c>
      <c r="AJ77" s="20">
        <v>120</v>
      </c>
      <c r="AK77" s="4" t="s">
        <v>179</v>
      </c>
      <c r="AL77" s="4">
        <v>17</v>
      </c>
      <c r="AM77" s="4">
        <v>17</v>
      </c>
      <c r="AN77" s="4" t="s">
        <v>95</v>
      </c>
      <c r="AO77" s="4" t="s">
        <v>96</v>
      </c>
      <c r="AP77" s="4">
        <v>1</v>
      </c>
      <c r="AQ77" s="20">
        <v>53000</v>
      </c>
      <c r="AR77" s="4">
        <v>41779</v>
      </c>
      <c r="AS77" s="20">
        <v>8030.3030303030291</v>
      </c>
      <c r="AT77" s="20">
        <v>4714.83</v>
      </c>
      <c r="AU77" s="20">
        <v>-3315.4730303030292</v>
      </c>
      <c r="AV77" s="20">
        <v>1015</v>
      </c>
      <c r="AW77" s="20">
        <v>0</v>
      </c>
      <c r="AX77" s="20">
        <v>20</v>
      </c>
      <c r="AY77" s="20">
        <v>1035</v>
      </c>
      <c r="AZ77" s="20">
        <v>2.95</v>
      </c>
      <c r="BA77" s="20">
        <v>0</v>
      </c>
      <c r="BB77" s="6">
        <v>41779</v>
      </c>
      <c r="BC77" s="6">
        <v>0</v>
      </c>
      <c r="BD77" s="6">
        <v>41823</v>
      </c>
      <c r="BE77" s="6">
        <v>0</v>
      </c>
      <c r="BF77" s="6">
        <v>41878</v>
      </c>
      <c r="BG77" s="6">
        <v>0</v>
      </c>
      <c r="BH77" s="6">
        <v>0</v>
      </c>
      <c r="BI77" s="6">
        <v>0</v>
      </c>
      <c r="BJ77" s="6">
        <v>0</v>
      </c>
      <c r="BK77" s="5" t="s">
        <v>401</v>
      </c>
      <c r="BL77" s="4">
        <v>0</v>
      </c>
      <c r="BM77" s="20">
        <v>123</v>
      </c>
      <c r="BN77" s="20">
        <v>0</v>
      </c>
      <c r="BO77" s="20">
        <v>0</v>
      </c>
      <c r="BP77" s="20">
        <v>0</v>
      </c>
      <c r="BQ77" s="20">
        <v>0</v>
      </c>
      <c r="BR77" s="20">
        <v>0</v>
      </c>
      <c r="BS77" s="20">
        <v>120</v>
      </c>
      <c r="BT77" s="20">
        <v>565779.6</v>
      </c>
      <c r="BU77" s="20">
        <v>6360000</v>
      </c>
      <c r="BV77" s="20">
        <v>10.219205821168138</v>
      </c>
    </row>
    <row r="78" spans="1:74">
      <c r="A78" s="10">
        <f t="shared" si="6"/>
        <v>0</v>
      </c>
      <c r="B78" s="10">
        <f t="shared" si="7"/>
        <v>0.33333333333333331</v>
      </c>
      <c r="C78" s="12">
        <f t="shared" si="8"/>
        <v>5</v>
      </c>
      <c r="D78" s="12">
        <f t="shared" si="9"/>
        <v>8</v>
      </c>
      <c r="E78" s="20" t="s">
        <v>424</v>
      </c>
      <c r="F78" s="20" t="s">
        <v>632</v>
      </c>
      <c r="G78" s="20" t="s">
        <v>2246</v>
      </c>
      <c r="H78" s="20" t="s">
        <v>2255</v>
      </c>
      <c r="I78" s="20">
        <v>2</v>
      </c>
      <c r="J78" s="20" t="s">
        <v>2256</v>
      </c>
      <c r="K78" s="20" t="s">
        <v>2260</v>
      </c>
      <c r="L78" s="20" t="s">
        <v>2250</v>
      </c>
      <c r="M78" s="20" t="s">
        <v>632</v>
      </c>
      <c r="N78" s="20" t="s">
        <v>2251</v>
      </c>
      <c r="P78" s="20" t="s">
        <v>632</v>
      </c>
      <c r="Q78" s="20" t="s">
        <v>634</v>
      </c>
      <c r="R78" s="20" t="s">
        <v>84</v>
      </c>
      <c r="S78" s="20" t="s">
        <v>123</v>
      </c>
      <c r="T78" s="20" t="s">
        <v>172</v>
      </c>
      <c r="U78" s="20" t="s">
        <v>173</v>
      </c>
      <c r="V78" s="20" t="s">
        <v>87</v>
      </c>
      <c r="W78" s="20">
        <v>603</v>
      </c>
      <c r="X78" s="20">
        <v>603</v>
      </c>
      <c r="Y78" s="20" t="s">
        <v>2252</v>
      </c>
      <c r="Z78" s="20">
        <v>0.33333333333333331</v>
      </c>
      <c r="AA78" s="20" t="s">
        <v>2258</v>
      </c>
      <c r="AB78" s="20" t="s">
        <v>296</v>
      </c>
      <c r="AC78" s="20" t="s">
        <v>297</v>
      </c>
      <c r="AD78" s="20" t="s">
        <v>2259</v>
      </c>
      <c r="AE78" s="20" t="s">
        <v>400</v>
      </c>
      <c r="AF78" s="20">
        <v>0.5</v>
      </c>
      <c r="AG78" s="20" t="s">
        <v>2438</v>
      </c>
      <c r="AH78" s="20">
        <v>1</v>
      </c>
      <c r="AI78" s="7" t="s">
        <v>98</v>
      </c>
      <c r="AJ78" s="20">
        <v>50</v>
      </c>
      <c r="AK78" s="4" t="s">
        <v>179</v>
      </c>
      <c r="AL78" s="4">
        <v>17</v>
      </c>
      <c r="AM78" s="4">
        <v>17</v>
      </c>
      <c r="AN78" s="4" t="s">
        <v>95</v>
      </c>
      <c r="AO78" s="4" t="s">
        <v>96</v>
      </c>
      <c r="AP78" s="4">
        <v>1</v>
      </c>
      <c r="AQ78" s="20">
        <v>53000</v>
      </c>
      <c r="AR78" s="4">
        <v>41779</v>
      </c>
      <c r="AS78" s="20">
        <v>8030.3030303030291</v>
      </c>
      <c r="AT78" s="20">
        <v>4714.83</v>
      </c>
      <c r="AU78" s="20">
        <v>-3315.4730303030292</v>
      </c>
      <c r="AV78" s="20">
        <v>1015</v>
      </c>
      <c r="AW78" s="20">
        <v>0</v>
      </c>
      <c r="AX78" s="20">
        <v>20</v>
      </c>
      <c r="AY78" s="20">
        <v>1035</v>
      </c>
      <c r="AZ78" s="20">
        <v>2.95</v>
      </c>
      <c r="BA78" s="20">
        <v>0</v>
      </c>
      <c r="BB78" s="6">
        <v>41779</v>
      </c>
      <c r="BC78" s="6">
        <v>0</v>
      </c>
      <c r="BD78" s="6">
        <v>41823</v>
      </c>
      <c r="BE78" s="6">
        <v>0</v>
      </c>
      <c r="BF78" s="6">
        <v>41878</v>
      </c>
      <c r="BG78" s="6">
        <v>0</v>
      </c>
      <c r="BH78" s="6">
        <v>0</v>
      </c>
      <c r="BI78" s="6">
        <v>0</v>
      </c>
      <c r="BJ78" s="6">
        <v>0</v>
      </c>
      <c r="BK78" s="5" t="s">
        <v>401</v>
      </c>
      <c r="BL78" s="4">
        <v>0</v>
      </c>
      <c r="BM78" s="20">
        <v>53</v>
      </c>
      <c r="BN78" s="20">
        <v>0</v>
      </c>
      <c r="BO78" s="20">
        <v>0</v>
      </c>
      <c r="BP78" s="20">
        <v>0</v>
      </c>
      <c r="BQ78" s="20">
        <v>0</v>
      </c>
      <c r="BR78" s="20">
        <v>0</v>
      </c>
      <c r="BS78" s="20">
        <v>50</v>
      </c>
      <c r="BT78" s="20">
        <v>235741.5</v>
      </c>
      <c r="BU78" s="20">
        <v>2650000</v>
      </c>
      <c r="BV78" s="20">
        <v>10.219205821168138</v>
      </c>
    </row>
    <row r="79" spans="1:74">
      <c r="A79" s="10">
        <f t="shared" si="6"/>
        <v>0</v>
      </c>
      <c r="B79" s="10">
        <f t="shared" si="7"/>
        <v>0</v>
      </c>
      <c r="C79" s="12" t="str">
        <f t="shared" si="8"/>
        <v/>
      </c>
      <c r="D79" s="12" t="str">
        <f t="shared" si="9"/>
        <v/>
      </c>
      <c r="E79" s="20" t="s">
        <v>91</v>
      </c>
      <c r="F79" s="20" t="s">
        <v>91</v>
      </c>
      <c r="G79" s="20" t="s">
        <v>91</v>
      </c>
      <c r="H79" s="20" t="s">
        <v>91</v>
      </c>
      <c r="I79" s="20">
        <v>0</v>
      </c>
      <c r="J79" s="20" t="s">
        <v>103</v>
      </c>
      <c r="K79" s="20" t="s">
        <v>104</v>
      </c>
      <c r="L79" s="20">
        <v>0</v>
      </c>
      <c r="M79" s="20" t="s">
        <v>105</v>
      </c>
      <c r="N79" s="20" t="s">
        <v>91</v>
      </c>
      <c r="O79" s="20" t="s">
        <v>2261</v>
      </c>
      <c r="Q79" s="20" t="s">
        <v>91</v>
      </c>
      <c r="R79" s="20" t="s">
        <v>91</v>
      </c>
      <c r="S79" s="20" t="s">
        <v>91</v>
      </c>
      <c r="U79" s="20" t="s">
        <v>91</v>
      </c>
      <c r="V79" s="20" t="s">
        <v>87</v>
      </c>
      <c r="X79" s="20" t="s">
        <v>91</v>
      </c>
      <c r="Y79" s="20" t="s">
        <v>91</v>
      </c>
      <c r="Z79" s="20">
        <v>1</v>
      </c>
      <c r="AB79" s="20" t="s">
        <v>91</v>
      </c>
      <c r="AD79" s="20" t="s">
        <v>91</v>
      </c>
      <c r="AE79" s="20" t="s">
        <v>91</v>
      </c>
      <c r="AF79" s="20">
        <v>2</v>
      </c>
      <c r="AG79" s="20">
        <v>0</v>
      </c>
      <c r="AH79" s="20">
        <v>1</v>
      </c>
      <c r="AI79" s="7"/>
      <c r="AM79" s="4" t="s">
        <v>91</v>
      </c>
      <c r="AP79" s="4" t="s">
        <v>91</v>
      </c>
      <c r="AQ79" s="20">
        <v>0</v>
      </c>
      <c r="AR79" s="4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 t="s">
        <v>91</v>
      </c>
      <c r="AY79" s="20">
        <v>0</v>
      </c>
      <c r="AZ79" s="20">
        <v>0</v>
      </c>
      <c r="BA79" s="20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5">
        <v>0</v>
      </c>
      <c r="BL79" s="4">
        <v>0</v>
      </c>
      <c r="BM79" s="20">
        <v>300</v>
      </c>
      <c r="BN79" s="20">
        <v>0</v>
      </c>
      <c r="BO79" s="20">
        <v>0</v>
      </c>
      <c r="BP79" s="20">
        <v>0</v>
      </c>
      <c r="BQ79" s="20">
        <v>0</v>
      </c>
      <c r="BR79" s="20">
        <v>0</v>
      </c>
      <c r="BS79" s="20">
        <v>290</v>
      </c>
      <c r="BT79" s="20">
        <v>1327922.7000000002</v>
      </c>
      <c r="BU79" s="20">
        <v>15370000</v>
      </c>
      <c r="BV79" s="20">
        <v>10.522244459506016</v>
      </c>
    </row>
    <row r="80" spans="1:74">
      <c r="A80" s="10">
        <f t="shared" si="6"/>
        <v>0</v>
      </c>
      <c r="B80" s="10">
        <f t="shared" si="7"/>
        <v>0</v>
      </c>
      <c r="C80" s="12">
        <f t="shared" si="8"/>
        <v>6</v>
      </c>
      <c r="D80" s="12">
        <f t="shared" si="9"/>
        <v>8</v>
      </c>
      <c r="E80" s="20" t="s">
        <v>114</v>
      </c>
      <c r="F80" s="20" t="s">
        <v>1019</v>
      </c>
      <c r="G80" s="20" t="s">
        <v>2462</v>
      </c>
      <c r="H80" s="20" t="s">
        <v>2463</v>
      </c>
      <c r="I80" s="20">
        <v>1</v>
      </c>
      <c r="J80" s="20" t="s">
        <v>2464</v>
      </c>
      <c r="K80" s="20" t="s">
        <v>2465</v>
      </c>
      <c r="L80" s="20" t="s">
        <v>2466</v>
      </c>
      <c r="M80" s="20" t="s">
        <v>1019</v>
      </c>
      <c r="N80" s="20" t="s">
        <v>2467</v>
      </c>
      <c r="P80" s="20" t="s">
        <v>1019</v>
      </c>
      <c r="Q80" s="20" t="s">
        <v>1026</v>
      </c>
      <c r="R80" s="20" t="s">
        <v>84</v>
      </c>
      <c r="S80" s="20" t="s">
        <v>123</v>
      </c>
      <c r="T80" s="20" t="s">
        <v>1401</v>
      </c>
      <c r="U80" s="20" t="s">
        <v>1402</v>
      </c>
      <c r="V80" s="20" t="s">
        <v>87</v>
      </c>
      <c r="W80" s="20">
        <v>807</v>
      </c>
      <c r="X80" s="20">
        <v>807</v>
      </c>
      <c r="Y80" s="20" t="s">
        <v>2468</v>
      </c>
      <c r="Z80" s="20">
        <v>0.5</v>
      </c>
      <c r="AA80" s="20" t="s">
        <v>2469</v>
      </c>
      <c r="AB80" s="20" t="s">
        <v>248</v>
      </c>
      <c r="AC80" s="20" t="s">
        <v>249</v>
      </c>
      <c r="AD80" s="20" t="s">
        <v>2470</v>
      </c>
      <c r="AE80" s="20" t="s">
        <v>400</v>
      </c>
      <c r="AF80" s="20">
        <v>0.5</v>
      </c>
      <c r="AG80" s="20">
        <v>0</v>
      </c>
      <c r="AH80" s="20">
        <v>1</v>
      </c>
      <c r="AI80" s="7" t="s">
        <v>97</v>
      </c>
      <c r="AJ80" s="20">
        <v>200</v>
      </c>
      <c r="AK80" s="4" t="s">
        <v>1113</v>
      </c>
      <c r="AL80" s="4">
        <v>4</v>
      </c>
      <c r="AM80" s="4" t="s">
        <v>470</v>
      </c>
      <c r="AN80" s="4" t="s">
        <v>95</v>
      </c>
      <c r="AO80" s="4" t="s">
        <v>1018</v>
      </c>
      <c r="AP80" s="4">
        <v>1</v>
      </c>
      <c r="AQ80" s="20">
        <v>45000</v>
      </c>
      <c r="AR80" s="4">
        <v>41793</v>
      </c>
      <c r="AS80" s="20">
        <v>8181.8181818181811</v>
      </c>
      <c r="AT80" s="20">
        <v>7480</v>
      </c>
      <c r="AU80" s="20">
        <v>-701.81818181818107</v>
      </c>
      <c r="AV80" s="20">
        <v>0</v>
      </c>
      <c r="AW80" s="20">
        <v>0</v>
      </c>
      <c r="AX80" s="20" t="s">
        <v>91</v>
      </c>
      <c r="AY80" s="20">
        <v>0</v>
      </c>
      <c r="AZ80" s="20">
        <v>6.8</v>
      </c>
      <c r="BA80" s="20">
        <v>0</v>
      </c>
      <c r="BB80" s="6">
        <v>41793</v>
      </c>
      <c r="BC80" s="6">
        <v>0</v>
      </c>
      <c r="BD80" s="6">
        <v>41844</v>
      </c>
      <c r="BE80" s="6">
        <v>0</v>
      </c>
      <c r="BF80" s="6">
        <v>41870</v>
      </c>
      <c r="BG80" s="6">
        <v>0</v>
      </c>
      <c r="BH80" s="6">
        <v>0</v>
      </c>
      <c r="BI80" s="6">
        <v>0</v>
      </c>
      <c r="BJ80" s="6">
        <v>0</v>
      </c>
      <c r="BK80" s="5" t="s">
        <v>401</v>
      </c>
      <c r="BL80" s="4">
        <v>0</v>
      </c>
      <c r="BM80" s="20">
        <v>200</v>
      </c>
      <c r="BN80" s="20">
        <v>0</v>
      </c>
      <c r="BO80" s="20">
        <v>0</v>
      </c>
      <c r="BP80" s="20">
        <v>0</v>
      </c>
      <c r="BQ80" s="20">
        <v>0</v>
      </c>
      <c r="BR80" s="20">
        <v>0</v>
      </c>
      <c r="BS80" s="20">
        <v>200</v>
      </c>
      <c r="BT80" s="20">
        <v>1496000</v>
      </c>
      <c r="BU80" s="20">
        <v>9000000</v>
      </c>
      <c r="BV80" s="20">
        <v>5.4691298006806024</v>
      </c>
    </row>
    <row r="81" spans="1:74">
      <c r="A81" s="10">
        <f t="shared" si="6"/>
        <v>0</v>
      </c>
      <c r="B81" s="10">
        <f t="shared" si="7"/>
        <v>0</v>
      </c>
      <c r="C81" s="12">
        <f t="shared" si="8"/>
        <v>6</v>
      </c>
      <c r="D81" s="12">
        <f t="shared" si="9"/>
        <v>8</v>
      </c>
      <c r="E81" s="20" t="s">
        <v>114</v>
      </c>
      <c r="F81" s="20" t="s">
        <v>1019</v>
      </c>
      <c r="G81" s="20" t="s">
        <v>2462</v>
      </c>
      <c r="H81" s="20" t="s">
        <v>2463</v>
      </c>
      <c r="I81" s="20">
        <v>1</v>
      </c>
      <c r="J81" s="20" t="s">
        <v>2464</v>
      </c>
      <c r="K81" s="20" t="s">
        <v>2471</v>
      </c>
      <c r="L81" s="20" t="s">
        <v>2466</v>
      </c>
      <c r="M81" s="20" t="s">
        <v>1019</v>
      </c>
      <c r="N81" s="20" t="s">
        <v>2467</v>
      </c>
      <c r="P81" s="20" t="s">
        <v>1019</v>
      </c>
      <c r="Q81" s="20" t="s">
        <v>1026</v>
      </c>
      <c r="R81" s="20" t="s">
        <v>84</v>
      </c>
      <c r="S81" s="20" t="s">
        <v>123</v>
      </c>
      <c r="T81" s="20" t="s">
        <v>1401</v>
      </c>
      <c r="U81" s="20" t="s">
        <v>1402</v>
      </c>
      <c r="V81" s="20" t="s">
        <v>87</v>
      </c>
      <c r="W81" s="20">
        <v>807</v>
      </c>
      <c r="X81" s="20">
        <v>807</v>
      </c>
      <c r="Y81" s="20" t="s">
        <v>2468</v>
      </c>
      <c r="Z81" s="20">
        <v>0.5</v>
      </c>
      <c r="AA81" s="20" t="s">
        <v>2469</v>
      </c>
      <c r="AB81" s="20" t="s">
        <v>248</v>
      </c>
      <c r="AC81" s="20" t="s">
        <v>249</v>
      </c>
      <c r="AD81" s="20" t="s">
        <v>2470</v>
      </c>
      <c r="AE81" s="20" t="s">
        <v>400</v>
      </c>
      <c r="AF81" s="20">
        <v>0.5</v>
      </c>
      <c r="AG81" s="20">
        <v>0</v>
      </c>
      <c r="AH81" s="20">
        <v>1</v>
      </c>
      <c r="AI81" s="7" t="s">
        <v>98</v>
      </c>
      <c r="AJ81" s="20">
        <v>250</v>
      </c>
      <c r="AK81" s="4" t="s">
        <v>1113</v>
      </c>
      <c r="AL81" s="4">
        <v>4</v>
      </c>
      <c r="AM81" s="4" t="s">
        <v>470</v>
      </c>
      <c r="AN81" s="4" t="s">
        <v>95</v>
      </c>
      <c r="AO81" s="4" t="s">
        <v>1018</v>
      </c>
      <c r="AP81" s="4">
        <v>1</v>
      </c>
      <c r="AQ81" s="20">
        <v>45000</v>
      </c>
      <c r="AR81" s="4">
        <v>41793</v>
      </c>
      <c r="AS81" s="20">
        <v>8181.8181818181811</v>
      </c>
      <c r="AT81" s="20">
        <v>7480</v>
      </c>
      <c r="AU81" s="20">
        <v>-701.81818181818107</v>
      </c>
      <c r="AV81" s="20">
        <v>0</v>
      </c>
      <c r="AW81" s="20">
        <v>0</v>
      </c>
      <c r="AX81" s="20" t="s">
        <v>91</v>
      </c>
      <c r="AY81" s="20">
        <v>0</v>
      </c>
      <c r="AZ81" s="20">
        <v>6.8</v>
      </c>
      <c r="BA81" s="20">
        <v>0</v>
      </c>
      <c r="BB81" s="6">
        <v>41793</v>
      </c>
      <c r="BC81" s="6">
        <v>0</v>
      </c>
      <c r="BD81" s="6">
        <v>41844</v>
      </c>
      <c r="BE81" s="6">
        <v>0</v>
      </c>
      <c r="BF81" s="6">
        <v>41870</v>
      </c>
      <c r="BG81" s="6">
        <v>0</v>
      </c>
      <c r="BH81" s="6">
        <v>0</v>
      </c>
      <c r="BI81" s="6">
        <v>0</v>
      </c>
      <c r="BJ81" s="6">
        <v>0</v>
      </c>
      <c r="BK81" s="5" t="s">
        <v>401</v>
      </c>
      <c r="BL81" s="4">
        <v>0</v>
      </c>
      <c r="BM81" s="20">
        <v>250</v>
      </c>
      <c r="BN81" s="20">
        <v>0</v>
      </c>
      <c r="BO81" s="20">
        <v>0</v>
      </c>
      <c r="BP81" s="20">
        <v>0</v>
      </c>
      <c r="BQ81" s="20">
        <v>0</v>
      </c>
      <c r="BR81" s="20">
        <v>0</v>
      </c>
      <c r="BS81" s="20">
        <v>250</v>
      </c>
      <c r="BT81" s="20">
        <v>1870000</v>
      </c>
      <c r="BU81" s="20">
        <v>11250000</v>
      </c>
      <c r="BV81" s="20">
        <v>5.4691298006806024</v>
      </c>
    </row>
    <row r="82" spans="1:74">
      <c r="A82" s="10">
        <f t="shared" si="6"/>
        <v>0</v>
      </c>
      <c r="B82" s="10">
        <f t="shared" si="7"/>
        <v>0</v>
      </c>
      <c r="C82" s="12" t="str">
        <f t="shared" si="8"/>
        <v/>
      </c>
      <c r="D82" s="12" t="str">
        <f t="shared" si="9"/>
        <v/>
      </c>
      <c r="E82" s="20" t="s">
        <v>91</v>
      </c>
      <c r="F82" s="20" t="s">
        <v>91</v>
      </c>
      <c r="G82" s="20" t="s">
        <v>91</v>
      </c>
      <c r="H82" s="20" t="s">
        <v>91</v>
      </c>
      <c r="I82" s="20">
        <v>0</v>
      </c>
      <c r="J82" s="20" t="s">
        <v>103</v>
      </c>
      <c r="K82" s="20" t="s">
        <v>104</v>
      </c>
      <c r="L82" s="20">
        <v>0</v>
      </c>
      <c r="M82" s="20" t="s">
        <v>105</v>
      </c>
      <c r="N82" s="20" t="s">
        <v>91</v>
      </c>
      <c r="O82" s="20" t="s">
        <v>2472</v>
      </c>
      <c r="Q82" s="20" t="s">
        <v>91</v>
      </c>
      <c r="R82" s="20" t="s">
        <v>91</v>
      </c>
      <c r="S82" s="20" t="s">
        <v>91</v>
      </c>
      <c r="U82" s="20" t="s">
        <v>91</v>
      </c>
      <c r="V82" s="20" t="s">
        <v>87</v>
      </c>
      <c r="X82" s="20" t="s">
        <v>91</v>
      </c>
      <c r="Y82" s="20" t="s">
        <v>91</v>
      </c>
      <c r="Z82" s="20">
        <v>1</v>
      </c>
      <c r="AB82" s="20" t="s">
        <v>91</v>
      </c>
      <c r="AD82" s="20" t="s">
        <v>91</v>
      </c>
      <c r="AE82" s="20" t="s">
        <v>91</v>
      </c>
      <c r="AF82" s="20">
        <v>1</v>
      </c>
      <c r="AG82" s="20">
        <v>0</v>
      </c>
      <c r="AH82" s="20">
        <v>1</v>
      </c>
      <c r="AI82" s="7"/>
      <c r="AM82" s="4" t="s">
        <v>91</v>
      </c>
      <c r="AP82" s="4" t="s">
        <v>91</v>
      </c>
      <c r="AQ82" s="20">
        <v>0</v>
      </c>
      <c r="AR82" s="4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 t="s">
        <v>91</v>
      </c>
      <c r="AY82" s="20">
        <v>0</v>
      </c>
      <c r="AZ82" s="20">
        <v>0</v>
      </c>
      <c r="BA82" s="20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5">
        <v>0</v>
      </c>
      <c r="BL82" s="4">
        <v>0</v>
      </c>
      <c r="BM82" s="20">
        <v>450</v>
      </c>
      <c r="BN82" s="20">
        <v>0</v>
      </c>
      <c r="BO82" s="20">
        <v>0</v>
      </c>
      <c r="BP82" s="20">
        <v>0</v>
      </c>
      <c r="BQ82" s="20">
        <v>0</v>
      </c>
      <c r="BR82" s="20">
        <v>0</v>
      </c>
      <c r="BS82" s="20">
        <v>450</v>
      </c>
      <c r="BT82" s="20">
        <v>3366000</v>
      </c>
      <c r="BU82" s="20">
        <v>20250000</v>
      </c>
      <c r="BV82" s="20">
        <v>5.4691298006806024</v>
      </c>
    </row>
    <row r="83" spans="1:74">
      <c r="A83" s="10">
        <f t="shared" si="6"/>
        <v>0</v>
      </c>
      <c r="B83" s="10">
        <f t="shared" si="7"/>
        <v>0</v>
      </c>
      <c r="C83" s="12">
        <f t="shared" si="8"/>
        <v>3</v>
      </c>
      <c r="D83" s="12">
        <f t="shared" si="9"/>
        <v>6</v>
      </c>
      <c r="E83" s="20" t="s">
        <v>424</v>
      </c>
      <c r="F83" s="20" t="s">
        <v>1393</v>
      </c>
      <c r="G83" s="20" t="s">
        <v>1394</v>
      </c>
      <c r="H83" s="20" t="s">
        <v>1395</v>
      </c>
      <c r="I83" s="20">
        <v>1</v>
      </c>
      <c r="J83" s="20" t="s">
        <v>1396</v>
      </c>
      <c r="K83" s="20" t="s">
        <v>1397</v>
      </c>
      <c r="L83" s="20" t="s">
        <v>1398</v>
      </c>
      <c r="M83" s="20" t="s">
        <v>1393</v>
      </c>
      <c r="N83" s="20" t="s">
        <v>1399</v>
      </c>
      <c r="P83" s="20" t="s">
        <v>1393</v>
      </c>
      <c r="Q83" s="20" t="s">
        <v>1400</v>
      </c>
      <c r="R83" s="20" t="s">
        <v>84</v>
      </c>
      <c r="S83" s="20" t="s">
        <v>123</v>
      </c>
      <c r="T83" s="20" t="s">
        <v>1401</v>
      </c>
      <c r="U83" s="20" t="s">
        <v>1402</v>
      </c>
      <c r="V83" s="20" t="s">
        <v>87</v>
      </c>
      <c r="W83" s="20">
        <v>634</v>
      </c>
      <c r="X83" s="20">
        <v>634</v>
      </c>
      <c r="Y83" s="20" t="s">
        <v>1403</v>
      </c>
      <c r="Z83" s="20">
        <v>0.5</v>
      </c>
      <c r="AA83" s="20" t="s">
        <v>1404</v>
      </c>
      <c r="AB83" s="20" t="s">
        <v>89</v>
      </c>
      <c r="AC83" s="20" t="s">
        <v>90</v>
      </c>
      <c r="AD83" s="20" t="s">
        <v>1405</v>
      </c>
      <c r="AE83" s="20" t="s">
        <v>400</v>
      </c>
      <c r="AF83" s="20">
        <v>0.5</v>
      </c>
      <c r="AG83" s="20">
        <v>0</v>
      </c>
      <c r="AH83" s="20">
        <v>1</v>
      </c>
      <c r="AI83" s="7" t="s">
        <v>97</v>
      </c>
      <c r="AJ83" s="20">
        <v>150</v>
      </c>
      <c r="AK83" s="4" t="s">
        <v>93</v>
      </c>
      <c r="AL83" s="4">
        <v>1</v>
      </c>
      <c r="AM83" s="4" t="s">
        <v>130</v>
      </c>
      <c r="AN83" s="4" t="s">
        <v>95</v>
      </c>
      <c r="AO83" s="4" t="s">
        <v>189</v>
      </c>
      <c r="AP83" s="4">
        <v>1</v>
      </c>
      <c r="AQ83" s="20">
        <v>55000</v>
      </c>
      <c r="AR83" s="4">
        <v>41710</v>
      </c>
      <c r="AS83" s="20">
        <v>8333.3333333333321</v>
      </c>
      <c r="AT83" s="20">
        <v>7972.2500000000009</v>
      </c>
      <c r="AU83" s="20">
        <v>-361.08333333333121</v>
      </c>
      <c r="AW83" s="20">
        <v>1080</v>
      </c>
      <c r="AX83" s="20">
        <v>20</v>
      </c>
      <c r="AY83" s="20">
        <v>1100</v>
      </c>
      <c r="AZ83" s="20">
        <v>5.95</v>
      </c>
      <c r="BB83" s="6">
        <v>41711</v>
      </c>
      <c r="BC83" s="6">
        <v>0</v>
      </c>
      <c r="BD83" s="6">
        <v>41785</v>
      </c>
      <c r="BE83" s="6">
        <v>41800</v>
      </c>
      <c r="BF83" s="6">
        <v>41803</v>
      </c>
      <c r="BH83" s="6">
        <v>0</v>
      </c>
      <c r="BI83" s="6">
        <v>0</v>
      </c>
      <c r="BJ83" s="6">
        <v>0</v>
      </c>
      <c r="BK83" s="5" t="s">
        <v>2173</v>
      </c>
      <c r="BL83" s="4" t="s">
        <v>2173</v>
      </c>
      <c r="BM83" s="20">
        <v>150</v>
      </c>
      <c r="BN83" s="20">
        <v>0</v>
      </c>
      <c r="BO83" s="20">
        <v>0</v>
      </c>
      <c r="BP83" s="20">
        <v>0</v>
      </c>
      <c r="BQ83" s="20">
        <v>0</v>
      </c>
      <c r="BR83" s="20">
        <v>0</v>
      </c>
      <c r="BS83" s="20">
        <v>150</v>
      </c>
      <c r="BT83" s="20">
        <v>1195837.5000000002</v>
      </c>
      <c r="BU83" s="20">
        <v>8250000</v>
      </c>
      <c r="BV83" s="20">
        <v>6.2717551506789153</v>
      </c>
    </row>
    <row r="84" spans="1:74">
      <c r="A84" s="10">
        <f t="shared" si="6"/>
        <v>0</v>
      </c>
      <c r="B84" s="10">
        <f t="shared" si="7"/>
        <v>0</v>
      </c>
      <c r="C84" s="12">
        <f t="shared" si="8"/>
        <v>3</v>
      </c>
      <c r="D84" s="12">
        <f t="shared" si="9"/>
        <v>6</v>
      </c>
      <c r="E84" s="20" t="s">
        <v>424</v>
      </c>
      <c r="F84" s="20" t="s">
        <v>1393</v>
      </c>
      <c r="G84" s="20" t="s">
        <v>1394</v>
      </c>
      <c r="H84" s="20" t="s">
        <v>1395</v>
      </c>
      <c r="I84" s="20">
        <v>1</v>
      </c>
      <c r="J84" s="20" t="s">
        <v>1396</v>
      </c>
      <c r="K84" s="20" t="s">
        <v>1406</v>
      </c>
      <c r="L84" s="20" t="s">
        <v>1398</v>
      </c>
      <c r="M84" s="20" t="s">
        <v>1393</v>
      </c>
      <c r="N84" s="20" t="s">
        <v>1399</v>
      </c>
      <c r="P84" s="20" t="s">
        <v>1393</v>
      </c>
      <c r="Q84" s="20" t="s">
        <v>1400</v>
      </c>
      <c r="R84" s="20" t="s">
        <v>84</v>
      </c>
      <c r="S84" s="20" t="s">
        <v>123</v>
      </c>
      <c r="T84" s="20" t="s">
        <v>1401</v>
      </c>
      <c r="U84" s="20" t="s">
        <v>1402</v>
      </c>
      <c r="V84" s="20" t="s">
        <v>87</v>
      </c>
      <c r="W84" s="20">
        <v>634</v>
      </c>
      <c r="X84" s="20">
        <v>634</v>
      </c>
      <c r="Y84" s="20" t="s">
        <v>1403</v>
      </c>
      <c r="Z84" s="20">
        <v>0.5</v>
      </c>
      <c r="AA84" s="20" t="s">
        <v>1404</v>
      </c>
      <c r="AB84" s="20" t="s">
        <v>89</v>
      </c>
      <c r="AC84" s="20" t="s">
        <v>90</v>
      </c>
      <c r="AD84" s="20" t="s">
        <v>1405</v>
      </c>
      <c r="AE84" s="20" t="s">
        <v>400</v>
      </c>
      <c r="AF84" s="20">
        <v>0.5</v>
      </c>
      <c r="AG84" s="20">
        <v>0</v>
      </c>
      <c r="AH84" s="20">
        <v>1</v>
      </c>
      <c r="AI84" s="7" t="s">
        <v>98</v>
      </c>
      <c r="AJ84" s="20">
        <v>100</v>
      </c>
      <c r="AK84" s="4" t="s">
        <v>93</v>
      </c>
      <c r="AL84" s="4">
        <v>1</v>
      </c>
      <c r="AM84" s="4" t="s">
        <v>130</v>
      </c>
      <c r="AN84" s="4" t="s">
        <v>95</v>
      </c>
      <c r="AO84" s="4" t="s">
        <v>189</v>
      </c>
      <c r="AP84" s="4">
        <v>1</v>
      </c>
      <c r="AQ84" s="20">
        <v>55000</v>
      </c>
      <c r="AR84" s="4">
        <v>41710</v>
      </c>
      <c r="AS84" s="20">
        <v>8333.3333333333321</v>
      </c>
      <c r="AT84" s="20">
        <v>7972.2500000000009</v>
      </c>
      <c r="AU84" s="20">
        <v>-361.08333333333121</v>
      </c>
      <c r="AV84" s="20">
        <v>0</v>
      </c>
      <c r="AW84" s="20">
        <v>1080</v>
      </c>
      <c r="AX84" s="20">
        <v>20</v>
      </c>
      <c r="AY84" s="20">
        <v>1100</v>
      </c>
      <c r="AZ84" s="20">
        <v>5.95</v>
      </c>
      <c r="BA84" s="20">
        <v>0</v>
      </c>
      <c r="BB84" s="6">
        <v>41711</v>
      </c>
      <c r="BC84" s="6">
        <v>0</v>
      </c>
      <c r="BD84" s="6">
        <v>41785</v>
      </c>
      <c r="BE84" s="6">
        <v>41800</v>
      </c>
      <c r="BF84" s="6">
        <v>41803</v>
      </c>
      <c r="BG84" s="6">
        <v>0</v>
      </c>
      <c r="BH84" s="6">
        <v>0</v>
      </c>
      <c r="BI84" s="6">
        <v>0</v>
      </c>
      <c r="BJ84" s="6">
        <v>0</v>
      </c>
      <c r="BK84" s="5" t="s">
        <v>2173</v>
      </c>
      <c r="BL84" s="4" t="s">
        <v>2173</v>
      </c>
      <c r="BM84" s="20">
        <v>100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100</v>
      </c>
      <c r="BT84" s="20">
        <v>797225.00000000012</v>
      </c>
      <c r="BU84" s="20">
        <v>5500000</v>
      </c>
      <c r="BV84" s="20">
        <v>6.2717551506789162</v>
      </c>
    </row>
    <row r="85" spans="1:74">
      <c r="A85" s="10">
        <f t="shared" si="6"/>
        <v>0</v>
      </c>
      <c r="B85" s="10">
        <f t="shared" si="7"/>
        <v>0</v>
      </c>
      <c r="C85" s="12" t="str">
        <f t="shared" si="8"/>
        <v/>
      </c>
      <c r="D85" s="12" t="str">
        <f t="shared" si="9"/>
        <v/>
      </c>
      <c r="E85" s="20" t="s">
        <v>91</v>
      </c>
      <c r="F85" s="20" t="s">
        <v>91</v>
      </c>
      <c r="G85" s="20" t="s">
        <v>91</v>
      </c>
      <c r="H85" s="20" t="s">
        <v>91</v>
      </c>
      <c r="I85" s="20">
        <v>0</v>
      </c>
      <c r="J85" s="20" t="s">
        <v>103</v>
      </c>
      <c r="K85" s="20" t="s">
        <v>104</v>
      </c>
      <c r="L85" s="20">
        <v>0</v>
      </c>
      <c r="M85" s="20" t="s">
        <v>105</v>
      </c>
      <c r="N85" s="20" t="s">
        <v>91</v>
      </c>
      <c r="O85" s="20" t="s">
        <v>1407</v>
      </c>
      <c r="Q85" s="20" t="s">
        <v>91</v>
      </c>
      <c r="R85" s="20" t="s">
        <v>91</v>
      </c>
      <c r="S85" s="20" t="s">
        <v>91</v>
      </c>
      <c r="U85" s="20" t="s">
        <v>91</v>
      </c>
      <c r="X85" s="20" t="s">
        <v>91</v>
      </c>
      <c r="Y85" s="20" t="s">
        <v>91</v>
      </c>
      <c r="Z85" s="20">
        <v>1</v>
      </c>
      <c r="AB85" s="20" t="s">
        <v>91</v>
      </c>
      <c r="AD85" s="20" t="s">
        <v>91</v>
      </c>
      <c r="AE85" s="20" t="s">
        <v>91</v>
      </c>
      <c r="AF85" s="20">
        <v>1</v>
      </c>
      <c r="AG85" s="20">
        <v>0</v>
      </c>
      <c r="AH85" s="20">
        <v>1</v>
      </c>
      <c r="AI85" s="7"/>
      <c r="AJ85" s="20">
        <v>250</v>
      </c>
      <c r="AM85" s="4" t="s">
        <v>91</v>
      </c>
      <c r="AQ85" s="20">
        <v>0</v>
      </c>
      <c r="AR85" s="4">
        <v>0</v>
      </c>
      <c r="AX85" s="20" t="s">
        <v>91</v>
      </c>
      <c r="AY85" s="20">
        <v>0</v>
      </c>
      <c r="AZ85" s="20">
        <v>1487.5</v>
      </c>
      <c r="BA85" s="20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5">
        <v>0</v>
      </c>
      <c r="BL85" s="4">
        <v>0</v>
      </c>
      <c r="BM85" s="20">
        <v>250</v>
      </c>
      <c r="BN85" s="20">
        <v>0</v>
      </c>
      <c r="BO85" s="20">
        <v>0</v>
      </c>
      <c r="BP85" s="20">
        <v>0</v>
      </c>
      <c r="BQ85" s="20">
        <v>0</v>
      </c>
      <c r="BR85" s="20">
        <v>0</v>
      </c>
      <c r="BS85" s="20">
        <v>250</v>
      </c>
      <c r="BT85" s="20">
        <v>1993062.5000000005</v>
      </c>
      <c r="BU85" s="20">
        <v>13750000</v>
      </c>
      <c r="BV85" s="20">
        <v>6.2717551506789162</v>
      </c>
    </row>
    <row r="86" spans="1:74">
      <c r="A86" s="10">
        <f t="shared" si="6"/>
        <v>0</v>
      </c>
      <c r="B86" s="10">
        <f t="shared" si="7"/>
        <v>0</v>
      </c>
      <c r="C86" s="12">
        <f t="shared" si="8"/>
        <v>4</v>
      </c>
      <c r="D86" s="12">
        <f t="shared" si="9"/>
        <v>7</v>
      </c>
      <c r="E86" s="20" t="s">
        <v>424</v>
      </c>
      <c r="F86" s="20" t="s">
        <v>1393</v>
      </c>
      <c r="G86" s="20" t="s">
        <v>1408</v>
      </c>
      <c r="H86" s="20" t="s">
        <v>1409</v>
      </c>
      <c r="I86" s="20">
        <v>1</v>
      </c>
      <c r="J86" s="20" t="s">
        <v>1410</v>
      </c>
      <c r="K86" s="20" t="s">
        <v>1411</v>
      </c>
      <c r="L86" s="20" t="s">
        <v>1412</v>
      </c>
      <c r="M86" s="20" t="s">
        <v>1393</v>
      </c>
      <c r="N86" s="20" t="s">
        <v>1413</v>
      </c>
      <c r="P86" s="20" t="s">
        <v>1393</v>
      </c>
      <c r="Q86" s="20" t="s">
        <v>1400</v>
      </c>
      <c r="R86" s="20" t="s">
        <v>84</v>
      </c>
      <c r="S86" s="20" t="s">
        <v>123</v>
      </c>
      <c r="T86" s="20" t="s">
        <v>1414</v>
      </c>
      <c r="U86" s="20" t="s">
        <v>1415</v>
      </c>
      <c r="V86" s="20" t="s">
        <v>87</v>
      </c>
      <c r="W86" s="20">
        <v>501</v>
      </c>
      <c r="X86" s="20">
        <v>501</v>
      </c>
      <c r="Y86" s="20" t="s">
        <v>1416</v>
      </c>
      <c r="Z86" s="20">
        <v>0.33333333333333331</v>
      </c>
      <c r="AA86" s="20" t="s">
        <v>1417</v>
      </c>
      <c r="AB86" s="20" t="s">
        <v>248</v>
      </c>
      <c r="AC86" s="20" t="s">
        <v>249</v>
      </c>
      <c r="AD86" s="20" t="s">
        <v>1418</v>
      </c>
      <c r="AE86" s="20" t="s">
        <v>91</v>
      </c>
      <c r="AF86" s="20">
        <v>0.33333333333333331</v>
      </c>
      <c r="AG86" s="20">
        <v>0</v>
      </c>
      <c r="AH86" s="20">
        <v>1</v>
      </c>
      <c r="AI86" s="7" t="s">
        <v>92</v>
      </c>
      <c r="AJ86" s="20">
        <v>200</v>
      </c>
      <c r="AK86" s="4" t="s">
        <v>93</v>
      </c>
      <c r="AL86" s="4">
        <v>4</v>
      </c>
      <c r="AM86" s="4" t="s">
        <v>470</v>
      </c>
      <c r="AN86" s="4" t="s">
        <v>95</v>
      </c>
      <c r="AO86" s="4" t="s">
        <v>189</v>
      </c>
      <c r="AP86" s="4">
        <v>1</v>
      </c>
      <c r="AQ86" s="20">
        <v>33000</v>
      </c>
      <c r="AR86" s="4">
        <v>41802</v>
      </c>
      <c r="AS86" s="20">
        <v>4999.9999999999991</v>
      </c>
      <c r="AT86" s="20">
        <v>5679.5000000000009</v>
      </c>
      <c r="AU86" s="20">
        <v>679.50000000000182</v>
      </c>
      <c r="AV86" s="20">
        <v>0</v>
      </c>
      <c r="AX86" s="20">
        <v>20</v>
      </c>
      <c r="AY86" s="20">
        <v>20</v>
      </c>
      <c r="AZ86" s="20">
        <v>4.9000000000000004</v>
      </c>
      <c r="BA86" s="20">
        <v>0</v>
      </c>
      <c r="BB86" s="6">
        <v>41733</v>
      </c>
      <c r="BC86" s="6">
        <v>0</v>
      </c>
      <c r="BD86" s="6">
        <v>41852</v>
      </c>
      <c r="BE86" s="6">
        <v>41852</v>
      </c>
      <c r="BF86" s="6">
        <v>41850</v>
      </c>
      <c r="BG86" s="6">
        <v>41869</v>
      </c>
      <c r="BH86" s="6">
        <v>0</v>
      </c>
      <c r="BI86" s="6">
        <v>0</v>
      </c>
      <c r="BJ86" s="6">
        <v>0</v>
      </c>
      <c r="BK86" s="5" t="s">
        <v>2173</v>
      </c>
      <c r="BL86" s="4" t="s">
        <v>2173</v>
      </c>
      <c r="BM86" s="20">
        <v>200</v>
      </c>
      <c r="BN86" s="20">
        <v>0</v>
      </c>
      <c r="BO86" s="20">
        <v>0</v>
      </c>
      <c r="BP86" s="20">
        <v>0</v>
      </c>
      <c r="BQ86" s="20">
        <v>0</v>
      </c>
      <c r="BR86" s="20">
        <v>0</v>
      </c>
      <c r="BS86" s="20">
        <v>200</v>
      </c>
      <c r="BT86" s="20">
        <v>1135900.0000000002</v>
      </c>
      <c r="BU86" s="20">
        <v>6600000</v>
      </c>
      <c r="BV86" s="20">
        <v>5.2821551192886682</v>
      </c>
    </row>
    <row r="87" spans="1:74">
      <c r="A87" s="10">
        <f t="shared" si="6"/>
        <v>0</v>
      </c>
      <c r="B87" s="10">
        <f t="shared" si="7"/>
        <v>0</v>
      </c>
      <c r="C87" s="12">
        <f t="shared" si="8"/>
        <v>4</v>
      </c>
      <c r="D87" s="12">
        <f t="shared" si="9"/>
        <v>7</v>
      </c>
      <c r="E87" s="20" t="s">
        <v>424</v>
      </c>
      <c r="F87" s="20" t="s">
        <v>1393</v>
      </c>
      <c r="G87" s="20" t="s">
        <v>1408</v>
      </c>
      <c r="H87" s="20" t="s">
        <v>1409</v>
      </c>
      <c r="I87" s="20">
        <v>1</v>
      </c>
      <c r="J87" s="20" t="s">
        <v>1410</v>
      </c>
      <c r="K87" s="20" t="s">
        <v>1419</v>
      </c>
      <c r="L87" s="20" t="s">
        <v>1412</v>
      </c>
      <c r="M87" s="20" t="s">
        <v>1393</v>
      </c>
      <c r="N87" s="20" t="s">
        <v>1413</v>
      </c>
      <c r="P87" s="20" t="s">
        <v>1393</v>
      </c>
      <c r="Q87" s="20" t="s">
        <v>1400</v>
      </c>
      <c r="R87" s="20" t="s">
        <v>84</v>
      </c>
      <c r="S87" s="20" t="s">
        <v>123</v>
      </c>
      <c r="T87" s="20" t="s">
        <v>1414</v>
      </c>
      <c r="U87" s="20" t="s">
        <v>1415</v>
      </c>
      <c r="V87" s="20" t="s">
        <v>87</v>
      </c>
      <c r="W87" s="20">
        <v>501</v>
      </c>
      <c r="X87" s="20">
        <v>501</v>
      </c>
      <c r="Y87" s="20" t="s">
        <v>1416</v>
      </c>
      <c r="Z87" s="20">
        <v>0.33333333333333331</v>
      </c>
      <c r="AA87" s="20" t="s">
        <v>1417</v>
      </c>
      <c r="AB87" s="20" t="s">
        <v>248</v>
      </c>
      <c r="AC87" s="20" t="s">
        <v>249</v>
      </c>
      <c r="AD87" s="20" t="s">
        <v>1418</v>
      </c>
      <c r="AE87" s="20" t="s">
        <v>91</v>
      </c>
      <c r="AF87" s="20">
        <v>0.33333333333333331</v>
      </c>
      <c r="AG87" s="20">
        <v>0</v>
      </c>
      <c r="AH87" s="20">
        <v>1</v>
      </c>
      <c r="AI87" s="7" t="s">
        <v>97</v>
      </c>
      <c r="AJ87" s="20">
        <v>40</v>
      </c>
      <c r="AK87" s="4" t="s">
        <v>93</v>
      </c>
      <c r="AL87" s="4">
        <v>4</v>
      </c>
      <c r="AM87" s="4" t="s">
        <v>470</v>
      </c>
      <c r="AN87" s="4" t="s">
        <v>95</v>
      </c>
      <c r="AO87" s="4" t="s">
        <v>189</v>
      </c>
      <c r="AP87" s="4">
        <v>1</v>
      </c>
      <c r="AQ87" s="20">
        <v>33000</v>
      </c>
      <c r="AR87" s="4">
        <v>41802</v>
      </c>
      <c r="AS87" s="20">
        <v>4999.9999999999991</v>
      </c>
      <c r="AT87" s="20">
        <v>5564</v>
      </c>
      <c r="AU87" s="20">
        <v>564.00000000000091</v>
      </c>
      <c r="AV87" s="20">
        <v>0</v>
      </c>
      <c r="AX87" s="20">
        <v>20</v>
      </c>
      <c r="AY87" s="20">
        <v>20</v>
      </c>
      <c r="AZ87" s="20">
        <v>4.8</v>
      </c>
      <c r="BA87" s="20">
        <v>0</v>
      </c>
      <c r="BB87" s="6">
        <v>41733</v>
      </c>
      <c r="BC87" s="6">
        <v>0</v>
      </c>
      <c r="BD87" s="6">
        <v>41852</v>
      </c>
      <c r="BE87" s="6">
        <v>41852</v>
      </c>
      <c r="BF87" s="6">
        <v>41850</v>
      </c>
      <c r="BG87" s="6">
        <v>41869</v>
      </c>
      <c r="BH87" s="6">
        <v>0</v>
      </c>
      <c r="BI87" s="6">
        <v>0</v>
      </c>
      <c r="BJ87" s="6">
        <v>0</v>
      </c>
      <c r="BK87" s="5" t="s">
        <v>2173</v>
      </c>
      <c r="BL87" s="4" t="s">
        <v>2173</v>
      </c>
      <c r="BM87" s="20">
        <v>0</v>
      </c>
      <c r="BN87" s="20">
        <v>40</v>
      </c>
      <c r="BO87" s="20">
        <v>0</v>
      </c>
      <c r="BP87" s="20">
        <v>0</v>
      </c>
      <c r="BQ87" s="20">
        <v>0</v>
      </c>
      <c r="BR87" s="20">
        <v>0</v>
      </c>
      <c r="BS87" s="20">
        <v>40</v>
      </c>
      <c r="BT87" s="20">
        <v>222560</v>
      </c>
      <c r="BU87" s="20">
        <v>1320000</v>
      </c>
      <c r="BV87" s="20">
        <v>5.3918044572250174</v>
      </c>
    </row>
    <row r="88" spans="1:74">
      <c r="A88" s="10">
        <f t="shared" si="6"/>
        <v>0</v>
      </c>
      <c r="B88" s="10">
        <f t="shared" si="7"/>
        <v>0</v>
      </c>
      <c r="C88" s="12">
        <f t="shared" si="8"/>
        <v>4</v>
      </c>
      <c r="D88" s="12">
        <f t="shared" si="9"/>
        <v>7</v>
      </c>
      <c r="E88" s="20" t="s">
        <v>424</v>
      </c>
      <c r="F88" s="20" t="s">
        <v>1393</v>
      </c>
      <c r="G88" s="20" t="s">
        <v>1408</v>
      </c>
      <c r="H88" s="20" t="s">
        <v>1409</v>
      </c>
      <c r="I88" s="20">
        <v>1</v>
      </c>
      <c r="J88" s="20" t="s">
        <v>1410</v>
      </c>
      <c r="K88" s="20" t="s">
        <v>1420</v>
      </c>
      <c r="L88" s="20" t="s">
        <v>1412</v>
      </c>
      <c r="M88" s="20" t="s">
        <v>1393</v>
      </c>
      <c r="N88" s="20" t="s">
        <v>1413</v>
      </c>
      <c r="P88" s="20" t="s">
        <v>1393</v>
      </c>
      <c r="Q88" s="20" t="s">
        <v>1400</v>
      </c>
      <c r="R88" s="20" t="s">
        <v>84</v>
      </c>
      <c r="S88" s="20" t="s">
        <v>123</v>
      </c>
      <c r="T88" s="20" t="s">
        <v>1414</v>
      </c>
      <c r="U88" s="20" t="s">
        <v>1415</v>
      </c>
      <c r="V88" s="20" t="s">
        <v>87</v>
      </c>
      <c r="W88" s="20">
        <v>501</v>
      </c>
      <c r="X88" s="20">
        <v>501</v>
      </c>
      <c r="Y88" s="20" t="s">
        <v>1416</v>
      </c>
      <c r="Z88" s="20">
        <v>0.33333333333333331</v>
      </c>
      <c r="AA88" s="20" t="s">
        <v>1417</v>
      </c>
      <c r="AB88" s="20" t="s">
        <v>248</v>
      </c>
      <c r="AC88" s="20" t="s">
        <v>249</v>
      </c>
      <c r="AD88" s="20" t="s">
        <v>1418</v>
      </c>
      <c r="AE88" s="20" t="s">
        <v>91</v>
      </c>
      <c r="AF88" s="20">
        <v>0.33333333333333331</v>
      </c>
      <c r="AG88" s="20">
        <v>0</v>
      </c>
      <c r="AH88" s="20">
        <v>1</v>
      </c>
      <c r="AI88" s="7" t="s">
        <v>98</v>
      </c>
      <c r="AJ88" s="20">
        <v>40</v>
      </c>
      <c r="AK88" s="4" t="s">
        <v>93</v>
      </c>
      <c r="AL88" s="4">
        <v>4</v>
      </c>
      <c r="AM88" s="4" t="s">
        <v>470</v>
      </c>
      <c r="AN88" s="4" t="s">
        <v>95</v>
      </c>
      <c r="AO88" s="4" t="s">
        <v>189</v>
      </c>
      <c r="AP88" s="4">
        <v>1</v>
      </c>
      <c r="AQ88" s="20">
        <v>33000</v>
      </c>
      <c r="AR88" s="4">
        <v>41802</v>
      </c>
      <c r="AS88" s="20">
        <v>4999.9999999999991</v>
      </c>
      <c r="AT88" s="20">
        <v>5564</v>
      </c>
      <c r="AU88" s="20">
        <v>564.00000000000091</v>
      </c>
      <c r="AV88" s="20">
        <v>0</v>
      </c>
      <c r="AX88" s="20">
        <v>20</v>
      </c>
      <c r="AY88" s="20">
        <v>20</v>
      </c>
      <c r="AZ88" s="20">
        <v>4.8</v>
      </c>
      <c r="BA88" s="20">
        <v>0</v>
      </c>
      <c r="BB88" s="6">
        <v>41733</v>
      </c>
      <c r="BC88" s="6">
        <v>0</v>
      </c>
      <c r="BD88" s="6">
        <v>41852</v>
      </c>
      <c r="BE88" s="6">
        <v>41852</v>
      </c>
      <c r="BF88" s="6">
        <v>41850</v>
      </c>
      <c r="BG88" s="6">
        <v>41869</v>
      </c>
      <c r="BH88" s="6">
        <v>0</v>
      </c>
      <c r="BI88" s="6">
        <v>0</v>
      </c>
      <c r="BJ88" s="6">
        <v>0</v>
      </c>
      <c r="BK88" s="5" t="s">
        <v>2173</v>
      </c>
      <c r="BL88" s="4" t="s">
        <v>2173</v>
      </c>
      <c r="BM88" s="20">
        <v>0</v>
      </c>
      <c r="BN88" s="20">
        <v>40</v>
      </c>
      <c r="BO88" s="20">
        <v>0</v>
      </c>
      <c r="BP88" s="20">
        <v>0</v>
      </c>
      <c r="BQ88" s="20">
        <v>0</v>
      </c>
      <c r="BR88" s="20">
        <v>0</v>
      </c>
      <c r="BS88" s="20">
        <v>40</v>
      </c>
      <c r="BT88" s="20">
        <v>222560</v>
      </c>
      <c r="BU88" s="20">
        <v>1320000</v>
      </c>
      <c r="BV88" s="20">
        <v>5.3918044572250174</v>
      </c>
    </row>
    <row r="89" spans="1:74">
      <c r="A89" s="10">
        <f t="shared" si="6"/>
        <v>0</v>
      </c>
      <c r="B89" s="10">
        <f t="shared" si="7"/>
        <v>0</v>
      </c>
      <c r="C89" s="12" t="str">
        <f t="shared" si="8"/>
        <v/>
      </c>
      <c r="D89" s="12" t="str">
        <f t="shared" si="9"/>
        <v/>
      </c>
      <c r="E89" s="20" t="s">
        <v>91</v>
      </c>
      <c r="F89" s="20" t="s">
        <v>91</v>
      </c>
      <c r="G89" s="20" t="s">
        <v>91</v>
      </c>
      <c r="H89" s="20" t="s">
        <v>91</v>
      </c>
      <c r="I89" s="20">
        <v>0</v>
      </c>
      <c r="J89" s="20" t="s">
        <v>103</v>
      </c>
      <c r="K89" s="20" t="s">
        <v>104</v>
      </c>
      <c r="L89" s="20">
        <v>0</v>
      </c>
      <c r="M89" s="20" t="s">
        <v>105</v>
      </c>
      <c r="N89" s="20" t="s">
        <v>91</v>
      </c>
      <c r="O89" s="20" t="s">
        <v>1421</v>
      </c>
      <c r="Q89" s="20" t="s">
        <v>91</v>
      </c>
      <c r="R89" s="20" t="s">
        <v>91</v>
      </c>
      <c r="S89" s="20" t="s">
        <v>91</v>
      </c>
      <c r="U89" s="20" t="s">
        <v>91</v>
      </c>
      <c r="X89" s="20" t="s">
        <v>91</v>
      </c>
      <c r="Y89" s="20" t="s">
        <v>91</v>
      </c>
      <c r="Z89" s="20">
        <v>1</v>
      </c>
      <c r="AB89" s="20" t="s">
        <v>91</v>
      </c>
      <c r="AD89" s="20" t="s">
        <v>91</v>
      </c>
      <c r="AE89" s="20" t="s">
        <v>91</v>
      </c>
      <c r="AF89" s="20">
        <v>1</v>
      </c>
      <c r="AG89" s="20">
        <v>0</v>
      </c>
      <c r="AH89" s="20">
        <v>1</v>
      </c>
      <c r="AI89" s="7"/>
      <c r="AJ89" s="20">
        <v>280</v>
      </c>
      <c r="AM89" s="4" t="s">
        <v>91</v>
      </c>
      <c r="AP89" s="4" t="s">
        <v>91</v>
      </c>
      <c r="AQ89" s="20">
        <v>0</v>
      </c>
      <c r="AR89" s="4">
        <v>0</v>
      </c>
      <c r="AS89" s="20">
        <v>0</v>
      </c>
      <c r="AW89" s="20">
        <v>0</v>
      </c>
      <c r="AX89" s="20" t="s">
        <v>91</v>
      </c>
      <c r="AY89" s="20">
        <v>0</v>
      </c>
      <c r="AZ89" s="20">
        <v>1364</v>
      </c>
      <c r="BA89" s="20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5">
        <v>0</v>
      </c>
      <c r="BL89" s="4" t="s">
        <v>2173</v>
      </c>
      <c r="BM89" s="20">
        <v>200</v>
      </c>
      <c r="BN89" s="20">
        <v>80</v>
      </c>
      <c r="BO89" s="20">
        <v>0</v>
      </c>
      <c r="BP89" s="20">
        <v>0</v>
      </c>
      <c r="BQ89" s="20">
        <v>0</v>
      </c>
      <c r="BR89" s="20">
        <v>0</v>
      </c>
      <c r="BS89" s="20">
        <v>280</v>
      </c>
      <c r="BT89" s="20">
        <v>1581020.0000000002</v>
      </c>
      <c r="BU89" s="20">
        <v>9240000</v>
      </c>
      <c r="BV89" s="20">
        <v>5.313025768174974</v>
      </c>
    </row>
    <row r="90" spans="1:74">
      <c r="A90" s="10">
        <f t="shared" si="6"/>
        <v>0</v>
      </c>
      <c r="B90" s="10">
        <f t="shared" si="7"/>
        <v>0.16666666666666666</v>
      </c>
      <c r="C90" s="12">
        <f t="shared" si="8"/>
        <v>4</v>
      </c>
      <c r="D90" s="12">
        <f t="shared" si="9"/>
        <v>9</v>
      </c>
      <c r="E90" s="20" t="s">
        <v>424</v>
      </c>
      <c r="F90" s="20" t="s">
        <v>1393</v>
      </c>
      <c r="G90" s="20" t="s">
        <v>1422</v>
      </c>
      <c r="H90" s="20" t="s">
        <v>1423</v>
      </c>
      <c r="I90" s="20">
        <v>1</v>
      </c>
      <c r="J90" s="20" t="s">
        <v>1424</v>
      </c>
      <c r="K90" s="20" t="s">
        <v>1425</v>
      </c>
      <c r="L90" s="20" t="s">
        <v>1426</v>
      </c>
      <c r="M90" s="20" t="s">
        <v>1393</v>
      </c>
      <c r="N90" s="20" t="s">
        <v>1413</v>
      </c>
      <c r="P90" s="20" t="s">
        <v>1393</v>
      </c>
      <c r="Q90" s="20" t="s">
        <v>1400</v>
      </c>
      <c r="R90" s="20" t="s">
        <v>84</v>
      </c>
      <c r="S90" s="20" t="s">
        <v>123</v>
      </c>
      <c r="T90" s="20" t="s">
        <v>172</v>
      </c>
      <c r="U90" s="20" t="s">
        <v>173</v>
      </c>
      <c r="V90" s="20" t="s">
        <v>87</v>
      </c>
      <c r="W90" s="20">
        <v>503</v>
      </c>
      <c r="X90" s="20">
        <v>503</v>
      </c>
      <c r="Y90" s="20" t="s">
        <v>1427</v>
      </c>
      <c r="Z90" s="20">
        <v>0.16666666666666666</v>
      </c>
      <c r="AA90" s="20" t="s">
        <v>1428</v>
      </c>
      <c r="AB90" s="20" t="s">
        <v>296</v>
      </c>
      <c r="AC90" s="20" t="s">
        <v>297</v>
      </c>
      <c r="AD90" s="20" t="s">
        <v>1429</v>
      </c>
      <c r="AE90" s="20" t="s">
        <v>91</v>
      </c>
      <c r="AF90" s="20">
        <v>0.33333333333333331</v>
      </c>
      <c r="AG90" s="20">
        <v>0</v>
      </c>
      <c r="AH90" s="20">
        <v>1</v>
      </c>
      <c r="AI90" s="7" t="s">
        <v>92</v>
      </c>
      <c r="AJ90" s="20">
        <v>250</v>
      </c>
      <c r="AK90" s="4" t="s">
        <v>111</v>
      </c>
      <c r="AL90" s="4">
        <v>1</v>
      </c>
      <c r="AM90" s="4" t="s">
        <v>130</v>
      </c>
      <c r="AN90" s="4" t="s">
        <v>95</v>
      </c>
      <c r="AO90" s="4" t="s">
        <v>96</v>
      </c>
      <c r="AP90" s="4">
        <v>1</v>
      </c>
      <c r="AQ90" s="20">
        <v>33000</v>
      </c>
      <c r="AR90" s="4">
        <v>41802</v>
      </c>
      <c r="AS90" s="20">
        <v>4999.9999999999991</v>
      </c>
      <c r="AT90" s="20">
        <v>5904.34</v>
      </c>
      <c r="AU90" s="20">
        <v>904.34000000000106</v>
      </c>
      <c r="AV90" s="20">
        <v>590</v>
      </c>
      <c r="AW90" s="20">
        <v>180</v>
      </c>
      <c r="AX90" s="20">
        <v>20</v>
      </c>
      <c r="AY90" s="20">
        <v>790</v>
      </c>
      <c r="AZ90" s="20">
        <v>4.0999999999999996</v>
      </c>
      <c r="BA90" s="20">
        <v>0</v>
      </c>
      <c r="BB90" s="6">
        <v>41733</v>
      </c>
      <c r="BD90" s="6">
        <v>41852</v>
      </c>
      <c r="BE90" s="6">
        <v>41863</v>
      </c>
      <c r="BF90" s="6">
        <v>41883</v>
      </c>
      <c r="BG90" s="6">
        <v>0</v>
      </c>
      <c r="BH90" s="6">
        <v>0</v>
      </c>
      <c r="BI90" s="6">
        <v>0</v>
      </c>
      <c r="BJ90" s="6">
        <v>0</v>
      </c>
      <c r="BK90" s="5" t="s">
        <v>2173</v>
      </c>
      <c r="BL90" s="4" t="s">
        <v>2173</v>
      </c>
      <c r="BM90" s="20">
        <v>243</v>
      </c>
      <c r="BN90" s="20">
        <v>0</v>
      </c>
      <c r="BO90" s="20">
        <v>0</v>
      </c>
      <c r="BP90" s="20">
        <v>0</v>
      </c>
      <c r="BQ90" s="20">
        <v>0</v>
      </c>
      <c r="BR90" s="20">
        <v>0</v>
      </c>
      <c r="BS90" s="20">
        <v>250</v>
      </c>
      <c r="BT90" s="20">
        <v>1476085</v>
      </c>
      <c r="BU90" s="20">
        <v>8250000</v>
      </c>
      <c r="BV90" s="20">
        <v>5.0810082075219238</v>
      </c>
    </row>
    <row r="91" spans="1:74">
      <c r="A91" s="10">
        <f t="shared" si="6"/>
        <v>0</v>
      </c>
      <c r="B91" s="10">
        <f t="shared" si="7"/>
        <v>0.16666666666666666</v>
      </c>
      <c r="C91" s="12">
        <f t="shared" si="8"/>
        <v>4</v>
      </c>
      <c r="D91" s="12">
        <f t="shared" si="9"/>
        <v>9</v>
      </c>
      <c r="E91" s="20" t="s">
        <v>424</v>
      </c>
      <c r="F91" s="20" t="s">
        <v>1393</v>
      </c>
      <c r="G91" s="20" t="s">
        <v>1422</v>
      </c>
      <c r="H91" s="20" t="s">
        <v>1423</v>
      </c>
      <c r="I91" s="20">
        <v>1</v>
      </c>
      <c r="J91" s="20" t="s">
        <v>1424</v>
      </c>
      <c r="K91" s="20" t="s">
        <v>1430</v>
      </c>
      <c r="L91" s="20" t="s">
        <v>1426</v>
      </c>
      <c r="M91" s="20" t="s">
        <v>1393</v>
      </c>
      <c r="N91" s="20" t="s">
        <v>1413</v>
      </c>
      <c r="P91" s="20" t="s">
        <v>1393</v>
      </c>
      <c r="Q91" s="20" t="s">
        <v>1400</v>
      </c>
      <c r="R91" s="20" t="s">
        <v>84</v>
      </c>
      <c r="S91" s="20" t="s">
        <v>123</v>
      </c>
      <c r="T91" s="20" t="s">
        <v>172</v>
      </c>
      <c r="U91" s="20" t="s">
        <v>173</v>
      </c>
      <c r="V91" s="20" t="s">
        <v>87</v>
      </c>
      <c r="W91" s="20">
        <v>503</v>
      </c>
      <c r="X91" s="20">
        <v>503</v>
      </c>
      <c r="Y91" s="20" t="s">
        <v>1427</v>
      </c>
      <c r="Z91" s="20">
        <v>0.16666666666666666</v>
      </c>
      <c r="AA91" s="20" t="s">
        <v>1428</v>
      </c>
      <c r="AB91" s="20" t="s">
        <v>296</v>
      </c>
      <c r="AC91" s="20" t="s">
        <v>297</v>
      </c>
      <c r="AD91" s="20" t="s">
        <v>1429</v>
      </c>
      <c r="AE91" s="20" t="s">
        <v>91</v>
      </c>
      <c r="AF91" s="20">
        <v>0.33333333333333331</v>
      </c>
      <c r="AG91" s="20">
        <v>0</v>
      </c>
      <c r="AH91" s="20">
        <v>1</v>
      </c>
      <c r="AI91" s="7" t="s">
        <v>97</v>
      </c>
      <c r="AJ91" s="20">
        <v>50</v>
      </c>
      <c r="AK91" s="4" t="s">
        <v>111</v>
      </c>
      <c r="AL91" s="4">
        <v>1</v>
      </c>
      <c r="AM91" s="4" t="s">
        <v>130</v>
      </c>
      <c r="AN91" s="4" t="s">
        <v>95</v>
      </c>
      <c r="AO91" s="4" t="s">
        <v>96</v>
      </c>
      <c r="AP91" s="4">
        <v>1</v>
      </c>
      <c r="AQ91" s="20">
        <v>33000</v>
      </c>
      <c r="AR91" s="4">
        <v>41802</v>
      </c>
      <c r="AS91" s="20">
        <v>4999.9999999999991</v>
      </c>
      <c r="AT91" s="20">
        <v>5904.34</v>
      </c>
      <c r="AU91" s="20">
        <v>904.34000000000106</v>
      </c>
      <c r="AV91" s="20">
        <v>590</v>
      </c>
      <c r="AW91" s="20">
        <v>180</v>
      </c>
      <c r="AX91" s="20">
        <v>20</v>
      </c>
      <c r="AY91" s="20">
        <v>790</v>
      </c>
      <c r="AZ91" s="20">
        <v>4.0999999999999996</v>
      </c>
      <c r="BA91" s="20">
        <v>0</v>
      </c>
      <c r="BB91" s="6">
        <v>41733</v>
      </c>
      <c r="BC91" s="6">
        <v>0</v>
      </c>
      <c r="BD91" s="6">
        <v>41852</v>
      </c>
      <c r="BE91" s="6">
        <v>41863</v>
      </c>
      <c r="BF91" s="6">
        <v>41883</v>
      </c>
      <c r="BG91" s="6">
        <v>0</v>
      </c>
      <c r="BH91" s="6">
        <v>0</v>
      </c>
      <c r="BI91" s="6">
        <v>0</v>
      </c>
      <c r="BJ91" s="6">
        <v>0</v>
      </c>
      <c r="BK91" s="5" t="s">
        <v>2173</v>
      </c>
      <c r="BL91" s="4" t="s">
        <v>2173</v>
      </c>
      <c r="BM91" s="20">
        <v>61</v>
      </c>
      <c r="BN91" s="20">
        <v>0</v>
      </c>
      <c r="BO91" s="20">
        <v>0</v>
      </c>
      <c r="BP91" s="20">
        <v>0</v>
      </c>
      <c r="BQ91" s="20">
        <v>0</v>
      </c>
      <c r="BR91" s="20">
        <v>0</v>
      </c>
      <c r="BS91" s="20">
        <v>50</v>
      </c>
      <c r="BT91" s="20">
        <v>295217</v>
      </c>
      <c r="BU91" s="20">
        <v>1650000</v>
      </c>
      <c r="BV91" s="20">
        <v>5.0810082075219247</v>
      </c>
    </row>
    <row r="92" spans="1:74">
      <c r="A92" s="10">
        <f t="shared" si="6"/>
        <v>0</v>
      </c>
      <c r="B92" s="10">
        <f t="shared" si="7"/>
        <v>0.16666666666666666</v>
      </c>
      <c r="C92" s="12">
        <f t="shared" si="8"/>
        <v>4</v>
      </c>
      <c r="D92" s="12">
        <f t="shared" si="9"/>
        <v>9</v>
      </c>
      <c r="E92" s="20" t="s">
        <v>424</v>
      </c>
      <c r="F92" s="20" t="s">
        <v>1393</v>
      </c>
      <c r="G92" s="20" t="s">
        <v>1422</v>
      </c>
      <c r="H92" s="20" t="s">
        <v>1423</v>
      </c>
      <c r="I92" s="20">
        <v>1</v>
      </c>
      <c r="J92" s="20" t="s">
        <v>1424</v>
      </c>
      <c r="K92" s="20" t="s">
        <v>1431</v>
      </c>
      <c r="L92" s="20" t="s">
        <v>1426</v>
      </c>
      <c r="M92" s="20" t="s">
        <v>1393</v>
      </c>
      <c r="N92" s="20" t="s">
        <v>1413</v>
      </c>
      <c r="P92" s="20" t="s">
        <v>1393</v>
      </c>
      <c r="Q92" s="20" t="s">
        <v>1400</v>
      </c>
      <c r="R92" s="20" t="s">
        <v>84</v>
      </c>
      <c r="S92" s="20" t="s">
        <v>123</v>
      </c>
      <c r="T92" s="20" t="s">
        <v>172</v>
      </c>
      <c r="U92" s="20" t="s">
        <v>173</v>
      </c>
      <c r="V92" s="20" t="s">
        <v>87</v>
      </c>
      <c r="W92" s="20">
        <v>503</v>
      </c>
      <c r="X92" s="20">
        <v>503</v>
      </c>
      <c r="Y92" s="20" t="s">
        <v>1427</v>
      </c>
      <c r="Z92" s="20">
        <v>0.16666666666666666</v>
      </c>
      <c r="AA92" s="20" t="s">
        <v>1428</v>
      </c>
      <c r="AB92" s="20" t="s">
        <v>296</v>
      </c>
      <c r="AC92" s="20" t="s">
        <v>297</v>
      </c>
      <c r="AD92" s="20" t="s">
        <v>1429</v>
      </c>
      <c r="AE92" s="20" t="s">
        <v>91</v>
      </c>
      <c r="AF92" s="20">
        <v>0.33333333333333331</v>
      </c>
      <c r="AG92" s="20">
        <v>0</v>
      </c>
      <c r="AH92" s="20">
        <v>1</v>
      </c>
      <c r="AI92" s="7" t="s">
        <v>98</v>
      </c>
      <c r="AJ92" s="20">
        <v>50</v>
      </c>
      <c r="AK92" s="4" t="s">
        <v>111</v>
      </c>
      <c r="AL92" s="4">
        <v>1</v>
      </c>
      <c r="AM92" s="4" t="s">
        <v>130</v>
      </c>
      <c r="AN92" s="4" t="s">
        <v>95</v>
      </c>
      <c r="AO92" s="4" t="s">
        <v>96</v>
      </c>
      <c r="AP92" s="4">
        <v>1</v>
      </c>
      <c r="AQ92" s="20">
        <v>33000</v>
      </c>
      <c r="AR92" s="4">
        <v>41802</v>
      </c>
      <c r="AS92" s="20">
        <v>4999.9999999999991</v>
      </c>
      <c r="AT92" s="20">
        <v>5904.34</v>
      </c>
      <c r="AU92" s="20">
        <v>904.34000000000106</v>
      </c>
      <c r="AV92" s="20">
        <v>590</v>
      </c>
      <c r="AW92" s="20">
        <v>180</v>
      </c>
      <c r="AX92" s="20">
        <v>20</v>
      </c>
      <c r="AY92" s="20">
        <v>790</v>
      </c>
      <c r="AZ92" s="20">
        <v>4.0999999999999996</v>
      </c>
      <c r="BA92" s="20">
        <v>0</v>
      </c>
      <c r="BB92" s="6">
        <v>41733</v>
      </c>
      <c r="BC92" s="6">
        <v>0</v>
      </c>
      <c r="BD92" s="6">
        <v>41852</v>
      </c>
      <c r="BE92" s="6">
        <v>41863</v>
      </c>
      <c r="BF92" s="6">
        <v>41883</v>
      </c>
      <c r="BG92" s="6">
        <v>0</v>
      </c>
      <c r="BH92" s="6">
        <v>0</v>
      </c>
      <c r="BI92" s="6">
        <v>0</v>
      </c>
      <c r="BJ92" s="6">
        <v>0</v>
      </c>
      <c r="BK92" s="5" t="s">
        <v>2173</v>
      </c>
      <c r="BL92" s="4" t="s">
        <v>2173</v>
      </c>
      <c r="BM92" s="20">
        <v>51</v>
      </c>
      <c r="BN92" s="20">
        <v>0</v>
      </c>
      <c r="BO92" s="20">
        <v>0</v>
      </c>
      <c r="BP92" s="20">
        <v>0</v>
      </c>
      <c r="BQ92" s="20">
        <v>0</v>
      </c>
      <c r="BR92" s="20">
        <v>0</v>
      </c>
      <c r="BS92" s="20">
        <v>50</v>
      </c>
      <c r="BT92" s="20">
        <v>295217</v>
      </c>
      <c r="BU92" s="20">
        <v>1650000</v>
      </c>
      <c r="BV92" s="20">
        <v>5.0810082075219247</v>
      </c>
    </row>
    <row r="93" spans="1:74">
      <c r="A93" s="10">
        <f t="shared" si="6"/>
        <v>0</v>
      </c>
      <c r="B93" s="10">
        <f t="shared" si="7"/>
        <v>0.16666666666666666</v>
      </c>
      <c r="C93" s="12">
        <f t="shared" si="8"/>
        <v>4</v>
      </c>
      <c r="D93" s="12">
        <f t="shared" si="9"/>
        <v>9</v>
      </c>
      <c r="E93" s="20" t="s">
        <v>424</v>
      </c>
      <c r="F93" s="20" t="s">
        <v>1393</v>
      </c>
      <c r="G93" s="20" t="s">
        <v>1422</v>
      </c>
      <c r="H93" s="20" t="s">
        <v>1432</v>
      </c>
      <c r="I93" s="20">
        <v>2</v>
      </c>
      <c r="J93" s="20" t="s">
        <v>1433</v>
      </c>
      <c r="K93" s="20" t="s">
        <v>1434</v>
      </c>
      <c r="L93" s="20" t="s">
        <v>1426</v>
      </c>
      <c r="M93" s="20" t="s">
        <v>1393</v>
      </c>
      <c r="N93" s="20" t="s">
        <v>1413</v>
      </c>
      <c r="P93" s="20" t="s">
        <v>1393</v>
      </c>
      <c r="Q93" s="20" t="s">
        <v>1400</v>
      </c>
      <c r="R93" s="20" t="s">
        <v>84</v>
      </c>
      <c r="S93" s="20" t="s">
        <v>123</v>
      </c>
      <c r="T93" s="20" t="s">
        <v>172</v>
      </c>
      <c r="U93" s="20" t="s">
        <v>173</v>
      </c>
      <c r="V93" s="20" t="s">
        <v>87</v>
      </c>
      <c r="W93" s="20">
        <v>503</v>
      </c>
      <c r="X93" s="20">
        <v>503</v>
      </c>
      <c r="Y93" s="20" t="s">
        <v>1427</v>
      </c>
      <c r="Z93" s="20">
        <v>0.16666666666666666</v>
      </c>
      <c r="AA93" s="20" t="s">
        <v>1435</v>
      </c>
      <c r="AB93" s="20" t="s">
        <v>718</v>
      </c>
      <c r="AC93" s="20" t="s">
        <v>719</v>
      </c>
      <c r="AD93" s="20" t="s">
        <v>1436</v>
      </c>
      <c r="AE93" s="20" t="s">
        <v>91</v>
      </c>
      <c r="AF93" s="20">
        <v>0.33333333333333331</v>
      </c>
      <c r="AG93" s="20">
        <v>0</v>
      </c>
      <c r="AH93" s="20">
        <v>1</v>
      </c>
      <c r="AI93" s="7" t="s">
        <v>92</v>
      </c>
      <c r="AJ93" s="20">
        <v>250</v>
      </c>
      <c r="AK93" s="4" t="s">
        <v>111</v>
      </c>
      <c r="AL93" s="4">
        <v>1</v>
      </c>
      <c r="AM93" s="4" t="s">
        <v>130</v>
      </c>
      <c r="AN93" s="4" t="s">
        <v>95</v>
      </c>
      <c r="AO93" s="4" t="s">
        <v>96</v>
      </c>
      <c r="AP93" s="4">
        <v>1</v>
      </c>
      <c r="AQ93" s="20">
        <v>33000</v>
      </c>
      <c r="AR93" s="4">
        <v>41802</v>
      </c>
      <c r="AS93" s="20">
        <v>4999.9999999999991</v>
      </c>
      <c r="AT93" s="20">
        <v>5904.34</v>
      </c>
      <c r="AU93" s="20">
        <v>904.34000000000106</v>
      </c>
      <c r="AV93" s="20">
        <v>590</v>
      </c>
      <c r="AW93" s="20">
        <v>180</v>
      </c>
      <c r="AX93" s="20">
        <v>20</v>
      </c>
      <c r="AY93" s="20">
        <v>790</v>
      </c>
      <c r="AZ93" s="20">
        <v>4.0999999999999996</v>
      </c>
      <c r="BA93" s="20">
        <v>0</v>
      </c>
      <c r="BB93" s="6">
        <v>41733</v>
      </c>
      <c r="BC93" s="6">
        <v>0</v>
      </c>
      <c r="BD93" s="6">
        <v>41852</v>
      </c>
      <c r="BE93" s="6">
        <v>41863</v>
      </c>
      <c r="BF93" s="6">
        <v>41883</v>
      </c>
      <c r="BG93" s="6">
        <v>0</v>
      </c>
      <c r="BH93" s="6">
        <v>0</v>
      </c>
      <c r="BI93" s="6">
        <v>0</v>
      </c>
      <c r="BJ93" s="6">
        <v>0</v>
      </c>
      <c r="BK93" s="5" t="s">
        <v>2173</v>
      </c>
      <c r="BL93" s="4" t="s">
        <v>2173</v>
      </c>
      <c r="BM93" s="20">
        <v>202</v>
      </c>
      <c r="BN93" s="20">
        <v>0</v>
      </c>
      <c r="BO93" s="20">
        <v>0</v>
      </c>
      <c r="BP93" s="20">
        <v>0</v>
      </c>
      <c r="BQ93" s="20">
        <v>0</v>
      </c>
      <c r="BS93" s="20">
        <v>250</v>
      </c>
      <c r="BT93" s="20">
        <v>1476085</v>
      </c>
      <c r="BU93" s="20">
        <v>8250000</v>
      </c>
      <c r="BV93" s="20">
        <v>5.0810082075219238</v>
      </c>
    </row>
    <row r="94" spans="1:74">
      <c r="A94" s="10">
        <f t="shared" si="6"/>
        <v>0</v>
      </c>
      <c r="B94" s="10">
        <f t="shared" si="7"/>
        <v>0.16666666666666666</v>
      </c>
      <c r="C94" s="12">
        <f t="shared" si="8"/>
        <v>4</v>
      </c>
      <c r="D94" s="12">
        <f t="shared" si="9"/>
        <v>9</v>
      </c>
      <c r="E94" s="20" t="s">
        <v>424</v>
      </c>
      <c r="F94" s="20" t="s">
        <v>1393</v>
      </c>
      <c r="G94" s="20" t="s">
        <v>1422</v>
      </c>
      <c r="H94" s="20" t="s">
        <v>1432</v>
      </c>
      <c r="I94" s="20">
        <v>2</v>
      </c>
      <c r="J94" s="20" t="s">
        <v>1433</v>
      </c>
      <c r="K94" s="20" t="s">
        <v>1437</v>
      </c>
      <c r="L94" s="20" t="s">
        <v>1426</v>
      </c>
      <c r="M94" s="20" t="s">
        <v>1393</v>
      </c>
      <c r="N94" s="20" t="s">
        <v>1413</v>
      </c>
      <c r="P94" s="20" t="s">
        <v>1393</v>
      </c>
      <c r="Q94" s="20" t="s">
        <v>1400</v>
      </c>
      <c r="R94" s="20" t="s">
        <v>84</v>
      </c>
      <c r="S94" s="20" t="s">
        <v>123</v>
      </c>
      <c r="T94" s="20" t="s">
        <v>172</v>
      </c>
      <c r="U94" s="20" t="s">
        <v>173</v>
      </c>
      <c r="V94" s="20" t="s">
        <v>87</v>
      </c>
      <c r="W94" s="20">
        <v>503</v>
      </c>
      <c r="X94" s="20">
        <v>503</v>
      </c>
      <c r="Y94" s="20" t="s">
        <v>1427</v>
      </c>
      <c r="Z94" s="20">
        <v>0.16666666666666666</v>
      </c>
      <c r="AA94" s="20" t="s">
        <v>1438</v>
      </c>
      <c r="AB94" s="20" t="s">
        <v>718</v>
      </c>
      <c r="AC94" s="20" t="s">
        <v>719</v>
      </c>
      <c r="AD94" s="20" t="s">
        <v>1436</v>
      </c>
      <c r="AE94" s="20" t="s">
        <v>91</v>
      </c>
      <c r="AF94" s="20">
        <v>0.33333333333333331</v>
      </c>
      <c r="AG94" s="20">
        <v>0</v>
      </c>
      <c r="AH94" s="20">
        <v>1</v>
      </c>
      <c r="AI94" s="7" t="s">
        <v>97</v>
      </c>
      <c r="AJ94" s="20">
        <v>50</v>
      </c>
      <c r="AK94" s="4" t="s">
        <v>111</v>
      </c>
      <c r="AL94" s="4">
        <v>1</v>
      </c>
      <c r="AM94" s="4" t="s">
        <v>130</v>
      </c>
      <c r="AN94" s="4" t="s">
        <v>95</v>
      </c>
      <c r="AO94" s="4" t="s">
        <v>96</v>
      </c>
      <c r="AP94" s="4">
        <v>1</v>
      </c>
      <c r="AQ94" s="20">
        <v>33000</v>
      </c>
      <c r="AR94" s="4">
        <v>41802</v>
      </c>
      <c r="AS94" s="20">
        <v>4999.9999999999991</v>
      </c>
      <c r="AT94" s="20">
        <v>5904.34</v>
      </c>
      <c r="AU94" s="20">
        <v>904.34000000000106</v>
      </c>
      <c r="AV94" s="20">
        <v>590</v>
      </c>
      <c r="AW94" s="20">
        <v>180</v>
      </c>
      <c r="AX94" s="20">
        <v>20</v>
      </c>
      <c r="AY94" s="20">
        <v>790</v>
      </c>
      <c r="AZ94" s="20">
        <v>4.0999999999999996</v>
      </c>
      <c r="BA94" s="20">
        <v>0</v>
      </c>
      <c r="BB94" s="6">
        <v>41733</v>
      </c>
      <c r="BC94" s="6">
        <v>0</v>
      </c>
      <c r="BD94" s="6">
        <v>41852</v>
      </c>
      <c r="BE94" s="6">
        <v>41863</v>
      </c>
      <c r="BF94" s="6">
        <v>41883</v>
      </c>
      <c r="BG94" s="6">
        <v>0</v>
      </c>
      <c r="BH94" s="6">
        <v>0</v>
      </c>
      <c r="BI94" s="6">
        <v>0</v>
      </c>
      <c r="BJ94" s="6">
        <v>0</v>
      </c>
      <c r="BK94" s="5" t="s">
        <v>2173</v>
      </c>
      <c r="BL94" s="4" t="s">
        <v>2173</v>
      </c>
      <c r="BM94" s="20">
        <v>48</v>
      </c>
      <c r="BN94" s="20">
        <v>0</v>
      </c>
      <c r="BO94" s="20">
        <v>0</v>
      </c>
      <c r="BP94" s="20">
        <v>0</v>
      </c>
      <c r="BQ94" s="20">
        <v>0</v>
      </c>
      <c r="BR94" s="20">
        <v>0</v>
      </c>
      <c r="BS94" s="20">
        <v>50</v>
      </c>
      <c r="BT94" s="20">
        <v>295217</v>
      </c>
      <c r="BU94" s="20">
        <v>1650000</v>
      </c>
      <c r="BV94" s="20">
        <v>5.0810082075219247</v>
      </c>
    </row>
    <row r="95" spans="1:74">
      <c r="A95" s="10">
        <f t="shared" si="6"/>
        <v>0</v>
      </c>
      <c r="B95" s="10">
        <f t="shared" si="7"/>
        <v>0.16666666666666666</v>
      </c>
      <c r="C95" s="12">
        <f t="shared" si="8"/>
        <v>4</v>
      </c>
      <c r="D95" s="12">
        <f t="shared" si="9"/>
        <v>9</v>
      </c>
      <c r="E95" s="20" t="s">
        <v>424</v>
      </c>
      <c r="F95" s="20" t="s">
        <v>1393</v>
      </c>
      <c r="G95" s="20" t="s">
        <v>1422</v>
      </c>
      <c r="H95" s="20" t="s">
        <v>1432</v>
      </c>
      <c r="I95" s="20">
        <v>2</v>
      </c>
      <c r="J95" s="20" t="s">
        <v>1433</v>
      </c>
      <c r="K95" s="20" t="s">
        <v>1439</v>
      </c>
      <c r="L95" s="20" t="s">
        <v>1426</v>
      </c>
      <c r="M95" s="20" t="s">
        <v>1393</v>
      </c>
      <c r="N95" s="20" t="s">
        <v>1413</v>
      </c>
      <c r="P95" s="20" t="s">
        <v>1393</v>
      </c>
      <c r="Q95" s="20" t="s">
        <v>1400</v>
      </c>
      <c r="R95" s="20" t="s">
        <v>84</v>
      </c>
      <c r="S95" s="20" t="s">
        <v>123</v>
      </c>
      <c r="T95" s="20" t="s">
        <v>172</v>
      </c>
      <c r="U95" s="20" t="s">
        <v>173</v>
      </c>
      <c r="V95" s="20" t="s">
        <v>87</v>
      </c>
      <c r="W95" s="20">
        <v>503</v>
      </c>
      <c r="X95" s="20">
        <v>503</v>
      </c>
      <c r="Y95" s="20" t="s">
        <v>1427</v>
      </c>
      <c r="Z95" s="20">
        <v>0.16666666666666666</v>
      </c>
      <c r="AA95" s="20" t="s">
        <v>1438</v>
      </c>
      <c r="AB95" s="20" t="s">
        <v>718</v>
      </c>
      <c r="AC95" s="20" t="s">
        <v>719</v>
      </c>
      <c r="AD95" s="20" t="s">
        <v>1436</v>
      </c>
      <c r="AE95" s="20" t="s">
        <v>91</v>
      </c>
      <c r="AF95" s="20">
        <v>0.33333333333333331</v>
      </c>
      <c r="AG95" s="20">
        <v>0</v>
      </c>
      <c r="AH95" s="20">
        <v>1</v>
      </c>
      <c r="AI95" s="7" t="s">
        <v>98</v>
      </c>
      <c r="AJ95" s="20">
        <v>50</v>
      </c>
      <c r="AK95" s="4" t="s">
        <v>111</v>
      </c>
      <c r="AL95" s="4">
        <v>1</v>
      </c>
      <c r="AM95" s="4" t="s">
        <v>130</v>
      </c>
      <c r="AN95" s="4" t="s">
        <v>95</v>
      </c>
      <c r="AO95" s="4" t="s">
        <v>96</v>
      </c>
      <c r="AP95" s="4">
        <v>1</v>
      </c>
      <c r="AQ95" s="20">
        <v>33000</v>
      </c>
      <c r="AR95" s="4">
        <v>41802</v>
      </c>
      <c r="AS95" s="20">
        <v>4999.9999999999991</v>
      </c>
      <c r="AT95" s="20">
        <v>5904.34</v>
      </c>
      <c r="AU95" s="20">
        <v>904.34000000000106</v>
      </c>
      <c r="AV95" s="20">
        <v>590</v>
      </c>
      <c r="AW95" s="20">
        <v>180</v>
      </c>
      <c r="AX95" s="20">
        <v>20</v>
      </c>
      <c r="AY95" s="20">
        <v>790</v>
      </c>
      <c r="AZ95" s="20">
        <v>4.0999999999999996</v>
      </c>
      <c r="BA95" s="20">
        <v>0</v>
      </c>
      <c r="BB95" s="6">
        <v>41733</v>
      </c>
      <c r="BC95" s="6">
        <v>0</v>
      </c>
      <c r="BD95" s="6">
        <v>41852</v>
      </c>
      <c r="BE95" s="6">
        <v>41863</v>
      </c>
      <c r="BF95" s="6">
        <v>41883</v>
      </c>
      <c r="BG95" s="6">
        <v>0</v>
      </c>
      <c r="BH95" s="6">
        <v>0</v>
      </c>
      <c r="BI95" s="6">
        <v>0</v>
      </c>
      <c r="BJ95" s="6">
        <v>0</v>
      </c>
      <c r="BK95" s="5" t="s">
        <v>2173</v>
      </c>
      <c r="BL95" s="4" t="s">
        <v>2173</v>
      </c>
      <c r="BM95" s="20">
        <v>49</v>
      </c>
      <c r="BN95" s="20">
        <v>0</v>
      </c>
      <c r="BO95" s="20">
        <v>0</v>
      </c>
      <c r="BP95" s="20">
        <v>0</v>
      </c>
      <c r="BQ95" s="20">
        <v>0</v>
      </c>
      <c r="BR95" s="20">
        <v>0</v>
      </c>
      <c r="BS95" s="20">
        <v>50</v>
      </c>
      <c r="BT95" s="20">
        <v>295217</v>
      </c>
      <c r="BU95" s="20">
        <v>1650000</v>
      </c>
      <c r="BV95" s="20">
        <v>5.0810082075219247</v>
      </c>
    </row>
    <row r="96" spans="1:74">
      <c r="A96" s="10">
        <f t="shared" si="6"/>
        <v>0</v>
      </c>
      <c r="B96" s="10">
        <f t="shared" si="7"/>
        <v>0</v>
      </c>
      <c r="C96" s="12" t="str">
        <f t="shared" si="8"/>
        <v/>
      </c>
      <c r="D96" s="12" t="str">
        <f t="shared" si="9"/>
        <v/>
      </c>
      <c r="E96" s="20" t="s">
        <v>91</v>
      </c>
      <c r="F96" s="20" t="s">
        <v>91</v>
      </c>
      <c r="G96" s="20" t="s">
        <v>91</v>
      </c>
      <c r="H96" s="20" t="s">
        <v>91</v>
      </c>
      <c r="I96" s="20">
        <v>0</v>
      </c>
      <c r="J96" s="20" t="s">
        <v>103</v>
      </c>
      <c r="K96" s="20" t="s">
        <v>104</v>
      </c>
      <c r="L96" s="20">
        <v>0</v>
      </c>
      <c r="M96" s="20" t="s">
        <v>105</v>
      </c>
      <c r="N96" s="20" t="s">
        <v>91</v>
      </c>
      <c r="O96" s="20" t="s">
        <v>1440</v>
      </c>
      <c r="Q96" s="20" t="s">
        <v>91</v>
      </c>
      <c r="R96" s="20" t="s">
        <v>91</v>
      </c>
      <c r="S96" s="20" t="s">
        <v>91</v>
      </c>
      <c r="U96" s="20" t="s">
        <v>91</v>
      </c>
      <c r="X96" s="20" t="s">
        <v>91</v>
      </c>
      <c r="Y96" s="20" t="s">
        <v>91</v>
      </c>
      <c r="Z96" s="20">
        <v>0.99999999999999989</v>
      </c>
      <c r="AB96" s="20" t="s">
        <v>91</v>
      </c>
      <c r="AD96" s="20" t="s">
        <v>91</v>
      </c>
      <c r="AE96" s="20" t="s">
        <v>91</v>
      </c>
      <c r="AF96" s="20">
        <v>1.9999999999999998</v>
      </c>
      <c r="AG96" s="20">
        <v>0</v>
      </c>
      <c r="AH96" s="20">
        <v>1</v>
      </c>
      <c r="AI96" s="7"/>
      <c r="AJ96" s="20">
        <v>700</v>
      </c>
      <c r="AM96" s="4" t="s">
        <v>91</v>
      </c>
      <c r="AP96" s="4" t="s">
        <v>91</v>
      </c>
      <c r="AQ96" s="20">
        <v>0</v>
      </c>
      <c r="AR96" s="4">
        <v>0</v>
      </c>
      <c r="AX96" s="20" t="s">
        <v>91</v>
      </c>
      <c r="AY96" s="20">
        <v>0</v>
      </c>
      <c r="AZ96" s="20">
        <v>2870</v>
      </c>
      <c r="BA96" s="20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5">
        <v>0</v>
      </c>
      <c r="BL96" s="4">
        <v>0</v>
      </c>
      <c r="BM96" s="20">
        <v>654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700</v>
      </c>
      <c r="BT96" s="20">
        <v>4133038</v>
      </c>
      <c r="BU96" s="20">
        <v>23100000</v>
      </c>
      <c r="BV96" s="20">
        <v>5.0810082075219238</v>
      </c>
    </row>
    <row r="97" spans="1:74">
      <c r="A97" s="10">
        <f t="shared" si="6"/>
        <v>0</v>
      </c>
      <c r="B97" s="10">
        <f t="shared" si="7"/>
        <v>0</v>
      </c>
      <c r="C97" s="12">
        <f t="shared" si="8"/>
        <v>4</v>
      </c>
      <c r="D97" s="12">
        <f t="shared" si="9"/>
        <v>8</v>
      </c>
      <c r="E97" s="20" t="s">
        <v>424</v>
      </c>
      <c r="F97" s="20" t="s">
        <v>1393</v>
      </c>
      <c r="G97" s="20" t="s">
        <v>1441</v>
      </c>
      <c r="H97" s="20" t="s">
        <v>1442</v>
      </c>
      <c r="I97" s="20">
        <v>1</v>
      </c>
      <c r="J97" s="20" t="s">
        <v>1443</v>
      </c>
      <c r="K97" s="20" t="s">
        <v>1444</v>
      </c>
      <c r="L97" s="20" t="s">
        <v>1445</v>
      </c>
      <c r="M97" s="20" t="s">
        <v>1393</v>
      </c>
      <c r="N97" s="20" t="s">
        <v>1413</v>
      </c>
      <c r="P97" s="20" t="s">
        <v>1393</v>
      </c>
      <c r="Q97" s="20" t="s">
        <v>1400</v>
      </c>
      <c r="R97" s="20" t="s">
        <v>84</v>
      </c>
      <c r="S97" s="20" t="s">
        <v>123</v>
      </c>
      <c r="T97" s="20" t="s">
        <v>124</v>
      </c>
      <c r="U97" s="20" t="s">
        <v>125</v>
      </c>
      <c r="V97" s="20" t="s">
        <v>87</v>
      </c>
      <c r="W97" s="20">
        <v>502</v>
      </c>
      <c r="X97" s="20">
        <v>502</v>
      </c>
      <c r="Y97" s="20" t="s">
        <v>1446</v>
      </c>
      <c r="Z97" s="20">
        <v>0.5</v>
      </c>
      <c r="AA97" s="20" t="s">
        <v>1447</v>
      </c>
      <c r="AB97" s="20" t="s">
        <v>139</v>
      </c>
      <c r="AC97" s="20" t="s">
        <v>140</v>
      </c>
      <c r="AD97" s="20" t="s">
        <v>1448</v>
      </c>
      <c r="AE97" s="20" t="s">
        <v>91</v>
      </c>
      <c r="AF97" s="20">
        <v>0.5</v>
      </c>
      <c r="AG97" s="20">
        <v>0</v>
      </c>
      <c r="AH97" s="20">
        <v>1</v>
      </c>
      <c r="AI97" s="7" t="s">
        <v>97</v>
      </c>
      <c r="AJ97" s="20">
        <v>40</v>
      </c>
      <c r="AK97" s="4" t="s">
        <v>1047</v>
      </c>
      <c r="AL97" s="4">
        <v>1</v>
      </c>
      <c r="AM97" s="4" t="s">
        <v>130</v>
      </c>
      <c r="AN97" s="4" t="s">
        <v>95</v>
      </c>
      <c r="AO97" s="4" t="s">
        <v>96</v>
      </c>
      <c r="AP97" s="4">
        <v>1</v>
      </c>
      <c r="AQ97" s="20">
        <v>35000</v>
      </c>
      <c r="AR97" s="4">
        <v>41802</v>
      </c>
      <c r="AS97" s="20">
        <v>3535.3535353535353</v>
      </c>
      <c r="AT97" s="20">
        <v>4565.9000000000005</v>
      </c>
      <c r="AU97" s="20">
        <v>1030.5464646464652</v>
      </c>
      <c r="AW97" s="20">
        <v>180</v>
      </c>
      <c r="AX97" s="20">
        <v>20</v>
      </c>
      <c r="AY97" s="20">
        <v>200</v>
      </c>
      <c r="AZ97" s="20">
        <v>3.5</v>
      </c>
      <c r="BA97" s="20">
        <v>0</v>
      </c>
      <c r="BB97" s="6">
        <v>41733</v>
      </c>
      <c r="BC97" s="6">
        <v>0</v>
      </c>
      <c r="BD97" s="6">
        <v>41852</v>
      </c>
      <c r="BE97" s="6">
        <v>41852</v>
      </c>
      <c r="BF97" s="6">
        <v>41855</v>
      </c>
      <c r="BG97" s="6">
        <v>0</v>
      </c>
      <c r="BH97" s="6">
        <v>0</v>
      </c>
      <c r="BI97" s="6">
        <v>0</v>
      </c>
      <c r="BJ97" s="6">
        <v>0</v>
      </c>
      <c r="BK97" s="5" t="s">
        <v>2173</v>
      </c>
      <c r="BL97" s="4" t="s">
        <v>2173</v>
      </c>
      <c r="BM97" s="20">
        <v>40</v>
      </c>
      <c r="BN97" s="20">
        <v>0</v>
      </c>
      <c r="BO97" s="20">
        <v>0</v>
      </c>
      <c r="BP97" s="20">
        <v>0</v>
      </c>
      <c r="BQ97" s="20">
        <v>0</v>
      </c>
      <c r="BR97" s="20">
        <v>0</v>
      </c>
      <c r="BS97" s="20">
        <v>40</v>
      </c>
      <c r="BT97" s="20">
        <v>182636.00000000003</v>
      </c>
      <c r="BU97" s="20">
        <v>1400000</v>
      </c>
      <c r="BV97" s="20">
        <v>6.9686549898556285</v>
      </c>
    </row>
    <row r="98" spans="1:74">
      <c r="A98" s="10">
        <f t="shared" si="6"/>
        <v>0</v>
      </c>
      <c r="B98" s="10">
        <f t="shared" si="7"/>
        <v>0</v>
      </c>
      <c r="C98" s="12">
        <f t="shared" si="8"/>
        <v>4</v>
      </c>
      <c r="D98" s="12">
        <f t="shared" si="9"/>
        <v>8</v>
      </c>
      <c r="E98" s="20" t="s">
        <v>424</v>
      </c>
      <c r="F98" s="20" t="s">
        <v>1393</v>
      </c>
      <c r="G98" s="20" t="s">
        <v>1441</v>
      </c>
      <c r="H98" s="20" t="s">
        <v>1442</v>
      </c>
      <c r="I98" s="20">
        <v>1</v>
      </c>
      <c r="J98" s="20" t="s">
        <v>1443</v>
      </c>
      <c r="K98" s="20" t="s">
        <v>1449</v>
      </c>
      <c r="L98" s="20" t="s">
        <v>1445</v>
      </c>
      <c r="M98" s="20" t="s">
        <v>1393</v>
      </c>
      <c r="N98" s="20" t="s">
        <v>1413</v>
      </c>
      <c r="P98" s="20" t="s">
        <v>1393</v>
      </c>
      <c r="Q98" s="20" t="s">
        <v>1400</v>
      </c>
      <c r="R98" s="20" t="s">
        <v>84</v>
      </c>
      <c r="S98" s="20" t="s">
        <v>123</v>
      </c>
      <c r="T98" s="20" t="s">
        <v>124</v>
      </c>
      <c r="U98" s="20" t="s">
        <v>125</v>
      </c>
      <c r="V98" s="20" t="s">
        <v>87</v>
      </c>
      <c r="W98" s="20">
        <v>502</v>
      </c>
      <c r="X98" s="20">
        <v>502</v>
      </c>
      <c r="Y98" s="20" t="s">
        <v>1446</v>
      </c>
      <c r="Z98" s="20">
        <v>0.5</v>
      </c>
      <c r="AA98" s="20" t="s">
        <v>1447</v>
      </c>
      <c r="AB98" s="20" t="s">
        <v>139</v>
      </c>
      <c r="AC98" s="20" t="s">
        <v>140</v>
      </c>
      <c r="AD98" s="20" t="s">
        <v>1448</v>
      </c>
      <c r="AE98" s="20" t="s">
        <v>91</v>
      </c>
      <c r="AF98" s="20">
        <v>0.5</v>
      </c>
      <c r="AG98" s="20">
        <v>0</v>
      </c>
      <c r="AH98" s="20">
        <v>1</v>
      </c>
      <c r="AI98" s="7" t="s">
        <v>98</v>
      </c>
      <c r="AJ98" s="20">
        <v>40</v>
      </c>
      <c r="AK98" s="4" t="s">
        <v>1047</v>
      </c>
      <c r="AL98" s="4">
        <v>1</v>
      </c>
      <c r="AM98" s="4" t="s">
        <v>130</v>
      </c>
      <c r="AN98" s="4" t="s">
        <v>95</v>
      </c>
      <c r="AO98" s="4" t="s">
        <v>96</v>
      </c>
      <c r="AP98" s="4">
        <v>1</v>
      </c>
      <c r="AQ98" s="20">
        <v>35000</v>
      </c>
      <c r="AR98" s="4">
        <v>41802</v>
      </c>
      <c r="AS98" s="20">
        <v>3535.3535353535353</v>
      </c>
      <c r="AT98" s="20">
        <v>4565.9000000000005</v>
      </c>
      <c r="AU98" s="20">
        <v>1030.5464646464652</v>
      </c>
      <c r="AW98" s="20">
        <v>180</v>
      </c>
      <c r="AX98" s="20">
        <v>20</v>
      </c>
      <c r="AY98" s="20">
        <v>200</v>
      </c>
      <c r="AZ98" s="20">
        <v>3.5</v>
      </c>
      <c r="BA98" s="20">
        <v>0</v>
      </c>
      <c r="BB98" s="6">
        <v>41733</v>
      </c>
      <c r="BC98" s="6">
        <v>0</v>
      </c>
      <c r="BD98" s="6">
        <v>41852</v>
      </c>
      <c r="BE98" s="6">
        <v>41852</v>
      </c>
      <c r="BF98" s="6">
        <v>41855</v>
      </c>
      <c r="BG98" s="6">
        <v>0</v>
      </c>
      <c r="BH98" s="6">
        <v>0</v>
      </c>
      <c r="BI98" s="6">
        <v>0</v>
      </c>
      <c r="BJ98" s="6">
        <v>0</v>
      </c>
      <c r="BK98" s="5" t="s">
        <v>2173</v>
      </c>
      <c r="BL98" s="4" t="s">
        <v>2173</v>
      </c>
      <c r="BM98" s="20">
        <v>40</v>
      </c>
      <c r="BN98" s="20">
        <v>0</v>
      </c>
      <c r="BO98" s="20">
        <v>0</v>
      </c>
      <c r="BP98" s="20">
        <v>0</v>
      </c>
      <c r="BQ98" s="20">
        <v>0</v>
      </c>
      <c r="BR98" s="20">
        <v>0</v>
      </c>
      <c r="BS98" s="20">
        <v>40</v>
      </c>
      <c r="BT98" s="20">
        <v>182636.00000000003</v>
      </c>
      <c r="BU98" s="20">
        <v>1400000</v>
      </c>
      <c r="BV98" s="20">
        <v>6.9686549898556285</v>
      </c>
    </row>
    <row r="99" spans="1:74">
      <c r="A99" s="10">
        <f t="shared" si="6"/>
        <v>0</v>
      </c>
      <c r="B99" s="10">
        <f t="shared" si="7"/>
        <v>0</v>
      </c>
      <c r="C99" s="12" t="str">
        <f t="shared" si="8"/>
        <v/>
      </c>
      <c r="D99" s="12" t="str">
        <f t="shared" si="9"/>
        <v/>
      </c>
      <c r="E99" s="20" t="s">
        <v>91</v>
      </c>
      <c r="F99" s="20" t="s">
        <v>91</v>
      </c>
      <c r="G99" s="20" t="s">
        <v>91</v>
      </c>
      <c r="H99" s="20" t="s">
        <v>91</v>
      </c>
      <c r="I99" s="20">
        <v>0</v>
      </c>
      <c r="J99" s="20" t="s">
        <v>103</v>
      </c>
      <c r="K99" s="20" t="s">
        <v>104</v>
      </c>
      <c r="L99" s="20">
        <v>0</v>
      </c>
      <c r="M99" s="20" t="s">
        <v>105</v>
      </c>
      <c r="N99" s="20" t="s">
        <v>91</v>
      </c>
      <c r="O99" s="20" t="s">
        <v>1450</v>
      </c>
      <c r="Q99" s="20" t="s">
        <v>91</v>
      </c>
      <c r="R99" s="20" t="s">
        <v>91</v>
      </c>
      <c r="S99" s="20" t="s">
        <v>91</v>
      </c>
      <c r="U99" s="20" t="s">
        <v>91</v>
      </c>
      <c r="X99" s="20" t="s">
        <v>91</v>
      </c>
      <c r="Y99" s="20" t="s">
        <v>91</v>
      </c>
      <c r="Z99" s="20">
        <v>1</v>
      </c>
      <c r="AB99" s="20" t="s">
        <v>91</v>
      </c>
      <c r="AD99" s="20" t="s">
        <v>91</v>
      </c>
      <c r="AE99" s="20" t="s">
        <v>91</v>
      </c>
      <c r="AF99" s="20">
        <v>1</v>
      </c>
      <c r="AG99" s="20">
        <v>0</v>
      </c>
      <c r="AH99" s="20">
        <v>1</v>
      </c>
      <c r="AI99" s="7"/>
      <c r="AJ99" s="20">
        <v>80</v>
      </c>
      <c r="AM99" s="4" t="s">
        <v>91</v>
      </c>
      <c r="AP99" s="4" t="s">
        <v>91</v>
      </c>
      <c r="AQ99" s="20">
        <v>0</v>
      </c>
      <c r="AR99" s="4">
        <v>0</v>
      </c>
      <c r="AX99" s="20" t="s">
        <v>91</v>
      </c>
      <c r="AY99" s="20">
        <v>0</v>
      </c>
      <c r="AZ99" s="20">
        <v>280</v>
      </c>
      <c r="BA99" s="20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5">
        <v>0</v>
      </c>
      <c r="BL99" s="4">
        <v>0</v>
      </c>
      <c r="BM99" s="20">
        <v>80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>
        <v>80</v>
      </c>
      <c r="BT99" s="20">
        <v>365272.00000000006</v>
      </c>
      <c r="BU99" s="20">
        <v>2800000</v>
      </c>
      <c r="BV99" s="20">
        <v>6.9686549898556285</v>
      </c>
    </row>
    <row r="100" spans="1:74">
      <c r="A100" s="10">
        <f t="shared" si="6"/>
        <v>0</v>
      </c>
      <c r="B100" s="10">
        <f t="shared" si="7"/>
        <v>0</v>
      </c>
      <c r="C100" s="12">
        <f t="shared" si="8"/>
        <v>4</v>
      </c>
      <c r="D100" s="12">
        <f t="shared" si="9"/>
        <v>8</v>
      </c>
      <c r="E100" s="20" t="s">
        <v>424</v>
      </c>
      <c r="F100" s="20" t="s">
        <v>1451</v>
      </c>
      <c r="G100" s="20" t="s">
        <v>1452</v>
      </c>
      <c r="H100" s="20" t="s">
        <v>1453</v>
      </c>
      <c r="I100" s="20">
        <v>1</v>
      </c>
      <c r="J100" s="20" t="s">
        <v>1454</v>
      </c>
      <c r="K100" s="20" t="s">
        <v>1455</v>
      </c>
      <c r="L100" s="20" t="s">
        <v>1456</v>
      </c>
      <c r="M100" s="20" t="s">
        <v>1451</v>
      </c>
      <c r="N100" s="20" t="s">
        <v>1413</v>
      </c>
      <c r="P100" s="20" t="s">
        <v>1451</v>
      </c>
      <c r="Q100" s="20" t="s">
        <v>1457</v>
      </c>
      <c r="R100" s="20" t="s">
        <v>84</v>
      </c>
      <c r="S100" s="20" t="s">
        <v>123</v>
      </c>
      <c r="T100" s="20" t="s">
        <v>124</v>
      </c>
      <c r="U100" s="20" t="s">
        <v>125</v>
      </c>
      <c r="V100" s="20" t="s">
        <v>87</v>
      </c>
      <c r="W100" s="20">
        <v>503</v>
      </c>
      <c r="X100" s="20">
        <v>503</v>
      </c>
      <c r="Y100" s="20" t="s">
        <v>1458</v>
      </c>
      <c r="Z100" s="20">
        <v>0.16666666666666666</v>
      </c>
      <c r="AA100" s="20" t="s">
        <v>1459</v>
      </c>
      <c r="AB100" s="20" t="s">
        <v>149</v>
      </c>
      <c r="AC100" s="20" t="s">
        <v>150</v>
      </c>
      <c r="AD100" s="20" t="s">
        <v>1460</v>
      </c>
      <c r="AE100" s="20" t="s">
        <v>91</v>
      </c>
      <c r="AF100" s="20">
        <v>0.33333333333333331</v>
      </c>
      <c r="AG100" s="20">
        <v>0</v>
      </c>
      <c r="AH100" s="20">
        <v>1</v>
      </c>
      <c r="AI100" s="7" t="s">
        <v>92</v>
      </c>
      <c r="AJ100" s="20">
        <v>300</v>
      </c>
      <c r="AK100" s="4" t="s">
        <v>1047</v>
      </c>
      <c r="AL100" s="4">
        <v>2</v>
      </c>
      <c r="AM100" s="4" t="s">
        <v>94</v>
      </c>
      <c r="AN100" s="4" t="s">
        <v>95</v>
      </c>
      <c r="AO100" s="4" t="s">
        <v>96</v>
      </c>
      <c r="AP100" s="4">
        <v>1</v>
      </c>
      <c r="AQ100" s="20">
        <v>45000</v>
      </c>
      <c r="AR100" s="4">
        <v>41802</v>
      </c>
      <c r="AS100" s="20">
        <v>4545.454545454545</v>
      </c>
      <c r="AT100" s="20">
        <v>5171.68</v>
      </c>
      <c r="AU100" s="20">
        <v>626.22545454545525</v>
      </c>
      <c r="AV100" s="20">
        <v>0</v>
      </c>
      <c r="AW100" s="20">
        <v>1160</v>
      </c>
      <c r="AX100" s="20">
        <v>20</v>
      </c>
      <c r="AY100" s="20">
        <v>1180</v>
      </c>
      <c r="AZ100" s="20">
        <v>3.2</v>
      </c>
      <c r="BA100" s="20">
        <v>0</v>
      </c>
      <c r="BB100" s="6">
        <v>41733</v>
      </c>
      <c r="BC100" s="6">
        <v>0</v>
      </c>
      <c r="BD100" s="6">
        <v>41879</v>
      </c>
      <c r="BE100" s="6">
        <v>41879</v>
      </c>
      <c r="BF100" s="6">
        <v>41859</v>
      </c>
      <c r="BG100" s="6">
        <v>41864</v>
      </c>
      <c r="BH100" s="6">
        <v>0</v>
      </c>
      <c r="BI100" s="6">
        <v>0</v>
      </c>
      <c r="BJ100" s="6">
        <v>0</v>
      </c>
      <c r="BK100" s="5" t="s">
        <v>2173</v>
      </c>
      <c r="BL100" s="4" t="s">
        <v>2173</v>
      </c>
      <c r="BM100" s="20">
        <v>200</v>
      </c>
      <c r="BN100" s="20">
        <v>100</v>
      </c>
      <c r="BO100" s="20">
        <v>0</v>
      </c>
      <c r="BP100" s="20">
        <v>0</v>
      </c>
      <c r="BQ100" s="20">
        <v>0</v>
      </c>
      <c r="BR100" s="20">
        <v>0</v>
      </c>
      <c r="BS100" s="20">
        <v>300</v>
      </c>
      <c r="BT100" s="20">
        <v>1551504</v>
      </c>
      <c r="BU100" s="20">
        <v>13500000</v>
      </c>
      <c r="BV100" s="20">
        <v>7.9102131046566893</v>
      </c>
    </row>
    <row r="101" spans="1:74">
      <c r="A101" s="10">
        <f t="shared" si="6"/>
        <v>0</v>
      </c>
      <c r="B101" s="10">
        <f t="shared" si="7"/>
        <v>0</v>
      </c>
      <c r="C101" s="12">
        <f t="shared" si="8"/>
        <v>4</v>
      </c>
      <c r="D101" s="12">
        <f t="shared" si="9"/>
        <v>8</v>
      </c>
      <c r="E101" s="20" t="s">
        <v>424</v>
      </c>
      <c r="F101" s="20" t="s">
        <v>1451</v>
      </c>
      <c r="G101" s="20" t="s">
        <v>1452</v>
      </c>
      <c r="H101" s="20" t="s">
        <v>1453</v>
      </c>
      <c r="I101" s="20">
        <v>1</v>
      </c>
      <c r="J101" s="20" t="s">
        <v>1454</v>
      </c>
      <c r="K101" s="20" t="s">
        <v>1461</v>
      </c>
      <c r="L101" s="20" t="s">
        <v>1456</v>
      </c>
      <c r="M101" s="20" t="s">
        <v>1451</v>
      </c>
      <c r="N101" s="20" t="s">
        <v>1413</v>
      </c>
      <c r="P101" s="20" t="s">
        <v>1451</v>
      </c>
      <c r="Q101" s="20" t="s">
        <v>1457</v>
      </c>
      <c r="R101" s="20" t="s">
        <v>84</v>
      </c>
      <c r="S101" s="20" t="s">
        <v>123</v>
      </c>
      <c r="T101" s="20" t="s">
        <v>124</v>
      </c>
      <c r="U101" s="20" t="s">
        <v>125</v>
      </c>
      <c r="V101" s="20" t="s">
        <v>87</v>
      </c>
      <c r="W101" s="20">
        <v>503</v>
      </c>
      <c r="X101" s="20">
        <v>503</v>
      </c>
      <c r="Y101" s="20" t="s">
        <v>1458</v>
      </c>
      <c r="Z101" s="20">
        <v>0.16666666666666666</v>
      </c>
      <c r="AA101" s="20" t="s">
        <v>1459</v>
      </c>
      <c r="AB101" s="20" t="s">
        <v>149</v>
      </c>
      <c r="AC101" s="20" t="s">
        <v>150</v>
      </c>
      <c r="AD101" s="20" t="s">
        <v>1460</v>
      </c>
      <c r="AE101" s="20" t="s">
        <v>91</v>
      </c>
      <c r="AF101" s="20">
        <v>0.33333333333333331</v>
      </c>
      <c r="AG101" s="20">
        <v>0</v>
      </c>
      <c r="AH101" s="20">
        <v>1</v>
      </c>
      <c r="AI101" s="7" t="s">
        <v>97</v>
      </c>
      <c r="AJ101" s="20">
        <v>70</v>
      </c>
      <c r="AK101" s="4" t="s">
        <v>1047</v>
      </c>
      <c r="AL101" s="4">
        <v>2</v>
      </c>
      <c r="AM101" s="4" t="s">
        <v>94</v>
      </c>
      <c r="AN101" s="4" t="s">
        <v>95</v>
      </c>
      <c r="AO101" s="4" t="s">
        <v>96</v>
      </c>
      <c r="AP101" s="4">
        <v>1</v>
      </c>
      <c r="AQ101" s="20">
        <v>45000</v>
      </c>
      <c r="AR101" s="4">
        <v>41802</v>
      </c>
      <c r="AS101" s="20">
        <v>4545.454545454545</v>
      </c>
      <c r="AT101" s="20">
        <v>5171.68</v>
      </c>
      <c r="AU101" s="20">
        <v>626.22545454545525</v>
      </c>
      <c r="AV101" s="20">
        <v>0</v>
      </c>
      <c r="AW101" s="20">
        <v>1160</v>
      </c>
      <c r="AX101" s="20">
        <v>20</v>
      </c>
      <c r="AY101" s="20">
        <v>1180</v>
      </c>
      <c r="AZ101" s="20">
        <v>3.2</v>
      </c>
      <c r="BA101" s="20">
        <v>0</v>
      </c>
      <c r="BB101" s="6">
        <v>41733</v>
      </c>
      <c r="BC101" s="6">
        <v>0</v>
      </c>
      <c r="BD101" s="6">
        <v>41879</v>
      </c>
      <c r="BE101" s="6">
        <v>41879</v>
      </c>
      <c r="BF101" s="6">
        <v>41859</v>
      </c>
      <c r="BG101" s="6">
        <v>41864</v>
      </c>
      <c r="BH101" s="6">
        <v>0</v>
      </c>
      <c r="BI101" s="6">
        <v>0</v>
      </c>
      <c r="BJ101" s="6">
        <v>0</v>
      </c>
      <c r="BK101" s="5" t="s">
        <v>2173</v>
      </c>
      <c r="BL101" s="4" t="s">
        <v>2173</v>
      </c>
      <c r="BM101" s="20">
        <v>0</v>
      </c>
      <c r="BN101" s="20">
        <v>70</v>
      </c>
      <c r="BO101" s="20">
        <v>0</v>
      </c>
      <c r="BP101" s="20">
        <v>0</v>
      </c>
      <c r="BQ101" s="20">
        <v>0</v>
      </c>
      <c r="BR101" s="20">
        <v>0</v>
      </c>
      <c r="BS101" s="20">
        <v>70</v>
      </c>
      <c r="BT101" s="20">
        <v>362017.60000000003</v>
      </c>
      <c r="BU101" s="20">
        <v>3150000</v>
      </c>
      <c r="BV101" s="20">
        <v>7.9102131046566893</v>
      </c>
    </row>
    <row r="102" spans="1:74">
      <c r="A102" s="10">
        <f t="shared" si="6"/>
        <v>0</v>
      </c>
      <c r="B102" s="10">
        <f t="shared" si="7"/>
        <v>0</v>
      </c>
      <c r="C102" s="12">
        <f t="shared" si="8"/>
        <v>4</v>
      </c>
      <c r="D102" s="12">
        <f t="shared" si="9"/>
        <v>8</v>
      </c>
      <c r="E102" s="20" t="s">
        <v>424</v>
      </c>
      <c r="F102" s="20" t="s">
        <v>1451</v>
      </c>
      <c r="G102" s="20" t="s">
        <v>1452</v>
      </c>
      <c r="H102" s="20" t="s">
        <v>1453</v>
      </c>
      <c r="I102" s="20">
        <v>1</v>
      </c>
      <c r="J102" s="20" t="s">
        <v>1454</v>
      </c>
      <c r="K102" s="20" t="s">
        <v>1462</v>
      </c>
      <c r="L102" s="20" t="s">
        <v>1456</v>
      </c>
      <c r="M102" s="20" t="s">
        <v>1451</v>
      </c>
      <c r="N102" s="20" t="s">
        <v>1413</v>
      </c>
      <c r="P102" s="20" t="s">
        <v>1451</v>
      </c>
      <c r="Q102" s="20" t="s">
        <v>1457</v>
      </c>
      <c r="R102" s="20" t="s">
        <v>84</v>
      </c>
      <c r="S102" s="20" t="s">
        <v>123</v>
      </c>
      <c r="T102" s="20" t="s">
        <v>124</v>
      </c>
      <c r="U102" s="20" t="s">
        <v>125</v>
      </c>
      <c r="V102" s="20" t="s">
        <v>87</v>
      </c>
      <c r="W102" s="20">
        <v>503</v>
      </c>
      <c r="X102" s="20">
        <v>503</v>
      </c>
      <c r="Y102" s="20" t="s">
        <v>1458</v>
      </c>
      <c r="Z102" s="20">
        <v>0.16666666666666666</v>
      </c>
      <c r="AA102" s="20" t="s">
        <v>1459</v>
      </c>
      <c r="AB102" s="20" t="s">
        <v>149</v>
      </c>
      <c r="AC102" s="20" t="s">
        <v>150</v>
      </c>
      <c r="AD102" s="20" t="s">
        <v>1460</v>
      </c>
      <c r="AE102" s="20" t="s">
        <v>91</v>
      </c>
      <c r="AF102" s="20">
        <v>0.33333333333333331</v>
      </c>
      <c r="AG102" s="20">
        <v>0</v>
      </c>
      <c r="AH102" s="20">
        <v>1</v>
      </c>
      <c r="AI102" s="7" t="s">
        <v>98</v>
      </c>
      <c r="AJ102" s="20">
        <v>30</v>
      </c>
      <c r="AK102" s="4" t="s">
        <v>1047</v>
      </c>
      <c r="AL102" s="4">
        <v>2</v>
      </c>
      <c r="AM102" s="4" t="s">
        <v>94</v>
      </c>
      <c r="AN102" s="4" t="s">
        <v>95</v>
      </c>
      <c r="AO102" s="4" t="s">
        <v>96</v>
      </c>
      <c r="AP102" s="4">
        <v>1</v>
      </c>
      <c r="AQ102" s="20">
        <v>45000</v>
      </c>
      <c r="AR102" s="4">
        <v>41802</v>
      </c>
      <c r="AS102" s="20">
        <v>4545.454545454545</v>
      </c>
      <c r="AT102" s="20">
        <v>5171.68</v>
      </c>
      <c r="AU102" s="20">
        <v>626.22545454545525</v>
      </c>
      <c r="AV102" s="20">
        <v>0</v>
      </c>
      <c r="AW102" s="20">
        <v>1160</v>
      </c>
      <c r="AX102" s="20">
        <v>20</v>
      </c>
      <c r="AY102" s="20">
        <v>1180</v>
      </c>
      <c r="AZ102" s="20">
        <v>3.2</v>
      </c>
      <c r="BA102" s="20">
        <v>0</v>
      </c>
      <c r="BB102" s="6">
        <v>41733</v>
      </c>
      <c r="BC102" s="6">
        <v>0</v>
      </c>
      <c r="BD102" s="6">
        <v>41879</v>
      </c>
      <c r="BE102" s="6">
        <v>41879</v>
      </c>
      <c r="BF102" s="6">
        <v>41859</v>
      </c>
      <c r="BG102" s="6">
        <v>41864</v>
      </c>
      <c r="BH102" s="6">
        <v>0</v>
      </c>
      <c r="BI102" s="6">
        <v>0</v>
      </c>
      <c r="BJ102" s="6">
        <v>0</v>
      </c>
      <c r="BK102" s="5" t="s">
        <v>2173</v>
      </c>
      <c r="BL102" s="4" t="s">
        <v>2173</v>
      </c>
      <c r="BM102" s="20">
        <v>0</v>
      </c>
      <c r="BN102" s="20">
        <v>30</v>
      </c>
      <c r="BO102" s="20">
        <v>0</v>
      </c>
      <c r="BP102" s="20">
        <v>0</v>
      </c>
      <c r="BQ102" s="20">
        <v>0</v>
      </c>
      <c r="BR102" s="20">
        <v>0</v>
      </c>
      <c r="BS102" s="20">
        <v>30</v>
      </c>
      <c r="BT102" s="20">
        <v>155150.40000000002</v>
      </c>
      <c r="BU102" s="20">
        <v>1350000</v>
      </c>
      <c r="BV102" s="20">
        <v>7.9102131046566884</v>
      </c>
    </row>
    <row r="103" spans="1:74">
      <c r="A103" s="10">
        <f t="shared" si="6"/>
        <v>0</v>
      </c>
      <c r="B103" s="10">
        <f t="shared" si="7"/>
        <v>0</v>
      </c>
      <c r="C103" s="12">
        <f t="shared" si="8"/>
        <v>4</v>
      </c>
      <c r="D103" s="12">
        <f t="shared" si="9"/>
        <v>8</v>
      </c>
      <c r="E103" s="20" t="s">
        <v>424</v>
      </c>
      <c r="F103" s="20" t="s">
        <v>1451</v>
      </c>
      <c r="G103" s="20" t="s">
        <v>1452</v>
      </c>
      <c r="H103" s="20" t="s">
        <v>1463</v>
      </c>
      <c r="I103" s="20">
        <v>2</v>
      </c>
      <c r="J103" s="20" t="s">
        <v>1464</v>
      </c>
      <c r="K103" s="20" t="s">
        <v>1465</v>
      </c>
      <c r="L103" s="20" t="s">
        <v>1456</v>
      </c>
      <c r="M103" s="20" t="s">
        <v>1451</v>
      </c>
      <c r="N103" s="20" t="s">
        <v>1413</v>
      </c>
      <c r="P103" s="20" t="s">
        <v>1451</v>
      </c>
      <c r="Q103" s="20" t="s">
        <v>1457</v>
      </c>
      <c r="R103" s="20" t="s">
        <v>84</v>
      </c>
      <c r="S103" s="20" t="s">
        <v>123</v>
      </c>
      <c r="T103" s="20" t="s">
        <v>124</v>
      </c>
      <c r="U103" s="20" t="s">
        <v>125</v>
      </c>
      <c r="V103" s="20" t="s">
        <v>87</v>
      </c>
      <c r="W103" s="20">
        <v>503</v>
      </c>
      <c r="X103" s="20">
        <v>503</v>
      </c>
      <c r="Y103" s="20" t="s">
        <v>1458</v>
      </c>
      <c r="Z103" s="20">
        <v>0.16666666666666666</v>
      </c>
      <c r="AA103" s="20" t="s">
        <v>1466</v>
      </c>
      <c r="AB103" s="20" t="s">
        <v>101</v>
      </c>
      <c r="AC103" s="20" t="s">
        <v>102</v>
      </c>
      <c r="AD103" s="20" t="s">
        <v>1467</v>
      </c>
      <c r="AE103" s="20" t="s">
        <v>91</v>
      </c>
      <c r="AF103" s="20">
        <v>0.33333333333333331</v>
      </c>
      <c r="AG103" s="20">
        <v>0</v>
      </c>
      <c r="AH103" s="20">
        <v>1</v>
      </c>
      <c r="AI103" s="7" t="s">
        <v>92</v>
      </c>
      <c r="AJ103" s="20">
        <v>300</v>
      </c>
      <c r="AK103" s="4" t="s">
        <v>1047</v>
      </c>
      <c r="AL103" s="4">
        <v>2</v>
      </c>
      <c r="AM103" s="4" t="s">
        <v>94</v>
      </c>
      <c r="AN103" s="4" t="s">
        <v>95</v>
      </c>
      <c r="AO103" s="4" t="s">
        <v>96</v>
      </c>
      <c r="AP103" s="4">
        <v>1</v>
      </c>
      <c r="AQ103" s="20">
        <v>45000</v>
      </c>
      <c r="AR103" s="4">
        <v>41802</v>
      </c>
      <c r="AS103" s="20">
        <v>4545.454545454545</v>
      </c>
      <c r="AT103" s="20">
        <v>5171.68</v>
      </c>
      <c r="AU103" s="20">
        <v>626.22545454545525</v>
      </c>
      <c r="AV103" s="20">
        <v>0</v>
      </c>
      <c r="AW103" s="20">
        <v>1160</v>
      </c>
      <c r="AX103" s="20">
        <v>20</v>
      </c>
      <c r="AY103" s="20">
        <v>1180</v>
      </c>
      <c r="AZ103" s="20">
        <v>3.2</v>
      </c>
      <c r="BA103" s="20">
        <v>0</v>
      </c>
      <c r="BB103" s="6">
        <v>41733</v>
      </c>
      <c r="BC103" s="6">
        <v>0</v>
      </c>
      <c r="BD103" s="6">
        <v>41879</v>
      </c>
      <c r="BE103" s="6">
        <v>41879</v>
      </c>
      <c r="BF103" s="6">
        <v>41859</v>
      </c>
      <c r="BG103" s="6">
        <v>41864</v>
      </c>
      <c r="BH103" s="6">
        <v>0</v>
      </c>
      <c r="BI103" s="6">
        <v>0</v>
      </c>
      <c r="BJ103" s="6">
        <v>0</v>
      </c>
      <c r="BK103" s="5" t="s">
        <v>2173</v>
      </c>
      <c r="BL103" s="4" t="s">
        <v>2173</v>
      </c>
      <c r="BM103" s="20">
        <v>199</v>
      </c>
      <c r="BN103" s="20">
        <v>100</v>
      </c>
      <c r="BO103" s="20">
        <v>0</v>
      </c>
      <c r="BP103" s="20">
        <v>0</v>
      </c>
      <c r="BQ103" s="20">
        <v>0</v>
      </c>
      <c r="BR103" s="20">
        <v>0</v>
      </c>
      <c r="BS103" s="20">
        <v>300</v>
      </c>
      <c r="BT103" s="20">
        <v>1551504</v>
      </c>
      <c r="BU103" s="20">
        <v>13500000</v>
      </c>
      <c r="BV103" s="20">
        <v>7.9102131046566893</v>
      </c>
    </row>
    <row r="104" spans="1:74">
      <c r="A104" s="10">
        <f t="shared" si="6"/>
        <v>0</v>
      </c>
      <c r="B104" s="10">
        <f t="shared" si="7"/>
        <v>0</v>
      </c>
      <c r="C104" s="12">
        <f t="shared" si="8"/>
        <v>4</v>
      </c>
      <c r="D104" s="12">
        <f t="shared" si="9"/>
        <v>8</v>
      </c>
      <c r="E104" s="20" t="s">
        <v>424</v>
      </c>
      <c r="F104" s="20" t="s">
        <v>1451</v>
      </c>
      <c r="G104" s="20" t="s">
        <v>1452</v>
      </c>
      <c r="H104" s="20" t="s">
        <v>1463</v>
      </c>
      <c r="I104" s="20">
        <v>2</v>
      </c>
      <c r="J104" s="20" t="s">
        <v>1464</v>
      </c>
      <c r="K104" s="20" t="s">
        <v>1468</v>
      </c>
      <c r="L104" s="20" t="s">
        <v>1456</v>
      </c>
      <c r="M104" s="20" t="s">
        <v>1451</v>
      </c>
      <c r="N104" s="20" t="s">
        <v>1413</v>
      </c>
      <c r="P104" s="20" t="s">
        <v>1451</v>
      </c>
      <c r="Q104" s="20" t="s">
        <v>1457</v>
      </c>
      <c r="R104" s="20" t="s">
        <v>84</v>
      </c>
      <c r="S104" s="20" t="s">
        <v>123</v>
      </c>
      <c r="T104" s="20" t="s">
        <v>124</v>
      </c>
      <c r="U104" s="20" t="s">
        <v>125</v>
      </c>
      <c r="V104" s="20" t="s">
        <v>87</v>
      </c>
      <c r="W104" s="20">
        <v>503</v>
      </c>
      <c r="X104" s="20">
        <v>503</v>
      </c>
      <c r="Y104" s="20" t="s">
        <v>1458</v>
      </c>
      <c r="Z104" s="20">
        <v>0.16666666666666666</v>
      </c>
      <c r="AA104" s="20" t="s">
        <v>1466</v>
      </c>
      <c r="AB104" s="20" t="s">
        <v>101</v>
      </c>
      <c r="AC104" s="20" t="s">
        <v>102</v>
      </c>
      <c r="AD104" s="20" t="s">
        <v>1467</v>
      </c>
      <c r="AE104" s="20" t="s">
        <v>91</v>
      </c>
      <c r="AF104" s="20">
        <v>0.33333333333333331</v>
      </c>
      <c r="AG104" s="20">
        <v>0</v>
      </c>
      <c r="AH104" s="20">
        <v>1</v>
      </c>
      <c r="AI104" s="7" t="s">
        <v>97</v>
      </c>
      <c r="AJ104" s="20">
        <v>70</v>
      </c>
      <c r="AK104" s="4" t="s">
        <v>1047</v>
      </c>
      <c r="AL104" s="4">
        <v>2</v>
      </c>
      <c r="AM104" s="4" t="s">
        <v>94</v>
      </c>
      <c r="AN104" s="4" t="s">
        <v>95</v>
      </c>
      <c r="AO104" s="4" t="s">
        <v>96</v>
      </c>
      <c r="AP104" s="4">
        <v>1</v>
      </c>
      <c r="AQ104" s="20">
        <v>45000</v>
      </c>
      <c r="AR104" s="4">
        <v>41802</v>
      </c>
      <c r="AS104" s="20">
        <v>4545.454545454545</v>
      </c>
      <c r="AT104" s="20">
        <v>5171.68</v>
      </c>
      <c r="AU104" s="20">
        <v>626.22545454545525</v>
      </c>
      <c r="AV104" s="20">
        <v>0</v>
      </c>
      <c r="AW104" s="20">
        <v>1160</v>
      </c>
      <c r="AX104" s="20">
        <v>20</v>
      </c>
      <c r="AY104" s="20">
        <v>1180</v>
      </c>
      <c r="AZ104" s="20">
        <v>3.2</v>
      </c>
      <c r="BA104" s="20">
        <v>0</v>
      </c>
      <c r="BB104" s="6">
        <v>41733</v>
      </c>
      <c r="BC104" s="6">
        <v>0</v>
      </c>
      <c r="BD104" s="6">
        <v>41879</v>
      </c>
      <c r="BE104" s="6">
        <v>41879</v>
      </c>
      <c r="BF104" s="6">
        <v>41859</v>
      </c>
      <c r="BG104" s="6">
        <v>41864</v>
      </c>
      <c r="BH104" s="6">
        <v>0</v>
      </c>
      <c r="BI104" s="6">
        <v>0</v>
      </c>
      <c r="BJ104" s="6">
        <v>0</v>
      </c>
      <c r="BK104" s="5" t="s">
        <v>2173</v>
      </c>
      <c r="BL104" s="4" t="s">
        <v>2173</v>
      </c>
      <c r="BM104" s="20">
        <v>0</v>
      </c>
      <c r="BN104" s="20">
        <v>70</v>
      </c>
      <c r="BO104" s="20">
        <v>0</v>
      </c>
      <c r="BP104" s="20">
        <v>0</v>
      </c>
      <c r="BQ104" s="20">
        <v>0</v>
      </c>
      <c r="BR104" s="20">
        <v>0</v>
      </c>
      <c r="BS104" s="20">
        <v>70</v>
      </c>
      <c r="BT104" s="20">
        <v>362017.60000000003</v>
      </c>
      <c r="BU104" s="20">
        <v>3150000</v>
      </c>
      <c r="BV104" s="20">
        <v>7.9102131046566893</v>
      </c>
    </row>
    <row r="105" spans="1:74">
      <c r="A105" s="10">
        <f t="shared" si="6"/>
        <v>0</v>
      </c>
      <c r="B105" s="10">
        <f t="shared" si="7"/>
        <v>0</v>
      </c>
      <c r="C105" s="12">
        <f t="shared" si="8"/>
        <v>4</v>
      </c>
      <c r="D105" s="12">
        <f t="shared" si="9"/>
        <v>8</v>
      </c>
      <c r="E105" s="20" t="s">
        <v>424</v>
      </c>
      <c r="F105" s="20" t="s">
        <v>1451</v>
      </c>
      <c r="G105" s="20" t="s">
        <v>1452</v>
      </c>
      <c r="H105" s="20" t="s">
        <v>1463</v>
      </c>
      <c r="I105" s="20">
        <v>2</v>
      </c>
      <c r="J105" s="20" t="s">
        <v>1464</v>
      </c>
      <c r="K105" s="20" t="s">
        <v>1469</v>
      </c>
      <c r="L105" s="20" t="s">
        <v>1456</v>
      </c>
      <c r="M105" s="20" t="s">
        <v>1451</v>
      </c>
      <c r="N105" s="20" t="s">
        <v>1413</v>
      </c>
      <c r="P105" s="20" t="s">
        <v>1451</v>
      </c>
      <c r="Q105" s="20" t="s">
        <v>1457</v>
      </c>
      <c r="R105" s="20" t="s">
        <v>84</v>
      </c>
      <c r="S105" s="20" t="s">
        <v>123</v>
      </c>
      <c r="T105" s="20" t="s">
        <v>124</v>
      </c>
      <c r="U105" s="20" t="s">
        <v>125</v>
      </c>
      <c r="V105" s="20" t="s">
        <v>87</v>
      </c>
      <c r="W105" s="20">
        <v>503</v>
      </c>
      <c r="X105" s="20">
        <v>503</v>
      </c>
      <c r="Y105" s="20" t="s">
        <v>1458</v>
      </c>
      <c r="Z105" s="20">
        <v>0.16666666666666666</v>
      </c>
      <c r="AA105" s="20" t="s">
        <v>1466</v>
      </c>
      <c r="AB105" s="20" t="s">
        <v>101</v>
      </c>
      <c r="AC105" s="20" t="s">
        <v>102</v>
      </c>
      <c r="AD105" s="20" t="s">
        <v>1467</v>
      </c>
      <c r="AE105" s="20" t="s">
        <v>91</v>
      </c>
      <c r="AF105" s="20">
        <v>0.33333333333333331</v>
      </c>
      <c r="AG105" s="20">
        <v>0</v>
      </c>
      <c r="AH105" s="20">
        <v>1</v>
      </c>
      <c r="AI105" s="7" t="s">
        <v>98</v>
      </c>
      <c r="AJ105" s="20">
        <v>30</v>
      </c>
      <c r="AK105" s="4" t="s">
        <v>1047</v>
      </c>
      <c r="AL105" s="4">
        <v>2</v>
      </c>
      <c r="AM105" s="4" t="s">
        <v>94</v>
      </c>
      <c r="AN105" s="4" t="s">
        <v>95</v>
      </c>
      <c r="AO105" s="4" t="s">
        <v>96</v>
      </c>
      <c r="AP105" s="4">
        <v>1</v>
      </c>
      <c r="AQ105" s="20">
        <v>45000</v>
      </c>
      <c r="AR105" s="4">
        <v>41802</v>
      </c>
      <c r="AS105" s="20">
        <v>4545.454545454545</v>
      </c>
      <c r="AT105" s="20">
        <v>5171.68</v>
      </c>
      <c r="AU105" s="20">
        <v>626.22545454545525</v>
      </c>
      <c r="AV105" s="20">
        <v>0</v>
      </c>
      <c r="AW105" s="20">
        <v>1160</v>
      </c>
      <c r="AX105" s="20">
        <v>20</v>
      </c>
      <c r="AY105" s="20">
        <v>1180</v>
      </c>
      <c r="AZ105" s="20">
        <v>3.2</v>
      </c>
      <c r="BA105" s="20">
        <v>0</v>
      </c>
      <c r="BB105" s="6">
        <v>41733</v>
      </c>
      <c r="BC105" s="6">
        <v>0</v>
      </c>
      <c r="BD105" s="6">
        <v>41879</v>
      </c>
      <c r="BE105" s="6">
        <v>41879</v>
      </c>
      <c r="BF105" s="6">
        <v>41859</v>
      </c>
      <c r="BG105" s="6">
        <v>41864</v>
      </c>
      <c r="BH105" s="6">
        <v>0</v>
      </c>
      <c r="BI105" s="6">
        <v>0</v>
      </c>
      <c r="BJ105" s="6">
        <v>0</v>
      </c>
      <c r="BK105" s="5" t="s">
        <v>2173</v>
      </c>
      <c r="BL105" s="4" t="s">
        <v>2173</v>
      </c>
      <c r="BM105" s="20">
        <v>0</v>
      </c>
      <c r="BN105" s="20">
        <v>30</v>
      </c>
      <c r="BO105" s="20">
        <v>0</v>
      </c>
      <c r="BP105" s="20">
        <v>0</v>
      </c>
      <c r="BQ105" s="20">
        <v>0</v>
      </c>
      <c r="BR105" s="20">
        <v>0</v>
      </c>
      <c r="BS105" s="20">
        <v>30</v>
      </c>
      <c r="BT105" s="20">
        <v>155150.40000000002</v>
      </c>
      <c r="BU105" s="20">
        <v>1350000</v>
      </c>
      <c r="BV105" s="20">
        <v>7.9102131046566884</v>
      </c>
    </row>
    <row r="106" spans="1:74">
      <c r="A106" s="10">
        <f t="shared" si="6"/>
        <v>0</v>
      </c>
      <c r="B106" s="10">
        <f t="shared" si="7"/>
        <v>0</v>
      </c>
      <c r="C106" s="12" t="str">
        <f t="shared" si="8"/>
        <v/>
      </c>
      <c r="D106" s="12" t="str">
        <f t="shared" si="9"/>
        <v/>
      </c>
      <c r="E106" s="20" t="s">
        <v>91</v>
      </c>
      <c r="F106" s="20" t="s">
        <v>91</v>
      </c>
      <c r="G106" s="20" t="s">
        <v>91</v>
      </c>
      <c r="H106" s="20" t="s">
        <v>91</v>
      </c>
      <c r="I106" s="20">
        <v>0</v>
      </c>
      <c r="J106" s="20" t="s">
        <v>103</v>
      </c>
      <c r="K106" s="20" t="s">
        <v>104</v>
      </c>
      <c r="L106" s="20">
        <v>0</v>
      </c>
      <c r="M106" s="20" t="s">
        <v>105</v>
      </c>
      <c r="N106" s="20" t="s">
        <v>91</v>
      </c>
      <c r="O106" s="20" t="s">
        <v>1470</v>
      </c>
      <c r="Q106" s="20" t="s">
        <v>91</v>
      </c>
      <c r="R106" s="20" t="s">
        <v>91</v>
      </c>
      <c r="S106" s="20" t="s">
        <v>91</v>
      </c>
      <c r="U106" s="20" t="s">
        <v>91</v>
      </c>
      <c r="X106" s="20" t="s">
        <v>91</v>
      </c>
      <c r="Y106" s="20" t="s">
        <v>91</v>
      </c>
      <c r="Z106" s="20">
        <v>0.99999999999999989</v>
      </c>
      <c r="AB106" s="20" t="s">
        <v>91</v>
      </c>
      <c r="AD106" s="20" t="s">
        <v>91</v>
      </c>
      <c r="AE106" s="20" t="s">
        <v>91</v>
      </c>
      <c r="AF106" s="20">
        <v>1.9999999999999998</v>
      </c>
      <c r="AG106" s="20">
        <v>0</v>
      </c>
      <c r="AH106" s="20">
        <v>1</v>
      </c>
      <c r="AI106" s="7"/>
      <c r="AJ106" s="20">
        <v>800</v>
      </c>
      <c r="AM106" s="4" t="s">
        <v>91</v>
      </c>
      <c r="AP106" s="4" t="s">
        <v>91</v>
      </c>
      <c r="AQ106" s="20">
        <v>0</v>
      </c>
      <c r="AR106" s="4">
        <v>0</v>
      </c>
      <c r="AY106" s="20">
        <v>0</v>
      </c>
      <c r="AZ106" s="20">
        <v>2560</v>
      </c>
      <c r="BA106" s="20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5">
        <v>0</v>
      </c>
      <c r="BL106" s="4">
        <v>0</v>
      </c>
      <c r="BM106" s="20">
        <v>399</v>
      </c>
      <c r="BN106" s="20">
        <v>400</v>
      </c>
      <c r="BO106" s="20">
        <v>0</v>
      </c>
      <c r="BP106" s="20">
        <v>0</v>
      </c>
      <c r="BQ106" s="20">
        <v>0</v>
      </c>
      <c r="BR106" s="20">
        <v>0</v>
      </c>
      <c r="BS106" s="20">
        <v>800</v>
      </c>
      <c r="BT106" s="20">
        <v>4137344</v>
      </c>
      <c r="BU106" s="20">
        <v>36000000</v>
      </c>
      <c r="BV106" s="20">
        <v>7.9102131046566893</v>
      </c>
    </row>
    <row r="107" spans="1:74">
      <c r="A107" s="10">
        <f t="shared" si="6"/>
        <v>0</v>
      </c>
      <c r="B107" s="10">
        <f t="shared" si="7"/>
        <v>0</v>
      </c>
      <c r="C107" s="12">
        <f t="shared" si="8"/>
        <v>4</v>
      </c>
      <c r="D107" s="12">
        <f t="shared" si="9"/>
        <v>9</v>
      </c>
      <c r="E107" s="20" t="s">
        <v>424</v>
      </c>
      <c r="F107" s="20" t="s">
        <v>1393</v>
      </c>
      <c r="G107" s="20" t="s">
        <v>1471</v>
      </c>
      <c r="H107" s="20" t="s">
        <v>1472</v>
      </c>
      <c r="I107" s="20">
        <v>1</v>
      </c>
      <c r="J107" s="20" t="s">
        <v>1473</v>
      </c>
      <c r="K107" s="20" t="s">
        <v>1474</v>
      </c>
      <c r="L107" s="20" t="s">
        <v>1475</v>
      </c>
      <c r="M107" s="20" t="s">
        <v>1393</v>
      </c>
      <c r="N107" s="20" t="s">
        <v>1413</v>
      </c>
      <c r="P107" s="20" t="s">
        <v>1393</v>
      </c>
      <c r="Q107" s="20" t="s">
        <v>1400</v>
      </c>
      <c r="R107" s="20" t="s">
        <v>84</v>
      </c>
      <c r="S107" s="20">
        <v>5</v>
      </c>
      <c r="T107" s="20" t="s">
        <v>106</v>
      </c>
      <c r="U107" s="20" t="s">
        <v>107</v>
      </c>
      <c r="V107" s="20" t="s">
        <v>87</v>
      </c>
      <c r="W107" s="20">
        <v>505</v>
      </c>
      <c r="X107" s="20">
        <v>505</v>
      </c>
      <c r="Y107" s="20" t="s">
        <v>1476</v>
      </c>
      <c r="Z107" s="20">
        <v>0.5</v>
      </c>
      <c r="AA107" s="20" t="s">
        <v>1477</v>
      </c>
      <c r="AB107" s="20" t="s">
        <v>109</v>
      </c>
      <c r="AC107" s="20" t="s">
        <v>110</v>
      </c>
      <c r="AD107" s="20" t="s">
        <v>1478</v>
      </c>
      <c r="AE107" s="20" t="s">
        <v>91</v>
      </c>
      <c r="AF107" s="20">
        <v>0.5</v>
      </c>
      <c r="AG107" s="20">
        <v>0</v>
      </c>
      <c r="AH107" s="20">
        <v>1</v>
      </c>
      <c r="AI107" s="7" t="s">
        <v>97</v>
      </c>
      <c r="AJ107" s="20">
        <v>150</v>
      </c>
      <c r="AK107" s="4" t="s">
        <v>1113</v>
      </c>
      <c r="AL107" s="4">
        <v>1</v>
      </c>
      <c r="AM107" s="4" t="s">
        <v>130</v>
      </c>
      <c r="AN107" s="4" t="s">
        <v>95</v>
      </c>
      <c r="AO107" s="4" t="s">
        <v>1018</v>
      </c>
      <c r="AP107" s="4">
        <v>1</v>
      </c>
      <c r="AQ107" s="20">
        <v>45000</v>
      </c>
      <c r="AR107" s="4">
        <v>41802</v>
      </c>
      <c r="AS107" s="20">
        <v>8181.8181818181811</v>
      </c>
      <c r="AT107" s="20">
        <v>8820</v>
      </c>
      <c r="AU107" s="20">
        <v>638.18181818181893</v>
      </c>
      <c r="AV107" s="20">
        <v>0</v>
      </c>
      <c r="AW107" s="20">
        <v>0</v>
      </c>
      <c r="AX107" s="20">
        <v>20</v>
      </c>
      <c r="AY107" s="20">
        <v>20</v>
      </c>
      <c r="AZ107" s="20">
        <v>8</v>
      </c>
      <c r="BA107" s="20">
        <v>0</v>
      </c>
      <c r="BB107" s="6">
        <v>41733</v>
      </c>
      <c r="BC107" s="6">
        <v>0</v>
      </c>
      <c r="BD107" s="6">
        <v>41879</v>
      </c>
      <c r="BE107" s="6">
        <v>41879</v>
      </c>
      <c r="BF107" s="6">
        <v>41901</v>
      </c>
      <c r="BG107" s="6">
        <v>0</v>
      </c>
      <c r="BH107" s="6">
        <v>0</v>
      </c>
      <c r="BI107" s="6">
        <v>0</v>
      </c>
      <c r="BJ107" s="6">
        <v>0</v>
      </c>
      <c r="BK107" s="5" t="s">
        <v>401</v>
      </c>
      <c r="BL107" s="4" t="s">
        <v>401</v>
      </c>
      <c r="BM107" s="20">
        <v>150</v>
      </c>
      <c r="BN107" s="20">
        <v>0</v>
      </c>
      <c r="BO107" s="20">
        <v>0</v>
      </c>
      <c r="BP107" s="20">
        <v>0</v>
      </c>
      <c r="BQ107" s="20">
        <v>0</v>
      </c>
      <c r="BR107" s="20">
        <v>0</v>
      </c>
      <c r="BS107" s="20">
        <v>150</v>
      </c>
      <c r="BT107" s="20">
        <v>1323000</v>
      </c>
      <c r="BU107" s="20">
        <v>6750000</v>
      </c>
      <c r="BV107" s="20">
        <v>4.6382189239332092</v>
      </c>
    </row>
    <row r="108" spans="1:74">
      <c r="A108" s="10">
        <f t="shared" si="6"/>
        <v>0</v>
      </c>
      <c r="B108" s="10">
        <f t="shared" si="7"/>
        <v>0</v>
      </c>
      <c r="C108" s="12">
        <f t="shared" si="8"/>
        <v>4</v>
      </c>
      <c r="D108" s="12">
        <f t="shared" si="9"/>
        <v>9</v>
      </c>
      <c r="E108" s="20" t="s">
        <v>424</v>
      </c>
      <c r="F108" s="20" t="s">
        <v>1393</v>
      </c>
      <c r="G108" s="20" t="s">
        <v>1471</v>
      </c>
      <c r="H108" s="20" t="s">
        <v>1472</v>
      </c>
      <c r="I108" s="20">
        <v>1</v>
      </c>
      <c r="J108" s="20" t="s">
        <v>1473</v>
      </c>
      <c r="K108" s="20" t="s">
        <v>1479</v>
      </c>
      <c r="L108" s="20" t="s">
        <v>1475</v>
      </c>
      <c r="M108" s="20" t="s">
        <v>1393</v>
      </c>
      <c r="N108" s="20" t="s">
        <v>1413</v>
      </c>
      <c r="P108" s="20" t="s">
        <v>1393</v>
      </c>
      <c r="Q108" s="20" t="s">
        <v>1400</v>
      </c>
      <c r="R108" s="20" t="s">
        <v>84</v>
      </c>
      <c r="S108" s="20">
        <v>5</v>
      </c>
      <c r="T108" s="20" t="s">
        <v>106</v>
      </c>
      <c r="U108" s="20" t="s">
        <v>107</v>
      </c>
      <c r="V108" s="20" t="s">
        <v>87</v>
      </c>
      <c r="W108" s="20">
        <v>505</v>
      </c>
      <c r="X108" s="20">
        <v>505</v>
      </c>
      <c r="Y108" s="20" t="s">
        <v>1476</v>
      </c>
      <c r="Z108" s="20">
        <v>0.5</v>
      </c>
      <c r="AA108" s="20" t="s">
        <v>1477</v>
      </c>
      <c r="AB108" s="20" t="s">
        <v>109</v>
      </c>
      <c r="AC108" s="20" t="s">
        <v>110</v>
      </c>
      <c r="AD108" s="20" t="s">
        <v>1478</v>
      </c>
      <c r="AE108" s="20" t="s">
        <v>91</v>
      </c>
      <c r="AF108" s="20">
        <v>0.5</v>
      </c>
      <c r="AG108" s="20">
        <v>0</v>
      </c>
      <c r="AH108" s="20">
        <v>1</v>
      </c>
      <c r="AI108" s="7" t="s">
        <v>98</v>
      </c>
      <c r="AJ108" s="20">
        <v>150</v>
      </c>
      <c r="AK108" s="4" t="s">
        <v>1113</v>
      </c>
      <c r="AL108" s="4">
        <v>1</v>
      </c>
      <c r="AM108" s="4" t="s">
        <v>130</v>
      </c>
      <c r="AN108" s="4" t="s">
        <v>95</v>
      </c>
      <c r="AO108" s="4" t="s">
        <v>1018</v>
      </c>
      <c r="AP108" s="4">
        <v>1</v>
      </c>
      <c r="AQ108" s="20">
        <v>45000</v>
      </c>
      <c r="AR108" s="4">
        <v>41802</v>
      </c>
      <c r="AS108" s="20">
        <v>8181.8181818181811</v>
      </c>
      <c r="AT108" s="20">
        <v>8820</v>
      </c>
      <c r="AU108" s="20">
        <v>638.18181818181893</v>
      </c>
      <c r="AV108" s="20">
        <v>0</v>
      </c>
      <c r="AW108" s="20">
        <v>0</v>
      </c>
      <c r="AX108" s="20">
        <v>20</v>
      </c>
      <c r="AY108" s="20">
        <v>20</v>
      </c>
      <c r="AZ108" s="20">
        <v>8</v>
      </c>
      <c r="BA108" s="20">
        <v>0</v>
      </c>
      <c r="BB108" s="6">
        <v>41733</v>
      </c>
      <c r="BC108" s="6">
        <v>0</v>
      </c>
      <c r="BD108" s="6">
        <v>41879</v>
      </c>
      <c r="BE108" s="6">
        <v>41879</v>
      </c>
      <c r="BF108" s="6">
        <v>41901</v>
      </c>
      <c r="BG108" s="6">
        <v>0</v>
      </c>
      <c r="BH108" s="6">
        <v>0</v>
      </c>
      <c r="BI108" s="6">
        <v>0</v>
      </c>
      <c r="BJ108" s="6">
        <v>0</v>
      </c>
      <c r="BK108" s="5" t="s">
        <v>401</v>
      </c>
      <c r="BL108" s="4" t="s">
        <v>401</v>
      </c>
      <c r="BM108" s="20">
        <v>150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150</v>
      </c>
      <c r="BT108" s="20">
        <v>1323000</v>
      </c>
      <c r="BU108" s="20">
        <v>6750000</v>
      </c>
      <c r="BV108" s="20">
        <v>4.6382189239332092</v>
      </c>
    </row>
    <row r="109" spans="1:74">
      <c r="A109" s="10">
        <f t="shared" si="6"/>
        <v>0</v>
      </c>
      <c r="B109" s="10">
        <f t="shared" si="7"/>
        <v>0</v>
      </c>
      <c r="C109" s="12" t="str">
        <f t="shared" si="8"/>
        <v/>
      </c>
      <c r="D109" s="12" t="str">
        <f t="shared" si="9"/>
        <v/>
      </c>
      <c r="E109" s="20" t="s">
        <v>91</v>
      </c>
      <c r="F109" s="20" t="s">
        <v>91</v>
      </c>
      <c r="G109" s="20" t="s">
        <v>91</v>
      </c>
      <c r="H109" s="20" t="s">
        <v>91</v>
      </c>
      <c r="I109" s="20">
        <v>0</v>
      </c>
      <c r="J109" s="20" t="s">
        <v>103</v>
      </c>
      <c r="K109" s="20" t="s">
        <v>104</v>
      </c>
      <c r="L109" s="20">
        <v>0</v>
      </c>
      <c r="M109" s="20" t="s">
        <v>105</v>
      </c>
      <c r="N109" s="20" t="s">
        <v>91</v>
      </c>
      <c r="O109" s="20" t="s">
        <v>1480</v>
      </c>
      <c r="Q109" s="20" t="s">
        <v>91</v>
      </c>
      <c r="R109" s="20" t="s">
        <v>91</v>
      </c>
      <c r="S109" s="20" t="s">
        <v>91</v>
      </c>
      <c r="U109" s="20" t="s">
        <v>91</v>
      </c>
      <c r="X109" s="20" t="s">
        <v>91</v>
      </c>
      <c r="Y109" s="20" t="s">
        <v>91</v>
      </c>
      <c r="Z109" s="20">
        <v>1</v>
      </c>
      <c r="AB109" s="20" t="s">
        <v>91</v>
      </c>
      <c r="AD109" s="20" t="s">
        <v>91</v>
      </c>
      <c r="AE109" s="20" t="s">
        <v>91</v>
      </c>
      <c r="AF109" s="20">
        <v>1</v>
      </c>
      <c r="AG109" s="20">
        <v>0</v>
      </c>
      <c r="AH109" s="20">
        <v>1</v>
      </c>
      <c r="AI109" s="7"/>
      <c r="AJ109" s="20">
        <v>300</v>
      </c>
      <c r="AM109" s="4" t="s">
        <v>91</v>
      </c>
      <c r="AP109" s="4" t="s">
        <v>91</v>
      </c>
      <c r="AQ109" s="20">
        <v>0</v>
      </c>
      <c r="AR109" s="4">
        <v>0</v>
      </c>
      <c r="AX109" s="20" t="s">
        <v>91</v>
      </c>
      <c r="AY109" s="20">
        <v>0</v>
      </c>
      <c r="AZ109" s="20">
        <v>2400</v>
      </c>
      <c r="BA109" s="20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5">
        <v>0</v>
      </c>
      <c r="BL109" s="4">
        <v>0</v>
      </c>
      <c r="BM109" s="20">
        <v>300</v>
      </c>
      <c r="BN109" s="20">
        <v>0</v>
      </c>
      <c r="BO109" s="20">
        <v>0</v>
      </c>
      <c r="BP109" s="20">
        <v>0</v>
      </c>
      <c r="BQ109" s="20">
        <v>0</v>
      </c>
      <c r="BR109" s="20">
        <v>0</v>
      </c>
      <c r="BS109" s="20">
        <v>300</v>
      </c>
      <c r="BT109" s="20">
        <v>2646000</v>
      </c>
      <c r="BU109" s="20">
        <v>13500000</v>
      </c>
      <c r="BV109" s="20">
        <v>4.6382189239332092</v>
      </c>
    </row>
    <row r="110" spans="1:74">
      <c r="A110" s="10">
        <f t="shared" si="6"/>
        <v>0</v>
      </c>
      <c r="B110" s="10">
        <f t="shared" si="7"/>
        <v>0.5</v>
      </c>
      <c r="C110" s="12">
        <f t="shared" si="8"/>
        <v>4</v>
      </c>
      <c r="D110" s="12">
        <f t="shared" si="9"/>
        <v>10</v>
      </c>
      <c r="E110" s="20" t="s">
        <v>424</v>
      </c>
      <c r="F110" s="20" t="s">
        <v>1393</v>
      </c>
      <c r="G110" s="20" t="s">
        <v>1481</v>
      </c>
      <c r="H110" s="20" t="s">
        <v>1482</v>
      </c>
      <c r="I110" s="20">
        <v>1</v>
      </c>
      <c r="J110" s="20" t="s">
        <v>1483</v>
      </c>
      <c r="K110" s="20" t="s">
        <v>1484</v>
      </c>
      <c r="L110" s="20" t="s">
        <v>1485</v>
      </c>
      <c r="M110" s="20" t="s">
        <v>1393</v>
      </c>
      <c r="N110" s="20" t="s">
        <v>1413</v>
      </c>
      <c r="P110" s="20" t="s">
        <v>1393</v>
      </c>
      <c r="Q110" s="20" t="s">
        <v>1400</v>
      </c>
      <c r="R110" s="20" t="s">
        <v>84</v>
      </c>
      <c r="S110" s="20">
        <v>5</v>
      </c>
      <c r="T110" s="20" t="s">
        <v>106</v>
      </c>
      <c r="U110" s="20" t="s">
        <v>107</v>
      </c>
      <c r="V110" s="20" t="s">
        <v>87</v>
      </c>
      <c r="W110" s="20">
        <v>506</v>
      </c>
      <c r="X110" s="20">
        <v>506</v>
      </c>
      <c r="Y110" s="20" t="s">
        <v>1486</v>
      </c>
      <c r="Z110" s="20">
        <v>0.5</v>
      </c>
      <c r="AA110" s="20" t="s">
        <v>1487</v>
      </c>
      <c r="AB110" s="20" t="s">
        <v>109</v>
      </c>
      <c r="AC110" s="20" t="s">
        <v>110</v>
      </c>
      <c r="AD110" s="20" t="s">
        <v>1488</v>
      </c>
      <c r="AE110" s="20" t="s">
        <v>91</v>
      </c>
      <c r="AF110" s="20">
        <v>0.5</v>
      </c>
      <c r="AG110" s="20">
        <v>0</v>
      </c>
      <c r="AH110" s="20">
        <v>1</v>
      </c>
      <c r="AI110" s="7" t="s">
        <v>97</v>
      </c>
      <c r="AJ110" s="20">
        <v>150</v>
      </c>
      <c r="AK110" s="4" t="s">
        <v>111</v>
      </c>
      <c r="AL110" s="4">
        <v>2</v>
      </c>
      <c r="AM110" s="4" t="s">
        <v>94</v>
      </c>
      <c r="AN110" s="4" t="s">
        <v>95</v>
      </c>
      <c r="AO110" s="4" t="s">
        <v>96</v>
      </c>
      <c r="AP110" s="4">
        <v>1</v>
      </c>
      <c r="AQ110" s="20">
        <v>45000</v>
      </c>
      <c r="AR110" s="4">
        <v>41802</v>
      </c>
      <c r="AS110" s="20">
        <v>6818.1818181818171</v>
      </c>
      <c r="AT110" s="20">
        <v>7855.1800000000012</v>
      </c>
      <c r="AU110" s="20">
        <v>1036.9981818181841</v>
      </c>
      <c r="AV110" s="20">
        <v>725</v>
      </c>
      <c r="AW110" s="20">
        <v>0</v>
      </c>
      <c r="AX110" s="20">
        <v>20</v>
      </c>
      <c r="AY110" s="20">
        <v>745</v>
      </c>
      <c r="AZ110" s="20">
        <v>5.7</v>
      </c>
      <c r="BA110" s="20">
        <v>0</v>
      </c>
      <c r="BB110" s="6">
        <v>41733</v>
      </c>
      <c r="BC110" s="6">
        <v>0</v>
      </c>
      <c r="BD110" s="6">
        <v>41879</v>
      </c>
      <c r="BE110" s="6">
        <v>41879</v>
      </c>
      <c r="BF110" s="6">
        <v>41934</v>
      </c>
      <c r="BI110" s="6">
        <v>0</v>
      </c>
      <c r="BJ110" s="6">
        <v>0</v>
      </c>
      <c r="BK110" s="5" t="s">
        <v>2173</v>
      </c>
      <c r="BL110" s="4" t="s">
        <v>2173</v>
      </c>
      <c r="BM110" s="20">
        <v>149</v>
      </c>
      <c r="BN110" s="20">
        <v>0</v>
      </c>
      <c r="BO110" s="20">
        <v>0</v>
      </c>
      <c r="BP110" s="20">
        <v>0</v>
      </c>
      <c r="BQ110" s="20">
        <v>0</v>
      </c>
      <c r="BR110" s="20">
        <v>0</v>
      </c>
      <c r="BS110" s="20">
        <v>150</v>
      </c>
      <c r="BT110" s="20">
        <v>1178277.0000000002</v>
      </c>
      <c r="BU110" s="20">
        <v>6750000</v>
      </c>
      <c r="BV110" s="20">
        <v>5.2079126015051083</v>
      </c>
    </row>
    <row r="111" spans="1:74">
      <c r="A111" s="10">
        <f t="shared" si="6"/>
        <v>0</v>
      </c>
      <c r="B111" s="10">
        <f t="shared" si="7"/>
        <v>0.5</v>
      </c>
      <c r="C111" s="12">
        <f t="shared" si="8"/>
        <v>4</v>
      </c>
      <c r="D111" s="12">
        <f t="shared" si="9"/>
        <v>10</v>
      </c>
      <c r="E111" s="20" t="s">
        <v>424</v>
      </c>
      <c r="F111" s="20" t="s">
        <v>1393</v>
      </c>
      <c r="G111" s="20" t="s">
        <v>1481</v>
      </c>
      <c r="H111" s="20" t="s">
        <v>1482</v>
      </c>
      <c r="I111" s="20">
        <v>1</v>
      </c>
      <c r="J111" s="20" t="s">
        <v>1483</v>
      </c>
      <c r="K111" s="20" t="s">
        <v>1489</v>
      </c>
      <c r="L111" s="20" t="s">
        <v>1485</v>
      </c>
      <c r="M111" s="20" t="s">
        <v>1393</v>
      </c>
      <c r="N111" s="20" t="s">
        <v>1413</v>
      </c>
      <c r="P111" s="20" t="s">
        <v>1393</v>
      </c>
      <c r="Q111" s="20" t="s">
        <v>1400</v>
      </c>
      <c r="R111" s="20" t="s">
        <v>84</v>
      </c>
      <c r="S111" s="20">
        <v>5</v>
      </c>
      <c r="T111" s="20" t="s">
        <v>106</v>
      </c>
      <c r="U111" s="20" t="s">
        <v>107</v>
      </c>
      <c r="V111" s="20" t="s">
        <v>87</v>
      </c>
      <c r="W111" s="20">
        <v>506</v>
      </c>
      <c r="X111" s="20">
        <v>506</v>
      </c>
      <c r="Y111" s="20" t="s">
        <v>1486</v>
      </c>
      <c r="Z111" s="20">
        <v>0.5</v>
      </c>
      <c r="AA111" s="20" t="s">
        <v>1487</v>
      </c>
      <c r="AB111" s="20" t="s">
        <v>109</v>
      </c>
      <c r="AC111" s="20" t="s">
        <v>110</v>
      </c>
      <c r="AD111" s="20" t="s">
        <v>1488</v>
      </c>
      <c r="AE111" s="20" t="s">
        <v>91</v>
      </c>
      <c r="AF111" s="20">
        <v>0.5</v>
      </c>
      <c r="AG111" s="20">
        <v>0</v>
      </c>
      <c r="AH111" s="20">
        <v>1</v>
      </c>
      <c r="AI111" s="7" t="s">
        <v>98</v>
      </c>
      <c r="AJ111" s="20">
        <v>150</v>
      </c>
      <c r="AK111" s="4" t="s">
        <v>111</v>
      </c>
      <c r="AL111" s="4">
        <v>2</v>
      </c>
      <c r="AM111" s="4" t="s">
        <v>94</v>
      </c>
      <c r="AN111" s="4" t="s">
        <v>95</v>
      </c>
      <c r="AO111" s="4" t="s">
        <v>96</v>
      </c>
      <c r="AP111" s="4">
        <v>1</v>
      </c>
      <c r="AQ111" s="20">
        <v>45000</v>
      </c>
      <c r="AR111" s="4">
        <v>41802</v>
      </c>
      <c r="AS111" s="20">
        <v>6818.1818181818171</v>
      </c>
      <c r="AT111" s="20">
        <v>7855.1800000000012</v>
      </c>
      <c r="AU111" s="20">
        <v>1036.9981818181841</v>
      </c>
      <c r="AV111" s="20">
        <v>725</v>
      </c>
      <c r="AW111" s="20">
        <v>0</v>
      </c>
      <c r="AX111" s="20">
        <v>20</v>
      </c>
      <c r="AY111" s="20">
        <v>745</v>
      </c>
      <c r="AZ111" s="20">
        <v>5.7</v>
      </c>
      <c r="BA111" s="20">
        <v>0</v>
      </c>
      <c r="BB111" s="6">
        <v>41733</v>
      </c>
      <c r="BC111" s="6">
        <v>0</v>
      </c>
      <c r="BD111" s="6">
        <v>41879</v>
      </c>
      <c r="BE111" s="6">
        <v>41879</v>
      </c>
      <c r="BF111" s="6">
        <v>41934</v>
      </c>
      <c r="BI111" s="6">
        <v>0</v>
      </c>
      <c r="BJ111" s="6">
        <v>0</v>
      </c>
      <c r="BK111" s="5" t="s">
        <v>2173</v>
      </c>
      <c r="BL111" s="4" t="s">
        <v>2173</v>
      </c>
      <c r="BM111" s="20">
        <v>149</v>
      </c>
      <c r="BN111" s="20">
        <v>0</v>
      </c>
      <c r="BO111" s="20">
        <v>0</v>
      </c>
      <c r="BP111" s="20">
        <v>0</v>
      </c>
      <c r="BQ111" s="20">
        <v>0</v>
      </c>
      <c r="BR111" s="20">
        <v>0</v>
      </c>
      <c r="BS111" s="20">
        <v>150</v>
      </c>
      <c r="BT111" s="20">
        <v>1178277.0000000002</v>
      </c>
      <c r="BU111" s="20">
        <v>6750000</v>
      </c>
      <c r="BV111" s="20">
        <v>5.2079126015051083</v>
      </c>
    </row>
    <row r="112" spans="1:74">
      <c r="A112" s="10">
        <f t="shared" si="6"/>
        <v>0</v>
      </c>
      <c r="B112" s="10">
        <f t="shared" si="7"/>
        <v>0</v>
      </c>
      <c r="C112" s="12" t="str">
        <f t="shared" si="8"/>
        <v/>
      </c>
      <c r="D112" s="12" t="str">
        <f t="shared" si="9"/>
        <v/>
      </c>
      <c r="E112" s="20" t="s">
        <v>91</v>
      </c>
      <c r="F112" s="20" t="s">
        <v>91</v>
      </c>
      <c r="G112" s="20" t="s">
        <v>91</v>
      </c>
      <c r="H112" s="20" t="s">
        <v>91</v>
      </c>
      <c r="I112" s="20">
        <v>0</v>
      </c>
      <c r="J112" s="20" t="s">
        <v>103</v>
      </c>
      <c r="K112" s="20" t="s">
        <v>104</v>
      </c>
      <c r="L112" s="20">
        <v>0</v>
      </c>
      <c r="M112" s="20" t="s">
        <v>105</v>
      </c>
      <c r="N112" s="20" t="s">
        <v>91</v>
      </c>
      <c r="O112" s="20" t="s">
        <v>1490</v>
      </c>
      <c r="Q112" s="20" t="s">
        <v>91</v>
      </c>
      <c r="R112" s="20" t="s">
        <v>91</v>
      </c>
      <c r="S112" s="20" t="s">
        <v>91</v>
      </c>
      <c r="U112" s="20" t="s">
        <v>91</v>
      </c>
      <c r="X112" s="20" t="s">
        <v>91</v>
      </c>
      <c r="Y112" s="20" t="s">
        <v>91</v>
      </c>
      <c r="Z112" s="20">
        <v>1</v>
      </c>
      <c r="AB112" s="20" t="s">
        <v>91</v>
      </c>
      <c r="AD112" s="20" t="s">
        <v>91</v>
      </c>
      <c r="AE112" s="20" t="s">
        <v>91</v>
      </c>
      <c r="AF112" s="20">
        <v>1</v>
      </c>
      <c r="AG112" s="20">
        <v>0</v>
      </c>
      <c r="AH112" s="20">
        <v>1</v>
      </c>
      <c r="AI112" s="7"/>
      <c r="AJ112" s="20">
        <v>300</v>
      </c>
      <c r="AM112" s="4" t="s">
        <v>91</v>
      </c>
      <c r="AP112" s="4" t="s">
        <v>91</v>
      </c>
      <c r="AQ112" s="20">
        <v>0</v>
      </c>
      <c r="AR112" s="4">
        <v>0</v>
      </c>
      <c r="AY112" s="20">
        <v>0</v>
      </c>
      <c r="AZ112" s="20">
        <v>1710</v>
      </c>
      <c r="BA112" s="20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5">
        <v>0</v>
      </c>
      <c r="BL112" s="4">
        <v>0</v>
      </c>
      <c r="BM112" s="20">
        <v>298</v>
      </c>
      <c r="BN112" s="20">
        <v>0</v>
      </c>
      <c r="BO112" s="20">
        <v>0</v>
      </c>
      <c r="BP112" s="20">
        <v>0</v>
      </c>
      <c r="BQ112" s="20">
        <v>0</v>
      </c>
      <c r="BR112" s="20">
        <v>0</v>
      </c>
      <c r="BS112" s="20">
        <v>300</v>
      </c>
      <c r="BT112" s="20">
        <v>2356554.0000000005</v>
      </c>
      <c r="BU112" s="20">
        <v>13500000</v>
      </c>
      <c r="BV112" s="20">
        <v>5.2079126015051083</v>
      </c>
    </row>
    <row r="113" spans="1:74">
      <c r="A113" s="10">
        <f t="shared" si="6"/>
        <v>0</v>
      </c>
      <c r="B113" s="10">
        <f t="shared" si="7"/>
        <v>0.5</v>
      </c>
      <c r="C113" s="12">
        <f t="shared" si="8"/>
        <v>4</v>
      </c>
      <c r="D113" s="12">
        <f t="shared" si="9"/>
        <v>10</v>
      </c>
      <c r="E113" s="20" t="s">
        <v>424</v>
      </c>
      <c r="F113" s="20" t="s">
        <v>1451</v>
      </c>
      <c r="G113" s="20" t="s">
        <v>1491</v>
      </c>
      <c r="H113" s="20" t="s">
        <v>1492</v>
      </c>
      <c r="I113" s="20">
        <v>1</v>
      </c>
      <c r="J113" s="20" t="s">
        <v>1493</v>
      </c>
      <c r="K113" s="20" t="s">
        <v>1494</v>
      </c>
      <c r="L113" s="20" t="s">
        <v>1495</v>
      </c>
      <c r="M113" s="20" t="s">
        <v>1451</v>
      </c>
      <c r="N113" s="20" t="s">
        <v>1413</v>
      </c>
      <c r="P113" s="20" t="s">
        <v>1451</v>
      </c>
      <c r="Q113" s="20" t="s">
        <v>1457</v>
      </c>
      <c r="R113" s="20" t="s">
        <v>84</v>
      </c>
      <c r="S113" s="20">
        <v>5</v>
      </c>
      <c r="T113" s="20" t="s">
        <v>106</v>
      </c>
      <c r="U113" s="20" t="s">
        <v>107</v>
      </c>
      <c r="V113" s="20" t="s">
        <v>87</v>
      </c>
      <c r="W113" s="20">
        <v>506</v>
      </c>
      <c r="X113" s="20">
        <v>506</v>
      </c>
      <c r="Y113" s="20" t="s">
        <v>1496</v>
      </c>
      <c r="Z113" s="20">
        <v>0.5</v>
      </c>
      <c r="AA113" s="20" t="s">
        <v>1497</v>
      </c>
      <c r="AB113" s="20" t="s">
        <v>279</v>
      </c>
      <c r="AC113" s="20" t="s">
        <v>280</v>
      </c>
      <c r="AD113" s="20" t="s">
        <v>1498</v>
      </c>
      <c r="AE113" s="20" t="s">
        <v>91</v>
      </c>
      <c r="AF113" s="20">
        <v>0.5</v>
      </c>
      <c r="AG113" s="20">
        <v>0</v>
      </c>
      <c r="AH113" s="20">
        <v>1</v>
      </c>
      <c r="AI113" s="7" t="s">
        <v>97</v>
      </c>
      <c r="AJ113" s="20">
        <v>150</v>
      </c>
      <c r="AK113" s="4" t="s">
        <v>111</v>
      </c>
      <c r="AL113" s="4">
        <v>5</v>
      </c>
      <c r="AM113" s="4" t="s">
        <v>485</v>
      </c>
      <c r="AN113" s="4" t="s">
        <v>95</v>
      </c>
      <c r="AO113" s="4" t="s">
        <v>96</v>
      </c>
      <c r="AP113" s="4">
        <v>1</v>
      </c>
      <c r="AQ113" s="20">
        <v>49000</v>
      </c>
      <c r="AR113" s="4">
        <v>41802</v>
      </c>
      <c r="AS113" s="20">
        <v>7424.242424242424</v>
      </c>
      <c r="AT113" s="20">
        <v>9133.18</v>
      </c>
      <c r="AU113" s="20">
        <v>1708.9375757575763</v>
      </c>
      <c r="AV113" s="20">
        <v>1023</v>
      </c>
      <c r="AW113" s="20">
        <v>980</v>
      </c>
      <c r="AX113" s="20">
        <v>20</v>
      </c>
      <c r="AY113" s="20">
        <v>2023</v>
      </c>
      <c r="AZ113" s="20">
        <v>5.7</v>
      </c>
      <c r="BA113" s="20">
        <v>0</v>
      </c>
      <c r="BB113" s="6">
        <v>41733</v>
      </c>
      <c r="BC113" s="6">
        <v>0</v>
      </c>
      <c r="BD113" s="6">
        <v>41879</v>
      </c>
      <c r="BE113" s="6">
        <v>41879</v>
      </c>
      <c r="BF113" s="6">
        <v>41932</v>
      </c>
      <c r="BH113" s="6">
        <v>0</v>
      </c>
      <c r="BI113" s="6">
        <v>0</v>
      </c>
      <c r="BJ113" s="6">
        <v>0</v>
      </c>
      <c r="BK113" s="5" t="s">
        <v>2173</v>
      </c>
      <c r="BL113" s="4" t="s">
        <v>2173</v>
      </c>
      <c r="BM113" s="20">
        <v>149</v>
      </c>
      <c r="BN113" s="20">
        <v>0</v>
      </c>
      <c r="BO113" s="20">
        <v>0</v>
      </c>
      <c r="BP113" s="20">
        <v>0</v>
      </c>
      <c r="BQ113" s="20">
        <v>0</v>
      </c>
      <c r="BR113" s="20">
        <v>0</v>
      </c>
      <c r="BS113" s="20">
        <v>150</v>
      </c>
      <c r="BT113" s="20">
        <v>1369977</v>
      </c>
      <c r="BU113" s="20">
        <v>7350000</v>
      </c>
      <c r="BV113" s="20">
        <v>4.8773214308110147</v>
      </c>
    </row>
    <row r="114" spans="1:74">
      <c r="A114" s="10">
        <f t="shared" si="6"/>
        <v>0</v>
      </c>
      <c r="B114" s="10">
        <f t="shared" si="7"/>
        <v>0.5</v>
      </c>
      <c r="C114" s="12">
        <f t="shared" si="8"/>
        <v>4</v>
      </c>
      <c r="D114" s="12">
        <f t="shared" si="9"/>
        <v>10</v>
      </c>
      <c r="E114" s="20" t="s">
        <v>424</v>
      </c>
      <c r="F114" s="20" t="s">
        <v>1451</v>
      </c>
      <c r="G114" s="20" t="s">
        <v>1491</v>
      </c>
      <c r="H114" s="20" t="s">
        <v>1492</v>
      </c>
      <c r="I114" s="20">
        <v>1</v>
      </c>
      <c r="J114" s="20" t="s">
        <v>1493</v>
      </c>
      <c r="K114" s="20" t="s">
        <v>1499</v>
      </c>
      <c r="L114" s="20" t="s">
        <v>1495</v>
      </c>
      <c r="M114" s="20" t="s">
        <v>1451</v>
      </c>
      <c r="N114" s="20" t="s">
        <v>1413</v>
      </c>
      <c r="P114" s="20" t="s">
        <v>1451</v>
      </c>
      <c r="Q114" s="20" t="s">
        <v>1457</v>
      </c>
      <c r="R114" s="20" t="s">
        <v>84</v>
      </c>
      <c r="S114" s="20">
        <v>5</v>
      </c>
      <c r="T114" s="20" t="s">
        <v>106</v>
      </c>
      <c r="U114" s="20" t="s">
        <v>107</v>
      </c>
      <c r="V114" s="20" t="s">
        <v>87</v>
      </c>
      <c r="W114" s="20">
        <v>506</v>
      </c>
      <c r="X114" s="20">
        <v>506</v>
      </c>
      <c r="Y114" s="20" t="s">
        <v>1496</v>
      </c>
      <c r="Z114" s="20">
        <v>0.5</v>
      </c>
      <c r="AA114" s="20" t="s">
        <v>1497</v>
      </c>
      <c r="AB114" s="20" t="s">
        <v>279</v>
      </c>
      <c r="AC114" s="20" t="s">
        <v>280</v>
      </c>
      <c r="AD114" s="20" t="s">
        <v>1498</v>
      </c>
      <c r="AE114" s="20" t="s">
        <v>91</v>
      </c>
      <c r="AF114" s="20">
        <v>0.5</v>
      </c>
      <c r="AG114" s="20">
        <v>0</v>
      </c>
      <c r="AH114" s="20">
        <v>1</v>
      </c>
      <c r="AI114" s="7" t="s">
        <v>98</v>
      </c>
      <c r="AJ114" s="20">
        <v>150</v>
      </c>
      <c r="AK114" s="4" t="s">
        <v>111</v>
      </c>
      <c r="AL114" s="4">
        <v>5</v>
      </c>
      <c r="AM114" s="4" t="s">
        <v>485</v>
      </c>
      <c r="AN114" s="4" t="s">
        <v>95</v>
      </c>
      <c r="AO114" s="4" t="s">
        <v>96</v>
      </c>
      <c r="AP114" s="4">
        <v>1</v>
      </c>
      <c r="AQ114" s="20">
        <v>49000</v>
      </c>
      <c r="AR114" s="4">
        <v>41802</v>
      </c>
      <c r="AS114" s="20">
        <v>7424.242424242424</v>
      </c>
      <c r="AT114" s="20">
        <v>9133.18</v>
      </c>
      <c r="AU114" s="20">
        <v>1708.9375757575763</v>
      </c>
      <c r="AV114" s="20">
        <v>1023</v>
      </c>
      <c r="AW114" s="20">
        <v>980</v>
      </c>
      <c r="AX114" s="20">
        <v>20</v>
      </c>
      <c r="AY114" s="20">
        <v>2023</v>
      </c>
      <c r="AZ114" s="20">
        <v>5.7</v>
      </c>
      <c r="BA114" s="20">
        <v>0</v>
      </c>
      <c r="BB114" s="6">
        <v>41733</v>
      </c>
      <c r="BC114" s="6">
        <v>0</v>
      </c>
      <c r="BD114" s="6">
        <v>41879</v>
      </c>
      <c r="BE114" s="6">
        <v>41879</v>
      </c>
      <c r="BF114" s="6">
        <v>41932</v>
      </c>
      <c r="BH114" s="6">
        <v>0</v>
      </c>
      <c r="BI114" s="6">
        <v>0</v>
      </c>
      <c r="BJ114" s="6">
        <v>0</v>
      </c>
      <c r="BK114" s="5" t="s">
        <v>2173</v>
      </c>
      <c r="BL114" s="4" t="s">
        <v>2173</v>
      </c>
      <c r="BM114" s="20">
        <v>149</v>
      </c>
      <c r="BN114" s="20">
        <v>0</v>
      </c>
      <c r="BO114" s="20">
        <v>0</v>
      </c>
      <c r="BP114" s="20">
        <v>0</v>
      </c>
      <c r="BQ114" s="20">
        <v>0</v>
      </c>
      <c r="BR114" s="20">
        <v>0</v>
      </c>
      <c r="BS114" s="20">
        <v>150</v>
      </c>
      <c r="BT114" s="20">
        <v>1369977</v>
      </c>
      <c r="BU114" s="20">
        <v>7350000</v>
      </c>
      <c r="BV114" s="20">
        <v>4.8773214308110147</v>
      </c>
    </row>
    <row r="115" spans="1:74">
      <c r="A115" s="10">
        <f t="shared" si="6"/>
        <v>0</v>
      </c>
      <c r="B115" s="10">
        <f t="shared" si="7"/>
        <v>0</v>
      </c>
      <c r="C115" s="12" t="str">
        <f t="shared" si="8"/>
        <v/>
      </c>
      <c r="D115" s="12" t="str">
        <f t="shared" si="9"/>
        <v/>
      </c>
      <c r="E115" s="20" t="s">
        <v>91</v>
      </c>
      <c r="F115" s="20" t="s">
        <v>91</v>
      </c>
      <c r="G115" s="20" t="s">
        <v>91</v>
      </c>
      <c r="H115" s="20" t="s">
        <v>91</v>
      </c>
      <c r="I115" s="20">
        <v>0</v>
      </c>
      <c r="J115" s="20" t="s">
        <v>103</v>
      </c>
      <c r="K115" s="20" t="s">
        <v>104</v>
      </c>
      <c r="L115" s="20">
        <v>0</v>
      </c>
      <c r="M115" s="20" t="s">
        <v>105</v>
      </c>
      <c r="N115" s="20" t="s">
        <v>91</v>
      </c>
      <c r="O115" s="20" t="s">
        <v>1500</v>
      </c>
      <c r="Q115" s="20" t="s">
        <v>91</v>
      </c>
      <c r="R115" s="20" t="s">
        <v>91</v>
      </c>
      <c r="S115" s="20" t="s">
        <v>91</v>
      </c>
      <c r="U115" s="20" t="s">
        <v>91</v>
      </c>
      <c r="X115" s="20" t="s">
        <v>91</v>
      </c>
      <c r="Y115" s="20" t="s">
        <v>91</v>
      </c>
      <c r="Z115" s="20">
        <v>1</v>
      </c>
      <c r="AB115" s="20" t="s">
        <v>91</v>
      </c>
      <c r="AD115" s="20" t="s">
        <v>91</v>
      </c>
      <c r="AE115" s="20" t="s">
        <v>91</v>
      </c>
      <c r="AF115" s="20">
        <v>1</v>
      </c>
      <c r="AG115" s="20">
        <v>0</v>
      </c>
      <c r="AH115" s="20">
        <v>1</v>
      </c>
      <c r="AI115" s="7"/>
      <c r="AJ115" s="20">
        <v>300</v>
      </c>
      <c r="AM115" s="4" t="s">
        <v>91</v>
      </c>
      <c r="AP115" s="4" t="s">
        <v>91</v>
      </c>
      <c r="AQ115" s="20">
        <v>0</v>
      </c>
      <c r="AR115" s="4">
        <v>0</v>
      </c>
      <c r="AW115" s="20">
        <v>0</v>
      </c>
      <c r="AX115" s="20" t="s">
        <v>91</v>
      </c>
      <c r="AY115" s="20">
        <v>0</v>
      </c>
      <c r="AZ115" s="20">
        <v>1710</v>
      </c>
      <c r="BA115" s="20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5">
        <v>0</v>
      </c>
      <c r="BL115" s="4">
        <v>0</v>
      </c>
      <c r="BM115" s="20">
        <v>298</v>
      </c>
      <c r="BN115" s="20">
        <v>0</v>
      </c>
      <c r="BO115" s="20">
        <v>0</v>
      </c>
      <c r="BP115" s="20">
        <v>0</v>
      </c>
      <c r="BQ115" s="20">
        <v>0</v>
      </c>
      <c r="BR115" s="20">
        <v>0</v>
      </c>
      <c r="BS115" s="20">
        <v>300</v>
      </c>
      <c r="BT115" s="20">
        <v>2739954</v>
      </c>
      <c r="BU115" s="20">
        <v>14700000</v>
      </c>
      <c r="BV115" s="20">
        <v>4.8773214308110147</v>
      </c>
    </row>
    <row r="116" spans="1:74">
      <c r="A116" s="10">
        <f t="shared" si="6"/>
        <v>0</v>
      </c>
      <c r="B116" s="10">
        <f t="shared" si="7"/>
        <v>0.5</v>
      </c>
      <c r="C116" s="12">
        <f t="shared" si="8"/>
        <v>4</v>
      </c>
      <c r="D116" s="12">
        <f t="shared" si="9"/>
        <v>9</v>
      </c>
      <c r="E116" s="20" t="s">
        <v>386</v>
      </c>
      <c r="F116" s="20" t="s">
        <v>1501</v>
      </c>
      <c r="G116" s="20" t="s">
        <v>1502</v>
      </c>
      <c r="H116" s="20" t="s">
        <v>1506</v>
      </c>
      <c r="I116" s="20">
        <v>1</v>
      </c>
      <c r="J116" s="20" t="s">
        <v>1503</v>
      </c>
      <c r="K116" s="20" t="s">
        <v>2262</v>
      </c>
      <c r="L116" s="20" t="s">
        <v>1508</v>
      </c>
      <c r="M116" s="20" t="s">
        <v>1501</v>
      </c>
      <c r="N116" s="20" t="s">
        <v>1504</v>
      </c>
      <c r="P116" s="20" t="s">
        <v>1501</v>
      </c>
      <c r="Q116" s="20" t="s">
        <v>1505</v>
      </c>
      <c r="R116" s="20" t="s">
        <v>84</v>
      </c>
      <c r="S116" s="20">
        <v>5</v>
      </c>
      <c r="T116" s="20" t="s">
        <v>172</v>
      </c>
      <c r="U116" s="20" t="s">
        <v>173</v>
      </c>
      <c r="V116" s="20" t="s">
        <v>87</v>
      </c>
      <c r="W116" s="20">
        <v>504</v>
      </c>
      <c r="X116" s="20">
        <v>504</v>
      </c>
      <c r="Y116" s="20" t="s">
        <v>1509</v>
      </c>
      <c r="Z116" s="20">
        <v>0.5</v>
      </c>
      <c r="AA116" s="20" t="s">
        <v>1510</v>
      </c>
      <c r="AB116" s="20" t="s">
        <v>89</v>
      </c>
      <c r="AC116" s="20" t="s">
        <v>90</v>
      </c>
      <c r="AD116" s="20" t="s">
        <v>1511</v>
      </c>
      <c r="AE116" s="20" t="s">
        <v>91</v>
      </c>
      <c r="AF116" s="20">
        <v>0.5</v>
      </c>
      <c r="AG116" s="20">
        <v>0</v>
      </c>
      <c r="AH116" s="20">
        <v>1</v>
      </c>
      <c r="AI116" s="7" t="s">
        <v>97</v>
      </c>
      <c r="AJ116" s="20">
        <v>200</v>
      </c>
      <c r="AK116" s="4" t="s">
        <v>111</v>
      </c>
      <c r="AL116" s="4">
        <v>12</v>
      </c>
      <c r="AM116" s="4">
        <v>12</v>
      </c>
      <c r="AN116" s="4" t="s">
        <v>95</v>
      </c>
      <c r="AO116" s="4" t="s">
        <v>96</v>
      </c>
      <c r="AP116" s="4">
        <v>1</v>
      </c>
      <c r="AQ116" s="20">
        <v>49000</v>
      </c>
      <c r="AR116" s="4">
        <v>41802</v>
      </c>
      <c r="AS116" s="20">
        <v>7424.242424242424</v>
      </c>
      <c r="AT116" s="20">
        <v>7748.6300000000019</v>
      </c>
      <c r="AU116" s="20">
        <v>324.38757575757791</v>
      </c>
      <c r="AV116" s="20">
        <v>1374</v>
      </c>
      <c r="AW116" s="20">
        <v>180</v>
      </c>
      <c r="AX116" s="20">
        <v>20</v>
      </c>
      <c r="AY116" s="20">
        <v>1574</v>
      </c>
      <c r="AZ116" s="20">
        <v>4.95</v>
      </c>
      <c r="BA116" s="20">
        <v>0</v>
      </c>
      <c r="BB116" s="6">
        <v>41747</v>
      </c>
      <c r="BC116" s="6">
        <v>0</v>
      </c>
      <c r="BD116" s="6">
        <v>41844</v>
      </c>
      <c r="BE116" s="6">
        <v>41881</v>
      </c>
      <c r="BF116" s="6">
        <v>41884</v>
      </c>
      <c r="BG116" s="6">
        <v>41912</v>
      </c>
      <c r="BH116" s="6">
        <v>0</v>
      </c>
      <c r="BI116" s="6">
        <v>0</v>
      </c>
      <c r="BJ116" s="6">
        <v>0</v>
      </c>
      <c r="BK116" s="5" t="s">
        <v>2173</v>
      </c>
      <c r="BL116" s="4" t="s">
        <v>2173</v>
      </c>
      <c r="BM116" s="20">
        <v>160</v>
      </c>
      <c r="BN116" s="20">
        <v>31</v>
      </c>
      <c r="BO116" s="20">
        <v>0</v>
      </c>
      <c r="BP116" s="20">
        <v>0</v>
      </c>
      <c r="BQ116" s="20">
        <v>0</v>
      </c>
      <c r="BR116" s="20">
        <v>0</v>
      </c>
      <c r="BS116" s="20">
        <v>200</v>
      </c>
      <c r="BT116" s="20">
        <v>1549726.0000000005</v>
      </c>
      <c r="BU116" s="20">
        <v>9800000</v>
      </c>
      <c r="BV116" s="20">
        <v>5.7488168289690602</v>
      </c>
    </row>
    <row r="117" spans="1:74">
      <c r="A117" s="10">
        <f t="shared" si="6"/>
        <v>0</v>
      </c>
      <c r="B117" s="10">
        <f t="shared" si="7"/>
        <v>0.5</v>
      </c>
      <c r="C117" s="12">
        <f t="shared" si="8"/>
        <v>4</v>
      </c>
      <c r="D117" s="12">
        <f t="shared" si="9"/>
        <v>9</v>
      </c>
      <c r="E117" s="20" t="s">
        <v>386</v>
      </c>
      <c r="F117" s="20" t="s">
        <v>1501</v>
      </c>
      <c r="G117" s="20" t="s">
        <v>1502</v>
      </c>
      <c r="H117" s="20" t="s">
        <v>1506</v>
      </c>
      <c r="I117" s="20">
        <v>1</v>
      </c>
      <c r="J117" s="20" t="s">
        <v>1503</v>
      </c>
      <c r="K117" s="20" t="s">
        <v>2263</v>
      </c>
      <c r="L117" s="20" t="s">
        <v>1508</v>
      </c>
      <c r="M117" s="20" t="s">
        <v>1501</v>
      </c>
      <c r="N117" s="20" t="s">
        <v>1504</v>
      </c>
      <c r="P117" s="20" t="s">
        <v>1501</v>
      </c>
      <c r="Q117" s="20" t="s">
        <v>1505</v>
      </c>
      <c r="R117" s="20" t="s">
        <v>84</v>
      </c>
      <c r="S117" s="20">
        <v>5</v>
      </c>
      <c r="T117" s="20" t="s">
        <v>172</v>
      </c>
      <c r="U117" s="20" t="s">
        <v>173</v>
      </c>
      <c r="V117" s="20" t="s">
        <v>87</v>
      </c>
      <c r="W117" s="20">
        <v>504</v>
      </c>
      <c r="X117" s="20">
        <v>504</v>
      </c>
      <c r="Y117" s="20" t="s">
        <v>1509</v>
      </c>
      <c r="Z117" s="20">
        <v>0.5</v>
      </c>
      <c r="AA117" s="20" t="s">
        <v>1510</v>
      </c>
      <c r="AB117" s="20" t="s">
        <v>89</v>
      </c>
      <c r="AC117" s="20" t="s">
        <v>90</v>
      </c>
      <c r="AD117" s="20" t="s">
        <v>1511</v>
      </c>
      <c r="AE117" s="20" t="s">
        <v>91</v>
      </c>
      <c r="AF117" s="20">
        <v>0.5</v>
      </c>
      <c r="AG117" s="20">
        <v>0</v>
      </c>
      <c r="AH117" s="20">
        <v>1</v>
      </c>
      <c r="AI117" s="7" t="s">
        <v>98</v>
      </c>
      <c r="AJ117" s="20">
        <v>100</v>
      </c>
      <c r="AK117" s="4" t="s">
        <v>111</v>
      </c>
      <c r="AL117" s="4">
        <v>12</v>
      </c>
      <c r="AM117" s="4">
        <v>12</v>
      </c>
      <c r="AN117" s="4" t="s">
        <v>95</v>
      </c>
      <c r="AO117" s="4" t="s">
        <v>96</v>
      </c>
      <c r="AP117" s="4">
        <v>1</v>
      </c>
      <c r="AQ117" s="20">
        <v>49000</v>
      </c>
      <c r="AR117" s="4">
        <v>41802</v>
      </c>
      <c r="AS117" s="20">
        <v>7424.242424242424</v>
      </c>
      <c r="AT117" s="20">
        <v>7748.6300000000019</v>
      </c>
      <c r="AU117" s="20">
        <v>324.38757575757791</v>
      </c>
      <c r="AV117" s="20">
        <v>1374</v>
      </c>
      <c r="AW117" s="20">
        <v>180</v>
      </c>
      <c r="AX117" s="20">
        <v>20</v>
      </c>
      <c r="AY117" s="20">
        <v>1574</v>
      </c>
      <c r="AZ117" s="20">
        <v>4.95</v>
      </c>
      <c r="BA117" s="20">
        <v>0</v>
      </c>
      <c r="BB117" s="6">
        <v>41747</v>
      </c>
      <c r="BC117" s="6">
        <v>0</v>
      </c>
      <c r="BD117" s="6">
        <v>41844</v>
      </c>
      <c r="BE117" s="6">
        <v>41881</v>
      </c>
      <c r="BF117" s="6">
        <v>41884</v>
      </c>
      <c r="BG117" s="6">
        <v>41912</v>
      </c>
      <c r="BH117" s="6">
        <v>0</v>
      </c>
      <c r="BI117" s="6">
        <v>0</v>
      </c>
      <c r="BJ117" s="6">
        <v>0</v>
      </c>
      <c r="BK117" s="5" t="s">
        <v>2173</v>
      </c>
      <c r="BL117" s="4" t="s">
        <v>2173</v>
      </c>
      <c r="BM117" s="20">
        <v>98</v>
      </c>
      <c r="BN117" s="20">
        <v>0</v>
      </c>
      <c r="BO117" s="20">
        <v>0</v>
      </c>
      <c r="BP117" s="20">
        <v>0</v>
      </c>
      <c r="BQ117" s="20">
        <v>0</v>
      </c>
      <c r="BR117" s="20">
        <v>0</v>
      </c>
      <c r="BS117" s="20">
        <v>100</v>
      </c>
      <c r="BT117" s="20">
        <v>774863.00000000023</v>
      </c>
      <c r="BU117" s="20">
        <v>4900000</v>
      </c>
      <c r="BV117" s="20">
        <v>5.7488168289690602</v>
      </c>
    </row>
    <row r="118" spans="1:74">
      <c r="A118" s="10">
        <f t="shared" si="6"/>
        <v>0</v>
      </c>
      <c r="B118" s="10">
        <f t="shared" si="7"/>
        <v>0.5</v>
      </c>
      <c r="C118" s="12">
        <f t="shared" si="8"/>
        <v>4</v>
      </c>
      <c r="D118" s="12">
        <f t="shared" si="9"/>
        <v>9</v>
      </c>
      <c r="E118" s="20" t="s">
        <v>386</v>
      </c>
      <c r="F118" s="20" t="s">
        <v>1501</v>
      </c>
      <c r="G118" s="20" t="s">
        <v>1502</v>
      </c>
      <c r="H118" s="20" t="s">
        <v>1512</v>
      </c>
      <c r="I118" s="20">
        <v>2</v>
      </c>
      <c r="J118" s="20" t="s">
        <v>1507</v>
      </c>
      <c r="K118" s="20" t="s">
        <v>2264</v>
      </c>
      <c r="L118" s="20" t="s">
        <v>1514</v>
      </c>
      <c r="M118" s="20" t="s">
        <v>1501</v>
      </c>
      <c r="N118" s="20" t="s">
        <v>1504</v>
      </c>
      <c r="P118" s="20" t="s">
        <v>1501</v>
      </c>
      <c r="Q118" s="20" t="s">
        <v>1505</v>
      </c>
      <c r="R118" s="20" t="s">
        <v>84</v>
      </c>
      <c r="S118" s="20">
        <v>5</v>
      </c>
      <c r="T118" s="20" t="s">
        <v>172</v>
      </c>
      <c r="U118" s="20" t="s">
        <v>173</v>
      </c>
      <c r="V118" s="20" t="s">
        <v>87</v>
      </c>
      <c r="W118" s="20">
        <v>505</v>
      </c>
      <c r="X118" s="20">
        <v>505</v>
      </c>
      <c r="Y118" s="20" t="s">
        <v>1515</v>
      </c>
      <c r="Z118" s="20">
        <v>0.5</v>
      </c>
      <c r="AA118" s="20" t="s">
        <v>1516</v>
      </c>
      <c r="AB118" s="20" t="s">
        <v>457</v>
      </c>
      <c r="AC118" s="20" t="s">
        <v>458</v>
      </c>
      <c r="AD118" s="20" t="s">
        <v>1517</v>
      </c>
      <c r="AE118" s="20" t="s">
        <v>91</v>
      </c>
      <c r="AF118" s="20">
        <v>0.5</v>
      </c>
      <c r="AG118" s="20">
        <v>0</v>
      </c>
      <c r="AH118" s="20">
        <v>1</v>
      </c>
      <c r="AI118" s="7" t="s">
        <v>97</v>
      </c>
      <c r="AJ118" s="20">
        <v>200</v>
      </c>
      <c r="AK118" s="4" t="s">
        <v>111</v>
      </c>
      <c r="AL118" s="4">
        <v>12</v>
      </c>
      <c r="AM118" s="4">
        <v>12</v>
      </c>
      <c r="AN118" s="4" t="s">
        <v>95</v>
      </c>
      <c r="AO118" s="4" t="s">
        <v>96</v>
      </c>
      <c r="AP118" s="4">
        <v>1</v>
      </c>
      <c r="AQ118" s="20">
        <v>49000</v>
      </c>
      <c r="AR118" s="4">
        <v>41802</v>
      </c>
      <c r="AS118" s="20">
        <v>7424.242424242424</v>
      </c>
      <c r="AT118" s="20">
        <v>8424.8500000000022</v>
      </c>
      <c r="AU118" s="20">
        <v>1000.6075757575782</v>
      </c>
      <c r="AV118" s="20">
        <v>1676</v>
      </c>
      <c r="AW118" s="20">
        <v>180</v>
      </c>
      <c r="AX118" s="20">
        <v>20</v>
      </c>
      <c r="AY118" s="20">
        <v>1876</v>
      </c>
      <c r="AZ118" s="20">
        <v>5.25</v>
      </c>
      <c r="BA118" s="20">
        <v>0</v>
      </c>
      <c r="BB118" s="6">
        <v>41747</v>
      </c>
      <c r="BC118" s="6">
        <v>0</v>
      </c>
      <c r="BD118" s="6">
        <v>41844</v>
      </c>
      <c r="BE118" s="6">
        <v>41881</v>
      </c>
      <c r="BF118" s="6">
        <v>41884</v>
      </c>
      <c r="BG118" s="6">
        <v>41912</v>
      </c>
      <c r="BH118" s="6">
        <v>0</v>
      </c>
      <c r="BI118" s="6">
        <v>0</v>
      </c>
      <c r="BJ118" s="6">
        <v>0</v>
      </c>
      <c r="BK118" s="5" t="s">
        <v>2173</v>
      </c>
      <c r="BL118" s="4" t="s">
        <v>2173</v>
      </c>
      <c r="BM118" s="20">
        <v>119</v>
      </c>
      <c r="BN118" s="20">
        <v>29</v>
      </c>
      <c r="BO118" s="20">
        <v>0</v>
      </c>
      <c r="BP118" s="20">
        <v>0</v>
      </c>
      <c r="BQ118" s="20">
        <v>0</v>
      </c>
      <c r="BS118" s="20">
        <v>200</v>
      </c>
      <c r="BT118" s="20">
        <v>1684970.0000000005</v>
      </c>
      <c r="BU118" s="20">
        <v>9800000</v>
      </c>
      <c r="BV118" s="20">
        <v>5.2873884455455622</v>
      </c>
    </row>
    <row r="119" spans="1:74">
      <c r="A119" s="10">
        <f t="shared" si="6"/>
        <v>0</v>
      </c>
      <c r="B119" s="10">
        <f t="shared" si="7"/>
        <v>0.5</v>
      </c>
      <c r="C119" s="12">
        <f t="shared" si="8"/>
        <v>4</v>
      </c>
      <c r="D119" s="12">
        <f t="shared" si="9"/>
        <v>9</v>
      </c>
      <c r="E119" s="20" t="s">
        <v>386</v>
      </c>
      <c r="F119" s="20" t="s">
        <v>1501</v>
      </c>
      <c r="G119" s="20" t="s">
        <v>1502</v>
      </c>
      <c r="H119" s="20" t="s">
        <v>1512</v>
      </c>
      <c r="I119" s="20">
        <v>2</v>
      </c>
      <c r="J119" s="20" t="s">
        <v>1507</v>
      </c>
      <c r="K119" s="20" t="s">
        <v>2265</v>
      </c>
      <c r="L119" s="20" t="s">
        <v>1514</v>
      </c>
      <c r="M119" s="20" t="s">
        <v>1501</v>
      </c>
      <c r="N119" s="20" t="s">
        <v>1504</v>
      </c>
      <c r="P119" s="20" t="s">
        <v>1501</v>
      </c>
      <c r="Q119" s="20" t="s">
        <v>1505</v>
      </c>
      <c r="R119" s="20" t="s">
        <v>84</v>
      </c>
      <c r="S119" s="20">
        <v>5</v>
      </c>
      <c r="T119" s="20" t="s">
        <v>172</v>
      </c>
      <c r="U119" s="20" t="s">
        <v>173</v>
      </c>
      <c r="V119" s="20" t="s">
        <v>87</v>
      </c>
      <c r="W119" s="20">
        <v>505</v>
      </c>
      <c r="X119" s="20">
        <v>505</v>
      </c>
      <c r="Y119" s="20" t="s">
        <v>1515</v>
      </c>
      <c r="Z119" s="20">
        <v>0.5</v>
      </c>
      <c r="AA119" s="20" t="s">
        <v>1516</v>
      </c>
      <c r="AB119" s="20" t="s">
        <v>457</v>
      </c>
      <c r="AC119" s="20" t="s">
        <v>458</v>
      </c>
      <c r="AD119" s="20" t="s">
        <v>1517</v>
      </c>
      <c r="AE119" s="20" t="s">
        <v>91</v>
      </c>
      <c r="AF119" s="20">
        <v>0.5</v>
      </c>
      <c r="AG119" s="20">
        <v>0</v>
      </c>
      <c r="AH119" s="20">
        <v>1</v>
      </c>
      <c r="AI119" s="7" t="s">
        <v>98</v>
      </c>
      <c r="AJ119" s="20">
        <v>100</v>
      </c>
      <c r="AK119" s="4" t="s">
        <v>111</v>
      </c>
      <c r="AL119" s="4">
        <v>12</v>
      </c>
      <c r="AM119" s="4">
        <v>12</v>
      </c>
      <c r="AN119" s="4" t="s">
        <v>95</v>
      </c>
      <c r="AO119" s="4" t="s">
        <v>96</v>
      </c>
      <c r="AP119" s="4">
        <v>1</v>
      </c>
      <c r="AQ119" s="20">
        <v>49000</v>
      </c>
      <c r="AR119" s="4">
        <v>41802</v>
      </c>
      <c r="AS119" s="20">
        <v>7424.242424242424</v>
      </c>
      <c r="AT119" s="20">
        <v>8424.8500000000022</v>
      </c>
      <c r="AU119" s="20">
        <v>1000.6075757575782</v>
      </c>
      <c r="AV119" s="20">
        <v>1676</v>
      </c>
      <c r="AW119" s="20">
        <v>180</v>
      </c>
      <c r="AX119" s="20">
        <v>20</v>
      </c>
      <c r="AY119" s="20">
        <v>1876</v>
      </c>
      <c r="AZ119" s="20">
        <v>5.25</v>
      </c>
      <c r="BA119" s="20">
        <v>0</v>
      </c>
      <c r="BB119" s="6">
        <v>41747</v>
      </c>
      <c r="BC119" s="6">
        <v>0</v>
      </c>
      <c r="BD119" s="6">
        <v>41844</v>
      </c>
      <c r="BE119" s="6">
        <v>41881</v>
      </c>
      <c r="BF119" s="6">
        <v>41884</v>
      </c>
      <c r="BG119" s="6">
        <v>41912</v>
      </c>
      <c r="BH119" s="6">
        <v>0</v>
      </c>
      <c r="BI119" s="6">
        <v>0</v>
      </c>
      <c r="BJ119" s="6">
        <v>0</v>
      </c>
      <c r="BK119" s="5" t="s">
        <v>2173</v>
      </c>
      <c r="BL119" s="4" t="s">
        <v>2173</v>
      </c>
      <c r="BM119" s="20">
        <v>87</v>
      </c>
      <c r="BN119" s="20">
        <v>6</v>
      </c>
      <c r="BO119" s="20">
        <v>0</v>
      </c>
      <c r="BP119" s="20">
        <v>0</v>
      </c>
      <c r="BQ119" s="20">
        <v>0</v>
      </c>
      <c r="BR119" s="20">
        <v>0</v>
      </c>
      <c r="BS119" s="20">
        <v>100</v>
      </c>
      <c r="BT119" s="20">
        <v>842485.00000000023</v>
      </c>
      <c r="BU119" s="20">
        <v>4900000</v>
      </c>
      <c r="BV119" s="20">
        <v>5.2873884455455622</v>
      </c>
    </row>
    <row r="120" spans="1:74">
      <c r="A120" s="10">
        <f t="shared" si="6"/>
        <v>0</v>
      </c>
      <c r="B120" s="10">
        <f t="shared" si="7"/>
        <v>0.5</v>
      </c>
      <c r="C120" s="12">
        <f t="shared" si="8"/>
        <v>4</v>
      </c>
      <c r="D120" s="12">
        <f t="shared" si="9"/>
        <v>9</v>
      </c>
      <c r="E120" s="20" t="s">
        <v>386</v>
      </c>
      <c r="F120" s="20" t="s">
        <v>1501</v>
      </c>
      <c r="G120" s="20" t="s">
        <v>1502</v>
      </c>
      <c r="H120" s="20" t="s">
        <v>1518</v>
      </c>
      <c r="I120" s="20">
        <v>3</v>
      </c>
      <c r="J120" s="20" t="s">
        <v>1513</v>
      </c>
      <c r="K120" s="20" t="s">
        <v>2266</v>
      </c>
      <c r="L120" s="20" t="s">
        <v>1519</v>
      </c>
      <c r="M120" s="20" t="s">
        <v>1501</v>
      </c>
      <c r="N120" s="20" t="s">
        <v>1504</v>
      </c>
      <c r="P120" s="20" t="s">
        <v>1501</v>
      </c>
      <c r="Q120" s="20" t="s">
        <v>1505</v>
      </c>
      <c r="R120" s="20" t="s">
        <v>84</v>
      </c>
      <c r="S120" s="20">
        <v>5</v>
      </c>
      <c r="T120" s="20" t="s">
        <v>172</v>
      </c>
      <c r="U120" s="20" t="s">
        <v>173</v>
      </c>
      <c r="V120" s="20" t="s">
        <v>87</v>
      </c>
      <c r="W120" s="20">
        <v>506</v>
      </c>
      <c r="X120" s="20">
        <v>506</v>
      </c>
      <c r="Y120" s="20" t="s">
        <v>1520</v>
      </c>
      <c r="Z120" s="20">
        <v>0.5</v>
      </c>
      <c r="AA120" s="20" t="s">
        <v>1521</v>
      </c>
      <c r="AB120" s="20" t="s">
        <v>189</v>
      </c>
      <c r="AC120" s="20" t="s">
        <v>190</v>
      </c>
      <c r="AD120" s="20" t="s">
        <v>1522</v>
      </c>
      <c r="AE120" s="20" t="s">
        <v>91</v>
      </c>
      <c r="AF120" s="20">
        <v>0.5</v>
      </c>
      <c r="AG120" s="20">
        <v>0</v>
      </c>
      <c r="AH120" s="20">
        <v>1</v>
      </c>
      <c r="AI120" s="7" t="s">
        <v>97</v>
      </c>
      <c r="AJ120" s="20">
        <v>200</v>
      </c>
      <c r="AK120" s="4" t="s">
        <v>111</v>
      </c>
      <c r="AL120" s="4">
        <v>12</v>
      </c>
      <c r="AM120" s="4">
        <v>12</v>
      </c>
      <c r="AN120" s="4" t="s">
        <v>95</v>
      </c>
      <c r="AO120" s="4" t="s">
        <v>96</v>
      </c>
      <c r="AP120" s="4">
        <v>1</v>
      </c>
      <c r="AQ120" s="20">
        <v>49000</v>
      </c>
      <c r="AR120" s="4">
        <v>41802</v>
      </c>
      <c r="AS120" s="20">
        <v>7424.242424242424</v>
      </c>
      <c r="AT120" s="20">
        <v>7460.2200000000012</v>
      </c>
      <c r="AU120" s="20">
        <v>35.977575757577142</v>
      </c>
      <c r="AV120" s="20">
        <v>649</v>
      </c>
      <c r="AW120" s="20">
        <v>180</v>
      </c>
      <c r="AX120" s="20">
        <v>20</v>
      </c>
      <c r="AY120" s="20">
        <v>849</v>
      </c>
      <c r="AZ120" s="20">
        <v>5.3</v>
      </c>
      <c r="BA120" s="20">
        <v>0</v>
      </c>
      <c r="BB120" s="6">
        <v>41747</v>
      </c>
      <c r="BC120" s="6">
        <v>0</v>
      </c>
      <c r="BD120" s="6">
        <v>41844</v>
      </c>
      <c r="BE120" s="6">
        <v>41881</v>
      </c>
      <c r="BF120" s="6">
        <v>41884</v>
      </c>
      <c r="BG120" s="6">
        <v>41912</v>
      </c>
      <c r="BH120" s="6">
        <v>0</v>
      </c>
      <c r="BI120" s="6">
        <v>0</v>
      </c>
      <c r="BJ120" s="6">
        <v>0</v>
      </c>
      <c r="BK120" s="5" t="s">
        <v>2173</v>
      </c>
      <c r="BL120" s="4" t="s">
        <v>2173</v>
      </c>
      <c r="BM120" s="20">
        <v>165</v>
      </c>
      <c r="BN120" s="20">
        <v>45</v>
      </c>
      <c r="BO120" s="20">
        <v>0</v>
      </c>
      <c r="BP120" s="20">
        <v>0</v>
      </c>
      <c r="BQ120" s="20">
        <v>0</v>
      </c>
      <c r="BR120" s="20">
        <v>0</v>
      </c>
      <c r="BS120" s="20">
        <v>200</v>
      </c>
      <c r="BT120" s="20">
        <v>1492044.0000000002</v>
      </c>
      <c r="BU120" s="20">
        <v>9800000</v>
      </c>
      <c r="BV120" s="20">
        <v>5.9710644653179843</v>
      </c>
    </row>
    <row r="121" spans="1:74">
      <c r="A121" s="10">
        <f t="shared" si="6"/>
        <v>0</v>
      </c>
      <c r="B121" s="10">
        <f t="shared" si="7"/>
        <v>0.5</v>
      </c>
      <c r="C121" s="12">
        <f t="shared" si="8"/>
        <v>4</v>
      </c>
      <c r="D121" s="12">
        <f t="shared" si="9"/>
        <v>9</v>
      </c>
      <c r="E121" s="20" t="s">
        <v>386</v>
      </c>
      <c r="F121" s="20" t="s">
        <v>1501</v>
      </c>
      <c r="G121" s="20" t="s">
        <v>1502</v>
      </c>
      <c r="H121" s="20" t="s">
        <v>1518</v>
      </c>
      <c r="I121" s="20">
        <v>3</v>
      </c>
      <c r="J121" s="20" t="s">
        <v>1513</v>
      </c>
      <c r="K121" s="20" t="s">
        <v>2267</v>
      </c>
      <c r="L121" s="20" t="s">
        <v>1519</v>
      </c>
      <c r="M121" s="20" t="s">
        <v>1501</v>
      </c>
      <c r="N121" s="20" t="s">
        <v>1504</v>
      </c>
      <c r="P121" s="20" t="s">
        <v>1501</v>
      </c>
      <c r="Q121" s="20" t="s">
        <v>1505</v>
      </c>
      <c r="R121" s="20" t="s">
        <v>84</v>
      </c>
      <c r="S121" s="20">
        <v>5</v>
      </c>
      <c r="T121" s="20" t="s">
        <v>172</v>
      </c>
      <c r="U121" s="20" t="s">
        <v>173</v>
      </c>
      <c r="V121" s="20" t="s">
        <v>87</v>
      </c>
      <c r="W121" s="20">
        <v>506</v>
      </c>
      <c r="X121" s="20">
        <v>506</v>
      </c>
      <c r="Y121" s="20" t="s">
        <v>1520</v>
      </c>
      <c r="Z121" s="20">
        <v>0.5</v>
      </c>
      <c r="AA121" s="20" t="s">
        <v>1521</v>
      </c>
      <c r="AB121" s="20" t="s">
        <v>189</v>
      </c>
      <c r="AC121" s="20" t="s">
        <v>190</v>
      </c>
      <c r="AD121" s="20" t="s">
        <v>1522</v>
      </c>
      <c r="AE121" s="20" t="s">
        <v>91</v>
      </c>
      <c r="AF121" s="20">
        <v>0.5</v>
      </c>
      <c r="AG121" s="20">
        <v>0</v>
      </c>
      <c r="AH121" s="20">
        <v>1</v>
      </c>
      <c r="AI121" s="7" t="s">
        <v>98</v>
      </c>
      <c r="AJ121" s="20">
        <v>100</v>
      </c>
      <c r="AK121" s="4" t="s">
        <v>111</v>
      </c>
      <c r="AL121" s="4">
        <v>12</v>
      </c>
      <c r="AM121" s="4">
        <v>12</v>
      </c>
      <c r="AN121" s="4" t="s">
        <v>95</v>
      </c>
      <c r="AO121" s="4" t="s">
        <v>96</v>
      </c>
      <c r="AP121" s="4">
        <v>1</v>
      </c>
      <c r="AQ121" s="20">
        <v>49000</v>
      </c>
      <c r="AR121" s="4">
        <v>41802</v>
      </c>
      <c r="AS121" s="20">
        <v>7424.242424242424</v>
      </c>
      <c r="AT121" s="20">
        <v>7460.2200000000012</v>
      </c>
      <c r="AU121" s="20">
        <v>35.977575757577142</v>
      </c>
      <c r="AV121" s="20">
        <v>649</v>
      </c>
      <c r="AW121" s="20">
        <v>180</v>
      </c>
      <c r="AX121" s="20">
        <v>20</v>
      </c>
      <c r="AY121" s="20">
        <v>849</v>
      </c>
      <c r="AZ121" s="20">
        <v>5.3</v>
      </c>
      <c r="BA121" s="20">
        <v>0</v>
      </c>
      <c r="BB121" s="6">
        <v>41747</v>
      </c>
      <c r="BC121" s="6">
        <v>0</v>
      </c>
      <c r="BD121" s="6">
        <v>41844</v>
      </c>
      <c r="BE121" s="6">
        <v>41881</v>
      </c>
      <c r="BF121" s="6">
        <v>41884</v>
      </c>
      <c r="BG121" s="6">
        <v>41912</v>
      </c>
      <c r="BH121" s="6">
        <v>0</v>
      </c>
      <c r="BI121" s="6">
        <v>0</v>
      </c>
      <c r="BJ121" s="6">
        <v>0</v>
      </c>
      <c r="BK121" s="5" t="s">
        <v>2173</v>
      </c>
      <c r="BL121" s="4" t="s">
        <v>2173</v>
      </c>
      <c r="BM121" s="20">
        <v>87</v>
      </c>
      <c r="BN121" s="20">
        <v>5</v>
      </c>
      <c r="BO121" s="20">
        <v>0</v>
      </c>
      <c r="BP121" s="20">
        <v>0</v>
      </c>
      <c r="BQ121" s="20">
        <v>0</v>
      </c>
      <c r="BR121" s="20">
        <v>0</v>
      </c>
      <c r="BS121" s="20">
        <v>100</v>
      </c>
      <c r="BT121" s="20">
        <v>746022.00000000012</v>
      </c>
      <c r="BU121" s="20">
        <v>4900000</v>
      </c>
      <c r="BV121" s="20">
        <v>5.9710644653179843</v>
      </c>
    </row>
    <row r="122" spans="1:74">
      <c r="A122" s="10">
        <f t="shared" si="6"/>
        <v>0</v>
      </c>
      <c r="B122" s="10">
        <f t="shared" si="7"/>
        <v>0</v>
      </c>
      <c r="C122" s="12" t="str">
        <f t="shared" si="8"/>
        <v/>
      </c>
      <c r="D122" s="12" t="str">
        <f t="shared" si="9"/>
        <v/>
      </c>
      <c r="E122" s="20" t="s">
        <v>91</v>
      </c>
      <c r="F122" s="20" t="s">
        <v>91</v>
      </c>
      <c r="G122" s="20" t="s">
        <v>91</v>
      </c>
      <c r="H122" s="20" t="s">
        <v>91</v>
      </c>
      <c r="I122" s="20">
        <v>0</v>
      </c>
      <c r="J122" s="20" t="s">
        <v>103</v>
      </c>
      <c r="K122" s="20" t="s">
        <v>104</v>
      </c>
      <c r="L122" s="20">
        <v>0</v>
      </c>
      <c r="M122" s="20" t="s">
        <v>105</v>
      </c>
      <c r="N122" s="20" t="s">
        <v>91</v>
      </c>
      <c r="O122" s="20" t="s">
        <v>1523</v>
      </c>
      <c r="Q122" s="20" t="s">
        <v>91</v>
      </c>
      <c r="R122" s="20" t="s">
        <v>91</v>
      </c>
      <c r="S122" s="20" t="s">
        <v>91</v>
      </c>
      <c r="X122" s="20" t="s">
        <v>91</v>
      </c>
      <c r="Y122" s="20" t="s">
        <v>91</v>
      </c>
      <c r="Z122" s="20">
        <v>3</v>
      </c>
      <c r="AB122" s="20" t="s">
        <v>91</v>
      </c>
      <c r="AD122" s="20" t="s">
        <v>91</v>
      </c>
      <c r="AE122" s="20" t="s">
        <v>91</v>
      </c>
      <c r="AF122" s="20">
        <v>3</v>
      </c>
      <c r="AG122" s="20">
        <v>0</v>
      </c>
      <c r="AH122" s="20">
        <v>1</v>
      </c>
      <c r="AI122" s="7"/>
      <c r="AJ122" s="20">
        <v>900</v>
      </c>
      <c r="AM122" s="4" t="s">
        <v>91</v>
      </c>
      <c r="AP122" s="4" t="s">
        <v>91</v>
      </c>
      <c r="AQ122" s="20">
        <v>0</v>
      </c>
      <c r="AR122" s="4">
        <v>0</v>
      </c>
      <c r="AY122" s="20">
        <v>0</v>
      </c>
      <c r="AZ122" s="20">
        <v>4650</v>
      </c>
      <c r="BA122" s="20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5">
        <v>0</v>
      </c>
      <c r="BL122" s="4">
        <v>0</v>
      </c>
      <c r="BM122" s="20">
        <v>716</v>
      </c>
      <c r="BN122" s="20">
        <v>116</v>
      </c>
      <c r="BO122" s="20">
        <v>0</v>
      </c>
      <c r="BP122" s="20">
        <v>0</v>
      </c>
      <c r="BQ122" s="20">
        <v>0</v>
      </c>
      <c r="BR122" s="20">
        <v>0</v>
      </c>
      <c r="BS122" s="20">
        <v>900</v>
      </c>
      <c r="BT122" s="20">
        <v>7090110.0000000019</v>
      </c>
      <c r="BU122" s="20">
        <v>44100000</v>
      </c>
      <c r="BV122" s="20">
        <v>5.6544833706259956</v>
      </c>
    </row>
    <row r="123" spans="1:74">
      <c r="A123" s="10">
        <f t="shared" si="6"/>
        <v>0</v>
      </c>
      <c r="B123" s="10">
        <f t="shared" si="7"/>
        <v>0.5</v>
      </c>
      <c r="C123" s="12">
        <f t="shared" si="8"/>
        <v>4</v>
      </c>
      <c r="D123" s="12">
        <f t="shared" si="9"/>
        <v>10</v>
      </c>
      <c r="E123" s="20" t="s">
        <v>386</v>
      </c>
      <c r="F123" s="20" t="s">
        <v>1501</v>
      </c>
      <c r="G123" s="20" t="s">
        <v>1524</v>
      </c>
      <c r="H123" s="20" t="s">
        <v>1525</v>
      </c>
      <c r="I123" s="20">
        <v>1</v>
      </c>
      <c r="J123" s="20" t="s">
        <v>1526</v>
      </c>
      <c r="K123" s="20" t="s">
        <v>1527</v>
      </c>
      <c r="L123" s="20" t="s">
        <v>1528</v>
      </c>
      <c r="M123" s="20" t="s">
        <v>1501</v>
      </c>
      <c r="N123" s="20" t="s">
        <v>1504</v>
      </c>
      <c r="P123" s="20" t="s">
        <v>1501</v>
      </c>
      <c r="Q123" s="20" t="s">
        <v>1505</v>
      </c>
      <c r="R123" s="20" t="s">
        <v>84</v>
      </c>
      <c r="S123" s="20">
        <v>5</v>
      </c>
      <c r="T123" s="20" t="s">
        <v>106</v>
      </c>
      <c r="U123" s="20" t="s">
        <v>107</v>
      </c>
      <c r="V123" s="20" t="s">
        <v>87</v>
      </c>
      <c r="W123" s="20">
        <v>511</v>
      </c>
      <c r="X123" s="20">
        <v>511</v>
      </c>
      <c r="Y123" s="20" t="s">
        <v>1529</v>
      </c>
      <c r="Z123" s="20">
        <v>0.5</v>
      </c>
      <c r="AA123" s="20" t="s">
        <v>1530</v>
      </c>
      <c r="AB123" s="20" t="s">
        <v>189</v>
      </c>
      <c r="AC123" s="20" t="s">
        <v>190</v>
      </c>
      <c r="AD123" s="20" t="s">
        <v>1531</v>
      </c>
      <c r="AE123" s="20" t="s">
        <v>91</v>
      </c>
      <c r="AF123" s="20">
        <v>0.5</v>
      </c>
      <c r="AG123" s="20">
        <v>0</v>
      </c>
      <c r="AH123" s="20">
        <v>1</v>
      </c>
      <c r="AI123" s="7" t="s">
        <v>97</v>
      </c>
      <c r="AJ123" s="20">
        <v>300</v>
      </c>
      <c r="AK123" s="4" t="s">
        <v>111</v>
      </c>
      <c r="AL123" s="4">
        <v>13</v>
      </c>
      <c r="AM123" s="4">
        <v>13</v>
      </c>
      <c r="AN123" s="4" t="s">
        <v>95</v>
      </c>
      <c r="AO123" s="4" t="s">
        <v>96</v>
      </c>
      <c r="AP123" s="4">
        <v>1</v>
      </c>
      <c r="AQ123" s="20">
        <v>55000</v>
      </c>
      <c r="AR123" s="4">
        <v>41802</v>
      </c>
      <c r="AS123" s="20">
        <v>8333.3333333333321</v>
      </c>
      <c r="AT123" s="20">
        <v>8977.1</v>
      </c>
      <c r="AU123" s="20">
        <v>643.76666666666824</v>
      </c>
      <c r="AV123" s="20">
        <v>669</v>
      </c>
      <c r="AW123" s="20">
        <v>180</v>
      </c>
      <c r="AX123" s="20">
        <v>20</v>
      </c>
      <c r="AY123" s="20">
        <v>869</v>
      </c>
      <c r="AZ123" s="20">
        <v>6.5</v>
      </c>
      <c r="BA123" s="20">
        <v>0</v>
      </c>
      <c r="BB123" s="6">
        <v>41747</v>
      </c>
      <c r="BC123" s="6">
        <v>0</v>
      </c>
      <c r="BD123" s="6">
        <v>41879</v>
      </c>
      <c r="BE123" s="6">
        <v>41902</v>
      </c>
      <c r="BF123" s="6">
        <v>41932</v>
      </c>
      <c r="BG123" s="6">
        <v>41940</v>
      </c>
      <c r="BI123" s="6">
        <v>0</v>
      </c>
      <c r="BJ123" s="6">
        <v>0</v>
      </c>
      <c r="BK123" s="5" t="s">
        <v>2173</v>
      </c>
      <c r="BL123" s="4" t="s">
        <v>2173</v>
      </c>
      <c r="BM123" s="20">
        <v>200</v>
      </c>
      <c r="BN123" s="20">
        <v>100</v>
      </c>
      <c r="BO123" s="20">
        <v>0</v>
      </c>
      <c r="BP123" s="20">
        <v>0</v>
      </c>
      <c r="BQ123" s="20">
        <v>0</v>
      </c>
      <c r="BR123" s="20">
        <v>0</v>
      </c>
      <c r="BS123" s="20">
        <v>300</v>
      </c>
      <c r="BT123" s="20">
        <v>2693130</v>
      </c>
      <c r="BU123" s="20">
        <v>16500000</v>
      </c>
      <c r="BV123" s="20">
        <v>5.569727417540185</v>
      </c>
    </row>
    <row r="124" spans="1:74">
      <c r="A124" s="10">
        <f t="shared" si="6"/>
        <v>0</v>
      </c>
      <c r="B124" s="10">
        <f t="shared" si="7"/>
        <v>0.5</v>
      </c>
      <c r="C124" s="12">
        <f t="shared" si="8"/>
        <v>4</v>
      </c>
      <c r="D124" s="12">
        <f t="shared" si="9"/>
        <v>10</v>
      </c>
      <c r="E124" s="20" t="s">
        <v>386</v>
      </c>
      <c r="F124" s="20" t="s">
        <v>1501</v>
      </c>
      <c r="G124" s="20" t="s">
        <v>1524</v>
      </c>
      <c r="H124" s="20" t="s">
        <v>1525</v>
      </c>
      <c r="I124" s="20">
        <v>1</v>
      </c>
      <c r="J124" s="20" t="s">
        <v>1526</v>
      </c>
      <c r="K124" s="20" t="s">
        <v>1532</v>
      </c>
      <c r="L124" s="20" t="s">
        <v>1528</v>
      </c>
      <c r="M124" s="20" t="s">
        <v>1501</v>
      </c>
      <c r="N124" s="20" t="s">
        <v>1504</v>
      </c>
      <c r="P124" s="20" t="s">
        <v>1501</v>
      </c>
      <c r="Q124" s="20" t="s">
        <v>1505</v>
      </c>
      <c r="R124" s="20" t="s">
        <v>84</v>
      </c>
      <c r="S124" s="20">
        <v>5</v>
      </c>
      <c r="T124" s="20" t="s">
        <v>106</v>
      </c>
      <c r="U124" s="20" t="s">
        <v>107</v>
      </c>
      <c r="V124" s="20" t="s">
        <v>87</v>
      </c>
      <c r="W124" s="20">
        <v>511</v>
      </c>
      <c r="X124" s="20">
        <v>511</v>
      </c>
      <c r="Y124" s="20" t="s">
        <v>1529</v>
      </c>
      <c r="Z124" s="20">
        <v>0.5</v>
      </c>
      <c r="AA124" s="20" t="s">
        <v>1530</v>
      </c>
      <c r="AB124" s="20" t="s">
        <v>189</v>
      </c>
      <c r="AC124" s="20" t="s">
        <v>190</v>
      </c>
      <c r="AD124" s="20" t="s">
        <v>1531</v>
      </c>
      <c r="AE124" s="20" t="s">
        <v>91</v>
      </c>
      <c r="AF124" s="20">
        <v>0.5</v>
      </c>
      <c r="AG124" s="20">
        <v>0</v>
      </c>
      <c r="AH124" s="20">
        <v>1</v>
      </c>
      <c r="AI124" s="7" t="s">
        <v>98</v>
      </c>
      <c r="AJ124" s="20">
        <v>100</v>
      </c>
      <c r="AK124" s="4" t="s">
        <v>111</v>
      </c>
      <c r="AL124" s="4">
        <v>13</v>
      </c>
      <c r="AM124" s="4">
        <v>13</v>
      </c>
      <c r="AN124" s="4" t="s">
        <v>95</v>
      </c>
      <c r="AO124" s="4" t="s">
        <v>96</v>
      </c>
      <c r="AP124" s="4">
        <v>1</v>
      </c>
      <c r="AQ124" s="20">
        <v>55000</v>
      </c>
      <c r="AR124" s="4">
        <v>41802</v>
      </c>
      <c r="AS124" s="20">
        <v>8333.3333333333321</v>
      </c>
      <c r="AT124" s="20">
        <v>8977.1</v>
      </c>
      <c r="AU124" s="20">
        <v>643.76666666666824</v>
      </c>
      <c r="AV124" s="20">
        <v>669</v>
      </c>
      <c r="AW124" s="20">
        <v>180</v>
      </c>
      <c r="AX124" s="20">
        <v>20</v>
      </c>
      <c r="AY124" s="20">
        <v>869</v>
      </c>
      <c r="AZ124" s="20">
        <v>6.5</v>
      </c>
      <c r="BA124" s="20">
        <v>0</v>
      </c>
      <c r="BB124" s="6">
        <v>41747</v>
      </c>
      <c r="BC124" s="6">
        <v>0</v>
      </c>
      <c r="BD124" s="6">
        <v>41879</v>
      </c>
      <c r="BE124" s="6">
        <v>41902</v>
      </c>
      <c r="BF124" s="6">
        <v>41932</v>
      </c>
      <c r="BG124" s="6">
        <v>41940</v>
      </c>
      <c r="BI124" s="6">
        <v>0</v>
      </c>
      <c r="BJ124" s="6">
        <v>0</v>
      </c>
      <c r="BK124" s="5" t="s">
        <v>2173</v>
      </c>
      <c r="BL124" s="4" t="s">
        <v>2173</v>
      </c>
      <c r="BM124" s="20">
        <v>100</v>
      </c>
      <c r="BN124" s="20">
        <v>0</v>
      </c>
      <c r="BO124" s="20">
        <v>0</v>
      </c>
      <c r="BP124" s="20">
        <v>0</v>
      </c>
      <c r="BQ124" s="20">
        <v>0</v>
      </c>
      <c r="BR124" s="20">
        <v>0</v>
      </c>
      <c r="BS124" s="20">
        <v>100</v>
      </c>
      <c r="BT124" s="20">
        <v>897710</v>
      </c>
      <c r="BU124" s="20">
        <v>5500000</v>
      </c>
      <c r="BV124" s="20">
        <v>5.569727417540185</v>
      </c>
    </row>
    <row r="125" spans="1:74">
      <c r="A125" s="10">
        <f t="shared" si="6"/>
        <v>0</v>
      </c>
      <c r="B125" s="10">
        <f t="shared" si="7"/>
        <v>0.5</v>
      </c>
      <c r="C125" s="12">
        <f t="shared" si="8"/>
        <v>4</v>
      </c>
      <c r="D125" s="12">
        <f t="shared" si="9"/>
        <v>10</v>
      </c>
      <c r="E125" s="20" t="s">
        <v>386</v>
      </c>
      <c r="F125" s="20" t="s">
        <v>1501</v>
      </c>
      <c r="G125" s="20" t="s">
        <v>1524</v>
      </c>
      <c r="H125" s="20" t="s">
        <v>1533</v>
      </c>
      <c r="I125" s="20">
        <v>2</v>
      </c>
      <c r="J125" s="20" t="s">
        <v>1534</v>
      </c>
      <c r="K125" s="20" t="s">
        <v>1535</v>
      </c>
      <c r="L125" s="20" t="s">
        <v>1536</v>
      </c>
      <c r="M125" s="20" t="s">
        <v>1501</v>
      </c>
      <c r="N125" s="20" t="s">
        <v>1504</v>
      </c>
      <c r="P125" s="20" t="s">
        <v>1501</v>
      </c>
      <c r="Q125" s="20" t="s">
        <v>1505</v>
      </c>
      <c r="R125" s="20" t="s">
        <v>84</v>
      </c>
      <c r="S125" s="20">
        <v>5</v>
      </c>
      <c r="T125" s="20" t="s">
        <v>106</v>
      </c>
      <c r="U125" s="20" t="s">
        <v>107</v>
      </c>
      <c r="V125" s="20" t="s">
        <v>87</v>
      </c>
      <c r="W125" s="20">
        <v>512</v>
      </c>
      <c r="X125" s="20">
        <v>512</v>
      </c>
      <c r="Y125" s="20" t="s">
        <v>1537</v>
      </c>
      <c r="Z125" s="20">
        <v>0.5</v>
      </c>
      <c r="AA125" s="20" t="s">
        <v>1538</v>
      </c>
      <c r="AB125" s="20" t="s">
        <v>101</v>
      </c>
      <c r="AC125" s="20" t="s">
        <v>102</v>
      </c>
      <c r="AD125" s="20" t="s">
        <v>1539</v>
      </c>
      <c r="AE125" s="20" t="s">
        <v>91</v>
      </c>
      <c r="AF125" s="20">
        <v>0.5</v>
      </c>
      <c r="AG125" s="20">
        <v>0</v>
      </c>
      <c r="AH125" s="20">
        <v>1</v>
      </c>
      <c r="AI125" s="7" t="s">
        <v>97</v>
      </c>
      <c r="AJ125" s="20">
        <v>300</v>
      </c>
      <c r="AK125" s="4" t="s">
        <v>111</v>
      </c>
      <c r="AL125" s="4">
        <v>13</v>
      </c>
      <c r="AM125" s="4">
        <v>13</v>
      </c>
      <c r="AN125" s="4" t="s">
        <v>95</v>
      </c>
      <c r="AO125" s="4" t="s">
        <v>96</v>
      </c>
      <c r="AP125" s="4">
        <v>1</v>
      </c>
      <c r="AQ125" s="20">
        <v>55000</v>
      </c>
      <c r="AR125" s="4">
        <v>41802</v>
      </c>
      <c r="AS125" s="20">
        <v>8333.3333333333321</v>
      </c>
      <c r="AT125" s="20">
        <v>8789.99</v>
      </c>
      <c r="AU125" s="20">
        <v>456.65666666666766</v>
      </c>
      <c r="AV125" s="20">
        <v>669</v>
      </c>
      <c r="AW125" s="20">
        <v>180</v>
      </c>
      <c r="AX125" s="20">
        <v>20</v>
      </c>
      <c r="AY125" s="20">
        <v>869</v>
      </c>
      <c r="AZ125" s="20">
        <v>6.35</v>
      </c>
      <c r="BA125" s="20">
        <v>0</v>
      </c>
      <c r="BB125" s="6">
        <v>41747</v>
      </c>
      <c r="BC125" s="6">
        <v>0</v>
      </c>
      <c r="BD125" s="6">
        <v>41879</v>
      </c>
      <c r="BE125" s="6">
        <v>41902</v>
      </c>
      <c r="BF125" s="6">
        <v>41940</v>
      </c>
      <c r="BH125" s="6">
        <v>0</v>
      </c>
      <c r="BI125" s="6">
        <v>0</v>
      </c>
      <c r="BJ125" s="6">
        <v>0</v>
      </c>
      <c r="BK125" s="5" t="s">
        <v>2173</v>
      </c>
      <c r="BL125" s="4" t="s">
        <v>2173</v>
      </c>
      <c r="BM125" s="20">
        <v>64</v>
      </c>
      <c r="BN125" s="20">
        <v>0</v>
      </c>
      <c r="BO125" s="20">
        <v>0</v>
      </c>
      <c r="BP125" s="20">
        <v>0</v>
      </c>
      <c r="BQ125" s="20">
        <v>0</v>
      </c>
      <c r="BR125" s="20">
        <v>236</v>
      </c>
      <c r="BS125" s="20">
        <v>300</v>
      </c>
      <c r="BT125" s="20">
        <v>2636997</v>
      </c>
      <c r="BU125" s="20">
        <v>16500000</v>
      </c>
      <c r="BV125" s="20">
        <v>5.6882886101121839</v>
      </c>
    </row>
    <row r="126" spans="1:74">
      <c r="A126" s="10">
        <f t="shared" si="6"/>
        <v>0</v>
      </c>
      <c r="B126" s="10">
        <f t="shared" si="7"/>
        <v>0.5</v>
      </c>
      <c r="C126" s="12">
        <f t="shared" si="8"/>
        <v>4</v>
      </c>
      <c r="D126" s="12">
        <f t="shared" si="9"/>
        <v>10</v>
      </c>
      <c r="E126" s="20" t="s">
        <v>386</v>
      </c>
      <c r="F126" s="20" t="s">
        <v>1501</v>
      </c>
      <c r="G126" s="20" t="s">
        <v>1524</v>
      </c>
      <c r="H126" s="20" t="s">
        <v>1533</v>
      </c>
      <c r="I126" s="20">
        <v>2</v>
      </c>
      <c r="J126" s="20" t="s">
        <v>1534</v>
      </c>
      <c r="K126" s="20" t="s">
        <v>1540</v>
      </c>
      <c r="L126" s="20" t="s">
        <v>1536</v>
      </c>
      <c r="M126" s="20" t="s">
        <v>1501</v>
      </c>
      <c r="N126" s="20" t="s">
        <v>1504</v>
      </c>
      <c r="P126" s="20" t="s">
        <v>1501</v>
      </c>
      <c r="Q126" s="20" t="s">
        <v>1505</v>
      </c>
      <c r="R126" s="20" t="s">
        <v>84</v>
      </c>
      <c r="S126" s="20">
        <v>5</v>
      </c>
      <c r="T126" s="20" t="s">
        <v>106</v>
      </c>
      <c r="U126" s="20" t="s">
        <v>107</v>
      </c>
      <c r="V126" s="20" t="s">
        <v>87</v>
      </c>
      <c r="W126" s="20">
        <v>512</v>
      </c>
      <c r="X126" s="20">
        <v>512</v>
      </c>
      <c r="Y126" s="20" t="s">
        <v>1537</v>
      </c>
      <c r="Z126" s="20">
        <v>0.5</v>
      </c>
      <c r="AA126" s="20" t="s">
        <v>1538</v>
      </c>
      <c r="AB126" s="20" t="s">
        <v>101</v>
      </c>
      <c r="AC126" s="20" t="s">
        <v>102</v>
      </c>
      <c r="AD126" s="20" t="s">
        <v>1539</v>
      </c>
      <c r="AE126" s="20" t="s">
        <v>91</v>
      </c>
      <c r="AF126" s="20">
        <v>0.5</v>
      </c>
      <c r="AG126" s="20">
        <v>0</v>
      </c>
      <c r="AH126" s="20">
        <v>1</v>
      </c>
      <c r="AI126" s="7" t="s">
        <v>98</v>
      </c>
      <c r="AJ126" s="20">
        <v>100</v>
      </c>
      <c r="AK126" s="4" t="s">
        <v>111</v>
      </c>
      <c r="AL126" s="4">
        <v>13</v>
      </c>
      <c r="AM126" s="4">
        <v>13</v>
      </c>
      <c r="AN126" s="4" t="s">
        <v>95</v>
      </c>
      <c r="AO126" s="4" t="s">
        <v>96</v>
      </c>
      <c r="AP126" s="4">
        <v>1</v>
      </c>
      <c r="AQ126" s="20">
        <v>55000</v>
      </c>
      <c r="AR126" s="4">
        <v>41802</v>
      </c>
      <c r="AS126" s="20">
        <v>8333.3333333333321</v>
      </c>
      <c r="AT126" s="20">
        <v>8789.99</v>
      </c>
      <c r="AU126" s="20">
        <v>456.65666666666766</v>
      </c>
      <c r="AV126" s="20">
        <v>669</v>
      </c>
      <c r="AW126" s="20">
        <v>180</v>
      </c>
      <c r="AX126" s="20">
        <v>20</v>
      </c>
      <c r="AY126" s="20">
        <v>869</v>
      </c>
      <c r="AZ126" s="20">
        <v>6.35</v>
      </c>
      <c r="BA126" s="20">
        <v>0</v>
      </c>
      <c r="BB126" s="6">
        <v>41747</v>
      </c>
      <c r="BC126" s="6">
        <v>0</v>
      </c>
      <c r="BD126" s="6">
        <v>41879</v>
      </c>
      <c r="BE126" s="6">
        <v>41902</v>
      </c>
      <c r="BF126" s="6">
        <v>41940</v>
      </c>
      <c r="BH126" s="6">
        <v>0</v>
      </c>
      <c r="BI126" s="6">
        <v>0</v>
      </c>
      <c r="BJ126" s="6">
        <v>0</v>
      </c>
      <c r="BK126" s="5" t="s">
        <v>2173</v>
      </c>
      <c r="BL126" s="4" t="s">
        <v>2173</v>
      </c>
      <c r="BM126" s="20">
        <v>100</v>
      </c>
      <c r="BN126" s="20">
        <v>0</v>
      </c>
      <c r="BO126" s="20">
        <v>0</v>
      </c>
      <c r="BP126" s="20">
        <v>0</v>
      </c>
      <c r="BQ126" s="20">
        <v>0</v>
      </c>
      <c r="BR126" s="20">
        <v>0</v>
      </c>
      <c r="BS126" s="20">
        <v>100</v>
      </c>
      <c r="BT126" s="20">
        <v>878999</v>
      </c>
      <c r="BU126" s="20">
        <v>5500000</v>
      </c>
      <c r="BV126" s="20">
        <v>5.6882886101121839</v>
      </c>
    </row>
    <row r="127" spans="1:74">
      <c r="A127" s="10">
        <f t="shared" si="6"/>
        <v>0</v>
      </c>
      <c r="B127" s="10">
        <f t="shared" si="7"/>
        <v>0</v>
      </c>
      <c r="C127" s="12" t="str">
        <f t="shared" si="8"/>
        <v/>
      </c>
      <c r="D127" s="12" t="str">
        <f t="shared" si="9"/>
        <v/>
      </c>
      <c r="E127" s="20" t="s">
        <v>91</v>
      </c>
      <c r="F127" s="20" t="s">
        <v>91</v>
      </c>
      <c r="G127" s="20" t="s">
        <v>91</v>
      </c>
      <c r="H127" s="20" t="s">
        <v>91</v>
      </c>
      <c r="I127" s="20">
        <v>0</v>
      </c>
      <c r="J127" s="20" t="s">
        <v>103</v>
      </c>
      <c r="K127" s="20" t="s">
        <v>104</v>
      </c>
      <c r="L127" s="20">
        <v>0</v>
      </c>
      <c r="M127" s="20" t="s">
        <v>105</v>
      </c>
      <c r="N127" s="20" t="s">
        <v>91</v>
      </c>
      <c r="O127" s="20" t="s">
        <v>1541</v>
      </c>
      <c r="Q127" s="20" t="s">
        <v>91</v>
      </c>
      <c r="R127" s="20" t="s">
        <v>91</v>
      </c>
      <c r="S127" s="20" t="s">
        <v>91</v>
      </c>
      <c r="U127" s="20" t="s">
        <v>91</v>
      </c>
      <c r="X127" s="20" t="s">
        <v>91</v>
      </c>
      <c r="Y127" s="20" t="s">
        <v>91</v>
      </c>
      <c r="Z127" s="20">
        <v>2</v>
      </c>
      <c r="AB127" s="20" t="s">
        <v>91</v>
      </c>
      <c r="AD127" s="20" t="s">
        <v>91</v>
      </c>
      <c r="AE127" s="20" t="s">
        <v>91</v>
      </c>
      <c r="AF127" s="20">
        <v>2</v>
      </c>
      <c r="AG127" s="20">
        <v>0</v>
      </c>
      <c r="AH127" s="20">
        <v>1</v>
      </c>
      <c r="AI127" s="7"/>
      <c r="AJ127" s="20">
        <v>800</v>
      </c>
      <c r="AM127" s="4" t="s">
        <v>91</v>
      </c>
      <c r="AP127" s="4" t="s">
        <v>91</v>
      </c>
      <c r="AQ127" s="20">
        <v>0</v>
      </c>
      <c r="AR127" s="4">
        <v>0</v>
      </c>
      <c r="AV127" s="20">
        <v>0</v>
      </c>
      <c r="AW127" s="20">
        <v>0</v>
      </c>
      <c r="AX127" s="20" t="s">
        <v>91</v>
      </c>
      <c r="AY127" s="20">
        <v>0</v>
      </c>
      <c r="AZ127" s="20">
        <v>5140</v>
      </c>
      <c r="BA127" s="20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</v>
      </c>
      <c r="BJ127" s="6">
        <v>0</v>
      </c>
      <c r="BK127" s="5">
        <v>0</v>
      </c>
      <c r="BL127" s="4">
        <v>0</v>
      </c>
      <c r="BM127" s="20">
        <v>464</v>
      </c>
      <c r="BN127" s="20">
        <v>100</v>
      </c>
      <c r="BO127" s="20">
        <v>0</v>
      </c>
      <c r="BP127" s="20">
        <v>0</v>
      </c>
      <c r="BQ127" s="20">
        <v>0</v>
      </c>
      <c r="BR127" s="20">
        <v>236</v>
      </c>
      <c r="BS127" s="20">
        <v>800</v>
      </c>
      <c r="BT127" s="20">
        <v>7106836</v>
      </c>
      <c r="BU127" s="20">
        <v>44000000</v>
      </c>
      <c r="BV127" s="20">
        <v>5.6283837139340207</v>
      </c>
    </row>
    <row r="128" spans="1:74">
      <c r="A128" s="10">
        <f t="shared" si="6"/>
        <v>0</v>
      </c>
      <c r="B128" s="10">
        <f t="shared" si="7"/>
        <v>0</v>
      </c>
      <c r="C128" s="12">
        <f t="shared" si="8"/>
        <v>4</v>
      </c>
      <c r="D128" s="12">
        <f t="shared" si="9"/>
        <v>10</v>
      </c>
      <c r="E128" s="20" t="s">
        <v>424</v>
      </c>
      <c r="F128" s="20" t="s">
        <v>1393</v>
      </c>
      <c r="G128" s="20" t="s">
        <v>1542</v>
      </c>
      <c r="H128" s="20" t="s">
        <v>1543</v>
      </c>
      <c r="I128" s="20">
        <v>1</v>
      </c>
      <c r="J128" s="20" t="s">
        <v>1544</v>
      </c>
      <c r="K128" s="20" t="s">
        <v>1545</v>
      </c>
      <c r="L128" s="20" t="s">
        <v>1546</v>
      </c>
      <c r="M128" s="20" t="s">
        <v>1393</v>
      </c>
      <c r="N128" s="20" t="s">
        <v>1413</v>
      </c>
      <c r="P128" s="20" t="s">
        <v>1393</v>
      </c>
      <c r="Q128" s="20" t="s">
        <v>1400</v>
      </c>
      <c r="R128" s="20" t="s">
        <v>84</v>
      </c>
      <c r="S128" s="20">
        <v>5</v>
      </c>
      <c r="T128" s="20" t="s">
        <v>244</v>
      </c>
      <c r="U128" s="20" t="s">
        <v>245</v>
      </c>
      <c r="V128" s="20" t="s">
        <v>87</v>
      </c>
      <c r="W128" s="20">
        <v>507</v>
      </c>
      <c r="X128" s="20">
        <v>507</v>
      </c>
      <c r="Y128" s="20" t="s">
        <v>1547</v>
      </c>
      <c r="Z128" s="20">
        <v>0.16666666666666666</v>
      </c>
      <c r="AA128" s="20" t="s">
        <v>1548</v>
      </c>
      <c r="AB128" s="20" t="s">
        <v>296</v>
      </c>
      <c r="AC128" s="20" t="s">
        <v>297</v>
      </c>
      <c r="AD128" s="20" t="s">
        <v>1549</v>
      </c>
      <c r="AE128" s="20" t="s">
        <v>91</v>
      </c>
      <c r="AF128" s="20">
        <v>0.5</v>
      </c>
      <c r="AG128" s="20">
        <v>0</v>
      </c>
      <c r="AH128" s="20">
        <v>1</v>
      </c>
      <c r="AI128" s="7" t="s">
        <v>251</v>
      </c>
      <c r="AJ128" s="20">
        <v>100</v>
      </c>
      <c r="AK128" s="4" t="s">
        <v>179</v>
      </c>
      <c r="AL128" s="4">
        <v>12</v>
      </c>
      <c r="AM128" s="4">
        <v>12</v>
      </c>
      <c r="AN128" s="4" t="s">
        <v>95</v>
      </c>
      <c r="AO128" s="4" t="s">
        <v>96</v>
      </c>
      <c r="AP128" s="4">
        <v>1</v>
      </c>
      <c r="AQ128" s="20">
        <v>35000</v>
      </c>
      <c r="AR128" s="4">
        <v>41802</v>
      </c>
      <c r="AS128" s="20">
        <v>5303.030303030303</v>
      </c>
      <c r="AT128" s="20">
        <v>5508.5600000000013</v>
      </c>
      <c r="AU128" s="20">
        <v>205.52969696969831</v>
      </c>
      <c r="AV128" s="20">
        <v>0</v>
      </c>
      <c r="AW128" s="20">
        <v>0</v>
      </c>
      <c r="AX128" s="20">
        <v>20</v>
      </c>
      <c r="AY128" s="20">
        <v>20</v>
      </c>
      <c r="AZ128" s="20">
        <v>4.4000000000000004</v>
      </c>
      <c r="BA128" s="20">
        <v>0</v>
      </c>
      <c r="BB128" s="6">
        <v>41751</v>
      </c>
      <c r="BC128" s="6">
        <v>0</v>
      </c>
      <c r="BD128" s="6">
        <v>41869</v>
      </c>
      <c r="BE128" s="6">
        <v>41913</v>
      </c>
      <c r="BF128" s="6">
        <v>41913</v>
      </c>
      <c r="BG128" s="6">
        <v>41941</v>
      </c>
      <c r="BH128" s="6">
        <v>0</v>
      </c>
      <c r="BI128" s="6">
        <v>0</v>
      </c>
      <c r="BJ128" s="6">
        <v>0</v>
      </c>
      <c r="BK128" s="5" t="s">
        <v>2173</v>
      </c>
      <c r="BL128" s="4" t="s">
        <v>2173</v>
      </c>
      <c r="BM128" s="20">
        <v>65</v>
      </c>
      <c r="BN128" s="20">
        <v>35</v>
      </c>
      <c r="BO128" s="20">
        <v>0</v>
      </c>
      <c r="BP128" s="20">
        <v>0</v>
      </c>
      <c r="BQ128" s="20">
        <v>0</v>
      </c>
      <c r="BR128" s="20">
        <v>0</v>
      </c>
      <c r="BS128" s="20">
        <v>100</v>
      </c>
      <c r="BT128" s="20">
        <v>550856.00000000012</v>
      </c>
      <c r="BU128" s="20">
        <v>3500000</v>
      </c>
      <c r="BV128" s="20">
        <v>5.7761342017118462</v>
      </c>
    </row>
    <row r="129" spans="1:74">
      <c r="A129" s="10">
        <f t="shared" si="6"/>
        <v>0</v>
      </c>
      <c r="B129" s="10">
        <f t="shared" si="7"/>
        <v>0</v>
      </c>
      <c r="C129" s="12">
        <f t="shared" si="8"/>
        <v>4</v>
      </c>
      <c r="D129" s="12">
        <f t="shared" si="9"/>
        <v>10</v>
      </c>
      <c r="E129" s="20" t="s">
        <v>424</v>
      </c>
      <c r="F129" s="20" t="s">
        <v>1393</v>
      </c>
      <c r="G129" s="20" t="s">
        <v>1542</v>
      </c>
      <c r="H129" s="20" t="s">
        <v>1543</v>
      </c>
      <c r="I129" s="20">
        <v>1</v>
      </c>
      <c r="J129" s="20" t="s">
        <v>1544</v>
      </c>
      <c r="K129" s="20" t="s">
        <v>1651</v>
      </c>
      <c r="L129" s="20" t="s">
        <v>1546</v>
      </c>
      <c r="M129" s="20" t="s">
        <v>1393</v>
      </c>
      <c r="N129" s="20" t="s">
        <v>1413</v>
      </c>
      <c r="P129" s="20" t="s">
        <v>1393</v>
      </c>
      <c r="Q129" s="20" t="s">
        <v>1400</v>
      </c>
      <c r="R129" s="20" t="s">
        <v>84</v>
      </c>
      <c r="S129" s="20">
        <v>5</v>
      </c>
      <c r="T129" s="20" t="s">
        <v>244</v>
      </c>
      <c r="U129" s="20" t="s">
        <v>245</v>
      </c>
      <c r="V129" s="20" t="s">
        <v>87</v>
      </c>
      <c r="W129" s="20">
        <v>507</v>
      </c>
      <c r="X129" s="20">
        <v>507</v>
      </c>
      <c r="Y129" s="20" t="s">
        <v>1547</v>
      </c>
      <c r="Z129" s="20">
        <v>0.16666666666666666</v>
      </c>
      <c r="AA129" s="20" t="s">
        <v>1548</v>
      </c>
      <c r="AB129" s="20" t="s">
        <v>296</v>
      </c>
      <c r="AC129" s="20" t="s">
        <v>297</v>
      </c>
      <c r="AD129" s="20" t="s">
        <v>1549</v>
      </c>
      <c r="AE129" s="20" t="s">
        <v>91</v>
      </c>
      <c r="AF129" s="20">
        <v>0.5</v>
      </c>
      <c r="AG129" s="20">
        <v>0</v>
      </c>
      <c r="AH129" s="20">
        <v>1</v>
      </c>
      <c r="AI129" s="7" t="s">
        <v>92</v>
      </c>
      <c r="AJ129" s="20">
        <v>200</v>
      </c>
      <c r="AK129" s="4" t="s">
        <v>179</v>
      </c>
      <c r="AL129" s="4">
        <v>12</v>
      </c>
      <c r="AM129" s="4">
        <v>12</v>
      </c>
      <c r="AN129" s="4" t="s">
        <v>95</v>
      </c>
      <c r="AO129" s="4" t="s">
        <v>96</v>
      </c>
      <c r="AP129" s="4">
        <v>1</v>
      </c>
      <c r="AQ129" s="20">
        <v>35000</v>
      </c>
      <c r="AR129" s="4">
        <v>41802</v>
      </c>
      <c r="AS129" s="20">
        <v>5303.030303030303</v>
      </c>
      <c r="AT129" s="20">
        <v>5508.5600000000013</v>
      </c>
      <c r="AU129" s="20">
        <v>205.52969696969831</v>
      </c>
      <c r="AV129" s="20">
        <v>0</v>
      </c>
      <c r="AW129" s="20">
        <v>0</v>
      </c>
      <c r="AX129" s="20">
        <v>20</v>
      </c>
      <c r="AY129" s="20">
        <v>20</v>
      </c>
      <c r="AZ129" s="20">
        <v>4.4000000000000004</v>
      </c>
      <c r="BA129" s="20">
        <v>0</v>
      </c>
      <c r="BB129" s="6">
        <v>41751</v>
      </c>
      <c r="BC129" s="6">
        <v>0</v>
      </c>
      <c r="BD129" s="6">
        <v>41869</v>
      </c>
      <c r="BE129" s="6">
        <v>41869</v>
      </c>
      <c r="BF129" s="6">
        <v>41913</v>
      </c>
      <c r="BG129" s="6">
        <v>41941</v>
      </c>
      <c r="BH129" s="6">
        <v>0</v>
      </c>
      <c r="BI129" s="6">
        <v>0</v>
      </c>
      <c r="BJ129" s="6">
        <v>0</v>
      </c>
      <c r="BK129" s="5" t="s">
        <v>2173</v>
      </c>
      <c r="BL129" s="4" t="s">
        <v>2173</v>
      </c>
      <c r="BM129" s="20">
        <v>0</v>
      </c>
      <c r="BN129" s="20">
        <v>197</v>
      </c>
      <c r="BO129" s="20">
        <v>0</v>
      </c>
      <c r="BP129" s="20">
        <v>0</v>
      </c>
      <c r="BQ129" s="20">
        <v>0</v>
      </c>
      <c r="BR129" s="20">
        <v>0</v>
      </c>
      <c r="BS129" s="20">
        <v>200</v>
      </c>
      <c r="BT129" s="20">
        <v>1101712.0000000002</v>
      </c>
      <c r="BU129" s="20">
        <v>7000000</v>
      </c>
      <c r="BV129" s="20">
        <v>5.7761342017118462</v>
      </c>
    </row>
    <row r="130" spans="1:74">
      <c r="A130" s="10">
        <f t="shared" si="6"/>
        <v>0</v>
      </c>
      <c r="B130" s="10">
        <f t="shared" si="7"/>
        <v>0</v>
      </c>
      <c r="C130" s="12">
        <f t="shared" si="8"/>
        <v>4</v>
      </c>
      <c r="D130" s="12">
        <f t="shared" si="9"/>
        <v>10</v>
      </c>
      <c r="E130" s="20" t="s">
        <v>424</v>
      </c>
      <c r="F130" s="20" t="s">
        <v>1393</v>
      </c>
      <c r="G130" s="20" t="s">
        <v>1542</v>
      </c>
      <c r="H130" s="20" t="s">
        <v>1550</v>
      </c>
      <c r="I130" s="20">
        <v>2</v>
      </c>
      <c r="J130" s="20" t="s">
        <v>1551</v>
      </c>
      <c r="K130" s="20" t="s">
        <v>1552</v>
      </c>
      <c r="L130" s="20" t="s">
        <v>1546</v>
      </c>
      <c r="M130" s="20" t="s">
        <v>1393</v>
      </c>
      <c r="N130" s="20" t="s">
        <v>1413</v>
      </c>
      <c r="P130" s="20" t="s">
        <v>1393</v>
      </c>
      <c r="Q130" s="20" t="s">
        <v>1400</v>
      </c>
      <c r="R130" s="20" t="s">
        <v>84</v>
      </c>
      <c r="S130" s="20">
        <v>5</v>
      </c>
      <c r="T130" s="20" t="s">
        <v>244</v>
      </c>
      <c r="U130" s="20" t="s">
        <v>245</v>
      </c>
      <c r="V130" s="20" t="s">
        <v>87</v>
      </c>
      <c r="W130" s="20">
        <v>507</v>
      </c>
      <c r="X130" s="20">
        <v>507</v>
      </c>
      <c r="Y130" s="20" t="s">
        <v>1547</v>
      </c>
      <c r="Z130" s="20">
        <v>0.16666666666666666</v>
      </c>
      <c r="AA130" s="20" t="s">
        <v>1553</v>
      </c>
      <c r="AB130" s="20" t="s">
        <v>89</v>
      </c>
      <c r="AC130" s="20" t="s">
        <v>90</v>
      </c>
      <c r="AD130" s="20" t="s">
        <v>1554</v>
      </c>
      <c r="AE130" s="20" t="s">
        <v>91</v>
      </c>
      <c r="AF130" s="20">
        <v>0.5</v>
      </c>
      <c r="AG130" s="20">
        <v>0</v>
      </c>
      <c r="AH130" s="20">
        <v>1</v>
      </c>
      <c r="AI130" s="7" t="s">
        <v>251</v>
      </c>
      <c r="AJ130" s="20">
        <v>100</v>
      </c>
      <c r="AK130" s="4" t="s">
        <v>179</v>
      </c>
      <c r="AL130" s="4">
        <v>12</v>
      </c>
      <c r="AM130" s="4">
        <v>12</v>
      </c>
      <c r="AN130" s="4" t="s">
        <v>95</v>
      </c>
      <c r="AO130" s="4" t="s">
        <v>96</v>
      </c>
      <c r="AP130" s="4">
        <v>1</v>
      </c>
      <c r="AQ130" s="20">
        <v>35000</v>
      </c>
      <c r="AR130" s="4">
        <v>41802</v>
      </c>
      <c r="AS130" s="20">
        <v>5303.030303030303</v>
      </c>
      <c r="AT130" s="20">
        <v>5508.5600000000013</v>
      </c>
      <c r="AU130" s="20">
        <v>205.52969696969831</v>
      </c>
      <c r="AV130" s="20">
        <v>0</v>
      </c>
      <c r="AW130" s="20">
        <v>0</v>
      </c>
      <c r="AX130" s="20">
        <v>20</v>
      </c>
      <c r="AY130" s="20">
        <v>20</v>
      </c>
      <c r="AZ130" s="20">
        <v>4.4000000000000004</v>
      </c>
      <c r="BA130" s="20">
        <v>0</v>
      </c>
      <c r="BB130" s="6">
        <v>41751</v>
      </c>
      <c r="BC130" s="6">
        <v>0</v>
      </c>
      <c r="BD130" s="6">
        <v>41869</v>
      </c>
      <c r="BE130" s="6">
        <v>41869</v>
      </c>
      <c r="BF130" s="6">
        <v>41913</v>
      </c>
      <c r="BG130" s="6">
        <v>41941</v>
      </c>
      <c r="BH130" s="6">
        <v>0</v>
      </c>
      <c r="BI130" s="6">
        <v>0</v>
      </c>
      <c r="BJ130" s="6">
        <v>0</v>
      </c>
      <c r="BK130" s="5" t="s">
        <v>2173</v>
      </c>
      <c r="BL130" s="4" t="s">
        <v>2173</v>
      </c>
      <c r="BM130" s="20">
        <v>49</v>
      </c>
      <c r="BN130" s="20">
        <v>51</v>
      </c>
      <c r="BO130" s="20">
        <v>0</v>
      </c>
      <c r="BP130" s="20">
        <v>0</v>
      </c>
      <c r="BQ130" s="20">
        <v>0</v>
      </c>
      <c r="BR130" s="20">
        <v>0</v>
      </c>
      <c r="BS130" s="20">
        <v>100</v>
      </c>
      <c r="BT130" s="20">
        <v>550856.00000000012</v>
      </c>
      <c r="BU130" s="20">
        <v>3500000</v>
      </c>
      <c r="BV130" s="20">
        <v>5.7761342017118462</v>
      </c>
    </row>
    <row r="131" spans="1:74">
      <c r="A131" s="10">
        <f t="shared" ref="A131:A194" si="10">IF($BL131="공급",$Z131,0)</f>
        <v>0</v>
      </c>
      <c r="B131" s="10">
        <f t="shared" ref="B131:B194" si="11">IF($AV131&gt;0,$Z131,0)</f>
        <v>0</v>
      </c>
      <c r="C131" s="12">
        <f t="shared" si="8"/>
        <v>4</v>
      </c>
      <c r="D131" s="12">
        <f t="shared" si="9"/>
        <v>10</v>
      </c>
      <c r="E131" s="20" t="s">
        <v>424</v>
      </c>
      <c r="F131" s="20" t="s">
        <v>1393</v>
      </c>
      <c r="G131" s="20" t="s">
        <v>1542</v>
      </c>
      <c r="H131" s="20" t="s">
        <v>1550</v>
      </c>
      <c r="I131" s="20">
        <v>2</v>
      </c>
      <c r="J131" s="20" t="s">
        <v>1551</v>
      </c>
      <c r="K131" s="20" t="s">
        <v>1652</v>
      </c>
      <c r="L131" s="20" t="s">
        <v>1546</v>
      </c>
      <c r="M131" s="20" t="s">
        <v>1393</v>
      </c>
      <c r="N131" s="20" t="s">
        <v>1413</v>
      </c>
      <c r="P131" s="20" t="s">
        <v>1393</v>
      </c>
      <c r="Q131" s="20" t="s">
        <v>1400</v>
      </c>
      <c r="R131" s="20" t="s">
        <v>84</v>
      </c>
      <c r="S131" s="20">
        <v>5</v>
      </c>
      <c r="T131" s="20" t="s">
        <v>244</v>
      </c>
      <c r="U131" s="20" t="s">
        <v>245</v>
      </c>
      <c r="V131" s="20" t="s">
        <v>87</v>
      </c>
      <c r="W131" s="20">
        <v>507</v>
      </c>
      <c r="X131" s="20">
        <v>507</v>
      </c>
      <c r="Y131" s="20" t="s">
        <v>1547</v>
      </c>
      <c r="Z131" s="20">
        <v>0.16666666666666666</v>
      </c>
      <c r="AA131" s="20" t="s">
        <v>1553</v>
      </c>
      <c r="AB131" s="20" t="s">
        <v>89</v>
      </c>
      <c r="AC131" s="20" t="s">
        <v>90</v>
      </c>
      <c r="AD131" s="20" t="s">
        <v>1554</v>
      </c>
      <c r="AE131" s="20" t="s">
        <v>91</v>
      </c>
      <c r="AF131" s="20">
        <v>0.5</v>
      </c>
      <c r="AG131" s="20">
        <v>0</v>
      </c>
      <c r="AH131" s="20">
        <v>1</v>
      </c>
      <c r="AI131" s="7" t="s">
        <v>92</v>
      </c>
      <c r="AJ131" s="20">
        <v>200</v>
      </c>
      <c r="AK131" s="4" t="s">
        <v>179</v>
      </c>
      <c r="AL131" s="4">
        <v>12</v>
      </c>
      <c r="AM131" s="4">
        <v>12</v>
      </c>
      <c r="AN131" s="4" t="s">
        <v>95</v>
      </c>
      <c r="AO131" s="4" t="s">
        <v>96</v>
      </c>
      <c r="AP131" s="4">
        <v>1</v>
      </c>
      <c r="AQ131" s="20">
        <v>35000</v>
      </c>
      <c r="AR131" s="4">
        <v>41802</v>
      </c>
      <c r="AS131" s="20">
        <v>5303.030303030303</v>
      </c>
      <c r="AT131" s="20">
        <v>5508.5600000000013</v>
      </c>
      <c r="AU131" s="20">
        <v>205.52969696969831</v>
      </c>
      <c r="AV131" s="20">
        <v>0</v>
      </c>
      <c r="AW131" s="20">
        <v>0</v>
      </c>
      <c r="AX131" s="20">
        <v>20</v>
      </c>
      <c r="AY131" s="20">
        <v>20</v>
      </c>
      <c r="AZ131" s="20">
        <v>4.4000000000000004</v>
      </c>
      <c r="BA131" s="20">
        <v>0</v>
      </c>
      <c r="BB131" s="6">
        <v>41751</v>
      </c>
      <c r="BC131" s="6">
        <v>0</v>
      </c>
      <c r="BD131" s="6">
        <v>41869</v>
      </c>
      <c r="BE131" s="6">
        <v>41869</v>
      </c>
      <c r="BF131" s="6">
        <v>41913</v>
      </c>
      <c r="BG131" s="6">
        <v>41941</v>
      </c>
      <c r="BH131" s="6">
        <v>0</v>
      </c>
      <c r="BI131" s="6">
        <v>0</v>
      </c>
      <c r="BJ131" s="6">
        <v>0</v>
      </c>
      <c r="BK131" s="5" t="s">
        <v>2173</v>
      </c>
      <c r="BL131" s="4" t="s">
        <v>2173</v>
      </c>
      <c r="BM131" s="20">
        <v>0</v>
      </c>
      <c r="BN131" s="20">
        <v>199</v>
      </c>
      <c r="BO131" s="20">
        <v>0</v>
      </c>
      <c r="BP131" s="20">
        <v>0</v>
      </c>
      <c r="BQ131" s="20">
        <v>0</v>
      </c>
      <c r="BR131" s="20">
        <v>0</v>
      </c>
      <c r="BS131" s="20">
        <v>200</v>
      </c>
      <c r="BT131" s="20">
        <v>1101712.0000000002</v>
      </c>
      <c r="BU131" s="20">
        <v>7000000</v>
      </c>
      <c r="BV131" s="20">
        <v>5.7761342017118462</v>
      </c>
    </row>
    <row r="132" spans="1:74">
      <c r="A132" s="10">
        <f t="shared" si="10"/>
        <v>0</v>
      </c>
      <c r="B132" s="10">
        <f t="shared" si="11"/>
        <v>0</v>
      </c>
      <c r="C132" s="12">
        <f t="shared" ref="C132:C195" si="12">IF($BB132=0,"",MONTH($BB132))</f>
        <v>4</v>
      </c>
      <c r="D132" s="12">
        <f t="shared" si="9"/>
        <v>10</v>
      </c>
      <c r="E132" s="20" t="s">
        <v>424</v>
      </c>
      <c r="F132" s="20" t="s">
        <v>1393</v>
      </c>
      <c r="G132" s="20" t="s">
        <v>1542</v>
      </c>
      <c r="H132" s="20" t="s">
        <v>1555</v>
      </c>
      <c r="I132" s="20">
        <v>3</v>
      </c>
      <c r="J132" s="20" t="s">
        <v>1556</v>
      </c>
      <c r="K132" s="20" t="s">
        <v>1557</v>
      </c>
      <c r="L132" s="20" t="s">
        <v>1546</v>
      </c>
      <c r="M132" s="20" t="s">
        <v>1393</v>
      </c>
      <c r="N132" s="20" t="s">
        <v>1413</v>
      </c>
      <c r="P132" s="20" t="s">
        <v>1393</v>
      </c>
      <c r="Q132" s="20" t="s">
        <v>1400</v>
      </c>
      <c r="R132" s="20" t="s">
        <v>84</v>
      </c>
      <c r="S132" s="20">
        <v>5</v>
      </c>
      <c r="T132" s="20" t="s">
        <v>244</v>
      </c>
      <c r="U132" s="20" t="s">
        <v>245</v>
      </c>
      <c r="V132" s="20" t="s">
        <v>87</v>
      </c>
      <c r="W132" s="20">
        <v>507</v>
      </c>
      <c r="X132" s="20">
        <v>507</v>
      </c>
      <c r="Y132" s="20" t="s">
        <v>1547</v>
      </c>
      <c r="Z132" s="20">
        <v>0.16666666666666666</v>
      </c>
      <c r="AA132" s="20" t="s">
        <v>1558</v>
      </c>
      <c r="AB132" s="20" t="s">
        <v>101</v>
      </c>
      <c r="AC132" s="20" t="s">
        <v>102</v>
      </c>
      <c r="AD132" s="20" t="s">
        <v>1559</v>
      </c>
      <c r="AE132" s="20" t="s">
        <v>91</v>
      </c>
      <c r="AF132" s="20">
        <v>0.5</v>
      </c>
      <c r="AG132" s="20">
        <v>0</v>
      </c>
      <c r="AH132" s="20">
        <v>1</v>
      </c>
      <c r="AI132" s="7" t="s">
        <v>251</v>
      </c>
      <c r="AJ132" s="20">
        <v>100</v>
      </c>
      <c r="AK132" s="4" t="s">
        <v>179</v>
      </c>
      <c r="AL132" s="4">
        <v>12</v>
      </c>
      <c r="AM132" s="4">
        <v>12</v>
      </c>
      <c r="AN132" s="4" t="s">
        <v>95</v>
      </c>
      <c r="AO132" s="4" t="s">
        <v>96</v>
      </c>
      <c r="AP132" s="4">
        <v>1</v>
      </c>
      <c r="AQ132" s="20">
        <v>35000</v>
      </c>
      <c r="AR132" s="4">
        <v>41802</v>
      </c>
      <c r="AS132" s="20">
        <v>5303.030303030303</v>
      </c>
      <c r="AT132" s="20">
        <v>5508.5600000000013</v>
      </c>
      <c r="AU132" s="20">
        <v>205.52969696969831</v>
      </c>
      <c r="AV132" s="20">
        <v>0</v>
      </c>
      <c r="AW132" s="20">
        <v>0</v>
      </c>
      <c r="AX132" s="20">
        <v>20</v>
      </c>
      <c r="AY132" s="20">
        <v>20</v>
      </c>
      <c r="AZ132" s="20">
        <v>4.4000000000000004</v>
      </c>
      <c r="BA132" s="20">
        <v>0</v>
      </c>
      <c r="BB132" s="6">
        <v>41751</v>
      </c>
      <c r="BC132" s="6">
        <v>0</v>
      </c>
      <c r="BD132" s="6">
        <v>41869</v>
      </c>
      <c r="BE132" s="6">
        <v>41869</v>
      </c>
      <c r="BF132" s="6">
        <v>41913</v>
      </c>
      <c r="BG132" s="6">
        <v>41941</v>
      </c>
      <c r="BH132" s="6">
        <v>0</v>
      </c>
      <c r="BI132" s="6">
        <v>0</v>
      </c>
      <c r="BJ132" s="6">
        <v>0</v>
      </c>
      <c r="BK132" s="5" t="s">
        <v>2173</v>
      </c>
      <c r="BL132" s="4" t="s">
        <v>2173</v>
      </c>
      <c r="BM132" s="20">
        <v>13</v>
      </c>
      <c r="BN132" s="20">
        <v>86</v>
      </c>
      <c r="BO132" s="20">
        <v>0</v>
      </c>
      <c r="BP132" s="20">
        <v>0</v>
      </c>
      <c r="BQ132" s="20">
        <v>0</v>
      </c>
      <c r="BR132" s="20">
        <v>0</v>
      </c>
      <c r="BS132" s="20">
        <v>100</v>
      </c>
      <c r="BT132" s="20">
        <v>550856.00000000012</v>
      </c>
      <c r="BU132" s="20">
        <v>3500000</v>
      </c>
      <c r="BV132" s="20">
        <v>5.7761342017118462</v>
      </c>
    </row>
    <row r="133" spans="1:74">
      <c r="A133" s="10">
        <f t="shared" si="10"/>
        <v>0</v>
      </c>
      <c r="B133" s="10">
        <f t="shared" si="11"/>
        <v>0</v>
      </c>
      <c r="C133" s="12">
        <f t="shared" si="12"/>
        <v>4</v>
      </c>
      <c r="D133" s="12">
        <f t="shared" ref="D133:D196" si="13">IF(AND(BD133=0,BF133=0),"",MONTH(IF($BF133=0,$BD133,$BF133)))</f>
        <v>10</v>
      </c>
      <c r="E133" s="20" t="s">
        <v>424</v>
      </c>
      <c r="F133" s="20" t="s">
        <v>1393</v>
      </c>
      <c r="G133" s="20" t="s">
        <v>1542</v>
      </c>
      <c r="H133" s="20" t="s">
        <v>1555</v>
      </c>
      <c r="I133" s="20">
        <v>3</v>
      </c>
      <c r="J133" s="20" t="s">
        <v>1556</v>
      </c>
      <c r="K133" s="20" t="s">
        <v>1653</v>
      </c>
      <c r="L133" s="20" t="s">
        <v>1546</v>
      </c>
      <c r="M133" s="20" t="s">
        <v>1393</v>
      </c>
      <c r="N133" s="20" t="s">
        <v>1413</v>
      </c>
      <c r="P133" s="20" t="s">
        <v>1393</v>
      </c>
      <c r="Q133" s="20" t="s">
        <v>1400</v>
      </c>
      <c r="R133" s="20" t="s">
        <v>84</v>
      </c>
      <c r="S133" s="20">
        <v>5</v>
      </c>
      <c r="T133" s="20" t="s">
        <v>244</v>
      </c>
      <c r="U133" s="20" t="s">
        <v>245</v>
      </c>
      <c r="V133" s="20" t="s">
        <v>87</v>
      </c>
      <c r="W133" s="20">
        <v>507</v>
      </c>
      <c r="X133" s="20">
        <v>507</v>
      </c>
      <c r="Y133" s="20" t="s">
        <v>1547</v>
      </c>
      <c r="Z133" s="20">
        <v>0.16666666666666666</v>
      </c>
      <c r="AA133" s="20" t="s">
        <v>1558</v>
      </c>
      <c r="AB133" s="20" t="s">
        <v>101</v>
      </c>
      <c r="AC133" s="20" t="s">
        <v>102</v>
      </c>
      <c r="AD133" s="20" t="s">
        <v>1559</v>
      </c>
      <c r="AE133" s="20" t="s">
        <v>91</v>
      </c>
      <c r="AF133" s="20">
        <v>0.5</v>
      </c>
      <c r="AG133" s="20">
        <v>0</v>
      </c>
      <c r="AH133" s="20">
        <v>1</v>
      </c>
      <c r="AI133" s="7" t="s">
        <v>92</v>
      </c>
      <c r="AJ133" s="20">
        <v>200</v>
      </c>
      <c r="AK133" s="4" t="s">
        <v>179</v>
      </c>
      <c r="AL133" s="4">
        <v>12</v>
      </c>
      <c r="AM133" s="4">
        <v>12</v>
      </c>
      <c r="AN133" s="4" t="s">
        <v>95</v>
      </c>
      <c r="AO133" s="4" t="s">
        <v>96</v>
      </c>
      <c r="AP133" s="4">
        <v>1</v>
      </c>
      <c r="AQ133" s="20">
        <v>35000</v>
      </c>
      <c r="AR133" s="4">
        <v>41802</v>
      </c>
      <c r="AS133" s="20">
        <v>5303.030303030303</v>
      </c>
      <c r="AT133" s="20">
        <v>5508.5600000000013</v>
      </c>
      <c r="AU133" s="20">
        <v>205.52969696969831</v>
      </c>
      <c r="AV133" s="20">
        <v>0</v>
      </c>
      <c r="AW133" s="20">
        <v>0</v>
      </c>
      <c r="AX133" s="20">
        <v>20</v>
      </c>
      <c r="AY133" s="20">
        <v>20</v>
      </c>
      <c r="AZ133" s="20">
        <v>4.4000000000000004</v>
      </c>
      <c r="BA133" s="20">
        <v>0</v>
      </c>
      <c r="BB133" s="6">
        <v>41751</v>
      </c>
      <c r="BC133" s="6">
        <v>0</v>
      </c>
      <c r="BD133" s="6">
        <v>41869</v>
      </c>
      <c r="BE133" s="6">
        <v>41869</v>
      </c>
      <c r="BF133" s="6">
        <v>41913</v>
      </c>
      <c r="BG133" s="6">
        <v>41941</v>
      </c>
      <c r="BH133" s="6">
        <v>0</v>
      </c>
      <c r="BI133" s="6">
        <v>0</v>
      </c>
      <c r="BJ133" s="6">
        <v>0</v>
      </c>
      <c r="BK133" s="5" t="s">
        <v>2173</v>
      </c>
      <c r="BL133" s="4" t="s">
        <v>2173</v>
      </c>
      <c r="BM133" s="20">
        <v>0</v>
      </c>
      <c r="BN133" s="20">
        <v>200</v>
      </c>
      <c r="BO133" s="20">
        <v>0</v>
      </c>
      <c r="BP133" s="20">
        <v>0</v>
      </c>
      <c r="BQ133" s="20">
        <v>0</v>
      </c>
      <c r="BR133" s="20">
        <v>0</v>
      </c>
      <c r="BS133" s="20">
        <v>200</v>
      </c>
      <c r="BT133" s="20">
        <v>1101712.0000000002</v>
      </c>
      <c r="BU133" s="20">
        <v>7000000</v>
      </c>
      <c r="BV133" s="20">
        <v>5.7761342017118462</v>
      </c>
    </row>
    <row r="134" spans="1:74">
      <c r="A134" s="10">
        <f t="shared" si="10"/>
        <v>0</v>
      </c>
      <c r="B134" s="10">
        <f t="shared" si="11"/>
        <v>0</v>
      </c>
      <c r="C134" s="12">
        <f t="shared" si="12"/>
        <v>4</v>
      </c>
      <c r="D134" s="12">
        <f t="shared" si="13"/>
        <v>10</v>
      </c>
      <c r="E134" s="20" t="s">
        <v>424</v>
      </c>
      <c r="F134" s="20" t="s">
        <v>1393</v>
      </c>
      <c r="G134" s="20" t="s">
        <v>1542</v>
      </c>
      <c r="H134" s="20" t="s">
        <v>1560</v>
      </c>
      <c r="I134" s="20">
        <v>4</v>
      </c>
      <c r="J134" s="20" t="s">
        <v>1561</v>
      </c>
      <c r="K134" s="20" t="s">
        <v>1562</v>
      </c>
      <c r="L134" s="20" t="s">
        <v>1563</v>
      </c>
      <c r="M134" s="20" t="s">
        <v>1393</v>
      </c>
      <c r="N134" s="20" t="s">
        <v>1413</v>
      </c>
      <c r="P134" s="20" t="s">
        <v>1393</v>
      </c>
      <c r="Q134" s="20" t="s">
        <v>1400</v>
      </c>
      <c r="R134" s="20" t="s">
        <v>84</v>
      </c>
      <c r="S134" s="20">
        <v>5</v>
      </c>
      <c r="T134" s="20" t="s">
        <v>244</v>
      </c>
      <c r="U134" s="20" t="s">
        <v>245</v>
      </c>
      <c r="V134" s="20" t="s">
        <v>87</v>
      </c>
      <c r="W134" s="20">
        <v>508</v>
      </c>
      <c r="X134" s="20">
        <v>508</v>
      </c>
      <c r="Y134" s="20" t="s">
        <v>1564</v>
      </c>
      <c r="Z134" s="20">
        <v>0.25</v>
      </c>
      <c r="AA134" s="20" t="s">
        <v>1565</v>
      </c>
      <c r="AB134" s="20" t="s">
        <v>101</v>
      </c>
      <c r="AC134" s="20" t="s">
        <v>102</v>
      </c>
      <c r="AD134" s="20" t="s">
        <v>1566</v>
      </c>
      <c r="AE134" s="20" t="s">
        <v>91</v>
      </c>
      <c r="AF134" s="20">
        <v>0.5</v>
      </c>
      <c r="AG134" s="20">
        <v>0</v>
      </c>
      <c r="AH134" s="20">
        <v>1</v>
      </c>
      <c r="AI134" s="7" t="s">
        <v>251</v>
      </c>
      <c r="AJ134" s="20">
        <v>100</v>
      </c>
      <c r="AK134" s="4" t="s">
        <v>179</v>
      </c>
      <c r="AL134" s="4">
        <v>12</v>
      </c>
      <c r="AM134" s="4">
        <v>12</v>
      </c>
      <c r="AN134" s="4" t="s">
        <v>95</v>
      </c>
      <c r="AO134" s="4" t="s">
        <v>96</v>
      </c>
      <c r="AP134" s="4">
        <v>1</v>
      </c>
      <c r="AQ134" s="20">
        <v>35000</v>
      </c>
      <c r="AR134" s="4">
        <v>41802</v>
      </c>
      <c r="AS134" s="20">
        <v>5303.030303030303</v>
      </c>
      <c r="AT134" s="20">
        <v>5259.0800000000008</v>
      </c>
      <c r="AU134" s="20">
        <v>-43.950303030302166</v>
      </c>
      <c r="AV134" s="20">
        <v>0</v>
      </c>
      <c r="AW134" s="20">
        <v>0</v>
      </c>
      <c r="AX134" s="20">
        <v>20</v>
      </c>
      <c r="AY134" s="20">
        <v>20</v>
      </c>
      <c r="AZ134" s="20">
        <v>4.2</v>
      </c>
      <c r="BA134" s="20">
        <v>0</v>
      </c>
      <c r="BB134" s="6">
        <v>41751</v>
      </c>
      <c r="BC134" s="6">
        <v>0</v>
      </c>
      <c r="BD134" s="6">
        <v>41869</v>
      </c>
      <c r="BE134" s="6">
        <v>41869</v>
      </c>
      <c r="BF134" s="6">
        <v>41913</v>
      </c>
      <c r="BG134" s="6">
        <v>0</v>
      </c>
      <c r="BH134" s="6">
        <v>0</v>
      </c>
      <c r="BI134" s="6">
        <v>0</v>
      </c>
      <c r="BJ134" s="6">
        <v>0</v>
      </c>
      <c r="BK134" s="5" t="s">
        <v>2173</v>
      </c>
      <c r="BL134" s="4" t="s">
        <v>2173</v>
      </c>
      <c r="BM134" s="20">
        <v>100</v>
      </c>
      <c r="BN134" s="20">
        <v>0</v>
      </c>
      <c r="BO134" s="20">
        <v>0</v>
      </c>
      <c r="BP134" s="20">
        <v>0</v>
      </c>
      <c r="BQ134" s="20">
        <v>0</v>
      </c>
      <c r="BR134" s="20">
        <v>0</v>
      </c>
      <c r="BS134" s="20">
        <v>100</v>
      </c>
      <c r="BT134" s="20">
        <v>525908.00000000012</v>
      </c>
      <c r="BU134" s="20">
        <v>3500000</v>
      </c>
      <c r="BV134" s="20">
        <v>6.0501421956277159</v>
      </c>
    </row>
    <row r="135" spans="1:74">
      <c r="A135" s="10">
        <f t="shared" si="10"/>
        <v>0</v>
      </c>
      <c r="B135" s="10">
        <f t="shared" si="11"/>
        <v>0</v>
      </c>
      <c r="C135" s="12">
        <f t="shared" si="12"/>
        <v>4</v>
      </c>
      <c r="D135" s="12">
        <f t="shared" si="13"/>
        <v>10</v>
      </c>
      <c r="E135" s="20" t="s">
        <v>424</v>
      </c>
      <c r="F135" s="20" t="s">
        <v>1393</v>
      </c>
      <c r="G135" s="20" t="s">
        <v>1542</v>
      </c>
      <c r="H135" s="20" t="s">
        <v>1560</v>
      </c>
      <c r="I135" s="20">
        <v>4</v>
      </c>
      <c r="J135" s="20" t="s">
        <v>1561</v>
      </c>
      <c r="K135" s="20" t="s">
        <v>1654</v>
      </c>
      <c r="L135" s="20" t="s">
        <v>1563</v>
      </c>
      <c r="M135" s="20" t="s">
        <v>1393</v>
      </c>
      <c r="N135" s="20" t="s">
        <v>1413</v>
      </c>
      <c r="P135" s="20" t="s">
        <v>1393</v>
      </c>
      <c r="Q135" s="20" t="s">
        <v>1400</v>
      </c>
      <c r="R135" s="20" t="s">
        <v>84</v>
      </c>
      <c r="S135" s="20">
        <v>5</v>
      </c>
      <c r="T135" s="20" t="s">
        <v>244</v>
      </c>
      <c r="U135" s="20" t="s">
        <v>245</v>
      </c>
      <c r="V135" s="20" t="s">
        <v>87</v>
      </c>
      <c r="W135" s="20">
        <v>508</v>
      </c>
      <c r="X135" s="20">
        <v>508</v>
      </c>
      <c r="Y135" s="20" t="s">
        <v>1564</v>
      </c>
      <c r="Z135" s="20">
        <v>0.25</v>
      </c>
      <c r="AA135" s="20" t="s">
        <v>1565</v>
      </c>
      <c r="AB135" s="20" t="s">
        <v>101</v>
      </c>
      <c r="AC135" s="20" t="s">
        <v>102</v>
      </c>
      <c r="AD135" s="20" t="s">
        <v>1566</v>
      </c>
      <c r="AE135" s="20" t="s">
        <v>91</v>
      </c>
      <c r="AF135" s="20">
        <v>0.5</v>
      </c>
      <c r="AG135" s="20">
        <v>0</v>
      </c>
      <c r="AH135" s="20">
        <v>1</v>
      </c>
      <c r="AI135" s="7" t="s">
        <v>92</v>
      </c>
      <c r="AJ135" s="20">
        <v>200</v>
      </c>
      <c r="AK135" s="4" t="s">
        <v>179</v>
      </c>
      <c r="AL135" s="4">
        <v>12</v>
      </c>
      <c r="AM135" s="4">
        <v>12</v>
      </c>
      <c r="AN135" s="4" t="s">
        <v>95</v>
      </c>
      <c r="AO135" s="4" t="s">
        <v>96</v>
      </c>
      <c r="AP135" s="4">
        <v>1</v>
      </c>
      <c r="AQ135" s="20">
        <v>35000</v>
      </c>
      <c r="AR135" s="4">
        <v>41802</v>
      </c>
      <c r="AS135" s="20">
        <v>5303.030303030303</v>
      </c>
      <c r="AT135" s="20">
        <v>5259.0800000000008</v>
      </c>
      <c r="AU135" s="20">
        <v>-43.950303030302166</v>
      </c>
      <c r="AV135" s="20">
        <v>0</v>
      </c>
      <c r="AW135" s="20">
        <v>0</v>
      </c>
      <c r="AX135" s="20">
        <v>20</v>
      </c>
      <c r="AY135" s="20">
        <v>20</v>
      </c>
      <c r="AZ135" s="20">
        <v>4.2</v>
      </c>
      <c r="BA135" s="20">
        <v>0</v>
      </c>
      <c r="BB135" s="6">
        <v>41751</v>
      </c>
      <c r="BC135" s="6">
        <v>0</v>
      </c>
      <c r="BD135" s="6">
        <v>41869</v>
      </c>
      <c r="BE135" s="6">
        <v>41869</v>
      </c>
      <c r="BF135" s="6">
        <v>41913</v>
      </c>
      <c r="BG135" s="6">
        <v>0</v>
      </c>
      <c r="BH135" s="6">
        <v>0</v>
      </c>
      <c r="BI135" s="6">
        <v>0</v>
      </c>
      <c r="BJ135" s="6">
        <v>0</v>
      </c>
      <c r="BK135" s="5" t="s">
        <v>2173</v>
      </c>
      <c r="BL135" s="4" t="s">
        <v>2173</v>
      </c>
      <c r="BM135" s="20">
        <v>199</v>
      </c>
      <c r="BN135" s="20">
        <v>0</v>
      </c>
      <c r="BO135" s="20">
        <v>0</v>
      </c>
      <c r="BP135" s="20">
        <v>0</v>
      </c>
      <c r="BQ135" s="20">
        <v>0</v>
      </c>
      <c r="BR135" s="20">
        <v>0</v>
      </c>
      <c r="BS135" s="20">
        <v>200</v>
      </c>
      <c r="BT135" s="20">
        <v>1051816.0000000002</v>
      </c>
      <c r="BU135" s="20">
        <v>7000000</v>
      </c>
      <c r="BV135" s="20">
        <v>6.0501421956277159</v>
      </c>
    </row>
    <row r="136" spans="1:74">
      <c r="A136" s="10">
        <f t="shared" si="10"/>
        <v>0</v>
      </c>
      <c r="B136" s="10">
        <f t="shared" si="11"/>
        <v>0</v>
      </c>
      <c r="C136" s="12">
        <f t="shared" si="12"/>
        <v>4</v>
      </c>
      <c r="D136" s="12">
        <f t="shared" si="13"/>
        <v>10</v>
      </c>
      <c r="E136" s="20" t="s">
        <v>424</v>
      </c>
      <c r="F136" s="20" t="s">
        <v>1393</v>
      </c>
      <c r="G136" s="20" t="s">
        <v>1542</v>
      </c>
      <c r="H136" s="20" t="s">
        <v>1567</v>
      </c>
      <c r="I136" s="20">
        <v>5</v>
      </c>
      <c r="J136" s="20" t="s">
        <v>1568</v>
      </c>
      <c r="K136" s="20" t="s">
        <v>1569</v>
      </c>
      <c r="L136" s="20" t="s">
        <v>1563</v>
      </c>
      <c r="M136" s="20" t="s">
        <v>1393</v>
      </c>
      <c r="N136" s="20" t="s">
        <v>1413</v>
      </c>
      <c r="P136" s="20" t="s">
        <v>1393</v>
      </c>
      <c r="Q136" s="20" t="s">
        <v>1400</v>
      </c>
      <c r="R136" s="20" t="s">
        <v>84</v>
      </c>
      <c r="S136" s="20">
        <v>5</v>
      </c>
      <c r="T136" s="20" t="s">
        <v>244</v>
      </c>
      <c r="U136" s="20" t="s">
        <v>245</v>
      </c>
      <c r="V136" s="20" t="s">
        <v>87</v>
      </c>
      <c r="W136" s="20">
        <v>508</v>
      </c>
      <c r="X136" s="20">
        <v>508</v>
      </c>
      <c r="Y136" s="20" t="s">
        <v>1564</v>
      </c>
      <c r="Z136" s="20">
        <v>0.25</v>
      </c>
      <c r="AA136" s="20" t="s">
        <v>1570</v>
      </c>
      <c r="AB136" s="20" t="s">
        <v>89</v>
      </c>
      <c r="AC136" s="20" t="s">
        <v>90</v>
      </c>
      <c r="AD136" s="20" t="s">
        <v>1571</v>
      </c>
      <c r="AE136" s="20" t="s">
        <v>91</v>
      </c>
      <c r="AF136" s="20">
        <v>0.5</v>
      </c>
      <c r="AG136" s="20">
        <v>0</v>
      </c>
      <c r="AH136" s="20">
        <v>1</v>
      </c>
      <c r="AI136" s="7" t="s">
        <v>251</v>
      </c>
      <c r="AJ136" s="20">
        <v>100</v>
      </c>
      <c r="AK136" s="4" t="s">
        <v>179</v>
      </c>
      <c r="AL136" s="4">
        <v>12</v>
      </c>
      <c r="AM136" s="4">
        <v>12</v>
      </c>
      <c r="AN136" s="4" t="s">
        <v>95</v>
      </c>
      <c r="AO136" s="4" t="s">
        <v>96</v>
      </c>
      <c r="AP136" s="4">
        <v>1</v>
      </c>
      <c r="AQ136" s="20">
        <v>35000</v>
      </c>
      <c r="AR136" s="4">
        <v>41802</v>
      </c>
      <c r="AS136" s="20">
        <v>5303.030303030303</v>
      </c>
      <c r="AT136" s="20">
        <v>5259.0800000000008</v>
      </c>
      <c r="AU136" s="20">
        <v>-43.950303030302166</v>
      </c>
      <c r="AV136" s="20">
        <v>0</v>
      </c>
      <c r="AW136" s="20">
        <v>0</v>
      </c>
      <c r="AX136" s="20">
        <v>20</v>
      </c>
      <c r="AY136" s="20">
        <v>20</v>
      </c>
      <c r="AZ136" s="20">
        <v>4.2</v>
      </c>
      <c r="BA136" s="20">
        <v>0</v>
      </c>
      <c r="BB136" s="6">
        <v>41751</v>
      </c>
      <c r="BC136" s="6">
        <v>0</v>
      </c>
      <c r="BD136" s="6">
        <v>41869</v>
      </c>
      <c r="BE136" s="6">
        <v>41869</v>
      </c>
      <c r="BF136" s="6">
        <v>41913</v>
      </c>
      <c r="BG136" s="6">
        <v>0</v>
      </c>
      <c r="BH136" s="6">
        <v>0</v>
      </c>
      <c r="BI136" s="6">
        <v>0</v>
      </c>
      <c r="BJ136" s="6">
        <v>0</v>
      </c>
      <c r="BK136" s="5" t="s">
        <v>2173</v>
      </c>
      <c r="BL136" s="4" t="s">
        <v>2173</v>
      </c>
      <c r="BM136" s="20">
        <v>100</v>
      </c>
      <c r="BN136" s="20">
        <v>0</v>
      </c>
      <c r="BO136" s="20">
        <v>0</v>
      </c>
      <c r="BP136" s="20">
        <v>0</v>
      </c>
      <c r="BQ136" s="20">
        <v>0</v>
      </c>
      <c r="BR136" s="20">
        <v>0</v>
      </c>
      <c r="BS136" s="20">
        <v>100</v>
      </c>
      <c r="BT136" s="20">
        <v>525908.00000000012</v>
      </c>
      <c r="BU136" s="20">
        <v>3500000</v>
      </c>
      <c r="BV136" s="20">
        <v>6.0501421956277159</v>
      </c>
    </row>
    <row r="137" spans="1:74">
      <c r="A137" s="10">
        <f t="shared" si="10"/>
        <v>0</v>
      </c>
      <c r="B137" s="10">
        <f t="shared" si="11"/>
        <v>0</v>
      </c>
      <c r="C137" s="12">
        <f t="shared" si="12"/>
        <v>4</v>
      </c>
      <c r="D137" s="12">
        <f t="shared" si="13"/>
        <v>10</v>
      </c>
      <c r="E137" s="20" t="s">
        <v>424</v>
      </c>
      <c r="F137" s="20" t="s">
        <v>1393</v>
      </c>
      <c r="G137" s="20" t="s">
        <v>1542</v>
      </c>
      <c r="H137" s="20" t="s">
        <v>1567</v>
      </c>
      <c r="I137" s="20">
        <v>5</v>
      </c>
      <c r="J137" s="20" t="s">
        <v>1568</v>
      </c>
      <c r="K137" s="20" t="s">
        <v>1655</v>
      </c>
      <c r="L137" s="20" t="s">
        <v>1563</v>
      </c>
      <c r="M137" s="20" t="s">
        <v>1393</v>
      </c>
      <c r="N137" s="20" t="s">
        <v>1413</v>
      </c>
      <c r="P137" s="20" t="s">
        <v>1393</v>
      </c>
      <c r="Q137" s="20" t="s">
        <v>1400</v>
      </c>
      <c r="R137" s="20" t="s">
        <v>84</v>
      </c>
      <c r="S137" s="20">
        <v>5</v>
      </c>
      <c r="T137" s="20" t="s">
        <v>244</v>
      </c>
      <c r="U137" s="20" t="s">
        <v>245</v>
      </c>
      <c r="V137" s="20" t="s">
        <v>87</v>
      </c>
      <c r="W137" s="20">
        <v>508</v>
      </c>
      <c r="X137" s="20">
        <v>508</v>
      </c>
      <c r="Y137" s="20" t="s">
        <v>1564</v>
      </c>
      <c r="Z137" s="20">
        <v>0.25</v>
      </c>
      <c r="AA137" s="20" t="s">
        <v>1570</v>
      </c>
      <c r="AB137" s="20" t="s">
        <v>89</v>
      </c>
      <c r="AC137" s="20" t="s">
        <v>90</v>
      </c>
      <c r="AD137" s="20" t="s">
        <v>1571</v>
      </c>
      <c r="AE137" s="20" t="s">
        <v>91</v>
      </c>
      <c r="AF137" s="20">
        <v>0.5</v>
      </c>
      <c r="AG137" s="20">
        <v>0</v>
      </c>
      <c r="AH137" s="20">
        <v>1</v>
      </c>
      <c r="AI137" s="7" t="s">
        <v>92</v>
      </c>
      <c r="AJ137" s="20">
        <v>200</v>
      </c>
      <c r="AK137" s="4" t="s">
        <v>179</v>
      </c>
      <c r="AL137" s="4">
        <v>12</v>
      </c>
      <c r="AM137" s="4">
        <v>12</v>
      </c>
      <c r="AN137" s="4" t="s">
        <v>95</v>
      </c>
      <c r="AO137" s="4" t="s">
        <v>96</v>
      </c>
      <c r="AP137" s="4">
        <v>1</v>
      </c>
      <c r="AQ137" s="20">
        <v>35000</v>
      </c>
      <c r="AR137" s="4">
        <v>41802</v>
      </c>
      <c r="AS137" s="20">
        <v>5303.030303030303</v>
      </c>
      <c r="AT137" s="20">
        <v>5259.0800000000008</v>
      </c>
      <c r="AU137" s="20">
        <v>-43.950303030302166</v>
      </c>
      <c r="AV137" s="20">
        <v>0</v>
      </c>
      <c r="AW137" s="20">
        <v>0</v>
      </c>
      <c r="AX137" s="20">
        <v>20</v>
      </c>
      <c r="AY137" s="20">
        <v>20</v>
      </c>
      <c r="AZ137" s="20">
        <v>4.2</v>
      </c>
      <c r="BA137" s="20">
        <v>0</v>
      </c>
      <c r="BB137" s="6">
        <v>41751</v>
      </c>
      <c r="BC137" s="6">
        <v>0</v>
      </c>
      <c r="BD137" s="6">
        <v>41869</v>
      </c>
      <c r="BE137" s="6">
        <v>41869</v>
      </c>
      <c r="BF137" s="6">
        <v>41913</v>
      </c>
      <c r="BG137" s="6">
        <v>0</v>
      </c>
      <c r="BH137" s="6">
        <v>0</v>
      </c>
      <c r="BI137" s="6">
        <v>0</v>
      </c>
      <c r="BJ137" s="6">
        <v>0</v>
      </c>
      <c r="BK137" s="5" t="s">
        <v>2173</v>
      </c>
      <c r="BL137" s="4" t="s">
        <v>2173</v>
      </c>
      <c r="BM137" s="20">
        <v>199</v>
      </c>
      <c r="BN137" s="20">
        <v>0</v>
      </c>
      <c r="BO137" s="20">
        <v>0</v>
      </c>
      <c r="BP137" s="20">
        <v>0</v>
      </c>
      <c r="BQ137" s="20">
        <v>0</v>
      </c>
      <c r="BR137" s="20">
        <v>0</v>
      </c>
      <c r="BS137" s="20">
        <v>200</v>
      </c>
      <c r="BT137" s="20">
        <v>1051816.0000000002</v>
      </c>
      <c r="BU137" s="20">
        <v>7000000</v>
      </c>
      <c r="BV137" s="20">
        <v>6.0501421956277159</v>
      </c>
    </row>
    <row r="138" spans="1:74">
      <c r="A138" s="10">
        <f t="shared" si="10"/>
        <v>0</v>
      </c>
      <c r="B138" s="10">
        <f t="shared" si="11"/>
        <v>0</v>
      </c>
      <c r="C138" s="12">
        <f t="shared" si="12"/>
        <v>4</v>
      </c>
      <c r="D138" s="12">
        <f t="shared" si="13"/>
        <v>8</v>
      </c>
      <c r="E138" s="20" t="s">
        <v>424</v>
      </c>
      <c r="F138" s="20" t="s">
        <v>1393</v>
      </c>
      <c r="G138" s="20" t="s">
        <v>1542</v>
      </c>
      <c r="H138" s="20" t="s">
        <v>3789</v>
      </c>
      <c r="I138" s="20">
        <v>6</v>
      </c>
      <c r="J138" s="20" t="s">
        <v>1572</v>
      </c>
      <c r="K138" s="20" t="s">
        <v>3790</v>
      </c>
      <c r="L138" s="20" t="s">
        <v>1573</v>
      </c>
      <c r="M138" s="20" t="s">
        <v>1393</v>
      </c>
      <c r="N138" s="20" t="s">
        <v>1413</v>
      </c>
      <c r="P138" s="20" t="s">
        <v>1393</v>
      </c>
      <c r="Q138" s="20" t="s">
        <v>1400</v>
      </c>
      <c r="R138" s="20" t="s">
        <v>84</v>
      </c>
      <c r="S138" s="20">
        <v>5</v>
      </c>
      <c r="T138" s="20" t="s">
        <v>244</v>
      </c>
      <c r="U138" s="20" t="s">
        <v>245</v>
      </c>
      <c r="V138" s="20" t="s">
        <v>87</v>
      </c>
      <c r="W138" s="20">
        <v>510</v>
      </c>
      <c r="X138" s="20">
        <v>510</v>
      </c>
      <c r="Y138" s="20" t="s">
        <v>1574</v>
      </c>
      <c r="Z138" s="20">
        <v>0.5</v>
      </c>
      <c r="AA138" s="20" t="s">
        <v>1575</v>
      </c>
      <c r="AB138" s="20" t="s">
        <v>248</v>
      </c>
      <c r="AC138" s="20" t="s">
        <v>249</v>
      </c>
      <c r="AD138" s="20" t="s">
        <v>3791</v>
      </c>
      <c r="AE138" s="20" t="s">
        <v>91</v>
      </c>
      <c r="AF138" s="20">
        <v>0.5</v>
      </c>
      <c r="AG138" s="20">
        <v>0</v>
      </c>
      <c r="AH138" s="20">
        <v>1</v>
      </c>
      <c r="AI138" s="7" t="s">
        <v>251</v>
      </c>
      <c r="AJ138" s="20">
        <v>300</v>
      </c>
      <c r="AK138" s="4" t="s">
        <v>179</v>
      </c>
      <c r="AL138" s="4">
        <v>12</v>
      </c>
      <c r="AM138" s="4">
        <v>12</v>
      </c>
      <c r="AN138" s="4" t="s">
        <v>95</v>
      </c>
      <c r="AO138" s="4" t="s">
        <v>96</v>
      </c>
      <c r="AP138" s="4">
        <v>1</v>
      </c>
      <c r="AQ138" s="20">
        <v>39000</v>
      </c>
      <c r="AR138" s="4">
        <v>41802</v>
      </c>
      <c r="AS138" s="20">
        <v>5909.0909090909081</v>
      </c>
      <c r="AT138" s="20">
        <v>5508.5600000000013</v>
      </c>
      <c r="AU138" s="20">
        <v>-400.53090909090679</v>
      </c>
      <c r="AV138" s="20">
        <v>0</v>
      </c>
      <c r="AW138" s="20">
        <v>0</v>
      </c>
      <c r="AX138" s="20">
        <v>20</v>
      </c>
      <c r="AY138" s="20">
        <v>20</v>
      </c>
      <c r="AZ138" s="20">
        <v>4.4000000000000004</v>
      </c>
      <c r="BA138" s="20">
        <v>0</v>
      </c>
      <c r="BB138" s="6">
        <v>41751</v>
      </c>
      <c r="BC138" s="6">
        <v>41875</v>
      </c>
      <c r="BD138" s="6">
        <v>41869</v>
      </c>
      <c r="BE138" s="6">
        <v>41878</v>
      </c>
      <c r="BF138" s="6">
        <v>41878</v>
      </c>
      <c r="BG138" s="6">
        <v>0</v>
      </c>
      <c r="BH138" s="6">
        <v>0</v>
      </c>
      <c r="BI138" s="6">
        <v>0</v>
      </c>
      <c r="BJ138" s="6">
        <v>0</v>
      </c>
      <c r="BK138" s="5" t="s">
        <v>2173</v>
      </c>
      <c r="BL138" s="4" t="s">
        <v>2173</v>
      </c>
      <c r="BM138" s="20">
        <v>300</v>
      </c>
      <c r="BN138" s="20">
        <v>0</v>
      </c>
      <c r="BO138" s="20">
        <v>0</v>
      </c>
      <c r="BP138" s="20">
        <v>0</v>
      </c>
      <c r="BQ138" s="20">
        <v>0</v>
      </c>
      <c r="BR138" s="20">
        <v>0</v>
      </c>
      <c r="BS138" s="20">
        <v>300</v>
      </c>
      <c r="BT138" s="20">
        <v>1652568.0000000005</v>
      </c>
      <c r="BU138" s="20">
        <v>11700000</v>
      </c>
      <c r="BV138" s="20">
        <v>6.4362638247646284</v>
      </c>
    </row>
    <row r="139" spans="1:74">
      <c r="A139" s="10">
        <f t="shared" si="10"/>
        <v>0</v>
      </c>
      <c r="B139" s="10">
        <f t="shared" si="11"/>
        <v>0</v>
      </c>
      <c r="C139" s="12">
        <f t="shared" si="12"/>
        <v>4</v>
      </c>
      <c r="D139" s="12">
        <f t="shared" si="13"/>
        <v>8</v>
      </c>
      <c r="E139" s="20" t="s">
        <v>424</v>
      </c>
      <c r="F139" s="20" t="s">
        <v>1393</v>
      </c>
      <c r="G139" s="20" t="s">
        <v>1542</v>
      </c>
      <c r="H139" s="20" t="s">
        <v>3789</v>
      </c>
      <c r="I139" s="20">
        <v>6</v>
      </c>
      <c r="J139" s="20" t="s">
        <v>1572</v>
      </c>
      <c r="K139" s="20" t="s">
        <v>3792</v>
      </c>
      <c r="L139" s="20" t="s">
        <v>1573</v>
      </c>
      <c r="M139" s="20" t="s">
        <v>1393</v>
      </c>
      <c r="N139" s="20" t="s">
        <v>1413</v>
      </c>
      <c r="P139" s="20" t="s">
        <v>1393</v>
      </c>
      <c r="Q139" s="20" t="s">
        <v>1400</v>
      </c>
      <c r="R139" s="20" t="s">
        <v>84</v>
      </c>
      <c r="S139" s="20">
        <v>5</v>
      </c>
      <c r="T139" s="20" t="s">
        <v>244</v>
      </c>
      <c r="U139" s="20" t="s">
        <v>245</v>
      </c>
      <c r="V139" s="20" t="s">
        <v>87</v>
      </c>
      <c r="W139" s="20">
        <v>510</v>
      </c>
      <c r="X139" s="20">
        <v>510</v>
      </c>
      <c r="Y139" s="20" t="s">
        <v>1574</v>
      </c>
      <c r="Z139" s="20">
        <v>0.5</v>
      </c>
      <c r="AA139" s="20" t="s">
        <v>1575</v>
      </c>
      <c r="AB139" s="20" t="s">
        <v>248</v>
      </c>
      <c r="AC139" s="20" t="s">
        <v>249</v>
      </c>
      <c r="AD139" s="20" t="s">
        <v>3791</v>
      </c>
      <c r="AE139" s="20" t="s">
        <v>91</v>
      </c>
      <c r="AF139" s="20">
        <v>0.5</v>
      </c>
      <c r="AG139" s="20">
        <v>0</v>
      </c>
      <c r="AH139" s="20">
        <v>1</v>
      </c>
      <c r="AI139" s="7" t="s">
        <v>92</v>
      </c>
      <c r="AJ139" s="20">
        <v>200</v>
      </c>
      <c r="AK139" s="4" t="s">
        <v>179</v>
      </c>
      <c r="AL139" s="4">
        <v>12</v>
      </c>
      <c r="AM139" s="4">
        <v>12</v>
      </c>
      <c r="AN139" s="4" t="s">
        <v>95</v>
      </c>
      <c r="AO139" s="4" t="s">
        <v>96</v>
      </c>
      <c r="AP139" s="4">
        <v>1</v>
      </c>
      <c r="AQ139" s="20">
        <v>39000</v>
      </c>
      <c r="AR139" s="4">
        <v>41802</v>
      </c>
      <c r="AS139" s="20">
        <v>5909.0909090909081</v>
      </c>
      <c r="AT139" s="20">
        <v>5508.5600000000013</v>
      </c>
      <c r="AU139" s="20">
        <v>-400.53090909090679</v>
      </c>
      <c r="AV139" s="20">
        <v>0</v>
      </c>
      <c r="AW139" s="20">
        <v>0</v>
      </c>
      <c r="AX139" s="20">
        <v>20</v>
      </c>
      <c r="AY139" s="20">
        <v>20</v>
      </c>
      <c r="AZ139" s="20">
        <v>4.4000000000000004</v>
      </c>
      <c r="BA139" s="20">
        <v>0</v>
      </c>
      <c r="BB139" s="6">
        <v>41751</v>
      </c>
      <c r="BC139" s="6">
        <v>41875</v>
      </c>
      <c r="BD139" s="6">
        <v>41869</v>
      </c>
      <c r="BE139" s="6">
        <v>41878</v>
      </c>
      <c r="BF139" s="6">
        <v>41878</v>
      </c>
      <c r="BG139" s="6">
        <v>0</v>
      </c>
      <c r="BH139" s="6">
        <v>0</v>
      </c>
      <c r="BI139" s="6">
        <v>0</v>
      </c>
      <c r="BJ139" s="6">
        <v>0</v>
      </c>
      <c r="BK139" s="5" t="s">
        <v>2173</v>
      </c>
      <c r="BL139" s="4" t="s">
        <v>2173</v>
      </c>
      <c r="BM139" s="20">
        <v>200</v>
      </c>
      <c r="BN139" s="20">
        <v>0</v>
      </c>
      <c r="BO139" s="20">
        <v>0</v>
      </c>
      <c r="BP139" s="20">
        <v>0</v>
      </c>
      <c r="BQ139" s="20">
        <v>0</v>
      </c>
      <c r="BR139" s="20">
        <v>0</v>
      </c>
      <c r="BS139" s="20">
        <v>200</v>
      </c>
      <c r="BT139" s="20">
        <v>1101712.0000000002</v>
      </c>
      <c r="BU139" s="20">
        <v>7800000</v>
      </c>
      <c r="BV139" s="20">
        <v>6.4362638247646284</v>
      </c>
    </row>
    <row r="140" spans="1:74">
      <c r="A140" s="10">
        <f t="shared" si="10"/>
        <v>0</v>
      </c>
      <c r="B140" s="10">
        <f t="shared" si="11"/>
        <v>0</v>
      </c>
      <c r="C140" s="12" t="str">
        <f t="shared" si="12"/>
        <v/>
      </c>
      <c r="D140" s="12" t="str">
        <f t="shared" si="13"/>
        <v/>
      </c>
      <c r="E140" s="20" t="s">
        <v>91</v>
      </c>
      <c r="F140" s="20" t="s">
        <v>91</v>
      </c>
      <c r="G140" s="20" t="s">
        <v>91</v>
      </c>
      <c r="H140" s="20" t="s">
        <v>91</v>
      </c>
      <c r="I140" s="20">
        <v>0</v>
      </c>
      <c r="J140" s="20" t="s">
        <v>103</v>
      </c>
      <c r="K140" s="20" t="s">
        <v>104</v>
      </c>
      <c r="L140" s="20">
        <v>0</v>
      </c>
      <c r="M140" s="20" t="s">
        <v>105</v>
      </c>
      <c r="N140" s="20" t="s">
        <v>91</v>
      </c>
      <c r="O140" s="20" t="s">
        <v>1576</v>
      </c>
      <c r="Q140" s="20" t="s">
        <v>91</v>
      </c>
      <c r="R140" s="20" t="s">
        <v>91</v>
      </c>
      <c r="S140" s="20" t="s">
        <v>91</v>
      </c>
      <c r="U140" s="20" t="s">
        <v>91</v>
      </c>
      <c r="X140" s="20" t="s">
        <v>91</v>
      </c>
      <c r="Y140" s="20" t="s">
        <v>91</v>
      </c>
      <c r="Z140" s="20">
        <v>3</v>
      </c>
      <c r="AB140" s="20" t="s">
        <v>91</v>
      </c>
      <c r="AD140" s="20" t="s">
        <v>91</v>
      </c>
      <c r="AE140" s="20" t="s">
        <v>91</v>
      </c>
      <c r="AF140" s="20">
        <v>6</v>
      </c>
      <c r="AG140" s="20">
        <v>0</v>
      </c>
      <c r="AH140" s="20">
        <v>1</v>
      </c>
      <c r="AI140" s="7"/>
      <c r="AJ140" s="20">
        <v>2000</v>
      </c>
      <c r="AM140" s="4" t="s">
        <v>91</v>
      </c>
      <c r="AP140" s="4" t="s">
        <v>91</v>
      </c>
      <c r="AQ140" s="20">
        <v>0</v>
      </c>
      <c r="AR140" s="4">
        <v>0</v>
      </c>
      <c r="AY140" s="20">
        <v>0</v>
      </c>
      <c r="AZ140" s="20">
        <v>8680</v>
      </c>
      <c r="BA140" s="20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  <c r="BI140" s="6">
        <v>0</v>
      </c>
      <c r="BJ140" s="6">
        <v>0</v>
      </c>
      <c r="BK140" s="5">
        <v>0</v>
      </c>
      <c r="BL140" s="4">
        <v>0</v>
      </c>
      <c r="BM140" s="20">
        <v>1225</v>
      </c>
      <c r="BN140" s="20">
        <v>768</v>
      </c>
      <c r="BO140" s="20">
        <v>0</v>
      </c>
      <c r="BP140" s="20">
        <v>0</v>
      </c>
      <c r="BQ140" s="20">
        <v>0</v>
      </c>
      <c r="BR140" s="20">
        <v>0</v>
      </c>
      <c r="BS140" s="20">
        <v>2000</v>
      </c>
      <c r="BT140" s="20">
        <v>10867432.000000002</v>
      </c>
      <c r="BU140" s="20">
        <v>72000000</v>
      </c>
      <c r="BV140" s="20">
        <v>6.0230002317516629</v>
      </c>
    </row>
    <row r="141" spans="1:74">
      <c r="A141" s="10">
        <f t="shared" si="10"/>
        <v>0</v>
      </c>
      <c r="B141" s="10">
        <f t="shared" si="11"/>
        <v>0</v>
      </c>
      <c r="C141" s="12">
        <f t="shared" si="12"/>
        <v>4</v>
      </c>
      <c r="D141" s="12">
        <f t="shared" si="13"/>
        <v>9</v>
      </c>
      <c r="E141" s="20" t="s">
        <v>424</v>
      </c>
      <c r="F141" s="20" t="s">
        <v>1451</v>
      </c>
      <c r="G141" s="20" t="s">
        <v>1577</v>
      </c>
      <c r="H141" s="20" t="s">
        <v>1578</v>
      </c>
      <c r="I141" s="20">
        <v>1</v>
      </c>
      <c r="J141" s="20" t="s">
        <v>1579</v>
      </c>
      <c r="K141" s="20" t="s">
        <v>1580</v>
      </c>
      <c r="L141" s="20" t="s">
        <v>1581</v>
      </c>
      <c r="M141" s="20" t="s">
        <v>1451</v>
      </c>
      <c r="N141" s="20" t="s">
        <v>1413</v>
      </c>
      <c r="P141" s="20" t="s">
        <v>1451</v>
      </c>
      <c r="Q141" s="20" t="s">
        <v>1457</v>
      </c>
      <c r="R141" s="20" t="s">
        <v>84</v>
      </c>
      <c r="S141" s="20">
        <v>5</v>
      </c>
      <c r="T141" s="20" t="s">
        <v>244</v>
      </c>
      <c r="U141" s="20" t="s">
        <v>245</v>
      </c>
      <c r="V141" s="20" t="s">
        <v>87</v>
      </c>
      <c r="W141" s="20">
        <v>509</v>
      </c>
      <c r="X141" s="20">
        <v>509</v>
      </c>
      <c r="Y141" s="20" t="s">
        <v>1582</v>
      </c>
      <c r="Z141" s="20">
        <v>0.5</v>
      </c>
      <c r="AA141" s="20" t="s">
        <v>1583</v>
      </c>
      <c r="AB141" s="20" t="s">
        <v>101</v>
      </c>
      <c r="AC141" s="20" t="s">
        <v>102</v>
      </c>
      <c r="AD141" s="20" t="s">
        <v>1584</v>
      </c>
      <c r="AE141" s="20" t="s">
        <v>91</v>
      </c>
      <c r="AF141" s="20">
        <v>1</v>
      </c>
      <c r="AG141" s="20">
        <v>0</v>
      </c>
      <c r="AH141" s="20">
        <v>1</v>
      </c>
      <c r="AI141" s="7" t="s">
        <v>251</v>
      </c>
      <c r="AJ141" s="20">
        <v>100</v>
      </c>
      <c r="AK141" s="4" t="s">
        <v>179</v>
      </c>
      <c r="AL141" s="4">
        <v>13</v>
      </c>
      <c r="AM141" s="4">
        <v>13</v>
      </c>
      <c r="AN141" s="4" t="s">
        <v>95</v>
      </c>
      <c r="AO141" s="4" t="s">
        <v>96</v>
      </c>
      <c r="AP141" s="4">
        <v>1</v>
      </c>
      <c r="AQ141" s="20">
        <v>43000</v>
      </c>
      <c r="AR141" s="4">
        <v>41802</v>
      </c>
      <c r="AS141" s="20">
        <v>6515.151515151515</v>
      </c>
      <c r="AT141" s="20">
        <v>6987.52</v>
      </c>
      <c r="AU141" s="20">
        <v>472.36848484848542</v>
      </c>
      <c r="AV141" s="20">
        <v>0</v>
      </c>
      <c r="AW141" s="20">
        <v>980</v>
      </c>
      <c r="AX141" s="20">
        <v>20</v>
      </c>
      <c r="AY141" s="20">
        <v>1000</v>
      </c>
      <c r="AZ141" s="20">
        <v>4.8</v>
      </c>
      <c r="BA141" s="20">
        <v>0</v>
      </c>
      <c r="BB141" s="6">
        <v>41751</v>
      </c>
      <c r="BC141" s="6">
        <v>0</v>
      </c>
      <c r="BD141" s="6">
        <v>41869</v>
      </c>
      <c r="BE141" s="6">
        <v>41869</v>
      </c>
      <c r="BF141" s="6">
        <v>41887</v>
      </c>
      <c r="BG141" s="6">
        <v>0</v>
      </c>
      <c r="BH141" s="6">
        <v>0</v>
      </c>
      <c r="BI141" s="6">
        <v>0</v>
      </c>
      <c r="BJ141" s="6">
        <v>0</v>
      </c>
      <c r="BK141" s="5" t="s">
        <v>2173</v>
      </c>
      <c r="BL141" s="4" t="s">
        <v>2173</v>
      </c>
      <c r="BM141" s="20">
        <v>100</v>
      </c>
      <c r="BN141" s="20">
        <v>0</v>
      </c>
      <c r="BO141" s="20">
        <v>0</v>
      </c>
      <c r="BP141" s="20">
        <v>0</v>
      </c>
      <c r="BQ141" s="20">
        <v>0</v>
      </c>
      <c r="BR141" s="20">
        <v>0</v>
      </c>
      <c r="BS141" s="20">
        <v>100</v>
      </c>
      <c r="BT141" s="20">
        <v>698752</v>
      </c>
      <c r="BU141" s="20">
        <v>4300000</v>
      </c>
      <c r="BV141" s="20">
        <v>5.5943895818414955</v>
      </c>
    </row>
    <row r="142" spans="1:74">
      <c r="A142" s="10">
        <f t="shared" si="10"/>
        <v>0</v>
      </c>
      <c r="B142" s="10">
        <f t="shared" si="11"/>
        <v>0</v>
      </c>
      <c r="C142" s="12">
        <f t="shared" si="12"/>
        <v>4</v>
      </c>
      <c r="D142" s="12">
        <f t="shared" si="13"/>
        <v>9</v>
      </c>
      <c r="E142" s="20" t="s">
        <v>424</v>
      </c>
      <c r="F142" s="20" t="s">
        <v>1451</v>
      </c>
      <c r="G142" s="20" t="s">
        <v>1577</v>
      </c>
      <c r="H142" s="20" t="s">
        <v>1585</v>
      </c>
      <c r="I142" s="20">
        <v>2</v>
      </c>
      <c r="J142" s="20" t="s">
        <v>1586</v>
      </c>
      <c r="K142" s="20" t="s">
        <v>1587</v>
      </c>
      <c r="L142" s="20" t="s">
        <v>1581</v>
      </c>
      <c r="M142" s="20" t="s">
        <v>1451</v>
      </c>
      <c r="N142" s="20" t="s">
        <v>1413</v>
      </c>
      <c r="P142" s="20" t="s">
        <v>1451</v>
      </c>
      <c r="Q142" s="20" t="s">
        <v>1457</v>
      </c>
      <c r="R142" s="20" t="s">
        <v>84</v>
      </c>
      <c r="S142" s="20">
        <v>5</v>
      </c>
      <c r="T142" s="20" t="s">
        <v>244</v>
      </c>
      <c r="U142" s="20" t="s">
        <v>245</v>
      </c>
      <c r="V142" s="20" t="s">
        <v>87</v>
      </c>
      <c r="W142" s="20">
        <v>509</v>
      </c>
      <c r="X142" s="20">
        <v>509</v>
      </c>
      <c r="Y142" s="20" t="s">
        <v>1582</v>
      </c>
      <c r="Z142" s="20">
        <v>0.5</v>
      </c>
      <c r="AA142" s="20" t="s">
        <v>1588</v>
      </c>
      <c r="AB142" s="20" t="s">
        <v>139</v>
      </c>
      <c r="AC142" s="20" t="s">
        <v>140</v>
      </c>
      <c r="AD142" s="20" t="s">
        <v>1589</v>
      </c>
      <c r="AE142" s="20" t="s">
        <v>91</v>
      </c>
      <c r="AF142" s="20">
        <v>1</v>
      </c>
      <c r="AG142" s="20">
        <v>0</v>
      </c>
      <c r="AH142" s="20">
        <v>1</v>
      </c>
      <c r="AI142" s="7" t="s">
        <v>251</v>
      </c>
      <c r="AJ142" s="20">
        <v>100</v>
      </c>
      <c r="AK142" s="4" t="s">
        <v>179</v>
      </c>
      <c r="AL142" s="4">
        <v>13</v>
      </c>
      <c r="AM142" s="4">
        <v>13</v>
      </c>
      <c r="AN142" s="4" t="s">
        <v>95</v>
      </c>
      <c r="AO142" s="4" t="s">
        <v>96</v>
      </c>
      <c r="AP142" s="4">
        <v>1</v>
      </c>
      <c r="AQ142" s="20">
        <v>43000</v>
      </c>
      <c r="AR142" s="4">
        <v>41802</v>
      </c>
      <c r="AS142" s="20">
        <v>6515.151515151515</v>
      </c>
      <c r="AT142" s="20">
        <v>6987.52</v>
      </c>
      <c r="AU142" s="20">
        <v>472.36848484848542</v>
      </c>
      <c r="AV142" s="20">
        <v>0</v>
      </c>
      <c r="AW142" s="20">
        <v>980</v>
      </c>
      <c r="AX142" s="20">
        <v>20</v>
      </c>
      <c r="AY142" s="20">
        <v>1000</v>
      </c>
      <c r="AZ142" s="20">
        <v>4.8</v>
      </c>
      <c r="BA142" s="20">
        <v>0</v>
      </c>
      <c r="BB142" s="6">
        <v>41751</v>
      </c>
      <c r="BC142" s="6">
        <v>0</v>
      </c>
      <c r="BD142" s="6">
        <v>41869</v>
      </c>
      <c r="BE142" s="6">
        <v>41869</v>
      </c>
      <c r="BF142" s="6">
        <v>41887</v>
      </c>
      <c r="BG142" s="6">
        <v>0</v>
      </c>
      <c r="BH142" s="6">
        <v>0</v>
      </c>
      <c r="BI142" s="6">
        <v>0</v>
      </c>
      <c r="BJ142" s="6">
        <v>0</v>
      </c>
      <c r="BK142" s="5" t="s">
        <v>2173</v>
      </c>
      <c r="BL142" s="4" t="s">
        <v>2173</v>
      </c>
      <c r="BM142" s="20">
        <v>100</v>
      </c>
      <c r="BN142" s="20">
        <v>0</v>
      </c>
      <c r="BO142" s="20">
        <v>0</v>
      </c>
      <c r="BP142" s="20">
        <v>0</v>
      </c>
      <c r="BQ142" s="20">
        <v>0</v>
      </c>
      <c r="BR142" s="20">
        <v>0</v>
      </c>
      <c r="BS142" s="20">
        <v>100</v>
      </c>
      <c r="BT142" s="20">
        <v>698752</v>
      </c>
      <c r="BU142" s="20">
        <v>4300000</v>
      </c>
      <c r="BV142" s="20">
        <v>5.5943895818414955</v>
      </c>
    </row>
    <row r="143" spans="1:74">
      <c r="A143" s="10">
        <f t="shared" si="10"/>
        <v>0</v>
      </c>
      <c r="B143" s="10">
        <f t="shared" si="11"/>
        <v>0</v>
      </c>
      <c r="C143" s="12">
        <f t="shared" si="12"/>
        <v>4</v>
      </c>
      <c r="D143" s="12">
        <f t="shared" si="13"/>
        <v>9</v>
      </c>
      <c r="E143" s="20" t="s">
        <v>424</v>
      </c>
      <c r="F143" s="20" t="s">
        <v>1451</v>
      </c>
      <c r="G143" s="20" t="s">
        <v>1577</v>
      </c>
      <c r="H143" s="20" t="s">
        <v>1590</v>
      </c>
      <c r="I143" s="20">
        <v>3</v>
      </c>
      <c r="J143" s="20" t="s">
        <v>1591</v>
      </c>
      <c r="K143" s="20" t="s">
        <v>1592</v>
      </c>
      <c r="L143" s="20" t="s">
        <v>1593</v>
      </c>
      <c r="M143" s="20" t="s">
        <v>1451</v>
      </c>
      <c r="N143" s="20" t="s">
        <v>1413</v>
      </c>
      <c r="P143" s="20" t="s">
        <v>1451</v>
      </c>
      <c r="Q143" s="20" t="s">
        <v>1457</v>
      </c>
      <c r="R143" s="20" t="s">
        <v>84</v>
      </c>
      <c r="S143" s="20">
        <v>5</v>
      </c>
      <c r="T143" s="20" t="s">
        <v>244</v>
      </c>
      <c r="U143" s="20" t="s">
        <v>245</v>
      </c>
      <c r="V143" s="20" t="s">
        <v>87</v>
      </c>
      <c r="W143" s="20">
        <v>511</v>
      </c>
      <c r="X143" s="20">
        <v>511</v>
      </c>
      <c r="Y143" s="20" t="s">
        <v>1594</v>
      </c>
      <c r="Z143" s="20">
        <v>0.5</v>
      </c>
      <c r="AA143" s="20" t="s">
        <v>1595</v>
      </c>
      <c r="AB143" s="20" t="s">
        <v>101</v>
      </c>
      <c r="AC143" s="20" t="s">
        <v>102</v>
      </c>
      <c r="AD143" s="20" t="s">
        <v>1596</v>
      </c>
      <c r="AE143" s="20" t="s">
        <v>91</v>
      </c>
      <c r="AF143" s="20">
        <v>0.5</v>
      </c>
      <c r="AG143" s="20">
        <v>0</v>
      </c>
      <c r="AH143" s="20">
        <v>1</v>
      </c>
      <c r="AI143" s="7" t="s">
        <v>251</v>
      </c>
      <c r="AJ143" s="20">
        <v>300</v>
      </c>
      <c r="AK143" s="4" t="s">
        <v>179</v>
      </c>
      <c r="AL143" s="4">
        <v>13</v>
      </c>
      <c r="AM143" s="4">
        <v>13</v>
      </c>
      <c r="AN143" s="4" t="s">
        <v>95</v>
      </c>
      <c r="AO143" s="4" t="s">
        <v>96</v>
      </c>
      <c r="AP143" s="4">
        <v>1</v>
      </c>
      <c r="AQ143" s="20">
        <v>43000</v>
      </c>
      <c r="AR143" s="4">
        <v>41802</v>
      </c>
      <c r="AS143" s="20">
        <v>6515.151515151515</v>
      </c>
      <c r="AT143" s="20">
        <v>6987.52</v>
      </c>
      <c r="AU143" s="20">
        <v>472.36848484848542</v>
      </c>
      <c r="AV143" s="20">
        <v>0</v>
      </c>
      <c r="AW143" s="20">
        <v>980</v>
      </c>
      <c r="AX143" s="20">
        <v>20</v>
      </c>
      <c r="AY143" s="20">
        <v>1000</v>
      </c>
      <c r="AZ143" s="20">
        <v>4.8</v>
      </c>
      <c r="BA143" s="20">
        <v>0</v>
      </c>
      <c r="BB143" s="6">
        <v>41751</v>
      </c>
      <c r="BC143" s="6">
        <v>0</v>
      </c>
      <c r="BD143" s="6">
        <v>41869</v>
      </c>
      <c r="BE143" s="6">
        <v>41869</v>
      </c>
      <c r="BF143" s="6">
        <v>41906</v>
      </c>
      <c r="BG143" s="6">
        <v>0</v>
      </c>
      <c r="BH143" s="6">
        <v>0</v>
      </c>
      <c r="BI143" s="6">
        <v>0</v>
      </c>
      <c r="BJ143" s="6">
        <v>0</v>
      </c>
      <c r="BK143" s="5" t="s">
        <v>2173</v>
      </c>
      <c r="BL143" s="4" t="s">
        <v>2173</v>
      </c>
      <c r="BM143" s="20">
        <v>295</v>
      </c>
      <c r="BN143" s="20">
        <v>0</v>
      </c>
      <c r="BO143" s="20">
        <v>0</v>
      </c>
      <c r="BP143" s="20">
        <v>0</v>
      </c>
      <c r="BQ143" s="20">
        <v>0</v>
      </c>
      <c r="BR143" s="20">
        <v>0</v>
      </c>
      <c r="BS143" s="20">
        <v>300</v>
      </c>
      <c r="BT143" s="20">
        <v>2096256.0000000002</v>
      </c>
      <c r="BU143" s="20">
        <v>12900000</v>
      </c>
      <c r="BV143" s="20">
        <v>5.5943895818414946</v>
      </c>
    </row>
    <row r="144" spans="1:74">
      <c r="A144" s="10">
        <f t="shared" si="10"/>
        <v>0</v>
      </c>
      <c r="B144" s="10">
        <f t="shared" si="11"/>
        <v>0</v>
      </c>
      <c r="C144" s="12">
        <f t="shared" si="12"/>
        <v>4</v>
      </c>
      <c r="D144" s="12">
        <f t="shared" si="13"/>
        <v>9</v>
      </c>
      <c r="E144" s="20" t="s">
        <v>424</v>
      </c>
      <c r="F144" s="20" t="s">
        <v>1451</v>
      </c>
      <c r="G144" s="20" t="s">
        <v>1577</v>
      </c>
      <c r="H144" s="20" t="s">
        <v>1590</v>
      </c>
      <c r="I144" s="20">
        <v>3</v>
      </c>
      <c r="J144" s="20" t="s">
        <v>1591</v>
      </c>
      <c r="K144" s="20" t="s">
        <v>1656</v>
      </c>
      <c r="L144" s="20" t="s">
        <v>1593</v>
      </c>
      <c r="M144" s="20" t="s">
        <v>1451</v>
      </c>
      <c r="N144" s="20" t="s">
        <v>1413</v>
      </c>
      <c r="P144" s="20" t="s">
        <v>1451</v>
      </c>
      <c r="Q144" s="20" t="s">
        <v>1457</v>
      </c>
      <c r="R144" s="20" t="s">
        <v>84</v>
      </c>
      <c r="S144" s="20">
        <v>5</v>
      </c>
      <c r="T144" s="20" t="s">
        <v>244</v>
      </c>
      <c r="U144" s="20" t="s">
        <v>245</v>
      </c>
      <c r="V144" s="20" t="s">
        <v>87</v>
      </c>
      <c r="W144" s="20">
        <v>511</v>
      </c>
      <c r="X144" s="20">
        <v>511</v>
      </c>
      <c r="Y144" s="20" t="s">
        <v>1594</v>
      </c>
      <c r="Z144" s="20">
        <v>0.5</v>
      </c>
      <c r="AA144" s="20" t="s">
        <v>1595</v>
      </c>
      <c r="AB144" s="20" t="s">
        <v>101</v>
      </c>
      <c r="AC144" s="20" t="s">
        <v>102</v>
      </c>
      <c r="AD144" s="20" t="s">
        <v>1596</v>
      </c>
      <c r="AE144" s="20" t="s">
        <v>91</v>
      </c>
      <c r="AF144" s="20">
        <v>0.5</v>
      </c>
      <c r="AG144" s="20">
        <v>0</v>
      </c>
      <c r="AH144" s="20">
        <v>1</v>
      </c>
      <c r="AI144" s="7" t="s">
        <v>92</v>
      </c>
      <c r="AJ144" s="20">
        <v>200</v>
      </c>
      <c r="AK144" s="4" t="s">
        <v>179</v>
      </c>
      <c r="AL144" s="4">
        <v>13</v>
      </c>
      <c r="AM144" s="4">
        <v>13</v>
      </c>
      <c r="AN144" s="4" t="s">
        <v>95</v>
      </c>
      <c r="AO144" s="4" t="s">
        <v>96</v>
      </c>
      <c r="AP144" s="4">
        <v>1</v>
      </c>
      <c r="AQ144" s="20">
        <v>43000</v>
      </c>
      <c r="AR144" s="4">
        <v>41802</v>
      </c>
      <c r="AS144" s="20">
        <v>6515.151515151515</v>
      </c>
      <c r="AT144" s="20">
        <v>6987.52</v>
      </c>
      <c r="AU144" s="20">
        <v>472.36848484848542</v>
      </c>
      <c r="AV144" s="20">
        <v>0</v>
      </c>
      <c r="AW144" s="20">
        <v>980</v>
      </c>
      <c r="AX144" s="20">
        <v>20</v>
      </c>
      <c r="AY144" s="20">
        <v>1000</v>
      </c>
      <c r="AZ144" s="20">
        <v>4.8</v>
      </c>
      <c r="BA144" s="20">
        <v>0</v>
      </c>
      <c r="BB144" s="6">
        <v>41751</v>
      </c>
      <c r="BC144" s="6">
        <v>0</v>
      </c>
      <c r="BD144" s="6">
        <v>41869</v>
      </c>
      <c r="BE144" s="6">
        <v>41869</v>
      </c>
      <c r="BF144" s="6">
        <v>41906</v>
      </c>
      <c r="BG144" s="6">
        <v>0</v>
      </c>
      <c r="BH144" s="6">
        <v>0</v>
      </c>
      <c r="BI144" s="6">
        <v>0</v>
      </c>
      <c r="BJ144" s="6">
        <v>0</v>
      </c>
      <c r="BK144" s="5" t="s">
        <v>2173</v>
      </c>
      <c r="BL144" s="4" t="s">
        <v>2173</v>
      </c>
      <c r="BM144" s="20">
        <v>194</v>
      </c>
      <c r="BN144" s="20">
        <v>0</v>
      </c>
      <c r="BO144" s="20">
        <v>0</v>
      </c>
      <c r="BP144" s="20">
        <v>0</v>
      </c>
      <c r="BQ144" s="20">
        <v>0</v>
      </c>
      <c r="BR144" s="20">
        <v>0</v>
      </c>
      <c r="BS144" s="20">
        <v>200</v>
      </c>
      <c r="BT144" s="20">
        <v>1397504</v>
      </c>
      <c r="BU144" s="20">
        <v>8600000</v>
      </c>
      <c r="BV144" s="20">
        <v>5.5943895818414955</v>
      </c>
    </row>
    <row r="145" spans="1:74">
      <c r="A145" s="10">
        <f t="shared" si="10"/>
        <v>0</v>
      </c>
      <c r="B145" s="10">
        <f t="shared" si="11"/>
        <v>0</v>
      </c>
      <c r="C145" s="12" t="str">
        <f t="shared" si="12"/>
        <v/>
      </c>
      <c r="D145" s="12" t="str">
        <f t="shared" si="13"/>
        <v/>
      </c>
      <c r="E145" s="20" t="s">
        <v>91</v>
      </c>
      <c r="F145" s="20" t="s">
        <v>91</v>
      </c>
      <c r="G145" s="20" t="s">
        <v>91</v>
      </c>
      <c r="H145" s="20" t="s">
        <v>91</v>
      </c>
      <c r="I145" s="20">
        <v>0</v>
      </c>
      <c r="J145" s="20" t="s">
        <v>103</v>
      </c>
      <c r="K145" s="20" t="s">
        <v>104</v>
      </c>
      <c r="L145" s="20">
        <v>0</v>
      </c>
      <c r="M145" s="20" t="s">
        <v>105</v>
      </c>
      <c r="N145" s="20" t="s">
        <v>91</v>
      </c>
      <c r="O145" s="20" t="s">
        <v>1597</v>
      </c>
      <c r="Q145" s="20" t="s">
        <v>91</v>
      </c>
      <c r="R145" s="20" t="s">
        <v>91</v>
      </c>
      <c r="S145" s="20" t="s">
        <v>91</v>
      </c>
      <c r="U145" s="20" t="s">
        <v>91</v>
      </c>
      <c r="X145" s="20" t="s">
        <v>91</v>
      </c>
      <c r="Y145" s="20" t="s">
        <v>91</v>
      </c>
      <c r="Z145" s="20">
        <v>2</v>
      </c>
      <c r="AB145" s="20" t="s">
        <v>91</v>
      </c>
      <c r="AD145" s="20" t="s">
        <v>91</v>
      </c>
      <c r="AE145" s="20" t="s">
        <v>91</v>
      </c>
      <c r="AF145" s="20">
        <v>3</v>
      </c>
      <c r="AG145" s="20">
        <v>0</v>
      </c>
      <c r="AH145" s="20">
        <v>1</v>
      </c>
      <c r="AI145" s="7"/>
      <c r="AJ145" s="20">
        <v>700</v>
      </c>
      <c r="AM145" s="4" t="s">
        <v>91</v>
      </c>
      <c r="AP145" s="4" t="s">
        <v>91</v>
      </c>
      <c r="AQ145" s="20">
        <v>0</v>
      </c>
      <c r="AR145" s="4">
        <v>0</v>
      </c>
      <c r="AW145" s="20">
        <v>0</v>
      </c>
      <c r="AX145" s="20" t="s">
        <v>91</v>
      </c>
      <c r="AY145" s="20">
        <v>0</v>
      </c>
      <c r="AZ145" s="20">
        <v>3360</v>
      </c>
      <c r="BA145" s="20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</v>
      </c>
      <c r="BG145" s="6">
        <v>0</v>
      </c>
      <c r="BH145" s="6">
        <v>0</v>
      </c>
      <c r="BI145" s="6">
        <v>0</v>
      </c>
      <c r="BJ145" s="6">
        <v>0</v>
      </c>
      <c r="BK145" s="5">
        <v>0</v>
      </c>
      <c r="BL145" s="4">
        <v>0</v>
      </c>
      <c r="BM145" s="20">
        <v>689</v>
      </c>
      <c r="BN145" s="20">
        <v>0</v>
      </c>
      <c r="BO145" s="20">
        <v>0</v>
      </c>
      <c r="BP145" s="20">
        <v>0</v>
      </c>
      <c r="BQ145" s="20">
        <v>0</v>
      </c>
      <c r="BR145" s="20">
        <v>0</v>
      </c>
      <c r="BS145" s="20">
        <v>700</v>
      </c>
      <c r="BT145" s="20">
        <v>4891264</v>
      </c>
      <c r="BU145" s="20">
        <v>30100000</v>
      </c>
      <c r="BV145" s="20">
        <v>5.5943895818414955</v>
      </c>
    </row>
    <row r="146" spans="1:74">
      <c r="A146" s="10">
        <f t="shared" si="10"/>
        <v>0</v>
      </c>
      <c r="B146" s="10">
        <f t="shared" si="11"/>
        <v>0</v>
      </c>
      <c r="C146" s="12">
        <f t="shared" si="12"/>
        <v>4</v>
      </c>
      <c r="D146" s="12">
        <f t="shared" si="13"/>
        <v>9</v>
      </c>
      <c r="E146" s="20" t="s">
        <v>424</v>
      </c>
      <c r="F146" s="20" t="s">
        <v>1393</v>
      </c>
      <c r="G146" s="20" t="s">
        <v>1598</v>
      </c>
      <c r="H146" s="20" t="s">
        <v>1599</v>
      </c>
      <c r="I146" s="20">
        <v>1</v>
      </c>
      <c r="J146" s="20" t="s">
        <v>1600</v>
      </c>
      <c r="K146" s="20" t="s">
        <v>1601</v>
      </c>
      <c r="L146" s="20" t="s">
        <v>1602</v>
      </c>
      <c r="M146" s="20" t="s">
        <v>1393</v>
      </c>
      <c r="N146" s="20" t="s">
        <v>1413</v>
      </c>
      <c r="P146" s="20" t="s">
        <v>1393</v>
      </c>
      <c r="Q146" s="20" t="s">
        <v>1400</v>
      </c>
      <c r="R146" s="20" t="s">
        <v>84</v>
      </c>
      <c r="S146" s="20">
        <v>5</v>
      </c>
      <c r="T146" s="20" t="s">
        <v>244</v>
      </c>
      <c r="U146" s="20" t="s">
        <v>245</v>
      </c>
      <c r="V146" s="20" t="s">
        <v>87</v>
      </c>
      <c r="W146" s="20">
        <v>512</v>
      </c>
      <c r="X146" s="20">
        <v>512</v>
      </c>
      <c r="Y146" s="20" t="s">
        <v>1603</v>
      </c>
      <c r="Z146" s="20">
        <v>0.25</v>
      </c>
      <c r="AA146" s="20" t="s">
        <v>1604</v>
      </c>
      <c r="AB146" s="20" t="s">
        <v>248</v>
      </c>
      <c r="AC146" s="20" t="s">
        <v>249</v>
      </c>
      <c r="AD146" s="20" t="s">
        <v>1605</v>
      </c>
      <c r="AE146" s="20" t="s">
        <v>91</v>
      </c>
      <c r="AF146" s="20">
        <v>1</v>
      </c>
      <c r="AG146" s="20">
        <v>0</v>
      </c>
      <c r="AH146" s="20">
        <v>1</v>
      </c>
      <c r="AI146" s="7" t="s">
        <v>251</v>
      </c>
      <c r="AJ146" s="20">
        <v>250</v>
      </c>
      <c r="AK146" s="4" t="s">
        <v>252</v>
      </c>
      <c r="AL146" s="4">
        <v>1</v>
      </c>
      <c r="AM146" s="4" t="s">
        <v>130</v>
      </c>
      <c r="AN146" s="4" t="s">
        <v>95</v>
      </c>
      <c r="AO146" s="4" t="s">
        <v>96</v>
      </c>
      <c r="AP146" s="4">
        <v>1</v>
      </c>
      <c r="AQ146" s="20">
        <v>33000</v>
      </c>
      <c r="AR146" s="4">
        <v>41821</v>
      </c>
      <c r="AS146" s="20">
        <v>4285.7142857142853</v>
      </c>
      <c r="AT146" s="20">
        <v>4051.784000000001</v>
      </c>
      <c r="AU146" s="20">
        <v>-233.93028571428431</v>
      </c>
      <c r="AV146" s="20">
        <v>0</v>
      </c>
      <c r="AW146" s="20">
        <v>0</v>
      </c>
      <c r="AX146" s="20">
        <v>110</v>
      </c>
      <c r="AY146" s="20">
        <v>110</v>
      </c>
      <c r="AZ146" s="20">
        <v>3.16</v>
      </c>
      <c r="BA146" s="20">
        <v>0</v>
      </c>
      <c r="BB146" s="6">
        <v>41751</v>
      </c>
      <c r="BC146" s="6">
        <v>41889</v>
      </c>
      <c r="BD146" s="6">
        <v>41869</v>
      </c>
      <c r="BE146" s="6">
        <v>41869</v>
      </c>
      <c r="BF146" s="6">
        <v>41897</v>
      </c>
      <c r="BG146" s="6">
        <v>0</v>
      </c>
      <c r="BH146" s="6">
        <v>0</v>
      </c>
      <c r="BI146" s="6">
        <v>0</v>
      </c>
      <c r="BJ146" s="6">
        <v>0</v>
      </c>
      <c r="BK146" s="5" t="s">
        <v>401</v>
      </c>
      <c r="BL146" s="4" t="s">
        <v>2173</v>
      </c>
      <c r="BM146" s="20">
        <v>250</v>
      </c>
      <c r="BN146" s="20">
        <v>0</v>
      </c>
      <c r="BO146" s="20">
        <v>0</v>
      </c>
      <c r="BP146" s="20">
        <v>0</v>
      </c>
      <c r="BQ146" s="20">
        <v>0</v>
      </c>
      <c r="BR146" s="20">
        <v>0</v>
      </c>
      <c r="BS146" s="20">
        <v>250</v>
      </c>
      <c r="BT146" s="20">
        <v>1012946.0000000002</v>
      </c>
      <c r="BU146" s="20">
        <v>8250000</v>
      </c>
      <c r="BV146" s="20">
        <v>7.4041459268312408</v>
      </c>
    </row>
    <row r="147" spans="1:74">
      <c r="A147" s="10">
        <f t="shared" si="10"/>
        <v>0</v>
      </c>
      <c r="B147" s="10">
        <f t="shared" si="11"/>
        <v>0</v>
      </c>
      <c r="C147" s="12">
        <f t="shared" si="12"/>
        <v>4</v>
      </c>
      <c r="D147" s="12">
        <f t="shared" si="13"/>
        <v>9</v>
      </c>
      <c r="E147" s="20" t="s">
        <v>424</v>
      </c>
      <c r="F147" s="20" t="s">
        <v>1393</v>
      </c>
      <c r="G147" s="20" t="s">
        <v>1598</v>
      </c>
      <c r="H147" s="20" t="s">
        <v>1606</v>
      </c>
      <c r="I147" s="20">
        <v>2</v>
      </c>
      <c r="J147" s="20" t="s">
        <v>1607</v>
      </c>
      <c r="K147" s="20" t="s">
        <v>1608</v>
      </c>
      <c r="L147" s="20" t="s">
        <v>1602</v>
      </c>
      <c r="M147" s="20" t="s">
        <v>1393</v>
      </c>
      <c r="N147" s="20" t="s">
        <v>1413</v>
      </c>
      <c r="P147" s="20" t="s">
        <v>1393</v>
      </c>
      <c r="Q147" s="20" t="s">
        <v>1400</v>
      </c>
      <c r="R147" s="20" t="s">
        <v>84</v>
      </c>
      <c r="S147" s="20">
        <v>5</v>
      </c>
      <c r="T147" s="20" t="s">
        <v>244</v>
      </c>
      <c r="U147" s="20" t="s">
        <v>245</v>
      </c>
      <c r="V147" s="20" t="s">
        <v>87</v>
      </c>
      <c r="W147" s="20">
        <v>512</v>
      </c>
      <c r="X147" s="20">
        <v>512</v>
      </c>
      <c r="Y147" s="20" t="s">
        <v>1603</v>
      </c>
      <c r="Z147" s="20">
        <v>0.25</v>
      </c>
      <c r="AA147" s="20" t="s">
        <v>1609</v>
      </c>
      <c r="AB147" s="20" t="s">
        <v>149</v>
      </c>
      <c r="AC147" s="20" t="s">
        <v>150</v>
      </c>
      <c r="AD147" s="20" t="s">
        <v>1610</v>
      </c>
      <c r="AE147" s="20" t="s">
        <v>91</v>
      </c>
      <c r="AF147" s="20">
        <v>1</v>
      </c>
      <c r="AG147" s="20">
        <v>0</v>
      </c>
      <c r="AH147" s="20">
        <v>1</v>
      </c>
      <c r="AI147" s="7" t="s">
        <v>251</v>
      </c>
      <c r="AJ147" s="20">
        <v>250</v>
      </c>
      <c r="AK147" s="4" t="s">
        <v>252</v>
      </c>
      <c r="AL147" s="4">
        <v>1</v>
      </c>
      <c r="AM147" s="4" t="s">
        <v>130</v>
      </c>
      <c r="AN147" s="4" t="s">
        <v>95</v>
      </c>
      <c r="AO147" s="4" t="s">
        <v>96</v>
      </c>
      <c r="AP147" s="4">
        <v>1</v>
      </c>
      <c r="AQ147" s="20">
        <v>33000</v>
      </c>
      <c r="AR147" s="4">
        <v>41821</v>
      </c>
      <c r="AS147" s="20">
        <v>4285.7142857142853</v>
      </c>
      <c r="AT147" s="20">
        <v>4051.784000000001</v>
      </c>
      <c r="AU147" s="20">
        <v>-233.93028571428431</v>
      </c>
      <c r="AV147" s="20">
        <v>0</v>
      </c>
      <c r="AW147" s="20">
        <v>0</v>
      </c>
      <c r="AX147" s="20">
        <v>110</v>
      </c>
      <c r="AY147" s="20">
        <v>110</v>
      </c>
      <c r="AZ147" s="20">
        <v>3.16</v>
      </c>
      <c r="BA147" s="20">
        <v>0</v>
      </c>
      <c r="BB147" s="6">
        <v>41751</v>
      </c>
      <c r="BC147" s="6">
        <v>41889</v>
      </c>
      <c r="BD147" s="6">
        <v>41869</v>
      </c>
      <c r="BE147" s="6">
        <v>41869</v>
      </c>
      <c r="BF147" s="6">
        <v>41897</v>
      </c>
      <c r="BG147" s="6">
        <v>0</v>
      </c>
      <c r="BH147" s="6">
        <v>0</v>
      </c>
      <c r="BI147" s="6">
        <v>0</v>
      </c>
      <c r="BJ147" s="6">
        <v>0</v>
      </c>
      <c r="BK147" s="5" t="s">
        <v>401</v>
      </c>
      <c r="BL147" s="4" t="s">
        <v>2173</v>
      </c>
      <c r="BM147" s="20">
        <v>250</v>
      </c>
      <c r="BN147" s="20">
        <v>0</v>
      </c>
      <c r="BO147" s="20">
        <v>0</v>
      </c>
      <c r="BP147" s="20">
        <v>0</v>
      </c>
      <c r="BQ147" s="20">
        <v>0</v>
      </c>
      <c r="BR147" s="20">
        <v>0</v>
      </c>
      <c r="BS147" s="20">
        <v>250</v>
      </c>
      <c r="BT147" s="20">
        <v>1012946.0000000002</v>
      </c>
      <c r="BU147" s="20">
        <v>8250000</v>
      </c>
      <c r="BV147" s="20">
        <v>7.4041459268312408</v>
      </c>
    </row>
    <row r="148" spans="1:74">
      <c r="A148" s="10">
        <f t="shared" si="10"/>
        <v>0</v>
      </c>
      <c r="B148" s="10">
        <f t="shared" si="11"/>
        <v>0</v>
      </c>
      <c r="C148" s="12">
        <f t="shared" si="12"/>
        <v>4</v>
      </c>
      <c r="D148" s="12">
        <f t="shared" si="13"/>
        <v>9</v>
      </c>
      <c r="E148" s="20" t="s">
        <v>424</v>
      </c>
      <c r="F148" s="20" t="s">
        <v>1393</v>
      </c>
      <c r="G148" s="20" t="s">
        <v>1598</v>
      </c>
      <c r="H148" s="20" t="s">
        <v>1611</v>
      </c>
      <c r="I148" s="20">
        <v>3</v>
      </c>
      <c r="J148" s="20" t="s">
        <v>1612</v>
      </c>
      <c r="K148" s="20" t="s">
        <v>1613</v>
      </c>
      <c r="L148" s="20" t="s">
        <v>1602</v>
      </c>
      <c r="M148" s="20" t="s">
        <v>1393</v>
      </c>
      <c r="N148" s="20" t="s">
        <v>1413</v>
      </c>
      <c r="P148" s="20" t="s">
        <v>1393</v>
      </c>
      <c r="Q148" s="20" t="s">
        <v>1400</v>
      </c>
      <c r="R148" s="20" t="s">
        <v>84</v>
      </c>
      <c r="S148" s="20">
        <v>5</v>
      </c>
      <c r="T148" s="20" t="s">
        <v>244</v>
      </c>
      <c r="U148" s="20" t="s">
        <v>245</v>
      </c>
      <c r="V148" s="20" t="s">
        <v>87</v>
      </c>
      <c r="W148" s="20">
        <v>512</v>
      </c>
      <c r="X148" s="20">
        <v>512</v>
      </c>
      <c r="Y148" s="20" t="s">
        <v>1603</v>
      </c>
      <c r="Z148" s="20">
        <v>0.25</v>
      </c>
      <c r="AA148" s="20" t="s">
        <v>1614</v>
      </c>
      <c r="AB148" s="20" t="s">
        <v>101</v>
      </c>
      <c r="AC148" s="20" t="s">
        <v>102</v>
      </c>
      <c r="AD148" s="20" t="s">
        <v>1615</v>
      </c>
      <c r="AE148" s="20" t="s">
        <v>91</v>
      </c>
      <c r="AF148" s="20">
        <v>1</v>
      </c>
      <c r="AG148" s="20">
        <v>0</v>
      </c>
      <c r="AH148" s="20">
        <v>1</v>
      </c>
      <c r="AI148" s="7" t="s">
        <v>251</v>
      </c>
      <c r="AJ148" s="20">
        <v>250</v>
      </c>
      <c r="AK148" s="4" t="s">
        <v>252</v>
      </c>
      <c r="AL148" s="4">
        <v>1</v>
      </c>
      <c r="AM148" s="4" t="s">
        <v>130</v>
      </c>
      <c r="AN148" s="4" t="s">
        <v>95</v>
      </c>
      <c r="AO148" s="4" t="s">
        <v>96</v>
      </c>
      <c r="AP148" s="4">
        <v>1</v>
      </c>
      <c r="AQ148" s="20">
        <v>33000</v>
      </c>
      <c r="AR148" s="4">
        <v>41821</v>
      </c>
      <c r="AS148" s="20">
        <v>4285.7142857142853</v>
      </c>
      <c r="AT148" s="20">
        <v>4051.784000000001</v>
      </c>
      <c r="AU148" s="20">
        <v>-233.93028571428431</v>
      </c>
      <c r="AV148" s="20">
        <v>0</v>
      </c>
      <c r="AW148" s="20">
        <v>0</v>
      </c>
      <c r="AX148" s="20">
        <v>110</v>
      </c>
      <c r="AY148" s="20">
        <v>110</v>
      </c>
      <c r="AZ148" s="20">
        <v>3.16</v>
      </c>
      <c r="BA148" s="20">
        <v>0</v>
      </c>
      <c r="BB148" s="6">
        <v>41751</v>
      </c>
      <c r="BC148" s="6">
        <v>41889</v>
      </c>
      <c r="BD148" s="6">
        <v>41869</v>
      </c>
      <c r="BE148" s="6">
        <v>41869</v>
      </c>
      <c r="BF148" s="6">
        <v>41897</v>
      </c>
      <c r="BG148" s="6">
        <v>0</v>
      </c>
      <c r="BH148" s="6">
        <v>0</v>
      </c>
      <c r="BI148" s="6">
        <v>0</v>
      </c>
      <c r="BJ148" s="6">
        <v>0</v>
      </c>
      <c r="BK148" s="5" t="s">
        <v>401</v>
      </c>
      <c r="BL148" s="4" t="s">
        <v>2173</v>
      </c>
      <c r="BM148" s="20">
        <v>250</v>
      </c>
      <c r="BN148" s="20">
        <v>0</v>
      </c>
      <c r="BO148" s="20">
        <v>0</v>
      </c>
      <c r="BP148" s="20">
        <v>0</v>
      </c>
      <c r="BQ148" s="20">
        <v>0</v>
      </c>
      <c r="BR148" s="20">
        <v>0</v>
      </c>
      <c r="BS148" s="20">
        <v>250</v>
      </c>
      <c r="BT148" s="20">
        <v>1012946.0000000002</v>
      </c>
      <c r="BU148" s="20">
        <v>8250000</v>
      </c>
      <c r="BV148" s="20">
        <v>7.4041459268312408</v>
      </c>
    </row>
    <row r="149" spans="1:74">
      <c r="A149" s="10">
        <f t="shared" si="10"/>
        <v>0</v>
      </c>
      <c r="B149" s="10">
        <f t="shared" si="11"/>
        <v>0</v>
      </c>
      <c r="C149" s="12">
        <f t="shared" si="12"/>
        <v>4</v>
      </c>
      <c r="D149" s="12">
        <f t="shared" si="13"/>
        <v>9</v>
      </c>
      <c r="E149" s="20" t="s">
        <v>424</v>
      </c>
      <c r="F149" s="20" t="s">
        <v>1393</v>
      </c>
      <c r="G149" s="20" t="s">
        <v>1598</v>
      </c>
      <c r="H149" s="20" t="s">
        <v>1616</v>
      </c>
      <c r="I149" s="20">
        <v>4</v>
      </c>
      <c r="J149" s="20" t="s">
        <v>1617</v>
      </c>
      <c r="K149" s="20" t="s">
        <v>1618</v>
      </c>
      <c r="L149" s="20" t="s">
        <v>1602</v>
      </c>
      <c r="M149" s="20" t="s">
        <v>1393</v>
      </c>
      <c r="N149" s="20" t="s">
        <v>1413</v>
      </c>
      <c r="P149" s="20" t="s">
        <v>1393</v>
      </c>
      <c r="Q149" s="20" t="s">
        <v>1400</v>
      </c>
      <c r="R149" s="20" t="s">
        <v>84</v>
      </c>
      <c r="S149" s="20">
        <v>5</v>
      </c>
      <c r="T149" s="20" t="s">
        <v>244</v>
      </c>
      <c r="U149" s="20" t="s">
        <v>245</v>
      </c>
      <c r="V149" s="20" t="s">
        <v>87</v>
      </c>
      <c r="W149" s="20">
        <v>512</v>
      </c>
      <c r="X149" s="20">
        <v>512</v>
      </c>
      <c r="Y149" s="20" t="s">
        <v>1603</v>
      </c>
      <c r="Z149" s="20">
        <v>0.25</v>
      </c>
      <c r="AA149" s="20" t="s">
        <v>1619</v>
      </c>
      <c r="AB149" s="20" t="s">
        <v>89</v>
      </c>
      <c r="AC149" s="20" t="s">
        <v>90</v>
      </c>
      <c r="AD149" s="20" t="s">
        <v>1620</v>
      </c>
      <c r="AE149" s="20" t="s">
        <v>91</v>
      </c>
      <c r="AF149" s="20">
        <v>1</v>
      </c>
      <c r="AG149" s="20">
        <v>0</v>
      </c>
      <c r="AH149" s="20">
        <v>1</v>
      </c>
      <c r="AI149" s="7" t="s">
        <v>251</v>
      </c>
      <c r="AJ149" s="20">
        <v>250</v>
      </c>
      <c r="AK149" s="4" t="s">
        <v>252</v>
      </c>
      <c r="AL149" s="4">
        <v>1</v>
      </c>
      <c r="AM149" s="4" t="s">
        <v>130</v>
      </c>
      <c r="AN149" s="4" t="s">
        <v>95</v>
      </c>
      <c r="AO149" s="4" t="s">
        <v>96</v>
      </c>
      <c r="AP149" s="4">
        <v>1</v>
      </c>
      <c r="AQ149" s="20">
        <v>33000</v>
      </c>
      <c r="AR149" s="4">
        <v>41821</v>
      </c>
      <c r="AS149" s="20">
        <v>4285.7142857142853</v>
      </c>
      <c r="AT149" s="20">
        <v>4051.784000000001</v>
      </c>
      <c r="AU149" s="20">
        <v>-233.93028571428431</v>
      </c>
      <c r="AV149" s="20">
        <v>0</v>
      </c>
      <c r="AW149" s="20">
        <v>0</v>
      </c>
      <c r="AX149" s="20">
        <v>110</v>
      </c>
      <c r="AY149" s="20">
        <v>110</v>
      </c>
      <c r="AZ149" s="20">
        <v>3.16</v>
      </c>
      <c r="BA149" s="20">
        <v>0</v>
      </c>
      <c r="BB149" s="6">
        <v>41751</v>
      </c>
      <c r="BC149" s="6">
        <v>41889</v>
      </c>
      <c r="BD149" s="6">
        <v>41869</v>
      </c>
      <c r="BE149" s="6">
        <v>41869</v>
      </c>
      <c r="BF149" s="6">
        <v>41897</v>
      </c>
      <c r="BG149" s="6">
        <v>0</v>
      </c>
      <c r="BH149" s="6">
        <v>0</v>
      </c>
      <c r="BI149" s="6">
        <v>0</v>
      </c>
      <c r="BJ149" s="6">
        <v>0</v>
      </c>
      <c r="BK149" s="5" t="s">
        <v>401</v>
      </c>
      <c r="BL149" s="4" t="s">
        <v>2173</v>
      </c>
      <c r="BM149" s="20">
        <v>249</v>
      </c>
      <c r="BN149" s="20">
        <v>0</v>
      </c>
      <c r="BO149" s="20">
        <v>0</v>
      </c>
      <c r="BP149" s="20">
        <v>0</v>
      </c>
      <c r="BQ149" s="20">
        <v>0</v>
      </c>
      <c r="BR149" s="20">
        <v>0</v>
      </c>
      <c r="BS149" s="20">
        <v>250</v>
      </c>
      <c r="BT149" s="20">
        <v>1012946.0000000002</v>
      </c>
      <c r="BU149" s="20">
        <v>8250000</v>
      </c>
      <c r="BV149" s="20">
        <v>7.4041459268312408</v>
      </c>
    </row>
    <row r="150" spans="1:74">
      <c r="A150" s="10">
        <f t="shared" si="10"/>
        <v>0</v>
      </c>
      <c r="B150" s="10">
        <f t="shared" si="11"/>
        <v>0</v>
      </c>
      <c r="C150" s="12" t="str">
        <f t="shared" si="12"/>
        <v/>
      </c>
      <c r="D150" s="12" t="str">
        <f t="shared" si="13"/>
        <v/>
      </c>
      <c r="E150" s="20" t="s">
        <v>91</v>
      </c>
      <c r="F150" s="20" t="s">
        <v>91</v>
      </c>
      <c r="G150" s="20" t="s">
        <v>91</v>
      </c>
      <c r="H150" s="20" t="s">
        <v>91</v>
      </c>
      <c r="I150" s="20">
        <v>0</v>
      </c>
      <c r="J150" s="20" t="s">
        <v>103</v>
      </c>
      <c r="K150" s="20" t="s">
        <v>104</v>
      </c>
      <c r="L150" s="20">
        <v>0</v>
      </c>
      <c r="M150" s="20" t="s">
        <v>105</v>
      </c>
      <c r="N150" s="20" t="s">
        <v>91</v>
      </c>
      <c r="O150" s="20" t="s">
        <v>1621</v>
      </c>
      <c r="Q150" s="20" t="s">
        <v>91</v>
      </c>
      <c r="R150" s="20" t="s">
        <v>91</v>
      </c>
      <c r="S150" s="20" t="s">
        <v>91</v>
      </c>
      <c r="U150" s="20" t="s">
        <v>91</v>
      </c>
      <c r="X150" s="20" t="s">
        <v>91</v>
      </c>
      <c r="Y150" s="20" t="s">
        <v>91</v>
      </c>
      <c r="Z150" s="20">
        <v>1</v>
      </c>
      <c r="AB150" s="20" t="s">
        <v>91</v>
      </c>
      <c r="AD150" s="20" t="s">
        <v>91</v>
      </c>
      <c r="AE150" s="20" t="s">
        <v>91</v>
      </c>
      <c r="AF150" s="20">
        <v>4</v>
      </c>
      <c r="AG150" s="20">
        <v>0</v>
      </c>
      <c r="AH150" s="20">
        <v>1</v>
      </c>
      <c r="AI150" s="7"/>
      <c r="AJ150" s="20">
        <v>1000</v>
      </c>
      <c r="AM150" s="4" t="s">
        <v>91</v>
      </c>
      <c r="AP150" s="4" t="s">
        <v>91</v>
      </c>
      <c r="AQ150" s="20">
        <v>0</v>
      </c>
      <c r="AR150" s="4">
        <v>0</v>
      </c>
      <c r="AV150" s="20">
        <v>0</v>
      </c>
      <c r="AW150" s="20">
        <v>0</v>
      </c>
      <c r="AX150" s="20" t="s">
        <v>91</v>
      </c>
      <c r="AY150" s="20">
        <v>0</v>
      </c>
      <c r="AZ150" s="20">
        <v>3160</v>
      </c>
      <c r="BA150" s="20">
        <v>0</v>
      </c>
      <c r="BB150" s="6">
        <v>0</v>
      </c>
      <c r="BC150" s="6">
        <v>0</v>
      </c>
      <c r="BD150" s="6">
        <v>0</v>
      </c>
      <c r="BE150" s="6">
        <v>0</v>
      </c>
      <c r="BF150" s="6">
        <v>0</v>
      </c>
      <c r="BG150" s="6">
        <v>0</v>
      </c>
      <c r="BH150" s="6">
        <v>0</v>
      </c>
      <c r="BI150" s="6">
        <v>0</v>
      </c>
      <c r="BJ150" s="6">
        <v>0</v>
      </c>
      <c r="BK150" s="5">
        <v>0</v>
      </c>
      <c r="BL150" s="4">
        <v>0</v>
      </c>
      <c r="BM150" s="20">
        <v>999</v>
      </c>
      <c r="BN150" s="20">
        <v>0</v>
      </c>
      <c r="BO150" s="20">
        <v>0</v>
      </c>
      <c r="BP150" s="20">
        <v>0</v>
      </c>
      <c r="BQ150" s="20">
        <v>0</v>
      </c>
      <c r="BR150" s="20">
        <v>0</v>
      </c>
      <c r="BS150" s="20">
        <v>1000</v>
      </c>
      <c r="BT150" s="20">
        <v>4051784.0000000009</v>
      </c>
      <c r="BU150" s="20">
        <v>33000000</v>
      </c>
      <c r="BV150" s="20">
        <v>7.4041459268312408</v>
      </c>
    </row>
    <row r="151" spans="1:74">
      <c r="A151" s="10">
        <f t="shared" si="10"/>
        <v>0</v>
      </c>
      <c r="B151" s="10">
        <f t="shared" si="11"/>
        <v>0</v>
      </c>
      <c r="C151" s="12">
        <f t="shared" si="12"/>
        <v>5</v>
      </c>
      <c r="D151" s="12">
        <f t="shared" si="13"/>
        <v>9</v>
      </c>
      <c r="E151" s="20" t="s">
        <v>424</v>
      </c>
      <c r="F151" s="20" t="s">
        <v>1451</v>
      </c>
      <c r="G151" s="20" t="s">
        <v>1853</v>
      </c>
      <c r="H151" s="20" t="s">
        <v>1854</v>
      </c>
      <c r="I151" s="20">
        <v>1</v>
      </c>
      <c r="J151" s="20" t="s">
        <v>1855</v>
      </c>
      <c r="K151" s="20" t="s">
        <v>1856</v>
      </c>
      <c r="L151" s="20" t="s">
        <v>1857</v>
      </c>
      <c r="M151" s="20" t="s">
        <v>1451</v>
      </c>
      <c r="N151" s="20" t="s">
        <v>1413</v>
      </c>
      <c r="P151" s="20" t="s">
        <v>1451</v>
      </c>
      <c r="Q151" s="20" t="s">
        <v>1457</v>
      </c>
      <c r="R151" s="20" t="s">
        <v>84</v>
      </c>
      <c r="S151" s="20">
        <v>5</v>
      </c>
      <c r="T151" s="20" t="s">
        <v>124</v>
      </c>
      <c r="U151" s="20" t="s">
        <v>125</v>
      </c>
      <c r="V151" s="20" t="s">
        <v>87</v>
      </c>
      <c r="W151" s="20">
        <v>513</v>
      </c>
      <c r="X151" s="20">
        <v>513</v>
      </c>
      <c r="Y151" s="20" t="s">
        <v>1858</v>
      </c>
      <c r="Z151" s="20">
        <v>0.5</v>
      </c>
      <c r="AA151" s="20" t="s">
        <v>1859</v>
      </c>
      <c r="AB151" s="20" t="s">
        <v>101</v>
      </c>
      <c r="AC151" s="20" t="s">
        <v>102</v>
      </c>
      <c r="AD151" s="20" t="s">
        <v>1860</v>
      </c>
      <c r="AE151" s="20" t="s">
        <v>91</v>
      </c>
      <c r="AF151" s="20">
        <v>0.5</v>
      </c>
      <c r="AG151" s="20" t="s">
        <v>3793</v>
      </c>
      <c r="AH151" s="20">
        <v>1</v>
      </c>
      <c r="AI151" s="7" t="s">
        <v>97</v>
      </c>
      <c r="AJ151" s="20">
        <v>300</v>
      </c>
      <c r="AK151" s="4" t="s">
        <v>1047</v>
      </c>
      <c r="AL151" s="4">
        <v>6</v>
      </c>
      <c r="AM151" s="4" t="s">
        <v>112</v>
      </c>
      <c r="AN151" s="4" t="s">
        <v>95</v>
      </c>
      <c r="AO151" s="4" t="s">
        <v>96</v>
      </c>
      <c r="AP151" s="4">
        <v>1</v>
      </c>
      <c r="AQ151" s="20">
        <v>45000</v>
      </c>
      <c r="AR151" s="4">
        <v>41820</v>
      </c>
      <c r="AS151" s="20">
        <v>4545.454545454545</v>
      </c>
      <c r="AT151" s="20">
        <v>6668.5600000000013</v>
      </c>
      <c r="AU151" s="20">
        <v>2123.1054545454563</v>
      </c>
      <c r="AV151" s="20">
        <v>0</v>
      </c>
      <c r="AW151" s="20">
        <v>1160</v>
      </c>
      <c r="AX151" s="20">
        <v>20</v>
      </c>
      <c r="AY151" s="20">
        <v>1180</v>
      </c>
      <c r="AZ151" s="20">
        <v>4.4000000000000004</v>
      </c>
      <c r="BA151" s="20">
        <v>0</v>
      </c>
      <c r="BB151" s="6">
        <v>41771</v>
      </c>
      <c r="BC151" s="6">
        <v>0</v>
      </c>
      <c r="BD151" s="6">
        <v>41876</v>
      </c>
      <c r="BE151" s="6">
        <v>41876</v>
      </c>
      <c r="BF151" s="6">
        <v>41885</v>
      </c>
      <c r="BG151" s="6">
        <v>0</v>
      </c>
      <c r="BH151" s="6">
        <v>0</v>
      </c>
      <c r="BI151" s="6">
        <v>0</v>
      </c>
      <c r="BJ151" s="6">
        <v>0</v>
      </c>
      <c r="BK151" s="5" t="s">
        <v>2173</v>
      </c>
      <c r="BL151" s="4" t="s">
        <v>2173</v>
      </c>
      <c r="BM151" s="20">
        <v>300</v>
      </c>
      <c r="BN151" s="20">
        <v>0</v>
      </c>
      <c r="BO151" s="20">
        <v>0</v>
      </c>
      <c r="BP151" s="20">
        <v>0</v>
      </c>
      <c r="BQ151" s="20">
        <v>0</v>
      </c>
      <c r="BR151" s="20">
        <v>0</v>
      </c>
      <c r="BS151" s="20">
        <v>300</v>
      </c>
      <c r="BT151" s="20">
        <v>2000568.0000000005</v>
      </c>
      <c r="BU151" s="20">
        <v>13500000</v>
      </c>
      <c r="BV151" s="20">
        <v>6.1346214038849309</v>
      </c>
    </row>
    <row r="152" spans="1:74">
      <c r="A152" s="10">
        <f t="shared" si="10"/>
        <v>0</v>
      </c>
      <c r="B152" s="10">
        <f t="shared" si="11"/>
        <v>0</v>
      </c>
      <c r="C152" s="12">
        <f t="shared" si="12"/>
        <v>5</v>
      </c>
      <c r="D152" s="12">
        <f t="shared" si="13"/>
        <v>9</v>
      </c>
      <c r="E152" s="20" t="s">
        <v>424</v>
      </c>
      <c r="F152" s="20" t="s">
        <v>1451</v>
      </c>
      <c r="G152" s="20" t="s">
        <v>1853</v>
      </c>
      <c r="H152" s="20" t="s">
        <v>1854</v>
      </c>
      <c r="I152" s="20">
        <v>1</v>
      </c>
      <c r="J152" s="20" t="s">
        <v>1855</v>
      </c>
      <c r="K152" s="20" t="s">
        <v>1861</v>
      </c>
      <c r="L152" s="20" t="s">
        <v>1857</v>
      </c>
      <c r="M152" s="20" t="s">
        <v>1451</v>
      </c>
      <c r="N152" s="20" t="s">
        <v>1413</v>
      </c>
      <c r="P152" s="20" t="s">
        <v>1451</v>
      </c>
      <c r="Q152" s="20" t="s">
        <v>1457</v>
      </c>
      <c r="R152" s="20" t="s">
        <v>84</v>
      </c>
      <c r="S152" s="20">
        <v>5</v>
      </c>
      <c r="T152" s="20" t="s">
        <v>124</v>
      </c>
      <c r="U152" s="20" t="s">
        <v>125</v>
      </c>
      <c r="V152" s="20" t="s">
        <v>87</v>
      </c>
      <c r="W152" s="20">
        <v>513</v>
      </c>
      <c r="X152" s="20">
        <v>513</v>
      </c>
      <c r="Y152" s="20" t="s">
        <v>1858</v>
      </c>
      <c r="Z152" s="20">
        <v>0.5</v>
      </c>
      <c r="AA152" s="20" t="s">
        <v>1859</v>
      </c>
      <c r="AB152" s="20" t="s">
        <v>101</v>
      </c>
      <c r="AC152" s="20" t="s">
        <v>102</v>
      </c>
      <c r="AD152" s="20" t="s">
        <v>1860</v>
      </c>
      <c r="AE152" s="20" t="s">
        <v>91</v>
      </c>
      <c r="AF152" s="20">
        <v>0.5</v>
      </c>
      <c r="AG152" s="20" t="s">
        <v>3793</v>
      </c>
      <c r="AH152" s="20">
        <v>1</v>
      </c>
      <c r="AI152" s="7" t="s">
        <v>98</v>
      </c>
      <c r="AJ152" s="20">
        <v>150</v>
      </c>
      <c r="AK152" s="4" t="s">
        <v>1047</v>
      </c>
      <c r="AL152" s="4">
        <v>6</v>
      </c>
      <c r="AM152" s="4" t="s">
        <v>112</v>
      </c>
      <c r="AN152" s="4" t="s">
        <v>95</v>
      </c>
      <c r="AO152" s="4" t="s">
        <v>96</v>
      </c>
      <c r="AP152" s="4">
        <v>1</v>
      </c>
      <c r="AQ152" s="20">
        <v>45000</v>
      </c>
      <c r="AR152" s="4">
        <v>41820</v>
      </c>
      <c r="AS152" s="20">
        <v>4545.454545454545</v>
      </c>
      <c r="AT152" s="20">
        <v>6668.5600000000013</v>
      </c>
      <c r="AU152" s="20">
        <v>2123.1054545454563</v>
      </c>
      <c r="AV152" s="20">
        <v>0</v>
      </c>
      <c r="AW152" s="20">
        <v>1160</v>
      </c>
      <c r="AX152" s="20">
        <v>20</v>
      </c>
      <c r="AY152" s="20">
        <v>1180</v>
      </c>
      <c r="AZ152" s="20">
        <v>4.4000000000000004</v>
      </c>
      <c r="BA152" s="20">
        <v>0</v>
      </c>
      <c r="BB152" s="6">
        <v>41771</v>
      </c>
      <c r="BC152" s="6">
        <v>0</v>
      </c>
      <c r="BD152" s="6">
        <v>41876</v>
      </c>
      <c r="BE152" s="6">
        <v>41876</v>
      </c>
      <c r="BF152" s="6">
        <v>41885</v>
      </c>
      <c r="BG152" s="6">
        <v>0</v>
      </c>
      <c r="BH152" s="6">
        <v>0</v>
      </c>
      <c r="BI152" s="6">
        <v>0</v>
      </c>
      <c r="BJ152" s="6">
        <v>0</v>
      </c>
      <c r="BK152" s="5" t="s">
        <v>2173</v>
      </c>
      <c r="BL152" s="4" t="s">
        <v>2173</v>
      </c>
      <c r="BM152" s="20">
        <v>150</v>
      </c>
      <c r="BN152" s="20">
        <v>0</v>
      </c>
      <c r="BO152" s="20">
        <v>0</v>
      </c>
      <c r="BP152" s="20">
        <v>0</v>
      </c>
      <c r="BQ152" s="20">
        <v>0</v>
      </c>
      <c r="BR152" s="20">
        <v>0</v>
      </c>
      <c r="BS152" s="20">
        <v>150</v>
      </c>
      <c r="BT152" s="20">
        <v>1000284.0000000002</v>
      </c>
      <c r="BU152" s="20">
        <v>6750000</v>
      </c>
      <c r="BV152" s="20">
        <v>6.1346214038849309</v>
      </c>
    </row>
    <row r="153" spans="1:74">
      <c r="A153" s="10">
        <f t="shared" si="10"/>
        <v>0</v>
      </c>
      <c r="B153" s="10">
        <f t="shared" si="11"/>
        <v>0</v>
      </c>
      <c r="C153" s="12">
        <f t="shared" si="12"/>
        <v>5</v>
      </c>
      <c r="D153" s="12">
        <f t="shared" si="13"/>
        <v>9</v>
      </c>
      <c r="E153" s="20" t="s">
        <v>424</v>
      </c>
      <c r="F153" s="20" t="s">
        <v>1451</v>
      </c>
      <c r="G153" s="20" t="s">
        <v>1853</v>
      </c>
      <c r="H153" s="20" t="s">
        <v>1862</v>
      </c>
      <c r="I153" s="20">
        <v>2</v>
      </c>
      <c r="J153" s="20" t="s">
        <v>1863</v>
      </c>
      <c r="K153" s="20" t="s">
        <v>1864</v>
      </c>
      <c r="L153" s="20" t="s">
        <v>1865</v>
      </c>
      <c r="M153" s="20" t="s">
        <v>1451</v>
      </c>
      <c r="N153" s="20" t="s">
        <v>1413</v>
      </c>
      <c r="P153" s="20" t="s">
        <v>1451</v>
      </c>
      <c r="Q153" s="20" t="s">
        <v>1457</v>
      </c>
      <c r="R153" s="20" t="s">
        <v>84</v>
      </c>
      <c r="S153" s="20">
        <v>5</v>
      </c>
      <c r="T153" s="20" t="s">
        <v>124</v>
      </c>
      <c r="U153" s="20" t="s">
        <v>125</v>
      </c>
      <c r="V153" s="20" t="s">
        <v>87</v>
      </c>
      <c r="W153" s="20">
        <v>504</v>
      </c>
      <c r="X153" s="20">
        <v>504</v>
      </c>
      <c r="Y153" s="20" t="s">
        <v>1866</v>
      </c>
      <c r="Z153" s="20">
        <v>0.16666666666666666</v>
      </c>
      <c r="AA153" s="20" t="s">
        <v>1867</v>
      </c>
      <c r="AB153" s="20" t="s">
        <v>248</v>
      </c>
      <c r="AC153" s="20" t="s">
        <v>249</v>
      </c>
      <c r="AD153" s="20" t="s">
        <v>1868</v>
      </c>
      <c r="AE153" s="20" t="s">
        <v>91</v>
      </c>
      <c r="AF153" s="20">
        <v>0.33333333333333331</v>
      </c>
      <c r="AG153" s="20" t="s">
        <v>3794</v>
      </c>
      <c r="AH153" s="20">
        <v>1</v>
      </c>
      <c r="AI153" s="7" t="s">
        <v>97</v>
      </c>
      <c r="AJ153" s="20">
        <v>100</v>
      </c>
      <c r="AK153" s="4" t="s">
        <v>1047</v>
      </c>
      <c r="AL153" s="4">
        <v>6</v>
      </c>
      <c r="AM153" s="4" t="s">
        <v>112</v>
      </c>
      <c r="AN153" s="4" t="s">
        <v>95</v>
      </c>
      <c r="AO153" s="4" t="s">
        <v>96</v>
      </c>
      <c r="AP153" s="4">
        <v>1</v>
      </c>
      <c r="AQ153" s="20">
        <v>45000</v>
      </c>
      <c r="AR153" s="4">
        <v>41820</v>
      </c>
      <c r="AS153" s="20">
        <v>4545.454545454545</v>
      </c>
      <c r="AT153" s="20">
        <v>5271.68</v>
      </c>
      <c r="AU153" s="20">
        <v>726.22545454545525</v>
      </c>
      <c r="AV153" s="20">
        <v>0</v>
      </c>
      <c r="AW153" s="20">
        <v>1260</v>
      </c>
      <c r="AX153" s="20">
        <v>20</v>
      </c>
      <c r="AY153" s="20">
        <v>1280</v>
      </c>
      <c r="AZ153" s="20">
        <v>3.2</v>
      </c>
      <c r="BA153" s="20">
        <v>0</v>
      </c>
      <c r="BB153" s="6">
        <v>41771</v>
      </c>
      <c r="BC153" s="6">
        <v>41881</v>
      </c>
      <c r="BD153" s="6">
        <v>41876</v>
      </c>
      <c r="BE153" s="6">
        <v>41876</v>
      </c>
      <c r="BF153" s="6">
        <v>41894</v>
      </c>
      <c r="BG153" s="6">
        <v>0</v>
      </c>
      <c r="BH153" s="6">
        <v>0</v>
      </c>
      <c r="BI153" s="6">
        <v>0</v>
      </c>
      <c r="BJ153" s="6">
        <v>0</v>
      </c>
      <c r="BK153" s="5" t="s">
        <v>2173</v>
      </c>
      <c r="BL153" s="4" t="s">
        <v>2173</v>
      </c>
      <c r="BM153" s="20">
        <v>100</v>
      </c>
      <c r="BN153" s="20">
        <v>0</v>
      </c>
      <c r="BO153" s="20">
        <v>0</v>
      </c>
      <c r="BP153" s="20">
        <v>0</v>
      </c>
      <c r="BQ153" s="20">
        <v>0</v>
      </c>
      <c r="BR153" s="20">
        <v>0</v>
      </c>
      <c r="BS153" s="20">
        <v>100</v>
      </c>
      <c r="BT153" s="20">
        <v>527168</v>
      </c>
      <c r="BU153" s="20">
        <v>4500000</v>
      </c>
      <c r="BV153" s="20">
        <v>7.7601620183871001</v>
      </c>
    </row>
    <row r="154" spans="1:74">
      <c r="A154" s="10">
        <f t="shared" si="10"/>
        <v>0</v>
      </c>
      <c r="B154" s="10">
        <f t="shared" si="11"/>
        <v>0</v>
      </c>
      <c r="C154" s="12">
        <f t="shared" si="12"/>
        <v>5</v>
      </c>
      <c r="D154" s="12">
        <f t="shared" si="13"/>
        <v>9</v>
      </c>
      <c r="E154" s="20" t="s">
        <v>424</v>
      </c>
      <c r="F154" s="20" t="s">
        <v>1451</v>
      </c>
      <c r="G154" s="20" t="s">
        <v>1853</v>
      </c>
      <c r="H154" s="20" t="s">
        <v>1862</v>
      </c>
      <c r="I154" s="20">
        <v>2</v>
      </c>
      <c r="J154" s="20" t="s">
        <v>1863</v>
      </c>
      <c r="K154" s="20" t="s">
        <v>1869</v>
      </c>
      <c r="L154" s="20" t="s">
        <v>1865</v>
      </c>
      <c r="M154" s="20" t="s">
        <v>1451</v>
      </c>
      <c r="N154" s="20" t="s">
        <v>1413</v>
      </c>
      <c r="P154" s="20" t="s">
        <v>1451</v>
      </c>
      <c r="Q154" s="20" t="s">
        <v>1457</v>
      </c>
      <c r="R154" s="20" t="s">
        <v>84</v>
      </c>
      <c r="S154" s="20">
        <v>5</v>
      </c>
      <c r="T154" s="20" t="s">
        <v>124</v>
      </c>
      <c r="U154" s="20" t="s">
        <v>125</v>
      </c>
      <c r="V154" s="20" t="s">
        <v>87</v>
      </c>
      <c r="W154" s="20">
        <v>504</v>
      </c>
      <c r="X154" s="20">
        <v>504</v>
      </c>
      <c r="Y154" s="20" t="s">
        <v>1866</v>
      </c>
      <c r="Z154" s="20">
        <v>0.16666666666666666</v>
      </c>
      <c r="AA154" s="20" t="s">
        <v>1867</v>
      </c>
      <c r="AB154" s="20" t="s">
        <v>248</v>
      </c>
      <c r="AC154" s="20" t="s">
        <v>249</v>
      </c>
      <c r="AD154" s="20" t="s">
        <v>1868</v>
      </c>
      <c r="AE154" s="20" t="s">
        <v>91</v>
      </c>
      <c r="AF154" s="20">
        <v>0.33333333333333331</v>
      </c>
      <c r="AG154" s="20" t="s">
        <v>3794</v>
      </c>
      <c r="AH154" s="20">
        <v>1</v>
      </c>
      <c r="AI154" s="7" t="s">
        <v>98</v>
      </c>
      <c r="AJ154" s="20">
        <v>50</v>
      </c>
      <c r="AK154" s="4" t="s">
        <v>1047</v>
      </c>
      <c r="AL154" s="4">
        <v>6</v>
      </c>
      <c r="AM154" s="4" t="s">
        <v>112</v>
      </c>
      <c r="AN154" s="4" t="s">
        <v>95</v>
      </c>
      <c r="AO154" s="4" t="s">
        <v>96</v>
      </c>
      <c r="AP154" s="4">
        <v>1</v>
      </c>
      <c r="AQ154" s="20">
        <v>45000</v>
      </c>
      <c r="AR154" s="4">
        <v>41820</v>
      </c>
      <c r="AS154" s="20">
        <v>4545.454545454545</v>
      </c>
      <c r="AT154" s="20">
        <v>5271.68</v>
      </c>
      <c r="AU154" s="20">
        <v>726.22545454545525</v>
      </c>
      <c r="AV154" s="20">
        <v>0</v>
      </c>
      <c r="AW154" s="20">
        <v>1260</v>
      </c>
      <c r="AX154" s="20">
        <v>20</v>
      </c>
      <c r="AY154" s="20">
        <v>1280</v>
      </c>
      <c r="AZ154" s="20">
        <v>3.2</v>
      </c>
      <c r="BA154" s="20">
        <v>0</v>
      </c>
      <c r="BB154" s="6">
        <v>41771</v>
      </c>
      <c r="BC154" s="6">
        <v>41881</v>
      </c>
      <c r="BD154" s="6">
        <v>41876</v>
      </c>
      <c r="BE154" s="6">
        <v>41876</v>
      </c>
      <c r="BF154" s="6">
        <v>41894</v>
      </c>
      <c r="BG154" s="6">
        <v>0</v>
      </c>
      <c r="BH154" s="6">
        <v>0</v>
      </c>
      <c r="BI154" s="6">
        <v>0</v>
      </c>
      <c r="BJ154" s="6">
        <v>0</v>
      </c>
      <c r="BK154" s="5" t="s">
        <v>2173</v>
      </c>
      <c r="BL154" s="4" t="s">
        <v>2173</v>
      </c>
      <c r="BM154" s="20">
        <v>50</v>
      </c>
      <c r="BN154" s="20">
        <v>0</v>
      </c>
      <c r="BO154" s="20">
        <v>0</v>
      </c>
      <c r="BP154" s="20">
        <v>0</v>
      </c>
      <c r="BQ154" s="20">
        <v>0</v>
      </c>
      <c r="BR154" s="20">
        <v>0</v>
      </c>
      <c r="BS154" s="20">
        <v>50</v>
      </c>
      <c r="BT154" s="20">
        <v>263584</v>
      </c>
      <c r="BU154" s="20">
        <v>2250000</v>
      </c>
      <c r="BV154" s="20">
        <v>7.7601620183871001</v>
      </c>
    </row>
    <row r="155" spans="1:74">
      <c r="A155" s="10">
        <f t="shared" si="10"/>
        <v>0</v>
      </c>
      <c r="B155" s="10">
        <f t="shared" si="11"/>
        <v>0</v>
      </c>
      <c r="C155" s="12">
        <f t="shared" si="12"/>
        <v>5</v>
      </c>
      <c r="D155" s="12">
        <f t="shared" si="13"/>
        <v>9</v>
      </c>
      <c r="E155" s="20" t="s">
        <v>424</v>
      </c>
      <c r="F155" s="20" t="s">
        <v>1451</v>
      </c>
      <c r="G155" s="20" t="s">
        <v>1853</v>
      </c>
      <c r="H155" s="20" t="s">
        <v>1862</v>
      </c>
      <c r="I155" s="20">
        <v>2</v>
      </c>
      <c r="J155" s="20" t="s">
        <v>1863</v>
      </c>
      <c r="K155" s="20" t="s">
        <v>1870</v>
      </c>
      <c r="L155" s="20" t="s">
        <v>1865</v>
      </c>
      <c r="M155" s="20" t="s">
        <v>1451</v>
      </c>
      <c r="N155" s="20" t="s">
        <v>1413</v>
      </c>
      <c r="P155" s="20" t="s">
        <v>1451</v>
      </c>
      <c r="Q155" s="20" t="s">
        <v>1457</v>
      </c>
      <c r="R155" s="20" t="s">
        <v>84</v>
      </c>
      <c r="S155" s="20">
        <v>5</v>
      </c>
      <c r="T155" s="20" t="s">
        <v>124</v>
      </c>
      <c r="U155" s="20" t="s">
        <v>125</v>
      </c>
      <c r="V155" s="20" t="s">
        <v>87</v>
      </c>
      <c r="W155" s="20">
        <v>504</v>
      </c>
      <c r="X155" s="20">
        <v>504</v>
      </c>
      <c r="Y155" s="20" t="s">
        <v>1866</v>
      </c>
      <c r="Z155" s="20">
        <v>0.16666666666666666</v>
      </c>
      <c r="AA155" s="20" t="s">
        <v>1867</v>
      </c>
      <c r="AB155" s="20" t="s">
        <v>248</v>
      </c>
      <c r="AC155" s="20" t="s">
        <v>249</v>
      </c>
      <c r="AD155" s="20" t="s">
        <v>1868</v>
      </c>
      <c r="AE155" s="20" t="s">
        <v>91</v>
      </c>
      <c r="AF155" s="20">
        <v>0.33333333333333331</v>
      </c>
      <c r="AG155" s="20" t="s">
        <v>3794</v>
      </c>
      <c r="AH155" s="20">
        <v>1</v>
      </c>
      <c r="AI155" s="7" t="s">
        <v>92</v>
      </c>
      <c r="AJ155" s="20">
        <v>300</v>
      </c>
      <c r="AK155" s="4" t="s">
        <v>1047</v>
      </c>
      <c r="AL155" s="4">
        <v>6</v>
      </c>
      <c r="AM155" s="4" t="s">
        <v>112</v>
      </c>
      <c r="AN155" s="4" t="s">
        <v>95</v>
      </c>
      <c r="AO155" s="4" t="s">
        <v>96</v>
      </c>
      <c r="AP155" s="4">
        <v>1</v>
      </c>
      <c r="AQ155" s="20">
        <v>45000</v>
      </c>
      <c r="AR155" s="4">
        <v>41820</v>
      </c>
      <c r="AS155" s="20">
        <v>4545.454545454545</v>
      </c>
      <c r="AT155" s="20">
        <v>5271.68</v>
      </c>
      <c r="AU155" s="20">
        <v>726.22545454545525</v>
      </c>
      <c r="AV155" s="20">
        <v>0</v>
      </c>
      <c r="AW155" s="20">
        <v>1260</v>
      </c>
      <c r="AX155" s="20">
        <v>20</v>
      </c>
      <c r="AY155" s="20">
        <v>1280</v>
      </c>
      <c r="AZ155" s="20">
        <v>3.2</v>
      </c>
      <c r="BA155" s="20">
        <v>0</v>
      </c>
      <c r="BB155" s="6">
        <v>41771</v>
      </c>
      <c r="BC155" s="6">
        <v>41881</v>
      </c>
      <c r="BD155" s="6">
        <v>41876</v>
      </c>
      <c r="BE155" s="6">
        <v>41876</v>
      </c>
      <c r="BF155" s="6">
        <v>41894</v>
      </c>
      <c r="BG155" s="6">
        <v>0</v>
      </c>
      <c r="BH155" s="6">
        <v>0</v>
      </c>
      <c r="BI155" s="6">
        <v>0</v>
      </c>
      <c r="BJ155" s="6">
        <v>0</v>
      </c>
      <c r="BK155" s="5" t="s">
        <v>2173</v>
      </c>
      <c r="BL155" s="4" t="s">
        <v>2173</v>
      </c>
      <c r="BM155" s="20">
        <v>300</v>
      </c>
      <c r="BN155" s="20">
        <v>0</v>
      </c>
      <c r="BO155" s="20">
        <v>0</v>
      </c>
      <c r="BP155" s="20">
        <v>0</v>
      </c>
      <c r="BQ155" s="20">
        <v>0</v>
      </c>
      <c r="BR155" s="20">
        <v>0</v>
      </c>
      <c r="BS155" s="20">
        <v>300</v>
      </c>
      <c r="BT155" s="20">
        <v>1581504</v>
      </c>
      <c r="BU155" s="20">
        <v>13500000</v>
      </c>
      <c r="BV155" s="20">
        <v>7.7601620183871001</v>
      </c>
    </row>
    <row r="156" spans="1:74">
      <c r="A156" s="10">
        <f t="shared" si="10"/>
        <v>0</v>
      </c>
      <c r="B156" s="10">
        <f t="shared" si="11"/>
        <v>0</v>
      </c>
      <c r="C156" s="12">
        <f t="shared" si="12"/>
        <v>5</v>
      </c>
      <c r="D156" s="12">
        <f t="shared" si="13"/>
        <v>9</v>
      </c>
      <c r="E156" s="20" t="s">
        <v>424</v>
      </c>
      <c r="F156" s="20" t="s">
        <v>1451</v>
      </c>
      <c r="G156" s="20" t="s">
        <v>1853</v>
      </c>
      <c r="H156" s="20" t="s">
        <v>1871</v>
      </c>
      <c r="I156" s="20">
        <v>3</v>
      </c>
      <c r="J156" s="20" t="s">
        <v>1872</v>
      </c>
      <c r="K156" s="20" t="s">
        <v>1873</v>
      </c>
      <c r="L156" s="20" t="s">
        <v>1865</v>
      </c>
      <c r="M156" s="20" t="s">
        <v>1451</v>
      </c>
      <c r="N156" s="20" t="s">
        <v>1413</v>
      </c>
      <c r="P156" s="20" t="s">
        <v>1451</v>
      </c>
      <c r="Q156" s="20" t="s">
        <v>1457</v>
      </c>
      <c r="R156" s="20" t="s">
        <v>84</v>
      </c>
      <c r="S156" s="20">
        <v>5</v>
      </c>
      <c r="T156" s="20" t="s">
        <v>124</v>
      </c>
      <c r="U156" s="20" t="s">
        <v>125</v>
      </c>
      <c r="V156" s="20" t="s">
        <v>87</v>
      </c>
      <c r="W156" s="20">
        <v>504</v>
      </c>
      <c r="X156" s="20">
        <v>504</v>
      </c>
      <c r="Y156" s="20" t="s">
        <v>1866</v>
      </c>
      <c r="Z156" s="20">
        <v>0.16666666666666666</v>
      </c>
      <c r="AA156" s="20" t="s">
        <v>1874</v>
      </c>
      <c r="AB156" s="20" t="s">
        <v>101</v>
      </c>
      <c r="AC156" s="20" t="s">
        <v>102</v>
      </c>
      <c r="AD156" s="20" t="s">
        <v>1875</v>
      </c>
      <c r="AE156" s="20" t="s">
        <v>91</v>
      </c>
      <c r="AF156" s="20">
        <v>0.33333333333333331</v>
      </c>
      <c r="AG156" s="20" t="s">
        <v>3794</v>
      </c>
      <c r="AH156" s="20">
        <v>1</v>
      </c>
      <c r="AI156" s="7" t="s">
        <v>97</v>
      </c>
      <c r="AJ156" s="20">
        <v>100</v>
      </c>
      <c r="AK156" s="4" t="s">
        <v>1047</v>
      </c>
      <c r="AL156" s="4">
        <v>6</v>
      </c>
      <c r="AM156" s="4" t="s">
        <v>112</v>
      </c>
      <c r="AN156" s="4" t="s">
        <v>95</v>
      </c>
      <c r="AO156" s="4" t="s">
        <v>96</v>
      </c>
      <c r="AP156" s="4">
        <v>1</v>
      </c>
      <c r="AQ156" s="20">
        <v>45000</v>
      </c>
      <c r="AR156" s="4">
        <v>41820</v>
      </c>
      <c r="AS156" s="20">
        <v>4545.454545454545</v>
      </c>
      <c r="AT156" s="20">
        <v>6419.0800000000008</v>
      </c>
      <c r="AU156" s="20">
        <v>1873.6254545454558</v>
      </c>
      <c r="AV156" s="20">
        <v>0</v>
      </c>
      <c r="AW156" s="20">
        <v>1160</v>
      </c>
      <c r="AX156" s="20">
        <v>20</v>
      </c>
      <c r="AY156" s="20">
        <v>1180</v>
      </c>
      <c r="AZ156" s="20">
        <v>4.2</v>
      </c>
      <c r="BA156" s="20">
        <v>0</v>
      </c>
      <c r="BB156" s="6">
        <v>41771</v>
      </c>
      <c r="BC156" s="6">
        <v>41881</v>
      </c>
      <c r="BD156" s="6">
        <v>41876</v>
      </c>
      <c r="BE156" s="6">
        <v>41876</v>
      </c>
      <c r="BF156" s="6">
        <v>41885</v>
      </c>
      <c r="BG156" s="6">
        <v>41894</v>
      </c>
      <c r="BH156" s="6">
        <v>0</v>
      </c>
      <c r="BI156" s="6">
        <v>0</v>
      </c>
      <c r="BJ156" s="6">
        <v>0</v>
      </c>
      <c r="BK156" s="5" t="s">
        <v>2173</v>
      </c>
      <c r="BL156" s="4" t="s">
        <v>2173</v>
      </c>
      <c r="BM156" s="20">
        <v>100</v>
      </c>
      <c r="BN156" s="20">
        <v>0</v>
      </c>
      <c r="BO156" s="20">
        <v>0</v>
      </c>
      <c r="BP156" s="20">
        <v>0</v>
      </c>
      <c r="BQ156" s="20">
        <v>0</v>
      </c>
      <c r="BR156" s="20">
        <v>0</v>
      </c>
      <c r="BS156" s="20">
        <v>100</v>
      </c>
      <c r="BT156" s="20">
        <v>641908.00000000012</v>
      </c>
      <c r="BU156" s="20">
        <v>4500000</v>
      </c>
      <c r="BV156" s="20">
        <v>6.3730458117192654</v>
      </c>
    </row>
    <row r="157" spans="1:74">
      <c r="A157" s="10">
        <f t="shared" si="10"/>
        <v>0</v>
      </c>
      <c r="B157" s="10">
        <f t="shared" si="11"/>
        <v>0</v>
      </c>
      <c r="C157" s="12">
        <f t="shared" si="12"/>
        <v>5</v>
      </c>
      <c r="D157" s="12">
        <f t="shared" si="13"/>
        <v>9</v>
      </c>
      <c r="E157" s="20" t="s">
        <v>424</v>
      </c>
      <c r="F157" s="20" t="s">
        <v>1451</v>
      </c>
      <c r="G157" s="20" t="s">
        <v>1853</v>
      </c>
      <c r="H157" s="20" t="s">
        <v>1871</v>
      </c>
      <c r="I157" s="20">
        <v>3</v>
      </c>
      <c r="J157" s="20" t="s">
        <v>1872</v>
      </c>
      <c r="K157" s="20" t="s">
        <v>1876</v>
      </c>
      <c r="L157" s="20" t="s">
        <v>1865</v>
      </c>
      <c r="M157" s="20" t="s">
        <v>1451</v>
      </c>
      <c r="N157" s="20" t="s">
        <v>1413</v>
      </c>
      <c r="P157" s="20" t="s">
        <v>1451</v>
      </c>
      <c r="Q157" s="20" t="s">
        <v>1457</v>
      </c>
      <c r="R157" s="20" t="s">
        <v>84</v>
      </c>
      <c r="S157" s="20">
        <v>5</v>
      </c>
      <c r="T157" s="20" t="s">
        <v>124</v>
      </c>
      <c r="U157" s="20" t="s">
        <v>125</v>
      </c>
      <c r="V157" s="20" t="s">
        <v>87</v>
      </c>
      <c r="W157" s="20">
        <v>504</v>
      </c>
      <c r="X157" s="20">
        <v>504</v>
      </c>
      <c r="Y157" s="20" t="s">
        <v>1866</v>
      </c>
      <c r="Z157" s="20">
        <v>0.16666666666666666</v>
      </c>
      <c r="AA157" s="20" t="s">
        <v>1874</v>
      </c>
      <c r="AB157" s="20" t="s">
        <v>101</v>
      </c>
      <c r="AC157" s="20" t="s">
        <v>102</v>
      </c>
      <c r="AD157" s="20" t="s">
        <v>1875</v>
      </c>
      <c r="AE157" s="20" t="s">
        <v>91</v>
      </c>
      <c r="AF157" s="20">
        <v>0.33333333333333331</v>
      </c>
      <c r="AG157" s="20" t="s">
        <v>3794</v>
      </c>
      <c r="AH157" s="20">
        <v>1</v>
      </c>
      <c r="AI157" s="7" t="s">
        <v>98</v>
      </c>
      <c r="AJ157" s="20">
        <v>50</v>
      </c>
      <c r="AK157" s="4" t="s">
        <v>1047</v>
      </c>
      <c r="AL157" s="4">
        <v>6</v>
      </c>
      <c r="AM157" s="4" t="s">
        <v>112</v>
      </c>
      <c r="AN157" s="4" t="s">
        <v>95</v>
      </c>
      <c r="AO157" s="4" t="s">
        <v>96</v>
      </c>
      <c r="AP157" s="4">
        <v>1</v>
      </c>
      <c r="AQ157" s="20">
        <v>45000</v>
      </c>
      <c r="AR157" s="4">
        <v>41820</v>
      </c>
      <c r="AS157" s="20">
        <v>4545.454545454545</v>
      </c>
      <c r="AT157" s="20">
        <v>6419.0800000000008</v>
      </c>
      <c r="AU157" s="20">
        <v>1873.6254545454558</v>
      </c>
      <c r="AV157" s="20">
        <v>0</v>
      </c>
      <c r="AW157" s="20">
        <v>1160</v>
      </c>
      <c r="AX157" s="20">
        <v>20</v>
      </c>
      <c r="AY157" s="20">
        <v>1180</v>
      </c>
      <c r="AZ157" s="20">
        <v>4.2</v>
      </c>
      <c r="BA157" s="20">
        <v>0</v>
      </c>
      <c r="BB157" s="6">
        <v>41771</v>
      </c>
      <c r="BC157" s="6">
        <v>41881</v>
      </c>
      <c r="BD157" s="6">
        <v>41876</v>
      </c>
      <c r="BE157" s="6">
        <v>41876</v>
      </c>
      <c r="BF157" s="6">
        <v>41885</v>
      </c>
      <c r="BG157" s="6">
        <v>41894</v>
      </c>
      <c r="BH157" s="6">
        <v>0</v>
      </c>
      <c r="BI157" s="6">
        <v>0</v>
      </c>
      <c r="BJ157" s="6">
        <v>0</v>
      </c>
      <c r="BK157" s="5" t="s">
        <v>2173</v>
      </c>
      <c r="BL157" s="4" t="s">
        <v>2173</v>
      </c>
      <c r="BM157" s="20">
        <v>0</v>
      </c>
      <c r="BN157" s="20">
        <v>50</v>
      </c>
      <c r="BO157" s="20">
        <v>0</v>
      </c>
      <c r="BP157" s="20">
        <v>0</v>
      </c>
      <c r="BQ157" s="20">
        <v>0</v>
      </c>
      <c r="BR157" s="20">
        <v>0</v>
      </c>
      <c r="BS157" s="20">
        <v>50</v>
      </c>
      <c r="BT157" s="20">
        <v>320954.00000000006</v>
      </c>
      <c r="BU157" s="20">
        <v>2250000</v>
      </c>
      <c r="BV157" s="20">
        <v>6.3730458117192654</v>
      </c>
    </row>
    <row r="158" spans="1:74">
      <c r="A158" s="10">
        <f t="shared" si="10"/>
        <v>0</v>
      </c>
      <c r="B158" s="10">
        <f t="shared" si="11"/>
        <v>0</v>
      </c>
      <c r="C158" s="12">
        <f t="shared" si="12"/>
        <v>5</v>
      </c>
      <c r="D158" s="12">
        <f t="shared" si="13"/>
        <v>9</v>
      </c>
      <c r="E158" s="20" t="s">
        <v>424</v>
      </c>
      <c r="F158" s="20" t="s">
        <v>1451</v>
      </c>
      <c r="G158" s="20" t="s">
        <v>1853</v>
      </c>
      <c r="H158" s="20" t="s">
        <v>1871</v>
      </c>
      <c r="I158" s="20">
        <v>3</v>
      </c>
      <c r="J158" s="20" t="s">
        <v>1872</v>
      </c>
      <c r="K158" s="20" t="s">
        <v>1877</v>
      </c>
      <c r="L158" s="20" t="s">
        <v>1865</v>
      </c>
      <c r="M158" s="20" t="s">
        <v>1451</v>
      </c>
      <c r="N158" s="20" t="s">
        <v>1413</v>
      </c>
      <c r="P158" s="20" t="s">
        <v>1451</v>
      </c>
      <c r="Q158" s="20" t="s">
        <v>1457</v>
      </c>
      <c r="R158" s="20" t="s">
        <v>84</v>
      </c>
      <c r="S158" s="20">
        <v>5</v>
      </c>
      <c r="T158" s="20" t="s">
        <v>124</v>
      </c>
      <c r="U158" s="20" t="s">
        <v>125</v>
      </c>
      <c r="V158" s="20" t="s">
        <v>87</v>
      </c>
      <c r="W158" s="20">
        <v>504</v>
      </c>
      <c r="X158" s="20">
        <v>504</v>
      </c>
      <c r="Y158" s="20" t="s">
        <v>1866</v>
      </c>
      <c r="Z158" s="20">
        <v>0.16666666666666666</v>
      </c>
      <c r="AA158" s="20" t="s">
        <v>1874</v>
      </c>
      <c r="AB158" s="20" t="s">
        <v>101</v>
      </c>
      <c r="AC158" s="20" t="s">
        <v>102</v>
      </c>
      <c r="AD158" s="20" t="s">
        <v>1875</v>
      </c>
      <c r="AE158" s="20" t="s">
        <v>91</v>
      </c>
      <c r="AF158" s="20">
        <v>0.33333333333333331</v>
      </c>
      <c r="AG158" s="20" t="s">
        <v>3794</v>
      </c>
      <c r="AH158" s="20">
        <v>1</v>
      </c>
      <c r="AI158" s="7" t="s">
        <v>92</v>
      </c>
      <c r="AJ158" s="20">
        <v>300</v>
      </c>
      <c r="AK158" s="4" t="s">
        <v>1047</v>
      </c>
      <c r="AL158" s="4">
        <v>6</v>
      </c>
      <c r="AM158" s="4" t="s">
        <v>112</v>
      </c>
      <c r="AN158" s="4" t="s">
        <v>95</v>
      </c>
      <c r="AO158" s="4" t="s">
        <v>96</v>
      </c>
      <c r="AP158" s="4">
        <v>1</v>
      </c>
      <c r="AQ158" s="20">
        <v>45000</v>
      </c>
      <c r="AR158" s="4">
        <v>41820</v>
      </c>
      <c r="AS158" s="20">
        <v>4545.454545454545</v>
      </c>
      <c r="AT158" s="20">
        <v>6419.0800000000008</v>
      </c>
      <c r="AU158" s="20">
        <v>1873.6254545454558</v>
      </c>
      <c r="AV158" s="20">
        <v>0</v>
      </c>
      <c r="AW158" s="20">
        <v>1160</v>
      </c>
      <c r="AX158" s="20">
        <v>20</v>
      </c>
      <c r="AY158" s="20">
        <v>1180</v>
      </c>
      <c r="AZ158" s="20">
        <v>4.2</v>
      </c>
      <c r="BA158" s="20">
        <v>0</v>
      </c>
      <c r="BB158" s="6">
        <v>41771</v>
      </c>
      <c r="BC158" s="6">
        <v>41881</v>
      </c>
      <c r="BD158" s="6">
        <v>41876</v>
      </c>
      <c r="BE158" s="6">
        <v>41876</v>
      </c>
      <c r="BF158" s="6">
        <v>41885</v>
      </c>
      <c r="BG158" s="6">
        <v>41894</v>
      </c>
      <c r="BH158" s="6">
        <v>0</v>
      </c>
      <c r="BI158" s="6">
        <v>0</v>
      </c>
      <c r="BJ158" s="6">
        <v>0</v>
      </c>
      <c r="BK158" s="5" t="s">
        <v>2173</v>
      </c>
      <c r="BL158" s="4" t="s">
        <v>2173</v>
      </c>
      <c r="BM158" s="20">
        <v>200</v>
      </c>
      <c r="BN158" s="20">
        <v>100</v>
      </c>
      <c r="BO158" s="20">
        <v>0</v>
      </c>
      <c r="BP158" s="20">
        <v>0</v>
      </c>
      <c r="BQ158" s="20">
        <v>0</v>
      </c>
      <c r="BR158" s="20">
        <v>0</v>
      </c>
      <c r="BS158" s="20">
        <v>300</v>
      </c>
      <c r="BT158" s="20">
        <v>1925724.0000000002</v>
      </c>
      <c r="BU158" s="20">
        <v>13500000</v>
      </c>
      <c r="BV158" s="20">
        <v>6.3730458117192654</v>
      </c>
    </row>
    <row r="159" spans="1:74">
      <c r="A159" s="10">
        <f t="shared" si="10"/>
        <v>0</v>
      </c>
      <c r="B159" s="10">
        <f t="shared" si="11"/>
        <v>0.33333333333333331</v>
      </c>
      <c r="C159" s="12">
        <f t="shared" si="12"/>
        <v>5</v>
      </c>
      <c r="D159" s="12">
        <f t="shared" si="13"/>
        <v>9</v>
      </c>
      <c r="E159" s="20" t="s">
        <v>424</v>
      </c>
      <c r="F159" s="20" t="s">
        <v>1451</v>
      </c>
      <c r="G159" s="20" t="s">
        <v>1853</v>
      </c>
      <c r="H159" s="20" t="s">
        <v>1878</v>
      </c>
      <c r="I159" s="20">
        <v>4</v>
      </c>
      <c r="J159" s="20" t="s">
        <v>1879</v>
      </c>
      <c r="K159" s="20" t="s">
        <v>1880</v>
      </c>
      <c r="L159" s="20" t="s">
        <v>1881</v>
      </c>
      <c r="M159" s="20" t="s">
        <v>1451</v>
      </c>
      <c r="N159" s="20" t="s">
        <v>1413</v>
      </c>
      <c r="P159" s="20" t="s">
        <v>1451</v>
      </c>
      <c r="Q159" s="20" t="s">
        <v>1457</v>
      </c>
      <c r="R159" s="20" t="s">
        <v>84</v>
      </c>
      <c r="S159" s="20">
        <v>5</v>
      </c>
      <c r="T159" s="20" t="s">
        <v>106</v>
      </c>
      <c r="U159" s="20" t="s">
        <v>107</v>
      </c>
      <c r="V159" s="20" t="s">
        <v>87</v>
      </c>
      <c r="W159" s="20">
        <v>514</v>
      </c>
      <c r="X159" s="20">
        <v>514</v>
      </c>
      <c r="Y159" s="20" t="s">
        <v>1882</v>
      </c>
      <c r="Z159" s="20">
        <v>0.33333333333333331</v>
      </c>
      <c r="AA159" s="20" t="s">
        <v>1883</v>
      </c>
      <c r="AB159" s="20" t="s">
        <v>101</v>
      </c>
      <c r="AC159" s="20" t="s">
        <v>102</v>
      </c>
      <c r="AD159" s="20" t="s">
        <v>1884</v>
      </c>
      <c r="AE159" s="20" t="s">
        <v>91</v>
      </c>
      <c r="AF159" s="20">
        <v>0.33333333333333331</v>
      </c>
      <c r="AG159" s="20">
        <v>0</v>
      </c>
      <c r="AH159" s="20">
        <v>1</v>
      </c>
      <c r="AI159" s="7" t="s">
        <v>97</v>
      </c>
      <c r="AJ159" s="20">
        <v>80</v>
      </c>
      <c r="AK159" s="4" t="s">
        <v>1047</v>
      </c>
      <c r="AL159" s="4">
        <v>6</v>
      </c>
      <c r="AM159" s="4" t="s">
        <v>112</v>
      </c>
      <c r="AN159" s="4" t="s">
        <v>95</v>
      </c>
      <c r="AO159" s="4" t="s">
        <v>96</v>
      </c>
      <c r="AP159" s="4">
        <v>1</v>
      </c>
      <c r="AQ159" s="20">
        <v>55000</v>
      </c>
      <c r="AR159" s="4">
        <v>41820</v>
      </c>
      <c r="AS159" s="20">
        <v>5555.5555555555547</v>
      </c>
      <c r="AT159" s="20">
        <v>7868.4800000000014</v>
      </c>
      <c r="AU159" s="20">
        <v>2312.9244444444466</v>
      </c>
      <c r="AV159" s="20">
        <v>202</v>
      </c>
      <c r="AW159" s="20">
        <v>1160</v>
      </c>
      <c r="AX159" s="20">
        <v>20</v>
      </c>
      <c r="AY159" s="20">
        <v>1382</v>
      </c>
      <c r="AZ159" s="20">
        <v>5.2</v>
      </c>
      <c r="BA159" s="20">
        <v>0</v>
      </c>
      <c r="BB159" s="6">
        <v>41771</v>
      </c>
      <c r="BC159" s="6">
        <v>41881</v>
      </c>
      <c r="BD159" s="6">
        <v>41876</v>
      </c>
      <c r="BE159" s="6">
        <v>41876</v>
      </c>
      <c r="BF159" s="6">
        <v>41894</v>
      </c>
      <c r="BG159" s="6">
        <v>41898</v>
      </c>
      <c r="BH159" s="6">
        <v>0</v>
      </c>
      <c r="BI159" s="6">
        <v>0</v>
      </c>
      <c r="BJ159" s="6">
        <v>0</v>
      </c>
      <c r="BK159" s="5" t="s">
        <v>2173</v>
      </c>
      <c r="BL159" s="4" t="s">
        <v>2173</v>
      </c>
      <c r="BM159" s="20">
        <v>0</v>
      </c>
      <c r="BN159" s="20">
        <v>100</v>
      </c>
      <c r="BO159" s="20">
        <v>0</v>
      </c>
      <c r="BP159" s="20">
        <v>0</v>
      </c>
      <c r="BQ159" s="20">
        <v>0</v>
      </c>
      <c r="BR159" s="20">
        <v>0</v>
      </c>
      <c r="BS159" s="20">
        <v>80</v>
      </c>
      <c r="BT159" s="20">
        <v>629478.40000000014</v>
      </c>
      <c r="BU159" s="20">
        <v>4400000</v>
      </c>
      <c r="BV159" s="20">
        <v>6.3544674447923848</v>
      </c>
    </row>
    <row r="160" spans="1:74">
      <c r="A160" s="10">
        <f t="shared" si="10"/>
        <v>0</v>
      </c>
      <c r="B160" s="10">
        <f t="shared" si="11"/>
        <v>0.33333333333333331</v>
      </c>
      <c r="C160" s="12">
        <f t="shared" si="12"/>
        <v>5</v>
      </c>
      <c r="D160" s="12">
        <f t="shared" si="13"/>
        <v>9</v>
      </c>
      <c r="E160" s="20" t="s">
        <v>424</v>
      </c>
      <c r="F160" s="20" t="s">
        <v>1451</v>
      </c>
      <c r="G160" s="20" t="s">
        <v>1853</v>
      </c>
      <c r="H160" s="20" t="s">
        <v>1878</v>
      </c>
      <c r="I160" s="20">
        <v>4</v>
      </c>
      <c r="J160" s="20" t="s">
        <v>1879</v>
      </c>
      <c r="K160" s="20" t="s">
        <v>1885</v>
      </c>
      <c r="L160" s="20" t="s">
        <v>1881</v>
      </c>
      <c r="M160" s="20" t="s">
        <v>1451</v>
      </c>
      <c r="N160" s="20" t="s">
        <v>1413</v>
      </c>
      <c r="P160" s="20" t="s">
        <v>1451</v>
      </c>
      <c r="Q160" s="20" t="s">
        <v>1457</v>
      </c>
      <c r="R160" s="20" t="s">
        <v>84</v>
      </c>
      <c r="S160" s="20">
        <v>5</v>
      </c>
      <c r="T160" s="20" t="s">
        <v>106</v>
      </c>
      <c r="U160" s="20" t="s">
        <v>107</v>
      </c>
      <c r="V160" s="20" t="s">
        <v>87</v>
      </c>
      <c r="W160" s="20">
        <v>514</v>
      </c>
      <c r="X160" s="20">
        <v>514</v>
      </c>
      <c r="Y160" s="20" t="s">
        <v>1882</v>
      </c>
      <c r="Z160" s="20">
        <v>0.33333333333333331</v>
      </c>
      <c r="AA160" s="20" t="s">
        <v>1883</v>
      </c>
      <c r="AB160" s="20" t="s">
        <v>101</v>
      </c>
      <c r="AC160" s="20" t="s">
        <v>102</v>
      </c>
      <c r="AD160" s="20" t="s">
        <v>1884</v>
      </c>
      <c r="AE160" s="20" t="s">
        <v>91</v>
      </c>
      <c r="AF160" s="20">
        <v>0.33333333333333331</v>
      </c>
      <c r="AG160" s="20">
        <v>0</v>
      </c>
      <c r="AH160" s="20">
        <v>1</v>
      </c>
      <c r="AI160" s="7" t="s">
        <v>98</v>
      </c>
      <c r="AJ160" s="20">
        <v>40</v>
      </c>
      <c r="AK160" s="4" t="s">
        <v>1047</v>
      </c>
      <c r="AL160" s="4">
        <v>6</v>
      </c>
      <c r="AM160" s="4" t="s">
        <v>112</v>
      </c>
      <c r="AN160" s="4" t="s">
        <v>95</v>
      </c>
      <c r="AO160" s="4" t="s">
        <v>96</v>
      </c>
      <c r="AP160" s="4">
        <v>1</v>
      </c>
      <c r="AQ160" s="20">
        <v>55000</v>
      </c>
      <c r="AR160" s="4">
        <v>41820</v>
      </c>
      <c r="AS160" s="20">
        <v>5555.5555555555547</v>
      </c>
      <c r="AT160" s="20">
        <v>7868.4800000000014</v>
      </c>
      <c r="AU160" s="20">
        <v>2312.9244444444466</v>
      </c>
      <c r="AV160" s="20">
        <v>202</v>
      </c>
      <c r="AW160" s="20">
        <v>1160</v>
      </c>
      <c r="AX160" s="20">
        <v>20</v>
      </c>
      <c r="AY160" s="20">
        <v>1382</v>
      </c>
      <c r="AZ160" s="20">
        <v>5.2</v>
      </c>
      <c r="BA160" s="20">
        <v>0</v>
      </c>
      <c r="BB160" s="6">
        <v>41771</v>
      </c>
      <c r="BC160" s="6">
        <v>41881</v>
      </c>
      <c r="BD160" s="6">
        <v>41876</v>
      </c>
      <c r="BE160" s="6">
        <v>41876</v>
      </c>
      <c r="BF160" s="6">
        <v>41894</v>
      </c>
      <c r="BG160" s="6">
        <v>41898</v>
      </c>
      <c r="BH160" s="6">
        <v>0</v>
      </c>
      <c r="BI160" s="6">
        <v>0</v>
      </c>
      <c r="BJ160" s="6">
        <v>0</v>
      </c>
      <c r="BK160" s="5" t="s">
        <v>2173</v>
      </c>
      <c r="BL160" s="4" t="s">
        <v>2173</v>
      </c>
      <c r="BM160" s="20">
        <v>40</v>
      </c>
      <c r="BN160" s="20">
        <v>0</v>
      </c>
      <c r="BO160" s="20">
        <v>0</v>
      </c>
      <c r="BP160" s="20">
        <v>0</v>
      </c>
      <c r="BQ160" s="20">
        <v>0</v>
      </c>
      <c r="BR160" s="20">
        <v>0</v>
      </c>
      <c r="BS160" s="20">
        <v>40</v>
      </c>
      <c r="BT160" s="20">
        <v>314739.20000000007</v>
      </c>
      <c r="BU160" s="20">
        <v>2200000</v>
      </c>
      <c r="BV160" s="20">
        <v>6.3544674447923848</v>
      </c>
    </row>
    <row r="161" spans="1:74">
      <c r="A161" s="10">
        <f t="shared" si="10"/>
        <v>0</v>
      </c>
      <c r="B161" s="10">
        <f t="shared" si="11"/>
        <v>0.33333333333333331</v>
      </c>
      <c r="C161" s="12">
        <f t="shared" si="12"/>
        <v>5</v>
      </c>
      <c r="D161" s="12">
        <f t="shared" si="13"/>
        <v>9</v>
      </c>
      <c r="E161" s="20" t="s">
        <v>424</v>
      </c>
      <c r="F161" s="20" t="s">
        <v>1451</v>
      </c>
      <c r="G161" s="20" t="s">
        <v>1853</v>
      </c>
      <c r="H161" s="20" t="s">
        <v>1878</v>
      </c>
      <c r="I161" s="20">
        <v>4</v>
      </c>
      <c r="J161" s="20" t="s">
        <v>1879</v>
      </c>
      <c r="K161" s="20" t="s">
        <v>1886</v>
      </c>
      <c r="L161" s="20" t="s">
        <v>1881</v>
      </c>
      <c r="M161" s="20" t="s">
        <v>1451</v>
      </c>
      <c r="N161" s="20" t="s">
        <v>1413</v>
      </c>
      <c r="P161" s="20" t="s">
        <v>1451</v>
      </c>
      <c r="Q161" s="20" t="s">
        <v>1457</v>
      </c>
      <c r="R161" s="20" t="s">
        <v>84</v>
      </c>
      <c r="S161" s="20">
        <v>5</v>
      </c>
      <c r="T161" s="20" t="s">
        <v>106</v>
      </c>
      <c r="U161" s="20" t="s">
        <v>107</v>
      </c>
      <c r="V161" s="20" t="s">
        <v>87</v>
      </c>
      <c r="W161" s="20">
        <v>514</v>
      </c>
      <c r="X161" s="20">
        <v>514</v>
      </c>
      <c r="Y161" s="20" t="s">
        <v>1882</v>
      </c>
      <c r="Z161" s="20">
        <v>0.33333333333333331</v>
      </c>
      <c r="AA161" s="20" t="s">
        <v>1883</v>
      </c>
      <c r="AB161" s="20" t="s">
        <v>101</v>
      </c>
      <c r="AC161" s="20" t="s">
        <v>102</v>
      </c>
      <c r="AD161" s="20" t="s">
        <v>1884</v>
      </c>
      <c r="AE161" s="20" t="s">
        <v>91</v>
      </c>
      <c r="AF161" s="20">
        <v>0.33333333333333331</v>
      </c>
      <c r="AG161" s="20">
        <v>0</v>
      </c>
      <c r="AH161" s="20">
        <v>1</v>
      </c>
      <c r="AI161" s="7" t="s">
        <v>92</v>
      </c>
      <c r="AJ161" s="20">
        <v>250</v>
      </c>
      <c r="AK161" s="4" t="s">
        <v>1047</v>
      </c>
      <c r="AL161" s="4">
        <v>6</v>
      </c>
      <c r="AM161" s="4" t="s">
        <v>112</v>
      </c>
      <c r="AN161" s="4" t="s">
        <v>95</v>
      </c>
      <c r="AO161" s="4" t="s">
        <v>96</v>
      </c>
      <c r="AP161" s="4">
        <v>1</v>
      </c>
      <c r="AQ161" s="20">
        <v>55000</v>
      </c>
      <c r="AR161" s="4">
        <v>41820</v>
      </c>
      <c r="AS161" s="20">
        <v>5555.5555555555547</v>
      </c>
      <c r="AT161" s="20">
        <v>7868.4800000000014</v>
      </c>
      <c r="AU161" s="20">
        <v>2312.9244444444466</v>
      </c>
      <c r="AV161" s="20">
        <v>202</v>
      </c>
      <c r="AW161" s="20">
        <v>1160</v>
      </c>
      <c r="AX161" s="20">
        <v>20</v>
      </c>
      <c r="AY161" s="20">
        <v>1382</v>
      </c>
      <c r="AZ161" s="20">
        <v>5.2</v>
      </c>
      <c r="BA161" s="20">
        <v>0</v>
      </c>
      <c r="BB161" s="6">
        <v>41771</v>
      </c>
      <c r="BC161" s="6">
        <v>41881</v>
      </c>
      <c r="BD161" s="6">
        <v>41876</v>
      </c>
      <c r="BE161" s="6">
        <v>41876</v>
      </c>
      <c r="BF161" s="6">
        <v>41894</v>
      </c>
      <c r="BG161" s="6">
        <v>41898</v>
      </c>
      <c r="BH161" s="6">
        <v>0</v>
      </c>
      <c r="BI161" s="6">
        <v>0</v>
      </c>
      <c r="BJ161" s="6">
        <v>0</v>
      </c>
      <c r="BK161" s="5" t="s">
        <v>2173</v>
      </c>
      <c r="BL161" s="4" t="s">
        <v>2173</v>
      </c>
      <c r="BM161" s="20">
        <v>248</v>
      </c>
      <c r="BN161" s="20">
        <v>0</v>
      </c>
      <c r="BO161" s="20">
        <v>0</v>
      </c>
      <c r="BP161" s="20">
        <v>0</v>
      </c>
      <c r="BQ161" s="20">
        <v>0</v>
      </c>
      <c r="BR161" s="20">
        <v>0</v>
      </c>
      <c r="BS161" s="20">
        <v>250</v>
      </c>
      <c r="BT161" s="20">
        <v>1967120.0000000002</v>
      </c>
      <c r="BU161" s="20">
        <v>13750000</v>
      </c>
      <c r="BV161" s="20">
        <v>6.3544674447923857</v>
      </c>
    </row>
    <row r="162" spans="1:74">
      <c r="A162" s="10">
        <f t="shared" si="10"/>
        <v>0</v>
      </c>
      <c r="B162" s="10">
        <f t="shared" si="11"/>
        <v>0</v>
      </c>
      <c r="C162" s="12" t="str">
        <f t="shared" si="12"/>
        <v/>
      </c>
      <c r="D162" s="12" t="str">
        <f t="shared" si="13"/>
        <v/>
      </c>
      <c r="E162" s="20" t="s">
        <v>91</v>
      </c>
      <c r="F162" s="20" t="s">
        <v>91</v>
      </c>
      <c r="G162" s="20" t="s">
        <v>91</v>
      </c>
      <c r="H162" s="20" t="s">
        <v>91</v>
      </c>
      <c r="I162" s="20">
        <v>0</v>
      </c>
      <c r="J162" s="20" t="s">
        <v>103</v>
      </c>
      <c r="K162" s="20" t="s">
        <v>104</v>
      </c>
      <c r="L162" s="20">
        <v>0</v>
      </c>
      <c r="M162" s="20" t="s">
        <v>105</v>
      </c>
      <c r="N162" s="20" t="s">
        <v>91</v>
      </c>
      <c r="O162" s="20" t="s">
        <v>1887</v>
      </c>
      <c r="Q162" s="20" t="s">
        <v>91</v>
      </c>
      <c r="R162" s="20" t="s">
        <v>91</v>
      </c>
      <c r="S162" s="20" t="s">
        <v>91</v>
      </c>
      <c r="U162" s="20" t="s">
        <v>91</v>
      </c>
      <c r="X162" s="20" t="s">
        <v>91</v>
      </c>
      <c r="Y162" s="20" t="s">
        <v>91</v>
      </c>
      <c r="Z162" s="20">
        <v>3.0000000000000009</v>
      </c>
      <c r="AB162" s="20" t="s">
        <v>91</v>
      </c>
      <c r="AD162" s="20" t="s">
        <v>91</v>
      </c>
      <c r="AE162" s="20" t="s">
        <v>91</v>
      </c>
      <c r="AF162" s="20">
        <v>4</v>
      </c>
      <c r="AG162" s="20">
        <v>0</v>
      </c>
      <c r="AH162" s="20">
        <v>1</v>
      </c>
      <c r="AI162" s="7"/>
      <c r="AJ162" s="20">
        <v>1720</v>
      </c>
      <c r="AM162" s="4" t="s">
        <v>91</v>
      </c>
      <c r="AP162" s="4" t="s">
        <v>91</v>
      </c>
      <c r="AQ162" s="20">
        <v>0</v>
      </c>
      <c r="AR162" s="4">
        <v>0</v>
      </c>
      <c r="AW162" s="20">
        <v>0</v>
      </c>
      <c r="AX162" s="20" t="s">
        <v>91</v>
      </c>
      <c r="AY162" s="20">
        <v>0</v>
      </c>
      <c r="AZ162" s="20">
        <v>7234</v>
      </c>
      <c r="BA162" s="20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0</v>
      </c>
      <c r="BG162" s="6">
        <v>0</v>
      </c>
      <c r="BH162" s="6">
        <v>0</v>
      </c>
      <c r="BI162" s="6">
        <v>0</v>
      </c>
      <c r="BJ162" s="6">
        <v>0</v>
      </c>
      <c r="BK162" s="5">
        <v>0</v>
      </c>
      <c r="BL162" s="4">
        <v>0</v>
      </c>
      <c r="BM162" s="20">
        <v>1488</v>
      </c>
      <c r="BN162" s="20">
        <v>250</v>
      </c>
      <c r="BO162" s="20">
        <v>0</v>
      </c>
      <c r="BP162" s="20">
        <v>0</v>
      </c>
      <c r="BQ162" s="20">
        <v>0</v>
      </c>
      <c r="BR162" s="20">
        <v>0</v>
      </c>
      <c r="BS162" s="20">
        <v>1720</v>
      </c>
      <c r="BT162" s="20">
        <v>11173031.6</v>
      </c>
      <c r="BU162" s="20">
        <v>81100000</v>
      </c>
      <c r="BV162" s="20">
        <v>6.598681124939513</v>
      </c>
    </row>
    <row r="163" spans="1:74">
      <c r="A163" s="10">
        <f t="shared" si="10"/>
        <v>0</v>
      </c>
      <c r="B163" s="10">
        <f t="shared" si="11"/>
        <v>0</v>
      </c>
      <c r="C163" s="12">
        <f t="shared" si="12"/>
        <v>5</v>
      </c>
      <c r="D163" s="12">
        <f t="shared" si="13"/>
        <v>10</v>
      </c>
      <c r="E163" s="20" t="s">
        <v>424</v>
      </c>
      <c r="F163" s="20" t="s">
        <v>1451</v>
      </c>
      <c r="G163" s="20" t="s">
        <v>1888</v>
      </c>
      <c r="H163" s="20" t="s">
        <v>1889</v>
      </c>
      <c r="I163" s="20">
        <v>1</v>
      </c>
      <c r="J163" s="20" t="s">
        <v>1890</v>
      </c>
      <c r="K163" s="20" t="s">
        <v>1891</v>
      </c>
      <c r="L163" s="20" t="s">
        <v>1892</v>
      </c>
      <c r="M163" s="20" t="s">
        <v>1451</v>
      </c>
      <c r="N163" s="20" t="s">
        <v>1413</v>
      </c>
      <c r="P163" s="20" t="s">
        <v>1451</v>
      </c>
      <c r="Q163" s="20" t="s">
        <v>1457</v>
      </c>
      <c r="R163" s="20" t="s">
        <v>84</v>
      </c>
      <c r="S163" s="20">
        <v>5</v>
      </c>
      <c r="T163" s="20" t="s">
        <v>124</v>
      </c>
      <c r="U163" s="20" t="s">
        <v>125</v>
      </c>
      <c r="V163" s="20" t="s">
        <v>87</v>
      </c>
      <c r="W163" s="20">
        <v>505</v>
      </c>
      <c r="X163" s="20">
        <v>505</v>
      </c>
      <c r="Y163" s="20" t="s">
        <v>1893</v>
      </c>
      <c r="Z163" s="20">
        <v>0.33333333333333331</v>
      </c>
      <c r="AA163" s="20" t="s">
        <v>1894</v>
      </c>
      <c r="AB163" s="20" t="s">
        <v>457</v>
      </c>
      <c r="AC163" s="20" t="s">
        <v>458</v>
      </c>
      <c r="AD163" s="20" t="s">
        <v>1895</v>
      </c>
      <c r="AE163" s="20" t="s">
        <v>91</v>
      </c>
      <c r="AF163" s="20">
        <v>0.33333333333333331</v>
      </c>
      <c r="AG163" s="20">
        <v>0</v>
      </c>
      <c r="AH163" s="20">
        <v>1</v>
      </c>
      <c r="AI163" s="7" t="s">
        <v>97</v>
      </c>
      <c r="AJ163" s="20">
        <v>100</v>
      </c>
      <c r="AK163" s="4" t="s">
        <v>111</v>
      </c>
      <c r="AL163" s="4">
        <v>17</v>
      </c>
      <c r="AM163" s="4">
        <v>17</v>
      </c>
      <c r="AN163" s="4" t="s">
        <v>95</v>
      </c>
      <c r="AO163" s="4" t="s">
        <v>96</v>
      </c>
      <c r="AP163" s="4">
        <v>1</v>
      </c>
      <c r="AQ163" s="20">
        <v>49000</v>
      </c>
      <c r="AR163" s="4">
        <v>41820</v>
      </c>
      <c r="AS163" s="20">
        <v>7424.242424242424</v>
      </c>
      <c r="AT163" s="20">
        <v>7292.26</v>
      </c>
      <c r="AU163" s="20">
        <v>-131.9824242424238</v>
      </c>
      <c r="AV163" s="20">
        <v>0</v>
      </c>
      <c r="AW163" s="20">
        <v>1160</v>
      </c>
      <c r="AX163" s="20">
        <v>20</v>
      </c>
      <c r="AY163" s="20">
        <v>1180</v>
      </c>
      <c r="AZ163" s="20">
        <v>4.9000000000000004</v>
      </c>
      <c r="BA163" s="20">
        <v>0</v>
      </c>
      <c r="BB163" s="6">
        <v>41771</v>
      </c>
      <c r="BC163" s="6">
        <v>0</v>
      </c>
      <c r="BD163" s="6">
        <v>41876</v>
      </c>
      <c r="BE163" s="6">
        <v>41876</v>
      </c>
      <c r="BF163" s="6">
        <v>41932</v>
      </c>
      <c r="BG163" s="6">
        <v>0</v>
      </c>
      <c r="BH163" s="6">
        <v>0</v>
      </c>
      <c r="BI163" s="6">
        <v>0</v>
      </c>
      <c r="BJ163" s="6">
        <v>0</v>
      </c>
      <c r="BK163" s="5" t="s">
        <v>2173</v>
      </c>
      <c r="BL163" s="4" t="s">
        <v>2173</v>
      </c>
      <c r="BM163" s="20">
        <v>100</v>
      </c>
      <c r="BN163" s="20">
        <v>0</v>
      </c>
      <c r="BO163" s="20">
        <v>0</v>
      </c>
      <c r="BP163" s="20">
        <v>0</v>
      </c>
      <c r="BQ163" s="20">
        <v>0</v>
      </c>
      <c r="BR163" s="20">
        <v>0</v>
      </c>
      <c r="BS163" s="20">
        <v>100</v>
      </c>
      <c r="BT163" s="20">
        <v>729226</v>
      </c>
      <c r="BU163" s="20">
        <v>4900000</v>
      </c>
      <c r="BV163" s="20">
        <v>6.108593844083253</v>
      </c>
    </row>
    <row r="164" spans="1:74">
      <c r="A164" s="10">
        <f t="shared" si="10"/>
        <v>0</v>
      </c>
      <c r="B164" s="10">
        <f t="shared" si="11"/>
        <v>0</v>
      </c>
      <c r="C164" s="12">
        <f t="shared" si="12"/>
        <v>5</v>
      </c>
      <c r="D164" s="12">
        <f t="shared" si="13"/>
        <v>10</v>
      </c>
      <c r="E164" s="20" t="s">
        <v>424</v>
      </c>
      <c r="F164" s="20" t="s">
        <v>1451</v>
      </c>
      <c r="G164" s="20" t="s">
        <v>1888</v>
      </c>
      <c r="H164" s="20" t="s">
        <v>1889</v>
      </c>
      <c r="I164" s="20">
        <v>1</v>
      </c>
      <c r="J164" s="20" t="s">
        <v>1890</v>
      </c>
      <c r="K164" s="20" t="s">
        <v>1896</v>
      </c>
      <c r="L164" s="20" t="s">
        <v>1892</v>
      </c>
      <c r="M164" s="20" t="s">
        <v>1451</v>
      </c>
      <c r="N164" s="20" t="s">
        <v>1413</v>
      </c>
      <c r="P164" s="20" t="s">
        <v>1451</v>
      </c>
      <c r="Q164" s="20" t="s">
        <v>1457</v>
      </c>
      <c r="R164" s="20" t="s">
        <v>84</v>
      </c>
      <c r="S164" s="20">
        <v>5</v>
      </c>
      <c r="T164" s="20" t="s">
        <v>124</v>
      </c>
      <c r="U164" s="20" t="s">
        <v>125</v>
      </c>
      <c r="V164" s="20" t="s">
        <v>87</v>
      </c>
      <c r="W164" s="20">
        <v>505</v>
      </c>
      <c r="X164" s="20">
        <v>505</v>
      </c>
      <c r="Y164" s="20" t="s">
        <v>1893</v>
      </c>
      <c r="Z164" s="20">
        <v>0.33333333333333331</v>
      </c>
      <c r="AA164" s="20" t="s">
        <v>1894</v>
      </c>
      <c r="AB164" s="20" t="s">
        <v>457</v>
      </c>
      <c r="AC164" s="20" t="s">
        <v>458</v>
      </c>
      <c r="AD164" s="20" t="s">
        <v>1895</v>
      </c>
      <c r="AE164" s="20" t="s">
        <v>91</v>
      </c>
      <c r="AF164" s="20">
        <v>0.33333333333333331</v>
      </c>
      <c r="AG164" s="20">
        <v>0</v>
      </c>
      <c r="AH164" s="20">
        <v>1</v>
      </c>
      <c r="AI164" s="7" t="s">
        <v>98</v>
      </c>
      <c r="AJ164" s="20">
        <v>50</v>
      </c>
      <c r="AK164" s="4" t="s">
        <v>111</v>
      </c>
      <c r="AL164" s="4">
        <v>17</v>
      </c>
      <c r="AM164" s="4">
        <v>17</v>
      </c>
      <c r="AN164" s="4" t="s">
        <v>95</v>
      </c>
      <c r="AO164" s="4" t="s">
        <v>96</v>
      </c>
      <c r="AP164" s="4">
        <v>1</v>
      </c>
      <c r="AQ164" s="20">
        <v>49000</v>
      </c>
      <c r="AR164" s="4">
        <v>41820</v>
      </c>
      <c r="AS164" s="20">
        <v>7424.242424242424</v>
      </c>
      <c r="AT164" s="20">
        <v>7292.26</v>
      </c>
      <c r="AU164" s="20">
        <v>-131.9824242424238</v>
      </c>
      <c r="AV164" s="20">
        <v>0</v>
      </c>
      <c r="AW164" s="20">
        <v>1160</v>
      </c>
      <c r="AX164" s="20">
        <v>20</v>
      </c>
      <c r="AY164" s="20">
        <v>1180</v>
      </c>
      <c r="AZ164" s="20">
        <v>4.9000000000000004</v>
      </c>
      <c r="BA164" s="20">
        <v>0</v>
      </c>
      <c r="BB164" s="6">
        <v>41771</v>
      </c>
      <c r="BC164" s="6">
        <v>0</v>
      </c>
      <c r="BD164" s="6">
        <v>41876</v>
      </c>
      <c r="BE164" s="6">
        <v>41876</v>
      </c>
      <c r="BF164" s="6">
        <v>41932</v>
      </c>
      <c r="BG164" s="6">
        <v>0</v>
      </c>
      <c r="BH164" s="6">
        <v>0</v>
      </c>
      <c r="BI164" s="6">
        <v>0</v>
      </c>
      <c r="BJ164" s="6">
        <v>0</v>
      </c>
      <c r="BK164" s="5" t="s">
        <v>2173</v>
      </c>
      <c r="BL164" s="4" t="s">
        <v>2173</v>
      </c>
      <c r="BM164" s="20">
        <v>49</v>
      </c>
      <c r="BN164" s="20">
        <v>0</v>
      </c>
      <c r="BO164" s="20">
        <v>0</v>
      </c>
      <c r="BP164" s="20">
        <v>0</v>
      </c>
      <c r="BQ164" s="20">
        <v>0</v>
      </c>
      <c r="BR164" s="20">
        <v>0</v>
      </c>
      <c r="BS164" s="20">
        <v>50</v>
      </c>
      <c r="BT164" s="20">
        <v>364613</v>
      </c>
      <c r="BU164" s="20">
        <v>2450000</v>
      </c>
      <c r="BV164" s="20">
        <v>6.108593844083253</v>
      </c>
    </row>
    <row r="165" spans="1:74">
      <c r="A165" s="10">
        <f t="shared" si="10"/>
        <v>0</v>
      </c>
      <c r="B165" s="10">
        <f t="shared" si="11"/>
        <v>0</v>
      </c>
      <c r="C165" s="12">
        <f t="shared" si="12"/>
        <v>5</v>
      </c>
      <c r="D165" s="12">
        <f t="shared" si="13"/>
        <v>10</v>
      </c>
      <c r="E165" s="20" t="s">
        <v>424</v>
      </c>
      <c r="F165" s="20" t="s">
        <v>1451</v>
      </c>
      <c r="G165" s="20" t="s">
        <v>1888</v>
      </c>
      <c r="H165" s="20" t="s">
        <v>1889</v>
      </c>
      <c r="I165" s="20">
        <v>1</v>
      </c>
      <c r="J165" s="20" t="s">
        <v>1890</v>
      </c>
      <c r="K165" s="20" t="s">
        <v>1897</v>
      </c>
      <c r="L165" s="20" t="s">
        <v>1892</v>
      </c>
      <c r="M165" s="20" t="s">
        <v>1451</v>
      </c>
      <c r="N165" s="20" t="s">
        <v>1413</v>
      </c>
      <c r="P165" s="20" t="s">
        <v>1451</v>
      </c>
      <c r="Q165" s="20" t="s">
        <v>1457</v>
      </c>
      <c r="R165" s="20" t="s">
        <v>84</v>
      </c>
      <c r="S165" s="20">
        <v>5</v>
      </c>
      <c r="T165" s="20" t="s">
        <v>124</v>
      </c>
      <c r="U165" s="20" t="s">
        <v>125</v>
      </c>
      <c r="V165" s="20" t="s">
        <v>87</v>
      </c>
      <c r="W165" s="20">
        <v>505</v>
      </c>
      <c r="X165" s="20">
        <v>505</v>
      </c>
      <c r="Y165" s="20" t="s">
        <v>1893</v>
      </c>
      <c r="Z165" s="20">
        <v>0.33333333333333331</v>
      </c>
      <c r="AA165" s="20" t="s">
        <v>1894</v>
      </c>
      <c r="AB165" s="20" t="s">
        <v>457</v>
      </c>
      <c r="AC165" s="20" t="s">
        <v>458</v>
      </c>
      <c r="AD165" s="20" t="s">
        <v>1895</v>
      </c>
      <c r="AE165" s="20" t="s">
        <v>91</v>
      </c>
      <c r="AF165" s="20">
        <v>0.33333333333333331</v>
      </c>
      <c r="AG165" s="20">
        <v>0</v>
      </c>
      <c r="AH165" s="20">
        <v>1</v>
      </c>
      <c r="AI165" s="7" t="s">
        <v>92</v>
      </c>
      <c r="AJ165" s="20">
        <v>300</v>
      </c>
      <c r="AK165" s="4" t="s">
        <v>111</v>
      </c>
      <c r="AL165" s="4">
        <v>17</v>
      </c>
      <c r="AM165" s="4">
        <v>17</v>
      </c>
      <c r="AN165" s="4" t="s">
        <v>95</v>
      </c>
      <c r="AO165" s="4" t="s">
        <v>96</v>
      </c>
      <c r="AP165" s="4">
        <v>1</v>
      </c>
      <c r="AQ165" s="20">
        <v>49000</v>
      </c>
      <c r="AR165" s="4">
        <v>41820</v>
      </c>
      <c r="AS165" s="20">
        <v>7424.242424242424</v>
      </c>
      <c r="AT165" s="20">
        <v>7292.26</v>
      </c>
      <c r="AU165" s="20">
        <v>-131.9824242424238</v>
      </c>
      <c r="AV165" s="20">
        <v>0</v>
      </c>
      <c r="AW165" s="20">
        <v>1160</v>
      </c>
      <c r="AX165" s="20">
        <v>20</v>
      </c>
      <c r="AY165" s="20">
        <v>1180</v>
      </c>
      <c r="AZ165" s="20">
        <v>4.9000000000000004</v>
      </c>
      <c r="BA165" s="20">
        <v>0</v>
      </c>
      <c r="BB165" s="6">
        <v>41771</v>
      </c>
      <c r="BC165" s="6">
        <v>0</v>
      </c>
      <c r="BD165" s="6">
        <v>41876</v>
      </c>
      <c r="BE165" s="6">
        <v>41876</v>
      </c>
      <c r="BF165" s="6">
        <v>41932</v>
      </c>
      <c r="BG165" s="6">
        <v>0</v>
      </c>
      <c r="BH165" s="6">
        <v>0</v>
      </c>
      <c r="BI165" s="6">
        <v>0</v>
      </c>
      <c r="BJ165" s="6">
        <v>0</v>
      </c>
      <c r="BK165" s="5" t="s">
        <v>2173</v>
      </c>
      <c r="BL165" s="4" t="s">
        <v>2173</v>
      </c>
      <c r="BM165" s="20">
        <v>300</v>
      </c>
      <c r="BN165" s="20">
        <v>0</v>
      </c>
      <c r="BO165" s="20">
        <v>0</v>
      </c>
      <c r="BP165" s="20">
        <v>0</v>
      </c>
      <c r="BQ165" s="20">
        <v>0</v>
      </c>
      <c r="BR165" s="20">
        <v>0</v>
      </c>
      <c r="BS165" s="20">
        <v>300</v>
      </c>
      <c r="BT165" s="20">
        <v>2187678</v>
      </c>
      <c r="BU165" s="20">
        <v>14700000</v>
      </c>
      <c r="BV165" s="20">
        <v>6.108593844083253</v>
      </c>
    </row>
    <row r="166" spans="1:74">
      <c r="A166" s="10">
        <f t="shared" si="10"/>
        <v>0</v>
      </c>
      <c r="B166" s="10">
        <f t="shared" si="11"/>
        <v>0</v>
      </c>
      <c r="C166" s="12">
        <f t="shared" si="12"/>
        <v>5</v>
      </c>
      <c r="D166" s="12">
        <f t="shared" si="13"/>
        <v>10</v>
      </c>
      <c r="E166" s="20" t="s">
        <v>424</v>
      </c>
      <c r="F166" s="20" t="s">
        <v>1451</v>
      </c>
      <c r="G166" s="20" t="s">
        <v>1888</v>
      </c>
      <c r="H166" s="20" t="s">
        <v>1898</v>
      </c>
      <c r="I166" s="20">
        <v>2</v>
      </c>
      <c r="J166" s="20" t="s">
        <v>1899</v>
      </c>
      <c r="K166" s="20" t="s">
        <v>1900</v>
      </c>
      <c r="L166" s="20" t="s">
        <v>1495</v>
      </c>
      <c r="M166" s="20" t="s">
        <v>1451</v>
      </c>
      <c r="N166" s="20" t="s">
        <v>1413</v>
      </c>
      <c r="P166" s="20" t="s">
        <v>1451</v>
      </c>
      <c r="Q166" s="20" t="s">
        <v>1457</v>
      </c>
      <c r="R166" s="20" t="s">
        <v>84</v>
      </c>
      <c r="S166" s="20">
        <v>5</v>
      </c>
      <c r="T166" s="20" t="s">
        <v>124</v>
      </c>
      <c r="U166" s="20" t="s">
        <v>125</v>
      </c>
      <c r="V166" s="20" t="s">
        <v>87</v>
      </c>
      <c r="W166" s="20">
        <v>506</v>
      </c>
      <c r="X166" s="20">
        <v>506</v>
      </c>
      <c r="Y166" s="20" t="s">
        <v>1901</v>
      </c>
      <c r="Z166" s="20">
        <v>0.33333333333333331</v>
      </c>
      <c r="AA166" s="20" t="s">
        <v>1902</v>
      </c>
      <c r="AB166" s="20" t="s">
        <v>101</v>
      </c>
      <c r="AC166" s="20" t="s">
        <v>102</v>
      </c>
      <c r="AD166" s="20" t="s">
        <v>1903</v>
      </c>
      <c r="AE166" s="20" t="s">
        <v>91</v>
      </c>
      <c r="AF166" s="20">
        <v>0.33333333333333331</v>
      </c>
      <c r="AG166" s="20">
        <v>0</v>
      </c>
      <c r="AH166" s="20">
        <v>1</v>
      </c>
      <c r="AI166" s="7" t="s">
        <v>97</v>
      </c>
      <c r="AJ166" s="20">
        <v>100</v>
      </c>
      <c r="AK166" s="4" t="s">
        <v>111</v>
      </c>
      <c r="AL166" s="4">
        <v>17</v>
      </c>
      <c r="AM166" s="4">
        <v>17</v>
      </c>
      <c r="AN166" s="4" t="s">
        <v>95</v>
      </c>
      <c r="AO166" s="4" t="s">
        <v>96</v>
      </c>
      <c r="AP166" s="4">
        <v>1</v>
      </c>
      <c r="AQ166" s="20">
        <v>49000</v>
      </c>
      <c r="AR166" s="4">
        <v>41820</v>
      </c>
      <c r="AS166" s="20">
        <v>7424.242424242424</v>
      </c>
      <c r="AT166" s="20">
        <v>7292.26</v>
      </c>
      <c r="AU166" s="20">
        <v>-131.9824242424238</v>
      </c>
      <c r="AV166" s="20">
        <v>0</v>
      </c>
      <c r="AW166" s="20">
        <v>1160</v>
      </c>
      <c r="AX166" s="20">
        <v>20</v>
      </c>
      <c r="AY166" s="20">
        <v>1180</v>
      </c>
      <c r="AZ166" s="20">
        <v>4.9000000000000004</v>
      </c>
      <c r="BA166" s="20">
        <v>0</v>
      </c>
      <c r="BB166" s="6">
        <v>41771</v>
      </c>
      <c r="BC166" s="6">
        <v>0</v>
      </c>
      <c r="BD166" s="6">
        <v>41876</v>
      </c>
      <c r="BE166" s="6">
        <v>41876</v>
      </c>
      <c r="BF166" s="6">
        <v>41932</v>
      </c>
      <c r="BG166" s="6">
        <v>0</v>
      </c>
      <c r="BH166" s="6">
        <v>0</v>
      </c>
      <c r="BI166" s="6">
        <v>0</v>
      </c>
      <c r="BJ166" s="6">
        <v>0</v>
      </c>
      <c r="BK166" s="5" t="s">
        <v>2173</v>
      </c>
      <c r="BL166" s="4" t="s">
        <v>2173</v>
      </c>
      <c r="BM166" s="20">
        <v>100</v>
      </c>
      <c r="BN166" s="20">
        <v>0</v>
      </c>
      <c r="BO166" s="20">
        <v>0</v>
      </c>
      <c r="BP166" s="20">
        <v>0</v>
      </c>
      <c r="BQ166" s="20">
        <v>0</v>
      </c>
      <c r="BR166" s="20">
        <v>0</v>
      </c>
      <c r="BS166" s="20">
        <v>100</v>
      </c>
      <c r="BT166" s="20">
        <v>729226</v>
      </c>
      <c r="BU166" s="20">
        <v>4900000</v>
      </c>
      <c r="BV166" s="20">
        <v>6.108593844083253</v>
      </c>
    </row>
    <row r="167" spans="1:74">
      <c r="A167" s="10">
        <f t="shared" si="10"/>
        <v>0</v>
      </c>
      <c r="B167" s="10">
        <f t="shared" si="11"/>
        <v>0</v>
      </c>
      <c r="C167" s="12">
        <f t="shared" si="12"/>
        <v>5</v>
      </c>
      <c r="D167" s="12">
        <f t="shared" si="13"/>
        <v>10</v>
      </c>
      <c r="E167" s="20" t="s">
        <v>424</v>
      </c>
      <c r="F167" s="20" t="s">
        <v>1451</v>
      </c>
      <c r="G167" s="20" t="s">
        <v>1888</v>
      </c>
      <c r="H167" s="20" t="s">
        <v>1898</v>
      </c>
      <c r="I167" s="20">
        <v>2</v>
      </c>
      <c r="J167" s="20" t="s">
        <v>1899</v>
      </c>
      <c r="K167" s="20" t="s">
        <v>1904</v>
      </c>
      <c r="L167" s="20" t="s">
        <v>1495</v>
      </c>
      <c r="M167" s="20" t="s">
        <v>1451</v>
      </c>
      <c r="N167" s="20" t="s">
        <v>1413</v>
      </c>
      <c r="P167" s="20" t="s">
        <v>1451</v>
      </c>
      <c r="Q167" s="20" t="s">
        <v>1457</v>
      </c>
      <c r="R167" s="20" t="s">
        <v>84</v>
      </c>
      <c r="S167" s="20">
        <v>5</v>
      </c>
      <c r="T167" s="20" t="s">
        <v>124</v>
      </c>
      <c r="U167" s="20" t="s">
        <v>125</v>
      </c>
      <c r="V167" s="20" t="s">
        <v>87</v>
      </c>
      <c r="W167" s="20">
        <v>506</v>
      </c>
      <c r="X167" s="20">
        <v>506</v>
      </c>
      <c r="Y167" s="20" t="s">
        <v>1901</v>
      </c>
      <c r="Z167" s="20">
        <v>0.33333333333333331</v>
      </c>
      <c r="AA167" s="20" t="s">
        <v>1902</v>
      </c>
      <c r="AB167" s="20" t="s">
        <v>101</v>
      </c>
      <c r="AC167" s="20" t="s">
        <v>102</v>
      </c>
      <c r="AD167" s="20" t="s">
        <v>1903</v>
      </c>
      <c r="AE167" s="20" t="s">
        <v>91</v>
      </c>
      <c r="AF167" s="20">
        <v>0.33333333333333331</v>
      </c>
      <c r="AG167" s="20">
        <v>0</v>
      </c>
      <c r="AH167" s="20">
        <v>1</v>
      </c>
      <c r="AI167" s="7" t="s">
        <v>98</v>
      </c>
      <c r="AJ167" s="20">
        <v>50</v>
      </c>
      <c r="AK167" s="4" t="s">
        <v>111</v>
      </c>
      <c r="AL167" s="4">
        <v>17</v>
      </c>
      <c r="AM167" s="4">
        <v>17</v>
      </c>
      <c r="AN167" s="4" t="s">
        <v>95</v>
      </c>
      <c r="AO167" s="4" t="s">
        <v>96</v>
      </c>
      <c r="AP167" s="4">
        <v>1</v>
      </c>
      <c r="AQ167" s="20">
        <v>49000</v>
      </c>
      <c r="AR167" s="4">
        <v>41820</v>
      </c>
      <c r="AS167" s="20">
        <v>7424.242424242424</v>
      </c>
      <c r="AT167" s="20">
        <v>7292.26</v>
      </c>
      <c r="AU167" s="20">
        <v>-131.9824242424238</v>
      </c>
      <c r="AV167" s="20">
        <v>0</v>
      </c>
      <c r="AW167" s="20">
        <v>1160</v>
      </c>
      <c r="AX167" s="20">
        <v>20</v>
      </c>
      <c r="AY167" s="20">
        <v>1180</v>
      </c>
      <c r="AZ167" s="20">
        <v>4.9000000000000004</v>
      </c>
      <c r="BA167" s="20">
        <v>0</v>
      </c>
      <c r="BB167" s="6">
        <v>41771</v>
      </c>
      <c r="BC167" s="6">
        <v>0</v>
      </c>
      <c r="BD167" s="6">
        <v>41876</v>
      </c>
      <c r="BE167" s="6">
        <v>41876</v>
      </c>
      <c r="BF167" s="6">
        <v>41932</v>
      </c>
      <c r="BG167" s="6">
        <v>0</v>
      </c>
      <c r="BH167" s="6">
        <v>0</v>
      </c>
      <c r="BI167" s="6">
        <v>0</v>
      </c>
      <c r="BJ167" s="6">
        <v>0</v>
      </c>
      <c r="BK167" s="5" t="s">
        <v>2173</v>
      </c>
      <c r="BL167" s="4" t="s">
        <v>2173</v>
      </c>
      <c r="BM167" s="20">
        <v>50</v>
      </c>
      <c r="BN167" s="20">
        <v>0</v>
      </c>
      <c r="BO167" s="20">
        <v>0</v>
      </c>
      <c r="BP167" s="20">
        <v>0</v>
      </c>
      <c r="BQ167" s="20">
        <v>0</v>
      </c>
      <c r="BR167" s="20">
        <v>0</v>
      </c>
      <c r="BS167" s="20">
        <v>50</v>
      </c>
      <c r="BT167" s="20">
        <v>364613</v>
      </c>
      <c r="BU167" s="20">
        <v>2450000</v>
      </c>
      <c r="BV167" s="20">
        <v>6.108593844083253</v>
      </c>
    </row>
    <row r="168" spans="1:74">
      <c r="A168" s="10">
        <f t="shared" si="10"/>
        <v>0</v>
      </c>
      <c r="B168" s="10">
        <f t="shared" si="11"/>
        <v>0</v>
      </c>
      <c r="C168" s="12">
        <f t="shared" si="12"/>
        <v>5</v>
      </c>
      <c r="D168" s="12">
        <f t="shared" si="13"/>
        <v>10</v>
      </c>
      <c r="E168" s="20" t="s">
        <v>424</v>
      </c>
      <c r="F168" s="20" t="s">
        <v>1451</v>
      </c>
      <c r="G168" s="20" t="s">
        <v>1888</v>
      </c>
      <c r="H168" s="20" t="s">
        <v>1898</v>
      </c>
      <c r="I168" s="20">
        <v>2</v>
      </c>
      <c r="J168" s="20" t="s">
        <v>1899</v>
      </c>
      <c r="K168" s="20" t="s">
        <v>1905</v>
      </c>
      <c r="L168" s="20" t="s">
        <v>1495</v>
      </c>
      <c r="M168" s="20" t="s">
        <v>1451</v>
      </c>
      <c r="N168" s="20" t="s">
        <v>1413</v>
      </c>
      <c r="P168" s="20" t="s">
        <v>1451</v>
      </c>
      <c r="Q168" s="20" t="s">
        <v>1457</v>
      </c>
      <c r="R168" s="20" t="s">
        <v>84</v>
      </c>
      <c r="S168" s="20">
        <v>5</v>
      </c>
      <c r="T168" s="20" t="s">
        <v>124</v>
      </c>
      <c r="U168" s="20" t="s">
        <v>125</v>
      </c>
      <c r="V168" s="20" t="s">
        <v>87</v>
      </c>
      <c r="W168" s="20">
        <v>506</v>
      </c>
      <c r="X168" s="20">
        <v>506</v>
      </c>
      <c r="Y168" s="20" t="s">
        <v>1901</v>
      </c>
      <c r="Z168" s="20">
        <v>0.33333333333333331</v>
      </c>
      <c r="AA168" s="20" t="s">
        <v>1902</v>
      </c>
      <c r="AB168" s="20" t="s">
        <v>101</v>
      </c>
      <c r="AC168" s="20" t="s">
        <v>102</v>
      </c>
      <c r="AD168" s="20" t="s">
        <v>1903</v>
      </c>
      <c r="AE168" s="20" t="s">
        <v>91</v>
      </c>
      <c r="AF168" s="20">
        <v>0.33333333333333331</v>
      </c>
      <c r="AG168" s="20">
        <v>0</v>
      </c>
      <c r="AH168" s="20">
        <v>1</v>
      </c>
      <c r="AI168" s="7" t="s">
        <v>92</v>
      </c>
      <c r="AJ168" s="20">
        <v>300</v>
      </c>
      <c r="AK168" s="4" t="s">
        <v>111</v>
      </c>
      <c r="AL168" s="4">
        <v>17</v>
      </c>
      <c r="AM168" s="4">
        <v>17</v>
      </c>
      <c r="AN168" s="4" t="s">
        <v>95</v>
      </c>
      <c r="AO168" s="4" t="s">
        <v>96</v>
      </c>
      <c r="AP168" s="4">
        <v>1</v>
      </c>
      <c r="AQ168" s="20">
        <v>49000</v>
      </c>
      <c r="AR168" s="4">
        <v>41820</v>
      </c>
      <c r="AS168" s="20">
        <v>7424.242424242424</v>
      </c>
      <c r="AT168" s="20">
        <v>7292.26</v>
      </c>
      <c r="AU168" s="20">
        <v>-131.9824242424238</v>
      </c>
      <c r="AV168" s="20">
        <v>0</v>
      </c>
      <c r="AW168" s="20">
        <v>1160</v>
      </c>
      <c r="AX168" s="20">
        <v>20</v>
      </c>
      <c r="AY168" s="20">
        <v>1180</v>
      </c>
      <c r="AZ168" s="20">
        <v>4.9000000000000004</v>
      </c>
      <c r="BA168" s="20">
        <v>0</v>
      </c>
      <c r="BB168" s="6">
        <v>41771</v>
      </c>
      <c r="BC168" s="6">
        <v>0</v>
      </c>
      <c r="BD168" s="6">
        <v>41876</v>
      </c>
      <c r="BE168" s="6">
        <v>41876</v>
      </c>
      <c r="BF168" s="6">
        <v>41932</v>
      </c>
      <c r="BG168" s="6">
        <v>0</v>
      </c>
      <c r="BH168" s="6">
        <v>0</v>
      </c>
      <c r="BI168" s="6">
        <v>0</v>
      </c>
      <c r="BJ168" s="6">
        <v>0</v>
      </c>
      <c r="BK168" s="5" t="s">
        <v>2173</v>
      </c>
      <c r="BL168" s="4" t="s">
        <v>2173</v>
      </c>
      <c r="BM168" s="20">
        <v>285</v>
      </c>
      <c r="BN168" s="20">
        <v>0</v>
      </c>
      <c r="BO168" s="20">
        <v>0</v>
      </c>
      <c r="BP168" s="20">
        <v>0</v>
      </c>
      <c r="BQ168" s="20">
        <v>0</v>
      </c>
      <c r="BR168" s="20">
        <v>0</v>
      </c>
      <c r="BS168" s="20">
        <v>300</v>
      </c>
      <c r="BT168" s="20">
        <v>2187678</v>
      </c>
      <c r="BU168" s="20">
        <v>14700000</v>
      </c>
      <c r="BV168" s="20">
        <v>6.108593844083253</v>
      </c>
    </row>
    <row r="169" spans="1:74">
      <c r="A169" s="10">
        <f t="shared" si="10"/>
        <v>0</v>
      </c>
      <c r="B169" s="10">
        <f t="shared" si="11"/>
        <v>0</v>
      </c>
      <c r="C169" s="12">
        <f t="shared" si="12"/>
        <v>5</v>
      </c>
      <c r="D169" s="12">
        <f t="shared" si="13"/>
        <v>10</v>
      </c>
      <c r="E169" s="20" t="s">
        <v>424</v>
      </c>
      <c r="F169" s="20" t="s">
        <v>1451</v>
      </c>
      <c r="G169" s="20" t="s">
        <v>1888</v>
      </c>
      <c r="H169" s="20" t="s">
        <v>1906</v>
      </c>
      <c r="I169" s="20">
        <v>3</v>
      </c>
      <c r="J169" s="20" t="s">
        <v>1907</v>
      </c>
      <c r="K169" s="20" t="s">
        <v>1908</v>
      </c>
      <c r="L169" s="20" t="s">
        <v>1881</v>
      </c>
      <c r="M169" s="20" t="s">
        <v>1451</v>
      </c>
      <c r="N169" s="20" t="s">
        <v>1413</v>
      </c>
      <c r="P169" s="20" t="s">
        <v>1451</v>
      </c>
      <c r="Q169" s="20" t="s">
        <v>1457</v>
      </c>
      <c r="R169" s="20" t="s">
        <v>84</v>
      </c>
      <c r="S169" s="20">
        <v>5</v>
      </c>
      <c r="T169" s="20" t="s">
        <v>124</v>
      </c>
      <c r="U169" s="20" t="s">
        <v>125</v>
      </c>
      <c r="V169" s="20" t="s">
        <v>87</v>
      </c>
      <c r="W169" s="20">
        <v>514</v>
      </c>
      <c r="X169" s="20">
        <v>514</v>
      </c>
      <c r="Y169" s="20" t="s">
        <v>1909</v>
      </c>
      <c r="Z169" s="20">
        <v>0.5</v>
      </c>
      <c r="AA169" s="20" t="s">
        <v>1910</v>
      </c>
      <c r="AB169" s="20" t="s">
        <v>101</v>
      </c>
      <c r="AC169" s="20" t="s">
        <v>102</v>
      </c>
      <c r="AD169" s="20" t="s">
        <v>1911</v>
      </c>
      <c r="AE169" s="20" t="s">
        <v>91</v>
      </c>
      <c r="AF169" s="20">
        <v>0.5</v>
      </c>
      <c r="AG169" s="20">
        <v>0</v>
      </c>
      <c r="AH169" s="20">
        <v>1</v>
      </c>
      <c r="AI169" s="7" t="s">
        <v>97</v>
      </c>
      <c r="AJ169" s="20">
        <v>300</v>
      </c>
      <c r="AK169" s="4" t="s">
        <v>111</v>
      </c>
      <c r="AL169" s="4">
        <v>17</v>
      </c>
      <c r="AM169" s="4">
        <v>17</v>
      </c>
      <c r="AN169" s="4" t="s">
        <v>95</v>
      </c>
      <c r="AO169" s="4" t="s">
        <v>96</v>
      </c>
      <c r="AP169" s="4">
        <v>1</v>
      </c>
      <c r="AQ169" s="20">
        <v>49000</v>
      </c>
      <c r="AR169" s="4">
        <v>41820</v>
      </c>
      <c r="AS169" s="20">
        <v>7424.242424242424</v>
      </c>
      <c r="AT169" s="20">
        <v>7292.26</v>
      </c>
      <c r="AU169" s="20">
        <v>-131.9824242424238</v>
      </c>
      <c r="AV169" s="20">
        <v>0</v>
      </c>
      <c r="AW169" s="20">
        <v>1160</v>
      </c>
      <c r="AX169" s="20">
        <v>20</v>
      </c>
      <c r="AY169" s="20">
        <v>1180</v>
      </c>
      <c r="AZ169" s="20">
        <v>4.9000000000000004</v>
      </c>
      <c r="BA169" s="20">
        <v>0</v>
      </c>
      <c r="BB169" s="6">
        <v>41771</v>
      </c>
      <c r="BC169" s="6">
        <v>0</v>
      </c>
      <c r="BD169" s="6">
        <v>41876</v>
      </c>
      <c r="BE169" s="6">
        <v>41876</v>
      </c>
      <c r="BF169" s="6">
        <v>41932</v>
      </c>
      <c r="BG169" s="6">
        <v>41950</v>
      </c>
      <c r="BH169" s="6">
        <v>0</v>
      </c>
      <c r="BI169" s="6">
        <v>0</v>
      </c>
      <c r="BJ169" s="6">
        <v>0</v>
      </c>
      <c r="BK169" s="5" t="s">
        <v>2173</v>
      </c>
      <c r="BL169" s="4" t="s">
        <v>2173</v>
      </c>
      <c r="BM169" s="20">
        <v>248</v>
      </c>
      <c r="BN169" s="20">
        <v>44</v>
      </c>
      <c r="BO169" s="20">
        <v>0</v>
      </c>
      <c r="BP169" s="20">
        <v>0</v>
      </c>
      <c r="BQ169" s="20">
        <v>0</v>
      </c>
      <c r="BR169" s="20">
        <v>0</v>
      </c>
      <c r="BS169" s="20">
        <v>300</v>
      </c>
      <c r="BT169" s="20">
        <v>2187678</v>
      </c>
      <c r="BU169" s="20">
        <v>14700000</v>
      </c>
      <c r="BV169" s="20">
        <v>6.108593844083253</v>
      </c>
    </row>
    <row r="170" spans="1:74">
      <c r="A170" s="10">
        <f t="shared" si="10"/>
        <v>0</v>
      </c>
      <c r="B170" s="10">
        <f t="shared" si="11"/>
        <v>0</v>
      </c>
      <c r="C170" s="12">
        <f t="shared" si="12"/>
        <v>5</v>
      </c>
      <c r="D170" s="12">
        <f t="shared" si="13"/>
        <v>10</v>
      </c>
      <c r="E170" s="20" t="s">
        <v>424</v>
      </c>
      <c r="F170" s="20" t="s">
        <v>1451</v>
      </c>
      <c r="G170" s="20" t="s">
        <v>1888</v>
      </c>
      <c r="H170" s="20" t="s">
        <v>1906</v>
      </c>
      <c r="I170" s="20">
        <v>3</v>
      </c>
      <c r="J170" s="20" t="s">
        <v>1907</v>
      </c>
      <c r="K170" s="20" t="s">
        <v>1912</v>
      </c>
      <c r="L170" s="20" t="s">
        <v>1881</v>
      </c>
      <c r="M170" s="20" t="s">
        <v>1451</v>
      </c>
      <c r="N170" s="20" t="s">
        <v>1413</v>
      </c>
      <c r="P170" s="20" t="s">
        <v>1451</v>
      </c>
      <c r="Q170" s="20" t="s">
        <v>1457</v>
      </c>
      <c r="R170" s="20" t="s">
        <v>84</v>
      </c>
      <c r="S170" s="20">
        <v>5</v>
      </c>
      <c r="T170" s="20" t="s">
        <v>124</v>
      </c>
      <c r="U170" s="20" t="s">
        <v>125</v>
      </c>
      <c r="V170" s="20" t="s">
        <v>87</v>
      </c>
      <c r="W170" s="20">
        <v>514</v>
      </c>
      <c r="X170" s="20">
        <v>514</v>
      </c>
      <c r="Y170" s="20" t="s">
        <v>1909</v>
      </c>
      <c r="Z170" s="20">
        <v>0.5</v>
      </c>
      <c r="AA170" s="20" t="s">
        <v>1910</v>
      </c>
      <c r="AB170" s="20" t="s">
        <v>101</v>
      </c>
      <c r="AC170" s="20" t="s">
        <v>102</v>
      </c>
      <c r="AD170" s="20" t="s">
        <v>1911</v>
      </c>
      <c r="AE170" s="20" t="s">
        <v>91</v>
      </c>
      <c r="AF170" s="20">
        <v>0.5</v>
      </c>
      <c r="AG170" s="20">
        <v>0</v>
      </c>
      <c r="AH170" s="20">
        <v>1</v>
      </c>
      <c r="AI170" s="7" t="s">
        <v>98</v>
      </c>
      <c r="AJ170" s="20">
        <v>150</v>
      </c>
      <c r="AK170" s="4" t="s">
        <v>111</v>
      </c>
      <c r="AL170" s="4">
        <v>17</v>
      </c>
      <c r="AM170" s="4">
        <v>17</v>
      </c>
      <c r="AN170" s="4" t="s">
        <v>95</v>
      </c>
      <c r="AO170" s="4" t="s">
        <v>96</v>
      </c>
      <c r="AP170" s="4">
        <v>1</v>
      </c>
      <c r="AQ170" s="20">
        <v>49000</v>
      </c>
      <c r="AR170" s="4">
        <v>41820</v>
      </c>
      <c r="AS170" s="20">
        <v>7424.242424242424</v>
      </c>
      <c r="AT170" s="20">
        <v>7292.26</v>
      </c>
      <c r="AU170" s="20">
        <v>-131.9824242424238</v>
      </c>
      <c r="AV170" s="20">
        <v>0</v>
      </c>
      <c r="AW170" s="20">
        <v>1160</v>
      </c>
      <c r="AX170" s="20">
        <v>20</v>
      </c>
      <c r="AY170" s="20">
        <v>1180</v>
      </c>
      <c r="AZ170" s="20">
        <v>4.9000000000000004</v>
      </c>
      <c r="BA170" s="20">
        <v>0</v>
      </c>
      <c r="BB170" s="6">
        <v>41771</v>
      </c>
      <c r="BC170" s="6">
        <v>0</v>
      </c>
      <c r="BD170" s="6">
        <v>41876</v>
      </c>
      <c r="BE170" s="6">
        <v>41876</v>
      </c>
      <c r="BF170" s="6">
        <v>41932</v>
      </c>
      <c r="BG170" s="6">
        <v>41950</v>
      </c>
      <c r="BH170" s="6">
        <v>0</v>
      </c>
      <c r="BI170" s="6">
        <v>0</v>
      </c>
      <c r="BJ170" s="6">
        <v>0</v>
      </c>
      <c r="BK170" s="5" t="s">
        <v>2173</v>
      </c>
      <c r="BL170" s="4" t="s">
        <v>2173</v>
      </c>
      <c r="BM170" s="20">
        <v>146</v>
      </c>
      <c r="BN170" s="20">
        <v>0</v>
      </c>
      <c r="BO170" s="20">
        <v>0</v>
      </c>
      <c r="BP170" s="20">
        <v>0</v>
      </c>
      <c r="BQ170" s="20">
        <v>0</v>
      </c>
      <c r="BR170" s="20">
        <v>0</v>
      </c>
      <c r="BS170" s="20">
        <v>150</v>
      </c>
      <c r="BT170" s="20">
        <v>1093839</v>
      </c>
      <c r="BU170" s="20">
        <v>7350000</v>
      </c>
      <c r="BV170" s="20">
        <v>6.108593844083253</v>
      </c>
    </row>
    <row r="171" spans="1:74">
      <c r="A171" s="10">
        <f t="shared" si="10"/>
        <v>0</v>
      </c>
      <c r="B171" s="10">
        <f t="shared" si="11"/>
        <v>0</v>
      </c>
      <c r="C171" s="12">
        <f t="shared" si="12"/>
        <v>5</v>
      </c>
      <c r="D171" s="12">
        <f t="shared" si="13"/>
        <v>10</v>
      </c>
      <c r="E171" s="20" t="s">
        <v>424</v>
      </c>
      <c r="F171" s="20" t="s">
        <v>1451</v>
      </c>
      <c r="G171" s="20" t="s">
        <v>1888</v>
      </c>
      <c r="H171" s="20" t="s">
        <v>1913</v>
      </c>
      <c r="I171" s="20">
        <v>4</v>
      </c>
      <c r="J171" s="20" t="s">
        <v>1914</v>
      </c>
      <c r="K171" s="20" t="s">
        <v>1915</v>
      </c>
      <c r="L171" s="20" t="s">
        <v>1916</v>
      </c>
      <c r="M171" s="20" t="s">
        <v>1451</v>
      </c>
      <c r="N171" s="20" t="s">
        <v>1413</v>
      </c>
      <c r="P171" s="20" t="s">
        <v>1451</v>
      </c>
      <c r="Q171" s="20" t="s">
        <v>1457</v>
      </c>
      <c r="R171" s="20" t="s">
        <v>84</v>
      </c>
      <c r="S171" s="20">
        <v>5</v>
      </c>
      <c r="T171" s="20" t="s">
        <v>106</v>
      </c>
      <c r="U171" s="20" t="s">
        <v>107</v>
      </c>
      <c r="V171" s="20" t="s">
        <v>87</v>
      </c>
      <c r="W171" s="20">
        <v>515</v>
      </c>
      <c r="X171" s="20">
        <v>515</v>
      </c>
      <c r="Y171" s="20" t="s">
        <v>1917</v>
      </c>
      <c r="Z171" s="20">
        <v>0.5</v>
      </c>
      <c r="AA171" s="20" t="s">
        <v>1918</v>
      </c>
      <c r="AB171" s="20" t="s">
        <v>101</v>
      </c>
      <c r="AC171" s="20" t="s">
        <v>102</v>
      </c>
      <c r="AD171" s="20" t="s">
        <v>1919</v>
      </c>
      <c r="AE171" s="20" t="s">
        <v>91</v>
      </c>
      <c r="AF171" s="20">
        <v>0.5</v>
      </c>
      <c r="AG171" s="20">
        <v>0</v>
      </c>
      <c r="AH171" s="20">
        <v>1</v>
      </c>
      <c r="AI171" s="7" t="s">
        <v>97</v>
      </c>
      <c r="AJ171" s="20">
        <v>100</v>
      </c>
      <c r="AK171" s="4" t="s">
        <v>111</v>
      </c>
      <c r="AL171" s="4">
        <v>17</v>
      </c>
      <c r="AM171" s="4">
        <v>17</v>
      </c>
      <c r="AN171" s="4" t="s">
        <v>95</v>
      </c>
      <c r="AO171" s="4" t="s">
        <v>96</v>
      </c>
      <c r="AP171" s="4">
        <v>1</v>
      </c>
      <c r="AQ171" s="20">
        <v>55000</v>
      </c>
      <c r="AR171" s="4">
        <v>41820</v>
      </c>
      <c r="AS171" s="20">
        <v>8333.3333333333321</v>
      </c>
      <c r="AT171" s="20">
        <v>10473.130000000001</v>
      </c>
      <c r="AU171" s="20">
        <v>2139.7966666666689</v>
      </c>
      <c r="AV171" s="20">
        <v>0</v>
      </c>
      <c r="AW171" s="20">
        <v>1160</v>
      </c>
      <c r="AX171" s="20">
        <v>20</v>
      </c>
      <c r="AY171" s="20">
        <v>1180</v>
      </c>
      <c r="AZ171" s="20">
        <v>7.45</v>
      </c>
      <c r="BA171" s="20">
        <v>0</v>
      </c>
      <c r="BB171" s="6">
        <v>41771</v>
      </c>
      <c r="BC171" s="6">
        <v>0</v>
      </c>
      <c r="BD171" s="6">
        <v>41876</v>
      </c>
      <c r="BE171" s="6">
        <v>41876</v>
      </c>
      <c r="BF171" s="6">
        <v>41932</v>
      </c>
      <c r="BG171" s="6">
        <v>0</v>
      </c>
      <c r="BH171" s="6">
        <v>0</v>
      </c>
      <c r="BI171" s="6">
        <v>0</v>
      </c>
      <c r="BJ171" s="6">
        <v>0</v>
      </c>
      <c r="BK171" s="5" t="s">
        <v>2173</v>
      </c>
      <c r="BL171" s="4" t="s">
        <v>2173</v>
      </c>
      <c r="BM171" s="20">
        <v>103</v>
      </c>
      <c r="BN171" s="20">
        <v>0</v>
      </c>
      <c r="BO171" s="20">
        <v>0</v>
      </c>
      <c r="BP171" s="20">
        <v>0</v>
      </c>
      <c r="BQ171" s="20">
        <v>0</v>
      </c>
      <c r="BR171" s="20">
        <v>0</v>
      </c>
      <c r="BS171" s="20">
        <v>100</v>
      </c>
      <c r="BT171" s="20">
        <v>1047313.0000000001</v>
      </c>
      <c r="BU171" s="20">
        <v>5500000</v>
      </c>
      <c r="BV171" s="20">
        <v>4.7741219673583721</v>
      </c>
    </row>
    <row r="172" spans="1:74">
      <c r="A172" s="10">
        <f t="shared" si="10"/>
        <v>0</v>
      </c>
      <c r="B172" s="10">
        <f t="shared" si="11"/>
        <v>0</v>
      </c>
      <c r="C172" s="12">
        <f t="shared" si="12"/>
        <v>5</v>
      </c>
      <c r="D172" s="12">
        <f t="shared" si="13"/>
        <v>10</v>
      </c>
      <c r="E172" s="20" t="s">
        <v>424</v>
      </c>
      <c r="F172" s="20" t="s">
        <v>1451</v>
      </c>
      <c r="G172" s="20" t="s">
        <v>1888</v>
      </c>
      <c r="H172" s="20" t="s">
        <v>1913</v>
      </c>
      <c r="I172" s="20">
        <v>4</v>
      </c>
      <c r="J172" s="20" t="s">
        <v>1914</v>
      </c>
      <c r="K172" s="20" t="s">
        <v>1920</v>
      </c>
      <c r="L172" s="20" t="s">
        <v>1916</v>
      </c>
      <c r="M172" s="20" t="s">
        <v>1451</v>
      </c>
      <c r="N172" s="20" t="s">
        <v>1413</v>
      </c>
      <c r="P172" s="20" t="s">
        <v>1451</v>
      </c>
      <c r="Q172" s="20" t="s">
        <v>1457</v>
      </c>
      <c r="R172" s="20" t="s">
        <v>84</v>
      </c>
      <c r="S172" s="20">
        <v>5</v>
      </c>
      <c r="T172" s="20" t="s">
        <v>106</v>
      </c>
      <c r="U172" s="20" t="s">
        <v>107</v>
      </c>
      <c r="V172" s="20" t="s">
        <v>87</v>
      </c>
      <c r="W172" s="20">
        <v>515</v>
      </c>
      <c r="X172" s="20">
        <v>515</v>
      </c>
      <c r="Y172" s="20" t="s">
        <v>1917</v>
      </c>
      <c r="Z172" s="20">
        <v>0.5</v>
      </c>
      <c r="AA172" s="20" t="s">
        <v>1918</v>
      </c>
      <c r="AB172" s="20" t="s">
        <v>101</v>
      </c>
      <c r="AC172" s="20" t="s">
        <v>102</v>
      </c>
      <c r="AD172" s="20" t="s">
        <v>1919</v>
      </c>
      <c r="AE172" s="20" t="s">
        <v>91</v>
      </c>
      <c r="AF172" s="20">
        <v>0.5</v>
      </c>
      <c r="AG172" s="20">
        <v>0</v>
      </c>
      <c r="AH172" s="20">
        <v>1</v>
      </c>
      <c r="AI172" s="7" t="s">
        <v>98</v>
      </c>
      <c r="AJ172" s="20">
        <v>50</v>
      </c>
      <c r="AK172" s="4" t="s">
        <v>111</v>
      </c>
      <c r="AL172" s="4">
        <v>17</v>
      </c>
      <c r="AM172" s="4">
        <v>17</v>
      </c>
      <c r="AN172" s="4" t="s">
        <v>95</v>
      </c>
      <c r="AO172" s="4" t="s">
        <v>96</v>
      </c>
      <c r="AP172" s="4">
        <v>1</v>
      </c>
      <c r="AQ172" s="20">
        <v>55000</v>
      </c>
      <c r="AR172" s="4">
        <v>41820</v>
      </c>
      <c r="AS172" s="20">
        <v>8333.3333333333321</v>
      </c>
      <c r="AT172" s="20">
        <v>10473.130000000001</v>
      </c>
      <c r="AU172" s="20">
        <v>2139.7966666666689</v>
      </c>
      <c r="AV172" s="20">
        <v>0</v>
      </c>
      <c r="AW172" s="20">
        <v>1160</v>
      </c>
      <c r="AX172" s="20">
        <v>20</v>
      </c>
      <c r="AY172" s="20">
        <v>1180</v>
      </c>
      <c r="AZ172" s="20">
        <v>7.45</v>
      </c>
      <c r="BA172" s="20">
        <v>0</v>
      </c>
      <c r="BB172" s="6">
        <v>41771</v>
      </c>
      <c r="BC172" s="6">
        <v>0</v>
      </c>
      <c r="BD172" s="6">
        <v>41876</v>
      </c>
      <c r="BE172" s="6">
        <v>41876</v>
      </c>
      <c r="BF172" s="6">
        <v>41932</v>
      </c>
      <c r="BG172" s="6">
        <v>0</v>
      </c>
      <c r="BH172" s="6">
        <v>0</v>
      </c>
      <c r="BI172" s="6">
        <v>0</v>
      </c>
      <c r="BJ172" s="6">
        <v>0</v>
      </c>
      <c r="BK172" s="5" t="s">
        <v>2173</v>
      </c>
      <c r="BL172" s="4" t="s">
        <v>2173</v>
      </c>
      <c r="BM172" s="20">
        <v>50</v>
      </c>
      <c r="BN172" s="20">
        <v>0</v>
      </c>
      <c r="BO172" s="20">
        <v>0</v>
      </c>
      <c r="BP172" s="20">
        <v>0</v>
      </c>
      <c r="BQ172" s="20">
        <v>0</v>
      </c>
      <c r="BR172" s="20">
        <v>0</v>
      </c>
      <c r="BS172" s="20">
        <v>50</v>
      </c>
      <c r="BT172" s="20">
        <v>523656.50000000006</v>
      </c>
      <c r="BU172" s="20">
        <v>2750000</v>
      </c>
      <c r="BV172" s="20">
        <v>4.7741219673583721</v>
      </c>
    </row>
    <row r="173" spans="1:74">
      <c r="A173" s="10">
        <f t="shared" si="10"/>
        <v>0</v>
      </c>
      <c r="B173" s="10">
        <f t="shared" si="11"/>
        <v>0</v>
      </c>
      <c r="C173" s="12">
        <f t="shared" si="12"/>
        <v>5</v>
      </c>
      <c r="D173" s="12">
        <f t="shared" si="13"/>
        <v>10</v>
      </c>
      <c r="E173" s="20" t="s">
        <v>424</v>
      </c>
      <c r="F173" s="20" t="s">
        <v>1451</v>
      </c>
      <c r="G173" s="20" t="s">
        <v>1888</v>
      </c>
      <c r="H173" s="20" t="s">
        <v>1921</v>
      </c>
      <c r="I173" s="20">
        <v>5</v>
      </c>
      <c r="J173" s="20" t="s">
        <v>1922</v>
      </c>
      <c r="K173" s="20" t="s">
        <v>1923</v>
      </c>
      <c r="L173" s="20" t="s">
        <v>1924</v>
      </c>
      <c r="M173" s="20" t="s">
        <v>1451</v>
      </c>
      <c r="N173" s="20" t="s">
        <v>1413</v>
      </c>
      <c r="P173" s="20" t="s">
        <v>1451</v>
      </c>
      <c r="Q173" s="20" t="s">
        <v>1457</v>
      </c>
      <c r="R173" s="20" t="s">
        <v>84</v>
      </c>
      <c r="S173" s="20">
        <v>5</v>
      </c>
      <c r="T173" s="20" t="s">
        <v>106</v>
      </c>
      <c r="U173" s="20" t="s">
        <v>107</v>
      </c>
      <c r="V173" s="20" t="s">
        <v>87</v>
      </c>
      <c r="W173" s="20">
        <v>516</v>
      </c>
      <c r="X173" s="20">
        <v>516</v>
      </c>
      <c r="Y173" s="20" t="s">
        <v>1925</v>
      </c>
      <c r="Z173" s="20">
        <v>0.33333333333333331</v>
      </c>
      <c r="AA173" s="20" t="s">
        <v>1926</v>
      </c>
      <c r="AB173" s="20" t="s">
        <v>101</v>
      </c>
      <c r="AC173" s="20" t="s">
        <v>102</v>
      </c>
      <c r="AD173" s="20" t="s">
        <v>1927</v>
      </c>
      <c r="AE173" s="20" t="s">
        <v>91</v>
      </c>
      <c r="AF173" s="20">
        <v>0.33333333333333331</v>
      </c>
      <c r="AG173" s="20">
        <v>0</v>
      </c>
      <c r="AH173" s="20">
        <v>1</v>
      </c>
      <c r="AI173" s="7" t="s">
        <v>97</v>
      </c>
      <c r="AJ173" s="20">
        <v>100</v>
      </c>
      <c r="AK173" s="4" t="s">
        <v>111</v>
      </c>
      <c r="AL173" s="4">
        <v>17</v>
      </c>
      <c r="AM173" s="4">
        <v>17</v>
      </c>
      <c r="AN173" s="4" t="s">
        <v>95</v>
      </c>
      <c r="AO173" s="4" t="s">
        <v>96</v>
      </c>
      <c r="AP173" s="4">
        <v>1</v>
      </c>
      <c r="AQ173" s="20">
        <v>55000</v>
      </c>
      <c r="AR173" s="4">
        <v>41820</v>
      </c>
      <c r="AS173" s="20">
        <v>8333.3333333333321</v>
      </c>
      <c r="AT173" s="20">
        <v>9038.6200000000008</v>
      </c>
      <c r="AU173" s="20">
        <v>705.28666666666868</v>
      </c>
      <c r="AV173" s="20">
        <v>0</v>
      </c>
      <c r="AW173" s="20">
        <v>1160</v>
      </c>
      <c r="AX173" s="20">
        <v>20</v>
      </c>
      <c r="AY173" s="20">
        <v>1180</v>
      </c>
      <c r="AZ173" s="20">
        <v>6.3</v>
      </c>
      <c r="BA173" s="20">
        <v>0</v>
      </c>
      <c r="BB173" s="6">
        <v>41771</v>
      </c>
      <c r="BC173" s="6">
        <v>0</v>
      </c>
      <c r="BD173" s="6">
        <v>41876</v>
      </c>
      <c r="BE173" s="6">
        <v>41876</v>
      </c>
      <c r="BF173" s="6">
        <v>41940</v>
      </c>
      <c r="BH173" s="6">
        <v>0</v>
      </c>
      <c r="BI173" s="6">
        <v>0</v>
      </c>
      <c r="BJ173" s="6">
        <v>0</v>
      </c>
      <c r="BK173" s="5" t="s">
        <v>2173</v>
      </c>
      <c r="BL173" s="4" t="s">
        <v>2173</v>
      </c>
      <c r="BM173" s="20">
        <v>95</v>
      </c>
      <c r="BN173" s="20">
        <v>0</v>
      </c>
      <c r="BO173" s="20">
        <v>0</v>
      </c>
      <c r="BP173" s="20">
        <v>0</v>
      </c>
      <c r="BQ173" s="20">
        <v>0</v>
      </c>
      <c r="BR173" s="20">
        <v>0</v>
      </c>
      <c r="BS173" s="20">
        <v>100</v>
      </c>
      <c r="BT173" s="20">
        <v>903862.00000000012</v>
      </c>
      <c r="BU173" s="20">
        <v>5500000</v>
      </c>
      <c r="BV173" s="20">
        <v>5.5318179102562111</v>
      </c>
    </row>
    <row r="174" spans="1:74">
      <c r="A174" s="10">
        <f t="shared" si="10"/>
        <v>0</v>
      </c>
      <c r="B174" s="10">
        <f t="shared" si="11"/>
        <v>0</v>
      </c>
      <c r="C174" s="12">
        <f t="shared" si="12"/>
        <v>5</v>
      </c>
      <c r="D174" s="12">
        <f t="shared" si="13"/>
        <v>10</v>
      </c>
      <c r="E174" s="20" t="s">
        <v>424</v>
      </c>
      <c r="F174" s="20" t="s">
        <v>1451</v>
      </c>
      <c r="G174" s="20" t="s">
        <v>1888</v>
      </c>
      <c r="H174" s="20" t="s">
        <v>1921</v>
      </c>
      <c r="I174" s="20">
        <v>5</v>
      </c>
      <c r="J174" s="20" t="s">
        <v>1922</v>
      </c>
      <c r="K174" s="20" t="s">
        <v>1928</v>
      </c>
      <c r="L174" s="20" t="s">
        <v>1924</v>
      </c>
      <c r="M174" s="20" t="s">
        <v>1451</v>
      </c>
      <c r="N174" s="20" t="s">
        <v>1413</v>
      </c>
      <c r="P174" s="20" t="s">
        <v>1451</v>
      </c>
      <c r="Q174" s="20" t="s">
        <v>1457</v>
      </c>
      <c r="R174" s="20" t="s">
        <v>84</v>
      </c>
      <c r="S174" s="20">
        <v>5</v>
      </c>
      <c r="T174" s="20" t="s">
        <v>106</v>
      </c>
      <c r="U174" s="20" t="s">
        <v>107</v>
      </c>
      <c r="V174" s="20" t="s">
        <v>87</v>
      </c>
      <c r="W174" s="20">
        <v>516</v>
      </c>
      <c r="X174" s="20">
        <v>516</v>
      </c>
      <c r="Y174" s="20" t="s">
        <v>1925</v>
      </c>
      <c r="Z174" s="20">
        <v>0.33333333333333331</v>
      </c>
      <c r="AA174" s="20" t="s">
        <v>1926</v>
      </c>
      <c r="AB174" s="20" t="s">
        <v>101</v>
      </c>
      <c r="AC174" s="20" t="s">
        <v>102</v>
      </c>
      <c r="AD174" s="20" t="s">
        <v>1927</v>
      </c>
      <c r="AE174" s="20" t="s">
        <v>91</v>
      </c>
      <c r="AF174" s="20">
        <v>0.33333333333333331</v>
      </c>
      <c r="AG174" s="20">
        <v>0</v>
      </c>
      <c r="AH174" s="20">
        <v>1</v>
      </c>
      <c r="AI174" s="7" t="s">
        <v>98</v>
      </c>
      <c r="AJ174" s="20">
        <v>50</v>
      </c>
      <c r="AK174" s="4" t="s">
        <v>111</v>
      </c>
      <c r="AL174" s="4">
        <v>17</v>
      </c>
      <c r="AM174" s="4">
        <v>17</v>
      </c>
      <c r="AN174" s="4" t="s">
        <v>95</v>
      </c>
      <c r="AO174" s="4" t="s">
        <v>96</v>
      </c>
      <c r="AP174" s="4">
        <v>1</v>
      </c>
      <c r="AQ174" s="20">
        <v>55000</v>
      </c>
      <c r="AR174" s="4">
        <v>41820</v>
      </c>
      <c r="AS174" s="20">
        <v>8333.3333333333321</v>
      </c>
      <c r="AT174" s="20">
        <v>9038.6200000000008</v>
      </c>
      <c r="AU174" s="20">
        <v>705.28666666666868</v>
      </c>
      <c r="AV174" s="20">
        <v>0</v>
      </c>
      <c r="AW174" s="20">
        <v>1160</v>
      </c>
      <c r="AX174" s="20">
        <v>20</v>
      </c>
      <c r="AY174" s="20">
        <v>1180</v>
      </c>
      <c r="AZ174" s="20">
        <v>6.3</v>
      </c>
      <c r="BA174" s="20">
        <v>0</v>
      </c>
      <c r="BB174" s="6">
        <v>41771</v>
      </c>
      <c r="BC174" s="6">
        <v>0</v>
      </c>
      <c r="BD174" s="6">
        <v>41876</v>
      </c>
      <c r="BE174" s="6">
        <v>41876</v>
      </c>
      <c r="BF174" s="6">
        <v>41940</v>
      </c>
      <c r="BG174" s="6">
        <v>0</v>
      </c>
      <c r="BH174" s="6">
        <v>0</v>
      </c>
      <c r="BI174" s="6">
        <v>0</v>
      </c>
      <c r="BJ174" s="6">
        <v>0</v>
      </c>
      <c r="BK174" s="5" t="s">
        <v>2173</v>
      </c>
      <c r="BL174" s="4" t="s">
        <v>2173</v>
      </c>
      <c r="BM174" s="20">
        <v>54</v>
      </c>
      <c r="BN174" s="20">
        <v>0</v>
      </c>
      <c r="BO174" s="20">
        <v>0</v>
      </c>
      <c r="BP174" s="20">
        <v>0</v>
      </c>
      <c r="BQ174" s="20">
        <v>0</v>
      </c>
      <c r="BR174" s="20">
        <v>0</v>
      </c>
      <c r="BS174" s="20">
        <v>50</v>
      </c>
      <c r="BT174" s="20">
        <v>451931.00000000006</v>
      </c>
      <c r="BU174" s="20">
        <v>2750000</v>
      </c>
      <c r="BV174" s="20">
        <v>5.5318179102562111</v>
      </c>
    </row>
    <row r="175" spans="1:74">
      <c r="A175" s="10">
        <f t="shared" si="10"/>
        <v>0</v>
      </c>
      <c r="B175" s="10">
        <f t="shared" si="11"/>
        <v>0</v>
      </c>
      <c r="C175" s="12">
        <f t="shared" si="12"/>
        <v>5</v>
      </c>
      <c r="D175" s="12">
        <f t="shared" si="13"/>
        <v>10</v>
      </c>
      <c r="E175" s="20" t="s">
        <v>424</v>
      </c>
      <c r="F175" s="20" t="s">
        <v>1451</v>
      </c>
      <c r="G175" s="20" t="s">
        <v>1888</v>
      </c>
      <c r="H175" s="20" t="s">
        <v>1921</v>
      </c>
      <c r="I175" s="20">
        <v>5</v>
      </c>
      <c r="J175" s="20" t="s">
        <v>1922</v>
      </c>
      <c r="K175" s="20" t="s">
        <v>1929</v>
      </c>
      <c r="L175" s="20" t="s">
        <v>1924</v>
      </c>
      <c r="M175" s="20" t="s">
        <v>1451</v>
      </c>
      <c r="N175" s="20" t="s">
        <v>1413</v>
      </c>
      <c r="P175" s="20" t="s">
        <v>1451</v>
      </c>
      <c r="Q175" s="20" t="s">
        <v>1457</v>
      </c>
      <c r="R175" s="20" t="s">
        <v>84</v>
      </c>
      <c r="S175" s="20">
        <v>5</v>
      </c>
      <c r="T175" s="20" t="s">
        <v>106</v>
      </c>
      <c r="U175" s="20" t="s">
        <v>107</v>
      </c>
      <c r="V175" s="20" t="s">
        <v>87</v>
      </c>
      <c r="W175" s="20">
        <v>516</v>
      </c>
      <c r="X175" s="20">
        <v>516</v>
      </c>
      <c r="Y175" s="20" t="s">
        <v>1925</v>
      </c>
      <c r="Z175" s="20">
        <v>0.33333333333333331</v>
      </c>
      <c r="AA175" s="20" t="s">
        <v>1926</v>
      </c>
      <c r="AB175" s="20" t="s">
        <v>101</v>
      </c>
      <c r="AC175" s="20" t="s">
        <v>102</v>
      </c>
      <c r="AD175" s="20" t="s">
        <v>1927</v>
      </c>
      <c r="AE175" s="20" t="s">
        <v>91</v>
      </c>
      <c r="AF175" s="20">
        <v>0.33333333333333331</v>
      </c>
      <c r="AG175" s="20">
        <v>0</v>
      </c>
      <c r="AH175" s="20">
        <v>1</v>
      </c>
      <c r="AI175" s="7" t="s">
        <v>92</v>
      </c>
      <c r="AJ175" s="20">
        <v>250</v>
      </c>
      <c r="AK175" s="4" t="s">
        <v>111</v>
      </c>
      <c r="AL175" s="4">
        <v>17</v>
      </c>
      <c r="AM175" s="4">
        <v>17</v>
      </c>
      <c r="AN175" s="4" t="s">
        <v>95</v>
      </c>
      <c r="AO175" s="4" t="s">
        <v>96</v>
      </c>
      <c r="AP175" s="4">
        <v>1</v>
      </c>
      <c r="AQ175" s="20">
        <v>55000</v>
      </c>
      <c r="AR175" s="4">
        <v>41820</v>
      </c>
      <c r="AS175" s="20">
        <v>8333.3333333333321</v>
      </c>
      <c r="AT175" s="20">
        <v>9038.6200000000008</v>
      </c>
      <c r="AU175" s="20">
        <v>705.28666666666868</v>
      </c>
      <c r="AV175" s="20">
        <v>0</v>
      </c>
      <c r="AW175" s="20">
        <v>1160</v>
      </c>
      <c r="AX175" s="20">
        <v>20</v>
      </c>
      <c r="AY175" s="20">
        <v>1180</v>
      </c>
      <c r="AZ175" s="20">
        <v>6.3</v>
      </c>
      <c r="BA175" s="20">
        <v>0</v>
      </c>
      <c r="BB175" s="6">
        <v>41771</v>
      </c>
      <c r="BC175" s="6">
        <v>0</v>
      </c>
      <c r="BD175" s="6">
        <v>41876</v>
      </c>
      <c r="BE175" s="6">
        <v>41876</v>
      </c>
      <c r="BF175" s="6">
        <v>41940</v>
      </c>
      <c r="BG175" s="6">
        <v>0</v>
      </c>
      <c r="BH175" s="6">
        <v>0</v>
      </c>
      <c r="BI175" s="6">
        <v>0</v>
      </c>
      <c r="BJ175" s="6">
        <v>0</v>
      </c>
      <c r="BK175" s="5" t="s">
        <v>2173</v>
      </c>
      <c r="BL175" s="4" t="s">
        <v>2173</v>
      </c>
      <c r="BM175" s="20">
        <v>252</v>
      </c>
      <c r="BN175" s="20">
        <v>0</v>
      </c>
      <c r="BO175" s="20">
        <v>0</v>
      </c>
      <c r="BP175" s="20">
        <v>0</v>
      </c>
      <c r="BQ175" s="20">
        <v>0</v>
      </c>
      <c r="BR175" s="20">
        <v>0</v>
      </c>
      <c r="BS175" s="20">
        <v>250</v>
      </c>
      <c r="BT175" s="20">
        <v>2259655</v>
      </c>
      <c r="BU175" s="20">
        <v>13750000</v>
      </c>
      <c r="BV175" s="20">
        <v>5.5318179102562119</v>
      </c>
    </row>
    <row r="176" spans="1:74">
      <c r="A176" s="10">
        <f t="shared" si="10"/>
        <v>0</v>
      </c>
      <c r="B176" s="10">
        <f t="shared" si="11"/>
        <v>0</v>
      </c>
      <c r="C176" s="12">
        <f t="shared" si="12"/>
        <v>5</v>
      </c>
      <c r="D176" s="12">
        <f t="shared" si="13"/>
        <v>10</v>
      </c>
      <c r="E176" s="20" t="s">
        <v>424</v>
      </c>
      <c r="F176" s="20" t="s">
        <v>1451</v>
      </c>
      <c r="G176" s="20" t="s">
        <v>1888</v>
      </c>
      <c r="H176" s="20" t="s">
        <v>1930</v>
      </c>
      <c r="I176" s="20">
        <v>6</v>
      </c>
      <c r="J176" s="20" t="s">
        <v>1931</v>
      </c>
      <c r="K176" s="20" t="s">
        <v>1932</v>
      </c>
      <c r="L176" s="20" t="s">
        <v>1933</v>
      </c>
      <c r="M176" s="20" t="s">
        <v>1451</v>
      </c>
      <c r="N176" s="20" t="s">
        <v>1413</v>
      </c>
      <c r="P176" s="20" t="s">
        <v>1451</v>
      </c>
      <c r="Q176" s="20" t="s">
        <v>1457</v>
      </c>
      <c r="R176" s="20" t="s">
        <v>84</v>
      </c>
      <c r="S176" s="20">
        <v>5</v>
      </c>
      <c r="T176" s="20" t="s">
        <v>106</v>
      </c>
      <c r="U176" s="20" t="s">
        <v>107</v>
      </c>
      <c r="V176" s="20" t="s">
        <v>87</v>
      </c>
      <c r="W176" s="20">
        <v>536</v>
      </c>
      <c r="X176" s="20">
        <v>536</v>
      </c>
      <c r="Y176" s="20" t="s">
        <v>1934</v>
      </c>
      <c r="Z176" s="20">
        <v>0.5</v>
      </c>
      <c r="AA176" s="20" t="s">
        <v>1935</v>
      </c>
      <c r="AB176" s="20" t="s">
        <v>109</v>
      </c>
      <c r="AC176" s="20" t="s">
        <v>110</v>
      </c>
      <c r="AD176" s="20" t="s">
        <v>1936</v>
      </c>
      <c r="AE176" s="20" t="s">
        <v>91</v>
      </c>
      <c r="AF176" s="20">
        <v>0.5</v>
      </c>
      <c r="AG176" s="20">
        <v>0</v>
      </c>
      <c r="AH176" s="20">
        <v>1</v>
      </c>
      <c r="AI176" s="7" t="s">
        <v>97</v>
      </c>
      <c r="AJ176" s="20">
        <v>100</v>
      </c>
      <c r="AK176" s="4" t="s">
        <v>111</v>
      </c>
      <c r="AL176" s="4">
        <v>17</v>
      </c>
      <c r="AM176" s="4">
        <v>17</v>
      </c>
      <c r="AN176" s="4" t="s">
        <v>95</v>
      </c>
      <c r="AO176" s="4" t="s">
        <v>96</v>
      </c>
      <c r="AP176" s="4">
        <v>1</v>
      </c>
      <c r="AQ176" s="20">
        <v>55000</v>
      </c>
      <c r="AR176" s="4">
        <v>41820</v>
      </c>
      <c r="AS176" s="20">
        <v>8333.3333333333321</v>
      </c>
      <c r="AT176" s="20">
        <v>9475.2100000000009</v>
      </c>
      <c r="AU176" s="20">
        <v>1141.8766666666688</v>
      </c>
      <c r="AV176" s="20">
        <v>0</v>
      </c>
      <c r="AW176" s="20">
        <v>1160</v>
      </c>
      <c r="AX176" s="20">
        <v>20</v>
      </c>
      <c r="AY176" s="20">
        <v>1180</v>
      </c>
      <c r="AZ176" s="20">
        <v>6.65</v>
      </c>
      <c r="BA176" s="20">
        <v>0</v>
      </c>
      <c r="BB176" s="6">
        <v>41771</v>
      </c>
      <c r="BC176" s="6">
        <v>0</v>
      </c>
      <c r="BD176" s="6">
        <v>41876</v>
      </c>
      <c r="BE176" s="6">
        <v>41876</v>
      </c>
      <c r="BF176" s="6">
        <v>41932</v>
      </c>
      <c r="BG176" s="6">
        <v>0</v>
      </c>
      <c r="BH176" s="6">
        <v>0</v>
      </c>
      <c r="BI176" s="6">
        <v>0</v>
      </c>
      <c r="BJ176" s="6">
        <v>0</v>
      </c>
      <c r="BK176" s="5" t="s">
        <v>2173</v>
      </c>
      <c r="BL176" s="4" t="s">
        <v>2173</v>
      </c>
      <c r="BM176" s="20">
        <v>100</v>
      </c>
      <c r="BN176" s="20">
        <v>0</v>
      </c>
      <c r="BO176" s="20">
        <v>0</v>
      </c>
      <c r="BP176" s="20">
        <v>0</v>
      </c>
      <c r="BQ176" s="20">
        <v>0</v>
      </c>
      <c r="BR176" s="20">
        <v>0</v>
      </c>
      <c r="BS176" s="20">
        <v>100</v>
      </c>
      <c r="BT176" s="20">
        <v>947521.00000000012</v>
      </c>
      <c r="BU176" s="20">
        <v>5500000</v>
      </c>
      <c r="BV176" s="20">
        <v>5.2769278992233408</v>
      </c>
    </row>
    <row r="177" spans="1:74">
      <c r="A177" s="10">
        <f t="shared" si="10"/>
        <v>0</v>
      </c>
      <c r="B177" s="10">
        <f t="shared" si="11"/>
        <v>0</v>
      </c>
      <c r="C177" s="12">
        <f t="shared" si="12"/>
        <v>5</v>
      </c>
      <c r="D177" s="12">
        <f t="shared" si="13"/>
        <v>10</v>
      </c>
      <c r="E177" s="20" t="s">
        <v>424</v>
      </c>
      <c r="F177" s="20" t="s">
        <v>1451</v>
      </c>
      <c r="G177" s="20" t="s">
        <v>1888</v>
      </c>
      <c r="H177" s="20" t="s">
        <v>1930</v>
      </c>
      <c r="I177" s="20">
        <v>6</v>
      </c>
      <c r="J177" s="20" t="s">
        <v>1931</v>
      </c>
      <c r="K177" s="20" t="s">
        <v>1937</v>
      </c>
      <c r="L177" s="20" t="s">
        <v>1933</v>
      </c>
      <c r="M177" s="20" t="s">
        <v>1451</v>
      </c>
      <c r="N177" s="20" t="s">
        <v>1413</v>
      </c>
      <c r="P177" s="20" t="s">
        <v>1451</v>
      </c>
      <c r="Q177" s="20" t="s">
        <v>1457</v>
      </c>
      <c r="R177" s="20" t="s">
        <v>84</v>
      </c>
      <c r="S177" s="20">
        <v>5</v>
      </c>
      <c r="T177" s="20" t="s">
        <v>106</v>
      </c>
      <c r="U177" s="20" t="s">
        <v>107</v>
      </c>
      <c r="V177" s="20" t="s">
        <v>87</v>
      </c>
      <c r="W177" s="20">
        <v>536</v>
      </c>
      <c r="X177" s="20">
        <v>536</v>
      </c>
      <c r="Y177" s="20" t="s">
        <v>1934</v>
      </c>
      <c r="Z177" s="20">
        <v>0.5</v>
      </c>
      <c r="AA177" s="20" t="s">
        <v>1935</v>
      </c>
      <c r="AB177" s="20" t="s">
        <v>109</v>
      </c>
      <c r="AC177" s="20" t="s">
        <v>110</v>
      </c>
      <c r="AD177" s="20" t="s">
        <v>1936</v>
      </c>
      <c r="AE177" s="20" t="s">
        <v>91</v>
      </c>
      <c r="AF177" s="20">
        <v>0.5</v>
      </c>
      <c r="AG177" s="20">
        <v>0</v>
      </c>
      <c r="AH177" s="20">
        <v>1</v>
      </c>
      <c r="AI177" s="7" t="s">
        <v>98</v>
      </c>
      <c r="AJ177" s="20">
        <v>50</v>
      </c>
      <c r="AK177" s="4" t="s">
        <v>111</v>
      </c>
      <c r="AL177" s="4">
        <v>17</v>
      </c>
      <c r="AM177" s="4">
        <v>17</v>
      </c>
      <c r="AN177" s="4" t="s">
        <v>95</v>
      </c>
      <c r="AO177" s="4" t="s">
        <v>96</v>
      </c>
      <c r="AP177" s="4">
        <v>1</v>
      </c>
      <c r="AQ177" s="20">
        <v>55000</v>
      </c>
      <c r="AR177" s="4">
        <v>41820</v>
      </c>
      <c r="AS177" s="20">
        <v>8333.3333333333321</v>
      </c>
      <c r="AT177" s="20">
        <v>9475.2100000000009</v>
      </c>
      <c r="AU177" s="20">
        <v>1141.8766666666688</v>
      </c>
      <c r="AV177" s="20">
        <v>0</v>
      </c>
      <c r="AW177" s="20">
        <v>1160</v>
      </c>
      <c r="AX177" s="20">
        <v>20</v>
      </c>
      <c r="AY177" s="20">
        <v>1180</v>
      </c>
      <c r="AZ177" s="20">
        <v>6.65</v>
      </c>
      <c r="BA177" s="20">
        <v>0</v>
      </c>
      <c r="BB177" s="6">
        <v>41771</v>
      </c>
      <c r="BC177" s="6">
        <v>0</v>
      </c>
      <c r="BD177" s="6">
        <v>41876</v>
      </c>
      <c r="BE177" s="6">
        <v>41876</v>
      </c>
      <c r="BF177" s="6">
        <v>41932</v>
      </c>
      <c r="BG177" s="6">
        <v>0</v>
      </c>
      <c r="BH177" s="6">
        <v>0</v>
      </c>
      <c r="BI177" s="6">
        <v>0</v>
      </c>
      <c r="BJ177" s="6">
        <v>0</v>
      </c>
      <c r="BK177" s="5" t="s">
        <v>2173</v>
      </c>
      <c r="BL177" s="4" t="s">
        <v>2173</v>
      </c>
      <c r="BM177" s="20">
        <v>50</v>
      </c>
      <c r="BN177" s="20">
        <v>0</v>
      </c>
      <c r="BO177" s="20">
        <v>0</v>
      </c>
      <c r="BP177" s="20">
        <v>0</v>
      </c>
      <c r="BQ177" s="20">
        <v>0</v>
      </c>
      <c r="BR177" s="20">
        <v>0</v>
      </c>
      <c r="BS177" s="20">
        <v>50</v>
      </c>
      <c r="BT177" s="20">
        <v>473760.50000000006</v>
      </c>
      <c r="BU177" s="20">
        <v>2750000</v>
      </c>
      <c r="BV177" s="20">
        <v>5.2769278992233408</v>
      </c>
    </row>
    <row r="178" spans="1:74">
      <c r="A178" s="10">
        <f t="shared" si="10"/>
        <v>0</v>
      </c>
      <c r="B178" s="10">
        <f t="shared" si="11"/>
        <v>0</v>
      </c>
      <c r="C178" s="12">
        <f t="shared" si="12"/>
        <v>5</v>
      </c>
      <c r="D178" s="12">
        <f t="shared" si="13"/>
        <v>10</v>
      </c>
      <c r="E178" s="20" t="s">
        <v>424</v>
      </c>
      <c r="F178" s="20" t="s">
        <v>1451</v>
      </c>
      <c r="G178" s="20" t="s">
        <v>1888</v>
      </c>
      <c r="H178" s="20" t="s">
        <v>1939</v>
      </c>
      <c r="I178" s="20">
        <v>7</v>
      </c>
      <c r="J178" s="20" t="s">
        <v>1938</v>
      </c>
      <c r="K178" s="20" t="s">
        <v>5338</v>
      </c>
      <c r="L178" s="20" t="s">
        <v>1940</v>
      </c>
      <c r="M178" s="20" t="s">
        <v>1451</v>
      </c>
      <c r="N178" s="20" t="s">
        <v>1413</v>
      </c>
      <c r="P178" s="20" t="s">
        <v>1451</v>
      </c>
      <c r="Q178" s="20" t="s">
        <v>1457</v>
      </c>
      <c r="R178" s="20" t="s">
        <v>84</v>
      </c>
      <c r="S178" s="20">
        <v>5</v>
      </c>
      <c r="T178" s="20" t="s">
        <v>106</v>
      </c>
      <c r="U178" s="20" t="s">
        <v>107</v>
      </c>
      <c r="V178" s="20" t="s">
        <v>87</v>
      </c>
      <c r="W178" s="20">
        <v>535</v>
      </c>
      <c r="X178" s="20">
        <v>535</v>
      </c>
      <c r="Y178" s="20" t="s">
        <v>1941</v>
      </c>
      <c r="Z178" s="20">
        <v>0.5</v>
      </c>
      <c r="AA178" s="20" t="s">
        <v>1942</v>
      </c>
      <c r="AB178" s="20" t="s">
        <v>149</v>
      </c>
      <c r="AC178" s="20" t="s">
        <v>150</v>
      </c>
      <c r="AD178" s="20" t="s">
        <v>1943</v>
      </c>
      <c r="AE178" s="20" t="s">
        <v>91</v>
      </c>
      <c r="AF178" s="20">
        <v>0.5</v>
      </c>
      <c r="AG178" s="20">
        <v>0</v>
      </c>
      <c r="AH178" s="20">
        <v>1</v>
      </c>
      <c r="AI178" s="7" t="s">
        <v>97</v>
      </c>
      <c r="AJ178" s="20">
        <v>250</v>
      </c>
      <c r="AK178" s="4" t="s">
        <v>111</v>
      </c>
      <c r="AL178" s="4">
        <v>17</v>
      </c>
      <c r="AM178" s="4">
        <v>17</v>
      </c>
      <c r="AN178" s="4" t="s">
        <v>95</v>
      </c>
      <c r="AO178" s="4" t="s">
        <v>96</v>
      </c>
      <c r="AP178" s="4">
        <v>1</v>
      </c>
      <c r="AQ178" s="20">
        <v>55000</v>
      </c>
      <c r="AR178" s="4">
        <v>41820</v>
      </c>
      <c r="AS178" s="20">
        <v>8333.3333333333321</v>
      </c>
      <c r="AT178" s="20">
        <v>9225.7300000000014</v>
      </c>
      <c r="AU178" s="20">
        <v>892.39666666666926</v>
      </c>
      <c r="AV178" s="20">
        <v>0</v>
      </c>
      <c r="AW178" s="20">
        <v>1160</v>
      </c>
      <c r="AX178" s="20">
        <v>20</v>
      </c>
      <c r="AY178" s="20">
        <v>1180</v>
      </c>
      <c r="AZ178" s="20">
        <v>6.45</v>
      </c>
      <c r="BA178" s="20">
        <v>0</v>
      </c>
      <c r="BB178" s="6">
        <v>41771</v>
      </c>
      <c r="BC178" s="6">
        <v>0</v>
      </c>
      <c r="BD178" s="6">
        <v>41876</v>
      </c>
      <c r="BE178" s="6">
        <v>41876</v>
      </c>
      <c r="BF178" s="6">
        <v>41932</v>
      </c>
      <c r="BG178" s="6">
        <v>0</v>
      </c>
      <c r="BH178" s="6">
        <v>0</v>
      </c>
      <c r="BI178" s="6">
        <v>0</v>
      </c>
      <c r="BJ178" s="6">
        <v>0</v>
      </c>
      <c r="BK178" s="5" t="s">
        <v>2173</v>
      </c>
      <c r="BL178" s="4" t="s">
        <v>2173</v>
      </c>
      <c r="BM178" s="20">
        <v>252</v>
      </c>
      <c r="BN178" s="20">
        <v>0</v>
      </c>
      <c r="BO178" s="20">
        <v>0</v>
      </c>
      <c r="BP178" s="20">
        <v>0</v>
      </c>
      <c r="BQ178" s="20">
        <v>0</v>
      </c>
      <c r="BR178" s="20">
        <v>0</v>
      </c>
      <c r="BS178" s="20">
        <v>250</v>
      </c>
      <c r="BT178" s="20">
        <v>2306432.5000000005</v>
      </c>
      <c r="BU178" s="20">
        <v>13750000</v>
      </c>
      <c r="BV178" s="20">
        <v>5.4196253304616526</v>
      </c>
    </row>
    <row r="179" spans="1:74">
      <c r="A179" s="10">
        <f t="shared" si="10"/>
        <v>0</v>
      </c>
      <c r="B179" s="10">
        <f t="shared" si="11"/>
        <v>0</v>
      </c>
      <c r="C179" s="12">
        <f t="shared" si="12"/>
        <v>5</v>
      </c>
      <c r="D179" s="12">
        <f t="shared" si="13"/>
        <v>10</v>
      </c>
      <c r="E179" s="20" t="s">
        <v>424</v>
      </c>
      <c r="F179" s="20" t="s">
        <v>1451</v>
      </c>
      <c r="G179" s="20" t="s">
        <v>1888</v>
      </c>
      <c r="H179" s="20" t="s">
        <v>1939</v>
      </c>
      <c r="I179" s="20">
        <v>7</v>
      </c>
      <c r="J179" s="20" t="s">
        <v>1938</v>
      </c>
      <c r="K179" s="20" t="s">
        <v>5339</v>
      </c>
      <c r="L179" s="20" t="s">
        <v>1940</v>
      </c>
      <c r="M179" s="20" t="s">
        <v>1451</v>
      </c>
      <c r="N179" s="20" t="s">
        <v>1413</v>
      </c>
      <c r="P179" s="20" t="s">
        <v>1451</v>
      </c>
      <c r="Q179" s="20" t="s">
        <v>1457</v>
      </c>
      <c r="R179" s="20" t="s">
        <v>84</v>
      </c>
      <c r="S179" s="20">
        <v>5</v>
      </c>
      <c r="T179" s="20" t="s">
        <v>106</v>
      </c>
      <c r="U179" s="20" t="s">
        <v>107</v>
      </c>
      <c r="V179" s="20" t="s">
        <v>87</v>
      </c>
      <c r="W179" s="20">
        <v>535</v>
      </c>
      <c r="X179" s="20">
        <v>535</v>
      </c>
      <c r="Y179" s="20" t="s">
        <v>1941</v>
      </c>
      <c r="Z179" s="20">
        <v>0.5</v>
      </c>
      <c r="AA179" s="20" t="s">
        <v>1942</v>
      </c>
      <c r="AB179" s="20" t="s">
        <v>149</v>
      </c>
      <c r="AC179" s="20" t="s">
        <v>150</v>
      </c>
      <c r="AD179" s="20" t="s">
        <v>1943</v>
      </c>
      <c r="AE179" s="20" t="s">
        <v>91</v>
      </c>
      <c r="AF179" s="20">
        <v>0.5</v>
      </c>
      <c r="AG179" s="20">
        <v>0</v>
      </c>
      <c r="AH179" s="20">
        <v>1</v>
      </c>
      <c r="AI179" s="7" t="s">
        <v>98</v>
      </c>
      <c r="AJ179" s="20">
        <v>100</v>
      </c>
      <c r="AK179" s="4" t="s">
        <v>111</v>
      </c>
      <c r="AL179" s="4">
        <v>17</v>
      </c>
      <c r="AM179" s="4">
        <v>17</v>
      </c>
      <c r="AN179" s="4" t="s">
        <v>95</v>
      </c>
      <c r="AO179" s="4" t="s">
        <v>96</v>
      </c>
      <c r="AP179" s="4">
        <v>1</v>
      </c>
      <c r="AQ179" s="20">
        <v>55000</v>
      </c>
      <c r="AR179" s="4">
        <v>41820</v>
      </c>
      <c r="AS179" s="20">
        <v>8333.3333333333321</v>
      </c>
      <c r="AT179" s="20">
        <v>9225.7300000000014</v>
      </c>
      <c r="AU179" s="20">
        <v>892.39666666666926</v>
      </c>
      <c r="AV179" s="20">
        <v>0</v>
      </c>
      <c r="AW179" s="20">
        <v>1160</v>
      </c>
      <c r="AX179" s="20">
        <v>20</v>
      </c>
      <c r="AY179" s="20">
        <v>1180</v>
      </c>
      <c r="AZ179" s="20">
        <v>6.45</v>
      </c>
      <c r="BA179" s="20">
        <v>0</v>
      </c>
      <c r="BB179" s="6">
        <v>41771</v>
      </c>
      <c r="BC179" s="6">
        <v>0</v>
      </c>
      <c r="BD179" s="6">
        <v>41876</v>
      </c>
      <c r="BE179" s="6">
        <v>41876</v>
      </c>
      <c r="BF179" s="6">
        <v>41932</v>
      </c>
      <c r="BG179" s="6">
        <v>0</v>
      </c>
      <c r="BH179" s="6">
        <v>0</v>
      </c>
      <c r="BI179" s="6">
        <v>0</v>
      </c>
      <c r="BJ179" s="6">
        <v>0</v>
      </c>
      <c r="BK179" s="5" t="s">
        <v>2173</v>
      </c>
      <c r="BL179" s="4" t="s">
        <v>2173</v>
      </c>
      <c r="BM179" s="20">
        <v>100</v>
      </c>
      <c r="BN179" s="20">
        <v>0</v>
      </c>
      <c r="BO179" s="20">
        <v>0</v>
      </c>
      <c r="BP179" s="20">
        <v>0</v>
      </c>
      <c r="BQ179" s="20">
        <v>0</v>
      </c>
      <c r="BR179" s="20">
        <v>0</v>
      </c>
      <c r="BS179" s="20">
        <v>100</v>
      </c>
      <c r="BT179" s="20">
        <v>922573.00000000012</v>
      </c>
      <c r="BU179" s="20">
        <v>5500000</v>
      </c>
      <c r="BV179" s="20">
        <v>5.4196253304616535</v>
      </c>
    </row>
    <row r="180" spans="1:74">
      <c r="A180" s="10">
        <f t="shared" si="10"/>
        <v>0</v>
      </c>
      <c r="B180" s="10">
        <f t="shared" si="11"/>
        <v>0</v>
      </c>
      <c r="C180" s="12" t="str">
        <f t="shared" si="12"/>
        <v/>
      </c>
      <c r="D180" s="12" t="str">
        <f t="shared" si="13"/>
        <v/>
      </c>
      <c r="E180" s="20" t="s">
        <v>91</v>
      </c>
      <c r="F180" s="20" t="s">
        <v>91</v>
      </c>
      <c r="G180" s="20" t="s">
        <v>91</v>
      </c>
      <c r="H180" s="20" t="s">
        <v>91</v>
      </c>
      <c r="I180" s="20">
        <v>0</v>
      </c>
      <c r="J180" s="20" t="s">
        <v>103</v>
      </c>
      <c r="K180" s="20" t="s">
        <v>104</v>
      </c>
      <c r="L180" s="20">
        <v>0</v>
      </c>
      <c r="M180" s="20" t="s">
        <v>105</v>
      </c>
      <c r="N180" s="20" t="s">
        <v>91</v>
      </c>
      <c r="O180" s="20" t="s">
        <v>1944</v>
      </c>
      <c r="Q180" s="20" t="s">
        <v>91</v>
      </c>
      <c r="R180" s="20" t="s">
        <v>91</v>
      </c>
      <c r="S180" s="20" t="s">
        <v>91</v>
      </c>
      <c r="U180" s="20" t="s">
        <v>91</v>
      </c>
      <c r="X180" s="20" t="s">
        <v>91</v>
      </c>
      <c r="Y180" s="20" t="s">
        <v>91</v>
      </c>
      <c r="Z180" s="20">
        <v>6.9999999999999991</v>
      </c>
      <c r="AB180" s="20" t="s">
        <v>91</v>
      </c>
      <c r="AD180" s="20" t="s">
        <v>91</v>
      </c>
      <c r="AE180" s="20" t="s">
        <v>91</v>
      </c>
      <c r="AF180" s="20">
        <v>6.9999999999999991</v>
      </c>
      <c r="AG180" s="20">
        <v>0</v>
      </c>
      <c r="AH180" s="20">
        <v>1</v>
      </c>
      <c r="AI180" s="7"/>
      <c r="AJ180" s="20">
        <v>2400</v>
      </c>
      <c r="AM180" s="4" t="s">
        <v>91</v>
      </c>
      <c r="AP180" s="4" t="s">
        <v>91</v>
      </c>
      <c r="AQ180" s="20">
        <v>0</v>
      </c>
      <c r="AR180" s="4">
        <v>0</v>
      </c>
      <c r="AV180" s="20">
        <v>0</v>
      </c>
      <c r="AW180" s="20">
        <v>0</v>
      </c>
      <c r="AX180" s="20" t="s">
        <v>91</v>
      </c>
      <c r="AY180" s="20">
        <v>0</v>
      </c>
      <c r="AZ180" s="20">
        <v>13507.5</v>
      </c>
      <c r="BA180" s="20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0</v>
      </c>
      <c r="BG180" s="6">
        <v>0</v>
      </c>
      <c r="BH180" s="6">
        <v>0</v>
      </c>
      <c r="BI180" s="6">
        <v>0</v>
      </c>
      <c r="BJ180" s="6">
        <v>0</v>
      </c>
      <c r="BK180" s="5">
        <v>0</v>
      </c>
      <c r="BL180" s="4">
        <v>0</v>
      </c>
      <c r="BM180" s="20">
        <v>2334</v>
      </c>
      <c r="BN180" s="20">
        <v>44</v>
      </c>
      <c r="BO180" s="20">
        <v>0</v>
      </c>
      <c r="BP180" s="20">
        <v>0</v>
      </c>
      <c r="BQ180" s="20">
        <v>0</v>
      </c>
      <c r="BR180" s="20">
        <v>0</v>
      </c>
      <c r="BS180" s="20">
        <v>2400</v>
      </c>
      <c r="BT180" s="20">
        <v>19681255.5</v>
      </c>
      <c r="BU180" s="20">
        <v>123900000</v>
      </c>
      <c r="BV180" s="20">
        <v>5.7230273564795517</v>
      </c>
    </row>
    <row r="181" spans="1:74">
      <c r="A181" s="10">
        <f t="shared" si="10"/>
        <v>0</v>
      </c>
      <c r="B181" s="10">
        <f t="shared" si="11"/>
        <v>0</v>
      </c>
      <c r="C181" s="12">
        <f t="shared" si="12"/>
        <v>5</v>
      </c>
      <c r="D181" s="12">
        <f t="shared" si="13"/>
        <v>9</v>
      </c>
      <c r="E181" s="20" t="s">
        <v>424</v>
      </c>
      <c r="F181" s="20" t="s">
        <v>1451</v>
      </c>
      <c r="G181" s="20" t="s">
        <v>1945</v>
      </c>
      <c r="H181" s="20" t="s">
        <v>1946</v>
      </c>
      <c r="I181" s="20">
        <v>1</v>
      </c>
      <c r="J181" s="20" t="s">
        <v>1947</v>
      </c>
      <c r="K181" s="20" t="s">
        <v>1948</v>
      </c>
      <c r="L181" s="20" t="s">
        <v>1949</v>
      </c>
      <c r="M181" s="20" t="s">
        <v>1451</v>
      </c>
      <c r="N181" s="20" t="s">
        <v>1413</v>
      </c>
      <c r="P181" s="20" t="s">
        <v>1451</v>
      </c>
      <c r="Q181" s="20" t="s">
        <v>1457</v>
      </c>
      <c r="R181" s="20" t="s">
        <v>84</v>
      </c>
      <c r="S181" s="20">
        <v>5</v>
      </c>
      <c r="T181" s="20" t="s">
        <v>124</v>
      </c>
      <c r="U181" s="20" t="s">
        <v>125</v>
      </c>
      <c r="V181" s="20" t="s">
        <v>87</v>
      </c>
      <c r="W181" s="20">
        <v>507</v>
      </c>
      <c r="X181" s="20">
        <v>507</v>
      </c>
      <c r="Y181" s="20" t="s">
        <v>1950</v>
      </c>
      <c r="Z181" s="20">
        <v>0.16666666666666666</v>
      </c>
      <c r="AA181" s="20" t="s">
        <v>1951</v>
      </c>
      <c r="AB181" s="20" t="s">
        <v>109</v>
      </c>
      <c r="AC181" s="20" t="s">
        <v>110</v>
      </c>
      <c r="AD181" s="20" t="s">
        <v>1952</v>
      </c>
      <c r="AE181" s="20" t="s">
        <v>91</v>
      </c>
      <c r="AF181" s="20">
        <v>0.5</v>
      </c>
      <c r="AG181" s="20">
        <v>0</v>
      </c>
      <c r="AH181" s="20">
        <v>1</v>
      </c>
      <c r="AI181" s="7" t="s">
        <v>97</v>
      </c>
      <c r="AJ181" s="20">
        <v>120</v>
      </c>
      <c r="AK181" s="4" t="s">
        <v>93</v>
      </c>
      <c r="AL181" s="4">
        <v>6</v>
      </c>
      <c r="AM181" s="4" t="s">
        <v>112</v>
      </c>
      <c r="AN181" s="4" t="s">
        <v>95</v>
      </c>
      <c r="AO181" s="4" t="s">
        <v>189</v>
      </c>
      <c r="AP181" s="4">
        <v>1</v>
      </c>
      <c r="AQ181" s="20">
        <v>45000</v>
      </c>
      <c r="AR181" s="4">
        <v>41820</v>
      </c>
      <c r="AS181" s="20">
        <v>6818.1818181818171</v>
      </c>
      <c r="AT181" s="20">
        <v>7872.2500000000009</v>
      </c>
      <c r="AU181" s="20">
        <v>1054.0681818181838</v>
      </c>
      <c r="AV181" s="20">
        <v>0</v>
      </c>
      <c r="AW181" s="20">
        <v>980</v>
      </c>
      <c r="AX181" s="20">
        <v>20</v>
      </c>
      <c r="AY181" s="20">
        <v>1000</v>
      </c>
      <c r="AZ181" s="20">
        <v>5.95</v>
      </c>
      <c r="BA181" s="20">
        <v>0</v>
      </c>
      <c r="BB181" s="6">
        <v>41771</v>
      </c>
      <c r="BC181" s="6">
        <v>0</v>
      </c>
      <c r="BD181" s="6">
        <v>41862</v>
      </c>
      <c r="BE181" s="6">
        <v>41892</v>
      </c>
      <c r="BF181" s="6">
        <v>41907</v>
      </c>
      <c r="BG181" s="6">
        <v>0</v>
      </c>
      <c r="BH181" s="6">
        <v>0</v>
      </c>
      <c r="BI181" s="6">
        <v>0</v>
      </c>
      <c r="BJ181" s="6">
        <v>0</v>
      </c>
      <c r="BK181" s="5" t="s">
        <v>401</v>
      </c>
      <c r="BL181" s="4" t="s">
        <v>401</v>
      </c>
      <c r="BM181" s="20">
        <v>120</v>
      </c>
      <c r="BN181" s="20">
        <v>0</v>
      </c>
      <c r="BO181" s="20">
        <v>0</v>
      </c>
      <c r="BP181" s="20">
        <v>0</v>
      </c>
      <c r="BQ181" s="20">
        <v>0</v>
      </c>
      <c r="BR181" s="20">
        <v>0</v>
      </c>
      <c r="BS181" s="20">
        <v>120</v>
      </c>
      <c r="BT181" s="20">
        <v>944670.00000000012</v>
      </c>
      <c r="BU181" s="20">
        <v>5400000</v>
      </c>
      <c r="BV181" s="20">
        <v>5.1966198874643084</v>
      </c>
    </row>
    <row r="182" spans="1:74">
      <c r="A182" s="10">
        <f t="shared" si="10"/>
        <v>0</v>
      </c>
      <c r="B182" s="10">
        <f t="shared" si="11"/>
        <v>0</v>
      </c>
      <c r="C182" s="12">
        <f t="shared" si="12"/>
        <v>5</v>
      </c>
      <c r="D182" s="12">
        <f t="shared" si="13"/>
        <v>9</v>
      </c>
      <c r="E182" s="20" t="s">
        <v>424</v>
      </c>
      <c r="F182" s="20" t="s">
        <v>1451</v>
      </c>
      <c r="G182" s="20" t="s">
        <v>1945</v>
      </c>
      <c r="H182" s="20" t="s">
        <v>1946</v>
      </c>
      <c r="I182" s="20">
        <v>1</v>
      </c>
      <c r="J182" s="20" t="s">
        <v>1947</v>
      </c>
      <c r="K182" s="20" t="s">
        <v>1953</v>
      </c>
      <c r="L182" s="20" t="s">
        <v>1949</v>
      </c>
      <c r="M182" s="20" t="s">
        <v>1451</v>
      </c>
      <c r="N182" s="20" t="s">
        <v>1413</v>
      </c>
      <c r="P182" s="20" t="s">
        <v>1451</v>
      </c>
      <c r="Q182" s="20" t="s">
        <v>1457</v>
      </c>
      <c r="R182" s="20" t="s">
        <v>84</v>
      </c>
      <c r="S182" s="20">
        <v>5</v>
      </c>
      <c r="T182" s="20" t="s">
        <v>124</v>
      </c>
      <c r="U182" s="20" t="s">
        <v>125</v>
      </c>
      <c r="V182" s="20" t="s">
        <v>87</v>
      </c>
      <c r="W182" s="20">
        <v>507</v>
      </c>
      <c r="X182" s="20">
        <v>507</v>
      </c>
      <c r="Y182" s="20" t="s">
        <v>1950</v>
      </c>
      <c r="Z182" s="20">
        <v>0.16666666666666666</v>
      </c>
      <c r="AA182" s="20" t="s">
        <v>1951</v>
      </c>
      <c r="AB182" s="20" t="s">
        <v>109</v>
      </c>
      <c r="AC182" s="20" t="s">
        <v>110</v>
      </c>
      <c r="AD182" s="20" t="s">
        <v>1952</v>
      </c>
      <c r="AE182" s="20" t="s">
        <v>91</v>
      </c>
      <c r="AF182" s="20">
        <v>0.5</v>
      </c>
      <c r="AG182" s="20">
        <v>0</v>
      </c>
      <c r="AH182" s="20">
        <v>1</v>
      </c>
      <c r="AI182" s="7" t="s">
        <v>98</v>
      </c>
      <c r="AJ182" s="20">
        <v>60</v>
      </c>
      <c r="AK182" s="4" t="s">
        <v>93</v>
      </c>
      <c r="AL182" s="4">
        <v>6</v>
      </c>
      <c r="AM182" s="4" t="s">
        <v>112</v>
      </c>
      <c r="AN182" s="4" t="s">
        <v>95</v>
      </c>
      <c r="AO182" s="4" t="s">
        <v>189</v>
      </c>
      <c r="AP182" s="4">
        <v>1</v>
      </c>
      <c r="AQ182" s="20">
        <v>45000</v>
      </c>
      <c r="AR182" s="4">
        <v>41820</v>
      </c>
      <c r="AS182" s="20">
        <v>6818.1818181818171</v>
      </c>
      <c r="AT182" s="20">
        <v>7872.2500000000009</v>
      </c>
      <c r="AU182" s="20">
        <v>1054.0681818181838</v>
      </c>
      <c r="AV182" s="20">
        <v>0</v>
      </c>
      <c r="AW182" s="20">
        <v>980</v>
      </c>
      <c r="AX182" s="20">
        <v>20</v>
      </c>
      <c r="AY182" s="20">
        <v>1000</v>
      </c>
      <c r="AZ182" s="20">
        <v>5.95</v>
      </c>
      <c r="BA182" s="20">
        <v>0</v>
      </c>
      <c r="BB182" s="6">
        <v>41771</v>
      </c>
      <c r="BC182" s="6">
        <v>0</v>
      </c>
      <c r="BD182" s="6">
        <v>41862</v>
      </c>
      <c r="BE182" s="6">
        <v>41892</v>
      </c>
      <c r="BF182" s="6">
        <v>41907</v>
      </c>
      <c r="BG182" s="6">
        <v>0</v>
      </c>
      <c r="BH182" s="6">
        <v>0</v>
      </c>
      <c r="BI182" s="6">
        <v>0</v>
      </c>
      <c r="BJ182" s="6">
        <v>0</v>
      </c>
      <c r="BK182" s="5" t="s">
        <v>401</v>
      </c>
      <c r="BL182" s="4" t="s">
        <v>401</v>
      </c>
      <c r="BM182" s="20">
        <v>60</v>
      </c>
      <c r="BN182" s="20">
        <v>0</v>
      </c>
      <c r="BO182" s="20">
        <v>0</v>
      </c>
      <c r="BP182" s="20">
        <v>0</v>
      </c>
      <c r="BQ182" s="20">
        <v>0</v>
      </c>
      <c r="BR182" s="20">
        <v>0</v>
      </c>
      <c r="BS182" s="20">
        <v>60</v>
      </c>
      <c r="BT182" s="20">
        <v>472335.00000000006</v>
      </c>
      <c r="BU182" s="20">
        <v>2700000</v>
      </c>
      <c r="BV182" s="20">
        <v>5.1966198874643084</v>
      </c>
    </row>
    <row r="183" spans="1:74">
      <c r="A183" s="10">
        <f t="shared" si="10"/>
        <v>0</v>
      </c>
      <c r="B183" s="10">
        <f t="shared" si="11"/>
        <v>0</v>
      </c>
      <c r="C183" s="12">
        <f t="shared" si="12"/>
        <v>5</v>
      </c>
      <c r="D183" s="12">
        <f t="shared" si="13"/>
        <v>9</v>
      </c>
      <c r="E183" s="20" t="s">
        <v>424</v>
      </c>
      <c r="F183" s="20" t="s">
        <v>1451</v>
      </c>
      <c r="G183" s="20" t="s">
        <v>1945</v>
      </c>
      <c r="H183" s="20" t="s">
        <v>1954</v>
      </c>
      <c r="I183" s="20">
        <v>2</v>
      </c>
      <c r="J183" s="20" t="s">
        <v>1955</v>
      </c>
      <c r="K183" s="20" t="s">
        <v>1956</v>
      </c>
      <c r="L183" s="20" t="s">
        <v>1949</v>
      </c>
      <c r="M183" s="20" t="s">
        <v>1451</v>
      </c>
      <c r="N183" s="20" t="s">
        <v>1413</v>
      </c>
      <c r="P183" s="20" t="s">
        <v>1451</v>
      </c>
      <c r="Q183" s="20" t="s">
        <v>1457</v>
      </c>
      <c r="R183" s="20" t="s">
        <v>84</v>
      </c>
      <c r="S183" s="20">
        <v>5</v>
      </c>
      <c r="T183" s="20" t="s">
        <v>124</v>
      </c>
      <c r="U183" s="20" t="s">
        <v>125</v>
      </c>
      <c r="V183" s="20" t="s">
        <v>87</v>
      </c>
      <c r="W183" s="20">
        <v>507</v>
      </c>
      <c r="X183" s="20">
        <v>507</v>
      </c>
      <c r="Y183" s="20" t="s">
        <v>1950</v>
      </c>
      <c r="Z183" s="20">
        <v>0.16666666666666666</v>
      </c>
      <c r="AA183" s="20" t="s">
        <v>1957</v>
      </c>
      <c r="AB183" s="20" t="s">
        <v>101</v>
      </c>
      <c r="AC183" s="20" t="s">
        <v>102</v>
      </c>
      <c r="AD183" s="20" t="s">
        <v>1958</v>
      </c>
      <c r="AE183" s="20" t="s">
        <v>91</v>
      </c>
      <c r="AF183" s="20">
        <v>0.33333333333333331</v>
      </c>
      <c r="AG183" s="20">
        <v>0</v>
      </c>
      <c r="AH183" s="20">
        <v>1</v>
      </c>
      <c r="AI183" s="7" t="s">
        <v>97</v>
      </c>
      <c r="AJ183" s="20">
        <v>120</v>
      </c>
      <c r="AK183" s="4" t="s">
        <v>93</v>
      </c>
      <c r="AL183" s="4">
        <v>6</v>
      </c>
      <c r="AM183" s="4" t="s">
        <v>112</v>
      </c>
      <c r="AN183" s="4" t="s">
        <v>95</v>
      </c>
      <c r="AO183" s="4" t="s">
        <v>189</v>
      </c>
      <c r="AP183" s="4">
        <v>1</v>
      </c>
      <c r="AQ183" s="20">
        <v>45000</v>
      </c>
      <c r="AR183" s="4">
        <v>41820</v>
      </c>
      <c r="AS183" s="20">
        <v>6818.1818181818171</v>
      </c>
      <c r="AT183" s="20">
        <v>7872.2500000000009</v>
      </c>
      <c r="AU183" s="20">
        <v>1054.0681818181838</v>
      </c>
      <c r="AV183" s="20">
        <v>0</v>
      </c>
      <c r="AW183" s="20">
        <v>980</v>
      </c>
      <c r="AX183" s="20">
        <v>20</v>
      </c>
      <c r="AY183" s="20">
        <v>1000</v>
      </c>
      <c r="AZ183" s="20">
        <v>5.95</v>
      </c>
      <c r="BA183" s="20">
        <v>0</v>
      </c>
      <c r="BB183" s="6">
        <v>41771</v>
      </c>
      <c r="BC183" s="6">
        <v>0</v>
      </c>
      <c r="BD183" s="6">
        <v>41862</v>
      </c>
      <c r="BE183" s="6">
        <v>41892</v>
      </c>
      <c r="BF183" s="6">
        <v>41897</v>
      </c>
      <c r="BG183" s="6">
        <v>41900</v>
      </c>
      <c r="BH183" s="6">
        <v>0</v>
      </c>
      <c r="BI183" s="6">
        <v>0</v>
      </c>
      <c r="BJ183" s="6">
        <v>0</v>
      </c>
      <c r="BK183" s="5" t="s">
        <v>401</v>
      </c>
      <c r="BL183" s="4" t="s">
        <v>401</v>
      </c>
      <c r="BM183" s="20">
        <v>120</v>
      </c>
      <c r="BN183" s="20">
        <v>0</v>
      </c>
      <c r="BO183" s="20">
        <v>0</v>
      </c>
      <c r="BP183" s="20">
        <v>0</v>
      </c>
      <c r="BQ183" s="20">
        <v>0</v>
      </c>
      <c r="BR183" s="20">
        <v>0</v>
      </c>
      <c r="BS183" s="20">
        <v>120</v>
      </c>
      <c r="BT183" s="20">
        <v>944670.00000000012</v>
      </c>
      <c r="BU183" s="20">
        <v>5400000</v>
      </c>
      <c r="BV183" s="20">
        <v>5.1966198874643084</v>
      </c>
    </row>
    <row r="184" spans="1:74">
      <c r="A184" s="10">
        <f t="shared" si="10"/>
        <v>0</v>
      </c>
      <c r="B184" s="10">
        <f t="shared" si="11"/>
        <v>0</v>
      </c>
      <c r="C184" s="12">
        <f t="shared" si="12"/>
        <v>5</v>
      </c>
      <c r="D184" s="12">
        <f t="shared" si="13"/>
        <v>9</v>
      </c>
      <c r="E184" s="20" t="s">
        <v>424</v>
      </c>
      <c r="F184" s="20" t="s">
        <v>1451</v>
      </c>
      <c r="G184" s="20" t="s">
        <v>1945</v>
      </c>
      <c r="H184" s="20" t="s">
        <v>1954</v>
      </c>
      <c r="I184" s="20">
        <v>2</v>
      </c>
      <c r="J184" s="20" t="s">
        <v>1955</v>
      </c>
      <c r="K184" s="20" t="s">
        <v>1959</v>
      </c>
      <c r="L184" s="20" t="s">
        <v>1949</v>
      </c>
      <c r="M184" s="20" t="s">
        <v>1451</v>
      </c>
      <c r="N184" s="20" t="s">
        <v>1413</v>
      </c>
      <c r="P184" s="20" t="s">
        <v>1451</v>
      </c>
      <c r="Q184" s="20" t="s">
        <v>1457</v>
      </c>
      <c r="R184" s="20" t="s">
        <v>84</v>
      </c>
      <c r="S184" s="20">
        <v>5</v>
      </c>
      <c r="T184" s="20" t="s">
        <v>124</v>
      </c>
      <c r="U184" s="20" t="s">
        <v>125</v>
      </c>
      <c r="V184" s="20" t="s">
        <v>87</v>
      </c>
      <c r="W184" s="20">
        <v>507</v>
      </c>
      <c r="X184" s="20">
        <v>507</v>
      </c>
      <c r="Y184" s="20" t="s">
        <v>1950</v>
      </c>
      <c r="Z184" s="20">
        <v>0.16666666666666666</v>
      </c>
      <c r="AA184" s="20" t="s">
        <v>1957</v>
      </c>
      <c r="AB184" s="20" t="s">
        <v>101</v>
      </c>
      <c r="AC184" s="20" t="s">
        <v>102</v>
      </c>
      <c r="AD184" s="20" t="s">
        <v>1958</v>
      </c>
      <c r="AE184" s="20" t="s">
        <v>91</v>
      </c>
      <c r="AF184" s="20">
        <v>0.33333333333333331</v>
      </c>
      <c r="AG184" s="20">
        <v>0</v>
      </c>
      <c r="AH184" s="20">
        <v>1</v>
      </c>
      <c r="AI184" s="7" t="s">
        <v>98</v>
      </c>
      <c r="AJ184" s="20">
        <v>60</v>
      </c>
      <c r="AK184" s="4" t="s">
        <v>93</v>
      </c>
      <c r="AL184" s="4">
        <v>6</v>
      </c>
      <c r="AM184" s="4" t="s">
        <v>112</v>
      </c>
      <c r="AN184" s="4" t="s">
        <v>95</v>
      </c>
      <c r="AO184" s="4" t="s">
        <v>189</v>
      </c>
      <c r="AP184" s="4">
        <v>1</v>
      </c>
      <c r="AQ184" s="20">
        <v>45000</v>
      </c>
      <c r="AR184" s="4">
        <v>41820</v>
      </c>
      <c r="AS184" s="20">
        <v>6818.1818181818171</v>
      </c>
      <c r="AT184" s="20">
        <v>7872.2500000000009</v>
      </c>
      <c r="AU184" s="20">
        <v>1054.0681818181838</v>
      </c>
      <c r="AV184" s="20">
        <v>0</v>
      </c>
      <c r="AW184" s="20">
        <v>980</v>
      </c>
      <c r="AX184" s="20">
        <v>20</v>
      </c>
      <c r="AY184" s="20">
        <v>1000</v>
      </c>
      <c r="AZ184" s="20">
        <v>5.95</v>
      </c>
      <c r="BA184" s="20">
        <v>0</v>
      </c>
      <c r="BB184" s="6">
        <v>41771</v>
      </c>
      <c r="BC184" s="6">
        <v>0</v>
      </c>
      <c r="BD184" s="6">
        <v>41862</v>
      </c>
      <c r="BE184" s="6">
        <v>41892</v>
      </c>
      <c r="BF184" s="6">
        <v>41897</v>
      </c>
      <c r="BG184" s="6">
        <v>41900</v>
      </c>
      <c r="BH184" s="6">
        <v>0</v>
      </c>
      <c r="BI184" s="6">
        <v>0</v>
      </c>
      <c r="BJ184" s="6">
        <v>0</v>
      </c>
      <c r="BK184" s="5" t="s">
        <v>401</v>
      </c>
      <c r="BL184" s="4" t="s">
        <v>401</v>
      </c>
      <c r="BM184" s="20">
        <v>60</v>
      </c>
      <c r="BN184" s="20">
        <v>0</v>
      </c>
      <c r="BO184" s="20">
        <v>0</v>
      </c>
      <c r="BP184" s="20">
        <v>0</v>
      </c>
      <c r="BQ184" s="20">
        <v>0</v>
      </c>
      <c r="BR184" s="20">
        <v>0</v>
      </c>
      <c r="BS184" s="20">
        <v>60</v>
      </c>
      <c r="BT184" s="20">
        <v>472335.00000000006</v>
      </c>
      <c r="BU184" s="20">
        <v>2700000</v>
      </c>
      <c r="BV184" s="20">
        <v>5.1966198874643084</v>
      </c>
    </row>
    <row r="185" spans="1:74">
      <c r="A185" s="10">
        <f t="shared" si="10"/>
        <v>0</v>
      </c>
      <c r="B185" s="10">
        <f t="shared" si="11"/>
        <v>0</v>
      </c>
      <c r="C185" s="12">
        <f t="shared" si="12"/>
        <v>5</v>
      </c>
      <c r="D185" s="12">
        <f t="shared" si="13"/>
        <v>9</v>
      </c>
      <c r="E185" s="20" t="s">
        <v>424</v>
      </c>
      <c r="F185" s="20" t="s">
        <v>1451</v>
      </c>
      <c r="G185" s="20" t="s">
        <v>1945</v>
      </c>
      <c r="H185" s="20" t="s">
        <v>1954</v>
      </c>
      <c r="I185" s="20">
        <v>2</v>
      </c>
      <c r="J185" s="20" t="s">
        <v>1955</v>
      </c>
      <c r="K185" s="20" t="s">
        <v>1960</v>
      </c>
      <c r="L185" s="20" t="s">
        <v>1949</v>
      </c>
      <c r="M185" s="20" t="s">
        <v>1451</v>
      </c>
      <c r="N185" s="20" t="s">
        <v>1413</v>
      </c>
      <c r="P185" s="20" t="s">
        <v>1451</v>
      </c>
      <c r="Q185" s="20" t="s">
        <v>1457</v>
      </c>
      <c r="R185" s="20" t="s">
        <v>84</v>
      </c>
      <c r="S185" s="20">
        <v>5</v>
      </c>
      <c r="T185" s="20" t="s">
        <v>124</v>
      </c>
      <c r="U185" s="20" t="s">
        <v>125</v>
      </c>
      <c r="V185" s="20" t="s">
        <v>87</v>
      </c>
      <c r="W185" s="20">
        <v>507</v>
      </c>
      <c r="X185" s="20">
        <v>507</v>
      </c>
      <c r="Y185" s="20" t="s">
        <v>1950</v>
      </c>
      <c r="Z185" s="20">
        <v>0.16666666666666666</v>
      </c>
      <c r="AA185" s="20" t="s">
        <v>1957</v>
      </c>
      <c r="AB185" s="20" t="s">
        <v>101</v>
      </c>
      <c r="AC185" s="20" t="s">
        <v>102</v>
      </c>
      <c r="AD185" s="20" t="s">
        <v>1958</v>
      </c>
      <c r="AE185" s="20" t="s">
        <v>91</v>
      </c>
      <c r="AF185" s="20">
        <v>0.33333333333333331</v>
      </c>
      <c r="AG185" s="20">
        <v>0</v>
      </c>
      <c r="AH185" s="20">
        <v>1</v>
      </c>
      <c r="AI185" s="7" t="s">
        <v>92</v>
      </c>
      <c r="AJ185" s="20">
        <v>300</v>
      </c>
      <c r="AK185" s="4" t="s">
        <v>93</v>
      </c>
      <c r="AL185" s="4">
        <v>6</v>
      </c>
      <c r="AM185" s="4" t="s">
        <v>112</v>
      </c>
      <c r="AN185" s="4" t="s">
        <v>95</v>
      </c>
      <c r="AO185" s="4" t="s">
        <v>189</v>
      </c>
      <c r="AP185" s="4">
        <v>1</v>
      </c>
      <c r="AQ185" s="20">
        <v>45000</v>
      </c>
      <c r="AR185" s="4">
        <v>41820</v>
      </c>
      <c r="AS185" s="20">
        <v>6818.1818181818171</v>
      </c>
      <c r="AT185" s="20">
        <v>7756.75</v>
      </c>
      <c r="AU185" s="20">
        <v>938.56818181818289</v>
      </c>
      <c r="AV185" s="20">
        <v>0</v>
      </c>
      <c r="AW185" s="20">
        <v>980</v>
      </c>
      <c r="AX185" s="20">
        <v>20</v>
      </c>
      <c r="AY185" s="20">
        <v>1000</v>
      </c>
      <c r="AZ185" s="20">
        <v>5.85</v>
      </c>
      <c r="BA185" s="20">
        <v>0</v>
      </c>
      <c r="BB185" s="6">
        <v>41771</v>
      </c>
      <c r="BC185" s="6">
        <v>0</v>
      </c>
      <c r="BD185" s="6">
        <v>41862</v>
      </c>
      <c r="BE185" s="6">
        <v>41892</v>
      </c>
      <c r="BF185" s="6">
        <v>41897</v>
      </c>
      <c r="BG185" s="6">
        <v>41900</v>
      </c>
      <c r="BH185" s="6">
        <v>0</v>
      </c>
      <c r="BI185" s="6">
        <v>0</v>
      </c>
      <c r="BJ185" s="6">
        <v>0</v>
      </c>
      <c r="BK185" s="5" t="s">
        <v>401</v>
      </c>
      <c r="BL185" s="4" t="s">
        <v>401</v>
      </c>
      <c r="BM185" s="20">
        <v>0</v>
      </c>
      <c r="BN185" s="20">
        <v>300</v>
      </c>
      <c r="BO185" s="20">
        <v>0</v>
      </c>
      <c r="BP185" s="20">
        <v>0</v>
      </c>
      <c r="BQ185" s="20">
        <v>0</v>
      </c>
      <c r="BR185" s="20">
        <v>0</v>
      </c>
      <c r="BS185" s="20">
        <v>300</v>
      </c>
      <c r="BT185" s="20">
        <v>2327025</v>
      </c>
      <c r="BU185" s="20">
        <v>13500000</v>
      </c>
      <c r="BV185" s="20">
        <v>5.2739988924602326</v>
      </c>
    </row>
    <row r="186" spans="1:74">
      <c r="A186" s="10">
        <f t="shared" si="10"/>
        <v>0</v>
      </c>
      <c r="B186" s="10">
        <f t="shared" si="11"/>
        <v>0</v>
      </c>
      <c r="C186" s="12">
        <f t="shared" si="12"/>
        <v>5</v>
      </c>
      <c r="D186" s="12">
        <f t="shared" si="13"/>
        <v>9</v>
      </c>
      <c r="E186" s="20" t="s">
        <v>424</v>
      </c>
      <c r="F186" s="20" t="s">
        <v>1451</v>
      </c>
      <c r="G186" s="20" t="s">
        <v>1945</v>
      </c>
      <c r="H186" s="20" t="s">
        <v>1961</v>
      </c>
      <c r="I186" s="20">
        <v>3</v>
      </c>
      <c r="J186" s="20" t="s">
        <v>1962</v>
      </c>
      <c r="K186" s="20" t="s">
        <v>1963</v>
      </c>
      <c r="L186" s="20" t="s">
        <v>1949</v>
      </c>
      <c r="M186" s="20" t="s">
        <v>1451</v>
      </c>
      <c r="N186" s="20" t="s">
        <v>1413</v>
      </c>
      <c r="P186" s="20" t="s">
        <v>1451</v>
      </c>
      <c r="Q186" s="20" t="s">
        <v>1457</v>
      </c>
      <c r="R186" s="20" t="s">
        <v>84</v>
      </c>
      <c r="S186" s="20">
        <v>5</v>
      </c>
      <c r="T186" s="20" t="s">
        <v>124</v>
      </c>
      <c r="U186" s="20" t="s">
        <v>125</v>
      </c>
      <c r="V186" s="20" t="s">
        <v>87</v>
      </c>
      <c r="W186" s="20">
        <v>507</v>
      </c>
      <c r="X186" s="20">
        <v>507</v>
      </c>
      <c r="Y186" s="20" t="s">
        <v>1950</v>
      </c>
      <c r="Z186" s="20">
        <v>0.16666666666666666</v>
      </c>
      <c r="AA186" s="20" t="s">
        <v>1964</v>
      </c>
      <c r="AB186" s="20" t="s">
        <v>139</v>
      </c>
      <c r="AC186" s="20" t="s">
        <v>140</v>
      </c>
      <c r="AD186" s="20" t="s">
        <v>1965</v>
      </c>
      <c r="AE186" s="20" t="s">
        <v>91</v>
      </c>
      <c r="AF186" s="20">
        <v>1</v>
      </c>
      <c r="AG186" s="20">
        <v>0</v>
      </c>
      <c r="AH186" s="20">
        <v>1</v>
      </c>
      <c r="AI186" s="7" t="s">
        <v>92</v>
      </c>
      <c r="AJ186" s="20">
        <v>300</v>
      </c>
      <c r="AK186" s="4" t="s">
        <v>93</v>
      </c>
      <c r="AL186" s="4">
        <v>6</v>
      </c>
      <c r="AM186" s="4" t="s">
        <v>112</v>
      </c>
      <c r="AN186" s="4" t="s">
        <v>95</v>
      </c>
      <c r="AO186" s="4" t="s">
        <v>189</v>
      </c>
      <c r="AP186" s="4">
        <v>1</v>
      </c>
      <c r="AQ186" s="20">
        <v>45000</v>
      </c>
      <c r="AR186" s="4">
        <v>41820</v>
      </c>
      <c r="AS186" s="20">
        <v>6818.1818181818171</v>
      </c>
      <c r="AT186" s="20">
        <v>7930.0000000000009</v>
      </c>
      <c r="AU186" s="20">
        <v>1111.8181818181838</v>
      </c>
      <c r="AV186" s="20">
        <v>0</v>
      </c>
      <c r="AW186" s="20">
        <v>980</v>
      </c>
      <c r="AX186" s="20">
        <v>20</v>
      </c>
      <c r="AY186" s="20">
        <v>1000</v>
      </c>
      <c r="AZ186" s="20">
        <v>6</v>
      </c>
      <c r="BA186" s="20">
        <v>0</v>
      </c>
      <c r="BB186" s="6">
        <v>41771</v>
      </c>
      <c r="BC186" s="6">
        <v>0</v>
      </c>
      <c r="BD186" s="6">
        <v>41862</v>
      </c>
      <c r="BE186" s="6">
        <v>41892</v>
      </c>
      <c r="BF186" s="6">
        <v>41900</v>
      </c>
      <c r="BG186" s="6">
        <v>0</v>
      </c>
      <c r="BH186" s="6">
        <v>0</v>
      </c>
      <c r="BI186" s="6">
        <v>0</v>
      </c>
      <c r="BJ186" s="6">
        <v>0</v>
      </c>
      <c r="BK186" s="5" t="s">
        <v>401</v>
      </c>
      <c r="BL186" s="4" t="s">
        <v>401</v>
      </c>
      <c r="BM186" s="20">
        <v>300</v>
      </c>
      <c r="BN186" s="20">
        <v>0</v>
      </c>
      <c r="BO186" s="20">
        <v>0</v>
      </c>
      <c r="BP186" s="20">
        <v>0</v>
      </c>
      <c r="BQ186" s="20">
        <v>0</v>
      </c>
      <c r="BR186" s="20">
        <v>0</v>
      </c>
      <c r="BS186" s="20">
        <v>300</v>
      </c>
      <c r="BT186" s="20">
        <v>2379000.0000000005</v>
      </c>
      <c r="BU186" s="20">
        <v>13500000</v>
      </c>
      <c r="BV186" s="20">
        <v>5.1587756505789271</v>
      </c>
    </row>
    <row r="187" spans="1:74">
      <c r="A187" s="10">
        <f t="shared" si="10"/>
        <v>0</v>
      </c>
      <c r="B187" s="10">
        <f t="shared" si="11"/>
        <v>0</v>
      </c>
      <c r="C187" s="12">
        <f t="shared" si="12"/>
        <v>5</v>
      </c>
      <c r="D187" s="12">
        <f t="shared" si="13"/>
        <v>9</v>
      </c>
      <c r="E187" s="20" t="s">
        <v>424</v>
      </c>
      <c r="F187" s="20" t="s">
        <v>1451</v>
      </c>
      <c r="G187" s="20" t="s">
        <v>1945</v>
      </c>
      <c r="H187" s="20" t="s">
        <v>1966</v>
      </c>
      <c r="I187" s="20">
        <v>4</v>
      </c>
      <c r="J187" s="20" t="s">
        <v>1967</v>
      </c>
      <c r="K187" s="20" t="s">
        <v>1968</v>
      </c>
      <c r="L187" s="20" t="s">
        <v>1969</v>
      </c>
      <c r="M187" s="20" t="s">
        <v>1451</v>
      </c>
      <c r="N187" s="20" t="s">
        <v>1413</v>
      </c>
      <c r="P187" s="20" t="s">
        <v>1451</v>
      </c>
      <c r="Q187" s="20" t="s">
        <v>1457</v>
      </c>
      <c r="R187" s="20" t="s">
        <v>84</v>
      </c>
      <c r="S187" s="20">
        <v>5</v>
      </c>
      <c r="T187" s="20" t="s">
        <v>124</v>
      </c>
      <c r="U187" s="20" t="s">
        <v>125</v>
      </c>
      <c r="V187" s="20" t="s">
        <v>87</v>
      </c>
      <c r="W187" s="20">
        <v>508</v>
      </c>
      <c r="X187" s="20">
        <v>508</v>
      </c>
      <c r="Y187" s="20" t="s">
        <v>1970</v>
      </c>
      <c r="Z187" s="20">
        <v>0.16666666666666666</v>
      </c>
      <c r="AA187" s="20" t="s">
        <v>1971</v>
      </c>
      <c r="AB187" s="20" t="s">
        <v>109</v>
      </c>
      <c r="AC187" s="20" t="s">
        <v>110</v>
      </c>
      <c r="AD187" s="20" t="s">
        <v>1972</v>
      </c>
      <c r="AE187" s="20" t="s">
        <v>91</v>
      </c>
      <c r="AF187" s="20">
        <v>0.5</v>
      </c>
      <c r="AG187" s="20">
        <v>0</v>
      </c>
      <c r="AH187" s="20">
        <v>1</v>
      </c>
      <c r="AI187" s="7" t="s">
        <v>97</v>
      </c>
      <c r="AJ187" s="20">
        <v>100</v>
      </c>
      <c r="AK187" s="4" t="s">
        <v>93</v>
      </c>
      <c r="AL187" s="4">
        <v>6</v>
      </c>
      <c r="AM187" s="4" t="s">
        <v>112</v>
      </c>
      <c r="AN187" s="4" t="s">
        <v>95</v>
      </c>
      <c r="AO187" s="4" t="s">
        <v>189</v>
      </c>
      <c r="AP187" s="4">
        <v>1</v>
      </c>
      <c r="AQ187" s="20">
        <v>45000</v>
      </c>
      <c r="AR187" s="4">
        <v>41820</v>
      </c>
      <c r="AS187" s="20">
        <v>6818.1818181818171</v>
      </c>
      <c r="AT187" s="20">
        <v>8276.5</v>
      </c>
      <c r="AU187" s="20">
        <v>1458.3181818181829</v>
      </c>
      <c r="AV187" s="20">
        <v>0</v>
      </c>
      <c r="AW187" s="20">
        <v>980</v>
      </c>
      <c r="AX187" s="20">
        <v>20</v>
      </c>
      <c r="AY187" s="20">
        <v>1000</v>
      </c>
      <c r="AZ187" s="20">
        <v>6.3</v>
      </c>
      <c r="BA187" s="20">
        <v>0</v>
      </c>
      <c r="BB187" s="6">
        <v>41771</v>
      </c>
      <c r="BC187" s="6">
        <v>0</v>
      </c>
      <c r="BD187" s="6">
        <v>41862</v>
      </c>
      <c r="BE187" s="6">
        <v>41892</v>
      </c>
      <c r="BF187" s="6">
        <v>41897</v>
      </c>
      <c r="BH187" s="6">
        <v>0</v>
      </c>
      <c r="BI187" s="6">
        <v>0</v>
      </c>
      <c r="BJ187" s="6">
        <v>0</v>
      </c>
      <c r="BK187" s="5" t="s">
        <v>401</v>
      </c>
      <c r="BL187" s="4" t="s">
        <v>401</v>
      </c>
      <c r="BM187" s="20">
        <v>100</v>
      </c>
      <c r="BN187" s="20">
        <v>0</v>
      </c>
      <c r="BO187" s="20">
        <v>0</v>
      </c>
      <c r="BP187" s="20">
        <v>0</v>
      </c>
      <c r="BQ187" s="20">
        <v>0</v>
      </c>
      <c r="BR187" s="20">
        <v>0</v>
      </c>
      <c r="BS187" s="20">
        <v>100</v>
      </c>
      <c r="BT187" s="20">
        <v>827650</v>
      </c>
      <c r="BU187" s="20">
        <v>4500000</v>
      </c>
      <c r="BV187" s="20">
        <v>4.9428008106193326</v>
      </c>
    </row>
    <row r="188" spans="1:74">
      <c r="A188" s="10">
        <f t="shared" si="10"/>
        <v>0</v>
      </c>
      <c r="B188" s="10">
        <f t="shared" si="11"/>
        <v>0</v>
      </c>
      <c r="C188" s="12">
        <f t="shared" si="12"/>
        <v>5</v>
      </c>
      <c r="D188" s="12">
        <f t="shared" si="13"/>
        <v>9</v>
      </c>
      <c r="E188" s="20" t="s">
        <v>424</v>
      </c>
      <c r="F188" s="20" t="s">
        <v>1451</v>
      </c>
      <c r="G188" s="20" t="s">
        <v>1945</v>
      </c>
      <c r="H188" s="20" t="s">
        <v>1966</v>
      </c>
      <c r="I188" s="20">
        <v>4</v>
      </c>
      <c r="J188" s="20" t="s">
        <v>1967</v>
      </c>
      <c r="K188" s="20" t="s">
        <v>1973</v>
      </c>
      <c r="L188" s="20" t="s">
        <v>1969</v>
      </c>
      <c r="M188" s="20" t="s">
        <v>1451</v>
      </c>
      <c r="N188" s="20" t="s">
        <v>1413</v>
      </c>
      <c r="P188" s="20" t="s">
        <v>1451</v>
      </c>
      <c r="Q188" s="20" t="s">
        <v>1457</v>
      </c>
      <c r="R188" s="20" t="s">
        <v>84</v>
      </c>
      <c r="S188" s="20">
        <v>5</v>
      </c>
      <c r="T188" s="20" t="s">
        <v>124</v>
      </c>
      <c r="U188" s="20" t="s">
        <v>125</v>
      </c>
      <c r="V188" s="20" t="s">
        <v>87</v>
      </c>
      <c r="W188" s="20">
        <v>508</v>
      </c>
      <c r="X188" s="20">
        <v>508</v>
      </c>
      <c r="Y188" s="20" t="s">
        <v>1970</v>
      </c>
      <c r="Z188" s="20">
        <v>0.16666666666666666</v>
      </c>
      <c r="AA188" s="20" t="s">
        <v>1971</v>
      </c>
      <c r="AB188" s="20" t="s">
        <v>109</v>
      </c>
      <c r="AC188" s="20" t="s">
        <v>110</v>
      </c>
      <c r="AD188" s="20" t="s">
        <v>1972</v>
      </c>
      <c r="AE188" s="20" t="s">
        <v>91</v>
      </c>
      <c r="AF188" s="20">
        <v>0.5</v>
      </c>
      <c r="AG188" s="20">
        <v>0</v>
      </c>
      <c r="AH188" s="20">
        <v>1</v>
      </c>
      <c r="AI188" s="7" t="s">
        <v>98</v>
      </c>
      <c r="AJ188" s="20">
        <v>50</v>
      </c>
      <c r="AK188" s="4" t="s">
        <v>93</v>
      </c>
      <c r="AL188" s="4">
        <v>6</v>
      </c>
      <c r="AM188" s="4" t="s">
        <v>112</v>
      </c>
      <c r="AN188" s="4" t="s">
        <v>95</v>
      </c>
      <c r="AO188" s="4" t="s">
        <v>189</v>
      </c>
      <c r="AP188" s="4">
        <v>1</v>
      </c>
      <c r="AQ188" s="20">
        <v>45000</v>
      </c>
      <c r="AR188" s="4">
        <v>41820</v>
      </c>
      <c r="AS188" s="20">
        <v>6818.1818181818171</v>
      </c>
      <c r="AT188" s="20">
        <v>8276.5</v>
      </c>
      <c r="AU188" s="20">
        <v>1458.3181818181829</v>
      </c>
      <c r="AV188" s="20">
        <v>0</v>
      </c>
      <c r="AW188" s="20">
        <v>980</v>
      </c>
      <c r="AX188" s="20">
        <v>20</v>
      </c>
      <c r="AY188" s="20">
        <v>1000</v>
      </c>
      <c r="AZ188" s="20">
        <v>6.3</v>
      </c>
      <c r="BA188" s="20">
        <v>0</v>
      </c>
      <c r="BB188" s="6">
        <v>41771</v>
      </c>
      <c r="BC188" s="6">
        <v>0</v>
      </c>
      <c r="BD188" s="6">
        <v>41862</v>
      </c>
      <c r="BE188" s="6">
        <v>41892</v>
      </c>
      <c r="BF188" s="6">
        <v>41897</v>
      </c>
      <c r="BH188" s="6">
        <v>0</v>
      </c>
      <c r="BI188" s="6">
        <v>0</v>
      </c>
      <c r="BJ188" s="6">
        <v>0</v>
      </c>
      <c r="BK188" s="5" t="s">
        <v>401</v>
      </c>
      <c r="BL188" s="4" t="s">
        <v>401</v>
      </c>
      <c r="BM188" s="20">
        <v>50</v>
      </c>
      <c r="BN188" s="20">
        <v>0</v>
      </c>
      <c r="BO188" s="20">
        <v>0</v>
      </c>
      <c r="BP188" s="20">
        <v>0</v>
      </c>
      <c r="BQ188" s="20">
        <v>0</v>
      </c>
      <c r="BR188" s="20">
        <v>0</v>
      </c>
      <c r="BS188" s="20">
        <v>50</v>
      </c>
      <c r="BT188" s="20">
        <v>413825</v>
      </c>
      <c r="BU188" s="20">
        <v>2250000</v>
      </c>
      <c r="BV188" s="20">
        <v>4.9428008106193326</v>
      </c>
    </row>
    <row r="189" spans="1:74">
      <c r="A189" s="10">
        <f t="shared" si="10"/>
        <v>0</v>
      </c>
      <c r="B189" s="10">
        <f t="shared" si="11"/>
        <v>0</v>
      </c>
      <c r="C189" s="12">
        <f t="shared" si="12"/>
        <v>5</v>
      </c>
      <c r="D189" s="12">
        <f t="shared" si="13"/>
        <v>9</v>
      </c>
      <c r="E189" s="20" t="s">
        <v>424</v>
      </c>
      <c r="F189" s="20" t="s">
        <v>1451</v>
      </c>
      <c r="G189" s="20" t="s">
        <v>1945</v>
      </c>
      <c r="H189" s="20" t="s">
        <v>1974</v>
      </c>
      <c r="I189" s="20">
        <v>5</v>
      </c>
      <c r="J189" s="20" t="s">
        <v>1975</v>
      </c>
      <c r="K189" s="20" t="s">
        <v>1976</v>
      </c>
      <c r="L189" s="20" t="s">
        <v>1969</v>
      </c>
      <c r="M189" s="20" t="s">
        <v>1451</v>
      </c>
      <c r="N189" s="20" t="s">
        <v>1413</v>
      </c>
      <c r="P189" s="20" t="s">
        <v>1451</v>
      </c>
      <c r="Q189" s="20" t="s">
        <v>1457</v>
      </c>
      <c r="R189" s="20" t="s">
        <v>84</v>
      </c>
      <c r="S189" s="20">
        <v>5</v>
      </c>
      <c r="T189" s="20" t="s">
        <v>124</v>
      </c>
      <c r="U189" s="20" t="s">
        <v>125</v>
      </c>
      <c r="V189" s="20" t="s">
        <v>87</v>
      </c>
      <c r="W189" s="20">
        <v>508</v>
      </c>
      <c r="X189" s="20">
        <v>508</v>
      </c>
      <c r="Y189" s="20" t="s">
        <v>1970</v>
      </c>
      <c r="Z189" s="20">
        <v>0.16666666666666666</v>
      </c>
      <c r="AA189" s="20" t="s">
        <v>1977</v>
      </c>
      <c r="AB189" s="20" t="s">
        <v>101</v>
      </c>
      <c r="AC189" s="20" t="s">
        <v>102</v>
      </c>
      <c r="AD189" s="20" t="s">
        <v>1978</v>
      </c>
      <c r="AE189" s="20" t="s">
        <v>91</v>
      </c>
      <c r="AF189" s="20">
        <v>0.33333333333333331</v>
      </c>
      <c r="AG189" s="20">
        <v>0</v>
      </c>
      <c r="AH189" s="20">
        <v>1</v>
      </c>
      <c r="AI189" s="7" t="s">
        <v>97</v>
      </c>
      <c r="AJ189" s="20">
        <v>100</v>
      </c>
      <c r="AK189" s="4" t="s">
        <v>93</v>
      </c>
      <c r="AL189" s="4">
        <v>6</v>
      </c>
      <c r="AM189" s="4" t="s">
        <v>112</v>
      </c>
      <c r="AN189" s="4" t="s">
        <v>95</v>
      </c>
      <c r="AO189" s="4" t="s">
        <v>189</v>
      </c>
      <c r="AP189" s="4">
        <v>1</v>
      </c>
      <c r="AQ189" s="20">
        <v>45000</v>
      </c>
      <c r="AR189" s="4">
        <v>41820</v>
      </c>
      <c r="AS189" s="20">
        <v>6818.1818181818171</v>
      </c>
      <c r="AT189" s="20">
        <v>8276.5</v>
      </c>
      <c r="AU189" s="20">
        <v>1458.3181818181829</v>
      </c>
      <c r="AV189" s="20">
        <v>0</v>
      </c>
      <c r="AW189" s="20">
        <v>980</v>
      </c>
      <c r="AX189" s="20">
        <v>20</v>
      </c>
      <c r="AY189" s="20">
        <v>1000</v>
      </c>
      <c r="AZ189" s="20">
        <v>6.3</v>
      </c>
      <c r="BA189" s="20">
        <v>0</v>
      </c>
      <c r="BB189" s="6">
        <v>41771</v>
      </c>
      <c r="BC189" s="6">
        <v>0</v>
      </c>
      <c r="BD189" s="6">
        <v>41862</v>
      </c>
      <c r="BE189" s="6">
        <v>41892</v>
      </c>
      <c r="BF189" s="6">
        <v>41897</v>
      </c>
      <c r="BH189" s="6">
        <v>0</v>
      </c>
      <c r="BI189" s="6">
        <v>0</v>
      </c>
      <c r="BJ189" s="6">
        <v>0</v>
      </c>
      <c r="BK189" s="5" t="s">
        <v>401</v>
      </c>
      <c r="BL189" s="4" t="s">
        <v>401</v>
      </c>
      <c r="BM189" s="20">
        <v>100</v>
      </c>
      <c r="BN189" s="20">
        <v>0</v>
      </c>
      <c r="BO189" s="20">
        <v>0</v>
      </c>
      <c r="BP189" s="20">
        <v>0</v>
      </c>
      <c r="BQ189" s="20">
        <v>0</v>
      </c>
      <c r="BR189" s="20">
        <v>0</v>
      </c>
      <c r="BS189" s="20">
        <v>100</v>
      </c>
      <c r="BT189" s="20">
        <v>827650</v>
      </c>
      <c r="BU189" s="20">
        <v>4500000</v>
      </c>
      <c r="BV189" s="20">
        <v>4.9428008106193326</v>
      </c>
    </row>
    <row r="190" spans="1:74">
      <c r="A190" s="10">
        <f t="shared" si="10"/>
        <v>0</v>
      </c>
      <c r="B190" s="10">
        <f t="shared" si="11"/>
        <v>0</v>
      </c>
      <c r="C190" s="12">
        <f t="shared" si="12"/>
        <v>5</v>
      </c>
      <c r="D190" s="12">
        <f t="shared" si="13"/>
        <v>9</v>
      </c>
      <c r="E190" s="20" t="s">
        <v>424</v>
      </c>
      <c r="F190" s="20" t="s">
        <v>1451</v>
      </c>
      <c r="G190" s="20" t="s">
        <v>1945</v>
      </c>
      <c r="H190" s="20" t="s">
        <v>1974</v>
      </c>
      <c r="I190" s="20">
        <v>5</v>
      </c>
      <c r="J190" s="20" t="s">
        <v>1975</v>
      </c>
      <c r="K190" s="20" t="s">
        <v>1979</v>
      </c>
      <c r="L190" s="20" t="s">
        <v>1969</v>
      </c>
      <c r="M190" s="20" t="s">
        <v>1451</v>
      </c>
      <c r="N190" s="20" t="s">
        <v>1413</v>
      </c>
      <c r="P190" s="20" t="s">
        <v>1451</v>
      </c>
      <c r="Q190" s="20" t="s">
        <v>1457</v>
      </c>
      <c r="R190" s="20" t="s">
        <v>84</v>
      </c>
      <c r="S190" s="20">
        <v>5</v>
      </c>
      <c r="T190" s="20" t="s">
        <v>124</v>
      </c>
      <c r="U190" s="20" t="s">
        <v>125</v>
      </c>
      <c r="V190" s="20" t="s">
        <v>87</v>
      </c>
      <c r="W190" s="20">
        <v>508</v>
      </c>
      <c r="X190" s="20">
        <v>508</v>
      </c>
      <c r="Y190" s="20" t="s">
        <v>1970</v>
      </c>
      <c r="Z190" s="20">
        <v>0.16666666666666666</v>
      </c>
      <c r="AA190" s="20" t="s">
        <v>1977</v>
      </c>
      <c r="AB190" s="20" t="s">
        <v>101</v>
      </c>
      <c r="AC190" s="20" t="s">
        <v>102</v>
      </c>
      <c r="AD190" s="20" t="s">
        <v>1978</v>
      </c>
      <c r="AE190" s="20" t="s">
        <v>91</v>
      </c>
      <c r="AF190" s="20">
        <v>0.33333333333333331</v>
      </c>
      <c r="AG190" s="20">
        <v>0</v>
      </c>
      <c r="AH190" s="20">
        <v>1</v>
      </c>
      <c r="AI190" s="7" t="s">
        <v>98</v>
      </c>
      <c r="AJ190" s="20">
        <v>50</v>
      </c>
      <c r="AK190" s="4" t="s">
        <v>93</v>
      </c>
      <c r="AL190" s="4">
        <v>6</v>
      </c>
      <c r="AM190" s="4" t="s">
        <v>112</v>
      </c>
      <c r="AN190" s="4" t="s">
        <v>95</v>
      </c>
      <c r="AO190" s="4" t="s">
        <v>189</v>
      </c>
      <c r="AP190" s="4">
        <v>1</v>
      </c>
      <c r="AQ190" s="20">
        <v>45000</v>
      </c>
      <c r="AR190" s="4">
        <v>41820</v>
      </c>
      <c r="AS190" s="20">
        <v>6818.1818181818171</v>
      </c>
      <c r="AT190" s="20">
        <v>8276.5</v>
      </c>
      <c r="AU190" s="20">
        <v>1458.3181818181829</v>
      </c>
      <c r="AV190" s="20">
        <v>0</v>
      </c>
      <c r="AW190" s="20">
        <v>980</v>
      </c>
      <c r="AX190" s="20">
        <v>20</v>
      </c>
      <c r="AY190" s="20">
        <v>1000</v>
      </c>
      <c r="AZ190" s="20">
        <v>6.3</v>
      </c>
      <c r="BA190" s="20">
        <v>0</v>
      </c>
      <c r="BB190" s="6">
        <v>41771</v>
      </c>
      <c r="BC190" s="6">
        <v>0</v>
      </c>
      <c r="BD190" s="6">
        <v>41862</v>
      </c>
      <c r="BE190" s="6">
        <v>41892</v>
      </c>
      <c r="BF190" s="6">
        <v>41897</v>
      </c>
      <c r="BH190" s="6">
        <v>0</v>
      </c>
      <c r="BI190" s="6">
        <v>0</v>
      </c>
      <c r="BJ190" s="6">
        <v>0</v>
      </c>
      <c r="BK190" s="5" t="s">
        <v>401</v>
      </c>
      <c r="BL190" s="4" t="s">
        <v>401</v>
      </c>
      <c r="BM190" s="20">
        <v>50</v>
      </c>
      <c r="BN190" s="20">
        <v>0</v>
      </c>
      <c r="BO190" s="20">
        <v>0</v>
      </c>
      <c r="BP190" s="20">
        <v>0</v>
      </c>
      <c r="BQ190" s="20">
        <v>0</v>
      </c>
      <c r="BR190" s="20">
        <v>0</v>
      </c>
      <c r="BS190" s="20">
        <v>50</v>
      </c>
      <c r="BT190" s="20">
        <v>413825</v>
      </c>
      <c r="BU190" s="20">
        <v>2250000</v>
      </c>
      <c r="BV190" s="20">
        <v>4.9428008106193326</v>
      </c>
    </row>
    <row r="191" spans="1:74">
      <c r="A191" s="10">
        <f t="shared" si="10"/>
        <v>0</v>
      </c>
      <c r="B191" s="10">
        <f t="shared" si="11"/>
        <v>0</v>
      </c>
      <c r="C191" s="12">
        <f t="shared" si="12"/>
        <v>5</v>
      </c>
      <c r="D191" s="12">
        <f t="shared" si="13"/>
        <v>9</v>
      </c>
      <c r="E191" s="20" t="s">
        <v>424</v>
      </c>
      <c r="F191" s="20" t="s">
        <v>1451</v>
      </c>
      <c r="G191" s="20" t="s">
        <v>1945</v>
      </c>
      <c r="H191" s="20" t="s">
        <v>1974</v>
      </c>
      <c r="I191" s="20">
        <v>5</v>
      </c>
      <c r="J191" s="20" t="s">
        <v>1975</v>
      </c>
      <c r="K191" s="20" t="s">
        <v>1980</v>
      </c>
      <c r="L191" s="20" t="s">
        <v>1969</v>
      </c>
      <c r="M191" s="20" t="s">
        <v>1451</v>
      </c>
      <c r="N191" s="20" t="s">
        <v>1413</v>
      </c>
      <c r="P191" s="20" t="s">
        <v>1451</v>
      </c>
      <c r="Q191" s="20" t="s">
        <v>1457</v>
      </c>
      <c r="R191" s="20" t="s">
        <v>84</v>
      </c>
      <c r="S191" s="20">
        <v>5</v>
      </c>
      <c r="T191" s="20" t="s">
        <v>124</v>
      </c>
      <c r="U191" s="20" t="s">
        <v>125</v>
      </c>
      <c r="V191" s="20" t="s">
        <v>87</v>
      </c>
      <c r="W191" s="20">
        <v>508</v>
      </c>
      <c r="X191" s="20">
        <v>508</v>
      </c>
      <c r="Y191" s="20" t="s">
        <v>1970</v>
      </c>
      <c r="Z191" s="20">
        <v>0.16666666666666666</v>
      </c>
      <c r="AA191" s="20" t="s">
        <v>1977</v>
      </c>
      <c r="AB191" s="20" t="s">
        <v>101</v>
      </c>
      <c r="AC191" s="20" t="s">
        <v>102</v>
      </c>
      <c r="AD191" s="20" t="s">
        <v>1978</v>
      </c>
      <c r="AE191" s="20" t="s">
        <v>91</v>
      </c>
      <c r="AF191" s="20">
        <v>0.33333333333333331</v>
      </c>
      <c r="AG191" s="20">
        <v>0</v>
      </c>
      <c r="AH191" s="20">
        <v>1</v>
      </c>
      <c r="AI191" s="7" t="s">
        <v>92</v>
      </c>
      <c r="AJ191" s="20">
        <v>300</v>
      </c>
      <c r="AK191" s="4" t="s">
        <v>93</v>
      </c>
      <c r="AL191" s="4">
        <v>6</v>
      </c>
      <c r="AM191" s="4" t="s">
        <v>112</v>
      </c>
      <c r="AN191" s="4" t="s">
        <v>95</v>
      </c>
      <c r="AO191" s="4" t="s">
        <v>189</v>
      </c>
      <c r="AP191" s="4">
        <v>1</v>
      </c>
      <c r="AQ191" s="20">
        <v>45000</v>
      </c>
      <c r="AR191" s="4">
        <v>41820</v>
      </c>
      <c r="AS191" s="20">
        <v>6818.1818181818171</v>
      </c>
      <c r="AT191" s="20">
        <v>8161.0000000000009</v>
      </c>
      <c r="AU191" s="20">
        <v>1342.8181818181838</v>
      </c>
      <c r="AV191" s="20">
        <v>0</v>
      </c>
      <c r="AW191" s="20">
        <v>980</v>
      </c>
      <c r="AX191" s="20">
        <v>20</v>
      </c>
      <c r="AY191" s="20">
        <v>1000</v>
      </c>
      <c r="AZ191" s="20">
        <v>6.2</v>
      </c>
      <c r="BA191" s="20">
        <v>0</v>
      </c>
      <c r="BB191" s="6">
        <v>41771</v>
      </c>
      <c r="BC191" s="6">
        <v>0</v>
      </c>
      <c r="BD191" s="6">
        <v>41862</v>
      </c>
      <c r="BE191" s="6">
        <v>41892</v>
      </c>
      <c r="BF191" s="6">
        <v>41897</v>
      </c>
      <c r="BH191" s="6">
        <v>0</v>
      </c>
      <c r="BI191" s="6">
        <v>0</v>
      </c>
      <c r="BJ191" s="6">
        <v>0</v>
      </c>
      <c r="BK191" s="5" t="s">
        <v>401</v>
      </c>
      <c r="BL191" s="4" t="s">
        <v>401</v>
      </c>
      <c r="BM191" s="20">
        <v>300</v>
      </c>
      <c r="BN191" s="20">
        <v>0</v>
      </c>
      <c r="BO191" s="20">
        <v>0</v>
      </c>
      <c r="BP191" s="20">
        <v>0</v>
      </c>
      <c r="BQ191" s="20">
        <v>0</v>
      </c>
      <c r="BR191" s="20">
        <v>0</v>
      </c>
      <c r="BS191" s="20">
        <v>300</v>
      </c>
      <c r="BT191" s="20">
        <v>2448300.0000000005</v>
      </c>
      <c r="BU191" s="20">
        <v>13500000</v>
      </c>
      <c r="BV191" s="20">
        <v>5.012754675786165</v>
      </c>
    </row>
    <row r="192" spans="1:74">
      <c r="A192" s="10">
        <f t="shared" si="10"/>
        <v>0</v>
      </c>
      <c r="B192" s="10">
        <f t="shared" si="11"/>
        <v>0</v>
      </c>
      <c r="C192" s="12">
        <f t="shared" si="12"/>
        <v>5</v>
      </c>
      <c r="D192" s="12">
        <f t="shared" si="13"/>
        <v>9</v>
      </c>
      <c r="E192" s="20" t="s">
        <v>424</v>
      </c>
      <c r="F192" s="20" t="s">
        <v>1451</v>
      </c>
      <c r="G192" s="20" t="s">
        <v>1945</v>
      </c>
      <c r="H192" s="20" t="s">
        <v>1981</v>
      </c>
      <c r="I192" s="20">
        <v>6</v>
      </c>
      <c r="J192" s="20" t="s">
        <v>1982</v>
      </c>
      <c r="K192" s="20" t="s">
        <v>1983</v>
      </c>
      <c r="L192" s="20" t="s">
        <v>1969</v>
      </c>
      <c r="M192" s="20" t="s">
        <v>1451</v>
      </c>
      <c r="N192" s="20" t="s">
        <v>1413</v>
      </c>
      <c r="P192" s="20" t="s">
        <v>1451</v>
      </c>
      <c r="Q192" s="20" t="s">
        <v>1457</v>
      </c>
      <c r="R192" s="20" t="s">
        <v>84</v>
      </c>
      <c r="S192" s="20">
        <v>5</v>
      </c>
      <c r="T192" s="20" t="s">
        <v>124</v>
      </c>
      <c r="U192" s="20" t="s">
        <v>125</v>
      </c>
      <c r="V192" s="20" t="s">
        <v>87</v>
      </c>
      <c r="W192" s="20">
        <v>508</v>
      </c>
      <c r="X192" s="20">
        <v>508</v>
      </c>
      <c r="Y192" s="20" t="s">
        <v>1970</v>
      </c>
      <c r="Z192" s="20">
        <v>0.16666666666666666</v>
      </c>
      <c r="AA192" s="20" t="s">
        <v>1984</v>
      </c>
      <c r="AB192" s="20" t="s">
        <v>89</v>
      </c>
      <c r="AC192" s="20" t="s">
        <v>90</v>
      </c>
      <c r="AD192" s="20" t="s">
        <v>1985</v>
      </c>
      <c r="AE192" s="20" t="s">
        <v>91</v>
      </c>
      <c r="AF192" s="20">
        <v>1</v>
      </c>
      <c r="AG192" s="20">
        <v>0</v>
      </c>
      <c r="AH192" s="20">
        <v>1</v>
      </c>
      <c r="AI192" s="7" t="s">
        <v>92</v>
      </c>
      <c r="AJ192" s="20">
        <v>300</v>
      </c>
      <c r="AK192" s="4" t="s">
        <v>93</v>
      </c>
      <c r="AL192" s="4">
        <v>6</v>
      </c>
      <c r="AM192" s="4" t="s">
        <v>112</v>
      </c>
      <c r="AN192" s="4" t="s">
        <v>95</v>
      </c>
      <c r="AO192" s="4" t="s">
        <v>189</v>
      </c>
      <c r="AP192" s="4">
        <v>1</v>
      </c>
      <c r="AQ192" s="20">
        <v>45000</v>
      </c>
      <c r="AR192" s="4">
        <v>41820</v>
      </c>
      <c r="AS192" s="20">
        <v>6818.1818181818171</v>
      </c>
      <c r="AT192" s="20">
        <v>8161.0000000000009</v>
      </c>
      <c r="AU192" s="20">
        <v>1342.8181818181838</v>
      </c>
      <c r="AV192" s="20">
        <v>0</v>
      </c>
      <c r="AW192" s="20">
        <v>980</v>
      </c>
      <c r="AX192" s="20">
        <v>20</v>
      </c>
      <c r="AY192" s="20">
        <v>1000</v>
      </c>
      <c r="AZ192" s="20">
        <v>6.2</v>
      </c>
      <c r="BA192" s="20">
        <v>0</v>
      </c>
      <c r="BB192" s="6">
        <v>41771</v>
      </c>
      <c r="BC192" s="6">
        <v>0</v>
      </c>
      <c r="BD192" s="6">
        <v>41862</v>
      </c>
      <c r="BE192" s="6">
        <v>41892</v>
      </c>
      <c r="BF192" s="6">
        <v>41897</v>
      </c>
      <c r="BH192" s="6">
        <v>0</v>
      </c>
      <c r="BI192" s="6">
        <v>0</v>
      </c>
      <c r="BJ192" s="6">
        <v>0</v>
      </c>
      <c r="BK192" s="5" t="s">
        <v>401</v>
      </c>
      <c r="BL192" s="4" t="s">
        <v>401</v>
      </c>
      <c r="BM192" s="20">
        <v>300</v>
      </c>
      <c r="BN192" s="20">
        <v>0</v>
      </c>
      <c r="BO192" s="20">
        <v>0</v>
      </c>
      <c r="BP192" s="20">
        <v>0</v>
      </c>
      <c r="BQ192" s="20">
        <v>0</v>
      </c>
      <c r="BR192" s="20">
        <v>0</v>
      </c>
      <c r="BS192" s="20">
        <v>300</v>
      </c>
      <c r="BT192" s="20">
        <v>2448300.0000000005</v>
      </c>
      <c r="BU192" s="20">
        <v>13500000</v>
      </c>
      <c r="BV192" s="20">
        <v>5.012754675786165</v>
      </c>
    </row>
    <row r="193" spans="1:74">
      <c r="A193" s="10">
        <f t="shared" si="10"/>
        <v>0</v>
      </c>
      <c r="B193" s="10">
        <f t="shared" si="11"/>
        <v>0</v>
      </c>
      <c r="C193" s="12">
        <f t="shared" si="12"/>
        <v>5</v>
      </c>
      <c r="D193" s="12">
        <f t="shared" si="13"/>
        <v>9</v>
      </c>
      <c r="E193" s="20" t="s">
        <v>424</v>
      </c>
      <c r="F193" s="20" t="s">
        <v>1451</v>
      </c>
      <c r="G193" s="20" t="s">
        <v>1945</v>
      </c>
      <c r="H193" s="20" t="s">
        <v>1986</v>
      </c>
      <c r="I193" s="20">
        <v>7</v>
      </c>
      <c r="J193" s="20" t="s">
        <v>1987</v>
      </c>
      <c r="K193" s="20" t="s">
        <v>1988</v>
      </c>
      <c r="L193" s="20" t="s">
        <v>1916</v>
      </c>
      <c r="M193" s="20" t="s">
        <v>1451</v>
      </c>
      <c r="N193" s="20" t="s">
        <v>1413</v>
      </c>
      <c r="P193" s="20" t="s">
        <v>1451</v>
      </c>
      <c r="Q193" s="20" t="s">
        <v>1457</v>
      </c>
      <c r="R193" s="20" t="s">
        <v>84</v>
      </c>
      <c r="S193" s="20">
        <v>5</v>
      </c>
      <c r="T193" s="20" t="s">
        <v>124</v>
      </c>
      <c r="U193" s="20" t="s">
        <v>125</v>
      </c>
      <c r="V193" s="20" t="s">
        <v>87</v>
      </c>
      <c r="W193" s="20">
        <v>515</v>
      </c>
      <c r="X193" s="20">
        <v>515</v>
      </c>
      <c r="Y193" s="20" t="s">
        <v>1989</v>
      </c>
      <c r="Z193" s="20">
        <v>0.5</v>
      </c>
      <c r="AA193" s="20" t="s">
        <v>1990</v>
      </c>
      <c r="AB193" s="20" t="s">
        <v>718</v>
      </c>
      <c r="AC193" s="20" t="s">
        <v>719</v>
      </c>
      <c r="AD193" s="20" t="s">
        <v>1991</v>
      </c>
      <c r="AE193" s="20" t="s">
        <v>91</v>
      </c>
      <c r="AF193" s="20">
        <v>0.5</v>
      </c>
      <c r="AG193" s="20">
        <v>0</v>
      </c>
      <c r="AH193" s="20">
        <v>1</v>
      </c>
      <c r="AI193" s="7" t="s">
        <v>97</v>
      </c>
      <c r="AJ193" s="20">
        <v>250</v>
      </c>
      <c r="AK193" s="4" t="s">
        <v>93</v>
      </c>
      <c r="AL193" s="4">
        <v>6</v>
      </c>
      <c r="AM193" s="4" t="s">
        <v>112</v>
      </c>
      <c r="AN193" s="4" t="s">
        <v>95</v>
      </c>
      <c r="AO193" s="4" t="s">
        <v>189</v>
      </c>
      <c r="AP193" s="4">
        <v>1</v>
      </c>
      <c r="AQ193" s="20">
        <v>45000</v>
      </c>
      <c r="AR193" s="4">
        <v>41820</v>
      </c>
      <c r="AS193" s="20">
        <v>6818.1818181818171</v>
      </c>
      <c r="AT193" s="20">
        <v>7583.5</v>
      </c>
      <c r="AU193" s="20">
        <v>765.31818181818289</v>
      </c>
      <c r="AV193" s="20">
        <v>0</v>
      </c>
      <c r="AW193" s="20">
        <v>980</v>
      </c>
      <c r="AX193" s="20">
        <v>20</v>
      </c>
      <c r="AY193" s="20">
        <v>1000</v>
      </c>
      <c r="AZ193" s="20">
        <v>5.7</v>
      </c>
      <c r="BA193" s="20">
        <v>0</v>
      </c>
      <c r="BB193" s="6">
        <v>41771</v>
      </c>
      <c r="BC193" s="6">
        <v>0</v>
      </c>
      <c r="BD193" s="6">
        <v>41862</v>
      </c>
      <c r="BE193" s="6">
        <v>41892</v>
      </c>
      <c r="BF193" s="6">
        <v>41907</v>
      </c>
      <c r="BG193" s="6">
        <v>0</v>
      </c>
      <c r="BH193" s="6">
        <v>0</v>
      </c>
      <c r="BI193" s="6">
        <v>0</v>
      </c>
      <c r="BJ193" s="6">
        <v>0</v>
      </c>
      <c r="BK193" s="5" t="s">
        <v>401</v>
      </c>
      <c r="BL193" s="4" t="s">
        <v>401</v>
      </c>
      <c r="BM193" s="20">
        <v>250</v>
      </c>
      <c r="BN193" s="20">
        <v>0</v>
      </c>
      <c r="BO193" s="20">
        <v>0</v>
      </c>
      <c r="BP193" s="20">
        <v>0</v>
      </c>
      <c r="BQ193" s="20">
        <v>0</v>
      </c>
      <c r="BR193" s="20">
        <v>0</v>
      </c>
      <c r="BS193" s="20">
        <v>250</v>
      </c>
      <c r="BT193" s="20">
        <v>1895875</v>
      </c>
      <c r="BU193" s="20">
        <v>11250000</v>
      </c>
      <c r="BV193" s="20">
        <v>5.3944868344551864</v>
      </c>
    </row>
    <row r="194" spans="1:74">
      <c r="A194" s="10">
        <f t="shared" si="10"/>
        <v>0</v>
      </c>
      <c r="B194" s="10">
        <f t="shared" si="11"/>
        <v>0</v>
      </c>
      <c r="C194" s="12">
        <f t="shared" si="12"/>
        <v>5</v>
      </c>
      <c r="D194" s="12">
        <f t="shared" si="13"/>
        <v>9</v>
      </c>
      <c r="E194" s="20" t="s">
        <v>424</v>
      </c>
      <c r="F194" s="20" t="s">
        <v>1451</v>
      </c>
      <c r="G194" s="20" t="s">
        <v>1945</v>
      </c>
      <c r="H194" s="20" t="s">
        <v>1986</v>
      </c>
      <c r="I194" s="20">
        <v>7</v>
      </c>
      <c r="J194" s="20" t="s">
        <v>1987</v>
      </c>
      <c r="K194" s="20" t="s">
        <v>1992</v>
      </c>
      <c r="L194" s="20" t="s">
        <v>1916</v>
      </c>
      <c r="M194" s="20" t="s">
        <v>1451</v>
      </c>
      <c r="N194" s="20" t="s">
        <v>1413</v>
      </c>
      <c r="P194" s="20" t="s">
        <v>1451</v>
      </c>
      <c r="Q194" s="20" t="s">
        <v>1457</v>
      </c>
      <c r="R194" s="20" t="s">
        <v>84</v>
      </c>
      <c r="S194" s="20">
        <v>5</v>
      </c>
      <c r="T194" s="20" t="s">
        <v>124</v>
      </c>
      <c r="U194" s="20" t="s">
        <v>125</v>
      </c>
      <c r="V194" s="20" t="s">
        <v>87</v>
      </c>
      <c r="W194" s="20">
        <v>515</v>
      </c>
      <c r="X194" s="20">
        <v>515</v>
      </c>
      <c r="Y194" s="20" t="s">
        <v>1989</v>
      </c>
      <c r="Z194" s="20">
        <v>0.5</v>
      </c>
      <c r="AA194" s="20" t="s">
        <v>1990</v>
      </c>
      <c r="AB194" s="20" t="s">
        <v>718</v>
      </c>
      <c r="AC194" s="20" t="s">
        <v>719</v>
      </c>
      <c r="AD194" s="20" t="s">
        <v>1991</v>
      </c>
      <c r="AE194" s="20" t="s">
        <v>91</v>
      </c>
      <c r="AF194" s="20">
        <v>0.5</v>
      </c>
      <c r="AG194" s="20">
        <v>0</v>
      </c>
      <c r="AH194" s="20">
        <v>1</v>
      </c>
      <c r="AI194" s="7" t="s">
        <v>98</v>
      </c>
      <c r="AJ194" s="20">
        <v>100</v>
      </c>
      <c r="AK194" s="4" t="s">
        <v>93</v>
      </c>
      <c r="AL194" s="4">
        <v>6</v>
      </c>
      <c r="AM194" s="4" t="s">
        <v>112</v>
      </c>
      <c r="AN194" s="4" t="s">
        <v>95</v>
      </c>
      <c r="AO194" s="4" t="s">
        <v>189</v>
      </c>
      <c r="AP194" s="4">
        <v>1</v>
      </c>
      <c r="AQ194" s="20">
        <v>45000</v>
      </c>
      <c r="AR194" s="4">
        <v>41820</v>
      </c>
      <c r="AS194" s="20">
        <v>6818.1818181818171</v>
      </c>
      <c r="AT194" s="20">
        <v>7583.5</v>
      </c>
      <c r="AU194" s="20">
        <v>765.31818181818289</v>
      </c>
      <c r="AV194" s="20">
        <v>0</v>
      </c>
      <c r="AW194" s="20">
        <v>980</v>
      </c>
      <c r="AX194" s="20">
        <v>20</v>
      </c>
      <c r="AY194" s="20">
        <v>1000</v>
      </c>
      <c r="AZ194" s="20">
        <v>5.7</v>
      </c>
      <c r="BA194" s="20">
        <v>0</v>
      </c>
      <c r="BB194" s="6">
        <v>41771</v>
      </c>
      <c r="BC194" s="6">
        <v>0</v>
      </c>
      <c r="BD194" s="6">
        <v>41862</v>
      </c>
      <c r="BE194" s="6">
        <v>41892</v>
      </c>
      <c r="BF194" s="6">
        <v>41907</v>
      </c>
      <c r="BG194" s="6">
        <v>0</v>
      </c>
      <c r="BH194" s="6">
        <v>0</v>
      </c>
      <c r="BI194" s="6">
        <v>0</v>
      </c>
      <c r="BJ194" s="6">
        <v>0</v>
      </c>
      <c r="BK194" s="5" t="s">
        <v>401</v>
      </c>
      <c r="BL194" s="4" t="s">
        <v>401</v>
      </c>
      <c r="BM194" s="20">
        <v>100</v>
      </c>
      <c r="BN194" s="20">
        <v>0</v>
      </c>
      <c r="BO194" s="20">
        <v>0</v>
      </c>
      <c r="BP194" s="20">
        <v>0</v>
      </c>
      <c r="BQ194" s="20">
        <v>0</v>
      </c>
      <c r="BR194" s="20">
        <v>0</v>
      </c>
      <c r="BS194" s="20">
        <v>100</v>
      </c>
      <c r="BT194" s="20">
        <v>758350</v>
      </c>
      <c r="BU194" s="20">
        <v>4500000</v>
      </c>
      <c r="BV194" s="20">
        <v>5.3944868344551864</v>
      </c>
    </row>
    <row r="195" spans="1:74">
      <c r="A195" s="10">
        <f t="shared" ref="A195:A258" si="14">IF($BL195="공급",$Z195,0)</f>
        <v>0</v>
      </c>
      <c r="B195" s="10">
        <f t="shared" ref="B195:B258" si="15">IF($AV195&gt;0,$Z195,0)</f>
        <v>0</v>
      </c>
      <c r="C195" s="12" t="str">
        <f t="shared" si="12"/>
        <v/>
      </c>
      <c r="D195" s="12" t="str">
        <f t="shared" si="13"/>
        <v/>
      </c>
      <c r="E195" s="20" t="s">
        <v>91</v>
      </c>
      <c r="F195" s="20" t="s">
        <v>91</v>
      </c>
      <c r="G195" s="20" t="s">
        <v>91</v>
      </c>
      <c r="H195" s="20" t="s">
        <v>91</v>
      </c>
      <c r="I195" s="20">
        <v>0</v>
      </c>
      <c r="J195" s="20" t="s">
        <v>103</v>
      </c>
      <c r="K195" s="20" t="s">
        <v>104</v>
      </c>
      <c r="L195" s="20">
        <v>0</v>
      </c>
      <c r="M195" s="20" t="s">
        <v>105</v>
      </c>
      <c r="N195" s="20" t="s">
        <v>91</v>
      </c>
      <c r="O195" s="20" t="s">
        <v>1993</v>
      </c>
      <c r="Q195" s="20" t="s">
        <v>91</v>
      </c>
      <c r="R195" s="20" t="s">
        <v>91</v>
      </c>
      <c r="S195" s="20" t="s">
        <v>91</v>
      </c>
      <c r="U195" s="20" t="s">
        <v>91</v>
      </c>
      <c r="X195" s="20" t="s">
        <v>91</v>
      </c>
      <c r="Y195" s="20" t="s">
        <v>91</v>
      </c>
      <c r="Z195" s="20">
        <v>3</v>
      </c>
      <c r="AB195" s="20" t="s">
        <v>91</v>
      </c>
      <c r="AD195" s="20" t="s">
        <v>91</v>
      </c>
      <c r="AE195" s="20" t="s">
        <v>91</v>
      </c>
      <c r="AF195" s="20">
        <v>6.9999999999999991</v>
      </c>
      <c r="AG195" s="20">
        <v>0</v>
      </c>
      <c r="AH195" s="20">
        <v>1</v>
      </c>
      <c r="AI195" s="7"/>
      <c r="AJ195" s="20">
        <v>2210</v>
      </c>
      <c r="AM195" s="4" t="s">
        <v>91</v>
      </c>
      <c r="AP195" s="4" t="s">
        <v>91</v>
      </c>
      <c r="AQ195" s="20">
        <v>0</v>
      </c>
      <c r="AR195" s="4">
        <v>0</v>
      </c>
      <c r="AW195" s="20">
        <v>0</v>
      </c>
      <c r="AX195" s="20" t="s">
        <v>91</v>
      </c>
      <c r="AY195" s="20">
        <v>0</v>
      </c>
      <c r="AZ195" s="20">
        <v>13302</v>
      </c>
      <c r="BA195" s="20">
        <v>0</v>
      </c>
      <c r="BB195" s="6">
        <v>0</v>
      </c>
      <c r="BC195" s="6">
        <v>0</v>
      </c>
      <c r="BD195" s="6">
        <v>0</v>
      </c>
      <c r="BE195" s="6">
        <v>0</v>
      </c>
      <c r="BF195" s="6">
        <v>0</v>
      </c>
      <c r="BG195" s="6">
        <v>0</v>
      </c>
      <c r="BH195" s="6">
        <v>0</v>
      </c>
      <c r="BI195" s="6">
        <v>0</v>
      </c>
      <c r="BJ195" s="6">
        <v>0</v>
      </c>
      <c r="BK195" s="5">
        <v>0</v>
      </c>
      <c r="BL195" s="4">
        <v>0</v>
      </c>
      <c r="BM195" s="20">
        <v>1910</v>
      </c>
      <c r="BN195" s="20">
        <v>300</v>
      </c>
      <c r="BO195" s="20">
        <v>0</v>
      </c>
      <c r="BP195" s="20">
        <v>0</v>
      </c>
      <c r="BQ195" s="20">
        <v>0</v>
      </c>
      <c r="BR195" s="20">
        <v>0</v>
      </c>
      <c r="BS195" s="20">
        <v>2210</v>
      </c>
      <c r="BT195" s="20">
        <v>17573810</v>
      </c>
      <c r="BU195" s="20">
        <v>99450000</v>
      </c>
      <c r="BV195" s="20">
        <v>5.1445355850035313</v>
      </c>
    </row>
    <row r="196" spans="1:74">
      <c r="A196" s="10">
        <f t="shared" si="14"/>
        <v>0</v>
      </c>
      <c r="B196" s="10">
        <f t="shared" si="15"/>
        <v>0</v>
      </c>
      <c r="C196" s="12">
        <f t="shared" ref="C196:C259" si="16">IF($BB196=0,"",MONTH($BB196))</f>
        <v>5</v>
      </c>
      <c r="D196" s="12">
        <f t="shared" si="13"/>
        <v>10</v>
      </c>
      <c r="E196" s="20" t="s">
        <v>424</v>
      </c>
      <c r="F196" s="20" t="s">
        <v>1451</v>
      </c>
      <c r="G196" s="20" t="s">
        <v>1994</v>
      </c>
      <c r="H196" s="20" t="s">
        <v>1995</v>
      </c>
      <c r="I196" s="20">
        <v>1</v>
      </c>
      <c r="J196" s="20" t="s">
        <v>1996</v>
      </c>
      <c r="K196" s="20" t="s">
        <v>1997</v>
      </c>
      <c r="L196" s="20" t="s">
        <v>1998</v>
      </c>
      <c r="M196" s="20" t="s">
        <v>1451</v>
      </c>
      <c r="N196" s="20" t="s">
        <v>1413</v>
      </c>
      <c r="P196" s="20" t="s">
        <v>1451</v>
      </c>
      <c r="Q196" s="20" t="s">
        <v>1457</v>
      </c>
      <c r="R196" s="20" t="s">
        <v>84</v>
      </c>
      <c r="S196" s="20">
        <v>5</v>
      </c>
      <c r="T196" s="20" t="s">
        <v>106</v>
      </c>
      <c r="U196" s="20" t="s">
        <v>107</v>
      </c>
      <c r="V196" s="20" t="s">
        <v>87</v>
      </c>
      <c r="W196" s="20">
        <v>517</v>
      </c>
      <c r="X196" s="20">
        <v>517</v>
      </c>
      <c r="Y196" s="20" t="s">
        <v>1999</v>
      </c>
      <c r="Z196" s="20">
        <v>0.33333333333333331</v>
      </c>
      <c r="AA196" s="20" t="s">
        <v>2000</v>
      </c>
      <c r="AB196" s="20" t="s">
        <v>101</v>
      </c>
      <c r="AC196" s="20" t="s">
        <v>102</v>
      </c>
      <c r="AD196" s="20" t="s">
        <v>2001</v>
      </c>
      <c r="AE196" s="20" t="s">
        <v>91</v>
      </c>
      <c r="AF196" s="20">
        <v>0.33333333333333331</v>
      </c>
      <c r="AG196" s="20">
        <v>0</v>
      </c>
      <c r="AH196" s="20">
        <v>1</v>
      </c>
      <c r="AI196" s="7" t="s">
        <v>97</v>
      </c>
      <c r="AJ196" s="20">
        <v>100</v>
      </c>
      <c r="AK196" s="4" t="s">
        <v>93</v>
      </c>
      <c r="AL196" s="4">
        <v>7</v>
      </c>
      <c r="AM196" s="4" t="s">
        <v>514</v>
      </c>
      <c r="AN196" s="4" t="s">
        <v>95</v>
      </c>
      <c r="AO196" s="4" t="s">
        <v>189</v>
      </c>
      <c r="AP196" s="4">
        <v>1</v>
      </c>
      <c r="AQ196" s="20">
        <v>55000</v>
      </c>
      <c r="AR196" s="4">
        <v>41820</v>
      </c>
      <c r="AS196" s="20">
        <v>8333.3333333333321</v>
      </c>
      <c r="AT196" s="20">
        <v>9778</v>
      </c>
      <c r="AU196" s="20">
        <v>1444.6666666666679</v>
      </c>
      <c r="AV196" s="20">
        <v>0</v>
      </c>
      <c r="AW196" s="20">
        <v>980</v>
      </c>
      <c r="AX196" s="20">
        <v>20</v>
      </c>
      <c r="AY196" s="20">
        <v>1000</v>
      </c>
      <c r="AZ196" s="20">
        <v>7.6</v>
      </c>
      <c r="BA196" s="20">
        <v>0</v>
      </c>
      <c r="BB196" s="6">
        <v>41771</v>
      </c>
      <c r="BC196" s="6">
        <v>0</v>
      </c>
      <c r="BD196" s="6">
        <v>41876</v>
      </c>
      <c r="BE196" s="6">
        <v>41876</v>
      </c>
      <c r="BF196" s="6">
        <v>41918</v>
      </c>
      <c r="BG196" s="6">
        <v>0</v>
      </c>
      <c r="BH196" s="6">
        <v>0</v>
      </c>
      <c r="BI196" s="6">
        <v>0</v>
      </c>
      <c r="BJ196" s="6">
        <v>0</v>
      </c>
      <c r="BK196" s="5" t="s">
        <v>401</v>
      </c>
      <c r="BL196" s="4" t="s">
        <v>401</v>
      </c>
      <c r="BM196" s="20">
        <v>100</v>
      </c>
      <c r="BN196" s="20">
        <v>0</v>
      </c>
      <c r="BO196" s="20">
        <v>0</v>
      </c>
      <c r="BP196" s="20">
        <v>0</v>
      </c>
      <c r="BQ196" s="20">
        <v>0</v>
      </c>
      <c r="BR196" s="20">
        <v>0</v>
      </c>
      <c r="BS196" s="20">
        <v>100</v>
      </c>
      <c r="BT196" s="20">
        <v>977800</v>
      </c>
      <c r="BU196" s="20">
        <v>5500000</v>
      </c>
      <c r="BV196" s="20">
        <v>5.1135201472693801</v>
      </c>
    </row>
    <row r="197" spans="1:74">
      <c r="A197" s="10">
        <f t="shared" si="14"/>
        <v>0</v>
      </c>
      <c r="B197" s="10">
        <f t="shared" si="15"/>
        <v>0</v>
      </c>
      <c r="C197" s="12">
        <f t="shared" si="16"/>
        <v>5</v>
      </c>
      <c r="D197" s="12">
        <f t="shared" ref="D197:D260" si="17">IF(AND(BD197=0,BF197=0),"",MONTH(IF($BF197=0,$BD197,$BF197)))</f>
        <v>10</v>
      </c>
      <c r="E197" s="20" t="s">
        <v>424</v>
      </c>
      <c r="F197" s="20" t="s">
        <v>1451</v>
      </c>
      <c r="G197" s="20" t="s">
        <v>1994</v>
      </c>
      <c r="H197" s="20" t="s">
        <v>1995</v>
      </c>
      <c r="I197" s="20">
        <v>1</v>
      </c>
      <c r="J197" s="20" t="s">
        <v>1996</v>
      </c>
      <c r="K197" s="20" t="s">
        <v>2002</v>
      </c>
      <c r="L197" s="20" t="s">
        <v>1998</v>
      </c>
      <c r="M197" s="20" t="s">
        <v>1451</v>
      </c>
      <c r="N197" s="20" t="s">
        <v>1413</v>
      </c>
      <c r="P197" s="20" t="s">
        <v>1451</v>
      </c>
      <c r="Q197" s="20" t="s">
        <v>1457</v>
      </c>
      <c r="R197" s="20" t="s">
        <v>84</v>
      </c>
      <c r="S197" s="20">
        <v>5</v>
      </c>
      <c r="T197" s="20" t="s">
        <v>106</v>
      </c>
      <c r="U197" s="20" t="s">
        <v>107</v>
      </c>
      <c r="V197" s="20" t="s">
        <v>87</v>
      </c>
      <c r="W197" s="20">
        <v>517</v>
      </c>
      <c r="X197" s="20">
        <v>517</v>
      </c>
      <c r="Y197" s="20" t="s">
        <v>1999</v>
      </c>
      <c r="Z197" s="20">
        <v>0.33333333333333331</v>
      </c>
      <c r="AA197" s="20" t="s">
        <v>2000</v>
      </c>
      <c r="AB197" s="20" t="s">
        <v>101</v>
      </c>
      <c r="AC197" s="20" t="s">
        <v>102</v>
      </c>
      <c r="AD197" s="20" t="s">
        <v>2001</v>
      </c>
      <c r="AE197" s="20" t="s">
        <v>91</v>
      </c>
      <c r="AF197" s="20">
        <v>0.33333333333333331</v>
      </c>
      <c r="AG197" s="20">
        <v>0</v>
      </c>
      <c r="AH197" s="20">
        <v>1</v>
      </c>
      <c r="AI197" s="7" t="s">
        <v>98</v>
      </c>
      <c r="AJ197" s="20">
        <v>50</v>
      </c>
      <c r="AK197" s="4" t="s">
        <v>93</v>
      </c>
      <c r="AL197" s="4">
        <v>7</v>
      </c>
      <c r="AM197" s="4" t="s">
        <v>514</v>
      </c>
      <c r="AN197" s="4" t="s">
        <v>95</v>
      </c>
      <c r="AO197" s="4" t="s">
        <v>189</v>
      </c>
      <c r="AP197" s="4">
        <v>1</v>
      </c>
      <c r="AQ197" s="20">
        <v>55000</v>
      </c>
      <c r="AR197" s="4">
        <v>41820</v>
      </c>
      <c r="AS197" s="20">
        <v>8333.3333333333321</v>
      </c>
      <c r="AT197" s="20">
        <v>9778</v>
      </c>
      <c r="AU197" s="20">
        <v>1444.6666666666679</v>
      </c>
      <c r="AV197" s="20">
        <v>0</v>
      </c>
      <c r="AW197" s="20">
        <v>980</v>
      </c>
      <c r="AX197" s="20">
        <v>20</v>
      </c>
      <c r="AY197" s="20">
        <v>1000</v>
      </c>
      <c r="AZ197" s="20">
        <v>7.6</v>
      </c>
      <c r="BA197" s="20">
        <v>0</v>
      </c>
      <c r="BB197" s="6">
        <v>41771</v>
      </c>
      <c r="BC197" s="6">
        <v>0</v>
      </c>
      <c r="BD197" s="6">
        <v>41876</v>
      </c>
      <c r="BE197" s="6">
        <v>41876</v>
      </c>
      <c r="BF197" s="6">
        <v>41918</v>
      </c>
      <c r="BG197" s="6">
        <v>0</v>
      </c>
      <c r="BH197" s="6">
        <v>0</v>
      </c>
      <c r="BI197" s="6">
        <v>0</v>
      </c>
      <c r="BJ197" s="6">
        <v>0</v>
      </c>
      <c r="BK197" s="5" t="s">
        <v>401</v>
      </c>
      <c r="BL197" s="4" t="s">
        <v>401</v>
      </c>
      <c r="BM197" s="20">
        <v>50</v>
      </c>
      <c r="BN197" s="20">
        <v>0</v>
      </c>
      <c r="BO197" s="20">
        <v>0</v>
      </c>
      <c r="BP197" s="20">
        <v>0</v>
      </c>
      <c r="BQ197" s="20">
        <v>0</v>
      </c>
      <c r="BR197" s="20">
        <v>0</v>
      </c>
      <c r="BS197" s="20">
        <v>50</v>
      </c>
      <c r="BT197" s="20">
        <v>488900</v>
      </c>
      <c r="BU197" s="20">
        <v>2750000</v>
      </c>
      <c r="BV197" s="20">
        <v>5.1135201472693801</v>
      </c>
    </row>
    <row r="198" spans="1:74">
      <c r="A198" s="10">
        <f t="shared" si="14"/>
        <v>0</v>
      </c>
      <c r="B198" s="10">
        <f t="shared" si="15"/>
        <v>0</v>
      </c>
      <c r="C198" s="12">
        <f t="shared" si="16"/>
        <v>5</v>
      </c>
      <c r="D198" s="12">
        <f t="shared" si="17"/>
        <v>10</v>
      </c>
      <c r="E198" s="20" t="s">
        <v>424</v>
      </c>
      <c r="F198" s="20" t="s">
        <v>1451</v>
      </c>
      <c r="G198" s="20" t="s">
        <v>1994</v>
      </c>
      <c r="H198" s="20" t="s">
        <v>1995</v>
      </c>
      <c r="I198" s="20">
        <v>1</v>
      </c>
      <c r="J198" s="20" t="s">
        <v>1996</v>
      </c>
      <c r="K198" s="20" t="s">
        <v>2003</v>
      </c>
      <c r="L198" s="20" t="s">
        <v>1998</v>
      </c>
      <c r="M198" s="20" t="s">
        <v>1451</v>
      </c>
      <c r="N198" s="20" t="s">
        <v>1413</v>
      </c>
      <c r="P198" s="20" t="s">
        <v>1451</v>
      </c>
      <c r="Q198" s="20" t="s">
        <v>1457</v>
      </c>
      <c r="R198" s="20" t="s">
        <v>84</v>
      </c>
      <c r="S198" s="20">
        <v>5</v>
      </c>
      <c r="T198" s="20" t="s">
        <v>106</v>
      </c>
      <c r="U198" s="20" t="s">
        <v>107</v>
      </c>
      <c r="V198" s="20" t="s">
        <v>87</v>
      </c>
      <c r="W198" s="20">
        <v>517</v>
      </c>
      <c r="X198" s="20">
        <v>517</v>
      </c>
      <c r="Y198" s="20" t="s">
        <v>1999</v>
      </c>
      <c r="Z198" s="20">
        <v>0.33333333333333331</v>
      </c>
      <c r="AA198" s="20" t="s">
        <v>2000</v>
      </c>
      <c r="AB198" s="20" t="s">
        <v>101</v>
      </c>
      <c r="AC198" s="20" t="s">
        <v>102</v>
      </c>
      <c r="AD198" s="20" t="s">
        <v>2001</v>
      </c>
      <c r="AE198" s="20" t="s">
        <v>91</v>
      </c>
      <c r="AF198" s="20">
        <v>0.33333333333333331</v>
      </c>
      <c r="AG198" s="20">
        <v>0</v>
      </c>
      <c r="AH198" s="20">
        <v>1</v>
      </c>
      <c r="AI198" s="7" t="s">
        <v>92</v>
      </c>
      <c r="AJ198" s="20">
        <v>250</v>
      </c>
      <c r="AK198" s="4" t="s">
        <v>93</v>
      </c>
      <c r="AL198" s="4">
        <v>7</v>
      </c>
      <c r="AM198" s="4" t="s">
        <v>514</v>
      </c>
      <c r="AN198" s="4" t="s">
        <v>95</v>
      </c>
      <c r="AO198" s="4" t="s">
        <v>189</v>
      </c>
      <c r="AP198" s="4">
        <v>1</v>
      </c>
      <c r="AQ198" s="20">
        <v>55000</v>
      </c>
      <c r="AR198" s="4">
        <v>41820</v>
      </c>
      <c r="AS198" s="20">
        <v>8333.3333333333321</v>
      </c>
      <c r="AT198" s="20">
        <v>9662.5</v>
      </c>
      <c r="AU198" s="20">
        <v>1329.1666666666679</v>
      </c>
      <c r="AV198" s="20">
        <v>0</v>
      </c>
      <c r="AW198" s="20">
        <v>980</v>
      </c>
      <c r="AX198" s="20">
        <v>20</v>
      </c>
      <c r="AY198" s="20">
        <v>1000</v>
      </c>
      <c r="AZ198" s="20">
        <v>7.5</v>
      </c>
      <c r="BA198" s="20">
        <v>0</v>
      </c>
      <c r="BB198" s="6">
        <v>41771</v>
      </c>
      <c r="BC198" s="6">
        <v>0</v>
      </c>
      <c r="BD198" s="6">
        <v>41876</v>
      </c>
      <c r="BE198" s="6">
        <v>41876</v>
      </c>
      <c r="BF198" s="6">
        <v>41918</v>
      </c>
      <c r="BG198" s="6">
        <v>0</v>
      </c>
      <c r="BH198" s="6">
        <v>0</v>
      </c>
      <c r="BI198" s="6">
        <v>0</v>
      </c>
      <c r="BJ198" s="6">
        <v>0</v>
      </c>
      <c r="BK198" s="5" t="s">
        <v>401</v>
      </c>
      <c r="BL198" s="4" t="s">
        <v>401</v>
      </c>
      <c r="BM198" s="20">
        <v>250</v>
      </c>
      <c r="BN198" s="20">
        <v>0</v>
      </c>
      <c r="BO198" s="20">
        <v>0</v>
      </c>
      <c r="BP198" s="20">
        <v>0</v>
      </c>
      <c r="BQ198" s="20">
        <v>0</v>
      </c>
      <c r="BR198" s="20">
        <v>0</v>
      </c>
      <c r="BS198" s="20">
        <v>250</v>
      </c>
      <c r="BT198" s="20">
        <v>2415625</v>
      </c>
      <c r="BU198" s="20">
        <v>13750000</v>
      </c>
      <c r="BV198" s="20">
        <v>5.1746442432082791</v>
      </c>
    </row>
    <row r="199" spans="1:74">
      <c r="A199" s="10">
        <f t="shared" si="14"/>
        <v>0</v>
      </c>
      <c r="B199" s="10">
        <f t="shared" si="15"/>
        <v>0</v>
      </c>
      <c r="C199" s="12" t="str">
        <f t="shared" si="16"/>
        <v/>
      </c>
      <c r="D199" s="12" t="str">
        <f t="shared" si="17"/>
        <v/>
      </c>
      <c r="E199" s="20" t="s">
        <v>91</v>
      </c>
      <c r="F199" s="20" t="s">
        <v>91</v>
      </c>
      <c r="G199" s="20" t="s">
        <v>91</v>
      </c>
      <c r="H199" s="20" t="s">
        <v>91</v>
      </c>
      <c r="I199" s="20">
        <v>0</v>
      </c>
      <c r="J199" s="20" t="s">
        <v>103</v>
      </c>
      <c r="K199" s="20" t="s">
        <v>104</v>
      </c>
      <c r="L199" s="20">
        <v>0</v>
      </c>
      <c r="M199" s="20" t="s">
        <v>105</v>
      </c>
      <c r="N199" s="20" t="s">
        <v>91</v>
      </c>
      <c r="O199" s="20" t="s">
        <v>2004</v>
      </c>
      <c r="Q199" s="20" t="s">
        <v>91</v>
      </c>
      <c r="R199" s="20" t="s">
        <v>91</v>
      </c>
      <c r="S199" s="20" t="s">
        <v>91</v>
      </c>
      <c r="U199" s="20" t="s">
        <v>91</v>
      </c>
      <c r="X199" s="20" t="s">
        <v>91</v>
      </c>
      <c r="Y199" s="20" t="s">
        <v>91</v>
      </c>
      <c r="Z199" s="20">
        <v>1</v>
      </c>
      <c r="AB199" s="20" t="s">
        <v>91</v>
      </c>
      <c r="AD199" s="20" t="s">
        <v>91</v>
      </c>
      <c r="AE199" s="20" t="s">
        <v>91</v>
      </c>
      <c r="AF199" s="20">
        <v>1</v>
      </c>
      <c r="AG199" s="20">
        <v>0</v>
      </c>
      <c r="AH199" s="20">
        <v>1</v>
      </c>
      <c r="AI199" s="7"/>
      <c r="AJ199" s="20">
        <v>400</v>
      </c>
      <c r="AM199" s="4" t="s">
        <v>91</v>
      </c>
      <c r="AP199" s="4" t="s">
        <v>91</v>
      </c>
      <c r="AQ199" s="20">
        <v>0</v>
      </c>
      <c r="AR199" s="4">
        <v>0</v>
      </c>
      <c r="AS199" s="20">
        <v>0</v>
      </c>
      <c r="AX199" s="20" t="s">
        <v>91</v>
      </c>
      <c r="AY199" s="20">
        <v>0</v>
      </c>
      <c r="AZ199" s="20">
        <v>3015</v>
      </c>
      <c r="BA199" s="20">
        <v>0</v>
      </c>
      <c r="BB199" s="6">
        <v>0</v>
      </c>
      <c r="BC199" s="6">
        <v>0</v>
      </c>
      <c r="BD199" s="6">
        <v>0</v>
      </c>
      <c r="BE199" s="6">
        <v>0</v>
      </c>
      <c r="BF199" s="6">
        <v>0</v>
      </c>
      <c r="BG199" s="6">
        <v>0</v>
      </c>
      <c r="BH199" s="6">
        <v>0</v>
      </c>
      <c r="BI199" s="6">
        <v>0</v>
      </c>
      <c r="BJ199" s="6">
        <v>0</v>
      </c>
      <c r="BK199" s="5">
        <v>0</v>
      </c>
      <c r="BL199" s="4">
        <v>0</v>
      </c>
      <c r="BM199" s="20">
        <v>400</v>
      </c>
      <c r="BN199" s="20">
        <v>0</v>
      </c>
      <c r="BO199" s="20">
        <v>0</v>
      </c>
      <c r="BP199" s="20">
        <v>0</v>
      </c>
      <c r="BQ199" s="20">
        <v>0</v>
      </c>
      <c r="BR199" s="20">
        <v>0</v>
      </c>
      <c r="BS199" s="20">
        <v>400</v>
      </c>
      <c r="BT199" s="20">
        <v>3882325</v>
      </c>
      <c r="BU199" s="20">
        <v>22000000</v>
      </c>
      <c r="BV199" s="20">
        <v>5.1515522270804226</v>
      </c>
    </row>
    <row r="200" spans="1:74">
      <c r="A200" s="10">
        <f t="shared" si="14"/>
        <v>0</v>
      </c>
      <c r="B200" s="10">
        <f t="shared" si="15"/>
        <v>0</v>
      </c>
      <c r="C200" s="12">
        <f t="shared" si="16"/>
        <v>5</v>
      </c>
      <c r="D200" s="12">
        <f t="shared" si="17"/>
        <v>9</v>
      </c>
      <c r="E200" s="20" t="s">
        <v>424</v>
      </c>
      <c r="F200" s="20" t="s">
        <v>1393</v>
      </c>
      <c r="G200" s="20" t="s">
        <v>2005</v>
      </c>
      <c r="H200" s="20" t="s">
        <v>2006</v>
      </c>
      <c r="I200" s="20">
        <v>1</v>
      </c>
      <c r="J200" s="20" t="s">
        <v>2007</v>
      </c>
      <c r="K200" s="20" t="s">
        <v>2008</v>
      </c>
      <c r="L200" s="20" t="s">
        <v>2009</v>
      </c>
      <c r="M200" s="20" t="s">
        <v>1393</v>
      </c>
      <c r="N200" s="20" t="s">
        <v>1413</v>
      </c>
      <c r="P200" s="20" t="s">
        <v>1393</v>
      </c>
      <c r="Q200" s="20" t="s">
        <v>1400</v>
      </c>
      <c r="R200" s="20" t="s">
        <v>84</v>
      </c>
      <c r="S200" s="20">
        <v>5</v>
      </c>
      <c r="T200" s="20" t="s">
        <v>124</v>
      </c>
      <c r="U200" s="20" t="s">
        <v>125</v>
      </c>
      <c r="V200" s="20" t="s">
        <v>87</v>
      </c>
      <c r="W200" s="20">
        <v>516</v>
      </c>
      <c r="X200" s="20">
        <v>516</v>
      </c>
      <c r="Y200" s="20" t="s">
        <v>2010</v>
      </c>
      <c r="Z200" s="20">
        <v>0.5</v>
      </c>
      <c r="AA200" s="20" t="s">
        <v>2011</v>
      </c>
      <c r="AB200" s="20" t="s">
        <v>89</v>
      </c>
      <c r="AC200" s="20" t="s">
        <v>90</v>
      </c>
      <c r="AD200" s="20" t="s">
        <v>2012</v>
      </c>
      <c r="AE200" s="20" t="s">
        <v>91</v>
      </c>
      <c r="AF200" s="20">
        <v>0.5</v>
      </c>
      <c r="AG200" s="20" t="s">
        <v>3795</v>
      </c>
      <c r="AH200" s="20">
        <v>1</v>
      </c>
      <c r="AI200" s="7" t="s">
        <v>97</v>
      </c>
      <c r="AJ200" s="20">
        <v>300</v>
      </c>
      <c r="AK200" s="4" t="s">
        <v>1047</v>
      </c>
      <c r="AL200" s="4">
        <v>7</v>
      </c>
      <c r="AM200" s="4" t="s">
        <v>514</v>
      </c>
      <c r="AN200" s="4" t="s">
        <v>95</v>
      </c>
      <c r="AO200" s="4" t="s">
        <v>96</v>
      </c>
      <c r="AP200" s="4">
        <v>1</v>
      </c>
      <c r="AQ200" s="20">
        <v>39000</v>
      </c>
      <c r="AR200" s="4">
        <v>41820</v>
      </c>
      <c r="AS200" s="20">
        <v>3939.3939393939386</v>
      </c>
      <c r="AT200" s="20">
        <v>5563.82</v>
      </c>
      <c r="AU200" s="20">
        <v>1624.4260606060611</v>
      </c>
      <c r="AV200" s="20">
        <v>0</v>
      </c>
      <c r="AW200" s="20">
        <v>180</v>
      </c>
      <c r="AX200" s="20">
        <v>20</v>
      </c>
      <c r="AY200" s="20">
        <v>200</v>
      </c>
      <c r="AZ200" s="20">
        <v>4.3</v>
      </c>
      <c r="BA200" s="20">
        <v>0</v>
      </c>
      <c r="BB200" s="6">
        <v>41771</v>
      </c>
      <c r="BC200" s="6">
        <v>41881</v>
      </c>
      <c r="BD200" s="6">
        <v>41876</v>
      </c>
      <c r="BE200" s="6">
        <v>41876</v>
      </c>
      <c r="BF200" s="6">
        <v>41894</v>
      </c>
      <c r="BG200" s="6">
        <v>0</v>
      </c>
      <c r="BH200" s="6">
        <v>0</v>
      </c>
      <c r="BI200" s="6">
        <v>0</v>
      </c>
      <c r="BJ200" s="6">
        <v>0</v>
      </c>
      <c r="BK200" s="5" t="s">
        <v>2173</v>
      </c>
      <c r="BL200" s="4" t="s">
        <v>2173</v>
      </c>
      <c r="BM200" s="20">
        <v>300</v>
      </c>
      <c r="BN200" s="20">
        <v>0</v>
      </c>
      <c r="BO200" s="20">
        <v>0</v>
      </c>
      <c r="BP200" s="20">
        <v>0</v>
      </c>
      <c r="BQ200" s="20">
        <v>0</v>
      </c>
      <c r="BR200" s="20">
        <v>0</v>
      </c>
      <c r="BS200" s="20">
        <v>300</v>
      </c>
      <c r="BT200" s="20">
        <v>1669146</v>
      </c>
      <c r="BU200" s="20">
        <v>11700000</v>
      </c>
      <c r="BV200" s="20">
        <v>6.372338690781775</v>
      </c>
    </row>
    <row r="201" spans="1:74">
      <c r="A201" s="10">
        <f t="shared" si="14"/>
        <v>0</v>
      </c>
      <c r="B201" s="10">
        <f t="shared" si="15"/>
        <v>0</v>
      </c>
      <c r="C201" s="12">
        <f t="shared" si="16"/>
        <v>5</v>
      </c>
      <c r="D201" s="12">
        <f t="shared" si="17"/>
        <v>9</v>
      </c>
      <c r="E201" s="20" t="s">
        <v>424</v>
      </c>
      <c r="F201" s="20" t="s">
        <v>1393</v>
      </c>
      <c r="G201" s="20" t="s">
        <v>2005</v>
      </c>
      <c r="H201" s="20" t="s">
        <v>2006</v>
      </c>
      <c r="I201" s="20">
        <v>1</v>
      </c>
      <c r="J201" s="20" t="s">
        <v>2007</v>
      </c>
      <c r="K201" s="20" t="s">
        <v>2013</v>
      </c>
      <c r="L201" s="20" t="s">
        <v>2009</v>
      </c>
      <c r="M201" s="20" t="s">
        <v>1393</v>
      </c>
      <c r="N201" s="20" t="s">
        <v>1413</v>
      </c>
      <c r="P201" s="20" t="s">
        <v>1393</v>
      </c>
      <c r="Q201" s="20" t="s">
        <v>1400</v>
      </c>
      <c r="R201" s="20" t="s">
        <v>84</v>
      </c>
      <c r="S201" s="20">
        <v>5</v>
      </c>
      <c r="T201" s="20" t="s">
        <v>124</v>
      </c>
      <c r="U201" s="20" t="s">
        <v>125</v>
      </c>
      <c r="V201" s="20" t="s">
        <v>87</v>
      </c>
      <c r="W201" s="20">
        <v>516</v>
      </c>
      <c r="X201" s="20">
        <v>516</v>
      </c>
      <c r="Y201" s="20" t="s">
        <v>2010</v>
      </c>
      <c r="Z201" s="20">
        <v>0.5</v>
      </c>
      <c r="AA201" s="20" t="s">
        <v>2011</v>
      </c>
      <c r="AB201" s="20" t="s">
        <v>89</v>
      </c>
      <c r="AC201" s="20" t="s">
        <v>90</v>
      </c>
      <c r="AD201" s="20" t="s">
        <v>2012</v>
      </c>
      <c r="AE201" s="20" t="s">
        <v>91</v>
      </c>
      <c r="AF201" s="20">
        <v>0.5</v>
      </c>
      <c r="AG201" s="20" t="s">
        <v>3795</v>
      </c>
      <c r="AH201" s="20">
        <v>1</v>
      </c>
      <c r="AI201" s="7" t="s">
        <v>98</v>
      </c>
      <c r="AJ201" s="20">
        <v>150</v>
      </c>
      <c r="AK201" s="4" t="s">
        <v>1047</v>
      </c>
      <c r="AL201" s="4">
        <v>7</v>
      </c>
      <c r="AM201" s="4" t="s">
        <v>514</v>
      </c>
      <c r="AN201" s="4" t="s">
        <v>95</v>
      </c>
      <c r="AO201" s="4" t="s">
        <v>96</v>
      </c>
      <c r="AP201" s="4">
        <v>1</v>
      </c>
      <c r="AQ201" s="20">
        <v>39000</v>
      </c>
      <c r="AR201" s="4">
        <v>41820</v>
      </c>
      <c r="AS201" s="20">
        <v>3939.3939393939386</v>
      </c>
      <c r="AT201" s="20">
        <v>5563.82</v>
      </c>
      <c r="AU201" s="20">
        <v>1624.4260606060611</v>
      </c>
      <c r="AV201" s="20">
        <v>0</v>
      </c>
      <c r="AW201" s="20">
        <v>180</v>
      </c>
      <c r="AX201" s="20">
        <v>20</v>
      </c>
      <c r="AY201" s="20">
        <v>200</v>
      </c>
      <c r="AZ201" s="20">
        <v>4.3</v>
      </c>
      <c r="BA201" s="20">
        <v>0</v>
      </c>
      <c r="BB201" s="6">
        <v>41771</v>
      </c>
      <c r="BC201" s="6">
        <v>41881</v>
      </c>
      <c r="BD201" s="6">
        <v>41876</v>
      </c>
      <c r="BE201" s="6">
        <v>41876</v>
      </c>
      <c r="BF201" s="6">
        <v>41894</v>
      </c>
      <c r="BG201" s="6">
        <v>0</v>
      </c>
      <c r="BH201" s="6">
        <v>0</v>
      </c>
      <c r="BI201" s="6">
        <v>0</v>
      </c>
      <c r="BJ201" s="6">
        <v>0</v>
      </c>
      <c r="BK201" s="5" t="s">
        <v>2173</v>
      </c>
      <c r="BL201" s="4" t="s">
        <v>2173</v>
      </c>
      <c r="BM201" s="20">
        <v>150</v>
      </c>
      <c r="BN201" s="20">
        <v>0</v>
      </c>
      <c r="BO201" s="20">
        <v>0</v>
      </c>
      <c r="BP201" s="20">
        <v>0</v>
      </c>
      <c r="BQ201" s="20">
        <v>0</v>
      </c>
      <c r="BR201" s="20">
        <v>0</v>
      </c>
      <c r="BS201" s="20">
        <v>150</v>
      </c>
      <c r="BT201" s="20">
        <v>834573</v>
      </c>
      <c r="BU201" s="20">
        <v>5850000</v>
      </c>
      <c r="BV201" s="20">
        <v>6.372338690781775</v>
      </c>
    </row>
    <row r="202" spans="1:74">
      <c r="A202" s="10">
        <f t="shared" si="14"/>
        <v>0</v>
      </c>
      <c r="B202" s="10">
        <f t="shared" si="15"/>
        <v>0.5</v>
      </c>
      <c r="C202" s="12">
        <f t="shared" si="16"/>
        <v>5</v>
      </c>
      <c r="D202" s="12">
        <f t="shared" si="17"/>
        <v>9</v>
      </c>
      <c r="E202" s="20" t="s">
        <v>424</v>
      </c>
      <c r="F202" s="20" t="s">
        <v>1393</v>
      </c>
      <c r="G202" s="20" t="s">
        <v>2005</v>
      </c>
      <c r="H202" s="20" t="s">
        <v>2014</v>
      </c>
      <c r="I202" s="20">
        <v>2</v>
      </c>
      <c r="J202" s="20" t="s">
        <v>2015</v>
      </c>
      <c r="K202" s="20" t="s">
        <v>2016</v>
      </c>
      <c r="L202" s="20" t="s">
        <v>2017</v>
      </c>
      <c r="M202" s="20" t="s">
        <v>1393</v>
      </c>
      <c r="N202" s="20" t="s">
        <v>1413</v>
      </c>
      <c r="P202" s="20" t="s">
        <v>1393</v>
      </c>
      <c r="Q202" s="20" t="s">
        <v>1400</v>
      </c>
      <c r="R202" s="20" t="s">
        <v>84</v>
      </c>
      <c r="S202" s="20">
        <v>5</v>
      </c>
      <c r="T202" s="20" t="s">
        <v>124</v>
      </c>
      <c r="U202" s="20" t="s">
        <v>125</v>
      </c>
      <c r="V202" s="20" t="s">
        <v>87</v>
      </c>
      <c r="W202" s="20">
        <v>517</v>
      </c>
      <c r="X202" s="20">
        <v>517</v>
      </c>
      <c r="Y202" s="20" t="s">
        <v>2018</v>
      </c>
      <c r="Z202" s="20">
        <v>0.5</v>
      </c>
      <c r="AA202" s="20" t="s">
        <v>2019</v>
      </c>
      <c r="AB202" s="20" t="s">
        <v>109</v>
      </c>
      <c r="AC202" s="20" t="s">
        <v>110</v>
      </c>
      <c r="AD202" s="20" t="s">
        <v>2020</v>
      </c>
      <c r="AE202" s="20" t="s">
        <v>91</v>
      </c>
      <c r="AF202" s="20">
        <v>0.5</v>
      </c>
      <c r="AG202" s="20" t="s">
        <v>3795</v>
      </c>
      <c r="AH202" s="20">
        <v>1</v>
      </c>
      <c r="AI202" s="7" t="s">
        <v>97</v>
      </c>
      <c r="AJ202" s="20">
        <v>300</v>
      </c>
      <c r="AK202" s="4" t="s">
        <v>1047</v>
      </c>
      <c r="AL202" s="4">
        <v>7</v>
      </c>
      <c r="AM202" s="4" t="s">
        <v>514</v>
      </c>
      <c r="AN202" s="4" t="s">
        <v>95</v>
      </c>
      <c r="AO202" s="4" t="s">
        <v>96</v>
      </c>
      <c r="AP202" s="4">
        <v>1</v>
      </c>
      <c r="AQ202" s="20">
        <v>39000</v>
      </c>
      <c r="AR202" s="4">
        <v>41820</v>
      </c>
      <c r="AS202" s="20">
        <v>3939.3939393939386</v>
      </c>
      <c r="AT202" s="20">
        <v>6128.5600000000013</v>
      </c>
      <c r="AU202" s="20">
        <v>2189.1660606060627</v>
      </c>
      <c r="AV202" s="20">
        <v>440</v>
      </c>
      <c r="AW202" s="20">
        <v>180</v>
      </c>
      <c r="AX202" s="20">
        <v>20</v>
      </c>
      <c r="AY202" s="20">
        <v>640</v>
      </c>
      <c r="AZ202" s="20">
        <v>4.4000000000000004</v>
      </c>
      <c r="BA202" s="20">
        <v>0</v>
      </c>
      <c r="BB202" s="6">
        <v>41771</v>
      </c>
      <c r="BC202" s="6">
        <v>41881</v>
      </c>
      <c r="BD202" s="6">
        <v>41876</v>
      </c>
      <c r="BE202" s="6">
        <v>41876</v>
      </c>
      <c r="BF202" s="6">
        <v>41885</v>
      </c>
      <c r="BG202" s="6">
        <v>41894</v>
      </c>
      <c r="BH202" s="6">
        <v>41898</v>
      </c>
      <c r="BI202" s="6">
        <v>0</v>
      </c>
      <c r="BJ202" s="6">
        <v>0</v>
      </c>
      <c r="BK202" s="5" t="s">
        <v>2173</v>
      </c>
      <c r="BL202" s="4" t="s">
        <v>2173</v>
      </c>
      <c r="BM202" s="20">
        <v>300</v>
      </c>
      <c r="BN202" s="20">
        <v>0</v>
      </c>
      <c r="BO202" s="20">
        <v>0</v>
      </c>
      <c r="BP202" s="20">
        <v>0</v>
      </c>
      <c r="BQ202" s="20">
        <v>0</v>
      </c>
      <c r="BR202" s="20">
        <v>0</v>
      </c>
      <c r="BS202" s="20">
        <v>300</v>
      </c>
      <c r="BT202" s="20">
        <v>1838568.0000000005</v>
      </c>
      <c r="BU202" s="20">
        <v>11700000</v>
      </c>
      <c r="BV202" s="20">
        <v>5.7851347550722263</v>
      </c>
    </row>
    <row r="203" spans="1:74">
      <c r="A203" s="10">
        <f t="shared" si="14"/>
        <v>0</v>
      </c>
      <c r="B203" s="10">
        <f t="shared" si="15"/>
        <v>0.5</v>
      </c>
      <c r="C203" s="12">
        <f t="shared" si="16"/>
        <v>5</v>
      </c>
      <c r="D203" s="12">
        <f t="shared" si="17"/>
        <v>9</v>
      </c>
      <c r="E203" s="20" t="s">
        <v>424</v>
      </c>
      <c r="F203" s="20" t="s">
        <v>1393</v>
      </c>
      <c r="G203" s="20" t="s">
        <v>2005</v>
      </c>
      <c r="H203" s="20" t="s">
        <v>2014</v>
      </c>
      <c r="I203" s="20">
        <v>2</v>
      </c>
      <c r="J203" s="20" t="s">
        <v>2015</v>
      </c>
      <c r="K203" s="20" t="s">
        <v>2021</v>
      </c>
      <c r="L203" s="20" t="s">
        <v>2017</v>
      </c>
      <c r="M203" s="20" t="s">
        <v>1393</v>
      </c>
      <c r="N203" s="20" t="s">
        <v>1413</v>
      </c>
      <c r="P203" s="20" t="s">
        <v>1393</v>
      </c>
      <c r="Q203" s="20" t="s">
        <v>1400</v>
      </c>
      <c r="R203" s="20" t="s">
        <v>84</v>
      </c>
      <c r="S203" s="20">
        <v>5</v>
      </c>
      <c r="T203" s="20" t="s">
        <v>124</v>
      </c>
      <c r="U203" s="20" t="s">
        <v>125</v>
      </c>
      <c r="V203" s="20" t="s">
        <v>87</v>
      </c>
      <c r="W203" s="20">
        <v>517</v>
      </c>
      <c r="X203" s="20">
        <v>517</v>
      </c>
      <c r="Y203" s="20" t="s">
        <v>2018</v>
      </c>
      <c r="Z203" s="20">
        <v>0.5</v>
      </c>
      <c r="AA203" s="20" t="s">
        <v>2019</v>
      </c>
      <c r="AB203" s="20" t="s">
        <v>109</v>
      </c>
      <c r="AC203" s="20" t="s">
        <v>110</v>
      </c>
      <c r="AD203" s="20" t="s">
        <v>2020</v>
      </c>
      <c r="AE203" s="20" t="s">
        <v>91</v>
      </c>
      <c r="AF203" s="20">
        <v>0.5</v>
      </c>
      <c r="AG203" s="20" t="s">
        <v>3795</v>
      </c>
      <c r="AH203" s="20">
        <v>1</v>
      </c>
      <c r="AI203" s="7" t="s">
        <v>98</v>
      </c>
      <c r="AJ203" s="20">
        <v>150</v>
      </c>
      <c r="AK203" s="4" t="s">
        <v>1047</v>
      </c>
      <c r="AL203" s="4">
        <v>7</v>
      </c>
      <c r="AM203" s="4" t="s">
        <v>514</v>
      </c>
      <c r="AN203" s="4" t="s">
        <v>95</v>
      </c>
      <c r="AO203" s="4" t="s">
        <v>96</v>
      </c>
      <c r="AP203" s="4">
        <v>1</v>
      </c>
      <c r="AQ203" s="20">
        <v>39000</v>
      </c>
      <c r="AR203" s="4">
        <v>41820</v>
      </c>
      <c r="AS203" s="20">
        <v>3939.3939393939386</v>
      </c>
      <c r="AT203" s="20">
        <v>6128.5600000000013</v>
      </c>
      <c r="AU203" s="20">
        <v>2189.1660606060627</v>
      </c>
      <c r="AV203" s="20">
        <v>440</v>
      </c>
      <c r="AW203" s="20">
        <v>180</v>
      </c>
      <c r="AX203" s="20">
        <v>20</v>
      </c>
      <c r="AY203" s="20">
        <v>640</v>
      </c>
      <c r="AZ203" s="20">
        <v>4.4000000000000004</v>
      </c>
      <c r="BA203" s="20">
        <v>0</v>
      </c>
      <c r="BB203" s="6">
        <v>41771</v>
      </c>
      <c r="BC203" s="6">
        <v>41881</v>
      </c>
      <c r="BD203" s="6">
        <v>41876</v>
      </c>
      <c r="BE203" s="6">
        <v>41876</v>
      </c>
      <c r="BF203" s="6">
        <v>41885</v>
      </c>
      <c r="BG203" s="6">
        <v>41894</v>
      </c>
      <c r="BH203" s="6">
        <v>41898</v>
      </c>
      <c r="BI203" s="6">
        <v>0</v>
      </c>
      <c r="BJ203" s="6">
        <v>0</v>
      </c>
      <c r="BK203" s="5" t="s">
        <v>2173</v>
      </c>
      <c r="BL203" s="4" t="s">
        <v>2173</v>
      </c>
      <c r="BM203" s="20">
        <v>0</v>
      </c>
      <c r="BN203" s="20">
        <v>50</v>
      </c>
      <c r="BO203" s="20">
        <v>76</v>
      </c>
      <c r="BP203" s="20">
        <v>0</v>
      </c>
      <c r="BQ203" s="20">
        <v>0</v>
      </c>
      <c r="BS203" s="20">
        <v>150</v>
      </c>
      <c r="BT203" s="20">
        <v>919284.00000000023</v>
      </c>
      <c r="BU203" s="20">
        <v>5850000</v>
      </c>
      <c r="BV203" s="20">
        <v>5.7851347550722263</v>
      </c>
    </row>
    <row r="204" spans="1:74">
      <c r="A204" s="10">
        <f t="shared" si="14"/>
        <v>0</v>
      </c>
      <c r="B204" s="10">
        <f t="shared" si="15"/>
        <v>0</v>
      </c>
      <c r="C204" s="12">
        <f t="shared" si="16"/>
        <v>5</v>
      </c>
      <c r="D204" s="12">
        <f t="shared" si="17"/>
        <v>9</v>
      </c>
      <c r="E204" s="20" t="s">
        <v>424</v>
      </c>
      <c r="F204" s="20" t="s">
        <v>1393</v>
      </c>
      <c r="G204" s="20" t="s">
        <v>2005</v>
      </c>
      <c r="H204" s="20" t="s">
        <v>2022</v>
      </c>
      <c r="I204" s="20">
        <v>3</v>
      </c>
      <c r="J204" s="20" t="s">
        <v>2023</v>
      </c>
      <c r="K204" s="20" t="s">
        <v>2024</v>
      </c>
      <c r="L204" s="20" t="s">
        <v>2025</v>
      </c>
      <c r="M204" s="20" t="s">
        <v>1393</v>
      </c>
      <c r="N204" s="20" t="s">
        <v>1413</v>
      </c>
      <c r="P204" s="20" t="s">
        <v>1393</v>
      </c>
      <c r="Q204" s="20" t="s">
        <v>1400</v>
      </c>
      <c r="R204" s="20" t="s">
        <v>84</v>
      </c>
      <c r="S204" s="20">
        <v>5</v>
      </c>
      <c r="T204" s="20" t="s">
        <v>106</v>
      </c>
      <c r="U204" s="20" t="s">
        <v>107</v>
      </c>
      <c r="V204" s="20" t="s">
        <v>87</v>
      </c>
      <c r="W204" s="20">
        <v>518</v>
      </c>
      <c r="X204" s="20">
        <v>518</v>
      </c>
      <c r="Y204" s="20" t="s">
        <v>2026</v>
      </c>
      <c r="Z204" s="20">
        <v>0.5</v>
      </c>
      <c r="AA204" s="20" t="s">
        <v>2027</v>
      </c>
      <c r="AB204" s="20" t="s">
        <v>101</v>
      </c>
      <c r="AC204" s="20" t="s">
        <v>102</v>
      </c>
      <c r="AD204" s="20" t="s">
        <v>2028</v>
      </c>
      <c r="AE204" s="20" t="s">
        <v>91</v>
      </c>
      <c r="AF204" s="20">
        <v>0.5</v>
      </c>
      <c r="AG204" s="20" t="s">
        <v>3796</v>
      </c>
      <c r="AH204" s="20">
        <v>1</v>
      </c>
      <c r="AI204" s="7" t="s">
        <v>97</v>
      </c>
      <c r="AJ204" s="20">
        <v>250</v>
      </c>
      <c r="AK204" s="4" t="s">
        <v>1047</v>
      </c>
      <c r="AL204" s="4">
        <v>7</v>
      </c>
      <c r="AM204" s="4" t="s">
        <v>514</v>
      </c>
      <c r="AN204" s="4" t="s">
        <v>95</v>
      </c>
      <c r="AO204" s="4" t="s">
        <v>96</v>
      </c>
      <c r="AP204" s="4">
        <v>1</v>
      </c>
      <c r="AQ204" s="20">
        <v>49000</v>
      </c>
      <c r="AR204" s="4">
        <v>41820</v>
      </c>
      <c r="AS204" s="20">
        <v>4949.4949494949497</v>
      </c>
      <c r="AT204" s="20">
        <v>6811.2200000000012</v>
      </c>
      <c r="AU204" s="20">
        <v>1861.7250505050515</v>
      </c>
      <c r="AV204" s="20">
        <v>0</v>
      </c>
      <c r="AW204" s="20">
        <v>180</v>
      </c>
      <c r="AX204" s="20">
        <v>20</v>
      </c>
      <c r="AY204" s="20">
        <v>200</v>
      </c>
      <c r="AZ204" s="20">
        <v>5.3</v>
      </c>
      <c r="BA204" s="20">
        <v>0</v>
      </c>
      <c r="BB204" s="6">
        <v>41771</v>
      </c>
      <c r="BC204" s="6">
        <v>0</v>
      </c>
      <c r="BD204" s="6">
        <v>41876</v>
      </c>
      <c r="BE204" s="6">
        <v>41876</v>
      </c>
      <c r="BF204" s="6">
        <v>41898</v>
      </c>
      <c r="BG204" s="6">
        <v>0</v>
      </c>
      <c r="BH204" s="6">
        <v>0</v>
      </c>
      <c r="BI204" s="6">
        <v>0</v>
      </c>
      <c r="BJ204" s="6">
        <v>0</v>
      </c>
      <c r="BK204" s="5" t="s">
        <v>2173</v>
      </c>
      <c r="BL204" s="4" t="s">
        <v>2173</v>
      </c>
      <c r="BM204" s="20">
        <v>250</v>
      </c>
      <c r="BN204" s="20">
        <v>0</v>
      </c>
      <c r="BO204" s="20">
        <v>0</v>
      </c>
      <c r="BP204" s="20">
        <v>0</v>
      </c>
      <c r="BQ204" s="20">
        <v>0</v>
      </c>
      <c r="BR204" s="20">
        <v>0</v>
      </c>
      <c r="BS204" s="20">
        <v>250</v>
      </c>
      <c r="BT204" s="20">
        <v>1702805.0000000002</v>
      </c>
      <c r="BU204" s="20">
        <v>12250000</v>
      </c>
      <c r="BV204" s="20">
        <v>6.5400111206882956</v>
      </c>
    </row>
    <row r="205" spans="1:74">
      <c r="A205" s="10">
        <f t="shared" si="14"/>
        <v>0</v>
      </c>
      <c r="B205" s="10">
        <f t="shared" si="15"/>
        <v>0</v>
      </c>
      <c r="C205" s="12">
        <f t="shared" si="16"/>
        <v>5</v>
      </c>
      <c r="D205" s="12">
        <f t="shared" si="17"/>
        <v>9</v>
      </c>
      <c r="E205" s="20" t="s">
        <v>424</v>
      </c>
      <c r="F205" s="20" t="s">
        <v>1393</v>
      </c>
      <c r="G205" s="20" t="s">
        <v>2005</v>
      </c>
      <c r="H205" s="20" t="s">
        <v>2022</v>
      </c>
      <c r="I205" s="20">
        <v>3</v>
      </c>
      <c r="J205" s="20" t="s">
        <v>2023</v>
      </c>
      <c r="K205" s="20" t="s">
        <v>2029</v>
      </c>
      <c r="L205" s="20" t="s">
        <v>2025</v>
      </c>
      <c r="M205" s="20" t="s">
        <v>1393</v>
      </c>
      <c r="N205" s="20" t="s">
        <v>1413</v>
      </c>
      <c r="P205" s="20" t="s">
        <v>1393</v>
      </c>
      <c r="Q205" s="20" t="s">
        <v>1400</v>
      </c>
      <c r="R205" s="20" t="s">
        <v>84</v>
      </c>
      <c r="S205" s="20">
        <v>5</v>
      </c>
      <c r="T205" s="20" t="s">
        <v>106</v>
      </c>
      <c r="U205" s="20" t="s">
        <v>107</v>
      </c>
      <c r="V205" s="20" t="s">
        <v>87</v>
      </c>
      <c r="W205" s="20">
        <v>518</v>
      </c>
      <c r="X205" s="20">
        <v>518</v>
      </c>
      <c r="Y205" s="20" t="s">
        <v>2026</v>
      </c>
      <c r="Z205" s="20">
        <v>0.5</v>
      </c>
      <c r="AA205" s="20" t="s">
        <v>2027</v>
      </c>
      <c r="AB205" s="20" t="s">
        <v>101</v>
      </c>
      <c r="AC205" s="20" t="s">
        <v>102</v>
      </c>
      <c r="AD205" s="20" t="s">
        <v>2028</v>
      </c>
      <c r="AE205" s="20" t="s">
        <v>91</v>
      </c>
      <c r="AF205" s="20">
        <v>0.5</v>
      </c>
      <c r="AG205" s="20" t="s">
        <v>3796</v>
      </c>
      <c r="AH205" s="20">
        <v>1</v>
      </c>
      <c r="AI205" s="7" t="s">
        <v>98</v>
      </c>
      <c r="AJ205" s="20">
        <v>100</v>
      </c>
      <c r="AK205" s="4" t="s">
        <v>1047</v>
      </c>
      <c r="AL205" s="4">
        <v>7</v>
      </c>
      <c r="AM205" s="4" t="s">
        <v>514</v>
      </c>
      <c r="AN205" s="4" t="s">
        <v>95</v>
      </c>
      <c r="AO205" s="4" t="s">
        <v>96</v>
      </c>
      <c r="AP205" s="4">
        <v>1</v>
      </c>
      <c r="AQ205" s="20">
        <v>49000</v>
      </c>
      <c r="AR205" s="4">
        <v>41820</v>
      </c>
      <c r="AS205" s="20">
        <v>4949.4949494949497</v>
      </c>
      <c r="AT205" s="20">
        <v>6791.2200000000012</v>
      </c>
      <c r="AU205" s="20">
        <v>1841.7250505050515</v>
      </c>
      <c r="AV205" s="20">
        <v>0</v>
      </c>
      <c r="AW205" s="20">
        <v>180</v>
      </c>
      <c r="AX205" s="20" t="s">
        <v>3947</v>
      </c>
      <c r="AY205" s="20">
        <v>180</v>
      </c>
      <c r="AZ205" s="20">
        <v>5.3</v>
      </c>
      <c r="BA205" s="20">
        <v>0</v>
      </c>
      <c r="BB205" s="6">
        <v>41771</v>
      </c>
      <c r="BC205" s="6">
        <v>0</v>
      </c>
      <c r="BD205" s="6">
        <v>41876</v>
      </c>
      <c r="BE205" s="6">
        <v>41876</v>
      </c>
      <c r="BF205" s="6">
        <v>41898</v>
      </c>
      <c r="BG205" s="6">
        <v>0</v>
      </c>
      <c r="BH205" s="6">
        <v>0</v>
      </c>
      <c r="BI205" s="6">
        <v>0</v>
      </c>
      <c r="BJ205" s="6">
        <v>0</v>
      </c>
      <c r="BK205" s="5" t="s">
        <v>2173</v>
      </c>
      <c r="BL205" s="4" t="s">
        <v>2173</v>
      </c>
      <c r="BM205" s="20">
        <v>100</v>
      </c>
      <c r="BN205" s="20">
        <v>0</v>
      </c>
      <c r="BO205" s="20">
        <v>0</v>
      </c>
      <c r="BP205" s="20">
        <v>0</v>
      </c>
      <c r="BQ205" s="20">
        <v>0</v>
      </c>
      <c r="BR205" s="20">
        <v>0</v>
      </c>
      <c r="BS205" s="20">
        <v>100</v>
      </c>
      <c r="BT205" s="20">
        <v>679122.00000000012</v>
      </c>
      <c r="BU205" s="20">
        <v>4900000</v>
      </c>
      <c r="BV205" s="20">
        <v>6.5592713158246285</v>
      </c>
    </row>
    <row r="206" spans="1:74">
      <c r="A206" s="10">
        <f t="shared" si="14"/>
        <v>0</v>
      </c>
      <c r="B206" s="10">
        <f t="shared" si="15"/>
        <v>0</v>
      </c>
      <c r="C206" s="12">
        <f t="shared" si="16"/>
        <v>5</v>
      </c>
      <c r="D206" s="12">
        <f t="shared" si="17"/>
        <v>9</v>
      </c>
      <c r="E206" s="20" t="s">
        <v>424</v>
      </c>
      <c r="F206" s="20" t="s">
        <v>1393</v>
      </c>
      <c r="G206" s="20" t="s">
        <v>2005</v>
      </c>
      <c r="H206" s="20" t="s">
        <v>2030</v>
      </c>
      <c r="I206" s="20">
        <v>4</v>
      </c>
      <c r="J206" s="20" t="s">
        <v>2031</v>
      </c>
      <c r="K206" s="20" t="s">
        <v>2032</v>
      </c>
      <c r="L206" s="20" t="s">
        <v>2033</v>
      </c>
      <c r="M206" s="20" t="s">
        <v>1393</v>
      </c>
      <c r="N206" s="20" t="s">
        <v>1413</v>
      </c>
      <c r="P206" s="20" t="s">
        <v>1393</v>
      </c>
      <c r="Q206" s="20" t="s">
        <v>1400</v>
      </c>
      <c r="R206" s="20" t="s">
        <v>84</v>
      </c>
      <c r="S206" s="20">
        <v>5</v>
      </c>
      <c r="T206" s="20" t="s">
        <v>106</v>
      </c>
      <c r="U206" s="20" t="s">
        <v>107</v>
      </c>
      <c r="V206" s="20" t="s">
        <v>87</v>
      </c>
      <c r="W206" s="20">
        <v>520</v>
      </c>
      <c r="X206" s="20">
        <v>520</v>
      </c>
      <c r="Y206" s="20" t="s">
        <v>2034</v>
      </c>
      <c r="Z206" s="20">
        <v>0.5</v>
      </c>
      <c r="AA206" s="20" t="s">
        <v>2035</v>
      </c>
      <c r="AB206" s="20" t="s">
        <v>248</v>
      </c>
      <c r="AC206" s="20" t="s">
        <v>249</v>
      </c>
      <c r="AD206" s="20" t="s">
        <v>2036</v>
      </c>
      <c r="AE206" s="20" t="s">
        <v>91</v>
      </c>
      <c r="AF206" s="20">
        <v>0.5</v>
      </c>
      <c r="AG206" s="20" t="s">
        <v>3797</v>
      </c>
      <c r="AH206" s="20">
        <v>1</v>
      </c>
      <c r="AI206" s="7" t="s">
        <v>97</v>
      </c>
      <c r="AJ206" s="20">
        <v>250</v>
      </c>
      <c r="AK206" s="4" t="s">
        <v>1047</v>
      </c>
      <c r="AL206" s="4">
        <v>7</v>
      </c>
      <c r="AM206" s="4" t="s">
        <v>514</v>
      </c>
      <c r="AN206" s="4" t="s">
        <v>95</v>
      </c>
      <c r="AO206" s="4" t="s">
        <v>96</v>
      </c>
      <c r="AP206" s="4">
        <v>1</v>
      </c>
      <c r="AQ206" s="20">
        <v>49000</v>
      </c>
      <c r="AR206" s="4">
        <v>41820</v>
      </c>
      <c r="AS206" s="20">
        <v>4949.4949494949497</v>
      </c>
      <c r="AT206" s="20">
        <v>6187.52</v>
      </c>
      <c r="AU206" s="20">
        <v>1238.0250505050508</v>
      </c>
      <c r="AV206" s="20">
        <v>0</v>
      </c>
      <c r="AW206" s="20">
        <v>180</v>
      </c>
      <c r="AX206" s="20">
        <v>20</v>
      </c>
      <c r="AY206" s="20">
        <v>200</v>
      </c>
      <c r="AZ206" s="20">
        <v>4.8</v>
      </c>
      <c r="BA206" s="20">
        <v>0</v>
      </c>
      <c r="BB206" s="6">
        <v>41771</v>
      </c>
      <c r="BC206" s="6">
        <v>0</v>
      </c>
      <c r="BD206" s="6">
        <v>41876</v>
      </c>
      <c r="BE206" s="6">
        <v>41876</v>
      </c>
      <c r="BF206" s="6">
        <v>41885</v>
      </c>
      <c r="BG206" s="6">
        <v>41898</v>
      </c>
      <c r="BH206" s="6">
        <v>0</v>
      </c>
      <c r="BI206" s="6">
        <v>0</v>
      </c>
      <c r="BJ206" s="6">
        <v>0</v>
      </c>
      <c r="BK206" s="5" t="s">
        <v>2173</v>
      </c>
      <c r="BL206" s="4" t="s">
        <v>2173</v>
      </c>
      <c r="BM206" s="20">
        <v>199</v>
      </c>
      <c r="BN206" s="20">
        <v>50</v>
      </c>
      <c r="BO206" s="20">
        <v>0</v>
      </c>
      <c r="BP206" s="20">
        <v>0</v>
      </c>
      <c r="BQ206" s="20">
        <v>0</v>
      </c>
      <c r="BR206" s="20">
        <v>0</v>
      </c>
      <c r="BS206" s="20">
        <v>250</v>
      </c>
      <c r="BT206" s="20">
        <v>1546880</v>
      </c>
      <c r="BU206" s="20">
        <v>12250000</v>
      </c>
      <c r="BV206" s="20">
        <v>7.1992421108060318</v>
      </c>
    </row>
    <row r="207" spans="1:74">
      <c r="A207" s="10">
        <f t="shared" si="14"/>
        <v>0</v>
      </c>
      <c r="B207" s="10">
        <f t="shared" si="15"/>
        <v>0</v>
      </c>
      <c r="C207" s="12">
        <f t="shared" si="16"/>
        <v>5</v>
      </c>
      <c r="D207" s="12">
        <f t="shared" si="17"/>
        <v>9</v>
      </c>
      <c r="E207" s="20" t="s">
        <v>424</v>
      </c>
      <c r="F207" s="20" t="s">
        <v>1393</v>
      </c>
      <c r="G207" s="20" t="s">
        <v>2005</v>
      </c>
      <c r="H207" s="20" t="s">
        <v>2030</v>
      </c>
      <c r="I207" s="20">
        <v>4</v>
      </c>
      <c r="J207" s="20" t="s">
        <v>2031</v>
      </c>
      <c r="K207" s="20" t="s">
        <v>2037</v>
      </c>
      <c r="L207" s="20" t="s">
        <v>2033</v>
      </c>
      <c r="M207" s="20" t="s">
        <v>1393</v>
      </c>
      <c r="N207" s="20" t="s">
        <v>1413</v>
      </c>
      <c r="P207" s="20" t="s">
        <v>1393</v>
      </c>
      <c r="Q207" s="20" t="s">
        <v>1400</v>
      </c>
      <c r="R207" s="20" t="s">
        <v>84</v>
      </c>
      <c r="S207" s="20">
        <v>5</v>
      </c>
      <c r="T207" s="20" t="s">
        <v>106</v>
      </c>
      <c r="U207" s="20" t="s">
        <v>107</v>
      </c>
      <c r="V207" s="20" t="s">
        <v>87</v>
      </c>
      <c r="W207" s="20">
        <v>520</v>
      </c>
      <c r="X207" s="20">
        <v>520</v>
      </c>
      <c r="Y207" s="20" t="s">
        <v>2034</v>
      </c>
      <c r="Z207" s="20">
        <v>0.5</v>
      </c>
      <c r="AA207" s="20" t="s">
        <v>2035</v>
      </c>
      <c r="AB207" s="20" t="s">
        <v>248</v>
      </c>
      <c r="AC207" s="20" t="s">
        <v>249</v>
      </c>
      <c r="AD207" s="20" t="s">
        <v>2036</v>
      </c>
      <c r="AE207" s="20" t="s">
        <v>91</v>
      </c>
      <c r="AF207" s="20">
        <v>0.5</v>
      </c>
      <c r="AG207" s="20" t="s">
        <v>3797</v>
      </c>
      <c r="AH207" s="20">
        <v>1</v>
      </c>
      <c r="AI207" s="7" t="s">
        <v>98</v>
      </c>
      <c r="AJ207" s="20">
        <v>100</v>
      </c>
      <c r="AK207" s="4" t="s">
        <v>1047</v>
      </c>
      <c r="AL207" s="4">
        <v>7</v>
      </c>
      <c r="AM207" s="4" t="s">
        <v>514</v>
      </c>
      <c r="AN207" s="4" t="s">
        <v>95</v>
      </c>
      <c r="AO207" s="4" t="s">
        <v>96</v>
      </c>
      <c r="AP207" s="4">
        <v>1</v>
      </c>
      <c r="AQ207" s="20">
        <v>49000</v>
      </c>
      <c r="AR207" s="4">
        <v>41820</v>
      </c>
      <c r="AS207" s="20">
        <v>4949.4949494949497</v>
      </c>
      <c r="AT207" s="20">
        <v>6187.52</v>
      </c>
      <c r="AU207" s="20">
        <v>1238.0250505050508</v>
      </c>
      <c r="AV207" s="20">
        <v>0</v>
      </c>
      <c r="AW207" s="20">
        <v>180</v>
      </c>
      <c r="AX207" s="20">
        <v>20</v>
      </c>
      <c r="AY207" s="20">
        <v>200</v>
      </c>
      <c r="AZ207" s="20">
        <v>4.8</v>
      </c>
      <c r="BA207" s="20">
        <v>0</v>
      </c>
      <c r="BB207" s="6">
        <v>41771</v>
      </c>
      <c r="BC207" s="6">
        <v>0</v>
      </c>
      <c r="BD207" s="6">
        <v>41876</v>
      </c>
      <c r="BE207" s="6">
        <v>41876</v>
      </c>
      <c r="BF207" s="6">
        <v>41885</v>
      </c>
      <c r="BG207" s="6">
        <v>41898</v>
      </c>
      <c r="BH207" s="6">
        <v>0</v>
      </c>
      <c r="BI207" s="6">
        <v>0</v>
      </c>
      <c r="BJ207" s="6">
        <v>0</v>
      </c>
      <c r="BK207" s="5" t="s">
        <v>2173</v>
      </c>
      <c r="BL207" s="4" t="s">
        <v>2173</v>
      </c>
      <c r="BM207" s="20">
        <v>100</v>
      </c>
      <c r="BN207" s="20">
        <v>0</v>
      </c>
      <c r="BO207" s="20">
        <v>0</v>
      </c>
      <c r="BP207" s="20">
        <v>0</v>
      </c>
      <c r="BQ207" s="20">
        <v>0</v>
      </c>
      <c r="BR207" s="20">
        <v>0</v>
      </c>
      <c r="BS207" s="20">
        <v>100</v>
      </c>
      <c r="BT207" s="20">
        <v>618752</v>
      </c>
      <c r="BU207" s="20">
        <v>4900000</v>
      </c>
      <c r="BV207" s="20">
        <v>7.1992421108060327</v>
      </c>
    </row>
    <row r="208" spans="1:74">
      <c r="A208" s="10">
        <f t="shared" si="14"/>
        <v>0</v>
      </c>
      <c r="B208" s="10">
        <f t="shared" si="15"/>
        <v>0</v>
      </c>
      <c r="C208" s="12">
        <f t="shared" si="16"/>
        <v>5</v>
      </c>
      <c r="D208" s="12">
        <f t="shared" si="17"/>
        <v>9</v>
      </c>
      <c r="E208" s="20" t="s">
        <v>424</v>
      </c>
      <c r="F208" s="20" t="s">
        <v>1393</v>
      </c>
      <c r="G208" s="20" t="s">
        <v>2005</v>
      </c>
      <c r="H208" s="20" t="s">
        <v>2038</v>
      </c>
      <c r="I208" s="20">
        <v>5</v>
      </c>
      <c r="J208" s="20" t="s">
        <v>2039</v>
      </c>
      <c r="K208" s="20" t="s">
        <v>2040</v>
      </c>
      <c r="L208" s="20" t="s">
        <v>2041</v>
      </c>
      <c r="M208" s="20" t="s">
        <v>1393</v>
      </c>
      <c r="N208" s="20" t="s">
        <v>1413</v>
      </c>
      <c r="P208" s="20" t="s">
        <v>1393</v>
      </c>
      <c r="Q208" s="20" t="s">
        <v>1400</v>
      </c>
      <c r="R208" s="20" t="s">
        <v>84</v>
      </c>
      <c r="S208" s="20">
        <v>5</v>
      </c>
      <c r="T208" s="20" t="s">
        <v>106</v>
      </c>
      <c r="U208" s="20" t="s">
        <v>107</v>
      </c>
      <c r="V208" s="20" t="s">
        <v>87</v>
      </c>
      <c r="W208" s="20">
        <v>521</v>
      </c>
      <c r="X208" s="20">
        <v>521</v>
      </c>
      <c r="Y208" s="20" t="s">
        <v>2042</v>
      </c>
      <c r="Z208" s="20">
        <v>0.5</v>
      </c>
      <c r="AA208" s="20" t="s">
        <v>2043</v>
      </c>
      <c r="AB208" s="20" t="s">
        <v>109</v>
      </c>
      <c r="AC208" s="20" t="s">
        <v>110</v>
      </c>
      <c r="AD208" s="20" t="s">
        <v>2044</v>
      </c>
      <c r="AE208" s="20" t="s">
        <v>91</v>
      </c>
      <c r="AF208" s="20">
        <v>0.5</v>
      </c>
      <c r="AG208" s="20" t="s">
        <v>3798</v>
      </c>
      <c r="AH208" s="20">
        <v>1</v>
      </c>
      <c r="AI208" s="7" t="s">
        <v>97</v>
      </c>
      <c r="AJ208" s="20">
        <v>80</v>
      </c>
      <c r="AK208" s="4" t="s">
        <v>1047</v>
      </c>
      <c r="AL208" s="4">
        <v>7</v>
      </c>
      <c r="AM208" s="4" t="s">
        <v>514</v>
      </c>
      <c r="AN208" s="4" t="s">
        <v>95</v>
      </c>
      <c r="AO208" s="4" t="s">
        <v>96</v>
      </c>
      <c r="AP208" s="4">
        <v>1</v>
      </c>
      <c r="AQ208" s="20">
        <v>49000</v>
      </c>
      <c r="AR208" s="4">
        <v>41820</v>
      </c>
      <c r="AS208" s="20">
        <v>4949.4949494949497</v>
      </c>
      <c r="AT208" s="20">
        <v>6686.4800000000014</v>
      </c>
      <c r="AU208" s="20">
        <v>1736.9850505050517</v>
      </c>
      <c r="AV208" s="20">
        <v>0</v>
      </c>
      <c r="AW208" s="20">
        <v>180</v>
      </c>
      <c r="AX208" s="20">
        <v>20</v>
      </c>
      <c r="AY208" s="20">
        <v>200</v>
      </c>
      <c r="AZ208" s="20">
        <v>5.2</v>
      </c>
      <c r="BA208" s="20">
        <v>0</v>
      </c>
      <c r="BB208" s="6">
        <v>41771</v>
      </c>
      <c r="BC208" s="6">
        <v>0</v>
      </c>
      <c r="BD208" s="6">
        <v>41876</v>
      </c>
      <c r="BE208" s="6">
        <v>41876</v>
      </c>
      <c r="BF208" s="6">
        <v>41885</v>
      </c>
      <c r="BG208" s="6">
        <v>0</v>
      </c>
      <c r="BH208" s="6">
        <v>0</v>
      </c>
      <c r="BI208" s="6">
        <v>0</v>
      </c>
      <c r="BJ208" s="6">
        <v>0</v>
      </c>
      <c r="BK208" s="5" t="s">
        <v>2173</v>
      </c>
      <c r="BL208" s="4" t="s">
        <v>2173</v>
      </c>
      <c r="BM208" s="20">
        <v>80</v>
      </c>
      <c r="BN208" s="20">
        <v>0</v>
      </c>
      <c r="BO208" s="20">
        <v>0</v>
      </c>
      <c r="BP208" s="20">
        <v>0</v>
      </c>
      <c r="BQ208" s="20">
        <v>0</v>
      </c>
      <c r="BR208" s="20">
        <v>0</v>
      </c>
      <c r="BS208" s="20">
        <v>80</v>
      </c>
      <c r="BT208" s="20">
        <v>534918.40000000014</v>
      </c>
      <c r="BU208" s="20">
        <v>3920000</v>
      </c>
      <c r="BV208" s="20">
        <v>6.6620186623536641</v>
      </c>
    </row>
    <row r="209" spans="1:74">
      <c r="A209" s="10">
        <f t="shared" si="14"/>
        <v>0</v>
      </c>
      <c r="B209" s="10">
        <f t="shared" si="15"/>
        <v>0</v>
      </c>
      <c r="C209" s="12">
        <f t="shared" si="16"/>
        <v>5</v>
      </c>
      <c r="D209" s="12">
        <f t="shared" si="17"/>
        <v>9</v>
      </c>
      <c r="E209" s="20" t="s">
        <v>424</v>
      </c>
      <c r="F209" s="20" t="s">
        <v>1393</v>
      </c>
      <c r="G209" s="20" t="s">
        <v>2005</v>
      </c>
      <c r="H209" s="20" t="s">
        <v>2038</v>
      </c>
      <c r="I209" s="20">
        <v>5</v>
      </c>
      <c r="J209" s="20" t="s">
        <v>2039</v>
      </c>
      <c r="K209" s="20" t="s">
        <v>2045</v>
      </c>
      <c r="L209" s="20" t="s">
        <v>2041</v>
      </c>
      <c r="M209" s="20" t="s">
        <v>1393</v>
      </c>
      <c r="N209" s="20" t="s">
        <v>1413</v>
      </c>
      <c r="P209" s="20" t="s">
        <v>1393</v>
      </c>
      <c r="Q209" s="20" t="s">
        <v>1400</v>
      </c>
      <c r="R209" s="20" t="s">
        <v>84</v>
      </c>
      <c r="S209" s="20">
        <v>5</v>
      </c>
      <c r="T209" s="20" t="s">
        <v>106</v>
      </c>
      <c r="U209" s="20" t="s">
        <v>107</v>
      </c>
      <c r="V209" s="20" t="s">
        <v>87</v>
      </c>
      <c r="W209" s="20">
        <v>521</v>
      </c>
      <c r="X209" s="20">
        <v>521</v>
      </c>
      <c r="Y209" s="20" t="s">
        <v>2042</v>
      </c>
      <c r="Z209" s="20">
        <v>0.5</v>
      </c>
      <c r="AA209" s="20" t="s">
        <v>2043</v>
      </c>
      <c r="AB209" s="20" t="s">
        <v>109</v>
      </c>
      <c r="AC209" s="20" t="s">
        <v>110</v>
      </c>
      <c r="AD209" s="20" t="s">
        <v>2044</v>
      </c>
      <c r="AE209" s="20" t="s">
        <v>91</v>
      </c>
      <c r="AF209" s="20">
        <v>0.5</v>
      </c>
      <c r="AG209" s="20" t="s">
        <v>3798</v>
      </c>
      <c r="AH209" s="20">
        <v>1</v>
      </c>
      <c r="AI209" s="7" t="s">
        <v>98</v>
      </c>
      <c r="AJ209" s="20">
        <v>40</v>
      </c>
      <c r="AK209" s="4" t="s">
        <v>1047</v>
      </c>
      <c r="AL209" s="4">
        <v>7</v>
      </c>
      <c r="AM209" s="4" t="s">
        <v>514</v>
      </c>
      <c r="AN209" s="4" t="s">
        <v>95</v>
      </c>
      <c r="AO209" s="4" t="s">
        <v>96</v>
      </c>
      <c r="AP209" s="4">
        <v>1</v>
      </c>
      <c r="AQ209" s="20">
        <v>49000</v>
      </c>
      <c r="AR209" s="4">
        <v>41820</v>
      </c>
      <c r="AS209" s="20">
        <v>4949.4949494949497</v>
      </c>
      <c r="AT209" s="20">
        <v>6686.4800000000014</v>
      </c>
      <c r="AU209" s="20">
        <v>1736.9850505050517</v>
      </c>
      <c r="AV209" s="20">
        <v>0</v>
      </c>
      <c r="AW209" s="20">
        <v>180</v>
      </c>
      <c r="AX209" s="20">
        <v>20</v>
      </c>
      <c r="AY209" s="20">
        <v>200</v>
      </c>
      <c r="AZ209" s="20">
        <v>5.2</v>
      </c>
      <c r="BA209" s="20">
        <v>0</v>
      </c>
      <c r="BB209" s="6">
        <v>41771</v>
      </c>
      <c r="BC209" s="6">
        <v>0</v>
      </c>
      <c r="BD209" s="6">
        <v>41876</v>
      </c>
      <c r="BE209" s="6">
        <v>41876</v>
      </c>
      <c r="BF209" s="6">
        <v>41885</v>
      </c>
      <c r="BG209" s="6">
        <v>0</v>
      </c>
      <c r="BH209" s="6">
        <v>0</v>
      </c>
      <c r="BI209" s="6">
        <v>0</v>
      </c>
      <c r="BJ209" s="6">
        <v>0</v>
      </c>
      <c r="BK209" s="5" t="s">
        <v>2173</v>
      </c>
      <c r="BL209" s="4" t="s">
        <v>2173</v>
      </c>
      <c r="BM209" s="20">
        <v>40</v>
      </c>
      <c r="BN209" s="20">
        <v>0</v>
      </c>
      <c r="BO209" s="20">
        <v>0</v>
      </c>
      <c r="BP209" s="20">
        <v>0</v>
      </c>
      <c r="BQ209" s="20">
        <v>0</v>
      </c>
      <c r="BR209" s="20">
        <v>0</v>
      </c>
      <c r="BS209" s="20">
        <v>40</v>
      </c>
      <c r="BT209" s="20">
        <v>267459.20000000007</v>
      </c>
      <c r="BU209" s="20">
        <v>1960000</v>
      </c>
      <c r="BV209" s="20">
        <v>6.6620186623536641</v>
      </c>
    </row>
    <row r="210" spans="1:74">
      <c r="A210" s="10">
        <f t="shared" si="14"/>
        <v>0</v>
      </c>
      <c r="B210" s="10">
        <f t="shared" si="15"/>
        <v>0</v>
      </c>
      <c r="C210" s="12">
        <f t="shared" si="16"/>
        <v>5</v>
      </c>
      <c r="D210" s="12">
        <f t="shared" si="17"/>
        <v>9</v>
      </c>
      <c r="E210" s="20" t="s">
        <v>424</v>
      </c>
      <c r="F210" s="20" t="s">
        <v>1393</v>
      </c>
      <c r="G210" s="20" t="s">
        <v>2005</v>
      </c>
      <c r="H210" s="20" t="s">
        <v>2046</v>
      </c>
      <c r="I210" s="20">
        <v>6</v>
      </c>
      <c r="J210" s="20" t="s">
        <v>2047</v>
      </c>
      <c r="K210" s="20" t="s">
        <v>2048</v>
      </c>
      <c r="L210" s="20" t="s">
        <v>2049</v>
      </c>
      <c r="M210" s="20" t="s">
        <v>1393</v>
      </c>
      <c r="N210" s="20" t="s">
        <v>1413</v>
      </c>
      <c r="P210" s="20" t="s">
        <v>1393</v>
      </c>
      <c r="Q210" s="20" t="s">
        <v>1400</v>
      </c>
      <c r="R210" s="20" t="s">
        <v>84</v>
      </c>
      <c r="S210" s="20">
        <v>5</v>
      </c>
      <c r="T210" s="20" t="s">
        <v>106</v>
      </c>
      <c r="U210" s="20" t="s">
        <v>107</v>
      </c>
      <c r="V210" s="20" t="s">
        <v>87</v>
      </c>
      <c r="W210" s="20">
        <v>522</v>
      </c>
      <c r="X210" s="20">
        <v>522</v>
      </c>
      <c r="Y210" s="20" t="s">
        <v>2050</v>
      </c>
      <c r="Z210" s="20">
        <v>0.5</v>
      </c>
      <c r="AA210" s="20" t="s">
        <v>2051</v>
      </c>
      <c r="AB210" s="20" t="s">
        <v>89</v>
      </c>
      <c r="AC210" s="20" t="s">
        <v>90</v>
      </c>
      <c r="AD210" s="20" t="s">
        <v>2052</v>
      </c>
      <c r="AE210" s="20" t="s">
        <v>91</v>
      </c>
      <c r="AF210" s="20">
        <v>0.5</v>
      </c>
      <c r="AG210" s="20" t="s">
        <v>3798</v>
      </c>
      <c r="AH210" s="20">
        <v>1</v>
      </c>
      <c r="AI210" s="7" t="s">
        <v>97</v>
      </c>
      <c r="AJ210" s="20">
        <v>80</v>
      </c>
      <c r="AK210" s="4" t="s">
        <v>1047</v>
      </c>
      <c r="AL210" s="4">
        <v>7</v>
      </c>
      <c r="AM210" s="4" t="s">
        <v>514</v>
      </c>
      <c r="AN210" s="4" t="s">
        <v>95</v>
      </c>
      <c r="AO210" s="4" t="s">
        <v>96</v>
      </c>
      <c r="AP210" s="4">
        <v>1</v>
      </c>
      <c r="AQ210" s="20">
        <v>49000</v>
      </c>
      <c r="AR210" s="4">
        <v>41820</v>
      </c>
      <c r="AS210" s="20">
        <v>4949.4949494949497</v>
      </c>
      <c r="AT210" s="20">
        <v>6686.4800000000014</v>
      </c>
      <c r="AU210" s="20">
        <v>1736.9850505050517</v>
      </c>
      <c r="AV210" s="20">
        <v>0</v>
      </c>
      <c r="AW210" s="20">
        <v>180</v>
      </c>
      <c r="AX210" s="20">
        <v>20</v>
      </c>
      <c r="AY210" s="20">
        <v>200</v>
      </c>
      <c r="AZ210" s="20">
        <v>5.2</v>
      </c>
      <c r="BA210" s="20">
        <v>0</v>
      </c>
      <c r="BB210" s="6">
        <v>41771</v>
      </c>
      <c r="BC210" s="6">
        <v>0</v>
      </c>
      <c r="BD210" s="6">
        <v>41876</v>
      </c>
      <c r="BE210" s="6">
        <v>41876</v>
      </c>
      <c r="BF210" s="6">
        <v>41885</v>
      </c>
      <c r="BG210" s="6">
        <v>0</v>
      </c>
      <c r="BH210" s="6">
        <v>0</v>
      </c>
      <c r="BI210" s="6">
        <v>0</v>
      </c>
      <c r="BJ210" s="6">
        <v>0</v>
      </c>
      <c r="BK210" s="5" t="s">
        <v>2173</v>
      </c>
      <c r="BL210" s="4" t="s">
        <v>2173</v>
      </c>
      <c r="BM210" s="20">
        <v>80</v>
      </c>
      <c r="BN210" s="20">
        <v>0</v>
      </c>
      <c r="BO210" s="20">
        <v>0</v>
      </c>
      <c r="BP210" s="20">
        <v>0</v>
      </c>
      <c r="BQ210" s="20">
        <v>0</v>
      </c>
      <c r="BR210" s="20">
        <v>0</v>
      </c>
      <c r="BS210" s="20">
        <v>80</v>
      </c>
      <c r="BT210" s="20">
        <v>534918.40000000014</v>
      </c>
      <c r="BU210" s="20">
        <v>3920000</v>
      </c>
      <c r="BV210" s="20">
        <v>6.6620186623536641</v>
      </c>
    </row>
    <row r="211" spans="1:74">
      <c r="A211" s="10">
        <f t="shared" si="14"/>
        <v>0</v>
      </c>
      <c r="B211" s="10">
        <f t="shared" si="15"/>
        <v>0</v>
      </c>
      <c r="C211" s="12">
        <f t="shared" si="16"/>
        <v>5</v>
      </c>
      <c r="D211" s="12">
        <f t="shared" si="17"/>
        <v>9</v>
      </c>
      <c r="E211" s="20" t="s">
        <v>424</v>
      </c>
      <c r="F211" s="20" t="s">
        <v>1393</v>
      </c>
      <c r="G211" s="20" t="s">
        <v>2005</v>
      </c>
      <c r="H211" s="20" t="s">
        <v>2046</v>
      </c>
      <c r="I211" s="20">
        <v>6</v>
      </c>
      <c r="J211" s="20" t="s">
        <v>2047</v>
      </c>
      <c r="K211" s="20" t="s">
        <v>2053</v>
      </c>
      <c r="L211" s="20" t="s">
        <v>2049</v>
      </c>
      <c r="M211" s="20" t="s">
        <v>1393</v>
      </c>
      <c r="N211" s="20" t="s">
        <v>1413</v>
      </c>
      <c r="P211" s="20" t="s">
        <v>1393</v>
      </c>
      <c r="Q211" s="20" t="s">
        <v>1400</v>
      </c>
      <c r="R211" s="20" t="s">
        <v>84</v>
      </c>
      <c r="S211" s="20">
        <v>5</v>
      </c>
      <c r="T211" s="20" t="s">
        <v>106</v>
      </c>
      <c r="U211" s="20" t="s">
        <v>107</v>
      </c>
      <c r="V211" s="20" t="s">
        <v>87</v>
      </c>
      <c r="W211" s="20">
        <v>522</v>
      </c>
      <c r="X211" s="20">
        <v>522</v>
      </c>
      <c r="Y211" s="20" t="s">
        <v>2050</v>
      </c>
      <c r="Z211" s="20">
        <v>0.5</v>
      </c>
      <c r="AA211" s="20" t="s">
        <v>2051</v>
      </c>
      <c r="AB211" s="20" t="s">
        <v>89</v>
      </c>
      <c r="AC211" s="20" t="s">
        <v>90</v>
      </c>
      <c r="AD211" s="20" t="s">
        <v>2052</v>
      </c>
      <c r="AE211" s="20" t="s">
        <v>91</v>
      </c>
      <c r="AF211" s="20">
        <v>0.5</v>
      </c>
      <c r="AG211" s="20" t="s">
        <v>3798</v>
      </c>
      <c r="AH211" s="20">
        <v>1</v>
      </c>
      <c r="AI211" s="7" t="s">
        <v>98</v>
      </c>
      <c r="AJ211" s="20">
        <v>40</v>
      </c>
      <c r="AK211" s="4" t="s">
        <v>1047</v>
      </c>
      <c r="AL211" s="4">
        <v>7</v>
      </c>
      <c r="AM211" s="4" t="s">
        <v>514</v>
      </c>
      <c r="AN211" s="4" t="s">
        <v>95</v>
      </c>
      <c r="AO211" s="4" t="s">
        <v>96</v>
      </c>
      <c r="AP211" s="4">
        <v>1</v>
      </c>
      <c r="AQ211" s="20">
        <v>49000</v>
      </c>
      <c r="AR211" s="4">
        <v>41820</v>
      </c>
      <c r="AS211" s="20">
        <v>4949.4949494949497</v>
      </c>
      <c r="AT211" s="20">
        <v>6686.4800000000014</v>
      </c>
      <c r="AU211" s="20">
        <v>1736.9850505050517</v>
      </c>
      <c r="AV211" s="20">
        <v>0</v>
      </c>
      <c r="AW211" s="20">
        <v>180</v>
      </c>
      <c r="AX211" s="20">
        <v>20</v>
      </c>
      <c r="AY211" s="20">
        <v>200</v>
      </c>
      <c r="AZ211" s="20">
        <v>5.2</v>
      </c>
      <c r="BA211" s="20">
        <v>0</v>
      </c>
      <c r="BB211" s="6">
        <v>41771</v>
      </c>
      <c r="BC211" s="6">
        <v>0</v>
      </c>
      <c r="BD211" s="6">
        <v>41876</v>
      </c>
      <c r="BE211" s="6">
        <v>41876</v>
      </c>
      <c r="BF211" s="6">
        <v>41885</v>
      </c>
      <c r="BG211" s="6">
        <v>0</v>
      </c>
      <c r="BH211" s="6">
        <v>0</v>
      </c>
      <c r="BI211" s="6">
        <v>0</v>
      </c>
      <c r="BJ211" s="6">
        <v>0</v>
      </c>
      <c r="BK211" s="5" t="s">
        <v>2173</v>
      </c>
      <c r="BL211" s="4" t="s">
        <v>2173</v>
      </c>
      <c r="BM211" s="20">
        <v>40</v>
      </c>
      <c r="BN211" s="20">
        <v>0</v>
      </c>
      <c r="BO211" s="20">
        <v>0</v>
      </c>
      <c r="BP211" s="20">
        <v>0</v>
      </c>
      <c r="BQ211" s="20">
        <v>0</v>
      </c>
      <c r="BR211" s="20">
        <v>0</v>
      </c>
      <c r="BS211" s="20">
        <v>40</v>
      </c>
      <c r="BT211" s="20">
        <v>267459.20000000007</v>
      </c>
      <c r="BU211" s="20">
        <v>1960000</v>
      </c>
      <c r="BV211" s="20">
        <v>6.6620186623536641</v>
      </c>
    </row>
    <row r="212" spans="1:74">
      <c r="A212" s="10">
        <f t="shared" si="14"/>
        <v>0</v>
      </c>
      <c r="B212" s="10">
        <f t="shared" si="15"/>
        <v>0</v>
      </c>
      <c r="C212" s="12" t="str">
        <f t="shared" si="16"/>
        <v/>
      </c>
      <c r="D212" s="12" t="str">
        <f t="shared" si="17"/>
        <v/>
      </c>
      <c r="E212" s="20" t="s">
        <v>91</v>
      </c>
      <c r="F212" s="20" t="s">
        <v>91</v>
      </c>
      <c r="G212" s="20" t="s">
        <v>91</v>
      </c>
      <c r="H212" s="20" t="s">
        <v>91</v>
      </c>
      <c r="I212" s="20">
        <v>0</v>
      </c>
      <c r="J212" s="20" t="s">
        <v>103</v>
      </c>
      <c r="K212" s="20" t="s">
        <v>104</v>
      </c>
      <c r="L212" s="20">
        <v>0</v>
      </c>
      <c r="M212" s="20" t="s">
        <v>105</v>
      </c>
      <c r="N212" s="20" t="s">
        <v>91</v>
      </c>
      <c r="O212" s="20" t="s">
        <v>2054</v>
      </c>
      <c r="Q212" s="20" t="s">
        <v>91</v>
      </c>
      <c r="R212" s="20" t="s">
        <v>91</v>
      </c>
      <c r="S212" s="20" t="s">
        <v>91</v>
      </c>
      <c r="U212" s="20" t="s">
        <v>91</v>
      </c>
      <c r="X212" s="20" t="s">
        <v>91</v>
      </c>
      <c r="Y212" s="20" t="s">
        <v>91</v>
      </c>
      <c r="Z212" s="20">
        <v>6</v>
      </c>
      <c r="AB212" s="20" t="s">
        <v>91</v>
      </c>
      <c r="AD212" s="20" t="s">
        <v>91</v>
      </c>
      <c r="AE212" s="20" t="s">
        <v>91</v>
      </c>
      <c r="AF212" s="20">
        <v>6</v>
      </c>
      <c r="AG212" s="20">
        <v>0</v>
      </c>
      <c r="AH212" s="20">
        <v>1</v>
      </c>
      <c r="AI212" s="7"/>
      <c r="AJ212" s="20">
        <v>1840</v>
      </c>
      <c r="AM212" s="4" t="s">
        <v>91</v>
      </c>
      <c r="AP212" s="4" t="s">
        <v>91</v>
      </c>
      <c r="AQ212" s="20">
        <v>0</v>
      </c>
      <c r="AR212" s="4">
        <v>0</v>
      </c>
      <c r="AW212" s="20">
        <v>0</v>
      </c>
      <c r="AX212" s="20" t="s">
        <v>91</v>
      </c>
      <c r="AY212" s="20">
        <v>0</v>
      </c>
      <c r="AZ212" s="20">
        <v>8698</v>
      </c>
      <c r="BA212" s="20">
        <v>0</v>
      </c>
      <c r="BB212" s="6">
        <v>0</v>
      </c>
      <c r="BC212" s="6">
        <v>0</v>
      </c>
      <c r="BD212" s="6">
        <v>0</v>
      </c>
      <c r="BE212" s="6">
        <v>0</v>
      </c>
      <c r="BF212" s="6">
        <v>0</v>
      </c>
      <c r="BG212" s="6">
        <v>0</v>
      </c>
      <c r="BH212" s="6">
        <v>0</v>
      </c>
      <c r="BI212" s="6">
        <v>0</v>
      </c>
      <c r="BJ212" s="6">
        <v>0</v>
      </c>
      <c r="BK212" s="5">
        <v>0</v>
      </c>
      <c r="BL212" s="4">
        <v>0</v>
      </c>
      <c r="BM212" s="20">
        <v>1639</v>
      </c>
      <c r="BN212" s="20">
        <v>100</v>
      </c>
      <c r="BO212" s="20">
        <v>76</v>
      </c>
      <c r="BP212" s="20">
        <v>0</v>
      </c>
      <c r="BQ212" s="20">
        <v>0</v>
      </c>
      <c r="BR212" s="20">
        <v>0</v>
      </c>
      <c r="BS212" s="20">
        <v>1840</v>
      </c>
      <c r="BT212" s="20">
        <v>11413885.199999999</v>
      </c>
      <c r="BU212" s="20">
        <v>81160000</v>
      </c>
      <c r="BV212" s="20">
        <v>6.4642158992293153</v>
      </c>
    </row>
    <row r="213" spans="1:74">
      <c r="A213" s="10">
        <f t="shared" si="14"/>
        <v>0</v>
      </c>
      <c r="B213" s="10">
        <f t="shared" si="15"/>
        <v>0</v>
      </c>
      <c r="C213" s="12">
        <f t="shared" si="16"/>
        <v>5</v>
      </c>
      <c r="D213" s="12">
        <f t="shared" si="17"/>
        <v>10</v>
      </c>
      <c r="E213" s="20" t="s">
        <v>424</v>
      </c>
      <c r="F213" s="20" t="s">
        <v>1393</v>
      </c>
      <c r="G213" s="20" t="s">
        <v>2055</v>
      </c>
      <c r="H213" s="20" t="s">
        <v>2056</v>
      </c>
      <c r="I213" s="20">
        <v>1</v>
      </c>
      <c r="J213" s="20" t="s">
        <v>2057</v>
      </c>
      <c r="K213" s="20" t="s">
        <v>2058</v>
      </c>
      <c r="L213" s="20" t="s">
        <v>2059</v>
      </c>
      <c r="M213" s="20" t="s">
        <v>1393</v>
      </c>
      <c r="N213" s="20" t="s">
        <v>1413</v>
      </c>
      <c r="P213" s="20" t="s">
        <v>1393</v>
      </c>
      <c r="Q213" s="20" t="s">
        <v>1400</v>
      </c>
      <c r="R213" s="20" t="s">
        <v>84</v>
      </c>
      <c r="S213" s="20">
        <v>5</v>
      </c>
      <c r="T213" s="20" t="s">
        <v>172</v>
      </c>
      <c r="U213" s="20" t="s">
        <v>173</v>
      </c>
      <c r="V213" s="20" t="s">
        <v>87</v>
      </c>
      <c r="W213" s="20">
        <v>526</v>
      </c>
      <c r="X213" s="20">
        <v>526</v>
      </c>
      <c r="Y213" s="20" t="s">
        <v>2060</v>
      </c>
      <c r="Z213" s="20">
        <v>0.5</v>
      </c>
      <c r="AA213" s="20" t="s">
        <v>2061</v>
      </c>
      <c r="AB213" s="20" t="s">
        <v>176</v>
      </c>
      <c r="AC213" s="20" t="s">
        <v>177</v>
      </c>
      <c r="AD213" s="20" t="s">
        <v>2062</v>
      </c>
      <c r="AE213" s="20" t="s">
        <v>91</v>
      </c>
      <c r="AF213" s="20">
        <v>0.5</v>
      </c>
      <c r="AG213" s="20">
        <v>0</v>
      </c>
      <c r="AH213" s="20">
        <v>1</v>
      </c>
      <c r="AI213" s="7" t="s">
        <v>97</v>
      </c>
      <c r="AJ213" s="20">
        <v>100</v>
      </c>
      <c r="AK213" s="4" t="s">
        <v>111</v>
      </c>
      <c r="AL213" s="4">
        <v>18</v>
      </c>
      <c r="AM213" s="4">
        <v>18</v>
      </c>
      <c r="AN213" s="4" t="s">
        <v>95</v>
      </c>
      <c r="AO213" s="4" t="s">
        <v>96</v>
      </c>
      <c r="AP213" s="4">
        <v>1</v>
      </c>
      <c r="AQ213" s="20">
        <v>43000</v>
      </c>
      <c r="AR213" s="4">
        <v>41820</v>
      </c>
      <c r="AS213" s="20">
        <v>6515.151515151515</v>
      </c>
      <c r="AT213" s="20">
        <v>6686.4800000000014</v>
      </c>
      <c r="AU213" s="20">
        <v>171.32848484848637</v>
      </c>
      <c r="AV213" s="20">
        <v>0</v>
      </c>
      <c r="AW213" s="20">
        <v>180</v>
      </c>
      <c r="AX213" s="20">
        <v>20</v>
      </c>
      <c r="AY213" s="20">
        <v>200</v>
      </c>
      <c r="AZ213" s="20">
        <v>5.2</v>
      </c>
      <c r="BA213" s="20">
        <v>0</v>
      </c>
      <c r="BB213" s="6">
        <v>41771</v>
      </c>
      <c r="BC213" s="6">
        <v>0</v>
      </c>
      <c r="BD213" s="6">
        <v>41848</v>
      </c>
      <c r="BE213" s="6">
        <v>41848</v>
      </c>
      <c r="BF213" s="6">
        <v>41932</v>
      </c>
      <c r="BG213" s="6">
        <v>0</v>
      </c>
      <c r="BH213" s="6">
        <v>0</v>
      </c>
      <c r="BI213" s="6">
        <v>0</v>
      </c>
      <c r="BJ213" s="6">
        <v>0</v>
      </c>
      <c r="BK213" s="5" t="s">
        <v>2173</v>
      </c>
      <c r="BL213" s="4" t="s">
        <v>2173</v>
      </c>
      <c r="BM213" s="20">
        <v>101</v>
      </c>
      <c r="BN213" s="20">
        <v>0</v>
      </c>
      <c r="BO213" s="20">
        <v>0</v>
      </c>
      <c r="BP213" s="20">
        <v>0</v>
      </c>
      <c r="BQ213" s="20">
        <v>0</v>
      </c>
      <c r="BR213" s="20">
        <v>0</v>
      </c>
      <c r="BS213" s="20">
        <v>100</v>
      </c>
      <c r="BT213" s="20">
        <v>668648.00000000012</v>
      </c>
      <c r="BU213" s="20">
        <v>4300000</v>
      </c>
      <c r="BV213" s="20">
        <v>5.846261275126686</v>
      </c>
    </row>
    <row r="214" spans="1:74">
      <c r="A214" s="10">
        <f t="shared" si="14"/>
        <v>0</v>
      </c>
      <c r="B214" s="10">
        <f t="shared" si="15"/>
        <v>0</v>
      </c>
      <c r="C214" s="12">
        <f t="shared" si="16"/>
        <v>5</v>
      </c>
      <c r="D214" s="12">
        <f t="shared" si="17"/>
        <v>10</v>
      </c>
      <c r="E214" s="20" t="s">
        <v>424</v>
      </c>
      <c r="F214" s="20" t="s">
        <v>1393</v>
      </c>
      <c r="G214" s="20" t="s">
        <v>2055</v>
      </c>
      <c r="H214" s="20" t="s">
        <v>2056</v>
      </c>
      <c r="I214" s="20">
        <v>1</v>
      </c>
      <c r="J214" s="20" t="s">
        <v>2057</v>
      </c>
      <c r="K214" s="20" t="s">
        <v>2063</v>
      </c>
      <c r="L214" s="20" t="s">
        <v>2059</v>
      </c>
      <c r="M214" s="20" t="s">
        <v>1393</v>
      </c>
      <c r="N214" s="20" t="s">
        <v>1413</v>
      </c>
      <c r="P214" s="20" t="s">
        <v>1393</v>
      </c>
      <c r="Q214" s="20" t="s">
        <v>1400</v>
      </c>
      <c r="R214" s="20" t="s">
        <v>84</v>
      </c>
      <c r="S214" s="20">
        <v>5</v>
      </c>
      <c r="T214" s="20" t="s">
        <v>172</v>
      </c>
      <c r="U214" s="20" t="s">
        <v>173</v>
      </c>
      <c r="V214" s="20" t="s">
        <v>87</v>
      </c>
      <c r="W214" s="20">
        <v>526</v>
      </c>
      <c r="X214" s="20">
        <v>526</v>
      </c>
      <c r="Y214" s="20" t="s">
        <v>2060</v>
      </c>
      <c r="Z214" s="20">
        <v>0.5</v>
      </c>
      <c r="AA214" s="20" t="s">
        <v>2061</v>
      </c>
      <c r="AB214" s="20" t="s">
        <v>176</v>
      </c>
      <c r="AC214" s="20" t="s">
        <v>177</v>
      </c>
      <c r="AD214" s="20" t="s">
        <v>2062</v>
      </c>
      <c r="AE214" s="20" t="s">
        <v>91</v>
      </c>
      <c r="AF214" s="20">
        <v>0.5</v>
      </c>
      <c r="AG214" s="20">
        <v>0</v>
      </c>
      <c r="AH214" s="20">
        <v>1</v>
      </c>
      <c r="AI214" s="7" t="s">
        <v>98</v>
      </c>
      <c r="AJ214" s="20">
        <v>50</v>
      </c>
      <c r="AK214" s="4" t="s">
        <v>111</v>
      </c>
      <c r="AL214" s="4">
        <v>18</v>
      </c>
      <c r="AM214" s="4">
        <v>18</v>
      </c>
      <c r="AN214" s="4" t="s">
        <v>95</v>
      </c>
      <c r="AO214" s="4" t="s">
        <v>96</v>
      </c>
      <c r="AP214" s="4">
        <v>1</v>
      </c>
      <c r="AQ214" s="20">
        <v>43000</v>
      </c>
      <c r="AR214" s="4">
        <v>41820</v>
      </c>
      <c r="AS214" s="20">
        <v>6515.151515151515</v>
      </c>
      <c r="AT214" s="20">
        <v>6686.4800000000014</v>
      </c>
      <c r="AU214" s="20">
        <v>171.32848484848637</v>
      </c>
      <c r="AV214" s="20">
        <v>0</v>
      </c>
      <c r="AW214" s="20">
        <v>180</v>
      </c>
      <c r="AX214" s="20">
        <v>20</v>
      </c>
      <c r="AY214" s="20">
        <v>200</v>
      </c>
      <c r="AZ214" s="20">
        <v>5.2</v>
      </c>
      <c r="BA214" s="20">
        <v>0</v>
      </c>
      <c r="BB214" s="6">
        <v>41771</v>
      </c>
      <c r="BC214" s="6">
        <v>0</v>
      </c>
      <c r="BD214" s="6">
        <v>41848</v>
      </c>
      <c r="BE214" s="6">
        <v>41848</v>
      </c>
      <c r="BF214" s="6">
        <v>41932</v>
      </c>
      <c r="BG214" s="6">
        <v>0</v>
      </c>
      <c r="BH214" s="6">
        <v>0</v>
      </c>
      <c r="BI214" s="6">
        <v>0</v>
      </c>
      <c r="BJ214" s="6">
        <v>0</v>
      </c>
      <c r="BK214" s="5" t="s">
        <v>2173</v>
      </c>
      <c r="BL214" s="4" t="s">
        <v>2173</v>
      </c>
      <c r="BM214" s="20">
        <v>50</v>
      </c>
      <c r="BN214" s="20">
        <v>0</v>
      </c>
      <c r="BO214" s="20">
        <v>0</v>
      </c>
      <c r="BP214" s="20">
        <v>0</v>
      </c>
      <c r="BQ214" s="20">
        <v>0</v>
      </c>
      <c r="BR214" s="20">
        <v>0</v>
      </c>
      <c r="BS214" s="20">
        <v>50</v>
      </c>
      <c r="BT214" s="20">
        <v>334324.00000000006</v>
      </c>
      <c r="BU214" s="20">
        <v>2150000</v>
      </c>
      <c r="BV214" s="20">
        <v>5.846261275126686</v>
      </c>
    </row>
    <row r="215" spans="1:74">
      <c r="A215" s="10">
        <f t="shared" si="14"/>
        <v>0</v>
      </c>
      <c r="B215" s="10">
        <f t="shared" si="15"/>
        <v>0</v>
      </c>
      <c r="C215" s="12" t="str">
        <f t="shared" si="16"/>
        <v/>
      </c>
      <c r="D215" s="12" t="str">
        <f t="shared" si="17"/>
        <v/>
      </c>
      <c r="E215" s="20" t="s">
        <v>91</v>
      </c>
      <c r="F215" s="20" t="s">
        <v>91</v>
      </c>
      <c r="G215" s="20" t="s">
        <v>91</v>
      </c>
      <c r="H215" s="20" t="s">
        <v>91</v>
      </c>
      <c r="I215" s="20">
        <v>0</v>
      </c>
      <c r="J215" s="20" t="s">
        <v>103</v>
      </c>
      <c r="K215" s="20" t="s">
        <v>104</v>
      </c>
      <c r="L215" s="20">
        <v>0</v>
      </c>
      <c r="M215" s="20" t="s">
        <v>105</v>
      </c>
      <c r="N215" s="20" t="s">
        <v>91</v>
      </c>
      <c r="O215" s="20" t="s">
        <v>2064</v>
      </c>
      <c r="Q215" s="20" t="s">
        <v>91</v>
      </c>
      <c r="R215" s="20" t="s">
        <v>91</v>
      </c>
      <c r="S215" s="20" t="s">
        <v>91</v>
      </c>
      <c r="U215" s="20" t="s">
        <v>91</v>
      </c>
      <c r="X215" s="20" t="s">
        <v>91</v>
      </c>
      <c r="Y215" s="20" t="s">
        <v>91</v>
      </c>
      <c r="Z215" s="20">
        <v>1</v>
      </c>
      <c r="AB215" s="20" t="s">
        <v>91</v>
      </c>
      <c r="AD215" s="20" t="s">
        <v>91</v>
      </c>
      <c r="AE215" s="20" t="s">
        <v>91</v>
      </c>
      <c r="AF215" s="20">
        <v>1</v>
      </c>
      <c r="AG215" s="20">
        <v>0</v>
      </c>
      <c r="AH215" s="20">
        <v>1</v>
      </c>
      <c r="AI215" s="7"/>
      <c r="AJ215" s="20">
        <v>150</v>
      </c>
      <c r="AM215" s="4" t="s">
        <v>91</v>
      </c>
      <c r="AP215" s="4" t="s">
        <v>91</v>
      </c>
      <c r="AQ215" s="20">
        <v>0</v>
      </c>
      <c r="AR215" s="4">
        <v>0</v>
      </c>
      <c r="AW215" s="20">
        <v>0</v>
      </c>
      <c r="AX215" s="20" t="s">
        <v>91</v>
      </c>
      <c r="AY215" s="20">
        <v>0</v>
      </c>
      <c r="AZ215" s="20">
        <v>780</v>
      </c>
      <c r="BA215" s="20">
        <v>0</v>
      </c>
      <c r="BB215" s="6">
        <v>0</v>
      </c>
      <c r="BC215" s="6">
        <v>0</v>
      </c>
      <c r="BD215" s="6">
        <v>0</v>
      </c>
      <c r="BE215" s="6">
        <v>0</v>
      </c>
      <c r="BF215" s="6">
        <v>0</v>
      </c>
      <c r="BG215" s="6">
        <v>0</v>
      </c>
      <c r="BH215" s="6">
        <v>0</v>
      </c>
      <c r="BI215" s="6">
        <v>0</v>
      </c>
      <c r="BJ215" s="6">
        <v>0</v>
      </c>
      <c r="BK215" s="5">
        <v>0</v>
      </c>
      <c r="BL215" s="4">
        <v>0</v>
      </c>
      <c r="BM215" s="20">
        <v>151</v>
      </c>
      <c r="BN215" s="20">
        <v>0</v>
      </c>
      <c r="BO215" s="20">
        <v>0</v>
      </c>
      <c r="BP215" s="20">
        <v>0</v>
      </c>
      <c r="BQ215" s="20">
        <v>0</v>
      </c>
      <c r="BR215" s="20">
        <v>0</v>
      </c>
      <c r="BS215" s="20">
        <v>150</v>
      </c>
      <c r="BT215" s="20">
        <v>1002972.0000000002</v>
      </c>
      <c r="BU215" s="20">
        <v>6450000</v>
      </c>
      <c r="BV215" s="20">
        <v>5.8462612751266851</v>
      </c>
    </row>
    <row r="216" spans="1:74">
      <c r="A216" s="10">
        <f t="shared" si="14"/>
        <v>0</v>
      </c>
      <c r="B216" s="10">
        <f t="shared" si="15"/>
        <v>0</v>
      </c>
      <c r="C216" s="12">
        <f t="shared" si="16"/>
        <v>5</v>
      </c>
      <c r="D216" s="12">
        <f t="shared" si="17"/>
        <v>10</v>
      </c>
      <c r="E216" s="20" t="s">
        <v>424</v>
      </c>
      <c r="F216" s="20" t="s">
        <v>1393</v>
      </c>
      <c r="G216" s="20" t="s">
        <v>2065</v>
      </c>
      <c r="H216" s="20" t="s">
        <v>2066</v>
      </c>
      <c r="I216" s="20">
        <v>1</v>
      </c>
      <c r="J216" s="20" t="s">
        <v>2067</v>
      </c>
      <c r="K216" s="20" t="s">
        <v>2068</v>
      </c>
      <c r="L216" s="20" t="s">
        <v>2069</v>
      </c>
      <c r="M216" s="20" t="s">
        <v>1393</v>
      </c>
      <c r="N216" s="20" t="s">
        <v>1413</v>
      </c>
      <c r="P216" s="20" t="s">
        <v>1393</v>
      </c>
      <c r="Q216" s="20" t="s">
        <v>1400</v>
      </c>
      <c r="R216" s="20" t="s">
        <v>84</v>
      </c>
      <c r="S216" s="20">
        <v>5</v>
      </c>
      <c r="T216" s="20" t="s">
        <v>106</v>
      </c>
      <c r="U216" s="20" t="s">
        <v>107</v>
      </c>
      <c r="V216" s="20" t="s">
        <v>87</v>
      </c>
      <c r="W216" s="20">
        <v>529</v>
      </c>
      <c r="X216" s="20">
        <v>529</v>
      </c>
      <c r="Y216" s="20" t="s">
        <v>2070</v>
      </c>
      <c r="Z216" s="20">
        <v>0.5</v>
      </c>
      <c r="AA216" s="20" t="s">
        <v>2071</v>
      </c>
      <c r="AB216" s="20" t="s">
        <v>109</v>
      </c>
      <c r="AC216" s="20" t="s">
        <v>110</v>
      </c>
      <c r="AD216" s="20" t="s">
        <v>2072</v>
      </c>
      <c r="AE216" s="20" t="s">
        <v>91</v>
      </c>
      <c r="AF216" s="20">
        <v>0.5</v>
      </c>
      <c r="AG216" s="20">
        <v>0</v>
      </c>
      <c r="AH216" s="20">
        <v>1</v>
      </c>
      <c r="AI216" s="7" t="s">
        <v>97</v>
      </c>
      <c r="AJ216" s="20">
        <v>80</v>
      </c>
      <c r="AK216" s="4" t="s">
        <v>111</v>
      </c>
      <c r="AL216" s="4">
        <v>19</v>
      </c>
      <c r="AM216" s="4">
        <v>19</v>
      </c>
      <c r="AN216" s="4" t="s">
        <v>95</v>
      </c>
      <c r="AO216" s="4" t="s">
        <v>96</v>
      </c>
      <c r="AP216" s="4">
        <v>1</v>
      </c>
      <c r="AQ216" s="20">
        <v>45000</v>
      </c>
      <c r="AR216" s="4">
        <v>41820</v>
      </c>
      <c r="AS216" s="20">
        <v>6818.1818181818171</v>
      </c>
      <c r="AT216" s="20">
        <v>8807.0600000000013</v>
      </c>
      <c r="AU216" s="20">
        <v>1988.8781818181842</v>
      </c>
      <c r="AV216" s="20">
        <v>0</v>
      </c>
      <c r="AW216" s="20">
        <v>180</v>
      </c>
      <c r="AX216" s="20">
        <v>20</v>
      </c>
      <c r="AY216" s="20">
        <v>200</v>
      </c>
      <c r="AZ216" s="20">
        <v>6.9</v>
      </c>
      <c r="BA216" s="20">
        <v>0</v>
      </c>
      <c r="BB216" s="6">
        <v>41771</v>
      </c>
      <c r="BC216" s="6">
        <v>0</v>
      </c>
      <c r="BD216" s="6">
        <v>41876</v>
      </c>
      <c r="BE216" s="6">
        <v>41876</v>
      </c>
      <c r="BF216" s="6">
        <v>41932</v>
      </c>
      <c r="BG216" s="6">
        <v>0</v>
      </c>
      <c r="BH216" s="6">
        <v>0</v>
      </c>
      <c r="BI216" s="6">
        <v>0</v>
      </c>
      <c r="BJ216" s="6">
        <v>0</v>
      </c>
      <c r="BK216" s="5" t="s">
        <v>2173</v>
      </c>
      <c r="BL216" s="4" t="s">
        <v>2173</v>
      </c>
      <c r="BM216" s="20">
        <v>81</v>
      </c>
      <c r="BN216" s="20">
        <v>0</v>
      </c>
      <c r="BO216" s="20">
        <v>0</v>
      </c>
      <c r="BP216" s="20">
        <v>0</v>
      </c>
      <c r="BQ216" s="20">
        <v>0</v>
      </c>
      <c r="BR216" s="20">
        <v>0</v>
      </c>
      <c r="BS216" s="20">
        <v>80</v>
      </c>
      <c r="BT216" s="20">
        <v>704564.8</v>
      </c>
      <c r="BU216" s="20">
        <v>3600000</v>
      </c>
      <c r="BV216" s="20">
        <v>4.6450337466862841</v>
      </c>
    </row>
    <row r="217" spans="1:74">
      <c r="A217" s="10">
        <f t="shared" si="14"/>
        <v>0</v>
      </c>
      <c r="B217" s="10">
        <f t="shared" si="15"/>
        <v>0</v>
      </c>
      <c r="C217" s="12">
        <f t="shared" si="16"/>
        <v>5</v>
      </c>
      <c r="D217" s="12">
        <f t="shared" si="17"/>
        <v>10</v>
      </c>
      <c r="E217" s="20" t="s">
        <v>424</v>
      </c>
      <c r="F217" s="20" t="s">
        <v>1393</v>
      </c>
      <c r="G217" s="20" t="s">
        <v>2065</v>
      </c>
      <c r="H217" s="20" t="s">
        <v>2066</v>
      </c>
      <c r="I217" s="20">
        <v>1</v>
      </c>
      <c r="J217" s="20" t="s">
        <v>2067</v>
      </c>
      <c r="K217" s="20" t="s">
        <v>2073</v>
      </c>
      <c r="L217" s="20" t="s">
        <v>2069</v>
      </c>
      <c r="M217" s="20" t="s">
        <v>1393</v>
      </c>
      <c r="N217" s="20" t="s">
        <v>1413</v>
      </c>
      <c r="P217" s="20" t="s">
        <v>1393</v>
      </c>
      <c r="Q217" s="20" t="s">
        <v>1400</v>
      </c>
      <c r="R217" s="20" t="s">
        <v>84</v>
      </c>
      <c r="S217" s="20">
        <v>5</v>
      </c>
      <c r="T217" s="20" t="s">
        <v>106</v>
      </c>
      <c r="U217" s="20" t="s">
        <v>107</v>
      </c>
      <c r="V217" s="20" t="s">
        <v>87</v>
      </c>
      <c r="W217" s="20">
        <v>529</v>
      </c>
      <c r="X217" s="20">
        <v>529</v>
      </c>
      <c r="Y217" s="20" t="s">
        <v>2070</v>
      </c>
      <c r="Z217" s="20">
        <v>0.5</v>
      </c>
      <c r="AA217" s="20" t="s">
        <v>2071</v>
      </c>
      <c r="AB217" s="20" t="s">
        <v>109</v>
      </c>
      <c r="AC217" s="20" t="s">
        <v>110</v>
      </c>
      <c r="AD217" s="20" t="s">
        <v>2072</v>
      </c>
      <c r="AE217" s="20" t="s">
        <v>91</v>
      </c>
      <c r="AF217" s="20">
        <v>0.5</v>
      </c>
      <c r="AG217" s="20">
        <v>0</v>
      </c>
      <c r="AH217" s="20">
        <v>1</v>
      </c>
      <c r="AI217" s="7" t="s">
        <v>98</v>
      </c>
      <c r="AJ217" s="20">
        <v>40</v>
      </c>
      <c r="AK217" s="4" t="s">
        <v>111</v>
      </c>
      <c r="AL217" s="4">
        <v>19</v>
      </c>
      <c r="AM217" s="4">
        <v>19</v>
      </c>
      <c r="AN217" s="4" t="s">
        <v>95</v>
      </c>
      <c r="AO217" s="4" t="s">
        <v>96</v>
      </c>
      <c r="AP217" s="4">
        <v>1</v>
      </c>
      <c r="AQ217" s="20">
        <v>45000</v>
      </c>
      <c r="AR217" s="4">
        <v>41820</v>
      </c>
      <c r="AS217" s="20">
        <v>6818.1818181818171</v>
      </c>
      <c r="AT217" s="20">
        <v>8807.0600000000013</v>
      </c>
      <c r="AU217" s="20">
        <v>1988.8781818181842</v>
      </c>
      <c r="AV217" s="20">
        <v>0</v>
      </c>
      <c r="AW217" s="20">
        <v>180</v>
      </c>
      <c r="AX217" s="20">
        <v>20</v>
      </c>
      <c r="AY217" s="20">
        <v>200</v>
      </c>
      <c r="AZ217" s="20">
        <v>6.9</v>
      </c>
      <c r="BA217" s="20">
        <v>0</v>
      </c>
      <c r="BB217" s="6">
        <v>41771</v>
      </c>
      <c r="BC217" s="6">
        <v>0</v>
      </c>
      <c r="BD217" s="6">
        <v>41876</v>
      </c>
      <c r="BE217" s="6">
        <v>41876</v>
      </c>
      <c r="BF217" s="6">
        <v>41932</v>
      </c>
      <c r="BG217" s="6">
        <v>0</v>
      </c>
      <c r="BH217" s="6">
        <v>0</v>
      </c>
      <c r="BI217" s="6">
        <v>0</v>
      </c>
      <c r="BJ217" s="6">
        <v>0</v>
      </c>
      <c r="BK217" s="5" t="s">
        <v>2173</v>
      </c>
      <c r="BL217" s="4" t="s">
        <v>2173</v>
      </c>
      <c r="BM217" s="20">
        <v>44</v>
      </c>
      <c r="BN217" s="20">
        <v>0</v>
      </c>
      <c r="BO217" s="20">
        <v>0</v>
      </c>
      <c r="BP217" s="20">
        <v>0</v>
      </c>
      <c r="BQ217" s="20">
        <v>0</v>
      </c>
      <c r="BR217" s="20">
        <v>0</v>
      </c>
      <c r="BS217" s="20">
        <v>40</v>
      </c>
      <c r="BT217" s="20">
        <v>352282.4</v>
      </c>
      <c r="BU217" s="20">
        <v>1800000</v>
      </c>
      <c r="BV217" s="20">
        <v>4.6450337466862841</v>
      </c>
    </row>
    <row r="218" spans="1:74">
      <c r="A218" s="10">
        <f t="shared" si="14"/>
        <v>0</v>
      </c>
      <c r="B218" s="10">
        <f t="shared" si="15"/>
        <v>0</v>
      </c>
      <c r="C218" s="12" t="str">
        <f t="shared" si="16"/>
        <v/>
      </c>
      <c r="D218" s="12" t="str">
        <f t="shared" si="17"/>
        <v/>
      </c>
      <c r="E218" s="20" t="s">
        <v>91</v>
      </c>
      <c r="F218" s="20" t="s">
        <v>91</v>
      </c>
      <c r="G218" s="20" t="s">
        <v>91</v>
      </c>
      <c r="H218" s="20" t="s">
        <v>91</v>
      </c>
      <c r="I218" s="20">
        <v>0</v>
      </c>
      <c r="J218" s="20" t="s">
        <v>103</v>
      </c>
      <c r="K218" s="20" t="s">
        <v>104</v>
      </c>
      <c r="L218" s="20">
        <v>0</v>
      </c>
      <c r="M218" s="20" t="s">
        <v>105</v>
      </c>
      <c r="N218" s="20" t="s">
        <v>91</v>
      </c>
      <c r="O218" s="20" t="s">
        <v>2074</v>
      </c>
      <c r="Q218" s="20" t="s">
        <v>91</v>
      </c>
      <c r="R218" s="20" t="s">
        <v>91</v>
      </c>
      <c r="S218" s="20" t="s">
        <v>91</v>
      </c>
      <c r="U218" s="20" t="s">
        <v>91</v>
      </c>
      <c r="X218" s="20" t="s">
        <v>91</v>
      </c>
      <c r="Y218" s="20" t="s">
        <v>91</v>
      </c>
      <c r="Z218" s="20">
        <v>1</v>
      </c>
      <c r="AB218" s="20" t="s">
        <v>91</v>
      </c>
      <c r="AD218" s="20" t="s">
        <v>91</v>
      </c>
      <c r="AE218" s="20" t="s">
        <v>91</v>
      </c>
      <c r="AF218" s="20">
        <v>1</v>
      </c>
      <c r="AG218" s="20">
        <v>0</v>
      </c>
      <c r="AH218" s="20">
        <v>1</v>
      </c>
      <c r="AI218" s="7"/>
      <c r="AJ218" s="20">
        <v>120</v>
      </c>
      <c r="AM218" s="4" t="s">
        <v>91</v>
      </c>
      <c r="AP218" s="4" t="s">
        <v>91</v>
      </c>
      <c r="AQ218" s="20">
        <v>0</v>
      </c>
      <c r="AR218" s="4">
        <v>0</v>
      </c>
      <c r="AX218" s="20" t="s">
        <v>91</v>
      </c>
      <c r="AY218" s="20">
        <v>0</v>
      </c>
      <c r="AZ218" s="20">
        <v>828</v>
      </c>
      <c r="BA218" s="20">
        <v>0</v>
      </c>
      <c r="BB218" s="6">
        <v>0</v>
      </c>
      <c r="BC218" s="6">
        <v>0</v>
      </c>
      <c r="BD218" s="6">
        <v>0</v>
      </c>
      <c r="BE218" s="6">
        <v>0</v>
      </c>
      <c r="BF218" s="6">
        <v>0</v>
      </c>
      <c r="BG218" s="6">
        <v>0</v>
      </c>
      <c r="BH218" s="6">
        <v>0</v>
      </c>
      <c r="BI218" s="6">
        <v>0</v>
      </c>
      <c r="BJ218" s="6">
        <v>0</v>
      </c>
      <c r="BK218" s="5">
        <v>0</v>
      </c>
      <c r="BL218" s="4">
        <v>0</v>
      </c>
      <c r="BM218" s="20">
        <v>125</v>
      </c>
      <c r="BN218" s="20">
        <v>0</v>
      </c>
      <c r="BO218" s="20">
        <v>0</v>
      </c>
      <c r="BP218" s="20">
        <v>0</v>
      </c>
      <c r="BQ218" s="20">
        <v>0</v>
      </c>
      <c r="BR218" s="20">
        <v>0</v>
      </c>
      <c r="BS218" s="20">
        <v>120</v>
      </c>
      <c r="BT218" s="20">
        <v>1056847.2000000002</v>
      </c>
      <c r="BU218" s="20">
        <v>5400000</v>
      </c>
      <c r="BV218" s="20">
        <v>4.6450337466862832</v>
      </c>
    </row>
    <row r="219" spans="1:74">
      <c r="A219" s="10">
        <f t="shared" si="14"/>
        <v>0</v>
      </c>
      <c r="B219" s="10">
        <f t="shared" si="15"/>
        <v>0</v>
      </c>
      <c r="C219" s="12">
        <f t="shared" si="16"/>
        <v>5</v>
      </c>
      <c r="D219" s="12">
        <f t="shared" si="17"/>
        <v>6</v>
      </c>
      <c r="E219" s="20" t="s">
        <v>424</v>
      </c>
      <c r="F219" s="20" t="s">
        <v>1393</v>
      </c>
      <c r="G219" s="20" t="s">
        <v>2075</v>
      </c>
      <c r="H219" s="20" t="s">
        <v>2076</v>
      </c>
      <c r="I219" s="20">
        <v>1</v>
      </c>
      <c r="J219" s="20" t="s">
        <v>2077</v>
      </c>
      <c r="K219" s="20" t="s">
        <v>2078</v>
      </c>
      <c r="L219" s="20" t="s">
        <v>2079</v>
      </c>
      <c r="M219" s="20" t="s">
        <v>1393</v>
      </c>
      <c r="N219" s="20" t="s">
        <v>2080</v>
      </c>
      <c r="P219" s="20" t="s">
        <v>1393</v>
      </c>
      <c r="Q219" s="20" t="s">
        <v>1400</v>
      </c>
      <c r="R219" s="20" t="s">
        <v>84</v>
      </c>
      <c r="S219" s="20" t="s">
        <v>123</v>
      </c>
      <c r="T219" s="20" t="s">
        <v>1401</v>
      </c>
      <c r="U219" s="20" t="s">
        <v>1402</v>
      </c>
      <c r="V219" s="20" t="s">
        <v>87</v>
      </c>
      <c r="W219" s="20">
        <v>705</v>
      </c>
      <c r="X219" s="20">
        <v>705</v>
      </c>
      <c r="Y219" s="20" t="s">
        <v>2081</v>
      </c>
      <c r="Z219" s="20">
        <v>0.33333333333333331</v>
      </c>
      <c r="AA219" s="20" t="s">
        <v>2082</v>
      </c>
      <c r="AB219" s="20" t="s">
        <v>248</v>
      </c>
      <c r="AC219" s="20" t="s">
        <v>249</v>
      </c>
      <c r="AD219" s="20" t="s">
        <v>2083</v>
      </c>
      <c r="AE219" s="20" t="s">
        <v>400</v>
      </c>
      <c r="AF219" s="20">
        <v>0.33333333333333331</v>
      </c>
      <c r="AG219" s="20">
        <v>0</v>
      </c>
      <c r="AH219" s="20">
        <v>1</v>
      </c>
      <c r="AI219" s="7" t="s">
        <v>97</v>
      </c>
      <c r="AJ219" s="20">
        <v>200</v>
      </c>
      <c r="AK219" s="4" t="s">
        <v>93</v>
      </c>
      <c r="AL219" s="4">
        <v>8</v>
      </c>
      <c r="AM219" s="4" t="s">
        <v>180</v>
      </c>
      <c r="AN219" s="4" t="s">
        <v>95</v>
      </c>
      <c r="AO219" s="4" t="s">
        <v>189</v>
      </c>
      <c r="AP219" s="4">
        <v>1</v>
      </c>
      <c r="AQ219" s="20">
        <v>43000</v>
      </c>
      <c r="AR219" s="4">
        <v>41771</v>
      </c>
      <c r="AS219" s="20">
        <v>6515.151515151515</v>
      </c>
      <c r="AT219" s="20">
        <v>7063.75</v>
      </c>
      <c r="AU219" s="20">
        <v>548.59848484848499</v>
      </c>
      <c r="AV219" s="20">
        <v>0</v>
      </c>
      <c r="AW219" s="20">
        <v>980</v>
      </c>
      <c r="AX219" s="20">
        <v>20</v>
      </c>
      <c r="AY219" s="20">
        <v>1000</v>
      </c>
      <c r="AZ219" s="20">
        <v>5.25</v>
      </c>
      <c r="BA219" s="20">
        <v>0</v>
      </c>
      <c r="BB219" s="6">
        <v>41771</v>
      </c>
      <c r="BC219" s="6">
        <v>0</v>
      </c>
      <c r="BD219" s="6">
        <v>41823</v>
      </c>
      <c r="BE219" s="6">
        <v>41823</v>
      </c>
      <c r="BF219" s="6">
        <v>41809</v>
      </c>
      <c r="BG219" s="6">
        <v>41822</v>
      </c>
      <c r="BH219" s="6">
        <v>0</v>
      </c>
      <c r="BI219" s="6">
        <v>0</v>
      </c>
      <c r="BJ219" s="6">
        <v>0</v>
      </c>
      <c r="BK219" s="5" t="s">
        <v>2173</v>
      </c>
      <c r="BL219" s="4" t="s">
        <v>2173</v>
      </c>
      <c r="BM219" s="20">
        <v>0</v>
      </c>
      <c r="BN219" s="20">
        <v>200</v>
      </c>
      <c r="BO219" s="20">
        <v>0</v>
      </c>
      <c r="BP219" s="20">
        <v>0</v>
      </c>
      <c r="BQ219" s="20">
        <v>0</v>
      </c>
      <c r="BR219" s="20">
        <v>0</v>
      </c>
      <c r="BS219" s="20">
        <v>200</v>
      </c>
      <c r="BT219" s="20">
        <v>1412750</v>
      </c>
      <c r="BU219" s="20">
        <v>8600000</v>
      </c>
      <c r="BV219" s="20">
        <v>5.5340165055259725</v>
      </c>
    </row>
    <row r="220" spans="1:74">
      <c r="A220" s="10">
        <f t="shared" si="14"/>
        <v>0</v>
      </c>
      <c r="B220" s="10">
        <f t="shared" si="15"/>
        <v>0</v>
      </c>
      <c r="C220" s="12">
        <f t="shared" si="16"/>
        <v>5</v>
      </c>
      <c r="D220" s="12">
        <f t="shared" si="17"/>
        <v>6</v>
      </c>
      <c r="E220" s="20" t="s">
        <v>424</v>
      </c>
      <c r="F220" s="20" t="s">
        <v>1393</v>
      </c>
      <c r="G220" s="20" t="s">
        <v>2075</v>
      </c>
      <c r="H220" s="20" t="s">
        <v>2076</v>
      </c>
      <c r="I220" s="20">
        <v>1</v>
      </c>
      <c r="J220" s="20" t="s">
        <v>2077</v>
      </c>
      <c r="K220" s="20" t="s">
        <v>2084</v>
      </c>
      <c r="L220" s="20" t="s">
        <v>2079</v>
      </c>
      <c r="M220" s="20" t="s">
        <v>1393</v>
      </c>
      <c r="N220" s="20" t="s">
        <v>2080</v>
      </c>
      <c r="P220" s="20" t="s">
        <v>1393</v>
      </c>
      <c r="Q220" s="20" t="s">
        <v>1400</v>
      </c>
      <c r="R220" s="20" t="s">
        <v>84</v>
      </c>
      <c r="S220" s="20" t="s">
        <v>123</v>
      </c>
      <c r="T220" s="20" t="s">
        <v>1401</v>
      </c>
      <c r="U220" s="20" t="s">
        <v>1402</v>
      </c>
      <c r="V220" s="20" t="s">
        <v>87</v>
      </c>
      <c r="W220" s="20">
        <v>705</v>
      </c>
      <c r="X220" s="20">
        <v>705</v>
      </c>
      <c r="Y220" s="20" t="s">
        <v>2081</v>
      </c>
      <c r="Z220" s="20">
        <v>0.33333333333333331</v>
      </c>
      <c r="AA220" s="20" t="s">
        <v>2082</v>
      </c>
      <c r="AB220" s="20" t="s">
        <v>248</v>
      </c>
      <c r="AC220" s="20" t="s">
        <v>249</v>
      </c>
      <c r="AD220" s="20" t="s">
        <v>2083</v>
      </c>
      <c r="AE220" s="20" t="s">
        <v>400</v>
      </c>
      <c r="AF220" s="20">
        <v>0.33333333333333331</v>
      </c>
      <c r="AG220" s="20">
        <v>0</v>
      </c>
      <c r="AH220" s="20">
        <v>1</v>
      </c>
      <c r="AI220" s="7" t="s">
        <v>98</v>
      </c>
      <c r="AJ220" s="20">
        <v>200</v>
      </c>
      <c r="AK220" s="4" t="s">
        <v>93</v>
      </c>
      <c r="AL220" s="4">
        <v>8</v>
      </c>
      <c r="AM220" s="4" t="s">
        <v>180</v>
      </c>
      <c r="AN220" s="4" t="s">
        <v>95</v>
      </c>
      <c r="AO220" s="4" t="s">
        <v>189</v>
      </c>
      <c r="AP220" s="4">
        <v>1</v>
      </c>
      <c r="AQ220" s="20">
        <v>43000</v>
      </c>
      <c r="AR220" s="4">
        <v>41771</v>
      </c>
      <c r="AS220" s="20">
        <v>6515.151515151515</v>
      </c>
      <c r="AT220" s="20">
        <v>7063.75</v>
      </c>
      <c r="AU220" s="20">
        <v>548.59848484848499</v>
      </c>
      <c r="AV220" s="20">
        <v>0</v>
      </c>
      <c r="AW220" s="20">
        <v>980</v>
      </c>
      <c r="AX220" s="20">
        <v>20</v>
      </c>
      <c r="AY220" s="20">
        <v>1000</v>
      </c>
      <c r="AZ220" s="20">
        <v>5.25</v>
      </c>
      <c r="BA220" s="20">
        <v>0</v>
      </c>
      <c r="BB220" s="6">
        <v>41771</v>
      </c>
      <c r="BC220" s="6">
        <v>0</v>
      </c>
      <c r="BD220" s="6">
        <v>41823</v>
      </c>
      <c r="BE220" s="6">
        <v>41823</v>
      </c>
      <c r="BF220" s="6">
        <v>41809</v>
      </c>
      <c r="BG220" s="6">
        <v>41822</v>
      </c>
      <c r="BH220" s="6">
        <v>0</v>
      </c>
      <c r="BI220" s="6">
        <v>0</v>
      </c>
      <c r="BJ220" s="6">
        <v>0</v>
      </c>
      <c r="BK220" s="5" t="s">
        <v>2173</v>
      </c>
      <c r="BL220" s="4" t="s">
        <v>2173</v>
      </c>
      <c r="BM220" s="20">
        <v>0</v>
      </c>
      <c r="BN220" s="20">
        <v>200</v>
      </c>
      <c r="BO220" s="20">
        <v>0</v>
      </c>
      <c r="BP220" s="20">
        <v>0</v>
      </c>
      <c r="BQ220" s="20">
        <v>0</v>
      </c>
      <c r="BR220" s="20">
        <v>0</v>
      </c>
      <c r="BS220" s="20">
        <v>200</v>
      </c>
      <c r="BT220" s="20">
        <v>1412750</v>
      </c>
      <c r="BU220" s="20">
        <v>8600000</v>
      </c>
      <c r="BV220" s="20">
        <v>5.5340165055259725</v>
      </c>
    </row>
    <row r="221" spans="1:74">
      <c r="A221" s="10">
        <f t="shared" si="14"/>
        <v>0</v>
      </c>
      <c r="B221" s="10">
        <f t="shared" si="15"/>
        <v>0</v>
      </c>
      <c r="C221" s="12">
        <f t="shared" si="16"/>
        <v>5</v>
      </c>
      <c r="D221" s="12">
        <f t="shared" si="17"/>
        <v>6</v>
      </c>
      <c r="E221" s="20" t="s">
        <v>424</v>
      </c>
      <c r="F221" s="20" t="s">
        <v>1393</v>
      </c>
      <c r="G221" s="20" t="s">
        <v>2075</v>
      </c>
      <c r="H221" s="20" t="s">
        <v>2076</v>
      </c>
      <c r="I221" s="20">
        <v>1</v>
      </c>
      <c r="J221" s="20" t="s">
        <v>2077</v>
      </c>
      <c r="K221" s="20" t="s">
        <v>2085</v>
      </c>
      <c r="L221" s="20" t="s">
        <v>2079</v>
      </c>
      <c r="M221" s="20" t="s">
        <v>1393</v>
      </c>
      <c r="N221" s="20" t="s">
        <v>2080</v>
      </c>
      <c r="P221" s="20" t="s">
        <v>1393</v>
      </c>
      <c r="Q221" s="20" t="s">
        <v>1400</v>
      </c>
      <c r="R221" s="20" t="s">
        <v>84</v>
      </c>
      <c r="S221" s="20" t="s">
        <v>123</v>
      </c>
      <c r="T221" s="20" t="s">
        <v>1401</v>
      </c>
      <c r="U221" s="20" t="s">
        <v>1402</v>
      </c>
      <c r="V221" s="20" t="s">
        <v>87</v>
      </c>
      <c r="W221" s="20">
        <v>705</v>
      </c>
      <c r="X221" s="20">
        <v>705</v>
      </c>
      <c r="Y221" s="20" t="s">
        <v>2081</v>
      </c>
      <c r="Z221" s="20">
        <v>0.33333333333333331</v>
      </c>
      <c r="AA221" s="20" t="s">
        <v>2082</v>
      </c>
      <c r="AB221" s="20" t="s">
        <v>248</v>
      </c>
      <c r="AC221" s="20" t="s">
        <v>249</v>
      </c>
      <c r="AD221" s="20" t="s">
        <v>2083</v>
      </c>
      <c r="AE221" s="20" t="s">
        <v>400</v>
      </c>
      <c r="AF221" s="20">
        <v>0.33333333333333331</v>
      </c>
      <c r="AG221" s="20">
        <v>0</v>
      </c>
      <c r="AH221" s="20">
        <v>1</v>
      </c>
      <c r="AI221" s="7" t="s">
        <v>92</v>
      </c>
      <c r="AJ221" s="20">
        <v>1000</v>
      </c>
      <c r="AK221" s="4" t="s">
        <v>93</v>
      </c>
      <c r="AL221" s="4">
        <v>8</v>
      </c>
      <c r="AM221" s="4" t="s">
        <v>180</v>
      </c>
      <c r="AN221" s="4" t="s">
        <v>95</v>
      </c>
      <c r="AO221" s="4" t="s">
        <v>189</v>
      </c>
      <c r="AP221" s="4">
        <v>1</v>
      </c>
      <c r="AQ221" s="20">
        <v>43000</v>
      </c>
      <c r="AR221" s="4">
        <v>41771</v>
      </c>
      <c r="AS221" s="20">
        <v>6515.151515151515</v>
      </c>
      <c r="AT221" s="20">
        <v>6948.2500000000009</v>
      </c>
      <c r="AU221" s="20">
        <v>433.0984848484859</v>
      </c>
      <c r="AV221" s="20">
        <v>0</v>
      </c>
      <c r="AW221" s="20">
        <v>980</v>
      </c>
      <c r="AX221" s="20">
        <v>20</v>
      </c>
      <c r="AY221" s="20">
        <v>1000</v>
      </c>
      <c r="AZ221" s="20">
        <v>5.15</v>
      </c>
      <c r="BA221" s="20">
        <v>0</v>
      </c>
      <c r="BB221" s="6">
        <v>41771</v>
      </c>
      <c r="BC221" s="6">
        <v>0</v>
      </c>
      <c r="BD221" s="6">
        <v>41823</v>
      </c>
      <c r="BE221" s="6">
        <v>41823</v>
      </c>
      <c r="BF221" s="6">
        <v>41809</v>
      </c>
      <c r="BG221" s="6">
        <v>41822</v>
      </c>
      <c r="BH221" s="6">
        <v>0</v>
      </c>
      <c r="BI221" s="6">
        <v>0</v>
      </c>
      <c r="BJ221" s="6">
        <v>0</v>
      </c>
      <c r="BK221" s="5" t="s">
        <v>2173</v>
      </c>
      <c r="BL221" s="4" t="s">
        <v>2173</v>
      </c>
      <c r="BM221" s="20">
        <v>300</v>
      </c>
      <c r="BN221" s="20">
        <v>700</v>
      </c>
      <c r="BO221" s="20">
        <v>0</v>
      </c>
      <c r="BP221" s="20">
        <v>0</v>
      </c>
      <c r="BQ221" s="20">
        <v>0</v>
      </c>
      <c r="BR221" s="20">
        <v>0</v>
      </c>
      <c r="BS221" s="20">
        <v>1000</v>
      </c>
      <c r="BT221" s="20">
        <v>6948250.0000000009</v>
      </c>
      <c r="BU221" s="20">
        <v>43000000</v>
      </c>
      <c r="BV221" s="20">
        <v>5.6260078567853897</v>
      </c>
    </row>
    <row r="222" spans="1:74">
      <c r="A222" s="10">
        <f t="shared" si="14"/>
        <v>0</v>
      </c>
      <c r="B222" s="10">
        <f t="shared" si="15"/>
        <v>0</v>
      </c>
      <c r="C222" s="12" t="str">
        <f t="shared" si="16"/>
        <v/>
      </c>
      <c r="D222" s="12" t="str">
        <f t="shared" si="17"/>
        <v/>
      </c>
      <c r="E222" s="20" t="s">
        <v>91</v>
      </c>
      <c r="F222" s="20" t="s">
        <v>91</v>
      </c>
      <c r="G222" s="20" t="s">
        <v>91</v>
      </c>
      <c r="H222" s="20" t="s">
        <v>91</v>
      </c>
      <c r="I222" s="20">
        <v>0</v>
      </c>
      <c r="J222" s="20" t="s">
        <v>103</v>
      </c>
      <c r="K222" s="20" t="s">
        <v>104</v>
      </c>
      <c r="L222" s="20">
        <v>0</v>
      </c>
      <c r="M222" s="20" t="s">
        <v>105</v>
      </c>
      <c r="N222" s="20" t="s">
        <v>91</v>
      </c>
      <c r="O222" s="20" t="s">
        <v>2086</v>
      </c>
      <c r="Q222" s="20" t="s">
        <v>91</v>
      </c>
      <c r="R222" s="20" t="s">
        <v>91</v>
      </c>
      <c r="S222" s="20" t="s">
        <v>91</v>
      </c>
      <c r="U222" s="20" t="s">
        <v>91</v>
      </c>
      <c r="X222" s="20" t="s">
        <v>91</v>
      </c>
      <c r="Y222" s="20" t="s">
        <v>91</v>
      </c>
      <c r="Z222" s="20">
        <v>1</v>
      </c>
      <c r="AB222" s="20" t="s">
        <v>91</v>
      </c>
      <c r="AD222" s="20" t="s">
        <v>91</v>
      </c>
      <c r="AE222" s="20" t="s">
        <v>91</v>
      </c>
      <c r="AF222" s="20">
        <v>1</v>
      </c>
      <c r="AG222" s="20">
        <v>0</v>
      </c>
      <c r="AH222" s="20">
        <v>1</v>
      </c>
      <c r="AI222" s="7"/>
      <c r="AJ222" s="20">
        <v>1400</v>
      </c>
      <c r="AM222" s="4" t="s">
        <v>91</v>
      </c>
      <c r="AP222" s="4" t="s">
        <v>91</v>
      </c>
      <c r="AQ222" s="20">
        <v>0</v>
      </c>
      <c r="AR222" s="4">
        <v>0</v>
      </c>
      <c r="AY222" s="20">
        <v>0</v>
      </c>
      <c r="AZ222" s="20">
        <v>7250</v>
      </c>
      <c r="BA222" s="20">
        <v>0</v>
      </c>
      <c r="BB222" s="6">
        <v>0</v>
      </c>
      <c r="BC222" s="6">
        <v>0</v>
      </c>
      <c r="BD222" s="6">
        <v>0</v>
      </c>
      <c r="BE222" s="6">
        <v>0</v>
      </c>
      <c r="BF222" s="6">
        <v>0</v>
      </c>
      <c r="BG222" s="6">
        <v>0</v>
      </c>
      <c r="BH222" s="6">
        <v>0</v>
      </c>
      <c r="BI222" s="6">
        <v>0</v>
      </c>
      <c r="BJ222" s="6">
        <v>0</v>
      </c>
      <c r="BK222" s="5">
        <v>0</v>
      </c>
      <c r="BL222" s="4">
        <v>0</v>
      </c>
      <c r="BM222" s="20">
        <v>300</v>
      </c>
      <c r="BN222" s="20">
        <v>1100</v>
      </c>
      <c r="BO222" s="20">
        <v>0</v>
      </c>
      <c r="BP222" s="20">
        <v>0</v>
      </c>
      <c r="BQ222" s="20">
        <v>0</v>
      </c>
      <c r="BR222" s="20">
        <v>0</v>
      </c>
      <c r="BS222" s="20">
        <v>1400</v>
      </c>
      <c r="BT222" s="20">
        <v>9773750</v>
      </c>
      <c r="BU222" s="20">
        <v>60200000</v>
      </c>
      <c r="BV222" s="20">
        <v>5.5994140148124032</v>
      </c>
    </row>
    <row r="223" spans="1:74">
      <c r="A223" s="10">
        <f t="shared" si="14"/>
        <v>0</v>
      </c>
      <c r="B223" s="10">
        <f t="shared" si="15"/>
        <v>0</v>
      </c>
      <c r="C223" s="12">
        <f t="shared" si="16"/>
        <v>6</v>
      </c>
      <c r="D223" s="12">
        <f t="shared" si="17"/>
        <v>7</v>
      </c>
      <c r="E223" s="20" t="s">
        <v>424</v>
      </c>
      <c r="F223" s="20" t="s">
        <v>1393</v>
      </c>
      <c r="G223" s="20" t="s">
        <v>2445</v>
      </c>
      <c r="H223" s="20" t="s">
        <v>2446</v>
      </c>
      <c r="I223" s="20">
        <v>1</v>
      </c>
      <c r="J223" s="20" t="s">
        <v>2447</v>
      </c>
      <c r="K223" s="20" t="s">
        <v>2448</v>
      </c>
      <c r="L223" s="20" t="s">
        <v>2449</v>
      </c>
      <c r="M223" s="20" t="s">
        <v>1393</v>
      </c>
      <c r="N223" s="20" t="s">
        <v>2080</v>
      </c>
      <c r="P223" s="20" t="s">
        <v>1393</v>
      </c>
      <c r="Q223" s="20" t="s">
        <v>1400</v>
      </c>
      <c r="R223" s="20" t="s">
        <v>84</v>
      </c>
      <c r="S223" s="20" t="s">
        <v>123</v>
      </c>
      <c r="T223" s="20" t="s">
        <v>172</v>
      </c>
      <c r="U223" s="20" t="s">
        <v>173</v>
      </c>
      <c r="V223" s="20" t="s">
        <v>87</v>
      </c>
      <c r="W223" s="20">
        <v>729</v>
      </c>
      <c r="X223" s="20">
        <v>729</v>
      </c>
      <c r="Y223" s="20" t="s">
        <v>2450</v>
      </c>
      <c r="Z223" s="20">
        <v>0.33333333333333331</v>
      </c>
      <c r="AA223" s="20" t="s">
        <v>2451</v>
      </c>
      <c r="AB223" s="20" t="s">
        <v>109</v>
      </c>
      <c r="AC223" s="20" t="s">
        <v>110</v>
      </c>
      <c r="AD223" s="20" t="s">
        <v>2452</v>
      </c>
      <c r="AE223" s="20" t="s">
        <v>400</v>
      </c>
      <c r="AF223" s="20">
        <v>0.33333333333333331</v>
      </c>
      <c r="AG223" s="20">
        <v>0</v>
      </c>
      <c r="AH223" s="20">
        <v>1</v>
      </c>
      <c r="AI223" s="7" t="s">
        <v>92</v>
      </c>
      <c r="AJ223" s="20">
        <v>700</v>
      </c>
      <c r="AK223" s="4" t="s">
        <v>93</v>
      </c>
      <c r="AL223" s="4">
        <v>9</v>
      </c>
      <c r="AM223" s="4" t="s">
        <v>235</v>
      </c>
      <c r="AN223" s="4" t="s">
        <v>95</v>
      </c>
      <c r="AO223" s="4" t="s">
        <v>189</v>
      </c>
      <c r="AP223" s="4">
        <v>1</v>
      </c>
      <c r="AQ223" s="20">
        <v>45000</v>
      </c>
      <c r="AR223" s="4">
        <v>41793</v>
      </c>
      <c r="AS223" s="20">
        <v>6818.1818181818171</v>
      </c>
      <c r="AT223" s="20">
        <v>6313</v>
      </c>
      <c r="AU223" s="20">
        <v>-505.18181818181711</v>
      </c>
      <c r="AV223" s="20">
        <v>0</v>
      </c>
      <c r="AW223" s="20">
        <v>980</v>
      </c>
      <c r="AX223" s="20">
        <v>20</v>
      </c>
      <c r="AY223" s="20">
        <v>1000</v>
      </c>
      <c r="AZ223" s="20">
        <v>4.5999999999999996</v>
      </c>
      <c r="BA223" s="20">
        <v>0</v>
      </c>
      <c r="BB223" s="6">
        <v>41793</v>
      </c>
      <c r="BC223" s="6">
        <v>0</v>
      </c>
      <c r="BD223" s="6">
        <v>41844</v>
      </c>
      <c r="BE223" s="6">
        <v>41844</v>
      </c>
      <c r="BF223" s="6">
        <v>41850</v>
      </c>
      <c r="BG223" s="6">
        <v>0</v>
      </c>
      <c r="BH223" s="6">
        <v>0</v>
      </c>
      <c r="BI223" s="6">
        <v>0</v>
      </c>
      <c r="BJ223" s="6">
        <v>0</v>
      </c>
      <c r="BK223" s="5" t="s">
        <v>2173</v>
      </c>
      <c r="BL223" s="4" t="s">
        <v>2173</v>
      </c>
      <c r="BM223" s="20">
        <v>700</v>
      </c>
      <c r="BN223" s="20">
        <v>0</v>
      </c>
      <c r="BO223" s="20">
        <v>0</v>
      </c>
      <c r="BP223" s="20">
        <v>0</v>
      </c>
      <c r="BQ223" s="20">
        <v>0</v>
      </c>
      <c r="BR223" s="20">
        <v>0</v>
      </c>
      <c r="BS223" s="20">
        <v>700</v>
      </c>
      <c r="BT223" s="20">
        <v>4419100</v>
      </c>
      <c r="BU223" s="20">
        <v>31500000</v>
      </c>
      <c r="BV223" s="20">
        <v>6.4801347868035659</v>
      </c>
    </row>
    <row r="224" spans="1:74">
      <c r="A224" s="10">
        <f t="shared" si="14"/>
        <v>0</v>
      </c>
      <c r="B224" s="10">
        <f t="shared" si="15"/>
        <v>0</v>
      </c>
      <c r="C224" s="12">
        <f t="shared" si="16"/>
        <v>6</v>
      </c>
      <c r="D224" s="12">
        <f t="shared" si="17"/>
        <v>7</v>
      </c>
      <c r="E224" s="20" t="s">
        <v>424</v>
      </c>
      <c r="F224" s="20" t="s">
        <v>1393</v>
      </c>
      <c r="G224" s="20" t="s">
        <v>2445</v>
      </c>
      <c r="H224" s="20" t="s">
        <v>2446</v>
      </c>
      <c r="I224" s="20">
        <v>1</v>
      </c>
      <c r="J224" s="20" t="s">
        <v>2447</v>
      </c>
      <c r="K224" s="20" t="s">
        <v>2453</v>
      </c>
      <c r="L224" s="20" t="s">
        <v>2449</v>
      </c>
      <c r="M224" s="20" t="s">
        <v>1393</v>
      </c>
      <c r="N224" s="20" t="s">
        <v>2080</v>
      </c>
      <c r="P224" s="20" t="s">
        <v>1393</v>
      </c>
      <c r="Q224" s="20" t="s">
        <v>1400</v>
      </c>
      <c r="R224" s="20" t="s">
        <v>84</v>
      </c>
      <c r="S224" s="20" t="s">
        <v>123</v>
      </c>
      <c r="T224" s="20" t="s">
        <v>172</v>
      </c>
      <c r="U224" s="20" t="s">
        <v>173</v>
      </c>
      <c r="V224" s="20" t="s">
        <v>87</v>
      </c>
      <c r="W224" s="20">
        <v>729</v>
      </c>
      <c r="X224" s="20">
        <v>729</v>
      </c>
      <c r="Y224" s="20" t="s">
        <v>2450</v>
      </c>
      <c r="Z224" s="20">
        <v>0.33333333333333331</v>
      </c>
      <c r="AA224" s="20" t="s">
        <v>2451</v>
      </c>
      <c r="AB224" s="20" t="s">
        <v>109</v>
      </c>
      <c r="AC224" s="20" t="s">
        <v>110</v>
      </c>
      <c r="AD224" s="20" t="s">
        <v>2452</v>
      </c>
      <c r="AE224" s="20" t="s">
        <v>400</v>
      </c>
      <c r="AF224" s="20">
        <v>0.33333333333333331</v>
      </c>
      <c r="AG224" s="20">
        <v>0</v>
      </c>
      <c r="AH224" s="20">
        <v>1</v>
      </c>
      <c r="AI224" s="7" t="s">
        <v>97</v>
      </c>
      <c r="AJ224" s="20">
        <v>30</v>
      </c>
      <c r="AK224" s="4" t="s">
        <v>93</v>
      </c>
      <c r="AL224" s="4">
        <v>9</v>
      </c>
      <c r="AM224" s="4" t="s">
        <v>235</v>
      </c>
      <c r="AN224" s="4" t="s">
        <v>95</v>
      </c>
      <c r="AO224" s="4" t="s">
        <v>189</v>
      </c>
      <c r="AP224" s="4">
        <v>1</v>
      </c>
      <c r="AQ224" s="20">
        <v>45000</v>
      </c>
      <c r="AR224" s="4">
        <v>41793</v>
      </c>
      <c r="AS224" s="20">
        <v>6818.1818181818171</v>
      </c>
      <c r="AT224" s="20">
        <v>6428.5000000000009</v>
      </c>
      <c r="AU224" s="20">
        <v>-389.6818181818162</v>
      </c>
      <c r="AV224" s="20">
        <v>0</v>
      </c>
      <c r="AW224" s="20">
        <v>980</v>
      </c>
      <c r="AX224" s="20">
        <v>20</v>
      </c>
      <c r="AY224" s="20">
        <v>1000</v>
      </c>
      <c r="AZ224" s="20">
        <v>4.7</v>
      </c>
      <c r="BA224" s="20">
        <v>0</v>
      </c>
      <c r="BB224" s="6">
        <v>41793</v>
      </c>
      <c r="BC224" s="6">
        <v>0</v>
      </c>
      <c r="BD224" s="6">
        <v>41844</v>
      </c>
      <c r="BE224" s="6">
        <v>41844</v>
      </c>
      <c r="BF224" s="6">
        <v>41850</v>
      </c>
      <c r="BG224" s="6">
        <v>0</v>
      </c>
      <c r="BH224" s="6">
        <v>0</v>
      </c>
      <c r="BI224" s="6">
        <v>0</v>
      </c>
      <c r="BJ224" s="6">
        <v>0</v>
      </c>
      <c r="BK224" s="5" t="s">
        <v>2173</v>
      </c>
      <c r="BL224" s="4" t="s">
        <v>2173</v>
      </c>
      <c r="BM224" s="20">
        <v>30</v>
      </c>
      <c r="BN224" s="20">
        <v>0</v>
      </c>
      <c r="BO224" s="20">
        <v>0</v>
      </c>
      <c r="BP224" s="20">
        <v>0</v>
      </c>
      <c r="BQ224" s="20">
        <v>0</v>
      </c>
      <c r="BR224" s="20">
        <v>0</v>
      </c>
      <c r="BS224" s="20">
        <v>30</v>
      </c>
      <c r="BT224" s="20">
        <v>192855.00000000003</v>
      </c>
      <c r="BU224" s="20">
        <v>1350000</v>
      </c>
      <c r="BV224" s="20">
        <v>6.363707071492712</v>
      </c>
    </row>
    <row r="225" spans="1:74">
      <c r="A225" s="10">
        <f t="shared" si="14"/>
        <v>0</v>
      </c>
      <c r="B225" s="10">
        <f t="shared" si="15"/>
        <v>0</v>
      </c>
      <c r="C225" s="12">
        <f t="shared" si="16"/>
        <v>6</v>
      </c>
      <c r="D225" s="12">
        <f t="shared" si="17"/>
        <v>7</v>
      </c>
      <c r="E225" s="20" t="s">
        <v>424</v>
      </c>
      <c r="F225" s="20" t="s">
        <v>1393</v>
      </c>
      <c r="G225" s="20" t="s">
        <v>2445</v>
      </c>
      <c r="H225" s="20" t="s">
        <v>2446</v>
      </c>
      <c r="I225" s="20">
        <v>1</v>
      </c>
      <c r="J225" s="20" t="s">
        <v>2447</v>
      </c>
      <c r="K225" s="20" t="s">
        <v>2454</v>
      </c>
      <c r="L225" s="20" t="s">
        <v>2449</v>
      </c>
      <c r="M225" s="20" t="s">
        <v>1393</v>
      </c>
      <c r="N225" s="20" t="s">
        <v>2080</v>
      </c>
      <c r="P225" s="20" t="s">
        <v>1393</v>
      </c>
      <c r="Q225" s="20" t="s">
        <v>1400</v>
      </c>
      <c r="R225" s="20" t="s">
        <v>84</v>
      </c>
      <c r="S225" s="20" t="s">
        <v>123</v>
      </c>
      <c r="T225" s="20" t="s">
        <v>172</v>
      </c>
      <c r="U225" s="20" t="s">
        <v>173</v>
      </c>
      <c r="V225" s="20" t="s">
        <v>87</v>
      </c>
      <c r="W225" s="20">
        <v>729</v>
      </c>
      <c r="X225" s="20">
        <v>729</v>
      </c>
      <c r="Y225" s="20" t="s">
        <v>2450</v>
      </c>
      <c r="Z225" s="20">
        <v>0.33333333333333331</v>
      </c>
      <c r="AA225" s="20" t="s">
        <v>2451</v>
      </c>
      <c r="AB225" s="20" t="s">
        <v>109</v>
      </c>
      <c r="AC225" s="20" t="s">
        <v>110</v>
      </c>
      <c r="AD225" s="20" t="s">
        <v>2452</v>
      </c>
      <c r="AE225" s="20" t="s">
        <v>400</v>
      </c>
      <c r="AF225" s="20">
        <v>0.33333333333333331</v>
      </c>
      <c r="AG225" s="20">
        <v>0</v>
      </c>
      <c r="AH225" s="20">
        <v>1</v>
      </c>
      <c r="AI225" s="7" t="s">
        <v>98</v>
      </c>
      <c r="AJ225" s="20">
        <v>70</v>
      </c>
      <c r="AK225" s="4" t="s">
        <v>93</v>
      </c>
      <c r="AL225" s="4">
        <v>9</v>
      </c>
      <c r="AM225" s="4" t="s">
        <v>235</v>
      </c>
      <c r="AN225" s="4" t="s">
        <v>95</v>
      </c>
      <c r="AO225" s="4" t="s">
        <v>189</v>
      </c>
      <c r="AP225" s="4">
        <v>1</v>
      </c>
      <c r="AQ225" s="20">
        <v>45000</v>
      </c>
      <c r="AR225" s="4">
        <v>41793</v>
      </c>
      <c r="AS225" s="20">
        <v>6818.1818181818171</v>
      </c>
      <c r="AT225" s="20">
        <v>6428.5000000000009</v>
      </c>
      <c r="AU225" s="20">
        <v>-389.6818181818162</v>
      </c>
      <c r="AV225" s="20">
        <v>0</v>
      </c>
      <c r="AW225" s="20">
        <v>980</v>
      </c>
      <c r="AX225" s="20">
        <v>20</v>
      </c>
      <c r="AY225" s="20">
        <v>1000</v>
      </c>
      <c r="AZ225" s="20">
        <v>4.7</v>
      </c>
      <c r="BA225" s="20">
        <v>0</v>
      </c>
      <c r="BB225" s="6">
        <v>41793</v>
      </c>
      <c r="BC225" s="6">
        <v>0</v>
      </c>
      <c r="BD225" s="6">
        <v>41844</v>
      </c>
      <c r="BE225" s="6">
        <v>41844</v>
      </c>
      <c r="BF225" s="6">
        <v>41850</v>
      </c>
      <c r="BG225" s="6">
        <v>0</v>
      </c>
      <c r="BH225" s="6">
        <v>0</v>
      </c>
      <c r="BI225" s="6">
        <v>0</v>
      </c>
      <c r="BJ225" s="6">
        <v>0</v>
      </c>
      <c r="BK225" s="5" t="s">
        <v>2173</v>
      </c>
      <c r="BL225" s="4" t="s">
        <v>2173</v>
      </c>
      <c r="BM225" s="20">
        <v>70</v>
      </c>
      <c r="BN225" s="20">
        <v>0</v>
      </c>
      <c r="BO225" s="20">
        <v>0</v>
      </c>
      <c r="BP225" s="20">
        <v>0</v>
      </c>
      <c r="BQ225" s="20">
        <v>0</v>
      </c>
      <c r="BR225" s="20">
        <v>0</v>
      </c>
      <c r="BS225" s="20">
        <v>70</v>
      </c>
      <c r="BT225" s="20">
        <v>449995.00000000006</v>
      </c>
      <c r="BU225" s="20">
        <v>3150000</v>
      </c>
      <c r="BV225" s="20">
        <v>6.363707071492712</v>
      </c>
    </row>
    <row r="226" spans="1:74">
      <c r="A226" s="10">
        <f t="shared" si="14"/>
        <v>0</v>
      </c>
      <c r="B226" s="10">
        <f t="shared" si="15"/>
        <v>0</v>
      </c>
      <c r="C226" s="12" t="str">
        <f t="shared" si="16"/>
        <v/>
      </c>
      <c r="D226" s="12" t="str">
        <f t="shared" si="17"/>
        <v/>
      </c>
      <c r="E226" s="20" t="s">
        <v>91</v>
      </c>
      <c r="F226" s="20" t="s">
        <v>91</v>
      </c>
      <c r="G226" s="20" t="s">
        <v>91</v>
      </c>
      <c r="H226" s="20" t="s">
        <v>91</v>
      </c>
      <c r="I226" s="20">
        <v>0</v>
      </c>
      <c r="J226" s="20" t="s">
        <v>103</v>
      </c>
      <c r="K226" s="20" t="s">
        <v>104</v>
      </c>
      <c r="L226" s="20">
        <v>0</v>
      </c>
      <c r="M226" s="20" t="s">
        <v>105</v>
      </c>
      <c r="N226" s="20" t="s">
        <v>91</v>
      </c>
      <c r="O226" s="20" t="s">
        <v>2455</v>
      </c>
      <c r="Q226" s="20" t="s">
        <v>91</v>
      </c>
      <c r="R226" s="20" t="s">
        <v>91</v>
      </c>
      <c r="S226" s="20" t="s">
        <v>91</v>
      </c>
      <c r="U226" s="20" t="s">
        <v>91</v>
      </c>
      <c r="X226" s="20" t="s">
        <v>91</v>
      </c>
      <c r="Y226" s="20" t="s">
        <v>91</v>
      </c>
      <c r="Z226" s="20">
        <v>1</v>
      </c>
      <c r="AB226" s="20" t="s">
        <v>91</v>
      </c>
      <c r="AD226" s="20" t="s">
        <v>91</v>
      </c>
      <c r="AE226" s="20" t="s">
        <v>91</v>
      </c>
      <c r="AF226" s="20">
        <v>1</v>
      </c>
      <c r="AG226" s="20">
        <v>0</v>
      </c>
      <c r="AH226" s="20">
        <v>1</v>
      </c>
      <c r="AI226" s="7"/>
      <c r="AJ226" s="20">
        <v>800</v>
      </c>
      <c r="AM226" s="4" t="s">
        <v>91</v>
      </c>
      <c r="AP226" s="4" t="s">
        <v>91</v>
      </c>
      <c r="AQ226" s="20">
        <v>0</v>
      </c>
      <c r="AR226" s="4">
        <v>0</v>
      </c>
      <c r="AW226" s="20">
        <v>0</v>
      </c>
      <c r="AX226" s="20" t="s">
        <v>91</v>
      </c>
      <c r="AY226" s="20">
        <v>0</v>
      </c>
      <c r="AZ226" s="20">
        <v>3689.9999999999995</v>
      </c>
      <c r="BA226" s="20">
        <v>0</v>
      </c>
      <c r="BB226" s="6">
        <v>0</v>
      </c>
      <c r="BC226" s="6">
        <v>0</v>
      </c>
      <c r="BD226" s="6">
        <v>0</v>
      </c>
      <c r="BE226" s="6">
        <v>0</v>
      </c>
      <c r="BF226" s="6">
        <v>0</v>
      </c>
      <c r="BG226" s="6">
        <v>0</v>
      </c>
      <c r="BH226" s="6">
        <v>0</v>
      </c>
      <c r="BI226" s="6">
        <v>0</v>
      </c>
      <c r="BJ226" s="6">
        <v>0</v>
      </c>
      <c r="BK226" s="5">
        <v>0</v>
      </c>
      <c r="BM226" s="20">
        <v>800</v>
      </c>
      <c r="BN226" s="20">
        <v>0</v>
      </c>
      <c r="BO226" s="20">
        <v>0</v>
      </c>
      <c r="BP226" s="20">
        <v>0</v>
      </c>
      <c r="BQ226" s="20">
        <v>0</v>
      </c>
      <c r="BR226" s="20">
        <v>0</v>
      </c>
      <c r="BS226" s="20">
        <v>800</v>
      </c>
      <c r="BT226" s="20">
        <v>5061950</v>
      </c>
      <c r="BU226" s="20">
        <v>36000000</v>
      </c>
      <c r="BV226" s="20">
        <v>6.465348872919078</v>
      </c>
    </row>
    <row r="227" spans="1:74">
      <c r="A227" s="10">
        <f t="shared" si="14"/>
        <v>0</v>
      </c>
      <c r="B227" s="10">
        <f t="shared" si="15"/>
        <v>0</v>
      </c>
      <c r="C227" s="12">
        <f t="shared" si="16"/>
        <v>11</v>
      </c>
      <c r="D227" s="12">
        <f t="shared" si="17"/>
        <v>12</v>
      </c>
      <c r="E227" s="20" t="s">
        <v>424</v>
      </c>
      <c r="F227" s="20" t="s">
        <v>1393</v>
      </c>
      <c r="G227" s="20" t="s">
        <v>5383</v>
      </c>
      <c r="H227" s="20" t="s">
        <v>5384</v>
      </c>
      <c r="I227" s="20">
        <v>1</v>
      </c>
      <c r="J227" s="20" t="s">
        <v>5385</v>
      </c>
      <c r="K227" s="20" t="s">
        <v>5386</v>
      </c>
      <c r="L227" s="20" t="s">
        <v>1602</v>
      </c>
      <c r="M227" s="20" t="s">
        <v>1393</v>
      </c>
      <c r="N227" s="20" t="s">
        <v>1413</v>
      </c>
      <c r="P227" s="20" t="s">
        <v>1393</v>
      </c>
      <c r="Q227" s="20" t="s">
        <v>1400</v>
      </c>
      <c r="R227" s="20" t="s">
        <v>84</v>
      </c>
      <c r="S227" s="20">
        <v>5</v>
      </c>
      <c r="T227" s="20" t="s">
        <v>244</v>
      </c>
      <c r="U227" s="20" t="s">
        <v>245</v>
      </c>
      <c r="V227" s="20" t="s">
        <v>87</v>
      </c>
      <c r="W227" s="20">
        <v>512</v>
      </c>
      <c r="X227" s="20">
        <v>512</v>
      </c>
      <c r="Y227" s="20" t="s">
        <v>1603</v>
      </c>
      <c r="Z227" s="20">
        <v>0</v>
      </c>
      <c r="AA227" s="20" t="s">
        <v>1619</v>
      </c>
      <c r="AB227" s="20" t="s">
        <v>89</v>
      </c>
      <c r="AC227" s="20" t="s">
        <v>90</v>
      </c>
      <c r="AD227" s="20" t="s">
        <v>1620</v>
      </c>
      <c r="AE227" s="20" t="s">
        <v>400</v>
      </c>
      <c r="AF227" s="20">
        <v>0</v>
      </c>
      <c r="AG227" s="20">
        <v>0</v>
      </c>
      <c r="AH227" s="20">
        <v>1</v>
      </c>
      <c r="AI227" s="7" t="s">
        <v>251</v>
      </c>
      <c r="AJ227" s="20">
        <v>100</v>
      </c>
      <c r="AK227" s="4" t="s">
        <v>252</v>
      </c>
      <c r="AL227" s="4">
        <v>9</v>
      </c>
      <c r="AM227" s="4" t="s">
        <v>235</v>
      </c>
      <c r="AN227" s="4" t="s">
        <v>95</v>
      </c>
      <c r="AO227" s="4" t="s">
        <v>96</v>
      </c>
      <c r="AP227" s="4">
        <v>1</v>
      </c>
      <c r="AQ227" s="20">
        <v>33000</v>
      </c>
      <c r="AR227" s="4">
        <v>41821</v>
      </c>
      <c r="AS227" s="20">
        <v>4285.7142857142853</v>
      </c>
      <c r="AT227" s="20">
        <v>4311.0560000000005</v>
      </c>
      <c r="AU227" s="20">
        <v>25.34171428571517</v>
      </c>
      <c r="AV227" s="20">
        <v>0</v>
      </c>
      <c r="AW227" s="20">
        <v>0</v>
      </c>
      <c r="AX227" s="20">
        <v>20</v>
      </c>
      <c r="AY227" s="20">
        <v>20</v>
      </c>
      <c r="AZ227" s="20">
        <v>3.44</v>
      </c>
      <c r="BA227" s="20">
        <v>0</v>
      </c>
      <c r="BB227" s="6">
        <v>41961</v>
      </c>
      <c r="BC227" s="6">
        <v>0</v>
      </c>
      <c r="BD227" s="6">
        <v>41991</v>
      </c>
      <c r="BE227" s="6">
        <v>41997</v>
      </c>
      <c r="BF227" s="6">
        <v>41999</v>
      </c>
      <c r="BG227" s="6">
        <v>0</v>
      </c>
      <c r="BH227" s="6">
        <v>0</v>
      </c>
      <c r="BI227" s="6">
        <v>0</v>
      </c>
      <c r="BJ227" s="6">
        <v>0</v>
      </c>
      <c r="BK227" s="5" t="s">
        <v>2173</v>
      </c>
      <c r="BL227" s="4" t="s">
        <v>2173</v>
      </c>
      <c r="BM227" s="20">
        <v>100</v>
      </c>
      <c r="BN227" s="20">
        <v>0</v>
      </c>
      <c r="BO227" s="20">
        <v>0</v>
      </c>
      <c r="BP227" s="20">
        <v>0</v>
      </c>
      <c r="BQ227" s="20">
        <v>0</v>
      </c>
      <c r="BR227" s="20">
        <v>0</v>
      </c>
      <c r="BS227" s="20">
        <v>100</v>
      </c>
      <c r="BT227" s="20">
        <v>431105.60000000003</v>
      </c>
      <c r="BU227" s="20">
        <v>3300000</v>
      </c>
      <c r="BV227" s="20">
        <v>6.958851845116369</v>
      </c>
    </row>
    <row r="228" spans="1:74">
      <c r="A228" s="10">
        <f t="shared" si="14"/>
        <v>0</v>
      </c>
      <c r="B228" s="10">
        <f t="shared" si="15"/>
        <v>0</v>
      </c>
      <c r="C228" s="12" t="str">
        <f t="shared" si="16"/>
        <v/>
      </c>
      <c r="D228" s="12" t="str">
        <f t="shared" si="17"/>
        <v/>
      </c>
      <c r="E228" s="20" t="s">
        <v>91</v>
      </c>
      <c r="F228" s="20" t="s">
        <v>91</v>
      </c>
      <c r="G228" s="20" t="s">
        <v>91</v>
      </c>
      <c r="H228" s="20" t="s">
        <v>91</v>
      </c>
      <c r="I228" s="20">
        <v>0</v>
      </c>
      <c r="J228" s="20" t="s">
        <v>103</v>
      </c>
      <c r="K228" s="20" t="s">
        <v>104</v>
      </c>
      <c r="L228" s="20">
        <v>0</v>
      </c>
      <c r="M228" s="20" t="s">
        <v>105</v>
      </c>
      <c r="N228" s="20" t="s">
        <v>91</v>
      </c>
      <c r="O228" s="20" t="s">
        <v>5387</v>
      </c>
      <c r="Q228" s="20" t="s">
        <v>91</v>
      </c>
      <c r="R228" s="20" t="s">
        <v>91</v>
      </c>
      <c r="S228" s="20" t="s">
        <v>91</v>
      </c>
      <c r="U228" s="20" t="s">
        <v>91</v>
      </c>
      <c r="V228" s="20" t="s">
        <v>87</v>
      </c>
      <c r="X228" s="20" t="s">
        <v>91</v>
      </c>
      <c r="Y228" s="20" t="s">
        <v>91</v>
      </c>
      <c r="Z228" s="20">
        <v>0</v>
      </c>
      <c r="AB228" s="20" t="s">
        <v>91</v>
      </c>
      <c r="AD228" s="20" t="s">
        <v>91</v>
      </c>
      <c r="AE228" s="20" t="s">
        <v>91</v>
      </c>
      <c r="AF228" s="20">
        <v>0</v>
      </c>
      <c r="AG228" s="20">
        <v>0</v>
      </c>
      <c r="AH228" s="20">
        <v>1</v>
      </c>
      <c r="AI228" s="7"/>
      <c r="AM228" s="4" t="s">
        <v>91</v>
      </c>
      <c r="AP228" s="4" t="s">
        <v>91</v>
      </c>
      <c r="AQ228" s="20">
        <v>0</v>
      </c>
      <c r="AR228" s="4">
        <v>0</v>
      </c>
      <c r="AS228" s="20">
        <v>0</v>
      </c>
      <c r="AT228" s="20">
        <v>0</v>
      </c>
      <c r="AU228" s="20">
        <v>0</v>
      </c>
      <c r="AV228" s="20">
        <v>0</v>
      </c>
      <c r="AW228" s="20">
        <v>0</v>
      </c>
      <c r="AX228" s="20" t="s">
        <v>91</v>
      </c>
      <c r="AY228" s="20">
        <v>0</v>
      </c>
      <c r="AZ228" s="20">
        <v>0</v>
      </c>
      <c r="BA228" s="20">
        <v>0</v>
      </c>
      <c r="BB228" s="6">
        <v>0</v>
      </c>
      <c r="BC228" s="6">
        <v>0</v>
      </c>
      <c r="BD228" s="6">
        <v>0</v>
      </c>
      <c r="BE228" s="6">
        <v>0</v>
      </c>
      <c r="BF228" s="6">
        <v>0</v>
      </c>
      <c r="BG228" s="6">
        <v>0</v>
      </c>
      <c r="BH228" s="6">
        <v>0</v>
      </c>
      <c r="BI228" s="6">
        <v>0</v>
      </c>
      <c r="BJ228" s="6">
        <v>0</v>
      </c>
      <c r="BK228" s="5">
        <v>0</v>
      </c>
      <c r="BM228" s="20">
        <v>100</v>
      </c>
      <c r="BN228" s="20">
        <v>0</v>
      </c>
      <c r="BO228" s="20">
        <v>0</v>
      </c>
      <c r="BP228" s="20">
        <v>0</v>
      </c>
      <c r="BQ228" s="20">
        <v>0</v>
      </c>
      <c r="BR228" s="20">
        <v>0</v>
      </c>
      <c r="BS228" s="20">
        <v>100</v>
      </c>
      <c r="BT228" s="20">
        <v>431105.60000000003</v>
      </c>
      <c r="BU228" s="20">
        <v>3300000</v>
      </c>
      <c r="BV228" s="20">
        <v>6.958851845116369</v>
      </c>
    </row>
    <row r="229" spans="1:74">
      <c r="A229" s="10">
        <f t="shared" si="14"/>
        <v>0</v>
      </c>
      <c r="B229" s="10">
        <f t="shared" si="15"/>
        <v>0</v>
      </c>
      <c r="C229" s="12">
        <f t="shared" si="16"/>
        <v>4</v>
      </c>
      <c r="D229" s="12">
        <f t="shared" si="17"/>
        <v>9</v>
      </c>
      <c r="E229" s="20">
        <v>0</v>
      </c>
      <c r="F229" s="20" t="s">
        <v>2371</v>
      </c>
      <c r="G229" s="20" t="s">
        <v>2548</v>
      </c>
      <c r="H229" s="20" t="s">
        <v>2549</v>
      </c>
      <c r="I229" s="20">
        <v>1</v>
      </c>
      <c r="J229" s="20" t="s">
        <v>2550</v>
      </c>
      <c r="K229" s="20" t="s">
        <v>2551</v>
      </c>
      <c r="L229" s="20" t="s">
        <v>2552</v>
      </c>
      <c r="M229" s="20" t="s">
        <v>2371</v>
      </c>
      <c r="N229" s="20" t="s">
        <v>83</v>
      </c>
      <c r="P229" s="20" t="s">
        <v>2371</v>
      </c>
      <c r="Q229" s="20" t="s">
        <v>2372</v>
      </c>
      <c r="R229" s="20" t="s">
        <v>84</v>
      </c>
      <c r="S229" s="20">
        <v>5</v>
      </c>
      <c r="T229" s="20" t="s">
        <v>85</v>
      </c>
      <c r="U229" s="20" t="s">
        <v>86</v>
      </c>
      <c r="V229" s="20" t="s">
        <v>87</v>
      </c>
      <c r="W229" s="20">
        <v>501</v>
      </c>
      <c r="X229" s="20">
        <v>501</v>
      </c>
      <c r="Y229" s="20" t="s">
        <v>2553</v>
      </c>
      <c r="Z229" s="20">
        <v>0.16666666666666666</v>
      </c>
      <c r="AA229" s="20" t="s">
        <v>88</v>
      </c>
      <c r="AB229" s="20" t="s">
        <v>89</v>
      </c>
      <c r="AC229" s="20" t="s">
        <v>90</v>
      </c>
      <c r="AD229" s="20" t="s">
        <v>2554</v>
      </c>
      <c r="AE229" s="20" t="s">
        <v>91</v>
      </c>
      <c r="AF229" s="20">
        <v>0.33333333333333331</v>
      </c>
      <c r="AG229" s="20">
        <v>0</v>
      </c>
      <c r="AH229" s="20">
        <v>1</v>
      </c>
      <c r="AI229" s="7" t="s">
        <v>92</v>
      </c>
      <c r="AJ229" s="20">
        <v>300</v>
      </c>
      <c r="AK229" s="4" t="s">
        <v>93</v>
      </c>
      <c r="AL229" s="4">
        <v>2</v>
      </c>
      <c r="AM229" s="4" t="s">
        <v>94</v>
      </c>
      <c r="AN229" s="4" t="s">
        <v>95</v>
      </c>
      <c r="AO229" s="4" t="s">
        <v>96</v>
      </c>
      <c r="AP229" s="4">
        <v>1</v>
      </c>
      <c r="AQ229" s="20">
        <v>53000</v>
      </c>
      <c r="AR229" s="4">
        <v>41823</v>
      </c>
      <c r="AS229" s="20">
        <v>8030.3030303030291</v>
      </c>
      <c r="AT229" s="20">
        <v>6860.7000000000007</v>
      </c>
      <c r="AU229" s="20">
        <v>-1169.6030303030284</v>
      </c>
      <c r="AY229" s="20">
        <v>0</v>
      </c>
      <c r="AZ229" s="20">
        <v>5.5</v>
      </c>
      <c r="BB229" s="6">
        <v>41732</v>
      </c>
      <c r="BC229" s="6">
        <v>0</v>
      </c>
      <c r="BD229" s="6">
        <v>41852</v>
      </c>
      <c r="BE229" s="6">
        <v>41874</v>
      </c>
      <c r="BF229" s="6">
        <v>41883</v>
      </c>
      <c r="BK229" s="5" t="s">
        <v>401</v>
      </c>
      <c r="BM229" s="20">
        <v>300</v>
      </c>
      <c r="BN229" s="20">
        <v>0</v>
      </c>
      <c r="BO229" s="20">
        <v>0</v>
      </c>
      <c r="BP229" s="20">
        <v>0</v>
      </c>
      <c r="BQ229" s="20">
        <v>0</v>
      </c>
      <c r="BR229" s="20">
        <v>0</v>
      </c>
      <c r="BS229" s="20">
        <v>300</v>
      </c>
      <c r="BT229" s="20">
        <v>2058210.0000000002</v>
      </c>
      <c r="BU229" s="20">
        <v>15900000</v>
      </c>
      <c r="BV229" s="20">
        <v>7.0228720366461399</v>
      </c>
    </row>
    <row r="230" spans="1:74">
      <c r="A230" s="10">
        <f t="shared" si="14"/>
        <v>0</v>
      </c>
      <c r="B230" s="10">
        <f t="shared" si="15"/>
        <v>0</v>
      </c>
      <c r="C230" s="12">
        <f t="shared" si="16"/>
        <v>4</v>
      </c>
      <c r="D230" s="12">
        <f t="shared" si="17"/>
        <v>9</v>
      </c>
      <c r="E230" s="20">
        <v>0</v>
      </c>
      <c r="F230" s="20" t="s">
        <v>2371</v>
      </c>
      <c r="G230" s="20" t="s">
        <v>2548</v>
      </c>
      <c r="H230" s="20" t="s">
        <v>2549</v>
      </c>
      <c r="I230" s="20">
        <v>1</v>
      </c>
      <c r="J230" s="20" t="s">
        <v>2550</v>
      </c>
      <c r="K230" s="20" t="s">
        <v>2555</v>
      </c>
      <c r="L230" s="20" t="s">
        <v>2552</v>
      </c>
      <c r="M230" s="20" t="s">
        <v>2371</v>
      </c>
      <c r="N230" s="20" t="s">
        <v>83</v>
      </c>
      <c r="P230" s="20" t="s">
        <v>2371</v>
      </c>
      <c r="Q230" s="20" t="s">
        <v>2372</v>
      </c>
      <c r="R230" s="20" t="s">
        <v>84</v>
      </c>
      <c r="S230" s="20">
        <v>5</v>
      </c>
      <c r="T230" s="20" t="s">
        <v>85</v>
      </c>
      <c r="U230" s="20" t="s">
        <v>86</v>
      </c>
      <c r="V230" s="20" t="s">
        <v>87</v>
      </c>
      <c r="W230" s="20">
        <v>501</v>
      </c>
      <c r="X230" s="20">
        <v>501</v>
      </c>
      <c r="Y230" s="20" t="s">
        <v>2553</v>
      </c>
      <c r="Z230" s="20">
        <v>0.16666666666666666</v>
      </c>
      <c r="AA230" s="20" t="s">
        <v>88</v>
      </c>
      <c r="AB230" s="20" t="s">
        <v>89</v>
      </c>
      <c r="AC230" s="20" t="s">
        <v>90</v>
      </c>
      <c r="AD230" s="20" t="s">
        <v>2554</v>
      </c>
      <c r="AE230" s="20" t="s">
        <v>91</v>
      </c>
      <c r="AF230" s="20">
        <v>0.33333333333333331</v>
      </c>
      <c r="AG230" s="20">
        <v>0</v>
      </c>
      <c r="AH230" s="20">
        <v>1</v>
      </c>
      <c r="AI230" s="7" t="s">
        <v>97</v>
      </c>
      <c r="AJ230" s="20">
        <v>70</v>
      </c>
      <c r="AK230" s="4" t="s">
        <v>93</v>
      </c>
      <c r="AL230" s="4">
        <v>2</v>
      </c>
      <c r="AM230" s="4" t="s">
        <v>94</v>
      </c>
      <c r="AN230" s="4" t="s">
        <v>95</v>
      </c>
      <c r="AO230" s="4" t="s">
        <v>96</v>
      </c>
      <c r="AP230" s="4">
        <v>1</v>
      </c>
      <c r="AQ230" s="20">
        <v>53000</v>
      </c>
      <c r="AR230" s="4">
        <v>41823</v>
      </c>
      <c r="AS230" s="20">
        <v>8030.3030303030291</v>
      </c>
      <c r="AT230" s="20">
        <v>6985.4400000000005</v>
      </c>
      <c r="AU230" s="20">
        <v>-1044.8630303030286</v>
      </c>
      <c r="AV230" s="20">
        <v>0</v>
      </c>
      <c r="AW230" s="20">
        <v>0</v>
      </c>
      <c r="AX230" s="20" t="s">
        <v>91</v>
      </c>
      <c r="AY230" s="20">
        <v>0</v>
      </c>
      <c r="AZ230" s="20">
        <v>5.6</v>
      </c>
      <c r="BA230" s="20">
        <v>0</v>
      </c>
      <c r="BB230" s="6">
        <v>41732</v>
      </c>
      <c r="BC230" s="6">
        <v>0</v>
      </c>
      <c r="BD230" s="6">
        <v>41852</v>
      </c>
      <c r="BE230" s="6">
        <v>41874</v>
      </c>
      <c r="BF230" s="6">
        <v>41883</v>
      </c>
      <c r="BG230" s="6">
        <v>0</v>
      </c>
      <c r="BH230" s="6">
        <v>0</v>
      </c>
      <c r="BI230" s="6">
        <v>0</v>
      </c>
      <c r="BJ230" s="6">
        <v>0</v>
      </c>
      <c r="BK230" s="5" t="s">
        <v>401</v>
      </c>
      <c r="BL230" s="4">
        <v>0</v>
      </c>
      <c r="BM230" s="20">
        <v>70</v>
      </c>
      <c r="BN230" s="20">
        <v>0</v>
      </c>
      <c r="BO230" s="20">
        <v>0</v>
      </c>
      <c r="BP230" s="20">
        <v>0</v>
      </c>
      <c r="BQ230" s="20">
        <v>0</v>
      </c>
      <c r="BR230" s="20">
        <v>0</v>
      </c>
      <c r="BS230" s="20">
        <v>70</v>
      </c>
      <c r="BT230" s="20">
        <v>488980.80000000005</v>
      </c>
      <c r="BU230" s="20">
        <v>3710000</v>
      </c>
      <c r="BV230" s="20">
        <v>6.8974636074203159</v>
      </c>
    </row>
    <row r="231" spans="1:74">
      <c r="A231" s="10">
        <f t="shared" si="14"/>
        <v>0</v>
      </c>
      <c r="B231" s="10">
        <f t="shared" si="15"/>
        <v>0</v>
      </c>
      <c r="C231" s="12">
        <f t="shared" si="16"/>
        <v>4</v>
      </c>
      <c r="D231" s="12">
        <f t="shared" si="17"/>
        <v>9</v>
      </c>
      <c r="E231" s="20">
        <v>0</v>
      </c>
      <c r="F231" s="20" t="s">
        <v>2371</v>
      </c>
      <c r="G231" s="20" t="s">
        <v>2548</v>
      </c>
      <c r="H231" s="20" t="s">
        <v>2549</v>
      </c>
      <c r="I231" s="20">
        <v>1</v>
      </c>
      <c r="J231" s="20" t="s">
        <v>2550</v>
      </c>
      <c r="K231" s="20" t="s">
        <v>2556</v>
      </c>
      <c r="L231" s="20" t="s">
        <v>2552</v>
      </c>
      <c r="M231" s="20" t="s">
        <v>2371</v>
      </c>
      <c r="N231" s="20" t="s">
        <v>83</v>
      </c>
      <c r="P231" s="20" t="s">
        <v>2371</v>
      </c>
      <c r="Q231" s="20" t="s">
        <v>2372</v>
      </c>
      <c r="R231" s="20" t="s">
        <v>84</v>
      </c>
      <c r="S231" s="20">
        <v>5</v>
      </c>
      <c r="T231" s="20" t="s">
        <v>85</v>
      </c>
      <c r="U231" s="20" t="s">
        <v>86</v>
      </c>
      <c r="V231" s="20" t="s">
        <v>87</v>
      </c>
      <c r="W231" s="20">
        <v>501</v>
      </c>
      <c r="X231" s="20">
        <v>501</v>
      </c>
      <c r="Y231" s="20" t="s">
        <v>2553</v>
      </c>
      <c r="Z231" s="20">
        <v>0.16666666666666666</v>
      </c>
      <c r="AA231" s="20" t="s">
        <v>88</v>
      </c>
      <c r="AB231" s="20" t="s">
        <v>89</v>
      </c>
      <c r="AC231" s="20" t="s">
        <v>90</v>
      </c>
      <c r="AD231" s="20" t="s">
        <v>2554</v>
      </c>
      <c r="AE231" s="20" t="s">
        <v>91</v>
      </c>
      <c r="AF231" s="20">
        <v>0.33333333333333331</v>
      </c>
      <c r="AG231" s="20">
        <v>0</v>
      </c>
      <c r="AH231" s="20">
        <v>1</v>
      </c>
      <c r="AI231" s="7" t="s">
        <v>98</v>
      </c>
      <c r="AJ231" s="20">
        <v>30</v>
      </c>
      <c r="AK231" s="4" t="s">
        <v>93</v>
      </c>
      <c r="AL231" s="4">
        <v>2</v>
      </c>
      <c r="AM231" s="4" t="s">
        <v>94</v>
      </c>
      <c r="AN231" s="4" t="s">
        <v>95</v>
      </c>
      <c r="AO231" s="4" t="s">
        <v>96</v>
      </c>
      <c r="AP231" s="4">
        <v>1</v>
      </c>
      <c r="AQ231" s="20">
        <v>53000</v>
      </c>
      <c r="AR231" s="4">
        <v>41823</v>
      </c>
      <c r="AS231" s="20">
        <v>8030.3030303030291</v>
      </c>
      <c r="AT231" s="20">
        <v>6985.4400000000005</v>
      </c>
      <c r="AU231" s="20">
        <v>-1044.8630303030286</v>
      </c>
      <c r="AV231" s="20">
        <v>0</v>
      </c>
      <c r="AW231" s="20">
        <v>0</v>
      </c>
      <c r="AX231" s="20" t="s">
        <v>91</v>
      </c>
      <c r="AY231" s="20">
        <v>0</v>
      </c>
      <c r="AZ231" s="20">
        <v>5.6</v>
      </c>
      <c r="BA231" s="20">
        <v>0</v>
      </c>
      <c r="BB231" s="6">
        <v>41732</v>
      </c>
      <c r="BC231" s="6">
        <v>0</v>
      </c>
      <c r="BD231" s="6">
        <v>41852</v>
      </c>
      <c r="BE231" s="6">
        <v>41874</v>
      </c>
      <c r="BF231" s="6">
        <v>41883</v>
      </c>
      <c r="BG231" s="6">
        <v>0</v>
      </c>
      <c r="BH231" s="6">
        <v>0</v>
      </c>
      <c r="BI231" s="6">
        <v>0</v>
      </c>
      <c r="BJ231" s="6">
        <v>0</v>
      </c>
      <c r="BK231" s="5" t="s">
        <v>401</v>
      </c>
      <c r="BL231" s="4">
        <v>0</v>
      </c>
      <c r="BM231" s="20">
        <v>30</v>
      </c>
      <c r="BN231" s="20">
        <v>0</v>
      </c>
      <c r="BO231" s="20">
        <v>0</v>
      </c>
      <c r="BP231" s="20">
        <v>0</v>
      </c>
      <c r="BQ231" s="20">
        <v>0</v>
      </c>
      <c r="BR231" s="20">
        <v>0</v>
      </c>
      <c r="BS231" s="20">
        <v>30</v>
      </c>
      <c r="BT231" s="20">
        <v>209563.2</v>
      </c>
      <c r="BU231" s="20">
        <v>1590000</v>
      </c>
      <c r="BV231" s="20">
        <v>6.8974636074203168</v>
      </c>
    </row>
    <row r="232" spans="1:74">
      <c r="A232" s="10">
        <f t="shared" si="14"/>
        <v>0</v>
      </c>
      <c r="B232" s="10">
        <f t="shared" si="15"/>
        <v>0</v>
      </c>
      <c r="C232" s="12">
        <f t="shared" si="16"/>
        <v>4</v>
      </c>
      <c r="D232" s="12">
        <f t="shared" si="17"/>
        <v>9</v>
      </c>
      <c r="E232" s="20">
        <v>0</v>
      </c>
      <c r="F232" s="20" t="s">
        <v>2371</v>
      </c>
      <c r="G232" s="20" t="s">
        <v>2548</v>
      </c>
      <c r="H232" s="20" t="s">
        <v>2557</v>
      </c>
      <c r="I232" s="20">
        <v>2</v>
      </c>
      <c r="J232" s="20" t="s">
        <v>2558</v>
      </c>
      <c r="K232" s="20" t="s">
        <v>2559</v>
      </c>
      <c r="L232" s="20" t="s">
        <v>2552</v>
      </c>
      <c r="M232" s="20" t="s">
        <v>2371</v>
      </c>
      <c r="N232" s="20" t="s">
        <v>99</v>
      </c>
      <c r="P232" s="20" t="s">
        <v>2371</v>
      </c>
      <c r="Q232" s="20" t="s">
        <v>2372</v>
      </c>
      <c r="R232" s="20" t="s">
        <v>84</v>
      </c>
      <c r="S232" s="20">
        <v>5</v>
      </c>
      <c r="T232" s="20" t="s">
        <v>85</v>
      </c>
      <c r="U232" s="20" t="s">
        <v>86</v>
      </c>
      <c r="V232" s="20" t="s">
        <v>87</v>
      </c>
      <c r="W232" s="20">
        <v>501</v>
      </c>
      <c r="X232" s="20">
        <v>501</v>
      </c>
      <c r="Y232" s="20" t="s">
        <v>2553</v>
      </c>
      <c r="Z232" s="20">
        <v>0.16666666666666666</v>
      </c>
      <c r="AA232" s="20" t="s">
        <v>100</v>
      </c>
      <c r="AB232" s="20" t="s">
        <v>101</v>
      </c>
      <c r="AC232" s="20" t="s">
        <v>102</v>
      </c>
      <c r="AD232" s="20" t="s">
        <v>2560</v>
      </c>
      <c r="AE232" s="20" t="s">
        <v>91</v>
      </c>
      <c r="AF232" s="20">
        <v>0.33333333333333331</v>
      </c>
      <c r="AG232" s="20">
        <v>0</v>
      </c>
      <c r="AH232" s="20">
        <v>1</v>
      </c>
      <c r="AI232" s="7" t="s">
        <v>92</v>
      </c>
      <c r="AJ232" s="20">
        <v>300</v>
      </c>
      <c r="AK232" s="4" t="s">
        <v>93</v>
      </c>
      <c r="AL232" s="4">
        <v>2</v>
      </c>
      <c r="AM232" s="4" t="s">
        <v>94</v>
      </c>
      <c r="AN232" s="4" t="s">
        <v>95</v>
      </c>
      <c r="AO232" s="4" t="s">
        <v>96</v>
      </c>
      <c r="AP232" s="4">
        <v>1</v>
      </c>
      <c r="AQ232" s="20">
        <v>53000</v>
      </c>
      <c r="AR232" s="4">
        <v>41823</v>
      </c>
      <c r="AS232" s="20">
        <v>8030.3030303030291</v>
      </c>
      <c r="AT232" s="20">
        <v>6486.4800000000014</v>
      </c>
      <c r="AU232" s="20">
        <v>-1543.8230303030277</v>
      </c>
      <c r="AV232" s="20">
        <v>0</v>
      </c>
      <c r="AW232" s="20">
        <v>0</v>
      </c>
      <c r="AX232" s="20" t="s">
        <v>91</v>
      </c>
      <c r="AY232" s="20">
        <v>0</v>
      </c>
      <c r="AZ232" s="20">
        <v>5.2</v>
      </c>
      <c r="BA232" s="20">
        <v>0</v>
      </c>
      <c r="BB232" s="6">
        <v>41732</v>
      </c>
      <c r="BC232" s="6">
        <v>0</v>
      </c>
      <c r="BD232" s="6">
        <v>41852</v>
      </c>
      <c r="BE232" s="6">
        <v>41874</v>
      </c>
      <c r="BF232" s="6">
        <v>41883</v>
      </c>
      <c r="BG232" s="6">
        <v>0</v>
      </c>
      <c r="BH232" s="6">
        <v>0</v>
      </c>
      <c r="BI232" s="6">
        <v>0</v>
      </c>
      <c r="BJ232" s="6">
        <v>0</v>
      </c>
      <c r="BK232" s="5" t="s">
        <v>401</v>
      </c>
      <c r="BL232" s="4">
        <v>0</v>
      </c>
      <c r="BM232" s="20">
        <v>300</v>
      </c>
      <c r="BN232" s="20">
        <v>0</v>
      </c>
      <c r="BO232" s="20">
        <v>0</v>
      </c>
      <c r="BP232" s="20">
        <v>0</v>
      </c>
      <c r="BQ232" s="20">
        <v>0</v>
      </c>
      <c r="BR232" s="20">
        <v>0</v>
      </c>
      <c r="BS232" s="20">
        <v>300</v>
      </c>
      <c r="BT232" s="20">
        <v>1945944.0000000005</v>
      </c>
      <c r="BU232" s="20">
        <v>15900000</v>
      </c>
      <c r="BV232" s="20">
        <v>7.4280377310680308</v>
      </c>
    </row>
    <row r="233" spans="1:74">
      <c r="A233" s="10">
        <f t="shared" si="14"/>
        <v>0</v>
      </c>
      <c r="B233" s="10">
        <f t="shared" si="15"/>
        <v>0</v>
      </c>
      <c r="C233" s="12">
        <f t="shared" si="16"/>
        <v>4</v>
      </c>
      <c r="D233" s="12">
        <f t="shared" si="17"/>
        <v>9</v>
      </c>
      <c r="E233" s="20">
        <v>0</v>
      </c>
      <c r="F233" s="20" t="s">
        <v>2371</v>
      </c>
      <c r="G233" s="20" t="s">
        <v>2548</v>
      </c>
      <c r="H233" s="20" t="s">
        <v>2557</v>
      </c>
      <c r="I233" s="20">
        <v>2</v>
      </c>
      <c r="J233" s="20" t="s">
        <v>2558</v>
      </c>
      <c r="K233" s="20" t="s">
        <v>2561</v>
      </c>
      <c r="L233" s="20" t="s">
        <v>2552</v>
      </c>
      <c r="M233" s="20" t="s">
        <v>2371</v>
      </c>
      <c r="N233" s="20" t="s">
        <v>99</v>
      </c>
      <c r="P233" s="20" t="s">
        <v>2371</v>
      </c>
      <c r="Q233" s="20" t="s">
        <v>2372</v>
      </c>
      <c r="R233" s="20" t="s">
        <v>84</v>
      </c>
      <c r="S233" s="20">
        <v>5</v>
      </c>
      <c r="T233" s="20" t="s">
        <v>85</v>
      </c>
      <c r="U233" s="20" t="s">
        <v>86</v>
      </c>
      <c r="V233" s="20" t="s">
        <v>87</v>
      </c>
      <c r="W233" s="20">
        <v>501</v>
      </c>
      <c r="X233" s="20">
        <v>501</v>
      </c>
      <c r="Y233" s="20" t="s">
        <v>2553</v>
      </c>
      <c r="Z233" s="20">
        <v>0.16666666666666666</v>
      </c>
      <c r="AA233" s="20" t="s">
        <v>100</v>
      </c>
      <c r="AB233" s="20" t="s">
        <v>101</v>
      </c>
      <c r="AC233" s="20" t="s">
        <v>102</v>
      </c>
      <c r="AD233" s="20" t="s">
        <v>2560</v>
      </c>
      <c r="AE233" s="20" t="s">
        <v>91</v>
      </c>
      <c r="AF233" s="20">
        <v>0.33333333333333331</v>
      </c>
      <c r="AG233" s="20">
        <v>0</v>
      </c>
      <c r="AH233" s="20">
        <v>1</v>
      </c>
      <c r="AI233" s="7" t="s">
        <v>97</v>
      </c>
      <c r="AJ233" s="20">
        <v>200</v>
      </c>
      <c r="AK233" s="4" t="s">
        <v>93</v>
      </c>
      <c r="AL233" s="4">
        <v>2</v>
      </c>
      <c r="AM233" s="4" t="s">
        <v>94</v>
      </c>
      <c r="AN233" s="4" t="s">
        <v>95</v>
      </c>
      <c r="AO233" s="4" t="s">
        <v>96</v>
      </c>
      <c r="AP233" s="4">
        <v>1</v>
      </c>
      <c r="AQ233" s="20">
        <v>53000</v>
      </c>
      <c r="AR233" s="4">
        <v>41823</v>
      </c>
      <c r="AS233" s="20">
        <v>8030.3030303030291</v>
      </c>
      <c r="AT233" s="20">
        <v>6611.2200000000012</v>
      </c>
      <c r="AU233" s="20">
        <v>-1419.083030303028</v>
      </c>
      <c r="AV233" s="20">
        <v>0</v>
      </c>
      <c r="AW233" s="20">
        <v>0</v>
      </c>
      <c r="AX233" s="20" t="s">
        <v>91</v>
      </c>
      <c r="AY233" s="20">
        <v>0</v>
      </c>
      <c r="AZ233" s="20">
        <v>5.3</v>
      </c>
      <c r="BA233" s="20">
        <v>0</v>
      </c>
      <c r="BB233" s="6">
        <v>41732</v>
      </c>
      <c r="BC233" s="6">
        <v>0</v>
      </c>
      <c r="BD233" s="6">
        <v>41852</v>
      </c>
      <c r="BE233" s="6">
        <v>41874</v>
      </c>
      <c r="BF233" s="6">
        <v>41883</v>
      </c>
      <c r="BG233" s="6">
        <v>0</v>
      </c>
      <c r="BH233" s="6">
        <v>0</v>
      </c>
      <c r="BI233" s="6">
        <v>0</v>
      </c>
      <c r="BJ233" s="6">
        <v>0</v>
      </c>
      <c r="BK233" s="5" t="s">
        <v>401</v>
      </c>
      <c r="BL233" s="4">
        <v>0</v>
      </c>
      <c r="BM233" s="20">
        <v>200</v>
      </c>
      <c r="BN233" s="20">
        <v>0</v>
      </c>
      <c r="BO233" s="20">
        <v>0</v>
      </c>
      <c r="BP233" s="20">
        <v>0</v>
      </c>
      <c r="BQ233" s="20">
        <v>0</v>
      </c>
      <c r="BR233" s="20">
        <v>0</v>
      </c>
      <c r="BS233" s="20">
        <v>200</v>
      </c>
      <c r="BT233" s="20">
        <v>1322244.0000000002</v>
      </c>
      <c r="BU233" s="20">
        <v>10600000</v>
      </c>
      <c r="BV233" s="20">
        <v>7.2878860757648614</v>
      </c>
    </row>
    <row r="234" spans="1:74">
      <c r="A234" s="10">
        <f t="shared" si="14"/>
        <v>0</v>
      </c>
      <c r="B234" s="10">
        <f t="shared" si="15"/>
        <v>0</v>
      </c>
      <c r="C234" s="12">
        <f t="shared" si="16"/>
        <v>4</v>
      </c>
      <c r="D234" s="12">
        <f t="shared" si="17"/>
        <v>9</v>
      </c>
      <c r="E234" s="20">
        <v>0</v>
      </c>
      <c r="F234" s="20" t="s">
        <v>2371</v>
      </c>
      <c r="G234" s="20" t="s">
        <v>2548</v>
      </c>
      <c r="H234" s="20" t="s">
        <v>2557</v>
      </c>
      <c r="I234" s="20">
        <v>2</v>
      </c>
      <c r="J234" s="20" t="s">
        <v>2558</v>
      </c>
      <c r="K234" s="20" t="s">
        <v>2562</v>
      </c>
      <c r="L234" s="20" t="s">
        <v>2552</v>
      </c>
      <c r="M234" s="20" t="s">
        <v>2371</v>
      </c>
      <c r="N234" s="20" t="s">
        <v>99</v>
      </c>
      <c r="P234" s="20" t="s">
        <v>2371</v>
      </c>
      <c r="Q234" s="20" t="s">
        <v>2372</v>
      </c>
      <c r="R234" s="20" t="s">
        <v>84</v>
      </c>
      <c r="S234" s="20">
        <v>5</v>
      </c>
      <c r="T234" s="20" t="s">
        <v>85</v>
      </c>
      <c r="U234" s="20" t="s">
        <v>86</v>
      </c>
      <c r="V234" s="20" t="s">
        <v>87</v>
      </c>
      <c r="W234" s="20">
        <v>501</v>
      </c>
      <c r="X234" s="20">
        <v>501</v>
      </c>
      <c r="Y234" s="20" t="s">
        <v>2553</v>
      </c>
      <c r="Z234" s="20">
        <v>0.16666666666666666</v>
      </c>
      <c r="AA234" s="20" t="s">
        <v>100</v>
      </c>
      <c r="AB234" s="20" t="s">
        <v>101</v>
      </c>
      <c r="AC234" s="20" t="s">
        <v>102</v>
      </c>
      <c r="AD234" s="20" t="s">
        <v>2560</v>
      </c>
      <c r="AE234" s="20" t="s">
        <v>91</v>
      </c>
      <c r="AF234" s="20">
        <v>0.33333333333333331</v>
      </c>
      <c r="AG234" s="20">
        <v>0</v>
      </c>
      <c r="AH234" s="20">
        <v>1</v>
      </c>
      <c r="AI234" s="7" t="s">
        <v>98</v>
      </c>
      <c r="AJ234" s="20">
        <v>100</v>
      </c>
      <c r="AK234" s="4" t="s">
        <v>93</v>
      </c>
      <c r="AL234" s="4">
        <v>2</v>
      </c>
      <c r="AM234" s="4" t="s">
        <v>94</v>
      </c>
      <c r="AN234" s="4" t="s">
        <v>95</v>
      </c>
      <c r="AO234" s="4" t="s">
        <v>96</v>
      </c>
      <c r="AP234" s="4">
        <v>1</v>
      </c>
      <c r="AQ234" s="20">
        <v>53000</v>
      </c>
      <c r="AR234" s="4">
        <v>41823</v>
      </c>
      <c r="AS234" s="20">
        <v>8030.3030303030291</v>
      </c>
      <c r="AT234" s="20">
        <v>6611.2200000000012</v>
      </c>
      <c r="AU234" s="20">
        <v>-1419.083030303028</v>
      </c>
      <c r="AV234" s="20">
        <v>0</v>
      </c>
      <c r="AW234" s="20">
        <v>0</v>
      </c>
      <c r="AX234" s="20" t="s">
        <v>91</v>
      </c>
      <c r="AY234" s="20">
        <v>0</v>
      </c>
      <c r="AZ234" s="20">
        <v>5.3</v>
      </c>
      <c r="BA234" s="20">
        <v>0</v>
      </c>
      <c r="BB234" s="6">
        <v>41732</v>
      </c>
      <c r="BC234" s="6">
        <v>0</v>
      </c>
      <c r="BD234" s="6">
        <v>41852</v>
      </c>
      <c r="BE234" s="6">
        <v>41874</v>
      </c>
      <c r="BF234" s="6">
        <v>41883</v>
      </c>
      <c r="BG234" s="6">
        <v>0</v>
      </c>
      <c r="BH234" s="6">
        <v>0</v>
      </c>
      <c r="BI234" s="6">
        <v>0</v>
      </c>
      <c r="BJ234" s="6">
        <v>0</v>
      </c>
      <c r="BK234" s="5" t="s">
        <v>401</v>
      </c>
      <c r="BL234" s="4">
        <v>0</v>
      </c>
      <c r="BM234" s="20">
        <v>100</v>
      </c>
      <c r="BN234" s="20">
        <v>0</v>
      </c>
      <c r="BO234" s="20">
        <v>0</v>
      </c>
      <c r="BP234" s="20">
        <v>0</v>
      </c>
      <c r="BQ234" s="20">
        <v>0</v>
      </c>
      <c r="BR234" s="20">
        <v>0</v>
      </c>
      <c r="BS234" s="20">
        <v>100</v>
      </c>
      <c r="BT234" s="20">
        <v>661122.00000000012</v>
      </c>
      <c r="BU234" s="20">
        <v>5300000</v>
      </c>
      <c r="BV234" s="20">
        <v>7.2878860757648614</v>
      </c>
    </row>
    <row r="235" spans="1:74">
      <c r="A235" s="10">
        <f t="shared" si="14"/>
        <v>0</v>
      </c>
      <c r="B235" s="10">
        <f t="shared" si="15"/>
        <v>0</v>
      </c>
      <c r="C235" s="12" t="str">
        <f t="shared" si="16"/>
        <v/>
      </c>
      <c r="D235" s="12" t="str">
        <f t="shared" si="17"/>
        <v/>
      </c>
      <c r="E235" s="20" t="s">
        <v>91</v>
      </c>
      <c r="F235" s="20" t="s">
        <v>91</v>
      </c>
      <c r="G235" s="20" t="s">
        <v>91</v>
      </c>
      <c r="H235" s="20" t="s">
        <v>91</v>
      </c>
      <c r="I235" s="20">
        <v>0</v>
      </c>
      <c r="J235" s="20" t="s">
        <v>103</v>
      </c>
      <c r="K235" s="20" t="s">
        <v>104</v>
      </c>
      <c r="L235" s="20">
        <v>0</v>
      </c>
      <c r="M235" s="20" t="s">
        <v>105</v>
      </c>
      <c r="N235" s="20" t="s">
        <v>91</v>
      </c>
      <c r="O235" s="20" t="s">
        <v>2563</v>
      </c>
      <c r="Q235" s="20" t="s">
        <v>91</v>
      </c>
      <c r="R235" s="20" t="s">
        <v>91</v>
      </c>
      <c r="S235" s="20" t="s">
        <v>91</v>
      </c>
      <c r="U235" s="20" t="s">
        <v>91</v>
      </c>
      <c r="V235" s="20" t="s">
        <v>87</v>
      </c>
      <c r="X235" s="20" t="s">
        <v>91</v>
      </c>
      <c r="Y235" s="20" t="s">
        <v>91</v>
      </c>
      <c r="Z235" s="20">
        <v>0.99999999999999989</v>
      </c>
      <c r="AB235" s="20" t="s">
        <v>91</v>
      </c>
      <c r="AD235" s="20" t="s">
        <v>91</v>
      </c>
      <c r="AE235" s="20" t="s">
        <v>91</v>
      </c>
      <c r="AF235" s="20">
        <v>1.9999999999999998</v>
      </c>
      <c r="AG235" s="20">
        <v>0</v>
      </c>
      <c r="AH235" s="20">
        <v>1</v>
      </c>
      <c r="AI235" s="7"/>
      <c r="AM235" s="4" t="s">
        <v>91</v>
      </c>
      <c r="AP235" s="4" t="s">
        <v>91</v>
      </c>
      <c r="AQ235" s="20">
        <v>0</v>
      </c>
      <c r="AR235" s="4">
        <v>0</v>
      </c>
      <c r="AS235" s="20">
        <v>0</v>
      </c>
      <c r="AT235" s="20">
        <v>0</v>
      </c>
      <c r="AU235" s="20">
        <v>0</v>
      </c>
      <c r="AV235" s="20">
        <v>0</v>
      </c>
      <c r="AW235" s="20">
        <v>0</v>
      </c>
      <c r="AX235" s="20" t="s">
        <v>91</v>
      </c>
      <c r="AY235" s="20">
        <v>0</v>
      </c>
      <c r="AZ235" s="20">
        <v>0</v>
      </c>
      <c r="BA235" s="20">
        <v>0</v>
      </c>
      <c r="BB235" s="6">
        <v>0</v>
      </c>
      <c r="BC235" s="6">
        <v>0</v>
      </c>
      <c r="BD235" s="6">
        <v>0</v>
      </c>
      <c r="BE235" s="6">
        <v>0</v>
      </c>
      <c r="BF235" s="6">
        <v>0</v>
      </c>
      <c r="BG235" s="6">
        <v>0</v>
      </c>
      <c r="BH235" s="6">
        <v>0</v>
      </c>
      <c r="BI235" s="6">
        <v>0</v>
      </c>
      <c r="BJ235" s="6">
        <v>0</v>
      </c>
      <c r="BK235" s="5">
        <v>0</v>
      </c>
      <c r="BL235" s="4">
        <v>0</v>
      </c>
      <c r="BM235" s="20">
        <v>1000</v>
      </c>
      <c r="BN235" s="20">
        <v>0</v>
      </c>
      <c r="BO235" s="20">
        <v>0</v>
      </c>
      <c r="BP235" s="20">
        <v>0</v>
      </c>
      <c r="BQ235" s="20">
        <v>0</v>
      </c>
      <c r="BR235" s="20">
        <v>0</v>
      </c>
      <c r="BS235" s="20">
        <v>1000</v>
      </c>
      <c r="BT235" s="20">
        <v>6686064.0000000009</v>
      </c>
      <c r="BU235" s="20">
        <v>53000000</v>
      </c>
      <c r="BV235" s="20">
        <v>7.2063052614839123</v>
      </c>
    </row>
    <row r="236" spans="1:74">
      <c r="A236" s="10">
        <f t="shared" si="14"/>
        <v>0</v>
      </c>
      <c r="B236" s="10">
        <f t="shared" si="15"/>
        <v>0.25</v>
      </c>
      <c r="C236" s="12">
        <f t="shared" si="16"/>
        <v>4</v>
      </c>
      <c r="D236" s="12">
        <f t="shared" si="17"/>
        <v>10</v>
      </c>
      <c r="E236" s="20">
        <v>0</v>
      </c>
      <c r="F236" s="20" t="s">
        <v>2371</v>
      </c>
      <c r="G236" s="20" t="s">
        <v>2564</v>
      </c>
      <c r="H236" s="20" t="s">
        <v>2565</v>
      </c>
      <c r="I236" s="20">
        <v>1</v>
      </c>
      <c r="J236" s="20" t="s">
        <v>2566</v>
      </c>
      <c r="K236" s="20" t="s">
        <v>2567</v>
      </c>
      <c r="L236" s="20" t="s">
        <v>2568</v>
      </c>
      <c r="M236" s="20" t="s">
        <v>2371</v>
      </c>
      <c r="N236" s="20" t="s">
        <v>83</v>
      </c>
      <c r="P236" s="20" t="s">
        <v>2371</v>
      </c>
      <c r="Q236" s="20" t="s">
        <v>2372</v>
      </c>
      <c r="R236" s="20" t="s">
        <v>84</v>
      </c>
      <c r="S236" s="20">
        <v>5</v>
      </c>
      <c r="T236" s="20" t="s">
        <v>106</v>
      </c>
      <c r="U236" s="20" t="s">
        <v>107</v>
      </c>
      <c r="V236" s="20" t="s">
        <v>87</v>
      </c>
      <c r="W236" s="20">
        <v>503</v>
      </c>
      <c r="X236" s="20">
        <v>503</v>
      </c>
      <c r="Y236" s="20" t="s">
        <v>2569</v>
      </c>
      <c r="Z236" s="20">
        <v>0.25</v>
      </c>
      <c r="AA236" s="20" t="s">
        <v>108</v>
      </c>
      <c r="AB236" s="20" t="s">
        <v>109</v>
      </c>
      <c r="AC236" s="20" t="s">
        <v>110</v>
      </c>
      <c r="AD236" s="20" t="s">
        <v>2570</v>
      </c>
      <c r="AE236" s="20" t="s">
        <v>91</v>
      </c>
      <c r="AF236" s="20">
        <v>0.5</v>
      </c>
      <c r="AG236" s="20">
        <v>0</v>
      </c>
      <c r="AH236" s="20">
        <v>1</v>
      </c>
      <c r="AI236" s="7" t="s">
        <v>97</v>
      </c>
      <c r="AJ236" s="20">
        <v>150</v>
      </c>
      <c r="AK236" s="4" t="s">
        <v>111</v>
      </c>
      <c r="AL236" s="4">
        <v>6</v>
      </c>
      <c r="AM236" s="4" t="s">
        <v>112</v>
      </c>
      <c r="AN236" s="4" t="s">
        <v>95</v>
      </c>
      <c r="AO236" s="4" t="s">
        <v>96</v>
      </c>
      <c r="AP236" s="4">
        <v>1</v>
      </c>
      <c r="AQ236" s="20">
        <v>63000</v>
      </c>
      <c r="AR236" s="4">
        <v>41851</v>
      </c>
      <c r="AS236" s="20">
        <v>9545.4545454545441</v>
      </c>
      <c r="AT236" s="20">
        <v>11008.09</v>
      </c>
      <c r="AU236" s="20">
        <v>1462.635454545456</v>
      </c>
      <c r="AV236" s="20">
        <v>1216</v>
      </c>
      <c r="AW236" s="20">
        <v>0</v>
      </c>
      <c r="AX236" s="20" t="s">
        <v>91</v>
      </c>
      <c r="AY236" s="20">
        <v>1216</v>
      </c>
      <c r="AZ236" s="20">
        <v>7.85</v>
      </c>
      <c r="BA236" s="20">
        <v>0</v>
      </c>
      <c r="BB236" s="6">
        <v>41732</v>
      </c>
      <c r="BC236" s="6">
        <v>0</v>
      </c>
      <c r="BD236" s="6">
        <v>41907</v>
      </c>
      <c r="BE236" s="6">
        <v>0</v>
      </c>
      <c r="BF236" s="6">
        <v>41914</v>
      </c>
      <c r="BG236" s="6">
        <v>0</v>
      </c>
      <c r="BH236" s="6">
        <v>0</v>
      </c>
      <c r="BI236" s="6">
        <v>0</v>
      </c>
      <c r="BJ236" s="6">
        <v>0</v>
      </c>
      <c r="BK236" s="5" t="s">
        <v>401</v>
      </c>
      <c r="BL236" s="4">
        <v>0</v>
      </c>
      <c r="BM236" s="20">
        <v>150</v>
      </c>
      <c r="BN236" s="20">
        <v>0</v>
      </c>
      <c r="BO236" s="20">
        <v>0</v>
      </c>
      <c r="BP236" s="20">
        <v>0</v>
      </c>
      <c r="BQ236" s="20">
        <v>0</v>
      </c>
      <c r="BR236" s="20">
        <v>0</v>
      </c>
      <c r="BS236" s="20">
        <v>150</v>
      </c>
      <c r="BT236" s="20">
        <v>1651213.5</v>
      </c>
      <c r="BU236" s="20">
        <v>9450000</v>
      </c>
      <c r="BV236" s="20">
        <v>5.2027851582542723</v>
      </c>
    </row>
    <row r="237" spans="1:74">
      <c r="A237" s="10">
        <f t="shared" si="14"/>
        <v>0</v>
      </c>
      <c r="B237" s="10">
        <f t="shared" si="15"/>
        <v>0.25</v>
      </c>
      <c r="C237" s="12">
        <f t="shared" si="16"/>
        <v>4</v>
      </c>
      <c r="D237" s="12">
        <f t="shared" si="17"/>
        <v>10</v>
      </c>
      <c r="E237" s="20">
        <v>0</v>
      </c>
      <c r="F237" s="20" t="s">
        <v>2371</v>
      </c>
      <c r="G237" s="20" t="s">
        <v>2564</v>
      </c>
      <c r="H237" s="20" t="s">
        <v>2565</v>
      </c>
      <c r="I237" s="20">
        <v>1</v>
      </c>
      <c r="J237" s="20" t="s">
        <v>2566</v>
      </c>
      <c r="K237" s="20" t="s">
        <v>2571</v>
      </c>
      <c r="L237" s="20" t="s">
        <v>2568</v>
      </c>
      <c r="M237" s="20" t="s">
        <v>2371</v>
      </c>
      <c r="N237" s="20" t="s">
        <v>83</v>
      </c>
      <c r="P237" s="20" t="s">
        <v>2371</v>
      </c>
      <c r="Q237" s="20" t="s">
        <v>2372</v>
      </c>
      <c r="R237" s="20" t="s">
        <v>84</v>
      </c>
      <c r="S237" s="20">
        <v>5</v>
      </c>
      <c r="T237" s="20" t="s">
        <v>106</v>
      </c>
      <c r="U237" s="20" t="s">
        <v>107</v>
      </c>
      <c r="V237" s="20" t="s">
        <v>87</v>
      </c>
      <c r="W237" s="20">
        <v>503</v>
      </c>
      <c r="X237" s="20">
        <v>503</v>
      </c>
      <c r="Y237" s="20" t="s">
        <v>2569</v>
      </c>
      <c r="Z237" s="20">
        <v>0.25</v>
      </c>
      <c r="AA237" s="20" t="s">
        <v>108</v>
      </c>
      <c r="AB237" s="20" t="s">
        <v>109</v>
      </c>
      <c r="AC237" s="20" t="s">
        <v>110</v>
      </c>
      <c r="AD237" s="20" t="s">
        <v>2570</v>
      </c>
      <c r="AE237" s="20" t="s">
        <v>91</v>
      </c>
      <c r="AF237" s="20">
        <v>0.5</v>
      </c>
      <c r="AG237" s="20">
        <v>0</v>
      </c>
      <c r="AH237" s="20">
        <v>1</v>
      </c>
      <c r="AI237" s="7" t="s">
        <v>98</v>
      </c>
      <c r="AJ237" s="20">
        <v>100</v>
      </c>
      <c r="AK237" s="4" t="s">
        <v>111</v>
      </c>
      <c r="AL237" s="4">
        <v>6</v>
      </c>
      <c r="AM237" s="4" t="s">
        <v>112</v>
      </c>
      <c r="AN237" s="4" t="s">
        <v>95</v>
      </c>
      <c r="AO237" s="4" t="s">
        <v>96</v>
      </c>
      <c r="AP237" s="4">
        <v>1</v>
      </c>
      <c r="AQ237" s="20">
        <v>63000</v>
      </c>
      <c r="AR237" s="4">
        <v>41851</v>
      </c>
      <c r="AS237" s="20">
        <v>9545.4545454545441</v>
      </c>
      <c r="AT237" s="20">
        <v>11008.09</v>
      </c>
      <c r="AU237" s="20">
        <v>1462.635454545456</v>
      </c>
      <c r="AV237" s="20">
        <v>1216</v>
      </c>
      <c r="AW237" s="20">
        <v>0</v>
      </c>
      <c r="AX237" s="20" t="s">
        <v>91</v>
      </c>
      <c r="AY237" s="20">
        <v>1216</v>
      </c>
      <c r="AZ237" s="20">
        <v>7.85</v>
      </c>
      <c r="BA237" s="20">
        <v>0</v>
      </c>
      <c r="BB237" s="6">
        <v>41732</v>
      </c>
      <c r="BC237" s="6">
        <v>0</v>
      </c>
      <c r="BD237" s="6">
        <v>41907</v>
      </c>
      <c r="BE237" s="6">
        <v>0</v>
      </c>
      <c r="BF237" s="6">
        <v>41914</v>
      </c>
      <c r="BG237" s="6">
        <v>0</v>
      </c>
      <c r="BH237" s="6">
        <v>0</v>
      </c>
      <c r="BI237" s="6">
        <v>0</v>
      </c>
      <c r="BJ237" s="6">
        <v>0</v>
      </c>
      <c r="BK237" s="5" t="s">
        <v>401</v>
      </c>
      <c r="BL237" s="4">
        <v>0</v>
      </c>
      <c r="BM237" s="20">
        <v>100</v>
      </c>
      <c r="BN237" s="20">
        <v>0</v>
      </c>
      <c r="BO237" s="20">
        <v>0</v>
      </c>
      <c r="BP237" s="20">
        <v>0</v>
      </c>
      <c r="BQ237" s="20">
        <v>0</v>
      </c>
      <c r="BR237" s="20">
        <v>0</v>
      </c>
      <c r="BS237" s="20">
        <v>100</v>
      </c>
      <c r="BT237" s="20">
        <v>1100809</v>
      </c>
      <c r="BU237" s="20">
        <v>6300000</v>
      </c>
      <c r="BV237" s="20">
        <v>5.2027851582542715</v>
      </c>
    </row>
    <row r="238" spans="1:74">
      <c r="A238" s="10">
        <f t="shared" si="14"/>
        <v>0</v>
      </c>
      <c r="B238" s="10">
        <f t="shared" si="15"/>
        <v>0.25</v>
      </c>
      <c r="C238" s="12">
        <f t="shared" si="16"/>
        <v>4</v>
      </c>
      <c r="D238" s="12">
        <f t="shared" si="17"/>
        <v>10</v>
      </c>
      <c r="E238" s="20">
        <v>0</v>
      </c>
      <c r="F238" s="20" t="s">
        <v>2371</v>
      </c>
      <c r="G238" s="20" t="s">
        <v>2564</v>
      </c>
      <c r="H238" s="20" t="s">
        <v>2572</v>
      </c>
      <c r="I238" s="20">
        <v>2</v>
      </c>
      <c r="J238" s="20" t="s">
        <v>2663</v>
      </c>
      <c r="K238" s="20" t="s">
        <v>2664</v>
      </c>
      <c r="L238" s="20" t="s">
        <v>2568</v>
      </c>
      <c r="M238" s="20" t="s">
        <v>2371</v>
      </c>
      <c r="N238" s="20" t="s">
        <v>99</v>
      </c>
      <c r="P238" s="20" t="s">
        <v>2371</v>
      </c>
      <c r="Q238" s="20" t="s">
        <v>2372</v>
      </c>
      <c r="R238" s="20" t="s">
        <v>84</v>
      </c>
      <c r="S238" s="20">
        <v>5</v>
      </c>
      <c r="T238" s="20" t="s">
        <v>106</v>
      </c>
      <c r="U238" s="20" t="s">
        <v>107</v>
      </c>
      <c r="V238" s="20" t="s">
        <v>87</v>
      </c>
      <c r="W238" s="20">
        <v>503</v>
      </c>
      <c r="X238" s="20">
        <v>503</v>
      </c>
      <c r="Y238" s="20" t="s">
        <v>2569</v>
      </c>
      <c r="Z238" s="20">
        <v>0.25</v>
      </c>
      <c r="AA238" s="20" t="s">
        <v>113</v>
      </c>
      <c r="AB238" s="20" t="s">
        <v>101</v>
      </c>
      <c r="AC238" s="20" t="s">
        <v>102</v>
      </c>
      <c r="AD238" s="20" t="s">
        <v>2573</v>
      </c>
      <c r="AE238" s="20" t="s">
        <v>91</v>
      </c>
      <c r="AF238" s="20">
        <v>0.5</v>
      </c>
      <c r="AG238" s="20">
        <v>0</v>
      </c>
      <c r="AH238" s="20">
        <v>1</v>
      </c>
      <c r="AI238" s="7" t="s">
        <v>97</v>
      </c>
      <c r="AJ238" s="20">
        <v>150</v>
      </c>
      <c r="AK238" s="4" t="s">
        <v>111</v>
      </c>
      <c r="AL238" s="4">
        <v>6</v>
      </c>
      <c r="AM238" s="4" t="s">
        <v>112</v>
      </c>
      <c r="AN238" s="4" t="s">
        <v>95</v>
      </c>
      <c r="AO238" s="4" t="s">
        <v>96</v>
      </c>
      <c r="AP238" s="4">
        <v>1</v>
      </c>
      <c r="AQ238" s="20">
        <v>63000</v>
      </c>
      <c r="AR238" s="4">
        <v>41851</v>
      </c>
      <c r="AS238" s="20">
        <v>9545.4545454545441</v>
      </c>
      <c r="AT238" s="20">
        <v>10969.09</v>
      </c>
      <c r="AU238" s="20">
        <v>1423.635454545456</v>
      </c>
      <c r="AV238" s="20">
        <v>1177</v>
      </c>
      <c r="AW238" s="20">
        <v>0</v>
      </c>
      <c r="AX238" s="20" t="s">
        <v>91</v>
      </c>
      <c r="AY238" s="20">
        <v>1177</v>
      </c>
      <c r="AZ238" s="20">
        <v>7.85</v>
      </c>
      <c r="BA238" s="20">
        <v>0</v>
      </c>
      <c r="BB238" s="6">
        <v>41732</v>
      </c>
      <c r="BC238" s="6">
        <v>0</v>
      </c>
      <c r="BD238" s="6">
        <v>41907</v>
      </c>
      <c r="BE238" s="6">
        <v>0</v>
      </c>
      <c r="BF238" s="6">
        <v>41914</v>
      </c>
      <c r="BG238" s="6">
        <v>0</v>
      </c>
      <c r="BH238" s="6">
        <v>0</v>
      </c>
      <c r="BI238" s="6">
        <v>0</v>
      </c>
      <c r="BJ238" s="6">
        <v>0</v>
      </c>
      <c r="BK238" s="5" t="s">
        <v>401</v>
      </c>
      <c r="BL238" s="4">
        <v>0</v>
      </c>
      <c r="BM238" s="20">
        <v>150</v>
      </c>
      <c r="BN238" s="20">
        <v>0</v>
      </c>
      <c r="BO238" s="20">
        <v>0</v>
      </c>
      <c r="BP238" s="20">
        <v>0</v>
      </c>
      <c r="BQ238" s="20">
        <v>0</v>
      </c>
      <c r="BR238" s="20">
        <v>0</v>
      </c>
      <c r="BS238" s="20">
        <v>150</v>
      </c>
      <c r="BT238" s="20">
        <v>1645363.5</v>
      </c>
      <c r="BU238" s="20">
        <v>9450000</v>
      </c>
      <c r="BV238" s="20">
        <v>5.2212833765359994</v>
      </c>
    </row>
    <row r="239" spans="1:74">
      <c r="A239" s="10">
        <f t="shared" si="14"/>
        <v>0</v>
      </c>
      <c r="B239" s="10">
        <f t="shared" si="15"/>
        <v>0.25</v>
      </c>
      <c r="C239" s="12">
        <f t="shared" si="16"/>
        <v>4</v>
      </c>
      <c r="D239" s="12">
        <f t="shared" si="17"/>
        <v>10</v>
      </c>
      <c r="E239" s="20">
        <v>0</v>
      </c>
      <c r="F239" s="20" t="s">
        <v>2371</v>
      </c>
      <c r="G239" s="20" t="s">
        <v>2564</v>
      </c>
      <c r="H239" s="20" t="s">
        <v>2572</v>
      </c>
      <c r="I239" s="20">
        <v>2</v>
      </c>
      <c r="J239" s="20" t="s">
        <v>2663</v>
      </c>
      <c r="K239" s="20" t="s">
        <v>2665</v>
      </c>
      <c r="L239" s="20" t="s">
        <v>2568</v>
      </c>
      <c r="M239" s="20" t="s">
        <v>2371</v>
      </c>
      <c r="N239" s="20" t="s">
        <v>99</v>
      </c>
      <c r="P239" s="20" t="s">
        <v>2371</v>
      </c>
      <c r="Q239" s="20" t="s">
        <v>2372</v>
      </c>
      <c r="R239" s="20" t="s">
        <v>84</v>
      </c>
      <c r="S239" s="20">
        <v>5</v>
      </c>
      <c r="T239" s="20" t="s">
        <v>106</v>
      </c>
      <c r="U239" s="20" t="s">
        <v>107</v>
      </c>
      <c r="V239" s="20" t="s">
        <v>87</v>
      </c>
      <c r="W239" s="20">
        <v>503</v>
      </c>
      <c r="X239" s="20">
        <v>503</v>
      </c>
      <c r="Y239" s="20" t="s">
        <v>2569</v>
      </c>
      <c r="Z239" s="20">
        <v>0.25</v>
      </c>
      <c r="AA239" s="20" t="s">
        <v>113</v>
      </c>
      <c r="AB239" s="20" t="s">
        <v>101</v>
      </c>
      <c r="AC239" s="20" t="s">
        <v>102</v>
      </c>
      <c r="AD239" s="20" t="s">
        <v>2573</v>
      </c>
      <c r="AE239" s="20" t="s">
        <v>91</v>
      </c>
      <c r="AF239" s="20">
        <v>0.5</v>
      </c>
      <c r="AG239" s="20">
        <v>0</v>
      </c>
      <c r="AH239" s="20">
        <v>1</v>
      </c>
      <c r="AI239" s="7" t="s">
        <v>98</v>
      </c>
      <c r="AJ239" s="20">
        <v>100</v>
      </c>
      <c r="AK239" s="4" t="s">
        <v>111</v>
      </c>
      <c r="AL239" s="4">
        <v>6</v>
      </c>
      <c r="AM239" s="4" t="s">
        <v>112</v>
      </c>
      <c r="AN239" s="4" t="s">
        <v>95</v>
      </c>
      <c r="AO239" s="4" t="s">
        <v>96</v>
      </c>
      <c r="AP239" s="4">
        <v>1</v>
      </c>
      <c r="AQ239" s="20">
        <v>63000</v>
      </c>
      <c r="AR239" s="4">
        <v>41851</v>
      </c>
      <c r="AS239" s="20">
        <v>9545.4545454545441</v>
      </c>
      <c r="AT239" s="20">
        <v>10969.09</v>
      </c>
      <c r="AU239" s="20">
        <v>1423.635454545456</v>
      </c>
      <c r="AV239" s="20">
        <v>1177</v>
      </c>
      <c r="AW239" s="20">
        <v>0</v>
      </c>
      <c r="AX239" s="20" t="s">
        <v>91</v>
      </c>
      <c r="AY239" s="20">
        <v>1177</v>
      </c>
      <c r="AZ239" s="20">
        <v>7.85</v>
      </c>
      <c r="BA239" s="20">
        <v>0</v>
      </c>
      <c r="BB239" s="6">
        <v>41732</v>
      </c>
      <c r="BC239" s="6">
        <v>0</v>
      </c>
      <c r="BD239" s="6">
        <v>41907</v>
      </c>
      <c r="BE239" s="6">
        <v>0</v>
      </c>
      <c r="BF239" s="6">
        <v>41914</v>
      </c>
      <c r="BG239" s="6">
        <v>0</v>
      </c>
      <c r="BH239" s="6">
        <v>0</v>
      </c>
      <c r="BI239" s="6">
        <v>0</v>
      </c>
      <c r="BJ239" s="6">
        <v>0</v>
      </c>
      <c r="BK239" s="5" t="s">
        <v>401</v>
      </c>
      <c r="BL239" s="4">
        <v>0</v>
      </c>
      <c r="BM239" s="20">
        <v>100</v>
      </c>
      <c r="BN239" s="20">
        <v>0</v>
      </c>
      <c r="BO239" s="20">
        <v>0</v>
      </c>
      <c r="BP239" s="20">
        <v>0</v>
      </c>
      <c r="BQ239" s="20">
        <v>0</v>
      </c>
      <c r="BR239" s="20">
        <v>0</v>
      </c>
      <c r="BS239" s="20">
        <v>100</v>
      </c>
      <c r="BT239" s="20">
        <v>1096909</v>
      </c>
      <c r="BU239" s="20">
        <v>6300000</v>
      </c>
      <c r="BV239" s="20">
        <v>5.2212833765359994</v>
      </c>
    </row>
    <row r="240" spans="1:74">
      <c r="A240" s="10">
        <f t="shared" si="14"/>
        <v>0</v>
      </c>
      <c r="B240" s="10">
        <f t="shared" si="15"/>
        <v>0</v>
      </c>
      <c r="C240" s="12" t="str">
        <f t="shared" si="16"/>
        <v/>
      </c>
      <c r="D240" s="12" t="str">
        <f t="shared" si="17"/>
        <v/>
      </c>
      <c r="E240" s="20" t="s">
        <v>91</v>
      </c>
      <c r="F240" s="20" t="s">
        <v>91</v>
      </c>
      <c r="G240" s="20" t="s">
        <v>91</v>
      </c>
      <c r="H240" s="20" t="s">
        <v>91</v>
      </c>
      <c r="I240" s="20">
        <v>0</v>
      </c>
      <c r="J240" s="20" t="s">
        <v>103</v>
      </c>
      <c r="K240" s="20" t="s">
        <v>104</v>
      </c>
      <c r="L240" s="20">
        <v>0</v>
      </c>
      <c r="M240" s="20" t="s">
        <v>105</v>
      </c>
      <c r="N240" s="20" t="s">
        <v>91</v>
      </c>
      <c r="O240" s="20" t="s">
        <v>2574</v>
      </c>
      <c r="Q240" s="20" t="s">
        <v>91</v>
      </c>
      <c r="R240" s="20" t="s">
        <v>91</v>
      </c>
      <c r="S240" s="20" t="s">
        <v>91</v>
      </c>
      <c r="U240" s="20" t="s">
        <v>91</v>
      </c>
      <c r="V240" s="20" t="s">
        <v>87</v>
      </c>
      <c r="X240" s="20" t="s">
        <v>91</v>
      </c>
      <c r="Y240" s="20" t="s">
        <v>91</v>
      </c>
      <c r="Z240" s="20">
        <v>1</v>
      </c>
      <c r="AB240" s="20" t="s">
        <v>91</v>
      </c>
      <c r="AD240" s="20" t="s">
        <v>91</v>
      </c>
      <c r="AE240" s="20" t="s">
        <v>91</v>
      </c>
      <c r="AF240" s="20">
        <v>2</v>
      </c>
      <c r="AG240" s="20">
        <v>0</v>
      </c>
      <c r="AH240" s="20">
        <v>1</v>
      </c>
      <c r="AI240" s="7"/>
      <c r="AM240" s="4" t="s">
        <v>91</v>
      </c>
      <c r="AP240" s="4" t="s">
        <v>91</v>
      </c>
      <c r="AQ240" s="20">
        <v>0</v>
      </c>
      <c r="AR240" s="4">
        <v>0</v>
      </c>
      <c r="AS240" s="20">
        <v>0</v>
      </c>
      <c r="AT240" s="20">
        <v>0</v>
      </c>
      <c r="AU240" s="20">
        <v>0</v>
      </c>
      <c r="AV240" s="20">
        <v>0</v>
      </c>
      <c r="AW240" s="20">
        <v>0</v>
      </c>
      <c r="AX240" s="20" t="s">
        <v>91</v>
      </c>
      <c r="AY240" s="20">
        <v>0</v>
      </c>
      <c r="AZ240" s="20">
        <v>0</v>
      </c>
      <c r="BA240" s="20">
        <v>0</v>
      </c>
      <c r="BB240" s="6">
        <v>0</v>
      </c>
      <c r="BC240" s="6">
        <v>0</v>
      </c>
      <c r="BD240" s="6">
        <v>0</v>
      </c>
      <c r="BE240" s="6">
        <v>0</v>
      </c>
      <c r="BF240" s="6">
        <v>0</v>
      </c>
      <c r="BG240" s="6">
        <v>0</v>
      </c>
      <c r="BH240" s="6">
        <v>0</v>
      </c>
      <c r="BI240" s="6">
        <v>0</v>
      </c>
      <c r="BJ240" s="6">
        <v>0</v>
      </c>
      <c r="BK240" s="5">
        <v>0</v>
      </c>
      <c r="BL240" s="4">
        <v>0</v>
      </c>
      <c r="BM240" s="20">
        <v>500</v>
      </c>
      <c r="BN240" s="20">
        <v>0</v>
      </c>
      <c r="BO240" s="20">
        <v>0</v>
      </c>
      <c r="BP240" s="20">
        <v>0</v>
      </c>
      <c r="BQ240" s="20">
        <v>0</v>
      </c>
      <c r="BR240" s="20">
        <v>0</v>
      </c>
      <c r="BS240" s="20">
        <v>500</v>
      </c>
      <c r="BT240" s="20">
        <v>5494295</v>
      </c>
      <c r="BU240" s="20">
        <v>31500000</v>
      </c>
      <c r="BV240" s="20">
        <v>5.212017854222176</v>
      </c>
    </row>
    <row r="241" spans="1:74">
      <c r="A241" s="10">
        <f t="shared" si="14"/>
        <v>0</v>
      </c>
      <c r="B241" s="10">
        <f t="shared" si="15"/>
        <v>0</v>
      </c>
      <c r="C241" s="12">
        <f t="shared" si="16"/>
        <v>4</v>
      </c>
      <c r="D241" s="12">
        <f t="shared" si="17"/>
        <v>5</v>
      </c>
      <c r="E241" s="20" t="s">
        <v>114</v>
      </c>
      <c r="F241" s="20" t="s">
        <v>115</v>
      </c>
      <c r="G241" s="20" t="s">
        <v>116</v>
      </c>
      <c r="H241" s="20" t="s">
        <v>117</v>
      </c>
      <c r="I241" s="20">
        <v>1</v>
      </c>
      <c r="J241" s="20" t="s">
        <v>118</v>
      </c>
      <c r="K241" s="20" t="s">
        <v>119</v>
      </c>
      <c r="L241" s="20" t="s">
        <v>120</v>
      </c>
      <c r="M241" s="20" t="s">
        <v>115</v>
      </c>
      <c r="N241" s="20" t="s">
        <v>121</v>
      </c>
      <c r="P241" s="20" t="s">
        <v>115</v>
      </c>
      <c r="Q241" s="20" t="s">
        <v>122</v>
      </c>
      <c r="R241" s="20" t="s">
        <v>84</v>
      </c>
      <c r="S241" s="20" t="s">
        <v>123</v>
      </c>
      <c r="T241" s="20" t="s">
        <v>124</v>
      </c>
      <c r="U241" s="20" t="s">
        <v>125</v>
      </c>
      <c r="V241" s="20" t="s">
        <v>87</v>
      </c>
      <c r="W241" s="20">
        <v>501</v>
      </c>
      <c r="X241" s="20">
        <v>501</v>
      </c>
      <c r="Y241" s="20" t="s">
        <v>126</v>
      </c>
      <c r="Z241" s="20">
        <v>0.5</v>
      </c>
      <c r="AA241" s="20" t="s">
        <v>127</v>
      </c>
      <c r="AB241" s="20" t="s">
        <v>101</v>
      </c>
      <c r="AC241" s="20" t="s">
        <v>102</v>
      </c>
      <c r="AD241" s="20" t="s">
        <v>128</v>
      </c>
      <c r="AE241" s="20" t="s">
        <v>91</v>
      </c>
      <c r="AF241" s="20">
        <v>0.5</v>
      </c>
      <c r="AG241" s="20">
        <v>0</v>
      </c>
      <c r="AH241" s="20">
        <v>1</v>
      </c>
      <c r="AI241" s="7" t="s">
        <v>97</v>
      </c>
      <c r="AJ241" s="20">
        <v>80</v>
      </c>
      <c r="AK241" s="4" t="s">
        <v>129</v>
      </c>
      <c r="AL241" s="4">
        <v>1</v>
      </c>
      <c r="AM241" s="4" t="s">
        <v>130</v>
      </c>
      <c r="AN241" s="4" t="s">
        <v>95</v>
      </c>
      <c r="AO241" s="4" t="s">
        <v>131</v>
      </c>
      <c r="AP241" s="4">
        <v>2</v>
      </c>
      <c r="AQ241" s="20">
        <v>45000</v>
      </c>
      <c r="AR241" s="4">
        <v>41752</v>
      </c>
      <c r="AS241" s="20">
        <v>10227.272727272726</v>
      </c>
      <c r="AT241" s="20">
        <v>11700</v>
      </c>
      <c r="AU241" s="20">
        <v>1472.7272727272739</v>
      </c>
      <c r="AY241" s="20">
        <v>0</v>
      </c>
      <c r="BA241" s="20">
        <v>11700</v>
      </c>
      <c r="BB241" s="6">
        <v>41736</v>
      </c>
      <c r="BC241" s="6">
        <v>0</v>
      </c>
      <c r="BD241" s="6">
        <v>41774</v>
      </c>
      <c r="BF241" s="6">
        <v>41775</v>
      </c>
      <c r="BK241" s="5" t="s">
        <v>401</v>
      </c>
      <c r="BL241" s="4" t="s">
        <v>401</v>
      </c>
      <c r="BM241" s="20">
        <v>78</v>
      </c>
      <c r="BN241" s="20">
        <v>0</v>
      </c>
      <c r="BO241" s="20">
        <v>0</v>
      </c>
      <c r="BP241" s="20">
        <v>0</v>
      </c>
      <c r="BQ241" s="20">
        <v>0</v>
      </c>
      <c r="BR241" s="20">
        <v>0</v>
      </c>
      <c r="BS241" s="20">
        <v>80</v>
      </c>
      <c r="BT241" s="20">
        <v>936000</v>
      </c>
      <c r="BU241" s="20">
        <v>3600000</v>
      </c>
      <c r="BV241" s="20">
        <v>3.4965034965034962</v>
      </c>
    </row>
    <row r="242" spans="1:74">
      <c r="A242" s="10">
        <f t="shared" si="14"/>
        <v>0</v>
      </c>
      <c r="B242" s="10">
        <f t="shared" si="15"/>
        <v>0</v>
      </c>
      <c r="C242" s="12">
        <f t="shared" si="16"/>
        <v>4</v>
      </c>
      <c r="D242" s="12">
        <f t="shared" si="17"/>
        <v>5</v>
      </c>
      <c r="E242" s="20" t="s">
        <v>114</v>
      </c>
      <c r="F242" s="20" t="s">
        <v>115</v>
      </c>
      <c r="G242" s="20" t="s">
        <v>116</v>
      </c>
      <c r="H242" s="20" t="s">
        <v>117</v>
      </c>
      <c r="I242" s="20">
        <v>1</v>
      </c>
      <c r="J242" s="20" t="s">
        <v>118</v>
      </c>
      <c r="K242" s="20" t="s">
        <v>132</v>
      </c>
      <c r="L242" s="20" t="s">
        <v>120</v>
      </c>
      <c r="M242" s="20" t="s">
        <v>115</v>
      </c>
      <c r="N242" s="20" t="s">
        <v>121</v>
      </c>
      <c r="P242" s="20" t="s">
        <v>115</v>
      </c>
      <c r="Q242" s="20" t="s">
        <v>122</v>
      </c>
      <c r="R242" s="20" t="s">
        <v>84</v>
      </c>
      <c r="S242" s="20" t="s">
        <v>123</v>
      </c>
      <c r="T242" s="20" t="s">
        <v>124</v>
      </c>
      <c r="U242" s="20" t="s">
        <v>125</v>
      </c>
      <c r="V242" s="20" t="s">
        <v>87</v>
      </c>
      <c r="W242" s="20">
        <v>501</v>
      </c>
      <c r="X242" s="20">
        <v>501</v>
      </c>
      <c r="Y242" s="20" t="s">
        <v>126</v>
      </c>
      <c r="Z242" s="20">
        <v>0.5</v>
      </c>
      <c r="AA242" s="20" t="s">
        <v>127</v>
      </c>
      <c r="AB242" s="20" t="s">
        <v>101</v>
      </c>
      <c r="AC242" s="20" t="s">
        <v>102</v>
      </c>
      <c r="AD242" s="20" t="s">
        <v>128</v>
      </c>
      <c r="AE242" s="20" t="s">
        <v>91</v>
      </c>
      <c r="AF242" s="20">
        <v>0.5</v>
      </c>
      <c r="AG242" s="20">
        <v>0</v>
      </c>
      <c r="AH242" s="20">
        <v>1</v>
      </c>
      <c r="AI242" s="7" t="s">
        <v>98</v>
      </c>
      <c r="AJ242" s="20">
        <v>40</v>
      </c>
      <c r="AK242" s="4" t="s">
        <v>129</v>
      </c>
      <c r="AL242" s="4">
        <v>1</v>
      </c>
      <c r="AM242" s="4" t="s">
        <v>130</v>
      </c>
      <c r="AN242" s="4" t="s">
        <v>95</v>
      </c>
      <c r="AO242" s="4" t="s">
        <v>131</v>
      </c>
      <c r="AP242" s="4">
        <v>2</v>
      </c>
      <c r="AQ242" s="20">
        <v>45000</v>
      </c>
      <c r="AR242" s="4">
        <v>41752</v>
      </c>
      <c r="AS242" s="20">
        <v>10227.272727272726</v>
      </c>
      <c r="AT242" s="20">
        <v>11700</v>
      </c>
      <c r="AU242" s="20">
        <v>1472.7272727272739</v>
      </c>
      <c r="AV242" s="20">
        <v>0</v>
      </c>
      <c r="AW242" s="20">
        <v>0</v>
      </c>
      <c r="AX242" s="20" t="s">
        <v>91</v>
      </c>
      <c r="AY242" s="20">
        <v>0</v>
      </c>
      <c r="AZ242" s="20">
        <v>0</v>
      </c>
      <c r="BA242" s="20">
        <v>11700</v>
      </c>
      <c r="BB242" s="6">
        <v>41736</v>
      </c>
      <c r="BC242" s="6">
        <v>0</v>
      </c>
      <c r="BD242" s="6">
        <v>41774</v>
      </c>
      <c r="BE242" s="6">
        <v>0</v>
      </c>
      <c r="BF242" s="6">
        <v>41775</v>
      </c>
      <c r="BG242" s="6">
        <v>0</v>
      </c>
      <c r="BH242" s="6">
        <v>0</v>
      </c>
      <c r="BI242" s="6">
        <v>0</v>
      </c>
      <c r="BJ242" s="6">
        <v>0</v>
      </c>
      <c r="BK242" s="5" t="s">
        <v>401</v>
      </c>
      <c r="BL242" s="4" t="s">
        <v>401</v>
      </c>
      <c r="BM242" s="20">
        <v>40</v>
      </c>
      <c r="BN242" s="20">
        <v>0</v>
      </c>
      <c r="BO242" s="20">
        <v>0</v>
      </c>
      <c r="BP242" s="20">
        <v>0</v>
      </c>
      <c r="BQ242" s="20">
        <v>0</v>
      </c>
      <c r="BR242" s="20">
        <v>0</v>
      </c>
      <c r="BS242" s="20">
        <v>40</v>
      </c>
      <c r="BT242" s="20">
        <v>468000</v>
      </c>
      <c r="BU242" s="20">
        <v>1800000</v>
      </c>
      <c r="BV242" s="20">
        <v>3.4965034965034962</v>
      </c>
    </row>
    <row r="243" spans="1:74">
      <c r="A243" s="10">
        <f t="shared" si="14"/>
        <v>0</v>
      </c>
      <c r="B243" s="10">
        <f t="shared" si="15"/>
        <v>0</v>
      </c>
      <c r="C243" s="12">
        <f t="shared" si="16"/>
        <v>4</v>
      </c>
      <c r="D243" s="12">
        <f t="shared" si="17"/>
        <v>5</v>
      </c>
      <c r="E243" s="20" t="s">
        <v>114</v>
      </c>
      <c r="F243" s="20" t="s">
        <v>115</v>
      </c>
      <c r="G243" s="20" t="s">
        <v>116</v>
      </c>
      <c r="H243" s="20" t="s">
        <v>133</v>
      </c>
      <c r="I243" s="20">
        <v>2</v>
      </c>
      <c r="J243" s="20" t="s">
        <v>134</v>
      </c>
      <c r="K243" s="20" t="s">
        <v>135</v>
      </c>
      <c r="L243" s="20" t="s">
        <v>136</v>
      </c>
      <c r="M243" s="20" t="s">
        <v>115</v>
      </c>
      <c r="N243" s="20" t="s">
        <v>121</v>
      </c>
      <c r="P243" s="20" t="s">
        <v>115</v>
      </c>
      <c r="Q243" s="20" t="s">
        <v>122</v>
      </c>
      <c r="R243" s="20" t="s">
        <v>84</v>
      </c>
      <c r="S243" s="20" t="s">
        <v>123</v>
      </c>
      <c r="T243" s="20" t="s">
        <v>124</v>
      </c>
      <c r="U243" s="20" t="s">
        <v>125</v>
      </c>
      <c r="V243" s="20" t="s">
        <v>87</v>
      </c>
      <c r="W243" s="20">
        <v>502</v>
      </c>
      <c r="X243" s="20">
        <v>502</v>
      </c>
      <c r="Y243" s="20" t="s">
        <v>137</v>
      </c>
      <c r="Z243" s="20">
        <v>0.5</v>
      </c>
      <c r="AA243" s="20" t="s">
        <v>138</v>
      </c>
      <c r="AB243" s="20" t="s">
        <v>139</v>
      </c>
      <c r="AC243" s="20" t="s">
        <v>140</v>
      </c>
      <c r="AD243" s="20" t="s">
        <v>141</v>
      </c>
      <c r="AE243" s="20" t="s">
        <v>91</v>
      </c>
      <c r="AF243" s="20">
        <v>0.5</v>
      </c>
      <c r="AG243" s="20">
        <v>0</v>
      </c>
      <c r="AH243" s="20">
        <v>1</v>
      </c>
      <c r="AI243" s="7" t="s">
        <v>97</v>
      </c>
      <c r="AJ243" s="20">
        <v>80</v>
      </c>
      <c r="AK243" s="4" t="s">
        <v>129</v>
      </c>
      <c r="AL243" s="4">
        <v>1</v>
      </c>
      <c r="AM243" s="4" t="s">
        <v>130</v>
      </c>
      <c r="AN243" s="4" t="s">
        <v>95</v>
      </c>
      <c r="AO243" s="4" t="s">
        <v>131</v>
      </c>
      <c r="AP243" s="4">
        <v>2</v>
      </c>
      <c r="AQ243" s="20">
        <v>45000</v>
      </c>
      <c r="AR243" s="4">
        <v>41752</v>
      </c>
      <c r="AS243" s="20">
        <v>10227.272727272726</v>
      </c>
      <c r="AT243" s="20">
        <v>12500</v>
      </c>
      <c r="AU243" s="20">
        <v>2272.7272727272739</v>
      </c>
      <c r="AV243" s="20">
        <v>0</v>
      </c>
      <c r="AW243" s="20">
        <v>0</v>
      </c>
      <c r="AX243" s="20" t="s">
        <v>91</v>
      </c>
      <c r="AY243" s="20">
        <v>0</v>
      </c>
      <c r="AZ243" s="20">
        <v>0</v>
      </c>
      <c r="BA243" s="20">
        <v>12500</v>
      </c>
      <c r="BB243" s="6">
        <v>41736</v>
      </c>
      <c r="BC243" s="6">
        <v>0</v>
      </c>
      <c r="BD243" s="6">
        <v>41774</v>
      </c>
      <c r="BE243" s="6">
        <v>0</v>
      </c>
      <c r="BF243" s="6">
        <v>41775</v>
      </c>
      <c r="BG243" s="6">
        <v>0</v>
      </c>
      <c r="BH243" s="6">
        <v>0</v>
      </c>
      <c r="BI243" s="6">
        <v>0</v>
      </c>
      <c r="BJ243" s="6">
        <v>0</v>
      </c>
      <c r="BK243" s="5" t="s">
        <v>401</v>
      </c>
      <c r="BL243" s="4" t="s">
        <v>401</v>
      </c>
      <c r="BM243" s="20">
        <v>80</v>
      </c>
      <c r="BN243" s="20">
        <v>0</v>
      </c>
      <c r="BO243" s="20">
        <v>0</v>
      </c>
      <c r="BP243" s="20">
        <v>0</v>
      </c>
      <c r="BQ243" s="20">
        <v>0</v>
      </c>
      <c r="BR243" s="20">
        <v>0</v>
      </c>
      <c r="BS243" s="20">
        <v>80</v>
      </c>
      <c r="BT243" s="20">
        <v>1000000</v>
      </c>
      <c r="BU243" s="20">
        <v>3600000</v>
      </c>
      <c r="BV243" s="20">
        <v>3.2727272727272729</v>
      </c>
    </row>
    <row r="244" spans="1:74">
      <c r="A244" s="10">
        <f t="shared" si="14"/>
        <v>0</v>
      </c>
      <c r="B244" s="10">
        <f t="shared" si="15"/>
        <v>0</v>
      </c>
      <c r="C244" s="12">
        <f t="shared" si="16"/>
        <v>4</v>
      </c>
      <c r="D244" s="12">
        <f t="shared" si="17"/>
        <v>5</v>
      </c>
      <c r="E244" s="20" t="s">
        <v>114</v>
      </c>
      <c r="F244" s="20" t="s">
        <v>115</v>
      </c>
      <c r="G244" s="20" t="s">
        <v>116</v>
      </c>
      <c r="H244" s="20" t="s">
        <v>133</v>
      </c>
      <c r="I244" s="20">
        <v>2</v>
      </c>
      <c r="J244" s="20" t="s">
        <v>134</v>
      </c>
      <c r="K244" s="20" t="s">
        <v>142</v>
      </c>
      <c r="L244" s="20" t="s">
        <v>136</v>
      </c>
      <c r="M244" s="20" t="s">
        <v>115</v>
      </c>
      <c r="N244" s="20" t="s">
        <v>121</v>
      </c>
      <c r="P244" s="20" t="s">
        <v>115</v>
      </c>
      <c r="Q244" s="20" t="s">
        <v>122</v>
      </c>
      <c r="R244" s="20" t="s">
        <v>84</v>
      </c>
      <c r="S244" s="20" t="s">
        <v>123</v>
      </c>
      <c r="T244" s="20" t="s">
        <v>124</v>
      </c>
      <c r="U244" s="20" t="s">
        <v>125</v>
      </c>
      <c r="V244" s="20" t="s">
        <v>87</v>
      </c>
      <c r="W244" s="20">
        <v>502</v>
      </c>
      <c r="X244" s="20">
        <v>502</v>
      </c>
      <c r="Y244" s="20" t="s">
        <v>137</v>
      </c>
      <c r="Z244" s="20">
        <v>0.5</v>
      </c>
      <c r="AA244" s="20" t="s">
        <v>138</v>
      </c>
      <c r="AB244" s="20" t="s">
        <v>139</v>
      </c>
      <c r="AC244" s="20" t="s">
        <v>140</v>
      </c>
      <c r="AD244" s="20" t="s">
        <v>141</v>
      </c>
      <c r="AE244" s="20" t="s">
        <v>91</v>
      </c>
      <c r="AF244" s="20">
        <v>0.5</v>
      </c>
      <c r="AG244" s="20">
        <v>0</v>
      </c>
      <c r="AH244" s="20">
        <v>1</v>
      </c>
      <c r="AI244" s="7" t="s">
        <v>98</v>
      </c>
      <c r="AJ244" s="20">
        <v>40</v>
      </c>
      <c r="AK244" s="4" t="s">
        <v>129</v>
      </c>
      <c r="AL244" s="4">
        <v>1</v>
      </c>
      <c r="AM244" s="4" t="s">
        <v>130</v>
      </c>
      <c r="AN244" s="4" t="s">
        <v>95</v>
      </c>
      <c r="AO244" s="4" t="s">
        <v>131</v>
      </c>
      <c r="AP244" s="4">
        <v>2</v>
      </c>
      <c r="AQ244" s="20">
        <v>45000</v>
      </c>
      <c r="AR244" s="4">
        <v>41752</v>
      </c>
      <c r="AS244" s="20">
        <v>10227.272727272726</v>
      </c>
      <c r="AT244" s="20">
        <v>12500</v>
      </c>
      <c r="AU244" s="20">
        <v>2272.7272727272739</v>
      </c>
      <c r="AV244" s="20">
        <v>0</v>
      </c>
      <c r="AW244" s="20">
        <v>0</v>
      </c>
      <c r="AX244" s="20" t="s">
        <v>91</v>
      </c>
      <c r="AY244" s="20">
        <v>0</v>
      </c>
      <c r="BA244" s="20">
        <v>12500</v>
      </c>
      <c r="BB244" s="6">
        <v>41736</v>
      </c>
      <c r="BC244" s="6">
        <v>0</v>
      </c>
      <c r="BD244" s="6">
        <v>41774</v>
      </c>
      <c r="BE244" s="6">
        <v>0</v>
      </c>
      <c r="BF244" s="6">
        <v>41775</v>
      </c>
      <c r="BG244" s="6">
        <v>0</v>
      </c>
      <c r="BH244" s="6">
        <v>0</v>
      </c>
      <c r="BI244" s="6">
        <v>0</v>
      </c>
      <c r="BJ244" s="6">
        <v>0</v>
      </c>
      <c r="BK244" s="5" t="s">
        <v>401</v>
      </c>
      <c r="BL244" s="4" t="s">
        <v>401</v>
      </c>
      <c r="BM244" s="20">
        <v>40</v>
      </c>
      <c r="BN244" s="20">
        <v>0</v>
      </c>
      <c r="BO244" s="20">
        <v>0</v>
      </c>
      <c r="BP244" s="20">
        <v>0</v>
      </c>
      <c r="BQ244" s="20">
        <v>0</v>
      </c>
      <c r="BR244" s="20">
        <v>0</v>
      </c>
      <c r="BS244" s="20">
        <v>40</v>
      </c>
      <c r="BT244" s="20">
        <v>500000</v>
      </c>
      <c r="BU244" s="20">
        <v>1800000</v>
      </c>
      <c r="BV244" s="20">
        <v>3.2727272727272729</v>
      </c>
    </row>
    <row r="245" spans="1:74">
      <c r="A245" s="10">
        <f t="shared" si="14"/>
        <v>0</v>
      </c>
      <c r="B245" s="10">
        <f t="shared" si="15"/>
        <v>0</v>
      </c>
      <c r="C245" s="12">
        <f t="shared" si="16"/>
        <v>4</v>
      </c>
      <c r="D245" s="12">
        <f t="shared" si="17"/>
        <v>6</v>
      </c>
      <c r="E245" s="20" t="s">
        <v>114</v>
      </c>
      <c r="F245" s="20" t="s">
        <v>115</v>
      </c>
      <c r="G245" s="20" t="s">
        <v>116</v>
      </c>
      <c r="H245" s="20" t="s">
        <v>143</v>
      </c>
      <c r="I245" s="20">
        <v>3</v>
      </c>
      <c r="J245" s="20" t="s">
        <v>144</v>
      </c>
      <c r="K245" s="20" t="s">
        <v>145</v>
      </c>
      <c r="L245" s="20" t="s">
        <v>146</v>
      </c>
      <c r="M245" s="20" t="s">
        <v>115</v>
      </c>
      <c r="N245" s="20" t="s">
        <v>121</v>
      </c>
      <c r="P245" s="20" t="s">
        <v>115</v>
      </c>
      <c r="Q245" s="20" t="s">
        <v>122</v>
      </c>
      <c r="R245" s="20" t="s">
        <v>84</v>
      </c>
      <c r="S245" s="20" t="s">
        <v>123</v>
      </c>
      <c r="T245" s="20" t="s">
        <v>124</v>
      </c>
      <c r="U245" s="20" t="s">
        <v>125</v>
      </c>
      <c r="V245" s="20" t="s">
        <v>87</v>
      </c>
      <c r="W245" s="20">
        <v>503</v>
      </c>
      <c r="X245" s="20">
        <v>503</v>
      </c>
      <c r="Y245" s="20" t="s">
        <v>147</v>
      </c>
      <c r="Z245" s="20">
        <v>0.5</v>
      </c>
      <c r="AA245" s="20" t="s">
        <v>148</v>
      </c>
      <c r="AB245" s="20" t="s">
        <v>149</v>
      </c>
      <c r="AC245" s="20" t="s">
        <v>150</v>
      </c>
      <c r="AD245" s="20" t="s">
        <v>151</v>
      </c>
      <c r="AE245" s="20" t="s">
        <v>91</v>
      </c>
      <c r="AF245" s="20">
        <v>0.5</v>
      </c>
      <c r="AG245" s="20">
        <v>0</v>
      </c>
      <c r="AH245" s="20">
        <v>1</v>
      </c>
      <c r="AI245" s="7" t="s">
        <v>97</v>
      </c>
      <c r="AJ245" s="20">
        <v>80</v>
      </c>
      <c r="AK245" s="4" t="s">
        <v>129</v>
      </c>
      <c r="AL245" s="4">
        <v>1</v>
      </c>
      <c r="AM245" s="4" t="s">
        <v>130</v>
      </c>
      <c r="AN245" s="4" t="s">
        <v>95</v>
      </c>
      <c r="AO245" s="4" t="s">
        <v>131</v>
      </c>
      <c r="AP245" s="4">
        <v>2</v>
      </c>
      <c r="AQ245" s="20">
        <v>43000</v>
      </c>
      <c r="AR245" s="4">
        <v>41752</v>
      </c>
      <c r="AS245" s="20">
        <v>9772.7272727272721</v>
      </c>
      <c r="AT245" s="20">
        <v>10600</v>
      </c>
      <c r="AU245" s="20">
        <v>827.27272727272793</v>
      </c>
      <c r="AV245" s="20">
        <v>0</v>
      </c>
      <c r="AW245" s="20">
        <v>0</v>
      </c>
      <c r="AX245" s="20" t="s">
        <v>91</v>
      </c>
      <c r="AY245" s="20">
        <v>0</v>
      </c>
      <c r="AZ245" s="20">
        <v>0</v>
      </c>
      <c r="BA245" s="20">
        <v>10600</v>
      </c>
      <c r="BB245" s="6">
        <v>41736</v>
      </c>
      <c r="BC245" s="6">
        <v>0</v>
      </c>
      <c r="BD245" s="6">
        <v>41774</v>
      </c>
      <c r="BE245" s="6">
        <v>0</v>
      </c>
      <c r="BF245" s="6">
        <v>41809</v>
      </c>
      <c r="BG245" s="6">
        <v>0</v>
      </c>
      <c r="BH245" s="6">
        <v>0</v>
      </c>
      <c r="BI245" s="6">
        <v>0</v>
      </c>
      <c r="BJ245" s="6">
        <v>0</v>
      </c>
      <c r="BK245" s="5" t="s">
        <v>401</v>
      </c>
      <c r="BL245" s="4" t="s">
        <v>401</v>
      </c>
      <c r="BM245" s="20">
        <v>80</v>
      </c>
      <c r="BN245" s="20">
        <v>0</v>
      </c>
      <c r="BO245" s="20">
        <v>0</v>
      </c>
      <c r="BP245" s="20">
        <v>0</v>
      </c>
      <c r="BQ245" s="20">
        <v>0</v>
      </c>
      <c r="BR245" s="20">
        <v>0</v>
      </c>
      <c r="BS245" s="20">
        <v>80</v>
      </c>
      <c r="BT245" s="20">
        <v>848000</v>
      </c>
      <c r="BU245" s="20">
        <v>3440000</v>
      </c>
      <c r="BV245" s="20">
        <v>3.6878216123499139</v>
      </c>
    </row>
    <row r="246" spans="1:74">
      <c r="A246" s="10">
        <f t="shared" si="14"/>
        <v>0</v>
      </c>
      <c r="B246" s="10">
        <f t="shared" si="15"/>
        <v>0</v>
      </c>
      <c r="C246" s="12">
        <f t="shared" si="16"/>
        <v>4</v>
      </c>
      <c r="D246" s="12">
        <f t="shared" si="17"/>
        <v>6</v>
      </c>
      <c r="E246" s="20" t="s">
        <v>114</v>
      </c>
      <c r="F246" s="20" t="s">
        <v>115</v>
      </c>
      <c r="G246" s="20" t="s">
        <v>116</v>
      </c>
      <c r="H246" s="20" t="s">
        <v>143</v>
      </c>
      <c r="I246" s="20">
        <v>3</v>
      </c>
      <c r="J246" s="20" t="s">
        <v>144</v>
      </c>
      <c r="K246" s="20" t="s">
        <v>152</v>
      </c>
      <c r="L246" s="20" t="s">
        <v>146</v>
      </c>
      <c r="M246" s="20" t="s">
        <v>115</v>
      </c>
      <c r="N246" s="20" t="s">
        <v>121</v>
      </c>
      <c r="P246" s="20" t="s">
        <v>115</v>
      </c>
      <c r="Q246" s="20" t="s">
        <v>122</v>
      </c>
      <c r="R246" s="20" t="s">
        <v>84</v>
      </c>
      <c r="S246" s="20" t="s">
        <v>123</v>
      </c>
      <c r="T246" s="20" t="s">
        <v>124</v>
      </c>
      <c r="U246" s="20" t="s">
        <v>125</v>
      </c>
      <c r="V246" s="20" t="s">
        <v>87</v>
      </c>
      <c r="W246" s="20">
        <v>503</v>
      </c>
      <c r="X246" s="20">
        <v>503</v>
      </c>
      <c r="Y246" s="20" t="s">
        <v>147</v>
      </c>
      <c r="Z246" s="20">
        <v>0.5</v>
      </c>
      <c r="AA246" s="20" t="s">
        <v>148</v>
      </c>
      <c r="AB246" s="20" t="s">
        <v>149</v>
      </c>
      <c r="AC246" s="20" t="s">
        <v>150</v>
      </c>
      <c r="AD246" s="20" t="s">
        <v>151</v>
      </c>
      <c r="AE246" s="20" t="s">
        <v>91</v>
      </c>
      <c r="AF246" s="20">
        <v>0.5</v>
      </c>
      <c r="AG246" s="20">
        <v>0</v>
      </c>
      <c r="AH246" s="20">
        <v>1</v>
      </c>
      <c r="AI246" s="7" t="s">
        <v>98</v>
      </c>
      <c r="AJ246" s="20">
        <v>40</v>
      </c>
      <c r="AK246" s="4" t="s">
        <v>129</v>
      </c>
      <c r="AL246" s="4">
        <v>1</v>
      </c>
      <c r="AM246" s="4" t="s">
        <v>130</v>
      </c>
      <c r="AN246" s="4" t="s">
        <v>95</v>
      </c>
      <c r="AO246" s="4" t="s">
        <v>131</v>
      </c>
      <c r="AP246" s="4">
        <v>2</v>
      </c>
      <c r="AQ246" s="20">
        <v>43000</v>
      </c>
      <c r="AR246" s="4">
        <v>41752</v>
      </c>
      <c r="AS246" s="20">
        <v>9772.7272727272721</v>
      </c>
      <c r="AT246" s="20">
        <v>10600</v>
      </c>
      <c r="AU246" s="20">
        <v>827.27272727272793</v>
      </c>
      <c r="AV246" s="20">
        <v>0</v>
      </c>
      <c r="AW246" s="20">
        <v>0</v>
      </c>
      <c r="AX246" s="20" t="s">
        <v>91</v>
      </c>
      <c r="AY246" s="20">
        <v>0</v>
      </c>
      <c r="AZ246" s="20">
        <v>0</v>
      </c>
      <c r="BA246" s="20">
        <v>10600</v>
      </c>
      <c r="BB246" s="6">
        <v>41736</v>
      </c>
      <c r="BC246" s="6">
        <v>0</v>
      </c>
      <c r="BD246" s="6">
        <v>41774</v>
      </c>
      <c r="BE246" s="6">
        <v>0</v>
      </c>
      <c r="BF246" s="6">
        <v>41809</v>
      </c>
      <c r="BG246" s="6">
        <v>0</v>
      </c>
      <c r="BH246" s="6">
        <v>0</v>
      </c>
      <c r="BI246" s="6">
        <v>0</v>
      </c>
      <c r="BJ246" s="6">
        <v>0</v>
      </c>
      <c r="BK246" s="5" t="s">
        <v>401</v>
      </c>
      <c r="BL246" s="4" t="s">
        <v>401</v>
      </c>
      <c r="BM246" s="20">
        <v>40</v>
      </c>
      <c r="BN246" s="20">
        <v>0</v>
      </c>
      <c r="BO246" s="20">
        <v>0</v>
      </c>
      <c r="BP246" s="20">
        <v>0</v>
      </c>
      <c r="BQ246" s="20">
        <v>0</v>
      </c>
      <c r="BR246" s="20">
        <v>0</v>
      </c>
      <c r="BS246" s="20">
        <v>40</v>
      </c>
      <c r="BT246" s="20">
        <v>424000</v>
      </c>
      <c r="BU246" s="20">
        <v>1720000</v>
      </c>
      <c r="BV246" s="20">
        <v>3.6878216123499139</v>
      </c>
    </row>
    <row r="247" spans="1:74">
      <c r="A247" s="10">
        <f t="shared" si="14"/>
        <v>0</v>
      </c>
      <c r="B247" s="10">
        <f t="shared" si="15"/>
        <v>0</v>
      </c>
      <c r="C247" s="12">
        <f t="shared" si="16"/>
        <v>4</v>
      </c>
      <c r="D247" s="12">
        <f t="shared" si="17"/>
        <v>6</v>
      </c>
      <c r="E247" s="20" t="s">
        <v>114</v>
      </c>
      <c r="F247" s="20" t="s">
        <v>115</v>
      </c>
      <c r="G247" s="20" t="s">
        <v>116</v>
      </c>
      <c r="H247" s="20" t="s">
        <v>153</v>
      </c>
      <c r="I247" s="20">
        <v>4</v>
      </c>
      <c r="J247" s="20" t="s">
        <v>154</v>
      </c>
      <c r="K247" s="20" t="s">
        <v>155</v>
      </c>
      <c r="L247" s="20" t="s">
        <v>156</v>
      </c>
      <c r="M247" s="20" t="s">
        <v>115</v>
      </c>
      <c r="N247" s="20" t="s">
        <v>121</v>
      </c>
      <c r="P247" s="20" t="s">
        <v>115</v>
      </c>
      <c r="Q247" s="20" t="s">
        <v>122</v>
      </c>
      <c r="R247" s="20" t="s">
        <v>84</v>
      </c>
      <c r="S247" s="20" t="s">
        <v>123</v>
      </c>
      <c r="T247" s="20" t="s">
        <v>124</v>
      </c>
      <c r="U247" s="20" t="s">
        <v>125</v>
      </c>
      <c r="V247" s="20" t="s">
        <v>87</v>
      </c>
      <c r="W247" s="20">
        <v>504</v>
      </c>
      <c r="X247" s="20">
        <v>504</v>
      </c>
      <c r="Y247" s="20" t="s">
        <v>157</v>
      </c>
      <c r="Z247" s="20">
        <v>0.5</v>
      </c>
      <c r="AA247" s="20" t="s">
        <v>158</v>
      </c>
      <c r="AB247" s="20" t="s">
        <v>159</v>
      </c>
      <c r="AC247" s="20" t="s">
        <v>160</v>
      </c>
      <c r="AD247" s="20" t="s">
        <v>161</v>
      </c>
      <c r="AE247" s="20" t="s">
        <v>91</v>
      </c>
      <c r="AF247" s="20">
        <v>0.5</v>
      </c>
      <c r="AG247" s="20">
        <v>0</v>
      </c>
      <c r="AH247" s="20">
        <v>1</v>
      </c>
      <c r="AI247" s="7" t="s">
        <v>97</v>
      </c>
      <c r="AJ247" s="20">
        <v>80</v>
      </c>
      <c r="AK247" s="4" t="s">
        <v>129</v>
      </c>
      <c r="AL247" s="4">
        <v>1</v>
      </c>
      <c r="AM247" s="4" t="s">
        <v>130</v>
      </c>
      <c r="AN247" s="4" t="s">
        <v>95</v>
      </c>
      <c r="AO247" s="4" t="s">
        <v>131</v>
      </c>
      <c r="AP247" s="4">
        <v>2</v>
      </c>
      <c r="AQ247" s="20">
        <v>43000</v>
      </c>
      <c r="AR247" s="4">
        <v>41752</v>
      </c>
      <c r="AS247" s="20">
        <v>9772.7272727272721</v>
      </c>
      <c r="AT247" s="20">
        <v>10600</v>
      </c>
      <c r="AU247" s="20">
        <v>827.27272727272793</v>
      </c>
      <c r="AV247" s="20">
        <v>0</v>
      </c>
      <c r="AW247" s="20">
        <v>0</v>
      </c>
      <c r="AX247" s="20" t="s">
        <v>91</v>
      </c>
      <c r="AY247" s="20">
        <v>0</v>
      </c>
      <c r="AZ247" s="20">
        <v>0</v>
      </c>
      <c r="BA247" s="20">
        <v>10600</v>
      </c>
      <c r="BB247" s="6">
        <v>41736</v>
      </c>
      <c r="BC247" s="6">
        <v>0</v>
      </c>
      <c r="BD247" s="6">
        <v>41774</v>
      </c>
      <c r="BE247" s="6">
        <v>0</v>
      </c>
      <c r="BF247" s="6">
        <v>41809</v>
      </c>
      <c r="BG247" s="6">
        <v>0</v>
      </c>
      <c r="BH247" s="6">
        <v>0</v>
      </c>
      <c r="BI247" s="6">
        <v>0</v>
      </c>
      <c r="BJ247" s="6">
        <v>0</v>
      </c>
      <c r="BK247" s="5" t="s">
        <v>401</v>
      </c>
      <c r="BL247" s="4" t="s">
        <v>401</v>
      </c>
      <c r="BM247" s="20">
        <v>80</v>
      </c>
      <c r="BN247" s="20">
        <v>0</v>
      </c>
      <c r="BO247" s="20">
        <v>0</v>
      </c>
      <c r="BP247" s="20">
        <v>0</v>
      </c>
      <c r="BQ247" s="20">
        <v>0</v>
      </c>
      <c r="BR247" s="20">
        <v>0</v>
      </c>
      <c r="BS247" s="20">
        <v>80</v>
      </c>
      <c r="BT247" s="20">
        <v>848000</v>
      </c>
      <c r="BU247" s="20">
        <v>3440000</v>
      </c>
      <c r="BV247" s="20">
        <v>3.6878216123499139</v>
      </c>
    </row>
    <row r="248" spans="1:74">
      <c r="A248" s="10">
        <f t="shared" si="14"/>
        <v>0</v>
      </c>
      <c r="B248" s="10">
        <f t="shared" si="15"/>
        <v>0</v>
      </c>
      <c r="C248" s="12">
        <f t="shared" si="16"/>
        <v>4</v>
      </c>
      <c r="D248" s="12">
        <f t="shared" si="17"/>
        <v>6</v>
      </c>
      <c r="E248" s="20" t="s">
        <v>114</v>
      </c>
      <c r="F248" s="20" t="s">
        <v>115</v>
      </c>
      <c r="G248" s="20" t="s">
        <v>116</v>
      </c>
      <c r="H248" s="20" t="s">
        <v>153</v>
      </c>
      <c r="I248" s="20">
        <v>4</v>
      </c>
      <c r="J248" s="20" t="s">
        <v>154</v>
      </c>
      <c r="K248" s="20" t="s">
        <v>162</v>
      </c>
      <c r="L248" s="20" t="s">
        <v>156</v>
      </c>
      <c r="M248" s="20" t="s">
        <v>115</v>
      </c>
      <c r="N248" s="20" t="s">
        <v>121</v>
      </c>
      <c r="P248" s="20" t="s">
        <v>115</v>
      </c>
      <c r="Q248" s="20" t="s">
        <v>122</v>
      </c>
      <c r="R248" s="20" t="s">
        <v>84</v>
      </c>
      <c r="S248" s="20" t="s">
        <v>123</v>
      </c>
      <c r="T248" s="20" t="s">
        <v>124</v>
      </c>
      <c r="U248" s="20" t="s">
        <v>125</v>
      </c>
      <c r="V248" s="20" t="s">
        <v>87</v>
      </c>
      <c r="W248" s="20">
        <v>504</v>
      </c>
      <c r="X248" s="20">
        <v>504</v>
      </c>
      <c r="Y248" s="20" t="s">
        <v>157</v>
      </c>
      <c r="Z248" s="20">
        <v>0.5</v>
      </c>
      <c r="AA248" s="20" t="s">
        <v>158</v>
      </c>
      <c r="AB248" s="20" t="s">
        <v>159</v>
      </c>
      <c r="AC248" s="20" t="s">
        <v>160</v>
      </c>
      <c r="AD248" s="20" t="s">
        <v>161</v>
      </c>
      <c r="AE248" s="20" t="s">
        <v>91</v>
      </c>
      <c r="AF248" s="20">
        <v>0.5</v>
      </c>
      <c r="AG248" s="20">
        <v>0</v>
      </c>
      <c r="AH248" s="20">
        <v>1</v>
      </c>
      <c r="AI248" s="7" t="s">
        <v>98</v>
      </c>
      <c r="AJ248" s="20">
        <v>40</v>
      </c>
      <c r="AK248" s="4" t="s">
        <v>129</v>
      </c>
      <c r="AL248" s="4">
        <v>1</v>
      </c>
      <c r="AM248" s="4" t="s">
        <v>130</v>
      </c>
      <c r="AN248" s="4" t="s">
        <v>95</v>
      </c>
      <c r="AO248" s="4" t="s">
        <v>131</v>
      </c>
      <c r="AP248" s="4">
        <v>2</v>
      </c>
      <c r="AQ248" s="20">
        <v>43000</v>
      </c>
      <c r="AR248" s="4">
        <v>41752</v>
      </c>
      <c r="AS248" s="20">
        <v>9772.7272727272721</v>
      </c>
      <c r="AT248" s="20">
        <v>10600</v>
      </c>
      <c r="AU248" s="20">
        <v>827.27272727272793</v>
      </c>
      <c r="AV248" s="20">
        <v>0</v>
      </c>
      <c r="AW248" s="20">
        <v>0</v>
      </c>
      <c r="AX248" s="20" t="s">
        <v>91</v>
      </c>
      <c r="AY248" s="20">
        <v>0</v>
      </c>
      <c r="AZ248" s="20">
        <v>0</v>
      </c>
      <c r="BA248" s="20">
        <v>10600</v>
      </c>
      <c r="BB248" s="6">
        <v>41736</v>
      </c>
      <c r="BC248" s="6">
        <v>0</v>
      </c>
      <c r="BD248" s="6">
        <v>41774</v>
      </c>
      <c r="BE248" s="6">
        <v>0</v>
      </c>
      <c r="BF248" s="6">
        <v>41809</v>
      </c>
      <c r="BG248" s="6">
        <v>0</v>
      </c>
      <c r="BH248" s="6">
        <v>0</v>
      </c>
      <c r="BI248" s="6">
        <v>0</v>
      </c>
      <c r="BJ248" s="6">
        <v>0</v>
      </c>
      <c r="BK248" s="5" t="s">
        <v>401</v>
      </c>
      <c r="BL248" s="4" t="s">
        <v>401</v>
      </c>
      <c r="BM248" s="20">
        <v>40</v>
      </c>
      <c r="BN248" s="20">
        <v>0</v>
      </c>
      <c r="BO248" s="20">
        <v>0</v>
      </c>
      <c r="BP248" s="20">
        <v>0</v>
      </c>
      <c r="BQ248" s="20">
        <v>0</v>
      </c>
      <c r="BR248" s="20">
        <v>0</v>
      </c>
      <c r="BS248" s="20">
        <v>40</v>
      </c>
      <c r="BT248" s="20">
        <v>424000</v>
      </c>
      <c r="BU248" s="20">
        <v>1720000</v>
      </c>
      <c r="BV248" s="20">
        <v>3.6878216123499139</v>
      </c>
    </row>
    <row r="249" spans="1:74">
      <c r="A249" s="10">
        <f t="shared" si="14"/>
        <v>0</v>
      </c>
      <c r="B249" s="10">
        <f t="shared" si="15"/>
        <v>0</v>
      </c>
      <c r="C249" s="12" t="str">
        <f t="shared" si="16"/>
        <v/>
      </c>
      <c r="D249" s="12" t="str">
        <f t="shared" si="17"/>
        <v/>
      </c>
      <c r="E249" s="20" t="s">
        <v>91</v>
      </c>
      <c r="F249" s="20" t="s">
        <v>91</v>
      </c>
      <c r="G249" s="20" t="s">
        <v>91</v>
      </c>
      <c r="H249" s="20" t="s">
        <v>91</v>
      </c>
      <c r="I249" s="20">
        <v>0</v>
      </c>
      <c r="J249" s="20" t="s">
        <v>103</v>
      </c>
      <c r="K249" s="20" t="s">
        <v>104</v>
      </c>
      <c r="L249" s="20">
        <v>0</v>
      </c>
      <c r="M249" s="20" t="s">
        <v>105</v>
      </c>
      <c r="N249" s="20" t="s">
        <v>91</v>
      </c>
      <c r="O249" s="20" t="s">
        <v>163</v>
      </c>
      <c r="Q249" s="20" t="s">
        <v>91</v>
      </c>
      <c r="R249" s="20" t="s">
        <v>91</v>
      </c>
      <c r="S249" s="20" t="s">
        <v>91</v>
      </c>
      <c r="U249" s="20" t="s">
        <v>91</v>
      </c>
      <c r="V249" s="20" t="s">
        <v>87</v>
      </c>
      <c r="X249" s="20" t="s">
        <v>91</v>
      </c>
      <c r="Y249" s="20" t="s">
        <v>91</v>
      </c>
      <c r="Z249" s="20">
        <v>4</v>
      </c>
      <c r="AB249" s="20" t="s">
        <v>91</v>
      </c>
      <c r="AD249" s="20" t="s">
        <v>91</v>
      </c>
      <c r="AE249" s="20" t="s">
        <v>91</v>
      </c>
      <c r="AF249" s="20">
        <v>4</v>
      </c>
      <c r="AG249" s="20">
        <v>0</v>
      </c>
      <c r="AH249" s="20">
        <v>1</v>
      </c>
      <c r="AI249" s="7"/>
      <c r="AM249" s="4" t="s">
        <v>91</v>
      </c>
      <c r="AP249" s="4" t="s">
        <v>91</v>
      </c>
      <c r="AQ249" s="20">
        <v>0</v>
      </c>
      <c r="AR249" s="4">
        <v>0</v>
      </c>
      <c r="AS249" s="20">
        <v>0</v>
      </c>
      <c r="AT249" s="20">
        <v>0</v>
      </c>
      <c r="AU249" s="20">
        <v>0</v>
      </c>
      <c r="AV249" s="20">
        <v>0</v>
      </c>
      <c r="AW249" s="20">
        <v>0</v>
      </c>
      <c r="AX249" s="20" t="s">
        <v>91</v>
      </c>
      <c r="AY249" s="20">
        <v>0</v>
      </c>
      <c r="AZ249" s="20">
        <v>0</v>
      </c>
      <c r="BA249" s="20">
        <v>0</v>
      </c>
      <c r="BB249" s="6">
        <v>0</v>
      </c>
      <c r="BC249" s="6">
        <v>0</v>
      </c>
      <c r="BD249" s="6">
        <v>0</v>
      </c>
      <c r="BE249" s="6">
        <v>0</v>
      </c>
      <c r="BF249" s="6">
        <v>0</v>
      </c>
      <c r="BG249" s="6">
        <v>0</v>
      </c>
      <c r="BH249" s="6">
        <v>0</v>
      </c>
      <c r="BI249" s="6">
        <v>0</v>
      </c>
      <c r="BJ249" s="6">
        <v>0</v>
      </c>
      <c r="BK249" s="5">
        <v>0</v>
      </c>
      <c r="BL249" s="4">
        <v>0</v>
      </c>
      <c r="BM249" s="20">
        <v>478</v>
      </c>
      <c r="BN249" s="20">
        <v>0</v>
      </c>
      <c r="BO249" s="20">
        <v>0</v>
      </c>
      <c r="BP249" s="20">
        <v>0</v>
      </c>
      <c r="BQ249" s="20">
        <v>0</v>
      </c>
      <c r="BR249" s="20">
        <v>0</v>
      </c>
      <c r="BS249" s="20">
        <v>480</v>
      </c>
      <c r="BT249" s="20">
        <v>5448000</v>
      </c>
      <c r="BU249" s="20">
        <v>21120000</v>
      </c>
      <c r="BV249" s="20">
        <v>3.5242290748898673</v>
      </c>
    </row>
    <row r="250" spans="1:74">
      <c r="A250" s="10">
        <f t="shared" si="14"/>
        <v>0</v>
      </c>
      <c r="B250" s="10">
        <f t="shared" si="15"/>
        <v>0.33333333333333331</v>
      </c>
      <c r="C250" s="12">
        <f t="shared" si="16"/>
        <v>4</v>
      </c>
      <c r="D250" s="12">
        <f t="shared" si="17"/>
        <v>9</v>
      </c>
      <c r="E250" s="20" t="s">
        <v>114</v>
      </c>
      <c r="F250" s="20" t="s">
        <v>164</v>
      </c>
      <c r="G250" s="20" t="s">
        <v>165</v>
      </c>
      <c r="H250" s="20" t="s">
        <v>166</v>
      </c>
      <c r="I250" s="20">
        <v>1</v>
      </c>
      <c r="J250" s="20" t="s">
        <v>167</v>
      </c>
      <c r="K250" s="20" t="s">
        <v>168</v>
      </c>
      <c r="L250" s="20" t="s">
        <v>169</v>
      </c>
      <c r="M250" s="20" t="s">
        <v>164</v>
      </c>
      <c r="N250" s="20" t="s">
        <v>170</v>
      </c>
      <c r="P250" s="20" t="s">
        <v>164</v>
      </c>
      <c r="Q250" s="20" t="s">
        <v>171</v>
      </c>
      <c r="R250" s="20" t="s">
        <v>84</v>
      </c>
      <c r="S250" s="20">
        <v>5</v>
      </c>
      <c r="T250" s="20" t="s">
        <v>172</v>
      </c>
      <c r="U250" s="20" t="s">
        <v>173</v>
      </c>
      <c r="V250" s="20" t="s">
        <v>87</v>
      </c>
      <c r="W250" s="20">
        <v>511</v>
      </c>
      <c r="X250" s="20">
        <v>511</v>
      </c>
      <c r="Y250" s="20" t="s">
        <v>174</v>
      </c>
      <c r="Z250" s="20">
        <v>0.33333333333333331</v>
      </c>
      <c r="AA250" s="20" t="s">
        <v>175</v>
      </c>
      <c r="AB250" s="20" t="s">
        <v>176</v>
      </c>
      <c r="AC250" s="20" t="s">
        <v>177</v>
      </c>
      <c r="AD250" s="20" t="s">
        <v>178</v>
      </c>
      <c r="AE250" s="20" t="s">
        <v>91</v>
      </c>
      <c r="AF250" s="20">
        <v>0.33333333333333331</v>
      </c>
      <c r="AG250" s="20" t="s">
        <v>2632</v>
      </c>
      <c r="AH250" s="20">
        <v>1</v>
      </c>
      <c r="AI250" s="7" t="s">
        <v>92</v>
      </c>
      <c r="AJ250" s="20">
        <v>200</v>
      </c>
      <c r="AK250" s="4" t="s">
        <v>179</v>
      </c>
      <c r="AL250" s="4">
        <v>8</v>
      </c>
      <c r="AM250" s="4" t="s">
        <v>180</v>
      </c>
      <c r="AN250" s="4" t="s">
        <v>95</v>
      </c>
      <c r="AO250" s="4" t="s">
        <v>96</v>
      </c>
      <c r="AP250" s="4">
        <v>1</v>
      </c>
      <c r="AQ250" s="20">
        <v>45000</v>
      </c>
      <c r="AR250" s="4">
        <v>41836</v>
      </c>
      <c r="AS250" s="20">
        <v>6818.1818181818171</v>
      </c>
      <c r="AT250" s="20">
        <v>7122.7362068965494</v>
      </c>
      <c r="AU250" s="20">
        <v>304.55438871473234</v>
      </c>
      <c r="AV250" s="20">
        <v>1197.58620689655</v>
      </c>
      <c r="AW250" s="20">
        <v>0</v>
      </c>
      <c r="AX250" s="20" t="s">
        <v>91</v>
      </c>
      <c r="AY250" s="20">
        <v>1197.58620689655</v>
      </c>
      <c r="AZ250" s="20">
        <v>4.75</v>
      </c>
      <c r="BA250" s="20">
        <v>0</v>
      </c>
      <c r="BB250" s="6">
        <v>41739</v>
      </c>
      <c r="BC250" s="6">
        <v>41882</v>
      </c>
      <c r="BD250" s="6">
        <v>41864</v>
      </c>
      <c r="BF250" s="6">
        <v>41887</v>
      </c>
      <c r="BG250" s="6">
        <v>0</v>
      </c>
      <c r="BH250" s="6">
        <v>0</v>
      </c>
      <c r="BI250" s="6">
        <v>0</v>
      </c>
      <c r="BJ250" s="6">
        <v>0</v>
      </c>
      <c r="BK250" s="5" t="s">
        <v>401</v>
      </c>
      <c r="BL250" s="4" t="s">
        <v>401</v>
      </c>
      <c r="BM250" s="20">
        <v>200</v>
      </c>
      <c r="BN250" s="20">
        <v>0</v>
      </c>
      <c r="BO250" s="20">
        <v>0</v>
      </c>
      <c r="BP250" s="20">
        <v>0</v>
      </c>
      <c r="BQ250" s="20">
        <v>0</v>
      </c>
      <c r="BR250" s="20">
        <v>0</v>
      </c>
      <c r="BS250" s="20">
        <v>200</v>
      </c>
      <c r="BT250" s="20">
        <v>1424547.2413793099</v>
      </c>
      <c r="BU250" s="20">
        <v>9000000</v>
      </c>
      <c r="BV250" s="20">
        <v>5.7434516344267958</v>
      </c>
    </row>
    <row r="251" spans="1:74">
      <c r="A251" s="10">
        <f t="shared" si="14"/>
        <v>0</v>
      </c>
      <c r="B251" s="10">
        <f t="shared" si="15"/>
        <v>0.33333333333333331</v>
      </c>
      <c r="C251" s="12">
        <f t="shared" si="16"/>
        <v>4</v>
      </c>
      <c r="D251" s="12">
        <f t="shared" si="17"/>
        <v>9</v>
      </c>
      <c r="E251" s="20" t="s">
        <v>114</v>
      </c>
      <c r="F251" s="20" t="s">
        <v>164</v>
      </c>
      <c r="G251" s="20" t="s">
        <v>165</v>
      </c>
      <c r="H251" s="20" t="s">
        <v>166</v>
      </c>
      <c r="I251" s="20">
        <v>1</v>
      </c>
      <c r="J251" s="20" t="s">
        <v>167</v>
      </c>
      <c r="K251" s="20" t="s">
        <v>181</v>
      </c>
      <c r="L251" s="20" t="s">
        <v>169</v>
      </c>
      <c r="M251" s="20" t="s">
        <v>164</v>
      </c>
      <c r="N251" s="20" t="s">
        <v>170</v>
      </c>
      <c r="P251" s="20" t="s">
        <v>164</v>
      </c>
      <c r="Q251" s="20" t="s">
        <v>171</v>
      </c>
      <c r="R251" s="20" t="s">
        <v>84</v>
      </c>
      <c r="S251" s="20">
        <v>5</v>
      </c>
      <c r="T251" s="20" t="s">
        <v>172</v>
      </c>
      <c r="U251" s="20" t="s">
        <v>173</v>
      </c>
      <c r="V251" s="20" t="s">
        <v>87</v>
      </c>
      <c r="W251" s="20">
        <v>511</v>
      </c>
      <c r="X251" s="20">
        <v>511</v>
      </c>
      <c r="Y251" s="20" t="s">
        <v>174</v>
      </c>
      <c r="Z251" s="20">
        <v>0.33333333333333331</v>
      </c>
      <c r="AA251" s="20" t="s">
        <v>175</v>
      </c>
      <c r="AB251" s="20" t="s">
        <v>176</v>
      </c>
      <c r="AC251" s="20" t="s">
        <v>177</v>
      </c>
      <c r="AD251" s="20" t="s">
        <v>178</v>
      </c>
      <c r="AE251" s="20" t="s">
        <v>91</v>
      </c>
      <c r="AF251" s="20">
        <v>0.33333333333333331</v>
      </c>
      <c r="AG251" s="20" t="s">
        <v>2632</v>
      </c>
      <c r="AH251" s="20">
        <v>1</v>
      </c>
      <c r="AI251" s="7" t="s">
        <v>97</v>
      </c>
      <c r="AJ251" s="20">
        <v>60</v>
      </c>
      <c r="AK251" s="4" t="s">
        <v>179</v>
      </c>
      <c r="AL251" s="4">
        <v>8</v>
      </c>
      <c r="AM251" s="4" t="s">
        <v>180</v>
      </c>
      <c r="AN251" s="4" t="s">
        <v>95</v>
      </c>
      <c r="AO251" s="4" t="s">
        <v>96</v>
      </c>
      <c r="AP251" s="4">
        <v>1</v>
      </c>
      <c r="AQ251" s="20">
        <v>45000</v>
      </c>
      <c r="AR251" s="4">
        <v>41836</v>
      </c>
      <c r="AS251" s="20">
        <v>6818.1818181818171</v>
      </c>
      <c r="AT251" s="20">
        <v>7122.7362068965494</v>
      </c>
      <c r="AU251" s="20">
        <v>304.55438871473234</v>
      </c>
      <c r="AV251" s="20">
        <v>1197.58620689655</v>
      </c>
      <c r="AW251" s="20">
        <v>0</v>
      </c>
      <c r="AX251" s="20" t="s">
        <v>91</v>
      </c>
      <c r="AY251" s="20">
        <v>1197.58620689655</v>
      </c>
      <c r="AZ251" s="20">
        <v>4.75</v>
      </c>
      <c r="BA251" s="20">
        <v>0</v>
      </c>
      <c r="BB251" s="6">
        <v>41739</v>
      </c>
      <c r="BC251" s="6">
        <v>41882</v>
      </c>
      <c r="BD251" s="6">
        <v>41864</v>
      </c>
      <c r="BE251" s="6">
        <v>0</v>
      </c>
      <c r="BF251" s="6">
        <v>41887</v>
      </c>
      <c r="BG251" s="6">
        <v>0</v>
      </c>
      <c r="BH251" s="6">
        <v>0</v>
      </c>
      <c r="BI251" s="6">
        <v>0</v>
      </c>
      <c r="BJ251" s="6">
        <v>0</v>
      </c>
      <c r="BK251" s="5" t="s">
        <v>401</v>
      </c>
      <c r="BL251" s="4" t="s">
        <v>401</v>
      </c>
      <c r="BM251" s="20">
        <v>60</v>
      </c>
      <c r="BN251" s="20">
        <v>0</v>
      </c>
      <c r="BO251" s="20">
        <v>0</v>
      </c>
      <c r="BP251" s="20">
        <v>0</v>
      </c>
      <c r="BQ251" s="20">
        <v>0</v>
      </c>
      <c r="BR251" s="20">
        <v>0</v>
      </c>
      <c r="BS251" s="20">
        <v>60</v>
      </c>
      <c r="BT251" s="20">
        <v>427364.17241379299</v>
      </c>
      <c r="BU251" s="20">
        <v>2700000</v>
      </c>
      <c r="BV251" s="20">
        <v>5.7434516344267958</v>
      </c>
    </row>
    <row r="252" spans="1:74">
      <c r="A252" s="10">
        <f t="shared" si="14"/>
        <v>0</v>
      </c>
      <c r="B252" s="10">
        <f t="shared" si="15"/>
        <v>0.33333333333333331</v>
      </c>
      <c r="C252" s="12">
        <f t="shared" si="16"/>
        <v>4</v>
      </c>
      <c r="D252" s="12">
        <f t="shared" si="17"/>
        <v>9</v>
      </c>
      <c r="E252" s="20" t="s">
        <v>114</v>
      </c>
      <c r="F252" s="20" t="s">
        <v>164</v>
      </c>
      <c r="G252" s="20" t="s">
        <v>165</v>
      </c>
      <c r="H252" s="20" t="s">
        <v>166</v>
      </c>
      <c r="I252" s="20">
        <v>1</v>
      </c>
      <c r="J252" s="20" t="s">
        <v>167</v>
      </c>
      <c r="K252" s="20" t="s">
        <v>182</v>
      </c>
      <c r="L252" s="20" t="s">
        <v>169</v>
      </c>
      <c r="M252" s="20" t="s">
        <v>164</v>
      </c>
      <c r="N252" s="20" t="s">
        <v>170</v>
      </c>
      <c r="P252" s="20" t="s">
        <v>164</v>
      </c>
      <c r="Q252" s="20" t="s">
        <v>171</v>
      </c>
      <c r="R252" s="20" t="s">
        <v>84</v>
      </c>
      <c r="S252" s="20">
        <v>5</v>
      </c>
      <c r="T252" s="20" t="s">
        <v>172</v>
      </c>
      <c r="U252" s="20" t="s">
        <v>173</v>
      </c>
      <c r="V252" s="20" t="s">
        <v>87</v>
      </c>
      <c r="W252" s="20">
        <v>511</v>
      </c>
      <c r="X252" s="20">
        <v>511</v>
      </c>
      <c r="Y252" s="20" t="s">
        <v>174</v>
      </c>
      <c r="Z252" s="20">
        <v>0.33333333333333331</v>
      </c>
      <c r="AA252" s="20" t="s">
        <v>175</v>
      </c>
      <c r="AB252" s="20" t="s">
        <v>176</v>
      </c>
      <c r="AC252" s="20" t="s">
        <v>177</v>
      </c>
      <c r="AD252" s="20" t="s">
        <v>178</v>
      </c>
      <c r="AE252" s="20" t="s">
        <v>91</v>
      </c>
      <c r="AF252" s="20">
        <v>0.33333333333333331</v>
      </c>
      <c r="AG252" s="20" t="s">
        <v>2632</v>
      </c>
      <c r="AH252" s="20">
        <v>1</v>
      </c>
      <c r="AI252" s="7" t="s">
        <v>98</v>
      </c>
      <c r="AJ252" s="20">
        <v>30</v>
      </c>
      <c r="AK252" s="4" t="s">
        <v>179</v>
      </c>
      <c r="AL252" s="4">
        <v>8</v>
      </c>
      <c r="AM252" s="4" t="s">
        <v>180</v>
      </c>
      <c r="AN252" s="4" t="s">
        <v>95</v>
      </c>
      <c r="AO252" s="4" t="s">
        <v>96</v>
      </c>
      <c r="AP252" s="4">
        <v>1</v>
      </c>
      <c r="AQ252" s="20">
        <v>45000</v>
      </c>
      <c r="AR252" s="4">
        <v>41836</v>
      </c>
      <c r="AS252" s="20">
        <v>6818.1818181818171</v>
      </c>
      <c r="AT252" s="20">
        <v>7122.7362068965494</v>
      </c>
      <c r="AU252" s="20">
        <v>304.55438871473234</v>
      </c>
      <c r="AV252" s="20">
        <v>1197.58620689655</v>
      </c>
      <c r="AW252" s="20">
        <v>0</v>
      </c>
      <c r="AX252" s="20" t="s">
        <v>91</v>
      </c>
      <c r="AY252" s="20">
        <v>1197.58620689655</v>
      </c>
      <c r="AZ252" s="20">
        <v>4.75</v>
      </c>
      <c r="BA252" s="20">
        <v>0</v>
      </c>
      <c r="BB252" s="6">
        <v>41739</v>
      </c>
      <c r="BC252" s="6">
        <v>41882</v>
      </c>
      <c r="BD252" s="6">
        <v>41864</v>
      </c>
      <c r="BE252" s="6">
        <v>0</v>
      </c>
      <c r="BF252" s="6">
        <v>41887</v>
      </c>
      <c r="BG252" s="6">
        <v>0</v>
      </c>
      <c r="BH252" s="6">
        <v>0</v>
      </c>
      <c r="BI252" s="6">
        <v>0</v>
      </c>
      <c r="BJ252" s="6">
        <v>0</v>
      </c>
      <c r="BK252" s="5" t="s">
        <v>401</v>
      </c>
      <c r="BL252" s="4" t="s">
        <v>401</v>
      </c>
      <c r="BM252" s="20">
        <v>30</v>
      </c>
      <c r="BN252" s="20">
        <v>0</v>
      </c>
      <c r="BO252" s="20">
        <v>0</v>
      </c>
      <c r="BP252" s="20">
        <v>0</v>
      </c>
      <c r="BQ252" s="20">
        <v>0</v>
      </c>
      <c r="BR252" s="20">
        <v>0</v>
      </c>
      <c r="BS252" s="20">
        <v>30</v>
      </c>
      <c r="BT252" s="20">
        <v>213682.08620689649</v>
      </c>
      <c r="BU252" s="20">
        <v>1350000</v>
      </c>
      <c r="BV252" s="20">
        <v>5.7434516344267958</v>
      </c>
    </row>
    <row r="253" spans="1:74">
      <c r="A253" s="10">
        <f t="shared" si="14"/>
        <v>0</v>
      </c>
      <c r="B253" s="10">
        <f t="shared" si="15"/>
        <v>0.33333333333333331</v>
      </c>
      <c r="C253" s="12">
        <f t="shared" si="16"/>
        <v>4</v>
      </c>
      <c r="D253" s="12">
        <f t="shared" si="17"/>
        <v>9</v>
      </c>
      <c r="E253" s="20" t="s">
        <v>114</v>
      </c>
      <c r="F253" s="20" t="s">
        <v>164</v>
      </c>
      <c r="G253" s="20" t="s">
        <v>165</v>
      </c>
      <c r="H253" s="20" t="s">
        <v>183</v>
      </c>
      <c r="I253" s="20">
        <v>2</v>
      </c>
      <c r="J253" s="20" t="s">
        <v>184</v>
      </c>
      <c r="K253" s="20" t="s">
        <v>185</v>
      </c>
      <c r="L253" s="20" t="s">
        <v>186</v>
      </c>
      <c r="M253" s="20" t="s">
        <v>164</v>
      </c>
      <c r="N253" s="20" t="s">
        <v>170</v>
      </c>
      <c r="P253" s="20" t="s">
        <v>164</v>
      </c>
      <c r="Q253" s="20" t="s">
        <v>171</v>
      </c>
      <c r="R253" s="20" t="s">
        <v>84</v>
      </c>
      <c r="S253" s="20">
        <v>5</v>
      </c>
      <c r="T253" s="20" t="s">
        <v>172</v>
      </c>
      <c r="U253" s="20" t="s">
        <v>173</v>
      </c>
      <c r="V253" s="20" t="s">
        <v>87</v>
      </c>
      <c r="W253" s="20">
        <v>512</v>
      </c>
      <c r="X253" s="20">
        <v>512</v>
      </c>
      <c r="Y253" s="20" t="s">
        <v>187</v>
      </c>
      <c r="Z253" s="20">
        <v>0.33333333333333331</v>
      </c>
      <c r="AA253" s="20" t="s">
        <v>188</v>
      </c>
      <c r="AB253" s="20" t="s">
        <v>189</v>
      </c>
      <c r="AC253" s="20" t="s">
        <v>190</v>
      </c>
      <c r="AD253" s="20" t="s">
        <v>191</v>
      </c>
      <c r="AE253" s="20" t="s">
        <v>91</v>
      </c>
      <c r="AF253" s="20">
        <v>0.33333333333333331</v>
      </c>
      <c r="AG253" s="20" t="s">
        <v>2633</v>
      </c>
      <c r="AH253" s="20">
        <v>1</v>
      </c>
      <c r="AI253" s="7" t="s">
        <v>92</v>
      </c>
      <c r="AJ253" s="20">
        <v>250</v>
      </c>
      <c r="AK253" s="4" t="s">
        <v>179</v>
      </c>
      <c r="AL253" s="4">
        <v>8</v>
      </c>
      <c r="AM253" s="4" t="s">
        <v>180</v>
      </c>
      <c r="AN253" s="4" t="s">
        <v>95</v>
      </c>
      <c r="AO253" s="4" t="s">
        <v>96</v>
      </c>
      <c r="AP253" s="4">
        <v>1</v>
      </c>
      <c r="AQ253" s="20">
        <v>45000</v>
      </c>
      <c r="AR253" s="4">
        <v>41836</v>
      </c>
      <c r="AS253" s="20">
        <v>6818.1818181818171</v>
      </c>
      <c r="AT253" s="20">
        <v>7075.2954054054098</v>
      </c>
      <c r="AU253" s="20">
        <v>257.11358722359273</v>
      </c>
      <c r="AV253" s="20">
        <v>1025.40540540541</v>
      </c>
      <c r="AW253" s="20">
        <v>0</v>
      </c>
      <c r="AX253" s="20" t="s">
        <v>91</v>
      </c>
      <c r="AY253" s="20">
        <v>1025.40540540541</v>
      </c>
      <c r="AZ253" s="20">
        <v>4.8499999999999996</v>
      </c>
      <c r="BA253" s="20">
        <v>0</v>
      </c>
      <c r="BB253" s="6">
        <v>41739</v>
      </c>
      <c r="BC253" s="6">
        <v>41882</v>
      </c>
      <c r="BD253" s="6">
        <v>41864</v>
      </c>
      <c r="BE253" s="6">
        <v>0</v>
      </c>
      <c r="BF253" s="6">
        <v>41887</v>
      </c>
      <c r="BG253" s="6">
        <v>0</v>
      </c>
      <c r="BH253" s="6">
        <v>0</v>
      </c>
      <c r="BI253" s="6">
        <v>0</v>
      </c>
      <c r="BJ253" s="6">
        <v>0</v>
      </c>
      <c r="BK253" s="5" t="s">
        <v>401</v>
      </c>
      <c r="BL253" s="4" t="s">
        <v>401</v>
      </c>
      <c r="BM253" s="20">
        <v>250</v>
      </c>
      <c r="BN253" s="20">
        <v>0</v>
      </c>
      <c r="BO253" s="20">
        <v>0</v>
      </c>
      <c r="BP253" s="20">
        <v>0</v>
      </c>
      <c r="BQ253" s="20">
        <v>0</v>
      </c>
      <c r="BR253" s="20">
        <v>0</v>
      </c>
      <c r="BS253" s="20">
        <v>250</v>
      </c>
      <c r="BT253" s="20">
        <v>1768823.8513513524</v>
      </c>
      <c r="BU253" s="20">
        <v>11250000</v>
      </c>
      <c r="BV253" s="20">
        <v>5.7819622453978434</v>
      </c>
    </row>
    <row r="254" spans="1:74">
      <c r="A254" s="10">
        <f t="shared" si="14"/>
        <v>0</v>
      </c>
      <c r="B254" s="10">
        <f t="shared" si="15"/>
        <v>0.33333333333333331</v>
      </c>
      <c r="C254" s="12">
        <f t="shared" si="16"/>
        <v>4</v>
      </c>
      <c r="D254" s="12">
        <f t="shared" si="17"/>
        <v>9</v>
      </c>
      <c r="E254" s="20" t="s">
        <v>114</v>
      </c>
      <c r="F254" s="20" t="s">
        <v>164</v>
      </c>
      <c r="G254" s="20" t="s">
        <v>165</v>
      </c>
      <c r="H254" s="20" t="s">
        <v>183</v>
      </c>
      <c r="I254" s="20">
        <v>2</v>
      </c>
      <c r="J254" s="20" t="s">
        <v>184</v>
      </c>
      <c r="K254" s="20" t="s">
        <v>192</v>
      </c>
      <c r="L254" s="20" t="s">
        <v>186</v>
      </c>
      <c r="M254" s="20" t="s">
        <v>164</v>
      </c>
      <c r="N254" s="20" t="s">
        <v>170</v>
      </c>
      <c r="P254" s="20" t="s">
        <v>164</v>
      </c>
      <c r="Q254" s="20" t="s">
        <v>171</v>
      </c>
      <c r="R254" s="20" t="s">
        <v>84</v>
      </c>
      <c r="S254" s="20">
        <v>5</v>
      </c>
      <c r="T254" s="20" t="s">
        <v>172</v>
      </c>
      <c r="U254" s="20" t="s">
        <v>173</v>
      </c>
      <c r="V254" s="20" t="s">
        <v>87</v>
      </c>
      <c r="W254" s="20">
        <v>512</v>
      </c>
      <c r="X254" s="20">
        <v>512</v>
      </c>
      <c r="Y254" s="20" t="s">
        <v>187</v>
      </c>
      <c r="Z254" s="20">
        <v>0.33333333333333331</v>
      </c>
      <c r="AA254" s="20" t="s">
        <v>188</v>
      </c>
      <c r="AB254" s="20" t="s">
        <v>189</v>
      </c>
      <c r="AC254" s="20" t="s">
        <v>190</v>
      </c>
      <c r="AD254" s="20" t="s">
        <v>191</v>
      </c>
      <c r="AE254" s="20" t="s">
        <v>91</v>
      </c>
      <c r="AF254" s="20">
        <v>0.33333333333333331</v>
      </c>
      <c r="AG254" s="20" t="s">
        <v>2633</v>
      </c>
      <c r="AH254" s="20">
        <v>1</v>
      </c>
      <c r="AI254" s="7" t="s">
        <v>97</v>
      </c>
      <c r="AJ254" s="20">
        <v>70</v>
      </c>
      <c r="AK254" s="4" t="s">
        <v>179</v>
      </c>
      <c r="AL254" s="4">
        <v>8</v>
      </c>
      <c r="AM254" s="4" t="s">
        <v>180</v>
      </c>
      <c r="AN254" s="4" t="s">
        <v>95</v>
      </c>
      <c r="AO254" s="4" t="s">
        <v>96</v>
      </c>
      <c r="AP254" s="4">
        <v>1</v>
      </c>
      <c r="AQ254" s="20">
        <v>45000</v>
      </c>
      <c r="AR254" s="4">
        <v>41836</v>
      </c>
      <c r="AS254" s="20">
        <v>6818.1818181818171</v>
      </c>
      <c r="AT254" s="20">
        <v>7075.2954054054098</v>
      </c>
      <c r="AU254" s="20">
        <v>257.11358722359273</v>
      </c>
      <c r="AV254" s="20">
        <v>1025.40540540541</v>
      </c>
      <c r="AW254" s="20">
        <v>0</v>
      </c>
      <c r="AX254" s="20" t="s">
        <v>91</v>
      </c>
      <c r="AY254" s="20">
        <v>1025.40540540541</v>
      </c>
      <c r="AZ254" s="20">
        <v>4.8499999999999996</v>
      </c>
      <c r="BA254" s="20">
        <v>0</v>
      </c>
      <c r="BB254" s="6">
        <v>41739</v>
      </c>
      <c r="BC254" s="6">
        <v>41882</v>
      </c>
      <c r="BD254" s="6">
        <v>41864</v>
      </c>
      <c r="BE254" s="6">
        <v>0</v>
      </c>
      <c r="BF254" s="6">
        <v>41887</v>
      </c>
      <c r="BG254" s="6">
        <v>0</v>
      </c>
      <c r="BH254" s="6">
        <v>0</v>
      </c>
      <c r="BI254" s="6">
        <v>0</v>
      </c>
      <c r="BJ254" s="6">
        <v>0</v>
      </c>
      <c r="BK254" s="5" t="s">
        <v>401</v>
      </c>
      <c r="BL254" s="4" t="s">
        <v>401</v>
      </c>
      <c r="BM254" s="20">
        <v>70</v>
      </c>
      <c r="BN254" s="20">
        <v>0</v>
      </c>
      <c r="BO254" s="20">
        <v>0</v>
      </c>
      <c r="BP254" s="20">
        <v>0</v>
      </c>
      <c r="BQ254" s="20">
        <v>0</v>
      </c>
      <c r="BR254" s="20">
        <v>0</v>
      </c>
      <c r="BS254" s="20">
        <v>70</v>
      </c>
      <c r="BT254" s="20">
        <v>495270.67837837868</v>
      </c>
      <c r="BU254" s="20">
        <v>3150000</v>
      </c>
      <c r="BV254" s="20">
        <v>5.7819622453978434</v>
      </c>
    </row>
    <row r="255" spans="1:74">
      <c r="A255" s="10">
        <f t="shared" si="14"/>
        <v>0</v>
      </c>
      <c r="B255" s="10">
        <f t="shared" si="15"/>
        <v>0.33333333333333331</v>
      </c>
      <c r="C255" s="12">
        <f t="shared" si="16"/>
        <v>4</v>
      </c>
      <c r="D255" s="12">
        <f t="shared" si="17"/>
        <v>9</v>
      </c>
      <c r="E255" s="20" t="s">
        <v>114</v>
      </c>
      <c r="F255" s="20" t="s">
        <v>164</v>
      </c>
      <c r="G255" s="20" t="s">
        <v>165</v>
      </c>
      <c r="H255" s="20" t="s">
        <v>183</v>
      </c>
      <c r="I255" s="20">
        <v>2</v>
      </c>
      <c r="J255" s="20" t="s">
        <v>184</v>
      </c>
      <c r="K255" s="20" t="s">
        <v>193</v>
      </c>
      <c r="L255" s="20" t="s">
        <v>186</v>
      </c>
      <c r="M255" s="20" t="s">
        <v>164</v>
      </c>
      <c r="N255" s="20" t="s">
        <v>170</v>
      </c>
      <c r="P255" s="20" t="s">
        <v>164</v>
      </c>
      <c r="Q255" s="20" t="s">
        <v>171</v>
      </c>
      <c r="R255" s="20" t="s">
        <v>84</v>
      </c>
      <c r="S255" s="20">
        <v>5</v>
      </c>
      <c r="T255" s="20" t="s">
        <v>172</v>
      </c>
      <c r="U255" s="20" t="s">
        <v>173</v>
      </c>
      <c r="V255" s="20" t="s">
        <v>87</v>
      </c>
      <c r="W255" s="20">
        <v>512</v>
      </c>
      <c r="X255" s="20">
        <v>512</v>
      </c>
      <c r="Y255" s="20" t="s">
        <v>187</v>
      </c>
      <c r="Z255" s="20">
        <v>0.33333333333333331</v>
      </c>
      <c r="AA255" s="20" t="s">
        <v>188</v>
      </c>
      <c r="AB255" s="20" t="s">
        <v>189</v>
      </c>
      <c r="AC255" s="20" t="s">
        <v>190</v>
      </c>
      <c r="AD255" s="20" t="s">
        <v>191</v>
      </c>
      <c r="AE255" s="20" t="s">
        <v>91</v>
      </c>
      <c r="AF255" s="20">
        <v>0.33333333333333331</v>
      </c>
      <c r="AG255" s="20" t="s">
        <v>2633</v>
      </c>
      <c r="AH255" s="20">
        <v>1</v>
      </c>
      <c r="AI255" s="7" t="s">
        <v>98</v>
      </c>
      <c r="AJ255" s="20">
        <v>50</v>
      </c>
      <c r="AK255" s="4" t="s">
        <v>179</v>
      </c>
      <c r="AL255" s="4">
        <v>8</v>
      </c>
      <c r="AM255" s="4" t="s">
        <v>180</v>
      </c>
      <c r="AN255" s="4" t="s">
        <v>95</v>
      </c>
      <c r="AO255" s="4" t="s">
        <v>96</v>
      </c>
      <c r="AP255" s="4">
        <v>1</v>
      </c>
      <c r="AQ255" s="20">
        <v>45000</v>
      </c>
      <c r="AR255" s="4">
        <v>41836</v>
      </c>
      <c r="AS255" s="20">
        <v>6818.1818181818171</v>
      </c>
      <c r="AT255" s="20">
        <v>7075.2954054054098</v>
      </c>
      <c r="AU255" s="20">
        <v>257.11358722359273</v>
      </c>
      <c r="AV255" s="20">
        <v>1025.40540540541</v>
      </c>
      <c r="AW255" s="20">
        <v>0</v>
      </c>
      <c r="AX255" s="20" t="s">
        <v>91</v>
      </c>
      <c r="AY255" s="20">
        <v>1025.40540540541</v>
      </c>
      <c r="AZ255" s="20">
        <v>4.8499999999999996</v>
      </c>
      <c r="BA255" s="20">
        <v>0</v>
      </c>
      <c r="BB255" s="6">
        <v>41739</v>
      </c>
      <c r="BC255" s="6">
        <v>41882</v>
      </c>
      <c r="BD255" s="6">
        <v>41864</v>
      </c>
      <c r="BE255" s="6">
        <v>0</v>
      </c>
      <c r="BF255" s="6">
        <v>41887</v>
      </c>
      <c r="BG255" s="6">
        <v>0</v>
      </c>
      <c r="BH255" s="6">
        <v>0</v>
      </c>
      <c r="BI255" s="6">
        <v>0</v>
      </c>
      <c r="BJ255" s="6">
        <v>0</v>
      </c>
      <c r="BK255" s="5" t="s">
        <v>401</v>
      </c>
      <c r="BL255" s="4" t="s">
        <v>401</v>
      </c>
      <c r="BM255" s="20">
        <v>50</v>
      </c>
      <c r="BN255" s="20">
        <v>0</v>
      </c>
      <c r="BO255" s="20">
        <v>0</v>
      </c>
      <c r="BP255" s="20">
        <v>0</v>
      </c>
      <c r="BQ255" s="20">
        <v>0</v>
      </c>
      <c r="BR255" s="20">
        <v>0</v>
      </c>
      <c r="BS255" s="20">
        <v>50</v>
      </c>
      <c r="BT255" s="20">
        <v>353764.77027027047</v>
      </c>
      <c r="BU255" s="20">
        <v>2250000</v>
      </c>
      <c r="BV255" s="20">
        <v>5.7819622453978434</v>
      </c>
    </row>
    <row r="256" spans="1:74">
      <c r="A256" s="10">
        <f t="shared" si="14"/>
        <v>0</v>
      </c>
      <c r="B256" s="10">
        <f t="shared" si="15"/>
        <v>0.33333333333333331</v>
      </c>
      <c r="C256" s="12">
        <f t="shared" si="16"/>
        <v>4</v>
      </c>
      <c r="D256" s="12">
        <f t="shared" si="17"/>
        <v>10</v>
      </c>
      <c r="E256" s="20" t="s">
        <v>114</v>
      </c>
      <c r="F256" s="20" t="s">
        <v>164</v>
      </c>
      <c r="G256" s="20" t="s">
        <v>165</v>
      </c>
      <c r="H256" s="20" t="s">
        <v>194</v>
      </c>
      <c r="I256" s="20">
        <v>3</v>
      </c>
      <c r="J256" s="20" t="s">
        <v>195</v>
      </c>
      <c r="K256" s="20" t="s">
        <v>196</v>
      </c>
      <c r="L256" s="20" t="s">
        <v>197</v>
      </c>
      <c r="M256" s="20" t="s">
        <v>164</v>
      </c>
      <c r="N256" s="20" t="s">
        <v>170</v>
      </c>
      <c r="P256" s="20" t="s">
        <v>164</v>
      </c>
      <c r="Q256" s="20" t="s">
        <v>171</v>
      </c>
      <c r="R256" s="20" t="s">
        <v>84</v>
      </c>
      <c r="S256" s="20">
        <v>5</v>
      </c>
      <c r="T256" s="20" t="s">
        <v>198</v>
      </c>
      <c r="U256" s="20" t="s">
        <v>199</v>
      </c>
      <c r="V256" s="20" t="s">
        <v>87</v>
      </c>
      <c r="W256" s="20">
        <v>514</v>
      </c>
      <c r="X256" s="20">
        <v>514</v>
      </c>
      <c r="Y256" s="20" t="s">
        <v>200</v>
      </c>
      <c r="Z256" s="20">
        <v>0.33333333333333331</v>
      </c>
      <c r="AA256" s="20" t="s">
        <v>201</v>
      </c>
      <c r="AB256" s="20" t="s">
        <v>89</v>
      </c>
      <c r="AC256" s="20" t="s">
        <v>90</v>
      </c>
      <c r="AD256" s="20" t="s">
        <v>202</v>
      </c>
      <c r="AE256" s="20" t="s">
        <v>91</v>
      </c>
      <c r="AF256" s="20">
        <v>0.33333333333333331</v>
      </c>
      <c r="AG256" s="20" t="s">
        <v>2634</v>
      </c>
      <c r="AH256" s="20">
        <v>1</v>
      </c>
      <c r="AI256" s="7" t="s">
        <v>92</v>
      </c>
      <c r="AJ256" s="20">
        <v>200</v>
      </c>
      <c r="AK256" s="4" t="s">
        <v>179</v>
      </c>
      <c r="AL256" s="4">
        <v>8</v>
      </c>
      <c r="AM256" s="4" t="s">
        <v>180</v>
      </c>
      <c r="AN256" s="4" t="s">
        <v>95</v>
      </c>
      <c r="AO256" s="4" t="s">
        <v>96</v>
      </c>
      <c r="AP256" s="4">
        <v>1</v>
      </c>
      <c r="AQ256" s="20">
        <v>43000</v>
      </c>
      <c r="AR256" s="4">
        <v>41836</v>
      </c>
      <c r="AS256" s="20">
        <v>6515.151515151515</v>
      </c>
      <c r="AT256" s="20">
        <v>7304.7000000000007</v>
      </c>
      <c r="AU256" s="20">
        <v>789.54848484848571</v>
      </c>
      <c r="AV256" s="20">
        <v>444</v>
      </c>
      <c r="AW256" s="20">
        <v>0</v>
      </c>
      <c r="AX256" s="20" t="s">
        <v>91</v>
      </c>
      <c r="AY256" s="20">
        <v>444</v>
      </c>
      <c r="AZ256" s="20">
        <v>5.5</v>
      </c>
      <c r="BA256" s="20">
        <v>0</v>
      </c>
      <c r="BB256" s="6">
        <v>41739</v>
      </c>
      <c r="BC256" s="6">
        <v>0</v>
      </c>
      <c r="BD256" s="6">
        <v>41864</v>
      </c>
      <c r="BE256" s="6">
        <v>0</v>
      </c>
      <c r="BF256" s="6">
        <v>41913</v>
      </c>
      <c r="BG256" s="6">
        <v>0</v>
      </c>
      <c r="BH256" s="6">
        <v>0</v>
      </c>
      <c r="BI256" s="6">
        <v>0</v>
      </c>
      <c r="BJ256" s="6">
        <v>0</v>
      </c>
      <c r="BK256" s="5" t="s">
        <v>401</v>
      </c>
      <c r="BL256" s="4" t="s">
        <v>401</v>
      </c>
      <c r="BM256" s="20">
        <v>200</v>
      </c>
      <c r="BN256" s="20">
        <v>0</v>
      </c>
      <c r="BO256" s="20">
        <v>0</v>
      </c>
      <c r="BP256" s="20">
        <v>0</v>
      </c>
      <c r="BQ256" s="20">
        <v>0</v>
      </c>
      <c r="BR256" s="20">
        <v>0</v>
      </c>
      <c r="BS256" s="20">
        <v>200</v>
      </c>
      <c r="BT256" s="20">
        <v>1460940.0000000002</v>
      </c>
      <c r="BU256" s="20">
        <v>8600000</v>
      </c>
      <c r="BV256" s="20">
        <v>5.3514735842552161</v>
      </c>
    </row>
    <row r="257" spans="1:74">
      <c r="A257" s="10">
        <f t="shared" si="14"/>
        <v>0</v>
      </c>
      <c r="B257" s="10">
        <f t="shared" si="15"/>
        <v>0.33333333333333331</v>
      </c>
      <c r="C257" s="12">
        <f t="shared" si="16"/>
        <v>4</v>
      </c>
      <c r="D257" s="12">
        <f t="shared" si="17"/>
        <v>10</v>
      </c>
      <c r="E257" s="20" t="s">
        <v>114</v>
      </c>
      <c r="F257" s="20" t="s">
        <v>164</v>
      </c>
      <c r="G257" s="20" t="s">
        <v>165</v>
      </c>
      <c r="H257" s="20" t="s">
        <v>194</v>
      </c>
      <c r="I257" s="20">
        <v>3</v>
      </c>
      <c r="J257" s="20" t="s">
        <v>195</v>
      </c>
      <c r="K257" s="20" t="s">
        <v>203</v>
      </c>
      <c r="L257" s="20" t="s">
        <v>197</v>
      </c>
      <c r="M257" s="20" t="s">
        <v>164</v>
      </c>
      <c r="N257" s="20" t="s">
        <v>170</v>
      </c>
      <c r="P257" s="20" t="s">
        <v>164</v>
      </c>
      <c r="Q257" s="20" t="s">
        <v>171</v>
      </c>
      <c r="R257" s="20" t="s">
        <v>84</v>
      </c>
      <c r="S257" s="20">
        <v>5</v>
      </c>
      <c r="T257" s="20" t="s">
        <v>198</v>
      </c>
      <c r="U257" s="20" t="s">
        <v>199</v>
      </c>
      <c r="V257" s="20" t="s">
        <v>87</v>
      </c>
      <c r="W257" s="20">
        <v>514</v>
      </c>
      <c r="X257" s="20">
        <v>514</v>
      </c>
      <c r="Y257" s="20" t="s">
        <v>200</v>
      </c>
      <c r="Z257" s="20">
        <v>0.33333333333333331</v>
      </c>
      <c r="AA257" s="20" t="s">
        <v>201</v>
      </c>
      <c r="AB257" s="20" t="s">
        <v>89</v>
      </c>
      <c r="AC257" s="20" t="s">
        <v>90</v>
      </c>
      <c r="AD257" s="20" t="s">
        <v>202</v>
      </c>
      <c r="AE257" s="20" t="s">
        <v>91</v>
      </c>
      <c r="AF257" s="20">
        <v>0.33333333333333331</v>
      </c>
      <c r="AG257" s="20" t="s">
        <v>2634</v>
      </c>
      <c r="AH257" s="20">
        <v>1</v>
      </c>
      <c r="AI257" s="7" t="s">
        <v>97</v>
      </c>
      <c r="AJ257" s="20">
        <v>150</v>
      </c>
      <c r="AK257" s="4" t="s">
        <v>179</v>
      </c>
      <c r="AL257" s="4">
        <v>8</v>
      </c>
      <c r="AM257" s="4" t="s">
        <v>180</v>
      </c>
      <c r="AN257" s="4" t="s">
        <v>95</v>
      </c>
      <c r="AO257" s="4" t="s">
        <v>96</v>
      </c>
      <c r="AP257" s="4">
        <v>1</v>
      </c>
      <c r="AQ257" s="20">
        <v>43000</v>
      </c>
      <c r="AR257" s="4">
        <v>41836</v>
      </c>
      <c r="AS257" s="20">
        <v>6515.151515151515</v>
      </c>
      <c r="AT257" s="20">
        <v>7304.7000000000007</v>
      </c>
      <c r="AU257" s="20">
        <v>789.54848484848571</v>
      </c>
      <c r="AV257" s="20">
        <v>444</v>
      </c>
      <c r="AW257" s="20">
        <v>0</v>
      </c>
      <c r="AX257" s="20" t="s">
        <v>91</v>
      </c>
      <c r="AY257" s="20">
        <v>444</v>
      </c>
      <c r="AZ257" s="20">
        <v>5.5</v>
      </c>
      <c r="BA257" s="20">
        <v>0</v>
      </c>
      <c r="BB257" s="6">
        <v>41739</v>
      </c>
      <c r="BC257" s="6">
        <v>0</v>
      </c>
      <c r="BD257" s="6">
        <v>41864</v>
      </c>
      <c r="BE257" s="6">
        <v>0</v>
      </c>
      <c r="BF257" s="6">
        <v>41913</v>
      </c>
      <c r="BG257" s="6">
        <v>0</v>
      </c>
      <c r="BH257" s="6">
        <v>0</v>
      </c>
      <c r="BI257" s="6">
        <v>0</v>
      </c>
      <c r="BJ257" s="6">
        <v>0</v>
      </c>
      <c r="BK257" s="5" t="s">
        <v>401</v>
      </c>
      <c r="BL257" s="4" t="s">
        <v>401</v>
      </c>
      <c r="BM257" s="20">
        <v>150</v>
      </c>
      <c r="BN257" s="20">
        <v>0</v>
      </c>
      <c r="BO257" s="20">
        <v>0</v>
      </c>
      <c r="BP257" s="20">
        <v>0</v>
      </c>
      <c r="BQ257" s="20">
        <v>0</v>
      </c>
      <c r="BR257" s="20">
        <v>0</v>
      </c>
      <c r="BS257" s="20">
        <v>150</v>
      </c>
      <c r="BT257" s="20">
        <v>1095705</v>
      </c>
      <c r="BU257" s="20">
        <v>6450000</v>
      </c>
      <c r="BV257" s="20">
        <v>5.3514735842552179</v>
      </c>
    </row>
    <row r="258" spans="1:74">
      <c r="A258" s="10">
        <f t="shared" si="14"/>
        <v>0</v>
      </c>
      <c r="B258" s="10">
        <f t="shared" si="15"/>
        <v>0.33333333333333331</v>
      </c>
      <c r="C258" s="12">
        <f t="shared" si="16"/>
        <v>4</v>
      </c>
      <c r="D258" s="12">
        <f t="shared" si="17"/>
        <v>10</v>
      </c>
      <c r="E258" s="20" t="s">
        <v>114</v>
      </c>
      <c r="F258" s="20" t="s">
        <v>164</v>
      </c>
      <c r="G258" s="20" t="s">
        <v>165</v>
      </c>
      <c r="H258" s="20" t="s">
        <v>194</v>
      </c>
      <c r="I258" s="20">
        <v>3</v>
      </c>
      <c r="J258" s="20" t="s">
        <v>195</v>
      </c>
      <c r="K258" s="20" t="s">
        <v>204</v>
      </c>
      <c r="L258" s="20" t="s">
        <v>197</v>
      </c>
      <c r="M258" s="20" t="s">
        <v>164</v>
      </c>
      <c r="N258" s="20" t="s">
        <v>170</v>
      </c>
      <c r="P258" s="20" t="s">
        <v>164</v>
      </c>
      <c r="Q258" s="20" t="s">
        <v>171</v>
      </c>
      <c r="R258" s="20" t="s">
        <v>84</v>
      </c>
      <c r="S258" s="20">
        <v>5</v>
      </c>
      <c r="T258" s="20" t="s">
        <v>198</v>
      </c>
      <c r="U258" s="20" t="s">
        <v>199</v>
      </c>
      <c r="V258" s="20" t="s">
        <v>87</v>
      </c>
      <c r="W258" s="20">
        <v>514</v>
      </c>
      <c r="X258" s="20">
        <v>514</v>
      </c>
      <c r="Y258" s="20" t="s">
        <v>200</v>
      </c>
      <c r="Z258" s="20">
        <v>0.33333333333333331</v>
      </c>
      <c r="AA258" s="20" t="s">
        <v>201</v>
      </c>
      <c r="AB258" s="20" t="s">
        <v>89</v>
      </c>
      <c r="AC258" s="20" t="s">
        <v>90</v>
      </c>
      <c r="AD258" s="20" t="s">
        <v>202</v>
      </c>
      <c r="AE258" s="20" t="s">
        <v>91</v>
      </c>
      <c r="AF258" s="20">
        <v>0.33333333333333331</v>
      </c>
      <c r="AG258" s="20" t="s">
        <v>2634</v>
      </c>
      <c r="AH258" s="20">
        <v>1</v>
      </c>
      <c r="AI258" s="7" t="s">
        <v>98</v>
      </c>
      <c r="AJ258" s="20">
        <v>100</v>
      </c>
      <c r="AK258" s="4" t="s">
        <v>179</v>
      </c>
      <c r="AL258" s="4">
        <v>8</v>
      </c>
      <c r="AM258" s="4" t="s">
        <v>180</v>
      </c>
      <c r="AN258" s="4" t="s">
        <v>95</v>
      </c>
      <c r="AO258" s="4" t="s">
        <v>96</v>
      </c>
      <c r="AP258" s="4">
        <v>1</v>
      </c>
      <c r="AQ258" s="20">
        <v>43000</v>
      </c>
      <c r="AR258" s="4">
        <v>41836</v>
      </c>
      <c r="AS258" s="20">
        <v>6515.151515151515</v>
      </c>
      <c r="AT258" s="20">
        <v>7304.7000000000007</v>
      </c>
      <c r="AU258" s="20">
        <v>789.54848484848571</v>
      </c>
      <c r="AV258" s="20">
        <v>444</v>
      </c>
      <c r="AW258" s="20">
        <v>0</v>
      </c>
      <c r="AX258" s="20" t="s">
        <v>91</v>
      </c>
      <c r="AY258" s="20">
        <v>444</v>
      </c>
      <c r="AZ258" s="20">
        <v>5.5</v>
      </c>
      <c r="BA258" s="20">
        <v>0</v>
      </c>
      <c r="BB258" s="6">
        <v>41739</v>
      </c>
      <c r="BC258" s="6">
        <v>0</v>
      </c>
      <c r="BD258" s="6">
        <v>41864</v>
      </c>
      <c r="BE258" s="6">
        <v>0</v>
      </c>
      <c r="BF258" s="6">
        <v>41913</v>
      </c>
      <c r="BG258" s="6">
        <v>0</v>
      </c>
      <c r="BH258" s="6">
        <v>0</v>
      </c>
      <c r="BI258" s="6">
        <v>0</v>
      </c>
      <c r="BJ258" s="6">
        <v>0</v>
      </c>
      <c r="BK258" s="5" t="s">
        <v>401</v>
      </c>
      <c r="BL258" s="4" t="s">
        <v>401</v>
      </c>
      <c r="BM258" s="20">
        <v>100</v>
      </c>
      <c r="BN258" s="20">
        <v>0</v>
      </c>
      <c r="BO258" s="20">
        <v>0</v>
      </c>
      <c r="BP258" s="20">
        <v>0</v>
      </c>
      <c r="BQ258" s="20">
        <v>0</v>
      </c>
      <c r="BR258" s="20">
        <v>0</v>
      </c>
      <c r="BS258" s="20">
        <v>100</v>
      </c>
      <c r="BT258" s="20">
        <v>730470.00000000012</v>
      </c>
      <c r="BU258" s="20">
        <v>4300000</v>
      </c>
      <c r="BV258" s="20">
        <v>5.3514735842552161</v>
      </c>
    </row>
    <row r="259" spans="1:74">
      <c r="A259" s="10">
        <f t="shared" ref="A259:A322" si="18">IF($BL259="공급",$Z259,0)</f>
        <v>0</v>
      </c>
      <c r="B259" s="10">
        <f t="shared" ref="B259:B322" si="19">IF($AV259&gt;0,$Z259,0)</f>
        <v>0.33333333333333331</v>
      </c>
      <c r="C259" s="12">
        <f t="shared" si="16"/>
        <v>4</v>
      </c>
      <c r="D259" s="12">
        <f t="shared" si="17"/>
        <v>10</v>
      </c>
      <c r="E259" s="20" t="s">
        <v>114</v>
      </c>
      <c r="F259" s="20" t="s">
        <v>164</v>
      </c>
      <c r="G259" s="20" t="s">
        <v>165</v>
      </c>
      <c r="H259" s="20" t="s">
        <v>205</v>
      </c>
      <c r="I259" s="20">
        <v>4</v>
      </c>
      <c r="J259" s="20" t="s">
        <v>206</v>
      </c>
      <c r="K259" s="20" t="s">
        <v>207</v>
      </c>
      <c r="L259" s="20" t="s">
        <v>208</v>
      </c>
      <c r="M259" s="20" t="s">
        <v>164</v>
      </c>
      <c r="N259" s="20" t="s">
        <v>170</v>
      </c>
      <c r="P259" s="20" t="s">
        <v>164</v>
      </c>
      <c r="Q259" s="20" t="s">
        <v>171</v>
      </c>
      <c r="R259" s="20" t="s">
        <v>84</v>
      </c>
      <c r="S259" s="20">
        <v>5</v>
      </c>
      <c r="T259" s="20" t="s">
        <v>198</v>
      </c>
      <c r="U259" s="20" t="s">
        <v>199</v>
      </c>
      <c r="V259" s="20" t="s">
        <v>87</v>
      </c>
      <c r="W259" s="20">
        <v>515</v>
      </c>
      <c r="X259" s="20">
        <v>515</v>
      </c>
      <c r="Y259" s="20" t="s">
        <v>209</v>
      </c>
      <c r="Z259" s="20">
        <v>0.33333333333333331</v>
      </c>
      <c r="AA259" s="20" t="s">
        <v>210</v>
      </c>
      <c r="AB259" s="20" t="s">
        <v>109</v>
      </c>
      <c r="AC259" s="20" t="s">
        <v>110</v>
      </c>
      <c r="AD259" s="20" t="s">
        <v>211</v>
      </c>
      <c r="AE259" s="20" t="s">
        <v>91</v>
      </c>
      <c r="AF259" s="20">
        <v>0.33333333333333331</v>
      </c>
      <c r="AG259" s="20" t="s">
        <v>2635</v>
      </c>
      <c r="AH259" s="20">
        <v>1</v>
      </c>
      <c r="AI259" s="7" t="s">
        <v>92</v>
      </c>
      <c r="AJ259" s="20">
        <v>200</v>
      </c>
      <c r="AK259" s="4" t="s">
        <v>179</v>
      </c>
      <c r="AL259" s="4">
        <v>8</v>
      </c>
      <c r="AM259" s="4" t="s">
        <v>180</v>
      </c>
      <c r="AN259" s="4" t="s">
        <v>95</v>
      </c>
      <c r="AO259" s="4" t="s">
        <v>96</v>
      </c>
      <c r="AP259" s="4">
        <v>1</v>
      </c>
      <c r="AQ259" s="20">
        <v>45000</v>
      </c>
      <c r="AR259" s="4">
        <v>41836</v>
      </c>
      <c r="AS259" s="20">
        <v>6818.1818181818171</v>
      </c>
      <c r="AT259" s="20">
        <v>7555.3700000000008</v>
      </c>
      <c r="AU259" s="20">
        <v>737.18818181818369</v>
      </c>
      <c r="AV259" s="20">
        <v>1256</v>
      </c>
      <c r="AW259" s="20">
        <v>0</v>
      </c>
      <c r="AX259" s="20" t="s">
        <v>91</v>
      </c>
      <c r="AY259" s="20">
        <v>1256</v>
      </c>
      <c r="AZ259" s="20">
        <v>5.05</v>
      </c>
      <c r="BA259" s="20">
        <v>0</v>
      </c>
      <c r="BB259" s="6">
        <v>41739</v>
      </c>
      <c r="BC259" s="6">
        <v>0</v>
      </c>
      <c r="BD259" s="6">
        <v>41864</v>
      </c>
      <c r="BE259" s="6">
        <v>0</v>
      </c>
      <c r="BF259" s="6">
        <v>41941</v>
      </c>
      <c r="BG259" s="6">
        <v>0</v>
      </c>
      <c r="BH259" s="6">
        <v>0</v>
      </c>
      <c r="BI259" s="6">
        <v>0</v>
      </c>
      <c r="BJ259" s="6">
        <v>0</v>
      </c>
      <c r="BK259" s="5" t="s">
        <v>401</v>
      </c>
      <c r="BL259" s="4" t="s">
        <v>401</v>
      </c>
      <c r="BM259" s="20">
        <v>86</v>
      </c>
      <c r="BN259" s="20">
        <v>0</v>
      </c>
      <c r="BO259" s="20">
        <v>0</v>
      </c>
      <c r="BP259" s="20">
        <v>0</v>
      </c>
      <c r="BQ259" s="20">
        <v>0</v>
      </c>
      <c r="BS259" s="20">
        <v>200</v>
      </c>
      <c r="BT259" s="20">
        <v>1511074.0000000002</v>
      </c>
      <c r="BU259" s="20">
        <v>9000000</v>
      </c>
      <c r="BV259" s="20">
        <v>5.4145714781792158</v>
      </c>
    </row>
    <row r="260" spans="1:74">
      <c r="A260" s="10">
        <f t="shared" si="18"/>
        <v>0</v>
      </c>
      <c r="B260" s="10">
        <f t="shared" si="19"/>
        <v>0.33333333333333331</v>
      </c>
      <c r="C260" s="12">
        <f t="shared" ref="C260:C323" si="20">IF($BB260=0,"",MONTH($BB260))</f>
        <v>4</v>
      </c>
      <c r="D260" s="12">
        <f t="shared" si="17"/>
        <v>10</v>
      </c>
      <c r="E260" s="20" t="s">
        <v>114</v>
      </c>
      <c r="F260" s="20" t="s">
        <v>164</v>
      </c>
      <c r="G260" s="20" t="s">
        <v>165</v>
      </c>
      <c r="H260" s="20" t="s">
        <v>205</v>
      </c>
      <c r="I260" s="20">
        <v>4</v>
      </c>
      <c r="J260" s="20" t="s">
        <v>206</v>
      </c>
      <c r="K260" s="20" t="s">
        <v>212</v>
      </c>
      <c r="L260" s="20" t="s">
        <v>208</v>
      </c>
      <c r="M260" s="20" t="s">
        <v>164</v>
      </c>
      <c r="N260" s="20" t="s">
        <v>170</v>
      </c>
      <c r="P260" s="20" t="s">
        <v>164</v>
      </c>
      <c r="Q260" s="20" t="s">
        <v>171</v>
      </c>
      <c r="R260" s="20" t="s">
        <v>84</v>
      </c>
      <c r="S260" s="20">
        <v>5</v>
      </c>
      <c r="T260" s="20" t="s">
        <v>198</v>
      </c>
      <c r="U260" s="20" t="s">
        <v>199</v>
      </c>
      <c r="V260" s="20" t="s">
        <v>87</v>
      </c>
      <c r="W260" s="20">
        <v>515</v>
      </c>
      <c r="X260" s="20">
        <v>515</v>
      </c>
      <c r="Y260" s="20" t="s">
        <v>209</v>
      </c>
      <c r="Z260" s="20">
        <v>0.33333333333333331</v>
      </c>
      <c r="AA260" s="20" t="s">
        <v>210</v>
      </c>
      <c r="AB260" s="20" t="s">
        <v>109</v>
      </c>
      <c r="AC260" s="20" t="s">
        <v>110</v>
      </c>
      <c r="AD260" s="20" t="s">
        <v>211</v>
      </c>
      <c r="AE260" s="20" t="s">
        <v>91</v>
      </c>
      <c r="AF260" s="20">
        <v>0.33333333333333331</v>
      </c>
      <c r="AG260" s="20" t="s">
        <v>2635</v>
      </c>
      <c r="AH260" s="20">
        <v>1</v>
      </c>
      <c r="AI260" s="7" t="s">
        <v>97</v>
      </c>
      <c r="AJ260" s="20">
        <v>150</v>
      </c>
      <c r="AK260" s="4" t="s">
        <v>179</v>
      </c>
      <c r="AL260" s="4">
        <v>8</v>
      </c>
      <c r="AM260" s="4" t="s">
        <v>180</v>
      </c>
      <c r="AN260" s="4" t="s">
        <v>95</v>
      </c>
      <c r="AO260" s="4" t="s">
        <v>96</v>
      </c>
      <c r="AP260" s="4">
        <v>1</v>
      </c>
      <c r="AQ260" s="20">
        <v>45000</v>
      </c>
      <c r="AR260" s="4">
        <v>41836</v>
      </c>
      <c r="AS260" s="20">
        <v>6818.1818181818171</v>
      </c>
      <c r="AT260" s="20">
        <v>7555.3700000000008</v>
      </c>
      <c r="AU260" s="20">
        <v>737.18818181818369</v>
      </c>
      <c r="AV260" s="20">
        <v>1256</v>
      </c>
      <c r="AW260" s="20">
        <v>0</v>
      </c>
      <c r="AX260" s="20" t="s">
        <v>91</v>
      </c>
      <c r="AY260" s="20">
        <v>1256</v>
      </c>
      <c r="AZ260" s="20">
        <v>5.05</v>
      </c>
      <c r="BA260" s="20">
        <v>0</v>
      </c>
      <c r="BB260" s="6">
        <v>41739</v>
      </c>
      <c r="BC260" s="6">
        <v>0</v>
      </c>
      <c r="BD260" s="6">
        <v>41864</v>
      </c>
      <c r="BE260" s="6">
        <v>0</v>
      </c>
      <c r="BF260" s="6">
        <v>41941</v>
      </c>
      <c r="BG260" s="6">
        <v>0</v>
      </c>
      <c r="BH260" s="6">
        <v>0</v>
      </c>
      <c r="BI260" s="6">
        <v>0</v>
      </c>
      <c r="BJ260" s="6">
        <v>0</v>
      </c>
      <c r="BK260" s="5" t="s">
        <v>401</v>
      </c>
      <c r="BL260" s="4" t="s">
        <v>401</v>
      </c>
      <c r="BM260" s="20">
        <v>63</v>
      </c>
      <c r="BN260" s="20">
        <v>0</v>
      </c>
      <c r="BO260" s="20">
        <v>0</v>
      </c>
      <c r="BP260" s="20">
        <v>0</v>
      </c>
      <c r="BQ260" s="20">
        <v>0</v>
      </c>
      <c r="BS260" s="20">
        <v>150</v>
      </c>
      <c r="BT260" s="20">
        <v>1133305.5000000002</v>
      </c>
      <c r="BU260" s="20">
        <v>6750000</v>
      </c>
      <c r="BV260" s="20">
        <v>5.4145714781792158</v>
      </c>
    </row>
    <row r="261" spans="1:74">
      <c r="A261" s="10">
        <f t="shared" si="18"/>
        <v>0</v>
      </c>
      <c r="B261" s="10">
        <f t="shared" si="19"/>
        <v>0.33333333333333331</v>
      </c>
      <c r="C261" s="12">
        <f t="shared" si="20"/>
        <v>4</v>
      </c>
      <c r="D261" s="12">
        <f t="shared" ref="D261:D324" si="21">IF(AND(BD261=0,BF261=0),"",MONTH(IF($BF261=0,$BD261,$BF261)))</f>
        <v>10</v>
      </c>
      <c r="E261" s="20" t="s">
        <v>114</v>
      </c>
      <c r="F261" s="20" t="s">
        <v>164</v>
      </c>
      <c r="G261" s="20" t="s">
        <v>165</v>
      </c>
      <c r="H261" s="20" t="s">
        <v>205</v>
      </c>
      <c r="I261" s="20">
        <v>4</v>
      </c>
      <c r="J261" s="20" t="s">
        <v>206</v>
      </c>
      <c r="K261" s="20" t="s">
        <v>213</v>
      </c>
      <c r="L261" s="20" t="s">
        <v>208</v>
      </c>
      <c r="M261" s="20" t="s">
        <v>164</v>
      </c>
      <c r="N261" s="20" t="s">
        <v>170</v>
      </c>
      <c r="P261" s="20" t="s">
        <v>164</v>
      </c>
      <c r="Q261" s="20" t="s">
        <v>171</v>
      </c>
      <c r="R261" s="20" t="s">
        <v>84</v>
      </c>
      <c r="S261" s="20">
        <v>5</v>
      </c>
      <c r="T261" s="20" t="s">
        <v>198</v>
      </c>
      <c r="U261" s="20" t="s">
        <v>199</v>
      </c>
      <c r="V261" s="20" t="s">
        <v>87</v>
      </c>
      <c r="W261" s="20">
        <v>515</v>
      </c>
      <c r="X261" s="20">
        <v>515</v>
      </c>
      <c r="Y261" s="20" t="s">
        <v>209</v>
      </c>
      <c r="Z261" s="20">
        <v>0.33333333333333331</v>
      </c>
      <c r="AA261" s="20" t="s">
        <v>210</v>
      </c>
      <c r="AB261" s="20" t="s">
        <v>109</v>
      </c>
      <c r="AC261" s="20" t="s">
        <v>110</v>
      </c>
      <c r="AD261" s="20" t="s">
        <v>211</v>
      </c>
      <c r="AE261" s="20" t="s">
        <v>91</v>
      </c>
      <c r="AF261" s="20">
        <v>0.33333333333333331</v>
      </c>
      <c r="AG261" s="20" t="s">
        <v>2635</v>
      </c>
      <c r="AH261" s="20">
        <v>1</v>
      </c>
      <c r="AI261" s="7" t="s">
        <v>98</v>
      </c>
      <c r="AJ261" s="20">
        <v>100</v>
      </c>
      <c r="AK261" s="4" t="s">
        <v>179</v>
      </c>
      <c r="AL261" s="4">
        <v>8</v>
      </c>
      <c r="AM261" s="4" t="s">
        <v>180</v>
      </c>
      <c r="AN261" s="4" t="s">
        <v>95</v>
      </c>
      <c r="AO261" s="4" t="s">
        <v>96</v>
      </c>
      <c r="AP261" s="4">
        <v>1</v>
      </c>
      <c r="AQ261" s="20">
        <v>45000</v>
      </c>
      <c r="AR261" s="4">
        <v>41836</v>
      </c>
      <c r="AS261" s="20">
        <v>6818.1818181818171</v>
      </c>
      <c r="AT261" s="20">
        <v>7555.3700000000008</v>
      </c>
      <c r="AU261" s="20">
        <v>737.18818181818369</v>
      </c>
      <c r="AV261" s="20">
        <v>1256</v>
      </c>
      <c r="AW261" s="20">
        <v>0</v>
      </c>
      <c r="AX261" s="20" t="s">
        <v>91</v>
      </c>
      <c r="AY261" s="20">
        <v>1256</v>
      </c>
      <c r="AZ261" s="20">
        <v>5.05</v>
      </c>
      <c r="BA261" s="20">
        <v>0</v>
      </c>
      <c r="BB261" s="6">
        <v>41739</v>
      </c>
      <c r="BC261" s="6">
        <v>0</v>
      </c>
      <c r="BD261" s="6">
        <v>41864</v>
      </c>
      <c r="BE261" s="6">
        <v>0</v>
      </c>
      <c r="BF261" s="6">
        <v>41941</v>
      </c>
      <c r="BG261" s="6">
        <v>0</v>
      </c>
      <c r="BH261" s="6">
        <v>0</v>
      </c>
      <c r="BI261" s="6">
        <v>0</v>
      </c>
      <c r="BJ261" s="6">
        <v>0</v>
      </c>
      <c r="BK261" s="5" t="s">
        <v>401</v>
      </c>
      <c r="BL261" s="4" t="s">
        <v>401</v>
      </c>
      <c r="BM261" s="20">
        <v>43</v>
      </c>
      <c r="BN261" s="20">
        <v>0</v>
      </c>
      <c r="BO261" s="20">
        <v>0</v>
      </c>
      <c r="BP261" s="20">
        <v>0</v>
      </c>
      <c r="BQ261" s="20">
        <v>0</v>
      </c>
      <c r="BS261" s="20">
        <v>100</v>
      </c>
      <c r="BT261" s="20">
        <v>755537.00000000012</v>
      </c>
      <c r="BU261" s="20">
        <v>4500000</v>
      </c>
      <c r="BV261" s="20">
        <v>5.4145714781792158</v>
      </c>
    </row>
    <row r="262" spans="1:74">
      <c r="A262" s="10">
        <f t="shared" si="18"/>
        <v>0</v>
      </c>
      <c r="B262" s="10">
        <f t="shared" si="19"/>
        <v>0.33333333333333331</v>
      </c>
      <c r="C262" s="12">
        <f t="shared" si="20"/>
        <v>4</v>
      </c>
      <c r="D262" s="12">
        <f t="shared" si="21"/>
        <v>10</v>
      </c>
      <c r="E262" s="20" t="s">
        <v>114</v>
      </c>
      <c r="F262" s="20" t="s">
        <v>164</v>
      </c>
      <c r="G262" s="20" t="s">
        <v>165</v>
      </c>
      <c r="H262" s="20" t="s">
        <v>214</v>
      </c>
      <c r="I262" s="20">
        <v>5</v>
      </c>
      <c r="J262" s="20" t="s">
        <v>215</v>
      </c>
      <c r="K262" s="20" t="s">
        <v>216</v>
      </c>
      <c r="L262" s="20" t="s">
        <v>217</v>
      </c>
      <c r="M262" s="20" t="s">
        <v>164</v>
      </c>
      <c r="N262" s="20" t="s">
        <v>218</v>
      </c>
      <c r="P262" s="20" t="s">
        <v>164</v>
      </c>
      <c r="Q262" s="20" t="s">
        <v>171</v>
      </c>
      <c r="R262" s="20" t="s">
        <v>84</v>
      </c>
      <c r="S262" s="20">
        <v>5</v>
      </c>
      <c r="T262" s="20" t="s">
        <v>198</v>
      </c>
      <c r="U262" s="20" t="s">
        <v>199</v>
      </c>
      <c r="V262" s="20" t="s">
        <v>87</v>
      </c>
      <c r="W262" s="20">
        <v>509</v>
      </c>
      <c r="X262" s="20">
        <v>509</v>
      </c>
      <c r="Y262" s="20" t="s">
        <v>219</v>
      </c>
      <c r="Z262" s="20">
        <v>0.33333333333333331</v>
      </c>
      <c r="AA262" s="20" t="s">
        <v>220</v>
      </c>
      <c r="AB262" s="20" t="s">
        <v>221</v>
      </c>
      <c r="AC262" s="20" t="s">
        <v>222</v>
      </c>
      <c r="AD262" s="20" t="s">
        <v>223</v>
      </c>
      <c r="AE262" s="20" t="s">
        <v>91</v>
      </c>
      <c r="AF262" s="20">
        <v>0.33333333333333331</v>
      </c>
      <c r="AG262" s="20" t="s">
        <v>2636</v>
      </c>
      <c r="AH262" s="20">
        <v>1</v>
      </c>
      <c r="AI262" s="7" t="s">
        <v>92</v>
      </c>
      <c r="AJ262" s="20">
        <v>200</v>
      </c>
      <c r="AK262" s="4" t="s">
        <v>179</v>
      </c>
      <c r="AL262" s="4">
        <v>8</v>
      </c>
      <c r="AM262" s="4" t="s">
        <v>180</v>
      </c>
      <c r="AN262" s="4" t="s">
        <v>95</v>
      </c>
      <c r="AO262" s="4" t="s">
        <v>96</v>
      </c>
      <c r="AP262" s="4">
        <v>1</v>
      </c>
      <c r="AQ262" s="20">
        <v>35000</v>
      </c>
      <c r="AR262" s="4">
        <v>41836</v>
      </c>
      <c r="AS262" s="20">
        <v>5303.030303030303</v>
      </c>
      <c r="AT262" s="20">
        <v>5573.5288888888899</v>
      </c>
      <c r="AU262" s="20">
        <v>270.49858585858692</v>
      </c>
      <c r="AV262" s="20">
        <v>1082.8888888888901</v>
      </c>
      <c r="AW262" s="20">
        <v>0</v>
      </c>
      <c r="AX262" s="20" t="s">
        <v>91</v>
      </c>
      <c r="AY262" s="20">
        <v>1082.8888888888901</v>
      </c>
      <c r="AZ262" s="20">
        <v>3.6</v>
      </c>
      <c r="BA262" s="20">
        <v>0</v>
      </c>
      <c r="BB262" s="6">
        <v>41739</v>
      </c>
      <c r="BC262" s="6">
        <v>0</v>
      </c>
      <c r="BD262" s="6">
        <v>41864</v>
      </c>
      <c r="BE262" s="6">
        <v>0</v>
      </c>
      <c r="BF262" s="6">
        <v>41913</v>
      </c>
      <c r="BG262" s="6">
        <v>41957</v>
      </c>
      <c r="BH262" s="6">
        <v>0</v>
      </c>
      <c r="BI262" s="6">
        <v>0</v>
      </c>
      <c r="BJ262" s="6">
        <v>0</v>
      </c>
      <c r="BK262" s="5" t="s">
        <v>401</v>
      </c>
      <c r="BL262" s="4" t="s">
        <v>401</v>
      </c>
      <c r="BM262" s="20">
        <v>149</v>
      </c>
      <c r="BN262" s="20">
        <v>50</v>
      </c>
      <c r="BO262" s="20">
        <v>0</v>
      </c>
      <c r="BP262" s="20">
        <v>0</v>
      </c>
      <c r="BQ262" s="20">
        <v>0</v>
      </c>
      <c r="BR262" s="20">
        <v>0</v>
      </c>
      <c r="BS262" s="20">
        <v>200</v>
      </c>
      <c r="BT262" s="20">
        <v>1114705.777777778</v>
      </c>
      <c r="BU262" s="20">
        <v>7000000</v>
      </c>
      <c r="BV262" s="20">
        <v>5.7088036058470895</v>
      </c>
    </row>
    <row r="263" spans="1:74">
      <c r="A263" s="10">
        <f t="shared" si="18"/>
        <v>0</v>
      </c>
      <c r="B263" s="10">
        <f t="shared" si="19"/>
        <v>0.33333333333333331</v>
      </c>
      <c r="C263" s="12">
        <f t="shared" si="20"/>
        <v>4</v>
      </c>
      <c r="D263" s="12">
        <f t="shared" si="21"/>
        <v>10</v>
      </c>
      <c r="E263" s="20" t="s">
        <v>114</v>
      </c>
      <c r="F263" s="20" t="s">
        <v>164</v>
      </c>
      <c r="G263" s="20" t="s">
        <v>165</v>
      </c>
      <c r="H263" s="20" t="s">
        <v>214</v>
      </c>
      <c r="I263" s="20">
        <v>5</v>
      </c>
      <c r="J263" s="20" t="s">
        <v>215</v>
      </c>
      <c r="K263" s="20" t="s">
        <v>224</v>
      </c>
      <c r="L263" s="20" t="s">
        <v>217</v>
      </c>
      <c r="M263" s="20" t="s">
        <v>164</v>
      </c>
      <c r="N263" s="20" t="s">
        <v>218</v>
      </c>
      <c r="P263" s="20" t="s">
        <v>164</v>
      </c>
      <c r="Q263" s="20" t="s">
        <v>171</v>
      </c>
      <c r="R263" s="20" t="s">
        <v>84</v>
      </c>
      <c r="S263" s="20">
        <v>5</v>
      </c>
      <c r="T263" s="20" t="s">
        <v>198</v>
      </c>
      <c r="U263" s="20" t="s">
        <v>199</v>
      </c>
      <c r="V263" s="20" t="s">
        <v>87</v>
      </c>
      <c r="W263" s="20">
        <v>509</v>
      </c>
      <c r="X263" s="20">
        <v>509</v>
      </c>
      <c r="Y263" s="20" t="s">
        <v>219</v>
      </c>
      <c r="Z263" s="20">
        <v>0.33333333333333331</v>
      </c>
      <c r="AA263" s="20" t="s">
        <v>220</v>
      </c>
      <c r="AB263" s="20" t="s">
        <v>221</v>
      </c>
      <c r="AC263" s="20" t="s">
        <v>222</v>
      </c>
      <c r="AD263" s="20" t="s">
        <v>223</v>
      </c>
      <c r="AE263" s="20" t="s">
        <v>91</v>
      </c>
      <c r="AF263" s="20">
        <v>0.33333333333333331</v>
      </c>
      <c r="AG263" s="20" t="s">
        <v>2636</v>
      </c>
      <c r="AH263" s="20">
        <v>1</v>
      </c>
      <c r="AI263" s="7" t="s">
        <v>97</v>
      </c>
      <c r="AJ263" s="20">
        <v>150</v>
      </c>
      <c r="AK263" s="4" t="s">
        <v>179</v>
      </c>
      <c r="AL263" s="4">
        <v>8</v>
      </c>
      <c r="AM263" s="4" t="s">
        <v>180</v>
      </c>
      <c r="AN263" s="4" t="s">
        <v>95</v>
      </c>
      <c r="AO263" s="4" t="s">
        <v>96</v>
      </c>
      <c r="AP263" s="4">
        <v>1</v>
      </c>
      <c r="AQ263" s="20">
        <v>35000</v>
      </c>
      <c r="AR263" s="4">
        <v>41836</v>
      </c>
      <c r="AS263" s="20">
        <v>5303.030303030303</v>
      </c>
      <c r="AT263" s="20">
        <v>5573.5288888888899</v>
      </c>
      <c r="AU263" s="20">
        <v>270.49858585858692</v>
      </c>
      <c r="AV263" s="20">
        <v>1082.8888888888901</v>
      </c>
      <c r="AW263" s="20">
        <v>0</v>
      </c>
      <c r="AX263" s="20" t="s">
        <v>91</v>
      </c>
      <c r="AY263" s="20">
        <v>1082.8888888888901</v>
      </c>
      <c r="AZ263" s="20">
        <v>3.6</v>
      </c>
      <c r="BA263" s="20">
        <v>0</v>
      </c>
      <c r="BB263" s="6">
        <v>41739</v>
      </c>
      <c r="BC263" s="6">
        <v>0</v>
      </c>
      <c r="BD263" s="6">
        <v>41864</v>
      </c>
      <c r="BE263" s="6">
        <v>0</v>
      </c>
      <c r="BF263" s="6">
        <v>41913</v>
      </c>
      <c r="BG263" s="6">
        <v>41957</v>
      </c>
      <c r="BH263" s="6">
        <v>0</v>
      </c>
      <c r="BI263" s="6">
        <v>0</v>
      </c>
      <c r="BJ263" s="6">
        <v>0</v>
      </c>
      <c r="BK263" s="5" t="s">
        <v>401</v>
      </c>
      <c r="BL263" s="4" t="s">
        <v>401</v>
      </c>
      <c r="BM263" s="20">
        <v>150</v>
      </c>
      <c r="BN263" s="20">
        <v>0</v>
      </c>
      <c r="BO263" s="20">
        <v>0</v>
      </c>
      <c r="BP263" s="20">
        <v>0</v>
      </c>
      <c r="BQ263" s="20">
        <v>0</v>
      </c>
      <c r="BR263" s="20">
        <v>0</v>
      </c>
      <c r="BS263" s="20">
        <v>150</v>
      </c>
      <c r="BT263" s="20">
        <v>836029.33333333349</v>
      </c>
      <c r="BU263" s="20">
        <v>5250000</v>
      </c>
      <c r="BV263" s="20">
        <v>5.7088036058470886</v>
      </c>
    </row>
    <row r="264" spans="1:74">
      <c r="A264" s="10">
        <f t="shared" si="18"/>
        <v>0</v>
      </c>
      <c r="B264" s="10">
        <f t="shared" si="19"/>
        <v>0.33333333333333331</v>
      </c>
      <c r="C264" s="12">
        <f t="shared" si="20"/>
        <v>4</v>
      </c>
      <c r="D264" s="12">
        <f t="shared" si="21"/>
        <v>10</v>
      </c>
      <c r="E264" s="20" t="s">
        <v>114</v>
      </c>
      <c r="F264" s="20" t="s">
        <v>164</v>
      </c>
      <c r="G264" s="20" t="s">
        <v>165</v>
      </c>
      <c r="H264" s="20" t="s">
        <v>214</v>
      </c>
      <c r="I264" s="20">
        <v>5</v>
      </c>
      <c r="J264" s="20" t="s">
        <v>215</v>
      </c>
      <c r="K264" s="20" t="s">
        <v>225</v>
      </c>
      <c r="L264" s="20" t="s">
        <v>217</v>
      </c>
      <c r="M264" s="20" t="s">
        <v>164</v>
      </c>
      <c r="N264" s="20" t="s">
        <v>218</v>
      </c>
      <c r="P264" s="20" t="s">
        <v>164</v>
      </c>
      <c r="Q264" s="20" t="s">
        <v>171</v>
      </c>
      <c r="R264" s="20" t="s">
        <v>84</v>
      </c>
      <c r="S264" s="20">
        <v>5</v>
      </c>
      <c r="T264" s="20" t="s">
        <v>198</v>
      </c>
      <c r="U264" s="20" t="s">
        <v>199</v>
      </c>
      <c r="V264" s="20" t="s">
        <v>87</v>
      </c>
      <c r="W264" s="20">
        <v>509</v>
      </c>
      <c r="X264" s="20">
        <v>509</v>
      </c>
      <c r="Y264" s="20" t="s">
        <v>219</v>
      </c>
      <c r="Z264" s="20">
        <v>0.33333333333333331</v>
      </c>
      <c r="AA264" s="20" t="s">
        <v>220</v>
      </c>
      <c r="AB264" s="20" t="s">
        <v>221</v>
      </c>
      <c r="AC264" s="20" t="s">
        <v>222</v>
      </c>
      <c r="AD264" s="20" t="s">
        <v>223</v>
      </c>
      <c r="AE264" s="20" t="s">
        <v>91</v>
      </c>
      <c r="AF264" s="20">
        <v>0.33333333333333331</v>
      </c>
      <c r="AG264" s="20" t="s">
        <v>2636</v>
      </c>
      <c r="AH264" s="20">
        <v>1</v>
      </c>
      <c r="AI264" s="7" t="s">
        <v>98</v>
      </c>
      <c r="AJ264" s="20">
        <v>100</v>
      </c>
      <c r="AK264" s="4" t="s">
        <v>179</v>
      </c>
      <c r="AL264" s="4">
        <v>8</v>
      </c>
      <c r="AM264" s="4" t="s">
        <v>180</v>
      </c>
      <c r="AN264" s="4" t="s">
        <v>95</v>
      </c>
      <c r="AO264" s="4" t="s">
        <v>96</v>
      </c>
      <c r="AP264" s="4">
        <v>1</v>
      </c>
      <c r="AQ264" s="20">
        <v>35000</v>
      </c>
      <c r="AR264" s="4">
        <v>41836</v>
      </c>
      <c r="AS264" s="20">
        <v>5303.030303030303</v>
      </c>
      <c r="AT264" s="20">
        <v>5573.5288888888899</v>
      </c>
      <c r="AU264" s="20">
        <v>270.49858585858692</v>
      </c>
      <c r="AV264" s="20">
        <v>1082.8888888888901</v>
      </c>
      <c r="AW264" s="20">
        <v>0</v>
      </c>
      <c r="AX264" s="20" t="s">
        <v>91</v>
      </c>
      <c r="AY264" s="20">
        <v>1082.8888888888901</v>
      </c>
      <c r="AZ264" s="20">
        <v>3.6</v>
      </c>
      <c r="BA264" s="20">
        <v>0</v>
      </c>
      <c r="BB264" s="6">
        <v>41739</v>
      </c>
      <c r="BC264" s="6">
        <v>0</v>
      </c>
      <c r="BD264" s="6">
        <v>41864</v>
      </c>
      <c r="BE264" s="6">
        <v>0</v>
      </c>
      <c r="BF264" s="6">
        <v>41913</v>
      </c>
      <c r="BG264" s="6">
        <v>41957</v>
      </c>
      <c r="BH264" s="6">
        <v>0</v>
      </c>
      <c r="BI264" s="6">
        <v>0</v>
      </c>
      <c r="BJ264" s="6">
        <v>0</v>
      </c>
      <c r="BK264" s="5" t="s">
        <v>401</v>
      </c>
      <c r="BL264" s="4" t="s">
        <v>401</v>
      </c>
      <c r="BM264" s="20">
        <v>100</v>
      </c>
      <c r="BN264" s="20">
        <v>0</v>
      </c>
      <c r="BO264" s="20">
        <v>0</v>
      </c>
      <c r="BP264" s="20">
        <v>0</v>
      </c>
      <c r="BQ264" s="20">
        <v>0</v>
      </c>
      <c r="BR264" s="20">
        <v>0</v>
      </c>
      <c r="BS264" s="20">
        <v>100</v>
      </c>
      <c r="BT264" s="20">
        <v>557352.88888888899</v>
      </c>
      <c r="BU264" s="20">
        <v>3500000</v>
      </c>
      <c r="BV264" s="20">
        <v>5.7088036058470895</v>
      </c>
    </row>
    <row r="265" spans="1:74">
      <c r="A265" s="10">
        <f t="shared" si="18"/>
        <v>0</v>
      </c>
      <c r="B265" s="10">
        <f t="shared" si="19"/>
        <v>0</v>
      </c>
      <c r="C265" s="12" t="str">
        <f t="shared" si="20"/>
        <v/>
      </c>
      <c r="D265" s="12" t="str">
        <f t="shared" si="21"/>
        <v/>
      </c>
      <c r="E265" s="20" t="s">
        <v>91</v>
      </c>
      <c r="F265" s="20" t="s">
        <v>91</v>
      </c>
      <c r="G265" s="20" t="s">
        <v>91</v>
      </c>
      <c r="H265" s="20" t="s">
        <v>91</v>
      </c>
      <c r="I265" s="20">
        <v>0</v>
      </c>
      <c r="J265" s="20" t="s">
        <v>103</v>
      </c>
      <c r="K265" s="20" t="s">
        <v>104</v>
      </c>
      <c r="L265" s="20">
        <v>0</v>
      </c>
      <c r="M265" s="20" t="s">
        <v>105</v>
      </c>
      <c r="N265" s="20" t="s">
        <v>91</v>
      </c>
      <c r="O265" s="20" t="s">
        <v>226</v>
      </c>
      <c r="Q265" s="20" t="s">
        <v>91</v>
      </c>
      <c r="R265" s="20" t="s">
        <v>91</v>
      </c>
      <c r="S265" s="20" t="s">
        <v>91</v>
      </c>
      <c r="U265" s="20" t="s">
        <v>91</v>
      </c>
      <c r="V265" s="20" t="s">
        <v>87</v>
      </c>
      <c r="X265" s="20" t="s">
        <v>91</v>
      </c>
      <c r="Y265" s="20" t="s">
        <v>91</v>
      </c>
      <c r="Z265" s="20">
        <v>4.9999999999999991</v>
      </c>
      <c r="AB265" s="20" t="s">
        <v>91</v>
      </c>
      <c r="AD265" s="20" t="s">
        <v>91</v>
      </c>
      <c r="AE265" s="20" t="s">
        <v>91</v>
      </c>
      <c r="AF265" s="20">
        <v>4.9999999999999991</v>
      </c>
      <c r="AG265" s="20">
        <v>0</v>
      </c>
      <c r="AH265" s="20">
        <v>1</v>
      </c>
      <c r="AI265" s="7"/>
      <c r="AM265" s="4" t="s">
        <v>91</v>
      </c>
      <c r="AP265" s="4" t="s">
        <v>91</v>
      </c>
      <c r="AQ265" s="20">
        <v>0</v>
      </c>
      <c r="AR265" s="4">
        <v>0</v>
      </c>
      <c r="AS265" s="20">
        <v>0</v>
      </c>
      <c r="AT265" s="20">
        <v>0</v>
      </c>
      <c r="AU265" s="20">
        <v>0</v>
      </c>
      <c r="AV265" s="20">
        <v>0</v>
      </c>
      <c r="AW265" s="20">
        <v>0</v>
      </c>
      <c r="AX265" s="20" t="s">
        <v>91</v>
      </c>
      <c r="AY265" s="20">
        <v>0</v>
      </c>
      <c r="AZ265" s="20">
        <v>0</v>
      </c>
      <c r="BA265" s="20">
        <v>0</v>
      </c>
      <c r="BB265" s="6">
        <v>0</v>
      </c>
      <c r="BC265" s="6">
        <v>0</v>
      </c>
      <c r="BD265" s="6">
        <v>0</v>
      </c>
      <c r="BE265" s="6">
        <v>0</v>
      </c>
      <c r="BF265" s="6">
        <v>0</v>
      </c>
      <c r="BG265" s="6">
        <v>0</v>
      </c>
      <c r="BH265" s="6">
        <v>0</v>
      </c>
      <c r="BI265" s="6">
        <v>0</v>
      </c>
      <c r="BJ265" s="6">
        <v>0</v>
      </c>
      <c r="BK265" s="5">
        <v>0</v>
      </c>
      <c r="BL265" s="4">
        <v>0</v>
      </c>
      <c r="BM265" s="20">
        <v>1701</v>
      </c>
      <c r="BN265" s="20">
        <v>50</v>
      </c>
      <c r="BO265" s="20">
        <v>0</v>
      </c>
      <c r="BP265" s="20">
        <v>0</v>
      </c>
      <c r="BQ265" s="20">
        <v>0</v>
      </c>
      <c r="BR265" s="20">
        <v>0</v>
      </c>
      <c r="BS265" s="20">
        <v>2010</v>
      </c>
      <c r="BT265" s="20">
        <v>13878572.300000001</v>
      </c>
      <c r="BU265" s="20">
        <v>85050000</v>
      </c>
      <c r="BV265" s="20">
        <v>5.5710472335963415</v>
      </c>
    </row>
    <row r="266" spans="1:74">
      <c r="A266" s="10">
        <f t="shared" si="18"/>
        <v>0</v>
      </c>
      <c r="B266" s="10">
        <f t="shared" si="19"/>
        <v>0.33333333333333331</v>
      </c>
      <c r="C266" s="12">
        <f t="shared" si="20"/>
        <v>4</v>
      </c>
      <c r="D266" s="12">
        <f t="shared" si="21"/>
        <v>9</v>
      </c>
      <c r="E266" s="20" t="s">
        <v>114</v>
      </c>
      <c r="F266" s="20" t="s">
        <v>164</v>
      </c>
      <c r="G266" s="20" t="s">
        <v>227</v>
      </c>
      <c r="H266" s="20" t="s">
        <v>228</v>
      </c>
      <c r="I266" s="20">
        <v>1</v>
      </c>
      <c r="J266" s="20" t="s">
        <v>229</v>
      </c>
      <c r="K266" s="20" t="s">
        <v>230</v>
      </c>
      <c r="L266" s="20" t="s">
        <v>231</v>
      </c>
      <c r="M266" s="20" t="s">
        <v>164</v>
      </c>
      <c r="N266" s="20" t="s">
        <v>170</v>
      </c>
      <c r="P266" s="20" t="s">
        <v>164</v>
      </c>
      <c r="Q266" s="20" t="s">
        <v>171</v>
      </c>
      <c r="R266" s="20" t="s">
        <v>84</v>
      </c>
      <c r="S266" s="20">
        <v>5</v>
      </c>
      <c r="T266" s="20" t="s">
        <v>106</v>
      </c>
      <c r="U266" s="20" t="s">
        <v>107</v>
      </c>
      <c r="V266" s="20" t="s">
        <v>87</v>
      </c>
      <c r="W266" s="20">
        <v>519</v>
      </c>
      <c r="X266" s="20">
        <v>519</v>
      </c>
      <c r="Y266" s="20" t="s">
        <v>232</v>
      </c>
      <c r="Z266" s="20">
        <v>0.33333333333333331</v>
      </c>
      <c r="AA266" s="20" t="s">
        <v>233</v>
      </c>
      <c r="AB266" s="20" t="s">
        <v>101</v>
      </c>
      <c r="AC266" s="20" t="s">
        <v>102</v>
      </c>
      <c r="AD266" s="20" t="s">
        <v>234</v>
      </c>
      <c r="AE266" s="20" t="s">
        <v>91</v>
      </c>
      <c r="AF266" s="20">
        <v>0.33333333333333331</v>
      </c>
      <c r="AG266" s="20" t="s">
        <v>2637</v>
      </c>
      <c r="AH266" s="20">
        <v>1</v>
      </c>
      <c r="AI266" s="7" t="s">
        <v>92</v>
      </c>
      <c r="AJ266" s="20">
        <v>250</v>
      </c>
      <c r="AK266" s="4" t="s">
        <v>179</v>
      </c>
      <c r="AL266" s="4">
        <v>9</v>
      </c>
      <c r="AM266" s="4" t="s">
        <v>235</v>
      </c>
      <c r="AN266" s="4" t="s">
        <v>95</v>
      </c>
      <c r="AO266" s="4" t="s">
        <v>96</v>
      </c>
      <c r="AP266" s="4">
        <v>1</v>
      </c>
      <c r="AQ266" s="20">
        <v>45000</v>
      </c>
      <c r="AR266" s="4">
        <v>41836</v>
      </c>
      <c r="AS266" s="20">
        <v>6818.1818181818171</v>
      </c>
      <c r="AT266" s="20">
        <v>7866.113333333331</v>
      </c>
      <c r="AU266" s="20">
        <v>1047.9315151515138</v>
      </c>
      <c r="AV266" s="20">
        <v>2003.3333333333301</v>
      </c>
      <c r="AW266" s="20">
        <v>0</v>
      </c>
      <c r="AX266" s="20" t="s">
        <v>91</v>
      </c>
      <c r="AY266" s="20">
        <v>2003.3333333333301</v>
      </c>
      <c r="AZ266" s="20">
        <v>4.7</v>
      </c>
      <c r="BA266" s="20">
        <v>0</v>
      </c>
      <c r="BB266" s="6">
        <v>41739</v>
      </c>
      <c r="BC266" s="6">
        <v>0</v>
      </c>
      <c r="BD266" s="6">
        <v>41879</v>
      </c>
      <c r="BE266" s="6">
        <v>0</v>
      </c>
      <c r="BF266" s="6">
        <v>41906</v>
      </c>
      <c r="BG266" s="6">
        <v>0</v>
      </c>
      <c r="BH266" s="6">
        <v>0</v>
      </c>
      <c r="BI266" s="6">
        <v>0</v>
      </c>
      <c r="BJ266" s="6">
        <v>0</v>
      </c>
      <c r="BK266" s="5" t="s">
        <v>401</v>
      </c>
      <c r="BL266" s="4" t="s">
        <v>401</v>
      </c>
      <c r="BM266" s="20">
        <v>250</v>
      </c>
      <c r="BN266" s="20">
        <v>0</v>
      </c>
      <c r="BO266" s="20">
        <v>0</v>
      </c>
      <c r="BP266" s="20">
        <v>0</v>
      </c>
      <c r="BQ266" s="20">
        <v>0</v>
      </c>
      <c r="BR266" s="20">
        <v>0</v>
      </c>
      <c r="BS266" s="20">
        <v>250</v>
      </c>
      <c r="BT266" s="20">
        <v>1966528.3333333328</v>
      </c>
      <c r="BU266" s="20">
        <v>11250000</v>
      </c>
      <c r="BV266" s="20">
        <v>5.2006739765285506</v>
      </c>
    </row>
    <row r="267" spans="1:74">
      <c r="A267" s="10">
        <f t="shared" si="18"/>
        <v>0</v>
      </c>
      <c r="B267" s="10">
        <f t="shared" si="19"/>
        <v>0.33333333333333331</v>
      </c>
      <c r="C267" s="12">
        <f t="shared" si="20"/>
        <v>4</v>
      </c>
      <c r="D267" s="12">
        <f t="shared" si="21"/>
        <v>9</v>
      </c>
      <c r="E267" s="20" t="s">
        <v>114</v>
      </c>
      <c r="F267" s="20" t="s">
        <v>164</v>
      </c>
      <c r="G267" s="20" t="s">
        <v>227</v>
      </c>
      <c r="H267" s="20" t="s">
        <v>228</v>
      </c>
      <c r="I267" s="20">
        <v>1</v>
      </c>
      <c r="J267" s="20" t="s">
        <v>229</v>
      </c>
      <c r="K267" s="20" t="s">
        <v>236</v>
      </c>
      <c r="L267" s="20" t="s">
        <v>231</v>
      </c>
      <c r="M267" s="20" t="s">
        <v>164</v>
      </c>
      <c r="N267" s="20" t="s">
        <v>170</v>
      </c>
      <c r="P267" s="20" t="s">
        <v>164</v>
      </c>
      <c r="Q267" s="20" t="s">
        <v>171</v>
      </c>
      <c r="R267" s="20" t="s">
        <v>84</v>
      </c>
      <c r="S267" s="20">
        <v>5</v>
      </c>
      <c r="T267" s="20" t="s">
        <v>106</v>
      </c>
      <c r="U267" s="20" t="s">
        <v>107</v>
      </c>
      <c r="V267" s="20" t="s">
        <v>87</v>
      </c>
      <c r="W267" s="20">
        <v>519</v>
      </c>
      <c r="X267" s="20">
        <v>519</v>
      </c>
      <c r="Y267" s="20" t="s">
        <v>232</v>
      </c>
      <c r="Z267" s="20">
        <v>0.33333333333333331</v>
      </c>
      <c r="AA267" s="20" t="s">
        <v>233</v>
      </c>
      <c r="AB267" s="20" t="s">
        <v>101</v>
      </c>
      <c r="AC267" s="20" t="s">
        <v>102</v>
      </c>
      <c r="AD267" s="20" t="s">
        <v>234</v>
      </c>
      <c r="AE267" s="20" t="s">
        <v>91</v>
      </c>
      <c r="AF267" s="20">
        <v>0.33333333333333331</v>
      </c>
      <c r="AG267" s="20" t="s">
        <v>2637</v>
      </c>
      <c r="AH267" s="20">
        <v>1</v>
      </c>
      <c r="AI267" s="7" t="s">
        <v>97</v>
      </c>
      <c r="AJ267" s="20">
        <v>200</v>
      </c>
      <c r="AK267" s="4" t="s">
        <v>179</v>
      </c>
      <c r="AL267" s="4">
        <v>9</v>
      </c>
      <c r="AM267" s="4" t="s">
        <v>235</v>
      </c>
      <c r="AN267" s="4" t="s">
        <v>95</v>
      </c>
      <c r="AO267" s="4" t="s">
        <v>96</v>
      </c>
      <c r="AP267" s="4">
        <v>1</v>
      </c>
      <c r="AQ267" s="20">
        <v>45000</v>
      </c>
      <c r="AR267" s="4">
        <v>41836</v>
      </c>
      <c r="AS267" s="20">
        <v>6818.1818181818171</v>
      </c>
      <c r="AT267" s="20">
        <v>7866.113333333331</v>
      </c>
      <c r="AU267" s="20">
        <v>1047.9315151515138</v>
      </c>
      <c r="AV267" s="20">
        <v>2003.3333333333301</v>
      </c>
      <c r="AW267" s="20">
        <v>0</v>
      </c>
      <c r="AX267" s="20" t="s">
        <v>91</v>
      </c>
      <c r="AY267" s="20">
        <v>2003.3333333333301</v>
      </c>
      <c r="AZ267" s="20">
        <v>4.7</v>
      </c>
      <c r="BA267" s="20">
        <v>0</v>
      </c>
      <c r="BB267" s="6">
        <v>41739</v>
      </c>
      <c r="BC267" s="6">
        <v>0</v>
      </c>
      <c r="BD267" s="6">
        <v>41879</v>
      </c>
      <c r="BE267" s="6">
        <v>0</v>
      </c>
      <c r="BF267" s="6">
        <v>41906</v>
      </c>
      <c r="BG267" s="6">
        <v>0</v>
      </c>
      <c r="BH267" s="6">
        <v>0</v>
      </c>
      <c r="BI267" s="6">
        <v>0</v>
      </c>
      <c r="BJ267" s="6">
        <v>0</v>
      </c>
      <c r="BK267" s="5" t="s">
        <v>401</v>
      </c>
      <c r="BL267" s="4" t="s">
        <v>401</v>
      </c>
      <c r="BM267" s="20">
        <v>200</v>
      </c>
      <c r="BN267" s="20">
        <v>0</v>
      </c>
      <c r="BO267" s="20">
        <v>0</v>
      </c>
      <c r="BP267" s="20">
        <v>0</v>
      </c>
      <c r="BQ267" s="20">
        <v>0</v>
      </c>
      <c r="BR267" s="20">
        <v>0</v>
      </c>
      <c r="BS267" s="20">
        <v>200</v>
      </c>
      <c r="BT267" s="20">
        <v>1573222.6666666663</v>
      </c>
      <c r="BU267" s="20">
        <v>9000000</v>
      </c>
      <c r="BV267" s="20">
        <v>5.2006739765285497</v>
      </c>
    </row>
    <row r="268" spans="1:74">
      <c r="A268" s="10">
        <f t="shared" si="18"/>
        <v>0</v>
      </c>
      <c r="B268" s="10">
        <f t="shared" si="19"/>
        <v>0.33333333333333331</v>
      </c>
      <c r="C268" s="12">
        <f t="shared" si="20"/>
        <v>4</v>
      </c>
      <c r="D268" s="12">
        <f t="shared" si="21"/>
        <v>9</v>
      </c>
      <c r="E268" s="20" t="s">
        <v>114</v>
      </c>
      <c r="F268" s="20" t="s">
        <v>164</v>
      </c>
      <c r="G268" s="20" t="s">
        <v>227</v>
      </c>
      <c r="H268" s="20" t="s">
        <v>228</v>
      </c>
      <c r="I268" s="20">
        <v>1</v>
      </c>
      <c r="J268" s="20" t="s">
        <v>229</v>
      </c>
      <c r="K268" s="20" t="s">
        <v>237</v>
      </c>
      <c r="L268" s="20" t="s">
        <v>231</v>
      </c>
      <c r="M268" s="20" t="s">
        <v>164</v>
      </c>
      <c r="N268" s="20" t="s">
        <v>170</v>
      </c>
      <c r="P268" s="20" t="s">
        <v>164</v>
      </c>
      <c r="Q268" s="20" t="s">
        <v>171</v>
      </c>
      <c r="R268" s="20" t="s">
        <v>84</v>
      </c>
      <c r="S268" s="20">
        <v>5</v>
      </c>
      <c r="T268" s="20" t="s">
        <v>106</v>
      </c>
      <c r="U268" s="20" t="s">
        <v>107</v>
      </c>
      <c r="V268" s="20" t="s">
        <v>87</v>
      </c>
      <c r="W268" s="20">
        <v>519</v>
      </c>
      <c r="X268" s="20">
        <v>519</v>
      </c>
      <c r="Y268" s="20" t="s">
        <v>232</v>
      </c>
      <c r="Z268" s="20">
        <v>0.33333333333333331</v>
      </c>
      <c r="AA268" s="20" t="s">
        <v>233</v>
      </c>
      <c r="AB268" s="20" t="s">
        <v>101</v>
      </c>
      <c r="AC268" s="20" t="s">
        <v>102</v>
      </c>
      <c r="AD268" s="20" t="s">
        <v>234</v>
      </c>
      <c r="AE268" s="20" t="s">
        <v>91</v>
      </c>
      <c r="AF268" s="20">
        <v>0.33333333333333331</v>
      </c>
      <c r="AG268" s="20" t="s">
        <v>2637</v>
      </c>
      <c r="AH268" s="20">
        <v>1</v>
      </c>
      <c r="AI268" s="7" t="s">
        <v>98</v>
      </c>
      <c r="AJ268" s="20">
        <v>150</v>
      </c>
      <c r="AK268" s="4" t="s">
        <v>179</v>
      </c>
      <c r="AL268" s="4">
        <v>9</v>
      </c>
      <c r="AM268" s="4" t="s">
        <v>235</v>
      </c>
      <c r="AN268" s="4" t="s">
        <v>95</v>
      </c>
      <c r="AO268" s="4" t="s">
        <v>96</v>
      </c>
      <c r="AP268" s="4">
        <v>1</v>
      </c>
      <c r="AQ268" s="20">
        <v>45000</v>
      </c>
      <c r="AR268" s="4">
        <v>41836</v>
      </c>
      <c r="AS268" s="20">
        <v>6818.1818181818171</v>
      </c>
      <c r="AT268" s="20">
        <v>7866.113333333331</v>
      </c>
      <c r="AU268" s="20">
        <v>1047.9315151515138</v>
      </c>
      <c r="AV268" s="20">
        <v>2003.3333333333301</v>
      </c>
      <c r="AW268" s="20">
        <v>0</v>
      </c>
      <c r="AX268" s="20" t="s">
        <v>91</v>
      </c>
      <c r="AY268" s="20">
        <v>2003.3333333333301</v>
      </c>
      <c r="AZ268" s="20">
        <v>4.7</v>
      </c>
      <c r="BA268" s="20">
        <v>0</v>
      </c>
      <c r="BB268" s="6">
        <v>41739</v>
      </c>
      <c r="BC268" s="6">
        <v>0</v>
      </c>
      <c r="BD268" s="6">
        <v>41879</v>
      </c>
      <c r="BE268" s="6">
        <v>0</v>
      </c>
      <c r="BF268" s="6">
        <v>41906</v>
      </c>
      <c r="BG268" s="6">
        <v>0</v>
      </c>
      <c r="BH268" s="6">
        <v>0</v>
      </c>
      <c r="BI268" s="6">
        <v>0</v>
      </c>
      <c r="BJ268" s="6">
        <v>0</v>
      </c>
      <c r="BK268" s="5" t="s">
        <v>401</v>
      </c>
      <c r="BL268" s="4" t="s">
        <v>401</v>
      </c>
      <c r="BM268" s="20">
        <v>150</v>
      </c>
      <c r="BN268" s="20">
        <v>0</v>
      </c>
      <c r="BO268" s="20">
        <v>0</v>
      </c>
      <c r="BP268" s="20">
        <v>0</v>
      </c>
      <c r="BQ268" s="20">
        <v>0</v>
      </c>
      <c r="BR268" s="20">
        <v>0</v>
      </c>
      <c r="BS268" s="20">
        <v>150</v>
      </c>
      <c r="BT268" s="20">
        <v>1179916.9999999995</v>
      </c>
      <c r="BU268" s="20">
        <v>6750000</v>
      </c>
      <c r="BV268" s="20">
        <v>5.2006739765285515</v>
      </c>
    </row>
    <row r="269" spans="1:74">
      <c r="A269" s="10">
        <f t="shared" si="18"/>
        <v>0</v>
      </c>
      <c r="B269" s="10">
        <f t="shared" si="19"/>
        <v>0</v>
      </c>
      <c r="C269" s="12" t="str">
        <f t="shared" si="20"/>
        <v/>
      </c>
      <c r="D269" s="12" t="str">
        <f t="shared" si="21"/>
        <v/>
      </c>
      <c r="E269" s="20" t="s">
        <v>91</v>
      </c>
      <c r="F269" s="20" t="s">
        <v>91</v>
      </c>
      <c r="G269" s="20" t="s">
        <v>91</v>
      </c>
      <c r="H269" s="20" t="s">
        <v>91</v>
      </c>
      <c r="I269" s="20">
        <v>0</v>
      </c>
      <c r="J269" s="20" t="s">
        <v>103</v>
      </c>
      <c r="K269" s="20" t="s">
        <v>104</v>
      </c>
      <c r="L269" s="20">
        <v>0</v>
      </c>
      <c r="M269" s="20" t="s">
        <v>105</v>
      </c>
      <c r="N269" s="20" t="s">
        <v>91</v>
      </c>
      <c r="O269" s="20" t="s">
        <v>238</v>
      </c>
      <c r="Q269" s="20" t="s">
        <v>91</v>
      </c>
      <c r="R269" s="20" t="s">
        <v>91</v>
      </c>
      <c r="S269" s="20" t="s">
        <v>91</v>
      </c>
      <c r="U269" s="20" t="s">
        <v>91</v>
      </c>
      <c r="V269" s="20" t="s">
        <v>87</v>
      </c>
      <c r="X269" s="20" t="s">
        <v>91</v>
      </c>
      <c r="Y269" s="20" t="s">
        <v>91</v>
      </c>
      <c r="Z269" s="20">
        <v>1</v>
      </c>
      <c r="AB269" s="20" t="s">
        <v>91</v>
      </c>
      <c r="AD269" s="20" t="s">
        <v>91</v>
      </c>
      <c r="AE269" s="20" t="s">
        <v>91</v>
      </c>
      <c r="AF269" s="20">
        <v>1</v>
      </c>
      <c r="AG269" s="20">
        <v>0</v>
      </c>
      <c r="AH269" s="20">
        <v>1</v>
      </c>
      <c r="AI269" s="7"/>
      <c r="AM269" s="4" t="s">
        <v>91</v>
      </c>
      <c r="AP269" s="4" t="s">
        <v>91</v>
      </c>
      <c r="AQ269" s="20">
        <v>0</v>
      </c>
      <c r="AR269" s="4">
        <v>0</v>
      </c>
      <c r="AS269" s="20">
        <v>0</v>
      </c>
      <c r="AT269" s="20">
        <v>0</v>
      </c>
      <c r="AU269" s="20">
        <v>0</v>
      </c>
      <c r="AV269" s="20">
        <v>0</v>
      </c>
      <c r="AW269" s="20">
        <v>0</v>
      </c>
      <c r="AX269" s="20" t="s">
        <v>91</v>
      </c>
      <c r="AY269" s="20">
        <v>0</v>
      </c>
      <c r="AZ269" s="20">
        <v>0</v>
      </c>
      <c r="BA269" s="20">
        <v>0</v>
      </c>
      <c r="BB269" s="6">
        <v>0</v>
      </c>
      <c r="BC269" s="6">
        <v>0</v>
      </c>
      <c r="BD269" s="6">
        <v>0</v>
      </c>
      <c r="BE269" s="6">
        <v>0</v>
      </c>
      <c r="BF269" s="6">
        <v>0</v>
      </c>
      <c r="BG269" s="6">
        <v>0</v>
      </c>
      <c r="BH269" s="6">
        <v>0</v>
      </c>
      <c r="BI269" s="6">
        <v>0</v>
      </c>
      <c r="BJ269" s="6">
        <v>0</v>
      </c>
      <c r="BK269" s="5">
        <v>0</v>
      </c>
      <c r="BL269" s="4">
        <v>0</v>
      </c>
      <c r="BM269" s="20">
        <v>600</v>
      </c>
      <c r="BN269" s="20">
        <v>0</v>
      </c>
      <c r="BO269" s="20">
        <v>0</v>
      </c>
      <c r="BP269" s="20">
        <v>0</v>
      </c>
      <c r="BQ269" s="20">
        <v>0</v>
      </c>
      <c r="BR269" s="20">
        <v>0</v>
      </c>
      <c r="BS269" s="20">
        <v>600</v>
      </c>
      <c r="BT269" s="20">
        <v>4719667.9999999981</v>
      </c>
      <c r="BU269" s="20">
        <v>27000000</v>
      </c>
      <c r="BV269" s="20">
        <v>5.2006739765285515</v>
      </c>
    </row>
    <row r="270" spans="1:74">
      <c r="A270" s="10">
        <f t="shared" si="18"/>
        <v>0</v>
      </c>
      <c r="B270" s="10">
        <f t="shared" si="19"/>
        <v>0</v>
      </c>
      <c r="C270" s="12">
        <f t="shared" si="20"/>
        <v>4</v>
      </c>
      <c r="D270" s="12">
        <f t="shared" si="21"/>
        <v>10</v>
      </c>
      <c r="E270" s="20" t="s">
        <v>114</v>
      </c>
      <c r="F270" s="20" t="s">
        <v>164</v>
      </c>
      <c r="G270" s="20" t="s">
        <v>239</v>
      </c>
      <c r="H270" s="20" t="s">
        <v>240</v>
      </c>
      <c r="I270" s="20">
        <v>1</v>
      </c>
      <c r="J270" s="20" t="s">
        <v>241</v>
      </c>
      <c r="K270" s="20" t="s">
        <v>242</v>
      </c>
      <c r="L270" s="20" t="s">
        <v>243</v>
      </c>
      <c r="M270" s="20" t="s">
        <v>164</v>
      </c>
      <c r="N270" s="20" t="s">
        <v>170</v>
      </c>
      <c r="P270" s="20" t="s">
        <v>164</v>
      </c>
      <c r="Q270" s="20" t="s">
        <v>171</v>
      </c>
      <c r="R270" s="20" t="s">
        <v>84</v>
      </c>
      <c r="S270" s="20">
        <v>5</v>
      </c>
      <c r="T270" s="20" t="s">
        <v>244</v>
      </c>
      <c r="U270" s="20" t="s">
        <v>245</v>
      </c>
      <c r="V270" s="20" t="s">
        <v>87</v>
      </c>
      <c r="W270" s="20">
        <v>531</v>
      </c>
      <c r="X270" s="20">
        <v>531</v>
      </c>
      <c r="Y270" s="20" t="s">
        <v>246</v>
      </c>
      <c r="Z270" s="20">
        <v>0.2</v>
      </c>
      <c r="AA270" s="20" t="s">
        <v>247</v>
      </c>
      <c r="AB270" s="20" t="s">
        <v>248</v>
      </c>
      <c r="AC270" s="20" t="s">
        <v>249</v>
      </c>
      <c r="AD270" s="20" t="s">
        <v>250</v>
      </c>
      <c r="AE270" s="20" t="s">
        <v>91</v>
      </c>
      <c r="AF270" s="20">
        <v>1</v>
      </c>
      <c r="AG270" s="20" t="s">
        <v>2660</v>
      </c>
      <c r="AH270" s="20">
        <v>1</v>
      </c>
      <c r="AI270" s="7" t="s">
        <v>251</v>
      </c>
      <c r="AJ270" s="20">
        <v>200</v>
      </c>
      <c r="AK270" s="4" t="s">
        <v>252</v>
      </c>
      <c r="AL270" s="4">
        <v>2</v>
      </c>
      <c r="AM270" s="4" t="s">
        <v>94</v>
      </c>
      <c r="AN270" s="4" t="s">
        <v>95</v>
      </c>
      <c r="AO270" s="4" t="s">
        <v>96</v>
      </c>
      <c r="AP270" s="4">
        <v>1</v>
      </c>
      <c r="AQ270" s="20">
        <v>27000</v>
      </c>
      <c r="AR270" s="4">
        <v>41836</v>
      </c>
      <c r="AS270" s="20">
        <v>3506.4935064935062</v>
      </c>
      <c r="AT270" s="20">
        <v>3891.8880000000004</v>
      </c>
      <c r="AU270" s="20">
        <v>385.3944935064942</v>
      </c>
      <c r="AV270" s="20">
        <v>0</v>
      </c>
      <c r="AW270" s="20">
        <v>0</v>
      </c>
      <c r="AX270" s="20" t="s">
        <v>91</v>
      </c>
      <c r="AY270" s="20">
        <v>0</v>
      </c>
      <c r="AZ270" s="20">
        <v>3.12</v>
      </c>
      <c r="BA270" s="20">
        <v>0</v>
      </c>
      <c r="BB270" s="6">
        <v>41751</v>
      </c>
      <c r="BC270" s="6">
        <v>0</v>
      </c>
      <c r="BD270" s="6">
        <v>41869</v>
      </c>
      <c r="BE270" s="6">
        <v>0</v>
      </c>
      <c r="BF270" s="6">
        <v>41913</v>
      </c>
      <c r="BG270" s="6">
        <v>0</v>
      </c>
      <c r="BH270" s="6">
        <v>0</v>
      </c>
      <c r="BI270" s="6">
        <v>0</v>
      </c>
      <c r="BJ270" s="6">
        <v>0</v>
      </c>
      <c r="BK270" s="5" t="s">
        <v>401</v>
      </c>
      <c r="BL270" s="4" t="s">
        <v>401</v>
      </c>
      <c r="BM270" s="20">
        <v>200</v>
      </c>
      <c r="BN270" s="20">
        <v>0</v>
      </c>
      <c r="BO270" s="20">
        <v>0</v>
      </c>
      <c r="BP270" s="20">
        <v>0</v>
      </c>
      <c r="BQ270" s="20">
        <v>0</v>
      </c>
      <c r="BR270" s="20">
        <v>0</v>
      </c>
      <c r="BS270" s="20">
        <v>200</v>
      </c>
      <c r="BT270" s="20">
        <v>778377.60000000009</v>
      </c>
      <c r="BU270" s="20">
        <v>5400000</v>
      </c>
      <c r="BV270" s="20">
        <v>6.3068244886426692</v>
      </c>
    </row>
    <row r="271" spans="1:74">
      <c r="A271" s="10">
        <f t="shared" si="18"/>
        <v>0</v>
      </c>
      <c r="B271" s="10">
        <f t="shared" si="19"/>
        <v>0</v>
      </c>
      <c r="C271" s="12">
        <f t="shared" si="20"/>
        <v>4</v>
      </c>
      <c r="D271" s="12">
        <f t="shared" si="21"/>
        <v>10</v>
      </c>
      <c r="E271" s="20" t="s">
        <v>114</v>
      </c>
      <c r="F271" s="20" t="s">
        <v>164</v>
      </c>
      <c r="G271" s="20" t="s">
        <v>239</v>
      </c>
      <c r="H271" s="20" t="s">
        <v>253</v>
      </c>
      <c r="I271" s="20">
        <v>2</v>
      </c>
      <c r="J271" s="20" t="s">
        <v>254</v>
      </c>
      <c r="K271" s="20" t="s">
        <v>255</v>
      </c>
      <c r="L271" s="20" t="s">
        <v>243</v>
      </c>
      <c r="M271" s="20" t="s">
        <v>164</v>
      </c>
      <c r="N271" s="20" t="s">
        <v>170</v>
      </c>
      <c r="P271" s="20" t="s">
        <v>164</v>
      </c>
      <c r="Q271" s="20" t="s">
        <v>171</v>
      </c>
      <c r="R271" s="20" t="s">
        <v>84</v>
      </c>
      <c r="S271" s="20">
        <v>5</v>
      </c>
      <c r="T271" s="20" t="s">
        <v>244</v>
      </c>
      <c r="U271" s="20" t="s">
        <v>245</v>
      </c>
      <c r="V271" s="20" t="s">
        <v>87</v>
      </c>
      <c r="W271" s="20">
        <v>531</v>
      </c>
      <c r="X271" s="20">
        <v>531</v>
      </c>
      <c r="Y271" s="20" t="s">
        <v>246</v>
      </c>
      <c r="Z271" s="20">
        <v>0.2</v>
      </c>
      <c r="AA271" s="20" t="s">
        <v>256</v>
      </c>
      <c r="AB271" s="20" t="s">
        <v>176</v>
      </c>
      <c r="AC271" s="20" t="s">
        <v>177</v>
      </c>
      <c r="AD271" s="20" t="s">
        <v>257</v>
      </c>
      <c r="AE271" s="20" t="s">
        <v>91</v>
      </c>
      <c r="AF271" s="20">
        <v>1</v>
      </c>
      <c r="AG271" s="20" t="s">
        <v>2660</v>
      </c>
      <c r="AH271" s="20">
        <v>1</v>
      </c>
      <c r="AI271" s="7" t="s">
        <v>251</v>
      </c>
      <c r="AJ271" s="20">
        <v>200</v>
      </c>
      <c r="AK271" s="4" t="s">
        <v>252</v>
      </c>
      <c r="AL271" s="4">
        <v>2</v>
      </c>
      <c r="AM271" s="4" t="s">
        <v>94</v>
      </c>
      <c r="AN271" s="4" t="s">
        <v>95</v>
      </c>
      <c r="AO271" s="4" t="s">
        <v>96</v>
      </c>
      <c r="AP271" s="4">
        <v>1</v>
      </c>
      <c r="AQ271" s="20">
        <v>27000</v>
      </c>
      <c r="AR271" s="4">
        <v>41836</v>
      </c>
      <c r="AS271" s="20">
        <v>3506.4935064935062</v>
      </c>
      <c r="AT271" s="20">
        <v>3891.8880000000004</v>
      </c>
      <c r="AU271" s="20">
        <v>385.3944935064942</v>
      </c>
      <c r="AV271" s="20">
        <v>0</v>
      </c>
      <c r="AW271" s="20">
        <v>0</v>
      </c>
      <c r="AX271" s="20" t="s">
        <v>91</v>
      </c>
      <c r="AY271" s="20">
        <v>0</v>
      </c>
      <c r="AZ271" s="20">
        <v>3.12</v>
      </c>
      <c r="BA271" s="20">
        <v>0</v>
      </c>
      <c r="BB271" s="6">
        <v>41751</v>
      </c>
      <c r="BC271" s="6">
        <v>0</v>
      </c>
      <c r="BD271" s="6">
        <v>41869</v>
      </c>
      <c r="BE271" s="6">
        <v>0</v>
      </c>
      <c r="BF271" s="6">
        <v>41913</v>
      </c>
      <c r="BG271" s="6">
        <v>0</v>
      </c>
      <c r="BH271" s="6">
        <v>0</v>
      </c>
      <c r="BI271" s="6">
        <v>0</v>
      </c>
      <c r="BJ271" s="6">
        <v>0</v>
      </c>
      <c r="BK271" s="5" t="s">
        <v>401</v>
      </c>
      <c r="BL271" s="4" t="s">
        <v>401</v>
      </c>
      <c r="BM271" s="20">
        <v>200</v>
      </c>
      <c r="BN271" s="20">
        <v>0</v>
      </c>
      <c r="BO271" s="20">
        <v>0</v>
      </c>
      <c r="BP271" s="20">
        <v>0</v>
      </c>
      <c r="BQ271" s="20">
        <v>0</v>
      </c>
      <c r="BR271" s="20">
        <v>0</v>
      </c>
      <c r="BS271" s="20">
        <v>200</v>
      </c>
      <c r="BT271" s="20">
        <v>778377.60000000009</v>
      </c>
      <c r="BU271" s="20">
        <v>5400000</v>
      </c>
      <c r="BV271" s="20">
        <v>6.3068244886426692</v>
      </c>
    </row>
    <row r="272" spans="1:74">
      <c r="A272" s="10">
        <f t="shared" si="18"/>
        <v>0</v>
      </c>
      <c r="B272" s="10">
        <f t="shared" si="19"/>
        <v>0</v>
      </c>
      <c r="C272" s="12">
        <f t="shared" si="20"/>
        <v>4</v>
      </c>
      <c r="D272" s="12">
        <f t="shared" si="21"/>
        <v>10</v>
      </c>
      <c r="E272" s="20" t="s">
        <v>114</v>
      </c>
      <c r="F272" s="20" t="s">
        <v>164</v>
      </c>
      <c r="G272" s="20" t="s">
        <v>239</v>
      </c>
      <c r="H272" s="20" t="s">
        <v>258</v>
      </c>
      <c r="I272" s="20">
        <v>3</v>
      </c>
      <c r="J272" s="20" t="s">
        <v>259</v>
      </c>
      <c r="K272" s="20" t="s">
        <v>260</v>
      </c>
      <c r="L272" s="20" t="s">
        <v>243</v>
      </c>
      <c r="M272" s="20" t="s">
        <v>164</v>
      </c>
      <c r="N272" s="20" t="s">
        <v>170</v>
      </c>
      <c r="P272" s="20" t="s">
        <v>164</v>
      </c>
      <c r="Q272" s="20" t="s">
        <v>171</v>
      </c>
      <c r="R272" s="20" t="s">
        <v>84</v>
      </c>
      <c r="S272" s="20">
        <v>5</v>
      </c>
      <c r="T272" s="20" t="s">
        <v>244</v>
      </c>
      <c r="U272" s="20" t="s">
        <v>245</v>
      </c>
      <c r="V272" s="20" t="s">
        <v>87</v>
      </c>
      <c r="W272" s="20">
        <v>531</v>
      </c>
      <c r="X272" s="20">
        <v>531</v>
      </c>
      <c r="Y272" s="20" t="s">
        <v>246</v>
      </c>
      <c r="Z272" s="20">
        <v>0.2</v>
      </c>
      <c r="AA272" s="20" t="s">
        <v>261</v>
      </c>
      <c r="AB272" s="20" t="s">
        <v>139</v>
      </c>
      <c r="AC272" s="20" t="s">
        <v>140</v>
      </c>
      <c r="AD272" s="20" t="s">
        <v>262</v>
      </c>
      <c r="AE272" s="20" t="s">
        <v>91</v>
      </c>
      <c r="AF272" s="20">
        <v>1</v>
      </c>
      <c r="AG272" s="20" t="s">
        <v>2660</v>
      </c>
      <c r="AH272" s="20">
        <v>1</v>
      </c>
      <c r="AI272" s="7" t="s">
        <v>251</v>
      </c>
      <c r="AJ272" s="20">
        <v>200</v>
      </c>
      <c r="AK272" s="4" t="s">
        <v>252</v>
      </c>
      <c r="AL272" s="4">
        <v>2</v>
      </c>
      <c r="AM272" s="4" t="s">
        <v>94</v>
      </c>
      <c r="AN272" s="4" t="s">
        <v>95</v>
      </c>
      <c r="AO272" s="4" t="s">
        <v>96</v>
      </c>
      <c r="AP272" s="4">
        <v>1</v>
      </c>
      <c r="AQ272" s="20">
        <v>27000</v>
      </c>
      <c r="AR272" s="4">
        <v>41836</v>
      </c>
      <c r="AS272" s="20">
        <v>3506.4935064935062</v>
      </c>
      <c r="AT272" s="20">
        <v>3891.8880000000004</v>
      </c>
      <c r="AU272" s="20">
        <v>385.3944935064942</v>
      </c>
      <c r="AV272" s="20">
        <v>0</v>
      </c>
      <c r="AW272" s="20">
        <v>0</v>
      </c>
      <c r="AX272" s="20" t="s">
        <v>91</v>
      </c>
      <c r="AY272" s="20">
        <v>0</v>
      </c>
      <c r="AZ272" s="20">
        <v>3.12</v>
      </c>
      <c r="BA272" s="20">
        <v>0</v>
      </c>
      <c r="BB272" s="6">
        <v>41751</v>
      </c>
      <c r="BC272" s="6">
        <v>0</v>
      </c>
      <c r="BD272" s="6">
        <v>41869</v>
      </c>
      <c r="BE272" s="6">
        <v>0</v>
      </c>
      <c r="BF272" s="6">
        <v>41913</v>
      </c>
      <c r="BG272" s="6">
        <v>0</v>
      </c>
      <c r="BH272" s="6">
        <v>0</v>
      </c>
      <c r="BI272" s="6">
        <v>0</v>
      </c>
      <c r="BJ272" s="6">
        <v>0</v>
      </c>
      <c r="BK272" s="5" t="s">
        <v>401</v>
      </c>
      <c r="BL272" s="4" t="s">
        <v>401</v>
      </c>
      <c r="BM272" s="20">
        <v>200</v>
      </c>
      <c r="BN272" s="20">
        <v>0</v>
      </c>
      <c r="BO272" s="20">
        <v>0</v>
      </c>
      <c r="BP272" s="20">
        <v>0</v>
      </c>
      <c r="BQ272" s="20">
        <v>0</v>
      </c>
      <c r="BR272" s="20">
        <v>0</v>
      </c>
      <c r="BS272" s="20">
        <v>200</v>
      </c>
      <c r="BT272" s="20">
        <v>778377.60000000009</v>
      </c>
      <c r="BU272" s="20">
        <v>5400000</v>
      </c>
      <c r="BV272" s="20">
        <v>6.3068244886426692</v>
      </c>
    </row>
    <row r="273" spans="1:74">
      <c r="A273" s="10">
        <f t="shared" si="18"/>
        <v>0</v>
      </c>
      <c r="B273" s="10">
        <f t="shared" si="19"/>
        <v>0</v>
      </c>
      <c r="C273" s="12">
        <f t="shared" si="20"/>
        <v>4</v>
      </c>
      <c r="D273" s="12">
        <f t="shared" si="21"/>
        <v>10</v>
      </c>
      <c r="E273" s="20" t="s">
        <v>114</v>
      </c>
      <c r="F273" s="20" t="s">
        <v>164</v>
      </c>
      <c r="G273" s="20" t="s">
        <v>239</v>
      </c>
      <c r="H273" s="20" t="s">
        <v>263</v>
      </c>
      <c r="I273" s="20">
        <v>4</v>
      </c>
      <c r="J273" s="20" t="s">
        <v>264</v>
      </c>
      <c r="K273" s="20" t="s">
        <v>265</v>
      </c>
      <c r="L273" s="20" t="s">
        <v>243</v>
      </c>
      <c r="M273" s="20" t="s">
        <v>164</v>
      </c>
      <c r="N273" s="20" t="s">
        <v>170</v>
      </c>
      <c r="P273" s="20" t="s">
        <v>164</v>
      </c>
      <c r="Q273" s="20" t="s">
        <v>171</v>
      </c>
      <c r="R273" s="20" t="s">
        <v>84</v>
      </c>
      <c r="S273" s="20">
        <v>5</v>
      </c>
      <c r="T273" s="20" t="s">
        <v>244</v>
      </c>
      <c r="U273" s="20" t="s">
        <v>245</v>
      </c>
      <c r="V273" s="20" t="s">
        <v>87</v>
      </c>
      <c r="W273" s="20">
        <v>531</v>
      </c>
      <c r="X273" s="20">
        <v>531</v>
      </c>
      <c r="Y273" s="20" t="s">
        <v>246</v>
      </c>
      <c r="Z273" s="20">
        <v>0.2</v>
      </c>
      <c r="AA273" s="20" t="s">
        <v>266</v>
      </c>
      <c r="AB273" s="20" t="s">
        <v>89</v>
      </c>
      <c r="AC273" s="20" t="s">
        <v>90</v>
      </c>
      <c r="AD273" s="20" t="s">
        <v>267</v>
      </c>
      <c r="AE273" s="20" t="s">
        <v>91</v>
      </c>
      <c r="AF273" s="20">
        <v>1</v>
      </c>
      <c r="AG273" s="20" t="s">
        <v>2660</v>
      </c>
      <c r="AH273" s="20">
        <v>1</v>
      </c>
      <c r="AI273" s="7" t="s">
        <v>251</v>
      </c>
      <c r="AJ273" s="20">
        <v>200</v>
      </c>
      <c r="AK273" s="4" t="s">
        <v>252</v>
      </c>
      <c r="AL273" s="4">
        <v>2</v>
      </c>
      <c r="AM273" s="4" t="s">
        <v>94</v>
      </c>
      <c r="AN273" s="4" t="s">
        <v>95</v>
      </c>
      <c r="AO273" s="4" t="s">
        <v>96</v>
      </c>
      <c r="AP273" s="4">
        <v>1</v>
      </c>
      <c r="AQ273" s="20">
        <v>27000</v>
      </c>
      <c r="AR273" s="4">
        <v>41836</v>
      </c>
      <c r="AS273" s="20">
        <v>3506.4935064935062</v>
      </c>
      <c r="AT273" s="20">
        <v>3891.8880000000004</v>
      </c>
      <c r="AU273" s="20">
        <v>385.3944935064942</v>
      </c>
      <c r="AV273" s="20">
        <v>0</v>
      </c>
      <c r="AW273" s="20">
        <v>0</v>
      </c>
      <c r="AX273" s="20" t="s">
        <v>91</v>
      </c>
      <c r="AY273" s="20">
        <v>0</v>
      </c>
      <c r="AZ273" s="20">
        <v>3.12</v>
      </c>
      <c r="BA273" s="20">
        <v>0</v>
      </c>
      <c r="BB273" s="6">
        <v>41751</v>
      </c>
      <c r="BC273" s="6">
        <v>0</v>
      </c>
      <c r="BD273" s="6">
        <v>41869</v>
      </c>
      <c r="BE273" s="6">
        <v>0</v>
      </c>
      <c r="BF273" s="6">
        <v>41913</v>
      </c>
      <c r="BG273" s="6">
        <v>0</v>
      </c>
      <c r="BH273" s="6">
        <v>0</v>
      </c>
      <c r="BI273" s="6">
        <v>0</v>
      </c>
      <c r="BJ273" s="6">
        <v>0</v>
      </c>
      <c r="BK273" s="5" t="s">
        <v>401</v>
      </c>
      <c r="BL273" s="4" t="s">
        <v>401</v>
      </c>
      <c r="BM273" s="20">
        <v>200</v>
      </c>
      <c r="BN273" s="20">
        <v>0</v>
      </c>
      <c r="BO273" s="20">
        <v>0</v>
      </c>
      <c r="BP273" s="20">
        <v>0</v>
      </c>
      <c r="BQ273" s="20">
        <v>0</v>
      </c>
      <c r="BR273" s="20">
        <v>0</v>
      </c>
      <c r="BS273" s="20">
        <v>200</v>
      </c>
      <c r="BT273" s="20">
        <v>778377.60000000009</v>
      </c>
      <c r="BU273" s="20">
        <v>5400000</v>
      </c>
      <c r="BV273" s="20">
        <v>6.3068244886426692</v>
      </c>
    </row>
    <row r="274" spans="1:74">
      <c r="A274" s="10">
        <f t="shared" si="18"/>
        <v>0</v>
      </c>
      <c r="B274" s="10">
        <f t="shared" si="19"/>
        <v>0</v>
      </c>
      <c r="C274" s="12">
        <f t="shared" si="20"/>
        <v>4</v>
      </c>
      <c r="D274" s="12">
        <f t="shared" si="21"/>
        <v>10</v>
      </c>
      <c r="E274" s="20" t="s">
        <v>114</v>
      </c>
      <c r="F274" s="20" t="s">
        <v>164</v>
      </c>
      <c r="G274" s="20" t="s">
        <v>239</v>
      </c>
      <c r="H274" s="20" t="s">
        <v>268</v>
      </c>
      <c r="I274" s="20">
        <v>5</v>
      </c>
      <c r="J274" s="20" t="s">
        <v>269</v>
      </c>
      <c r="K274" s="20" t="s">
        <v>270</v>
      </c>
      <c r="L274" s="20" t="s">
        <v>243</v>
      </c>
      <c r="M274" s="20" t="s">
        <v>164</v>
      </c>
      <c r="N274" s="20" t="s">
        <v>170</v>
      </c>
      <c r="P274" s="20" t="s">
        <v>164</v>
      </c>
      <c r="Q274" s="20" t="s">
        <v>171</v>
      </c>
      <c r="R274" s="20" t="s">
        <v>84</v>
      </c>
      <c r="S274" s="20">
        <v>5</v>
      </c>
      <c r="T274" s="20" t="s">
        <v>244</v>
      </c>
      <c r="U274" s="20" t="s">
        <v>245</v>
      </c>
      <c r="V274" s="20" t="s">
        <v>87</v>
      </c>
      <c r="W274" s="20">
        <v>531</v>
      </c>
      <c r="X274" s="20">
        <v>531</v>
      </c>
      <c r="Y274" s="20" t="s">
        <v>246</v>
      </c>
      <c r="Z274" s="20">
        <v>0.2</v>
      </c>
      <c r="AA274" s="20" t="s">
        <v>271</v>
      </c>
      <c r="AB274" s="20" t="s">
        <v>101</v>
      </c>
      <c r="AC274" s="20" t="s">
        <v>102</v>
      </c>
      <c r="AD274" s="20" t="s">
        <v>272</v>
      </c>
      <c r="AE274" s="20" t="s">
        <v>91</v>
      </c>
      <c r="AF274" s="20">
        <v>1</v>
      </c>
      <c r="AG274" s="20" t="s">
        <v>2660</v>
      </c>
      <c r="AH274" s="20">
        <v>1</v>
      </c>
      <c r="AI274" s="7" t="s">
        <v>251</v>
      </c>
      <c r="AJ274" s="20">
        <v>200</v>
      </c>
      <c r="AK274" s="4" t="s">
        <v>252</v>
      </c>
      <c r="AL274" s="4">
        <v>2</v>
      </c>
      <c r="AM274" s="4" t="s">
        <v>94</v>
      </c>
      <c r="AN274" s="4" t="s">
        <v>95</v>
      </c>
      <c r="AO274" s="4" t="s">
        <v>96</v>
      </c>
      <c r="AP274" s="4">
        <v>1</v>
      </c>
      <c r="AQ274" s="20">
        <v>27000</v>
      </c>
      <c r="AR274" s="4">
        <v>41836</v>
      </c>
      <c r="AS274" s="20">
        <v>3506.4935064935062</v>
      </c>
      <c r="AT274" s="20">
        <v>3891.8880000000004</v>
      </c>
      <c r="AU274" s="20">
        <v>385.3944935064942</v>
      </c>
      <c r="AV274" s="20">
        <v>0</v>
      </c>
      <c r="AW274" s="20">
        <v>0</v>
      </c>
      <c r="AX274" s="20" t="s">
        <v>91</v>
      </c>
      <c r="AY274" s="20">
        <v>0</v>
      </c>
      <c r="AZ274" s="20">
        <v>3.12</v>
      </c>
      <c r="BA274" s="20">
        <v>0</v>
      </c>
      <c r="BB274" s="6">
        <v>41751</v>
      </c>
      <c r="BC274" s="6">
        <v>0</v>
      </c>
      <c r="BD274" s="6">
        <v>41869</v>
      </c>
      <c r="BE274" s="6">
        <v>0</v>
      </c>
      <c r="BF274" s="6">
        <v>41913</v>
      </c>
      <c r="BG274" s="6">
        <v>0</v>
      </c>
      <c r="BH274" s="6">
        <v>0</v>
      </c>
      <c r="BI274" s="6">
        <v>0</v>
      </c>
      <c r="BJ274" s="6">
        <v>0</v>
      </c>
      <c r="BK274" s="5" t="s">
        <v>401</v>
      </c>
      <c r="BL274" s="4" t="s">
        <v>401</v>
      </c>
      <c r="BM274" s="20">
        <v>199</v>
      </c>
      <c r="BN274" s="20">
        <v>0</v>
      </c>
      <c r="BO274" s="20">
        <v>0</v>
      </c>
      <c r="BP274" s="20">
        <v>0</v>
      </c>
      <c r="BQ274" s="20">
        <v>0</v>
      </c>
      <c r="BR274" s="20">
        <v>0</v>
      </c>
      <c r="BS274" s="20">
        <v>200</v>
      </c>
      <c r="BT274" s="20">
        <v>778377.60000000009</v>
      </c>
      <c r="BU274" s="20">
        <v>5400000</v>
      </c>
      <c r="BV274" s="20">
        <v>6.3068244886426692</v>
      </c>
    </row>
    <row r="275" spans="1:74">
      <c r="A275" s="10">
        <f t="shared" si="18"/>
        <v>0</v>
      </c>
      <c r="B275" s="10">
        <f t="shared" si="19"/>
        <v>0</v>
      </c>
      <c r="C275" s="12">
        <f t="shared" si="20"/>
        <v>4</v>
      </c>
      <c r="D275" s="12">
        <f t="shared" si="21"/>
        <v>10</v>
      </c>
      <c r="E275" s="20" t="s">
        <v>114</v>
      </c>
      <c r="F275" s="20" t="s">
        <v>164</v>
      </c>
      <c r="G275" s="20" t="s">
        <v>239</v>
      </c>
      <c r="H275" s="20" t="s">
        <v>273</v>
      </c>
      <c r="I275" s="20">
        <v>6</v>
      </c>
      <c r="J275" s="20" t="s">
        <v>274</v>
      </c>
      <c r="K275" s="20" t="s">
        <v>275</v>
      </c>
      <c r="L275" s="20" t="s">
        <v>276</v>
      </c>
      <c r="M275" s="20" t="s">
        <v>164</v>
      </c>
      <c r="N275" s="20" t="s">
        <v>170</v>
      </c>
      <c r="P275" s="20" t="s">
        <v>164</v>
      </c>
      <c r="Q275" s="20" t="s">
        <v>171</v>
      </c>
      <c r="R275" s="20" t="s">
        <v>84</v>
      </c>
      <c r="S275" s="20">
        <v>5</v>
      </c>
      <c r="T275" s="20" t="s">
        <v>244</v>
      </c>
      <c r="U275" s="20" t="s">
        <v>245</v>
      </c>
      <c r="V275" s="20" t="s">
        <v>87</v>
      </c>
      <c r="W275" s="20">
        <v>532</v>
      </c>
      <c r="X275" s="20">
        <v>532</v>
      </c>
      <c r="Y275" s="20" t="s">
        <v>277</v>
      </c>
      <c r="Z275" s="20">
        <v>0.14285714285714285</v>
      </c>
      <c r="AA275" s="20" t="s">
        <v>278</v>
      </c>
      <c r="AB275" s="20" t="s">
        <v>279</v>
      </c>
      <c r="AC275" s="20" t="s">
        <v>280</v>
      </c>
      <c r="AD275" s="20" t="s">
        <v>281</v>
      </c>
      <c r="AE275" s="20" t="s">
        <v>91</v>
      </c>
      <c r="AF275" s="20">
        <v>1</v>
      </c>
      <c r="AG275" s="20" t="s">
        <v>2661</v>
      </c>
      <c r="AH275" s="20">
        <v>1</v>
      </c>
      <c r="AI275" s="7" t="s">
        <v>251</v>
      </c>
      <c r="AJ275" s="20">
        <v>250</v>
      </c>
      <c r="AK275" s="4" t="s">
        <v>252</v>
      </c>
      <c r="AL275" s="4">
        <v>2</v>
      </c>
      <c r="AM275" s="4" t="s">
        <v>94</v>
      </c>
      <c r="AN275" s="4" t="s">
        <v>95</v>
      </c>
      <c r="AO275" s="4" t="s">
        <v>96</v>
      </c>
      <c r="AP275" s="4">
        <v>1</v>
      </c>
      <c r="AQ275" s="20">
        <v>33000</v>
      </c>
      <c r="AR275" s="4">
        <v>41836</v>
      </c>
      <c r="AS275" s="20">
        <v>4285.7142857142853</v>
      </c>
      <c r="AT275" s="20">
        <v>3866.9400000000005</v>
      </c>
      <c r="AU275" s="20">
        <v>-418.77428571428482</v>
      </c>
      <c r="AV275" s="20">
        <v>0</v>
      </c>
      <c r="AW275" s="20">
        <v>0</v>
      </c>
      <c r="AX275" s="20" t="s">
        <v>91</v>
      </c>
      <c r="AY275" s="20">
        <v>0</v>
      </c>
      <c r="AZ275" s="20">
        <v>3.1</v>
      </c>
      <c r="BA275" s="20">
        <v>0</v>
      </c>
      <c r="BB275" s="6">
        <v>41751</v>
      </c>
      <c r="BC275" s="6">
        <v>0</v>
      </c>
      <c r="BD275" s="6">
        <v>41869</v>
      </c>
      <c r="BE275" s="6">
        <v>0</v>
      </c>
      <c r="BF275" s="6">
        <v>41913</v>
      </c>
      <c r="BG275" s="6">
        <v>0</v>
      </c>
      <c r="BH275" s="6">
        <v>0</v>
      </c>
      <c r="BI275" s="6">
        <v>0</v>
      </c>
      <c r="BJ275" s="6">
        <v>0</v>
      </c>
      <c r="BK275" s="5" t="s">
        <v>401</v>
      </c>
      <c r="BL275" s="4" t="s">
        <v>401</v>
      </c>
      <c r="BM275" s="20">
        <v>245</v>
      </c>
      <c r="BN275" s="20">
        <v>0</v>
      </c>
      <c r="BO275" s="20">
        <v>0</v>
      </c>
      <c r="BP275" s="20">
        <v>0</v>
      </c>
      <c r="BQ275" s="20">
        <v>0</v>
      </c>
      <c r="BR275" s="20">
        <v>0</v>
      </c>
      <c r="BS275" s="20">
        <v>250</v>
      </c>
      <c r="BT275" s="20">
        <v>966735.00000000012</v>
      </c>
      <c r="BU275" s="20">
        <v>8250000</v>
      </c>
      <c r="BV275" s="20">
        <v>7.7580722742013046</v>
      </c>
    </row>
    <row r="276" spans="1:74">
      <c r="A276" s="10">
        <f t="shared" si="18"/>
        <v>0</v>
      </c>
      <c r="B276" s="10">
        <f t="shared" si="19"/>
        <v>0</v>
      </c>
      <c r="C276" s="12">
        <f t="shared" si="20"/>
        <v>4</v>
      </c>
      <c r="D276" s="12">
        <f t="shared" si="21"/>
        <v>10</v>
      </c>
      <c r="E276" s="20" t="s">
        <v>114</v>
      </c>
      <c r="F276" s="20" t="s">
        <v>164</v>
      </c>
      <c r="G276" s="20" t="s">
        <v>239</v>
      </c>
      <c r="H276" s="20" t="s">
        <v>282</v>
      </c>
      <c r="I276" s="20">
        <v>7</v>
      </c>
      <c r="J276" s="20" t="s">
        <v>283</v>
      </c>
      <c r="K276" s="20" t="s">
        <v>284</v>
      </c>
      <c r="L276" s="20" t="s">
        <v>276</v>
      </c>
      <c r="M276" s="20" t="s">
        <v>164</v>
      </c>
      <c r="N276" s="20" t="s">
        <v>170</v>
      </c>
      <c r="P276" s="20" t="s">
        <v>164</v>
      </c>
      <c r="Q276" s="20" t="s">
        <v>171</v>
      </c>
      <c r="R276" s="20" t="s">
        <v>84</v>
      </c>
      <c r="S276" s="20">
        <v>5</v>
      </c>
      <c r="T276" s="20" t="s">
        <v>244</v>
      </c>
      <c r="U276" s="20" t="s">
        <v>245</v>
      </c>
      <c r="V276" s="20" t="s">
        <v>87</v>
      </c>
      <c r="W276" s="20">
        <v>532</v>
      </c>
      <c r="X276" s="20">
        <v>532</v>
      </c>
      <c r="Y276" s="20" t="s">
        <v>277</v>
      </c>
      <c r="Z276" s="20">
        <v>0.14285714285714285</v>
      </c>
      <c r="AA276" s="20" t="s">
        <v>285</v>
      </c>
      <c r="AB276" s="20" t="s">
        <v>139</v>
      </c>
      <c r="AC276" s="20" t="s">
        <v>140</v>
      </c>
      <c r="AD276" s="20" t="s">
        <v>286</v>
      </c>
      <c r="AE276" s="20" t="s">
        <v>91</v>
      </c>
      <c r="AF276" s="20">
        <v>1</v>
      </c>
      <c r="AG276" s="20" t="s">
        <v>2661</v>
      </c>
      <c r="AH276" s="20">
        <v>1</v>
      </c>
      <c r="AI276" s="7" t="s">
        <v>251</v>
      </c>
      <c r="AJ276" s="20">
        <v>250</v>
      </c>
      <c r="AK276" s="4" t="s">
        <v>252</v>
      </c>
      <c r="AL276" s="4">
        <v>2</v>
      </c>
      <c r="AM276" s="4" t="s">
        <v>94</v>
      </c>
      <c r="AN276" s="4" t="s">
        <v>95</v>
      </c>
      <c r="AO276" s="4" t="s">
        <v>96</v>
      </c>
      <c r="AP276" s="4">
        <v>1</v>
      </c>
      <c r="AQ276" s="20">
        <v>33000</v>
      </c>
      <c r="AR276" s="4">
        <v>41836</v>
      </c>
      <c r="AS276" s="20">
        <v>4285.7142857142853</v>
      </c>
      <c r="AT276" s="20">
        <v>3866.9400000000005</v>
      </c>
      <c r="AU276" s="20">
        <v>-418.77428571428482</v>
      </c>
      <c r="AV276" s="20">
        <v>0</v>
      </c>
      <c r="AW276" s="20">
        <v>0</v>
      </c>
      <c r="AX276" s="20" t="s">
        <v>91</v>
      </c>
      <c r="AY276" s="20">
        <v>0</v>
      </c>
      <c r="AZ276" s="20">
        <v>3.1</v>
      </c>
      <c r="BA276" s="20">
        <v>0</v>
      </c>
      <c r="BB276" s="6">
        <v>41751</v>
      </c>
      <c r="BC276" s="6">
        <v>0</v>
      </c>
      <c r="BD276" s="6">
        <v>41869</v>
      </c>
      <c r="BE276" s="6">
        <v>0</v>
      </c>
      <c r="BF276" s="6">
        <v>41913</v>
      </c>
      <c r="BG276" s="6">
        <v>0</v>
      </c>
      <c r="BH276" s="6">
        <v>0</v>
      </c>
      <c r="BI276" s="6">
        <v>0</v>
      </c>
      <c r="BJ276" s="6">
        <v>0</v>
      </c>
      <c r="BK276" s="5" t="s">
        <v>401</v>
      </c>
      <c r="BL276" s="4" t="s">
        <v>401</v>
      </c>
      <c r="BM276" s="20">
        <v>250</v>
      </c>
      <c r="BN276" s="20">
        <v>0</v>
      </c>
      <c r="BO276" s="20">
        <v>0</v>
      </c>
      <c r="BP276" s="20">
        <v>0</v>
      </c>
      <c r="BQ276" s="20">
        <v>0</v>
      </c>
      <c r="BR276" s="20">
        <v>0</v>
      </c>
      <c r="BS276" s="20">
        <v>250</v>
      </c>
      <c r="BT276" s="20">
        <v>966735.00000000012</v>
      </c>
      <c r="BU276" s="20">
        <v>8250000</v>
      </c>
      <c r="BV276" s="20">
        <v>7.7580722742013046</v>
      </c>
    </row>
    <row r="277" spans="1:74">
      <c r="A277" s="10">
        <f t="shared" si="18"/>
        <v>0</v>
      </c>
      <c r="B277" s="10">
        <f t="shared" si="19"/>
        <v>0</v>
      </c>
      <c r="C277" s="12">
        <f t="shared" si="20"/>
        <v>4</v>
      </c>
      <c r="D277" s="12">
        <f t="shared" si="21"/>
        <v>10</v>
      </c>
      <c r="E277" s="20" t="s">
        <v>114</v>
      </c>
      <c r="F277" s="20" t="s">
        <v>164</v>
      </c>
      <c r="G277" s="20" t="s">
        <v>239</v>
      </c>
      <c r="H277" s="20" t="s">
        <v>287</v>
      </c>
      <c r="I277" s="20">
        <v>8</v>
      </c>
      <c r="J277" s="20" t="s">
        <v>288</v>
      </c>
      <c r="K277" s="20" t="s">
        <v>289</v>
      </c>
      <c r="L277" s="20" t="s">
        <v>276</v>
      </c>
      <c r="M277" s="20" t="s">
        <v>164</v>
      </c>
      <c r="N277" s="20" t="s">
        <v>170</v>
      </c>
      <c r="P277" s="20" t="s">
        <v>164</v>
      </c>
      <c r="Q277" s="20" t="s">
        <v>171</v>
      </c>
      <c r="R277" s="20" t="s">
        <v>84</v>
      </c>
      <c r="S277" s="20">
        <v>5</v>
      </c>
      <c r="T277" s="20" t="s">
        <v>244</v>
      </c>
      <c r="U277" s="20" t="s">
        <v>245</v>
      </c>
      <c r="V277" s="20" t="s">
        <v>87</v>
      </c>
      <c r="W277" s="20">
        <v>532</v>
      </c>
      <c r="X277" s="20">
        <v>532</v>
      </c>
      <c r="Y277" s="20" t="s">
        <v>277</v>
      </c>
      <c r="Z277" s="20">
        <v>0.14285714285714285</v>
      </c>
      <c r="AA277" s="20" t="s">
        <v>290</v>
      </c>
      <c r="AB277" s="20" t="s">
        <v>89</v>
      </c>
      <c r="AC277" s="20" t="s">
        <v>90</v>
      </c>
      <c r="AD277" s="20" t="s">
        <v>291</v>
      </c>
      <c r="AE277" s="20" t="s">
        <v>91</v>
      </c>
      <c r="AF277" s="20">
        <v>1</v>
      </c>
      <c r="AG277" s="20" t="s">
        <v>2661</v>
      </c>
      <c r="AH277" s="20">
        <v>1</v>
      </c>
      <c r="AI277" s="7" t="s">
        <v>251</v>
      </c>
      <c r="AJ277" s="20">
        <v>250</v>
      </c>
      <c r="AK277" s="4" t="s">
        <v>252</v>
      </c>
      <c r="AL277" s="4">
        <v>2</v>
      </c>
      <c r="AM277" s="4" t="s">
        <v>94</v>
      </c>
      <c r="AN277" s="4" t="s">
        <v>95</v>
      </c>
      <c r="AO277" s="4" t="s">
        <v>96</v>
      </c>
      <c r="AP277" s="4">
        <v>1</v>
      </c>
      <c r="AQ277" s="20">
        <v>33000</v>
      </c>
      <c r="AR277" s="4">
        <v>41836</v>
      </c>
      <c r="AS277" s="20">
        <v>4285.7142857142853</v>
      </c>
      <c r="AT277" s="20">
        <v>3866.9400000000005</v>
      </c>
      <c r="AU277" s="20">
        <v>-418.77428571428482</v>
      </c>
      <c r="AV277" s="20">
        <v>0</v>
      </c>
      <c r="AW277" s="20">
        <v>0</v>
      </c>
      <c r="AX277" s="20" t="s">
        <v>91</v>
      </c>
      <c r="AY277" s="20">
        <v>0</v>
      </c>
      <c r="AZ277" s="20">
        <v>3.1</v>
      </c>
      <c r="BA277" s="20">
        <v>0</v>
      </c>
      <c r="BB277" s="6">
        <v>41751</v>
      </c>
      <c r="BC277" s="6">
        <v>0</v>
      </c>
      <c r="BD277" s="6">
        <v>41869</v>
      </c>
      <c r="BE277" s="6">
        <v>0</v>
      </c>
      <c r="BF277" s="6">
        <v>41913</v>
      </c>
      <c r="BG277" s="6">
        <v>0</v>
      </c>
      <c r="BH277" s="6">
        <v>0</v>
      </c>
      <c r="BI277" s="6">
        <v>0</v>
      </c>
      <c r="BJ277" s="6">
        <v>0</v>
      </c>
      <c r="BK277" s="5" t="s">
        <v>401</v>
      </c>
      <c r="BL277" s="4" t="s">
        <v>401</v>
      </c>
      <c r="BM277" s="20">
        <v>249</v>
      </c>
      <c r="BN277" s="20">
        <v>0</v>
      </c>
      <c r="BO277" s="20">
        <v>0</v>
      </c>
      <c r="BP277" s="20">
        <v>0</v>
      </c>
      <c r="BQ277" s="20">
        <v>0</v>
      </c>
      <c r="BR277" s="20">
        <v>0</v>
      </c>
      <c r="BS277" s="20">
        <v>250</v>
      </c>
      <c r="BT277" s="20">
        <v>966735.00000000012</v>
      </c>
      <c r="BU277" s="20">
        <v>8250000</v>
      </c>
      <c r="BV277" s="20">
        <v>7.7580722742013046</v>
      </c>
    </row>
    <row r="278" spans="1:74">
      <c r="A278" s="10">
        <f t="shared" si="18"/>
        <v>0</v>
      </c>
      <c r="B278" s="10">
        <f t="shared" si="19"/>
        <v>0</v>
      </c>
      <c r="C278" s="12">
        <f t="shared" si="20"/>
        <v>4</v>
      </c>
      <c r="D278" s="12">
        <f t="shared" si="21"/>
        <v>10</v>
      </c>
      <c r="E278" s="20" t="s">
        <v>114</v>
      </c>
      <c r="F278" s="20" t="s">
        <v>164</v>
      </c>
      <c r="G278" s="20" t="s">
        <v>239</v>
      </c>
      <c r="H278" s="20" t="s">
        <v>292</v>
      </c>
      <c r="I278" s="20">
        <v>9</v>
      </c>
      <c r="J278" s="20" t="s">
        <v>293</v>
      </c>
      <c r="K278" s="20" t="s">
        <v>294</v>
      </c>
      <c r="L278" s="20" t="s">
        <v>276</v>
      </c>
      <c r="M278" s="20" t="s">
        <v>164</v>
      </c>
      <c r="N278" s="20" t="s">
        <v>170</v>
      </c>
      <c r="P278" s="20" t="s">
        <v>164</v>
      </c>
      <c r="Q278" s="20" t="s">
        <v>171</v>
      </c>
      <c r="R278" s="20" t="s">
        <v>84</v>
      </c>
      <c r="S278" s="20">
        <v>5</v>
      </c>
      <c r="T278" s="20" t="s">
        <v>244</v>
      </c>
      <c r="U278" s="20" t="s">
        <v>245</v>
      </c>
      <c r="V278" s="20" t="s">
        <v>87</v>
      </c>
      <c r="W278" s="20">
        <v>532</v>
      </c>
      <c r="X278" s="20">
        <v>532</v>
      </c>
      <c r="Y278" s="20" t="s">
        <v>277</v>
      </c>
      <c r="Z278" s="20">
        <v>0.14285714285714285</v>
      </c>
      <c r="AA278" s="20" t="s">
        <v>295</v>
      </c>
      <c r="AB278" s="20" t="s">
        <v>296</v>
      </c>
      <c r="AC278" s="20" t="s">
        <v>297</v>
      </c>
      <c r="AD278" s="20" t="s">
        <v>298</v>
      </c>
      <c r="AE278" s="20" t="s">
        <v>91</v>
      </c>
      <c r="AF278" s="20">
        <v>1</v>
      </c>
      <c r="AG278" s="20" t="s">
        <v>2661</v>
      </c>
      <c r="AH278" s="20">
        <v>1</v>
      </c>
      <c r="AI278" s="7" t="s">
        <v>251</v>
      </c>
      <c r="AJ278" s="20">
        <v>250</v>
      </c>
      <c r="AK278" s="4" t="s">
        <v>252</v>
      </c>
      <c r="AL278" s="4">
        <v>2</v>
      </c>
      <c r="AM278" s="4" t="s">
        <v>94</v>
      </c>
      <c r="AN278" s="4" t="s">
        <v>95</v>
      </c>
      <c r="AO278" s="4" t="s">
        <v>96</v>
      </c>
      <c r="AP278" s="4">
        <v>1</v>
      </c>
      <c r="AQ278" s="20">
        <v>33000</v>
      </c>
      <c r="AR278" s="4">
        <v>41836</v>
      </c>
      <c r="AS278" s="20">
        <v>4285.7142857142853</v>
      </c>
      <c r="AT278" s="20">
        <v>3866.9400000000005</v>
      </c>
      <c r="AU278" s="20">
        <v>-418.77428571428482</v>
      </c>
      <c r="AV278" s="20">
        <v>0</v>
      </c>
      <c r="AW278" s="20">
        <v>0</v>
      </c>
      <c r="AX278" s="20" t="s">
        <v>91</v>
      </c>
      <c r="AY278" s="20">
        <v>0</v>
      </c>
      <c r="AZ278" s="20">
        <v>3.1</v>
      </c>
      <c r="BA278" s="20">
        <v>0</v>
      </c>
      <c r="BB278" s="6">
        <v>41751</v>
      </c>
      <c r="BC278" s="6">
        <v>0</v>
      </c>
      <c r="BD278" s="6">
        <v>41869</v>
      </c>
      <c r="BE278" s="6">
        <v>0</v>
      </c>
      <c r="BF278" s="6">
        <v>41913</v>
      </c>
      <c r="BG278" s="6">
        <v>0</v>
      </c>
      <c r="BH278" s="6">
        <v>0</v>
      </c>
      <c r="BI278" s="6">
        <v>0</v>
      </c>
      <c r="BJ278" s="6">
        <v>0</v>
      </c>
      <c r="BK278" s="5" t="s">
        <v>401</v>
      </c>
      <c r="BL278" s="4" t="s">
        <v>401</v>
      </c>
      <c r="BM278" s="20">
        <v>250</v>
      </c>
      <c r="BN278" s="20">
        <v>0</v>
      </c>
      <c r="BO278" s="20">
        <v>0</v>
      </c>
      <c r="BP278" s="20">
        <v>0</v>
      </c>
      <c r="BQ278" s="20">
        <v>0</v>
      </c>
      <c r="BR278" s="20">
        <v>0</v>
      </c>
      <c r="BS278" s="20">
        <v>250</v>
      </c>
      <c r="BT278" s="20">
        <v>966735.00000000012</v>
      </c>
      <c r="BU278" s="20">
        <v>8250000</v>
      </c>
      <c r="BV278" s="20">
        <v>7.7580722742013046</v>
      </c>
    </row>
    <row r="279" spans="1:74">
      <c r="A279" s="10">
        <f t="shared" si="18"/>
        <v>0</v>
      </c>
      <c r="B279" s="10">
        <f t="shared" si="19"/>
        <v>0</v>
      </c>
      <c r="C279" s="12">
        <f t="shared" si="20"/>
        <v>4</v>
      </c>
      <c r="D279" s="12">
        <f t="shared" si="21"/>
        <v>10</v>
      </c>
      <c r="E279" s="20" t="s">
        <v>114</v>
      </c>
      <c r="F279" s="20" t="s">
        <v>164</v>
      </c>
      <c r="G279" s="20" t="s">
        <v>239</v>
      </c>
      <c r="H279" s="20" t="s">
        <v>299</v>
      </c>
      <c r="I279" s="20">
        <v>10</v>
      </c>
      <c r="J279" s="20" t="s">
        <v>300</v>
      </c>
      <c r="K279" s="20" t="s">
        <v>301</v>
      </c>
      <c r="L279" s="20" t="s">
        <v>276</v>
      </c>
      <c r="M279" s="20" t="s">
        <v>164</v>
      </c>
      <c r="N279" s="20" t="s">
        <v>170</v>
      </c>
      <c r="P279" s="20" t="s">
        <v>164</v>
      </c>
      <c r="Q279" s="20" t="s">
        <v>171</v>
      </c>
      <c r="R279" s="20" t="s">
        <v>84</v>
      </c>
      <c r="S279" s="20">
        <v>5</v>
      </c>
      <c r="T279" s="20" t="s">
        <v>244</v>
      </c>
      <c r="U279" s="20" t="s">
        <v>245</v>
      </c>
      <c r="V279" s="20" t="s">
        <v>87</v>
      </c>
      <c r="W279" s="20">
        <v>532</v>
      </c>
      <c r="X279" s="20">
        <v>532</v>
      </c>
      <c r="Y279" s="20" t="s">
        <v>277</v>
      </c>
      <c r="Z279" s="20">
        <v>0.14285714285714285</v>
      </c>
      <c r="AA279" s="20" t="s">
        <v>302</v>
      </c>
      <c r="AB279" s="20" t="s">
        <v>303</v>
      </c>
      <c r="AC279" s="20" t="s">
        <v>304</v>
      </c>
      <c r="AD279" s="20" t="s">
        <v>305</v>
      </c>
      <c r="AE279" s="20" t="s">
        <v>91</v>
      </c>
      <c r="AF279" s="20">
        <v>1</v>
      </c>
      <c r="AG279" s="20" t="s">
        <v>2661</v>
      </c>
      <c r="AH279" s="20">
        <v>1</v>
      </c>
      <c r="AI279" s="7" t="s">
        <v>251</v>
      </c>
      <c r="AJ279" s="20">
        <v>250</v>
      </c>
      <c r="AK279" s="4" t="s">
        <v>252</v>
      </c>
      <c r="AL279" s="4">
        <v>2</v>
      </c>
      <c r="AM279" s="4" t="s">
        <v>94</v>
      </c>
      <c r="AN279" s="4" t="s">
        <v>95</v>
      </c>
      <c r="AO279" s="4" t="s">
        <v>96</v>
      </c>
      <c r="AP279" s="4">
        <v>1</v>
      </c>
      <c r="AQ279" s="20">
        <v>33000</v>
      </c>
      <c r="AR279" s="4">
        <v>41836</v>
      </c>
      <c r="AS279" s="20">
        <v>4285.7142857142853</v>
      </c>
      <c r="AT279" s="20">
        <v>3866.9400000000005</v>
      </c>
      <c r="AU279" s="20">
        <v>-418.77428571428482</v>
      </c>
      <c r="AV279" s="20">
        <v>0</v>
      </c>
      <c r="AW279" s="20">
        <v>0</v>
      </c>
      <c r="AX279" s="20" t="s">
        <v>91</v>
      </c>
      <c r="AY279" s="20">
        <v>0</v>
      </c>
      <c r="AZ279" s="20">
        <v>3.1</v>
      </c>
      <c r="BA279" s="20">
        <v>0</v>
      </c>
      <c r="BB279" s="6">
        <v>41751</v>
      </c>
      <c r="BC279" s="6">
        <v>0</v>
      </c>
      <c r="BD279" s="6">
        <v>41869</v>
      </c>
      <c r="BE279" s="6">
        <v>0</v>
      </c>
      <c r="BF279" s="6">
        <v>41913</v>
      </c>
      <c r="BG279" s="6">
        <v>0</v>
      </c>
      <c r="BH279" s="6">
        <v>0</v>
      </c>
      <c r="BI279" s="6">
        <v>0</v>
      </c>
      <c r="BJ279" s="6">
        <v>0</v>
      </c>
      <c r="BK279" s="5" t="s">
        <v>401</v>
      </c>
      <c r="BL279" s="4" t="s">
        <v>401</v>
      </c>
      <c r="BM279" s="20">
        <v>250</v>
      </c>
      <c r="BN279" s="20">
        <v>0</v>
      </c>
      <c r="BO279" s="20">
        <v>0</v>
      </c>
      <c r="BP279" s="20">
        <v>0</v>
      </c>
      <c r="BQ279" s="20">
        <v>0</v>
      </c>
      <c r="BR279" s="20">
        <v>0</v>
      </c>
      <c r="BS279" s="20">
        <v>250</v>
      </c>
      <c r="BT279" s="20">
        <v>966735.00000000012</v>
      </c>
      <c r="BU279" s="20">
        <v>8250000</v>
      </c>
      <c r="BV279" s="20">
        <v>7.7580722742013046</v>
      </c>
    </row>
    <row r="280" spans="1:74">
      <c r="A280" s="10">
        <f t="shared" si="18"/>
        <v>0</v>
      </c>
      <c r="B280" s="10">
        <f t="shared" si="19"/>
        <v>0</v>
      </c>
      <c r="C280" s="12">
        <f t="shared" si="20"/>
        <v>4</v>
      </c>
      <c r="D280" s="12">
        <f t="shared" si="21"/>
        <v>10</v>
      </c>
      <c r="E280" s="20" t="s">
        <v>114</v>
      </c>
      <c r="F280" s="20" t="s">
        <v>164</v>
      </c>
      <c r="G280" s="20" t="s">
        <v>239</v>
      </c>
      <c r="H280" s="20" t="s">
        <v>306</v>
      </c>
      <c r="I280" s="20">
        <v>11</v>
      </c>
      <c r="J280" s="20" t="s">
        <v>307</v>
      </c>
      <c r="K280" s="20" t="s">
        <v>308</v>
      </c>
      <c r="L280" s="20" t="s">
        <v>276</v>
      </c>
      <c r="M280" s="20" t="s">
        <v>164</v>
      </c>
      <c r="N280" s="20" t="s">
        <v>170</v>
      </c>
      <c r="P280" s="20" t="s">
        <v>164</v>
      </c>
      <c r="Q280" s="20" t="s">
        <v>171</v>
      </c>
      <c r="R280" s="20" t="s">
        <v>84</v>
      </c>
      <c r="S280" s="20">
        <v>5</v>
      </c>
      <c r="T280" s="20" t="s">
        <v>244</v>
      </c>
      <c r="U280" s="20" t="s">
        <v>245</v>
      </c>
      <c r="V280" s="20" t="s">
        <v>87</v>
      </c>
      <c r="W280" s="20">
        <v>532</v>
      </c>
      <c r="X280" s="20">
        <v>532</v>
      </c>
      <c r="Y280" s="20" t="s">
        <v>277</v>
      </c>
      <c r="Z280" s="20">
        <v>0.14285714285714285</v>
      </c>
      <c r="AA280" s="20" t="s">
        <v>309</v>
      </c>
      <c r="AB280" s="20" t="s">
        <v>176</v>
      </c>
      <c r="AC280" s="20" t="s">
        <v>177</v>
      </c>
      <c r="AD280" s="20" t="s">
        <v>310</v>
      </c>
      <c r="AE280" s="20" t="s">
        <v>91</v>
      </c>
      <c r="AF280" s="20">
        <v>1</v>
      </c>
      <c r="AG280" s="20" t="s">
        <v>2661</v>
      </c>
      <c r="AH280" s="20">
        <v>1</v>
      </c>
      <c r="AI280" s="7" t="s">
        <v>251</v>
      </c>
      <c r="AJ280" s="20">
        <v>250</v>
      </c>
      <c r="AK280" s="4" t="s">
        <v>252</v>
      </c>
      <c r="AL280" s="4">
        <v>2</v>
      </c>
      <c r="AM280" s="4" t="s">
        <v>94</v>
      </c>
      <c r="AN280" s="4" t="s">
        <v>95</v>
      </c>
      <c r="AO280" s="4" t="s">
        <v>96</v>
      </c>
      <c r="AP280" s="4">
        <v>1</v>
      </c>
      <c r="AQ280" s="20">
        <v>33000</v>
      </c>
      <c r="AR280" s="4">
        <v>41836</v>
      </c>
      <c r="AS280" s="20">
        <v>4285.7142857142853</v>
      </c>
      <c r="AT280" s="20">
        <v>3866.9400000000005</v>
      </c>
      <c r="AU280" s="20">
        <v>-418.77428571428482</v>
      </c>
      <c r="AV280" s="20">
        <v>0</v>
      </c>
      <c r="AW280" s="20">
        <v>0</v>
      </c>
      <c r="AX280" s="20" t="s">
        <v>91</v>
      </c>
      <c r="AY280" s="20">
        <v>0</v>
      </c>
      <c r="AZ280" s="20">
        <v>3.1</v>
      </c>
      <c r="BA280" s="20">
        <v>0</v>
      </c>
      <c r="BB280" s="6">
        <v>41751</v>
      </c>
      <c r="BC280" s="6">
        <v>0</v>
      </c>
      <c r="BD280" s="6">
        <v>41869</v>
      </c>
      <c r="BE280" s="6">
        <v>0</v>
      </c>
      <c r="BF280" s="6">
        <v>41913</v>
      </c>
      <c r="BG280" s="6">
        <v>0</v>
      </c>
      <c r="BH280" s="6">
        <v>0</v>
      </c>
      <c r="BI280" s="6">
        <v>0</v>
      </c>
      <c r="BJ280" s="6">
        <v>0</v>
      </c>
      <c r="BK280" s="5" t="s">
        <v>401</v>
      </c>
      <c r="BL280" s="4" t="s">
        <v>401</v>
      </c>
      <c r="BM280" s="20">
        <v>239</v>
      </c>
      <c r="BN280" s="20">
        <v>0</v>
      </c>
      <c r="BO280" s="20">
        <v>0</v>
      </c>
      <c r="BP280" s="20">
        <v>0</v>
      </c>
      <c r="BQ280" s="20">
        <v>0</v>
      </c>
      <c r="BR280" s="20">
        <v>0</v>
      </c>
      <c r="BS280" s="20">
        <v>250</v>
      </c>
      <c r="BT280" s="20">
        <v>966735.00000000012</v>
      </c>
      <c r="BU280" s="20">
        <v>8250000</v>
      </c>
      <c r="BV280" s="20">
        <v>7.7580722742013046</v>
      </c>
    </row>
    <row r="281" spans="1:74">
      <c r="A281" s="10">
        <f t="shared" si="18"/>
        <v>0</v>
      </c>
      <c r="B281" s="10">
        <f t="shared" si="19"/>
        <v>0</v>
      </c>
      <c r="C281" s="12">
        <f t="shared" si="20"/>
        <v>4</v>
      </c>
      <c r="D281" s="12">
        <f t="shared" si="21"/>
        <v>10</v>
      </c>
      <c r="E281" s="20" t="s">
        <v>114</v>
      </c>
      <c r="F281" s="20" t="s">
        <v>164</v>
      </c>
      <c r="G281" s="20" t="s">
        <v>239</v>
      </c>
      <c r="H281" s="20" t="s">
        <v>311</v>
      </c>
      <c r="I281" s="20">
        <v>12</v>
      </c>
      <c r="J281" s="20" t="s">
        <v>312</v>
      </c>
      <c r="K281" s="20" t="s">
        <v>313</v>
      </c>
      <c r="L281" s="20" t="s">
        <v>276</v>
      </c>
      <c r="M281" s="20" t="s">
        <v>164</v>
      </c>
      <c r="N281" s="20" t="s">
        <v>170</v>
      </c>
      <c r="P281" s="20" t="s">
        <v>164</v>
      </c>
      <c r="Q281" s="20" t="s">
        <v>171</v>
      </c>
      <c r="R281" s="20" t="s">
        <v>84</v>
      </c>
      <c r="S281" s="20">
        <v>5</v>
      </c>
      <c r="T281" s="20" t="s">
        <v>244</v>
      </c>
      <c r="U281" s="20" t="s">
        <v>245</v>
      </c>
      <c r="V281" s="20" t="s">
        <v>87</v>
      </c>
      <c r="W281" s="20">
        <v>532</v>
      </c>
      <c r="X281" s="20">
        <v>532</v>
      </c>
      <c r="Y281" s="20" t="s">
        <v>277</v>
      </c>
      <c r="Z281" s="20">
        <v>0.14285714285714285</v>
      </c>
      <c r="AA281" s="20" t="s">
        <v>314</v>
      </c>
      <c r="AB281" s="20" t="s">
        <v>248</v>
      </c>
      <c r="AC281" s="20" t="s">
        <v>249</v>
      </c>
      <c r="AD281" s="20" t="s">
        <v>315</v>
      </c>
      <c r="AE281" s="20" t="s">
        <v>91</v>
      </c>
      <c r="AF281" s="20">
        <v>1</v>
      </c>
      <c r="AG281" s="20" t="s">
        <v>2661</v>
      </c>
      <c r="AH281" s="20">
        <v>1</v>
      </c>
      <c r="AI281" s="7" t="s">
        <v>251</v>
      </c>
      <c r="AJ281" s="20">
        <v>250</v>
      </c>
      <c r="AK281" s="4" t="s">
        <v>252</v>
      </c>
      <c r="AL281" s="4">
        <v>2</v>
      </c>
      <c r="AM281" s="4" t="s">
        <v>94</v>
      </c>
      <c r="AN281" s="4" t="s">
        <v>95</v>
      </c>
      <c r="AO281" s="4" t="s">
        <v>96</v>
      </c>
      <c r="AP281" s="4">
        <v>1</v>
      </c>
      <c r="AQ281" s="20">
        <v>33000</v>
      </c>
      <c r="AR281" s="4">
        <v>41836</v>
      </c>
      <c r="AS281" s="20">
        <v>4285.7142857142853</v>
      </c>
      <c r="AT281" s="20">
        <v>3866.9400000000005</v>
      </c>
      <c r="AU281" s="20">
        <v>-418.77428571428482</v>
      </c>
      <c r="AV281" s="20">
        <v>0</v>
      </c>
      <c r="AW281" s="20">
        <v>0</v>
      </c>
      <c r="AX281" s="20" t="s">
        <v>91</v>
      </c>
      <c r="AY281" s="20">
        <v>0</v>
      </c>
      <c r="AZ281" s="20">
        <v>3.1</v>
      </c>
      <c r="BA281" s="20">
        <v>0</v>
      </c>
      <c r="BB281" s="6">
        <v>41751</v>
      </c>
      <c r="BC281" s="6">
        <v>0</v>
      </c>
      <c r="BD281" s="6">
        <v>41869</v>
      </c>
      <c r="BE281" s="6">
        <v>0</v>
      </c>
      <c r="BF281" s="6">
        <v>41913</v>
      </c>
      <c r="BG281" s="6">
        <v>0</v>
      </c>
      <c r="BH281" s="6">
        <v>0</v>
      </c>
      <c r="BI281" s="6">
        <v>0</v>
      </c>
      <c r="BJ281" s="6">
        <v>0</v>
      </c>
      <c r="BK281" s="5" t="s">
        <v>401</v>
      </c>
      <c r="BL281" s="4" t="s">
        <v>401</v>
      </c>
      <c r="BM281" s="20">
        <v>250</v>
      </c>
      <c r="BN281" s="20">
        <v>0</v>
      </c>
      <c r="BO281" s="20">
        <v>0</v>
      </c>
      <c r="BP281" s="20">
        <v>0</v>
      </c>
      <c r="BQ281" s="20">
        <v>0</v>
      </c>
      <c r="BR281" s="20">
        <v>0</v>
      </c>
      <c r="BS281" s="20">
        <v>250</v>
      </c>
      <c r="BT281" s="20">
        <v>966735.00000000012</v>
      </c>
      <c r="BU281" s="20">
        <v>8250000</v>
      </c>
      <c r="BV281" s="20">
        <v>7.7580722742013046</v>
      </c>
    </row>
    <row r="282" spans="1:74">
      <c r="A282" s="10">
        <f t="shared" si="18"/>
        <v>0</v>
      </c>
      <c r="B282" s="10">
        <f t="shared" si="19"/>
        <v>0</v>
      </c>
      <c r="C282" s="12">
        <f t="shared" si="20"/>
        <v>4</v>
      </c>
      <c r="D282" s="12">
        <f t="shared" si="21"/>
        <v>10</v>
      </c>
      <c r="E282" s="20" t="s">
        <v>114</v>
      </c>
      <c r="F282" s="20" t="s">
        <v>164</v>
      </c>
      <c r="G282" s="20" t="s">
        <v>239</v>
      </c>
      <c r="H282" s="20" t="s">
        <v>316</v>
      </c>
      <c r="I282" s="20">
        <v>13</v>
      </c>
      <c r="J282" s="20" t="s">
        <v>317</v>
      </c>
      <c r="K282" s="20" t="s">
        <v>318</v>
      </c>
      <c r="L282" s="20" t="s">
        <v>319</v>
      </c>
      <c r="M282" s="20" t="s">
        <v>164</v>
      </c>
      <c r="N282" s="20" t="s">
        <v>170</v>
      </c>
      <c r="P282" s="20" t="s">
        <v>164</v>
      </c>
      <c r="Q282" s="20" t="s">
        <v>171</v>
      </c>
      <c r="R282" s="20" t="s">
        <v>84</v>
      </c>
      <c r="S282" s="20">
        <v>5</v>
      </c>
      <c r="T282" s="20" t="s">
        <v>244</v>
      </c>
      <c r="U282" s="20" t="s">
        <v>245</v>
      </c>
      <c r="V282" s="20" t="s">
        <v>87</v>
      </c>
      <c r="W282" s="20">
        <v>533</v>
      </c>
      <c r="X282" s="20">
        <v>533</v>
      </c>
      <c r="Y282" s="20" t="s">
        <v>320</v>
      </c>
      <c r="Z282" s="20">
        <v>0.5</v>
      </c>
      <c r="AA282" s="20" t="s">
        <v>321</v>
      </c>
      <c r="AB282" s="20" t="s">
        <v>139</v>
      </c>
      <c r="AC282" s="20" t="s">
        <v>140</v>
      </c>
      <c r="AD282" s="20" t="s">
        <v>322</v>
      </c>
      <c r="AE282" s="20" t="s">
        <v>91</v>
      </c>
      <c r="AF282" s="20">
        <v>1</v>
      </c>
      <c r="AG282" s="20" t="s">
        <v>2661</v>
      </c>
      <c r="AH282" s="20">
        <v>1</v>
      </c>
      <c r="AI282" s="7" t="s">
        <v>251</v>
      </c>
      <c r="AJ282" s="20">
        <v>200</v>
      </c>
      <c r="AK282" s="4" t="s">
        <v>252</v>
      </c>
      <c r="AL282" s="4">
        <v>2</v>
      </c>
      <c r="AM282" s="4" t="s">
        <v>94</v>
      </c>
      <c r="AN282" s="4" t="s">
        <v>95</v>
      </c>
      <c r="AO282" s="4" t="s">
        <v>96</v>
      </c>
      <c r="AP282" s="4">
        <v>1</v>
      </c>
      <c r="AQ282" s="20">
        <v>35000</v>
      </c>
      <c r="AR282" s="4">
        <v>41836</v>
      </c>
      <c r="AS282" s="20">
        <v>4545.454545454545</v>
      </c>
      <c r="AT282" s="20">
        <v>5014.5480000000007</v>
      </c>
      <c r="AU282" s="20">
        <v>469.09345454545564</v>
      </c>
      <c r="AV282" s="20">
        <v>0</v>
      </c>
      <c r="AW282" s="20">
        <v>0</v>
      </c>
      <c r="AX282" s="20" t="s">
        <v>91</v>
      </c>
      <c r="AY282" s="20">
        <v>0</v>
      </c>
      <c r="AZ282" s="20">
        <v>4.0199999999999996</v>
      </c>
      <c r="BA282" s="20">
        <v>0</v>
      </c>
      <c r="BB282" s="6">
        <v>41751</v>
      </c>
      <c r="BC282" s="6">
        <v>0</v>
      </c>
      <c r="BD282" s="6">
        <v>41869</v>
      </c>
      <c r="BE282" s="6">
        <v>0</v>
      </c>
      <c r="BF282" s="6">
        <v>41913</v>
      </c>
      <c r="BG282" s="6">
        <v>0</v>
      </c>
      <c r="BH282" s="6">
        <v>0</v>
      </c>
      <c r="BI282" s="6">
        <v>0</v>
      </c>
      <c r="BJ282" s="6">
        <v>0</v>
      </c>
      <c r="BK282" s="5" t="s">
        <v>401</v>
      </c>
      <c r="BL282" s="4" t="s">
        <v>401</v>
      </c>
      <c r="BM282" s="20">
        <v>199</v>
      </c>
      <c r="BN282" s="20">
        <v>0</v>
      </c>
      <c r="BO282" s="20">
        <v>0</v>
      </c>
      <c r="BP282" s="20">
        <v>0</v>
      </c>
      <c r="BQ282" s="20">
        <v>0</v>
      </c>
      <c r="BR282" s="20">
        <v>0</v>
      </c>
      <c r="BS282" s="20">
        <v>200</v>
      </c>
      <c r="BT282" s="20">
        <v>1002909.6000000001</v>
      </c>
      <c r="BU282" s="20">
        <v>7000000</v>
      </c>
      <c r="BV282" s="20">
        <v>6.3451744440738844</v>
      </c>
    </row>
    <row r="283" spans="1:74">
      <c r="A283" s="10">
        <f t="shared" si="18"/>
        <v>0</v>
      </c>
      <c r="B283" s="10">
        <f t="shared" si="19"/>
        <v>0</v>
      </c>
      <c r="C283" s="12">
        <f t="shared" si="20"/>
        <v>4</v>
      </c>
      <c r="D283" s="12">
        <f t="shared" si="21"/>
        <v>10</v>
      </c>
      <c r="E283" s="20" t="s">
        <v>114</v>
      </c>
      <c r="F283" s="20" t="s">
        <v>164</v>
      </c>
      <c r="G283" s="20" t="s">
        <v>239</v>
      </c>
      <c r="H283" s="20" t="s">
        <v>323</v>
      </c>
      <c r="I283" s="20">
        <v>14</v>
      </c>
      <c r="J283" s="20" t="s">
        <v>324</v>
      </c>
      <c r="K283" s="20" t="s">
        <v>325</v>
      </c>
      <c r="L283" s="20" t="s">
        <v>319</v>
      </c>
      <c r="M283" s="20" t="s">
        <v>164</v>
      </c>
      <c r="N283" s="20" t="s">
        <v>170</v>
      </c>
      <c r="P283" s="20" t="s">
        <v>164</v>
      </c>
      <c r="Q283" s="20" t="s">
        <v>171</v>
      </c>
      <c r="R283" s="20" t="s">
        <v>84</v>
      </c>
      <c r="S283" s="20">
        <v>5</v>
      </c>
      <c r="T283" s="20" t="s">
        <v>244</v>
      </c>
      <c r="U283" s="20" t="s">
        <v>245</v>
      </c>
      <c r="V283" s="20" t="s">
        <v>87</v>
      </c>
      <c r="W283" s="20">
        <v>533</v>
      </c>
      <c r="X283" s="20">
        <v>533</v>
      </c>
      <c r="Y283" s="20" t="s">
        <v>320</v>
      </c>
      <c r="Z283" s="20">
        <v>0.5</v>
      </c>
      <c r="AA283" s="20" t="s">
        <v>326</v>
      </c>
      <c r="AB283" s="20" t="s">
        <v>89</v>
      </c>
      <c r="AC283" s="20" t="s">
        <v>90</v>
      </c>
      <c r="AD283" s="20" t="s">
        <v>327</v>
      </c>
      <c r="AE283" s="20" t="s">
        <v>91</v>
      </c>
      <c r="AF283" s="20">
        <v>1</v>
      </c>
      <c r="AG283" s="20" t="s">
        <v>2661</v>
      </c>
      <c r="AH283" s="20">
        <v>1</v>
      </c>
      <c r="AI283" s="7" t="s">
        <v>251</v>
      </c>
      <c r="AJ283" s="20">
        <v>200</v>
      </c>
      <c r="AK283" s="4" t="s">
        <v>252</v>
      </c>
      <c r="AL283" s="4">
        <v>2</v>
      </c>
      <c r="AM283" s="4" t="s">
        <v>94</v>
      </c>
      <c r="AN283" s="4" t="s">
        <v>95</v>
      </c>
      <c r="AO283" s="4" t="s">
        <v>96</v>
      </c>
      <c r="AP283" s="4">
        <v>1</v>
      </c>
      <c r="AQ283" s="20">
        <v>35000</v>
      </c>
      <c r="AR283" s="4">
        <v>41836</v>
      </c>
      <c r="AS283" s="20">
        <v>4545.454545454545</v>
      </c>
      <c r="AT283" s="20">
        <v>5014.5480000000007</v>
      </c>
      <c r="AU283" s="20">
        <v>469.09345454545564</v>
      </c>
      <c r="AV283" s="20">
        <v>0</v>
      </c>
      <c r="AW283" s="20">
        <v>0</v>
      </c>
      <c r="AX283" s="20" t="s">
        <v>91</v>
      </c>
      <c r="AY283" s="20">
        <v>0</v>
      </c>
      <c r="AZ283" s="20">
        <v>4.0199999999999996</v>
      </c>
      <c r="BA283" s="20">
        <v>0</v>
      </c>
      <c r="BB283" s="6">
        <v>41751</v>
      </c>
      <c r="BC283" s="6">
        <v>0</v>
      </c>
      <c r="BD283" s="6">
        <v>41869</v>
      </c>
      <c r="BE283" s="6">
        <v>0</v>
      </c>
      <c r="BF283" s="6">
        <v>41913</v>
      </c>
      <c r="BG283" s="6">
        <v>0</v>
      </c>
      <c r="BH283" s="6">
        <v>0</v>
      </c>
      <c r="BI283" s="6">
        <v>0</v>
      </c>
      <c r="BJ283" s="6">
        <v>0</v>
      </c>
      <c r="BK283" s="5" t="s">
        <v>401</v>
      </c>
      <c r="BL283" s="4" t="s">
        <v>401</v>
      </c>
      <c r="BM283" s="20">
        <v>199</v>
      </c>
      <c r="BN283" s="20">
        <v>0</v>
      </c>
      <c r="BO283" s="20">
        <v>0</v>
      </c>
      <c r="BP283" s="20">
        <v>0</v>
      </c>
      <c r="BQ283" s="20">
        <v>0</v>
      </c>
      <c r="BR283" s="20">
        <v>0</v>
      </c>
      <c r="BS283" s="20">
        <v>200</v>
      </c>
      <c r="BT283" s="20">
        <v>1002909.6000000001</v>
      </c>
      <c r="BU283" s="20">
        <v>7000000</v>
      </c>
      <c r="BV283" s="20">
        <v>6.3451744440738844</v>
      </c>
    </row>
    <row r="284" spans="1:74">
      <c r="A284" s="10">
        <f t="shared" si="18"/>
        <v>0</v>
      </c>
      <c r="B284" s="10">
        <f t="shared" si="19"/>
        <v>0</v>
      </c>
      <c r="C284" s="12" t="str">
        <f t="shared" si="20"/>
        <v/>
      </c>
      <c r="D284" s="12" t="str">
        <f t="shared" si="21"/>
        <v/>
      </c>
      <c r="E284" s="20" t="s">
        <v>91</v>
      </c>
      <c r="F284" s="20" t="s">
        <v>91</v>
      </c>
      <c r="G284" s="20" t="s">
        <v>91</v>
      </c>
      <c r="H284" s="20" t="s">
        <v>91</v>
      </c>
      <c r="I284" s="20">
        <v>0</v>
      </c>
      <c r="J284" s="20" t="s">
        <v>103</v>
      </c>
      <c r="K284" s="20" t="s">
        <v>104</v>
      </c>
      <c r="L284" s="20">
        <v>0</v>
      </c>
      <c r="M284" s="20" t="s">
        <v>105</v>
      </c>
      <c r="N284" s="20" t="s">
        <v>91</v>
      </c>
      <c r="O284" s="20" t="s">
        <v>328</v>
      </c>
      <c r="Q284" s="20" t="s">
        <v>91</v>
      </c>
      <c r="R284" s="20" t="s">
        <v>91</v>
      </c>
      <c r="S284" s="20" t="s">
        <v>91</v>
      </c>
      <c r="U284" s="20" t="s">
        <v>91</v>
      </c>
      <c r="V284" s="20" t="s">
        <v>87</v>
      </c>
      <c r="X284" s="20" t="s">
        <v>91</v>
      </c>
      <c r="Y284" s="20" t="s">
        <v>91</v>
      </c>
      <c r="Z284" s="20">
        <v>2.9999999999999996</v>
      </c>
      <c r="AB284" s="20" t="s">
        <v>91</v>
      </c>
      <c r="AD284" s="20" t="s">
        <v>91</v>
      </c>
      <c r="AE284" s="20" t="s">
        <v>91</v>
      </c>
      <c r="AF284" s="20">
        <v>14</v>
      </c>
      <c r="AG284" s="20">
        <v>0</v>
      </c>
      <c r="AH284" s="20">
        <v>1</v>
      </c>
      <c r="AI284" s="7"/>
      <c r="AM284" s="4" t="s">
        <v>91</v>
      </c>
      <c r="AP284" s="4" t="s">
        <v>91</v>
      </c>
      <c r="AQ284" s="20">
        <v>0</v>
      </c>
      <c r="AR284" s="4">
        <v>0</v>
      </c>
      <c r="AS284" s="20">
        <v>0</v>
      </c>
      <c r="AT284" s="20">
        <v>0</v>
      </c>
      <c r="AU284" s="20">
        <v>0</v>
      </c>
      <c r="AV284" s="20">
        <v>0</v>
      </c>
      <c r="AW284" s="20">
        <v>0</v>
      </c>
      <c r="AX284" s="20" t="s">
        <v>91</v>
      </c>
      <c r="AY284" s="20">
        <v>0</v>
      </c>
      <c r="AZ284" s="20">
        <v>0</v>
      </c>
      <c r="BA284" s="20">
        <v>0</v>
      </c>
      <c r="BB284" s="6">
        <v>0</v>
      </c>
      <c r="BC284" s="6">
        <v>0</v>
      </c>
      <c r="BD284" s="6">
        <v>0</v>
      </c>
      <c r="BE284" s="6">
        <v>0</v>
      </c>
      <c r="BF284" s="6">
        <v>0</v>
      </c>
      <c r="BG284" s="6">
        <v>0</v>
      </c>
      <c r="BH284" s="6">
        <v>0</v>
      </c>
      <c r="BI284" s="6">
        <v>0</v>
      </c>
      <c r="BJ284" s="6">
        <v>0</v>
      </c>
      <c r="BK284" s="5">
        <v>0</v>
      </c>
      <c r="BL284" s="4">
        <v>0</v>
      </c>
      <c r="BM284" s="20">
        <v>3130</v>
      </c>
      <c r="BN284" s="20">
        <v>0</v>
      </c>
      <c r="BO284" s="20">
        <v>0</v>
      </c>
      <c r="BP284" s="20">
        <v>0</v>
      </c>
      <c r="BQ284" s="20">
        <v>0</v>
      </c>
      <c r="BR284" s="20">
        <v>0</v>
      </c>
      <c r="BS284" s="20">
        <v>3150</v>
      </c>
      <c r="BT284" s="20">
        <v>12664852.200000001</v>
      </c>
      <c r="BU284" s="20">
        <v>98750000</v>
      </c>
      <c r="BV284" s="20">
        <v>7.0883359596353808</v>
      </c>
    </row>
    <row r="285" spans="1:74">
      <c r="A285" s="10">
        <f t="shared" si="18"/>
        <v>0</v>
      </c>
      <c r="B285" s="10">
        <f t="shared" si="19"/>
        <v>0</v>
      </c>
      <c r="C285" s="12">
        <f t="shared" si="20"/>
        <v>4</v>
      </c>
      <c r="D285" s="12">
        <f t="shared" si="21"/>
        <v>10</v>
      </c>
      <c r="E285" s="20" t="s">
        <v>114</v>
      </c>
      <c r="F285" s="20" t="s">
        <v>164</v>
      </c>
      <c r="G285" s="20" t="s">
        <v>329</v>
      </c>
      <c r="H285" s="20" t="s">
        <v>330</v>
      </c>
      <c r="I285" s="20">
        <v>1</v>
      </c>
      <c r="J285" s="20" t="s">
        <v>331</v>
      </c>
      <c r="K285" s="20" t="s">
        <v>332</v>
      </c>
      <c r="L285" s="20" t="s">
        <v>333</v>
      </c>
      <c r="M285" s="20" t="s">
        <v>164</v>
      </c>
      <c r="N285" s="20" t="s">
        <v>170</v>
      </c>
      <c r="P285" s="20" t="s">
        <v>164</v>
      </c>
      <c r="Q285" s="20" t="s">
        <v>171</v>
      </c>
      <c r="R285" s="20" t="s">
        <v>84</v>
      </c>
      <c r="S285" s="20">
        <v>5</v>
      </c>
      <c r="T285" s="20" t="s">
        <v>244</v>
      </c>
      <c r="U285" s="20" t="s">
        <v>245</v>
      </c>
      <c r="V285" s="20" t="s">
        <v>87</v>
      </c>
      <c r="W285" s="20">
        <v>534</v>
      </c>
      <c r="X285" s="20">
        <v>534</v>
      </c>
      <c r="Y285" s="20" t="s">
        <v>334</v>
      </c>
      <c r="Z285" s="20">
        <v>0.33333333333333331</v>
      </c>
      <c r="AA285" s="20" t="s">
        <v>335</v>
      </c>
      <c r="AB285" s="20" t="s">
        <v>248</v>
      </c>
      <c r="AC285" s="20" t="s">
        <v>249</v>
      </c>
      <c r="AD285" s="20" t="s">
        <v>336</v>
      </c>
      <c r="AE285" s="20" t="s">
        <v>91</v>
      </c>
      <c r="AF285" s="20">
        <v>1</v>
      </c>
      <c r="AG285" s="20" t="s">
        <v>2638</v>
      </c>
      <c r="AH285" s="20">
        <v>1</v>
      </c>
      <c r="AI285" s="7" t="s">
        <v>251</v>
      </c>
      <c r="AJ285" s="20">
        <v>200</v>
      </c>
      <c r="AK285" s="4" t="s">
        <v>179</v>
      </c>
      <c r="AL285" s="4">
        <v>14</v>
      </c>
      <c r="AM285" s="4">
        <v>14</v>
      </c>
      <c r="AN285" s="4" t="s">
        <v>95</v>
      </c>
      <c r="AO285" s="4" t="s">
        <v>96</v>
      </c>
      <c r="AP285" s="4">
        <v>1</v>
      </c>
      <c r="AQ285" s="20">
        <v>33000</v>
      </c>
      <c r="AR285" s="4">
        <v>41836</v>
      </c>
      <c r="AS285" s="20">
        <v>4999.9999999999991</v>
      </c>
      <c r="AT285" s="20">
        <v>5550.93</v>
      </c>
      <c r="AU285" s="20">
        <v>550.9300000000012</v>
      </c>
      <c r="AV285" s="20">
        <v>0</v>
      </c>
      <c r="AW285" s="20">
        <v>0</v>
      </c>
      <c r="AX285" s="20" t="s">
        <v>91</v>
      </c>
      <c r="AY285" s="20">
        <v>0</v>
      </c>
      <c r="AZ285" s="20">
        <v>4.45</v>
      </c>
      <c r="BA285" s="20">
        <v>0</v>
      </c>
      <c r="BB285" s="6">
        <v>41751</v>
      </c>
      <c r="BC285" s="6">
        <v>0</v>
      </c>
      <c r="BD285" s="6">
        <v>41869</v>
      </c>
      <c r="BE285" s="6">
        <v>0</v>
      </c>
      <c r="BF285" s="6">
        <v>41913</v>
      </c>
      <c r="BG285" s="6">
        <v>0</v>
      </c>
      <c r="BH285" s="6">
        <v>0</v>
      </c>
      <c r="BI285" s="6">
        <v>0</v>
      </c>
      <c r="BJ285" s="6">
        <v>0</v>
      </c>
      <c r="BK285" s="5" t="s">
        <v>401</v>
      </c>
      <c r="BL285" s="4" t="s">
        <v>401</v>
      </c>
      <c r="BM285" s="20">
        <v>199</v>
      </c>
      <c r="BN285" s="20">
        <v>0</v>
      </c>
      <c r="BO285" s="20">
        <v>0</v>
      </c>
      <c r="BP285" s="20">
        <v>0</v>
      </c>
      <c r="BQ285" s="20">
        <v>0</v>
      </c>
      <c r="BR285" s="20">
        <v>0</v>
      </c>
      <c r="BS285" s="20">
        <v>200</v>
      </c>
      <c r="BT285" s="20">
        <v>1110186</v>
      </c>
      <c r="BU285" s="20">
        <v>6600000</v>
      </c>
      <c r="BV285" s="20">
        <v>5.4044997865222584</v>
      </c>
    </row>
    <row r="286" spans="1:74">
      <c r="A286" s="10">
        <f t="shared" si="18"/>
        <v>0</v>
      </c>
      <c r="B286" s="10">
        <f t="shared" si="19"/>
        <v>0</v>
      </c>
      <c r="C286" s="12">
        <f t="shared" si="20"/>
        <v>4</v>
      </c>
      <c r="D286" s="12">
        <f t="shared" si="21"/>
        <v>10</v>
      </c>
      <c r="E286" s="20" t="s">
        <v>114</v>
      </c>
      <c r="F286" s="20" t="s">
        <v>164</v>
      </c>
      <c r="G286" s="20" t="s">
        <v>329</v>
      </c>
      <c r="H286" s="20" t="s">
        <v>337</v>
      </c>
      <c r="I286" s="20">
        <v>2</v>
      </c>
      <c r="J286" s="20" t="s">
        <v>338</v>
      </c>
      <c r="K286" s="20" t="s">
        <v>339</v>
      </c>
      <c r="L286" s="20" t="s">
        <v>333</v>
      </c>
      <c r="M286" s="20" t="s">
        <v>164</v>
      </c>
      <c r="N286" s="20" t="s">
        <v>170</v>
      </c>
      <c r="P286" s="20" t="s">
        <v>164</v>
      </c>
      <c r="Q286" s="20" t="s">
        <v>171</v>
      </c>
      <c r="R286" s="20" t="s">
        <v>84</v>
      </c>
      <c r="S286" s="20">
        <v>5</v>
      </c>
      <c r="T286" s="20" t="s">
        <v>244</v>
      </c>
      <c r="U286" s="20" t="s">
        <v>245</v>
      </c>
      <c r="V286" s="20" t="s">
        <v>87</v>
      </c>
      <c r="W286" s="20">
        <v>534</v>
      </c>
      <c r="X286" s="20">
        <v>534</v>
      </c>
      <c r="Y286" s="20" t="s">
        <v>334</v>
      </c>
      <c r="Z286" s="20">
        <v>0.33333333333333331</v>
      </c>
      <c r="AA286" s="20" t="s">
        <v>340</v>
      </c>
      <c r="AB286" s="20" t="s">
        <v>139</v>
      </c>
      <c r="AC286" s="20" t="s">
        <v>140</v>
      </c>
      <c r="AD286" s="20" t="s">
        <v>341</v>
      </c>
      <c r="AE286" s="20" t="s">
        <v>91</v>
      </c>
      <c r="AF286" s="20">
        <v>1</v>
      </c>
      <c r="AG286" s="20" t="s">
        <v>2638</v>
      </c>
      <c r="AH286" s="20">
        <v>1</v>
      </c>
      <c r="AI286" s="7" t="s">
        <v>251</v>
      </c>
      <c r="AJ286" s="20">
        <v>200</v>
      </c>
      <c r="AK286" s="4" t="s">
        <v>179</v>
      </c>
      <c r="AL286" s="4">
        <v>14</v>
      </c>
      <c r="AM286" s="4">
        <v>14</v>
      </c>
      <c r="AN286" s="4" t="s">
        <v>95</v>
      </c>
      <c r="AO286" s="4" t="s">
        <v>96</v>
      </c>
      <c r="AP286" s="4">
        <v>1</v>
      </c>
      <c r="AQ286" s="20">
        <v>33000</v>
      </c>
      <c r="AR286" s="4">
        <v>41836</v>
      </c>
      <c r="AS286" s="20">
        <v>4999.9999999999991</v>
      </c>
      <c r="AT286" s="20">
        <v>5550.93</v>
      </c>
      <c r="AU286" s="20">
        <v>550.9300000000012</v>
      </c>
      <c r="AV286" s="20">
        <v>0</v>
      </c>
      <c r="AW286" s="20">
        <v>0</v>
      </c>
      <c r="AX286" s="20" t="s">
        <v>91</v>
      </c>
      <c r="AY286" s="20">
        <v>0</v>
      </c>
      <c r="AZ286" s="20">
        <v>4.45</v>
      </c>
      <c r="BA286" s="20">
        <v>0</v>
      </c>
      <c r="BB286" s="6">
        <v>41751</v>
      </c>
      <c r="BC286" s="6">
        <v>0</v>
      </c>
      <c r="BD286" s="6">
        <v>41869</v>
      </c>
      <c r="BE286" s="6">
        <v>0</v>
      </c>
      <c r="BF286" s="6">
        <v>41913</v>
      </c>
      <c r="BG286" s="6">
        <v>0</v>
      </c>
      <c r="BH286" s="6">
        <v>0</v>
      </c>
      <c r="BI286" s="6">
        <v>0</v>
      </c>
      <c r="BJ286" s="6">
        <v>0</v>
      </c>
      <c r="BK286" s="5" t="s">
        <v>401</v>
      </c>
      <c r="BL286" s="4" t="s">
        <v>401</v>
      </c>
      <c r="BM286" s="20">
        <v>200</v>
      </c>
      <c r="BN286" s="20">
        <v>0</v>
      </c>
      <c r="BO286" s="20">
        <v>0</v>
      </c>
      <c r="BP286" s="20">
        <v>0</v>
      </c>
      <c r="BQ286" s="20">
        <v>0</v>
      </c>
      <c r="BR286" s="20">
        <v>0</v>
      </c>
      <c r="BS286" s="20">
        <v>200</v>
      </c>
      <c r="BT286" s="20">
        <v>1110186</v>
      </c>
      <c r="BU286" s="20">
        <v>6600000</v>
      </c>
      <c r="BV286" s="20">
        <v>5.4044997865222584</v>
      </c>
    </row>
    <row r="287" spans="1:74">
      <c r="A287" s="10">
        <f t="shared" si="18"/>
        <v>0</v>
      </c>
      <c r="B287" s="10">
        <f t="shared" si="19"/>
        <v>0</v>
      </c>
      <c r="C287" s="12">
        <f t="shared" si="20"/>
        <v>4</v>
      </c>
      <c r="D287" s="12">
        <f t="shared" si="21"/>
        <v>10</v>
      </c>
      <c r="E287" s="20" t="s">
        <v>114</v>
      </c>
      <c r="F287" s="20" t="s">
        <v>164</v>
      </c>
      <c r="G287" s="20" t="s">
        <v>329</v>
      </c>
      <c r="H287" s="20" t="s">
        <v>342</v>
      </c>
      <c r="I287" s="20">
        <v>3</v>
      </c>
      <c r="J287" s="20" t="s">
        <v>343</v>
      </c>
      <c r="K287" s="20" t="s">
        <v>344</v>
      </c>
      <c r="L287" s="20" t="s">
        <v>333</v>
      </c>
      <c r="M287" s="20" t="s">
        <v>164</v>
      </c>
      <c r="N287" s="20" t="s">
        <v>170</v>
      </c>
      <c r="P287" s="20" t="s">
        <v>164</v>
      </c>
      <c r="Q287" s="20" t="s">
        <v>171</v>
      </c>
      <c r="R287" s="20" t="s">
        <v>84</v>
      </c>
      <c r="S287" s="20">
        <v>5</v>
      </c>
      <c r="T287" s="20" t="s">
        <v>244</v>
      </c>
      <c r="U287" s="20" t="s">
        <v>245</v>
      </c>
      <c r="V287" s="20" t="s">
        <v>87</v>
      </c>
      <c r="W287" s="20">
        <v>534</v>
      </c>
      <c r="X287" s="20">
        <v>534</v>
      </c>
      <c r="Y287" s="20" t="s">
        <v>334</v>
      </c>
      <c r="Z287" s="20">
        <v>0.33333333333333331</v>
      </c>
      <c r="AA287" s="20" t="s">
        <v>345</v>
      </c>
      <c r="AB287" s="20" t="s">
        <v>149</v>
      </c>
      <c r="AC287" s="20" t="s">
        <v>150</v>
      </c>
      <c r="AD287" s="20" t="s">
        <v>346</v>
      </c>
      <c r="AE287" s="20" t="s">
        <v>91</v>
      </c>
      <c r="AF287" s="20">
        <v>1</v>
      </c>
      <c r="AG287" s="20" t="s">
        <v>2638</v>
      </c>
      <c r="AH287" s="20">
        <v>1</v>
      </c>
      <c r="AI287" s="7" t="s">
        <v>251</v>
      </c>
      <c r="AJ287" s="20">
        <v>200</v>
      </c>
      <c r="AK287" s="4" t="s">
        <v>179</v>
      </c>
      <c r="AL287" s="4">
        <v>14</v>
      </c>
      <c r="AM287" s="4">
        <v>14</v>
      </c>
      <c r="AN287" s="4" t="s">
        <v>95</v>
      </c>
      <c r="AO287" s="4" t="s">
        <v>96</v>
      </c>
      <c r="AP287" s="4">
        <v>1</v>
      </c>
      <c r="AQ287" s="20">
        <v>33000</v>
      </c>
      <c r="AR287" s="4">
        <v>41836</v>
      </c>
      <c r="AS287" s="20">
        <v>4999.9999999999991</v>
      </c>
      <c r="AT287" s="20">
        <v>5550.93</v>
      </c>
      <c r="AU287" s="20">
        <v>550.9300000000012</v>
      </c>
      <c r="AV287" s="20">
        <v>0</v>
      </c>
      <c r="AW287" s="20">
        <v>0</v>
      </c>
      <c r="AX287" s="20" t="s">
        <v>91</v>
      </c>
      <c r="AY287" s="20">
        <v>0</v>
      </c>
      <c r="AZ287" s="20">
        <v>4.45</v>
      </c>
      <c r="BA287" s="20">
        <v>0</v>
      </c>
      <c r="BB287" s="6">
        <v>41751</v>
      </c>
      <c r="BC287" s="6">
        <v>0</v>
      </c>
      <c r="BD287" s="6">
        <v>41869</v>
      </c>
      <c r="BE287" s="6">
        <v>0</v>
      </c>
      <c r="BF287" s="6">
        <v>41913</v>
      </c>
      <c r="BG287" s="6">
        <v>0</v>
      </c>
      <c r="BH287" s="6">
        <v>0</v>
      </c>
      <c r="BI287" s="6">
        <v>0</v>
      </c>
      <c r="BJ287" s="6">
        <v>0</v>
      </c>
      <c r="BK287" s="5" t="s">
        <v>401</v>
      </c>
      <c r="BL287" s="4" t="s">
        <v>401</v>
      </c>
      <c r="BM287" s="20">
        <v>200</v>
      </c>
      <c r="BN287" s="20">
        <v>0</v>
      </c>
      <c r="BO287" s="20">
        <v>0</v>
      </c>
      <c r="BP287" s="20">
        <v>0</v>
      </c>
      <c r="BQ287" s="20">
        <v>0</v>
      </c>
      <c r="BR287" s="20">
        <v>0</v>
      </c>
      <c r="BS287" s="20">
        <v>200</v>
      </c>
      <c r="BT287" s="20">
        <v>1110186</v>
      </c>
      <c r="BU287" s="20">
        <v>6600000</v>
      </c>
      <c r="BV287" s="20">
        <v>5.4044997865222584</v>
      </c>
    </row>
    <row r="288" spans="1:74">
      <c r="A288" s="10">
        <f t="shared" si="18"/>
        <v>0</v>
      </c>
      <c r="B288" s="10">
        <f t="shared" si="19"/>
        <v>0</v>
      </c>
      <c r="C288" s="12">
        <f t="shared" si="20"/>
        <v>4</v>
      </c>
      <c r="D288" s="12">
        <f t="shared" si="21"/>
        <v>10</v>
      </c>
      <c r="E288" s="20" t="s">
        <v>114</v>
      </c>
      <c r="F288" s="20" t="s">
        <v>164</v>
      </c>
      <c r="G288" s="20" t="s">
        <v>329</v>
      </c>
      <c r="H288" s="20" t="s">
        <v>347</v>
      </c>
      <c r="I288" s="20">
        <v>4</v>
      </c>
      <c r="J288" s="20" t="s">
        <v>348</v>
      </c>
      <c r="K288" s="20" t="s">
        <v>349</v>
      </c>
      <c r="L288" s="20" t="s">
        <v>350</v>
      </c>
      <c r="M288" s="20" t="s">
        <v>164</v>
      </c>
      <c r="N288" s="20" t="s">
        <v>170</v>
      </c>
      <c r="P288" s="20" t="s">
        <v>164</v>
      </c>
      <c r="Q288" s="20" t="s">
        <v>171</v>
      </c>
      <c r="R288" s="20" t="s">
        <v>84</v>
      </c>
      <c r="S288" s="20">
        <v>5</v>
      </c>
      <c r="T288" s="20" t="s">
        <v>244</v>
      </c>
      <c r="U288" s="20" t="s">
        <v>245</v>
      </c>
      <c r="V288" s="20" t="s">
        <v>87</v>
      </c>
      <c r="W288" s="20">
        <v>535</v>
      </c>
      <c r="X288" s="20">
        <v>535</v>
      </c>
      <c r="Y288" s="20" t="s">
        <v>351</v>
      </c>
      <c r="Z288" s="20">
        <v>1</v>
      </c>
      <c r="AA288" s="20" t="s">
        <v>352</v>
      </c>
      <c r="AB288" s="20" t="s">
        <v>139</v>
      </c>
      <c r="AC288" s="20" t="s">
        <v>140</v>
      </c>
      <c r="AD288" s="20" t="s">
        <v>353</v>
      </c>
      <c r="AE288" s="20" t="s">
        <v>91</v>
      </c>
      <c r="AF288" s="20">
        <v>1</v>
      </c>
      <c r="AG288" s="20" t="s">
        <v>2639</v>
      </c>
      <c r="AH288" s="20">
        <v>1</v>
      </c>
      <c r="AI288" s="7" t="s">
        <v>251</v>
      </c>
      <c r="AJ288" s="20">
        <v>200</v>
      </c>
      <c r="AK288" s="4" t="s">
        <v>179</v>
      </c>
      <c r="AL288" s="4">
        <v>14</v>
      </c>
      <c r="AM288" s="4">
        <v>14</v>
      </c>
      <c r="AN288" s="4" t="s">
        <v>95</v>
      </c>
      <c r="AO288" s="4" t="s">
        <v>96</v>
      </c>
      <c r="AP288" s="4">
        <v>1</v>
      </c>
      <c r="AQ288" s="20">
        <v>33000</v>
      </c>
      <c r="AR288" s="4">
        <v>41836</v>
      </c>
      <c r="AS288" s="20">
        <v>4999.9999999999991</v>
      </c>
      <c r="AT288" s="20">
        <v>5738.04</v>
      </c>
      <c r="AU288" s="20">
        <v>738.04000000000087</v>
      </c>
      <c r="AV288" s="20">
        <v>0</v>
      </c>
      <c r="AW288" s="20">
        <v>0</v>
      </c>
      <c r="AX288" s="20" t="s">
        <v>91</v>
      </c>
      <c r="AY288" s="20">
        <v>0</v>
      </c>
      <c r="AZ288" s="20">
        <v>4.5999999999999996</v>
      </c>
      <c r="BA288" s="20">
        <v>0</v>
      </c>
      <c r="BB288" s="6">
        <v>41751</v>
      </c>
      <c r="BC288" s="6">
        <v>0</v>
      </c>
      <c r="BD288" s="6">
        <v>41869</v>
      </c>
      <c r="BE288" s="6">
        <v>0</v>
      </c>
      <c r="BF288" s="6">
        <v>41941</v>
      </c>
      <c r="BG288" s="6">
        <v>0</v>
      </c>
      <c r="BH288" s="6">
        <v>0</v>
      </c>
      <c r="BI288" s="6">
        <v>0</v>
      </c>
      <c r="BJ288" s="6">
        <v>0</v>
      </c>
      <c r="BK288" s="5" t="s">
        <v>401</v>
      </c>
      <c r="BL288" s="4">
        <v>0</v>
      </c>
      <c r="BM288" s="20">
        <v>200</v>
      </c>
      <c r="BN288" s="20">
        <v>0</v>
      </c>
      <c r="BO288" s="20">
        <v>0</v>
      </c>
      <c r="BP288" s="20">
        <v>0</v>
      </c>
      <c r="BQ288" s="20">
        <v>0</v>
      </c>
      <c r="BR288" s="20">
        <v>0</v>
      </c>
      <c r="BS288" s="20">
        <v>200</v>
      </c>
      <c r="BT288" s="20">
        <v>1147608</v>
      </c>
      <c r="BU288" s="20">
        <v>6600000</v>
      </c>
      <c r="BV288" s="20">
        <v>5.2282660978313151</v>
      </c>
    </row>
    <row r="289" spans="1:74">
      <c r="A289" s="10">
        <f t="shared" si="18"/>
        <v>0</v>
      </c>
      <c r="B289" s="10">
        <f t="shared" si="19"/>
        <v>0</v>
      </c>
      <c r="C289" s="12">
        <f t="shared" si="20"/>
        <v>4</v>
      </c>
      <c r="D289" s="12">
        <f t="shared" si="21"/>
        <v>10</v>
      </c>
      <c r="E289" s="20" t="s">
        <v>114</v>
      </c>
      <c r="F289" s="20" t="s">
        <v>164</v>
      </c>
      <c r="G289" s="20" t="s">
        <v>329</v>
      </c>
      <c r="H289" s="20" t="s">
        <v>354</v>
      </c>
      <c r="I289" s="20">
        <v>5</v>
      </c>
      <c r="J289" s="20" t="s">
        <v>355</v>
      </c>
      <c r="K289" s="20" t="s">
        <v>356</v>
      </c>
      <c r="L289" s="20" t="s">
        <v>357</v>
      </c>
      <c r="M289" s="20" t="s">
        <v>164</v>
      </c>
      <c r="N289" s="20" t="s">
        <v>170</v>
      </c>
      <c r="P289" s="20" t="s">
        <v>164</v>
      </c>
      <c r="Q289" s="20" t="s">
        <v>171</v>
      </c>
      <c r="R289" s="20" t="s">
        <v>84</v>
      </c>
      <c r="S289" s="20">
        <v>5</v>
      </c>
      <c r="T289" s="20" t="s">
        <v>244</v>
      </c>
      <c r="U289" s="20" t="s">
        <v>245</v>
      </c>
      <c r="V289" s="20" t="s">
        <v>87</v>
      </c>
      <c r="W289" s="20">
        <v>536</v>
      </c>
      <c r="X289" s="20">
        <v>536</v>
      </c>
      <c r="Y289" s="20" t="s">
        <v>358</v>
      </c>
      <c r="Z289" s="20">
        <v>0.5</v>
      </c>
      <c r="AA289" s="20" t="s">
        <v>359</v>
      </c>
      <c r="AB289" s="20" t="s">
        <v>221</v>
      </c>
      <c r="AC289" s="20" t="s">
        <v>222</v>
      </c>
      <c r="AD289" s="20" t="s">
        <v>360</v>
      </c>
      <c r="AE289" s="20" t="s">
        <v>91</v>
      </c>
      <c r="AF289" s="20">
        <v>1</v>
      </c>
      <c r="AG289" s="20" t="s">
        <v>2640</v>
      </c>
      <c r="AH289" s="20">
        <v>1</v>
      </c>
      <c r="AI289" s="7" t="s">
        <v>251</v>
      </c>
      <c r="AJ289" s="20">
        <v>250</v>
      </c>
      <c r="AK289" s="4" t="s">
        <v>179</v>
      </c>
      <c r="AL289" s="4">
        <v>14</v>
      </c>
      <c r="AM289" s="4">
        <v>14</v>
      </c>
      <c r="AN289" s="4" t="s">
        <v>95</v>
      </c>
      <c r="AO289" s="4" t="s">
        <v>96</v>
      </c>
      <c r="AP289" s="4">
        <v>1</v>
      </c>
      <c r="AQ289" s="20">
        <v>35000</v>
      </c>
      <c r="AR289" s="4">
        <v>41836</v>
      </c>
      <c r="AS289" s="20">
        <v>5303.030303030303</v>
      </c>
      <c r="AT289" s="20">
        <v>4802.4900000000007</v>
      </c>
      <c r="AU289" s="20">
        <v>-500.54030303030231</v>
      </c>
      <c r="AV289" s="20">
        <v>0</v>
      </c>
      <c r="AW289" s="20">
        <v>0</v>
      </c>
      <c r="AX289" s="20" t="s">
        <v>91</v>
      </c>
      <c r="AY289" s="20">
        <v>0</v>
      </c>
      <c r="AZ289" s="20">
        <v>3.85</v>
      </c>
      <c r="BA289" s="20">
        <v>0</v>
      </c>
      <c r="BB289" s="6">
        <v>41751</v>
      </c>
      <c r="BC289" s="6">
        <v>0</v>
      </c>
      <c r="BD289" s="6">
        <v>41869</v>
      </c>
      <c r="BE289" s="6">
        <v>0</v>
      </c>
      <c r="BF289" s="6">
        <v>41913</v>
      </c>
      <c r="BG289" s="6">
        <v>0</v>
      </c>
      <c r="BH289" s="6">
        <v>0</v>
      </c>
      <c r="BI289" s="6">
        <v>0</v>
      </c>
      <c r="BJ289" s="6">
        <v>0</v>
      </c>
      <c r="BK289" s="5" t="s">
        <v>401</v>
      </c>
      <c r="BL289" s="4" t="s">
        <v>401</v>
      </c>
      <c r="BM289" s="20">
        <v>248</v>
      </c>
      <c r="BN289" s="20">
        <v>0</v>
      </c>
      <c r="BO289" s="20">
        <v>0</v>
      </c>
      <c r="BP289" s="20">
        <v>0</v>
      </c>
      <c r="BQ289" s="20">
        <v>0</v>
      </c>
      <c r="BR289" s="20">
        <v>0</v>
      </c>
      <c r="BS289" s="20">
        <v>250</v>
      </c>
      <c r="BT289" s="20">
        <v>1200622.5000000002</v>
      </c>
      <c r="BU289" s="20">
        <v>8750000</v>
      </c>
      <c r="BV289" s="20">
        <v>6.6253509779680559</v>
      </c>
    </row>
    <row r="290" spans="1:74">
      <c r="A290" s="10">
        <f t="shared" si="18"/>
        <v>0</v>
      </c>
      <c r="B290" s="10">
        <f t="shared" si="19"/>
        <v>0</v>
      </c>
      <c r="C290" s="12">
        <f t="shared" si="20"/>
        <v>4</v>
      </c>
      <c r="D290" s="12">
        <f t="shared" si="21"/>
        <v>10</v>
      </c>
      <c r="E290" s="20" t="s">
        <v>114</v>
      </c>
      <c r="F290" s="20" t="s">
        <v>164</v>
      </c>
      <c r="G290" s="20" t="s">
        <v>329</v>
      </c>
      <c r="H290" s="20" t="s">
        <v>361</v>
      </c>
      <c r="I290" s="20">
        <v>6</v>
      </c>
      <c r="J290" s="20" t="s">
        <v>362</v>
      </c>
      <c r="K290" s="20" t="s">
        <v>363</v>
      </c>
      <c r="L290" s="20" t="s">
        <v>357</v>
      </c>
      <c r="M290" s="20" t="s">
        <v>164</v>
      </c>
      <c r="N290" s="20" t="s">
        <v>170</v>
      </c>
      <c r="P290" s="20" t="s">
        <v>164</v>
      </c>
      <c r="Q290" s="20" t="s">
        <v>171</v>
      </c>
      <c r="R290" s="20" t="s">
        <v>84</v>
      </c>
      <c r="S290" s="20">
        <v>5</v>
      </c>
      <c r="T290" s="20" t="s">
        <v>244</v>
      </c>
      <c r="U290" s="20" t="s">
        <v>245</v>
      </c>
      <c r="V290" s="20" t="s">
        <v>87</v>
      </c>
      <c r="W290" s="20">
        <v>536</v>
      </c>
      <c r="X290" s="20">
        <v>536</v>
      </c>
      <c r="Y290" s="20" t="s">
        <v>358</v>
      </c>
      <c r="Z290" s="20">
        <v>0.5</v>
      </c>
      <c r="AA290" s="20" t="s">
        <v>364</v>
      </c>
      <c r="AB290" s="20" t="s">
        <v>89</v>
      </c>
      <c r="AC290" s="20" t="s">
        <v>90</v>
      </c>
      <c r="AD290" s="20" t="s">
        <v>365</v>
      </c>
      <c r="AE290" s="20" t="s">
        <v>91</v>
      </c>
      <c r="AF290" s="20">
        <v>1</v>
      </c>
      <c r="AG290" s="20" t="s">
        <v>2640</v>
      </c>
      <c r="AH290" s="20">
        <v>1</v>
      </c>
      <c r="AI290" s="7" t="s">
        <v>251</v>
      </c>
      <c r="AJ290" s="20">
        <v>250</v>
      </c>
      <c r="AK290" s="4" t="s">
        <v>179</v>
      </c>
      <c r="AL290" s="4">
        <v>14</v>
      </c>
      <c r="AM290" s="4">
        <v>14</v>
      </c>
      <c r="AN290" s="4" t="s">
        <v>95</v>
      </c>
      <c r="AO290" s="4" t="s">
        <v>96</v>
      </c>
      <c r="AP290" s="4">
        <v>1</v>
      </c>
      <c r="AQ290" s="20">
        <v>35000</v>
      </c>
      <c r="AR290" s="4">
        <v>41836</v>
      </c>
      <c r="AS290" s="20">
        <v>5303.030303030303</v>
      </c>
      <c r="AT290" s="20">
        <v>4802.4900000000007</v>
      </c>
      <c r="AU290" s="20">
        <v>-500.54030303030231</v>
      </c>
      <c r="AV290" s="20">
        <v>0</v>
      </c>
      <c r="AW290" s="20">
        <v>0</v>
      </c>
      <c r="AX290" s="20" t="s">
        <v>91</v>
      </c>
      <c r="AY290" s="20">
        <v>0</v>
      </c>
      <c r="AZ290" s="20">
        <v>3.85</v>
      </c>
      <c r="BA290" s="20">
        <v>0</v>
      </c>
      <c r="BB290" s="6">
        <v>41751</v>
      </c>
      <c r="BC290" s="6">
        <v>0</v>
      </c>
      <c r="BD290" s="6">
        <v>41869</v>
      </c>
      <c r="BE290" s="6">
        <v>0</v>
      </c>
      <c r="BF290" s="6">
        <v>41913</v>
      </c>
      <c r="BG290" s="6">
        <v>0</v>
      </c>
      <c r="BH290" s="6">
        <v>0</v>
      </c>
      <c r="BI290" s="6">
        <v>0</v>
      </c>
      <c r="BJ290" s="6">
        <v>0</v>
      </c>
      <c r="BK290" s="5" t="s">
        <v>401</v>
      </c>
      <c r="BL290" s="4" t="s">
        <v>401</v>
      </c>
      <c r="BM290" s="20">
        <v>250</v>
      </c>
      <c r="BN290" s="20">
        <v>0</v>
      </c>
      <c r="BO290" s="20">
        <v>0</v>
      </c>
      <c r="BP290" s="20">
        <v>0</v>
      </c>
      <c r="BQ290" s="20">
        <v>0</v>
      </c>
      <c r="BR290" s="20">
        <v>0</v>
      </c>
      <c r="BS290" s="20">
        <v>250</v>
      </c>
      <c r="BT290" s="20">
        <v>1200622.5000000002</v>
      </c>
      <c r="BU290" s="20">
        <v>8750000</v>
      </c>
      <c r="BV290" s="20">
        <v>6.6253509779680559</v>
      </c>
    </row>
    <row r="291" spans="1:74">
      <c r="A291" s="10">
        <f t="shared" si="18"/>
        <v>0</v>
      </c>
      <c r="B291" s="10">
        <f t="shared" si="19"/>
        <v>0</v>
      </c>
      <c r="C291" s="12">
        <f t="shared" si="20"/>
        <v>4</v>
      </c>
      <c r="D291" s="12">
        <f t="shared" si="21"/>
        <v>10</v>
      </c>
      <c r="E291" s="20" t="s">
        <v>114</v>
      </c>
      <c r="F291" s="20" t="s">
        <v>164</v>
      </c>
      <c r="G291" s="20" t="s">
        <v>329</v>
      </c>
      <c r="H291" s="20" t="s">
        <v>366</v>
      </c>
      <c r="I291" s="20">
        <v>7</v>
      </c>
      <c r="J291" s="20" t="s">
        <v>367</v>
      </c>
      <c r="K291" s="20" t="s">
        <v>368</v>
      </c>
      <c r="L291" s="20" t="s">
        <v>369</v>
      </c>
      <c r="M291" s="20" t="s">
        <v>164</v>
      </c>
      <c r="N291" s="20" t="s">
        <v>170</v>
      </c>
      <c r="P291" s="20" t="s">
        <v>164</v>
      </c>
      <c r="Q291" s="20" t="s">
        <v>171</v>
      </c>
      <c r="R291" s="20" t="s">
        <v>84</v>
      </c>
      <c r="S291" s="20">
        <v>5</v>
      </c>
      <c r="T291" s="20" t="s">
        <v>244</v>
      </c>
      <c r="U291" s="20" t="s">
        <v>245</v>
      </c>
      <c r="V291" s="20" t="s">
        <v>87</v>
      </c>
      <c r="W291" s="20">
        <v>538</v>
      </c>
      <c r="X291" s="20">
        <v>538</v>
      </c>
      <c r="Y291" s="20" t="s">
        <v>370</v>
      </c>
      <c r="Z291" s="20">
        <v>1</v>
      </c>
      <c r="AA291" s="20" t="s">
        <v>371</v>
      </c>
      <c r="AB291" s="20" t="s">
        <v>248</v>
      </c>
      <c r="AC291" s="20" t="s">
        <v>249</v>
      </c>
      <c r="AD291" s="20" t="s">
        <v>372</v>
      </c>
      <c r="AE291" s="20" t="s">
        <v>91</v>
      </c>
      <c r="AF291" s="20">
        <v>1</v>
      </c>
      <c r="AG291" s="20" t="s">
        <v>2641</v>
      </c>
      <c r="AH291" s="20">
        <v>1</v>
      </c>
      <c r="AI291" s="7" t="s">
        <v>251</v>
      </c>
      <c r="AJ291" s="20">
        <v>200</v>
      </c>
      <c r="AK291" s="4" t="s">
        <v>179</v>
      </c>
      <c r="AL291" s="4">
        <v>14</v>
      </c>
      <c r="AM291" s="4">
        <v>14</v>
      </c>
      <c r="AN291" s="4" t="s">
        <v>95</v>
      </c>
      <c r="AO291" s="4" t="s">
        <v>96</v>
      </c>
      <c r="AP291" s="4">
        <v>1</v>
      </c>
      <c r="AQ291" s="20">
        <v>45000</v>
      </c>
      <c r="AR291" s="4">
        <v>41836</v>
      </c>
      <c r="AS291" s="20">
        <v>6818.1818181818171</v>
      </c>
      <c r="AT291" s="20">
        <v>8544.69</v>
      </c>
      <c r="AU291" s="20">
        <v>1726.5081818181834</v>
      </c>
      <c r="AV291" s="20">
        <v>0</v>
      </c>
      <c r="AW291" s="20">
        <v>0</v>
      </c>
      <c r="AX291" s="20" t="s">
        <v>91</v>
      </c>
      <c r="AY291" s="20">
        <v>0</v>
      </c>
      <c r="AZ291" s="20">
        <v>6.85</v>
      </c>
      <c r="BA291" s="20">
        <v>0</v>
      </c>
      <c r="BB291" s="6">
        <v>41751</v>
      </c>
      <c r="BC291" s="6">
        <v>0</v>
      </c>
      <c r="BD291" s="6">
        <v>41869</v>
      </c>
      <c r="BE291" s="6">
        <v>0</v>
      </c>
      <c r="BF291" s="6">
        <v>41913</v>
      </c>
      <c r="BG291" s="6">
        <v>0</v>
      </c>
      <c r="BH291" s="6">
        <v>0</v>
      </c>
      <c r="BI291" s="6">
        <v>0</v>
      </c>
      <c r="BJ291" s="6">
        <v>0</v>
      </c>
      <c r="BK291" s="5" t="s">
        <v>401</v>
      </c>
      <c r="BL291" s="4" t="s">
        <v>401</v>
      </c>
      <c r="BM291" s="20">
        <v>196</v>
      </c>
      <c r="BN291" s="20">
        <v>0</v>
      </c>
      <c r="BO291" s="20">
        <v>0</v>
      </c>
      <c r="BP291" s="20">
        <v>0</v>
      </c>
      <c r="BQ291" s="20">
        <v>0</v>
      </c>
      <c r="BR291" s="20">
        <v>0</v>
      </c>
      <c r="BS291" s="20">
        <v>200</v>
      </c>
      <c r="BT291" s="20">
        <v>1708938</v>
      </c>
      <c r="BU291" s="20">
        <v>9000000</v>
      </c>
      <c r="BV291" s="20">
        <v>4.7876623855389617</v>
      </c>
    </row>
    <row r="292" spans="1:74">
      <c r="A292" s="10">
        <f t="shared" si="18"/>
        <v>0</v>
      </c>
      <c r="B292" s="10">
        <f t="shared" si="19"/>
        <v>0</v>
      </c>
      <c r="C292" s="12">
        <f t="shared" si="20"/>
        <v>4</v>
      </c>
      <c r="D292" s="12">
        <f t="shared" si="21"/>
        <v>10</v>
      </c>
      <c r="E292" s="20" t="s">
        <v>114</v>
      </c>
      <c r="F292" s="20" t="s">
        <v>164</v>
      </c>
      <c r="G292" s="20" t="s">
        <v>329</v>
      </c>
      <c r="H292" s="20" t="s">
        <v>373</v>
      </c>
      <c r="I292" s="20">
        <v>8</v>
      </c>
      <c r="J292" s="20" t="s">
        <v>374</v>
      </c>
      <c r="K292" s="20" t="s">
        <v>375</v>
      </c>
      <c r="L292" s="20" t="s">
        <v>376</v>
      </c>
      <c r="M292" s="20" t="s">
        <v>164</v>
      </c>
      <c r="N292" s="20" t="s">
        <v>170</v>
      </c>
      <c r="P292" s="20" t="s">
        <v>164</v>
      </c>
      <c r="Q292" s="20" t="s">
        <v>171</v>
      </c>
      <c r="R292" s="20" t="s">
        <v>84</v>
      </c>
      <c r="S292" s="20">
        <v>5</v>
      </c>
      <c r="T292" s="20" t="s">
        <v>244</v>
      </c>
      <c r="U292" s="20" t="s">
        <v>245</v>
      </c>
      <c r="V292" s="20" t="s">
        <v>87</v>
      </c>
      <c r="W292" s="20">
        <v>540</v>
      </c>
      <c r="X292" s="20">
        <v>540</v>
      </c>
      <c r="Y292" s="20" t="s">
        <v>377</v>
      </c>
      <c r="Z292" s="20">
        <v>0.5</v>
      </c>
      <c r="AA292" s="20" t="s">
        <v>378</v>
      </c>
      <c r="AB292" s="20" t="s">
        <v>176</v>
      </c>
      <c r="AC292" s="20" t="s">
        <v>177</v>
      </c>
      <c r="AD292" s="20" t="s">
        <v>379</v>
      </c>
      <c r="AE292" s="20" t="s">
        <v>91</v>
      </c>
      <c r="AF292" s="20">
        <v>1</v>
      </c>
      <c r="AG292" s="20" t="s">
        <v>2639</v>
      </c>
      <c r="AH292" s="20">
        <v>1</v>
      </c>
      <c r="AI292" s="7" t="s">
        <v>251</v>
      </c>
      <c r="AJ292" s="20">
        <v>200</v>
      </c>
      <c r="AK292" s="4" t="s">
        <v>179</v>
      </c>
      <c r="AL292" s="4">
        <v>14</v>
      </c>
      <c r="AM292" s="4">
        <v>14</v>
      </c>
      <c r="AN292" s="4" t="s">
        <v>95</v>
      </c>
      <c r="AO292" s="4" t="s">
        <v>96</v>
      </c>
      <c r="AP292" s="4">
        <v>1</v>
      </c>
      <c r="AQ292" s="20">
        <v>35000</v>
      </c>
      <c r="AR292" s="4">
        <v>41836</v>
      </c>
      <c r="AS292" s="20">
        <v>5303.030303030303</v>
      </c>
      <c r="AT292" s="20">
        <v>6424.1100000000015</v>
      </c>
      <c r="AU292" s="20">
        <v>1121.0796969696985</v>
      </c>
      <c r="AV292" s="20">
        <v>0</v>
      </c>
      <c r="AW292" s="20">
        <v>0</v>
      </c>
      <c r="AX292" s="20" t="s">
        <v>91</v>
      </c>
      <c r="AY292" s="20">
        <v>0</v>
      </c>
      <c r="AZ292" s="20">
        <v>5.15</v>
      </c>
      <c r="BA292" s="20">
        <v>0</v>
      </c>
      <c r="BB292" s="6">
        <v>41751</v>
      </c>
      <c r="BC292" s="6">
        <v>0</v>
      </c>
      <c r="BD292" s="6">
        <v>41869</v>
      </c>
      <c r="BE292" s="6">
        <v>0</v>
      </c>
      <c r="BF292" s="6">
        <v>41913</v>
      </c>
      <c r="BG292" s="6">
        <v>0</v>
      </c>
      <c r="BH292" s="6">
        <v>0</v>
      </c>
      <c r="BI292" s="6">
        <v>0</v>
      </c>
      <c r="BJ292" s="6">
        <v>0</v>
      </c>
      <c r="BK292" s="5" t="s">
        <v>401</v>
      </c>
      <c r="BL292" s="4" t="s">
        <v>401</v>
      </c>
      <c r="BM292" s="20">
        <v>170</v>
      </c>
      <c r="BN292" s="20">
        <v>0</v>
      </c>
      <c r="BO292" s="20">
        <v>0</v>
      </c>
      <c r="BP292" s="20">
        <v>0</v>
      </c>
      <c r="BQ292" s="20">
        <v>0</v>
      </c>
      <c r="BS292" s="20">
        <v>200</v>
      </c>
      <c r="BT292" s="20">
        <v>1284822.0000000002</v>
      </c>
      <c r="BU292" s="20">
        <v>7000000</v>
      </c>
      <c r="BV292" s="20">
        <v>4.9529322845003909</v>
      </c>
    </row>
    <row r="293" spans="1:74">
      <c r="A293" s="10">
        <f t="shared" si="18"/>
        <v>0</v>
      </c>
      <c r="B293" s="10">
        <f t="shared" si="19"/>
        <v>0</v>
      </c>
      <c r="C293" s="12">
        <f t="shared" si="20"/>
        <v>4</v>
      </c>
      <c r="D293" s="12">
        <f t="shared" si="21"/>
        <v>10</v>
      </c>
      <c r="E293" s="20" t="s">
        <v>114</v>
      </c>
      <c r="F293" s="20" t="s">
        <v>164</v>
      </c>
      <c r="G293" s="20" t="s">
        <v>329</v>
      </c>
      <c r="H293" s="20" t="s">
        <v>380</v>
      </c>
      <c r="I293" s="20">
        <v>9</v>
      </c>
      <c r="J293" s="20" t="s">
        <v>381</v>
      </c>
      <c r="K293" s="20" t="s">
        <v>382</v>
      </c>
      <c r="L293" s="20" t="s">
        <v>376</v>
      </c>
      <c r="M293" s="20" t="s">
        <v>164</v>
      </c>
      <c r="N293" s="20" t="s">
        <v>170</v>
      </c>
      <c r="P293" s="20" t="s">
        <v>164</v>
      </c>
      <c r="Q293" s="20" t="s">
        <v>171</v>
      </c>
      <c r="R293" s="20" t="s">
        <v>84</v>
      </c>
      <c r="S293" s="20">
        <v>5</v>
      </c>
      <c r="T293" s="20" t="s">
        <v>244</v>
      </c>
      <c r="U293" s="20" t="s">
        <v>245</v>
      </c>
      <c r="V293" s="20" t="s">
        <v>87</v>
      </c>
      <c r="W293" s="20">
        <v>540</v>
      </c>
      <c r="X293" s="20">
        <v>540</v>
      </c>
      <c r="Y293" s="20" t="s">
        <v>377</v>
      </c>
      <c r="Z293" s="20">
        <v>0.5</v>
      </c>
      <c r="AA293" s="20" t="s">
        <v>383</v>
      </c>
      <c r="AB293" s="20" t="s">
        <v>101</v>
      </c>
      <c r="AC293" s="20" t="s">
        <v>102</v>
      </c>
      <c r="AD293" s="20" t="s">
        <v>384</v>
      </c>
      <c r="AE293" s="20" t="s">
        <v>91</v>
      </c>
      <c r="AF293" s="20">
        <v>1</v>
      </c>
      <c r="AG293" s="20" t="s">
        <v>2639</v>
      </c>
      <c r="AH293" s="20">
        <v>1</v>
      </c>
      <c r="AI293" s="7" t="s">
        <v>251</v>
      </c>
      <c r="AJ293" s="20">
        <v>200</v>
      </c>
      <c r="AK293" s="4" t="s">
        <v>179</v>
      </c>
      <c r="AL293" s="4">
        <v>14</v>
      </c>
      <c r="AM293" s="4">
        <v>14</v>
      </c>
      <c r="AN293" s="4" t="s">
        <v>95</v>
      </c>
      <c r="AO293" s="4" t="s">
        <v>96</v>
      </c>
      <c r="AP293" s="4">
        <v>1</v>
      </c>
      <c r="AQ293" s="20">
        <v>35000</v>
      </c>
      <c r="AR293" s="4">
        <v>41836</v>
      </c>
      <c r="AS293" s="20">
        <v>5303.030303030303</v>
      </c>
      <c r="AT293" s="20">
        <v>6424.1100000000015</v>
      </c>
      <c r="AU293" s="20">
        <v>1121.0796969696985</v>
      </c>
      <c r="AV293" s="20">
        <v>0</v>
      </c>
      <c r="AW293" s="20">
        <v>0</v>
      </c>
      <c r="AX293" s="20" t="s">
        <v>91</v>
      </c>
      <c r="AY293" s="20">
        <v>0</v>
      </c>
      <c r="AZ293" s="20">
        <v>5.15</v>
      </c>
      <c r="BA293" s="20">
        <v>0</v>
      </c>
      <c r="BB293" s="6">
        <v>41751</v>
      </c>
      <c r="BC293" s="6">
        <v>0</v>
      </c>
      <c r="BD293" s="6">
        <v>41869</v>
      </c>
      <c r="BE293" s="6">
        <v>0</v>
      </c>
      <c r="BF293" s="6">
        <v>41913</v>
      </c>
      <c r="BG293" s="6">
        <v>0</v>
      </c>
      <c r="BH293" s="6">
        <v>0</v>
      </c>
      <c r="BI293" s="6">
        <v>0</v>
      </c>
      <c r="BJ293" s="6">
        <v>0</v>
      </c>
      <c r="BK293" s="5" t="s">
        <v>401</v>
      </c>
      <c r="BL293" s="4" t="s">
        <v>401</v>
      </c>
      <c r="BM293" s="20">
        <v>189</v>
      </c>
      <c r="BN293" s="20">
        <v>0</v>
      </c>
      <c r="BO293" s="20">
        <v>0</v>
      </c>
      <c r="BP293" s="20">
        <v>0</v>
      </c>
      <c r="BQ293" s="20">
        <v>0</v>
      </c>
      <c r="BR293" s="20">
        <v>0</v>
      </c>
      <c r="BS293" s="20">
        <v>200</v>
      </c>
      <c r="BT293" s="20">
        <v>1284822.0000000002</v>
      </c>
      <c r="BU293" s="20">
        <v>7000000</v>
      </c>
      <c r="BV293" s="20">
        <v>4.9529322845003909</v>
      </c>
    </row>
    <row r="294" spans="1:74">
      <c r="A294" s="10">
        <f t="shared" si="18"/>
        <v>0</v>
      </c>
      <c r="B294" s="10">
        <f t="shared" si="19"/>
        <v>0</v>
      </c>
      <c r="C294" s="12" t="str">
        <f t="shared" si="20"/>
        <v/>
      </c>
      <c r="D294" s="12" t="str">
        <f t="shared" si="21"/>
        <v/>
      </c>
      <c r="E294" s="20" t="s">
        <v>91</v>
      </c>
      <c r="F294" s="20" t="s">
        <v>91</v>
      </c>
      <c r="G294" s="20" t="s">
        <v>91</v>
      </c>
      <c r="H294" s="20" t="s">
        <v>91</v>
      </c>
      <c r="I294" s="20">
        <v>0</v>
      </c>
      <c r="J294" s="20" t="s">
        <v>103</v>
      </c>
      <c r="K294" s="20" t="s">
        <v>104</v>
      </c>
      <c r="L294" s="20">
        <v>0</v>
      </c>
      <c r="M294" s="20" t="s">
        <v>105</v>
      </c>
      <c r="N294" s="20" t="s">
        <v>91</v>
      </c>
      <c r="O294" s="20" t="s">
        <v>385</v>
      </c>
      <c r="Q294" s="20" t="s">
        <v>91</v>
      </c>
      <c r="R294" s="20" t="s">
        <v>91</v>
      </c>
      <c r="S294" s="20" t="s">
        <v>91</v>
      </c>
      <c r="U294" s="20" t="s">
        <v>91</v>
      </c>
      <c r="V294" s="20" t="s">
        <v>87</v>
      </c>
      <c r="X294" s="20" t="s">
        <v>91</v>
      </c>
      <c r="Y294" s="20" t="s">
        <v>91</v>
      </c>
      <c r="Z294" s="20">
        <v>5</v>
      </c>
      <c r="AB294" s="20" t="s">
        <v>91</v>
      </c>
      <c r="AD294" s="20" t="s">
        <v>91</v>
      </c>
      <c r="AE294" s="20" t="s">
        <v>91</v>
      </c>
      <c r="AF294" s="20">
        <v>9</v>
      </c>
      <c r="AG294" s="20">
        <v>0</v>
      </c>
      <c r="AH294" s="20">
        <v>1</v>
      </c>
      <c r="AI294" s="7"/>
      <c r="AM294" s="4" t="s">
        <v>91</v>
      </c>
      <c r="AP294" s="4" t="s">
        <v>91</v>
      </c>
      <c r="AQ294" s="20">
        <v>0</v>
      </c>
      <c r="AR294" s="4">
        <v>0</v>
      </c>
      <c r="AS294" s="20">
        <v>0</v>
      </c>
      <c r="AT294" s="20">
        <v>0</v>
      </c>
      <c r="AU294" s="20">
        <v>0</v>
      </c>
      <c r="AV294" s="20">
        <v>0</v>
      </c>
      <c r="AW294" s="20">
        <v>0</v>
      </c>
      <c r="AX294" s="20" t="s">
        <v>91</v>
      </c>
      <c r="AY294" s="20">
        <v>0</v>
      </c>
      <c r="AZ294" s="20">
        <v>0</v>
      </c>
      <c r="BA294" s="20">
        <v>0</v>
      </c>
      <c r="BB294" s="6">
        <v>0</v>
      </c>
      <c r="BC294" s="6">
        <v>0</v>
      </c>
      <c r="BD294" s="6">
        <v>0</v>
      </c>
      <c r="BE294" s="6">
        <v>0</v>
      </c>
      <c r="BF294" s="6">
        <v>0</v>
      </c>
      <c r="BG294" s="6">
        <v>0</v>
      </c>
      <c r="BH294" s="6">
        <v>0</v>
      </c>
      <c r="BI294" s="6">
        <v>0</v>
      </c>
      <c r="BJ294" s="6">
        <v>0</v>
      </c>
      <c r="BK294" s="5">
        <v>0</v>
      </c>
      <c r="BL294" s="4">
        <v>0</v>
      </c>
      <c r="BM294" s="20">
        <v>1852</v>
      </c>
      <c r="BN294" s="20">
        <v>0</v>
      </c>
      <c r="BO294" s="20">
        <v>0</v>
      </c>
      <c r="BP294" s="20">
        <v>0</v>
      </c>
      <c r="BQ294" s="20">
        <v>0</v>
      </c>
      <c r="BR294" s="20">
        <v>0</v>
      </c>
      <c r="BS294" s="20">
        <v>1900</v>
      </c>
      <c r="BT294" s="20">
        <v>11157993</v>
      </c>
      <c r="BU294" s="20">
        <v>66900000</v>
      </c>
      <c r="BV294" s="20">
        <v>5.4506381047363819</v>
      </c>
    </row>
    <row r="295" spans="1:74">
      <c r="A295" s="10">
        <f t="shared" si="18"/>
        <v>0</v>
      </c>
      <c r="B295" s="10">
        <f t="shared" si="19"/>
        <v>0</v>
      </c>
      <c r="C295" s="12">
        <f t="shared" si="20"/>
        <v>5</v>
      </c>
      <c r="D295" s="12">
        <f t="shared" si="21"/>
        <v>10</v>
      </c>
      <c r="E295" s="20" t="s">
        <v>114</v>
      </c>
      <c r="F295" s="20" t="s">
        <v>164</v>
      </c>
      <c r="G295" s="20" t="s">
        <v>1657</v>
      </c>
      <c r="H295" s="20" t="s">
        <v>1666</v>
      </c>
      <c r="I295" s="20">
        <v>1</v>
      </c>
      <c r="J295" s="20" t="s">
        <v>1658</v>
      </c>
      <c r="K295" s="20" t="s">
        <v>2609</v>
      </c>
      <c r="L295" s="20" t="s">
        <v>1668</v>
      </c>
      <c r="M295" s="20" t="s">
        <v>164</v>
      </c>
      <c r="N295" s="20" t="s">
        <v>170</v>
      </c>
      <c r="P295" s="20" t="s">
        <v>164</v>
      </c>
      <c r="Q295" s="20" t="s">
        <v>171</v>
      </c>
      <c r="R295" s="20" t="s">
        <v>84</v>
      </c>
      <c r="S295" s="20">
        <v>5</v>
      </c>
      <c r="T295" s="20" t="s">
        <v>395</v>
      </c>
      <c r="U295" s="20" t="s">
        <v>396</v>
      </c>
      <c r="V295" s="20" t="s">
        <v>87</v>
      </c>
      <c r="W295" s="20">
        <v>547</v>
      </c>
      <c r="X295" s="20">
        <v>547</v>
      </c>
      <c r="Y295" s="20" t="s">
        <v>1669</v>
      </c>
      <c r="Z295" s="20">
        <v>0.5</v>
      </c>
      <c r="AA295" s="20" t="s">
        <v>1670</v>
      </c>
      <c r="AB295" s="20" t="s">
        <v>189</v>
      </c>
      <c r="AC295" s="20" t="s">
        <v>190</v>
      </c>
      <c r="AD295" s="20" t="s">
        <v>1671</v>
      </c>
      <c r="AE295" s="20" t="s">
        <v>91</v>
      </c>
      <c r="AF295" s="20">
        <v>1</v>
      </c>
      <c r="AG295" s="20">
        <v>0</v>
      </c>
      <c r="AH295" s="20">
        <v>1</v>
      </c>
      <c r="AI295" s="7" t="s">
        <v>251</v>
      </c>
      <c r="AJ295" s="20">
        <v>200</v>
      </c>
      <c r="AK295" s="4" t="s">
        <v>179</v>
      </c>
      <c r="AL295" s="4">
        <v>16</v>
      </c>
      <c r="AM295" s="4">
        <v>16</v>
      </c>
      <c r="AN295" s="4" t="s">
        <v>95</v>
      </c>
      <c r="AO295" s="4" t="s">
        <v>96</v>
      </c>
      <c r="AP295" s="4">
        <v>1</v>
      </c>
      <c r="AQ295" s="20">
        <v>45000</v>
      </c>
      <c r="AR295" s="4">
        <v>41836</v>
      </c>
      <c r="AS295" s="20">
        <v>6818.1818181818171</v>
      </c>
      <c r="AT295" s="20">
        <v>7671.5100000000011</v>
      </c>
      <c r="AU295" s="20">
        <v>853.32818181818402</v>
      </c>
      <c r="AV295" s="20">
        <v>0</v>
      </c>
      <c r="AW295" s="20">
        <v>0</v>
      </c>
      <c r="AX295" s="20" t="s">
        <v>91</v>
      </c>
      <c r="AY295" s="20">
        <v>0</v>
      </c>
      <c r="AZ295" s="20">
        <v>6.15</v>
      </c>
      <c r="BA295" s="20">
        <v>0</v>
      </c>
      <c r="BB295" s="6">
        <v>41761</v>
      </c>
      <c r="BC295" s="6">
        <v>0</v>
      </c>
      <c r="BD295" s="6">
        <v>41907</v>
      </c>
      <c r="BE295" s="6">
        <v>0</v>
      </c>
      <c r="BF295" s="6">
        <v>41941</v>
      </c>
      <c r="BG295" s="6">
        <v>0</v>
      </c>
      <c r="BH295" s="6">
        <v>0</v>
      </c>
      <c r="BI295" s="6">
        <v>0</v>
      </c>
      <c r="BJ295" s="6">
        <v>0</v>
      </c>
      <c r="BK295" s="5" t="s">
        <v>401</v>
      </c>
      <c r="BL295" s="4">
        <v>0</v>
      </c>
      <c r="BM295" s="20">
        <v>200</v>
      </c>
      <c r="BN295" s="20">
        <v>0</v>
      </c>
      <c r="BO295" s="20">
        <v>0</v>
      </c>
      <c r="BP295" s="20">
        <v>0</v>
      </c>
      <c r="BQ295" s="20">
        <v>0</v>
      </c>
      <c r="BR295" s="20">
        <v>0</v>
      </c>
      <c r="BS295" s="20">
        <v>200</v>
      </c>
      <c r="BT295" s="20">
        <v>1534302.0000000002</v>
      </c>
      <c r="BU295" s="20">
        <v>9000000</v>
      </c>
      <c r="BV295" s="20">
        <v>5.3325995676328262</v>
      </c>
    </row>
    <row r="296" spans="1:74">
      <c r="A296" s="10">
        <f t="shared" si="18"/>
        <v>0</v>
      </c>
      <c r="B296" s="10">
        <f t="shared" si="19"/>
        <v>0</v>
      </c>
      <c r="C296" s="12">
        <f t="shared" si="20"/>
        <v>5</v>
      </c>
      <c r="D296" s="12">
        <f t="shared" si="21"/>
        <v>10</v>
      </c>
      <c r="E296" s="20" t="s">
        <v>114</v>
      </c>
      <c r="F296" s="20" t="s">
        <v>164</v>
      </c>
      <c r="G296" s="20" t="s">
        <v>1657</v>
      </c>
      <c r="H296" s="20" t="s">
        <v>1672</v>
      </c>
      <c r="I296" s="20">
        <v>2</v>
      </c>
      <c r="J296" s="20" t="s">
        <v>1663</v>
      </c>
      <c r="K296" s="20" t="s">
        <v>2610</v>
      </c>
      <c r="L296" s="20" t="s">
        <v>1668</v>
      </c>
      <c r="M296" s="20" t="s">
        <v>164</v>
      </c>
      <c r="N296" s="20" t="s">
        <v>170</v>
      </c>
      <c r="P296" s="20" t="s">
        <v>164</v>
      </c>
      <c r="Q296" s="20" t="s">
        <v>171</v>
      </c>
      <c r="R296" s="20" t="s">
        <v>84</v>
      </c>
      <c r="S296" s="20">
        <v>5</v>
      </c>
      <c r="T296" s="20" t="s">
        <v>395</v>
      </c>
      <c r="U296" s="20" t="s">
        <v>396</v>
      </c>
      <c r="V296" s="20" t="s">
        <v>87</v>
      </c>
      <c r="W296" s="20">
        <v>547</v>
      </c>
      <c r="X296" s="20">
        <v>547</v>
      </c>
      <c r="Y296" s="20" t="s">
        <v>1669</v>
      </c>
      <c r="Z296" s="20">
        <v>0.5</v>
      </c>
      <c r="AA296" s="20" t="s">
        <v>1674</v>
      </c>
      <c r="AB296" s="20" t="s">
        <v>176</v>
      </c>
      <c r="AC296" s="20" t="s">
        <v>177</v>
      </c>
      <c r="AD296" s="20" t="s">
        <v>1675</v>
      </c>
      <c r="AE296" s="20" t="s">
        <v>91</v>
      </c>
      <c r="AF296" s="20">
        <v>1</v>
      </c>
      <c r="AG296" s="20">
        <v>0</v>
      </c>
      <c r="AH296" s="20">
        <v>1</v>
      </c>
      <c r="AI296" s="7" t="s">
        <v>251</v>
      </c>
      <c r="AJ296" s="20">
        <v>200</v>
      </c>
      <c r="AK296" s="4" t="s">
        <v>179</v>
      </c>
      <c r="AL296" s="4">
        <v>16</v>
      </c>
      <c r="AM296" s="4">
        <v>16</v>
      </c>
      <c r="AN296" s="4" t="s">
        <v>95</v>
      </c>
      <c r="AO296" s="4" t="s">
        <v>96</v>
      </c>
      <c r="AP296" s="4">
        <v>1</v>
      </c>
      <c r="AQ296" s="20">
        <v>45000</v>
      </c>
      <c r="AR296" s="4">
        <v>41836</v>
      </c>
      <c r="AS296" s="20">
        <v>6818.1818181818171</v>
      </c>
      <c r="AT296" s="20">
        <v>7671.5100000000011</v>
      </c>
      <c r="AU296" s="20">
        <v>853.32818181818402</v>
      </c>
      <c r="AV296" s="20">
        <v>0</v>
      </c>
      <c r="AW296" s="20">
        <v>0</v>
      </c>
      <c r="AX296" s="20" t="s">
        <v>91</v>
      </c>
      <c r="AY296" s="20">
        <v>0</v>
      </c>
      <c r="AZ296" s="20">
        <v>6.15</v>
      </c>
      <c r="BA296" s="20">
        <v>0</v>
      </c>
      <c r="BB296" s="6">
        <v>41761</v>
      </c>
      <c r="BC296" s="6">
        <v>0</v>
      </c>
      <c r="BD296" s="6">
        <v>41907</v>
      </c>
      <c r="BE296" s="6">
        <v>0</v>
      </c>
      <c r="BF296" s="6">
        <v>41941</v>
      </c>
      <c r="BG296" s="6">
        <v>0</v>
      </c>
      <c r="BH296" s="6">
        <v>0</v>
      </c>
      <c r="BI296" s="6">
        <v>0</v>
      </c>
      <c r="BJ296" s="6">
        <v>0</v>
      </c>
      <c r="BK296" s="5" t="s">
        <v>401</v>
      </c>
      <c r="BL296" s="4">
        <v>0</v>
      </c>
      <c r="BM296" s="20">
        <v>198</v>
      </c>
      <c r="BN296" s="20">
        <v>0</v>
      </c>
      <c r="BO296" s="20">
        <v>0</v>
      </c>
      <c r="BP296" s="20">
        <v>0</v>
      </c>
      <c r="BQ296" s="20">
        <v>0</v>
      </c>
      <c r="BR296" s="20">
        <v>0</v>
      </c>
      <c r="BS296" s="20">
        <v>200</v>
      </c>
      <c r="BT296" s="20">
        <v>1534302.0000000002</v>
      </c>
      <c r="BU296" s="20">
        <v>9000000</v>
      </c>
      <c r="BV296" s="20">
        <v>5.3325995676328262</v>
      </c>
    </row>
    <row r="297" spans="1:74">
      <c r="A297" s="10">
        <f t="shared" si="18"/>
        <v>0</v>
      </c>
      <c r="B297" s="10">
        <f t="shared" si="19"/>
        <v>0</v>
      </c>
      <c r="C297" s="12">
        <f t="shared" si="20"/>
        <v>5</v>
      </c>
      <c r="D297" s="12">
        <f t="shared" si="21"/>
        <v>11</v>
      </c>
      <c r="E297" s="20" t="s">
        <v>114</v>
      </c>
      <c r="F297" s="20" t="s">
        <v>164</v>
      </c>
      <c r="G297" s="20" t="s">
        <v>1657</v>
      </c>
      <c r="H297" s="20" t="s">
        <v>1676</v>
      </c>
      <c r="I297" s="20">
        <v>3</v>
      </c>
      <c r="J297" s="20" t="s">
        <v>1667</v>
      </c>
      <c r="K297" s="20" t="s">
        <v>2611</v>
      </c>
      <c r="L297" s="20" t="s">
        <v>1678</v>
      </c>
      <c r="M297" s="20" t="s">
        <v>164</v>
      </c>
      <c r="N297" s="20" t="s">
        <v>170</v>
      </c>
      <c r="P297" s="20" t="s">
        <v>164</v>
      </c>
      <c r="Q297" s="20" t="s">
        <v>171</v>
      </c>
      <c r="R297" s="20" t="s">
        <v>84</v>
      </c>
      <c r="S297" s="20">
        <v>5</v>
      </c>
      <c r="T297" s="20" t="s">
        <v>395</v>
      </c>
      <c r="U297" s="20" t="s">
        <v>396</v>
      </c>
      <c r="V297" s="20" t="s">
        <v>87</v>
      </c>
      <c r="W297" s="20">
        <v>549</v>
      </c>
      <c r="X297" s="20">
        <v>549</v>
      </c>
      <c r="Y297" s="20" t="s">
        <v>1679</v>
      </c>
      <c r="Z297" s="20">
        <v>0.5</v>
      </c>
      <c r="AA297" s="20" t="s">
        <v>1680</v>
      </c>
      <c r="AB297" s="20" t="s">
        <v>189</v>
      </c>
      <c r="AC297" s="20" t="s">
        <v>190</v>
      </c>
      <c r="AD297" s="20" t="s">
        <v>1681</v>
      </c>
      <c r="AE297" s="20" t="s">
        <v>91</v>
      </c>
      <c r="AF297" s="20">
        <v>1</v>
      </c>
      <c r="AG297" s="20">
        <v>0</v>
      </c>
      <c r="AH297" s="20">
        <v>1</v>
      </c>
      <c r="AI297" s="7" t="s">
        <v>251</v>
      </c>
      <c r="AJ297" s="20">
        <v>80</v>
      </c>
      <c r="AK297" s="4" t="s">
        <v>179</v>
      </c>
      <c r="AL297" s="4">
        <v>16</v>
      </c>
      <c r="AM297" s="4">
        <v>16</v>
      </c>
      <c r="AN297" s="4" t="s">
        <v>95</v>
      </c>
      <c r="AO297" s="4" t="s">
        <v>96</v>
      </c>
      <c r="AP297" s="4">
        <v>1</v>
      </c>
      <c r="AQ297" s="20">
        <v>43000</v>
      </c>
      <c r="AR297" s="4">
        <v>41836</v>
      </c>
      <c r="AS297" s="20">
        <v>6515.151515151515</v>
      </c>
      <c r="AT297" s="20">
        <v>6486.4800000000014</v>
      </c>
      <c r="AU297" s="20">
        <v>-28.671515151513631</v>
      </c>
      <c r="AV297" s="20">
        <v>0</v>
      </c>
      <c r="AW297" s="20">
        <v>0</v>
      </c>
      <c r="AX297" s="20" t="s">
        <v>91</v>
      </c>
      <c r="AY297" s="20">
        <v>0</v>
      </c>
      <c r="AZ297" s="20">
        <v>5.2</v>
      </c>
      <c r="BA297" s="20">
        <v>0</v>
      </c>
      <c r="BB297" s="6">
        <v>41761</v>
      </c>
      <c r="BC297" s="6">
        <v>0</v>
      </c>
      <c r="BD297" s="6">
        <v>41907</v>
      </c>
      <c r="BE297" s="6">
        <v>0</v>
      </c>
      <c r="BF297" s="6">
        <v>41947</v>
      </c>
      <c r="BG297" s="6">
        <v>0</v>
      </c>
      <c r="BH297" s="6">
        <v>0</v>
      </c>
      <c r="BI297" s="6">
        <v>0</v>
      </c>
      <c r="BJ297" s="6">
        <v>0</v>
      </c>
      <c r="BK297" s="5" t="s">
        <v>401</v>
      </c>
      <c r="BL297" s="4">
        <v>0</v>
      </c>
      <c r="BM297" s="20">
        <v>79</v>
      </c>
      <c r="BN297" s="20">
        <v>0</v>
      </c>
      <c r="BO297" s="20">
        <v>0</v>
      </c>
      <c r="BP297" s="20">
        <v>0</v>
      </c>
      <c r="BQ297" s="20">
        <v>0</v>
      </c>
      <c r="BR297" s="20">
        <v>0</v>
      </c>
      <c r="BS297" s="20">
        <v>80</v>
      </c>
      <c r="BT297" s="20">
        <v>518918.40000000014</v>
      </c>
      <c r="BU297" s="20">
        <v>3440000</v>
      </c>
      <c r="BV297" s="20">
        <v>6.0265211780363268</v>
      </c>
    </row>
    <row r="298" spans="1:74">
      <c r="A298" s="10">
        <f t="shared" si="18"/>
        <v>0</v>
      </c>
      <c r="B298" s="10">
        <f t="shared" si="19"/>
        <v>0</v>
      </c>
      <c r="C298" s="12">
        <f t="shared" si="20"/>
        <v>5</v>
      </c>
      <c r="D298" s="12">
        <f t="shared" si="21"/>
        <v>11</v>
      </c>
      <c r="E298" s="20" t="s">
        <v>114</v>
      </c>
      <c r="F298" s="20" t="s">
        <v>164</v>
      </c>
      <c r="G298" s="20" t="s">
        <v>1657</v>
      </c>
      <c r="H298" s="20" t="s">
        <v>1682</v>
      </c>
      <c r="I298" s="20">
        <v>4</v>
      </c>
      <c r="J298" s="20" t="s">
        <v>1673</v>
      </c>
      <c r="K298" s="20" t="s">
        <v>2612</v>
      </c>
      <c r="L298" s="20" t="s">
        <v>1678</v>
      </c>
      <c r="M298" s="20" t="s">
        <v>164</v>
      </c>
      <c r="N298" s="20" t="s">
        <v>170</v>
      </c>
      <c r="P298" s="20" t="s">
        <v>164</v>
      </c>
      <c r="Q298" s="20" t="s">
        <v>171</v>
      </c>
      <c r="R298" s="20" t="s">
        <v>84</v>
      </c>
      <c r="S298" s="20">
        <v>5</v>
      </c>
      <c r="T298" s="20" t="s">
        <v>395</v>
      </c>
      <c r="U298" s="20" t="s">
        <v>396</v>
      </c>
      <c r="V298" s="20" t="s">
        <v>87</v>
      </c>
      <c r="W298" s="20">
        <v>549</v>
      </c>
      <c r="X298" s="20">
        <v>549</v>
      </c>
      <c r="Y298" s="20" t="s">
        <v>1679</v>
      </c>
      <c r="Z298" s="20">
        <v>0.5</v>
      </c>
      <c r="AA298" s="20" t="s">
        <v>1684</v>
      </c>
      <c r="AB298" s="20" t="s">
        <v>89</v>
      </c>
      <c r="AC298" s="20" t="s">
        <v>90</v>
      </c>
      <c r="AD298" s="20" t="s">
        <v>1685</v>
      </c>
      <c r="AE298" s="20" t="s">
        <v>91</v>
      </c>
      <c r="AF298" s="20">
        <v>1</v>
      </c>
      <c r="AG298" s="20">
        <v>0</v>
      </c>
      <c r="AH298" s="20">
        <v>1</v>
      </c>
      <c r="AI298" s="7" t="s">
        <v>251</v>
      </c>
      <c r="AJ298" s="20">
        <v>80</v>
      </c>
      <c r="AK298" s="4" t="s">
        <v>179</v>
      </c>
      <c r="AL298" s="4">
        <v>16</v>
      </c>
      <c r="AM298" s="4">
        <v>16</v>
      </c>
      <c r="AN298" s="4" t="s">
        <v>95</v>
      </c>
      <c r="AO298" s="4" t="s">
        <v>96</v>
      </c>
      <c r="AP298" s="4">
        <v>1</v>
      </c>
      <c r="AQ298" s="20">
        <v>43000</v>
      </c>
      <c r="AR298" s="4">
        <v>41836</v>
      </c>
      <c r="AS298" s="20">
        <v>6515.151515151515</v>
      </c>
      <c r="AT298" s="20">
        <v>6486.4800000000014</v>
      </c>
      <c r="AU298" s="20">
        <v>-28.671515151513631</v>
      </c>
      <c r="AV298" s="20">
        <v>0</v>
      </c>
      <c r="AW298" s="20">
        <v>0</v>
      </c>
      <c r="AX298" s="20" t="s">
        <v>91</v>
      </c>
      <c r="AY298" s="20">
        <v>0</v>
      </c>
      <c r="AZ298" s="20">
        <v>5.2</v>
      </c>
      <c r="BA298" s="20">
        <v>0</v>
      </c>
      <c r="BB298" s="6">
        <v>41761</v>
      </c>
      <c r="BC298" s="6">
        <v>0</v>
      </c>
      <c r="BD298" s="6">
        <v>41907</v>
      </c>
      <c r="BE298" s="6">
        <v>0</v>
      </c>
      <c r="BF298" s="6">
        <v>41947</v>
      </c>
      <c r="BG298" s="6">
        <v>0</v>
      </c>
      <c r="BH298" s="6">
        <v>0</v>
      </c>
      <c r="BI298" s="6">
        <v>0</v>
      </c>
      <c r="BJ298" s="6">
        <v>0</v>
      </c>
      <c r="BK298" s="5" t="s">
        <v>401</v>
      </c>
      <c r="BL298" s="4">
        <v>0</v>
      </c>
      <c r="BM298" s="20">
        <v>80</v>
      </c>
      <c r="BN298" s="20">
        <v>0</v>
      </c>
      <c r="BO298" s="20">
        <v>0</v>
      </c>
      <c r="BP298" s="20">
        <v>0</v>
      </c>
      <c r="BQ298" s="20">
        <v>0</v>
      </c>
      <c r="BR298" s="20">
        <v>0</v>
      </c>
      <c r="BS298" s="20">
        <v>80</v>
      </c>
      <c r="BT298" s="20">
        <v>518918.40000000014</v>
      </c>
      <c r="BU298" s="20">
        <v>3440000</v>
      </c>
      <c r="BV298" s="20">
        <v>6.0265211780363268</v>
      </c>
    </row>
    <row r="299" spans="1:74">
      <c r="A299" s="10">
        <f t="shared" si="18"/>
        <v>0</v>
      </c>
      <c r="B299" s="10">
        <f t="shared" si="19"/>
        <v>0</v>
      </c>
      <c r="C299" s="12">
        <f t="shared" si="20"/>
        <v>5</v>
      </c>
      <c r="D299" s="12">
        <f t="shared" si="21"/>
        <v>10</v>
      </c>
      <c r="E299" s="20" t="s">
        <v>114</v>
      </c>
      <c r="F299" s="20" t="s">
        <v>164</v>
      </c>
      <c r="G299" s="20" t="s">
        <v>1657</v>
      </c>
      <c r="H299" s="20" t="s">
        <v>1699</v>
      </c>
      <c r="I299" s="20">
        <v>5</v>
      </c>
      <c r="J299" s="20" t="s">
        <v>1677</v>
      </c>
      <c r="K299" s="20" t="s">
        <v>2613</v>
      </c>
      <c r="L299" s="20" t="s">
        <v>1701</v>
      </c>
      <c r="M299" s="20" t="s">
        <v>164</v>
      </c>
      <c r="N299" s="20" t="s">
        <v>170</v>
      </c>
      <c r="P299" s="20" t="s">
        <v>164</v>
      </c>
      <c r="Q299" s="20" t="s">
        <v>171</v>
      </c>
      <c r="R299" s="20" t="s">
        <v>84</v>
      </c>
      <c r="S299" s="20">
        <v>5</v>
      </c>
      <c r="T299" s="20" t="s">
        <v>395</v>
      </c>
      <c r="U299" s="20" t="s">
        <v>396</v>
      </c>
      <c r="V299" s="20" t="s">
        <v>87</v>
      </c>
      <c r="W299" s="20">
        <v>546</v>
      </c>
      <c r="X299" s="20">
        <v>546</v>
      </c>
      <c r="Y299" s="20" t="s">
        <v>1702</v>
      </c>
      <c r="Z299" s="20">
        <v>0.5</v>
      </c>
      <c r="AA299" s="20" t="s">
        <v>1703</v>
      </c>
      <c r="AB299" s="20" t="s">
        <v>176</v>
      </c>
      <c r="AC299" s="20" t="s">
        <v>177</v>
      </c>
      <c r="AD299" s="20" t="s">
        <v>1704</v>
      </c>
      <c r="AE299" s="20" t="s">
        <v>91</v>
      </c>
      <c r="AF299" s="20">
        <v>1</v>
      </c>
      <c r="AG299" s="20">
        <v>0</v>
      </c>
      <c r="AH299" s="20">
        <v>1</v>
      </c>
      <c r="AI299" s="7" t="s">
        <v>251</v>
      </c>
      <c r="AJ299" s="20">
        <v>200</v>
      </c>
      <c r="AK299" s="4" t="s">
        <v>179</v>
      </c>
      <c r="AL299" s="4">
        <v>16</v>
      </c>
      <c r="AM299" s="4">
        <v>16</v>
      </c>
      <c r="AN299" s="4" t="s">
        <v>95</v>
      </c>
      <c r="AO299" s="4" t="s">
        <v>96</v>
      </c>
      <c r="AP299" s="4">
        <v>1</v>
      </c>
      <c r="AQ299" s="20">
        <v>45000</v>
      </c>
      <c r="AR299" s="4">
        <v>41836</v>
      </c>
      <c r="AS299" s="20">
        <v>6818.1818181818171</v>
      </c>
      <c r="AT299" s="20">
        <v>8170.47</v>
      </c>
      <c r="AU299" s="20">
        <v>1352.2881818181831</v>
      </c>
      <c r="AV299" s="20">
        <v>0</v>
      </c>
      <c r="AW299" s="20">
        <v>0</v>
      </c>
      <c r="AX299" s="20" t="s">
        <v>91</v>
      </c>
      <c r="AY299" s="20">
        <v>0</v>
      </c>
      <c r="AZ299" s="20">
        <v>6.55</v>
      </c>
      <c r="BA299" s="20">
        <v>0</v>
      </c>
      <c r="BB299" s="6">
        <v>41761</v>
      </c>
      <c r="BC299" s="6">
        <v>0</v>
      </c>
      <c r="BD299" s="6">
        <v>41907</v>
      </c>
      <c r="BE299" s="6">
        <v>0</v>
      </c>
      <c r="BF299" s="6">
        <v>41941</v>
      </c>
      <c r="BG299" s="6">
        <v>0</v>
      </c>
      <c r="BH299" s="6">
        <v>0</v>
      </c>
      <c r="BI299" s="6">
        <v>0</v>
      </c>
      <c r="BJ299" s="6">
        <v>0</v>
      </c>
      <c r="BK299" s="5" t="s">
        <v>401</v>
      </c>
      <c r="BL299" s="4">
        <v>0</v>
      </c>
      <c r="BM299" s="20">
        <v>200</v>
      </c>
      <c r="BN299" s="20">
        <v>0</v>
      </c>
      <c r="BO299" s="20">
        <v>0</v>
      </c>
      <c r="BP299" s="20">
        <v>0</v>
      </c>
      <c r="BQ299" s="20">
        <v>0</v>
      </c>
      <c r="BR299" s="20">
        <v>0</v>
      </c>
      <c r="BS299" s="20">
        <v>200</v>
      </c>
      <c r="BT299" s="20">
        <v>1634094</v>
      </c>
      <c r="BU299" s="20">
        <v>9000000</v>
      </c>
      <c r="BV299" s="20">
        <v>5.0069446322048679</v>
      </c>
    </row>
    <row r="300" spans="1:74">
      <c r="A300" s="10">
        <f t="shared" si="18"/>
        <v>0</v>
      </c>
      <c r="B300" s="10">
        <f t="shared" si="19"/>
        <v>0</v>
      </c>
      <c r="C300" s="12">
        <f t="shared" si="20"/>
        <v>5</v>
      </c>
      <c r="D300" s="12">
        <f t="shared" si="21"/>
        <v>10</v>
      </c>
      <c r="E300" s="20" t="s">
        <v>114</v>
      </c>
      <c r="F300" s="20" t="s">
        <v>164</v>
      </c>
      <c r="G300" s="20" t="s">
        <v>1657</v>
      </c>
      <c r="H300" s="20" t="s">
        <v>1705</v>
      </c>
      <c r="I300" s="20">
        <v>6</v>
      </c>
      <c r="J300" s="20" t="s">
        <v>1683</v>
      </c>
      <c r="K300" s="20" t="s">
        <v>2614</v>
      </c>
      <c r="L300" s="20" t="s">
        <v>1701</v>
      </c>
      <c r="M300" s="20" t="s">
        <v>164</v>
      </c>
      <c r="N300" s="20" t="s">
        <v>170</v>
      </c>
      <c r="P300" s="20" t="s">
        <v>164</v>
      </c>
      <c r="Q300" s="20" t="s">
        <v>171</v>
      </c>
      <c r="R300" s="20" t="s">
        <v>84</v>
      </c>
      <c r="S300" s="20">
        <v>5</v>
      </c>
      <c r="T300" s="20" t="s">
        <v>395</v>
      </c>
      <c r="U300" s="20" t="s">
        <v>396</v>
      </c>
      <c r="V300" s="20" t="s">
        <v>87</v>
      </c>
      <c r="W300" s="20">
        <v>546</v>
      </c>
      <c r="X300" s="20">
        <v>546</v>
      </c>
      <c r="Y300" s="20" t="s">
        <v>1702</v>
      </c>
      <c r="Z300" s="20">
        <v>0.5</v>
      </c>
      <c r="AA300" s="20" t="s">
        <v>1707</v>
      </c>
      <c r="AB300" s="20" t="s">
        <v>139</v>
      </c>
      <c r="AC300" s="20" t="s">
        <v>140</v>
      </c>
      <c r="AD300" s="20" t="s">
        <v>1708</v>
      </c>
      <c r="AE300" s="20" t="s">
        <v>91</v>
      </c>
      <c r="AF300" s="20">
        <v>1</v>
      </c>
      <c r="AG300" s="20">
        <v>0</v>
      </c>
      <c r="AH300" s="20">
        <v>1</v>
      </c>
      <c r="AI300" s="7" t="s">
        <v>251</v>
      </c>
      <c r="AJ300" s="20">
        <v>200</v>
      </c>
      <c r="AK300" s="4" t="s">
        <v>179</v>
      </c>
      <c r="AL300" s="4">
        <v>16</v>
      </c>
      <c r="AM300" s="4">
        <v>16</v>
      </c>
      <c r="AN300" s="4" t="s">
        <v>95</v>
      </c>
      <c r="AO300" s="4" t="s">
        <v>96</v>
      </c>
      <c r="AP300" s="4">
        <v>1</v>
      </c>
      <c r="AQ300" s="20">
        <v>45000</v>
      </c>
      <c r="AR300" s="4">
        <v>41836</v>
      </c>
      <c r="AS300" s="20">
        <v>6818.1818181818171</v>
      </c>
      <c r="AT300" s="20">
        <v>8170.47</v>
      </c>
      <c r="AU300" s="20">
        <v>1352.2881818181831</v>
      </c>
      <c r="AV300" s="20">
        <v>0</v>
      </c>
      <c r="AW300" s="20">
        <v>0</v>
      </c>
      <c r="AX300" s="20" t="s">
        <v>91</v>
      </c>
      <c r="AY300" s="20">
        <v>0</v>
      </c>
      <c r="AZ300" s="20">
        <v>6.55</v>
      </c>
      <c r="BA300" s="20">
        <v>0</v>
      </c>
      <c r="BB300" s="6">
        <v>41761</v>
      </c>
      <c r="BC300" s="6">
        <v>0</v>
      </c>
      <c r="BD300" s="6">
        <v>41907</v>
      </c>
      <c r="BE300" s="6">
        <v>0</v>
      </c>
      <c r="BF300" s="6">
        <v>41941</v>
      </c>
      <c r="BG300" s="6">
        <v>0</v>
      </c>
      <c r="BH300" s="6">
        <v>0</v>
      </c>
      <c r="BI300" s="6">
        <v>0</v>
      </c>
      <c r="BJ300" s="6">
        <v>0</v>
      </c>
      <c r="BK300" s="5" t="s">
        <v>401</v>
      </c>
      <c r="BL300" s="4">
        <v>0</v>
      </c>
      <c r="BM300" s="20">
        <v>200</v>
      </c>
      <c r="BN300" s="20">
        <v>0</v>
      </c>
      <c r="BO300" s="20">
        <v>0</v>
      </c>
      <c r="BP300" s="20">
        <v>0</v>
      </c>
      <c r="BQ300" s="20">
        <v>0</v>
      </c>
      <c r="BR300" s="20">
        <v>0</v>
      </c>
      <c r="BS300" s="20">
        <v>200</v>
      </c>
      <c r="BT300" s="20">
        <v>1634094</v>
      </c>
      <c r="BU300" s="20">
        <v>9000000</v>
      </c>
      <c r="BV300" s="20">
        <v>5.0069446322048679</v>
      </c>
    </row>
    <row r="301" spans="1:74">
      <c r="A301" s="10">
        <f t="shared" si="18"/>
        <v>0</v>
      </c>
      <c r="B301" s="10">
        <f t="shared" si="19"/>
        <v>0</v>
      </c>
      <c r="C301" s="12">
        <f t="shared" si="20"/>
        <v>5</v>
      </c>
      <c r="D301" s="12">
        <f t="shared" si="21"/>
        <v>10</v>
      </c>
      <c r="E301" s="20" t="s">
        <v>114</v>
      </c>
      <c r="F301" s="20" t="s">
        <v>164</v>
      </c>
      <c r="G301" s="20" t="s">
        <v>1657</v>
      </c>
      <c r="H301" s="20" t="s">
        <v>1709</v>
      </c>
      <c r="I301" s="20">
        <v>7</v>
      </c>
      <c r="J301" s="20" t="s">
        <v>1686</v>
      </c>
      <c r="K301" s="20" t="s">
        <v>2615</v>
      </c>
      <c r="L301" s="20" t="s">
        <v>1710</v>
      </c>
      <c r="M301" s="20" t="s">
        <v>164</v>
      </c>
      <c r="N301" s="20" t="s">
        <v>170</v>
      </c>
      <c r="P301" s="20" t="s">
        <v>164</v>
      </c>
      <c r="Q301" s="20" t="s">
        <v>171</v>
      </c>
      <c r="R301" s="20" t="s">
        <v>84</v>
      </c>
      <c r="S301" s="20">
        <v>5</v>
      </c>
      <c r="T301" s="20" t="s">
        <v>395</v>
      </c>
      <c r="U301" s="20" t="s">
        <v>396</v>
      </c>
      <c r="V301" s="20" t="s">
        <v>87</v>
      </c>
      <c r="W301" s="20">
        <v>541</v>
      </c>
      <c r="X301" s="20">
        <v>541</v>
      </c>
      <c r="Y301" s="20" t="s">
        <v>1711</v>
      </c>
      <c r="Z301" s="20">
        <v>0.5</v>
      </c>
      <c r="AA301" s="20" t="s">
        <v>1712</v>
      </c>
      <c r="AB301" s="20" t="s">
        <v>189</v>
      </c>
      <c r="AC301" s="20" t="s">
        <v>190</v>
      </c>
      <c r="AD301" s="20" t="s">
        <v>1713</v>
      </c>
      <c r="AE301" s="20" t="s">
        <v>91</v>
      </c>
      <c r="AF301" s="20">
        <v>1</v>
      </c>
      <c r="AG301" s="20">
        <v>0</v>
      </c>
      <c r="AH301" s="20">
        <v>1</v>
      </c>
      <c r="AI301" s="7" t="s">
        <v>251</v>
      </c>
      <c r="AJ301" s="20">
        <v>200</v>
      </c>
      <c r="AK301" s="4" t="s">
        <v>179</v>
      </c>
      <c r="AL301" s="4">
        <v>16</v>
      </c>
      <c r="AM301" s="4">
        <v>16</v>
      </c>
      <c r="AN301" s="4" t="s">
        <v>95</v>
      </c>
      <c r="AO301" s="4" t="s">
        <v>96</v>
      </c>
      <c r="AP301" s="4">
        <v>1</v>
      </c>
      <c r="AQ301" s="20">
        <v>39000</v>
      </c>
      <c r="AR301" s="4">
        <v>41836</v>
      </c>
      <c r="AS301" s="20">
        <v>5909.0909090909081</v>
      </c>
      <c r="AT301" s="20">
        <v>6049.89</v>
      </c>
      <c r="AU301" s="20">
        <v>140.79909090909223</v>
      </c>
      <c r="AV301" s="20">
        <v>0</v>
      </c>
      <c r="AW301" s="20">
        <v>0</v>
      </c>
      <c r="AX301" s="20" t="s">
        <v>91</v>
      </c>
      <c r="AY301" s="20">
        <v>0</v>
      </c>
      <c r="AZ301" s="20">
        <v>4.8499999999999996</v>
      </c>
      <c r="BA301" s="20">
        <v>0</v>
      </c>
      <c r="BB301" s="6">
        <v>41761</v>
      </c>
      <c r="BC301" s="6">
        <v>0</v>
      </c>
      <c r="BD301" s="6">
        <v>41907</v>
      </c>
      <c r="BE301" s="6">
        <v>0</v>
      </c>
      <c r="BF301" s="6">
        <v>41941</v>
      </c>
      <c r="BG301" s="6">
        <v>0</v>
      </c>
      <c r="BH301" s="6">
        <v>0</v>
      </c>
      <c r="BI301" s="6">
        <v>0</v>
      </c>
      <c r="BJ301" s="6">
        <v>0</v>
      </c>
      <c r="BK301" s="5" t="s">
        <v>401</v>
      </c>
      <c r="BL301" s="4">
        <v>0</v>
      </c>
      <c r="BM301" s="20">
        <v>197</v>
      </c>
      <c r="BN301" s="20">
        <v>0</v>
      </c>
      <c r="BO301" s="20">
        <v>0</v>
      </c>
      <c r="BP301" s="20">
        <v>0</v>
      </c>
      <c r="BQ301" s="20">
        <v>0</v>
      </c>
      <c r="BR301" s="20">
        <v>0</v>
      </c>
      <c r="BS301" s="20">
        <v>200</v>
      </c>
      <c r="BT301" s="20">
        <v>1209978</v>
      </c>
      <c r="BU301" s="20">
        <v>7800000</v>
      </c>
      <c r="BV301" s="20">
        <v>5.8603619990686528</v>
      </c>
    </row>
    <row r="302" spans="1:74">
      <c r="A302" s="10">
        <f t="shared" si="18"/>
        <v>0</v>
      </c>
      <c r="B302" s="10">
        <f t="shared" si="19"/>
        <v>0</v>
      </c>
      <c r="C302" s="12">
        <f t="shared" si="20"/>
        <v>5</v>
      </c>
      <c r="D302" s="12">
        <f t="shared" si="21"/>
        <v>10</v>
      </c>
      <c r="E302" s="20" t="s">
        <v>114</v>
      </c>
      <c r="F302" s="20" t="s">
        <v>164</v>
      </c>
      <c r="G302" s="20" t="s">
        <v>1657</v>
      </c>
      <c r="H302" s="20" t="s">
        <v>1714</v>
      </c>
      <c r="I302" s="20">
        <v>8</v>
      </c>
      <c r="J302" s="20" t="s">
        <v>1691</v>
      </c>
      <c r="K302" s="20" t="s">
        <v>2616</v>
      </c>
      <c r="L302" s="20" t="s">
        <v>1710</v>
      </c>
      <c r="M302" s="20" t="s">
        <v>164</v>
      </c>
      <c r="N302" s="20" t="s">
        <v>170</v>
      </c>
      <c r="P302" s="20" t="s">
        <v>164</v>
      </c>
      <c r="Q302" s="20" t="s">
        <v>171</v>
      </c>
      <c r="R302" s="20" t="s">
        <v>84</v>
      </c>
      <c r="S302" s="20">
        <v>5</v>
      </c>
      <c r="T302" s="20" t="s">
        <v>395</v>
      </c>
      <c r="U302" s="20" t="s">
        <v>396</v>
      </c>
      <c r="V302" s="20" t="s">
        <v>87</v>
      </c>
      <c r="W302" s="20">
        <v>541</v>
      </c>
      <c r="X302" s="20">
        <v>541</v>
      </c>
      <c r="Y302" s="20" t="s">
        <v>1711</v>
      </c>
      <c r="Z302" s="20">
        <v>0.5</v>
      </c>
      <c r="AA302" s="20" t="s">
        <v>1715</v>
      </c>
      <c r="AB302" s="20" t="s">
        <v>303</v>
      </c>
      <c r="AC302" s="20" t="s">
        <v>304</v>
      </c>
      <c r="AD302" s="20" t="s">
        <v>1716</v>
      </c>
      <c r="AE302" s="20" t="s">
        <v>91</v>
      </c>
      <c r="AF302" s="20">
        <v>1</v>
      </c>
      <c r="AG302" s="20">
        <v>0</v>
      </c>
      <c r="AH302" s="20">
        <v>1</v>
      </c>
      <c r="AI302" s="4" t="s">
        <v>251</v>
      </c>
      <c r="AJ302" s="20">
        <v>200</v>
      </c>
      <c r="AK302" s="4" t="s">
        <v>179</v>
      </c>
      <c r="AL302" s="4">
        <v>16</v>
      </c>
      <c r="AM302" s="4">
        <v>16</v>
      </c>
      <c r="AN302" s="4" t="s">
        <v>95</v>
      </c>
      <c r="AO302" s="4" t="s">
        <v>96</v>
      </c>
      <c r="AP302" s="4">
        <v>1</v>
      </c>
      <c r="AQ302" s="20">
        <v>39000</v>
      </c>
      <c r="AR302" s="4">
        <v>41836</v>
      </c>
      <c r="AS302" s="20">
        <v>5909.0909090909081</v>
      </c>
      <c r="AT302" s="20">
        <v>6049.89</v>
      </c>
      <c r="AU302" s="20">
        <v>140.79909090909223</v>
      </c>
      <c r="AV302" s="20">
        <v>0</v>
      </c>
      <c r="AW302" s="20">
        <v>0</v>
      </c>
      <c r="AX302" s="20" t="s">
        <v>91</v>
      </c>
      <c r="AY302" s="20">
        <v>0</v>
      </c>
      <c r="AZ302" s="20">
        <v>4.8499999999999996</v>
      </c>
      <c r="BA302" s="20">
        <v>0</v>
      </c>
      <c r="BB302" s="6">
        <v>41761</v>
      </c>
      <c r="BC302" s="6">
        <v>0</v>
      </c>
      <c r="BD302" s="6">
        <v>41907</v>
      </c>
      <c r="BE302" s="6">
        <v>0</v>
      </c>
      <c r="BF302" s="6">
        <v>41941</v>
      </c>
      <c r="BG302" s="6">
        <v>0</v>
      </c>
      <c r="BH302" s="6">
        <v>0</v>
      </c>
      <c r="BI302" s="6">
        <v>0</v>
      </c>
      <c r="BJ302" s="6">
        <v>0</v>
      </c>
      <c r="BK302" s="4" t="s">
        <v>401</v>
      </c>
      <c r="BL302" s="4">
        <v>0</v>
      </c>
      <c r="BM302" s="20">
        <v>198</v>
      </c>
      <c r="BN302" s="20">
        <v>0</v>
      </c>
      <c r="BO302" s="20">
        <v>0</v>
      </c>
      <c r="BP302" s="20">
        <v>0</v>
      </c>
      <c r="BQ302" s="20">
        <v>0</v>
      </c>
      <c r="BR302" s="20">
        <v>0</v>
      </c>
      <c r="BS302" s="20">
        <v>200</v>
      </c>
      <c r="BT302" s="20">
        <v>1209978</v>
      </c>
      <c r="BU302" s="20">
        <v>7800000</v>
      </c>
      <c r="BV302" s="20">
        <v>5.8603619990686528</v>
      </c>
    </row>
    <row r="303" spans="1:74">
      <c r="A303" s="10">
        <f t="shared" si="18"/>
        <v>0</v>
      </c>
      <c r="B303" s="10">
        <f t="shared" si="19"/>
        <v>0</v>
      </c>
      <c r="C303" s="12">
        <f t="shared" si="20"/>
        <v>5</v>
      </c>
      <c r="D303" s="12">
        <f t="shared" si="21"/>
        <v>10</v>
      </c>
      <c r="E303" s="20" t="s">
        <v>114</v>
      </c>
      <c r="F303" s="20" t="s">
        <v>164</v>
      </c>
      <c r="G303" s="20" t="s">
        <v>1657</v>
      </c>
      <c r="H303" s="20" t="s">
        <v>1717</v>
      </c>
      <c r="I303" s="20">
        <v>9</v>
      </c>
      <c r="J303" s="20" t="s">
        <v>1694</v>
      </c>
      <c r="K303" s="20" t="s">
        <v>2617</v>
      </c>
      <c r="L303" s="20" t="s">
        <v>1718</v>
      </c>
      <c r="M303" s="20" t="s">
        <v>164</v>
      </c>
      <c r="N303" s="20" t="s">
        <v>170</v>
      </c>
      <c r="P303" s="20" t="s">
        <v>164</v>
      </c>
      <c r="Q303" s="20" t="s">
        <v>171</v>
      </c>
      <c r="R303" s="20" t="s">
        <v>84</v>
      </c>
      <c r="S303" s="20">
        <v>5</v>
      </c>
      <c r="T303" s="20" t="s">
        <v>244</v>
      </c>
      <c r="U303" s="20" t="s">
        <v>245</v>
      </c>
      <c r="V303" s="20" t="s">
        <v>87</v>
      </c>
      <c r="W303" s="20">
        <v>543</v>
      </c>
      <c r="X303" s="20">
        <v>543</v>
      </c>
      <c r="Y303" s="20" t="s">
        <v>1719</v>
      </c>
      <c r="Z303" s="20">
        <v>0.33333333333333331</v>
      </c>
      <c r="AA303" s="20" t="s">
        <v>1720</v>
      </c>
      <c r="AB303" s="20" t="s">
        <v>109</v>
      </c>
      <c r="AC303" s="20" t="s">
        <v>110</v>
      </c>
      <c r="AD303" s="20" t="s">
        <v>1721</v>
      </c>
      <c r="AE303" s="20" t="s">
        <v>91</v>
      </c>
      <c r="AF303" s="20">
        <v>1</v>
      </c>
      <c r="AG303" s="20">
        <v>0</v>
      </c>
      <c r="AH303" s="20">
        <v>1</v>
      </c>
      <c r="AI303" s="4" t="s">
        <v>251</v>
      </c>
      <c r="AJ303" s="20">
        <v>200</v>
      </c>
      <c r="AK303" s="4" t="s">
        <v>179</v>
      </c>
      <c r="AL303" s="4">
        <v>16</v>
      </c>
      <c r="AM303" s="4">
        <v>16</v>
      </c>
      <c r="AN303" s="4" t="s">
        <v>95</v>
      </c>
      <c r="AO303" s="4" t="s">
        <v>96</v>
      </c>
      <c r="AP303" s="4">
        <v>1</v>
      </c>
      <c r="AQ303" s="20">
        <v>35000</v>
      </c>
      <c r="AR303" s="4">
        <v>41836</v>
      </c>
      <c r="AS303" s="20">
        <v>5303.030303030303</v>
      </c>
      <c r="AT303" s="20">
        <v>5051.9700000000012</v>
      </c>
      <c r="AU303" s="20">
        <v>-251.06030303030184</v>
      </c>
      <c r="AV303" s="20">
        <v>0</v>
      </c>
      <c r="AW303" s="20">
        <v>0</v>
      </c>
      <c r="AX303" s="20" t="s">
        <v>91</v>
      </c>
      <c r="AY303" s="20">
        <v>0</v>
      </c>
      <c r="AZ303" s="20">
        <v>4.05</v>
      </c>
      <c r="BA303" s="20">
        <v>0</v>
      </c>
      <c r="BB303" s="6">
        <v>41761</v>
      </c>
      <c r="BC303" s="6">
        <v>0</v>
      </c>
      <c r="BD303" s="6">
        <v>41907</v>
      </c>
      <c r="BE303" s="6">
        <v>0</v>
      </c>
      <c r="BF303" s="6">
        <v>41941</v>
      </c>
      <c r="BG303" s="6">
        <v>0</v>
      </c>
      <c r="BH303" s="6">
        <v>0</v>
      </c>
      <c r="BI303" s="6">
        <v>0</v>
      </c>
      <c r="BJ303" s="6">
        <v>0</v>
      </c>
      <c r="BK303" s="4" t="s">
        <v>401</v>
      </c>
      <c r="BL303" s="4">
        <v>0</v>
      </c>
      <c r="BM303" s="20">
        <v>200</v>
      </c>
      <c r="BN303" s="20">
        <v>0</v>
      </c>
      <c r="BO303" s="20">
        <v>0</v>
      </c>
      <c r="BP303" s="20">
        <v>0</v>
      </c>
      <c r="BQ303" s="20">
        <v>0</v>
      </c>
      <c r="BR303" s="20">
        <v>0</v>
      </c>
      <c r="BS303" s="20">
        <v>200</v>
      </c>
      <c r="BT303" s="20">
        <v>1010394.0000000002</v>
      </c>
      <c r="BU303" s="20">
        <v>7000000</v>
      </c>
      <c r="BV303" s="20">
        <v>6.2981731518955595</v>
      </c>
    </row>
    <row r="304" spans="1:74">
      <c r="A304" s="10">
        <f t="shared" si="18"/>
        <v>0</v>
      </c>
      <c r="B304" s="10">
        <f t="shared" si="19"/>
        <v>0</v>
      </c>
      <c r="C304" s="12">
        <f t="shared" si="20"/>
        <v>5</v>
      </c>
      <c r="D304" s="12">
        <f t="shared" si="21"/>
        <v>10</v>
      </c>
      <c r="E304" s="20" t="s">
        <v>114</v>
      </c>
      <c r="F304" s="20" t="s">
        <v>164</v>
      </c>
      <c r="G304" s="20" t="s">
        <v>1657</v>
      </c>
      <c r="H304" s="20" t="s">
        <v>1722</v>
      </c>
      <c r="I304" s="20">
        <v>10</v>
      </c>
      <c r="J304" s="20" t="s">
        <v>1700</v>
      </c>
      <c r="K304" s="20" t="s">
        <v>2618</v>
      </c>
      <c r="L304" s="20" t="s">
        <v>1718</v>
      </c>
      <c r="M304" s="20" t="s">
        <v>164</v>
      </c>
      <c r="N304" s="20" t="s">
        <v>170</v>
      </c>
      <c r="P304" s="20" t="s">
        <v>164</v>
      </c>
      <c r="Q304" s="20" t="s">
        <v>171</v>
      </c>
      <c r="R304" s="20" t="s">
        <v>84</v>
      </c>
      <c r="S304" s="20">
        <v>5</v>
      </c>
      <c r="T304" s="20" t="s">
        <v>244</v>
      </c>
      <c r="U304" s="20" t="s">
        <v>245</v>
      </c>
      <c r="V304" s="20" t="s">
        <v>87</v>
      </c>
      <c r="W304" s="20">
        <v>543</v>
      </c>
      <c r="X304" s="20">
        <v>543</v>
      </c>
      <c r="Y304" s="20" t="s">
        <v>1719</v>
      </c>
      <c r="Z304" s="20">
        <v>0.33333333333333331</v>
      </c>
      <c r="AA304" s="20" t="s">
        <v>1723</v>
      </c>
      <c r="AB304" s="20" t="s">
        <v>149</v>
      </c>
      <c r="AC304" s="20" t="s">
        <v>150</v>
      </c>
      <c r="AD304" s="20" t="s">
        <v>1724</v>
      </c>
      <c r="AE304" s="20" t="s">
        <v>91</v>
      </c>
      <c r="AF304" s="20">
        <v>1</v>
      </c>
      <c r="AG304" s="20">
        <v>0</v>
      </c>
      <c r="AH304" s="20">
        <v>1</v>
      </c>
      <c r="AI304" s="4" t="s">
        <v>251</v>
      </c>
      <c r="AJ304" s="20">
        <v>200</v>
      </c>
      <c r="AK304" s="4" t="s">
        <v>179</v>
      </c>
      <c r="AL304" s="4">
        <v>16</v>
      </c>
      <c r="AM304" s="4">
        <v>16</v>
      </c>
      <c r="AN304" s="4" t="s">
        <v>95</v>
      </c>
      <c r="AO304" s="4" t="s">
        <v>96</v>
      </c>
      <c r="AP304" s="4">
        <v>1</v>
      </c>
      <c r="AQ304" s="20">
        <v>35000</v>
      </c>
      <c r="AR304" s="4">
        <v>41836</v>
      </c>
      <c r="AS304" s="20">
        <v>5303.030303030303</v>
      </c>
      <c r="AT304" s="20">
        <v>5051.9700000000012</v>
      </c>
      <c r="AU304" s="20">
        <v>-251.06030303030184</v>
      </c>
      <c r="AV304" s="20">
        <v>0</v>
      </c>
      <c r="AW304" s="20">
        <v>0</v>
      </c>
      <c r="AX304" s="20" t="s">
        <v>91</v>
      </c>
      <c r="AY304" s="20">
        <v>0</v>
      </c>
      <c r="AZ304" s="20">
        <v>4.05</v>
      </c>
      <c r="BA304" s="20">
        <v>0</v>
      </c>
      <c r="BB304" s="6">
        <v>41761</v>
      </c>
      <c r="BC304" s="6">
        <v>0</v>
      </c>
      <c r="BD304" s="6">
        <v>41907</v>
      </c>
      <c r="BE304" s="6">
        <v>0</v>
      </c>
      <c r="BF304" s="6">
        <v>41941</v>
      </c>
      <c r="BG304" s="6">
        <v>0</v>
      </c>
      <c r="BH304" s="6">
        <v>0</v>
      </c>
      <c r="BI304" s="6">
        <v>0</v>
      </c>
      <c r="BJ304" s="6">
        <v>0</v>
      </c>
      <c r="BK304" s="4" t="s">
        <v>401</v>
      </c>
      <c r="BL304" s="4">
        <v>0</v>
      </c>
      <c r="BM304" s="20">
        <v>200</v>
      </c>
      <c r="BN304" s="20">
        <v>0</v>
      </c>
      <c r="BO304" s="20">
        <v>0</v>
      </c>
      <c r="BP304" s="20">
        <v>0</v>
      </c>
      <c r="BQ304" s="20">
        <v>0</v>
      </c>
      <c r="BR304" s="20">
        <v>0</v>
      </c>
      <c r="BS304" s="20">
        <v>200</v>
      </c>
      <c r="BT304" s="20">
        <v>1010394.0000000002</v>
      </c>
      <c r="BU304" s="20">
        <v>7000000</v>
      </c>
      <c r="BV304" s="20">
        <v>6.2981731518955595</v>
      </c>
    </row>
    <row r="305" spans="1:74">
      <c r="A305" s="10">
        <f t="shared" si="18"/>
        <v>0</v>
      </c>
      <c r="B305" s="10">
        <f t="shared" si="19"/>
        <v>0</v>
      </c>
      <c r="C305" s="12">
        <f t="shared" si="20"/>
        <v>5</v>
      </c>
      <c r="D305" s="12">
        <f t="shared" si="21"/>
        <v>10</v>
      </c>
      <c r="E305" s="20" t="s">
        <v>114</v>
      </c>
      <c r="F305" s="20" t="s">
        <v>164</v>
      </c>
      <c r="G305" s="20" t="s">
        <v>1657</v>
      </c>
      <c r="H305" s="20" t="s">
        <v>1725</v>
      </c>
      <c r="I305" s="20">
        <v>11</v>
      </c>
      <c r="J305" s="20" t="s">
        <v>1706</v>
      </c>
      <c r="K305" s="20" t="s">
        <v>2619</v>
      </c>
      <c r="L305" s="20" t="s">
        <v>1718</v>
      </c>
      <c r="M305" s="20" t="s">
        <v>164</v>
      </c>
      <c r="N305" s="20" t="s">
        <v>170</v>
      </c>
      <c r="P305" s="20" t="s">
        <v>164</v>
      </c>
      <c r="Q305" s="20" t="s">
        <v>171</v>
      </c>
      <c r="R305" s="20" t="s">
        <v>84</v>
      </c>
      <c r="S305" s="20">
        <v>5</v>
      </c>
      <c r="T305" s="20" t="s">
        <v>244</v>
      </c>
      <c r="U305" s="20" t="s">
        <v>245</v>
      </c>
      <c r="V305" s="20" t="s">
        <v>87</v>
      </c>
      <c r="W305" s="20">
        <v>543</v>
      </c>
      <c r="X305" s="20">
        <v>543</v>
      </c>
      <c r="Y305" s="20" t="s">
        <v>1719</v>
      </c>
      <c r="Z305" s="20">
        <v>0.33333333333333331</v>
      </c>
      <c r="AA305" s="20" t="s">
        <v>1726</v>
      </c>
      <c r="AB305" s="20" t="s">
        <v>89</v>
      </c>
      <c r="AC305" s="20" t="s">
        <v>90</v>
      </c>
      <c r="AD305" s="20" t="s">
        <v>1727</v>
      </c>
      <c r="AE305" s="20" t="s">
        <v>91</v>
      </c>
      <c r="AF305" s="20">
        <v>1</v>
      </c>
      <c r="AG305" s="20">
        <v>0</v>
      </c>
      <c r="AH305" s="20">
        <v>1</v>
      </c>
      <c r="AI305" s="4" t="s">
        <v>251</v>
      </c>
      <c r="AJ305" s="20">
        <v>200</v>
      </c>
      <c r="AK305" s="4" t="s">
        <v>179</v>
      </c>
      <c r="AL305" s="4">
        <v>16</v>
      </c>
      <c r="AM305" s="4">
        <v>16</v>
      </c>
      <c r="AN305" s="4" t="s">
        <v>95</v>
      </c>
      <c r="AO305" s="4" t="s">
        <v>96</v>
      </c>
      <c r="AP305" s="4">
        <v>1</v>
      </c>
      <c r="AQ305" s="20">
        <v>35000</v>
      </c>
      <c r="AR305" s="4">
        <v>41836</v>
      </c>
      <c r="AS305" s="20">
        <v>5303.030303030303</v>
      </c>
      <c r="AT305" s="20">
        <v>5051.9700000000012</v>
      </c>
      <c r="AU305" s="20">
        <v>-251.06030303030184</v>
      </c>
      <c r="AV305" s="20">
        <v>0</v>
      </c>
      <c r="AW305" s="20">
        <v>0</v>
      </c>
      <c r="AX305" s="20" t="s">
        <v>91</v>
      </c>
      <c r="AY305" s="20">
        <v>0</v>
      </c>
      <c r="AZ305" s="20">
        <v>4.05</v>
      </c>
      <c r="BA305" s="20">
        <v>0</v>
      </c>
      <c r="BB305" s="6">
        <v>41761</v>
      </c>
      <c r="BC305" s="6">
        <v>0</v>
      </c>
      <c r="BD305" s="6">
        <v>41907</v>
      </c>
      <c r="BE305" s="6">
        <v>0</v>
      </c>
      <c r="BF305" s="6">
        <v>41941</v>
      </c>
      <c r="BG305" s="6">
        <v>0</v>
      </c>
      <c r="BH305" s="6">
        <v>0</v>
      </c>
      <c r="BI305" s="6">
        <v>0</v>
      </c>
      <c r="BJ305" s="6">
        <v>0</v>
      </c>
      <c r="BK305" s="4" t="s">
        <v>401</v>
      </c>
      <c r="BL305" s="4">
        <v>0</v>
      </c>
      <c r="BM305" s="20">
        <v>198</v>
      </c>
      <c r="BN305" s="20">
        <v>0</v>
      </c>
      <c r="BO305" s="20">
        <v>0</v>
      </c>
      <c r="BP305" s="20">
        <v>0</v>
      </c>
      <c r="BQ305" s="20">
        <v>0</v>
      </c>
      <c r="BR305" s="20">
        <v>0</v>
      </c>
      <c r="BS305" s="20">
        <v>200</v>
      </c>
      <c r="BT305" s="20">
        <v>1010394.0000000002</v>
      </c>
      <c r="BU305" s="20">
        <v>7000000</v>
      </c>
      <c r="BV305" s="20">
        <v>6.2981731518955595</v>
      </c>
    </row>
    <row r="306" spans="1:74">
      <c r="A306" s="10">
        <f t="shared" si="18"/>
        <v>0</v>
      </c>
      <c r="B306" s="10">
        <f t="shared" si="19"/>
        <v>0</v>
      </c>
      <c r="C306" s="12" t="str">
        <f t="shared" si="20"/>
        <v/>
      </c>
      <c r="D306" s="12" t="str">
        <f t="shared" si="21"/>
        <v/>
      </c>
      <c r="E306" s="20" t="s">
        <v>91</v>
      </c>
      <c r="F306" s="20" t="s">
        <v>91</v>
      </c>
      <c r="G306" s="20" t="s">
        <v>91</v>
      </c>
      <c r="H306" s="20" t="s">
        <v>91</v>
      </c>
      <c r="I306" s="20">
        <v>0</v>
      </c>
      <c r="J306" s="20" t="s">
        <v>103</v>
      </c>
      <c r="K306" s="20" t="s">
        <v>104</v>
      </c>
      <c r="L306" s="20">
        <v>0</v>
      </c>
      <c r="M306" s="20" t="s">
        <v>105</v>
      </c>
      <c r="N306" s="20" t="s">
        <v>91</v>
      </c>
      <c r="O306" s="20" t="s">
        <v>1728</v>
      </c>
      <c r="Q306" s="20" t="s">
        <v>91</v>
      </c>
      <c r="R306" s="20" t="s">
        <v>91</v>
      </c>
      <c r="S306" s="20" t="s">
        <v>91</v>
      </c>
      <c r="U306" s="20" t="s">
        <v>91</v>
      </c>
      <c r="V306" s="20" t="s">
        <v>87</v>
      </c>
      <c r="X306" s="20" t="s">
        <v>91</v>
      </c>
      <c r="Y306" s="20" t="s">
        <v>91</v>
      </c>
      <c r="Z306" s="20">
        <v>4.9999999999999991</v>
      </c>
      <c r="AB306" s="20" t="s">
        <v>91</v>
      </c>
      <c r="AD306" s="20" t="s">
        <v>91</v>
      </c>
      <c r="AE306" s="20" t="s">
        <v>91</v>
      </c>
      <c r="AF306" s="20">
        <v>11</v>
      </c>
      <c r="AG306" s="20">
        <v>0</v>
      </c>
      <c r="AH306" s="20">
        <v>1</v>
      </c>
      <c r="AM306" s="4" t="s">
        <v>91</v>
      </c>
      <c r="AP306" s="4" t="s">
        <v>91</v>
      </c>
      <c r="AQ306" s="20">
        <v>0</v>
      </c>
      <c r="AR306" s="4">
        <v>0</v>
      </c>
      <c r="AS306" s="20">
        <v>0</v>
      </c>
      <c r="AT306" s="20">
        <v>0</v>
      </c>
      <c r="AU306" s="20">
        <v>0</v>
      </c>
      <c r="AV306" s="20">
        <v>0</v>
      </c>
      <c r="AW306" s="20">
        <v>0</v>
      </c>
      <c r="AX306" s="20" t="s">
        <v>91</v>
      </c>
      <c r="AY306" s="20">
        <v>0</v>
      </c>
      <c r="AZ306" s="20">
        <v>0</v>
      </c>
      <c r="BA306" s="20">
        <v>0</v>
      </c>
      <c r="BB306" s="6">
        <v>0</v>
      </c>
      <c r="BC306" s="6">
        <v>0</v>
      </c>
      <c r="BD306" s="6">
        <v>0</v>
      </c>
      <c r="BE306" s="6">
        <v>0</v>
      </c>
      <c r="BF306" s="6">
        <v>0</v>
      </c>
      <c r="BG306" s="6">
        <v>0</v>
      </c>
      <c r="BH306" s="6">
        <v>0</v>
      </c>
      <c r="BI306" s="6">
        <v>0</v>
      </c>
      <c r="BJ306" s="6">
        <v>0</v>
      </c>
      <c r="BK306" s="4">
        <v>0</v>
      </c>
      <c r="BL306" s="4">
        <v>0</v>
      </c>
      <c r="BM306" s="20">
        <v>1950</v>
      </c>
      <c r="BN306" s="20">
        <v>0</v>
      </c>
      <c r="BO306" s="20">
        <v>0</v>
      </c>
      <c r="BP306" s="20">
        <v>0</v>
      </c>
      <c r="BQ306" s="20">
        <v>0</v>
      </c>
      <c r="BR306" s="20">
        <v>0</v>
      </c>
      <c r="BS306" s="20">
        <v>1960</v>
      </c>
      <c r="BT306" s="20">
        <v>12825766.800000001</v>
      </c>
      <c r="BU306" s="20">
        <v>79480000</v>
      </c>
      <c r="BV306" s="20">
        <v>5.6335458597723331</v>
      </c>
    </row>
    <row r="307" spans="1:74">
      <c r="A307" s="10">
        <f t="shared" si="18"/>
        <v>0</v>
      </c>
      <c r="B307" s="10">
        <f t="shared" si="19"/>
        <v>0</v>
      </c>
      <c r="C307" s="12">
        <f t="shared" si="20"/>
        <v>5</v>
      </c>
      <c r="D307" s="12">
        <f t="shared" si="21"/>
        <v>10</v>
      </c>
      <c r="E307" s="20" t="s">
        <v>114</v>
      </c>
      <c r="F307" s="20" t="s">
        <v>164</v>
      </c>
      <c r="G307" s="20" t="s">
        <v>1729</v>
      </c>
      <c r="H307" s="20" t="s">
        <v>1730</v>
      </c>
      <c r="I307" s="20">
        <v>1</v>
      </c>
      <c r="J307" s="20" t="s">
        <v>1731</v>
      </c>
      <c r="K307" s="20" t="s">
        <v>1732</v>
      </c>
      <c r="L307" s="20" t="s">
        <v>1733</v>
      </c>
      <c r="M307" s="20" t="s">
        <v>164</v>
      </c>
      <c r="N307" s="20" t="s">
        <v>170</v>
      </c>
      <c r="P307" s="20" t="s">
        <v>164</v>
      </c>
      <c r="Q307" s="20" t="s">
        <v>171</v>
      </c>
      <c r="R307" s="20" t="s">
        <v>84</v>
      </c>
      <c r="S307" s="20">
        <v>5</v>
      </c>
      <c r="T307" s="20" t="s">
        <v>395</v>
      </c>
      <c r="U307" s="20" t="s">
        <v>396</v>
      </c>
      <c r="V307" s="20" t="s">
        <v>87</v>
      </c>
      <c r="W307" s="20">
        <v>553</v>
      </c>
      <c r="X307" s="20">
        <v>553</v>
      </c>
      <c r="Y307" s="20" t="s">
        <v>1734</v>
      </c>
      <c r="Z307" s="20">
        <v>0.5</v>
      </c>
      <c r="AA307" s="20" t="s">
        <v>1735</v>
      </c>
      <c r="AB307" s="20" t="s">
        <v>101</v>
      </c>
      <c r="AC307" s="20" t="s">
        <v>102</v>
      </c>
      <c r="AD307" s="20" t="s">
        <v>1736</v>
      </c>
      <c r="AE307" s="20" t="s">
        <v>91</v>
      </c>
      <c r="AF307" s="20">
        <v>1</v>
      </c>
      <c r="AG307" s="20" t="s">
        <v>2661</v>
      </c>
      <c r="AH307" s="20">
        <v>1</v>
      </c>
      <c r="AI307" s="4" t="s">
        <v>251</v>
      </c>
      <c r="AJ307" s="20">
        <v>200</v>
      </c>
      <c r="AK307" s="4" t="s">
        <v>252</v>
      </c>
      <c r="AL307" s="4">
        <v>3</v>
      </c>
      <c r="AM307" s="4" t="s">
        <v>438</v>
      </c>
      <c r="AN307" s="4" t="s">
        <v>95</v>
      </c>
      <c r="AO307" s="4" t="s">
        <v>96</v>
      </c>
      <c r="AP307" s="4">
        <v>1</v>
      </c>
      <c r="AQ307" s="20">
        <v>35000</v>
      </c>
      <c r="AR307" s="4">
        <v>41836</v>
      </c>
      <c r="AS307" s="20">
        <v>4545.454545454545</v>
      </c>
      <c r="AT307" s="20">
        <v>4266.1080000000011</v>
      </c>
      <c r="AU307" s="20">
        <v>-279.34654545454396</v>
      </c>
      <c r="AV307" s="20">
        <v>0</v>
      </c>
      <c r="AW307" s="20">
        <v>0</v>
      </c>
      <c r="AX307" s="20" t="s">
        <v>91</v>
      </c>
      <c r="AY307" s="20">
        <v>0</v>
      </c>
      <c r="AZ307" s="20">
        <v>3.42</v>
      </c>
      <c r="BA307" s="20">
        <v>0</v>
      </c>
      <c r="BB307" s="6">
        <v>41761</v>
      </c>
      <c r="BC307" s="6">
        <v>0</v>
      </c>
      <c r="BD307" s="6">
        <v>41907</v>
      </c>
      <c r="BE307" s="6">
        <v>0</v>
      </c>
      <c r="BF307" s="6">
        <v>41913</v>
      </c>
      <c r="BG307" s="6">
        <v>0</v>
      </c>
      <c r="BH307" s="6">
        <v>0</v>
      </c>
      <c r="BI307" s="6">
        <v>0</v>
      </c>
      <c r="BJ307" s="6">
        <v>0</v>
      </c>
      <c r="BK307" s="4" t="s">
        <v>401</v>
      </c>
      <c r="BL307" s="4" t="s">
        <v>401</v>
      </c>
      <c r="BM307" s="20">
        <v>199</v>
      </c>
      <c r="BN307" s="20">
        <v>0</v>
      </c>
      <c r="BO307" s="20">
        <v>0</v>
      </c>
      <c r="BP307" s="20">
        <v>0</v>
      </c>
      <c r="BQ307" s="20">
        <v>0</v>
      </c>
      <c r="BR307" s="20">
        <v>0</v>
      </c>
      <c r="BS307" s="20">
        <v>200</v>
      </c>
      <c r="BT307" s="20">
        <v>853221.60000000021</v>
      </c>
      <c r="BU307" s="20">
        <v>7000000</v>
      </c>
      <c r="BV307" s="20">
        <v>7.4583629430342144</v>
      </c>
    </row>
    <row r="308" spans="1:74">
      <c r="A308" s="10">
        <f t="shared" si="18"/>
        <v>0</v>
      </c>
      <c r="B308" s="10">
        <f t="shared" si="19"/>
        <v>0</v>
      </c>
      <c r="C308" s="12">
        <f t="shared" si="20"/>
        <v>5</v>
      </c>
      <c r="D308" s="12">
        <f t="shared" si="21"/>
        <v>10</v>
      </c>
      <c r="E308" s="20" t="s">
        <v>114</v>
      </c>
      <c r="F308" s="20" t="s">
        <v>164</v>
      </c>
      <c r="G308" s="20" t="s">
        <v>1729</v>
      </c>
      <c r="H308" s="20" t="s">
        <v>1737</v>
      </c>
      <c r="I308" s="20">
        <v>2</v>
      </c>
      <c r="J308" s="20" t="s">
        <v>1738</v>
      </c>
      <c r="K308" s="20" t="s">
        <v>1739</v>
      </c>
      <c r="L308" s="20" t="s">
        <v>1733</v>
      </c>
      <c r="M308" s="20" t="s">
        <v>164</v>
      </c>
      <c r="N308" s="20" t="s">
        <v>170</v>
      </c>
      <c r="P308" s="20" t="s">
        <v>164</v>
      </c>
      <c r="Q308" s="20" t="s">
        <v>171</v>
      </c>
      <c r="R308" s="20" t="s">
        <v>84</v>
      </c>
      <c r="S308" s="20">
        <v>5</v>
      </c>
      <c r="T308" s="20" t="s">
        <v>395</v>
      </c>
      <c r="U308" s="20" t="s">
        <v>396</v>
      </c>
      <c r="V308" s="20" t="s">
        <v>87</v>
      </c>
      <c r="W308" s="20">
        <v>553</v>
      </c>
      <c r="X308" s="20">
        <v>553</v>
      </c>
      <c r="Y308" s="20" t="s">
        <v>1734</v>
      </c>
      <c r="Z308" s="20">
        <v>0.5</v>
      </c>
      <c r="AA308" s="20" t="s">
        <v>1740</v>
      </c>
      <c r="AB308" s="20" t="s">
        <v>159</v>
      </c>
      <c r="AC308" s="20" t="s">
        <v>160</v>
      </c>
      <c r="AD308" s="20" t="s">
        <v>1741</v>
      </c>
      <c r="AE308" s="20" t="s">
        <v>91</v>
      </c>
      <c r="AF308" s="20">
        <v>1</v>
      </c>
      <c r="AG308" s="20" t="s">
        <v>2661</v>
      </c>
      <c r="AH308" s="20">
        <v>1</v>
      </c>
      <c r="AI308" s="4" t="s">
        <v>251</v>
      </c>
      <c r="AJ308" s="20">
        <v>200</v>
      </c>
      <c r="AK308" s="4" t="s">
        <v>252</v>
      </c>
      <c r="AL308" s="4">
        <v>3</v>
      </c>
      <c r="AM308" s="4" t="s">
        <v>438</v>
      </c>
      <c r="AN308" s="4" t="s">
        <v>95</v>
      </c>
      <c r="AO308" s="4" t="s">
        <v>96</v>
      </c>
      <c r="AP308" s="4">
        <v>1</v>
      </c>
      <c r="AQ308" s="20">
        <v>35000</v>
      </c>
      <c r="AR308" s="4">
        <v>41836</v>
      </c>
      <c r="AS308" s="20">
        <v>4545.454545454545</v>
      </c>
      <c r="AT308" s="20">
        <v>4266.1080000000011</v>
      </c>
      <c r="AU308" s="20">
        <v>-279.34654545454396</v>
      </c>
      <c r="AV308" s="20">
        <v>0</v>
      </c>
      <c r="AW308" s="20">
        <v>0</v>
      </c>
      <c r="AX308" s="20" t="s">
        <v>91</v>
      </c>
      <c r="AY308" s="20">
        <v>0</v>
      </c>
      <c r="AZ308" s="20">
        <v>3.42</v>
      </c>
      <c r="BA308" s="20">
        <v>0</v>
      </c>
      <c r="BB308" s="6">
        <v>41761</v>
      </c>
      <c r="BC308" s="6">
        <v>0</v>
      </c>
      <c r="BD308" s="6">
        <v>41907</v>
      </c>
      <c r="BE308" s="6">
        <v>0</v>
      </c>
      <c r="BF308" s="6">
        <v>41913</v>
      </c>
      <c r="BG308" s="6">
        <v>0</v>
      </c>
      <c r="BH308" s="6">
        <v>0</v>
      </c>
      <c r="BI308" s="6">
        <v>0</v>
      </c>
      <c r="BJ308" s="6">
        <v>0</v>
      </c>
      <c r="BK308" s="4" t="s">
        <v>401</v>
      </c>
      <c r="BL308" s="4" t="s">
        <v>401</v>
      </c>
      <c r="BM308" s="20">
        <v>200</v>
      </c>
      <c r="BN308" s="20">
        <v>0</v>
      </c>
      <c r="BO308" s="20">
        <v>0</v>
      </c>
      <c r="BP308" s="20">
        <v>0</v>
      </c>
      <c r="BQ308" s="20">
        <v>0</v>
      </c>
      <c r="BR308" s="20">
        <v>0</v>
      </c>
      <c r="BS308" s="20">
        <v>200</v>
      </c>
      <c r="BT308" s="20">
        <v>853221.60000000021</v>
      </c>
      <c r="BU308" s="20">
        <v>7000000</v>
      </c>
      <c r="BV308" s="20">
        <v>7.4583629430342144</v>
      </c>
    </row>
    <row r="309" spans="1:74">
      <c r="A309" s="10">
        <f t="shared" si="18"/>
        <v>0</v>
      </c>
      <c r="B309" s="10">
        <f t="shared" si="19"/>
        <v>0</v>
      </c>
      <c r="C309" s="12">
        <f t="shared" si="20"/>
        <v>5</v>
      </c>
      <c r="D309" s="12">
        <f t="shared" si="21"/>
        <v>10</v>
      </c>
      <c r="E309" s="20" t="s">
        <v>114</v>
      </c>
      <c r="F309" s="20" t="s">
        <v>164</v>
      </c>
      <c r="G309" s="20" t="s">
        <v>1729</v>
      </c>
      <c r="H309" s="20" t="s">
        <v>1742</v>
      </c>
      <c r="I309" s="20">
        <v>3</v>
      </c>
      <c r="J309" s="20" t="s">
        <v>1743</v>
      </c>
      <c r="K309" s="20" t="s">
        <v>1744</v>
      </c>
      <c r="L309" s="20" t="s">
        <v>1745</v>
      </c>
      <c r="M309" s="20" t="s">
        <v>164</v>
      </c>
      <c r="N309" s="20" t="s">
        <v>170</v>
      </c>
      <c r="P309" s="20" t="s">
        <v>164</v>
      </c>
      <c r="Q309" s="20" t="s">
        <v>171</v>
      </c>
      <c r="R309" s="20" t="s">
        <v>84</v>
      </c>
      <c r="S309" s="20">
        <v>5</v>
      </c>
      <c r="T309" s="20" t="s">
        <v>395</v>
      </c>
      <c r="U309" s="20" t="s">
        <v>396</v>
      </c>
      <c r="V309" s="20" t="s">
        <v>87</v>
      </c>
      <c r="W309" s="20">
        <v>554</v>
      </c>
      <c r="X309" s="20">
        <v>554</v>
      </c>
      <c r="Y309" s="20" t="s">
        <v>1746</v>
      </c>
      <c r="Z309" s="20">
        <v>0.33333333333333331</v>
      </c>
      <c r="AA309" s="20" t="s">
        <v>1747</v>
      </c>
      <c r="AB309" s="20" t="s">
        <v>149</v>
      </c>
      <c r="AC309" s="20" t="s">
        <v>150</v>
      </c>
      <c r="AD309" s="20" t="s">
        <v>1748</v>
      </c>
      <c r="AE309" s="20" t="s">
        <v>91</v>
      </c>
      <c r="AF309" s="20">
        <v>1</v>
      </c>
      <c r="AG309" s="20" t="s">
        <v>2662</v>
      </c>
      <c r="AH309" s="20">
        <v>1</v>
      </c>
      <c r="AI309" s="4" t="s">
        <v>251</v>
      </c>
      <c r="AJ309" s="20">
        <v>80</v>
      </c>
      <c r="AK309" s="4" t="s">
        <v>252</v>
      </c>
      <c r="AL309" s="4">
        <v>3</v>
      </c>
      <c r="AM309" s="4" t="s">
        <v>438</v>
      </c>
      <c r="AN309" s="4" t="s">
        <v>95</v>
      </c>
      <c r="AO309" s="4" t="s">
        <v>96</v>
      </c>
      <c r="AP309" s="4">
        <v>1</v>
      </c>
      <c r="AQ309" s="20">
        <v>35000</v>
      </c>
      <c r="AR309" s="4">
        <v>41836</v>
      </c>
      <c r="AS309" s="20">
        <v>4545.454545454545</v>
      </c>
      <c r="AT309" s="20">
        <v>5887.7280000000001</v>
      </c>
      <c r="AU309" s="20">
        <v>1342.273454545455</v>
      </c>
      <c r="AV309" s="20">
        <v>0</v>
      </c>
      <c r="AW309" s="20">
        <v>0</v>
      </c>
      <c r="AX309" s="20" t="s">
        <v>91</v>
      </c>
      <c r="AY309" s="20">
        <v>0</v>
      </c>
      <c r="AZ309" s="20">
        <v>4.72</v>
      </c>
      <c r="BA309" s="20">
        <v>0</v>
      </c>
      <c r="BB309" s="6">
        <v>41761</v>
      </c>
      <c r="BC309" s="6">
        <v>0</v>
      </c>
      <c r="BD309" s="6">
        <v>41907</v>
      </c>
      <c r="BE309" s="6">
        <v>0</v>
      </c>
      <c r="BF309" s="6">
        <v>41913</v>
      </c>
      <c r="BG309" s="6">
        <v>0</v>
      </c>
      <c r="BH309" s="6">
        <v>0</v>
      </c>
      <c r="BI309" s="6">
        <v>0</v>
      </c>
      <c r="BJ309" s="6">
        <v>0</v>
      </c>
      <c r="BK309" s="4" t="s">
        <v>401</v>
      </c>
      <c r="BL309" s="4" t="s">
        <v>401</v>
      </c>
      <c r="BM309" s="20">
        <v>80</v>
      </c>
      <c r="BN309" s="20">
        <v>0</v>
      </c>
      <c r="BO309" s="20">
        <v>0</v>
      </c>
      <c r="BP309" s="20">
        <v>0</v>
      </c>
      <c r="BQ309" s="20">
        <v>0</v>
      </c>
      <c r="BR309" s="20">
        <v>0</v>
      </c>
      <c r="BS309" s="20">
        <v>80</v>
      </c>
      <c r="BT309" s="20">
        <v>471018.23999999999</v>
      </c>
      <c r="BU309" s="20">
        <v>2800000</v>
      </c>
      <c r="BV309" s="20">
        <v>5.4041528104188608</v>
      </c>
    </row>
    <row r="310" spans="1:74">
      <c r="A310" s="10">
        <f t="shared" si="18"/>
        <v>0</v>
      </c>
      <c r="B310" s="10">
        <f t="shared" si="19"/>
        <v>0</v>
      </c>
      <c r="C310" s="12">
        <f t="shared" si="20"/>
        <v>5</v>
      </c>
      <c r="D310" s="12">
        <f t="shared" si="21"/>
        <v>10</v>
      </c>
      <c r="E310" s="20" t="s">
        <v>114</v>
      </c>
      <c r="F310" s="20" t="s">
        <v>164</v>
      </c>
      <c r="G310" s="20" t="s">
        <v>1729</v>
      </c>
      <c r="H310" s="20" t="s">
        <v>1749</v>
      </c>
      <c r="I310" s="20">
        <v>4</v>
      </c>
      <c r="J310" s="20" t="s">
        <v>1750</v>
      </c>
      <c r="K310" s="20" t="s">
        <v>1751</v>
      </c>
      <c r="L310" s="20" t="s">
        <v>1745</v>
      </c>
      <c r="M310" s="20" t="s">
        <v>164</v>
      </c>
      <c r="N310" s="20" t="s">
        <v>170</v>
      </c>
      <c r="P310" s="20" t="s">
        <v>164</v>
      </c>
      <c r="Q310" s="20" t="s">
        <v>171</v>
      </c>
      <c r="R310" s="20" t="s">
        <v>84</v>
      </c>
      <c r="S310" s="20">
        <v>5</v>
      </c>
      <c r="T310" s="20" t="s">
        <v>395</v>
      </c>
      <c r="U310" s="20" t="s">
        <v>396</v>
      </c>
      <c r="V310" s="20" t="s">
        <v>87</v>
      </c>
      <c r="W310" s="20">
        <v>554</v>
      </c>
      <c r="X310" s="20">
        <v>554</v>
      </c>
      <c r="Y310" s="20" t="s">
        <v>1746</v>
      </c>
      <c r="Z310" s="20">
        <v>0.33333333333333331</v>
      </c>
      <c r="AA310" s="20" t="s">
        <v>1752</v>
      </c>
      <c r="AB310" s="20" t="s">
        <v>248</v>
      </c>
      <c r="AC310" s="20" t="s">
        <v>249</v>
      </c>
      <c r="AD310" s="20" t="s">
        <v>1753</v>
      </c>
      <c r="AE310" s="20" t="s">
        <v>91</v>
      </c>
      <c r="AF310" s="20">
        <v>1</v>
      </c>
      <c r="AG310" s="20" t="s">
        <v>2662</v>
      </c>
      <c r="AH310" s="20">
        <v>1</v>
      </c>
      <c r="AI310" s="4" t="s">
        <v>251</v>
      </c>
      <c r="AJ310" s="20">
        <v>80</v>
      </c>
      <c r="AK310" s="4" t="s">
        <v>252</v>
      </c>
      <c r="AL310" s="4">
        <v>3</v>
      </c>
      <c r="AM310" s="4" t="s">
        <v>438</v>
      </c>
      <c r="AN310" s="4" t="s">
        <v>95</v>
      </c>
      <c r="AO310" s="4" t="s">
        <v>96</v>
      </c>
      <c r="AP310" s="4">
        <v>1</v>
      </c>
      <c r="AQ310" s="20">
        <v>35000</v>
      </c>
      <c r="AR310" s="4">
        <v>41836</v>
      </c>
      <c r="AS310" s="20">
        <v>4545.454545454545</v>
      </c>
      <c r="AT310" s="20">
        <v>5887.7280000000001</v>
      </c>
      <c r="AU310" s="20">
        <v>1342.273454545455</v>
      </c>
      <c r="AV310" s="20">
        <v>0</v>
      </c>
      <c r="AW310" s="20">
        <v>0</v>
      </c>
      <c r="AX310" s="20" t="s">
        <v>91</v>
      </c>
      <c r="AY310" s="20">
        <v>0</v>
      </c>
      <c r="AZ310" s="20">
        <v>4.72</v>
      </c>
      <c r="BA310" s="20">
        <v>0</v>
      </c>
      <c r="BB310" s="6">
        <v>41761</v>
      </c>
      <c r="BC310" s="6">
        <v>0</v>
      </c>
      <c r="BD310" s="6">
        <v>41907</v>
      </c>
      <c r="BE310" s="6">
        <v>0</v>
      </c>
      <c r="BF310" s="6">
        <v>41913</v>
      </c>
      <c r="BG310" s="6">
        <v>0</v>
      </c>
      <c r="BH310" s="6">
        <v>0</v>
      </c>
      <c r="BI310" s="6">
        <v>0</v>
      </c>
      <c r="BJ310" s="6">
        <v>0</v>
      </c>
      <c r="BK310" s="4" t="s">
        <v>401</v>
      </c>
      <c r="BL310" s="4" t="s">
        <v>401</v>
      </c>
      <c r="BM310" s="20">
        <v>80</v>
      </c>
      <c r="BN310" s="20">
        <v>0</v>
      </c>
      <c r="BO310" s="20">
        <v>0</v>
      </c>
      <c r="BP310" s="20">
        <v>0</v>
      </c>
      <c r="BQ310" s="20">
        <v>0</v>
      </c>
      <c r="BR310" s="20">
        <v>0</v>
      </c>
      <c r="BS310" s="20">
        <v>80</v>
      </c>
      <c r="BT310" s="20">
        <v>471018.23999999999</v>
      </c>
      <c r="BU310" s="20">
        <v>2800000</v>
      </c>
      <c r="BV310" s="20">
        <v>5.4041528104188608</v>
      </c>
    </row>
    <row r="311" spans="1:74">
      <c r="A311" s="10">
        <f t="shared" si="18"/>
        <v>0</v>
      </c>
      <c r="B311" s="10">
        <f t="shared" si="19"/>
        <v>0</v>
      </c>
      <c r="C311" s="12">
        <f t="shared" si="20"/>
        <v>5</v>
      </c>
      <c r="D311" s="12">
        <f t="shared" si="21"/>
        <v>10</v>
      </c>
      <c r="E311" s="20" t="s">
        <v>114</v>
      </c>
      <c r="F311" s="20" t="s">
        <v>164</v>
      </c>
      <c r="G311" s="20" t="s">
        <v>1729</v>
      </c>
      <c r="H311" s="20" t="s">
        <v>1754</v>
      </c>
      <c r="I311" s="20">
        <v>5</v>
      </c>
      <c r="J311" s="20" t="s">
        <v>1755</v>
      </c>
      <c r="K311" s="20" t="s">
        <v>1756</v>
      </c>
      <c r="L311" s="20" t="s">
        <v>1745</v>
      </c>
      <c r="M311" s="20" t="s">
        <v>164</v>
      </c>
      <c r="N311" s="20" t="s">
        <v>170</v>
      </c>
      <c r="P311" s="20" t="s">
        <v>164</v>
      </c>
      <c r="Q311" s="20" t="s">
        <v>171</v>
      </c>
      <c r="R311" s="20" t="s">
        <v>84</v>
      </c>
      <c r="S311" s="20">
        <v>5</v>
      </c>
      <c r="T311" s="20" t="s">
        <v>395</v>
      </c>
      <c r="U311" s="20" t="s">
        <v>396</v>
      </c>
      <c r="V311" s="20" t="s">
        <v>87</v>
      </c>
      <c r="W311" s="20">
        <v>554</v>
      </c>
      <c r="X311" s="20">
        <v>554</v>
      </c>
      <c r="Y311" s="20" t="s">
        <v>1746</v>
      </c>
      <c r="Z311" s="20">
        <v>0.33333333333333331</v>
      </c>
      <c r="AA311" s="20" t="s">
        <v>1757</v>
      </c>
      <c r="AB311" s="20" t="s">
        <v>89</v>
      </c>
      <c r="AC311" s="20" t="s">
        <v>90</v>
      </c>
      <c r="AD311" s="20" t="s">
        <v>1758</v>
      </c>
      <c r="AE311" s="20" t="s">
        <v>91</v>
      </c>
      <c r="AF311" s="20">
        <v>1</v>
      </c>
      <c r="AG311" s="20" t="s">
        <v>2662</v>
      </c>
      <c r="AH311" s="20">
        <v>1</v>
      </c>
      <c r="AI311" s="4" t="s">
        <v>251</v>
      </c>
      <c r="AJ311" s="20">
        <v>80</v>
      </c>
      <c r="AK311" s="4" t="s">
        <v>252</v>
      </c>
      <c r="AL311" s="4">
        <v>3</v>
      </c>
      <c r="AM311" s="4" t="s">
        <v>438</v>
      </c>
      <c r="AN311" s="4" t="s">
        <v>95</v>
      </c>
      <c r="AO311" s="4" t="s">
        <v>96</v>
      </c>
      <c r="AP311" s="4">
        <v>1</v>
      </c>
      <c r="AQ311" s="20">
        <v>35000</v>
      </c>
      <c r="AR311" s="4">
        <v>41836</v>
      </c>
      <c r="AS311" s="20">
        <v>4545.454545454545</v>
      </c>
      <c r="AT311" s="20">
        <v>5887.7280000000001</v>
      </c>
      <c r="AU311" s="20">
        <v>1342.273454545455</v>
      </c>
      <c r="AV311" s="20">
        <v>0</v>
      </c>
      <c r="AW311" s="20">
        <v>0</v>
      </c>
      <c r="AX311" s="20" t="s">
        <v>91</v>
      </c>
      <c r="AY311" s="20">
        <v>0</v>
      </c>
      <c r="AZ311" s="20">
        <v>4.72</v>
      </c>
      <c r="BA311" s="20">
        <v>0</v>
      </c>
      <c r="BB311" s="6">
        <v>41761</v>
      </c>
      <c r="BC311" s="6">
        <v>0</v>
      </c>
      <c r="BD311" s="6">
        <v>41907</v>
      </c>
      <c r="BE311" s="6">
        <v>0</v>
      </c>
      <c r="BF311" s="6">
        <v>41913</v>
      </c>
      <c r="BG311" s="6">
        <v>0</v>
      </c>
      <c r="BH311" s="6">
        <v>0</v>
      </c>
      <c r="BI311" s="6">
        <v>0</v>
      </c>
      <c r="BJ311" s="6">
        <v>0</v>
      </c>
      <c r="BK311" s="4" t="s">
        <v>401</v>
      </c>
      <c r="BL311" s="4" t="s">
        <v>401</v>
      </c>
      <c r="BM311" s="20">
        <v>80</v>
      </c>
      <c r="BN311" s="20">
        <v>0</v>
      </c>
      <c r="BO311" s="20">
        <v>0</v>
      </c>
      <c r="BP311" s="20">
        <v>0</v>
      </c>
      <c r="BQ311" s="20">
        <v>0</v>
      </c>
      <c r="BR311" s="20">
        <v>0</v>
      </c>
      <c r="BS311" s="20">
        <v>80</v>
      </c>
      <c r="BT311" s="20">
        <v>471018.23999999999</v>
      </c>
      <c r="BU311" s="20">
        <v>2800000</v>
      </c>
      <c r="BV311" s="20">
        <v>5.4041528104188608</v>
      </c>
    </row>
    <row r="312" spans="1:74">
      <c r="A312" s="10">
        <f t="shared" si="18"/>
        <v>0</v>
      </c>
      <c r="B312" s="10">
        <f t="shared" si="19"/>
        <v>0</v>
      </c>
      <c r="C312" s="12" t="str">
        <f t="shared" si="20"/>
        <v/>
      </c>
      <c r="D312" s="12" t="str">
        <f t="shared" si="21"/>
        <v/>
      </c>
      <c r="E312" s="20" t="s">
        <v>91</v>
      </c>
      <c r="F312" s="20" t="s">
        <v>91</v>
      </c>
      <c r="G312" s="20" t="s">
        <v>91</v>
      </c>
      <c r="H312" s="20" t="s">
        <v>91</v>
      </c>
      <c r="I312" s="20">
        <v>0</v>
      </c>
      <c r="J312" s="20" t="s">
        <v>103</v>
      </c>
      <c r="K312" s="20" t="s">
        <v>104</v>
      </c>
      <c r="L312" s="20">
        <v>0</v>
      </c>
      <c r="M312" s="20" t="s">
        <v>105</v>
      </c>
      <c r="N312" s="20" t="s">
        <v>91</v>
      </c>
      <c r="O312" s="20" t="s">
        <v>1759</v>
      </c>
      <c r="Q312" s="20" t="s">
        <v>91</v>
      </c>
      <c r="R312" s="20" t="s">
        <v>91</v>
      </c>
      <c r="S312" s="20" t="s">
        <v>91</v>
      </c>
      <c r="U312" s="20" t="s">
        <v>91</v>
      </c>
      <c r="V312" s="20" t="s">
        <v>87</v>
      </c>
      <c r="X312" s="20" t="s">
        <v>91</v>
      </c>
      <c r="Y312" s="20" t="s">
        <v>91</v>
      </c>
      <c r="Z312" s="20">
        <v>1.9999999999999998</v>
      </c>
      <c r="AB312" s="20" t="s">
        <v>91</v>
      </c>
      <c r="AD312" s="20" t="s">
        <v>91</v>
      </c>
      <c r="AE312" s="20" t="s">
        <v>91</v>
      </c>
      <c r="AF312" s="20">
        <v>5</v>
      </c>
      <c r="AG312" s="20">
        <v>0</v>
      </c>
      <c r="AH312" s="20">
        <v>1</v>
      </c>
      <c r="AM312" s="4" t="s">
        <v>91</v>
      </c>
      <c r="AP312" s="4" t="s">
        <v>91</v>
      </c>
      <c r="AQ312" s="20">
        <v>0</v>
      </c>
      <c r="AR312" s="4">
        <v>0</v>
      </c>
      <c r="AS312" s="20">
        <v>0</v>
      </c>
      <c r="AT312" s="20">
        <v>0</v>
      </c>
      <c r="AU312" s="20">
        <v>0</v>
      </c>
      <c r="AV312" s="20">
        <v>0</v>
      </c>
      <c r="AW312" s="20">
        <v>0</v>
      </c>
      <c r="AX312" s="20" t="s">
        <v>91</v>
      </c>
      <c r="AY312" s="20">
        <v>0</v>
      </c>
      <c r="AZ312" s="20">
        <v>0</v>
      </c>
      <c r="BA312" s="20">
        <v>0</v>
      </c>
      <c r="BB312" s="6">
        <v>0</v>
      </c>
      <c r="BC312" s="6">
        <v>0</v>
      </c>
      <c r="BD312" s="6">
        <v>0</v>
      </c>
      <c r="BE312" s="6">
        <v>0</v>
      </c>
      <c r="BF312" s="6">
        <v>0</v>
      </c>
      <c r="BG312" s="6">
        <v>0</v>
      </c>
      <c r="BH312" s="6">
        <v>0</v>
      </c>
      <c r="BI312" s="6">
        <v>0</v>
      </c>
      <c r="BJ312" s="6">
        <v>0</v>
      </c>
      <c r="BK312" s="4">
        <v>0</v>
      </c>
      <c r="BL312" s="4">
        <v>0</v>
      </c>
      <c r="BM312" s="20">
        <v>639</v>
      </c>
      <c r="BN312" s="20">
        <v>0</v>
      </c>
      <c r="BO312" s="20">
        <v>0</v>
      </c>
      <c r="BP312" s="20">
        <v>0</v>
      </c>
      <c r="BQ312" s="20">
        <v>0</v>
      </c>
      <c r="BR312" s="20">
        <v>0</v>
      </c>
      <c r="BS312" s="20">
        <v>640</v>
      </c>
      <c r="BT312" s="20">
        <v>3119497.9200000009</v>
      </c>
      <c r="BU312" s="20">
        <v>22400000</v>
      </c>
      <c r="BV312" s="20">
        <v>6.5278570096422301</v>
      </c>
    </row>
    <row r="313" spans="1:74">
      <c r="A313" s="10">
        <f t="shared" si="18"/>
        <v>0</v>
      </c>
      <c r="B313" s="10">
        <f t="shared" si="19"/>
        <v>0</v>
      </c>
      <c r="C313" s="12">
        <f t="shared" si="20"/>
        <v>5</v>
      </c>
      <c r="D313" s="12">
        <f t="shared" si="21"/>
        <v>11</v>
      </c>
      <c r="E313" s="20" t="s">
        <v>114</v>
      </c>
      <c r="F313" s="20" t="s">
        <v>164</v>
      </c>
      <c r="G313" s="20" t="s">
        <v>2620</v>
      </c>
      <c r="H313" s="20" t="s">
        <v>2621</v>
      </c>
      <c r="I313" s="20">
        <v>1</v>
      </c>
      <c r="J313" s="20" t="s">
        <v>2622</v>
      </c>
      <c r="K313" s="20" t="s">
        <v>2623</v>
      </c>
      <c r="L313" s="20" t="s">
        <v>1659</v>
      </c>
      <c r="M313" s="20" t="s">
        <v>164</v>
      </c>
      <c r="N313" s="20" t="s">
        <v>170</v>
      </c>
      <c r="P313" s="20" t="s">
        <v>164</v>
      </c>
      <c r="Q313" s="20" t="s">
        <v>171</v>
      </c>
      <c r="R313" s="20" t="s">
        <v>84</v>
      </c>
      <c r="S313" s="20">
        <v>5</v>
      </c>
      <c r="T313" s="20" t="s">
        <v>395</v>
      </c>
      <c r="U313" s="20" t="s">
        <v>396</v>
      </c>
      <c r="V313" s="20" t="s">
        <v>87</v>
      </c>
      <c r="W313" s="20">
        <v>551</v>
      </c>
      <c r="X313" s="20">
        <v>551</v>
      </c>
      <c r="Y313" s="20" t="s">
        <v>1660</v>
      </c>
      <c r="Z313" s="20">
        <v>0.25</v>
      </c>
      <c r="AA313" s="20" t="s">
        <v>1661</v>
      </c>
      <c r="AB313" s="20" t="s">
        <v>532</v>
      </c>
      <c r="AC313" s="20" t="s">
        <v>533</v>
      </c>
      <c r="AD313" s="20" t="s">
        <v>1662</v>
      </c>
      <c r="AE313" s="20" t="s">
        <v>91</v>
      </c>
      <c r="AF313" s="20">
        <v>0.5</v>
      </c>
      <c r="AG313" s="20" t="s">
        <v>3867</v>
      </c>
      <c r="AH313" s="20">
        <v>1</v>
      </c>
      <c r="AI313" s="4" t="s">
        <v>251</v>
      </c>
      <c r="AJ313" s="20">
        <v>80</v>
      </c>
      <c r="AK313" s="4" t="s">
        <v>179</v>
      </c>
      <c r="AL313" s="4">
        <v>21</v>
      </c>
      <c r="AM313" s="4">
        <v>21</v>
      </c>
      <c r="AN313" s="4" t="s">
        <v>95</v>
      </c>
      <c r="AO313" s="4" t="s">
        <v>96</v>
      </c>
      <c r="AP313" s="4">
        <v>1</v>
      </c>
      <c r="AQ313" s="20">
        <v>45000</v>
      </c>
      <c r="AR313" s="4">
        <v>41836</v>
      </c>
      <c r="AS313" s="20">
        <v>6818.1818181818171</v>
      </c>
      <c r="AT313" s="20">
        <v>7920.99</v>
      </c>
      <c r="AU313" s="20">
        <v>1102.8081818181827</v>
      </c>
      <c r="AV313" s="20">
        <v>0</v>
      </c>
      <c r="AW313" s="20">
        <v>0</v>
      </c>
      <c r="AX313" s="20" t="s">
        <v>91</v>
      </c>
      <c r="AY313" s="20">
        <v>0</v>
      </c>
      <c r="AZ313" s="20">
        <v>6.35</v>
      </c>
      <c r="BA313" s="20">
        <v>0</v>
      </c>
      <c r="BB313" s="6">
        <v>41761</v>
      </c>
      <c r="BC313" s="6">
        <v>0</v>
      </c>
      <c r="BD313" s="6">
        <v>41907</v>
      </c>
      <c r="BE313" s="6">
        <v>0</v>
      </c>
      <c r="BF313" s="6">
        <v>41956</v>
      </c>
      <c r="BG313" s="6">
        <v>0</v>
      </c>
      <c r="BH313" s="6">
        <v>0</v>
      </c>
      <c r="BI313" s="6">
        <v>0</v>
      </c>
      <c r="BJ313" s="6">
        <v>0</v>
      </c>
      <c r="BK313" s="4" t="s">
        <v>401</v>
      </c>
      <c r="BL313" s="4">
        <v>0</v>
      </c>
      <c r="BM313" s="20">
        <v>80</v>
      </c>
      <c r="BN313" s="20">
        <v>0</v>
      </c>
      <c r="BO313" s="20">
        <v>0</v>
      </c>
      <c r="BP313" s="20">
        <v>0</v>
      </c>
      <c r="BQ313" s="20">
        <v>0</v>
      </c>
      <c r="BR313" s="20">
        <v>0</v>
      </c>
      <c r="BS313" s="20">
        <v>80</v>
      </c>
      <c r="BT313" s="20">
        <v>633679.19999999995</v>
      </c>
      <c r="BU313" s="20">
        <v>3600000</v>
      </c>
      <c r="BV313" s="20">
        <v>5.1646436757388798</v>
      </c>
    </row>
    <row r="314" spans="1:74">
      <c r="A314" s="10">
        <f t="shared" si="18"/>
        <v>0</v>
      </c>
      <c r="B314" s="10">
        <f t="shared" si="19"/>
        <v>0</v>
      </c>
      <c r="C314" s="12">
        <f t="shared" si="20"/>
        <v>5</v>
      </c>
      <c r="D314" s="12">
        <f t="shared" si="21"/>
        <v>11</v>
      </c>
      <c r="E314" s="20" t="s">
        <v>114</v>
      </c>
      <c r="F314" s="20" t="s">
        <v>164</v>
      </c>
      <c r="G314" s="20" t="s">
        <v>2620</v>
      </c>
      <c r="H314" s="20" t="s">
        <v>2621</v>
      </c>
      <c r="I314" s="20">
        <v>1</v>
      </c>
      <c r="J314" s="20" t="s">
        <v>2622</v>
      </c>
      <c r="K314" s="20" t="s">
        <v>2624</v>
      </c>
      <c r="L314" s="20" t="s">
        <v>1659</v>
      </c>
      <c r="M314" s="20" t="s">
        <v>164</v>
      </c>
      <c r="N314" s="20" t="s">
        <v>170</v>
      </c>
      <c r="P314" s="20" t="s">
        <v>164</v>
      </c>
      <c r="Q314" s="20" t="s">
        <v>171</v>
      </c>
      <c r="R314" s="20" t="s">
        <v>84</v>
      </c>
      <c r="S314" s="20">
        <v>5</v>
      </c>
      <c r="T314" s="20" t="s">
        <v>395</v>
      </c>
      <c r="U314" s="20" t="s">
        <v>396</v>
      </c>
      <c r="V314" s="20" t="s">
        <v>87</v>
      </c>
      <c r="W314" s="20">
        <v>551</v>
      </c>
      <c r="X314" s="20">
        <v>551</v>
      </c>
      <c r="Y314" s="20" t="s">
        <v>1660</v>
      </c>
      <c r="Z314" s="20">
        <v>0.25</v>
      </c>
      <c r="AA314" s="20" t="s">
        <v>1661</v>
      </c>
      <c r="AB314" s="20" t="s">
        <v>532</v>
      </c>
      <c r="AC314" s="20" t="s">
        <v>533</v>
      </c>
      <c r="AD314" s="20" t="s">
        <v>1662</v>
      </c>
      <c r="AE314" s="20" t="s">
        <v>91</v>
      </c>
      <c r="AF314" s="20">
        <v>0.5</v>
      </c>
      <c r="AG314" s="20" t="s">
        <v>3867</v>
      </c>
      <c r="AH314" s="20">
        <v>1</v>
      </c>
      <c r="AI314" s="4" t="s">
        <v>92</v>
      </c>
      <c r="AJ314" s="20">
        <v>200</v>
      </c>
      <c r="AK314" s="4" t="s">
        <v>179</v>
      </c>
      <c r="AL314" s="4">
        <v>21</v>
      </c>
      <c r="AM314" s="4">
        <v>21</v>
      </c>
      <c r="AN314" s="4" t="s">
        <v>95</v>
      </c>
      <c r="AO314" s="4" t="s">
        <v>96</v>
      </c>
      <c r="AP314" s="4">
        <v>1</v>
      </c>
      <c r="AQ314" s="20">
        <v>45000</v>
      </c>
      <c r="AR314" s="4">
        <v>41836</v>
      </c>
      <c r="AS314" s="20">
        <v>6818.1818181818171</v>
      </c>
      <c r="AT314" s="20">
        <v>7920.99</v>
      </c>
      <c r="AU314" s="20">
        <v>1102.8081818181827</v>
      </c>
      <c r="AV314" s="20">
        <v>0</v>
      </c>
      <c r="AW314" s="20">
        <v>0</v>
      </c>
      <c r="AX314" s="20" t="s">
        <v>91</v>
      </c>
      <c r="AY314" s="20">
        <v>0</v>
      </c>
      <c r="AZ314" s="20">
        <v>6.35</v>
      </c>
      <c r="BA314" s="20">
        <v>0</v>
      </c>
      <c r="BB314" s="6">
        <v>41761</v>
      </c>
      <c r="BC314" s="6">
        <v>0</v>
      </c>
      <c r="BD314" s="6">
        <v>41907</v>
      </c>
      <c r="BE314" s="6">
        <v>0</v>
      </c>
      <c r="BF314" s="6">
        <v>41956</v>
      </c>
      <c r="BG314" s="6">
        <v>0</v>
      </c>
      <c r="BH314" s="6">
        <v>0</v>
      </c>
      <c r="BI314" s="6">
        <v>0</v>
      </c>
      <c r="BJ314" s="6">
        <v>0</v>
      </c>
      <c r="BK314" s="4" t="s">
        <v>401</v>
      </c>
      <c r="BL314" s="4">
        <v>0</v>
      </c>
      <c r="BM314" s="20">
        <v>200</v>
      </c>
      <c r="BN314" s="20">
        <v>0</v>
      </c>
      <c r="BO314" s="20">
        <v>0</v>
      </c>
      <c r="BP314" s="20">
        <v>0</v>
      </c>
      <c r="BQ314" s="20">
        <v>0</v>
      </c>
      <c r="BR314" s="20">
        <v>0</v>
      </c>
      <c r="BS314" s="20">
        <v>200</v>
      </c>
      <c r="BT314" s="20">
        <v>1584198</v>
      </c>
      <c r="BU314" s="20">
        <v>9000000</v>
      </c>
      <c r="BV314" s="20">
        <v>5.1646436757388798</v>
      </c>
    </row>
    <row r="315" spans="1:74">
      <c r="A315" s="10">
        <f t="shared" si="18"/>
        <v>0</v>
      </c>
      <c r="B315" s="10">
        <f t="shared" si="19"/>
        <v>0</v>
      </c>
      <c r="C315" s="12">
        <f t="shared" si="20"/>
        <v>5</v>
      </c>
      <c r="D315" s="12">
        <f t="shared" si="21"/>
        <v>11</v>
      </c>
      <c r="E315" s="20" t="s">
        <v>114</v>
      </c>
      <c r="F315" s="20" t="s">
        <v>164</v>
      </c>
      <c r="G315" s="20" t="s">
        <v>2620</v>
      </c>
      <c r="H315" s="20" t="s">
        <v>2625</v>
      </c>
      <c r="I315" s="20">
        <v>2</v>
      </c>
      <c r="J315" s="20" t="s">
        <v>2626</v>
      </c>
      <c r="K315" s="20" t="s">
        <v>2627</v>
      </c>
      <c r="L315" s="20" t="s">
        <v>1659</v>
      </c>
      <c r="M315" s="20" t="s">
        <v>164</v>
      </c>
      <c r="N315" s="20" t="s">
        <v>170</v>
      </c>
      <c r="P315" s="20" t="s">
        <v>164</v>
      </c>
      <c r="Q315" s="20" t="s">
        <v>171</v>
      </c>
      <c r="R315" s="20" t="s">
        <v>84</v>
      </c>
      <c r="S315" s="20">
        <v>5</v>
      </c>
      <c r="T315" s="20" t="s">
        <v>395</v>
      </c>
      <c r="U315" s="20" t="s">
        <v>396</v>
      </c>
      <c r="V315" s="20" t="s">
        <v>87</v>
      </c>
      <c r="W315" s="20">
        <v>551</v>
      </c>
      <c r="X315" s="20">
        <v>551</v>
      </c>
      <c r="Y315" s="20" t="s">
        <v>1660</v>
      </c>
      <c r="Z315" s="20">
        <v>0.25</v>
      </c>
      <c r="AA315" s="20" t="s">
        <v>1664</v>
      </c>
      <c r="AB315" s="20" t="s">
        <v>279</v>
      </c>
      <c r="AC315" s="20" t="s">
        <v>280</v>
      </c>
      <c r="AD315" s="20" t="s">
        <v>1665</v>
      </c>
      <c r="AE315" s="20" t="s">
        <v>91</v>
      </c>
      <c r="AF315" s="20">
        <v>0.5</v>
      </c>
      <c r="AG315" s="20" t="s">
        <v>3867</v>
      </c>
      <c r="AH315" s="20">
        <v>1</v>
      </c>
      <c r="AI315" s="4" t="s">
        <v>251</v>
      </c>
      <c r="AJ315" s="20">
        <v>80</v>
      </c>
      <c r="AK315" s="4" t="s">
        <v>179</v>
      </c>
      <c r="AL315" s="4">
        <v>21</v>
      </c>
      <c r="AM315" s="4">
        <v>21</v>
      </c>
      <c r="AN315" s="4" t="s">
        <v>95</v>
      </c>
      <c r="AO315" s="4" t="s">
        <v>96</v>
      </c>
      <c r="AP315" s="4">
        <v>1</v>
      </c>
      <c r="AQ315" s="20">
        <v>45000</v>
      </c>
      <c r="AR315" s="4">
        <v>41836</v>
      </c>
      <c r="AS315" s="20">
        <v>6818.1818181818171</v>
      </c>
      <c r="AT315" s="20">
        <v>7920.99</v>
      </c>
      <c r="AU315" s="20">
        <v>1102.8081818181827</v>
      </c>
      <c r="AV315" s="20">
        <v>0</v>
      </c>
      <c r="AW315" s="20">
        <v>0</v>
      </c>
      <c r="AX315" s="20" t="s">
        <v>91</v>
      </c>
      <c r="AY315" s="20">
        <v>0</v>
      </c>
      <c r="AZ315" s="20">
        <v>6.35</v>
      </c>
      <c r="BA315" s="20">
        <v>0</v>
      </c>
      <c r="BB315" s="6">
        <v>41761</v>
      </c>
      <c r="BC315" s="6">
        <v>0</v>
      </c>
      <c r="BD315" s="6">
        <v>41907</v>
      </c>
      <c r="BE315" s="6">
        <v>0</v>
      </c>
      <c r="BF315" s="6">
        <v>41956</v>
      </c>
      <c r="BG315" s="6">
        <v>0</v>
      </c>
      <c r="BH315" s="6">
        <v>0</v>
      </c>
      <c r="BI315" s="6">
        <v>0</v>
      </c>
      <c r="BJ315" s="6">
        <v>0</v>
      </c>
      <c r="BK315" s="4" t="s">
        <v>401</v>
      </c>
      <c r="BL315" s="4">
        <v>0</v>
      </c>
      <c r="BM315" s="20">
        <v>80</v>
      </c>
      <c r="BN315" s="20">
        <v>0</v>
      </c>
      <c r="BO315" s="20">
        <v>0</v>
      </c>
      <c r="BP315" s="20">
        <v>0</v>
      </c>
      <c r="BQ315" s="20">
        <v>0</v>
      </c>
      <c r="BR315" s="20">
        <v>0</v>
      </c>
      <c r="BS315" s="20">
        <v>80</v>
      </c>
      <c r="BT315" s="20">
        <v>633679.19999999995</v>
      </c>
      <c r="BU315" s="20">
        <v>3600000</v>
      </c>
      <c r="BV315" s="20">
        <v>5.1646436757388798</v>
      </c>
    </row>
    <row r="316" spans="1:74">
      <c r="A316" s="10">
        <f t="shared" si="18"/>
        <v>0</v>
      </c>
      <c r="B316" s="10">
        <f t="shared" si="19"/>
        <v>0</v>
      </c>
      <c r="C316" s="12">
        <f t="shared" si="20"/>
        <v>5</v>
      </c>
      <c r="D316" s="12">
        <f t="shared" si="21"/>
        <v>11</v>
      </c>
      <c r="E316" s="20" t="s">
        <v>114</v>
      </c>
      <c r="F316" s="20" t="s">
        <v>164</v>
      </c>
      <c r="G316" s="20" t="s">
        <v>2620</v>
      </c>
      <c r="H316" s="20" t="s">
        <v>2625</v>
      </c>
      <c r="I316" s="20">
        <v>2</v>
      </c>
      <c r="J316" s="20" t="s">
        <v>2626</v>
      </c>
      <c r="K316" s="20" t="s">
        <v>2628</v>
      </c>
      <c r="L316" s="20" t="s">
        <v>1659</v>
      </c>
      <c r="M316" s="20" t="s">
        <v>164</v>
      </c>
      <c r="N316" s="20" t="s">
        <v>170</v>
      </c>
      <c r="P316" s="20" t="s">
        <v>164</v>
      </c>
      <c r="Q316" s="20" t="s">
        <v>171</v>
      </c>
      <c r="R316" s="20" t="s">
        <v>84</v>
      </c>
      <c r="S316" s="20">
        <v>5</v>
      </c>
      <c r="T316" s="20" t="s">
        <v>395</v>
      </c>
      <c r="U316" s="20" t="s">
        <v>396</v>
      </c>
      <c r="V316" s="20" t="s">
        <v>87</v>
      </c>
      <c r="W316" s="20">
        <v>551</v>
      </c>
      <c r="X316" s="20">
        <v>551</v>
      </c>
      <c r="Y316" s="20" t="s">
        <v>1660</v>
      </c>
      <c r="Z316" s="20">
        <v>0.25</v>
      </c>
      <c r="AA316" s="20" t="s">
        <v>1664</v>
      </c>
      <c r="AB316" s="20" t="s">
        <v>279</v>
      </c>
      <c r="AC316" s="20" t="s">
        <v>280</v>
      </c>
      <c r="AD316" s="20" t="s">
        <v>1665</v>
      </c>
      <c r="AE316" s="20" t="s">
        <v>91</v>
      </c>
      <c r="AF316" s="20">
        <v>0.5</v>
      </c>
      <c r="AG316" s="20" t="s">
        <v>3867</v>
      </c>
      <c r="AH316" s="20">
        <v>1</v>
      </c>
      <c r="AI316" s="4" t="s">
        <v>92</v>
      </c>
      <c r="AJ316" s="20">
        <v>200</v>
      </c>
      <c r="AK316" s="4" t="s">
        <v>179</v>
      </c>
      <c r="AL316" s="4">
        <v>21</v>
      </c>
      <c r="AM316" s="4">
        <v>21</v>
      </c>
      <c r="AN316" s="4" t="s">
        <v>95</v>
      </c>
      <c r="AO316" s="4" t="s">
        <v>96</v>
      </c>
      <c r="AP316" s="4">
        <v>1</v>
      </c>
      <c r="AQ316" s="20">
        <v>45000</v>
      </c>
      <c r="AR316" s="4">
        <v>41836</v>
      </c>
      <c r="AS316" s="20">
        <v>6818.1818181818171</v>
      </c>
      <c r="AT316" s="20">
        <v>7920.99</v>
      </c>
      <c r="AU316" s="20">
        <v>1102.8081818181827</v>
      </c>
      <c r="AV316" s="20">
        <v>0</v>
      </c>
      <c r="AW316" s="20">
        <v>0</v>
      </c>
      <c r="AX316" s="20" t="s">
        <v>91</v>
      </c>
      <c r="AY316" s="20">
        <v>0</v>
      </c>
      <c r="AZ316" s="20">
        <v>6.35</v>
      </c>
      <c r="BA316" s="20">
        <v>0</v>
      </c>
      <c r="BB316" s="6">
        <v>41761</v>
      </c>
      <c r="BC316" s="6">
        <v>0</v>
      </c>
      <c r="BD316" s="6">
        <v>41907</v>
      </c>
      <c r="BE316" s="6">
        <v>0</v>
      </c>
      <c r="BF316" s="6">
        <v>41956</v>
      </c>
      <c r="BG316" s="6">
        <v>0</v>
      </c>
      <c r="BH316" s="6">
        <v>0</v>
      </c>
      <c r="BI316" s="6">
        <v>0</v>
      </c>
      <c r="BJ316" s="6">
        <v>0</v>
      </c>
      <c r="BK316" s="4" t="s">
        <v>401</v>
      </c>
      <c r="BL316" s="4">
        <v>0</v>
      </c>
      <c r="BM316" s="20">
        <v>200</v>
      </c>
      <c r="BN316" s="20">
        <v>0</v>
      </c>
      <c r="BO316" s="20">
        <v>0</v>
      </c>
      <c r="BP316" s="20">
        <v>0</v>
      </c>
      <c r="BQ316" s="20">
        <v>0</v>
      </c>
      <c r="BR316" s="20">
        <v>0</v>
      </c>
      <c r="BS316" s="20">
        <v>200</v>
      </c>
      <c r="BT316" s="20">
        <v>1584198</v>
      </c>
      <c r="BU316" s="20">
        <v>9000000</v>
      </c>
      <c r="BV316" s="20">
        <v>5.1646436757388798</v>
      </c>
    </row>
    <row r="317" spans="1:74">
      <c r="A317" s="10">
        <f t="shared" si="18"/>
        <v>0</v>
      </c>
      <c r="B317" s="10">
        <f t="shared" si="19"/>
        <v>0</v>
      </c>
      <c r="C317" s="12">
        <f t="shared" si="20"/>
        <v>5</v>
      </c>
      <c r="D317" s="12">
        <f t="shared" si="21"/>
        <v>11</v>
      </c>
      <c r="E317" s="20" t="s">
        <v>114</v>
      </c>
      <c r="F317" s="20" t="s">
        <v>164</v>
      </c>
      <c r="G317" s="20" t="s">
        <v>2620</v>
      </c>
      <c r="H317" s="20" t="s">
        <v>2630</v>
      </c>
      <c r="I317" s="20">
        <v>3</v>
      </c>
      <c r="J317" s="20" t="s">
        <v>2629</v>
      </c>
      <c r="K317" s="20" t="s">
        <v>2642</v>
      </c>
      <c r="L317" s="20" t="s">
        <v>1695</v>
      </c>
      <c r="M317" s="20" t="s">
        <v>164</v>
      </c>
      <c r="N317" s="20" t="s">
        <v>170</v>
      </c>
      <c r="P317" s="20" t="s">
        <v>164</v>
      </c>
      <c r="Q317" s="20" t="s">
        <v>171</v>
      </c>
      <c r="R317" s="20" t="s">
        <v>84</v>
      </c>
      <c r="S317" s="20">
        <v>5</v>
      </c>
      <c r="T317" s="20" t="s">
        <v>395</v>
      </c>
      <c r="U317" s="20" t="s">
        <v>396</v>
      </c>
      <c r="V317" s="20" t="s">
        <v>87</v>
      </c>
      <c r="W317" s="20">
        <v>550</v>
      </c>
      <c r="X317" s="20">
        <v>550</v>
      </c>
      <c r="Y317" s="20" t="s">
        <v>1696</v>
      </c>
      <c r="Z317" s="20">
        <v>0.5</v>
      </c>
      <c r="AA317" s="20" t="s">
        <v>1697</v>
      </c>
      <c r="AB317" s="20" t="s">
        <v>159</v>
      </c>
      <c r="AC317" s="20" t="s">
        <v>160</v>
      </c>
      <c r="AD317" s="20" t="s">
        <v>1698</v>
      </c>
      <c r="AE317" s="20" t="s">
        <v>91</v>
      </c>
      <c r="AF317" s="20">
        <v>0.5</v>
      </c>
      <c r="AG317" s="20" t="s">
        <v>3868</v>
      </c>
      <c r="AH317" s="20">
        <v>1</v>
      </c>
      <c r="AI317" s="4" t="s">
        <v>251</v>
      </c>
      <c r="AJ317" s="20">
        <v>200</v>
      </c>
      <c r="AK317" s="4" t="s">
        <v>179</v>
      </c>
      <c r="AL317" s="4">
        <v>21</v>
      </c>
      <c r="AM317" s="4">
        <v>21</v>
      </c>
      <c r="AN317" s="4" t="s">
        <v>95</v>
      </c>
      <c r="AO317" s="4" t="s">
        <v>96</v>
      </c>
      <c r="AP317" s="4">
        <v>1</v>
      </c>
      <c r="AQ317" s="20">
        <v>45000</v>
      </c>
      <c r="AR317" s="4">
        <v>41836</v>
      </c>
      <c r="AS317" s="20">
        <v>6818.1818181818171</v>
      </c>
      <c r="AT317" s="20">
        <v>9667.35</v>
      </c>
      <c r="AU317" s="20">
        <v>2849.1681818181833</v>
      </c>
      <c r="AV317" s="20">
        <v>0</v>
      </c>
      <c r="AW317" s="20">
        <v>0</v>
      </c>
      <c r="AX317" s="20" t="s">
        <v>91</v>
      </c>
      <c r="AY317" s="20">
        <v>0</v>
      </c>
      <c r="AZ317" s="20">
        <v>7.75</v>
      </c>
      <c r="BA317" s="20">
        <v>0</v>
      </c>
      <c r="BB317" s="6">
        <v>41761</v>
      </c>
      <c r="BC317" s="6">
        <v>0</v>
      </c>
      <c r="BD317" s="6">
        <v>41907</v>
      </c>
      <c r="BE317" s="6">
        <v>0</v>
      </c>
      <c r="BF317" s="6">
        <v>41947</v>
      </c>
      <c r="BG317" s="6">
        <v>0</v>
      </c>
      <c r="BH317" s="6">
        <v>0</v>
      </c>
      <c r="BI317" s="6">
        <v>0</v>
      </c>
      <c r="BJ317" s="6">
        <v>0</v>
      </c>
      <c r="BK317" s="4" t="s">
        <v>401</v>
      </c>
      <c r="BL317" s="4">
        <v>0</v>
      </c>
      <c r="BM317" s="20">
        <v>225</v>
      </c>
      <c r="BN317" s="20">
        <v>0</v>
      </c>
      <c r="BO317" s="20">
        <v>0</v>
      </c>
      <c r="BP317" s="20">
        <v>0</v>
      </c>
      <c r="BQ317" s="20">
        <v>0</v>
      </c>
      <c r="BR317" s="20">
        <v>0</v>
      </c>
      <c r="BS317" s="20">
        <v>200</v>
      </c>
      <c r="BT317" s="20">
        <v>1933470</v>
      </c>
      <c r="BU317" s="20">
        <v>9000000</v>
      </c>
      <c r="BV317" s="20">
        <v>4.231675785927985</v>
      </c>
    </row>
    <row r="318" spans="1:74">
      <c r="A318" s="10">
        <f t="shared" si="18"/>
        <v>0</v>
      </c>
      <c r="B318" s="10">
        <f t="shared" si="19"/>
        <v>0</v>
      </c>
      <c r="C318" s="12">
        <f t="shared" si="20"/>
        <v>5</v>
      </c>
      <c r="D318" s="12">
        <f t="shared" si="21"/>
        <v>11</v>
      </c>
      <c r="E318" s="20" t="s">
        <v>114</v>
      </c>
      <c r="F318" s="20" t="s">
        <v>164</v>
      </c>
      <c r="G318" s="20" t="s">
        <v>2620</v>
      </c>
      <c r="H318" s="20" t="s">
        <v>2630</v>
      </c>
      <c r="I318" s="20">
        <v>3</v>
      </c>
      <c r="J318" s="20" t="s">
        <v>2629</v>
      </c>
      <c r="K318" s="20" t="s">
        <v>2643</v>
      </c>
      <c r="L318" s="20" t="s">
        <v>1695</v>
      </c>
      <c r="M318" s="20" t="s">
        <v>164</v>
      </c>
      <c r="N318" s="20" t="s">
        <v>170</v>
      </c>
      <c r="P318" s="20" t="s">
        <v>164</v>
      </c>
      <c r="Q318" s="20" t="s">
        <v>171</v>
      </c>
      <c r="R318" s="20" t="s">
        <v>84</v>
      </c>
      <c r="S318" s="20">
        <v>5</v>
      </c>
      <c r="T318" s="20" t="s">
        <v>395</v>
      </c>
      <c r="U318" s="20" t="s">
        <v>396</v>
      </c>
      <c r="V318" s="20" t="s">
        <v>87</v>
      </c>
      <c r="W318" s="20">
        <v>550</v>
      </c>
      <c r="X318" s="20">
        <v>550</v>
      </c>
      <c r="Y318" s="20" t="s">
        <v>1696</v>
      </c>
      <c r="Z318" s="20">
        <v>0.5</v>
      </c>
      <c r="AA318" s="20" t="s">
        <v>1697</v>
      </c>
      <c r="AB318" s="20" t="s">
        <v>159</v>
      </c>
      <c r="AC318" s="20" t="s">
        <v>160</v>
      </c>
      <c r="AD318" s="20" t="s">
        <v>1698</v>
      </c>
      <c r="AE318" s="20" t="s">
        <v>91</v>
      </c>
      <c r="AF318" s="20">
        <v>0.5</v>
      </c>
      <c r="AG318" s="20" t="s">
        <v>3868</v>
      </c>
      <c r="AH318" s="20">
        <v>1</v>
      </c>
      <c r="AI318" s="4" t="s">
        <v>92</v>
      </c>
      <c r="AJ318" s="20">
        <v>200</v>
      </c>
      <c r="AK318" s="4" t="s">
        <v>179</v>
      </c>
      <c r="AL318" s="4">
        <v>21</v>
      </c>
      <c r="AM318" s="4">
        <v>21</v>
      </c>
      <c r="AN318" s="4" t="s">
        <v>95</v>
      </c>
      <c r="AO318" s="4" t="s">
        <v>96</v>
      </c>
      <c r="AP318" s="4">
        <v>1</v>
      </c>
      <c r="AQ318" s="20">
        <v>45000</v>
      </c>
      <c r="AR318" s="4">
        <v>41836</v>
      </c>
      <c r="AS318" s="20">
        <v>6818.1818181818171</v>
      </c>
      <c r="AT318" s="20">
        <v>9667.35</v>
      </c>
      <c r="AU318" s="20">
        <v>2849.1681818181833</v>
      </c>
      <c r="AV318" s="20">
        <v>0</v>
      </c>
      <c r="AW318" s="20">
        <v>0</v>
      </c>
      <c r="AX318" s="20" t="s">
        <v>91</v>
      </c>
      <c r="AY318" s="20">
        <v>0</v>
      </c>
      <c r="AZ318" s="20">
        <v>7.75</v>
      </c>
      <c r="BA318" s="20">
        <v>0</v>
      </c>
      <c r="BB318" s="6">
        <v>41761</v>
      </c>
      <c r="BC318" s="6">
        <v>0</v>
      </c>
      <c r="BD318" s="6">
        <v>41907</v>
      </c>
      <c r="BE318" s="6">
        <v>0</v>
      </c>
      <c r="BF318" s="6">
        <v>41947</v>
      </c>
      <c r="BG318" s="6">
        <v>0</v>
      </c>
      <c r="BH318" s="6">
        <v>0</v>
      </c>
      <c r="BI318" s="6">
        <v>0</v>
      </c>
      <c r="BJ318" s="6">
        <v>0</v>
      </c>
      <c r="BK318" s="4" t="s">
        <v>401</v>
      </c>
      <c r="BL318" s="4">
        <v>0</v>
      </c>
      <c r="BM318" s="20">
        <v>200</v>
      </c>
      <c r="BN318" s="20">
        <v>0</v>
      </c>
      <c r="BO318" s="20">
        <v>0</v>
      </c>
      <c r="BP318" s="20">
        <v>0</v>
      </c>
      <c r="BQ318" s="20">
        <v>0</v>
      </c>
      <c r="BR318" s="20">
        <v>0</v>
      </c>
      <c r="BS318" s="20">
        <v>200</v>
      </c>
      <c r="BT318" s="20">
        <v>1933470</v>
      </c>
      <c r="BU318" s="20">
        <v>9000000</v>
      </c>
      <c r="BV318" s="20">
        <v>4.231675785927985</v>
      </c>
    </row>
    <row r="319" spans="1:74">
      <c r="A319" s="10">
        <f t="shared" si="18"/>
        <v>0</v>
      </c>
      <c r="B319" s="10">
        <f t="shared" si="19"/>
        <v>0</v>
      </c>
      <c r="C319" s="12" t="str">
        <f t="shared" si="20"/>
        <v/>
      </c>
      <c r="D319" s="12" t="str">
        <f t="shared" si="21"/>
        <v/>
      </c>
      <c r="E319" s="20" t="s">
        <v>91</v>
      </c>
      <c r="F319" s="20" t="s">
        <v>91</v>
      </c>
      <c r="G319" s="20" t="s">
        <v>91</v>
      </c>
      <c r="H319" s="20" t="s">
        <v>91</v>
      </c>
      <c r="I319" s="20">
        <v>0</v>
      </c>
      <c r="J319" s="20" t="s">
        <v>103</v>
      </c>
      <c r="K319" s="20" t="s">
        <v>104</v>
      </c>
      <c r="L319" s="20">
        <v>0</v>
      </c>
      <c r="M319" s="20" t="s">
        <v>105</v>
      </c>
      <c r="N319" s="20" t="s">
        <v>91</v>
      </c>
      <c r="O319" s="20" t="s">
        <v>2631</v>
      </c>
      <c r="Q319" s="20" t="s">
        <v>91</v>
      </c>
      <c r="R319" s="20" t="s">
        <v>91</v>
      </c>
      <c r="S319" s="20" t="s">
        <v>91</v>
      </c>
      <c r="U319" s="20" t="s">
        <v>91</v>
      </c>
      <c r="X319" s="20" t="s">
        <v>91</v>
      </c>
      <c r="Y319" s="20" t="s">
        <v>91</v>
      </c>
      <c r="Z319" s="20">
        <v>2</v>
      </c>
      <c r="AB319" s="20" t="s">
        <v>91</v>
      </c>
      <c r="AD319" s="20" t="s">
        <v>91</v>
      </c>
      <c r="AE319" s="20" t="s">
        <v>91</v>
      </c>
      <c r="AF319" s="20">
        <v>3</v>
      </c>
      <c r="AG319" s="20">
        <v>0</v>
      </c>
      <c r="AH319" s="20">
        <v>1</v>
      </c>
      <c r="AM319" s="4" t="s">
        <v>91</v>
      </c>
      <c r="AP319" s="4" t="s">
        <v>91</v>
      </c>
      <c r="AQ319" s="20">
        <v>0</v>
      </c>
      <c r="AR319" s="4">
        <v>0</v>
      </c>
      <c r="AS319" s="20">
        <v>0</v>
      </c>
      <c r="AT319" s="20">
        <v>0</v>
      </c>
      <c r="AU319" s="20">
        <v>0</v>
      </c>
      <c r="AV319" s="20">
        <v>0</v>
      </c>
      <c r="AW319" s="20">
        <v>0</v>
      </c>
      <c r="AX319" s="20" t="s">
        <v>91</v>
      </c>
      <c r="AY319" s="20">
        <v>0</v>
      </c>
      <c r="AZ319" s="20">
        <v>0</v>
      </c>
      <c r="BA319" s="20">
        <v>0</v>
      </c>
      <c r="BB319" s="6">
        <v>0</v>
      </c>
      <c r="BC319" s="6">
        <v>0</v>
      </c>
      <c r="BD319" s="6">
        <v>0</v>
      </c>
      <c r="BE319" s="6">
        <v>0</v>
      </c>
      <c r="BF319" s="6">
        <v>0</v>
      </c>
      <c r="BG319" s="6">
        <v>0</v>
      </c>
      <c r="BH319" s="6">
        <v>0</v>
      </c>
      <c r="BI319" s="6">
        <v>0</v>
      </c>
      <c r="BJ319" s="6">
        <v>0</v>
      </c>
      <c r="BK319" s="4">
        <v>0</v>
      </c>
      <c r="BL319" s="4">
        <v>0</v>
      </c>
      <c r="BM319" s="20">
        <v>985</v>
      </c>
      <c r="BN319" s="20">
        <v>0</v>
      </c>
      <c r="BO319" s="20">
        <v>0</v>
      </c>
      <c r="BP319" s="20">
        <v>0</v>
      </c>
      <c r="BQ319" s="20">
        <v>0</v>
      </c>
      <c r="BR319" s="20">
        <v>0</v>
      </c>
      <c r="BS319" s="20">
        <v>960</v>
      </c>
      <c r="BT319" s="20">
        <v>8302694.4000000004</v>
      </c>
      <c r="BU319" s="20">
        <v>43200000</v>
      </c>
      <c r="BV319" s="20">
        <v>4.7301183664820021</v>
      </c>
    </row>
    <row r="320" spans="1:74">
      <c r="A320" s="10">
        <f t="shared" si="18"/>
        <v>0</v>
      </c>
      <c r="B320" s="10">
        <f t="shared" si="19"/>
        <v>0</v>
      </c>
      <c r="C320" s="12">
        <f t="shared" si="20"/>
        <v>5</v>
      </c>
      <c r="D320" s="12">
        <f t="shared" si="21"/>
        <v>10</v>
      </c>
      <c r="E320" s="20" t="s">
        <v>114</v>
      </c>
      <c r="F320" s="20" t="s">
        <v>164</v>
      </c>
      <c r="G320" s="20" t="s">
        <v>2644</v>
      </c>
      <c r="H320" s="20" t="s">
        <v>2645</v>
      </c>
      <c r="I320" s="20">
        <v>1</v>
      </c>
      <c r="J320" s="20" t="s">
        <v>2646</v>
      </c>
      <c r="K320" s="20" t="s">
        <v>2647</v>
      </c>
      <c r="L320" s="20" t="s">
        <v>1687</v>
      </c>
      <c r="M320" s="20" t="s">
        <v>164</v>
      </c>
      <c r="N320" s="20" t="s">
        <v>170</v>
      </c>
      <c r="P320" s="20" t="s">
        <v>164</v>
      </c>
      <c r="Q320" s="20" t="s">
        <v>171</v>
      </c>
      <c r="R320" s="20" t="s">
        <v>84</v>
      </c>
      <c r="S320" s="20">
        <v>5</v>
      </c>
      <c r="T320" s="20" t="s">
        <v>395</v>
      </c>
      <c r="U320" s="20" t="s">
        <v>396</v>
      </c>
      <c r="V320" s="20" t="s">
        <v>87</v>
      </c>
      <c r="W320" s="20">
        <v>545</v>
      </c>
      <c r="X320" s="20">
        <v>545</v>
      </c>
      <c r="Y320" s="20" t="s">
        <v>1688</v>
      </c>
      <c r="Z320" s="20">
        <v>0.5</v>
      </c>
      <c r="AA320" s="20" t="s">
        <v>1689</v>
      </c>
      <c r="AB320" s="20" t="s">
        <v>101</v>
      </c>
      <c r="AC320" s="20" t="s">
        <v>102</v>
      </c>
      <c r="AD320" s="20" t="s">
        <v>1690</v>
      </c>
      <c r="AE320" s="20" t="s">
        <v>91</v>
      </c>
      <c r="AF320" s="20">
        <v>1</v>
      </c>
      <c r="AG320" s="20">
        <v>0</v>
      </c>
      <c r="AH320" s="20">
        <v>1</v>
      </c>
      <c r="AI320" s="4" t="s">
        <v>251</v>
      </c>
      <c r="AJ320" s="20">
        <v>200</v>
      </c>
      <c r="AK320" s="4" t="s">
        <v>179</v>
      </c>
      <c r="AL320" s="4">
        <v>22</v>
      </c>
      <c r="AM320" s="4">
        <v>22</v>
      </c>
      <c r="AN320" s="4" t="s">
        <v>95</v>
      </c>
      <c r="AO320" s="4" t="s">
        <v>96</v>
      </c>
      <c r="AP320" s="4">
        <v>1</v>
      </c>
      <c r="AQ320" s="20">
        <v>45000</v>
      </c>
      <c r="AR320" s="4">
        <v>41836</v>
      </c>
      <c r="AS320" s="20">
        <v>6818.1818181818171</v>
      </c>
      <c r="AT320" s="20">
        <v>8669.4300000000021</v>
      </c>
      <c r="AU320" s="20">
        <v>1851.248181818185</v>
      </c>
      <c r="AV320" s="20">
        <v>0</v>
      </c>
      <c r="AW320" s="20">
        <v>0</v>
      </c>
      <c r="AX320" s="20" t="s">
        <v>91</v>
      </c>
      <c r="AY320" s="20">
        <v>0</v>
      </c>
      <c r="AZ320" s="20">
        <v>6.95</v>
      </c>
      <c r="BA320" s="20">
        <v>0</v>
      </c>
      <c r="BB320" s="6">
        <v>41761</v>
      </c>
      <c r="BC320" s="6">
        <v>0</v>
      </c>
      <c r="BD320" s="6">
        <v>41907</v>
      </c>
      <c r="BE320" s="6">
        <v>0</v>
      </c>
      <c r="BF320" s="6">
        <v>41941</v>
      </c>
      <c r="BG320" s="6">
        <v>0</v>
      </c>
      <c r="BH320" s="6">
        <v>0</v>
      </c>
      <c r="BI320" s="6">
        <v>0</v>
      </c>
      <c r="BJ320" s="6">
        <v>0</v>
      </c>
      <c r="BK320" s="4" t="s">
        <v>401</v>
      </c>
      <c r="BL320" s="4">
        <v>0</v>
      </c>
      <c r="BM320" s="20">
        <v>199</v>
      </c>
      <c r="BN320" s="20">
        <v>0</v>
      </c>
      <c r="BO320" s="20">
        <v>0</v>
      </c>
      <c r="BP320" s="20">
        <v>0</v>
      </c>
      <c r="BQ320" s="20">
        <v>0</v>
      </c>
      <c r="BR320" s="20">
        <v>0</v>
      </c>
      <c r="BS320" s="20">
        <v>200</v>
      </c>
      <c r="BT320" s="20">
        <v>1733886.0000000005</v>
      </c>
      <c r="BU320" s="20">
        <v>9000000</v>
      </c>
      <c r="BV320" s="20">
        <v>4.7187751569700538</v>
      </c>
    </row>
    <row r="321" spans="1:74">
      <c r="A321" s="10">
        <f t="shared" si="18"/>
        <v>0</v>
      </c>
      <c r="B321" s="10">
        <f t="shared" si="19"/>
        <v>0</v>
      </c>
      <c r="C321" s="12">
        <f t="shared" si="20"/>
        <v>5</v>
      </c>
      <c r="D321" s="12">
        <f t="shared" si="21"/>
        <v>10</v>
      </c>
      <c r="E321" s="20" t="s">
        <v>114</v>
      </c>
      <c r="F321" s="20" t="s">
        <v>164</v>
      </c>
      <c r="G321" s="20" t="s">
        <v>2644</v>
      </c>
      <c r="H321" s="20" t="s">
        <v>2648</v>
      </c>
      <c r="I321" s="20">
        <v>2</v>
      </c>
      <c r="J321" s="20" t="s">
        <v>2649</v>
      </c>
      <c r="K321" s="20" t="s">
        <v>2650</v>
      </c>
      <c r="L321" s="20" t="s">
        <v>1687</v>
      </c>
      <c r="M321" s="20" t="s">
        <v>164</v>
      </c>
      <c r="N321" s="20" t="s">
        <v>170</v>
      </c>
      <c r="P321" s="20" t="s">
        <v>164</v>
      </c>
      <c r="Q321" s="20" t="s">
        <v>171</v>
      </c>
      <c r="R321" s="20" t="s">
        <v>84</v>
      </c>
      <c r="S321" s="20">
        <v>5</v>
      </c>
      <c r="T321" s="20" t="s">
        <v>395</v>
      </c>
      <c r="U321" s="20" t="s">
        <v>396</v>
      </c>
      <c r="V321" s="20" t="s">
        <v>87</v>
      </c>
      <c r="W321" s="20">
        <v>545</v>
      </c>
      <c r="X321" s="20">
        <v>545</v>
      </c>
      <c r="Y321" s="20" t="s">
        <v>1688</v>
      </c>
      <c r="Z321" s="20">
        <v>0.5</v>
      </c>
      <c r="AA321" s="20" t="s">
        <v>1692</v>
      </c>
      <c r="AB321" s="20" t="s">
        <v>109</v>
      </c>
      <c r="AC321" s="20" t="s">
        <v>110</v>
      </c>
      <c r="AD321" s="20" t="s">
        <v>1693</v>
      </c>
      <c r="AE321" s="20" t="s">
        <v>91</v>
      </c>
      <c r="AF321" s="20">
        <v>1</v>
      </c>
      <c r="AG321" s="20">
        <v>0</v>
      </c>
      <c r="AH321" s="20">
        <v>1</v>
      </c>
      <c r="AI321" s="4" t="s">
        <v>251</v>
      </c>
      <c r="AJ321" s="20">
        <v>200</v>
      </c>
      <c r="AK321" s="4" t="s">
        <v>179</v>
      </c>
      <c r="AL321" s="4">
        <v>22</v>
      </c>
      <c r="AM321" s="4">
        <v>22</v>
      </c>
      <c r="AN321" s="4" t="s">
        <v>95</v>
      </c>
      <c r="AO321" s="4" t="s">
        <v>96</v>
      </c>
      <c r="AP321" s="4">
        <v>1</v>
      </c>
      <c r="AQ321" s="20">
        <v>45000</v>
      </c>
      <c r="AR321" s="4">
        <v>41836</v>
      </c>
      <c r="AS321" s="20">
        <v>6818.1818181818171</v>
      </c>
      <c r="AT321" s="20">
        <v>8669.4300000000021</v>
      </c>
      <c r="AU321" s="20">
        <v>1851.248181818185</v>
      </c>
      <c r="AV321" s="20">
        <v>0</v>
      </c>
      <c r="AW321" s="20">
        <v>0</v>
      </c>
      <c r="AX321" s="20" t="s">
        <v>91</v>
      </c>
      <c r="AY321" s="20">
        <v>0</v>
      </c>
      <c r="AZ321" s="20">
        <v>6.95</v>
      </c>
      <c r="BA321" s="20">
        <v>0</v>
      </c>
      <c r="BB321" s="6">
        <v>41761</v>
      </c>
      <c r="BC321" s="6">
        <v>0</v>
      </c>
      <c r="BD321" s="6">
        <v>41907</v>
      </c>
      <c r="BE321" s="6">
        <v>0</v>
      </c>
      <c r="BF321" s="6">
        <v>41941</v>
      </c>
      <c r="BG321" s="6">
        <v>0</v>
      </c>
      <c r="BH321" s="6">
        <v>0</v>
      </c>
      <c r="BI321" s="6">
        <v>0</v>
      </c>
      <c r="BJ321" s="6">
        <v>0</v>
      </c>
      <c r="BK321" s="4" t="s">
        <v>401</v>
      </c>
      <c r="BL321" s="4">
        <v>0</v>
      </c>
      <c r="BM321" s="20">
        <v>195</v>
      </c>
      <c r="BN321" s="20">
        <v>0</v>
      </c>
      <c r="BO321" s="20">
        <v>0</v>
      </c>
      <c r="BP321" s="20">
        <v>0</v>
      </c>
      <c r="BQ321" s="20">
        <v>0</v>
      </c>
      <c r="BR321" s="20">
        <v>0</v>
      </c>
      <c r="BS321" s="20">
        <v>200</v>
      </c>
      <c r="BT321" s="20">
        <v>1733886.0000000005</v>
      </c>
      <c r="BU321" s="20">
        <v>9000000</v>
      </c>
      <c r="BV321" s="20">
        <v>4.7187751569700538</v>
      </c>
    </row>
    <row r="322" spans="1:74">
      <c r="A322" s="10">
        <f t="shared" si="18"/>
        <v>0</v>
      </c>
      <c r="B322" s="10">
        <f t="shared" si="19"/>
        <v>0</v>
      </c>
      <c r="C322" s="12" t="str">
        <f t="shared" si="20"/>
        <v/>
      </c>
      <c r="D322" s="12" t="str">
        <f t="shared" si="21"/>
        <v/>
      </c>
      <c r="E322" s="20" t="s">
        <v>91</v>
      </c>
      <c r="F322" s="20" t="s">
        <v>91</v>
      </c>
      <c r="G322" s="20" t="s">
        <v>91</v>
      </c>
      <c r="H322" s="20" t="s">
        <v>91</v>
      </c>
      <c r="I322" s="20">
        <v>0</v>
      </c>
      <c r="J322" s="20" t="s">
        <v>103</v>
      </c>
      <c r="K322" s="20" t="s">
        <v>104</v>
      </c>
      <c r="L322" s="20">
        <v>0</v>
      </c>
      <c r="M322" s="20" t="s">
        <v>105</v>
      </c>
      <c r="N322" s="20" t="s">
        <v>91</v>
      </c>
      <c r="O322" s="20" t="s">
        <v>2651</v>
      </c>
      <c r="Q322" s="20" t="s">
        <v>91</v>
      </c>
      <c r="R322" s="20" t="s">
        <v>91</v>
      </c>
      <c r="S322" s="20" t="s">
        <v>91</v>
      </c>
      <c r="U322" s="20" t="s">
        <v>91</v>
      </c>
      <c r="X322" s="20" t="s">
        <v>91</v>
      </c>
      <c r="Y322" s="20" t="s">
        <v>91</v>
      </c>
      <c r="Z322" s="20">
        <v>1</v>
      </c>
      <c r="AB322" s="20" t="s">
        <v>91</v>
      </c>
      <c r="AD322" s="20" t="s">
        <v>91</v>
      </c>
      <c r="AE322" s="20" t="s">
        <v>91</v>
      </c>
      <c r="AF322" s="20">
        <v>2</v>
      </c>
      <c r="AG322" s="20">
        <v>0</v>
      </c>
      <c r="AH322" s="20">
        <v>1</v>
      </c>
      <c r="AM322" s="4" t="s">
        <v>91</v>
      </c>
      <c r="AP322" s="4" t="s">
        <v>91</v>
      </c>
      <c r="AQ322" s="20">
        <v>0</v>
      </c>
      <c r="AR322" s="4">
        <v>0</v>
      </c>
      <c r="AS322" s="20">
        <v>0</v>
      </c>
      <c r="AT322" s="20">
        <v>0</v>
      </c>
      <c r="AU322" s="20">
        <v>0</v>
      </c>
      <c r="AV322" s="20">
        <v>0</v>
      </c>
      <c r="AW322" s="20">
        <v>0</v>
      </c>
      <c r="AX322" s="20" t="s">
        <v>91</v>
      </c>
      <c r="AY322" s="20">
        <v>0</v>
      </c>
      <c r="AZ322" s="20">
        <v>0</v>
      </c>
      <c r="BA322" s="20">
        <v>0</v>
      </c>
      <c r="BB322" s="6">
        <v>0</v>
      </c>
      <c r="BC322" s="6">
        <v>0</v>
      </c>
      <c r="BD322" s="6">
        <v>0</v>
      </c>
      <c r="BE322" s="6">
        <v>0</v>
      </c>
      <c r="BF322" s="6">
        <v>0</v>
      </c>
      <c r="BG322" s="6">
        <v>0</v>
      </c>
      <c r="BH322" s="6">
        <v>0</v>
      </c>
      <c r="BI322" s="6">
        <v>0</v>
      </c>
      <c r="BJ322" s="6">
        <v>0</v>
      </c>
      <c r="BK322" s="4">
        <v>0</v>
      </c>
      <c r="BL322" s="4">
        <v>0</v>
      </c>
      <c r="BM322" s="20">
        <v>394</v>
      </c>
      <c r="BN322" s="20">
        <v>0</v>
      </c>
      <c r="BO322" s="20">
        <v>0</v>
      </c>
      <c r="BP322" s="20">
        <v>0</v>
      </c>
      <c r="BQ322" s="20">
        <v>0</v>
      </c>
      <c r="BR322" s="20">
        <v>0</v>
      </c>
      <c r="BS322" s="20">
        <v>400</v>
      </c>
      <c r="BT322" s="20">
        <v>3467772.0000000009</v>
      </c>
      <c r="BU322" s="20">
        <v>18000000</v>
      </c>
      <c r="BV322" s="20">
        <v>4.7187751569700538</v>
      </c>
    </row>
    <row r="323" spans="1:74">
      <c r="A323" s="10">
        <f t="shared" ref="A323:A386" si="22">IF($BL323="공급",$Z323,0)</f>
        <v>0</v>
      </c>
      <c r="B323" s="10">
        <f t="shared" ref="B323:B386" si="23">IF($AV323&gt;0,$Z323,0)</f>
        <v>0</v>
      </c>
      <c r="C323" s="12">
        <f t="shared" si="20"/>
        <v>10</v>
      </c>
      <c r="D323" s="12">
        <f t="shared" si="21"/>
        <v>12</v>
      </c>
      <c r="E323" s="20" t="s">
        <v>114</v>
      </c>
      <c r="F323" s="20" t="s">
        <v>164</v>
      </c>
      <c r="G323" s="20" t="s">
        <v>5077</v>
      </c>
      <c r="H323" s="20" t="s">
        <v>5078</v>
      </c>
      <c r="I323" s="20">
        <v>1</v>
      </c>
      <c r="J323" s="20" t="s">
        <v>5079</v>
      </c>
      <c r="K323" s="20" t="s">
        <v>5080</v>
      </c>
      <c r="L323" s="20" t="s">
        <v>169</v>
      </c>
      <c r="M323" s="20" t="s">
        <v>164</v>
      </c>
      <c r="N323" s="20" t="s">
        <v>170</v>
      </c>
      <c r="P323" s="20" t="s">
        <v>164</v>
      </c>
      <c r="Q323" s="20" t="s">
        <v>171</v>
      </c>
      <c r="R323" s="20" t="s">
        <v>84</v>
      </c>
      <c r="S323" s="20">
        <v>5</v>
      </c>
      <c r="T323" s="20" t="s">
        <v>172</v>
      </c>
      <c r="U323" s="20" t="s">
        <v>173</v>
      </c>
      <c r="V323" s="20" t="s">
        <v>87</v>
      </c>
      <c r="W323" s="20">
        <v>511</v>
      </c>
      <c r="X323" s="20">
        <v>511</v>
      </c>
      <c r="Y323" s="20" t="s">
        <v>174</v>
      </c>
      <c r="Z323" s="20">
        <v>0</v>
      </c>
      <c r="AA323" s="20" t="s">
        <v>175</v>
      </c>
      <c r="AB323" s="20" t="s">
        <v>176</v>
      </c>
      <c r="AC323" s="20" t="s">
        <v>177</v>
      </c>
      <c r="AD323" s="20" t="s">
        <v>178</v>
      </c>
      <c r="AE323" s="20" t="s">
        <v>400</v>
      </c>
      <c r="AF323" s="20">
        <v>0</v>
      </c>
      <c r="AG323" s="20" t="s">
        <v>2632</v>
      </c>
      <c r="AH323" s="20">
        <v>1</v>
      </c>
      <c r="AI323" s="4" t="s">
        <v>92</v>
      </c>
      <c r="AJ323" s="20">
        <v>200</v>
      </c>
      <c r="AK323" s="4" t="s">
        <v>179</v>
      </c>
      <c r="AL323" s="4">
        <v>34</v>
      </c>
      <c r="AM323" s="4">
        <v>34</v>
      </c>
      <c r="AN323" s="4" t="s">
        <v>95</v>
      </c>
      <c r="AO323" s="4" t="s">
        <v>96</v>
      </c>
      <c r="AP323" s="4">
        <v>1</v>
      </c>
      <c r="AQ323" s="20">
        <v>45000</v>
      </c>
      <c r="AR323" s="4">
        <v>41942</v>
      </c>
      <c r="AS323" s="20">
        <v>6818.1818181818171</v>
      </c>
      <c r="AT323" s="20">
        <v>7123.15</v>
      </c>
      <c r="AU323" s="20">
        <v>304.96818181818253</v>
      </c>
      <c r="AV323" s="20">
        <v>1198</v>
      </c>
      <c r="AW323" s="20">
        <v>0</v>
      </c>
      <c r="AX323" s="20" t="s">
        <v>91</v>
      </c>
      <c r="AY323" s="20">
        <v>1198</v>
      </c>
      <c r="AZ323" s="20">
        <v>4.75</v>
      </c>
      <c r="BA323" s="20">
        <v>0</v>
      </c>
      <c r="BB323" s="6">
        <v>41943</v>
      </c>
      <c r="BC323" s="6">
        <v>0</v>
      </c>
      <c r="BD323" s="6">
        <v>41977</v>
      </c>
      <c r="BE323" s="6">
        <v>0</v>
      </c>
      <c r="BF323" s="6">
        <v>41988</v>
      </c>
      <c r="BG323" s="6">
        <v>0</v>
      </c>
      <c r="BH323" s="6">
        <v>0</v>
      </c>
      <c r="BI323" s="6">
        <v>0</v>
      </c>
      <c r="BJ323" s="6">
        <v>0</v>
      </c>
      <c r="BK323" s="4">
        <v>0</v>
      </c>
      <c r="BL323" s="4">
        <v>0</v>
      </c>
      <c r="BM323" s="20">
        <v>200</v>
      </c>
      <c r="BN323" s="20">
        <v>0</v>
      </c>
      <c r="BO323" s="20">
        <v>0</v>
      </c>
      <c r="BP323" s="20">
        <v>0</v>
      </c>
      <c r="BQ323" s="20">
        <v>0</v>
      </c>
      <c r="BR323" s="20">
        <v>0</v>
      </c>
      <c r="BS323" s="20">
        <v>200</v>
      </c>
      <c r="BT323" s="20">
        <v>1424630</v>
      </c>
      <c r="BU323" s="20">
        <v>9000000</v>
      </c>
      <c r="BV323" s="20">
        <v>5.7431179898066027</v>
      </c>
    </row>
    <row r="324" spans="1:74">
      <c r="A324" s="10">
        <f t="shared" si="22"/>
        <v>0</v>
      </c>
      <c r="B324" s="10">
        <f t="shared" si="23"/>
        <v>0</v>
      </c>
      <c r="C324" s="12">
        <f t="shared" ref="C324:C387" si="24">IF($BB324=0,"",MONTH($BB324))</f>
        <v>10</v>
      </c>
      <c r="D324" s="12">
        <f t="shared" si="21"/>
        <v>12</v>
      </c>
      <c r="E324" s="20" t="s">
        <v>114</v>
      </c>
      <c r="F324" s="20" t="s">
        <v>164</v>
      </c>
      <c r="G324" s="20" t="s">
        <v>5077</v>
      </c>
      <c r="H324" s="20" t="s">
        <v>5078</v>
      </c>
      <c r="I324" s="20">
        <v>1</v>
      </c>
      <c r="J324" s="20" t="s">
        <v>5079</v>
      </c>
      <c r="K324" s="20" t="s">
        <v>5081</v>
      </c>
      <c r="L324" s="20" t="s">
        <v>169</v>
      </c>
      <c r="M324" s="20" t="s">
        <v>164</v>
      </c>
      <c r="N324" s="20" t="s">
        <v>170</v>
      </c>
      <c r="P324" s="20" t="s">
        <v>164</v>
      </c>
      <c r="Q324" s="20" t="s">
        <v>171</v>
      </c>
      <c r="R324" s="20" t="s">
        <v>84</v>
      </c>
      <c r="S324" s="20">
        <v>5</v>
      </c>
      <c r="T324" s="20" t="s">
        <v>172</v>
      </c>
      <c r="U324" s="20" t="s">
        <v>173</v>
      </c>
      <c r="V324" s="20" t="s">
        <v>87</v>
      </c>
      <c r="W324" s="20">
        <v>511</v>
      </c>
      <c r="X324" s="20">
        <v>511</v>
      </c>
      <c r="Y324" s="20" t="s">
        <v>174</v>
      </c>
      <c r="Z324" s="20">
        <v>0</v>
      </c>
      <c r="AA324" s="20" t="s">
        <v>175</v>
      </c>
      <c r="AB324" s="20" t="s">
        <v>176</v>
      </c>
      <c r="AC324" s="20" t="s">
        <v>177</v>
      </c>
      <c r="AD324" s="20" t="s">
        <v>178</v>
      </c>
      <c r="AE324" s="20" t="s">
        <v>400</v>
      </c>
      <c r="AF324" s="20">
        <v>0</v>
      </c>
      <c r="AG324" s="20" t="s">
        <v>2632</v>
      </c>
      <c r="AH324" s="20">
        <v>1</v>
      </c>
      <c r="AI324" s="4" t="s">
        <v>97</v>
      </c>
      <c r="AJ324" s="20">
        <v>50</v>
      </c>
      <c r="AK324" s="4" t="s">
        <v>179</v>
      </c>
      <c r="AL324" s="4">
        <v>34</v>
      </c>
      <c r="AM324" s="4">
        <v>34</v>
      </c>
      <c r="AN324" s="4" t="s">
        <v>95</v>
      </c>
      <c r="AO324" s="4" t="s">
        <v>96</v>
      </c>
      <c r="AP324" s="4">
        <v>1</v>
      </c>
      <c r="AQ324" s="20">
        <v>45000</v>
      </c>
      <c r="AR324" s="4">
        <v>41942</v>
      </c>
      <c r="AS324" s="20">
        <v>6818.1818181818171</v>
      </c>
      <c r="AT324" s="20">
        <v>7123.15</v>
      </c>
      <c r="AU324" s="20">
        <v>304.96818181818253</v>
      </c>
      <c r="AV324" s="20">
        <v>1198</v>
      </c>
      <c r="AW324" s="20">
        <v>0</v>
      </c>
      <c r="AX324" s="20" t="s">
        <v>91</v>
      </c>
      <c r="AY324" s="20">
        <v>1198</v>
      </c>
      <c r="AZ324" s="20">
        <v>4.75</v>
      </c>
      <c r="BA324" s="20">
        <v>0</v>
      </c>
      <c r="BB324" s="6">
        <v>41943</v>
      </c>
      <c r="BC324" s="6">
        <v>0</v>
      </c>
      <c r="BD324" s="6">
        <v>41977</v>
      </c>
      <c r="BE324" s="6">
        <v>0</v>
      </c>
      <c r="BF324" s="6">
        <v>41988</v>
      </c>
      <c r="BG324" s="6">
        <v>0</v>
      </c>
      <c r="BH324" s="6">
        <v>0</v>
      </c>
      <c r="BI324" s="6">
        <v>0</v>
      </c>
      <c r="BJ324" s="6">
        <v>0</v>
      </c>
      <c r="BK324" s="4">
        <v>0</v>
      </c>
      <c r="BL324" s="4">
        <v>0</v>
      </c>
      <c r="BM324" s="20">
        <v>50</v>
      </c>
      <c r="BN324" s="20">
        <v>0</v>
      </c>
      <c r="BO324" s="20">
        <v>0</v>
      </c>
      <c r="BP324" s="20">
        <v>0</v>
      </c>
      <c r="BQ324" s="20">
        <v>0</v>
      </c>
      <c r="BR324" s="20">
        <v>0</v>
      </c>
      <c r="BS324" s="20">
        <v>50</v>
      </c>
      <c r="BT324" s="20">
        <v>356157.5</v>
      </c>
      <c r="BU324" s="20">
        <v>2250000</v>
      </c>
      <c r="BV324" s="20">
        <v>5.7431179898066027</v>
      </c>
    </row>
    <row r="325" spans="1:74">
      <c r="A325" s="10">
        <f t="shared" si="22"/>
        <v>0</v>
      </c>
      <c r="B325" s="10">
        <f t="shared" si="23"/>
        <v>0</v>
      </c>
      <c r="C325" s="12">
        <f t="shared" si="24"/>
        <v>10</v>
      </c>
      <c r="D325" s="12">
        <f t="shared" ref="D325:D388" si="25">IF(AND(BD325=0,BF325=0),"",MONTH(IF($BF325=0,$BD325,$BF325)))</f>
        <v>12</v>
      </c>
      <c r="E325" s="20" t="s">
        <v>114</v>
      </c>
      <c r="F325" s="20" t="s">
        <v>164</v>
      </c>
      <c r="G325" s="20" t="s">
        <v>5077</v>
      </c>
      <c r="H325" s="20" t="s">
        <v>5078</v>
      </c>
      <c r="I325" s="20">
        <v>1</v>
      </c>
      <c r="J325" s="20" t="s">
        <v>5079</v>
      </c>
      <c r="K325" s="20" t="s">
        <v>5082</v>
      </c>
      <c r="L325" s="20" t="s">
        <v>169</v>
      </c>
      <c r="M325" s="20" t="s">
        <v>164</v>
      </c>
      <c r="N325" s="20" t="s">
        <v>170</v>
      </c>
      <c r="P325" s="20" t="s">
        <v>164</v>
      </c>
      <c r="Q325" s="20" t="s">
        <v>171</v>
      </c>
      <c r="R325" s="20" t="s">
        <v>84</v>
      </c>
      <c r="S325" s="20">
        <v>5</v>
      </c>
      <c r="T325" s="20" t="s">
        <v>172</v>
      </c>
      <c r="U325" s="20" t="s">
        <v>173</v>
      </c>
      <c r="V325" s="20" t="s">
        <v>87</v>
      </c>
      <c r="W325" s="20">
        <v>511</v>
      </c>
      <c r="X325" s="20">
        <v>511</v>
      </c>
      <c r="Y325" s="20" t="s">
        <v>174</v>
      </c>
      <c r="Z325" s="20">
        <v>0</v>
      </c>
      <c r="AA325" s="20" t="s">
        <v>175</v>
      </c>
      <c r="AB325" s="20" t="s">
        <v>176</v>
      </c>
      <c r="AC325" s="20" t="s">
        <v>177</v>
      </c>
      <c r="AD325" s="20" t="s">
        <v>178</v>
      </c>
      <c r="AE325" s="20" t="s">
        <v>400</v>
      </c>
      <c r="AF325" s="20">
        <v>0</v>
      </c>
      <c r="AG325" s="20" t="s">
        <v>2632</v>
      </c>
      <c r="AH325" s="20">
        <v>1</v>
      </c>
      <c r="AI325" s="4" t="s">
        <v>98</v>
      </c>
      <c r="AJ325" s="20">
        <v>30</v>
      </c>
      <c r="AK325" s="4" t="s">
        <v>179</v>
      </c>
      <c r="AL325" s="4">
        <v>34</v>
      </c>
      <c r="AM325" s="4">
        <v>34</v>
      </c>
      <c r="AN325" s="4" t="s">
        <v>95</v>
      </c>
      <c r="AO325" s="4" t="s">
        <v>96</v>
      </c>
      <c r="AP325" s="4">
        <v>1</v>
      </c>
      <c r="AQ325" s="20">
        <v>45000</v>
      </c>
      <c r="AR325" s="4">
        <v>41942</v>
      </c>
      <c r="AS325" s="20">
        <v>6818.1818181818171</v>
      </c>
      <c r="AT325" s="20">
        <v>7123.15</v>
      </c>
      <c r="AU325" s="20">
        <v>304.96818181818253</v>
      </c>
      <c r="AV325" s="20">
        <v>1198</v>
      </c>
      <c r="AW325" s="20">
        <v>0</v>
      </c>
      <c r="AX325" s="20" t="s">
        <v>91</v>
      </c>
      <c r="AY325" s="20">
        <v>1198</v>
      </c>
      <c r="AZ325" s="20">
        <v>4.75</v>
      </c>
      <c r="BA325" s="20">
        <v>0</v>
      </c>
      <c r="BB325" s="6">
        <v>41943</v>
      </c>
      <c r="BC325" s="6">
        <v>0</v>
      </c>
      <c r="BD325" s="6">
        <v>41977</v>
      </c>
      <c r="BE325" s="6">
        <v>0</v>
      </c>
      <c r="BF325" s="6">
        <v>41988</v>
      </c>
      <c r="BG325" s="6">
        <v>0</v>
      </c>
      <c r="BH325" s="6">
        <v>0</v>
      </c>
      <c r="BI325" s="6">
        <v>0</v>
      </c>
      <c r="BJ325" s="6">
        <v>0</v>
      </c>
      <c r="BK325" s="4">
        <v>0</v>
      </c>
      <c r="BL325" s="4">
        <v>0</v>
      </c>
      <c r="BM325" s="20">
        <v>30</v>
      </c>
      <c r="BN325" s="20">
        <v>0</v>
      </c>
      <c r="BO325" s="20">
        <v>0</v>
      </c>
      <c r="BP325" s="20">
        <v>0</v>
      </c>
      <c r="BQ325" s="20">
        <v>0</v>
      </c>
      <c r="BR325" s="20">
        <v>0</v>
      </c>
      <c r="BS325" s="20">
        <v>30</v>
      </c>
      <c r="BT325" s="20">
        <v>213694.5</v>
      </c>
      <c r="BU325" s="20">
        <v>1350000</v>
      </c>
      <c r="BV325" s="20">
        <v>5.7431179898066036</v>
      </c>
    </row>
    <row r="326" spans="1:74">
      <c r="A326" s="10">
        <f t="shared" si="22"/>
        <v>0</v>
      </c>
      <c r="B326" s="10">
        <f t="shared" si="23"/>
        <v>0</v>
      </c>
      <c r="C326" s="12">
        <f t="shared" si="24"/>
        <v>10</v>
      </c>
      <c r="D326" s="12">
        <f t="shared" si="25"/>
        <v>12</v>
      </c>
      <c r="E326" s="20" t="s">
        <v>114</v>
      </c>
      <c r="F326" s="20" t="s">
        <v>164</v>
      </c>
      <c r="G326" s="20" t="s">
        <v>5077</v>
      </c>
      <c r="H326" s="20" t="s">
        <v>5083</v>
      </c>
      <c r="I326" s="20">
        <v>2</v>
      </c>
      <c r="J326" s="20" t="s">
        <v>5084</v>
      </c>
      <c r="K326" s="20" t="s">
        <v>5085</v>
      </c>
      <c r="L326" s="20" t="s">
        <v>231</v>
      </c>
      <c r="M326" s="20" t="s">
        <v>164</v>
      </c>
      <c r="N326" s="20" t="s">
        <v>170</v>
      </c>
      <c r="P326" s="20" t="s">
        <v>164</v>
      </c>
      <c r="Q326" s="20" t="s">
        <v>171</v>
      </c>
      <c r="R326" s="20" t="s">
        <v>84</v>
      </c>
      <c r="S326" s="20">
        <v>5</v>
      </c>
      <c r="T326" s="20" t="s">
        <v>106</v>
      </c>
      <c r="U326" s="20" t="s">
        <v>107</v>
      </c>
      <c r="V326" s="20" t="s">
        <v>87</v>
      </c>
      <c r="W326" s="20">
        <v>519</v>
      </c>
      <c r="X326" s="20">
        <v>519</v>
      </c>
      <c r="Y326" s="20" t="s">
        <v>232</v>
      </c>
      <c r="Z326" s="20">
        <v>0</v>
      </c>
      <c r="AA326" s="20" t="s">
        <v>233</v>
      </c>
      <c r="AB326" s="20" t="s">
        <v>101</v>
      </c>
      <c r="AC326" s="20" t="s">
        <v>102</v>
      </c>
      <c r="AD326" s="20" t="s">
        <v>234</v>
      </c>
      <c r="AE326" s="20" t="s">
        <v>400</v>
      </c>
      <c r="AF326" s="20">
        <v>0</v>
      </c>
      <c r="AG326" s="20" t="s">
        <v>2637</v>
      </c>
      <c r="AH326" s="20">
        <v>1</v>
      </c>
      <c r="AI326" s="4" t="s">
        <v>92</v>
      </c>
      <c r="AJ326" s="20">
        <v>360</v>
      </c>
      <c r="AK326" s="4" t="s">
        <v>179</v>
      </c>
      <c r="AL326" s="4">
        <v>34</v>
      </c>
      <c r="AM326" s="4">
        <v>34</v>
      </c>
      <c r="AN326" s="4" t="s">
        <v>95</v>
      </c>
      <c r="AO326" s="4" t="s">
        <v>96</v>
      </c>
      <c r="AP326" s="4">
        <v>1</v>
      </c>
      <c r="AQ326" s="20">
        <v>45000</v>
      </c>
      <c r="AR326" s="4">
        <v>41942</v>
      </c>
      <c r="AS326" s="20">
        <v>6818.1818181818171</v>
      </c>
      <c r="AT326" s="20">
        <v>7865.7800000000007</v>
      </c>
      <c r="AU326" s="20">
        <v>1047.5981818181835</v>
      </c>
      <c r="AV326" s="20">
        <v>2003</v>
      </c>
      <c r="AW326" s="20">
        <v>0</v>
      </c>
      <c r="AX326" s="20" t="s">
        <v>91</v>
      </c>
      <c r="AY326" s="20">
        <v>2003</v>
      </c>
      <c r="AZ326" s="20">
        <v>4.7</v>
      </c>
      <c r="BA326" s="20">
        <v>0</v>
      </c>
      <c r="BB326" s="6">
        <v>41943</v>
      </c>
      <c r="BC326" s="6">
        <v>0</v>
      </c>
      <c r="BD326" s="6">
        <v>41977</v>
      </c>
      <c r="BE326" s="6">
        <v>0</v>
      </c>
      <c r="BF326" s="6">
        <v>41988</v>
      </c>
      <c r="BG326" s="6">
        <v>0</v>
      </c>
      <c r="BH326" s="6">
        <v>0</v>
      </c>
      <c r="BI326" s="6">
        <v>0</v>
      </c>
      <c r="BJ326" s="6">
        <v>0</v>
      </c>
      <c r="BK326" s="4">
        <v>0</v>
      </c>
      <c r="BL326" s="4">
        <v>0</v>
      </c>
      <c r="BM326" s="20">
        <v>360</v>
      </c>
      <c r="BN326" s="20">
        <v>0</v>
      </c>
      <c r="BO326" s="20">
        <v>0</v>
      </c>
      <c r="BP326" s="20">
        <v>0</v>
      </c>
      <c r="BQ326" s="20">
        <v>0</v>
      </c>
      <c r="BR326" s="20">
        <v>0</v>
      </c>
      <c r="BS326" s="20">
        <v>360</v>
      </c>
      <c r="BT326" s="20">
        <v>2831680.8000000003</v>
      </c>
      <c r="BU326" s="20">
        <v>16200000</v>
      </c>
      <c r="BV326" s="20">
        <v>5.2008943689107632</v>
      </c>
    </row>
    <row r="327" spans="1:74">
      <c r="A327" s="10">
        <f t="shared" si="22"/>
        <v>0</v>
      </c>
      <c r="B327" s="10">
        <f t="shared" si="23"/>
        <v>0</v>
      </c>
      <c r="C327" s="12">
        <f t="shared" si="24"/>
        <v>10</v>
      </c>
      <c r="D327" s="12">
        <f t="shared" si="25"/>
        <v>12</v>
      </c>
      <c r="E327" s="20" t="s">
        <v>114</v>
      </c>
      <c r="F327" s="20" t="s">
        <v>164</v>
      </c>
      <c r="G327" s="20" t="s">
        <v>5077</v>
      </c>
      <c r="H327" s="20" t="s">
        <v>5083</v>
      </c>
      <c r="I327" s="20">
        <v>2</v>
      </c>
      <c r="J327" s="20" t="s">
        <v>5084</v>
      </c>
      <c r="K327" s="20" t="s">
        <v>5086</v>
      </c>
      <c r="L327" s="20" t="s">
        <v>231</v>
      </c>
      <c r="M327" s="20" t="s">
        <v>164</v>
      </c>
      <c r="N327" s="20" t="s">
        <v>170</v>
      </c>
      <c r="P327" s="20" t="s">
        <v>164</v>
      </c>
      <c r="Q327" s="20" t="s">
        <v>171</v>
      </c>
      <c r="R327" s="20" t="s">
        <v>84</v>
      </c>
      <c r="S327" s="20">
        <v>5</v>
      </c>
      <c r="T327" s="20" t="s">
        <v>106</v>
      </c>
      <c r="U327" s="20" t="s">
        <v>107</v>
      </c>
      <c r="V327" s="20" t="s">
        <v>87</v>
      </c>
      <c r="W327" s="20">
        <v>519</v>
      </c>
      <c r="X327" s="20">
        <v>519</v>
      </c>
      <c r="Y327" s="20" t="s">
        <v>232</v>
      </c>
      <c r="Z327" s="20">
        <v>0</v>
      </c>
      <c r="AA327" s="20" t="s">
        <v>233</v>
      </c>
      <c r="AB327" s="20" t="s">
        <v>101</v>
      </c>
      <c r="AC327" s="20" t="s">
        <v>102</v>
      </c>
      <c r="AD327" s="20" t="s">
        <v>234</v>
      </c>
      <c r="AE327" s="20" t="s">
        <v>400</v>
      </c>
      <c r="AF327" s="20">
        <v>0</v>
      </c>
      <c r="AG327" s="20" t="s">
        <v>2637</v>
      </c>
      <c r="AH327" s="20">
        <v>1</v>
      </c>
      <c r="AI327" s="4" t="s">
        <v>97</v>
      </c>
      <c r="AJ327" s="20">
        <v>200</v>
      </c>
      <c r="AK327" s="4" t="s">
        <v>179</v>
      </c>
      <c r="AL327" s="4">
        <v>34</v>
      </c>
      <c r="AM327" s="4">
        <v>34</v>
      </c>
      <c r="AN327" s="4" t="s">
        <v>95</v>
      </c>
      <c r="AO327" s="4" t="s">
        <v>96</v>
      </c>
      <c r="AP327" s="4">
        <v>1</v>
      </c>
      <c r="AQ327" s="20">
        <v>45000</v>
      </c>
      <c r="AR327" s="4">
        <v>41942</v>
      </c>
      <c r="AS327" s="20">
        <v>6818.1818181818171</v>
      </c>
      <c r="AT327" s="20">
        <v>7865.7800000000007</v>
      </c>
      <c r="AU327" s="20">
        <v>1047.5981818181835</v>
      </c>
      <c r="AV327" s="20">
        <v>2003</v>
      </c>
      <c r="AW327" s="20">
        <v>0</v>
      </c>
      <c r="AX327" s="20" t="s">
        <v>91</v>
      </c>
      <c r="AY327" s="20">
        <v>2003</v>
      </c>
      <c r="AZ327" s="20">
        <v>4.7</v>
      </c>
      <c r="BA327" s="20">
        <v>0</v>
      </c>
      <c r="BB327" s="6">
        <v>41943</v>
      </c>
      <c r="BC327" s="6">
        <v>0</v>
      </c>
      <c r="BD327" s="6">
        <v>41977</v>
      </c>
      <c r="BE327" s="6">
        <v>0</v>
      </c>
      <c r="BF327" s="6">
        <v>41988</v>
      </c>
      <c r="BG327" s="6">
        <v>0</v>
      </c>
      <c r="BH327" s="6">
        <v>0</v>
      </c>
      <c r="BI327" s="6">
        <v>0</v>
      </c>
      <c r="BJ327" s="6">
        <v>0</v>
      </c>
      <c r="BK327" s="4">
        <v>0</v>
      </c>
      <c r="BL327" s="4">
        <v>0</v>
      </c>
      <c r="BM327" s="20">
        <v>200</v>
      </c>
      <c r="BN327" s="20">
        <v>0</v>
      </c>
      <c r="BO327" s="20">
        <v>0</v>
      </c>
      <c r="BP327" s="20">
        <v>0</v>
      </c>
      <c r="BQ327" s="20">
        <v>0</v>
      </c>
      <c r="BR327" s="20">
        <v>0</v>
      </c>
      <c r="BS327" s="20">
        <v>200</v>
      </c>
      <c r="BT327" s="20">
        <v>1573156.0000000002</v>
      </c>
      <c r="BU327" s="20">
        <v>9000000</v>
      </c>
      <c r="BV327" s="20">
        <v>5.2008943689107632</v>
      </c>
    </row>
    <row r="328" spans="1:74">
      <c r="A328" s="10">
        <f t="shared" si="22"/>
        <v>0</v>
      </c>
      <c r="B328" s="10">
        <f t="shared" si="23"/>
        <v>0</v>
      </c>
      <c r="C328" s="12">
        <f t="shared" si="24"/>
        <v>10</v>
      </c>
      <c r="D328" s="12">
        <f t="shared" si="25"/>
        <v>12</v>
      </c>
      <c r="E328" s="20" t="s">
        <v>114</v>
      </c>
      <c r="F328" s="20" t="s">
        <v>164</v>
      </c>
      <c r="G328" s="20" t="s">
        <v>5077</v>
      </c>
      <c r="H328" s="20" t="s">
        <v>5083</v>
      </c>
      <c r="I328" s="20">
        <v>2</v>
      </c>
      <c r="J328" s="20" t="s">
        <v>5084</v>
      </c>
      <c r="K328" s="20" t="s">
        <v>5087</v>
      </c>
      <c r="L328" s="20" t="s">
        <v>231</v>
      </c>
      <c r="M328" s="20" t="s">
        <v>164</v>
      </c>
      <c r="N328" s="20" t="s">
        <v>170</v>
      </c>
      <c r="P328" s="20" t="s">
        <v>164</v>
      </c>
      <c r="Q328" s="20" t="s">
        <v>171</v>
      </c>
      <c r="R328" s="20" t="s">
        <v>84</v>
      </c>
      <c r="S328" s="20">
        <v>5</v>
      </c>
      <c r="T328" s="20" t="s">
        <v>106</v>
      </c>
      <c r="U328" s="20" t="s">
        <v>107</v>
      </c>
      <c r="V328" s="20" t="s">
        <v>87</v>
      </c>
      <c r="W328" s="20">
        <v>519</v>
      </c>
      <c r="X328" s="20">
        <v>519</v>
      </c>
      <c r="Y328" s="20" t="s">
        <v>232</v>
      </c>
      <c r="Z328" s="20">
        <v>0</v>
      </c>
      <c r="AA328" s="20" t="s">
        <v>233</v>
      </c>
      <c r="AB328" s="20" t="s">
        <v>101</v>
      </c>
      <c r="AC328" s="20" t="s">
        <v>102</v>
      </c>
      <c r="AD328" s="20" t="s">
        <v>234</v>
      </c>
      <c r="AE328" s="20" t="s">
        <v>400</v>
      </c>
      <c r="AF328" s="20">
        <v>0</v>
      </c>
      <c r="AG328" s="20" t="s">
        <v>2637</v>
      </c>
      <c r="AH328" s="20">
        <v>1</v>
      </c>
      <c r="AI328" s="4" t="s">
        <v>98</v>
      </c>
      <c r="AJ328" s="20">
        <v>40</v>
      </c>
      <c r="AK328" s="4" t="s">
        <v>179</v>
      </c>
      <c r="AL328" s="4">
        <v>34</v>
      </c>
      <c r="AM328" s="4">
        <v>34</v>
      </c>
      <c r="AN328" s="4" t="s">
        <v>95</v>
      </c>
      <c r="AO328" s="4" t="s">
        <v>96</v>
      </c>
      <c r="AP328" s="4">
        <v>1</v>
      </c>
      <c r="AQ328" s="20">
        <v>45000</v>
      </c>
      <c r="AR328" s="4">
        <v>41942</v>
      </c>
      <c r="AS328" s="20">
        <v>6818.1818181818171</v>
      </c>
      <c r="AT328" s="20">
        <v>7865.7800000000007</v>
      </c>
      <c r="AU328" s="20">
        <v>1047.5981818181835</v>
      </c>
      <c r="AV328" s="20">
        <v>2003</v>
      </c>
      <c r="AW328" s="20">
        <v>0</v>
      </c>
      <c r="AX328" s="20" t="s">
        <v>91</v>
      </c>
      <c r="AY328" s="20">
        <v>2003</v>
      </c>
      <c r="AZ328" s="20">
        <v>4.7</v>
      </c>
      <c r="BA328" s="20">
        <v>0</v>
      </c>
      <c r="BB328" s="6">
        <v>41943</v>
      </c>
      <c r="BC328" s="6">
        <v>0</v>
      </c>
      <c r="BD328" s="6">
        <v>41977</v>
      </c>
      <c r="BE328" s="6">
        <v>0</v>
      </c>
      <c r="BF328" s="6">
        <v>41988</v>
      </c>
      <c r="BG328" s="6">
        <v>0</v>
      </c>
      <c r="BH328" s="6">
        <v>0</v>
      </c>
      <c r="BI328" s="6">
        <v>0</v>
      </c>
      <c r="BJ328" s="6">
        <v>0</v>
      </c>
      <c r="BK328" s="4">
        <v>0</v>
      </c>
      <c r="BL328" s="4">
        <v>0</v>
      </c>
      <c r="BM328" s="20">
        <v>40</v>
      </c>
      <c r="BN328" s="20">
        <v>0</v>
      </c>
      <c r="BO328" s="20">
        <v>0</v>
      </c>
      <c r="BP328" s="20">
        <v>0</v>
      </c>
      <c r="BQ328" s="20">
        <v>0</v>
      </c>
      <c r="BR328" s="20">
        <v>0</v>
      </c>
      <c r="BS328" s="20">
        <v>40</v>
      </c>
      <c r="BT328" s="20">
        <v>314631.2</v>
      </c>
      <c r="BU328" s="20">
        <v>1800000</v>
      </c>
      <c r="BV328" s="20">
        <v>5.2008943689107632</v>
      </c>
    </row>
    <row r="329" spans="1:74">
      <c r="A329" s="10">
        <f t="shared" si="22"/>
        <v>0</v>
      </c>
      <c r="B329" s="10">
        <f t="shared" si="23"/>
        <v>0</v>
      </c>
      <c r="C329" s="12" t="str">
        <f t="shared" si="24"/>
        <v/>
      </c>
      <c r="D329" s="12" t="str">
        <f t="shared" si="25"/>
        <v/>
      </c>
      <c r="E329" s="20" t="s">
        <v>91</v>
      </c>
      <c r="F329" s="20" t="s">
        <v>91</v>
      </c>
      <c r="G329" s="20" t="s">
        <v>91</v>
      </c>
      <c r="H329" s="20" t="s">
        <v>91</v>
      </c>
      <c r="I329" s="20">
        <v>0</v>
      </c>
      <c r="J329" s="20" t="s">
        <v>103</v>
      </c>
      <c r="K329" s="20" t="s">
        <v>104</v>
      </c>
      <c r="L329" s="20">
        <v>0</v>
      </c>
      <c r="M329" s="20" t="s">
        <v>105</v>
      </c>
      <c r="N329" s="20" t="s">
        <v>91</v>
      </c>
      <c r="O329" s="20" t="s">
        <v>5088</v>
      </c>
      <c r="Q329" s="20" t="s">
        <v>91</v>
      </c>
      <c r="R329" s="20" t="s">
        <v>91</v>
      </c>
      <c r="S329" s="20" t="s">
        <v>91</v>
      </c>
      <c r="U329" s="20" t="s">
        <v>91</v>
      </c>
      <c r="V329" s="20" t="s">
        <v>87</v>
      </c>
      <c r="X329" s="20" t="s">
        <v>91</v>
      </c>
      <c r="Y329" s="20" t="s">
        <v>91</v>
      </c>
      <c r="Z329" s="20">
        <v>0</v>
      </c>
      <c r="AB329" s="20" t="s">
        <v>91</v>
      </c>
      <c r="AD329" s="20" t="s">
        <v>91</v>
      </c>
      <c r="AE329" s="20" t="s">
        <v>91</v>
      </c>
      <c r="AF329" s="20">
        <v>0</v>
      </c>
      <c r="AG329" s="20">
        <v>0</v>
      </c>
      <c r="AH329" s="20">
        <v>1</v>
      </c>
      <c r="AM329" s="4" t="s">
        <v>91</v>
      </c>
      <c r="AP329" s="4" t="s">
        <v>91</v>
      </c>
      <c r="AQ329" s="20">
        <v>0</v>
      </c>
      <c r="AR329" s="4">
        <v>0</v>
      </c>
      <c r="AS329" s="20">
        <v>0</v>
      </c>
      <c r="AT329" s="20">
        <v>0</v>
      </c>
      <c r="AU329" s="20">
        <v>0</v>
      </c>
      <c r="AV329" s="20">
        <v>0</v>
      </c>
      <c r="AW329" s="20">
        <v>0</v>
      </c>
      <c r="AX329" s="20" t="s">
        <v>91</v>
      </c>
      <c r="AY329" s="20">
        <v>0</v>
      </c>
      <c r="AZ329" s="20">
        <v>0</v>
      </c>
      <c r="BA329" s="20">
        <v>0</v>
      </c>
      <c r="BB329" s="6">
        <v>0</v>
      </c>
      <c r="BC329" s="6">
        <v>0</v>
      </c>
      <c r="BD329" s="6">
        <v>0</v>
      </c>
      <c r="BE329" s="6">
        <v>0</v>
      </c>
      <c r="BF329" s="6">
        <v>0</v>
      </c>
      <c r="BG329" s="6">
        <v>0</v>
      </c>
      <c r="BH329" s="6">
        <v>0</v>
      </c>
      <c r="BI329" s="6">
        <v>0</v>
      </c>
      <c r="BJ329" s="6">
        <v>0</v>
      </c>
      <c r="BK329" s="4">
        <v>0</v>
      </c>
      <c r="BL329" s="4">
        <v>0</v>
      </c>
      <c r="BM329" s="20">
        <v>880</v>
      </c>
      <c r="BN329" s="20">
        <v>0</v>
      </c>
      <c r="BO329" s="20">
        <v>0</v>
      </c>
      <c r="BP329" s="20">
        <v>0</v>
      </c>
      <c r="BQ329" s="20">
        <v>0</v>
      </c>
      <c r="BR329" s="20">
        <v>0</v>
      </c>
      <c r="BS329" s="20">
        <v>880</v>
      </c>
      <c r="BT329" s="20">
        <v>6713950.0000000009</v>
      </c>
      <c r="BU329" s="20">
        <v>39600000</v>
      </c>
      <c r="BV329" s="20">
        <v>5.3619702261708815</v>
      </c>
    </row>
    <row r="330" spans="1:74">
      <c r="A330" s="10">
        <f t="shared" si="22"/>
        <v>0</v>
      </c>
      <c r="B330" s="10">
        <f t="shared" si="23"/>
        <v>0</v>
      </c>
      <c r="C330" s="12">
        <f t="shared" si="24"/>
        <v>3</v>
      </c>
      <c r="D330" s="12">
        <f t="shared" si="25"/>
        <v>9</v>
      </c>
      <c r="E330" s="20" t="s">
        <v>386</v>
      </c>
      <c r="F330" s="20" t="s">
        <v>387</v>
      </c>
      <c r="G330" s="20" t="s">
        <v>388</v>
      </c>
      <c r="H330" s="20" t="s">
        <v>389</v>
      </c>
      <c r="I330" s="20">
        <v>1</v>
      </c>
      <c r="J330" s="20" t="s">
        <v>390</v>
      </c>
      <c r="K330" s="20" t="s">
        <v>391</v>
      </c>
      <c r="L330" s="20" t="s">
        <v>392</v>
      </c>
      <c r="M330" s="20" t="s">
        <v>387</v>
      </c>
      <c r="N330" s="20" t="s">
        <v>393</v>
      </c>
      <c r="P330" s="20" t="s">
        <v>387</v>
      </c>
      <c r="Q330" s="20" t="s">
        <v>394</v>
      </c>
      <c r="R330" s="20" t="s">
        <v>84</v>
      </c>
      <c r="S330" s="20">
        <v>5</v>
      </c>
      <c r="T330" s="20" t="s">
        <v>395</v>
      </c>
      <c r="U330" s="20" t="s">
        <v>396</v>
      </c>
      <c r="V330" s="20" t="s">
        <v>87</v>
      </c>
      <c r="W330" s="20">
        <v>803</v>
      </c>
      <c r="X330" s="20">
        <v>803</v>
      </c>
      <c r="Y330" s="20" t="s">
        <v>397</v>
      </c>
      <c r="Z330" s="20">
        <v>1</v>
      </c>
      <c r="AA330" s="20" t="s">
        <v>398</v>
      </c>
      <c r="AB330" s="20" t="s">
        <v>139</v>
      </c>
      <c r="AC330" s="20" t="s">
        <v>140</v>
      </c>
      <c r="AD330" s="20" t="s">
        <v>399</v>
      </c>
      <c r="AE330" s="20" t="s">
        <v>400</v>
      </c>
      <c r="AF330" s="20">
        <v>1</v>
      </c>
      <c r="AG330" s="20">
        <v>0</v>
      </c>
      <c r="AH330" s="20">
        <v>1</v>
      </c>
      <c r="AI330" s="4" t="s">
        <v>251</v>
      </c>
      <c r="AJ330" s="20">
        <v>250</v>
      </c>
      <c r="AK330" s="4" t="s">
        <v>179</v>
      </c>
      <c r="AL330" s="4">
        <v>2</v>
      </c>
      <c r="AM330" s="4" t="s">
        <v>94</v>
      </c>
      <c r="AN330" s="4" t="s">
        <v>95</v>
      </c>
      <c r="AO330" s="4" t="s">
        <v>96</v>
      </c>
      <c r="AP330" s="4">
        <v>1</v>
      </c>
      <c r="AQ330" s="20">
        <v>55000</v>
      </c>
      <c r="AR330" s="4">
        <v>41710</v>
      </c>
      <c r="AS330" s="20">
        <v>8333.3333333333321</v>
      </c>
      <c r="AT330" s="20">
        <v>8989.4300000000021</v>
      </c>
      <c r="AU330" s="20">
        <v>656.09666666666999</v>
      </c>
      <c r="AW330" s="20">
        <v>300</v>
      </c>
      <c r="AX330" s="20">
        <v>20</v>
      </c>
      <c r="AY330" s="20">
        <v>320</v>
      </c>
      <c r="AZ330" s="20">
        <v>6.95</v>
      </c>
      <c r="BB330" s="6">
        <v>41711</v>
      </c>
      <c r="BD330" s="6">
        <v>41858</v>
      </c>
      <c r="BE330" s="6">
        <v>41858</v>
      </c>
      <c r="BF330" s="6">
        <v>41887</v>
      </c>
      <c r="BK330" s="4" t="s">
        <v>401</v>
      </c>
      <c r="BL330" s="4" t="s">
        <v>401</v>
      </c>
      <c r="BM330" s="20">
        <v>250</v>
      </c>
      <c r="BN330" s="20">
        <v>0</v>
      </c>
      <c r="BO330" s="20">
        <v>0</v>
      </c>
      <c r="BP330" s="20">
        <v>0</v>
      </c>
      <c r="BQ330" s="20">
        <v>0</v>
      </c>
      <c r="BR330" s="20">
        <v>0</v>
      </c>
      <c r="BS330" s="20">
        <v>250</v>
      </c>
      <c r="BT330" s="20">
        <v>2247357.5000000005</v>
      </c>
      <c r="BU330" s="20">
        <v>13750000</v>
      </c>
      <c r="BV330" s="20">
        <v>5.5620879188113133</v>
      </c>
    </row>
    <row r="331" spans="1:74">
      <c r="A331" s="10">
        <f t="shared" si="22"/>
        <v>0</v>
      </c>
      <c r="B331" s="10">
        <f t="shared" si="23"/>
        <v>0</v>
      </c>
      <c r="C331" s="12">
        <f t="shared" si="24"/>
        <v>3</v>
      </c>
      <c r="D331" s="12">
        <f t="shared" si="25"/>
        <v>9</v>
      </c>
      <c r="E331" s="20" t="s">
        <v>386</v>
      </c>
      <c r="F331" s="20" t="s">
        <v>387</v>
      </c>
      <c r="G331" s="20" t="s">
        <v>388</v>
      </c>
      <c r="H331" s="20" t="s">
        <v>402</v>
      </c>
      <c r="I331" s="20">
        <v>2</v>
      </c>
      <c r="J331" s="20" t="s">
        <v>403</v>
      </c>
      <c r="K331" s="20" t="s">
        <v>404</v>
      </c>
      <c r="L331" s="20" t="s">
        <v>405</v>
      </c>
      <c r="M331" s="20" t="s">
        <v>387</v>
      </c>
      <c r="N331" s="20" t="s">
        <v>393</v>
      </c>
      <c r="P331" s="20" t="s">
        <v>387</v>
      </c>
      <c r="Q331" s="20" t="s">
        <v>394</v>
      </c>
      <c r="R331" s="20" t="s">
        <v>84</v>
      </c>
      <c r="S331" s="20">
        <v>5</v>
      </c>
      <c r="T331" s="20" t="s">
        <v>395</v>
      </c>
      <c r="U331" s="20" t="s">
        <v>396</v>
      </c>
      <c r="V331" s="20" t="s">
        <v>87</v>
      </c>
      <c r="W331" s="20">
        <v>804</v>
      </c>
      <c r="X331" s="20">
        <v>804</v>
      </c>
      <c r="Y331" s="20" t="s">
        <v>406</v>
      </c>
      <c r="Z331" s="20">
        <v>1</v>
      </c>
      <c r="AA331" s="20" t="s">
        <v>407</v>
      </c>
      <c r="AB331" s="20" t="s">
        <v>89</v>
      </c>
      <c r="AC331" s="20" t="s">
        <v>90</v>
      </c>
      <c r="AD331" s="20" t="s">
        <v>408</v>
      </c>
      <c r="AE331" s="20" t="s">
        <v>400</v>
      </c>
      <c r="AF331" s="20">
        <v>1</v>
      </c>
      <c r="AG331" s="20">
        <v>0</v>
      </c>
      <c r="AH331" s="20">
        <v>1</v>
      </c>
      <c r="AI331" s="4" t="s">
        <v>251</v>
      </c>
      <c r="AJ331" s="20">
        <v>250</v>
      </c>
      <c r="AK331" s="4" t="s">
        <v>179</v>
      </c>
      <c r="AL331" s="4">
        <v>2</v>
      </c>
      <c r="AM331" s="4" t="s">
        <v>94</v>
      </c>
      <c r="AN331" s="4" t="s">
        <v>95</v>
      </c>
      <c r="AO331" s="4" t="s">
        <v>96</v>
      </c>
      <c r="AP331" s="4">
        <v>1</v>
      </c>
      <c r="AQ331" s="20">
        <v>55000</v>
      </c>
      <c r="AR331" s="4">
        <v>41710</v>
      </c>
      <c r="AS331" s="20">
        <v>8333.3333333333321</v>
      </c>
      <c r="AT331" s="20">
        <v>8802.32</v>
      </c>
      <c r="AU331" s="20">
        <v>468.98666666666759</v>
      </c>
      <c r="AV331" s="20">
        <v>0</v>
      </c>
      <c r="AW331" s="20">
        <v>300</v>
      </c>
      <c r="AX331" s="20">
        <v>20</v>
      </c>
      <c r="AY331" s="20">
        <v>320</v>
      </c>
      <c r="AZ331" s="20">
        <v>6.8</v>
      </c>
      <c r="BA331" s="20">
        <v>0</v>
      </c>
      <c r="BB331" s="6">
        <v>41711</v>
      </c>
      <c r="BD331" s="6">
        <v>41858</v>
      </c>
      <c r="BE331" s="6">
        <v>41858</v>
      </c>
      <c r="BF331" s="6">
        <v>41887</v>
      </c>
      <c r="BG331" s="6">
        <v>0</v>
      </c>
      <c r="BH331" s="6">
        <v>0</v>
      </c>
      <c r="BI331" s="6">
        <v>0</v>
      </c>
      <c r="BJ331" s="6">
        <v>0</v>
      </c>
      <c r="BK331" s="4" t="s">
        <v>401</v>
      </c>
      <c r="BL331" s="4" t="s">
        <v>401</v>
      </c>
      <c r="BM331" s="20">
        <v>250</v>
      </c>
      <c r="BN331" s="20">
        <v>0</v>
      </c>
      <c r="BO331" s="20">
        <v>0</v>
      </c>
      <c r="BP331" s="20">
        <v>0</v>
      </c>
      <c r="BQ331" s="20">
        <v>0</v>
      </c>
      <c r="BR331" s="20">
        <v>0</v>
      </c>
      <c r="BS331" s="20">
        <v>250</v>
      </c>
      <c r="BT331" s="20">
        <v>2200580</v>
      </c>
      <c r="BU331" s="20">
        <v>13750000</v>
      </c>
      <c r="BV331" s="20">
        <v>5.6803206427396411</v>
      </c>
    </row>
    <row r="332" spans="1:74">
      <c r="A332" s="10">
        <f t="shared" si="22"/>
        <v>0</v>
      </c>
      <c r="B332" s="10">
        <f t="shared" si="23"/>
        <v>0</v>
      </c>
      <c r="C332" s="12">
        <f t="shared" si="24"/>
        <v>3</v>
      </c>
      <c r="D332" s="12">
        <f t="shared" si="25"/>
        <v>9</v>
      </c>
      <c r="E332" s="20" t="s">
        <v>386</v>
      </c>
      <c r="F332" s="20" t="s">
        <v>387</v>
      </c>
      <c r="G332" s="20" t="s">
        <v>388</v>
      </c>
      <c r="H332" s="20" t="s">
        <v>409</v>
      </c>
      <c r="I332" s="20">
        <v>3</v>
      </c>
      <c r="J332" s="20" t="s">
        <v>410</v>
      </c>
      <c r="K332" s="20" t="s">
        <v>411</v>
      </c>
      <c r="L332" s="20" t="s">
        <v>412</v>
      </c>
      <c r="M332" s="20" t="s">
        <v>387</v>
      </c>
      <c r="N332" s="20" t="s">
        <v>393</v>
      </c>
      <c r="P332" s="20" t="s">
        <v>387</v>
      </c>
      <c r="Q332" s="20" t="s">
        <v>394</v>
      </c>
      <c r="R332" s="20" t="s">
        <v>84</v>
      </c>
      <c r="S332" s="20">
        <v>5</v>
      </c>
      <c r="T332" s="20" t="s">
        <v>413</v>
      </c>
      <c r="U332" s="20" t="s">
        <v>414</v>
      </c>
      <c r="V332" s="20" t="s">
        <v>87</v>
      </c>
      <c r="W332" s="20">
        <v>806</v>
      </c>
      <c r="X332" s="20">
        <v>806</v>
      </c>
      <c r="Y332" s="20" t="s">
        <v>415</v>
      </c>
      <c r="Z332" s="20">
        <v>0.5</v>
      </c>
      <c r="AA332" s="20" t="s">
        <v>416</v>
      </c>
      <c r="AB332" s="20" t="s">
        <v>109</v>
      </c>
      <c r="AC332" s="20" t="s">
        <v>110</v>
      </c>
      <c r="AD332" s="20" t="s">
        <v>417</v>
      </c>
      <c r="AE332" s="20" t="s">
        <v>400</v>
      </c>
      <c r="AF332" s="20">
        <v>1</v>
      </c>
      <c r="AG332" s="20">
        <v>0</v>
      </c>
      <c r="AH332" s="20">
        <v>1</v>
      </c>
      <c r="AI332" s="4" t="s">
        <v>251</v>
      </c>
      <c r="AJ332" s="20">
        <v>250</v>
      </c>
      <c r="AK332" s="4" t="s">
        <v>179</v>
      </c>
      <c r="AL332" s="4">
        <v>2</v>
      </c>
      <c r="AM332" s="4" t="s">
        <v>94</v>
      </c>
      <c r="AN332" s="4" t="s">
        <v>95</v>
      </c>
      <c r="AO332" s="4" t="s">
        <v>96</v>
      </c>
      <c r="AP332" s="4">
        <v>1</v>
      </c>
      <c r="AQ332" s="20">
        <v>55000</v>
      </c>
      <c r="AR332" s="4">
        <v>41710</v>
      </c>
      <c r="AS332" s="20">
        <v>8333.3333333333321</v>
      </c>
      <c r="AT332" s="20">
        <v>10049.719999999999</v>
      </c>
      <c r="AU332" s="20">
        <v>1716.3866666666672</v>
      </c>
      <c r="AV332" s="20">
        <v>0</v>
      </c>
      <c r="AW332" s="20">
        <v>300</v>
      </c>
      <c r="AX332" s="20">
        <v>20</v>
      </c>
      <c r="AY332" s="20">
        <v>320</v>
      </c>
      <c r="AZ332" s="20">
        <v>7.8</v>
      </c>
      <c r="BA332" s="20">
        <v>0</v>
      </c>
      <c r="BB332" s="6">
        <v>41711</v>
      </c>
      <c r="BD332" s="6">
        <v>41858</v>
      </c>
      <c r="BE332" s="6">
        <v>41858</v>
      </c>
      <c r="BF332" s="6">
        <v>41887</v>
      </c>
      <c r="BG332" s="6">
        <v>0</v>
      </c>
      <c r="BH332" s="6">
        <v>0</v>
      </c>
      <c r="BI332" s="6">
        <v>0</v>
      </c>
      <c r="BJ332" s="6">
        <v>0</v>
      </c>
      <c r="BK332" s="4" t="s">
        <v>401</v>
      </c>
      <c r="BL332" s="4" t="s">
        <v>401</v>
      </c>
      <c r="BM332" s="20">
        <v>250</v>
      </c>
      <c r="BN332" s="20">
        <v>0</v>
      </c>
      <c r="BO332" s="20">
        <v>0</v>
      </c>
      <c r="BP332" s="20">
        <v>0</v>
      </c>
      <c r="BQ332" s="20">
        <v>0</v>
      </c>
      <c r="BR332" s="20">
        <v>0</v>
      </c>
      <c r="BS332" s="20">
        <v>250</v>
      </c>
      <c r="BT332" s="20">
        <v>2512430</v>
      </c>
      <c r="BU332" s="20">
        <v>13750000</v>
      </c>
      <c r="BV332" s="20">
        <v>4.9752629924017784</v>
      </c>
    </row>
    <row r="333" spans="1:74">
      <c r="A333" s="10">
        <f t="shared" si="22"/>
        <v>0</v>
      </c>
      <c r="B333" s="10">
        <f t="shared" si="23"/>
        <v>0</v>
      </c>
      <c r="C333" s="12">
        <f t="shared" si="24"/>
        <v>3</v>
      </c>
      <c r="D333" s="12">
        <f t="shared" si="25"/>
        <v>9</v>
      </c>
      <c r="E333" s="20" t="s">
        <v>386</v>
      </c>
      <c r="F333" s="20" t="s">
        <v>387</v>
      </c>
      <c r="G333" s="20" t="s">
        <v>388</v>
      </c>
      <c r="H333" s="20" t="s">
        <v>418</v>
      </c>
      <c r="I333" s="20">
        <v>4</v>
      </c>
      <c r="J333" s="20" t="s">
        <v>419</v>
      </c>
      <c r="K333" s="20" t="s">
        <v>420</v>
      </c>
      <c r="L333" s="20" t="s">
        <v>412</v>
      </c>
      <c r="M333" s="20" t="s">
        <v>387</v>
      </c>
      <c r="N333" s="20" t="s">
        <v>393</v>
      </c>
      <c r="P333" s="20" t="s">
        <v>387</v>
      </c>
      <c r="Q333" s="20" t="s">
        <v>394</v>
      </c>
      <c r="R333" s="20" t="s">
        <v>84</v>
      </c>
      <c r="S333" s="20">
        <v>5</v>
      </c>
      <c r="T333" s="20" t="s">
        <v>413</v>
      </c>
      <c r="U333" s="20" t="s">
        <v>414</v>
      </c>
      <c r="V333" s="20" t="s">
        <v>87</v>
      </c>
      <c r="W333" s="20">
        <v>806</v>
      </c>
      <c r="X333" s="20">
        <v>806</v>
      </c>
      <c r="Y333" s="20" t="s">
        <v>415</v>
      </c>
      <c r="Z333" s="20">
        <v>0.5</v>
      </c>
      <c r="AA333" s="20" t="s">
        <v>421</v>
      </c>
      <c r="AB333" s="20" t="s">
        <v>101</v>
      </c>
      <c r="AC333" s="20" t="s">
        <v>102</v>
      </c>
      <c r="AD333" s="20" t="s">
        <v>422</v>
      </c>
      <c r="AE333" s="20" t="s">
        <v>400</v>
      </c>
      <c r="AF333" s="20">
        <v>1</v>
      </c>
      <c r="AG333" s="20">
        <v>0</v>
      </c>
      <c r="AH333" s="20">
        <v>1</v>
      </c>
      <c r="AI333" s="4" t="s">
        <v>251</v>
      </c>
      <c r="AJ333" s="20">
        <v>250</v>
      </c>
      <c r="AK333" s="4" t="s">
        <v>179</v>
      </c>
      <c r="AL333" s="4">
        <v>2</v>
      </c>
      <c r="AM333" s="4" t="s">
        <v>94</v>
      </c>
      <c r="AN333" s="4" t="s">
        <v>95</v>
      </c>
      <c r="AO333" s="4" t="s">
        <v>96</v>
      </c>
      <c r="AP333" s="4">
        <v>1</v>
      </c>
      <c r="AQ333" s="20">
        <v>55000</v>
      </c>
      <c r="AR333" s="4">
        <v>41710</v>
      </c>
      <c r="AS333" s="20">
        <v>8333.3333333333321</v>
      </c>
      <c r="AT333" s="20">
        <v>10049.719999999999</v>
      </c>
      <c r="AU333" s="20">
        <v>1716.3866666666672</v>
      </c>
      <c r="AV333" s="20">
        <v>0</v>
      </c>
      <c r="AW333" s="20">
        <v>300</v>
      </c>
      <c r="AX333" s="20">
        <v>20</v>
      </c>
      <c r="AY333" s="20">
        <v>320</v>
      </c>
      <c r="AZ333" s="20">
        <v>7.8</v>
      </c>
      <c r="BA333" s="20">
        <v>0</v>
      </c>
      <c r="BB333" s="6">
        <v>41711</v>
      </c>
      <c r="BD333" s="6">
        <v>41858</v>
      </c>
      <c r="BE333" s="6">
        <v>41858</v>
      </c>
      <c r="BF333" s="6">
        <v>41887</v>
      </c>
      <c r="BG333" s="6">
        <v>0</v>
      </c>
      <c r="BH333" s="6">
        <v>0</v>
      </c>
      <c r="BI333" s="6">
        <v>0</v>
      </c>
      <c r="BJ333" s="6">
        <v>0</v>
      </c>
      <c r="BK333" s="4" t="s">
        <v>401</v>
      </c>
      <c r="BL333" s="4" t="s">
        <v>401</v>
      </c>
      <c r="BM333" s="20">
        <v>249</v>
      </c>
      <c r="BN333" s="20">
        <v>0</v>
      </c>
      <c r="BO333" s="20">
        <v>0</v>
      </c>
      <c r="BP333" s="20">
        <v>0</v>
      </c>
      <c r="BQ333" s="20">
        <v>0</v>
      </c>
      <c r="BR333" s="20">
        <v>0</v>
      </c>
      <c r="BS333" s="20">
        <v>250</v>
      </c>
      <c r="BT333" s="20">
        <v>2512430</v>
      </c>
      <c r="BU333" s="20">
        <v>13750000</v>
      </c>
      <c r="BV333" s="20">
        <v>4.9752629924017784</v>
      </c>
    </row>
    <row r="334" spans="1:74">
      <c r="A334" s="10">
        <f t="shared" si="22"/>
        <v>0</v>
      </c>
      <c r="B334" s="10">
        <f t="shared" si="23"/>
        <v>0</v>
      </c>
      <c r="C334" s="12" t="str">
        <f t="shared" si="24"/>
        <v/>
      </c>
      <c r="D334" s="12" t="str">
        <f t="shared" si="25"/>
        <v/>
      </c>
      <c r="E334" s="20" t="s">
        <v>91</v>
      </c>
      <c r="F334" s="20" t="s">
        <v>91</v>
      </c>
      <c r="G334" s="20" t="s">
        <v>91</v>
      </c>
      <c r="H334" s="20" t="s">
        <v>91</v>
      </c>
      <c r="I334" s="20">
        <v>0</v>
      </c>
      <c r="J334" s="20" t="s">
        <v>103</v>
      </c>
      <c r="K334" s="20" t="s">
        <v>104</v>
      </c>
      <c r="L334" s="20">
        <v>0</v>
      </c>
      <c r="M334" s="20" t="s">
        <v>105</v>
      </c>
      <c r="N334" s="20" t="s">
        <v>91</v>
      </c>
      <c r="O334" s="20" t="s">
        <v>423</v>
      </c>
      <c r="Q334" s="20" t="s">
        <v>91</v>
      </c>
      <c r="R334" s="20" t="s">
        <v>91</v>
      </c>
      <c r="S334" s="20" t="s">
        <v>91</v>
      </c>
      <c r="U334" s="20" t="s">
        <v>91</v>
      </c>
      <c r="X334" s="20" t="s">
        <v>91</v>
      </c>
      <c r="Y334" s="20" t="s">
        <v>91</v>
      </c>
      <c r="Z334" s="20">
        <v>3</v>
      </c>
      <c r="AB334" s="20" t="s">
        <v>91</v>
      </c>
      <c r="AD334" s="20" t="s">
        <v>91</v>
      </c>
      <c r="AE334" s="20" t="s">
        <v>91</v>
      </c>
      <c r="AF334" s="20">
        <v>4</v>
      </c>
      <c r="AG334" s="20">
        <v>0</v>
      </c>
      <c r="AH334" s="20">
        <v>1</v>
      </c>
      <c r="AM334" s="4" t="s">
        <v>91</v>
      </c>
      <c r="AP334" s="4" t="s">
        <v>91</v>
      </c>
      <c r="AQ334" s="20">
        <v>0</v>
      </c>
      <c r="AR334" s="4">
        <v>0</v>
      </c>
      <c r="AS334" s="20">
        <v>0</v>
      </c>
      <c r="AT334" s="20">
        <v>0</v>
      </c>
      <c r="AU334" s="20">
        <v>0</v>
      </c>
      <c r="AV334" s="20">
        <v>0</v>
      </c>
      <c r="AW334" s="20">
        <v>0</v>
      </c>
      <c r="AX334" s="20" t="s">
        <v>91</v>
      </c>
      <c r="AY334" s="20">
        <v>0</v>
      </c>
      <c r="AZ334" s="20">
        <v>0</v>
      </c>
      <c r="BA334" s="20">
        <v>0</v>
      </c>
      <c r="BB334" s="6">
        <v>0</v>
      </c>
      <c r="BC334" s="6">
        <v>0</v>
      </c>
      <c r="BD334" s="6">
        <v>0</v>
      </c>
      <c r="BE334" s="6">
        <v>0</v>
      </c>
      <c r="BF334" s="6">
        <v>0</v>
      </c>
      <c r="BG334" s="6">
        <v>0</v>
      </c>
      <c r="BH334" s="6">
        <v>0</v>
      </c>
      <c r="BI334" s="6">
        <v>0</v>
      </c>
      <c r="BJ334" s="6">
        <v>0</v>
      </c>
      <c r="BK334" s="4">
        <v>0</v>
      </c>
      <c r="BL334" s="4">
        <v>0</v>
      </c>
      <c r="BM334" s="20">
        <v>999</v>
      </c>
      <c r="BN334" s="20">
        <v>0</v>
      </c>
      <c r="BO334" s="20">
        <v>0</v>
      </c>
      <c r="BP334" s="20">
        <v>0</v>
      </c>
      <c r="BQ334" s="20">
        <v>0</v>
      </c>
      <c r="BR334" s="20">
        <v>0</v>
      </c>
      <c r="BS334" s="20">
        <v>1000</v>
      </c>
      <c r="BT334" s="20">
        <v>9472797.5</v>
      </c>
      <c r="BU334" s="20">
        <v>55000000</v>
      </c>
      <c r="BV334" s="20">
        <v>5.2782718093572676</v>
      </c>
    </row>
    <row r="335" spans="1:74">
      <c r="A335" s="10">
        <f t="shared" si="22"/>
        <v>0</v>
      </c>
      <c r="B335" s="10">
        <f t="shared" si="23"/>
        <v>0.33333333333333331</v>
      </c>
      <c r="C335" s="12">
        <f t="shared" si="24"/>
        <v>4</v>
      </c>
      <c r="D335" s="12">
        <f t="shared" si="25"/>
        <v>8</v>
      </c>
      <c r="E335" s="20" t="s">
        <v>424</v>
      </c>
      <c r="F335" s="20" t="s">
        <v>425</v>
      </c>
      <c r="G335" s="20" t="s">
        <v>426</v>
      </c>
      <c r="H335" s="20" t="s">
        <v>427</v>
      </c>
      <c r="I335" s="20">
        <v>1</v>
      </c>
      <c r="J335" s="20" t="s">
        <v>428</v>
      </c>
      <c r="K335" s="20" t="s">
        <v>429</v>
      </c>
      <c r="L335" s="20" t="s">
        <v>430</v>
      </c>
      <c r="M335" s="20" t="s">
        <v>425</v>
      </c>
      <c r="N335" s="20" t="s">
        <v>431</v>
      </c>
      <c r="P335" s="20" t="s">
        <v>425</v>
      </c>
      <c r="Q335" s="20" t="s">
        <v>432</v>
      </c>
      <c r="R335" s="20" t="s">
        <v>84</v>
      </c>
      <c r="S335" s="20">
        <v>5</v>
      </c>
      <c r="T335" s="20" t="s">
        <v>106</v>
      </c>
      <c r="U335" s="20" t="s">
        <v>107</v>
      </c>
      <c r="V335" s="20" t="s">
        <v>87</v>
      </c>
      <c r="W335" s="20">
        <v>501</v>
      </c>
      <c r="X335" s="20">
        <v>501</v>
      </c>
      <c r="Y335" s="20" t="s">
        <v>433</v>
      </c>
      <c r="Z335" s="20">
        <v>0.33333333333333331</v>
      </c>
      <c r="AA335" s="20" t="s">
        <v>434</v>
      </c>
      <c r="AB335" s="20" t="s">
        <v>435</v>
      </c>
      <c r="AC335" s="20" t="s">
        <v>436</v>
      </c>
      <c r="AD335" s="20" t="s">
        <v>437</v>
      </c>
      <c r="AE335" s="20" t="s">
        <v>91</v>
      </c>
      <c r="AF335" s="20">
        <v>0.33333333333333331</v>
      </c>
      <c r="AG335" s="20">
        <v>0</v>
      </c>
      <c r="AH335" s="20">
        <v>1</v>
      </c>
      <c r="AI335" s="4" t="s">
        <v>92</v>
      </c>
      <c r="AJ335" s="20">
        <v>200</v>
      </c>
      <c r="AK335" s="4" t="s">
        <v>179</v>
      </c>
      <c r="AL335" s="4">
        <v>3</v>
      </c>
      <c r="AM335" s="4" t="s">
        <v>438</v>
      </c>
      <c r="AN335" s="4" t="s">
        <v>95</v>
      </c>
      <c r="AO335" s="4" t="s">
        <v>96</v>
      </c>
      <c r="AP335" s="4">
        <v>1</v>
      </c>
      <c r="AQ335" s="20">
        <v>45000</v>
      </c>
      <c r="AR335" s="4">
        <v>41820</v>
      </c>
      <c r="AS335" s="20">
        <v>6818.1818181818171</v>
      </c>
      <c r="AT335" s="20">
        <v>6797.3890909090924</v>
      </c>
      <c r="AU335" s="20">
        <v>-20.792727272724733</v>
      </c>
      <c r="AV335" s="20">
        <v>290.90909090909093</v>
      </c>
      <c r="AW335" s="20">
        <v>0</v>
      </c>
      <c r="AX335" s="20">
        <v>20</v>
      </c>
      <c r="AY335" s="20">
        <v>310.90909090909093</v>
      </c>
      <c r="AZ335" s="20">
        <v>5.2</v>
      </c>
      <c r="BA335" s="20">
        <v>0</v>
      </c>
      <c r="BB335" s="6">
        <v>41738</v>
      </c>
      <c r="BD335" s="6">
        <v>41844</v>
      </c>
      <c r="BE335" s="6">
        <v>41844</v>
      </c>
      <c r="BF335" s="6">
        <v>41878</v>
      </c>
      <c r="BG335" s="6">
        <v>0</v>
      </c>
      <c r="BH335" s="6">
        <v>0</v>
      </c>
      <c r="BI335" s="6">
        <v>0</v>
      </c>
      <c r="BJ335" s="6">
        <v>0</v>
      </c>
      <c r="BK335" s="4" t="s">
        <v>401</v>
      </c>
      <c r="BL335" s="4" t="s">
        <v>401</v>
      </c>
      <c r="BM335" s="20">
        <v>200</v>
      </c>
      <c r="BN335" s="20">
        <v>0</v>
      </c>
      <c r="BO335" s="20">
        <v>0</v>
      </c>
      <c r="BP335" s="20">
        <v>0</v>
      </c>
      <c r="BQ335" s="20">
        <v>0</v>
      </c>
      <c r="BR335" s="20">
        <v>0</v>
      </c>
      <c r="BS335" s="20">
        <v>200</v>
      </c>
      <c r="BT335" s="20">
        <v>1359477.8181818186</v>
      </c>
      <c r="BU335" s="20">
        <v>9000000</v>
      </c>
      <c r="BV335" s="20">
        <v>6.0183535710502722</v>
      </c>
    </row>
    <row r="336" spans="1:74">
      <c r="A336" s="10">
        <f t="shared" si="22"/>
        <v>0</v>
      </c>
      <c r="B336" s="10">
        <f t="shared" si="23"/>
        <v>0.33333333333333331</v>
      </c>
      <c r="C336" s="12">
        <f t="shared" si="24"/>
        <v>4</v>
      </c>
      <c r="D336" s="12">
        <f t="shared" si="25"/>
        <v>8</v>
      </c>
      <c r="E336" s="20" t="s">
        <v>424</v>
      </c>
      <c r="F336" s="20" t="s">
        <v>425</v>
      </c>
      <c r="G336" s="20" t="s">
        <v>426</v>
      </c>
      <c r="H336" s="20" t="s">
        <v>427</v>
      </c>
      <c r="I336" s="20">
        <v>1</v>
      </c>
      <c r="J336" s="20" t="s">
        <v>428</v>
      </c>
      <c r="K336" s="20" t="s">
        <v>439</v>
      </c>
      <c r="L336" s="20" t="s">
        <v>430</v>
      </c>
      <c r="M336" s="20" t="s">
        <v>425</v>
      </c>
      <c r="N336" s="20" t="s">
        <v>431</v>
      </c>
      <c r="P336" s="20" t="s">
        <v>425</v>
      </c>
      <c r="Q336" s="20" t="s">
        <v>432</v>
      </c>
      <c r="R336" s="20" t="s">
        <v>84</v>
      </c>
      <c r="S336" s="20">
        <v>5</v>
      </c>
      <c r="T336" s="20" t="s">
        <v>106</v>
      </c>
      <c r="U336" s="20" t="s">
        <v>107</v>
      </c>
      <c r="V336" s="20" t="s">
        <v>87</v>
      </c>
      <c r="W336" s="20">
        <v>501</v>
      </c>
      <c r="X336" s="20">
        <v>501</v>
      </c>
      <c r="Y336" s="20" t="s">
        <v>433</v>
      </c>
      <c r="Z336" s="20">
        <v>0.33333333333333331</v>
      </c>
      <c r="AA336" s="20" t="s">
        <v>434</v>
      </c>
      <c r="AB336" s="20" t="s">
        <v>435</v>
      </c>
      <c r="AC336" s="20" t="s">
        <v>436</v>
      </c>
      <c r="AD336" s="20" t="s">
        <v>437</v>
      </c>
      <c r="AE336" s="20" t="s">
        <v>91</v>
      </c>
      <c r="AF336" s="20">
        <v>0.33333333333333331</v>
      </c>
      <c r="AG336" s="20">
        <v>0</v>
      </c>
      <c r="AH336" s="20">
        <v>1</v>
      </c>
      <c r="AI336" s="4" t="s">
        <v>97</v>
      </c>
      <c r="AJ336" s="20">
        <v>200</v>
      </c>
      <c r="AK336" s="4" t="s">
        <v>179</v>
      </c>
      <c r="AL336" s="4">
        <v>3</v>
      </c>
      <c r="AM336" s="4" t="s">
        <v>438</v>
      </c>
      <c r="AN336" s="4" t="s">
        <v>95</v>
      </c>
      <c r="AO336" s="4" t="s">
        <v>96</v>
      </c>
      <c r="AP336" s="4">
        <v>1</v>
      </c>
      <c r="AQ336" s="20">
        <v>45000</v>
      </c>
      <c r="AR336" s="4">
        <v>41820</v>
      </c>
      <c r="AS336" s="20">
        <v>6818.1818181818171</v>
      </c>
      <c r="AT336" s="20">
        <v>6797.3890909090924</v>
      </c>
      <c r="AU336" s="20">
        <v>-20.792727272724733</v>
      </c>
      <c r="AV336" s="20">
        <v>290.90909090909093</v>
      </c>
      <c r="AW336" s="20">
        <v>0</v>
      </c>
      <c r="AX336" s="20">
        <v>20</v>
      </c>
      <c r="AY336" s="20">
        <v>310.90909090909093</v>
      </c>
      <c r="AZ336" s="20">
        <v>5.2</v>
      </c>
      <c r="BA336" s="20">
        <v>0</v>
      </c>
      <c r="BB336" s="6">
        <v>41738</v>
      </c>
      <c r="BD336" s="6">
        <v>41844</v>
      </c>
      <c r="BE336" s="6">
        <v>41844</v>
      </c>
      <c r="BF336" s="6">
        <v>41878</v>
      </c>
      <c r="BG336" s="6">
        <v>0</v>
      </c>
      <c r="BH336" s="6">
        <v>0</v>
      </c>
      <c r="BI336" s="6">
        <v>0</v>
      </c>
      <c r="BJ336" s="6">
        <v>0</v>
      </c>
      <c r="BK336" s="4" t="s">
        <v>401</v>
      </c>
      <c r="BL336" s="4" t="s">
        <v>401</v>
      </c>
      <c r="BM336" s="20">
        <v>199</v>
      </c>
      <c r="BN336" s="20">
        <v>0</v>
      </c>
      <c r="BO336" s="20">
        <v>0</v>
      </c>
      <c r="BP336" s="20">
        <v>0</v>
      </c>
      <c r="BQ336" s="20">
        <v>0</v>
      </c>
      <c r="BR336" s="20">
        <v>0</v>
      </c>
      <c r="BS336" s="20">
        <v>200</v>
      </c>
      <c r="BT336" s="20">
        <v>1359477.8181818186</v>
      </c>
      <c r="BU336" s="20">
        <v>9000000</v>
      </c>
      <c r="BV336" s="20">
        <v>6.0183535710502722</v>
      </c>
    </row>
    <row r="337" spans="1:74">
      <c r="A337" s="10">
        <f t="shared" si="22"/>
        <v>0</v>
      </c>
      <c r="B337" s="10">
        <f t="shared" si="23"/>
        <v>0.33333333333333331</v>
      </c>
      <c r="C337" s="12">
        <f t="shared" si="24"/>
        <v>4</v>
      </c>
      <c r="D337" s="12">
        <f t="shared" si="25"/>
        <v>8</v>
      </c>
      <c r="E337" s="20" t="s">
        <v>424</v>
      </c>
      <c r="F337" s="20" t="s">
        <v>425</v>
      </c>
      <c r="G337" s="20" t="s">
        <v>426</v>
      </c>
      <c r="H337" s="20" t="s">
        <v>427</v>
      </c>
      <c r="I337" s="20">
        <v>1</v>
      </c>
      <c r="J337" s="20" t="s">
        <v>428</v>
      </c>
      <c r="K337" s="20" t="s">
        <v>440</v>
      </c>
      <c r="L337" s="20" t="s">
        <v>430</v>
      </c>
      <c r="M337" s="20" t="s">
        <v>425</v>
      </c>
      <c r="N337" s="20" t="s">
        <v>431</v>
      </c>
      <c r="P337" s="20" t="s">
        <v>425</v>
      </c>
      <c r="Q337" s="20" t="s">
        <v>432</v>
      </c>
      <c r="R337" s="20" t="s">
        <v>84</v>
      </c>
      <c r="S337" s="20">
        <v>5</v>
      </c>
      <c r="T337" s="20" t="s">
        <v>106</v>
      </c>
      <c r="U337" s="20" t="s">
        <v>107</v>
      </c>
      <c r="V337" s="20" t="s">
        <v>87</v>
      </c>
      <c r="W337" s="20">
        <v>501</v>
      </c>
      <c r="X337" s="20">
        <v>501</v>
      </c>
      <c r="Y337" s="20" t="s">
        <v>433</v>
      </c>
      <c r="Z337" s="20">
        <v>0.33333333333333331</v>
      </c>
      <c r="AA337" s="20" t="s">
        <v>434</v>
      </c>
      <c r="AB337" s="20" t="s">
        <v>435</v>
      </c>
      <c r="AC337" s="20" t="s">
        <v>436</v>
      </c>
      <c r="AD337" s="20" t="s">
        <v>437</v>
      </c>
      <c r="AE337" s="20" t="s">
        <v>91</v>
      </c>
      <c r="AF337" s="20">
        <v>0.33333333333333331</v>
      </c>
      <c r="AG337" s="20">
        <v>0</v>
      </c>
      <c r="AH337" s="20">
        <v>1</v>
      </c>
      <c r="AI337" s="4" t="s">
        <v>98</v>
      </c>
      <c r="AJ337" s="20">
        <v>150</v>
      </c>
      <c r="AK337" s="4" t="s">
        <v>179</v>
      </c>
      <c r="AL337" s="4">
        <v>3</v>
      </c>
      <c r="AM337" s="4" t="s">
        <v>438</v>
      </c>
      <c r="AN337" s="4" t="s">
        <v>95</v>
      </c>
      <c r="AO337" s="4" t="s">
        <v>96</v>
      </c>
      <c r="AP337" s="4">
        <v>1</v>
      </c>
      <c r="AQ337" s="20">
        <v>45000</v>
      </c>
      <c r="AR337" s="4">
        <v>41820</v>
      </c>
      <c r="AS337" s="20">
        <v>6818.1818181818171</v>
      </c>
      <c r="AT337" s="20">
        <v>6797.3890909090924</v>
      </c>
      <c r="AU337" s="20">
        <v>-20.792727272724733</v>
      </c>
      <c r="AV337" s="20">
        <v>290.90909090909093</v>
      </c>
      <c r="AW337" s="20">
        <v>0</v>
      </c>
      <c r="AX337" s="20">
        <v>20</v>
      </c>
      <c r="AY337" s="20">
        <v>310.90909090909093</v>
      </c>
      <c r="AZ337" s="20">
        <v>5.2</v>
      </c>
      <c r="BA337" s="20">
        <v>0</v>
      </c>
      <c r="BB337" s="6">
        <v>41738</v>
      </c>
      <c r="BD337" s="6">
        <v>41844</v>
      </c>
      <c r="BE337" s="6">
        <v>41844</v>
      </c>
      <c r="BF337" s="6">
        <v>41878</v>
      </c>
      <c r="BG337" s="6">
        <v>0</v>
      </c>
      <c r="BH337" s="6">
        <v>0</v>
      </c>
      <c r="BI337" s="6">
        <v>0</v>
      </c>
      <c r="BJ337" s="6">
        <v>0</v>
      </c>
      <c r="BK337" s="4" t="s">
        <v>401</v>
      </c>
      <c r="BL337" s="4" t="s">
        <v>401</v>
      </c>
      <c r="BM337" s="20">
        <v>151</v>
      </c>
      <c r="BN337" s="20">
        <v>0</v>
      </c>
      <c r="BO337" s="20">
        <v>0</v>
      </c>
      <c r="BP337" s="20">
        <v>0</v>
      </c>
      <c r="BQ337" s="20">
        <v>0</v>
      </c>
      <c r="BR337" s="20">
        <v>0</v>
      </c>
      <c r="BS337" s="20">
        <v>150</v>
      </c>
      <c r="BT337" s="20">
        <v>1019608.3636363639</v>
      </c>
      <c r="BU337" s="20">
        <v>6750000</v>
      </c>
      <c r="BV337" s="20">
        <v>6.0183535710502722</v>
      </c>
    </row>
    <row r="338" spans="1:74">
      <c r="A338" s="10">
        <f t="shared" si="22"/>
        <v>0</v>
      </c>
      <c r="B338" s="10">
        <f t="shared" si="23"/>
        <v>0.5</v>
      </c>
      <c r="C338" s="12">
        <f t="shared" si="24"/>
        <v>4</v>
      </c>
      <c r="D338" s="12">
        <f t="shared" si="25"/>
        <v>8</v>
      </c>
      <c r="E338" s="20" t="s">
        <v>424</v>
      </c>
      <c r="F338" s="20" t="s">
        <v>425</v>
      </c>
      <c r="G338" s="20" t="s">
        <v>426</v>
      </c>
      <c r="H338" s="20" t="s">
        <v>441</v>
      </c>
      <c r="I338" s="20">
        <v>2</v>
      </c>
      <c r="J338" s="20" t="s">
        <v>442</v>
      </c>
      <c r="K338" s="20" t="s">
        <v>443</v>
      </c>
      <c r="L338" s="20" t="s">
        <v>444</v>
      </c>
      <c r="M338" s="20" t="s">
        <v>425</v>
      </c>
      <c r="N338" s="20" t="s">
        <v>431</v>
      </c>
      <c r="P338" s="20" t="s">
        <v>425</v>
      </c>
      <c r="Q338" s="20" t="s">
        <v>432</v>
      </c>
      <c r="R338" s="20" t="s">
        <v>84</v>
      </c>
      <c r="S338" s="20">
        <v>5</v>
      </c>
      <c r="T338" s="20" t="s">
        <v>172</v>
      </c>
      <c r="U338" s="20" t="s">
        <v>173</v>
      </c>
      <c r="V338" s="20" t="s">
        <v>87</v>
      </c>
      <c r="W338" s="20">
        <v>502</v>
      </c>
      <c r="X338" s="20">
        <v>502</v>
      </c>
      <c r="Y338" s="20" t="s">
        <v>445</v>
      </c>
      <c r="Z338" s="20">
        <v>0.5</v>
      </c>
      <c r="AA338" s="20" t="s">
        <v>446</v>
      </c>
      <c r="AB338" s="20" t="s">
        <v>176</v>
      </c>
      <c r="AC338" s="20" t="s">
        <v>177</v>
      </c>
      <c r="AD338" s="20" t="s">
        <v>447</v>
      </c>
      <c r="AE338" s="20" t="s">
        <v>91</v>
      </c>
      <c r="AF338" s="20">
        <v>0.5</v>
      </c>
      <c r="AG338" s="20">
        <v>0</v>
      </c>
      <c r="AH338" s="20">
        <v>1</v>
      </c>
      <c r="AI338" s="4" t="s">
        <v>97</v>
      </c>
      <c r="AJ338" s="20">
        <v>200</v>
      </c>
      <c r="AK338" s="4" t="s">
        <v>179</v>
      </c>
      <c r="AL338" s="4">
        <v>3</v>
      </c>
      <c r="AM338" s="4" t="s">
        <v>438</v>
      </c>
      <c r="AN338" s="4" t="s">
        <v>95</v>
      </c>
      <c r="AO338" s="4" t="s">
        <v>96</v>
      </c>
      <c r="AP338" s="4">
        <v>1</v>
      </c>
      <c r="AQ338" s="20">
        <v>43000</v>
      </c>
      <c r="AR338" s="4">
        <v>41820</v>
      </c>
      <c r="AS338" s="20">
        <v>6515.151515151515</v>
      </c>
      <c r="AT338" s="20">
        <v>5092.0685714285719</v>
      </c>
      <c r="AU338" s="20">
        <v>-1423.0829437229431</v>
      </c>
      <c r="AV338" s="20">
        <v>581.42857142857144</v>
      </c>
      <c r="AW338" s="20">
        <v>0</v>
      </c>
      <c r="AX338" s="20">
        <v>20</v>
      </c>
      <c r="AY338" s="20">
        <v>601.42857142857144</v>
      </c>
      <c r="AZ338" s="20">
        <v>3.6</v>
      </c>
      <c r="BA338" s="20">
        <v>0</v>
      </c>
      <c r="BB338" s="6">
        <v>41738</v>
      </c>
      <c r="BD338" s="6">
        <v>41844</v>
      </c>
      <c r="BE338" s="6">
        <v>41844</v>
      </c>
      <c r="BF338" s="6">
        <v>41873</v>
      </c>
      <c r="BH338" s="6">
        <v>0</v>
      </c>
      <c r="BI338" s="6">
        <v>0</v>
      </c>
      <c r="BJ338" s="6">
        <v>0</v>
      </c>
      <c r="BK338" s="4" t="s">
        <v>401</v>
      </c>
      <c r="BL338" s="4" t="s">
        <v>401</v>
      </c>
      <c r="BM338" s="20">
        <v>200</v>
      </c>
      <c r="BN338" s="20">
        <v>0</v>
      </c>
      <c r="BO338" s="20">
        <v>0</v>
      </c>
      <c r="BP338" s="20">
        <v>0</v>
      </c>
      <c r="BQ338" s="20">
        <v>0</v>
      </c>
      <c r="BR338" s="20">
        <v>0</v>
      </c>
      <c r="BS338" s="20">
        <v>200</v>
      </c>
      <c r="BT338" s="20">
        <v>1018413.7142857143</v>
      </c>
      <c r="BU338" s="20">
        <v>8600000</v>
      </c>
      <c r="BV338" s="20">
        <v>7.676822992967316</v>
      </c>
    </row>
    <row r="339" spans="1:74">
      <c r="A339" s="10">
        <f t="shared" si="22"/>
        <v>0</v>
      </c>
      <c r="B339" s="10">
        <f t="shared" si="23"/>
        <v>0.5</v>
      </c>
      <c r="C339" s="12">
        <f t="shared" si="24"/>
        <v>4</v>
      </c>
      <c r="D339" s="12">
        <f t="shared" si="25"/>
        <v>8</v>
      </c>
      <c r="E339" s="20" t="s">
        <v>424</v>
      </c>
      <c r="F339" s="20" t="s">
        <v>425</v>
      </c>
      <c r="G339" s="20" t="s">
        <v>426</v>
      </c>
      <c r="H339" s="20" t="s">
        <v>441</v>
      </c>
      <c r="I339" s="20">
        <v>2</v>
      </c>
      <c r="J339" s="20" t="s">
        <v>442</v>
      </c>
      <c r="K339" s="20" t="s">
        <v>448</v>
      </c>
      <c r="L339" s="20" t="s">
        <v>444</v>
      </c>
      <c r="M339" s="20" t="s">
        <v>425</v>
      </c>
      <c r="N339" s="20" t="s">
        <v>431</v>
      </c>
      <c r="P339" s="20" t="s">
        <v>425</v>
      </c>
      <c r="Q339" s="20" t="s">
        <v>432</v>
      </c>
      <c r="R339" s="20" t="s">
        <v>84</v>
      </c>
      <c r="S339" s="20">
        <v>5</v>
      </c>
      <c r="T339" s="20" t="s">
        <v>172</v>
      </c>
      <c r="U339" s="20" t="s">
        <v>173</v>
      </c>
      <c r="V339" s="20" t="s">
        <v>87</v>
      </c>
      <c r="W339" s="20">
        <v>502</v>
      </c>
      <c r="X339" s="20">
        <v>502</v>
      </c>
      <c r="Y339" s="20" t="s">
        <v>445</v>
      </c>
      <c r="Z339" s="20">
        <v>0.5</v>
      </c>
      <c r="AA339" s="20" t="s">
        <v>446</v>
      </c>
      <c r="AB339" s="20" t="s">
        <v>176</v>
      </c>
      <c r="AC339" s="20" t="s">
        <v>177</v>
      </c>
      <c r="AD339" s="20" t="s">
        <v>447</v>
      </c>
      <c r="AE339" s="20" t="s">
        <v>91</v>
      </c>
      <c r="AF339" s="20">
        <v>0.5</v>
      </c>
      <c r="AG339" s="20">
        <v>0</v>
      </c>
      <c r="AH339" s="20">
        <v>1</v>
      </c>
      <c r="AI339" s="4" t="s">
        <v>98</v>
      </c>
      <c r="AJ339" s="20">
        <v>150</v>
      </c>
      <c r="AK339" s="4" t="s">
        <v>179</v>
      </c>
      <c r="AL339" s="4">
        <v>3</v>
      </c>
      <c r="AM339" s="4" t="s">
        <v>438</v>
      </c>
      <c r="AN339" s="4" t="s">
        <v>95</v>
      </c>
      <c r="AO339" s="4" t="s">
        <v>96</v>
      </c>
      <c r="AP339" s="4">
        <v>1</v>
      </c>
      <c r="AQ339" s="20">
        <v>43000</v>
      </c>
      <c r="AR339" s="4">
        <v>41820</v>
      </c>
      <c r="AS339" s="20">
        <v>6515.151515151515</v>
      </c>
      <c r="AT339" s="20">
        <v>5092.0685714285719</v>
      </c>
      <c r="AU339" s="20">
        <v>-1423.0829437229431</v>
      </c>
      <c r="AV339" s="20">
        <v>581.42857142857144</v>
      </c>
      <c r="AW339" s="20">
        <v>0</v>
      </c>
      <c r="AX339" s="20">
        <v>20</v>
      </c>
      <c r="AY339" s="20">
        <v>601.42857142857144</v>
      </c>
      <c r="AZ339" s="20">
        <v>3.6</v>
      </c>
      <c r="BA339" s="20">
        <v>0</v>
      </c>
      <c r="BB339" s="6">
        <v>41738</v>
      </c>
      <c r="BD339" s="6">
        <v>41844</v>
      </c>
      <c r="BE339" s="6">
        <v>41844</v>
      </c>
      <c r="BF339" s="6">
        <v>41873</v>
      </c>
      <c r="BG339" s="6">
        <v>0</v>
      </c>
      <c r="BH339" s="6">
        <v>0</v>
      </c>
      <c r="BI339" s="6">
        <v>0</v>
      </c>
      <c r="BJ339" s="6">
        <v>0</v>
      </c>
      <c r="BK339" s="4" t="s">
        <v>401</v>
      </c>
      <c r="BL339" s="4" t="s">
        <v>401</v>
      </c>
      <c r="BM339" s="20">
        <v>150</v>
      </c>
      <c r="BN339" s="20">
        <v>0</v>
      </c>
      <c r="BO339" s="20">
        <v>0</v>
      </c>
      <c r="BP339" s="20">
        <v>0</v>
      </c>
      <c r="BQ339" s="20">
        <v>0</v>
      </c>
      <c r="BR339" s="20">
        <v>0</v>
      </c>
      <c r="BS339" s="20">
        <v>150</v>
      </c>
      <c r="BT339" s="20">
        <v>763810.2857142858</v>
      </c>
      <c r="BU339" s="20">
        <v>6450000</v>
      </c>
      <c r="BV339" s="20">
        <v>7.6768229929673151</v>
      </c>
    </row>
    <row r="340" spans="1:74">
      <c r="A340" s="10">
        <f t="shared" si="22"/>
        <v>0</v>
      </c>
      <c r="B340" s="10">
        <f t="shared" si="23"/>
        <v>0.5</v>
      </c>
      <c r="C340" s="12">
        <f t="shared" si="24"/>
        <v>4</v>
      </c>
      <c r="D340" s="12">
        <f t="shared" si="25"/>
        <v>7</v>
      </c>
      <c r="E340" s="20" t="s">
        <v>424</v>
      </c>
      <c r="F340" s="20" t="s">
        <v>425</v>
      </c>
      <c r="G340" s="20" t="s">
        <v>426</v>
      </c>
      <c r="H340" s="20" t="s">
        <v>449</v>
      </c>
      <c r="I340" s="20">
        <v>3</v>
      </c>
      <c r="J340" s="20" t="s">
        <v>450</v>
      </c>
      <c r="K340" s="20" t="s">
        <v>451</v>
      </c>
      <c r="L340" s="20" t="s">
        <v>452</v>
      </c>
      <c r="M340" s="20" t="s">
        <v>425</v>
      </c>
      <c r="N340" s="20" t="s">
        <v>431</v>
      </c>
      <c r="P340" s="20" t="s">
        <v>425</v>
      </c>
      <c r="Q340" s="20" t="s">
        <v>432</v>
      </c>
      <c r="R340" s="20" t="s">
        <v>84</v>
      </c>
      <c r="S340" s="20">
        <v>5</v>
      </c>
      <c r="T340" s="20" t="s">
        <v>453</v>
      </c>
      <c r="U340" s="20" t="s">
        <v>454</v>
      </c>
      <c r="V340" s="20" t="s">
        <v>87</v>
      </c>
      <c r="W340" s="20">
        <v>503</v>
      </c>
      <c r="X340" s="20">
        <v>503</v>
      </c>
      <c r="Y340" s="20" t="s">
        <v>455</v>
      </c>
      <c r="Z340" s="20">
        <v>0.5</v>
      </c>
      <c r="AA340" s="20" t="s">
        <v>456</v>
      </c>
      <c r="AB340" s="20" t="s">
        <v>457</v>
      </c>
      <c r="AC340" s="20" t="s">
        <v>458</v>
      </c>
      <c r="AD340" s="20" t="s">
        <v>459</v>
      </c>
      <c r="AE340" s="20" t="s">
        <v>91</v>
      </c>
      <c r="AF340" s="20">
        <v>0.5</v>
      </c>
      <c r="AG340" s="20">
        <v>0</v>
      </c>
      <c r="AH340" s="20">
        <v>1</v>
      </c>
      <c r="AI340" s="4" t="s">
        <v>97</v>
      </c>
      <c r="AJ340" s="20">
        <v>200</v>
      </c>
      <c r="AK340" s="4" t="s">
        <v>179</v>
      </c>
      <c r="AL340" s="4">
        <v>3</v>
      </c>
      <c r="AM340" s="4" t="s">
        <v>438</v>
      </c>
      <c r="AN340" s="4" t="s">
        <v>95</v>
      </c>
      <c r="AO340" s="4" t="s">
        <v>96</v>
      </c>
      <c r="AP340" s="4">
        <v>1</v>
      </c>
      <c r="AQ340" s="20">
        <v>49000</v>
      </c>
      <c r="AR340" s="4">
        <v>41820</v>
      </c>
      <c r="AS340" s="20">
        <v>7424.242424242424</v>
      </c>
      <c r="AT340" s="20">
        <v>7424.8708571428569</v>
      </c>
      <c r="AU340" s="20">
        <v>0.62843290043292654</v>
      </c>
      <c r="AV340" s="20">
        <v>1517.1428571428571</v>
      </c>
      <c r="AW340" s="20">
        <v>0</v>
      </c>
      <c r="AX340" s="20">
        <v>20</v>
      </c>
      <c r="AY340" s="20">
        <v>1537.1428571428571</v>
      </c>
      <c r="AZ340" s="20">
        <v>4.72</v>
      </c>
      <c r="BA340" s="20">
        <v>0</v>
      </c>
      <c r="BB340" s="6">
        <v>41738</v>
      </c>
      <c r="BD340" s="6">
        <v>41844</v>
      </c>
      <c r="BE340" s="6">
        <v>41844</v>
      </c>
      <c r="BF340" s="6">
        <v>41849</v>
      </c>
      <c r="BG340" s="6">
        <v>41873</v>
      </c>
      <c r="BH340" s="6">
        <v>0</v>
      </c>
      <c r="BI340" s="6">
        <v>0</v>
      </c>
      <c r="BJ340" s="6">
        <v>0</v>
      </c>
      <c r="BK340" s="4" t="s">
        <v>401</v>
      </c>
      <c r="BL340" s="4" t="s">
        <v>401</v>
      </c>
      <c r="BM340" s="20">
        <v>163</v>
      </c>
      <c r="BN340" s="20">
        <v>36</v>
      </c>
      <c r="BO340" s="20">
        <v>0</v>
      </c>
      <c r="BP340" s="20">
        <v>0</v>
      </c>
      <c r="BQ340" s="20">
        <v>0</v>
      </c>
      <c r="BR340" s="20">
        <v>0</v>
      </c>
      <c r="BS340" s="20">
        <v>200</v>
      </c>
      <c r="BT340" s="20">
        <v>1484974.1714285715</v>
      </c>
      <c r="BU340" s="20">
        <v>9800000</v>
      </c>
      <c r="BV340" s="20">
        <v>5.9994921666012582</v>
      </c>
    </row>
    <row r="341" spans="1:74">
      <c r="A341" s="10">
        <f t="shared" si="22"/>
        <v>0</v>
      </c>
      <c r="B341" s="10">
        <f t="shared" si="23"/>
        <v>0.5</v>
      </c>
      <c r="C341" s="12">
        <f t="shared" si="24"/>
        <v>4</v>
      </c>
      <c r="D341" s="12">
        <f t="shared" si="25"/>
        <v>7</v>
      </c>
      <c r="E341" s="20" t="s">
        <v>424</v>
      </c>
      <c r="F341" s="20" t="s">
        <v>425</v>
      </c>
      <c r="G341" s="20" t="s">
        <v>426</v>
      </c>
      <c r="H341" s="20" t="s">
        <v>449</v>
      </c>
      <c r="I341" s="20">
        <v>3</v>
      </c>
      <c r="J341" s="20" t="s">
        <v>450</v>
      </c>
      <c r="K341" s="20" t="s">
        <v>460</v>
      </c>
      <c r="L341" s="20" t="s">
        <v>452</v>
      </c>
      <c r="M341" s="20" t="s">
        <v>425</v>
      </c>
      <c r="N341" s="20" t="s">
        <v>431</v>
      </c>
      <c r="P341" s="20" t="s">
        <v>425</v>
      </c>
      <c r="Q341" s="20" t="s">
        <v>432</v>
      </c>
      <c r="R341" s="20" t="s">
        <v>84</v>
      </c>
      <c r="S341" s="20">
        <v>5</v>
      </c>
      <c r="T341" s="20" t="s">
        <v>453</v>
      </c>
      <c r="U341" s="20" t="s">
        <v>454</v>
      </c>
      <c r="V341" s="20" t="s">
        <v>87</v>
      </c>
      <c r="W341" s="20">
        <v>503</v>
      </c>
      <c r="X341" s="20">
        <v>503</v>
      </c>
      <c r="Y341" s="20" t="s">
        <v>455</v>
      </c>
      <c r="Z341" s="20">
        <v>0.5</v>
      </c>
      <c r="AA341" s="20" t="s">
        <v>456</v>
      </c>
      <c r="AB341" s="20" t="s">
        <v>457</v>
      </c>
      <c r="AC341" s="20" t="s">
        <v>458</v>
      </c>
      <c r="AD341" s="20" t="s">
        <v>459</v>
      </c>
      <c r="AE341" s="20" t="s">
        <v>91</v>
      </c>
      <c r="AF341" s="20">
        <v>0.5</v>
      </c>
      <c r="AG341" s="20">
        <v>0</v>
      </c>
      <c r="AH341" s="20">
        <v>1</v>
      </c>
      <c r="AI341" s="4" t="s">
        <v>98</v>
      </c>
      <c r="AJ341" s="20">
        <v>150</v>
      </c>
      <c r="AK341" s="4" t="s">
        <v>179</v>
      </c>
      <c r="AL341" s="4">
        <v>3</v>
      </c>
      <c r="AM341" s="4" t="s">
        <v>438</v>
      </c>
      <c r="AN341" s="4" t="s">
        <v>95</v>
      </c>
      <c r="AO341" s="4" t="s">
        <v>96</v>
      </c>
      <c r="AP341" s="4">
        <v>1</v>
      </c>
      <c r="AQ341" s="20">
        <v>49000</v>
      </c>
      <c r="AR341" s="4">
        <v>41820</v>
      </c>
      <c r="AS341" s="20">
        <v>7424.242424242424</v>
      </c>
      <c r="AT341" s="20">
        <v>7424.8708571428569</v>
      </c>
      <c r="AU341" s="20">
        <v>0.62843290043292654</v>
      </c>
      <c r="AV341" s="20">
        <v>1517.1428571428571</v>
      </c>
      <c r="AW341" s="20">
        <v>0</v>
      </c>
      <c r="AX341" s="20">
        <v>20</v>
      </c>
      <c r="AY341" s="20">
        <v>1537.1428571428571</v>
      </c>
      <c r="AZ341" s="20">
        <v>4.72</v>
      </c>
      <c r="BA341" s="20">
        <v>0</v>
      </c>
      <c r="BB341" s="6">
        <v>41738</v>
      </c>
      <c r="BD341" s="6">
        <v>41844</v>
      </c>
      <c r="BE341" s="6">
        <v>41844</v>
      </c>
      <c r="BF341" s="6">
        <v>41849</v>
      </c>
      <c r="BG341" s="6">
        <v>41873</v>
      </c>
      <c r="BH341" s="6">
        <v>0</v>
      </c>
      <c r="BI341" s="6">
        <v>0</v>
      </c>
      <c r="BJ341" s="6">
        <v>0</v>
      </c>
      <c r="BK341" s="4" t="s">
        <v>401</v>
      </c>
      <c r="BL341" s="4" t="s">
        <v>401</v>
      </c>
      <c r="BM341" s="20">
        <v>137</v>
      </c>
      <c r="BN341" s="20">
        <v>13</v>
      </c>
      <c r="BO341" s="20">
        <v>0</v>
      </c>
      <c r="BP341" s="20">
        <v>0</v>
      </c>
      <c r="BQ341" s="20">
        <v>0</v>
      </c>
      <c r="BR341" s="20">
        <v>0</v>
      </c>
      <c r="BS341" s="20">
        <v>150</v>
      </c>
      <c r="BT341" s="20">
        <v>1113730.6285714286</v>
      </c>
      <c r="BU341" s="20">
        <v>7350000</v>
      </c>
      <c r="BV341" s="20">
        <v>5.9994921666012582</v>
      </c>
    </row>
    <row r="342" spans="1:74">
      <c r="A342" s="10">
        <f t="shared" si="22"/>
        <v>0</v>
      </c>
      <c r="B342" s="10">
        <f t="shared" si="23"/>
        <v>0</v>
      </c>
      <c r="C342" s="12" t="str">
        <f t="shared" si="24"/>
        <v/>
      </c>
      <c r="D342" s="12" t="str">
        <f t="shared" si="25"/>
        <v/>
      </c>
      <c r="E342" s="20" t="s">
        <v>91</v>
      </c>
      <c r="F342" s="20" t="s">
        <v>91</v>
      </c>
      <c r="G342" s="20" t="s">
        <v>91</v>
      </c>
      <c r="H342" s="20" t="s">
        <v>91</v>
      </c>
      <c r="I342" s="20">
        <v>0</v>
      </c>
      <c r="J342" s="20" t="s">
        <v>103</v>
      </c>
      <c r="K342" s="20" t="s">
        <v>104</v>
      </c>
      <c r="L342" s="20">
        <v>0</v>
      </c>
      <c r="M342" s="20" t="s">
        <v>105</v>
      </c>
      <c r="N342" s="20" t="s">
        <v>91</v>
      </c>
      <c r="O342" s="20" t="s">
        <v>461</v>
      </c>
      <c r="Q342" s="20" t="s">
        <v>91</v>
      </c>
      <c r="R342" s="20" t="s">
        <v>91</v>
      </c>
      <c r="S342" s="20" t="s">
        <v>91</v>
      </c>
      <c r="U342" s="20" t="s">
        <v>91</v>
      </c>
      <c r="V342" s="20" t="s">
        <v>87</v>
      </c>
      <c r="X342" s="20" t="s">
        <v>91</v>
      </c>
      <c r="Y342" s="20" t="s">
        <v>91</v>
      </c>
      <c r="Z342" s="20">
        <v>3</v>
      </c>
      <c r="AB342" s="20" t="s">
        <v>91</v>
      </c>
      <c r="AD342" s="20" t="s">
        <v>91</v>
      </c>
      <c r="AE342" s="20" t="s">
        <v>91</v>
      </c>
      <c r="AF342" s="20">
        <v>3</v>
      </c>
      <c r="AG342" s="20">
        <v>0</v>
      </c>
      <c r="AH342" s="20">
        <v>1</v>
      </c>
      <c r="AM342" s="4" t="s">
        <v>91</v>
      </c>
      <c r="AP342" s="4" t="s">
        <v>91</v>
      </c>
      <c r="AQ342" s="20">
        <v>0</v>
      </c>
      <c r="AR342" s="4">
        <v>0</v>
      </c>
      <c r="AS342" s="20">
        <v>0</v>
      </c>
      <c r="AT342" s="20">
        <v>0</v>
      </c>
      <c r="AU342" s="20">
        <v>0</v>
      </c>
      <c r="AV342" s="20">
        <v>0</v>
      </c>
      <c r="AW342" s="20">
        <v>0</v>
      </c>
      <c r="AX342" s="20" t="s">
        <v>91</v>
      </c>
      <c r="AY342" s="20">
        <v>0</v>
      </c>
      <c r="AZ342" s="20">
        <v>0</v>
      </c>
      <c r="BA342" s="20">
        <v>0</v>
      </c>
      <c r="BB342" s="6">
        <v>0</v>
      </c>
      <c r="BC342" s="6">
        <v>0</v>
      </c>
      <c r="BD342" s="6">
        <v>0</v>
      </c>
      <c r="BE342" s="6">
        <v>0</v>
      </c>
      <c r="BF342" s="6">
        <v>0</v>
      </c>
      <c r="BG342" s="6">
        <v>0</v>
      </c>
      <c r="BH342" s="6">
        <v>0</v>
      </c>
      <c r="BI342" s="6">
        <v>0</v>
      </c>
      <c r="BJ342" s="6">
        <v>0</v>
      </c>
      <c r="BK342" s="4">
        <v>0</v>
      </c>
      <c r="BL342" s="4">
        <v>0</v>
      </c>
      <c r="BM342" s="20">
        <v>1200</v>
      </c>
      <c r="BN342" s="20">
        <v>49</v>
      </c>
      <c r="BO342" s="20">
        <v>0</v>
      </c>
      <c r="BP342" s="20">
        <v>0</v>
      </c>
      <c r="BQ342" s="20">
        <v>0</v>
      </c>
      <c r="BR342" s="20">
        <v>0</v>
      </c>
      <c r="BS342" s="20">
        <v>1250</v>
      </c>
      <c r="BT342" s="20">
        <v>8119492.8000000007</v>
      </c>
      <c r="BU342" s="20">
        <v>56950000</v>
      </c>
      <c r="BV342" s="20">
        <v>6.3763499208629462</v>
      </c>
    </row>
    <row r="343" spans="1:74">
      <c r="A343" s="10">
        <f t="shared" si="22"/>
        <v>0</v>
      </c>
      <c r="B343" s="10">
        <f t="shared" si="23"/>
        <v>0.25</v>
      </c>
      <c r="C343" s="12">
        <f t="shared" si="24"/>
        <v>4</v>
      </c>
      <c r="D343" s="12">
        <f t="shared" si="25"/>
        <v>9</v>
      </c>
      <c r="E343" s="20" t="s">
        <v>424</v>
      </c>
      <c r="F343" s="20" t="s">
        <v>425</v>
      </c>
      <c r="G343" s="20" t="s">
        <v>462</v>
      </c>
      <c r="H343" s="20" t="s">
        <v>463</v>
      </c>
      <c r="I343" s="20">
        <v>1</v>
      </c>
      <c r="J343" s="20" t="s">
        <v>464</v>
      </c>
      <c r="K343" s="20" t="s">
        <v>465</v>
      </c>
      <c r="L343" s="20" t="s">
        <v>466</v>
      </c>
      <c r="M343" s="20" t="s">
        <v>425</v>
      </c>
      <c r="N343" s="20" t="s">
        <v>431</v>
      </c>
      <c r="P343" s="20" t="s">
        <v>425</v>
      </c>
      <c r="Q343" s="20" t="s">
        <v>432</v>
      </c>
      <c r="R343" s="20" t="s">
        <v>84</v>
      </c>
      <c r="S343" s="20">
        <v>5</v>
      </c>
      <c r="T343" s="20" t="s">
        <v>106</v>
      </c>
      <c r="U343" s="20" t="s">
        <v>107</v>
      </c>
      <c r="V343" s="20" t="s">
        <v>87</v>
      </c>
      <c r="W343" s="20">
        <v>506</v>
      </c>
      <c r="X343" s="20">
        <v>506</v>
      </c>
      <c r="Y343" s="20" t="s">
        <v>467</v>
      </c>
      <c r="Z343" s="20">
        <v>0.25</v>
      </c>
      <c r="AA343" s="20" t="s">
        <v>468</v>
      </c>
      <c r="AB343" s="20" t="s">
        <v>248</v>
      </c>
      <c r="AC343" s="20" t="s">
        <v>249</v>
      </c>
      <c r="AD343" s="20" t="s">
        <v>469</v>
      </c>
      <c r="AE343" s="20" t="s">
        <v>91</v>
      </c>
      <c r="AF343" s="20">
        <v>0.5</v>
      </c>
      <c r="AG343" s="20">
        <v>0</v>
      </c>
      <c r="AH343" s="20">
        <v>1</v>
      </c>
      <c r="AI343" s="4" t="s">
        <v>97</v>
      </c>
      <c r="AJ343" s="20">
        <v>200</v>
      </c>
      <c r="AK343" s="4" t="s">
        <v>179</v>
      </c>
      <c r="AL343" s="4">
        <v>4</v>
      </c>
      <c r="AM343" s="4" t="s">
        <v>470</v>
      </c>
      <c r="AN343" s="4" t="s">
        <v>95</v>
      </c>
      <c r="AO343" s="4" t="s">
        <v>96</v>
      </c>
      <c r="AP343" s="4">
        <v>1</v>
      </c>
      <c r="AQ343" s="20">
        <v>65000</v>
      </c>
      <c r="AR343" s="4">
        <v>41820</v>
      </c>
      <c r="AS343" s="20">
        <v>9848.484848484848</v>
      </c>
      <c r="AT343" s="20">
        <v>13278.52</v>
      </c>
      <c r="AU343" s="20">
        <v>3430.0351515151524</v>
      </c>
      <c r="AV343" s="20">
        <v>1034</v>
      </c>
      <c r="AW343" s="20">
        <v>0</v>
      </c>
      <c r="AX343" s="20">
        <v>20</v>
      </c>
      <c r="AY343" s="20">
        <v>1054</v>
      </c>
      <c r="AZ343" s="20">
        <v>9.8000000000000007</v>
      </c>
      <c r="BA343" s="20">
        <v>0</v>
      </c>
      <c r="BB343" s="6">
        <v>41738</v>
      </c>
      <c r="BC343" s="6">
        <v>41899</v>
      </c>
      <c r="BD343" s="6">
        <v>41879</v>
      </c>
      <c r="BE343" s="6">
        <v>41879</v>
      </c>
      <c r="BF343" s="6">
        <v>41906</v>
      </c>
      <c r="BG343" s="6">
        <v>0</v>
      </c>
      <c r="BH343" s="6">
        <v>0</v>
      </c>
      <c r="BI343" s="6">
        <v>0</v>
      </c>
      <c r="BJ343" s="6">
        <v>0</v>
      </c>
      <c r="BK343" s="4" t="s">
        <v>401</v>
      </c>
      <c r="BL343" s="4" t="s">
        <v>401</v>
      </c>
      <c r="BM343" s="20">
        <v>200</v>
      </c>
      <c r="BN343" s="20">
        <v>0</v>
      </c>
      <c r="BO343" s="20">
        <v>0</v>
      </c>
      <c r="BP343" s="20">
        <v>0</v>
      </c>
      <c r="BQ343" s="20">
        <v>0</v>
      </c>
      <c r="BR343" s="20">
        <v>0</v>
      </c>
      <c r="BS343" s="20">
        <v>200</v>
      </c>
      <c r="BT343" s="20">
        <v>2655704</v>
      </c>
      <c r="BU343" s="20">
        <v>13000000</v>
      </c>
      <c r="BV343" s="20">
        <v>4.4501125946949722</v>
      </c>
    </row>
    <row r="344" spans="1:74">
      <c r="A344" s="10">
        <f t="shared" si="22"/>
        <v>0</v>
      </c>
      <c r="B344" s="10">
        <f t="shared" si="23"/>
        <v>0.25</v>
      </c>
      <c r="C344" s="12">
        <f t="shared" si="24"/>
        <v>4</v>
      </c>
      <c r="D344" s="12">
        <f t="shared" si="25"/>
        <v>9</v>
      </c>
      <c r="E344" s="20" t="s">
        <v>424</v>
      </c>
      <c r="F344" s="20" t="s">
        <v>425</v>
      </c>
      <c r="G344" s="20" t="s">
        <v>462</v>
      </c>
      <c r="H344" s="20" t="s">
        <v>463</v>
      </c>
      <c r="I344" s="20">
        <v>1</v>
      </c>
      <c r="J344" s="20" t="s">
        <v>464</v>
      </c>
      <c r="K344" s="20" t="s">
        <v>471</v>
      </c>
      <c r="L344" s="20" t="s">
        <v>466</v>
      </c>
      <c r="M344" s="20" t="s">
        <v>425</v>
      </c>
      <c r="N344" s="20" t="s">
        <v>431</v>
      </c>
      <c r="P344" s="20" t="s">
        <v>425</v>
      </c>
      <c r="Q344" s="20" t="s">
        <v>432</v>
      </c>
      <c r="R344" s="20" t="s">
        <v>84</v>
      </c>
      <c r="S344" s="20">
        <v>5</v>
      </c>
      <c r="T344" s="20" t="s">
        <v>106</v>
      </c>
      <c r="U344" s="20" t="s">
        <v>107</v>
      </c>
      <c r="V344" s="20" t="s">
        <v>87</v>
      </c>
      <c r="W344" s="20">
        <v>506</v>
      </c>
      <c r="X344" s="20">
        <v>506</v>
      </c>
      <c r="Y344" s="20" t="s">
        <v>467</v>
      </c>
      <c r="Z344" s="20">
        <v>0.25</v>
      </c>
      <c r="AA344" s="20" t="s">
        <v>468</v>
      </c>
      <c r="AB344" s="20" t="s">
        <v>248</v>
      </c>
      <c r="AC344" s="20" t="s">
        <v>249</v>
      </c>
      <c r="AD344" s="20" t="s">
        <v>469</v>
      </c>
      <c r="AE344" s="20" t="s">
        <v>91</v>
      </c>
      <c r="AF344" s="20">
        <v>0.5</v>
      </c>
      <c r="AG344" s="20">
        <v>0</v>
      </c>
      <c r="AH344" s="20">
        <v>1</v>
      </c>
      <c r="AI344" s="4" t="s">
        <v>98</v>
      </c>
      <c r="AJ344" s="20">
        <v>150</v>
      </c>
      <c r="AK344" s="4" t="s">
        <v>179</v>
      </c>
      <c r="AL344" s="4">
        <v>4</v>
      </c>
      <c r="AM344" s="4" t="s">
        <v>470</v>
      </c>
      <c r="AN344" s="4" t="s">
        <v>95</v>
      </c>
      <c r="AO344" s="4" t="s">
        <v>96</v>
      </c>
      <c r="AP344" s="4">
        <v>1</v>
      </c>
      <c r="AQ344" s="20">
        <v>65000</v>
      </c>
      <c r="AR344" s="4">
        <v>41820</v>
      </c>
      <c r="AS344" s="20">
        <v>9848.484848484848</v>
      </c>
      <c r="AT344" s="20">
        <v>13278.52</v>
      </c>
      <c r="AU344" s="20">
        <v>3430.0351515151524</v>
      </c>
      <c r="AV344" s="20">
        <v>1034</v>
      </c>
      <c r="AW344" s="20">
        <v>0</v>
      </c>
      <c r="AX344" s="20">
        <v>20</v>
      </c>
      <c r="AY344" s="20">
        <v>1054</v>
      </c>
      <c r="AZ344" s="20">
        <v>9.8000000000000007</v>
      </c>
      <c r="BA344" s="20">
        <v>0</v>
      </c>
      <c r="BB344" s="6">
        <v>41738</v>
      </c>
      <c r="BC344" s="6">
        <v>41899</v>
      </c>
      <c r="BD344" s="6">
        <v>41879</v>
      </c>
      <c r="BE344" s="6">
        <v>41879</v>
      </c>
      <c r="BF344" s="6">
        <v>41906</v>
      </c>
      <c r="BG344" s="6">
        <v>0</v>
      </c>
      <c r="BH344" s="6">
        <v>0</v>
      </c>
      <c r="BI344" s="6">
        <v>0</v>
      </c>
      <c r="BJ344" s="6">
        <v>0</v>
      </c>
      <c r="BK344" s="4" t="s">
        <v>401</v>
      </c>
      <c r="BL344" s="4" t="s">
        <v>401</v>
      </c>
      <c r="BM344" s="20">
        <v>150</v>
      </c>
      <c r="BN344" s="20">
        <v>0</v>
      </c>
      <c r="BO344" s="20">
        <v>0</v>
      </c>
      <c r="BP344" s="20">
        <v>0</v>
      </c>
      <c r="BQ344" s="20">
        <v>0</v>
      </c>
      <c r="BR344" s="20">
        <v>0</v>
      </c>
      <c r="BS344" s="20">
        <v>150</v>
      </c>
      <c r="BT344" s="20">
        <v>1991778</v>
      </c>
      <c r="BU344" s="20">
        <v>9750000</v>
      </c>
      <c r="BV344" s="20">
        <v>4.4501125946949722</v>
      </c>
    </row>
    <row r="345" spans="1:74">
      <c r="A345" s="10">
        <f t="shared" si="22"/>
        <v>0</v>
      </c>
      <c r="B345" s="10">
        <f t="shared" si="23"/>
        <v>0.25</v>
      </c>
      <c r="C345" s="12">
        <f t="shared" si="24"/>
        <v>4</v>
      </c>
      <c r="D345" s="12">
        <f t="shared" si="25"/>
        <v>9</v>
      </c>
      <c r="E345" s="20" t="s">
        <v>424</v>
      </c>
      <c r="F345" s="20" t="s">
        <v>425</v>
      </c>
      <c r="G345" s="20" t="s">
        <v>462</v>
      </c>
      <c r="H345" s="20" t="s">
        <v>472</v>
      </c>
      <c r="I345" s="20">
        <v>2</v>
      </c>
      <c r="J345" s="20" t="s">
        <v>473</v>
      </c>
      <c r="K345" s="20" t="s">
        <v>474</v>
      </c>
      <c r="L345" s="20" t="s">
        <v>466</v>
      </c>
      <c r="M345" s="20" t="s">
        <v>425</v>
      </c>
      <c r="N345" s="20" t="s">
        <v>431</v>
      </c>
      <c r="P345" s="20" t="s">
        <v>425</v>
      </c>
      <c r="Q345" s="20" t="s">
        <v>432</v>
      </c>
      <c r="R345" s="20" t="s">
        <v>84</v>
      </c>
      <c r="S345" s="20">
        <v>5</v>
      </c>
      <c r="T345" s="20" t="s">
        <v>106</v>
      </c>
      <c r="U345" s="20" t="s">
        <v>107</v>
      </c>
      <c r="V345" s="20" t="s">
        <v>87</v>
      </c>
      <c r="W345" s="20">
        <v>506</v>
      </c>
      <c r="X345" s="20">
        <v>506</v>
      </c>
      <c r="Y345" s="20" t="s">
        <v>467</v>
      </c>
      <c r="Z345" s="20">
        <v>0.25</v>
      </c>
      <c r="AA345" s="20" t="s">
        <v>475</v>
      </c>
      <c r="AB345" s="20" t="s">
        <v>101</v>
      </c>
      <c r="AC345" s="20" t="s">
        <v>102</v>
      </c>
      <c r="AD345" s="20" t="s">
        <v>476</v>
      </c>
      <c r="AE345" s="20" t="s">
        <v>91</v>
      </c>
      <c r="AF345" s="20">
        <v>0.5</v>
      </c>
      <c r="AG345" s="20">
        <v>0</v>
      </c>
      <c r="AH345" s="20">
        <v>1</v>
      </c>
      <c r="AI345" s="4" t="s">
        <v>97</v>
      </c>
      <c r="AJ345" s="20">
        <v>200</v>
      </c>
      <c r="AK345" s="4" t="s">
        <v>179</v>
      </c>
      <c r="AL345" s="4">
        <v>4</v>
      </c>
      <c r="AM345" s="4" t="s">
        <v>470</v>
      </c>
      <c r="AN345" s="4" t="s">
        <v>95</v>
      </c>
      <c r="AO345" s="4" t="s">
        <v>96</v>
      </c>
      <c r="AP345" s="4">
        <v>1</v>
      </c>
      <c r="AQ345" s="20">
        <v>65000</v>
      </c>
      <c r="AR345" s="4">
        <v>41820</v>
      </c>
      <c r="AS345" s="20">
        <v>9848.484848484848</v>
      </c>
      <c r="AT345" s="20">
        <v>13454.52</v>
      </c>
      <c r="AU345" s="20">
        <v>3606.0351515151524</v>
      </c>
      <c r="AV345" s="20">
        <v>1210</v>
      </c>
      <c r="AW345" s="20">
        <v>0</v>
      </c>
      <c r="AX345" s="20">
        <v>20</v>
      </c>
      <c r="AY345" s="20">
        <v>1230</v>
      </c>
      <c r="AZ345" s="20">
        <v>9.8000000000000007</v>
      </c>
      <c r="BA345" s="20">
        <v>0</v>
      </c>
      <c r="BB345" s="6">
        <v>41738</v>
      </c>
      <c r="BC345" s="6">
        <v>41899</v>
      </c>
      <c r="BD345" s="6">
        <v>41879</v>
      </c>
      <c r="BE345" s="6">
        <v>41879</v>
      </c>
      <c r="BF345" s="6">
        <v>41906</v>
      </c>
      <c r="BH345" s="6">
        <v>0</v>
      </c>
      <c r="BI345" s="6">
        <v>0</v>
      </c>
      <c r="BJ345" s="6">
        <v>0</v>
      </c>
      <c r="BK345" s="4" t="s">
        <v>401</v>
      </c>
      <c r="BL345" s="4" t="s">
        <v>401</v>
      </c>
      <c r="BM345" s="20">
        <v>200</v>
      </c>
      <c r="BN345" s="20">
        <v>0</v>
      </c>
      <c r="BO345" s="20">
        <v>0</v>
      </c>
      <c r="BP345" s="20">
        <v>0</v>
      </c>
      <c r="BQ345" s="20">
        <v>0</v>
      </c>
      <c r="BR345" s="20">
        <v>0</v>
      </c>
      <c r="BS345" s="20">
        <v>200</v>
      </c>
      <c r="BT345" s="20">
        <v>2690904</v>
      </c>
      <c r="BU345" s="20">
        <v>13000000</v>
      </c>
      <c r="BV345" s="20">
        <v>4.3919002008922714</v>
      </c>
    </row>
    <row r="346" spans="1:74">
      <c r="A346" s="10">
        <f t="shared" si="22"/>
        <v>0</v>
      </c>
      <c r="B346" s="10">
        <f t="shared" si="23"/>
        <v>0.25</v>
      </c>
      <c r="C346" s="12">
        <f t="shared" si="24"/>
        <v>4</v>
      </c>
      <c r="D346" s="12">
        <f t="shared" si="25"/>
        <v>9</v>
      </c>
      <c r="E346" s="20" t="s">
        <v>424</v>
      </c>
      <c r="F346" s="20" t="s">
        <v>425</v>
      </c>
      <c r="G346" s="20" t="s">
        <v>462</v>
      </c>
      <c r="H346" s="20" t="s">
        <v>472</v>
      </c>
      <c r="I346" s="20">
        <v>2</v>
      </c>
      <c r="J346" s="20" t="s">
        <v>473</v>
      </c>
      <c r="K346" s="20" t="s">
        <v>477</v>
      </c>
      <c r="L346" s="20" t="s">
        <v>466</v>
      </c>
      <c r="M346" s="20" t="s">
        <v>425</v>
      </c>
      <c r="N346" s="20" t="s">
        <v>431</v>
      </c>
      <c r="P346" s="20" t="s">
        <v>425</v>
      </c>
      <c r="Q346" s="20" t="s">
        <v>432</v>
      </c>
      <c r="R346" s="20" t="s">
        <v>84</v>
      </c>
      <c r="S346" s="20">
        <v>5</v>
      </c>
      <c r="T346" s="20" t="s">
        <v>106</v>
      </c>
      <c r="U346" s="20" t="s">
        <v>107</v>
      </c>
      <c r="V346" s="20" t="s">
        <v>87</v>
      </c>
      <c r="W346" s="20">
        <v>506</v>
      </c>
      <c r="X346" s="20">
        <v>506</v>
      </c>
      <c r="Y346" s="20" t="s">
        <v>467</v>
      </c>
      <c r="Z346" s="20">
        <v>0.25</v>
      </c>
      <c r="AA346" s="20" t="s">
        <v>475</v>
      </c>
      <c r="AB346" s="20" t="s">
        <v>101</v>
      </c>
      <c r="AC346" s="20" t="s">
        <v>102</v>
      </c>
      <c r="AD346" s="20" t="s">
        <v>476</v>
      </c>
      <c r="AE346" s="20" t="s">
        <v>91</v>
      </c>
      <c r="AF346" s="20">
        <v>0.5</v>
      </c>
      <c r="AG346" s="20">
        <v>0</v>
      </c>
      <c r="AH346" s="20">
        <v>1</v>
      </c>
      <c r="AI346" s="4" t="s">
        <v>98</v>
      </c>
      <c r="AJ346" s="20">
        <v>150</v>
      </c>
      <c r="AK346" s="4" t="s">
        <v>179</v>
      </c>
      <c r="AL346" s="4">
        <v>4</v>
      </c>
      <c r="AM346" s="4" t="s">
        <v>470</v>
      </c>
      <c r="AN346" s="4" t="s">
        <v>95</v>
      </c>
      <c r="AO346" s="4" t="s">
        <v>96</v>
      </c>
      <c r="AP346" s="4">
        <v>1</v>
      </c>
      <c r="AQ346" s="20">
        <v>65000</v>
      </c>
      <c r="AR346" s="4">
        <v>41820</v>
      </c>
      <c r="AS346" s="20">
        <v>9848.484848484848</v>
      </c>
      <c r="AT346" s="20">
        <v>13454.52</v>
      </c>
      <c r="AU346" s="20">
        <v>3606.0351515151524</v>
      </c>
      <c r="AV346" s="20">
        <v>1210</v>
      </c>
      <c r="AW346" s="20">
        <v>0</v>
      </c>
      <c r="AX346" s="20">
        <v>20</v>
      </c>
      <c r="AY346" s="20">
        <v>1230</v>
      </c>
      <c r="AZ346" s="20">
        <v>9.8000000000000007</v>
      </c>
      <c r="BA346" s="20">
        <v>0</v>
      </c>
      <c r="BB346" s="6">
        <v>41738</v>
      </c>
      <c r="BC346" s="6">
        <v>41899</v>
      </c>
      <c r="BD346" s="6">
        <v>41879</v>
      </c>
      <c r="BE346" s="6">
        <v>41879</v>
      </c>
      <c r="BF346" s="6">
        <v>41906</v>
      </c>
      <c r="BG346" s="6">
        <v>0</v>
      </c>
      <c r="BH346" s="6">
        <v>0</v>
      </c>
      <c r="BI346" s="6">
        <v>0</v>
      </c>
      <c r="BJ346" s="6">
        <v>0</v>
      </c>
      <c r="BK346" s="4" t="s">
        <v>401</v>
      </c>
      <c r="BL346" s="4" t="s">
        <v>401</v>
      </c>
      <c r="BM346" s="20">
        <v>149</v>
      </c>
      <c r="BN346" s="20">
        <v>0</v>
      </c>
      <c r="BO346" s="20">
        <v>0</v>
      </c>
      <c r="BP346" s="20">
        <v>0</v>
      </c>
      <c r="BQ346" s="20">
        <v>0</v>
      </c>
      <c r="BR346" s="20">
        <v>0</v>
      </c>
      <c r="BS346" s="20">
        <v>150</v>
      </c>
      <c r="BT346" s="20">
        <v>2018178</v>
      </c>
      <c r="BU346" s="20">
        <v>9750000</v>
      </c>
      <c r="BV346" s="20">
        <v>4.3919002008922714</v>
      </c>
    </row>
    <row r="347" spans="1:74">
      <c r="A347" s="10">
        <f t="shared" si="22"/>
        <v>0</v>
      </c>
      <c r="B347" s="10">
        <f t="shared" si="23"/>
        <v>0</v>
      </c>
      <c r="C347" s="12" t="str">
        <f t="shared" si="24"/>
        <v/>
      </c>
      <c r="D347" s="12" t="str">
        <f t="shared" si="25"/>
        <v/>
      </c>
      <c r="E347" s="20" t="s">
        <v>91</v>
      </c>
      <c r="F347" s="20" t="s">
        <v>91</v>
      </c>
      <c r="G347" s="20" t="s">
        <v>91</v>
      </c>
      <c r="H347" s="20" t="s">
        <v>91</v>
      </c>
      <c r="I347" s="20">
        <v>0</v>
      </c>
      <c r="J347" s="20" t="s">
        <v>103</v>
      </c>
      <c r="K347" s="20" t="s">
        <v>104</v>
      </c>
      <c r="L347" s="20">
        <v>0</v>
      </c>
      <c r="M347" s="20" t="s">
        <v>105</v>
      </c>
      <c r="N347" s="20" t="s">
        <v>91</v>
      </c>
      <c r="O347" s="20" t="s">
        <v>478</v>
      </c>
      <c r="Q347" s="20" t="s">
        <v>91</v>
      </c>
      <c r="R347" s="20" t="s">
        <v>91</v>
      </c>
      <c r="S347" s="20" t="s">
        <v>91</v>
      </c>
      <c r="U347" s="20" t="s">
        <v>91</v>
      </c>
      <c r="V347" s="20" t="s">
        <v>87</v>
      </c>
      <c r="X347" s="20" t="s">
        <v>91</v>
      </c>
      <c r="Y347" s="20" t="s">
        <v>91</v>
      </c>
      <c r="Z347" s="20">
        <v>1</v>
      </c>
      <c r="AB347" s="20" t="s">
        <v>91</v>
      </c>
      <c r="AD347" s="20" t="s">
        <v>91</v>
      </c>
      <c r="AE347" s="20" t="s">
        <v>91</v>
      </c>
      <c r="AF347" s="20">
        <v>2</v>
      </c>
      <c r="AG347" s="20">
        <v>0</v>
      </c>
      <c r="AH347" s="20">
        <v>1</v>
      </c>
      <c r="AM347" s="4" t="s">
        <v>91</v>
      </c>
      <c r="AP347" s="4" t="s">
        <v>91</v>
      </c>
      <c r="AQ347" s="20">
        <v>0</v>
      </c>
      <c r="AR347" s="4">
        <v>0</v>
      </c>
      <c r="AS347" s="20">
        <v>0</v>
      </c>
      <c r="AT347" s="20">
        <v>0</v>
      </c>
      <c r="AU347" s="20">
        <v>0</v>
      </c>
      <c r="AV347" s="20">
        <v>0</v>
      </c>
      <c r="AW347" s="20">
        <v>0</v>
      </c>
      <c r="AX347" s="20" t="s">
        <v>91</v>
      </c>
      <c r="AY347" s="20">
        <v>0</v>
      </c>
      <c r="AZ347" s="20">
        <v>0</v>
      </c>
      <c r="BA347" s="20">
        <v>0</v>
      </c>
      <c r="BB347" s="6">
        <v>0</v>
      </c>
      <c r="BC347" s="6">
        <v>0</v>
      </c>
      <c r="BD347" s="6">
        <v>0</v>
      </c>
      <c r="BE347" s="6">
        <v>0</v>
      </c>
      <c r="BF347" s="6">
        <v>0</v>
      </c>
      <c r="BG347" s="6">
        <v>0</v>
      </c>
      <c r="BH347" s="6">
        <v>0</v>
      </c>
      <c r="BI347" s="6">
        <v>0</v>
      </c>
      <c r="BJ347" s="6">
        <v>0</v>
      </c>
      <c r="BK347" s="4">
        <v>0</v>
      </c>
      <c r="BL347" s="4">
        <v>0</v>
      </c>
      <c r="BM347" s="20">
        <v>699</v>
      </c>
      <c r="BN347" s="20">
        <v>0</v>
      </c>
      <c r="BO347" s="20">
        <v>0</v>
      </c>
      <c r="BP347" s="20">
        <v>0</v>
      </c>
      <c r="BQ347" s="20">
        <v>0</v>
      </c>
      <c r="BR347" s="20">
        <v>0</v>
      </c>
      <c r="BS347" s="20">
        <v>700</v>
      </c>
      <c r="BT347" s="20">
        <v>9356564</v>
      </c>
      <c r="BU347" s="20">
        <v>45500000</v>
      </c>
      <c r="BV347" s="20">
        <v>4.4208147738460788</v>
      </c>
    </row>
    <row r="348" spans="1:74">
      <c r="A348" s="10">
        <f t="shared" si="22"/>
        <v>0</v>
      </c>
      <c r="B348" s="10">
        <f t="shared" si="23"/>
        <v>1</v>
      </c>
      <c r="C348" s="12">
        <f t="shared" si="24"/>
        <v>4</v>
      </c>
      <c r="D348" s="12">
        <f t="shared" si="25"/>
        <v>10</v>
      </c>
      <c r="E348" s="20" t="s">
        <v>424</v>
      </c>
      <c r="F348" s="20" t="s">
        <v>425</v>
      </c>
      <c r="G348" s="20" t="s">
        <v>486</v>
      </c>
      <c r="H348" s="20" t="s">
        <v>2456</v>
      </c>
      <c r="I348" s="20">
        <v>1</v>
      </c>
      <c r="J348" s="20" t="s">
        <v>488</v>
      </c>
      <c r="K348" s="20" t="s">
        <v>2457</v>
      </c>
      <c r="L348" s="20" t="s">
        <v>479</v>
      </c>
      <c r="M348" s="20" t="s">
        <v>425</v>
      </c>
      <c r="N348" s="20" t="s">
        <v>431</v>
      </c>
      <c r="P348" s="20" t="s">
        <v>425</v>
      </c>
      <c r="Q348" s="20" t="s">
        <v>432</v>
      </c>
      <c r="R348" s="20" t="s">
        <v>84</v>
      </c>
      <c r="S348" s="20">
        <v>5</v>
      </c>
      <c r="T348" s="20" t="s">
        <v>480</v>
      </c>
      <c r="U348" s="20" t="s">
        <v>481</v>
      </c>
      <c r="V348" s="20" t="s">
        <v>87</v>
      </c>
      <c r="W348" s="20">
        <v>508</v>
      </c>
      <c r="X348" s="20">
        <v>508</v>
      </c>
      <c r="Y348" s="20" t="s">
        <v>482</v>
      </c>
      <c r="Z348" s="20">
        <v>1</v>
      </c>
      <c r="AA348" s="20" t="s">
        <v>483</v>
      </c>
      <c r="AB348" s="20" t="s">
        <v>248</v>
      </c>
      <c r="AC348" s="20" t="s">
        <v>249</v>
      </c>
      <c r="AD348" s="20" t="s">
        <v>484</v>
      </c>
      <c r="AE348" s="20" t="s">
        <v>91</v>
      </c>
      <c r="AF348" s="20">
        <v>1</v>
      </c>
      <c r="AG348" s="20">
        <v>0</v>
      </c>
      <c r="AH348" s="20">
        <v>1</v>
      </c>
      <c r="AI348" s="4" t="s">
        <v>251</v>
      </c>
      <c r="AJ348" s="20">
        <v>200</v>
      </c>
      <c r="AK348" s="4" t="s">
        <v>493</v>
      </c>
      <c r="AL348" s="4">
        <v>1</v>
      </c>
      <c r="AM348" s="4" t="s">
        <v>130</v>
      </c>
      <c r="AN348" s="4" t="s">
        <v>95</v>
      </c>
      <c r="AO348" s="4" t="s">
        <v>96</v>
      </c>
      <c r="AP348" s="4">
        <v>1</v>
      </c>
      <c r="AQ348" s="20">
        <v>75000</v>
      </c>
      <c r="AR348" s="4">
        <v>41795</v>
      </c>
      <c r="AS348" s="20">
        <v>11363.636363636362</v>
      </c>
      <c r="AT348" s="20">
        <v>13491.820000000002</v>
      </c>
      <c r="AU348" s="20">
        <v>2128.1836363636394</v>
      </c>
      <c r="AV348" s="20">
        <v>1601</v>
      </c>
      <c r="AW348" s="20">
        <v>270</v>
      </c>
      <c r="AX348" s="20">
        <v>20</v>
      </c>
      <c r="AY348" s="20">
        <v>1891</v>
      </c>
      <c r="AZ348" s="20">
        <v>9.3000000000000007</v>
      </c>
      <c r="BA348" s="20">
        <v>0</v>
      </c>
      <c r="BB348" s="6">
        <v>41738</v>
      </c>
      <c r="BC348" s="6">
        <v>41907</v>
      </c>
      <c r="BD348" s="6">
        <v>41907</v>
      </c>
      <c r="BE348" s="6">
        <v>41907</v>
      </c>
      <c r="BF348" s="6">
        <v>41918</v>
      </c>
      <c r="BG348" s="6">
        <v>0</v>
      </c>
      <c r="BH348" s="6">
        <v>0</v>
      </c>
      <c r="BI348" s="6">
        <v>0</v>
      </c>
      <c r="BJ348" s="6">
        <v>0</v>
      </c>
      <c r="BK348" s="4" t="s">
        <v>401</v>
      </c>
      <c r="BL348" s="4" t="s">
        <v>401</v>
      </c>
      <c r="BM348" s="20">
        <v>199</v>
      </c>
      <c r="BN348" s="20">
        <v>0</v>
      </c>
      <c r="BO348" s="20">
        <v>0</v>
      </c>
      <c r="BP348" s="20">
        <v>0</v>
      </c>
      <c r="BQ348" s="20">
        <v>0</v>
      </c>
      <c r="BR348" s="20">
        <v>0</v>
      </c>
      <c r="BS348" s="20">
        <v>200</v>
      </c>
      <c r="BT348" s="20">
        <v>2698364.0000000005</v>
      </c>
      <c r="BU348" s="20">
        <v>15000000</v>
      </c>
      <c r="BV348" s="20">
        <v>5.0535671378522808</v>
      </c>
    </row>
    <row r="349" spans="1:74">
      <c r="A349" s="10">
        <f t="shared" si="22"/>
        <v>0</v>
      </c>
      <c r="B349" s="10">
        <f t="shared" si="23"/>
        <v>0</v>
      </c>
      <c r="C349" s="12">
        <f t="shared" si="24"/>
        <v>4</v>
      </c>
      <c r="D349" s="12">
        <f t="shared" si="25"/>
        <v>10</v>
      </c>
      <c r="E349" s="20" t="s">
        <v>424</v>
      </c>
      <c r="F349" s="20" t="s">
        <v>425</v>
      </c>
      <c r="G349" s="20" t="s">
        <v>486</v>
      </c>
      <c r="H349" s="20" t="s">
        <v>487</v>
      </c>
      <c r="I349" s="20">
        <v>2</v>
      </c>
      <c r="J349" s="20" t="s">
        <v>495</v>
      </c>
      <c r="K349" s="20" t="s">
        <v>2458</v>
      </c>
      <c r="L349" s="20" t="s">
        <v>489</v>
      </c>
      <c r="M349" s="20" t="s">
        <v>425</v>
      </c>
      <c r="N349" s="20" t="s">
        <v>431</v>
      </c>
      <c r="P349" s="20" t="s">
        <v>425</v>
      </c>
      <c r="Q349" s="20" t="s">
        <v>432</v>
      </c>
      <c r="R349" s="20" t="s">
        <v>84</v>
      </c>
      <c r="S349" s="20">
        <v>5</v>
      </c>
      <c r="T349" s="20" t="s">
        <v>480</v>
      </c>
      <c r="U349" s="20" t="s">
        <v>481</v>
      </c>
      <c r="V349" s="20" t="s">
        <v>87</v>
      </c>
      <c r="W349" s="20">
        <v>511</v>
      </c>
      <c r="X349" s="20">
        <v>511</v>
      </c>
      <c r="Y349" s="20" t="s">
        <v>490</v>
      </c>
      <c r="Z349" s="20">
        <v>0.33333333333333331</v>
      </c>
      <c r="AA349" s="20" t="s">
        <v>491</v>
      </c>
      <c r="AB349" s="20" t="s">
        <v>248</v>
      </c>
      <c r="AC349" s="20" t="s">
        <v>249</v>
      </c>
      <c r="AD349" s="20" t="s">
        <v>492</v>
      </c>
      <c r="AE349" s="20" t="s">
        <v>91</v>
      </c>
      <c r="AF349" s="20">
        <v>1</v>
      </c>
      <c r="AG349" s="20">
        <v>0</v>
      </c>
      <c r="AH349" s="20">
        <v>1</v>
      </c>
      <c r="AI349" s="4" t="s">
        <v>251</v>
      </c>
      <c r="AJ349" s="20">
        <v>200</v>
      </c>
      <c r="AK349" s="4" t="s">
        <v>493</v>
      </c>
      <c r="AL349" s="4">
        <v>1</v>
      </c>
      <c r="AM349" s="4" t="s">
        <v>130</v>
      </c>
      <c r="AN349" s="4" t="s">
        <v>95</v>
      </c>
      <c r="AO349" s="4" t="s">
        <v>96</v>
      </c>
      <c r="AP349" s="4">
        <v>1</v>
      </c>
      <c r="AQ349" s="20">
        <v>75000</v>
      </c>
      <c r="AR349" s="4">
        <v>41795</v>
      </c>
      <c r="AS349" s="20">
        <v>11363.636363636362</v>
      </c>
      <c r="AT349" s="20">
        <v>12265.04</v>
      </c>
      <c r="AU349" s="20">
        <v>901.40363636363873</v>
      </c>
      <c r="AW349" s="20">
        <v>270</v>
      </c>
      <c r="AX349" s="20">
        <v>20</v>
      </c>
      <c r="AY349" s="20">
        <v>290</v>
      </c>
      <c r="AZ349" s="20">
        <v>9.6</v>
      </c>
      <c r="BA349" s="20">
        <v>0</v>
      </c>
      <c r="BB349" s="6">
        <v>41738</v>
      </c>
      <c r="BC349" s="6">
        <v>41907</v>
      </c>
      <c r="BD349" s="6">
        <v>41907</v>
      </c>
      <c r="BE349" s="6">
        <v>41907</v>
      </c>
      <c r="BF349" s="6">
        <v>41918</v>
      </c>
      <c r="BG349" s="6">
        <v>0</v>
      </c>
      <c r="BH349" s="6">
        <v>0</v>
      </c>
      <c r="BI349" s="6">
        <v>0</v>
      </c>
      <c r="BJ349" s="6">
        <v>0</v>
      </c>
      <c r="BK349" s="4" t="s">
        <v>401</v>
      </c>
      <c r="BL349" s="4" t="s">
        <v>401</v>
      </c>
      <c r="BM349" s="20">
        <v>198</v>
      </c>
      <c r="BN349" s="20">
        <v>0</v>
      </c>
      <c r="BO349" s="20">
        <v>0</v>
      </c>
      <c r="BP349" s="20">
        <v>0</v>
      </c>
      <c r="BQ349" s="20">
        <v>0</v>
      </c>
      <c r="BR349" s="20">
        <v>0</v>
      </c>
      <c r="BS349" s="20">
        <v>200</v>
      </c>
      <c r="BT349" s="20">
        <v>2453008</v>
      </c>
      <c r="BU349" s="20">
        <v>15000000</v>
      </c>
      <c r="BV349" s="20">
        <v>5.5590375719784175</v>
      </c>
    </row>
    <row r="350" spans="1:74">
      <c r="A350" s="10">
        <f t="shared" si="22"/>
        <v>0</v>
      </c>
      <c r="B350" s="10">
        <f t="shared" si="23"/>
        <v>0.33333333333333331</v>
      </c>
      <c r="C350" s="12">
        <f t="shared" si="24"/>
        <v>4</v>
      </c>
      <c r="D350" s="12">
        <f t="shared" si="25"/>
        <v>10</v>
      </c>
      <c r="E350" s="20" t="s">
        <v>424</v>
      </c>
      <c r="F350" s="20" t="s">
        <v>425</v>
      </c>
      <c r="G350" s="20" t="s">
        <v>486</v>
      </c>
      <c r="H350" s="20" t="s">
        <v>494</v>
      </c>
      <c r="I350" s="20">
        <v>3</v>
      </c>
      <c r="J350" s="20" t="s">
        <v>499</v>
      </c>
      <c r="K350" s="20" t="s">
        <v>2459</v>
      </c>
      <c r="L350" s="20" t="s">
        <v>489</v>
      </c>
      <c r="M350" s="20" t="s">
        <v>425</v>
      </c>
      <c r="N350" s="20" t="s">
        <v>431</v>
      </c>
      <c r="P350" s="20" t="s">
        <v>425</v>
      </c>
      <c r="Q350" s="20" t="s">
        <v>432</v>
      </c>
      <c r="R350" s="20" t="s">
        <v>84</v>
      </c>
      <c r="S350" s="20">
        <v>5</v>
      </c>
      <c r="T350" s="20" t="s">
        <v>480</v>
      </c>
      <c r="U350" s="20" t="s">
        <v>481</v>
      </c>
      <c r="V350" s="20" t="s">
        <v>87</v>
      </c>
      <c r="W350" s="20">
        <v>511</v>
      </c>
      <c r="X350" s="20">
        <v>511</v>
      </c>
      <c r="Y350" s="20" t="s">
        <v>490</v>
      </c>
      <c r="Z350" s="20">
        <v>0.33333333333333331</v>
      </c>
      <c r="AA350" s="20" t="s">
        <v>496</v>
      </c>
      <c r="AB350" s="20" t="s">
        <v>89</v>
      </c>
      <c r="AC350" s="20" t="s">
        <v>90</v>
      </c>
      <c r="AD350" s="20" t="s">
        <v>497</v>
      </c>
      <c r="AE350" s="20" t="s">
        <v>91</v>
      </c>
      <c r="AF350" s="20">
        <v>1</v>
      </c>
      <c r="AG350" s="20">
        <v>0</v>
      </c>
      <c r="AH350" s="20">
        <v>1</v>
      </c>
      <c r="AI350" s="4" t="s">
        <v>251</v>
      </c>
      <c r="AJ350" s="20">
        <v>250</v>
      </c>
      <c r="AK350" s="4" t="s">
        <v>493</v>
      </c>
      <c r="AL350" s="4">
        <v>1</v>
      </c>
      <c r="AM350" s="4" t="s">
        <v>130</v>
      </c>
      <c r="AN350" s="4" t="s">
        <v>95</v>
      </c>
      <c r="AO350" s="4" t="s">
        <v>96</v>
      </c>
      <c r="AP350" s="4">
        <v>1</v>
      </c>
      <c r="AQ350" s="20">
        <v>75000</v>
      </c>
      <c r="AR350" s="4">
        <v>41795</v>
      </c>
      <c r="AS350" s="20">
        <v>11363.636363636362</v>
      </c>
      <c r="AT350" s="20">
        <v>12690.820000000002</v>
      </c>
      <c r="AU350" s="20">
        <v>1327.1836363636394</v>
      </c>
      <c r="AV350" s="20">
        <v>800</v>
      </c>
      <c r="AW350" s="20">
        <v>270</v>
      </c>
      <c r="AX350" s="20">
        <v>20</v>
      </c>
      <c r="AY350" s="20">
        <v>1090</v>
      </c>
      <c r="AZ350" s="20">
        <v>9.3000000000000007</v>
      </c>
      <c r="BA350" s="20">
        <v>0</v>
      </c>
      <c r="BB350" s="6">
        <v>41738</v>
      </c>
      <c r="BC350" s="6">
        <v>41907</v>
      </c>
      <c r="BD350" s="6">
        <v>41907</v>
      </c>
      <c r="BE350" s="6">
        <v>41907</v>
      </c>
      <c r="BF350" s="6">
        <v>41918</v>
      </c>
      <c r="BG350" s="6">
        <v>0</v>
      </c>
      <c r="BH350" s="6">
        <v>0</v>
      </c>
      <c r="BI350" s="6">
        <v>0</v>
      </c>
      <c r="BJ350" s="6">
        <v>0</v>
      </c>
      <c r="BK350" s="4" t="s">
        <v>401</v>
      </c>
      <c r="BL350" s="4" t="s">
        <v>401</v>
      </c>
      <c r="BM350" s="20">
        <v>245</v>
      </c>
      <c r="BN350" s="20">
        <v>0</v>
      </c>
      <c r="BO350" s="20">
        <v>0</v>
      </c>
      <c r="BP350" s="20">
        <v>0</v>
      </c>
      <c r="BQ350" s="20">
        <v>0</v>
      </c>
      <c r="BR350" s="20">
        <v>0</v>
      </c>
      <c r="BS350" s="20">
        <v>250</v>
      </c>
      <c r="BT350" s="20">
        <v>3172705.0000000005</v>
      </c>
      <c r="BU350" s="20">
        <v>18750000</v>
      </c>
      <c r="BV350" s="20">
        <v>5.3725305521485742</v>
      </c>
    </row>
    <row r="351" spans="1:74">
      <c r="A351" s="10">
        <f t="shared" si="22"/>
        <v>0</v>
      </c>
      <c r="B351" s="10">
        <f t="shared" si="23"/>
        <v>0.33333333333333331</v>
      </c>
      <c r="C351" s="12">
        <f t="shared" si="24"/>
        <v>4</v>
      </c>
      <c r="D351" s="12">
        <f t="shared" si="25"/>
        <v>10</v>
      </c>
      <c r="E351" s="20" t="s">
        <v>424</v>
      </c>
      <c r="F351" s="20" t="s">
        <v>425</v>
      </c>
      <c r="G351" s="20" t="s">
        <v>486</v>
      </c>
      <c r="H351" s="20" t="s">
        <v>498</v>
      </c>
      <c r="I351" s="20">
        <v>4</v>
      </c>
      <c r="J351" s="20" t="s">
        <v>2460</v>
      </c>
      <c r="K351" s="20" t="s">
        <v>2461</v>
      </c>
      <c r="L351" s="20" t="s">
        <v>489</v>
      </c>
      <c r="M351" s="20" t="s">
        <v>425</v>
      </c>
      <c r="N351" s="20" t="s">
        <v>431</v>
      </c>
      <c r="P351" s="20" t="s">
        <v>425</v>
      </c>
      <c r="Q351" s="20" t="s">
        <v>432</v>
      </c>
      <c r="R351" s="20" t="s">
        <v>84</v>
      </c>
      <c r="S351" s="20">
        <v>5</v>
      </c>
      <c r="T351" s="20" t="s">
        <v>480</v>
      </c>
      <c r="U351" s="20" t="s">
        <v>481</v>
      </c>
      <c r="V351" s="20" t="s">
        <v>87</v>
      </c>
      <c r="W351" s="20">
        <v>511</v>
      </c>
      <c r="X351" s="20">
        <v>511</v>
      </c>
      <c r="Y351" s="20" t="s">
        <v>490</v>
      </c>
      <c r="Z351" s="20">
        <v>0.33333333333333331</v>
      </c>
      <c r="AA351" s="20" t="s">
        <v>500</v>
      </c>
      <c r="AB351" s="20" t="s">
        <v>101</v>
      </c>
      <c r="AC351" s="20" t="s">
        <v>102</v>
      </c>
      <c r="AD351" s="20" t="s">
        <v>501</v>
      </c>
      <c r="AE351" s="20" t="s">
        <v>91</v>
      </c>
      <c r="AF351" s="20">
        <v>1</v>
      </c>
      <c r="AG351" s="20">
        <v>0</v>
      </c>
      <c r="AH351" s="20">
        <v>1</v>
      </c>
      <c r="AI351" s="4" t="s">
        <v>251</v>
      </c>
      <c r="AJ351" s="20">
        <v>250</v>
      </c>
      <c r="AK351" s="4" t="s">
        <v>493</v>
      </c>
      <c r="AL351" s="4">
        <v>1</v>
      </c>
      <c r="AM351" s="4" t="s">
        <v>130</v>
      </c>
      <c r="AN351" s="4" t="s">
        <v>95</v>
      </c>
      <c r="AO351" s="4" t="s">
        <v>96</v>
      </c>
      <c r="AP351" s="4">
        <v>1</v>
      </c>
      <c r="AQ351" s="20">
        <v>75000</v>
      </c>
      <c r="AR351" s="4">
        <v>41795</v>
      </c>
      <c r="AS351" s="20">
        <v>11363.636363636362</v>
      </c>
      <c r="AT351" s="20">
        <v>12741.34</v>
      </c>
      <c r="AU351" s="20">
        <v>1377.703636363638</v>
      </c>
      <c r="AV351" s="20">
        <v>1100</v>
      </c>
      <c r="AW351" s="20">
        <v>270</v>
      </c>
      <c r="AX351" s="20">
        <v>20</v>
      </c>
      <c r="AY351" s="20">
        <v>1390</v>
      </c>
      <c r="AZ351" s="20">
        <v>9.1</v>
      </c>
      <c r="BA351" s="20">
        <v>0</v>
      </c>
      <c r="BB351" s="6">
        <v>41738</v>
      </c>
      <c r="BC351" s="6">
        <v>41907</v>
      </c>
      <c r="BD351" s="6">
        <v>41907</v>
      </c>
      <c r="BE351" s="6">
        <v>41907</v>
      </c>
      <c r="BF351" s="6">
        <v>41918</v>
      </c>
      <c r="BG351" s="6">
        <v>0</v>
      </c>
      <c r="BH351" s="6">
        <v>0</v>
      </c>
      <c r="BI351" s="6">
        <v>0</v>
      </c>
      <c r="BJ351" s="6">
        <v>0</v>
      </c>
      <c r="BK351" s="4" t="s">
        <v>401</v>
      </c>
      <c r="BL351" s="4" t="s">
        <v>401</v>
      </c>
      <c r="BM351" s="20">
        <v>245</v>
      </c>
      <c r="BN351" s="20">
        <v>0</v>
      </c>
      <c r="BO351" s="20">
        <v>0</v>
      </c>
      <c r="BP351" s="20">
        <v>0</v>
      </c>
      <c r="BQ351" s="20">
        <v>0</v>
      </c>
      <c r="BR351" s="20">
        <v>0</v>
      </c>
      <c r="BS351" s="20">
        <v>250</v>
      </c>
      <c r="BT351" s="20">
        <v>3185335</v>
      </c>
      <c r="BU351" s="20">
        <v>18750000</v>
      </c>
      <c r="BV351" s="20">
        <v>5.3512282210362621</v>
      </c>
    </row>
    <row r="352" spans="1:74">
      <c r="A352" s="10">
        <f t="shared" si="22"/>
        <v>0</v>
      </c>
      <c r="B352" s="10">
        <f t="shared" si="23"/>
        <v>0</v>
      </c>
      <c r="C352" s="12" t="str">
        <f t="shared" si="24"/>
        <v/>
      </c>
      <c r="D352" s="12" t="str">
        <f t="shared" si="25"/>
        <v/>
      </c>
      <c r="E352" s="20" t="s">
        <v>91</v>
      </c>
      <c r="F352" s="20" t="s">
        <v>91</v>
      </c>
      <c r="G352" s="20" t="s">
        <v>91</v>
      </c>
      <c r="H352" s="20" t="s">
        <v>91</v>
      </c>
      <c r="I352" s="20">
        <v>0</v>
      </c>
      <c r="J352" s="20" t="s">
        <v>103</v>
      </c>
      <c r="K352" s="20" t="s">
        <v>104</v>
      </c>
      <c r="L352" s="20">
        <v>0</v>
      </c>
      <c r="M352" s="20" t="s">
        <v>105</v>
      </c>
      <c r="N352" s="20" t="s">
        <v>91</v>
      </c>
      <c r="O352" s="20" t="s">
        <v>502</v>
      </c>
      <c r="Q352" s="20" t="s">
        <v>91</v>
      </c>
      <c r="R352" s="20" t="s">
        <v>91</v>
      </c>
      <c r="S352" s="20" t="s">
        <v>91</v>
      </c>
      <c r="U352" s="20" t="s">
        <v>91</v>
      </c>
      <c r="V352" s="20" t="s">
        <v>87</v>
      </c>
      <c r="X352" s="20" t="s">
        <v>91</v>
      </c>
      <c r="Y352" s="20" t="s">
        <v>91</v>
      </c>
      <c r="Z352" s="20">
        <v>1.9999999999999998</v>
      </c>
      <c r="AB352" s="20" t="s">
        <v>91</v>
      </c>
      <c r="AD352" s="20" t="s">
        <v>91</v>
      </c>
      <c r="AE352" s="20" t="s">
        <v>91</v>
      </c>
      <c r="AF352" s="20">
        <v>4</v>
      </c>
      <c r="AG352" s="20">
        <v>0</v>
      </c>
      <c r="AH352" s="20">
        <v>1</v>
      </c>
      <c r="AM352" s="4" t="s">
        <v>91</v>
      </c>
      <c r="AP352" s="4" t="s">
        <v>91</v>
      </c>
      <c r="AQ352" s="20">
        <v>0</v>
      </c>
      <c r="AR352" s="4">
        <v>0</v>
      </c>
      <c r="AS352" s="20">
        <v>0</v>
      </c>
      <c r="AT352" s="20">
        <v>0</v>
      </c>
      <c r="AU352" s="20">
        <v>0</v>
      </c>
      <c r="AV352" s="20">
        <v>0</v>
      </c>
      <c r="AW352" s="20">
        <v>0</v>
      </c>
      <c r="AX352" s="20" t="s">
        <v>91</v>
      </c>
      <c r="AY352" s="20">
        <v>0</v>
      </c>
      <c r="AZ352" s="20">
        <v>0</v>
      </c>
      <c r="BA352" s="20">
        <v>0</v>
      </c>
      <c r="BB352" s="6">
        <v>0</v>
      </c>
      <c r="BC352" s="6">
        <v>0</v>
      </c>
      <c r="BD352" s="6">
        <v>0</v>
      </c>
      <c r="BE352" s="6">
        <v>0</v>
      </c>
      <c r="BF352" s="6">
        <v>0</v>
      </c>
      <c r="BG352" s="6">
        <v>0</v>
      </c>
      <c r="BH352" s="6">
        <v>0</v>
      </c>
      <c r="BI352" s="6">
        <v>0</v>
      </c>
      <c r="BJ352" s="6">
        <v>0</v>
      </c>
      <c r="BK352" s="4">
        <v>0</v>
      </c>
      <c r="BL352" s="4">
        <v>0</v>
      </c>
      <c r="BM352" s="20">
        <v>887</v>
      </c>
      <c r="BN352" s="20">
        <v>0</v>
      </c>
      <c r="BO352" s="20">
        <v>0</v>
      </c>
      <c r="BP352" s="20">
        <v>0</v>
      </c>
      <c r="BQ352" s="20">
        <v>0</v>
      </c>
      <c r="BR352" s="20">
        <v>0</v>
      </c>
      <c r="BS352" s="20">
        <v>900</v>
      </c>
      <c r="BT352" s="20">
        <v>11509412</v>
      </c>
      <c r="BU352" s="20">
        <v>67500000</v>
      </c>
      <c r="BV352" s="20">
        <v>5.3316048086241379</v>
      </c>
    </row>
    <row r="353" spans="1:74">
      <c r="A353" s="10">
        <f t="shared" si="22"/>
        <v>0</v>
      </c>
      <c r="B353" s="10">
        <f t="shared" si="23"/>
        <v>0</v>
      </c>
      <c r="C353" s="12">
        <f t="shared" si="24"/>
        <v>4</v>
      </c>
      <c r="D353" s="12">
        <f t="shared" si="25"/>
        <v>8</v>
      </c>
      <c r="E353" s="20" t="s">
        <v>114</v>
      </c>
      <c r="F353" s="20" t="s">
        <v>503</v>
      </c>
      <c r="G353" s="20" t="s">
        <v>504</v>
      </c>
      <c r="H353" s="20" t="s">
        <v>505</v>
      </c>
      <c r="I353" s="20">
        <v>1</v>
      </c>
      <c r="J353" s="20" t="s">
        <v>506</v>
      </c>
      <c r="K353" s="20" t="s">
        <v>507</v>
      </c>
      <c r="L353" s="20" t="s">
        <v>508</v>
      </c>
      <c r="M353" s="20" t="s">
        <v>503</v>
      </c>
      <c r="N353" s="20" t="s">
        <v>509</v>
      </c>
      <c r="P353" s="20" t="s">
        <v>503</v>
      </c>
      <c r="Q353" s="20" t="s">
        <v>510</v>
      </c>
      <c r="R353" s="20" t="s">
        <v>84</v>
      </c>
      <c r="S353" s="20">
        <v>5</v>
      </c>
      <c r="T353" s="20" t="s">
        <v>172</v>
      </c>
      <c r="U353" s="20" t="s">
        <v>173</v>
      </c>
      <c r="V353" s="20" t="s">
        <v>87</v>
      </c>
      <c r="W353" s="20">
        <v>501</v>
      </c>
      <c r="X353" s="20">
        <v>501</v>
      </c>
      <c r="Y353" s="20" t="s">
        <v>511</v>
      </c>
      <c r="Z353" s="20">
        <v>0.16666666666666666</v>
      </c>
      <c r="AA353" s="20" t="s">
        <v>512</v>
      </c>
      <c r="AB353" s="20" t="s">
        <v>176</v>
      </c>
      <c r="AC353" s="20" t="s">
        <v>177</v>
      </c>
      <c r="AD353" s="20" t="s">
        <v>513</v>
      </c>
      <c r="AE353" s="20" t="s">
        <v>91</v>
      </c>
      <c r="AF353" s="20">
        <v>0.33333333333333331</v>
      </c>
      <c r="AG353" s="20">
        <v>0</v>
      </c>
      <c r="AH353" s="20">
        <v>1</v>
      </c>
      <c r="AI353" s="4" t="s">
        <v>92</v>
      </c>
      <c r="AJ353" s="20">
        <v>250</v>
      </c>
      <c r="AK353" s="4" t="s">
        <v>111</v>
      </c>
      <c r="AL353" s="4">
        <v>7</v>
      </c>
      <c r="AM353" s="4" t="s">
        <v>514</v>
      </c>
      <c r="AN353" s="4" t="s">
        <v>95</v>
      </c>
      <c r="AO353" s="4" t="s">
        <v>96</v>
      </c>
      <c r="AP353" s="4">
        <v>1</v>
      </c>
      <c r="AQ353" s="20">
        <v>45000</v>
      </c>
      <c r="AR353" s="4">
        <v>41820</v>
      </c>
      <c r="AS353" s="20">
        <v>6818.1818181818171</v>
      </c>
      <c r="AT353" s="20">
        <v>7379.6600000000008</v>
      </c>
      <c r="AU353" s="20">
        <v>561.47818181818366</v>
      </c>
      <c r="AW353" s="20">
        <v>0</v>
      </c>
      <c r="AX353" s="20">
        <v>20</v>
      </c>
      <c r="AY353" s="20">
        <v>20</v>
      </c>
      <c r="AZ353" s="20">
        <v>5.9</v>
      </c>
      <c r="BA353" s="20">
        <v>0</v>
      </c>
      <c r="BB353" s="6">
        <v>41738</v>
      </c>
      <c r="BC353" s="6">
        <v>0</v>
      </c>
      <c r="BD353" s="6">
        <v>41848</v>
      </c>
      <c r="BE353" s="6">
        <v>41848</v>
      </c>
      <c r="BF353" s="6">
        <v>41859</v>
      </c>
      <c r="BG353" s="6">
        <v>41883</v>
      </c>
      <c r="BH353" s="6">
        <v>0</v>
      </c>
      <c r="BI353" s="6">
        <v>0</v>
      </c>
      <c r="BJ353" s="6">
        <v>0</v>
      </c>
      <c r="BK353" s="4" t="s">
        <v>401</v>
      </c>
      <c r="BL353" s="4" t="s">
        <v>401</v>
      </c>
      <c r="BM353" s="20">
        <v>219</v>
      </c>
      <c r="BN353" s="20">
        <v>0</v>
      </c>
      <c r="BO353" s="20">
        <v>0</v>
      </c>
      <c r="BP353" s="20">
        <v>0</v>
      </c>
      <c r="BQ353" s="20">
        <v>0</v>
      </c>
      <c r="BS353" s="20">
        <v>250</v>
      </c>
      <c r="BT353" s="20">
        <v>1844915.0000000002</v>
      </c>
      <c r="BU353" s="20">
        <v>11250000</v>
      </c>
      <c r="BV353" s="20">
        <v>5.5434926418142432</v>
      </c>
    </row>
    <row r="354" spans="1:74">
      <c r="A354" s="10">
        <f t="shared" si="22"/>
        <v>0</v>
      </c>
      <c r="B354" s="10">
        <f t="shared" si="23"/>
        <v>0</v>
      </c>
      <c r="C354" s="12">
        <f t="shared" si="24"/>
        <v>4</v>
      </c>
      <c r="D354" s="12">
        <f t="shared" si="25"/>
        <v>8</v>
      </c>
      <c r="E354" s="20" t="s">
        <v>114</v>
      </c>
      <c r="F354" s="20" t="s">
        <v>503</v>
      </c>
      <c r="G354" s="20" t="s">
        <v>504</v>
      </c>
      <c r="H354" s="20" t="s">
        <v>505</v>
      </c>
      <c r="I354" s="20">
        <v>1</v>
      </c>
      <c r="J354" s="20" t="s">
        <v>506</v>
      </c>
      <c r="K354" s="20" t="s">
        <v>515</v>
      </c>
      <c r="L354" s="20" t="s">
        <v>508</v>
      </c>
      <c r="M354" s="20" t="s">
        <v>503</v>
      </c>
      <c r="N354" s="20" t="s">
        <v>509</v>
      </c>
      <c r="P354" s="20" t="s">
        <v>503</v>
      </c>
      <c r="Q354" s="20" t="s">
        <v>510</v>
      </c>
      <c r="R354" s="20" t="s">
        <v>84</v>
      </c>
      <c r="S354" s="20">
        <v>5</v>
      </c>
      <c r="T354" s="20" t="s">
        <v>172</v>
      </c>
      <c r="U354" s="20" t="s">
        <v>173</v>
      </c>
      <c r="V354" s="20" t="s">
        <v>87</v>
      </c>
      <c r="W354" s="20">
        <v>501</v>
      </c>
      <c r="X354" s="20">
        <v>501</v>
      </c>
      <c r="Y354" s="20" t="s">
        <v>511</v>
      </c>
      <c r="Z354" s="20">
        <v>0.16666666666666666</v>
      </c>
      <c r="AA354" s="20" t="s">
        <v>512</v>
      </c>
      <c r="AB354" s="20" t="s">
        <v>176</v>
      </c>
      <c r="AC354" s="20" t="s">
        <v>177</v>
      </c>
      <c r="AD354" s="20" t="s">
        <v>513</v>
      </c>
      <c r="AE354" s="20" t="s">
        <v>91</v>
      </c>
      <c r="AF354" s="20">
        <v>0.33333333333333331</v>
      </c>
      <c r="AG354" s="20">
        <v>0</v>
      </c>
      <c r="AH354" s="20">
        <v>1</v>
      </c>
      <c r="AI354" s="4" t="s">
        <v>97</v>
      </c>
      <c r="AJ354" s="20">
        <v>200</v>
      </c>
      <c r="AK354" s="4" t="s">
        <v>111</v>
      </c>
      <c r="AL354" s="4">
        <v>7</v>
      </c>
      <c r="AM354" s="4" t="s">
        <v>514</v>
      </c>
      <c r="AN354" s="4" t="s">
        <v>95</v>
      </c>
      <c r="AO354" s="4" t="s">
        <v>96</v>
      </c>
      <c r="AP354" s="4">
        <v>1</v>
      </c>
      <c r="AQ354" s="20">
        <v>45000</v>
      </c>
      <c r="AR354" s="4">
        <v>41820</v>
      </c>
      <c r="AS354" s="20">
        <v>6818.1818181818171</v>
      </c>
      <c r="AT354" s="20">
        <v>7379.6600000000008</v>
      </c>
      <c r="AU354" s="20">
        <v>561.47818181818366</v>
      </c>
      <c r="AV354" s="20">
        <v>0</v>
      </c>
      <c r="AW354" s="20">
        <v>0</v>
      </c>
      <c r="AX354" s="20">
        <v>20</v>
      </c>
      <c r="AY354" s="20">
        <v>20</v>
      </c>
      <c r="AZ354" s="20">
        <v>5.9</v>
      </c>
      <c r="BA354" s="20">
        <v>0</v>
      </c>
      <c r="BB354" s="6">
        <v>41738</v>
      </c>
      <c r="BC354" s="6">
        <v>0</v>
      </c>
      <c r="BD354" s="6">
        <v>41848</v>
      </c>
      <c r="BE354" s="6">
        <v>41848</v>
      </c>
      <c r="BF354" s="6">
        <v>41859</v>
      </c>
      <c r="BG354" s="6">
        <v>41883</v>
      </c>
      <c r="BH354" s="6">
        <v>0</v>
      </c>
      <c r="BI354" s="6">
        <v>0</v>
      </c>
      <c r="BJ354" s="6">
        <v>0</v>
      </c>
      <c r="BK354" s="4" t="s">
        <v>401</v>
      </c>
      <c r="BL354" s="4" t="s">
        <v>401</v>
      </c>
      <c r="BM354" s="20">
        <v>174</v>
      </c>
      <c r="BN354" s="20">
        <v>23</v>
      </c>
      <c r="BO354" s="20">
        <v>0</v>
      </c>
      <c r="BP354" s="20">
        <v>0</v>
      </c>
      <c r="BQ354" s="20">
        <v>0</v>
      </c>
      <c r="BR354" s="20">
        <v>0</v>
      </c>
      <c r="BS354" s="20">
        <v>200</v>
      </c>
      <c r="BT354" s="20">
        <v>1475932.0000000002</v>
      </c>
      <c r="BU354" s="20">
        <v>9000000</v>
      </c>
      <c r="BV354" s="20">
        <v>5.5434926418142432</v>
      </c>
    </row>
    <row r="355" spans="1:74">
      <c r="A355" s="10">
        <f t="shared" si="22"/>
        <v>0</v>
      </c>
      <c r="B355" s="10">
        <f t="shared" si="23"/>
        <v>0</v>
      </c>
      <c r="C355" s="12">
        <f t="shared" si="24"/>
        <v>4</v>
      </c>
      <c r="D355" s="12">
        <f t="shared" si="25"/>
        <v>8</v>
      </c>
      <c r="E355" s="20" t="s">
        <v>114</v>
      </c>
      <c r="F355" s="20" t="s">
        <v>503</v>
      </c>
      <c r="G355" s="20" t="s">
        <v>504</v>
      </c>
      <c r="H355" s="20" t="s">
        <v>505</v>
      </c>
      <c r="I355" s="20">
        <v>1</v>
      </c>
      <c r="J355" s="20" t="s">
        <v>506</v>
      </c>
      <c r="K355" s="20" t="s">
        <v>516</v>
      </c>
      <c r="L355" s="20" t="s">
        <v>508</v>
      </c>
      <c r="M355" s="20" t="s">
        <v>503</v>
      </c>
      <c r="N355" s="20" t="s">
        <v>509</v>
      </c>
      <c r="P355" s="20" t="s">
        <v>503</v>
      </c>
      <c r="Q355" s="20" t="s">
        <v>510</v>
      </c>
      <c r="R355" s="20" t="s">
        <v>84</v>
      </c>
      <c r="S355" s="20">
        <v>5</v>
      </c>
      <c r="T355" s="20" t="s">
        <v>172</v>
      </c>
      <c r="U355" s="20" t="s">
        <v>173</v>
      </c>
      <c r="V355" s="20" t="s">
        <v>87</v>
      </c>
      <c r="W355" s="20">
        <v>501</v>
      </c>
      <c r="X355" s="20">
        <v>501</v>
      </c>
      <c r="Y355" s="20" t="s">
        <v>511</v>
      </c>
      <c r="Z355" s="20">
        <v>0.16666666666666666</v>
      </c>
      <c r="AA355" s="20" t="s">
        <v>512</v>
      </c>
      <c r="AB355" s="20" t="s">
        <v>176</v>
      </c>
      <c r="AC355" s="20" t="s">
        <v>177</v>
      </c>
      <c r="AD355" s="20" t="s">
        <v>513</v>
      </c>
      <c r="AE355" s="20" t="s">
        <v>91</v>
      </c>
      <c r="AF355" s="20">
        <v>0.33333333333333331</v>
      </c>
      <c r="AG355" s="20">
        <v>0</v>
      </c>
      <c r="AH355" s="20">
        <v>1</v>
      </c>
      <c r="AI355" s="4" t="s">
        <v>98</v>
      </c>
      <c r="AJ355" s="20">
        <v>150</v>
      </c>
      <c r="AK355" s="4" t="s">
        <v>111</v>
      </c>
      <c r="AL355" s="4">
        <v>7</v>
      </c>
      <c r="AM355" s="4" t="s">
        <v>514</v>
      </c>
      <c r="AN355" s="4" t="s">
        <v>95</v>
      </c>
      <c r="AO355" s="4" t="s">
        <v>96</v>
      </c>
      <c r="AP355" s="4">
        <v>1</v>
      </c>
      <c r="AQ355" s="20">
        <v>45000</v>
      </c>
      <c r="AR355" s="4">
        <v>41820</v>
      </c>
      <c r="AS355" s="20">
        <v>6818.1818181818171</v>
      </c>
      <c r="AT355" s="20">
        <v>7379.6600000000008</v>
      </c>
      <c r="AU355" s="20">
        <v>561.47818181818366</v>
      </c>
      <c r="AV355" s="20">
        <v>0</v>
      </c>
      <c r="AW355" s="20">
        <v>0</v>
      </c>
      <c r="AX355" s="20">
        <v>20</v>
      </c>
      <c r="AY355" s="20">
        <v>20</v>
      </c>
      <c r="AZ355" s="20">
        <v>5.9</v>
      </c>
      <c r="BA355" s="20">
        <v>0</v>
      </c>
      <c r="BB355" s="6">
        <v>41738</v>
      </c>
      <c r="BC355" s="6">
        <v>0</v>
      </c>
      <c r="BD355" s="6">
        <v>41848</v>
      </c>
      <c r="BE355" s="6">
        <v>41848</v>
      </c>
      <c r="BF355" s="6">
        <v>41859</v>
      </c>
      <c r="BG355" s="6">
        <v>41883</v>
      </c>
      <c r="BH355" s="6">
        <v>0</v>
      </c>
      <c r="BI355" s="6">
        <v>0</v>
      </c>
      <c r="BJ355" s="6">
        <v>0</v>
      </c>
      <c r="BK355" s="4" t="s">
        <v>401</v>
      </c>
      <c r="BL355" s="4" t="s">
        <v>401</v>
      </c>
      <c r="BM355" s="20">
        <v>128</v>
      </c>
      <c r="BN355" s="20">
        <v>17</v>
      </c>
      <c r="BO355" s="20">
        <v>0</v>
      </c>
      <c r="BP355" s="20">
        <v>0</v>
      </c>
      <c r="BQ355" s="20">
        <v>0</v>
      </c>
      <c r="BR355" s="20">
        <v>0</v>
      </c>
      <c r="BS355" s="20">
        <v>150</v>
      </c>
      <c r="BT355" s="20">
        <v>1106949</v>
      </c>
      <c r="BU355" s="20">
        <v>6750000</v>
      </c>
      <c r="BV355" s="20">
        <v>5.5434926418142441</v>
      </c>
    </row>
    <row r="356" spans="1:74">
      <c r="A356" s="10">
        <f t="shared" si="22"/>
        <v>0</v>
      </c>
      <c r="B356" s="10">
        <f t="shared" si="23"/>
        <v>0</v>
      </c>
      <c r="C356" s="12">
        <f t="shared" si="24"/>
        <v>4</v>
      </c>
      <c r="D356" s="12">
        <f t="shared" si="25"/>
        <v>8</v>
      </c>
      <c r="E356" s="20" t="s">
        <v>114</v>
      </c>
      <c r="F356" s="20" t="s">
        <v>503</v>
      </c>
      <c r="G356" s="20" t="s">
        <v>504</v>
      </c>
      <c r="H356" s="20" t="s">
        <v>517</v>
      </c>
      <c r="I356" s="20">
        <v>2</v>
      </c>
      <c r="J356" s="20" t="s">
        <v>518</v>
      </c>
      <c r="K356" s="20" t="s">
        <v>519</v>
      </c>
      <c r="L356" s="20" t="s">
        <v>508</v>
      </c>
      <c r="M356" s="20" t="s">
        <v>503</v>
      </c>
      <c r="N356" s="20" t="s">
        <v>509</v>
      </c>
      <c r="P356" s="20" t="s">
        <v>503</v>
      </c>
      <c r="Q356" s="20" t="s">
        <v>510</v>
      </c>
      <c r="R356" s="20" t="s">
        <v>84</v>
      </c>
      <c r="S356" s="20">
        <v>5</v>
      </c>
      <c r="T356" s="20" t="s">
        <v>172</v>
      </c>
      <c r="U356" s="20" t="s">
        <v>173</v>
      </c>
      <c r="V356" s="20" t="s">
        <v>87</v>
      </c>
      <c r="W356" s="20">
        <v>501</v>
      </c>
      <c r="X356" s="20">
        <v>501</v>
      </c>
      <c r="Y356" s="20" t="s">
        <v>511</v>
      </c>
      <c r="Z356" s="20">
        <v>0.16666666666666666</v>
      </c>
      <c r="AA356" s="20" t="s">
        <v>520</v>
      </c>
      <c r="AB356" s="20" t="s">
        <v>101</v>
      </c>
      <c r="AC356" s="20" t="s">
        <v>102</v>
      </c>
      <c r="AD356" s="20" t="s">
        <v>521</v>
      </c>
      <c r="AE356" s="20" t="s">
        <v>91</v>
      </c>
      <c r="AF356" s="20">
        <v>0.33333333333333331</v>
      </c>
      <c r="AG356" s="20">
        <v>0</v>
      </c>
      <c r="AH356" s="20">
        <v>1</v>
      </c>
      <c r="AI356" s="4" t="s">
        <v>92</v>
      </c>
      <c r="AJ356" s="20">
        <v>250</v>
      </c>
      <c r="AK356" s="4" t="s">
        <v>111</v>
      </c>
      <c r="AL356" s="4">
        <v>7</v>
      </c>
      <c r="AM356" s="4" t="s">
        <v>514</v>
      </c>
      <c r="AN356" s="4" t="s">
        <v>95</v>
      </c>
      <c r="AO356" s="4" t="s">
        <v>96</v>
      </c>
      <c r="AP356" s="4">
        <v>1</v>
      </c>
      <c r="AQ356" s="20">
        <v>45000</v>
      </c>
      <c r="AR356" s="4">
        <v>41820</v>
      </c>
      <c r="AS356" s="20">
        <v>6818.1818181818171</v>
      </c>
      <c r="AT356" s="20">
        <v>7379.6600000000008</v>
      </c>
      <c r="AU356" s="20">
        <v>561.47818181818366</v>
      </c>
      <c r="AV356" s="20">
        <v>0</v>
      </c>
      <c r="AW356" s="20">
        <v>0</v>
      </c>
      <c r="AX356" s="20">
        <v>20</v>
      </c>
      <c r="AY356" s="20">
        <v>20</v>
      </c>
      <c r="AZ356" s="20">
        <v>5.9</v>
      </c>
      <c r="BA356" s="20">
        <v>0</v>
      </c>
      <c r="BB356" s="6">
        <v>41738</v>
      </c>
      <c r="BC356" s="6">
        <v>0</v>
      </c>
      <c r="BD356" s="6">
        <v>41848</v>
      </c>
      <c r="BE356" s="6">
        <v>41848</v>
      </c>
      <c r="BF356" s="6">
        <v>41859</v>
      </c>
      <c r="BG356" s="6">
        <v>41883</v>
      </c>
      <c r="BH356" s="6">
        <v>0</v>
      </c>
      <c r="BI356" s="6">
        <v>0</v>
      </c>
      <c r="BJ356" s="6">
        <v>0</v>
      </c>
      <c r="BK356" s="4" t="s">
        <v>401</v>
      </c>
      <c r="BL356" s="4" t="s">
        <v>401</v>
      </c>
      <c r="BM356" s="20">
        <v>238</v>
      </c>
      <c r="BN356" s="20">
        <v>8</v>
      </c>
      <c r="BO356" s="20">
        <v>0</v>
      </c>
      <c r="BP356" s="20">
        <v>0</v>
      </c>
      <c r="BQ356" s="20">
        <v>0</v>
      </c>
      <c r="BR356" s="20">
        <v>0</v>
      </c>
      <c r="BS356" s="20">
        <v>250</v>
      </c>
      <c r="BT356" s="20">
        <v>1844915.0000000002</v>
      </c>
      <c r="BU356" s="20">
        <v>11250000</v>
      </c>
      <c r="BV356" s="20">
        <v>5.5434926418142432</v>
      </c>
    </row>
    <row r="357" spans="1:74">
      <c r="A357" s="10">
        <f t="shared" si="22"/>
        <v>0</v>
      </c>
      <c r="B357" s="10">
        <f t="shared" si="23"/>
        <v>0</v>
      </c>
      <c r="C357" s="12">
        <f t="shared" si="24"/>
        <v>4</v>
      </c>
      <c r="D357" s="12">
        <f t="shared" si="25"/>
        <v>8</v>
      </c>
      <c r="E357" s="20" t="s">
        <v>114</v>
      </c>
      <c r="F357" s="20" t="s">
        <v>503</v>
      </c>
      <c r="G357" s="20" t="s">
        <v>504</v>
      </c>
      <c r="H357" s="20" t="s">
        <v>517</v>
      </c>
      <c r="I357" s="20">
        <v>2</v>
      </c>
      <c r="J357" s="20" t="s">
        <v>518</v>
      </c>
      <c r="K357" s="20" t="s">
        <v>522</v>
      </c>
      <c r="L357" s="20" t="s">
        <v>508</v>
      </c>
      <c r="M357" s="20" t="s">
        <v>503</v>
      </c>
      <c r="N357" s="20" t="s">
        <v>509</v>
      </c>
      <c r="P357" s="20" t="s">
        <v>503</v>
      </c>
      <c r="Q357" s="20" t="s">
        <v>510</v>
      </c>
      <c r="R357" s="20" t="s">
        <v>84</v>
      </c>
      <c r="S357" s="20">
        <v>5</v>
      </c>
      <c r="T357" s="20" t="s">
        <v>172</v>
      </c>
      <c r="U357" s="20" t="s">
        <v>173</v>
      </c>
      <c r="V357" s="20" t="s">
        <v>87</v>
      </c>
      <c r="W357" s="20">
        <v>501</v>
      </c>
      <c r="X357" s="20">
        <v>501</v>
      </c>
      <c r="Y357" s="20" t="s">
        <v>511</v>
      </c>
      <c r="Z357" s="20">
        <v>0.16666666666666666</v>
      </c>
      <c r="AA357" s="20" t="s">
        <v>520</v>
      </c>
      <c r="AB357" s="20" t="s">
        <v>101</v>
      </c>
      <c r="AC357" s="20" t="s">
        <v>102</v>
      </c>
      <c r="AD357" s="20" t="s">
        <v>521</v>
      </c>
      <c r="AE357" s="20" t="s">
        <v>91</v>
      </c>
      <c r="AF357" s="20">
        <v>0.33333333333333331</v>
      </c>
      <c r="AG357" s="20">
        <v>0</v>
      </c>
      <c r="AH357" s="20">
        <v>1</v>
      </c>
      <c r="AI357" s="4" t="s">
        <v>97</v>
      </c>
      <c r="AJ357" s="20">
        <v>200</v>
      </c>
      <c r="AK357" s="4" t="s">
        <v>111</v>
      </c>
      <c r="AL357" s="4">
        <v>7</v>
      </c>
      <c r="AM357" s="4" t="s">
        <v>514</v>
      </c>
      <c r="AN357" s="4" t="s">
        <v>95</v>
      </c>
      <c r="AO357" s="4" t="s">
        <v>96</v>
      </c>
      <c r="AP357" s="4">
        <v>1</v>
      </c>
      <c r="AQ357" s="20">
        <v>45000</v>
      </c>
      <c r="AR357" s="4">
        <v>41820</v>
      </c>
      <c r="AS357" s="20">
        <v>6818.1818181818171</v>
      </c>
      <c r="AT357" s="20">
        <v>7379.6600000000008</v>
      </c>
      <c r="AU357" s="20">
        <v>561.47818181818366</v>
      </c>
      <c r="AV357" s="20">
        <v>0</v>
      </c>
      <c r="AW357" s="20">
        <v>0</v>
      </c>
      <c r="AX357" s="20">
        <v>20</v>
      </c>
      <c r="AY357" s="20">
        <v>20</v>
      </c>
      <c r="AZ357" s="20">
        <v>5.9</v>
      </c>
      <c r="BA357" s="20">
        <v>0</v>
      </c>
      <c r="BB357" s="6">
        <v>41738</v>
      </c>
      <c r="BC357" s="6">
        <v>0</v>
      </c>
      <c r="BD357" s="6">
        <v>41848</v>
      </c>
      <c r="BE357" s="6">
        <v>41848</v>
      </c>
      <c r="BF357" s="6">
        <v>41859</v>
      </c>
      <c r="BG357" s="6">
        <v>41883</v>
      </c>
      <c r="BH357" s="6">
        <v>0</v>
      </c>
      <c r="BI357" s="6">
        <v>0</v>
      </c>
      <c r="BJ357" s="6">
        <v>0</v>
      </c>
      <c r="BK357" s="4" t="s">
        <v>401</v>
      </c>
      <c r="BL357" s="4" t="s">
        <v>401</v>
      </c>
      <c r="BM357" s="20">
        <v>185</v>
      </c>
      <c r="BN357" s="20">
        <v>14</v>
      </c>
      <c r="BO357" s="20">
        <v>0</v>
      </c>
      <c r="BP357" s="20">
        <v>0</v>
      </c>
      <c r="BQ357" s="20">
        <v>0</v>
      </c>
      <c r="BR357" s="20">
        <v>0</v>
      </c>
      <c r="BS357" s="20">
        <v>200</v>
      </c>
      <c r="BT357" s="20">
        <v>1475932.0000000002</v>
      </c>
      <c r="BU357" s="20">
        <v>9000000</v>
      </c>
      <c r="BV357" s="20">
        <v>5.5434926418142432</v>
      </c>
    </row>
    <row r="358" spans="1:74">
      <c r="A358" s="10">
        <f t="shared" si="22"/>
        <v>0</v>
      </c>
      <c r="B358" s="10">
        <f t="shared" si="23"/>
        <v>0</v>
      </c>
      <c r="C358" s="12">
        <f t="shared" si="24"/>
        <v>4</v>
      </c>
      <c r="D358" s="12">
        <f t="shared" si="25"/>
        <v>8</v>
      </c>
      <c r="E358" s="20" t="s">
        <v>114</v>
      </c>
      <c r="F358" s="20" t="s">
        <v>503</v>
      </c>
      <c r="G358" s="20" t="s">
        <v>504</v>
      </c>
      <c r="H358" s="20" t="s">
        <v>517</v>
      </c>
      <c r="I358" s="20">
        <v>2</v>
      </c>
      <c r="J358" s="20" t="s">
        <v>518</v>
      </c>
      <c r="K358" s="20" t="s">
        <v>523</v>
      </c>
      <c r="L358" s="20" t="s">
        <v>508</v>
      </c>
      <c r="M358" s="20" t="s">
        <v>503</v>
      </c>
      <c r="N358" s="20" t="s">
        <v>509</v>
      </c>
      <c r="P358" s="20" t="s">
        <v>503</v>
      </c>
      <c r="Q358" s="20" t="s">
        <v>510</v>
      </c>
      <c r="R358" s="20" t="s">
        <v>84</v>
      </c>
      <c r="S358" s="20">
        <v>5</v>
      </c>
      <c r="T358" s="20" t="s">
        <v>172</v>
      </c>
      <c r="U358" s="20" t="s">
        <v>173</v>
      </c>
      <c r="V358" s="20" t="s">
        <v>87</v>
      </c>
      <c r="W358" s="20">
        <v>501</v>
      </c>
      <c r="X358" s="20">
        <v>501</v>
      </c>
      <c r="Y358" s="20" t="s">
        <v>511</v>
      </c>
      <c r="Z358" s="20">
        <v>0.16666666666666666</v>
      </c>
      <c r="AA358" s="20" t="s">
        <v>520</v>
      </c>
      <c r="AB358" s="20" t="s">
        <v>101</v>
      </c>
      <c r="AC358" s="20" t="s">
        <v>102</v>
      </c>
      <c r="AD358" s="20" t="s">
        <v>521</v>
      </c>
      <c r="AE358" s="20" t="s">
        <v>91</v>
      </c>
      <c r="AF358" s="20">
        <v>0.33333333333333331</v>
      </c>
      <c r="AG358" s="20">
        <v>0</v>
      </c>
      <c r="AH358" s="20">
        <v>1</v>
      </c>
      <c r="AI358" s="4" t="s">
        <v>98</v>
      </c>
      <c r="AJ358" s="20">
        <v>150</v>
      </c>
      <c r="AK358" s="4" t="s">
        <v>111</v>
      </c>
      <c r="AL358" s="4">
        <v>7</v>
      </c>
      <c r="AM358" s="4" t="s">
        <v>514</v>
      </c>
      <c r="AN358" s="4" t="s">
        <v>95</v>
      </c>
      <c r="AO358" s="4" t="s">
        <v>96</v>
      </c>
      <c r="AP358" s="4">
        <v>1</v>
      </c>
      <c r="AQ358" s="20">
        <v>45000</v>
      </c>
      <c r="AR358" s="4">
        <v>41820</v>
      </c>
      <c r="AS358" s="20">
        <v>6818.1818181818171</v>
      </c>
      <c r="AT358" s="20">
        <v>7379.6600000000008</v>
      </c>
      <c r="AU358" s="20">
        <v>561.47818181818366</v>
      </c>
      <c r="AV358" s="20">
        <v>0</v>
      </c>
      <c r="AW358" s="20">
        <v>0</v>
      </c>
      <c r="AX358" s="20">
        <v>20</v>
      </c>
      <c r="AY358" s="20">
        <v>20</v>
      </c>
      <c r="AZ358" s="20">
        <v>5.9</v>
      </c>
      <c r="BA358" s="20">
        <v>0</v>
      </c>
      <c r="BB358" s="6">
        <v>41738</v>
      </c>
      <c r="BC358" s="6">
        <v>0</v>
      </c>
      <c r="BD358" s="6">
        <v>41848</v>
      </c>
      <c r="BE358" s="6">
        <v>41848</v>
      </c>
      <c r="BF358" s="6">
        <v>41859</v>
      </c>
      <c r="BG358" s="6">
        <v>41883</v>
      </c>
      <c r="BH358" s="6">
        <v>0</v>
      </c>
      <c r="BI358" s="6">
        <v>0</v>
      </c>
      <c r="BJ358" s="6">
        <v>0</v>
      </c>
      <c r="BK358" s="4" t="s">
        <v>401</v>
      </c>
      <c r="BL358" s="4" t="s">
        <v>401</v>
      </c>
      <c r="BM358" s="20">
        <v>117</v>
      </c>
      <c r="BN358" s="20">
        <v>0</v>
      </c>
      <c r="BO358" s="20">
        <v>0</v>
      </c>
      <c r="BP358" s="20">
        <v>0</v>
      </c>
      <c r="BQ358" s="20">
        <v>0</v>
      </c>
      <c r="BS358" s="20">
        <v>150</v>
      </c>
      <c r="BT358" s="20">
        <v>1106949</v>
      </c>
      <c r="BU358" s="20">
        <v>6750000</v>
      </c>
      <c r="BV358" s="20">
        <v>5.5434926418142441</v>
      </c>
    </row>
    <row r="359" spans="1:74">
      <c r="A359" s="10">
        <f t="shared" si="22"/>
        <v>0</v>
      </c>
      <c r="B359" s="10">
        <f t="shared" si="23"/>
        <v>0</v>
      </c>
      <c r="C359" s="12" t="str">
        <f t="shared" si="24"/>
        <v/>
      </c>
      <c r="D359" s="12" t="str">
        <f t="shared" si="25"/>
        <v/>
      </c>
      <c r="E359" s="20" t="s">
        <v>91</v>
      </c>
      <c r="F359" s="20" t="s">
        <v>91</v>
      </c>
      <c r="G359" s="20" t="s">
        <v>91</v>
      </c>
      <c r="H359" s="20" t="s">
        <v>91</v>
      </c>
      <c r="I359" s="20">
        <v>0</v>
      </c>
      <c r="J359" s="20" t="s">
        <v>103</v>
      </c>
      <c r="K359" s="20" t="s">
        <v>104</v>
      </c>
      <c r="L359" s="20">
        <v>0</v>
      </c>
      <c r="M359" s="20" t="s">
        <v>105</v>
      </c>
      <c r="N359" s="20" t="s">
        <v>91</v>
      </c>
      <c r="O359" s="20" t="s">
        <v>524</v>
      </c>
      <c r="Q359" s="20" t="s">
        <v>91</v>
      </c>
      <c r="R359" s="20" t="s">
        <v>91</v>
      </c>
      <c r="S359" s="20" t="s">
        <v>91</v>
      </c>
      <c r="U359" s="20" t="s">
        <v>91</v>
      </c>
      <c r="V359" s="20" t="s">
        <v>87</v>
      </c>
      <c r="X359" s="20" t="s">
        <v>91</v>
      </c>
      <c r="Y359" s="20" t="s">
        <v>91</v>
      </c>
      <c r="Z359" s="20">
        <v>0.99999999999999989</v>
      </c>
      <c r="AB359" s="20" t="s">
        <v>91</v>
      </c>
      <c r="AD359" s="20" t="s">
        <v>91</v>
      </c>
      <c r="AE359" s="20" t="s">
        <v>91</v>
      </c>
      <c r="AF359" s="20">
        <v>1.9999999999999998</v>
      </c>
      <c r="AG359" s="20">
        <v>0</v>
      </c>
      <c r="AH359" s="20">
        <v>1</v>
      </c>
      <c r="AM359" s="4" t="s">
        <v>91</v>
      </c>
      <c r="AP359" s="4" t="s">
        <v>91</v>
      </c>
      <c r="AQ359" s="20">
        <v>0</v>
      </c>
      <c r="AR359" s="4">
        <v>0</v>
      </c>
      <c r="AS359" s="20">
        <v>0</v>
      </c>
      <c r="AT359" s="20">
        <v>0</v>
      </c>
      <c r="AU359" s="20">
        <v>0</v>
      </c>
      <c r="AV359" s="20">
        <v>0</v>
      </c>
      <c r="AW359" s="20">
        <v>0</v>
      </c>
      <c r="AX359" s="20" t="s">
        <v>91</v>
      </c>
      <c r="AY359" s="20">
        <v>0</v>
      </c>
      <c r="AZ359" s="20">
        <v>0</v>
      </c>
      <c r="BA359" s="20">
        <v>0</v>
      </c>
      <c r="BB359" s="6">
        <v>0</v>
      </c>
      <c r="BC359" s="6">
        <v>0</v>
      </c>
      <c r="BD359" s="6">
        <v>0</v>
      </c>
      <c r="BE359" s="6">
        <v>0</v>
      </c>
      <c r="BF359" s="6">
        <v>0</v>
      </c>
      <c r="BG359" s="6">
        <v>0</v>
      </c>
      <c r="BH359" s="6">
        <v>0</v>
      </c>
      <c r="BI359" s="6">
        <v>0</v>
      </c>
      <c r="BJ359" s="6">
        <v>0</v>
      </c>
      <c r="BK359" s="4">
        <v>0</v>
      </c>
      <c r="BL359" s="4">
        <v>0</v>
      </c>
      <c r="BM359" s="20">
        <v>1061</v>
      </c>
      <c r="BN359" s="20">
        <v>62</v>
      </c>
      <c r="BO359" s="20">
        <v>0</v>
      </c>
      <c r="BP359" s="20">
        <v>0</v>
      </c>
      <c r="BQ359" s="20">
        <v>0</v>
      </c>
      <c r="BR359" s="20">
        <v>0</v>
      </c>
      <c r="BS359" s="20">
        <v>1200</v>
      </c>
      <c r="BT359" s="20">
        <v>8855592</v>
      </c>
      <c r="BU359" s="20">
        <v>54000000</v>
      </c>
      <c r="BV359" s="20">
        <v>5.5434926418142441</v>
      </c>
    </row>
    <row r="360" spans="1:74">
      <c r="A360" s="10">
        <f t="shared" si="22"/>
        <v>0</v>
      </c>
      <c r="B360" s="10">
        <f t="shared" si="23"/>
        <v>0</v>
      </c>
      <c r="C360" s="12">
        <f t="shared" si="24"/>
        <v>4</v>
      </c>
      <c r="D360" s="12">
        <f t="shared" si="25"/>
        <v>9</v>
      </c>
      <c r="E360" s="20" t="s">
        <v>114</v>
      </c>
      <c r="F360" s="20" t="s">
        <v>503</v>
      </c>
      <c r="G360" s="20" t="s">
        <v>525</v>
      </c>
      <c r="H360" s="20" t="s">
        <v>526</v>
      </c>
      <c r="I360" s="20">
        <v>1</v>
      </c>
      <c r="J360" s="20" t="s">
        <v>527</v>
      </c>
      <c r="K360" s="20" t="s">
        <v>528</v>
      </c>
      <c r="L360" s="20" t="s">
        <v>529</v>
      </c>
      <c r="M360" s="20" t="s">
        <v>503</v>
      </c>
      <c r="N360" s="20" t="s">
        <v>509</v>
      </c>
      <c r="P360" s="20" t="s">
        <v>503</v>
      </c>
      <c r="Q360" s="20" t="s">
        <v>510</v>
      </c>
      <c r="R360" s="20" t="s">
        <v>84</v>
      </c>
      <c r="S360" s="20">
        <v>5</v>
      </c>
      <c r="T360" s="20" t="s">
        <v>106</v>
      </c>
      <c r="U360" s="20" t="s">
        <v>107</v>
      </c>
      <c r="V360" s="20" t="s">
        <v>87</v>
      </c>
      <c r="W360" s="20">
        <v>504</v>
      </c>
      <c r="X360" s="20">
        <v>504</v>
      </c>
      <c r="Y360" s="20" t="s">
        <v>530</v>
      </c>
      <c r="Z360" s="20">
        <v>0.33333333333333331</v>
      </c>
      <c r="AA360" s="20" t="s">
        <v>531</v>
      </c>
      <c r="AB360" s="20" t="s">
        <v>532</v>
      </c>
      <c r="AC360" s="20" t="s">
        <v>533</v>
      </c>
      <c r="AD360" s="20" t="s">
        <v>534</v>
      </c>
      <c r="AE360" s="20" t="s">
        <v>91</v>
      </c>
      <c r="AF360" s="20">
        <v>0.33333333333333331</v>
      </c>
      <c r="AG360" s="20">
        <v>0</v>
      </c>
      <c r="AH360" s="20">
        <v>1</v>
      </c>
      <c r="AI360" s="4" t="s">
        <v>92</v>
      </c>
      <c r="AJ360" s="20">
        <v>250</v>
      </c>
      <c r="AK360" s="4" t="s">
        <v>111</v>
      </c>
      <c r="AL360" s="4">
        <v>8</v>
      </c>
      <c r="AM360" s="4" t="s">
        <v>180</v>
      </c>
      <c r="AN360" s="4" t="s">
        <v>95</v>
      </c>
      <c r="AO360" s="4" t="s">
        <v>96</v>
      </c>
      <c r="AP360" s="4">
        <v>1</v>
      </c>
      <c r="AQ360" s="20">
        <v>55000</v>
      </c>
      <c r="AR360" s="4">
        <v>41820</v>
      </c>
      <c r="AS360" s="20">
        <v>8333.3333333333321</v>
      </c>
      <c r="AT360" s="20">
        <v>9375.5</v>
      </c>
      <c r="AU360" s="20">
        <v>1042.1666666666679</v>
      </c>
      <c r="AW360" s="20">
        <v>0</v>
      </c>
      <c r="AX360" s="20">
        <v>20</v>
      </c>
      <c r="AY360" s="20">
        <v>20</v>
      </c>
      <c r="AZ360" s="20">
        <v>7.5</v>
      </c>
      <c r="BA360" s="20">
        <v>0</v>
      </c>
      <c r="BB360" s="6">
        <v>41738</v>
      </c>
      <c r="BC360" s="6">
        <v>0</v>
      </c>
      <c r="BD360" s="6">
        <v>41879</v>
      </c>
      <c r="BE360" s="6">
        <v>41879</v>
      </c>
      <c r="BF360" s="6">
        <v>41912</v>
      </c>
      <c r="BG360" s="6">
        <v>41932</v>
      </c>
      <c r="BH360" s="6">
        <v>41950</v>
      </c>
      <c r="BI360" s="6">
        <v>0</v>
      </c>
      <c r="BJ360" s="6">
        <v>0</v>
      </c>
      <c r="BK360" s="4" t="s">
        <v>401</v>
      </c>
      <c r="BL360" s="4" t="s">
        <v>401</v>
      </c>
      <c r="BM360" s="20">
        <v>128</v>
      </c>
      <c r="BN360" s="20">
        <v>0</v>
      </c>
      <c r="BO360" s="20">
        <v>108</v>
      </c>
      <c r="BP360" s="20">
        <v>0</v>
      </c>
      <c r="BQ360" s="20">
        <v>0</v>
      </c>
      <c r="BR360" s="20">
        <v>0</v>
      </c>
      <c r="BS360" s="20">
        <v>250</v>
      </c>
      <c r="BT360" s="20">
        <v>2343875</v>
      </c>
      <c r="BU360" s="20">
        <v>13750000</v>
      </c>
      <c r="BV360" s="20">
        <v>5.3330489040584501</v>
      </c>
    </row>
    <row r="361" spans="1:74">
      <c r="A361" s="10">
        <f t="shared" si="22"/>
        <v>0</v>
      </c>
      <c r="B361" s="10">
        <f t="shared" si="23"/>
        <v>0</v>
      </c>
      <c r="C361" s="12">
        <f t="shared" si="24"/>
        <v>4</v>
      </c>
      <c r="D361" s="12">
        <f t="shared" si="25"/>
        <v>9</v>
      </c>
      <c r="E361" s="20" t="s">
        <v>114</v>
      </c>
      <c r="F361" s="20" t="s">
        <v>503</v>
      </c>
      <c r="G361" s="20" t="s">
        <v>525</v>
      </c>
      <c r="H361" s="20" t="s">
        <v>526</v>
      </c>
      <c r="I361" s="20">
        <v>1</v>
      </c>
      <c r="J361" s="20" t="s">
        <v>527</v>
      </c>
      <c r="K361" s="20" t="s">
        <v>535</v>
      </c>
      <c r="L361" s="20" t="s">
        <v>529</v>
      </c>
      <c r="M361" s="20" t="s">
        <v>503</v>
      </c>
      <c r="N361" s="20" t="s">
        <v>509</v>
      </c>
      <c r="P361" s="20" t="s">
        <v>503</v>
      </c>
      <c r="Q361" s="20" t="s">
        <v>510</v>
      </c>
      <c r="R361" s="20" t="s">
        <v>84</v>
      </c>
      <c r="S361" s="20">
        <v>5</v>
      </c>
      <c r="T361" s="20" t="s">
        <v>106</v>
      </c>
      <c r="U361" s="20" t="s">
        <v>107</v>
      </c>
      <c r="V361" s="20" t="s">
        <v>87</v>
      </c>
      <c r="W361" s="20">
        <v>504</v>
      </c>
      <c r="X361" s="20">
        <v>504</v>
      </c>
      <c r="Y361" s="20" t="s">
        <v>530</v>
      </c>
      <c r="Z361" s="20">
        <v>0.33333333333333331</v>
      </c>
      <c r="AA361" s="20" t="s">
        <v>531</v>
      </c>
      <c r="AB361" s="20" t="s">
        <v>532</v>
      </c>
      <c r="AC361" s="20" t="s">
        <v>533</v>
      </c>
      <c r="AD361" s="20" t="s">
        <v>534</v>
      </c>
      <c r="AE361" s="20" t="s">
        <v>91</v>
      </c>
      <c r="AF361" s="20">
        <v>0.33333333333333331</v>
      </c>
      <c r="AG361" s="20">
        <v>0</v>
      </c>
      <c r="AH361" s="20">
        <v>1</v>
      </c>
      <c r="AI361" s="4" t="s">
        <v>97</v>
      </c>
      <c r="AJ361" s="20">
        <v>70</v>
      </c>
      <c r="AK361" s="4" t="s">
        <v>111</v>
      </c>
      <c r="AL361" s="4">
        <v>8</v>
      </c>
      <c r="AM361" s="4" t="s">
        <v>180</v>
      </c>
      <c r="AN361" s="4" t="s">
        <v>95</v>
      </c>
      <c r="AO361" s="4" t="s">
        <v>96</v>
      </c>
      <c r="AP361" s="4">
        <v>1</v>
      </c>
      <c r="AQ361" s="20">
        <v>55000</v>
      </c>
      <c r="AR361" s="4">
        <v>41820</v>
      </c>
      <c r="AS361" s="20">
        <v>8333.3333333333321</v>
      </c>
      <c r="AT361" s="20">
        <v>9375.5</v>
      </c>
      <c r="AU361" s="20">
        <v>1042.1666666666679</v>
      </c>
      <c r="AV361" s="20">
        <v>0</v>
      </c>
      <c r="AW361" s="20">
        <v>0</v>
      </c>
      <c r="AX361" s="20">
        <v>20</v>
      </c>
      <c r="AY361" s="20">
        <v>20</v>
      </c>
      <c r="AZ361" s="20">
        <v>7.5</v>
      </c>
      <c r="BA361" s="20">
        <v>0</v>
      </c>
      <c r="BB361" s="6">
        <v>41738</v>
      </c>
      <c r="BC361" s="6">
        <v>0</v>
      </c>
      <c r="BD361" s="6">
        <v>41879</v>
      </c>
      <c r="BE361" s="6">
        <v>41879</v>
      </c>
      <c r="BF361" s="6">
        <v>41912</v>
      </c>
      <c r="BG361" s="6">
        <v>41932</v>
      </c>
      <c r="BH361" s="6">
        <v>41950</v>
      </c>
      <c r="BI361" s="6">
        <v>0</v>
      </c>
      <c r="BJ361" s="6">
        <v>0</v>
      </c>
      <c r="BK361" s="4" t="s">
        <v>401</v>
      </c>
      <c r="BL361" s="4" t="s">
        <v>401</v>
      </c>
      <c r="BM361" s="20">
        <v>69</v>
      </c>
      <c r="BN361" s="20">
        <v>0</v>
      </c>
      <c r="BO361" s="20">
        <v>0</v>
      </c>
      <c r="BP361" s="20">
        <v>0</v>
      </c>
      <c r="BQ361" s="20">
        <v>0</v>
      </c>
      <c r="BR361" s="20">
        <v>0</v>
      </c>
      <c r="BS361" s="20">
        <v>70</v>
      </c>
      <c r="BT361" s="20">
        <v>656285</v>
      </c>
      <c r="BU361" s="20">
        <v>3850000</v>
      </c>
      <c r="BV361" s="20">
        <v>5.3330489040584492</v>
      </c>
    </row>
    <row r="362" spans="1:74">
      <c r="A362" s="10">
        <f t="shared" si="22"/>
        <v>0</v>
      </c>
      <c r="B362" s="10">
        <f t="shared" si="23"/>
        <v>0</v>
      </c>
      <c r="C362" s="12">
        <f t="shared" si="24"/>
        <v>4</v>
      </c>
      <c r="D362" s="12">
        <f t="shared" si="25"/>
        <v>9</v>
      </c>
      <c r="E362" s="20" t="s">
        <v>114</v>
      </c>
      <c r="F362" s="20" t="s">
        <v>503</v>
      </c>
      <c r="G362" s="20" t="s">
        <v>525</v>
      </c>
      <c r="H362" s="20" t="s">
        <v>526</v>
      </c>
      <c r="I362" s="20">
        <v>1</v>
      </c>
      <c r="J362" s="20" t="s">
        <v>527</v>
      </c>
      <c r="K362" s="20" t="s">
        <v>536</v>
      </c>
      <c r="L362" s="20" t="s">
        <v>529</v>
      </c>
      <c r="M362" s="20" t="s">
        <v>503</v>
      </c>
      <c r="N362" s="20" t="s">
        <v>509</v>
      </c>
      <c r="P362" s="20" t="s">
        <v>503</v>
      </c>
      <c r="Q362" s="20" t="s">
        <v>510</v>
      </c>
      <c r="R362" s="20" t="s">
        <v>84</v>
      </c>
      <c r="S362" s="20">
        <v>5</v>
      </c>
      <c r="T362" s="20" t="s">
        <v>106</v>
      </c>
      <c r="U362" s="20" t="s">
        <v>107</v>
      </c>
      <c r="V362" s="20" t="s">
        <v>87</v>
      </c>
      <c r="W362" s="20">
        <v>504</v>
      </c>
      <c r="X362" s="20">
        <v>504</v>
      </c>
      <c r="Y362" s="20" t="s">
        <v>530</v>
      </c>
      <c r="Z362" s="20">
        <v>0.33333333333333331</v>
      </c>
      <c r="AA362" s="20" t="s">
        <v>531</v>
      </c>
      <c r="AB362" s="20" t="s">
        <v>532</v>
      </c>
      <c r="AC362" s="20" t="s">
        <v>533</v>
      </c>
      <c r="AD362" s="20" t="s">
        <v>534</v>
      </c>
      <c r="AE362" s="20" t="s">
        <v>91</v>
      </c>
      <c r="AF362" s="20">
        <v>0.33333333333333331</v>
      </c>
      <c r="AG362" s="20">
        <v>0</v>
      </c>
      <c r="AH362" s="20">
        <v>1</v>
      </c>
      <c r="AI362" s="4" t="s">
        <v>98</v>
      </c>
      <c r="AJ362" s="20">
        <v>50</v>
      </c>
      <c r="AK362" s="4" t="s">
        <v>111</v>
      </c>
      <c r="AL362" s="4">
        <v>8</v>
      </c>
      <c r="AM362" s="4" t="s">
        <v>180</v>
      </c>
      <c r="AN362" s="4" t="s">
        <v>95</v>
      </c>
      <c r="AO362" s="4" t="s">
        <v>96</v>
      </c>
      <c r="AP362" s="4">
        <v>1</v>
      </c>
      <c r="AQ362" s="20">
        <v>55000</v>
      </c>
      <c r="AR362" s="4">
        <v>41820</v>
      </c>
      <c r="AS362" s="20">
        <v>8333.3333333333321</v>
      </c>
      <c r="AT362" s="20">
        <v>9375.5</v>
      </c>
      <c r="AU362" s="20">
        <v>1042.1666666666679</v>
      </c>
      <c r="AV362" s="20">
        <v>0</v>
      </c>
      <c r="AW362" s="20">
        <v>0</v>
      </c>
      <c r="AX362" s="20">
        <v>20</v>
      </c>
      <c r="AY362" s="20">
        <v>20</v>
      </c>
      <c r="AZ362" s="20">
        <v>7.5</v>
      </c>
      <c r="BA362" s="20">
        <v>0</v>
      </c>
      <c r="BB362" s="6">
        <v>41738</v>
      </c>
      <c r="BC362" s="6">
        <v>0</v>
      </c>
      <c r="BD362" s="6">
        <v>41879</v>
      </c>
      <c r="BE362" s="6">
        <v>41879</v>
      </c>
      <c r="BF362" s="6">
        <v>41912</v>
      </c>
      <c r="BG362" s="6">
        <v>41932</v>
      </c>
      <c r="BH362" s="6">
        <v>41950</v>
      </c>
      <c r="BI362" s="6">
        <v>0</v>
      </c>
      <c r="BJ362" s="6">
        <v>0</v>
      </c>
      <c r="BK362" s="4" t="s">
        <v>401</v>
      </c>
      <c r="BL362" s="4" t="s">
        <v>401</v>
      </c>
      <c r="BM362" s="20">
        <v>0</v>
      </c>
      <c r="BN362" s="20">
        <v>50</v>
      </c>
      <c r="BO362" s="20">
        <v>0</v>
      </c>
      <c r="BP362" s="20">
        <v>0</v>
      </c>
      <c r="BQ362" s="20">
        <v>0</v>
      </c>
      <c r="BR362" s="20">
        <v>0</v>
      </c>
      <c r="BS362" s="20">
        <v>50</v>
      </c>
      <c r="BT362" s="20">
        <v>468775</v>
      </c>
      <c r="BU362" s="20">
        <v>2750000</v>
      </c>
      <c r="BV362" s="20">
        <v>5.3330489040584492</v>
      </c>
    </row>
    <row r="363" spans="1:74">
      <c r="A363" s="10">
        <f t="shared" si="22"/>
        <v>0</v>
      </c>
      <c r="B363" s="10">
        <f t="shared" si="23"/>
        <v>0</v>
      </c>
      <c r="C363" s="12">
        <f t="shared" si="24"/>
        <v>4</v>
      </c>
      <c r="D363" s="12">
        <f t="shared" si="25"/>
        <v>9</v>
      </c>
      <c r="E363" s="20" t="s">
        <v>114</v>
      </c>
      <c r="F363" s="20" t="s">
        <v>503</v>
      </c>
      <c r="G363" s="20" t="s">
        <v>525</v>
      </c>
      <c r="H363" s="20" t="s">
        <v>537</v>
      </c>
      <c r="I363" s="20">
        <v>2</v>
      </c>
      <c r="J363" s="20" t="s">
        <v>538</v>
      </c>
      <c r="K363" s="20" t="s">
        <v>539</v>
      </c>
      <c r="L363" s="20" t="s">
        <v>540</v>
      </c>
      <c r="M363" s="20" t="s">
        <v>503</v>
      </c>
      <c r="N363" s="20" t="s">
        <v>509</v>
      </c>
      <c r="P363" s="20" t="s">
        <v>503</v>
      </c>
      <c r="Q363" s="20" t="s">
        <v>510</v>
      </c>
      <c r="R363" s="20" t="s">
        <v>84</v>
      </c>
      <c r="S363" s="20">
        <v>5</v>
      </c>
      <c r="T363" s="20" t="s">
        <v>106</v>
      </c>
      <c r="U363" s="20" t="s">
        <v>107</v>
      </c>
      <c r="V363" s="20" t="s">
        <v>87</v>
      </c>
      <c r="W363" s="20">
        <v>505</v>
      </c>
      <c r="X363" s="20">
        <v>505</v>
      </c>
      <c r="Y363" s="20" t="s">
        <v>541</v>
      </c>
      <c r="Z363" s="20">
        <v>0.5</v>
      </c>
      <c r="AA363" s="20" t="s">
        <v>542</v>
      </c>
      <c r="AB363" s="20" t="s">
        <v>89</v>
      </c>
      <c r="AC363" s="20" t="s">
        <v>90</v>
      </c>
      <c r="AD363" s="20" t="s">
        <v>543</v>
      </c>
      <c r="AE363" s="20" t="s">
        <v>91</v>
      </c>
      <c r="AF363" s="20">
        <v>0.5</v>
      </c>
      <c r="AG363" s="20">
        <v>0</v>
      </c>
      <c r="AH363" s="20">
        <v>1</v>
      </c>
      <c r="AI363" s="4" t="s">
        <v>97</v>
      </c>
      <c r="AJ363" s="20">
        <v>250</v>
      </c>
      <c r="AK363" s="4" t="s">
        <v>111</v>
      </c>
      <c r="AL363" s="4">
        <v>8</v>
      </c>
      <c r="AM363" s="4" t="s">
        <v>180</v>
      </c>
      <c r="AN363" s="4" t="s">
        <v>95</v>
      </c>
      <c r="AO363" s="4" t="s">
        <v>96</v>
      </c>
      <c r="AP363" s="4">
        <v>1</v>
      </c>
      <c r="AQ363" s="20">
        <v>55000</v>
      </c>
      <c r="AR363" s="4">
        <v>41820</v>
      </c>
      <c r="AS363" s="20">
        <v>8333.3333333333321</v>
      </c>
      <c r="AT363" s="20">
        <v>9001.2800000000007</v>
      </c>
      <c r="AU363" s="20">
        <v>667.94666666666853</v>
      </c>
      <c r="AV363" s="20">
        <v>0</v>
      </c>
      <c r="AW363" s="20">
        <v>0</v>
      </c>
      <c r="AX363" s="20">
        <v>20</v>
      </c>
      <c r="AY363" s="20">
        <v>20</v>
      </c>
      <c r="AZ363" s="20">
        <v>7.2</v>
      </c>
      <c r="BA363" s="20">
        <v>0</v>
      </c>
      <c r="BB363" s="6">
        <v>41738</v>
      </c>
      <c r="BC363" s="6">
        <v>0</v>
      </c>
      <c r="BD363" s="6">
        <v>41879</v>
      </c>
      <c r="BE363" s="6">
        <v>41879</v>
      </c>
      <c r="BF363" s="6">
        <v>41887</v>
      </c>
      <c r="BG363" s="6">
        <v>41912</v>
      </c>
      <c r="BH363" s="6">
        <v>0</v>
      </c>
      <c r="BI363" s="6">
        <v>0</v>
      </c>
      <c r="BJ363" s="6">
        <v>0</v>
      </c>
      <c r="BK363" s="4" t="s">
        <v>401</v>
      </c>
      <c r="BL363" s="4" t="s">
        <v>401</v>
      </c>
      <c r="BM363" s="20">
        <v>199</v>
      </c>
      <c r="BN363" s="20">
        <v>46</v>
      </c>
      <c r="BO363" s="20">
        <v>0</v>
      </c>
      <c r="BP363" s="20">
        <v>0</v>
      </c>
      <c r="BQ363" s="20">
        <v>0</v>
      </c>
      <c r="BR363" s="20">
        <v>0</v>
      </c>
      <c r="BS363" s="20">
        <v>250</v>
      </c>
      <c r="BT363" s="20">
        <v>2250320</v>
      </c>
      <c r="BU363" s="20">
        <v>13750000</v>
      </c>
      <c r="BV363" s="20">
        <v>5.5547655444558997</v>
      </c>
    </row>
    <row r="364" spans="1:74">
      <c r="A364" s="10">
        <f t="shared" si="22"/>
        <v>0</v>
      </c>
      <c r="B364" s="10">
        <f t="shared" si="23"/>
        <v>0</v>
      </c>
      <c r="C364" s="12">
        <f t="shared" si="24"/>
        <v>4</v>
      </c>
      <c r="D364" s="12">
        <f t="shared" si="25"/>
        <v>9</v>
      </c>
      <c r="E364" s="20" t="s">
        <v>114</v>
      </c>
      <c r="F364" s="20" t="s">
        <v>503</v>
      </c>
      <c r="G364" s="20" t="s">
        <v>525</v>
      </c>
      <c r="H364" s="20" t="s">
        <v>537</v>
      </c>
      <c r="I364" s="20">
        <v>2</v>
      </c>
      <c r="J364" s="20" t="s">
        <v>538</v>
      </c>
      <c r="K364" s="20" t="s">
        <v>544</v>
      </c>
      <c r="L364" s="20" t="s">
        <v>540</v>
      </c>
      <c r="M364" s="20" t="s">
        <v>503</v>
      </c>
      <c r="N364" s="20" t="s">
        <v>509</v>
      </c>
      <c r="P364" s="20" t="s">
        <v>503</v>
      </c>
      <c r="Q364" s="20" t="s">
        <v>510</v>
      </c>
      <c r="R364" s="20" t="s">
        <v>84</v>
      </c>
      <c r="S364" s="20">
        <v>5</v>
      </c>
      <c r="T364" s="20" t="s">
        <v>106</v>
      </c>
      <c r="U364" s="20" t="s">
        <v>107</v>
      </c>
      <c r="V364" s="20" t="s">
        <v>87</v>
      </c>
      <c r="W364" s="20">
        <v>505</v>
      </c>
      <c r="X364" s="20">
        <v>505</v>
      </c>
      <c r="Y364" s="20" t="s">
        <v>541</v>
      </c>
      <c r="Z364" s="20">
        <v>0.5</v>
      </c>
      <c r="AA364" s="20" t="s">
        <v>542</v>
      </c>
      <c r="AB364" s="20" t="s">
        <v>89</v>
      </c>
      <c r="AC364" s="20" t="s">
        <v>90</v>
      </c>
      <c r="AD364" s="20" t="s">
        <v>543</v>
      </c>
      <c r="AE364" s="20" t="s">
        <v>91</v>
      </c>
      <c r="AF364" s="20">
        <v>0.5</v>
      </c>
      <c r="AG364" s="20">
        <v>0</v>
      </c>
      <c r="AH364" s="20">
        <v>1</v>
      </c>
      <c r="AI364" s="4" t="s">
        <v>98</v>
      </c>
      <c r="AJ364" s="20">
        <v>150</v>
      </c>
      <c r="AK364" s="4" t="s">
        <v>111</v>
      </c>
      <c r="AL364" s="4">
        <v>8</v>
      </c>
      <c r="AM364" s="4" t="s">
        <v>180</v>
      </c>
      <c r="AN364" s="4" t="s">
        <v>95</v>
      </c>
      <c r="AO364" s="4" t="s">
        <v>96</v>
      </c>
      <c r="AP364" s="4">
        <v>1</v>
      </c>
      <c r="AQ364" s="20">
        <v>55000</v>
      </c>
      <c r="AR364" s="4">
        <v>41820</v>
      </c>
      <c r="AS364" s="20">
        <v>8333.3333333333321</v>
      </c>
      <c r="AT364" s="20">
        <v>9001.2800000000007</v>
      </c>
      <c r="AU364" s="20">
        <v>667.94666666666853</v>
      </c>
      <c r="AV364" s="20">
        <v>0</v>
      </c>
      <c r="AW364" s="20">
        <v>0</v>
      </c>
      <c r="AX364" s="20">
        <v>20</v>
      </c>
      <c r="AY364" s="20">
        <v>20</v>
      </c>
      <c r="AZ364" s="20">
        <v>7.2</v>
      </c>
      <c r="BA364" s="20">
        <v>0</v>
      </c>
      <c r="BB364" s="6">
        <v>41738</v>
      </c>
      <c r="BC364" s="6">
        <v>0</v>
      </c>
      <c r="BD364" s="6">
        <v>41879</v>
      </c>
      <c r="BE364" s="6">
        <v>41879</v>
      </c>
      <c r="BF364" s="6">
        <v>41887</v>
      </c>
      <c r="BG364" s="6">
        <v>41912</v>
      </c>
      <c r="BH364" s="6">
        <v>0</v>
      </c>
      <c r="BI364" s="6">
        <v>0</v>
      </c>
      <c r="BJ364" s="6">
        <v>0</v>
      </c>
      <c r="BK364" s="4" t="s">
        <v>401</v>
      </c>
      <c r="BL364" s="4" t="s">
        <v>401</v>
      </c>
      <c r="BM364" s="20">
        <v>124</v>
      </c>
      <c r="BN364" s="20">
        <v>16</v>
      </c>
      <c r="BO364" s="20">
        <v>0</v>
      </c>
      <c r="BP364" s="20">
        <v>0</v>
      </c>
      <c r="BQ364" s="20">
        <v>0</v>
      </c>
      <c r="BR364" s="20">
        <v>0</v>
      </c>
      <c r="BS364" s="20">
        <v>150</v>
      </c>
      <c r="BT364" s="20">
        <v>1350192</v>
      </c>
      <c r="BU364" s="20">
        <v>8250000</v>
      </c>
      <c r="BV364" s="20">
        <v>5.5547655444558988</v>
      </c>
    </row>
    <row r="365" spans="1:74">
      <c r="A365" s="10">
        <f t="shared" si="22"/>
        <v>0</v>
      </c>
      <c r="B365" s="10">
        <f t="shared" si="23"/>
        <v>0</v>
      </c>
      <c r="C365" s="12">
        <f t="shared" si="24"/>
        <v>4</v>
      </c>
      <c r="D365" s="12">
        <f t="shared" si="25"/>
        <v>9</v>
      </c>
      <c r="E365" s="20" t="s">
        <v>114</v>
      </c>
      <c r="F365" s="20" t="s">
        <v>503</v>
      </c>
      <c r="G365" s="20" t="s">
        <v>525</v>
      </c>
      <c r="H365" s="20" t="s">
        <v>545</v>
      </c>
      <c r="I365" s="20">
        <v>3</v>
      </c>
      <c r="J365" s="20" t="s">
        <v>546</v>
      </c>
      <c r="K365" s="20" t="s">
        <v>547</v>
      </c>
      <c r="L365" s="20" t="s">
        <v>548</v>
      </c>
      <c r="M365" s="20" t="s">
        <v>503</v>
      </c>
      <c r="N365" s="20" t="s">
        <v>509</v>
      </c>
      <c r="P365" s="20" t="s">
        <v>503</v>
      </c>
      <c r="Q365" s="20" t="s">
        <v>510</v>
      </c>
      <c r="R365" s="20" t="s">
        <v>84</v>
      </c>
      <c r="S365" s="20">
        <v>5</v>
      </c>
      <c r="T365" s="20" t="s">
        <v>106</v>
      </c>
      <c r="U365" s="20" t="s">
        <v>107</v>
      </c>
      <c r="V365" s="20" t="s">
        <v>87</v>
      </c>
      <c r="W365" s="20">
        <v>506</v>
      </c>
      <c r="X365" s="20">
        <v>506</v>
      </c>
      <c r="Y365" s="20" t="s">
        <v>549</v>
      </c>
      <c r="Z365" s="20">
        <v>0.5</v>
      </c>
      <c r="AA365" s="20" t="s">
        <v>550</v>
      </c>
      <c r="AB365" s="20" t="s">
        <v>248</v>
      </c>
      <c r="AC365" s="20" t="s">
        <v>249</v>
      </c>
      <c r="AD365" s="20" t="s">
        <v>551</v>
      </c>
      <c r="AE365" s="20" t="s">
        <v>91</v>
      </c>
      <c r="AF365" s="20">
        <v>0.5</v>
      </c>
      <c r="AG365" s="20">
        <v>0</v>
      </c>
      <c r="AH365" s="20">
        <v>1</v>
      </c>
      <c r="AI365" s="4" t="s">
        <v>97</v>
      </c>
      <c r="AJ365" s="20">
        <v>250</v>
      </c>
      <c r="AK365" s="4" t="s">
        <v>111</v>
      </c>
      <c r="AL365" s="4">
        <v>8</v>
      </c>
      <c r="AM365" s="4" t="s">
        <v>180</v>
      </c>
      <c r="AN365" s="4" t="s">
        <v>95</v>
      </c>
      <c r="AO365" s="4" t="s">
        <v>96</v>
      </c>
      <c r="AP365" s="4">
        <v>1</v>
      </c>
      <c r="AQ365" s="20">
        <v>55000</v>
      </c>
      <c r="AR365" s="4">
        <v>41820</v>
      </c>
      <c r="AS365" s="20">
        <v>8333.3333333333321</v>
      </c>
      <c r="AT365" s="20">
        <v>9562.61</v>
      </c>
      <c r="AU365" s="20">
        <v>1229.2766666666685</v>
      </c>
      <c r="AV365" s="20">
        <v>0</v>
      </c>
      <c r="AW365" s="20">
        <v>0</v>
      </c>
      <c r="AX365" s="20">
        <v>20</v>
      </c>
      <c r="AY365" s="20">
        <v>20</v>
      </c>
      <c r="AZ365" s="20">
        <v>7.65</v>
      </c>
      <c r="BA365" s="20">
        <v>0</v>
      </c>
      <c r="BB365" s="6">
        <v>41738</v>
      </c>
      <c r="BC365" s="6">
        <v>0</v>
      </c>
      <c r="BD365" s="6">
        <v>41879</v>
      </c>
      <c r="BE365" s="6">
        <v>41879</v>
      </c>
      <c r="BF365" s="6">
        <v>41887</v>
      </c>
      <c r="BG365" s="6">
        <v>41912</v>
      </c>
      <c r="BH365" s="6">
        <v>0</v>
      </c>
      <c r="BI365" s="6">
        <v>0</v>
      </c>
      <c r="BJ365" s="6">
        <v>0</v>
      </c>
      <c r="BK365" s="4" t="s">
        <v>401</v>
      </c>
      <c r="BL365" s="4" t="s">
        <v>401</v>
      </c>
      <c r="BM365" s="20">
        <v>178</v>
      </c>
      <c r="BN365" s="20">
        <v>35</v>
      </c>
      <c r="BO365" s="20">
        <v>0</v>
      </c>
      <c r="BP365" s="20">
        <v>0</v>
      </c>
      <c r="BQ365" s="20">
        <v>0</v>
      </c>
      <c r="BS365" s="20">
        <v>250</v>
      </c>
      <c r="BT365" s="20">
        <v>2390652.5</v>
      </c>
      <c r="BU365" s="20">
        <v>13750000</v>
      </c>
      <c r="BV365" s="20">
        <v>5.2286980228201294</v>
      </c>
    </row>
    <row r="366" spans="1:74">
      <c r="A366" s="10">
        <f t="shared" si="22"/>
        <v>0</v>
      </c>
      <c r="B366" s="10">
        <f t="shared" si="23"/>
        <v>0</v>
      </c>
      <c r="C366" s="12">
        <f t="shared" si="24"/>
        <v>4</v>
      </c>
      <c r="D366" s="12">
        <f t="shared" si="25"/>
        <v>9</v>
      </c>
      <c r="E366" s="20" t="s">
        <v>114</v>
      </c>
      <c r="F366" s="20" t="s">
        <v>503</v>
      </c>
      <c r="G366" s="20" t="s">
        <v>525</v>
      </c>
      <c r="H366" s="20" t="s">
        <v>545</v>
      </c>
      <c r="I366" s="20">
        <v>3</v>
      </c>
      <c r="J366" s="20" t="s">
        <v>546</v>
      </c>
      <c r="K366" s="20" t="s">
        <v>552</v>
      </c>
      <c r="L366" s="20" t="s">
        <v>548</v>
      </c>
      <c r="M366" s="20" t="s">
        <v>503</v>
      </c>
      <c r="N366" s="20" t="s">
        <v>509</v>
      </c>
      <c r="P366" s="20" t="s">
        <v>503</v>
      </c>
      <c r="Q366" s="20" t="s">
        <v>510</v>
      </c>
      <c r="R366" s="20" t="s">
        <v>84</v>
      </c>
      <c r="S366" s="20">
        <v>5</v>
      </c>
      <c r="T366" s="20" t="s">
        <v>106</v>
      </c>
      <c r="U366" s="20" t="s">
        <v>107</v>
      </c>
      <c r="V366" s="20" t="s">
        <v>87</v>
      </c>
      <c r="W366" s="20">
        <v>506</v>
      </c>
      <c r="X366" s="20">
        <v>506</v>
      </c>
      <c r="Y366" s="20" t="s">
        <v>549</v>
      </c>
      <c r="Z366" s="20">
        <v>0.5</v>
      </c>
      <c r="AA366" s="20" t="s">
        <v>550</v>
      </c>
      <c r="AB366" s="20" t="s">
        <v>248</v>
      </c>
      <c r="AC366" s="20" t="s">
        <v>249</v>
      </c>
      <c r="AD366" s="20" t="s">
        <v>551</v>
      </c>
      <c r="AE366" s="20" t="s">
        <v>91</v>
      </c>
      <c r="AF366" s="20">
        <v>0.5</v>
      </c>
      <c r="AG366" s="20">
        <v>0</v>
      </c>
      <c r="AH366" s="20">
        <v>1</v>
      </c>
      <c r="AI366" s="4" t="s">
        <v>98</v>
      </c>
      <c r="AJ366" s="20">
        <v>150</v>
      </c>
      <c r="AK366" s="4" t="s">
        <v>111</v>
      </c>
      <c r="AL366" s="4">
        <v>8</v>
      </c>
      <c r="AM366" s="4" t="s">
        <v>180</v>
      </c>
      <c r="AN366" s="4" t="s">
        <v>95</v>
      </c>
      <c r="AO366" s="4" t="s">
        <v>96</v>
      </c>
      <c r="AP366" s="4">
        <v>1</v>
      </c>
      <c r="AQ366" s="20">
        <v>55000</v>
      </c>
      <c r="AR366" s="4">
        <v>41820</v>
      </c>
      <c r="AS366" s="20">
        <v>8333.3333333333321</v>
      </c>
      <c r="AT366" s="20">
        <v>9562.61</v>
      </c>
      <c r="AU366" s="20">
        <v>1229.2766666666685</v>
      </c>
      <c r="AV366" s="20">
        <v>0</v>
      </c>
      <c r="AW366" s="20">
        <v>0</v>
      </c>
      <c r="AX366" s="20">
        <v>20</v>
      </c>
      <c r="AY366" s="20">
        <v>20</v>
      </c>
      <c r="AZ366" s="20">
        <v>7.65</v>
      </c>
      <c r="BA366" s="20">
        <v>0</v>
      </c>
      <c r="BB366" s="6">
        <v>41738</v>
      </c>
      <c r="BC366" s="6">
        <v>0</v>
      </c>
      <c r="BD366" s="6">
        <v>41879</v>
      </c>
      <c r="BE366" s="6">
        <v>41879</v>
      </c>
      <c r="BF366" s="6">
        <v>41887</v>
      </c>
      <c r="BG366" s="6">
        <v>41912</v>
      </c>
      <c r="BH366" s="6">
        <v>0</v>
      </c>
      <c r="BI366" s="6">
        <v>0</v>
      </c>
      <c r="BK366" s="4" t="s">
        <v>401</v>
      </c>
      <c r="BL366" s="4" t="s">
        <v>401</v>
      </c>
      <c r="BM366" s="20">
        <v>58</v>
      </c>
      <c r="BN366" s="20">
        <v>88</v>
      </c>
      <c r="BO366" s="20">
        <v>0</v>
      </c>
      <c r="BP366" s="20">
        <v>0</v>
      </c>
      <c r="BQ366" s="20">
        <v>0</v>
      </c>
      <c r="BR366" s="20">
        <v>0</v>
      </c>
      <c r="BS366" s="20">
        <v>150</v>
      </c>
      <c r="BT366" s="20">
        <v>1434391.5</v>
      </c>
      <c r="BU366" s="20">
        <v>8250000</v>
      </c>
      <c r="BV366" s="20">
        <v>5.2286980228201294</v>
      </c>
    </row>
    <row r="367" spans="1:74">
      <c r="A367" s="10">
        <f t="shared" si="22"/>
        <v>0</v>
      </c>
      <c r="B367" s="10">
        <f t="shared" si="23"/>
        <v>0</v>
      </c>
      <c r="C367" s="12" t="str">
        <f t="shared" si="24"/>
        <v/>
      </c>
      <c r="D367" s="12" t="str">
        <f t="shared" si="25"/>
        <v/>
      </c>
      <c r="E367" s="20" t="s">
        <v>91</v>
      </c>
      <c r="F367" s="20" t="s">
        <v>91</v>
      </c>
      <c r="G367" s="20" t="s">
        <v>91</v>
      </c>
      <c r="H367" s="20" t="s">
        <v>91</v>
      </c>
      <c r="I367" s="20">
        <v>0</v>
      </c>
      <c r="J367" s="20" t="s">
        <v>103</v>
      </c>
      <c r="K367" s="20" t="s">
        <v>104</v>
      </c>
      <c r="L367" s="20">
        <v>0</v>
      </c>
      <c r="M367" s="20" t="s">
        <v>105</v>
      </c>
      <c r="N367" s="20" t="s">
        <v>91</v>
      </c>
      <c r="O367" s="20" t="s">
        <v>553</v>
      </c>
      <c r="Q367" s="20" t="s">
        <v>91</v>
      </c>
      <c r="R367" s="20" t="s">
        <v>91</v>
      </c>
      <c r="S367" s="20" t="s">
        <v>91</v>
      </c>
      <c r="U367" s="20" t="s">
        <v>91</v>
      </c>
      <c r="V367" s="20" t="s">
        <v>87</v>
      </c>
      <c r="X367" s="20" t="s">
        <v>91</v>
      </c>
      <c r="Y367" s="20" t="s">
        <v>91</v>
      </c>
      <c r="Z367" s="20">
        <v>3</v>
      </c>
      <c r="AB367" s="20" t="s">
        <v>91</v>
      </c>
      <c r="AD367" s="20" t="s">
        <v>91</v>
      </c>
      <c r="AE367" s="20" t="s">
        <v>91</v>
      </c>
      <c r="AF367" s="20">
        <v>3</v>
      </c>
      <c r="AG367" s="20">
        <v>0</v>
      </c>
      <c r="AH367" s="20">
        <v>1</v>
      </c>
      <c r="AM367" s="4" t="s">
        <v>91</v>
      </c>
      <c r="AP367" s="4" t="s">
        <v>91</v>
      </c>
      <c r="AQ367" s="20">
        <v>0</v>
      </c>
      <c r="AR367" s="4">
        <v>0</v>
      </c>
      <c r="AS367" s="20">
        <v>0</v>
      </c>
      <c r="AT367" s="20">
        <v>0</v>
      </c>
      <c r="AU367" s="20">
        <v>0</v>
      </c>
      <c r="AV367" s="20">
        <v>0</v>
      </c>
      <c r="AW367" s="20">
        <v>0</v>
      </c>
      <c r="AX367" s="20" t="s">
        <v>91</v>
      </c>
      <c r="AY367" s="20">
        <v>0</v>
      </c>
      <c r="AZ367" s="20">
        <v>0</v>
      </c>
      <c r="BA367" s="20">
        <v>0</v>
      </c>
      <c r="BB367" s="6">
        <v>0</v>
      </c>
      <c r="BC367" s="6">
        <v>0</v>
      </c>
      <c r="BD367" s="6">
        <v>0</v>
      </c>
      <c r="BE367" s="6">
        <v>0</v>
      </c>
      <c r="BF367" s="6">
        <v>0</v>
      </c>
      <c r="BG367" s="6">
        <v>0</v>
      </c>
      <c r="BH367" s="6">
        <v>0</v>
      </c>
      <c r="BI367" s="6">
        <v>0</v>
      </c>
      <c r="BJ367" s="6">
        <v>0</v>
      </c>
      <c r="BK367" s="4">
        <v>0</v>
      </c>
      <c r="BL367" s="4">
        <v>0</v>
      </c>
      <c r="BM367" s="20">
        <v>756</v>
      </c>
      <c r="BN367" s="20">
        <v>235</v>
      </c>
      <c r="BO367" s="20">
        <v>108</v>
      </c>
      <c r="BP367" s="20">
        <v>0</v>
      </c>
      <c r="BQ367" s="20">
        <v>0</v>
      </c>
      <c r="BR367" s="20">
        <v>0</v>
      </c>
      <c r="BS367" s="20">
        <v>1170</v>
      </c>
      <c r="BT367" s="20">
        <v>10894491</v>
      </c>
      <c r="BU367" s="20">
        <v>64350000</v>
      </c>
      <c r="BV367" s="20">
        <v>5.3696863855319164</v>
      </c>
    </row>
    <row r="368" spans="1:74">
      <c r="A368" s="10">
        <f t="shared" si="22"/>
        <v>0</v>
      </c>
      <c r="B368" s="10">
        <f t="shared" si="23"/>
        <v>0</v>
      </c>
      <c r="C368" s="12">
        <f t="shared" si="24"/>
        <v>4</v>
      </c>
      <c r="D368" s="12">
        <f t="shared" si="25"/>
        <v>9</v>
      </c>
      <c r="E368" s="20" t="s">
        <v>386</v>
      </c>
      <c r="F368" s="20" t="s">
        <v>387</v>
      </c>
      <c r="G368" s="20" t="s">
        <v>554</v>
      </c>
      <c r="H368" s="20" t="s">
        <v>555</v>
      </c>
      <c r="I368" s="20">
        <v>1</v>
      </c>
      <c r="J368" s="20" t="s">
        <v>556</v>
      </c>
      <c r="K368" s="20" t="s">
        <v>557</v>
      </c>
      <c r="L368" s="20" t="s">
        <v>558</v>
      </c>
      <c r="M368" s="20" t="s">
        <v>387</v>
      </c>
      <c r="N368" s="20" t="s">
        <v>559</v>
      </c>
      <c r="P368" s="20" t="s">
        <v>387</v>
      </c>
      <c r="Q368" s="20" t="s">
        <v>394</v>
      </c>
      <c r="R368" s="20" t="s">
        <v>84</v>
      </c>
      <c r="S368" s="20">
        <v>5</v>
      </c>
      <c r="T368" s="20" t="s">
        <v>106</v>
      </c>
      <c r="U368" s="20" t="s">
        <v>107</v>
      </c>
      <c r="V368" s="20" t="s">
        <v>87</v>
      </c>
      <c r="W368" s="20">
        <v>501</v>
      </c>
      <c r="X368" s="20">
        <v>501</v>
      </c>
      <c r="Y368" s="20" t="s">
        <v>560</v>
      </c>
      <c r="Z368" s="20">
        <v>1</v>
      </c>
      <c r="AA368" s="20" t="s">
        <v>561</v>
      </c>
      <c r="AB368" s="20" t="s">
        <v>303</v>
      </c>
      <c r="AC368" s="20" t="s">
        <v>304</v>
      </c>
      <c r="AD368" s="20" t="s">
        <v>562</v>
      </c>
      <c r="AE368" s="20" t="s">
        <v>91</v>
      </c>
      <c r="AF368" s="20">
        <v>1</v>
      </c>
      <c r="AG368" s="20">
        <v>0</v>
      </c>
      <c r="AH368" s="20">
        <v>1</v>
      </c>
      <c r="AI368" s="4" t="s">
        <v>251</v>
      </c>
      <c r="AJ368" s="20">
        <v>250</v>
      </c>
      <c r="AK368" s="4" t="s">
        <v>111</v>
      </c>
      <c r="AL368" s="4">
        <v>10</v>
      </c>
      <c r="AM368" s="4">
        <v>10</v>
      </c>
      <c r="AN368" s="4" t="s">
        <v>95</v>
      </c>
      <c r="AO368" s="4" t="s">
        <v>96</v>
      </c>
      <c r="AP368" s="4">
        <v>1</v>
      </c>
      <c r="AQ368" s="20">
        <v>55000</v>
      </c>
      <c r="AR368" s="4">
        <v>41820</v>
      </c>
      <c r="AS368" s="20">
        <v>8333.3333333333321</v>
      </c>
      <c r="AT368" s="20">
        <v>9437.8700000000008</v>
      </c>
      <c r="AU368" s="20">
        <v>1104.5366666666687</v>
      </c>
      <c r="AW368" s="20">
        <v>0</v>
      </c>
      <c r="AX368" s="20">
        <v>20</v>
      </c>
      <c r="AY368" s="20">
        <v>20</v>
      </c>
      <c r="AZ368" s="20">
        <v>7.55</v>
      </c>
      <c r="BA368" s="20">
        <v>0</v>
      </c>
      <c r="BB368" s="6">
        <v>41745</v>
      </c>
      <c r="BC368" s="6">
        <v>0</v>
      </c>
      <c r="BD368" s="6">
        <v>41879</v>
      </c>
      <c r="BE368" s="6">
        <v>41879</v>
      </c>
      <c r="BF368" s="6">
        <v>41883</v>
      </c>
      <c r="BG368" s="6">
        <v>0</v>
      </c>
      <c r="BH368" s="6">
        <v>0</v>
      </c>
      <c r="BI368" s="6">
        <v>0</v>
      </c>
      <c r="BJ368" s="6">
        <v>0</v>
      </c>
      <c r="BK368" s="4" t="s">
        <v>401</v>
      </c>
      <c r="BL368" s="4" t="s">
        <v>401</v>
      </c>
      <c r="BM368" s="20">
        <v>250</v>
      </c>
      <c r="BN368" s="20">
        <v>0</v>
      </c>
      <c r="BO368" s="20">
        <v>0</v>
      </c>
      <c r="BP368" s="20">
        <v>0</v>
      </c>
      <c r="BQ368" s="20">
        <v>0</v>
      </c>
      <c r="BR368" s="20">
        <v>0</v>
      </c>
      <c r="BS368" s="20">
        <v>250</v>
      </c>
      <c r="BT368" s="20">
        <v>2359467.5</v>
      </c>
      <c r="BU368" s="20">
        <v>13750000</v>
      </c>
      <c r="BV368" s="20">
        <v>5.2978055429879838</v>
      </c>
    </row>
    <row r="369" spans="1:74">
      <c r="A369" s="10">
        <f t="shared" si="22"/>
        <v>0</v>
      </c>
      <c r="B369" s="10">
        <f t="shared" si="23"/>
        <v>0</v>
      </c>
      <c r="C369" s="12" t="str">
        <f t="shared" si="24"/>
        <v/>
      </c>
      <c r="D369" s="12" t="str">
        <f t="shared" si="25"/>
        <v/>
      </c>
      <c r="E369" s="20" t="s">
        <v>91</v>
      </c>
      <c r="F369" s="20" t="s">
        <v>91</v>
      </c>
      <c r="G369" s="20" t="s">
        <v>91</v>
      </c>
      <c r="H369" s="20" t="s">
        <v>91</v>
      </c>
      <c r="I369" s="20">
        <v>0</v>
      </c>
      <c r="J369" s="20" t="s">
        <v>103</v>
      </c>
      <c r="K369" s="20" t="s">
        <v>104</v>
      </c>
      <c r="L369" s="20">
        <v>0</v>
      </c>
      <c r="M369" s="20" t="s">
        <v>105</v>
      </c>
      <c r="N369" s="20" t="s">
        <v>91</v>
      </c>
      <c r="O369" s="20" t="s">
        <v>563</v>
      </c>
      <c r="Q369" s="20" t="s">
        <v>91</v>
      </c>
      <c r="R369" s="20" t="s">
        <v>91</v>
      </c>
      <c r="S369" s="20" t="s">
        <v>91</v>
      </c>
      <c r="U369" s="20" t="s">
        <v>91</v>
      </c>
      <c r="V369" s="20" t="s">
        <v>87</v>
      </c>
      <c r="X369" s="20" t="s">
        <v>91</v>
      </c>
      <c r="Y369" s="20" t="s">
        <v>91</v>
      </c>
      <c r="Z369" s="20">
        <v>1</v>
      </c>
      <c r="AB369" s="20" t="s">
        <v>91</v>
      </c>
      <c r="AD369" s="20" t="s">
        <v>91</v>
      </c>
      <c r="AE369" s="20" t="s">
        <v>91</v>
      </c>
      <c r="AF369" s="20">
        <v>1</v>
      </c>
      <c r="AG369" s="20">
        <v>0</v>
      </c>
      <c r="AH369" s="20">
        <v>1</v>
      </c>
      <c r="AM369" s="4" t="s">
        <v>91</v>
      </c>
      <c r="AP369" s="4" t="s">
        <v>91</v>
      </c>
      <c r="AQ369" s="20">
        <v>0</v>
      </c>
      <c r="AR369" s="4">
        <v>0</v>
      </c>
      <c r="AS369" s="20">
        <v>0</v>
      </c>
      <c r="AT369" s="20">
        <v>0</v>
      </c>
      <c r="AU369" s="20">
        <v>0</v>
      </c>
      <c r="AV369" s="20">
        <v>0</v>
      </c>
      <c r="AW369" s="20">
        <v>0</v>
      </c>
      <c r="AX369" s="20" t="s">
        <v>91</v>
      </c>
      <c r="AY369" s="20">
        <v>0</v>
      </c>
      <c r="AZ369" s="20">
        <v>0</v>
      </c>
      <c r="BA369" s="20">
        <v>0</v>
      </c>
      <c r="BB369" s="6">
        <v>0</v>
      </c>
      <c r="BC369" s="6">
        <v>0</v>
      </c>
      <c r="BD369" s="6">
        <v>0</v>
      </c>
      <c r="BE369" s="6">
        <v>0</v>
      </c>
      <c r="BF369" s="6">
        <v>0</v>
      </c>
      <c r="BG369" s="6">
        <v>0</v>
      </c>
      <c r="BH369" s="6">
        <v>0</v>
      </c>
      <c r="BI369" s="6">
        <v>0</v>
      </c>
      <c r="BJ369" s="6">
        <v>0</v>
      </c>
      <c r="BK369" s="4">
        <v>0</v>
      </c>
      <c r="BL369" s="4">
        <v>0</v>
      </c>
      <c r="BM369" s="20">
        <v>250</v>
      </c>
      <c r="BN369" s="20">
        <v>0</v>
      </c>
      <c r="BO369" s="20">
        <v>0</v>
      </c>
      <c r="BP369" s="20">
        <v>0</v>
      </c>
      <c r="BQ369" s="20">
        <v>0</v>
      </c>
      <c r="BR369" s="20">
        <v>0</v>
      </c>
      <c r="BS369" s="20">
        <v>250</v>
      </c>
      <c r="BT369" s="20">
        <v>2359467.5</v>
      </c>
      <c r="BU369" s="20">
        <v>13750000</v>
      </c>
      <c r="BV369" s="20">
        <v>5.2978055429879838</v>
      </c>
    </row>
    <row r="370" spans="1:74">
      <c r="A370" s="10">
        <f t="shared" si="22"/>
        <v>0</v>
      </c>
      <c r="B370" s="10">
        <f t="shared" si="23"/>
        <v>0.5</v>
      </c>
      <c r="C370" s="12">
        <f t="shared" si="24"/>
        <v>4</v>
      </c>
      <c r="D370" s="12">
        <f t="shared" si="25"/>
        <v>11</v>
      </c>
      <c r="E370" s="20" t="s">
        <v>386</v>
      </c>
      <c r="F370" s="20" t="s">
        <v>387</v>
      </c>
      <c r="G370" s="20" t="s">
        <v>564</v>
      </c>
      <c r="H370" s="20" t="s">
        <v>565</v>
      </c>
      <c r="I370" s="20">
        <v>1</v>
      </c>
      <c r="J370" s="20" t="s">
        <v>566</v>
      </c>
      <c r="K370" s="20" t="s">
        <v>567</v>
      </c>
      <c r="L370" s="20" t="s">
        <v>568</v>
      </c>
      <c r="M370" s="20" t="s">
        <v>387</v>
      </c>
      <c r="N370" s="20" t="s">
        <v>559</v>
      </c>
      <c r="P370" s="20" t="s">
        <v>387</v>
      </c>
      <c r="Q370" s="20" t="s">
        <v>394</v>
      </c>
      <c r="R370" s="20" t="s">
        <v>84</v>
      </c>
      <c r="S370" s="20">
        <v>5</v>
      </c>
      <c r="T370" s="20" t="s">
        <v>395</v>
      </c>
      <c r="U370" s="20" t="s">
        <v>396</v>
      </c>
      <c r="V370" s="20" t="s">
        <v>87</v>
      </c>
      <c r="W370" s="20">
        <v>502</v>
      </c>
      <c r="X370" s="20">
        <v>502</v>
      </c>
      <c r="Y370" s="20" t="s">
        <v>569</v>
      </c>
      <c r="Z370" s="20">
        <v>0.5</v>
      </c>
      <c r="AA370" s="20" t="s">
        <v>570</v>
      </c>
      <c r="AB370" s="20" t="s">
        <v>101</v>
      </c>
      <c r="AC370" s="20" t="s">
        <v>102</v>
      </c>
      <c r="AD370" s="20" t="s">
        <v>571</v>
      </c>
      <c r="AE370" s="20" t="s">
        <v>91</v>
      </c>
      <c r="AF370" s="20">
        <v>0.5</v>
      </c>
      <c r="AG370" s="20">
        <v>0</v>
      </c>
      <c r="AH370" s="20">
        <v>1</v>
      </c>
      <c r="AI370" s="4" t="s">
        <v>92</v>
      </c>
      <c r="AJ370" s="20">
        <v>400</v>
      </c>
      <c r="AK370" s="4" t="s">
        <v>572</v>
      </c>
      <c r="AL370" s="4">
        <v>1</v>
      </c>
      <c r="AM370" s="4" t="s">
        <v>130</v>
      </c>
      <c r="AN370" s="4" t="s">
        <v>95</v>
      </c>
      <c r="AO370" s="4" t="s">
        <v>96</v>
      </c>
      <c r="AP370" s="4">
        <v>1</v>
      </c>
      <c r="AQ370" s="20">
        <v>49000</v>
      </c>
      <c r="AR370" s="4">
        <v>41827</v>
      </c>
      <c r="AS370" s="20">
        <v>7424.242424242424</v>
      </c>
      <c r="AT370" s="20">
        <v>7867.1860000000006</v>
      </c>
      <c r="AU370" s="20">
        <v>442.94357575757658</v>
      </c>
      <c r="AV370" s="20">
        <v>500</v>
      </c>
      <c r="AW370" s="20">
        <v>0</v>
      </c>
      <c r="AX370" s="20">
        <v>20</v>
      </c>
      <c r="AY370" s="20">
        <v>520</v>
      </c>
      <c r="AZ370" s="20">
        <v>5.89</v>
      </c>
      <c r="BA370" s="20">
        <v>0</v>
      </c>
      <c r="BB370" s="6">
        <v>41745</v>
      </c>
      <c r="BC370" s="6">
        <v>0</v>
      </c>
      <c r="BD370" s="6">
        <v>41879</v>
      </c>
      <c r="BE370" s="6">
        <v>41942</v>
      </c>
      <c r="BF370" s="6">
        <v>41953</v>
      </c>
      <c r="BG370" s="6">
        <v>0</v>
      </c>
      <c r="BH370" s="6">
        <v>0</v>
      </c>
      <c r="BI370" s="6">
        <v>0</v>
      </c>
      <c r="BJ370" s="6">
        <v>0</v>
      </c>
      <c r="BK370" s="4" t="s">
        <v>401</v>
      </c>
      <c r="BL370" s="4" t="s">
        <v>401</v>
      </c>
      <c r="BM370" s="20">
        <v>400</v>
      </c>
      <c r="BN370" s="20">
        <v>0</v>
      </c>
      <c r="BO370" s="20">
        <v>0</v>
      </c>
      <c r="BP370" s="20">
        <v>0</v>
      </c>
      <c r="BQ370" s="20">
        <v>0</v>
      </c>
      <c r="BR370" s="20">
        <v>0</v>
      </c>
      <c r="BS370" s="20">
        <v>400</v>
      </c>
      <c r="BT370" s="20">
        <v>3146874.4000000004</v>
      </c>
      <c r="BU370" s="20">
        <v>19600000</v>
      </c>
      <c r="BV370" s="20">
        <v>5.6621839810898758</v>
      </c>
    </row>
    <row r="371" spans="1:74">
      <c r="A371" s="10">
        <f t="shared" si="22"/>
        <v>0</v>
      </c>
      <c r="B371" s="10">
        <f t="shared" si="23"/>
        <v>0.5</v>
      </c>
      <c r="C371" s="12">
        <f t="shared" si="24"/>
        <v>4</v>
      </c>
      <c r="D371" s="12">
        <f t="shared" si="25"/>
        <v>11</v>
      </c>
      <c r="E371" s="20" t="s">
        <v>386</v>
      </c>
      <c r="F371" s="20" t="s">
        <v>387</v>
      </c>
      <c r="G371" s="20" t="s">
        <v>564</v>
      </c>
      <c r="H371" s="20" t="s">
        <v>565</v>
      </c>
      <c r="I371" s="20">
        <v>1</v>
      </c>
      <c r="J371" s="20" t="s">
        <v>566</v>
      </c>
      <c r="K371" s="20" t="s">
        <v>573</v>
      </c>
      <c r="L371" s="20" t="s">
        <v>568</v>
      </c>
      <c r="M371" s="20" t="s">
        <v>387</v>
      </c>
      <c r="N371" s="20" t="s">
        <v>559</v>
      </c>
      <c r="P371" s="20" t="s">
        <v>387</v>
      </c>
      <c r="Q371" s="20" t="s">
        <v>394</v>
      </c>
      <c r="R371" s="20" t="s">
        <v>84</v>
      </c>
      <c r="S371" s="20">
        <v>5</v>
      </c>
      <c r="T371" s="20" t="s">
        <v>395</v>
      </c>
      <c r="U371" s="20" t="s">
        <v>396</v>
      </c>
      <c r="V371" s="20" t="s">
        <v>87</v>
      </c>
      <c r="W371" s="20">
        <v>502</v>
      </c>
      <c r="X371" s="20">
        <v>502</v>
      </c>
      <c r="Y371" s="20" t="s">
        <v>569</v>
      </c>
      <c r="Z371" s="20">
        <v>0.5</v>
      </c>
      <c r="AA371" s="20" t="s">
        <v>570</v>
      </c>
      <c r="AB371" s="20" t="s">
        <v>101</v>
      </c>
      <c r="AC371" s="20" t="s">
        <v>102</v>
      </c>
      <c r="AD371" s="20" t="s">
        <v>571</v>
      </c>
      <c r="AE371" s="20" t="s">
        <v>91</v>
      </c>
      <c r="AF371" s="20">
        <v>0.5</v>
      </c>
      <c r="AG371" s="20">
        <v>0</v>
      </c>
      <c r="AH371" s="20">
        <v>1</v>
      </c>
      <c r="AI371" s="4" t="s">
        <v>251</v>
      </c>
      <c r="AJ371" s="20">
        <v>150</v>
      </c>
      <c r="AK371" s="4" t="s">
        <v>572</v>
      </c>
      <c r="AL371" s="4">
        <v>1</v>
      </c>
      <c r="AM371" s="4" t="s">
        <v>130</v>
      </c>
      <c r="AN371" s="4" t="s">
        <v>95</v>
      </c>
      <c r="AO371" s="4" t="s">
        <v>96</v>
      </c>
      <c r="AP371" s="4">
        <v>1</v>
      </c>
      <c r="AQ371" s="20">
        <v>49000</v>
      </c>
      <c r="AR371" s="4">
        <v>41827</v>
      </c>
      <c r="AS371" s="20">
        <v>7424.242424242424</v>
      </c>
      <c r="AT371" s="20">
        <v>8191.5100000000011</v>
      </c>
      <c r="AU371" s="20">
        <v>767.26757575757711</v>
      </c>
      <c r="AV371" s="20">
        <v>500</v>
      </c>
      <c r="AW371" s="20">
        <v>0</v>
      </c>
      <c r="AX371" s="20">
        <v>20</v>
      </c>
      <c r="AY371" s="20">
        <v>520</v>
      </c>
      <c r="AZ371" s="20">
        <v>6.15</v>
      </c>
      <c r="BA371" s="20">
        <v>0</v>
      </c>
      <c r="BB371" s="6">
        <v>41745</v>
      </c>
      <c r="BC371" s="6">
        <v>0</v>
      </c>
      <c r="BD371" s="6">
        <v>41879</v>
      </c>
      <c r="BE371" s="6">
        <v>41942</v>
      </c>
      <c r="BF371" s="6">
        <v>41953</v>
      </c>
      <c r="BG371" s="6">
        <v>0</v>
      </c>
      <c r="BH371" s="6">
        <v>0</v>
      </c>
      <c r="BI371" s="6">
        <v>0</v>
      </c>
      <c r="BJ371" s="6">
        <v>0</v>
      </c>
      <c r="BK371" s="4" t="s">
        <v>401</v>
      </c>
      <c r="BL371" s="4" t="s">
        <v>401</v>
      </c>
      <c r="BM371" s="20">
        <v>149</v>
      </c>
      <c r="BN371" s="20">
        <v>0</v>
      </c>
      <c r="BO371" s="20">
        <v>0</v>
      </c>
      <c r="BP371" s="20">
        <v>0</v>
      </c>
      <c r="BQ371" s="20">
        <v>0</v>
      </c>
      <c r="BR371" s="20">
        <v>0</v>
      </c>
      <c r="BS371" s="20">
        <v>150</v>
      </c>
      <c r="BT371" s="20">
        <v>1228726.5000000002</v>
      </c>
      <c r="BU371" s="20">
        <v>7350000</v>
      </c>
      <c r="BV371" s="20">
        <v>5.4380028279834285</v>
      </c>
    </row>
    <row r="372" spans="1:74">
      <c r="A372" s="10">
        <f t="shared" si="22"/>
        <v>0</v>
      </c>
      <c r="B372" s="10">
        <f t="shared" si="23"/>
        <v>0</v>
      </c>
      <c r="C372" s="12">
        <f t="shared" si="24"/>
        <v>4</v>
      </c>
      <c r="D372" s="12">
        <f t="shared" si="25"/>
        <v>11</v>
      </c>
      <c r="E372" s="20" t="s">
        <v>574</v>
      </c>
      <c r="F372" s="20" t="s">
        <v>575</v>
      </c>
      <c r="G372" s="20" t="s">
        <v>564</v>
      </c>
      <c r="H372" s="20" t="s">
        <v>576</v>
      </c>
      <c r="I372" s="20">
        <v>2</v>
      </c>
      <c r="J372" s="20" t="s">
        <v>577</v>
      </c>
      <c r="K372" s="20" t="s">
        <v>578</v>
      </c>
      <c r="L372" s="20" t="s">
        <v>579</v>
      </c>
      <c r="M372" s="20" t="s">
        <v>387</v>
      </c>
      <c r="N372" s="20" t="s">
        <v>559</v>
      </c>
      <c r="P372" s="20" t="s">
        <v>387</v>
      </c>
      <c r="Q372" s="20" t="s">
        <v>394</v>
      </c>
      <c r="R372" s="20" t="s">
        <v>84</v>
      </c>
      <c r="S372" s="20">
        <v>5</v>
      </c>
      <c r="T372" s="20" t="s">
        <v>63</v>
      </c>
      <c r="U372" s="20" t="s">
        <v>580</v>
      </c>
      <c r="V372" s="20" t="s">
        <v>87</v>
      </c>
      <c r="W372" s="20">
        <v>503</v>
      </c>
      <c r="X372" s="20">
        <v>503</v>
      </c>
      <c r="Y372" s="20" t="s">
        <v>581</v>
      </c>
      <c r="Z372" s="20">
        <v>1</v>
      </c>
      <c r="AA372" s="20" t="s">
        <v>582</v>
      </c>
      <c r="AB372" s="20" t="s">
        <v>101</v>
      </c>
      <c r="AC372" s="20" t="s">
        <v>102</v>
      </c>
      <c r="AD372" s="20" t="s">
        <v>583</v>
      </c>
      <c r="AE372" s="20" t="s">
        <v>91</v>
      </c>
      <c r="AF372" s="20">
        <v>1</v>
      </c>
      <c r="AG372" s="20">
        <v>0</v>
      </c>
      <c r="AH372" s="20">
        <v>1</v>
      </c>
      <c r="AI372" s="4" t="s">
        <v>251</v>
      </c>
      <c r="AJ372" s="20">
        <v>100</v>
      </c>
      <c r="AK372" s="4" t="s">
        <v>572</v>
      </c>
      <c r="AL372" s="4">
        <v>1</v>
      </c>
      <c r="AM372" s="4" t="s">
        <v>130</v>
      </c>
      <c r="AN372" s="4" t="s">
        <v>95</v>
      </c>
      <c r="AO372" s="4" t="s">
        <v>96</v>
      </c>
      <c r="AP372" s="4">
        <v>1</v>
      </c>
      <c r="AQ372" s="20">
        <v>45000</v>
      </c>
      <c r="AR372" s="4">
        <v>41827</v>
      </c>
      <c r="AS372" s="20">
        <v>6818.1818181818171</v>
      </c>
      <c r="AT372" s="20">
        <v>6119.786000000001</v>
      </c>
      <c r="AU372" s="20">
        <v>-698.39581818181614</v>
      </c>
      <c r="AW372" s="20">
        <v>0</v>
      </c>
      <c r="AX372" s="20">
        <v>20</v>
      </c>
      <c r="AY372" s="20">
        <v>20</v>
      </c>
      <c r="AZ372" s="20">
        <v>4.8899999999999997</v>
      </c>
      <c r="BA372" s="20">
        <v>0</v>
      </c>
      <c r="BB372" s="6">
        <v>41745</v>
      </c>
      <c r="BC372" s="6">
        <v>0</v>
      </c>
      <c r="BD372" s="6">
        <v>41879</v>
      </c>
      <c r="BE372" s="6">
        <v>41942</v>
      </c>
      <c r="BF372" s="6">
        <v>41953</v>
      </c>
      <c r="BG372" s="6">
        <v>0</v>
      </c>
      <c r="BH372" s="6">
        <v>0</v>
      </c>
      <c r="BI372" s="6">
        <v>0</v>
      </c>
      <c r="BJ372" s="6">
        <v>0</v>
      </c>
      <c r="BK372" s="4" t="s">
        <v>401</v>
      </c>
      <c r="BL372" s="4" t="s">
        <v>401</v>
      </c>
      <c r="BM372" s="20">
        <v>100</v>
      </c>
      <c r="BN372" s="20">
        <v>0</v>
      </c>
      <c r="BO372" s="20">
        <v>0</v>
      </c>
      <c r="BP372" s="20">
        <v>0</v>
      </c>
      <c r="BQ372" s="20">
        <v>0</v>
      </c>
      <c r="BR372" s="20">
        <v>0</v>
      </c>
      <c r="BS372" s="20">
        <v>100</v>
      </c>
      <c r="BT372" s="20">
        <v>611978.60000000009</v>
      </c>
      <c r="BU372" s="20">
        <v>4500000</v>
      </c>
      <c r="BV372" s="20">
        <v>6.6847257255549293</v>
      </c>
    </row>
    <row r="373" spans="1:74">
      <c r="A373" s="10">
        <f t="shared" si="22"/>
        <v>0</v>
      </c>
      <c r="B373" s="10">
        <f t="shared" si="23"/>
        <v>0</v>
      </c>
      <c r="C373" s="12">
        <f t="shared" si="24"/>
        <v>4</v>
      </c>
      <c r="D373" s="12">
        <f t="shared" si="25"/>
        <v>11</v>
      </c>
      <c r="E373" s="20" t="s">
        <v>574</v>
      </c>
      <c r="F373" s="20" t="s">
        <v>575</v>
      </c>
      <c r="G373" s="20" t="s">
        <v>564</v>
      </c>
      <c r="H373" s="20" t="s">
        <v>584</v>
      </c>
      <c r="I373" s="20">
        <v>3</v>
      </c>
      <c r="J373" s="20" t="s">
        <v>585</v>
      </c>
      <c r="K373" s="20" t="s">
        <v>586</v>
      </c>
      <c r="L373" s="20" t="s">
        <v>587</v>
      </c>
      <c r="M373" s="20" t="s">
        <v>387</v>
      </c>
      <c r="N373" s="20" t="s">
        <v>559</v>
      </c>
      <c r="P373" s="20" t="s">
        <v>387</v>
      </c>
      <c r="Q373" s="20" t="s">
        <v>394</v>
      </c>
      <c r="R373" s="20" t="s">
        <v>84</v>
      </c>
      <c r="S373" s="20">
        <v>5</v>
      </c>
      <c r="T373" s="20" t="s">
        <v>588</v>
      </c>
      <c r="U373" s="20" t="s">
        <v>589</v>
      </c>
      <c r="V373" s="20" t="s">
        <v>87</v>
      </c>
      <c r="W373" s="20">
        <v>504</v>
      </c>
      <c r="X373" s="20">
        <v>504</v>
      </c>
      <c r="Y373" s="20" t="s">
        <v>590</v>
      </c>
      <c r="Z373" s="20">
        <v>0.5</v>
      </c>
      <c r="AA373" s="20" t="s">
        <v>591</v>
      </c>
      <c r="AB373" s="20" t="s">
        <v>101</v>
      </c>
      <c r="AC373" s="20" t="s">
        <v>102</v>
      </c>
      <c r="AD373" s="20" t="s">
        <v>592</v>
      </c>
      <c r="AE373" s="20" t="s">
        <v>91</v>
      </c>
      <c r="AF373" s="20">
        <v>0.5</v>
      </c>
      <c r="AG373" s="20">
        <v>0</v>
      </c>
      <c r="AH373" s="20">
        <v>1</v>
      </c>
      <c r="AI373" s="4" t="s">
        <v>97</v>
      </c>
      <c r="AJ373" s="20">
        <v>80</v>
      </c>
      <c r="AK373" s="4" t="s">
        <v>572</v>
      </c>
      <c r="AL373" s="4">
        <v>1</v>
      </c>
      <c r="AM373" s="4" t="s">
        <v>130</v>
      </c>
      <c r="AN373" s="4" t="s">
        <v>95</v>
      </c>
      <c r="AO373" s="4" t="s">
        <v>96</v>
      </c>
      <c r="AP373" s="4">
        <v>1</v>
      </c>
      <c r="AQ373" s="20">
        <v>29000</v>
      </c>
      <c r="AR373" s="4">
        <v>41827</v>
      </c>
      <c r="AS373" s="20">
        <v>4393.9393939393931</v>
      </c>
      <c r="AT373" s="20">
        <v>4385.9000000000005</v>
      </c>
      <c r="AU373" s="20">
        <v>-8.0393939393925393</v>
      </c>
      <c r="AV373" s="20">
        <v>0</v>
      </c>
      <c r="AW373" s="20">
        <v>0</v>
      </c>
      <c r="AX373" s="20">
        <v>20</v>
      </c>
      <c r="AY373" s="20">
        <v>20</v>
      </c>
      <c r="AZ373" s="20">
        <v>3.5</v>
      </c>
      <c r="BA373" s="20">
        <v>0</v>
      </c>
      <c r="BB373" s="6">
        <v>41745</v>
      </c>
      <c r="BC373" s="6">
        <v>0</v>
      </c>
      <c r="BD373" s="6">
        <v>41879</v>
      </c>
      <c r="BE373" s="6">
        <v>41942</v>
      </c>
      <c r="BF373" s="6">
        <v>41953</v>
      </c>
      <c r="BG373" s="6">
        <v>0</v>
      </c>
      <c r="BH373" s="6">
        <v>0</v>
      </c>
      <c r="BI373" s="6">
        <v>0</v>
      </c>
      <c r="BJ373" s="6">
        <v>0</v>
      </c>
      <c r="BK373" s="4" t="s">
        <v>401</v>
      </c>
      <c r="BL373" s="4" t="s">
        <v>401</v>
      </c>
      <c r="BM373" s="20">
        <v>79</v>
      </c>
      <c r="BN373" s="20">
        <v>0</v>
      </c>
      <c r="BO373" s="20">
        <v>0</v>
      </c>
      <c r="BP373" s="20">
        <v>0</v>
      </c>
      <c r="BQ373" s="20">
        <v>0</v>
      </c>
      <c r="BR373" s="20">
        <v>0</v>
      </c>
      <c r="BS373" s="20">
        <v>80</v>
      </c>
      <c r="BT373" s="20">
        <v>350872.00000000006</v>
      </c>
      <c r="BU373" s="20">
        <v>2320000</v>
      </c>
      <c r="BV373" s="20">
        <v>6.0109980536802841</v>
      </c>
    </row>
    <row r="374" spans="1:74">
      <c r="A374" s="10">
        <f t="shared" si="22"/>
        <v>0</v>
      </c>
      <c r="B374" s="10">
        <f t="shared" si="23"/>
        <v>0</v>
      </c>
      <c r="C374" s="12">
        <f t="shared" si="24"/>
        <v>4</v>
      </c>
      <c r="D374" s="12">
        <f t="shared" si="25"/>
        <v>11</v>
      </c>
      <c r="E374" s="20" t="s">
        <v>574</v>
      </c>
      <c r="F374" s="20" t="s">
        <v>575</v>
      </c>
      <c r="G374" s="20" t="s">
        <v>564</v>
      </c>
      <c r="H374" s="20" t="s">
        <v>584</v>
      </c>
      <c r="I374" s="20">
        <v>3</v>
      </c>
      <c r="J374" s="20" t="s">
        <v>585</v>
      </c>
      <c r="K374" s="20" t="s">
        <v>593</v>
      </c>
      <c r="L374" s="20" t="s">
        <v>587</v>
      </c>
      <c r="M374" s="20" t="s">
        <v>387</v>
      </c>
      <c r="N374" s="20" t="s">
        <v>559</v>
      </c>
      <c r="P374" s="20" t="s">
        <v>387</v>
      </c>
      <c r="Q374" s="20" t="s">
        <v>394</v>
      </c>
      <c r="R374" s="20" t="s">
        <v>84</v>
      </c>
      <c r="S374" s="20">
        <v>5</v>
      </c>
      <c r="T374" s="20" t="s">
        <v>588</v>
      </c>
      <c r="U374" s="20" t="s">
        <v>589</v>
      </c>
      <c r="V374" s="20" t="s">
        <v>87</v>
      </c>
      <c r="W374" s="20">
        <v>504</v>
      </c>
      <c r="X374" s="20">
        <v>504</v>
      </c>
      <c r="Y374" s="20" t="s">
        <v>590</v>
      </c>
      <c r="Z374" s="20">
        <v>0.5</v>
      </c>
      <c r="AA374" s="20" t="s">
        <v>591</v>
      </c>
      <c r="AB374" s="20" t="s">
        <v>101</v>
      </c>
      <c r="AC374" s="20" t="s">
        <v>102</v>
      </c>
      <c r="AD374" s="20" t="s">
        <v>592</v>
      </c>
      <c r="AE374" s="20" t="s">
        <v>91</v>
      </c>
      <c r="AF374" s="20">
        <v>0.5</v>
      </c>
      <c r="AG374" s="20">
        <v>0</v>
      </c>
      <c r="AH374" s="20">
        <v>1</v>
      </c>
      <c r="AI374" s="4" t="s">
        <v>98</v>
      </c>
      <c r="AJ374" s="20">
        <v>80</v>
      </c>
      <c r="AK374" s="4" t="s">
        <v>572</v>
      </c>
      <c r="AL374" s="4">
        <v>1</v>
      </c>
      <c r="AM374" s="4" t="s">
        <v>130</v>
      </c>
      <c r="AN374" s="4" t="s">
        <v>95</v>
      </c>
      <c r="AO374" s="4" t="s">
        <v>96</v>
      </c>
      <c r="AP374" s="4">
        <v>1</v>
      </c>
      <c r="AQ374" s="20">
        <v>29000</v>
      </c>
      <c r="AR374" s="4">
        <v>41827</v>
      </c>
      <c r="AS374" s="20">
        <v>4393.9393939393931</v>
      </c>
      <c r="AT374" s="20">
        <v>4510.6400000000003</v>
      </c>
      <c r="AU374" s="20">
        <v>116.70060606060724</v>
      </c>
      <c r="AV374" s="20">
        <v>0</v>
      </c>
      <c r="AW374" s="20">
        <v>0</v>
      </c>
      <c r="AX374" s="20">
        <v>20</v>
      </c>
      <c r="AY374" s="20">
        <v>20</v>
      </c>
      <c r="AZ374" s="20">
        <v>3.6</v>
      </c>
      <c r="BA374" s="20">
        <v>0</v>
      </c>
      <c r="BB374" s="6">
        <v>41745</v>
      </c>
      <c r="BC374" s="6">
        <v>0</v>
      </c>
      <c r="BD374" s="6">
        <v>41879</v>
      </c>
      <c r="BE374" s="6">
        <v>41942</v>
      </c>
      <c r="BF374" s="6">
        <v>41953</v>
      </c>
      <c r="BG374" s="6">
        <v>0</v>
      </c>
      <c r="BH374" s="6">
        <v>0</v>
      </c>
      <c r="BI374" s="6">
        <v>0</v>
      </c>
      <c r="BJ374" s="6">
        <v>0</v>
      </c>
      <c r="BK374" s="4" t="s">
        <v>401</v>
      </c>
      <c r="BL374" s="4" t="s">
        <v>401</v>
      </c>
      <c r="BM374" s="20">
        <v>80</v>
      </c>
      <c r="BN374" s="20">
        <v>0</v>
      </c>
      <c r="BO374" s="20">
        <v>0</v>
      </c>
      <c r="BP374" s="20">
        <v>0</v>
      </c>
      <c r="BQ374" s="20">
        <v>0</v>
      </c>
      <c r="BR374" s="20">
        <v>0</v>
      </c>
      <c r="BS374" s="20">
        <v>80</v>
      </c>
      <c r="BT374" s="20">
        <v>360851.20000000001</v>
      </c>
      <c r="BU374" s="20">
        <v>2320000</v>
      </c>
      <c r="BV374" s="20">
        <v>5.8447662335358972</v>
      </c>
    </row>
    <row r="375" spans="1:74">
      <c r="A375" s="10">
        <f t="shared" si="22"/>
        <v>0</v>
      </c>
      <c r="B375" s="10">
        <f t="shared" si="23"/>
        <v>0.5</v>
      </c>
      <c r="C375" s="12">
        <f t="shared" si="24"/>
        <v>4</v>
      </c>
      <c r="D375" s="12">
        <f t="shared" si="25"/>
        <v>11</v>
      </c>
      <c r="E375" s="20" t="s">
        <v>386</v>
      </c>
      <c r="F375" s="20" t="s">
        <v>387</v>
      </c>
      <c r="G375" s="20" t="s">
        <v>564</v>
      </c>
      <c r="H375" s="20" t="s">
        <v>594</v>
      </c>
      <c r="I375" s="20">
        <v>4</v>
      </c>
      <c r="J375" s="20" t="s">
        <v>595</v>
      </c>
      <c r="K375" s="20" t="s">
        <v>596</v>
      </c>
      <c r="L375" s="20" t="s">
        <v>597</v>
      </c>
      <c r="M375" s="20" t="s">
        <v>387</v>
      </c>
      <c r="N375" s="20" t="s">
        <v>559</v>
      </c>
      <c r="P375" s="20" t="s">
        <v>387</v>
      </c>
      <c r="Q375" s="20" t="s">
        <v>394</v>
      </c>
      <c r="R375" s="20" t="s">
        <v>84</v>
      </c>
      <c r="S375" s="20">
        <v>5</v>
      </c>
      <c r="T375" s="20" t="s">
        <v>395</v>
      </c>
      <c r="U375" s="20" t="s">
        <v>396</v>
      </c>
      <c r="V375" s="20" t="s">
        <v>87</v>
      </c>
      <c r="W375" s="20">
        <v>505</v>
      </c>
      <c r="X375" s="20">
        <v>505</v>
      </c>
      <c r="Y375" s="20" t="s">
        <v>598</v>
      </c>
      <c r="Z375" s="20">
        <v>0.5</v>
      </c>
      <c r="AA375" s="20" t="s">
        <v>599</v>
      </c>
      <c r="AB375" s="20" t="s">
        <v>139</v>
      </c>
      <c r="AC375" s="20" t="s">
        <v>140</v>
      </c>
      <c r="AD375" s="20" t="s">
        <v>600</v>
      </c>
      <c r="AE375" s="20" t="s">
        <v>91</v>
      </c>
      <c r="AF375" s="20">
        <v>0.5</v>
      </c>
      <c r="AG375" s="20">
        <v>0</v>
      </c>
      <c r="AH375" s="20">
        <v>1</v>
      </c>
      <c r="AI375" s="4" t="s">
        <v>92</v>
      </c>
      <c r="AJ375" s="20">
        <v>400</v>
      </c>
      <c r="AK375" s="4" t="s">
        <v>572</v>
      </c>
      <c r="AL375" s="4">
        <v>1</v>
      </c>
      <c r="AM375" s="4" t="s">
        <v>130</v>
      </c>
      <c r="AN375" s="4" t="s">
        <v>95</v>
      </c>
      <c r="AO375" s="4" t="s">
        <v>96</v>
      </c>
      <c r="AP375" s="4">
        <v>1</v>
      </c>
      <c r="AQ375" s="20">
        <v>49000</v>
      </c>
      <c r="AR375" s="4">
        <v>41827</v>
      </c>
      <c r="AS375" s="20">
        <v>7424.242424242424</v>
      </c>
      <c r="AT375" s="20">
        <v>7691.1860000000006</v>
      </c>
      <c r="AU375" s="20">
        <v>266.94357575757658</v>
      </c>
      <c r="AV375" s="20">
        <v>324</v>
      </c>
      <c r="AW375" s="20">
        <v>0</v>
      </c>
      <c r="AX375" s="20">
        <v>20</v>
      </c>
      <c r="AY375" s="20">
        <v>344</v>
      </c>
      <c r="AZ375" s="20">
        <v>5.89</v>
      </c>
      <c r="BA375" s="20">
        <v>0</v>
      </c>
      <c r="BB375" s="6">
        <v>41745</v>
      </c>
      <c r="BC375" s="6">
        <v>0</v>
      </c>
      <c r="BD375" s="6">
        <v>41879</v>
      </c>
      <c r="BE375" s="6">
        <v>41942</v>
      </c>
      <c r="BF375" s="6">
        <v>41953</v>
      </c>
      <c r="BG375" s="6">
        <v>0</v>
      </c>
      <c r="BH375" s="6">
        <v>0</v>
      </c>
      <c r="BI375" s="6">
        <v>0</v>
      </c>
      <c r="BJ375" s="6">
        <v>0</v>
      </c>
      <c r="BK375" s="4" t="s">
        <v>401</v>
      </c>
      <c r="BL375" s="4" t="s">
        <v>401</v>
      </c>
      <c r="BM375" s="20">
        <v>400</v>
      </c>
      <c r="BN375" s="20">
        <v>0</v>
      </c>
      <c r="BO375" s="20">
        <v>0</v>
      </c>
      <c r="BP375" s="20">
        <v>0</v>
      </c>
      <c r="BQ375" s="20">
        <v>0</v>
      </c>
      <c r="BR375" s="20">
        <v>0</v>
      </c>
      <c r="BS375" s="20">
        <v>400</v>
      </c>
      <c r="BT375" s="20">
        <v>3076474.4000000004</v>
      </c>
      <c r="BU375" s="20">
        <v>19600000</v>
      </c>
      <c r="BV375" s="20">
        <v>5.79175364442552</v>
      </c>
    </row>
    <row r="376" spans="1:74">
      <c r="A376" s="10">
        <f t="shared" si="22"/>
        <v>0</v>
      </c>
      <c r="B376" s="10">
        <f t="shared" si="23"/>
        <v>0.5</v>
      </c>
      <c r="C376" s="12">
        <f t="shared" si="24"/>
        <v>4</v>
      </c>
      <c r="D376" s="12">
        <f t="shared" si="25"/>
        <v>11</v>
      </c>
      <c r="E376" s="20" t="s">
        <v>386</v>
      </c>
      <c r="F376" s="20" t="s">
        <v>387</v>
      </c>
      <c r="G376" s="20" t="s">
        <v>564</v>
      </c>
      <c r="H376" s="20" t="s">
        <v>594</v>
      </c>
      <c r="I376" s="20">
        <v>4</v>
      </c>
      <c r="J376" s="20" t="s">
        <v>595</v>
      </c>
      <c r="K376" s="20" t="s">
        <v>601</v>
      </c>
      <c r="L376" s="20" t="s">
        <v>597</v>
      </c>
      <c r="M376" s="20" t="s">
        <v>387</v>
      </c>
      <c r="N376" s="20" t="s">
        <v>559</v>
      </c>
      <c r="P376" s="20" t="s">
        <v>387</v>
      </c>
      <c r="Q376" s="20" t="s">
        <v>394</v>
      </c>
      <c r="R376" s="20" t="s">
        <v>84</v>
      </c>
      <c r="S376" s="20">
        <v>5</v>
      </c>
      <c r="T376" s="20" t="s">
        <v>395</v>
      </c>
      <c r="U376" s="20" t="s">
        <v>396</v>
      </c>
      <c r="V376" s="20" t="s">
        <v>87</v>
      </c>
      <c r="W376" s="20">
        <v>505</v>
      </c>
      <c r="X376" s="20">
        <v>505</v>
      </c>
      <c r="Y376" s="20" t="s">
        <v>598</v>
      </c>
      <c r="Z376" s="20">
        <v>0.5</v>
      </c>
      <c r="AA376" s="20" t="s">
        <v>599</v>
      </c>
      <c r="AB376" s="20" t="s">
        <v>139</v>
      </c>
      <c r="AC376" s="20" t="s">
        <v>140</v>
      </c>
      <c r="AD376" s="20" t="s">
        <v>600</v>
      </c>
      <c r="AE376" s="20" t="s">
        <v>91</v>
      </c>
      <c r="AF376" s="20">
        <v>0.5</v>
      </c>
      <c r="AG376" s="20">
        <v>0</v>
      </c>
      <c r="AH376" s="20">
        <v>1</v>
      </c>
      <c r="AI376" s="4" t="s">
        <v>251</v>
      </c>
      <c r="AJ376" s="20">
        <v>150</v>
      </c>
      <c r="AK376" s="4" t="s">
        <v>572</v>
      </c>
      <c r="AL376" s="4">
        <v>1</v>
      </c>
      <c r="AM376" s="4" t="s">
        <v>130</v>
      </c>
      <c r="AN376" s="4" t="s">
        <v>95</v>
      </c>
      <c r="AO376" s="4" t="s">
        <v>96</v>
      </c>
      <c r="AP376" s="4">
        <v>1</v>
      </c>
      <c r="AQ376" s="20">
        <v>49000</v>
      </c>
      <c r="AR376" s="4">
        <v>41827</v>
      </c>
      <c r="AS376" s="20">
        <v>7424.242424242424</v>
      </c>
      <c r="AT376" s="20">
        <v>8015.5100000000011</v>
      </c>
      <c r="AU376" s="20">
        <v>591.26757575757711</v>
      </c>
      <c r="AV376" s="20">
        <v>324</v>
      </c>
      <c r="AW376" s="20">
        <v>0</v>
      </c>
      <c r="AX376" s="20">
        <v>20</v>
      </c>
      <c r="AY376" s="20">
        <v>344</v>
      </c>
      <c r="AZ376" s="20">
        <v>6.15</v>
      </c>
      <c r="BA376" s="20">
        <v>0</v>
      </c>
      <c r="BB376" s="6">
        <v>41745</v>
      </c>
      <c r="BC376" s="6">
        <v>0</v>
      </c>
      <c r="BD376" s="6">
        <v>41879</v>
      </c>
      <c r="BE376" s="6">
        <v>41942</v>
      </c>
      <c r="BF376" s="6">
        <v>41953</v>
      </c>
      <c r="BG376" s="6">
        <v>0</v>
      </c>
      <c r="BH376" s="6">
        <v>0</v>
      </c>
      <c r="BI376" s="6">
        <v>0</v>
      </c>
      <c r="BJ376" s="6">
        <v>0</v>
      </c>
      <c r="BK376" s="4" t="s">
        <v>401</v>
      </c>
      <c r="BL376" s="4" t="s">
        <v>401</v>
      </c>
      <c r="BM376" s="20">
        <v>147</v>
      </c>
      <c r="BN376" s="20">
        <v>0</v>
      </c>
      <c r="BO376" s="20">
        <v>0</v>
      </c>
      <c r="BP376" s="20">
        <v>0</v>
      </c>
      <c r="BQ376" s="20">
        <v>0</v>
      </c>
      <c r="BR376" s="20">
        <v>0</v>
      </c>
      <c r="BS376" s="20">
        <v>150</v>
      </c>
      <c r="BT376" s="20">
        <v>1202326.5000000002</v>
      </c>
      <c r="BU376" s="20">
        <v>7350000</v>
      </c>
      <c r="BV376" s="20">
        <v>5.5574073945955442</v>
      </c>
    </row>
    <row r="377" spans="1:74">
      <c r="A377" s="10">
        <f t="shared" si="22"/>
        <v>0</v>
      </c>
      <c r="B377" s="10">
        <f t="shared" si="23"/>
        <v>0</v>
      </c>
      <c r="C377" s="12">
        <f t="shared" si="24"/>
        <v>4</v>
      </c>
      <c r="D377" s="12">
        <f t="shared" si="25"/>
        <v>11</v>
      </c>
      <c r="E377" s="20" t="s">
        <v>574</v>
      </c>
      <c r="F377" s="20" t="s">
        <v>575</v>
      </c>
      <c r="G377" s="20" t="s">
        <v>564</v>
      </c>
      <c r="H377" s="20" t="s">
        <v>602</v>
      </c>
      <c r="I377" s="20">
        <v>5</v>
      </c>
      <c r="J377" s="20" t="s">
        <v>603</v>
      </c>
      <c r="K377" s="20" t="s">
        <v>604</v>
      </c>
      <c r="L377" s="20" t="s">
        <v>605</v>
      </c>
      <c r="M377" s="20" t="s">
        <v>387</v>
      </c>
      <c r="N377" s="20" t="s">
        <v>559</v>
      </c>
      <c r="P377" s="20" t="s">
        <v>387</v>
      </c>
      <c r="Q377" s="20" t="s">
        <v>394</v>
      </c>
      <c r="R377" s="20" t="s">
        <v>84</v>
      </c>
      <c r="S377" s="20">
        <v>5</v>
      </c>
      <c r="T377" s="20" t="s">
        <v>63</v>
      </c>
      <c r="U377" s="20" t="s">
        <v>580</v>
      </c>
      <c r="V377" s="20" t="s">
        <v>87</v>
      </c>
      <c r="W377" s="20">
        <v>506</v>
      </c>
      <c r="X377" s="20">
        <v>506</v>
      </c>
      <c r="Y377" s="20" t="s">
        <v>606</v>
      </c>
      <c r="Z377" s="20">
        <v>1</v>
      </c>
      <c r="AA377" s="20" t="s">
        <v>607</v>
      </c>
      <c r="AB377" s="20" t="s">
        <v>139</v>
      </c>
      <c r="AC377" s="20" t="s">
        <v>140</v>
      </c>
      <c r="AD377" s="20" t="s">
        <v>608</v>
      </c>
      <c r="AE377" s="20" t="s">
        <v>91</v>
      </c>
      <c r="AF377" s="20">
        <v>1</v>
      </c>
      <c r="AG377" s="20">
        <v>0</v>
      </c>
      <c r="AH377" s="20">
        <v>1</v>
      </c>
      <c r="AI377" s="4" t="s">
        <v>251</v>
      </c>
      <c r="AJ377" s="20">
        <v>100</v>
      </c>
      <c r="AK377" s="4" t="s">
        <v>572</v>
      </c>
      <c r="AL377" s="4">
        <v>1</v>
      </c>
      <c r="AM377" s="4" t="s">
        <v>130</v>
      </c>
      <c r="AN377" s="4" t="s">
        <v>95</v>
      </c>
      <c r="AO377" s="4" t="s">
        <v>96</v>
      </c>
      <c r="AP377" s="4">
        <v>1</v>
      </c>
      <c r="AQ377" s="20">
        <v>45000</v>
      </c>
      <c r="AR377" s="4">
        <v>41827</v>
      </c>
      <c r="AS377" s="20">
        <v>6818.1818181818171</v>
      </c>
      <c r="AT377" s="20">
        <v>6119.786000000001</v>
      </c>
      <c r="AU377" s="20">
        <v>-698.39581818181614</v>
      </c>
      <c r="AW377" s="20">
        <v>0</v>
      </c>
      <c r="AX377" s="20">
        <v>20</v>
      </c>
      <c r="AY377" s="20">
        <v>20</v>
      </c>
      <c r="AZ377" s="20">
        <v>4.8899999999999997</v>
      </c>
      <c r="BA377" s="20">
        <v>0</v>
      </c>
      <c r="BB377" s="6">
        <v>41745</v>
      </c>
      <c r="BC377" s="6">
        <v>0</v>
      </c>
      <c r="BD377" s="6">
        <v>41879</v>
      </c>
      <c r="BE377" s="6">
        <v>41942</v>
      </c>
      <c r="BF377" s="6">
        <v>41953</v>
      </c>
      <c r="BG377" s="6">
        <v>0</v>
      </c>
      <c r="BH377" s="6">
        <v>0</v>
      </c>
      <c r="BI377" s="6">
        <v>0</v>
      </c>
      <c r="BJ377" s="6">
        <v>0</v>
      </c>
      <c r="BK377" s="4" t="s">
        <v>401</v>
      </c>
      <c r="BL377" s="4" t="s">
        <v>401</v>
      </c>
      <c r="BM377" s="20">
        <v>100</v>
      </c>
      <c r="BN377" s="20">
        <v>0</v>
      </c>
      <c r="BO377" s="20">
        <v>0</v>
      </c>
      <c r="BP377" s="20">
        <v>0</v>
      </c>
      <c r="BQ377" s="20">
        <v>0</v>
      </c>
      <c r="BR377" s="20">
        <v>0</v>
      </c>
      <c r="BS377" s="20">
        <v>100</v>
      </c>
      <c r="BT377" s="20">
        <v>611978.60000000009</v>
      </c>
      <c r="BU377" s="20">
        <v>4500000</v>
      </c>
      <c r="BV377" s="20">
        <v>6.6847257255549293</v>
      </c>
    </row>
    <row r="378" spans="1:74">
      <c r="A378" s="10">
        <f t="shared" si="22"/>
        <v>0</v>
      </c>
      <c r="B378" s="10">
        <f t="shared" si="23"/>
        <v>0</v>
      </c>
      <c r="C378" s="12">
        <f t="shared" si="24"/>
        <v>4</v>
      </c>
      <c r="D378" s="12">
        <f t="shared" si="25"/>
        <v>11</v>
      </c>
      <c r="E378" s="20" t="s">
        <v>574</v>
      </c>
      <c r="F378" s="20" t="s">
        <v>575</v>
      </c>
      <c r="G378" s="20" t="s">
        <v>564</v>
      </c>
      <c r="H378" s="20" t="s">
        <v>609</v>
      </c>
      <c r="I378" s="20">
        <v>6</v>
      </c>
      <c r="J378" s="20" t="s">
        <v>610</v>
      </c>
      <c r="K378" s="20" t="s">
        <v>611</v>
      </c>
      <c r="L378" s="20" t="s">
        <v>612</v>
      </c>
      <c r="M378" s="20" t="s">
        <v>387</v>
      </c>
      <c r="N378" s="20" t="s">
        <v>559</v>
      </c>
      <c r="P378" s="20" t="s">
        <v>387</v>
      </c>
      <c r="Q378" s="20" t="s">
        <v>394</v>
      </c>
      <c r="R378" s="20" t="s">
        <v>84</v>
      </c>
      <c r="S378" s="20">
        <v>5</v>
      </c>
      <c r="T378" s="20" t="s">
        <v>588</v>
      </c>
      <c r="U378" s="20" t="s">
        <v>589</v>
      </c>
      <c r="V378" s="20" t="s">
        <v>87</v>
      </c>
      <c r="W378" s="20">
        <v>507</v>
      </c>
      <c r="X378" s="20">
        <v>507</v>
      </c>
      <c r="Y378" s="20" t="s">
        <v>613</v>
      </c>
      <c r="Z378" s="20">
        <v>0.5</v>
      </c>
      <c r="AA378" s="20" t="s">
        <v>614</v>
      </c>
      <c r="AB378" s="20" t="s">
        <v>139</v>
      </c>
      <c r="AC378" s="20" t="s">
        <v>140</v>
      </c>
      <c r="AD378" s="20" t="s">
        <v>615</v>
      </c>
      <c r="AE378" s="20" t="s">
        <v>91</v>
      </c>
      <c r="AF378" s="20">
        <v>0.5</v>
      </c>
      <c r="AG378" s="20">
        <v>0</v>
      </c>
      <c r="AH378" s="20">
        <v>1</v>
      </c>
      <c r="AI378" s="4" t="s">
        <v>97</v>
      </c>
      <c r="AJ378" s="20">
        <v>80</v>
      </c>
      <c r="AK378" s="4" t="s">
        <v>572</v>
      </c>
      <c r="AL378" s="4">
        <v>1</v>
      </c>
      <c r="AM378" s="4" t="s">
        <v>130</v>
      </c>
      <c r="AN378" s="4" t="s">
        <v>95</v>
      </c>
      <c r="AO378" s="4" t="s">
        <v>96</v>
      </c>
      <c r="AP378" s="4">
        <v>1</v>
      </c>
      <c r="AQ378" s="20">
        <v>29000</v>
      </c>
      <c r="AR378" s="4">
        <v>41827</v>
      </c>
      <c r="AS378" s="20">
        <v>4393.9393939393931</v>
      </c>
      <c r="AT378" s="20">
        <v>4385.9000000000005</v>
      </c>
      <c r="AU378" s="20">
        <v>-8.0393939393925393</v>
      </c>
      <c r="AV378" s="20">
        <v>0</v>
      </c>
      <c r="AW378" s="20">
        <v>0</v>
      </c>
      <c r="AX378" s="20">
        <v>20</v>
      </c>
      <c r="AY378" s="20">
        <v>20</v>
      </c>
      <c r="AZ378" s="20">
        <v>3.5</v>
      </c>
      <c r="BA378" s="20">
        <v>0</v>
      </c>
      <c r="BB378" s="6">
        <v>41745</v>
      </c>
      <c r="BC378" s="6">
        <v>0</v>
      </c>
      <c r="BD378" s="6">
        <v>41879</v>
      </c>
      <c r="BE378" s="6">
        <v>41942</v>
      </c>
      <c r="BF378" s="6">
        <v>41953</v>
      </c>
      <c r="BG378" s="6">
        <v>0</v>
      </c>
      <c r="BH378" s="6">
        <v>0</v>
      </c>
      <c r="BI378" s="6">
        <v>0</v>
      </c>
      <c r="BJ378" s="6">
        <v>0</v>
      </c>
      <c r="BK378" s="4" t="s">
        <v>401</v>
      </c>
      <c r="BL378" s="4" t="s">
        <v>401</v>
      </c>
      <c r="BM378" s="20">
        <v>80</v>
      </c>
      <c r="BN378" s="20">
        <v>0</v>
      </c>
      <c r="BO378" s="20">
        <v>0</v>
      </c>
      <c r="BP378" s="20">
        <v>0</v>
      </c>
      <c r="BQ378" s="20">
        <v>0</v>
      </c>
      <c r="BR378" s="20">
        <v>0</v>
      </c>
      <c r="BS378" s="20">
        <v>80</v>
      </c>
      <c r="BT378" s="20">
        <v>350872.00000000006</v>
      </c>
      <c r="BU378" s="20">
        <v>2320000</v>
      </c>
      <c r="BV378" s="20">
        <v>6.0109980536802841</v>
      </c>
    </row>
    <row r="379" spans="1:74">
      <c r="A379" s="10">
        <f t="shared" si="22"/>
        <v>0</v>
      </c>
      <c r="B379" s="10">
        <f t="shared" si="23"/>
        <v>0</v>
      </c>
      <c r="C379" s="12">
        <f t="shared" si="24"/>
        <v>4</v>
      </c>
      <c r="D379" s="12">
        <f t="shared" si="25"/>
        <v>11</v>
      </c>
      <c r="E379" s="20" t="s">
        <v>574</v>
      </c>
      <c r="F379" s="20" t="s">
        <v>575</v>
      </c>
      <c r="G379" s="20" t="s">
        <v>564</v>
      </c>
      <c r="H379" s="20" t="s">
        <v>609</v>
      </c>
      <c r="I379" s="20">
        <v>6</v>
      </c>
      <c r="J379" s="20" t="s">
        <v>610</v>
      </c>
      <c r="K379" s="20" t="s">
        <v>616</v>
      </c>
      <c r="L379" s="20" t="s">
        <v>612</v>
      </c>
      <c r="M379" s="20" t="s">
        <v>387</v>
      </c>
      <c r="N379" s="20" t="s">
        <v>559</v>
      </c>
      <c r="P379" s="20" t="s">
        <v>387</v>
      </c>
      <c r="Q379" s="20" t="s">
        <v>394</v>
      </c>
      <c r="R379" s="20" t="s">
        <v>84</v>
      </c>
      <c r="S379" s="20">
        <v>5</v>
      </c>
      <c r="T379" s="20" t="s">
        <v>588</v>
      </c>
      <c r="U379" s="20" t="s">
        <v>589</v>
      </c>
      <c r="V379" s="20" t="s">
        <v>87</v>
      </c>
      <c r="W379" s="20">
        <v>507</v>
      </c>
      <c r="X379" s="20">
        <v>507</v>
      </c>
      <c r="Y379" s="20" t="s">
        <v>613</v>
      </c>
      <c r="Z379" s="20">
        <v>0.5</v>
      </c>
      <c r="AA379" s="20" t="s">
        <v>614</v>
      </c>
      <c r="AB379" s="20" t="s">
        <v>139</v>
      </c>
      <c r="AC379" s="20" t="s">
        <v>140</v>
      </c>
      <c r="AD379" s="20" t="s">
        <v>615</v>
      </c>
      <c r="AE379" s="20" t="s">
        <v>91</v>
      </c>
      <c r="AF379" s="20">
        <v>0.5</v>
      </c>
      <c r="AG379" s="20">
        <v>0</v>
      </c>
      <c r="AH379" s="20">
        <v>1</v>
      </c>
      <c r="AI379" s="4" t="s">
        <v>98</v>
      </c>
      <c r="AJ379" s="20">
        <v>80</v>
      </c>
      <c r="AK379" s="4" t="s">
        <v>572</v>
      </c>
      <c r="AL379" s="4">
        <v>1</v>
      </c>
      <c r="AM379" s="4" t="s">
        <v>130</v>
      </c>
      <c r="AN379" s="4" t="s">
        <v>95</v>
      </c>
      <c r="AO379" s="4" t="s">
        <v>96</v>
      </c>
      <c r="AP379" s="4">
        <v>1</v>
      </c>
      <c r="AQ379" s="20">
        <v>29000</v>
      </c>
      <c r="AR379" s="4">
        <v>41827</v>
      </c>
      <c r="AS379" s="20">
        <v>4393.9393939393931</v>
      </c>
      <c r="AT379" s="20">
        <v>4510.6400000000003</v>
      </c>
      <c r="AU379" s="20">
        <v>116.70060606060724</v>
      </c>
      <c r="AV379" s="20">
        <v>0</v>
      </c>
      <c r="AW379" s="20">
        <v>0</v>
      </c>
      <c r="AX379" s="20">
        <v>20</v>
      </c>
      <c r="AY379" s="20">
        <v>20</v>
      </c>
      <c r="AZ379" s="20">
        <v>3.6</v>
      </c>
      <c r="BA379" s="20">
        <v>0</v>
      </c>
      <c r="BB379" s="6">
        <v>41745</v>
      </c>
      <c r="BC379" s="6">
        <v>0</v>
      </c>
      <c r="BD379" s="6">
        <v>41879</v>
      </c>
      <c r="BE379" s="6">
        <v>41942</v>
      </c>
      <c r="BF379" s="6">
        <v>41953</v>
      </c>
      <c r="BG379" s="6">
        <v>0</v>
      </c>
      <c r="BH379" s="6">
        <v>0</v>
      </c>
      <c r="BI379" s="6">
        <v>0</v>
      </c>
      <c r="BJ379" s="6">
        <v>0</v>
      </c>
      <c r="BK379" s="4" t="s">
        <v>401</v>
      </c>
      <c r="BL379" s="4" t="s">
        <v>401</v>
      </c>
      <c r="BM379" s="20">
        <v>80</v>
      </c>
      <c r="BN379" s="20">
        <v>0</v>
      </c>
      <c r="BO379" s="20">
        <v>0</v>
      </c>
      <c r="BP379" s="20">
        <v>0</v>
      </c>
      <c r="BQ379" s="20">
        <v>0</v>
      </c>
      <c r="BR379" s="20">
        <v>0</v>
      </c>
      <c r="BS379" s="20">
        <v>80</v>
      </c>
      <c r="BT379" s="20">
        <v>360851.20000000001</v>
      </c>
      <c r="BU379" s="20">
        <v>2320000</v>
      </c>
      <c r="BV379" s="20">
        <v>5.8447662335358972</v>
      </c>
    </row>
    <row r="380" spans="1:74">
      <c r="A380" s="10">
        <f t="shared" si="22"/>
        <v>0</v>
      </c>
      <c r="B380" s="10">
        <f t="shared" si="23"/>
        <v>0.5</v>
      </c>
      <c r="C380" s="12">
        <f t="shared" si="24"/>
        <v>4</v>
      </c>
      <c r="D380" s="12">
        <f t="shared" si="25"/>
        <v>11</v>
      </c>
      <c r="E380" s="20" t="s">
        <v>386</v>
      </c>
      <c r="F380" s="20" t="s">
        <v>387</v>
      </c>
      <c r="G380" s="20" t="s">
        <v>564</v>
      </c>
      <c r="H380" s="20" t="s">
        <v>617</v>
      </c>
      <c r="I380" s="20">
        <v>7</v>
      </c>
      <c r="J380" s="20" t="s">
        <v>618</v>
      </c>
      <c r="K380" s="20" t="s">
        <v>619</v>
      </c>
      <c r="L380" s="20" t="s">
        <v>620</v>
      </c>
      <c r="M380" s="20" t="s">
        <v>387</v>
      </c>
      <c r="N380" s="20" t="s">
        <v>559</v>
      </c>
      <c r="P380" s="20" t="s">
        <v>387</v>
      </c>
      <c r="Q380" s="20" t="s">
        <v>394</v>
      </c>
      <c r="R380" s="20" t="s">
        <v>84</v>
      </c>
      <c r="S380" s="20">
        <v>5</v>
      </c>
      <c r="T380" s="20" t="s">
        <v>395</v>
      </c>
      <c r="U380" s="20" t="s">
        <v>396</v>
      </c>
      <c r="V380" s="20" t="s">
        <v>87</v>
      </c>
      <c r="W380" s="20">
        <v>508</v>
      </c>
      <c r="X380" s="20">
        <v>508</v>
      </c>
      <c r="Y380" s="20" t="s">
        <v>621</v>
      </c>
      <c r="Z380" s="20">
        <v>0.5</v>
      </c>
      <c r="AA380" s="20" t="s">
        <v>622</v>
      </c>
      <c r="AB380" s="20" t="s">
        <v>303</v>
      </c>
      <c r="AC380" s="20" t="s">
        <v>304</v>
      </c>
      <c r="AD380" s="20" t="s">
        <v>623</v>
      </c>
      <c r="AE380" s="20" t="s">
        <v>91</v>
      </c>
      <c r="AF380" s="20">
        <v>0.5</v>
      </c>
      <c r="AG380" s="20">
        <v>0</v>
      </c>
      <c r="AH380" s="20">
        <v>1</v>
      </c>
      <c r="AI380" s="4" t="s">
        <v>92</v>
      </c>
      <c r="AJ380" s="20">
        <v>400</v>
      </c>
      <c r="AK380" s="4" t="s">
        <v>572</v>
      </c>
      <c r="AL380" s="4">
        <v>1</v>
      </c>
      <c r="AM380" s="4" t="s">
        <v>130</v>
      </c>
      <c r="AN380" s="4" t="s">
        <v>95</v>
      </c>
      <c r="AO380" s="4" t="s">
        <v>96</v>
      </c>
      <c r="AP380" s="4">
        <v>1</v>
      </c>
      <c r="AQ380" s="20">
        <v>49000</v>
      </c>
      <c r="AR380" s="4">
        <v>41827</v>
      </c>
      <c r="AS380" s="20">
        <v>7424.242424242424</v>
      </c>
      <c r="AT380" s="20">
        <v>6304.27</v>
      </c>
      <c r="AU380" s="20">
        <v>-1119.9724242424236</v>
      </c>
      <c r="AV380" s="20">
        <v>1856</v>
      </c>
      <c r="AW380" s="20">
        <v>0</v>
      </c>
      <c r="AX380" s="20">
        <v>20</v>
      </c>
      <c r="AY380" s="20">
        <v>1876</v>
      </c>
      <c r="AZ380" s="20">
        <v>3.55</v>
      </c>
      <c r="BA380" s="20">
        <v>0</v>
      </c>
      <c r="BB380" s="6">
        <v>41745</v>
      </c>
      <c r="BC380" s="6">
        <v>0</v>
      </c>
      <c r="BD380" s="6">
        <v>41879</v>
      </c>
      <c r="BE380" s="6">
        <v>41942</v>
      </c>
      <c r="BF380" s="6">
        <v>41953</v>
      </c>
      <c r="BG380" s="6">
        <v>0</v>
      </c>
      <c r="BH380" s="6">
        <v>0</v>
      </c>
      <c r="BI380" s="6">
        <v>0</v>
      </c>
      <c r="BJ380" s="6">
        <v>0</v>
      </c>
      <c r="BK380" s="4" t="s">
        <v>401</v>
      </c>
      <c r="BL380" s="4" t="s">
        <v>401</v>
      </c>
      <c r="BM380" s="20">
        <v>400</v>
      </c>
      <c r="BN380" s="20">
        <v>0</v>
      </c>
      <c r="BO380" s="20">
        <v>0</v>
      </c>
      <c r="BP380" s="20">
        <v>0</v>
      </c>
      <c r="BQ380" s="20">
        <v>0</v>
      </c>
      <c r="BR380" s="20">
        <v>0</v>
      </c>
      <c r="BS380" s="20">
        <v>400</v>
      </c>
      <c r="BT380" s="20">
        <v>2521708</v>
      </c>
      <c r="BU380" s="20">
        <v>19600000</v>
      </c>
      <c r="BV380" s="20">
        <v>7.065917948541947</v>
      </c>
    </row>
    <row r="381" spans="1:74">
      <c r="A381" s="10">
        <f t="shared" si="22"/>
        <v>0</v>
      </c>
      <c r="B381" s="10">
        <f t="shared" si="23"/>
        <v>0.5</v>
      </c>
      <c r="C381" s="12">
        <f t="shared" si="24"/>
        <v>4</v>
      </c>
      <c r="D381" s="12">
        <f t="shared" si="25"/>
        <v>11</v>
      </c>
      <c r="E381" s="20" t="s">
        <v>386</v>
      </c>
      <c r="F381" s="20" t="s">
        <v>387</v>
      </c>
      <c r="G381" s="20" t="s">
        <v>564</v>
      </c>
      <c r="H381" s="20" t="s">
        <v>617</v>
      </c>
      <c r="I381" s="20">
        <v>7</v>
      </c>
      <c r="J381" s="20" t="s">
        <v>618</v>
      </c>
      <c r="K381" s="20" t="s">
        <v>624</v>
      </c>
      <c r="L381" s="20" t="s">
        <v>620</v>
      </c>
      <c r="M381" s="20" t="s">
        <v>387</v>
      </c>
      <c r="N381" s="20" t="s">
        <v>559</v>
      </c>
      <c r="P381" s="20" t="s">
        <v>387</v>
      </c>
      <c r="Q381" s="20" t="s">
        <v>394</v>
      </c>
      <c r="R381" s="20" t="s">
        <v>84</v>
      </c>
      <c r="S381" s="20">
        <v>5</v>
      </c>
      <c r="T381" s="20" t="s">
        <v>395</v>
      </c>
      <c r="U381" s="20" t="s">
        <v>396</v>
      </c>
      <c r="V381" s="20" t="s">
        <v>87</v>
      </c>
      <c r="W381" s="20">
        <v>508</v>
      </c>
      <c r="X381" s="20">
        <v>508</v>
      </c>
      <c r="Y381" s="20" t="s">
        <v>621</v>
      </c>
      <c r="Z381" s="20">
        <v>0.5</v>
      </c>
      <c r="AA381" s="20" t="s">
        <v>622</v>
      </c>
      <c r="AB381" s="20" t="s">
        <v>303</v>
      </c>
      <c r="AC381" s="20" t="s">
        <v>304</v>
      </c>
      <c r="AD381" s="20" t="s">
        <v>623</v>
      </c>
      <c r="AE381" s="20" t="s">
        <v>91</v>
      </c>
      <c r="AF381" s="20">
        <v>0.5</v>
      </c>
      <c r="AG381" s="20">
        <v>0</v>
      </c>
      <c r="AH381" s="20">
        <v>1</v>
      </c>
      <c r="AI381" s="4" t="s">
        <v>251</v>
      </c>
      <c r="AJ381" s="20">
        <v>150</v>
      </c>
      <c r="AK381" s="4" t="s">
        <v>572</v>
      </c>
      <c r="AL381" s="4">
        <v>1</v>
      </c>
      <c r="AM381" s="4" t="s">
        <v>130</v>
      </c>
      <c r="AN381" s="4" t="s">
        <v>95</v>
      </c>
      <c r="AO381" s="4" t="s">
        <v>96</v>
      </c>
      <c r="AP381" s="4">
        <v>1</v>
      </c>
      <c r="AQ381" s="20">
        <v>49000</v>
      </c>
      <c r="AR381" s="4">
        <v>41827</v>
      </c>
      <c r="AS381" s="20">
        <v>7424.242424242424</v>
      </c>
      <c r="AT381" s="20">
        <v>6429.01</v>
      </c>
      <c r="AU381" s="20">
        <v>-995.2324242424238</v>
      </c>
      <c r="AV381" s="20">
        <v>1856</v>
      </c>
      <c r="AW381" s="20">
        <v>0</v>
      </c>
      <c r="AX381" s="20">
        <v>20</v>
      </c>
      <c r="AY381" s="20">
        <v>1876</v>
      </c>
      <c r="AZ381" s="20">
        <v>3.65</v>
      </c>
      <c r="BA381" s="20">
        <v>0</v>
      </c>
      <c r="BB381" s="6">
        <v>41745</v>
      </c>
      <c r="BC381" s="6">
        <v>0</v>
      </c>
      <c r="BD381" s="6">
        <v>41879</v>
      </c>
      <c r="BE381" s="6">
        <v>41942</v>
      </c>
      <c r="BF381" s="6">
        <v>41953</v>
      </c>
      <c r="BG381" s="6">
        <v>0</v>
      </c>
      <c r="BH381" s="6">
        <v>0</v>
      </c>
      <c r="BI381" s="6">
        <v>0</v>
      </c>
      <c r="BJ381" s="6">
        <v>0</v>
      </c>
      <c r="BK381" s="4" t="s">
        <v>401</v>
      </c>
      <c r="BL381" s="4" t="s">
        <v>401</v>
      </c>
      <c r="BM381" s="20">
        <v>149</v>
      </c>
      <c r="BN381" s="20">
        <v>0</v>
      </c>
      <c r="BO381" s="20">
        <v>0</v>
      </c>
      <c r="BP381" s="20">
        <v>0</v>
      </c>
      <c r="BQ381" s="20">
        <v>0</v>
      </c>
      <c r="BR381" s="20">
        <v>0</v>
      </c>
      <c r="BS381" s="20">
        <v>150</v>
      </c>
      <c r="BT381" s="20">
        <v>964351.5</v>
      </c>
      <c r="BU381" s="20">
        <v>7350000</v>
      </c>
      <c r="BV381" s="20">
        <v>6.9288202297794745</v>
      </c>
    </row>
    <row r="382" spans="1:74">
      <c r="A382" s="10">
        <f t="shared" si="22"/>
        <v>0</v>
      </c>
      <c r="B382" s="10">
        <f t="shared" si="23"/>
        <v>0</v>
      </c>
      <c r="C382" s="12" t="str">
        <f t="shared" si="24"/>
        <v/>
      </c>
      <c r="D382" s="12" t="str">
        <f t="shared" si="25"/>
        <v/>
      </c>
      <c r="E382" s="20" t="s">
        <v>91</v>
      </c>
      <c r="F382" s="20" t="s">
        <v>91</v>
      </c>
      <c r="G382" s="20" t="s">
        <v>91</v>
      </c>
      <c r="H382" s="20" t="s">
        <v>91</v>
      </c>
      <c r="I382" s="20">
        <v>0</v>
      </c>
      <c r="J382" s="20" t="s">
        <v>103</v>
      </c>
      <c r="K382" s="20" t="s">
        <v>104</v>
      </c>
      <c r="L382" s="20">
        <v>0</v>
      </c>
      <c r="M382" s="20" t="s">
        <v>105</v>
      </c>
      <c r="N382" s="20" t="s">
        <v>91</v>
      </c>
      <c r="O382" s="20" t="s">
        <v>625</v>
      </c>
      <c r="Q382" s="20" t="s">
        <v>91</v>
      </c>
      <c r="R382" s="20" t="s">
        <v>91</v>
      </c>
      <c r="S382" s="20" t="s">
        <v>91</v>
      </c>
      <c r="U382" s="20" t="s">
        <v>91</v>
      </c>
      <c r="V382" s="20" t="s">
        <v>87</v>
      </c>
      <c r="X382" s="20" t="s">
        <v>91</v>
      </c>
      <c r="Y382" s="20" t="s">
        <v>91</v>
      </c>
      <c r="Z382" s="20">
        <v>7</v>
      </c>
      <c r="AB382" s="20" t="s">
        <v>91</v>
      </c>
      <c r="AD382" s="20" t="s">
        <v>91</v>
      </c>
      <c r="AE382" s="20" t="s">
        <v>91</v>
      </c>
      <c r="AF382" s="20">
        <v>7</v>
      </c>
      <c r="AG382" s="20">
        <v>0</v>
      </c>
      <c r="AH382" s="20">
        <v>1</v>
      </c>
      <c r="AM382" s="4" t="s">
        <v>91</v>
      </c>
      <c r="AP382" s="4" t="s">
        <v>91</v>
      </c>
      <c r="AQ382" s="20">
        <v>0</v>
      </c>
      <c r="AR382" s="4">
        <v>0</v>
      </c>
      <c r="AS382" s="20">
        <v>0</v>
      </c>
      <c r="AT382" s="20">
        <v>0</v>
      </c>
      <c r="AU382" s="20">
        <v>0</v>
      </c>
      <c r="AV382" s="20">
        <v>0</v>
      </c>
      <c r="AW382" s="20">
        <v>0</v>
      </c>
      <c r="AX382" s="20" t="s">
        <v>91</v>
      </c>
      <c r="AY382" s="20">
        <v>0</v>
      </c>
      <c r="AZ382" s="20">
        <v>0</v>
      </c>
      <c r="BA382" s="20">
        <v>0</v>
      </c>
      <c r="BB382" s="6">
        <v>0</v>
      </c>
      <c r="BC382" s="6">
        <v>0</v>
      </c>
      <c r="BD382" s="6">
        <v>0</v>
      </c>
      <c r="BE382" s="6">
        <v>0</v>
      </c>
      <c r="BF382" s="6">
        <v>0</v>
      </c>
      <c r="BG382" s="6">
        <v>0</v>
      </c>
      <c r="BH382" s="6">
        <v>0</v>
      </c>
      <c r="BI382" s="6">
        <v>0</v>
      </c>
      <c r="BJ382" s="6">
        <v>0</v>
      </c>
      <c r="BK382" s="4">
        <v>0</v>
      </c>
      <c r="BL382" s="4">
        <v>0</v>
      </c>
      <c r="BM382" s="20">
        <v>2164</v>
      </c>
      <c r="BN382" s="20">
        <v>0</v>
      </c>
      <c r="BO382" s="20">
        <v>0</v>
      </c>
      <c r="BP382" s="20">
        <v>0</v>
      </c>
      <c r="BQ382" s="20">
        <v>0</v>
      </c>
      <c r="BR382" s="20">
        <v>0</v>
      </c>
      <c r="BS382" s="20">
        <v>2170</v>
      </c>
      <c r="BT382" s="20">
        <v>14787864.9</v>
      </c>
      <c r="BU382" s="20">
        <v>99130000</v>
      </c>
      <c r="BV382" s="20">
        <v>6.094063100223603</v>
      </c>
    </row>
    <row r="383" spans="1:74">
      <c r="A383" s="10">
        <f t="shared" si="22"/>
        <v>0</v>
      </c>
      <c r="B383" s="10">
        <f t="shared" si="23"/>
        <v>0</v>
      </c>
      <c r="C383" s="12">
        <f t="shared" si="24"/>
        <v>4</v>
      </c>
      <c r="D383" s="12">
        <f t="shared" si="25"/>
        <v>9</v>
      </c>
      <c r="E383" s="20" t="s">
        <v>114</v>
      </c>
      <c r="F383" s="20" t="s">
        <v>1760</v>
      </c>
      <c r="G383" s="20" t="s">
        <v>1761</v>
      </c>
      <c r="H383" s="20" t="s">
        <v>1762</v>
      </c>
      <c r="I383" s="20">
        <v>1</v>
      </c>
      <c r="J383" s="20" t="s">
        <v>1763</v>
      </c>
      <c r="K383" s="20" t="s">
        <v>1764</v>
      </c>
      <c r="L383" s="20" t="s">
        <v>1765</v>
      </c>
      <c r="M383" s="20" t="s">
        <v>1760</v>
      </c>
      <c r="N383" s="20" t="s">
        <v>1766</v>
      </c>
      <c r="P383" s="20" t="s">
        <v>1760</v>
      </c>
      <c r="Q383" s="20" t="s">
        <v>1767</v>
      </c>
      <c r="R383" s="20" t="s">
        <v>84</v>
      </c>
      <c r="S383" s="20" t="s">
        <v>123</v>
      </c>
      <c r="T383" s="20" t="s">
        <v>172</v>
      </c>
      <c r="U383" s="20" t="s">
        <v>173</v>
      </c>
      <c r="V383" s="20" t="s">
        <v>87</v>
      </c>
      <c r="W383" s="20">
        <v>501</v>
      </c>
      <c r="X383" s="20">
        <v>501</v>
      </c>
      <c r="Y383" s="20" t="s">
        <v>1768</v>
      </c>
      <c r="Z383" s="20">
        <v>1</v>
      </c>
      <c r="AA383" s="20" t="s">
        <v>1769</v>
      </c>
      <c r="AB383" s="20" t="s">
        <v>101</v>
      </c>
      <c r="AC383" s="20" t="s">
        <v>102</v>
      </c>
      <c r="AD383" s="20" t="s">
        <v>1770</v>
      </c>
      <c r="AE383" s="20" t="s">
        <v>91</v>
      </c>
      <c r="AF383" s="20">
        <v>1</v>
      </c>
      <c r="AG383" s="20">
        <v>0</v>
      </c>
      <c r="AH383" s="20">
        <v>1</v>
      </c>
      <c r="AI383" s="4" t="s">
        <v>92</v>
      </c>
      <c r="AJ383" s="20">
        <v>150</v>
      </c>
      <c r="AK383" s="4" t="s">
        <v>111</v>
      </c>
      <c r="AL383" s="4">
        <v>16</v>
      </c>
      <c r="AM383" s="4">
        <v>16</v>
      </c>
      <c r="AN383" s="4" t="s">
        <v>95</v>
      </c>
      <c r="AO383" s="4" t="s">
        <v>96</v>
      </c>
      <c r="AP383" s="4">
        <v>1</v>
      </c>
      <c r="AQ383" s="20">
        <v>35000</v>
      </c>
      <c r="AR383" s="4">
        <v>41793</v>
      </c>
      <c r="AS383" s="20">
        <v>5303.030303030303</v>
      </c>
      <c r="AT383" s="20">
        <v>7442.0300000000007</v>
      </c>
      <c r="AU383" s="20">
        <v>2138.9996969696977</v>
      </c>
      <c r="AV383" s="20">
        <v>0</v>
      </c>
      <c r="AW383" s="20">
        <v>0</v>
      </c>
      <c r="AX383" s="20">
        <v>20</v>
      </c>
      <c r="AY383" s="20">
        <v>20</v>
      </c>
      <c r="AZ383" s="20">
        <v>5.95</v>
      </c>
      <c r="BA383" s="20">
        <v>0</v>
      </c>
      <c r="BB383" s="6">
        <v>41753</v>
      </c>
      <c r="BC383" s="6">
        <v>0</v>
      </c>
      <c r="BD383" s="6">
        <v>41820</v>
      </c>
      <c r="BE383" s="6">
        <v>41820</v>
      </c>
      <c r="BF383" s="6">
        <v>41884</v>
      </c>
      <c r="BG383" s="6">
        <v>41912</v>
      </c>
      <c r="BH383" s="6">
        <v>0</v>
      </c>
      <c r="BI383" s="6">
        <v>0</v>
      </c>
      <c r="BJ383" s="6">
        <v>0</v>
      </c>
      <c r="BK383" s="4" t="s">
        <v>401</v>
      </c>
      <c r="BL383" s="4" t="s">
        <v>401</v>
      </c>
      <c r="BM383" s="20">
        <v>125</v>
      </c>
      <c r="BN383" s="20">
        <v>21</v>
      </c>
      <c r="BO383" s="20">
        <v>0</v>
      </c>
      <c r="BP383" s="20">
        <v>0</v>
      </c>
      <c r="BQ383" s="20">
        <v>0</v>
      </c>
      <c r="BR383" s="20">
        <v>0</v>
      </c>
      <c r="BS383" s="20">
        <v>150</v>
      </c>
      <c r="BT383" s="20">
        <v>1116304.5</v>
      </c>
      <c r="BU383" s="20">
        <v>5250000</v>
      </c>
      <c r="BV383" s="20">
        <v>4.2754707812494459</v>
      </c>
    </row>
    <row r="384" spans="1:74">
      <c r="A384" s="10">
        <f t="shared" si="22"/>
        <v>0</v>
      </c>
      <c r="B384" s="10">
        <f t="shared" si="23"/>
        <v>1</v>
      </c>
      <c r="C384" s="12">
        <f t="shared" si="24"/>
        <v>4</v>
      </c>
      <c r="D384" s="12">
        <f t="shared" si="25"/>
        <v>9</v>
      </c>
      <c r="E384" s="20" t="s">
        <v>114</v>
      </c>
      <c r="F384" s="20" t="s">
        <v>1760</v>
      </c>
      <c r="G384" s="20" t="s">
        <v>1761</v>
      </c>
      <c r="H384" s="20" t="s">
        <v>1771</v>
      </c>
      <c r="I384" s="20">
        <v>2</v>
      </c>
      <c r="J384" s="20" t="s">
        <v>1772</v>
      </c>
      <c r="K384" s="20" t="s">
        <v>1773</v>
      </c>
      <c r="L384" s="20" t="s">
        <v>1774</v>
      </c>
      <c r="M384" s="20" t="s">
        <v>1760</v>
      </c>
      <c r="N384" s="20" t="s">
        <v>1766</v>
      </c>
      <c r="P384" s="20" t="s">
        <v>1760</v>
      </c>
      <c r="Q384" s="20" t="s">
        <v>1767</v>
      </c>
      <c r="R384" s="20" t="s">
        <v>84</v>
      </c>
      <c r="S384" s="20" t="s">
        <v>123</v>
      </c>
      <c r="T384" s="20" t="s">
        <v>172</v>
      </c>
      <c r="U384" s="20" t="s">
        <v>173</v>
      </c>
      <c r="V384" s="20" t="s">
        <v>87</v>
      </c>
      <c r="W384" s="20">
        <v>502</v>
      </c>
      <c r="X384" s="20">
        <v>502</v>
      </c>
      <c r="Y384" s="20" t="s">
        <v>1775</v>
      </c>
      <c r="Z384" s="20">
        <v>1</v>
      </c>
      <c r="AA384" s="20" t="s">
        <v>1776</v>
      </c>
      <c r="AB384" s="20" t="s">
        <v>279</v>
      </c>
      <c r="AC384" s="20" t="s">
        <v>280</v>
      </c>
      <c r="AD384" s="20" t="s">
        <v>1777</v>
      </c>
      <c r="AE384" s="20" t="s">
        <v>91</v>
      </c>
      <c r="AF384" s="20">
        <v>1</v>
      </c>
      <c r="AG384" s="20">
        <v>0</v>
      </c>
      <c r="AH384" s="20">
        <v>1</v>
      </c>
      <c r="AI384" s="4" t="s">
        <v>92</v>
      </c>
      <c r="AJ384" s="20">
        <v>150</v>
      </c>
      <c r="AK384" s="4" t="s">
        <v>111</v>
      </c>
      <c r="AL384" s="4">
        <v>16</v>
      </c>
      <c r="AM384" s="4">
        <v>16</v>
      </c>
      <c r="AN384" s="4" t="s">
        <v>95</v>
      </c>
      <c r="AO384" s="4" t="s">
        <v>96</v>
      </c>
      <c r="AP384" s="4">
        <v>1</v>
      </c>
      <c r="AQ384" s="20">
        <v>35000</v>
      </c>
      <c r="AR384" s="4">
        <v>41793</v>
      </c>
      <c r="AS384" s="20">
        <v>5303.030303030303</v>
      </c>
      <c r="AT384" s="20">
        <v>7970.0300000000007</v>
      </c>
      <c r="AU384" s="20">
        <v>2666.9996969696977</v>
      </c>
      <c r="AV384" s="20">
        <v>528</v>
      </c>
      <c r="AW384" s="20">
        <v>0</v>
      </c>
      <c r="AX384" s="20">
        <v>20</v>
      </c>
      <c r="AY384" s="20">
        <v>548</v>
      </c>
      <c r="AZ384" s="20">
        <v>5.95</v>
      </c>
      <c r="BA384" s="20">
        <v>0</v>
      </c>
      <c r="BB384" s="6">
        <v>41753</v>
      </c>
      <c r="BC384" s="6">
        <v>0</v>
      </c>
      <c r="BD384" s="6">
        <v>41820</v>
      </c>
      <c r="BE384" s="6">
        <v>41820</v>
      </c>
      <c r="BF384" s="6">
        <v>41884</v>
      </c>
      <c r="BG384" s="6">
        <v>41912</v>
      </c>
      <c r="BH384" s="6">
        <v>0</v>
      </c>
      <c r="BI384" s="6">
        <v>0</v>
      </c>
      <c r="BJ384" s="6">
        <v>0</v>
      </c>
      <c r="BK384" s="4" t="s">
        <v>401</v>
      </c>
      <c r="BL384" s="4" t="s">
        <v>401</v>
      </c>
      <c r="BM384" s="20">
        <v>135</v>
      </c>
      <c r="BN384" s="20">
        <v>13</v>
      </c>
      <c r="BO384" s="20">
        <v>0</v>
      </c>
      <c r="BP384" s="20">
        <v>0</v>
      </c>
      <c r="BQ384" s="20">
        <v>0</v>
      </c>
      <c r="BR384" s="20">
        <v>0</v>
      </c>
      <c r="BS384" s="20">
        <v>150</v>
      </c>
      <c r="BT384" s="20">
        <v>1195504.5</v>
      </c>
      <c r="BU384" s="20">
        <v>5250000</v>
      </c>
      <c r="BV384" s="20">
        <v>3.9922286137168634</v>
      </c>
    </row>
    <row r="385" spans="1:74">
      <c r="A385" s="10">
        <f t="shared" si="22"/>
        <v>0</v>
      </c>
      <c r="B385" s="10">
        <f t="shared" si="23"/>
        <v>0</v>
      </c>
      <c r="C385" s="12" t="str">
        <f t="shared" si="24"/>
        <v/>
      </c>
      <c r="D385" s="12" t="str">
        <f t="shared" si="25"/>
        <v/>
      </c>
      <c r="E385" s="20" t="s">
        <v>91</v>
      </c>
      <c r="F385" s="20" t="s">
        <v>91</v>
      </c>
      <c r="G385" s="20" t="s">
        <v>91</v>
      </c>
      <c r="H385" s="20" t="s">
        <v>91</v>
      </c>
      <c r="I385" s="20">
        <v>0</v>
      </c>
      <c r="J385" s="20" t="s">
        <v>103</v>
      </c>
      <c r="K385" s="20" t="s">
        <v>104</v>
      </c>
      <c r="L385" s="20">
        <v>0</v>
      </c>
      <c r="M385" s="20" t="s">
        <v>105</v>
      </c>
      <c r="N385" s="20" t="s">
        <v>91</v>
      </c>
      <c r="O385" s="20" t="s">
        <v>1778</v>
      </c>
      <c r="Q385" s="20" t="s">
        <v>91</v>
      </c>
      <c r="R385" s="20" t="s">
        <v>91</v>
      </c>
      <c r="S385" s="20" t="s">
        <v>91</v>
      </c>
      <c r="U385" s="20" t="s">
        <v>91</v>
      </c>
      <c r="V385" s="20" t="s">
        <v>87</v>
      </c>
      <c r="X385" s="20" t="s">
        <v>91</v>
      </c>
      <c r="Y385" s="20" t="s">
        <v>91</v>
      </c>
      <c r="Z385" s="20">
        <v>2</v>
      </c>
      <c r="AB385" s="20" t="s">
        <v>91</v>
      </c>
      <c r="AD385" s="20" t="s">
        <v>91</v>
      </c>
      <c r="AE385" s="20" t="s">
        <v>91</v>
      </c>
      <c r="AF385" s="20">
        <v>2</v>
      </c>
      <c r="AG385" s="20">
        <v>0</v>
      </c>
      <c r="AH385" s="20">
        <v>1</v>
      </c>
      <c r="AM385" s="4" t="s">
        <v>91</v>
      </c>
      <c r="AP385" s="4" t="s">
        <v>91</v>
      </c>
      <c r="AQ385" s="20">
        <v>0</v>
      </c>
      <c r="AR385" s="4">
        <v>0</v>
      </c>
      <c r="AS385" s="20">
        <v>0</v>
      </c>
      <c r="AT385" s="20">
        <v>0</v>
      </c>
      <c r="AU385" s="20">
        <v>0</v>
      </c>
      <c r="AV385" s="20">
        <v>0</v>
      </c>
      <c r="AW385" s="20">
        <v>0</v>
      </c>
      <c r="AX385" s="20" t="s">
        <v>91</v>
      </c>
      <c r="AY385" s="20">
        <v>0</v>
      </c>
      <c r="AZ385" s="20">
        <v>0</v>
      </c>
      <c r="BA385" s="20">
        <v>0</v>
      </c>
      <c r="BB385" s="6">
        <v>0</v>
      </c>
      <c r="BC385" s="6">
        <v>0</v>
      </c>
      <c r="BD385" s="6">
        <v>0</v>
      </c>
      <c r="BE385" s="6">
        <v>0</v>
      </c>
      <c r="BF385" s="6">
        <v>0</v>
      </c>
      <c r="BG385" s="6">
        <v>0</v>
      </c>
      <c r="BH385" s="6">
        <v>0</v>
      </c>
      <c r="BI385" s="6">
        <v>0</v>
      </c>
      <c r="BJ385" s="6">
        <v>0</v>
      </c>
      <c r="BK385" s="4">
        <v>0</v>
      </c>
      <c r="BL385" s="4">
        <v>0</v>
      </c>
      <c r="BM385" s="20">
        <v>260</v>
      </c>
      <c r="BN385" s="20">
        <v>34</v>
      </c>
      <c r="BO385" s="20">
        <v>0</v>
      </c>
      <c r="BP385" s="20">
        <v>0</v>
      </c>
      <c r="BQ385" s="20">
        <v>0</v>
      </c>
      <c r="BR385" s="20">
        <v>0</v>
      </c>
      <c r="BS385" s="20">
        <v>300</v>
      </c>
      <c r="BT385" s="20">
        <v>2311809</v>
      </c>
      <c r="BU385" s="20">
        <v>10500000</v>
      </c>
      <c r="BV385" s="20">
        <v>4.1289979169795359</v>
      </c>
    </row>
    <row r="386" spans="1:74">
      <c r="A386" s="10">
        <f t="shared" si="22"/>
        <v>0</v>
      </c>
      <c r="B386" s="10">
        <f t="shared" si="23"/>
        <v>0</v>
      </c>
      <c r="C386" s="12">
        <f t="shared" si="24"/>
        <v>5</v>
      </c>
      <c r="D386" s="12">
        <f t="shared" si="25"/>
        <v>6</v>
      </c>
      <c r="E386" s="20" t="s">
        <v>114</v>
      </c>
      <c r="F386" s="20" t="s">
        <v>1760</v>
      </c>
      <c r="G386" s="20" t="s">
        <v>2087</v>
      </c>
      <c r="H386" s="20" t="s">
        <v>2088</v>
      </c>
      <c r="I386" s="20">
        <v>1</v>
      </c>
      <c r="J386" s="20" t="s">
        <v>2089</v>
      </c>
      <c r="K386" s="20" t="s">
        <v>2090</v>
      </c>
      <c r="L386" s="20" t="s">
        <v>2091</v>
      </c>
      <c r="M386" s="20" t="s">
        <v>1760</v>
      </c>
      <c r="N386" s="20" t="s">
        <v>2092</v>
      </c>
      <c r="P386" s="20" t="s">
        <v>1760</v>
      </c>
      <c r="Q386" s="20" t="s">
        <v>1767</v>
      </c>
      <c r="R386" s="20" t="s">
        <v>84</v>
      </c>
      <c r="S386" s="20" t="s">
        <v>123</v>
      </c>
      <c r="T386" s="20" t="s">
        <v>1401</v>
      </c>
      <c r="U386" s="20" t="s">
        <v>1402</v>
      </c>
      <c r="V386" s="20" t="s">
        <v>87</v>
      </c>
      <c r="W386" s="20">
        <v>901</v>
      </c>
      <c r="X386" s="20">
        <v>901</v>
      </c>
      <c r="Y386" s="20" t="s">
        <v>2093</v>
      </c>
      <c r="Z386" s="20">
        <v>0.5</v>
      </c>
      <c r="AA386" s="20" t="s">
        <v>2094</v>
      </c>
      <c r="AB386" s="20" t="s">
        <v>139</v>
      </c>
      <c r="AC386" s="20" t="s">
        <v>140</v>
      </c>
      <c r="AD386" s="20" t="s">
        <v>2095</v>
      </c>
      <c r="AE386" s="20" t="s">
        <v>400</v>
      </c>
      <c r="AF386" s="20">
        <v>0.5</v>
      </c>
      <c r="AG386" s="20">
        <v>0</v>
      </c>
      <c r="AH386" s="20">
        <v>1</v>
      </c>
      <c r="AI386" s="4" t="s">
        <v>97</v>
      </c>
      <c r="AJ386" s="20">
        <v>350</v>
      </c>
      <c r="AK386" s="4" t="s">
        <v>1113</v>
      </c>
      <c r="AL386" s="4">
        <v>3</v>
      </c>
      <c r="AM386" s="4" t="s">
        <v>438</v>
      </c>
      <c r="AN386" s="4" t="s">
        <v>95</v>
      </c>
      <c r="AO386" s="4" t="s">
        <v>1018</v>
      </c>
      <c r="AP386" s="4">
        <v>1</v>
      </c>
      <c r="AQ386" s="20">
        <v>49000</v>
      </c>
      <c r="AR386" s="4">
        <v>41775</v>
      </c>
      <c r="AS386" s="20">
        <v>8909.0909090909081</v>
      </c>
      <c r="AT386" s="20">
        <v>10188</v>
      </c>
      <c r="AU386" s="20">
        <v>1278.9090909090919</v>
      </c>
      <c r="AV386" s="20">
        <v>0</v>
      </c>
      <c r="AW386" s="20">
        <v>48</v>
      </c>
      <c r="AX386" s="20">
        <v>20</v>
      </c>
      <c r="AY386" s="20">
        <v>68</v>
      </c>
      <c r="AZ386" s="20">
        <v>9.1999999999999993</v>
      </c>
      <c r="BA386" s="20">
        <v>0</v>
      </c>
      <c r="BB386" s="6">
        <v>41775</v>
      </c>
      <c r="BC386" s="6">
        <v>0</v>
      </c>
      <c r="BD386" s="6">
        <v>41830</v>
      </c>
      <c r="BE386" s="6">
        <v>41830</v>
      </c>
      <c r="BF386" s="6">
        <v>41817</v>
      </c>
      <c r="BG386" s="6">
        <v>0</v>
      </c>
      <c r="BH386" s="6">
        <v>0</v>
      </c>
      <c r="BI386" s="6">
        <v>0</v>
      </c>
      <c r="BJ386" s="6">
        <v>0</v>
      </c>
      <c r="BK386" s="4" t="s">
        <v>401</v>
      </c>
      <c r="BL386" s="4" t="s">
        <v>401</v>
      </c>
      <c r="BM386" s="20">
        <v>350</v>
      </c>
      <c r="BN386" s="20">
        <v>0</v>
      </c>
      <c r="BO386" s="20">
        <v>0</v>
      </c>
      <c r="BP386" s="20">
        <v>0</v>
      </c>
      <c r="BQ386" s="20">
        <v>0</v>
      </c>
      <c r="BR386" s="20">
        <v>0</v>
      </c>
      <c r="BS386" s="20">
        <v>350</v>
      </c>
      <c r="BT386" s="20">
        <v>3565800</v>
      </c>
      <c r="BU386" s="20">
        <v>17150000</v>
      </c>
      <c r="BV386" s="20">
        <v>4.3723453617446548</v>
      </c>
    </row>
    <row r="387" spans="1:74">
      <c r="A387" s="10">
        <f t="shared" ref="A387:A450" si="26">IF($BL387="공급",$Z387,0)</f>
        <v>0</v>
      </c>
      <c r="B387" s="10">
        <f t="shared" ref="B387:B450" si="27">IF($AV387&gt;0,$Z387,0)</f>
        <v>0</v>
      </c>
      <c r="C387" s="12">
        <f t="shared" si="24"/>
        <v>5</v>
      </c>
      <c r="D387" s="12">
        <f t="shared" si="25"/>
        <v>6</v>
      </c>
      <c r="E387" s="20" t="s">
        <v>114</v>
      </c>
      <c r="F387" s="20" t="s">
        <v>1760</v>
      </c>
      <c r="G387" s="20" t="s">
        <v>2087</v>
      </c>
      <c r="H387" s="20" t="s">
        <v>2088</v>
      </c>
      <c r="I387" s="20">
        <v>1</v>
      </c>
      <c r="J387" s="20" t="s">
        <v>2089</v>
      </c>
      <c r="K387" s="20" t="s">
        <v>2096</v>
      </c>
      <c r="L387" s="20" t="s">
        <v>2091</v>
      </c>
      <c r="M387" s="20" t="s">
        <v>1760</v>
      </c>
      <c r="N387" s="20" t="s">
        <v>2092</v>
      </c>
      <c r="P387" s="20" t="s">
        <v>1760</v>
      </c>
      <c r="Q387" s="20" t="s">
        <v>1767</v>
      </c>
      <c r="R387" s="20" t="s">
        <v>84</v>
      </c>
      <c r="S387" s="20" t="s">
        <v>123</v>
      </c>
      <c r="T387" s="20" t="s">
        <v>1401</v>
      </c>
      <c r="U387" s="20" t="s">
        <v>1402</v>
      </c>
      <c r="V387" s="20" t="s">
        <v>87</v>
      </c>
      <c r="W387" s="20">
        <v>901</v>
      </c>
      <c r="X387" s="20">
        <v>901</v>
      </c>
      <c r="Y387" s="20" t="s">
        <v>2093</v>
      </c>
      <c r="Z387" s="20">
        <v>0.5</v>
      </c>
      <c r="AA387" s="20" t="s">
        <v>2094</v>
      </c>
      <c r="AB387" s="20" t="s">
        <v>139</v>
      </c>
      <c r="AC387" s="20" t="s">
        <v>140</v>
      </c>
      <c r="AD387" s="20" t="s">
        <v>2095</v>
      </c>
      <c r="AE387" s="20" t="s">
        <v>400</v>
      </c>
      <c r="AF387" s="20">
        <v>0.5</v>
      </c>
      <c r="AG387" s="20">
        <v>0</v>
      </c>
      <c r="AH387" s="20">
        <v>1</v>
      </c>
      <c r="AI387" s="4" t="s">
        <v>98</v>
      </c>
      <c r="AJ387" s="20">
        <v>150</v>
      </c>
      <c r="AK387" s="4" t="s">
        <v>1113</v>
      </c>
      <c r="AL387" s="4">
        <v>3</v>
      </c>
      <c r="AM387" s="4" t="s">
        <v>438</v>
      </c>
      <c r="AN387" s="4" t="s">
        <v>95</v>
      </c>
      <c r="AO387" s="4" t="s">
        <v>1018</v>
      </c>
      <c r="AP387" s="4">
        <v>1</v>
      </c>
      <c r="AQ387" s="20">
        <v>49000</v>
      </c>
      <c r="AR387" s="4">
        <v>41775</v>
      </c>
      <c r="AS387" s="20">
        <v>8909.0909090909081</v>
      </c>
      <c r="AT387" s="20">
        <v>10188</v>
      </c>
      <c r="AU387" s="20">
        <v>1278.9090909090919</v>
      </c>
      <c r="AV387" s="20">
        <v>0</v>
      </c>
      <c r="AW387" s="20">
        <v>48</v>
      </c>
      <c r="AX387" s="20">
        <v>20</v>
      </c>
      <c r="AY387" s="20">
        <v>68</v>
      </c>
      <c r="AZ387" s="20">
        <v>9.1999999999999993</v>
      </c>
      <c r="BA387" s="20">
        <v>0</v>
      </c>
      <c r="BB387" s="6">
        <v>41775</v>
      </c>
      <c r="BC387" s="6">
        <v>0</v>
      </c>
      <c r="BD387" s="6">
        <v>41830</v>
      </c>
      <c r="BE387" s="6">
        <v>41830</v>
      </c>
      <c r="BF387" s="6">
        <v>41817</v>
      </c>
      <c r="BG387" s="6">
        <v>0</v>
      </c>
      <c r="BH387" s="6">
        <v>0</v>
      </c>
      <c r="BI387" s="6">
        <v>0</v>
      </c>
      <c r="BJ387" s="6">
        <v>0</v>
      </c>
      <c r="BK387" s="4" t="s">
        <v>401</v>
      </c>
      <c r="BL387" s="4" t="s">
        <v>401</v>
      </c>
      <c r="BM387" s="20">
        <v>150</v>
      </c>
      <c r="BN387" s="20">
        <v>0</v>
      </c>
      <c r="BO387" s="20">
        <v>0</v>
      </c>
      <c r="BP387" s="20">
        <v>0</v>
      </c>
      <c r="BQ387" s="20">
        <v>0</v>
      </c>
      <c r="BR387" s="20">
        <v>0</v>
      </c>
      <c r="BS387" s="20">
        <v>150</v>
      </c>
      <c r="BT387" s="20">
        <v>1528200</v>
      </c>
      <c r="BU387" s="20">
        <v>7350000</v>
      </c>
      <c r="BV387" s="20">
        <v>4.3723453617446548</v>
      </c>
    </row>
    <row r="388" spans="1:74">
      <c r="A388" s="10">
        <f t="shared" si="26"/>
        <v>0</v>
      </c>
      <c r="B388" s="10">
        <f t="shared" si="27"/>
        <v>0</v>
      </c>
      <c r="C388" s="12">
        <f t="shared" ref="C388:C451" si="28">IF($BB388=0,"",MONTH($BB388))</f>
        <v>5</v>
      </c>
      <c r="D388" s="12">
        <f t="shared" si="25"/>
        <v>7</v>
      </c>
      <c r="E388" s="20" t="s">
        <v>114</v>
      </c>
      <c r="F388" s="20" t="s">
        <v>1760</v>
      </c>
      <c r="G388" s="20" t="s">
        <v>2087</v>
      </c>
      <c r="H388" s="20" t="s">
        <v>2097</v>
      </c>
      <c r="I388" s="20">
        <v>2</v>
      </c>
      <c r="J388" s="20" t="s">
        <v>2098</v>
      </c>
      <c r="K388" s="20" t="s">
        <v>2099</v>
      </c>
      <c r="L388" s="20" t="s">
        <v>2100</v>
      </c>
      <c r="M388" s="20" t="s">
        <v>1760</v>
      </c>
      <c r="N388" s="20" t="s">
        <v>2092</v>
      </c>
      <c r="P388" s="20" t="s">
        <v>1760</v>
      </c>
      <c r="Q388" s="20" t="s">
        <v>1767</v>
      </c>
      <c r="R388" s="20" t="s">
        <v>84</v>
      </c>
      <c r="S388" s="20" t="s">
        <v>123</v>
      </c>
      <c r="T388" s="20" t="s">
        <v>1401</v>
      </c>
      <c r="U388" s="20" t="s">
        <v>1402</v>
      </c>
      <c r="V388" s="20" t="s">
        <v>87</v>
      </c>
      <c r="W388" s="20">
        <v>902</v>
      </c>
      <c r="X388" s="20">
        <v>902</v>
      </c>
      <c r="Y388" s="20" t="s">
        <v>2101</v>
      </c>
      <c r="Z388" s="20">
        <v>0.5</v>
      </c>
      <c r="AA388" s="20" t="s">
        <v>2102</v>
      </c>
      <c r="AB388" s="20" t="s">
        <v>89</v>
      </c>
      <c r="AC388" s="20" t="s">
        <v>90</v>
      </c>
      <c r="AD388" s="20" t="s">
        <v>2103</v>
      </c>
      <c r="AE388" s="20" t="s">
        <v>400</v>
      </c>
      <c r="AF388" s="20">
        <v>0.5</v>
      </c>
      <c r="AG388" s="20">
        <v>0</v>
      </c>
      <c r="AH388" s="20">
        <v>1</v>
      </c>
      <c r="AI388" s="4" t="s">
        <v>97</v>
      </c>
      <c r="AJ388" s="20">
        <v>180</v>
      </c>
      <c r="AK388" s="4" t="s">
        <v>1113</v>
      </c>
      <c r="AL388" s="4">
        <v>3</v>
      </c>
      <c r="AM388" s="4" t="s">
        <v>438</v>
      </c>
      <c r="AN388" s="4" t="s">
        <v>95</v>
      </c>
      <c r="AO388" s="4" t="s">
        <v>1018</v>
      </c>
      <c r="AP388" s="4">
        <v>1</v>
      </c>
      <c r="AQ388" s="20">
        <v>49000</v>
      </c>
      <c r="AR388" s="4">
        <v>41775</v>
      </c>
      <c r="AS388" s="20">
        <v>8909.0909090909081</v>
      </c>
      <c r="AT388" s="20">
        <v>9088</v>
      </c>
      <c r="AU388" s="20">
        <v>178.9090909090919</v>
      </c>
      <c r="AV388" s="20">
        <v>0</v>
      </c>
      <c r="AW388" s="20">
        <v>48</v>
      </c>
      <c r="AX388" s="20">
        <v>20</v>
      </c>
      <c r="AY388" s="20">
        <v>68</v>
      </c>
      <c r="AZ388" s="20">
        <v>8.1999999999999993</v>
      </c>
      <c r="BA388" s="20">
        <v>0</v>
      </c>
      <c r="BB388" s="6">
        <v>41775</v>
      </c>
      <c r="BC388" s="6">
        <v>0</v>
      </c>
      <c r="BD388" s="6">
        <v>41830</v>
      </c>
      <c r="BE388" s="6">
        <v>41830</v>
      </c>
      <c r="BF388" s="6">
        <v>41836</v>
      </c>
      <c r="BG388" s="6">
        <v>0</v>
      </c>
      <c r="BH388" s="6">
        <v>0</v>
      </c>
      <c r="BI388" s="6">
        <v>0</v>
      </c>
      <c r="BJ388" s="6">
        <v>0</v>
      </c>
      <c r="BK388" s="4" t="s">
        <v>401</v>
      </c>
      <c r="BL388" s="4" t="s">
        <v>401</v>
      </c>
      <c r="BM388" s="20">
        <v>180</v>
      </c>
      <c r="BN388" s="20">
        <v>0</v>
      </c>
      <c r="BO388" s="20">
        <v>0</v>
      </c>
      <c r="BP388" s="20">
        <v>0</v>
      </c>
      <c r="BQ388" s="20">
        <v>0</v>
      </c>
      <c r="BR388" s="20">
        <v>0</v>
      </c>
      <c r="BS388" s="20">
        <v>180</v>
      </c>
      <c r="BT388" s="20">
        <v>1635840</v>
      </c>
      <c r="BU388" s="20">
        <v>8820000</v>
      </c>
      <c r="BV388" s="20">
        <v>4.9015685019206137</v>
      </c>
    </row>
    <row r="389" spans="1:74">
      <c r="A389" s="10">
        <f t="shared" si="26"/>
        <v>0</v>
      </c>
      <c r="B389" s="10">
        <f t="shared" si="27"/>
        <v>0</v>
      </c>
      <c r="C389" s="12">
        <f t="shared" si="28"/>
        <v>5</v>
      </c>
      <c r="D389" s="12">
        <f t="shared" ref="D389:D452" si="29">IF(AND(BD389=0,BF389=0),"",MONTH(IF($BF389=0,$BD389,$BF389)))</f>
        <v>7</v>
      </c>
      <c r="E389" s="20" t="s">
        <v>114</v>
      </c>
      <c r="F389" s="20" t="s">
        <v>1760</v>
      </c>
      <c r="G389" s="20" t="s">
        <v>2087</v>
      </c>
      <c r="H389" s="20" t="s">
        <v>2097</v>
      </c>
      <c r="I389" s="20">
        <v>2</v>
      </c>
      <c r="J389" s="20" t="s">
        <v>2098</v>
      </c>
      <c r="K389" s="20" t="s">
        <v>2104</v>
      </c>
      <c r="L389" s="20" t="s">
        <v>2100</v>
      </c>
      <c r="M389" s="20" t="s">
        <v>1760</v>
      </c>
      <c r="N389" s="20" t="s">
        <v>2092</v>
      </c>
      <c r="P389" s="20" t="s">
        <v>1760</v>
      </c>
      <c r="Q389" s="20" t="s">
        <v>1767</v>
      </c>
      <c r="R389" s="20" t="s">
        <v>84</v>
      </c>
      <c r="S389" s="20" t="s">
        <v>123</v>
      </c>
      <c r="T389" s="20" t="s">
        <v>1401</v>
      </c>
      <c r="U389" s="20" t="s">
        <v>1402</v>
      </c>
      <c r="V389" s="20" t="s">
        <v>87</v>
      </c>
      <c r="W389" s="20">
        <v>902</v>
      </c>
      <c r="X389" s="20">
        <v>902</v>
      </c>
      <c r="Y389" s="20" t="s">
        <v>2101</v>
      </c>
      <c r="Z389" s="20">
        <v>0.5</v>
      </c>
      <c r="AA389" s="20" t="s">
        <v>2102</v>
      </c>
      <c r="AB389" s="20" t="s">
        <v>89</v>
      </c>
      <c r="AC389" s="20" t="s">
        <v>90</v>
      </c>
      <c r="AD389" s="20" t="s">
        <v>2103</v>
      </c>
      <c r="AE389" s="20" t="s">
        <v>400</v>
      </c>
      <c r="AF389" s="20">
        <v>0.5</v>
      </c>
      <c r="AG389" s="20">
        <v>0</v>
      </c>
      <c r="AH389" s="20">
        <v>1</v>
      </c>
      <c r="AI389" s="4" t="s">
        <v>98</v>
      </c>
      <c r="AJ389" s="20">
        <v>60</v>
      </c>
      <c r="AK389" s="4" t="s">
        <v>1113</v>
      </c>
      <c r="AL389" s="4">
        <v>3</v>
      </c>
      <c r="AM389" s="4" t="s">
        <v>438</v>
      </c>
      <c r="AN389" s="4" t="s">
        <v>95</v>
      </c>
      <c r="AO389" s="4" t="s">
        <v>1018</v>
      </c>
      <c r="AP389" s="4">
        <v>1</v>
      </c>
      <c r="AQ389" s="20">
        <v>49000</v>
      </c>
      <c r="AR389" s="4">
        <v>41775</v>
      </c>
      <c r="AS389" s="20">
        <v>8909.0909090909081</v>
      </c>
      <c r="AT389" s="20">
        <v>9088</v>
      </c>
      <c r="AU389" s="20">
        <v>178.9090909090919</v>
      </c>
      <c r="AV389" s="20">
        <v>0</v>
      </c>
      <c r="AW389" s="20">
        <v>48</v>
      </c>
      <c r="AX389" s="20">
        <v>20</v>
      </c>
      <c r="AY389" s="20">
        <v>68</v>
      </c>
      <c r="AZ389" s="20">
        <v>8.1999999999999993</v>
      </c>
      <c r="BA389" s="20">
        <v>0</v>
      </c>
      <c r="BB389" s="6">
        <v>41775</v>
      </c>
      <c r="BC389" s="6">
        <v>0</v>
      </c>
      <c r="BD389" s="6">
        <v>41830</v>
      </c>
      <c r="BE389" s="6">
        <v>41830</v>
      </c>
      <c r="BF389" s="6">
        <v>41836</v>
      </c>
      <c r="BG389" s="6">
        <v>0</v>
      </c>
      <c r="BH389" s="6">
        <v>0</v>
      </c>
      <c r="BI389" s="6">
        <v>0</v>
      </c>
      <c r="BJ389" s="6">
        <v>0</v>
      </c>
      <c r="BK389" s="4" t="s">
        <v>401</v>
      </c>
      <c r="BL389" s="4" t="s">
        <v>401</v>
      </c>
      <c r="BM389" s="20">
        <v>60</v>
      </c>
      <c r="BN389" s="20">
        <v>0</v>
      </c>
      <c r="BO389" s="20">
        <v>0</v>
      </c>
      <c r="BP389" s="20">
        <v>0</v>
      </c>
      <c r="BQ389" s="20">
        <v>0</v>
      </c>
      <c r="BR389" s="20">
        <v>0</v>
      </c>
      <c r="BS389" s="20">
        <v>60</v>
      </c>
      <c r="BT389" s="20">
        <v>545280</v>
      </c>
      <c r="BU389" s="20">
        <v>2940000</v>
      </c>
      <c r="BV389" s="20">
        <v>4.9015685019206146</v>
      </c>
    </row>
    <row r="390" spans="1:74">
      <c r="A390" s="10">
        <f t="shared" si="26"/>
        <v>0</v>
      </c>
      <c r="B390" s="10">
        <f t="shared" si="27"/>
        <v>0</v>
      </c>
      <c r="C390" s="12">
        <f t="shared" si="28"/>
        <v>5</v>
      </c>
      <c r="D390" s="12">
        <f t="shared" si="29"/>
        <v>7</v>
      </c>
      <c r="E390" s="20" t="s">
        <v>114</v>
      </c>
      <c r="F390" s="20" t="s">
        <v>1760</v>
      </c>
      <c r="G390" s="20" t="s">
        <v>2087</v>
      </c>
      <c r="H390" s="20" t="s">
        <v>2105</v>
      </c>
      <c r="I390" s="20">
        <v>3</v>
      </c>
      <c r="J390" s="20" t="s">
        <v>2106</v>
      </c>
      <c r="K390" s="20" t="s">
        <v>2107</v>
      </c>
      <c r="L390" s="20" t="s">
        <v>2108</v>
      </c>
      <c r="M390" s="20" t="s">
        <v>1760</v>
      </c>
      <c r="N390" s="20" t="s">
        <v>2092</v>
      </c>
      <c r="P390" s="20" t="s">
        <v>1760</v>
      </c>
      <c r="Q390" s="20" t="s">
        <v>1767</v>
      </c>
      <c r="R390" s="20" t="s">
        <v>84</v>
      </c>
      <c r="S390" s="20" t="s">
        <v>123</v>
      </c>
      <c r="T390" s="20" t="s">
        <v>1401</v>
      </c>
      <c r="U390" s="20" t="s">
        <v>1402</v>
      </c>
      <c r="V390" s="20" t="s">
        <v>87</v>
      </c>
      <c r="W390" s="20">
        <v>903</v>
      </c>
      <c r="X390" s="20">
        <v>903</v>
      </c>
      <c r="Y390" s="20" t="s">
        <v>2109</v>
      </c>
      <c r="Z390" s="20">
        <v>0.5</v>
      </c>
      <c r="AA390" s="20" t="s">
        <v>2110</v>
      </c>
      <c r="AB390" s="20" t="s">
        <v>101</v>
      </c>
      <c r="AC390" s="20" t="s">
        <v>102</v>
      </c>
      <c r="AD390" s="20" t="s">
        <v>2111</v>
      </c>
      <c r="AE390" s="20" t="s">
        <v>400</v>
      </c>
      <c r="AF390" s="20">
        <v>0.5</v>
      </c>
      <c r="AG390" s="20">
        <v>0</v>
      </c>
      <c r="AH390" s="20">
        <v>1</v>
      </c>
      <c r="AI390" s="4" t="s">
        <v>97</v>
      </c>
      <c r="AJ390" s="20">
        <v>180</v>
      </c>
      <c r="AK390" s="4" t="s">
        <v>1113</v>
      </c>
      <c r="AL390" s="4">
        <v>3</v>
      </c>
      <c r="AM390" s="4" t="s">
        <v>438</v>
      </c>
      <c r="AN390" s="4" t="s">
        <v>95</v>
      </c>
      <c r="AO390" s="4" t="s">
        <v>1018</v>
      </c>
      <c r="AP390" s="4">
        <v>1</v>
      </c>
      <c r="AQ390" s="20">
        <v>49000</v>
      </c>
      <c r="AR390" s="4">
        <v>41775</v>
      </c>
      <c r="AS390" s="20">
        <v>8909.0909090909081</v>
      </c>
      <c r="AT390" s="20">
        <v>10188</v>
      </c>
      <c r="AU390" s="20">
        <v>1278.9090909090919</v>
      </c>
      <c r="AV390" s="20">
        <v>0</v>
      </c>
      <c r="AW390" s="20">
        <v>48</v>
      </c>
      <c r="AX390" s="20">
        <v>20</v>
      </c>
      <c r="AY390" s="20">
        <v>68</v>
      </c>
      <c r="AZ390" s="20">
        <v>9.1999999999999993</v>
      </c>
      <c r="BA390" s="20">
        <v>0</v>
      </c>
      <c r="BB390" s="6">
        <v>41775</v>
      </c>
      <c r="BC390" s="6">
        <v>0</v>
      </c>
      <c r="BD390" s="6">
        <v>41830</v>
      </c>
      <c r="BE390" s="6">
        <v>41830</v>
      </c>
      <c r="BF390" s="6">
        <v>41836</v>
      </c>
      <c r="BG390" s="6">
        <v>0</v>
      </c>
      <c r="BH390" s="6">
        <v>0</v>
      </c>
      <c r="BI390" s="6">
        <v>0</v>
      </c>
      <c r="BJ390" s="6">
        <v>0</v>
      </c>
      <c r="BK390" s="4" t="s">
        <v>401</v>
      </c>
      <c r="BL390" s="4" t="s">
        <v>401</v>
      </c>
      <c r="BM390" s="20">
        <v>180</v>
      </c>
      <c r="BN390" s="20">
        <v>0</v>
      </c>
      <c r="BO390" s="20">
        <v>0</v>
      </c>
      <c r="BP390" s="20">
        <v>0</v>
      </c>
      <c r="BQ390" s="20">
        <v>0</v>
      </c>
      <c r="BR390" s="20">
        <v>0</v>
      </c>
      <c r="BS390" s="20">
        <v>180</v>
      </c>
      <c r="BT390" s="20">
        <v>1833840</v>
      </c>
      <c r="BU390" s="20">
        <v>8820000</v>
      </c>
      <c r="BV390" s="20">
        <v>4.3723453617446548</v>
      </c>
    </row>
    <row r="391" spans="1:74">
      <c r="A391" s="10">
        <f t="shared" si="26"/>
        <v>0</v>
      </c>
      <c r="B391" s="10">
        <f t="shared" si="27"/>
        <v>0</v>
      </c>
      <c r="C391" s="12">
        <f t="shared" si="28"/>
        <v>5</v>
      </c>
      <c r="D391" s="12">
        <f t="shared" si="29"/>
        <v>7</v>
      </c>
      <c r="E391" s="20" t="s">
        <v>114</v>
      </c>
      <c r="F391" s="20" t="s">
        <v>1760</v>
      </c>
      <c r="G391" s="20" t="s">
        <v>2087</v>
      </c>
      <c r="H391" s="20" t="s">
        <v>2105</v>
      </c>
      <c r="I391" s="20">
        <v>3</v>
      </c>
      <c r="J391" s="20" t="s">
        <v>2106</v>
      </c>
      <c r="K391" s="20" t="s">
        <v>2112</v>
      </c>
      <c r="L391" s="20" t="s">
        <v>2108</v>
      </c>
      <c r="M391" s="20" t="s">
        <v>1760</v>
      </c>
      <c r="N391" s="20" t="s">
        <v>2092</v>
      </c>
      <c r="P391" s="20" t="s">
        <v>1760</v>
      </c>
      <c r="Q391" s="20" t="s">
        <v>1767</v>
      </c>
      <c r="R391" s="20" t="s">
        <v>84</v>
      </c>
      <c r="S391" s="20" t="s">
        <v>123</v>
      </c>
      <c r="T391" s="20" t="s">
        <v>1401</v>
      </c>
      <c r="U391" s="20" t="s">
        <v>1402</v>
      </c>
      <c r="V391" s="20" t="s">
        <v>87</v>
      </c>
      <c r="W391" s="20">
        <v>903</v>
      </c>
      <c r="X391" s="20">
        <v>903</v>
      </c>
      <c r="Y391" s="20" t="s">
        <v>2109</v>
      </c>
      <c r="Z391" s="20">
        <v>0.5</v>
      </c>
      <c r="AA391" s="20" t="s">
        <v>2110</v>
      </c>
      <c r="AB391" s="20" t="s">
        <v>101</v>
      </c>
      <c r="AC391" s="20" t="s">
        <v>102</v>
      </c>
      <c r="AD391" s="20" t="s">
        <v>2111</v>
      </c>
      <c r="AE391" s="20" t="s">
        <v>400</v>
      </c>
      <c r="AF391" s="20">
        <v>0.5</v>
      </c>
      <c r="AG391" s="20">
        <v>0</v>
      </c>
      <c r="AH391" s="20">
        <v>1</v>
      </c>
      <c r="AI391" s="4" t="s">
        <v>98</v>
      </c>
      <c r="AJ391" s="20">
        <v>60</v>
      </c>
      <c r="AK391" s="4" t="s">
        <v>1113</v>
      </c>
      <c r="AL391" s="4">
        <v>3</v>
      </c>
      <c r="AM391" s="4" t="s">
        <v>438</v>
      </c>
      <c r="AN391" s="4" t="s">
        <v>95</v>
      </c>
      <c r="AO391" s="4" t="s">
        <v>1018</v>
      </c>
      <c r="AP391" s="4">
        <v>1</v>
      </c>
      <c r="AQ391" s="20">
        <v>49000</v>
      </c>
      <c r="AR391" s="4">
        <v>41775</v>
      </c>
      <c r="AS391" s="20">
        <v>8909.0909090909081</v>
      </c>
      <c r="AT391" s="20">
        <v>10188</v>
      </c>
      <c r="AU391" s="20">
        <v>1278.9090909090919</v>
      </c>
      <c r="AV391" s="20">
        <v>0</v>
      </c>
      <c r="AW391" s="20">
        <v>48</v>
      </c>
      <c r="AX391" s="20">
        <v>20</v>
      </c>
      <c r="AY391" s="20">
        <v>68</v>
      </c>
      <c r="AZ391" s="20">
        <v>9.1999999999999993</v>
      </c>
      <c r="BA391" s="20">
        <v>0</v>
      </c>
      <c r="BB391" s="6">
        <v>41775</v>
      </c>
      <c r="BC391" s="6">
        <v>0</v>
      </c>
      <c r="BD391" s="6">
        <v>41830</v>
      </c>
      <c r="BE391" s="6">
        <v>41830</v>
      </c>
      <c r="BF391" s="6">
        <v>41836</v>
      </c>
      <c r="BG391" s="6">
        <v>0</v>
      </c>
      <c r="BH391" s="6">
        <v>0</v>
      </c>
      <c r="BI391" s="6">
        <v>0</v>
      </c>
      <c r="BJ391" s="6">
        <v>0</v>
      </c>
      <c r="BK391" s="4" t="s">
        <v>401</v>
      </c>
      <c r="BL391" s="4" t="s">
        <v>401</v>
      </c>
      <c r="BM391" s="20">
        <v>60</v>
      </c>
      <c r="BN391" s="20">
        <v>0</v>
      </c>
      <c r="BO391" s="20">
        <v>0</v>
      </c>
      <c r="BP391" s="20">
        <v>0</v>
      </c>
      <c r="BQ391" s="20">
        <v>0</v>
      </c>
      <c r="BR391" s="20">
        <v>0</v>
      </c>
      <c r="BS391" s="20">
        <v>60</v>
      </c>
      <c r="BT391" s="20">
        <v>611280</v>
      </c>
      <c r="BU391" s="20">
        <v>2940000</v>
      </c>
      <c r="BV391" s="20">
        <v>4.3723453617446548</v>
      </c>
    </row>
    <row r="392" spans="1:74">
      <c r="A392" s="10">
        <f t="shared" si="26"/>
        <v>0</v>
      </c>
      <c r="B392" s="10">
        <f t="shared" si="27"/>
        <v>0.5</v>
      </c>
      <c r="C392" s="12">
        <f t="shared" si="28"/>
        <v>5</v>
      </c>
      <c r="D392" s="12">
        <f t="shared" si="29"/>
        <v>7</v>
      </c>
      <c r="E392" s="20" t="s">
        <v>114</v>
      </c>
      <c r="F392" s="20" t="s">
        <v>1760</v>
      </c>
      <c r="G392" s="20" t="s">
        <v>2087</v>
      </c>
      <c r="H392" s="20" t="s">
        <v>2113</v>
      </c>
      <c r="I392" s="20">
        <v>4</v>
      </c>
      <c r="J392" s="20" t="s">
        <v>2114</v>
      </c>
      <c r="K392" s="20" t="s">
        <v>2115</v>
      </c>
      <c r="L392" s="20" t="s">
        <v>2116</v>
      </c>
      <c r="M392" s="20" t="s">
        <v>1760</v>
      </c>
      <c r="N392" s="20" t="s">
        <v>2092</v>
      </c>
      <c r="P392" s="20" t="s">
        <v>1760</v>
      </c>
      <c r="Q392" s="20" t="s">
        <v>1767</v>
      </c>
      <c r="R392" s="20" t="s">
        <v>84</v>
      </c>
      <c r="S392" s="20" t="s">
        <v>123</v>
      </c>
      <c r="T392" s="20" t="s">
        <v>1401</v>
      </c>
      <c r="U392" s="20" t="s">
        <v>1402</v>
      </c>
      <c r="V392" s="20" t="s">
        <v>87</v>
      </c>
      <c r="W392" s="20">
        <v>904</v>
      </c>
      <c r="X392" s="20">
        <v>904</v>
      </c>
      <c r="Y392" s="20" t="s">
        <v>2117</v>
      </c>
      <c r="Z392" s="20">
        <v>0.5</v>
      </c>
      <c r="AA392" s="20" t="s">
        <v>2118</v>
      </c>
      <c r="AB392" s="20" t="s">
        <v>296</v>
      </c>
      <c r="AC392" s="20" t="s">
        <v>297</v>
      </c>
      <c r="AD392" s="20" t="s">
        <v>2119</v>
      </c>
      <c r="AE392" s="20" t="s">
        <v>400</v>
      </c>
      <c r="AF392" s="20">
        <v>0.5</v>
      </c>
      <c r="AG392" s="20">
        <v>0</v>
      </c>
      <c r="AH392" s="20">
        <v>1</v>
      </c>
      <c r="AI392" s="4" t="s">
        <v>97</v>
      </c>
      <c r="AJ392" s="20">
        <v>150</v>
      </c>
      <c r="AK392" s="4" t="s">
        <v>1113</v>
      </c>
      <c r="AL392" s="4">
        <v>3</v>
      </c>
      <c r="AM392" s="4" t="s">
        <v>438</v>
      </c>
      <c r="AN392" s="4" t="s">
        <v>95</v>
      </c>
      <c r="AO392" s="4" t="s">
        <v>1018</v>
      </c>
      <c r="AP392" s="4">
        <v>1</v>
      </c>
      <c r="AQ392" s="20">
        <v>49000</v>
      </c>
      <c r="AR392" s="4">
        <v>41775</v>
      </c>
      <c r="AS392" s="20">
        <v>8909.0909090909081</v>
      </c>
      <c r="AT392" s="20">
        <v>10888</v>
      </c>
      <c r="AU392" s="20">
        <v>1978.9090909090919</v>
      </c>
      <c r="AV392" s="20">
        <v>1800</v>
      </c>
      <c r="AW392" s="20">
        <v>48</v>
      </c>
      <c r="AX392" s="20">
        <v>20</v>
      </c>
      <c r="AY392" s="20">
        <v>1868</v>
      </c>
      <c r="AZ392" s="20">
        <v>8.1999999999999993</v>
      </c>
      <c r="BA392" s="20">
        <v>0</v>
      </c>
      <c r="BB392" s="6">
        <v>41775</v>
      </c>
      <c r="BC392" s="6">
        <v>0</v>
      </c>
      <c r="BD392" s="6">
        <v>41830</v>
      </c>
      <c r="BE392" s="6">
        <v>41830</v>
      </c>
      <c r="BF392" s="6">
        <v>41836</v>
      </c>
      <c r="BG392" s="6">
        <v>0</v>
      </c>
      <c r="BH392" s="6">
        <v>0</v>
      </c>
      <c r="BI392" s="6">
        <v>0</v>
      </c>
      <c r="BJ392" s="6">
        <v>0</v>
      </c>
      <c r="BK392" s="4" t="s">
        <v>401</v>
      </c>
      <c r="BL392" s="4" t="s">
        <v>401</v>
      </c>
      <c r="BM392" s="20">
        <v>150</v>
      </c>
      <c r="BN392" s="20">
        <v>0</v>
      </c>
      <c r="BO392" s="20">
        <v>0</v>
      </c>
      <c r="BP392" s="20">
        <v>0</v>
      </c>
      <c r="BQ392" s="20">
        <v>0</v>
      </c>
      <c r="BR392" s="20">
        <v>0</v>
      </c>
      <c r="BS392" s="20">
        <v>150</v>
      </c>
      <c r="BT392" s="20">
        <v>1633200</v>
      </c>
      <c r="BU392" s="20">
        <v>7350000</v>
      </c>
      <c r="BV392" s="20">
        <v>4.0912430699352074</v>
      </c>
    </row>
    <row r="393" spans="1:74">
      <c r="A393" s="10">
        <f t="shared" si="26"/>
        <v>0</v>
      </c>
      <c r="B393" s="10">
        <f t="shared" si="27"/>
        <v>0.5</v>
      </c>
      <c r="C393" s="12">
        <f t="shared" si="28"/>
        <v>5</v>
      </c>
      <c r="D393" s="12">
        <f t="shared" si="29"/>
        <v>7</v>
      </c>
      <c r="E393" s="20" t="s">
        <v>114</v>
      </c>
      <c r="F393" s="20" t="s">
        <v>1760</v>
      </c>
      <c r="G393" s="20" t="s">
        <v>2087</v>
      </c>
      <c r="H393" s="20" t="s">
        <v>2113</v>
      </c>
      <c r="I393" s="20">
        <v>4</v>
      </c>
      <c r="J393" s="20" t="s">
        <v>2114</v>
      </c>
      <c r="K393" s="20" t="s">
        <v>2120</v>
      </c>
      <c r="L393" s="20" t="s">
        <v>2116</v>
      </c>
      <c r="M393" s="20" t="s">
        <v>1760</v>
      </c>
      <c r="N393" s="20" t="s">
        <v>2092</v>
      </c>
      <c r="P393" s="20" t="s">
        <v>1760</v>
      </c>
      <c r="Q393" s="20" t="s">
        <v>1767</v>
      </c>
      <c r="R393" s="20" t="s">
        <v>84</v>
      </c>
      <c r="S393" s="20" t="s">
        <v>123</v>
      </c>
      <c r="T393" s="20" t="s">
        <v>1401</v>
      </c>
      <c r="U393" s="20" t="s">
        <v>1402</v>
      </c>
      <c r="V393" s="20" t="s">
        <v>87</v>
      </c>
      <c r="W393" s="20">
        <v>904</v>
      </c>
      <c r="X393" s="20">
        <v>904</v>
      </c>
      <c r="Y393" s="20" t="s">
        <v>2117</v>
      </c>
      <c r="Z393" s="20">
        <v>0.5</v>
      </c>
      <c r="AA393" s="20" t="s">
        <v>2118</v>
      </c>
      <c r="AB393" s="20" t="s">
        <v>296</v>
      </c>
      <c r="AC393" s="20" t="s">
        <v>297</v>
      </c>
      <c r="AD393" s="20" t="s">
        <v>2119</v>
      </c>
      <c r="AE393" s="20" t="s">
        <v>400</v>
      </c>
      <c r="AF393" s="20">
        <v>0.5</v>
      </c>
      <c r="AG393" s="20">
        <v>0</v>
      </c>
      <c r="AH393" s="20">
        <v>1</v>
      </c>
      <c r="AI393" s="4" t="s">
        <v>98</v>
      </c>
      <c r="AJ393" s="20">
        <v>70</v>
      </c>
      <c r="AK393" s="4" t="s">
        <v>1113</v>
      </c>
      <c r="AL393" s="4">
        <v>3</v>
      </c>
      <c r="AM393" s="4" t="s">
        <v>438</v>
      </c>
      <c r="AN393" s="4" t="s">
        <v>95</v>
      </c>
      <c r="AO393" s="4" t="s">
        <v>1018</v>
      </c>
      <c r="AP393" s="4">
        <v>1</v>
      </c>
      <c r="AQ393" s="20">
        <v>49000</v>
      </c>
      <c r="AR393" s="4">
        <v>41775</v>
      </c>
      <c r="AS393" s="20">
        <v>8909.0909090909081</v>
      </c>
      <c r="AT393" s="20">
        <v>10888</v>
      </c>
      <c r="AU393" s="20">
        <v>1978.9090909090919</v>
      </c>
      <c r="AV393" s="20">
        <v>1800</v>
      </c>
      <c r="AW393" s="20">
        <v>48</v>
      </c>
      <c r="AX393" s="20">
        <v>20</v>
      </c>
      <c r="AY393" s="20">
        <v>1868</v>
      </c>
      <c r="AZ393" s="20">
        <v>8.1999999999999993</v>
      </c>
      <c r="BA393" s="20">
        <v>0</v>
      </c>
      <c r="BB393" s="6">
        <v>41775</v>
      </c>
      <c r="BC393" s="6">
        <v>0</v>
      </c>
      <c r="BD393" s="6">
        <v>41830</v>
      </c>
      <c r="BE393" s="6">
        <v>41830</v>
      </c>
      <c r="BF393" s="6">
        <v>41836</v>
      </c>
      <c r="BG393" s="6">
        <v>0</v>
      </c>
      <c r="BH393" s="6">
        <v>0</v>
      </c>
      <c r="BI393" s="6">
        <v>0</v>
      </c>
      <c r="BJ393" s="6">
        <v>0</v>
      </c>
      <c r="BK393" s="4" t="s">
        <v>401</v>
      </c>
      <c r="BL393" s="4" t="s">
        <v>401</v>
      </c>
      <c r="BM393" s="20">
        <v>70</v>
      </c>
      <c r="BN393" s="20">
        <v>0</v>
      </c>
      <c r="BO393" s="20">
        <v>0</v>
      </c>
      <c r="BP393" s="20">
        <v>0</v>
      </c>
      <c r="BQ393" s="20">
        <v>0</v>
      </c>
      <c r="BR393" s="20">
        <v>0</v>
      </c>
      <c r="BS393" s="20">
        <v>70</v>
      </c>
      <c r="BT393" s="20">
        <v>762160</v>
      </c>
      <c r="BU393" s="20">
        <v>3430000</v>
      </c>
      <c r="BV393" s="20">
        <v>4.0912430699352074</v>
      </c>
    </row>
    <row r="394" spans="1:74">
      <c r="A394" s="10">
        <f t="shared" si="26"/>
        <v>0</v>
      </c>
      <c r="B394" s="10">
        <f t="shared" si="27"/>
        <v>0</v>
      </c>
      <c r="C394" s="12" t="str">
        <f t="shared" si="28"/>
        <v/>
      </c>
      <c r="D394" s="12" t="str">
        <f t="shared" si="29"/>
        <v/>
      </c>
      <c r="E394" s="20" t="s">
        <v>91</v>
      </c>
      <c r="F394" s="20" t="s">
        <v>91</v>
      </c>
      <c r="G394" s="20" t="s">
        <v>91</v>
      </c>
      <c r="H394" s="20" t="s">
        <v>91</v>
      </c>
      <c r="I394" s="20">
        <v>0</v>
      </c>
      <c r="J394" s="20" t="s">
        <v>103</v>
      </c>
      <c r="K394" s="20" t="s">
        <v>104</v>
      </c>
      <c r="L394" s="20">
        <v>0</v>
      </c>
      <c r="M394" s="20" t="s">
        <v>105</v>
      </c>
      <c r="N394" s="20" t="s">
        <v>91</v>
      </c>
      <c r="O394" s="20" t="s">
        <v>2121</v>
      </c>
      <c r="Q394" s="20" t="s">
        <v>91</v>
      </c>
      <c r="R394" s="20" t="s">
        <v>91</v>
      </c>
      <c r="S394" s="20" t="s">
        <v>91</v>
      </c>
      <c r="U394" s="20" t="s">
        <v>91</v>
      </c>
      <c r="V394" s="20" t="s">
        <v>87</v>
      </c>
      <c r="X394" s="20" t="s">
        <v>91</v>
      </c>
      <c r="Y394" s="20" t="s">
        <v>91</v>
      </c>
      <c r="Z394" s="20">
        <v>4</v>
      </c>
      <c r="AB394" s="20" t="s">
        <v>91</v>
      </c>
      <c r="AD394" s="20" t="s">
        <v>91</v>
      </c>
      <c r="AE394" s="20" t="s">
        <v>91</v>
      </c>
      <c r="AF394" s="20">
        <v>4</v>
      </c>
      <c r="AG394" s="20">
        <v>0</v>
      </c>
      <c r="AH394" s="20">
        <v>1</v>
      </c>
      <c r="AM394" s="4" t="s">
        <v>91</v>
      </c>
      <c r="AP394" s="4" t="s">
        <v>91</v>
      </c>
      <c r="AQ394" s="20">
        <v>0</v>
      </c>
      <c r="AR394" s="4">
        <v>0</v>
      </c>
      <c r="AS394" s="20">
        <v>0</v>
      </c>
      <c r="AT394" s="20">
        <v>0</v>
      </c>
      <c r="AU394" s="20">
        <v>0</v>
      </c>
      <c r="AV394" s="20">
        <v>0</v>
      </c>
      <c r="AW394" s="20">
        <v>0</v>
      </c>
      <c r="AX394" s="20" t="s">
        <v>91</v>
      </c>
      <c r="AY394" s="20">
        <v>0</v>
      </c>
      <c r="AZ394" s="20">
        <v>0</v>
      </c>
      <c r="BA394" s="20">
        <v>0</v>
      </c>
      <c r="BB394" s="6">
        <v>0</v>
      </c>
      <c r="BC394" s="6">
        <v>0</v>
      </c>
      <c r="BD394" s="6">
        <v>0</v>
      </c>
      <c r="BE394" s="6">
        <v>0</v>
      </c>
      <c r="BF394" s="6">
        <v>0</v>
      </c>
      <c r="BG394" s="6">
        <v>0</v>
      </c>
      <c r="BH394" s="6">
        <v>0</v>
      </c>
      <c r="BI394" s="6">
        <v>0</v>
      </c>
      <c r="BJ394" s="6">
        <v>0</v>
      </c>
      <c r="BK394" s="4">
        <v>0</v>
      </c>
      <c r="BL394" s="4">
        <v>0</v>
      </c>
      <c r="BM394" s="20">
        <v>1200</v>
      </c>
      <c r="BN394" s="20">
        <v>0</v>
      </c>
      <c r="BO394" s="20">
        <v>0</v>
      </c>
      <c r="BP394" s="20">
        <v>0</v>
      </c>
      <c r="BQ394" s="20">
        <v>0</v>
      </c>
      <c r="BR394" s="20">
        <v>0</v>
      </c>
      <c r="BS394" s="20">
        <v>1200</v>
      </c>
      <c r="BT394" s="20">
        <v>12115600</v>
      </c>
      <c r="BU394" s="20">
        <v>58800000</v>
      </c>
      <c r="BV394" s="20">
        <v>4.4120427758051974</v>
      </c>
    </row>
    <row r="395" spans="1:74">
      <c r="A395" s="10">
        <f t="shared" si="26"/>
        <v>0</v>
      </c>
      <c r="B395" s="10">
        <f t="shared" si="27"/>
        <v>0.33333333333333331</v>
      </c>
      <c r="C395" s="12">
        <f t="shared" si="28"/>
        <v>5</v>
      </c>
      <c r="D395" s="12">
        <f t="shared" si="29"/>
        <v>9</v>
      </c>
      <c r="E395" s="20" t="s">
        <v>386</v>
      </c>
      <c r="F395" s="20" t="s">
        <v>387</v>
      </c>
      <c r="G395" s="20" t="s">
        <v>2174</v>
      </c>
      <c r="H395" s="20" t="s">
        <v>2175</v>
      </c>
      <c r="I395" s="20">
        <v>1</v>
      </c>
      <c r="J395" s="20" t="s">
        <v>2176</v>
      </c>
      <c r="K395" s="20" t="s">
        <v>2177</v>
      </c>
      <c r="L395" s="20" t="s">
        <v>2178</v>
      </c>
      <c r="M395" s="20" t="s">
        <v>387</v>
      </c>
      <c r="N395" s="20" t="s">
        <v>559</v>
      </c>
      <c r="P395" s="20" t="s">
        <v>387</v>
      </c>
      <c r="Q395" s="20" t="s">
        <v>394</v>
      </c>
      <c r="R395" s="20" t="s">
        <v>84</v>
      </c>
      <c r="S395" s="20" t="s">
        <v>123</v>
      </c>
      <c r="T395" s="20" t="s">
        <v>172</v>
      </c>
      <c r="U395" s="20" t="s">
        <v>173</v>
      </c>
      <c r="V395" s="20" t="s">
        <v>87</v>
      </c>
      <c r="W395" s="20">
        <v>509</v>
      </c>
      <c r="X395" s="20">
        <v>509</v>
      </c>
      <c r="Y395" s="20" t="s">
        <v>2179</v>
      </c>
      <c r="Z395" s="20">
        <v>0.33333333333333331</v>
      </c>
      <c r="AA395" s="20" t="s">
        <v>2180</v>
      </c>
      <c r="AB395" s="20" t="s">
        <v>101</v>
      </c>
      <c r="AC395" s="20" t="s">
        <v>102</v>
      </c>
      <c r="AD395" s="20" t="s">
        <v>2181</v>
      </c>
      <c r="AE395" s="20" t="s">
        <v>91</v>
      </c>
      <c r="AF395" s="20">
        <v>0.33333333333333331</v>
      </c>
      <c r="AG395" s="20">
        <v>0</v>
      </c>
      <c r="AH395" s="20">
        <v>1</v>
      </c>
      <c r="AI395" s="4" t="s">
        <v>92</v>
      </c>
      <c r="AJ395" s="20">
        <v>300</v>
      </c>
      <c r="AK395" s="4" t="s">
        <v>111</v>
      </c>
      <c r="AL395" s="4">
        <v>22</v>
      </c>
      <c r="AM395" s="4">
        <v>22</v>
      </c>
      <c r="AN395" s="4" t="s">
        <v>95</v>
      </c>
      <c r="AO395" s="4" t="s">
        <v>96</v>
      </c>
      <c r="AP395" s="4">
        <v>1</v>
      </c>
      <c r="AQ395" s="20">
        <v>49000</v>
      </c>
      <c r="AR395" s="4">
        <v>41850</v>
      </c>
      <c r="AS395" s="20">
        <v>7424.242424242424</v>
      </c>
      <c r="AT395" s="20">
        <v>8012.6200000000008</v>
      </c>
      <c r="AU395" s="20">
        <v>588.37757575757678</v>
      </c>
      <c r="AV395" s="20">
        <v>134</v>
      </c>
      <c r="AW395" s="20">
        <v>0</v>
      </c>
      <c r="AX395" s="20">
        <v>20</v>
      </c>
      <c r="AY395" s="20">
        <v>154</v>
      </c>
      <c r="AZ395" s="20">
        <v>6.3</v>
      </c>
      <c r="BA395" s="20">
        <v>0</v>
      </c>
      <c r="BB395" s="6">
        <v>41782</v>
      </c>
      <c r="BC395" s="6">
        <v>0</v>
      </c>
      <c r="BD395" s="6">
        <v>41851</v>
      </c>
      <c r="BE395" s="6">
        <v>41881</v>
      </c>
      <c r="BF395" s="6">
        <v>41884</v>
      </c>
      <c r="BG395" s="6">
        <v>41907</v>
      </c>
      <c r="BH395" s="6">
        <v>0</v>
      </c>
      <c r="BI395" s="6">
        <v>0</v>
      </c>
      <c r="BJ395" s="6">
        <v>0</v>
      </c>
      <c r="BK395" s="4" t="s">
        <v>401</v>
      </c>
      <c r="BL395" s="4" t="s">
        <v>401</v>
      </c>
      <c r="BM395" s="20">
        <v>64</v>
      </c>
      <c r="BN395" s="20">
        <v>235</v>
      </c>
      <c r="BO395" s="20">
        <v>0</v>
      </c>
      <c r="BP395" s="20">
        <v>0</v>
      </c>
      <c r="BQ395" s="20">
        <v>0</v>
      </c>
      <c r="BR395" s="20">
        <v>0</v>
      </c>
      <c r="BS395" s="20">
        <v>300</v>
      </c>
      <c r="BT395" s="20">
        <v>2403786.0000000005</v>
      </c>
      <c r="BU395" s="20">
        <v>14700000</v>
      </c>
      <c r="BV395" s="20">
        <v>5.5594118459947603</v>
      </c>
    </row>
    <row r="396" spans="1:74">
      <c r="A396" s="10">
        <f t="shared" si="26"/>
        <v>0</v>
      </c>
      <c r="B396" s="10">
        <f t="shared" si="27"/>
        <v>0.33333333333333331</v>
      </c>
      <c r="C396" s="12">
        <f t="shared" si="28"/>
        <v>5</v>
      </c>
      <c r="D396" s="12">
        <f t="shared" si="29"/>
        <v>9</v>
      </c>
      <c r="E396" s="20" t="s">
        <v>386</v>
      </c>
      <c r="F396" s="20" t="s">
        <v>387</v>
      </c>
      <c r="G396" s="20" t="s">
        <v>2174</v>
      </c>
      <c r="H396" s="20" t="s">
        <v>2175</v>
      </c>
      <c r="I396" s="20">
        <v>1</v>
      </c>
      <c r="J396" s="20" t="s">
        <v>2176</v>
      </c>
      <c r="K396" s="20" t="s">
        <v>2182</v>
      </c>
      <c r="L396" s="20" t="s">
        <v>2178</v>
      </c>
      <c r="M396" s="20" t="s">
        <v>387</v>
      </c>
      <c r="N396" s="20" t="s">
        <v>559</v>
      </c>
      <c r="P396" s="20" t="s">
        <v>387</v>
      </c>
      <c r="Q396" s="20" t="s">
        <v>394</v>
      </c>
      <c r="R396" s="20" t="s">
        <v>84</v>
      </c>
      <c r="S396" s="20" t="s">
        <v>123</v>
      </c>
      <c r="T396" s="20" t="s">
        <v>172</v>
      </c>
      <c r="U396" s="20" t="s">
        <v>173</v>
      </c>
      <c r="V396" s="20" t="s">
        <v>87</v>
      </c>
      <c r="W396" s="20">
        <v>509</v>
      </c>
      <c r="X396" s="20">
        <v>509</v>
      </c>
      <c r="Y396" s="20" t="s">
        <v>2179</v>
      </c>
      <c r="Z396" s="20">
        <v>0.33333333333333331</v>
      </c>
      <c r="AA396" s="20" t="s">
        <v>2180</v>
      </c>
      <c r="AB396" s="20" t="s">
        <v>101</v>
      </c>
      <c r="AC396" s="20" t="s">
        <v>102</v>
      </c>
      <c r="AD396" s="20" t="s">
        <v>2181</v>
      </c>
      <c r="AE396" s="20" t="s">
        <v>91</v>
      </c>
      <c r="AF396" s="20">
        <v>0.33333333333333331</v>
      </c>
      <c r="AG396" s="20">
        <v>0</v>
      </c>
      <c r="AH396" s="20">
        <v>1</v>
      </c>
      <c r="AI396" s="4" t="s">
        <v>97</v>
      </c>
      <c r="AJ396" s="20">
        <v>120</v>
      </c>
      <c r="AK396" s="4" t="s">
        <v>111</v>
      </c>
      <c r="AL396" s="4">
        <v>22</v>
      </c>
      <c r="AM396" s="4">
        <v>22</v>
      </c>
      <c r="AN396" s="4" t="s">
        <v>95</v>
      </c>
      <c r="AO396" s="4" t="s">
        <v>96</v>
      </c>
      <c r="AP396" s="4">
        <v>1</v>
      </c>
      <c r="AQ396" s="20">
        <v>49000</v>
      </c>
      <c r="AR396" s="4">
        <v>41850</v>
      </c>
      <c r="AS396" s="20">
        <v>7424.242424242424</v>
      </c>
      <c r="AT396" s="20">
        <v>8012.6200000000008</v>
      </c>
      <c r="AU396" s="20">
        <v>588.37757575757678</v>
      </c>
      <c r="AV396" s="20">
        <v>134</v>
      </c>
      <c r="AW396" s="20">
        <v>0</v>
      </c>
      <c r="AX396" s="20">
        <v>20</v>
      </c>
      <c r="AY396" s="20">
        <v>154</v>
      </c>
      <c r="AZ396" s="20">
        <v>6.3</v>
      </c>
      <c r="BA396" s="20">
        <v>0</v>
      </c>
      <c r="BB396" s="6">
        <v>41782</v>
      </c>
      <c r="BC396" s="6">
        <v>0</v>
      </c>
      <c r="BD396" s="6">
        <v>41851</v>
      </c>
      <c r="BE396" s="6">
        <v>41881</v>
      </c>
      <c r="BF396" s="6">
        <v>41884</v>
      </c>
      <c r="BG396" s="6">
        <v>41907</v>
      </c>
      <c r="BH396" s="6">
        <v>0</v>
      </c>
      <c r="BI396" s="6">
        <v>0</v>
      </c>
      <c r="BJ396" s="6">
        <v>0</v>
      </c>
      <c r="BK396" s="4" t="s">
        <v>401</v>
      </c>
      <c r="BL396" s="4" t="s">
        <v>401</v>
      </c>
      <c r="BM396" s="20">
        <v>45</v>
      </c>
      <c r="BN396" s="20">
        <v>70</v>
      </c>
      <c r="BO396" s="20">
        <v>0</v>
      </c>
      <c r="BP396" s="20">
        <v>0</v>
      </c>
      <c r="BQ396" s="20">
        <v>0</v>
      </c>
      <c r="BR396" s="20">
        <v>0</v>
      </c>
      <c r="BS396" s="20">
        <v>120</v>
      </c>
      <c r="BT396" s="20">
        <v>961514.40000000014</v>
      </c>
      <c r="BU396" s="20">
        <v>5880000</v>
      </c>
      <c r="BV396" s="20">
        <v>5.5594118459947595</v>
      </c>
    </row>
    <row r="397" spans="1:74">
      <c r="A397" s="10">
        <f t="shared" si="26"/>
        <v>0</v>
      </c>
      <c r="B397" s="10">
        <f t="shared" si="27"/>
        <v>0.33333333333333331</v>
      </c>
      <c r="C397" s="12">
        <f t="shared" si="28"/>
        <v>5</v>
      </c>
      <c r="D397" s="12">
        <f t="shared" si="29"/>
        <v>9</v>
      </c>
      <c r="E397" s="20" t="s">
        <v>386</v>
      </c>
      <c r="F397" s="20" t="s">
        <v>387</v>
      </c>
      <c r="G397" s="20" t="s">
        <v>2174</v>
      </c>
      <c r="H397" s="20" t="s">
        <v>2175</v>
      </c>
      <c r="I397" s="20">
        <v>1</v>
      </c>
      <c r="J397" s="20" t="s">
        <v>2176</v>
      </c>
      <c r="K397" s="20" t="s">
        <v>2183</v>
      </c>
      <c r="L397" s="20" t="s">
        <v>2178</v>
      </c>
      <c r="M397" s="20" t="s">
        <v>387</v>
      </c>
      <c r="N397" s="20" t="s">
        <v>559</v>
      </c>
      <c r="P397" s="20" t="s">
        <v>387</v>
      </c>
      <c r="Q397" s="20" t="s">
        <v>394</v>
      </c>
      <c r="R397" s="20" t="s">
        <v>84</v>
      </c>
      <c r="S397" s="20" t="s">
        <v>123</v>
      </c>
      <c r="T397" s="20" t="s">
        <v>172</v>
      </c>
      <c r="U397" s="20" t="s">
        <v>173</v>
      </c>
      <c r="V397" s="20" t="s">
        <v>87</v>
      </c>
      <c r="W397" s="20">
        <v>509</v>
      </c>
      <c r="X397" s="20">
        <v>509</v>
      </c>
      <c r="Y397" s="20" t="s">
        <v>2179</v>
      </c>
      <c r="Z397" s="20">
        <v>0.33333333333333331</v>
      </c>
      <c r="AA397" s="20" t="s">
        <v>2180</v>
      </c>
      <c r="AB397" s="20" t="s">
        <v>101</v>
      </c>
      <c r="AC397" s="20" t="s">
        <v>102</v>
      </c>
      <c r="AD397" s="20" t="s">
        <v>2181</v>
      </c>
      <c r="AE397" s="20" t="s">
        <v>91</v>
      </c>
      <c r="AF397" s="20">
        <v>0.33333333333333331</v>
      </c>
      <c r="AG397" s="20">
        <v>0</v>
      </c>
      <c r="AH397" s="20">
        <v>1</v>
      </c>
      <c r="AI397" s="4" t="s">
        <v>98</v>
      </c>
      <c r="AJ397" s="20">
        <v>60</v>
      </c>
      <c r="AK397" s="4" t="s">
        <v>111</v>
      </c>
      <c r="AL397" s="4">
        <v>22</v>
      </c>
      <c r="AM397" s="4">
        <v>22</v>
      </c>
      <c r="AN397" s="4" t="s">
        <v>95</v>
      </c>
      <c r="AO397" s="4" t="s">
        <v>96</v>
      </c>
      <c r="AP397" s="4">
        <v>1</v>
      </c>
      <c r="AQ397" s="20">
        <v>49000</v>
      </c>
      <c r="AR397" s="4">
        <v>41850</v>
      </c>
      <c r="AS397" s="20">
        <v>7424.242424242424</v>
      </c>
      <c r="AT397" s="20">
        <v>8012.6200000000008</v>
      </c>
      <c r="AU397" s="20">
        <v>588.37757575757678</v>
      </c>
      <c r="AV397" s="20">
        <v>134</v>
      </c>
      <c r="AW397" s="20">
        <v>0</v>
      </c>
      <c r="AX397" s="20">
        <v>20</v>
      </c>
      <c r="AY397" s="20">
        <v>154</v>
      </c>
      <c r="AZ397" s="20">
        <v>6.3</v>
      </c>
      <c r="BA397" s="20">
        <v>0</v>
      </c>
      <c r="BB397" s="6">
        <v>41782</v>
      </c>
      <c r="BC397" s="6">
        <v>0</v>
      </c>
      <c r="BD397" s="6">
        <v>41851</v>
      </c>
      <c r="BE397" s="6">
        <v>41881</v>
      </c>
      <c r="BF397" s="6">
        <v>41884</v>
      </c>
      <c r="BG397" s="6">
        <v>41907</v>
      </c>
      <c r="BH397" s="6">
        <v>0</v>
      </c>
      <c r="BI397" s="6">
        <v>0</v>
      </c>
      <c r="BJ397" s="6">
        <v>0</v>
      </c>
      <c r="BK397" s="4" t="s">
        <v>401</v>
      </c>
      <c r="BL397" s="4" t="s">
        <v>401</v>
      </c>
      <c r="BM397" s="20">
        <v>49</v>
      </c>
      <c r="BN397" s="20">
        <v>0</v>
      </c>
      <c r="BO397" s="20">
        <v>0</v>
      </c>
      <c r="BP397" s="20">
        <v>0</v>
      </c>
      <c r="BQ397" s="20">
        <v>0</v>
      </c>
      <c r="BS397" s="20">
        <v>60</v>
      </c>
      <c r="BT397" s="20">
        <v>480757.20000000007</v>
      </c>
      <c r="BU397" s="20">
        <v>2940000</v>
      </c>
      <c r="BV397" s="20">
        <v>5.5594118459947595</v>
      </c>
    </row>
    <row r="398" spans="1:74">
      <c r="A398" s="10">
        <f t="shared" si="26"/>
        <v>0</v>
      </c>
      <c r="B398" s="10">
        <f t="shared" si="27"/>
        <v>0.33333333333333331</v>
      </c>
      <c r="C398" s="12">
        <f t="shared" si="28"/>
        <v>5</v>
      </c>
      <c r="D398" s="12">
        <f t="shared" si="29"/>
        <v>9</v>
      </c>
      <c r="E398" s="20" t="s">
        <v>386</v>
      </c>
      <c r="F398" s="20" t="s">
        <v>387</v>
      </c>
      <c r="G398" s="20" t="s">
        <v>2174</v>
      </c>
      <c r="H398" s="20" t="s">
        <v>2184</v>
      </c>
      <c r="I398" s="20">
        <v>2</v>
      </c>
      <c r="J398" s="20" t="s">
        <v>2185</v>
      </c>
      <c r="K398" s="20" t="s">
        <v>2186</v>
      </c>
      <c r="L398" s="20" t="s">
        <v>2187</v>
      </c>
      <c r="M398" s="20" t="s">
        <v>387</v>
      </c>
      <c r="N398" s="20" t="s">
        <v>559</v>
      </c>
      <c r="P398" s="20" t="s">
        <v>387</v>
      </c>
      <c r="Q398" s="20" t="s">
        <v>394</v>
      </c>
      <c r="R398" s="20" t="s">
        <v>84</v>
      </c>
      <c r="S398" s="20" t="s">
        <v>123</v>
      </c>
      <c r="T398" s="20" t="s">
        <v>172</v>
      </c>
      <c r="U398" s="20" t="s">
        <v>173</v>
      </c>
      <c r="V398" s="20" t="s">
        <v>87</v>
      </c>
      <c r="W398" s="20">
        <v>510</v>
      </c>
      <c r="X398" s="20">
        <v>510</v>
      </c>
      <c r="Y398" s="20" t="s">
        <v>2188</v>
      </c>
      <c r="Z398" s="20">
        <v>0.33333333333333331</v>
      </c>
      <c r="AA398" s="20" t="s">
        <v>2189</v>
      </c>
      <c r="AB398" s="20" t="s">
        <v>279</v>
      </c>
      <c r="AC398" s="20" t="s">
        <v>280</v>
      </c>
      <c r="AD398" s="20" t="s">
        <v>2190</v>
      </c>
      <c r="AE398" s="20" t="s">
        <v>91</v>
      </c>
      <c r="AF398" s="20">
        <v>0.33333333333333331</v>
      </c>
      <c r="AG398" s="20">
        <v>0</v>
      </c>
      <c r="AH398" s="20">
        <v>1</v>
      </c>
      <c r="AI398" s="4" t="s">
        <v>92</v>
      </c>
      <c r="AJ398" s="20">
        <v>300</v>
      </c>
      <c r="AK398" s="4" t="s">
        <v>111</v>
      </c>
      <c r="AL398" s="4">
        <v>22</v>
      </c>
      <c r="AM398" s="4">
        <v>22</v>
      </c>
      <c r="AN398" s="4" t="s">
        <v>95</v>
      </c>
      <c r="AO398" s="4" t="s">
        <v>96</v>
      </c>
      <c r="AP398" s="4">
        <v>1</v>
      </c>
      <c r="AQ398" s="20">
        <v>49000</v>
      </c>
      <c r="AR398" s="4">
        <v>41850</v>
      </c>
      <c r="AS398" s="20">
        <v>7424.242424242424</v>
      </c>
      <c r="AT398" s="20">
        <v>8407.58</v>
      </c>
      <c r="AU398" s="20">
        <v>983.33757575757591</v>
      </c>
      <c r="AV398" s="20">
        <v>30</v>
      </c>
      <c r="AW398" s="20">
        <v>0</v>
      </c>
      <c r="AX398" s="20">
        <v>20</v>
      </c>
      <c r="AY398" s="20">
        <v>50</v>
      </c>
      <c r="AZ398" s="20">
        <v>6.7</v>
      </c>
      <c r="BA398" s="20">
        <v>0</v>
      </c>
      <c r="BB398" s="6">
        <v>41782</v>
      </c>
      <c r="BC398" s="6">
        <v>0</v>
      </c>
      <c r="BD398" s="6">
        <v>41851</v>
      </c>
      <c r="BE398" s="6">
        <v>41881</v>
      </c>
      <c r="BF398" s="6">
        <v>41884</v>
      </c>
      <c r="BG398" s="6">
        <v>41907</v>
      </c>
      <c r="BH398" s="6">
        <v>0</v>
      </c>
      <c r="BI398" s="6">
        <v>0</v>
      </c>
      <c r="BJ398" s="6">
        <v>0</v>
      </c>
      <c r="BK398" s="4" t="s">
        <v>401</v>
      </c>
      <c r="BL398" s="4" t="s">
        <v>401</v>
      </c>
      <c r="BM398" s="20">
        <v>91</v>
      </c>
      <c r="BN398" s="20">
        <v>209</v>
      </c>
      <c r="BO398" s="20">
        <v>0</v>
      </c>
      <c r="BP398" s="20">
        <v>0</v>
      </c>
      <c r="BQ398" s="20">
        <v>0</v>
      </c>
      <c r="BR398" s="20">
        <v>0</v>
      </c>
      <c r="BS398" s="20">
        <v>300</v>
      </c>
      <c r="BT398" s="20">
        <v>2522274</v>
      </c>
      <c r="BU398" s="20">
        <v>14700000</v>
      </c>
      <c r="BV398" s="20">
        <v>5.2982492638136707</v>
      </c>
    </row>
    <row r="399" spans="1:74">
      <c r="A399" s="10">
        <f t="shared" si="26"/>
        <v>0</v>
      </c>
      <c r="B399" s="10">
        <f t="shared" si="27"/>
        <v>0.33333333333333331</v>
      </c>
      <c r="C399" s="12">
        <f t="shared" si="28"/>
        <v>5</v>
      </c>
      <c r="D399" s="12">
        <f t="shared" si="29"/>
        <v>9</v>
      </c>
      <c r="E399" s="20" t="s">
        <v>386</v>
      </c>
      <c r="F399" s="20" t="s">
        <v>387</v>
      </c>
      <c r="G399" s="20" t="s">
        <v>2174</v>
      </c>
      <c r="H399" s="20" t="s">
        <v>2184</v>
      </c>
      <c r="I399" s="20">
        <v>2</v>
      </c>
      <c r="J399" s="20" t="s">
        <v>2185</v>
      </c>
      <c r="K399" s="20" t="s">
        <v>2191</v>
      </c>
      <c r="L399" s="20" t="s">
        <v>2187</v>
      </c>
      <c r="M399" s="20" t="s">
        <v>387</v>
      </c>
      <c r="N399" s="20" t="s">
        <v>559</v>
      </c>
      <c r="P399" s="20" t="s">
        <v>387</v>
      </c>
      <c r="Q399" s="20" t="s">
        <v>394</v>
      </c>
      <c r="R399" s="20" t="s">
        <v>84</v>
      </c>
      <c r="S399" s="20" t="s">
        <v>123</v>
      </c>
      <c r="T399" s="20" t="s">
        <v>172</v>
      </c>
      <c r="U399" s="20" t="s">
        <v>173</v>
      </c>
      <c r="V399" s="20" t="s">
        <v>87</v>
      </c>
      <c r="W399" s="20">
        <v>510</v>
      </c>
      <c r="X399" s="20">
        <v>510</v>
      </c>
      <c r="Y399" s="20" t="s">
        <v>2188</v>
      </c>
      <c r="Z399" s="20">
        <v>0.33333333333333331</v>
      </c>
      <c r="AA399" s="20" t="s">
        <v>2189</v>
      </c>
      <c r="AB399" s="20" t="s">
        <v>279</v>
      </c>
      <c r="AC399" s="20" t="s">
        <v>280</v>
      </c>
      <c r="AD399" s="20" t="s">
        <v>2190</v>
      </c>
      <c r="AE399" s="20" t="s">
        <v>91</v>
      </c>
      <c r="AF399" s="20">
        <v>0.33333333333333331</v>
      </c>
      <c r="AG399" s="20">
        <v>0</v>
      </c>
      <c r="AH399" s="20">
        <v>1</v>
      </c>
      <c r="AI399" s="4" t="s">
        <v>97</v>
      </c>
      <c r="AJ399" s="20">
        <v>120</v>
      </c>
      <c r="AK399" s="4" t="s">
        <v>111</v>
      </c>
      <c r="AL399" s="4">
        <v>22</v>
      </c>
      <c r="AM399" s="4">
        <v>22</v>
      </c>
      <c r="AN399" s="4" t="s">
        <v>95</v>
      </c>
      <c r="AO399" s="4" t="s">
        <v>96</v>
      </c>
      <c r="AP399" s="4">
        <v>1</v>
      </c>
      <c r="AQ399" s="20">
        <v>49000</v>
      </c>
      <c r="AR399" s="4">
        <v>41850</v>
      </c>
      <c r="AS399" s="20">
        <v>7424.242424242424</v>
      </c>
      <c r="AT399" s="20">
        <v>8407.58</v>
      </c>
      <c r="AU399" s="20">
        <v>983.33757575757591</v>
      </c>
      <c r="AV399" s="20">
        <v>30</v>
      </c>
      <c r="AW399" s="20">
        <v>0</v>
      </c>
      <c r="AX399" s="20">
        <v>20</v>
      </c>
      <c r="AY399" s="20">
        <v>50</v>
      </c>
      <c r="AZ399" s="20">
        <v>6.7</v>
      </c>
      <c r="BA399" s="20">
        <v>0</v>
      </c>
      <c r="BB399" s="6">
        <v>41782</v>
      </c>
      <c r="BC399" s="6">
        <v>0</v>
      </c>
      <c r="BD399" s="6">
        <v>41851</v>
      </c>
      <c r="BE399" s="6">
        <v>41881</v>
      </c>
      <c r="BF399" s="6">
        <v>41884</v>
      </c>
      <c r="BG399" s="6">
        <v>41907</v>
      </c>
      <c r="BH399" s="6">
        <v>0</v>
      </c>
      <c r="BI399" s="6">
        <v>0</v>
      </c>
      <c r="BJ399" s="6">
        <v>0</v>
      </c>
      <c r="BK399" s="4" t="s">
        <v>401</v>
      </c>
      <c r="BL399" s="4" t="s">
        <v>401</v>
      </c>
      <c r="BM399" s="20">
        <v>114</v>
      </c>
      <c r="BN399" s="20">
        <v>3</v>
      </c>
      <c r="BO399" s="20">
        <v>0</v>
      </c>
      <c r="BP399" s="20">
        <v>0</v>
      </c>
      <c r="BQ399" s="20">
        <v>0</v>
      </c>
      <c r="BR399" s="20">
        <v>0</v>
      </c>
      <c r="BS399" s="20">
        <v>120</v>
      </c>
      <c r="BT399" s="20">
        <v>1008909.6</v>
      </c>
      <c r="BU399" s="20">
        <v>5880000</v>
      </c>
      <c r="BV399" s="20">
        <v>5.2982492638136707</v>
      </c>
    </row>
    <row r="400" spans="1:74">
      <c r="A400" s="10">
        <f t="shared" si="26"/>
        <v>0</v>
      </c>
      <c r="B400" s="10">
        <f t="shared" si="27"/>
        <v>0.33333333333333331</v>
      </c>
      <c r="C400" s="12">
        <f t="shared" si="28"/>
        <v>5</v>
      </c>
      <c r="D400" s="12">
        <f t="shared" si="29"/>
        <v>9</v>
      </c>
      <c r="E400" s="20" t="s">
        <v>386</v>
      </c>
      <c r="F400" s="20" t="s">
        <v>387</v>
      </c>
      <c r="G400" s="20" t="s">
        <v>2174</v>
      </c>
      <c r="H400" s="20" t="s">
        <v>2184</v>
      </c>
      <c r="I400" s="20">
        <v>2</v>
      </c>
      <c r="J400" s="20" t="s">
        <v>2185</v>
      </c>
      <c r="K400" s="20" t="s">
        <v>2192</v>
      </c>
      <c r="L400" s="20" t="s">
        <v>2187</v>
      </c>
      <c r="M400" s="20" t="s">
        <v>387</v>
      </c>
      <c r="N400" s="20" t="s">
        <v>559</v>
      </c>
      <c r="P400" s="20" t="s">
        <v>387</v>
      </c>
      <c r="Q400" s="20" t="s">
        <v>394</v>
      </c>
      <c r="R400" s="20" t="s">
        <v>84</v>
      </c>
      <c r="S400" s="20" t="s">
        <v>123</v>
      </c>
      <c r="T400" s="20" t="s">
        <v>172</v>
      </c>
      <c r="U400" s="20" t="s">
        <v>173</v>
      </c>
      <c r="V400" s="20" t="s">
        <v>87</v>
      </c>
      <c r="W400" s="20">
        <v>510</v>
      </c>
      <c r="X400" s="20">
        <v>510</v>
      </c>
      <c r="Y400" s="20" t="s">
        <v>2188</v>
      </c>
      <c r="Z400" s="20">
        <v>0.33333333333333331</v>
      </c>
      <c r="AA400" s="20" t="s">
        <v>2189</v>
      </c>
      <c r="AB400" s="20" t="s">
        <v>279</v>
      </c>
      <c r="AC400" s="20" t="s">
        <v>280</v>
      </c>
      <c r="AD400" s="20" t="s">
        <v>2190</v>
      </c>
      <c r="AE400" s="20" t="s">
        <v>91</v>
      </c>
      <c r="AF400" s="20">
        <v>0.33333333333333331</v>
      </c>
      <c r="AG400" s="20">
        <v>0</v>
      </c>
      <c r="AH400" s="20">
        <v>1</v>
      </c>
      <c r="AI400" s="4" t="s">
        <v>98</v>
      </c>
      <c r="AJ400" s="20">
        <v>60</v>
      </c>
      <c r="AK400" s="4" t="s">
        <v>111</v>
      </c>
      <c r="AL400" s="4">
        <v>22</v>
      </c>
      <c r="AM400" s="4">
        <v>22</v>
      </c>
      <c r="AN400" s="4" t="s">
        <v>95</v>
      </c>
      <c r="AO400" s="4" t="s">
        <v>96</v>
      </c>
      <c r="AP400" s="4">
        <v>1</v>
      </c>
      <c r="AQ400" s="20">
        <v>49000</v>
      </c>
      <c r="AR400" s="4">
        <v>41850</v>
      </c>
      <c r="AS400" s="20">
        <v>7424.242424242424</v>
      </c>
      <c r="AT400" s="20">
        <v>8407.58</v>
      </c>
      <c r="AU400" s="20">
        <v>983.33757575757591</v>
      </c>
      <c r="AV400" s="20">
        <v>30</v>
      </c>
      <c r="AW400" s="20">
        <v>0</v>
      </c>
      <c r="AX400" s="20">
        <v>20</v>
      </c>
      <c r="AY400" s="20">
        <v>50</v>
      </c>
      <c r="AZ400" s="20">
        <v>6.7</v>
      </c>
      <c r="BA400" s="20">
        <v>0</v>
      </c>
      <c r="BB400" s="6">
        <v>41782</v>
      </c>
      <c r="BC400" s="6">
        <v>0</v>
      </c>
      <c r="BD400" s="6">
        <v>41851</v>
      </c>
      <c r="BE400" s="6">
        <v>41881</v>
      </c>
      <c r="BF400" s="6">
        <v>41884</v>
      </c>
      <c r="BG400" s="6">
        <v>41907</v>
      </c>
      <c r="BH400" s="6">
        <v>0</v>
      </c>
      <c r="BI400" s="6">
        <v>0</v>
      </c>
      <c r="BJ400" s="6">
        <v>0</v>
      </c>
      <c r="BK400" s="4" t="s">
        <v>401</v>
      </c>
      <c r="BL400" s="4" t="s">
        <v>401</v>
      </c>
      <c r="BM400" s="20">
        <v>61</v>
      </c>
      <c r="BN400" s="20">
        <v>0</v>
      </c>
      <c r="BO400" s="20">
        <v>0</v>
      </c>
      <c r="BP400" s="20">
        <v>0</v>
      </c>
      <c r="BQ400" s="20">
        <v>0</v>
      </c>
      <c r="BR400" s="20">
        <v>0</v>
      </c>
      <c r="BS400" s="20">
        <v>60</v>
      </c>
      <c r="BT400" s="20">
        <v>504454.8</v>
      </c>
      <c r="BU400" s="20">
        <v>2940000</v>
      </c>
      <c r="BV400" s="20">
        <v>5.2982492638136707</v>
      </c>
    </row>
    <row r="401" spans="1:74">
      <c r="A401" s="10">
        <f t="shared" si="26"/>
        <v>0</v>
      </c>
      <c r="B401" s="10">
        <f t="shared" si="27"/>
        <v>0.33333333333333331</v>
      </c>
      <c r="C401" s="12">
        <f t="shared" si="28"/>
        <v>5</v>
      </c>
      <c r="D401" s="12">
        <f t="shared" si="29"/>
        <v>9</v>
      </c>
      <c r="E401" s="20" t="s">
        <v>386</v>
      </c>
      <c r="F401" s="20" t="s">
        <v>387</v>
      </c>
      <c r="G401" s="20" t="s">
        <v>2174</v>
      </c>
      <c r="H401" s="20" t="s">
        <v>2193</v>
      </c>
      <c r="I401" s="20">
        <v>3</v>
      </c>
      <c r="J401" s="20" t="s">
        <v>2194</v>
      </c>
      <c r="K401" s="20" t="s">
        <v>2195</v>
      </c>
      <c r="L401" s="20" t="s">
        <v>2196</v>
      </c>
      <c r="M401" s="20" t="s">
        <v>387</v>
      </c>
      <c r="N401" s="20" t="s">
        <v>559</v>
      </c>
      <c r="P401" s="20" t="s">
        <v>387</v>
      </c>
      <c r="Q401" s="20" t="s">
        <v>394</v>
      </c>
      <c r="R401" s="20" t="s">
        <v>84</v>
      </c>
      <c r="S401" s="20" t="s">
        <v>123</v>
      </c>
      <c r="T401" s="20" t="s">
        <v>172</v>
      </c>
      <c r="U401" s="20" t="s">
        <v>173</v>
      </c>
      <c r="V401" s="20" t="s">
        <v>87</v>
      </c>
      <c r="W401" s="20">
        <v>511</v>
      </c>
      <c r="X401" s="20">
        <v>511</v>
      </c>
      <c r="Y401" s="20" t="s">
        <v>2197</v>
      </c>
      <c r="Z401" s="20">
        <v>0.33333333333333331</v>
      </c>
      <c r="AA401" s="20" t="s">
        <v>2198</v>
      </c>
      <c r="AB401" s="20" t="s">
        <v>176</v>
      </c>
      <c r="AC401" s="20" t="s">
        <v>177</v>
      </c>
      <c r="AD401" s="20" t="s">
        <v>2199</v>
      </c>
      <c r="AE401" s="20" t="s">
        <v>91</v>
      </c>
      <c r="AF401" s="20">
        <v>0.33333333333333331</v>
      </c>
      <c r="AG401" s="20">
        <v>0</v>
      </c>
      <c r="AH401" s="20">
        <v>1</v>
      </c>
      <c r="AI401" s="4" t="s">
        <v>92</v>
      </c>
      <c r="AJ401" s="20">
        <v>250</v>
      </c>
      <c r="AK401" s="4" t="s">
        <v>111</v>
      </c>
      <c r="AL401" s="4">
        <v>22</v>
      </c>
      <c r="AM401" s="4">
        <v>22</v>
      </c>
      <c r="AN401" s="4" t="s">
        <v>95</v>
      </c>
      <c r="AO401" s="4" t="s">
        <v>96</v>
      </c>
      <c r="AP401" s="4">
        <v>1</v>
      </c>
      <c r="AQ401" s="20">
        <v>49000</v>
      </c>
      <c r="AR401" s="4">
        <v>41850</v>
      </c>
      <c r="AS401" s="20">
        <v>7424.242424242424</v>
      </c>
      <c r="AT401" s="20">
        <v>7585.6600000000008</v>
      </c>
      <c r="AU401" s="20">
        <v>161.41757575757674</v>
      </c>
      <c r="AV401" s="20">
        <v>206</v>
      </c>
      <c r="AW401" s="20">
        <v>0</v>
      </c>
      <c r="AX401" s="20">
        <v>20</v>
      </c>
      <c r="AY401" s="20">
        <v>226</v>
      </c>
      <c r="AZ401" s="20">
        <v>5.9</v>
      </c>
      <c r="BA401" s="20">
        <v>0</v>
      </c>
      <c r="BB401" s="6">
        <v>41782</v>
      </c>
      <c r="BC401" s="6">
        <v>0</v>
      </c>
      <c r="BD401" s="6">
        <v>41851</v>
      </c>
      <c r="BE401" s="6">
        <v>41881</v>
      </c>
      <c r="BF401" s="6">
        <v>41884</v>
      </c>
      <c r="BG401" s="6">
        <v>41907</v>
      </c>
      <c r="BH401" s="6">
        <v>0</v>
      </c>
      <c r="BI401" s="6">
        <v>0</v>
      </c>
      <c r="BJ401" s="6">
        <v>0</v>
      </c>
      <c r="BK401" s="4" t="s">
        <v>401</v>
      </c>
      <c r="BL401" s="4" t="s">
        <v>401</v>
      </c>
      <c r="BM401" s="20">
        <v>162</v>
      </c>
      <c r="BN401" s="20">
        <v>84</v>
      </c>
      <c r="BO401" s="20">
        <v>0</v>
      </c>
      <c r="BP401" s="20">
        <v>0</v>
      </c>
      <c r="BQ401" s="20">
        <v>0</v>
      </c>
      <c r="BR401" s="20">
        <v>0</v>
      </c>
      <c r="BS401" s="20">
        <v>250</v>
      </c>
      <c r="BT401" s="20">
        <v>1896415.0000000002</v>
      </c>
      <c r="BU401" s="20">
        <v>12250000</v>
      </c>
      <c r="BV401" s="20">
        <v>5.8723241676340008</v>
      </c>
    </row>
    <row r="402" spans="1:74">
      <c r="A402" s="10">
        <f t="shared" si="26"/>
        <v>0</v>
      </c>
      <c r="B402" s="10">
        <f t="shared" si="27"/>
        <v>0.33333333333333331</v>
      </c>
      <c r="C402" s="12">
        <f t="shared" si="28"/>
        <v>5</v>
      </c>
      <c r="D402" s="12">
        <f t="shared" si="29"/>
        <v>9</v>
      </c>
      <c r="E402" s="20" t="s">
        <v>386</v>
      </c>
      <c r="F402" s="20" t="s">
        <v>387</v>
      </c>
      <c r="G402" s="20" t="s">
        <v>2174</v>
      </c>
      <c r="H402" s="20" t="s">
        <v>2193</v>
      </c>
      <c r="I402" s="20">
        <v>3</v>
      </c>
      <c r="J402" s="20" t="s">
        <v>2194</v>
      </c>
      <c r="K402" s="20" t="s">
        <v>2200</v>
      </c>
      <c r="L402" s="20" t="s">
        <v>2196</v>
      </c>
      <c r="M402" s="20" t="s">
        <v>387</v>
      </c>
      <c r="N402" s="20" t="s">
        <v>559</v>
      </c>
      <c r="P402" s="20" t="s">
        <v>387</v>
      </c>
      <c r="Q402" s="20" t="s">
        <v>394</v>
      </c>
      <c r="R402" s="20" t="s">
        <v>84</v>
      </c>
      <c r="S402" s="20" t="s">
        <v>123</v>
      </c>
      <c r="T402" s="20" t="s">
        <v>172</v>
      </c>
      <c r="U402" s="20" t="s">
        <v>173</v>
      </c>
      <c r="V402" s="20" t="s">
        <v>87</v>
      </c>
      <c r="W402" s="20">
        <v>511</v>
      </c>
      <c r="X402" s="20">
        <v>511</v>
      </c>
      <c r="Y402" s="20" t="s">
        <v>2197</v>
      </c>
      <c r="Z402" s="20">
        <v>0.33333333333333331</v>
      </c>
      <c r="AA402" s="20" t="s">
        <v>2198</v>
      </c>
      <c r="AB402" s="20" t="s">
        <v>176</v>
      </c>
      <c r="AC402" s="20" t="s">
        <v>177</v>
      </c>
      <c r="AD402" s="20" t="s">
        <v>2199</v>
      </c>
      <c r="AE402" s="20" t="s">
        <v>91</v>
      </c>
      <c r="AF402" s="20">
        <v>0.33333333333333331</v>
      </c>
      <c r="AG402" s="20">
        <v>0</v>
      </c>
      <c r="AH402" s="20">
        <v>1</v>
      </c>
      <c r="AI402" s="4" t="s">
        <v>97</v>
      </c>
      <c r="AJ402" s="20">
        <v>100</v>
      </c>
      <c r="AK402" s="4" t="s">
        <v>111</v>
      </c>
      <c r="AL402" s="4">
        <v>22</v>
      </c>
      <c r="AM402" s="4">
        <v>22</v>
      </c>
      <c r="AN402" s="4" t="s">
        <v>95</v>
      </c>
      <c r="AO402" s="4" t="s">
        <v>96</v>
      </c>
      <c r="AP402" s="4">
        <v>1</v>
      </c>
      <c r="AQ402" s="20">
        <v>49000</v>
      </c>
      <c r="AR402" s="4">
        <v>41850</v>
      </c>
      <c r="AS402" s="20">
        <v>7424.242424242424</v>
      </c>
      <c r="AT402" s="20">
        <v>7585.6600000000008</v>
      </c>
      <c r="AU402" s="20">
        <v>161.41757575757674</v>
      </c>
      <c r="AV402" s="20">
        <v>206</v>
      </c>
      <c r="AW402" s="20">
        <v>0</v>
      </c>
      <c r="AX402" s="20">
        <v>20</v>
      </c>
      <c r="AY402" s="20">
        <v>226</v>
      </c>
      <c r="AZ402" s="20">
        <v>5.9</v>
      </c>
      <c r="BA402" s="20">
        <v>0</v>
      </c>
      <c r="BB402" s="6">
        <v>41782</v>
      </c>
      <c r="BC402" s="6">
        <v>0</v>
      </c>
      <c r="BD402" s="6">
        <v>41851</v>
      </c>
      <c r="BE402" s="6">
        <v>41881</v>
      </c>
      <c r="BF402" s="6">
        <v>41884</v>
      </c>
      <c r="BG402" s="6">
        <v>41907</v>
      </c>
      <c r="BH402" s="6">
        <v>0</v>
      </c>
      <c r="BI402" s="6">
        <v>0</v>
      </c>
      <c r="BJ402" s="6">
        <v>0</v>
      </c>
      <c r="BK402" s="4" t="s">
        <v>401</v>
      </c>
      <c r="BL402" s="4" t="s">
        <v>401</v>
      </c>
      <c r="BM402" s="20">
        <v>100</v>
      </c>
      <c r="BN402" s="20">
        <v>1</v>
      </c>
      <c r="BO402" s="20">
        <v>0</v>
      </c>
      <c r="BP402" s="20">
        <v>0</v>
      </c>
      <c r="BQ402" s="20">
        <v>0</v>
      </c>
      <c r="BR402" s="20">
        <v>0</v>
      </c>
      <c r="BS402" s="20">
        <v>100</v>
      </c>
      <c r="BT402" s="20">
        <v>758566.00000000012</v>
      </c>
      <c r="BU402" s="20">
        <v>4900000</v>
      </c>
      <c r="BV402" s="20">
        <v>5.8723241676340008</v>
      </c>
    </row>
    <row r="403" spans="1:74">
      <c r="A403" s="10">
        <f t="shared" si="26"/>
        <v>0</v>
      </c>
      <c r="B403" s="10">
        <f t="shared" si="27"/>
        <v>0.33333333333333331</v>
      </c>
      <c r="C403" s="12">
        <f t="shared" si="28"/>
        <v>5</v>
      </c>
      <c r="D403" s="12">
        <f t="shared" si="29"/>
        <v>9</v>
      </c>
      <c r="E403" s="20" t="s">
        <v>386</v>
      </c>
      <c r="F403" s="20" t="s">
        <v>387</v>
      </c>
      <c r="G403" s="20" t="s">
        <v>2174</v>
      </c>
      <c r="H403" s="20" t="s">
        <v>2193</v>
      </c>
      <c r="I403" s="20">
        <v>3</v>
      </c>
      <c r="J403" s="20" t="s">
        <v>2194</v>
      </c>
      <c r="K403" s="20" t="s">
        <v>2201</v>
      </c>
      <c r="L403" s="20" t="s">
        <v>2196</v>
      </c>
      <c r="M403" s="20" t="s">
        <v>387</v>
      </c>
      <c r="N403" s="20" t="s">
        <v>559</v>
      </c>
      <c r="P403" s="20" t="s">
        <v>387</v>
      </c>
      <c r="Q403" s="20" t="s">
        <v>394</v>
      </c>
      <c r="R403" s="20" t="s">
        <v>84</v>
      </c>
      <c r="S403" s="20" t="s">
        <v>123</v>
      </c>
      <c r="T403" s="20" t="s">
        <v>172</v>
      </c>
      <c r="U403" s="20" t="s">
        <v>173</v>
      </c>
      <c r="V403" s="20" t="s">
        <v>87</v>
      </c>
      <c r="W403" s="20">
        <v>511</v>
      </c>
      <c r="X403" s="20">
        <v>511</v>
      </c>
      <c r="Y403" s="20" t="s">
        <v>2197</v>
      </c>
      <c r="Z403" s="20">
        <v>0.33333333333333331</v>
      </c>
      <c r="AA403" s="20" t="s">
        <v>2198</v>
      </c>
      <c r="AB403" s="20" t="s">
        <v>176</v>
      </c>
      <c r="AC403" s="20" t="s">
        <v>177</v>
      </c>
      <c r="AD403" s="20" t="s">
        <v>2199</v>
      </c>
      <c r="AE403" s="20" t="s">
        <v>91</v>
      </c>
      <c r="AF403" s="20">
        <v>0.33333333333333331</v>
      </c>
      <c r="AG403" s="20">
        <v>0</v>
      </c>
      <c r="AH403" s="20">
        <v>1</v>
      </c>
      <c r="AI403" s="4" t="s">
        <v>98</v>
      </c>
      <c r="AJ403" s="20">
        <v>50</v>
      </c>
      <c r="AK403" s="4" t="s">
        <v>111</v>
      </c>
      <c r="AL403" s="4">
        <v>22</v>
      </c>
      <c r="AM403" s="4">
        <v>22</v>
      </c>
      <c r="AN403" s="4" t="s">
        <v>95</v>
      </c>
      <c r="AO403" s="4" t="s">
        <v>96</v>
      </c>
      <c r="AP403" s="4">
        <v>1</v>
      </c>
      <c r="AQ403" s="20">
        <v>49000</v>
      </c>
      <c r="AR403" s="4">
        <v>41850</v>
      </c>
      <c r="AS403" s="20">
        <v>7424.242424242424</v>
      </c>
      <c r="AT403" s="20">
        <v>7585.6600000000008</v>
      </c>
      <c r="AU403" s="20">
        <v>161.41757575757674</v>
      </c>
      <c r="AV403" s="20">
        <v>206</v>
      </c>
      <c r="AW403" s="20">
        <v>0</v>
      </c>
      <c r="AX403" s="20">
        <v>20</v>
      </c>
      <c r="AY403" s="20">
        <v>226</v>
      </c>
      <c r="AZ403" s="20">
        <v>5.9</v>
      </c>
      <c r="BA403" s="20">
        <v>0</v>
      </c>
      <c r="BB403" s="6">
        <v>41782</v>
      </c>
      <c r="BC403" s="6">
        <v>0</v>
      </c>
      <c r="BD403" s="6">
        <v>41851</v>
      </c>
      <c r="BE403" s="6">
        <v>41881</v>
      </c>
      <c r="BF403" s="6">
        <v>41884</v>
      </c>
      <c r="BG403" s="6">
        <v>41907</v>
      </c>
      <c r="BH403" s="6">
        <v>0</v>
      </c>
      <c r="BI403" s="6">
        <v>0</v>
      </c>
      <c r="BJ403" s="6">
        <v>0</v>
      </c>
      <c r="BK403" s="4" t="s">
        <v>401</v>
      </c>
      <c r="BL403" s="4" t="s">
        <v>401</v>
      </c>
      <c r="BM403" s="20">
        <v>51</v>
      </c>
      <c r="BN403" s="20">
        <v>0</v>
      </c>
      <c r="BO403" s="20">
        <v>0</v>
      </c>
      <c r="BP403" s="20">
        <v>0</v>
      </c>
      <c r="BQ403" s="20">
        <v>0</v>
      </c>
      <c r="BR403" s="20">
        <v>0</v>
      </c>
      <c r="BS403" s="20">
        <v>50</v>
      </c>
      <c r="BT403" s="20">
        <v>379283.00000000006</v>
      </c>
      <c r="BU403" s="20">
        <v>2450000</v>
      </c>
      <c r="BV403" s="20">
        <v>5.8723241676340008</v>
      </c>
    </row>
    <row r="404" spans="1:74">
      <c r="A404" s="10">
        <f t="shared" si="26"/>
        <v>0</v>
      </c>
      <c r="B404" s="10">
        <f t="shared" si="27"/>
        <v>0.33333333333333331</v>
      </c>
      <c r="C404" s="12">
        <f t="shared" si="28"/>
        <v>5</v>
      </c>
      <c r="D404" s="12">
        <f t="shared" si="29"/>
        <v>9</v>
      </c>
      <c r="E404" s="20" t="s">
        <v>386</v>
      </c>
      <c r="F404" s="20" t="s">
        <v>387</v>
      </c>
      <c r="G404" s="20" t="s">
        <v>2174</v>
      </c>
      <c r="H404" s="20" t="s">
        <v>2202</v>
      </c>
      <c r="I404" s="20">
        <v>4</v>
      </c>
      <c r="J404" s="20" t="s">
        <v>2203</v>
      </c>
      <c r="K404" s="20" t="s">
        <v>2204</v>
      </c>
      <c r="L404" s="20" t="s">
        <v>2205</v>
      </c>
      <c r="M404" s="20" t="s">
        <v>387</v>
      </c>
      <c r="N404" s="20" t="s">
        <v>559</v>
      </c>
      <c r="P404" s="20" t="s">
        <v>387</v>
      </c>
      <c r="Q404" s="20" t="s">
        <v>394</v>
      </c>
      <c r="R404" s="20" t="s">
        <v>84</v>
      </c>
      <c r="S404" s="20" t="s">
        <v>123</v>
      </c>
      <c r="T404" s="20" t="s">
        <v>172</v>
      </c>
      <c r="U404" s="20" t="s">
        <v>173</v>
      </c>
      <c r="V404" s="20" t="s">
        <v>87</v>
      </c>
      <c r="W404" s="20">
        <v>512</v>
      </c>
      <c r="X404" s="20">
        <v>512</v>
      </c>
      <c r="Y404" s="20" t="s">
        <v>2206</v>
      </c>
      <c r="Z404" s="20">
        <v>0.33333333333333331</v>
      </c>
      <c r="AA404" s="20" t="s">
        <v>2207</v>
      </c>
      <c r="AB404" s="20" t="s">
        <v>149</v>
      </c>
      <c r="AC404" s="20" t="s">
        <v>150</v>
      </c>
      <c r="AD404" s="20" t="s">
        <v>2208</v>
      </c>
      <c r="AE404" s="20" t="s">
        <v>91</v>
      </c>
      <c r="AF404" s="20">
        <v>0.33333333333333331</v>
      </c>
      <c r="AG404" s="20">
        <v>0</v>
      </c>
      <c r="AH404" s="20">
        <v>1</v>
      </c>
      <c r="AI404" s="4" t="s">
        <v>92</v>
      </c>
      <c r="AJ404" s="20">
        <v>250</v>
      </c>
      <c r="AK404" s="4" t="s">
        <v>111</v>
      </c>
      <c r="AL404" s="4">
        <v>22</v>
      </c>
      <c r="AM404" s="4">
        <v>22</v>
      </c>
      <c r="AN404" s="4" t="s">
        <v>95</v>
      </c>
      <c r="AO404" s="4" t="s">
        <v>96</v>
      </c>
      <c r="AP404" s="4">
        <v>1</v>
      </c>
      <c r="AQ404" s="20">
        <v>49000</v>
      </c>
      <c r="AR404" s="4">
        <v>41850</v>
      </c>
      <c r="AS404" s="20">
        <v>7424.242424242424</v>
      </c>
      <c r="AT404" s="20">
        <v>8522.58</v>
      </c>
      <c r="AU404" s="20">
        <v>1098.3375757575759</v>
      </c>
      <c r="AV404" s="20">
        <v>145</v>
      </c>
      <c r="AW404" s="20">
        <v>0</v>
      </c>
      <c r="AX404" s="20">
        <v>20</v>
      </c>
      <c r="AY404" s="20">
        <v>165</v>
      </c>
      <c r="AZ404" s="20">
        <v>6.7</v>
      </c>
      <c r="BA404" s="20">
        <v>0</v>
      </c>
      <c r="BB404" s="6">
        <v>41782</v>
      </c>
      <c r="BC404" s="6">
        <v>0</v>
      </c>
      <c r="BD404" s="6">
        <v>41851</v>
      </c>
      <c r="BE404" s="6">
        <v>41881</v>
      </c>
      <c r="BF404" s="6">
        <v>41884</v>
      </c>
      <c r="BG404" s="6">
        <v>41907</v>
      </c>
      <c r="BH404" s="6">
        <v>0</v>
      </c>
      <c r="BI404" s="6">
        <v>0</v>
      </c>
      <c r="BJ404" s="6">
        <v>0</v>
      </c>
      <c r="BK404" s="4" t="s">
        <v>401</v>
      </c>
      <c r="BL404" s="4" t="s">
        <v>401</v>
      </c>
      <c r="BM404" s="20">
        <v>40</v>
      </c>
      <c r="BN404" s="20">
        <v>205</v>
      </c>
      <c r="BO404" s="20">
        <v>0</v>
      </c>
      <c r="BP404" s="20">
        <v>0</v>
      </c>
      <c r="BQ404" s="20">
        <v>0</v>
      </c>
      <c r="BR404" s="20">
        <v>0</v>
      </c>
      <c r="BS404" s="20">
        <v>250</v>
      </c>
      <c r="BT404" s="20">
        <v>2130645</v>
      </c>
      <c r="BU404" s="20">
        <v>12250000</v>
      </c>
      <c r="BV404" s="20">
        <v>5.2267569850273681</v>
      </c>
    </row>
    <row r="405" spans="1:74">
      <c r="A405" s="10">
        <f t="shared" si="26"/>
        <v>0</v>
      </c>
      <c r="B405" s="10">
        <f t="shared" si="27"/>
        <v>0.33333333333333331</v>
      </c>
      <c r="C405" s="12">
        <f t="shared" si="28"/>
        <v>5</v>
      </c>
      <c r="D405" s="12">
        <f t="shared" si="29"/>
        <v>9</v>
      </c>
      <c r="E405" s="20" t="s">
        <v>386</v>
      </c>
      <c r="F405" s="20" t="s">
        <v>387</v>
      </c>
      <c r="G405" s="20" t="s">
        <v>2174</v>
      </c>
      <c r="H405" s="20" t="s">
        <v>2202</v>
      </c>
      <c r="I405" s="20">
        <v>4</v>
      </c>
      <c r="J405" s="20" t="s">
        <v>2203</v>
      </c>
      <c r="K405" s="20" t="s">
        <v>2209</v>
      </c>
      <c r="L405" s="20" t="s">
        <v>2205</v>
      </c>
      <c r="M405" s="20" t="s">
        <v>387</v>
      </c>
      <c r="N405" s="20" t="s">
        <v>559</v>
      </c>
      <c r="P405" s="20" t="s">
        <v>387</v>
      </c>
      <c r="Q405" s="20" t="s">
        <v>394</v>
      </c>
      <c r="R405" s="20" t="s">
        <v>84</v>
      </c>
      <c r="S405" s="20" t="s">
        <v>123</v>
      </c>
      <c r="T405" s="20" t="s">
        <v>172</v>
      </c>
      <c r="U405" s="20" t="s">
        <v>173</v>
      </c>
      <c r="V405" s="20" t="s">
        <v>87</v>
      </c>
      <c r="W405" s="20">
        <v>512</v>
      </c>
      <c r="X405" s="20">
        <v>512</v>
      </c>
      <c r="Y405" s="20" t="s">
        <v>2206</v>
      </c>
      <c r="Z405" s="20">
        <v>0.33333333333333331</v>
      </c>
      <c r="AA405" s="20" t="s">
        <v>2207</v>
      </c>
      <c r="AB405" s="20" t="s">
        <v>149</v>
      </c>
      <c r="AC405" s="20" t="s">
        <v>150</v>
      </c>
      <c r="AD405" s="20" t="s">
        <v>2208</v>
      </c>
      <c r="AE405" s="20" t="s">
        <v>91</v>
      </c>
      <c r="AF405" s="20">
        <v>0.33333333333333331</v>
      </c>
      <c r="AG405" s="20">
        <v>0</v>
      </c>
      <c r="AH405" s="20">
        <v>1</v>
      </c>
      <c r="AI405" s="4" t="s">
        <v>97</v>
      </c>
      <c r="AJ405" s="20">
        <v>100</v>
      </c>
      <c r="AK405" s="4" t="s">
        <v>111</v>
      </c>
      <c r="AL405" s="4">
        <v>22</v>
      </c>
      <c r="AM405" s="4">
        <v>22</v>
      </c>
      <c r="AN405" s="4" t="s">
        <v>95</v>
      </c>
      <c r="AO405" s="4" t="s">
        <v>96</v>
      </c>
      <c r="AP405" s="4">
        <v>1</v>
      </c>
      <c r="AQ405" s="20">
        <v>49000</v>
      </c>
      <c r="AR405" s="4">
        <v>41850</v>
      </c>
      <c r="AS405" s="20">
        <v>7424.242424242424</v>
      </c>
      <c r="AT405" s="20">
        <v>8522.58</v>
      </c>
      <c r="AU405" s="20">
        <v>1098.3375757575759</v>
      </c>
      <c r="AV405" s="20">
        <v>145</v>
      </c>
      <c r="AW405" s="20">
        <v>0</v>
      </c>
      <c r="AX405" s="20">
        <v>20</v>
      </c>
      <c r="AY405" s="20">
        <v>165</v>
      </c>
      <c r="AZ405" s="20">
        <v>6.7</v>
      </c>
      <c r="BA405" s="20">
        <v>0</v>
      </c>
      <c r="BB405" s="6">
        <v>41782</v>
      </c>
      <c r="BC405" s="6">
        <v>0</v>
      </c>
      <c r="BD405" s="6">
        <v>41851</v>
      </c>
      <c r="BE405" s="6">
        <v>41881</v>
      </c>
      <c r="BF405" s="6">
        <v>41884</v>
      </c>
      <c r="BG405" s="6">
        <v>41907</v>
      </c>
      <c r="BH405" s="6">
        <v>0</v>
      </c>
      <c r="BI405" s="6">
        <v>0</v>
      </c>
      <c r="BJ405" s="6">
        <v>0</v>
      </c>
      <c r="BK405" s="4" t="s">
        <v>401</v>
      </c>
      <c r="BL405" s="4" t="s">
        <v>401</v>
      </c>
      <c r="BM405" s="20">
        <v>57</v>
      </c>
      <c r="BN405" s="20">
        <v>42</v>
      </c>
      <c r="BO405" s="20">
        <v>0</v>
      </c>
      <c r="BP405" s="20">
        <v>0</v>
      </c>
      <c r="BQ405" s="20">
        <v>0</v>
      </c>
      <c r="BR405" s="20">
        <v>0</v>
      </c>
      <c r="BS405" s="20">
        <v>100</v>
      </c>
      <c r="BT405" s="20">
        <v>852258</v>
      </c>
      <c r="BU405" s="20">
        <v>4900000</v>
      </c>
      <c r="BV405" s="20">
        <v>5.2267569850273681</v>
      </c>
    </row>
    <row r="406" spans="1:74">
      <c r="A406" s="10">
        <f t="shared" si="26"/>
        <v>0</v>
      </c>
      <c r="B406" s="10">
        <f t="shared" si="27"/>
        <v>0.33333333333333331</v>
      </c>
      <c r="C406" s="12">
        <f t="shared" si="28"/>
        <v>5</v>
      </c>
      <c r="D406" s="12">
        <f t="shared" si="29"/>
        <v>9</v>
      </c>
      <c r="E406" s="20" t="s">
        <v>386</v>
      </c>
      <c r="F406" s="20" t="s">
        <v>387</v>
      </c>
      <c r="G406" s="20" t="s">
        <v>2174</v>
      </c>
      <c r="H406" s="20" t="s">
        <v>2202</v>
      </c>
      <c r="I406" s="20">
        <v>4</v>
      </c>
      <c r="J406" s="20" t="s">
        <v>2203</v>
      </c>
      <c r="K406" s="20" t="s">
        <v>2210</v>
      </c>
      <c r="L406" s="20" t="s">
        <v>2205</v>
      </c>
      <c r="M406" s="20" t="s">
        <v>387</v>
      </c>
      <c r="N406" s="20" t="s">
        <v>559</v>
      </c>
      <c r="P406" s="20" t="s">
        <v>387</v>
      </c>
      <c r="Q406" s="20" t="s">
        <v>394</v>
      </c>
      <c r="R406" s="20" t="s">
        <v>84</v>
      </c>
      <c r="S406" s="20" t="s">
        <v>123</v>
      </c>
      <c r="T406" s="20" t="s">
        <v>172</v>
      </c>
      <c r="U406" s="20" t="s">
        <v>173</v>
      </c>
      <c r="V406" s="20" t="s">
        <v>87</v>
      </c>
      <c r="W406" s="20">
        <v>512</v>
      </c>
      <c r="X406" s="20">
        <v>512</v>
      </c>
      <c r="Y406" s="20" t="s">
        <v>2206</v>
      </c>
      <c r="Z406" s="20">
        <v>0.33333333333333331</v>
      </c>
      <c r="AA406" s="20" t="s">
        <v>2207</v>
      </c>
      <c r="AB406" s="20" t="s">
        <v>149</v>
      </c>
      <c r="AC406" s="20" t="s">
        <v>150</v>
      </c>
      <c r="AD406" s="20" t="s">
        <v>2208</v>
      </c>
      <c r="AE406" s="20" t="s">
        <v>91</v>
      </c>
      <c r="AF406" s="20">
        <v>0.33333333333333331</v>
      </c>
      <c r="AG406" s="20">
        <v>0</v>
      </c>
      <c r="AH406" s="20">
        <v>1</v>
      </c>
      <c r="AI406" s="4" t="s">
        <v>98</v>
      </c>
      <c r="AJ406" s="20">
        <v>50</v>
      </c>
      <c r="AK406" s="4" t="s">
        <v>111</v>
      </c>
      <c r="AL406" s="4">
        <v>22</v>
      </c>
      <c r="AM406" s="4">
        <v>22</v>
      </c>
      <c r="AN406" s="4" t="s">
        <v>95</v>
      </c>
      <c r="AO406" s="4" t="s">
        <v>96</v>
      </c>
      <c r="AP406" s="4">
        <v>1</v>
      </c>
      <c r="AQ406" s="20">
        <v>49000</v>
      </c>
      <c r="AR406" s="4">
        <v>41850</v>
      </c>
      <c r="AS406" s="20">
        <v>7424.242424242424</v>
      </c>
      <c r="AT406" s="20">
        <v>8522.58</v>
      </c>
      <c r="AU406" s="20">
        <v>1098.3375757575759</v>
      </c>
      <c r="AV406" s="20">
        <v>145</v>
      </c>
      <c r="AW406" s="20">
        <v>0</v>
      </c>
      <c r="AX406" s="20">
        <v>20</v>
      </c>
      <c r="AY406" s="20">
        <v>165</v>
      </c>
      <c r="AZ406" s="20">
        <v>6.7</v>
      </c>
      <c r="BA406" s="20">
        <v>0</v>
      </c>
      <c r="BB406" s="6">
        <v>41782</v>
      </c>
      <c r="BC406" s="6">
        <v>0</v>
      </c>
      <c r="BD406" s="6">
        <v>41851</v>
      </c>
      <c r="BE406" s="6">
        <v>41881</v>
      </c>
      <c r="BF406" s="6">
        <v>41884</v>
      </c>
      <c r="BG406" s="6">
        <v>41907</v>
      </c>
      <c r="BH406" s="6">
        <v>0</v>
      </c>
      <c r="BI406" s="6">
        <v>0</v>
      </c>
      <c r="BJ406" s="6">
        <v>0</v>
      </c>
      <c r="BK406" s="4" t="s">
        <v>401</v>
      </c>
      <c r="BL406" s="4" t="s">
        <v>401</v>
      </c>
      <c r="BM406" s="20">
        <v>47</v>
      </c>
      <c r="BN406" s="20">
        <v>1</v>
      </c>
      <c r="BO406" s="20">
        <v>0</v>
      </c>
      <c r="BP406" s="20">
        <v>0</v>
      </c>
      <c r="BQ406" s="20">
        <v>0</v>
      </c>
      <c r="BR406" s="20">
        <v>0</v>
      </c>
      <c r="BS406" s="20">
        <v>50</v>
      </c>
      <c r="BT406" s="20">
        <v>426129</v>
      </c>
      <c r="BU406" s="20">
        <v>2450000</v>
      </c>
      <c r="BV406" s="20">
        <v>5.2267569850273681</v>
      </c>
    </row>
    <row r="407" spans="1:74">
      <c r="A407" s="10">
        <f t="shared" si="26"/>
        <v>0</v>
      </c>
      <c r="B407" s="10">
        <f t="shared" si="27"/>
        <v>0</v>
      </c>
      <c r="C407" s="12">
        <f t="shared" si="28"/>
        <v>5</v>
      </c>
      <c r="D407" s="12">
        <f t="shared" si="29"/>
        <v>10</v>
      </c>
      <c r="E407" s="20" t="s">
        <v>386</v>
      </c>
      <c r="F407" s="20" t="s">
        <v>387</v>
      </c>
      <c r="G407" s="20" t="s">
        <v>2174</v>
      </c>
      <c r="H407" s="20" t="s">
        <v>2211</v>
      </c>
      <c r="I407" s="20">
        <v>5</v>
      </c>
      <c r="J407" s="20" t="s">
        <v>2212</v>
      </c>
      <c r="K407" s="20" t="s">
        <v>2213</v>
      </c>
      <c r="L407" s="20" t="s">
        <v>2214</v>
      </c>
      <c r="M407" s="20" t="s">
        <v>387</v>
      </c>
      <c r="N407" s="20" t="s">
        <v>559</v>
      </c>
      <c r="P407" s="20" t="s">
        <v>387</v>
      </c>
      <c r="Q407" s="20" t="s">
        <v>394</v>
      </c>
      <c r="R407" s="20" t="s">
        <v>84</v>
      </c>
      <c r="S407" s="20">
        <v>5</v>
      </c>
      <c r="T407" s="20" t="s">
        <v>172</v>
      </c>
      <c r="U407" s="20" t="s">
        <v>173</v>
      </c>
      <c r="V407" s="20" t="s">
        <v>87</v>
      </c>
      <c r="W407" s="20">
        <v>513</v>
      </c>
      <c r="X407" s="20">
        <v>513</v>
      </c>
      <c r="Y407" s="20" t="s">
        <v>2215</v>
      </c>
      <c r="Z407" s="20">
        <v>0.5</v>
      </c>
      <c r="AA407" s="20" t="s">
        <v>2216</v>
      </c>
      <c r="AB407" s="20" t="s">
        <v>101</v>
      </c>
      <c r="AC407" s="20" t="s">
        <v>102</v>
      </c>
      <c r="AD407" s="20" t="s">
        <v>2217</v>
      </c>
      <c r="AE407" s="20" t="s">
        <v>91</v>
      </c>
      <c r="AF407" s="20">
        <v>0.5</v>
      </c>
      <c r="AG407" s="20">
        <v>0</v>
      </c>
      <c r="AH407" s="20">
        <v>1</v>
      </c>
      <c r="AI407" s="4" t="s">
        <v>97</v>
      </c>
      <c r="AJ407" s="20">
        <v>100</v>
      </c>
      <c r="AK407" s="4" t="s">
        <v>111</v>
      </c>
      <c r="AL407" s="4">
        <v>22</v>
      </c>
      <c r="AM407" s="4">
        <v>22</v>
      </c>
      <c r="AN407" s="4" t="s">
        <v>95</v>
      </c>
      <c r="AO407" s="4" t="s">
        <v>96</v>
      </c>
      <c r="AP407" s="4">
        <v>1</v>
      </c>
      <c r="AQ407" s="20">
        <v>55000</v>
      </c>
      <c r="AR407" s="4">
        <v>41850</v>
      </c>
      <c r="AS407" s="20">
        <v>8333.3333333333321</v>
      </c>
      <c r="AT407" s="20">
        <v>10685.270000000002</v>
      </c>
      <c r="AU407" s="20">
        <v>2351.9366666666701</v>
      </c>
      <c r="AV407" s="20">
        <v>0</v>
      </c>
      <c r="AW407" s="20">
        <v>0</v>
      </c>
      <c r="AX407" s="20">
        <v>20</v>
      </c>
      <c r="AY407" s="20">
        <v>20</v>
      </c>
      <c r="AZ407" s="20">
        <v>8.5500000000000007</v>
      </c>
      <c r="BA407" s="20">
        <v>0</v>
      </c>
      <c r="BB407" s="6">
        <v>41782</v>
      </c>
      <c r="BC407" s="6">
        <v>0</v>
      </c>
      <c r="BD407" s="6">
        <v>41851</v>
      </c>
      <c r="BE407" s="6">
        <v>41881</v>
      </c>
      <c r="BF407" s="6">
        <v>41914</v>
      </c>
      <c r="BG407" s="6">
        <v>41940</v>
      </c>
      <c r="BH407" s="6">
        <v>0</v>
      </c>
      <c r="BI407" s="6">
        <v>0</v>
      </c>
      <c r="BJ407" s="6">
        <v>0</v>
      </c>
      <c r="BK407" s="4" t="s">
        <v>401</v>
      </c>
      <c r="BL407" s="4" t="s">
        <v>401</v>
      </c>
      <c r="BM407" s="20">
        <v>100</v>
      </c>
      <c r="BN407" s="20">
        <v>0</v>
      </c>
      <c r="BO407" s="20">
        <v>0</v>
      </c>
      <c r="BP407" s="20">
        <v>0</v>
      </c>
      <c r="BQ407" s="20">
        <v>0</v>
      </c>
      <c r="BR407" s="20">
        <v>0</v>
      </c>
      <c r="BS407" s="20">
        <v>100</v>
      </c>
      <c r="BT407" s="20">
        <v>1068527.0000000002</v>
      </c>
      <c r="BU407" s="20">
        <v>5500000</v>
      </c>
      <c r="BV407" s="20">
        <v>4.6793389404292061</v>
      </c>
    </row>
    <row r="408" spans="1:74">
      <c r="A408" s="10">
        <f t="shared" si="26"/>
        <v>0</v>
      </c>
      <c r="B408" s="10">
        <f t="shared" si="27"/>
        <v>0</v>
      </c>
      <c r="C408" s="12">
        <f t="shared" si="28"/>
        <v>5</v>
      </c>
      <c r="D408" s="12">
        <f t="shared" si="29"/>
        <v>10</v>
      </c>
      <c r="E408" s="20" t="s">
        <v>386</v>
      </c>
      <c r="F408" s="20" t="s">
        <v>387</v>
      </c>
      <c r="G408" s="20" t="s">
        <v>2174</v>
      </c>
      <c r="H408" s="20" t="s">
        <v>2211</v>
      </c>
      <c r="I408" s="20">
        <v>5</v>
      </c>
      <c r="J408" s="20" t="s">
        <v>2212</v>
      </c>
      <c r="K408" s="20" t="s">
        <v>2218</v>
      </c>
      <c r="L408" s="20" t="s">
        <v>2214</v>
      </c>
      <c r="M408" s="20" t="s">
        <v>387</v>
      </c>
      <c r="N408" s="20" t="s">
        <v>559</v>
      </c>
      <c r="P408" s="20" t="s">
        <v>387</v>
      </c>
      <c r="Q408" s="20" t="s">
        <v>394</v>
      </c>
      <c r="R408" s="20" t="s">
        <v>84</v>
      </c>
      <c r="S408" s="20">
        <v>5</v>
      </c>
      <c r="T408" s="20" t="s">
        <v>172</v>
      </c>
      <c r="U408" s="20" t="s">
        <v>173</v>
      </c>
      <c r="V408" s="20" t="s">
        <v>87</v>
      </c>
      <c r="W408" s="20">
        <v>513</v>
      </c>
      <c r="X408" s="20">
        <v>513</v>
      </c>
      <c r="Y408" s="20" t="s">
        <v>2215</v>
      </c>
      <c r="Z408" s="20">
        <v>0.5</v>
      </c>
      <c r="AA408" s="20" t="s">
        <v>2216</v>
      </c>
      <c r="AB408" s="20" t="s">
        <v>101</v>
      </c>
      <c r="AC408" s="20" t="s">
        <v>102</v>
      </c>
      <c r="AD408" s="20" t="s">
        <v>2217</v>
      </c>
      <c r="AE408" s="20" t="s">
        <v>91</v>
      </c>
      <c r="AF408" s="20">
        <v>0.5</v>
      </c>
      <c r="AG408" s="20">
        <v>0</v>
      </c>
      <c r="AH408" s="20">
        <v>1</v>
      </c>
      <c r="AI408" s="4" t="s">
        <v>98</v>
      </c>
      <c r="AJ408" s="20">
        <v>50</v>
      </c>
      <c r="AK408" s="4" t="s">
        <v>111</v>
      </c>
      <c r="AL408" s="4">
        <v>22</v>
      </c>
      <c r="AM408" s="4">
        <v>22</v>
      </c>
      <c r="AN408" s="4" t="s">
        <v>95</v>
      </c>
      <c r="AO408" s="4" t="s">
        <v>96</v>
      </c>
      <c r="AP408" s="4">
        <v>1</v>
      </c>
      <c r="AQ408" s="20">
        <v>55000</v>
      </c>
      <c r="AR408" s="4">
        <v>41850</v>
      </c>
      <c r="AS408" s="20">
        <v>8333.3333333333321</v>
      </c>
      <c r="AT408" s="20">
        <v>10685.270000000002</v>
      </c>
      <c r="AU408" s="20">
        <v>2351.9366666666701</v>
      </c>
      <c r="AV408" s="20">
        <v>0</v>
      </c>
      <c r="AW408" s="20">
        <v>0</v>
      </c>
      <c r="AX408" s="20">
        <v>20</v>
      </c>
      <c r="AY408" s="20">
        <v>20</v>
      </c>
      <c r="AZ408" s="20">
        <v>8.5500000000000007</v>
      </c>
      <c r="BA408" s="20">
        <v>0</v>
      </c>
      <c r="BB408" s="6">
        <v>41782</v>
      </c>
      <c r="BC408" s="6">
        <v>0</v>
      </c>
      <c r="BD408" s="6">
        <v>41851</v>
      </c>
      <c r="BE408" s="6">
        <v>41881</v>
      </c>
      <c r="BF408" s="6">
        <v>41940</v>
      </c>
      <c r="BG408" s="6">
        <v>41940</v>
      </c>
      <c r="BH408" s="6">
        <v>0</v>
      </c>
      <c r="BI408" s="6">
        <v>0</v>
      </c>
      <c r="BJ408" s="6">
        <v>0</v>
      </c>
      <c r="BK408" s="4" t="s">
        <v>401</v>
      </c>
      <c r="BL408" s="4" t="s">
        <v>401</v>
      </c>
      <c r="BM408" s="20">
        <v>45</v>
      </c>
      <c r="BN408" s="20">
        <v>45</v>
      </c>
      <c r="BO408" s="20">
        <v>0</v>
      </c>
      <c r="BP408" s="20">
        <v>0</v>
      </c>
      <c r="BQ408" s="20">
        <v>0</v>
      </c>
      <c r="BR408" s="20">
        <v>0</v>
      </c>
      <c r="BS408" s="20">
        <v>50</v>
      </c>
      <c r="BT408" s="20">
        <v>534263.50000000012</v>
      </c>
      <c r="BU408" s="20">
        <v>2750000</v>
      </c>
      <c r="BV408" s="20">
        <v>4.6793389404292061</v>
      </c>
    </row>
    <row r="409" spans="1:74">
      <c r="A409" s="10">
        <f t="shared" si="26"/>
        <v>0</v>
      </c>
      <c r="B409" s="10">
        <f t="shared" si="27"/>
        <v>0</v>
      </c>
      <c r="C409" s="12" t="str">
        <f t="shared" si="28"/>
        <v/>
      </c>
      <c r="D409" s="12" t="str">
        <f t="shared" si="29"/>
        <v/>
      </c>
      <c r="E409" s="20" t="s">
        <v>91</v>
      </c>
      <c r="F409" s="20" t="s">
        <v>91</v>
      </c>
      <c r="G409" s="20" t="s">
        <v>91</v>
      </c>
      <c r="H409" s="20" t="s">
        <v>91</v>
      </c>
      <c r="I409" s="20">
        <v>0</v>
      </c>
      <c r="J409" s="20" t="s">
        <v>103</v>
      </c>
      <c r="K409" s="20" t="s">
        <v>104</v>
      </c>
      <c r="L409" s="20">
        <v>0</v>
      </c>
      <c r="M409" s="20" t="s">
        <v>105</v>
      </c>
      <c r="N409" s="20" t="s">
        <v>91</v>
      </c>
      <c r="O409" s="20" t="s">
        <v>2219</v>
      </c>
      <c r="Q409" s="20" t="s">
        <v>91</v>
      </c>
      <c r="R409" s="20" t="s">
        <v>91</v>
      </c>
      <c r="S409" s="20" t="s">
        <v>91</v>
      </c>
      <c r="U409" s="20" t="s">
        <v>91</v>
      </c>
      <c r="V409" s="20" t="s">
        <v>87</v>
      </c>
      <c r="X409" s="20" t="s">
        <v>91</v>
      </c>
      <c r="Y409" s="20" t="s">
        <v>91</v>
      </c>
      <c r="Z409" s="20">
        <v>5</v>
      </c>
      <c r="AB409" s="20" t="s">
        <v>91</v>
      </c>
      <c r="AD409" s="20" t="s">
        <v>91</v>
      </c>
      <c r="AE409" s="20" t="s">
        <v>91</v>
      </c>
      <c r="AF409" s="20">
        <v>5</v>
      </c>
      <c r="AG409" s="20">
        <v>0</v>
      </c>
      <c r="AH409" s="20">
        <v>1</v>
      </c>
      <c r="AM409" s="4" t="s">
        <v>91</v>
      </c>
      <c r="AP409" s="4" t="s">
        <v>91</v>
      </c>
      <c r="AQ409" s="20">
        <v>0</v>
      </c>
      <c r="AR409" s="4">
        <v>0</v>
      </c>
      <c r="AS409" s="20">
        <v>0</v>
      </c>
      <c r="AT409" s="20">
        <v>0</v>
      </c>
      <c r="AU409" s="20">
        <v>0</v>
      </c>
      <c r="AV409" s="20">
        <v>0</v>
      </c>
      <c r="AW409" s="20">
        <v>0</v>
      </c>
      <c r="AX409" s="20" t="s">
        <v>91</v>
      </c>
      <c r="AY409" s="20">
        <v>0</v>
      </c>
      <c r="AZ409" s="20">
        <v>0</v>
      </c>
      <c r="BA409" s="20">
        <v>0</v>
      </c>
      <c r="BB409" s="6">
        <v>0</v>
      </c>
      <c r="BC409" s="6">
        <v>0</v>
      </c>
      <c r="BD409" s="6">
        <v>0</v>
      </c>
      <c r="BE409" s="6">
        <v>0</v>
      </c>
      <c r="BF409" s="6">
        <v>0</v>
      </c>
      <c r="BG409" s="6">
        <v>0</v>
      </c>
      <c r="BH409" s="6">
        <v>0</v>
      </c>
      <c r="BI409" s="6">
        <v>0</v>
      </c>
      <c r="BJ409" s="6">
        <v>0</v>
      </c>
      <c r="BK409" s="4">
        <v>0</v>
      </c>
      <c r="BL409" s="4">
        <v>0</v>
      </c>
      <c r="BM409" s="20">
        <v>1026</v>
      </c>
      <c r="BN409" s="20">
        <v>895</v>
      </c>
      <c r="BO409" s="20">
        <v>0</v>
      </c>
      <c r="BP409" s="20">
        <v>0</v>
      </c>
      <c r="BQ409" s="20">
        <v>0</v>
      </c>
      <c r="BR409" s="20">
        <v>0</v>
      </c>
      <c r="BS409" s="20">
        <v>1910</v>
      </c>
      <c r="BT409" s="20">
        <v>15927782.5</v>
      </c>
      <c r="BU409" s="20">
        <v>94490000</v>
      </c>
      <c r="BV409" s="20">
        <v>5.3930922273706337</v>
      </c>
    </row>
    <row r="410" spans="1:74">
      <c r="A410" s="10">
        <f t="shared" si="26"/>
        <v>0</v>
      </c>
      <c r="B410" s="10">
        <f t="shared" si="27"/>
        <v>0</v>
      </c>
      <c r="C410" s="12">
        <f t="shared" si="28"/>
        <v>5</v>
      </c>
      <c r="D410" s="12">
        <f t="shared" si="29"/>
        <v>10</v>
      </c>
      <c r="E410" s="20" t="s">
        <v>114</v>
      </c>
      <c r="F410" s="20" t="s">
        <v>1760</v>
      </c>
      <c r="G410" s="20" t="s">
        <v>2220</v>
      </c>
      <c r="H410" s="20" t="s">
        <v>2221</v>
      </c>
      <c r="I410" s="20">
        <v>1</v>
      </c>
      <c r="J410" s="20" t="s">
        <v>2222</v>
      </c>
      <c r="K410" s="20" t="s">
        <v>2223</v>
      </c>
      <c r="L410" s="20" t="s">
        <v>2224</v>
      </c>
      <c r="M410" s="20" t="s">
        <v>1760</v>
      </c>
      <c r="N410" s="20" t="s">
        <v>1794</v>
      </c>
      <c r="P410" s="20" t="s">
        <v>1760</v>
      </c>
      <c r="Q410" s="20" t="s">
        <v>1767</v>
      </c>
      <c r="R410" s="20" t="s">
        <v>84</v>
      </c>
      <c r="S410" s="20">
        <v>5</v>
      </c>
      <c r="T410" s="20" t="s">
        <v>395</v>
      </c>
      <c r="U410" s="20" t="s">
        <v>396</v>
      </c>
      <c r="V410" s="20" t="s">
        <v>87</v>
      </c>
      <c r="W410" s="20">
        <v>503</v>
      </c>
      <c r="X410" s="20">
        <v>503</v>
      </c>
      <c r="Y410" s="20" t="s">
        <v>2225</v>
      </c>
      <c r="Z410" s="20">
        <v>1</v>
      </c>
      <c r="AA410" s="20" t="s">
        <v>2226</v>
      </c>
      <c r="AB410" s="20" t="s">
        <v>101</v>
      </c>
      <c r="AC410" s="20" t="s">
        <v>102</v>
      </c>
      <c r="AD410" s="20" t="s">
        <v>2227</v>
      </c>
      <c r="AE410" s="20" t="s">
        <v>91</v>
      </c>
      <c r="AF410" s="20">
        <v>1</v>
      </c>
      <c r="AG410" s="20">
        <v>0</v>
      </c>
      <c r="AH410" s="20">
        <v>1</v>
      </c>
      <c r="AI410" s="4" t="s">
        <v>251</v>
      </c>
      <c r="AJ410" s="20">
        <v>150</v>
      </c>
      <c r="AK410" s="4" t="s">
        <v>179</v>
      </c>
      <c r="AL410" s="4">
        <v>18</v>
      </c>
      <c r="AM410" s="4">
        <v>18</v>
      </c>
      <c r="AN410" s="4" t="s">
        <v>95</v>
      </c>
      <c r="AO410" s="4" t="s">
        <v>96</v>
      </c>
      <c r="AP410" s="4">
        <v>1</v>
      </c>
      <c r="AQ410" s="20">
        <v>55000</v>
      </c>
      <c r="AR410" s="4">
        <v>41827</v>
      </c>
      <c r="AS410" s="20">
        <v>8333.3333333333321</v>
      </c>
      <c r="AT410" s="20">
        <v>12417.260000000004</v>
      </c>
      <c r="AU410" s="20">
        <v>4083.9266666666717</v>
      </c>
      <c r="AV410" s="20">
        <v>0</v>
      </c>
      <c r="AW410" s="20">
        <v>48</v>
      </c>
      <c r="AX410" s="20">
        <v>20</v>
      </c>
      <c r="AY410" s="20">
        <v>68</v>
      </c>
      <c r="AZ410" s="20">
        <v>9.9</v>
      </c>
      <c r="BA410" s="20">
        <v>0</v>
      </c>
      <c r="BB410" s="6">
        <v>41782</v>
      </c>
      <c r="BC410" s="6">
        <v>0</v>
      </c>
      <c r="BD410" s="6">
        <v>41879</v>
      </c>
      <c r="BE410" s="6">
        <v>41912</v>
      </c>
      <c r="BF410" s="6">
        <v>41913</v>
      </c>
      <c r="BH410" s="6">
        <v>0</v>
      </c>
      <c r="BI410" s="6">
        <v>0</v>
      </c>
      <c r="BJ410" s="6">
        <v>0</v>
      </c>
      <c r="BK410" s="4" t="s">
        <v>401</v>
      </c>
      <c r="BL410" s="4" t="s">
        <v>401</v>
      </c>
      <c r="BM410" s="20">
        <v>150</v>
      </c>
      <c r="BN410" s="20">
        <v>0</v>
      </c>
      <c r="BO410" s="20">
        <v>0</v>
      </c>
      <c r="BP410" s="20">
        <v>0</v>
      </c>
      <c r="BQ410" s="20">
        <v>0</v>
      </c>
      <c r="BR410" s="20">
        <v>0</v>
      </c>
      <c r="BS410" s="20">
        <v>150</v>
      </c>
      <c r="BT410" s="20">
        <v>1862589.0000000005</v>
      </c>
      <c r="BU410" s="20">
        <v>8250000</v>
      </c>
      <c r="BV410" s="20">
        <v>4.0266532230137715</v>
      </c>
    </row>
    <row r="411" spans="1:74">
      <c r="A411" s="10">
        <f t="shared" si="26"/>
        <v>0</v>
      </c>
      <c r="B411" s="10">
        <f t="shared" si="27"/>
        <v>0</v>
      </c>
      <c r="C411" s="12">
        <f t="shared" si="28"/>
        <v>5</v>
      </c>
      <c r="D411" s="12">
        <f t="shared" si="29"/>
        <v>10</v>
      </c>
      <c r="E411" s="20" t="s">
        <v>114</v>
      </c>
      <c r="F411" s="20" t="s">
        <v>1760</v>
      </c>
      <c r="G411" s="20" t="s">
        <v>2220</v>
      </c>
      <c r="H411" s="20" t="s">
        <v>2228</v>
      </c>
      <c r="I411" s="20">
        <v>2</v>
      </c>
      <c r="J411" s="20" t="s">
        <v>2229</v>
      </c>
      <c r="K411" s="20" t="s">
        <v>2230</v>
      </c>
      <c r="L411" s="20" t="s">
        <v>2231</v>
      </c>
      <c r="M411" s="20" t="s">
        <v>1760</v>
      </c>
      <c r="N411" s="20" t="s">
        <v>1794</v>
      </c>
      <c r="P411" s="20" t="s">
        <v>1760</v>
      </c>
      <c r="Q411" s="20" t="s">
        <v>1767</v>
      </c>
      <c r="R411" s="20" t="s">
        <v>84</v>
      </c>
      <c r="S411" s="20">
        <v>5</v>
      </c>
      <c r="T411" s="20" t="s">
        <v>395</v>
      </c>
      <c r="U411" s="20" t="s">
        <v>396</v>
      </c>
      <c r="V411" s="20" t="s">
        <v>87</v>
      </c>
      <c r="W411" s="20">
        <v>504</v>
      </c>
      <c r="X411" s="20">
        <v>504</v>
      </c>
      <c r="Y411" s="20" t="s">
        <v>2232</v>
      </c>
      <c r="Z411" s="20">
        <v>1</v>
      </c>
      <c r="AA411" s="20" t="s">
        <v>2233</v>
      </c>
      <c r="AB411" s="20" t="s">
        <v>139</v>
      </c>
      <c r="AC411" s="20" t="s">
        <v>140</v>
      </c>
      <c r="AD411" s="20" t="s">
        <v>2234</v>
      </c>
      <c r="AE411" s="20" t="s">
        <v>91</v>
      </c>
      <c r="AF411" s="20">
        <v>1</v>
      </c>
      <c r="AG411" s="20">
        <v>0</v>
      </c>
      <c r="AH411" s="20">
        <v>1</v>
      </c>
      <c r="AI411" s="4" t="s">
        <v>251</v>
      </c>
      <c r="AJ411" s="20">
        <v>150</v>
      </c>
      <c r="AK411" s="4" t="s">
        <v>179</v>
      </c>
      <c r="AL411" s="4">
        <v>18</v>
      </c>
      <c r="AM411" s="4">
        <v>18</v>
      </c>
      <c r="AN411" s="4" t="s">
        <v>95</v>
      </c>
      <c r="AO411" s="4" t="s">
        <v>96</v>
      </c>
      <c r="AP411" s="4">
        <v>1</v>
      </c>
      <c r="AQ411" s="20">
        <v>55000</v>
      </c>
      <c r="AR411" s="4">
        <v>41827</v>
      </c>
      <c r="AS411" s="20">
        <v>8333.3333333333321</v>
      </c>
      <c r="AT411" s="20">
        <v>12417.260000000004</v>
      </c>
      <c r="AU411" s="20">
        <v>4083.9266666666717</v>
      </c>
      <c r="AV411" s="20">
        <v>0</v>
      </c>
      <c r="AW411" s="20">
        <v>48</v>
      </c>
      <c r="AX411" s="20">
        <v>20</v>
      </c>
      <c r="AY411" s="20">
        <v>68</v>
      </c>
      <c r="AZ411" s="20">
        <v>9.9</v>
      </c>
      <c r="BA411" s="20">
        <v>0</v>
      </c>
      <c r="BB411" s="6">
        <v>41782</v>
      </c>
      <c r="BC411" s="6">
        <v>0</v>
      </c>
      <c r="BD411" s="6">
        <v>41879</v>
      </c>
      <c r="BE411" s="6">
        <v>41912</v>
      </c>
      <c r="BF411" s="6">
        <v>41913</v>
      </c>
      <c r="BH411" s="6">
        <v>0</v>
      </c>
      <c r="BI411" s="6">
        <v>0</v>
      </c>
      <c r="BJ411" s="6">
        <v>0</v>
      </c>
      <c r="BK411" s="4" t="s">
        <v>401</v>
      </c>
      <c r="BL411" s="4" t="s">
        <v>401</v>
      </c>
      <c r="BM411" s="20">
        <v>150</v>
      </c>
      <c r="BN411" s="20">
        <v>0</v>
      </c>
      <c r="BO411" s="20">
        <v>0</v>
      </c>
      <c r="BP411" s="20">
        <v>0</v>
      </c>
      <c r="BQ411" s="20">
        <v>0</v>
      </c>
      <c r="BR411" s="20">
        <v>0</v>
      </c>
      <c r="BS411" s="20">
        <v>150</v>
      </c>
      <c r="BT411" s="20">
        <v>1862589.0000000005</v>
      </c>
      <c r="BU411" s="20">
        <v>8250000</v>
      </c>
      <c r="BV411" s="20">
        <v>4.0266532230137715</v>
      </c>
    </row>
    <row r="412" spans="1:74">
      <c r="A412" s="10">
        <f t="shared" si="26"/>
        <v>0</v>
      </c>
      <c r="B412" s="10">
        <f t="shared" si="27"/>
        <v>0</v>
      </c>
      <c r="C412" s="12" t="str">
        <f t="shared" si="28"/>
        <v/>
      </c>
      <c r="D412" s="12" t="str">
        <f t="shared" si="29"/>
        <v/>
      </c>
      <c r="E412" s="20" t="s">
        <v>91</v>
      </c>
      <c r="F412" s="20" t="s">
        <v>91</v>
      </c>
      <c r="G412" s="20" t="s">
        <v>91</v>
      </c>
      <c r="H412" s="20" t="s">
        <v>91</v>
      </c>
      <c r="I412" s="20">
        <v>0</v>
      </c>
      <c r="J412" s="20" t="s">
        <v>103</v>
      </c>
      <c r="K412" s="20" t="s">
        <v>104</v>
      </c>
      <c r="L412" s="20">
        <v>0</v>
      </c>
      <c r="M412" s="20" t="s">
        <v>105</v>
      </c>
      <c r="N412" s="20" t="s">
        <v>91</v>
      </c>
      <c r="O412" s="20" t="s">
        <v>2235</v>
      </c>
      <c r="Q412" s="20" t="s">
        <v>91</v>
      </c>
      <c r="R412" s="20" t="s">
        <v>91</v>
      </c>
      <c r="S412" s="20" t="s">
        <v>91</v>
      </c>
      <c r="U412" s="20" t="s">
        <v>91</v>
      </c>
      <c r="V412" s="20" t="s">
        <v>87</v>
      </c>
      <c r="X412" s="20" t="s">
        <v>91</v>
      </c>
      <c r="Y412" s="20" t="s">
        <v>91</v>
      </c>
      <c r="Z412" s="20">
        <v>2</v>
      </c>
      <c r="AB412" s="20" t="s">
        <v>91</v>
      </c>
      <c r="AD412" s="20" t="s">
        <v>91</v>
      </c>
      <c r="AE412" s="20" t="s">
        <v>91</v>
      </c>
      <c r="AF412" s="20">
        <v>2</v>
      </c>
      <c r="AG412" s="20">
        <v>0</v>
      </c>
      <c r="AH412" s="20">
        <v>1</v>
      </c>
      <c r="AM412" s="4" t="s">
        <v>91</v>
      </c>
      <c r="AP412" s="4" t="s">
        <v>91</v>
      </c>
      <c r="AQ412" s="20">
        <v>0</v>
      </c>
      <c r="AR412" s="4">
        <v>0</v>
      </c>
      <c r="AS412" s="20">
        <v>0</v>
      </c>
      <c r="AT412" s="20">
        <v>0</v>
      </c>
      <c r="AU412" s="20">
        <v>0</v>
      </c>
      <c r="AV412" s="20">
        <v>0</v>
      </c>
      <c r="AW412" s="20">
        <v>0</v>
      </c>
      <c r="AX412" s="20" t="s">
        <v>91</v>
      </c>
      <c r="AY412" s="20">
        <v>0</v>
      </c>
      <c r="AZ412" s="20">
        <v>0</v>
      </c>
      <c r="BA412" s="20">
        <v>0</v>
      </c>
      <c r="BB412" s="6">
        <v>0</v>
      </c>
      <c r="BC412" s="6">
        <v>0</v>
      </c>
      <c r="BD412" s="6">
        <v>0</v>
      </c>
      <c r="BE412" s="6">
        <v>0</v>
      </c>
      <c r="BF412" s="6">
        <v>0</v>
      </c>
      <c r="BG412" s="6">
        <v>0</v>
      </c>
      <c r="BH412" s="6">
        <v>0</v>
      </c>
      <c r="BI412" s="6">
        <v>0</v>
      </c>
      <c r="BJ412" s="6">
        <v>0</v>
      </c>
      <c r="BK412" s="4">
        <v>0</v>
      </c>
      <c r="BL412" s="4">
        <v>0</v>
      </c>
      <c r="BM412" s="20">
        <v>300</v>
      </c>
      <c r="BN412" s="20">
        <v>0</v>
      </c>
      <c r="BO412" s="20">
        <v>0</v>
      </c>
      <c r="BP412" s="20">
        <v>0</v>
      </c>
      <c r="BQ412" s="20">
        <v>0</v>
      </c>
      <c r="BR412" s="20">
        <v>0</v>
      </c>
      <c r="BS412" s="20">
        <v>300</v>
      </c>
      <c r="BT412" s="20">
        <v>3725178.0000000009</v>
      </c>
      <c r="BU412" s="20">
        <v>16500000</v>
      </c>
      <c r="BV412" s="20">
        <v>4.0266532230137715</v>
      </c>
    </row>
    <row r="413" spans="1:74">
      <c r="A413" s="10">
        <f t="shared" si="26"/>
        <v>0</v>
      </c>
      <c r="B413" s="10">
        <f t="shared" si="27"/>
        <v>0</v>
      </c>
      <c r="C413" s="12">
        <f t="shared" si="28"/>
        <v>5</v>
      </c>
      <c r="D413" s="12">
        <f t="shared" si="29"/>
        <v>9</v>
      </c>
      <c r="E413" s="20" t="s">
        <v>114</v>
      </c>
      <c r="F413" s="20" t="s">
        <v>115</v>
      </c>
      <c r="G413" s="20" t="s">
        <v>2236</v>
      </c>
      <c r="H413" s="20" t="s">
        <v>2237</v>
      </c>
      <c r="I413" s="20">
        <v>1</v>
      </c>
      <c r="J413" s="20" t="s">
        <v>2238</v>
      </c>
      <c r="K413" s="20" t="s">
        <v>2239</v>
      </c>
      <c r="L413" s="20" t="s">
        <v>2240</v>
      </c>
      <c r="M413" s="20" t="s">
        <v>115</v>
      </c>
      <c r="N413" s="20" t="s">
        <v>2241</v>
      </c>
      <c r="P413" s="20" t="s">
        <v>115</v>
      </c>
      <c r="Q413" s="20" t="s">
        <v>122</v>
      </c>
      <c r="R413" s="20" t="s">
        <v>84</v>
      </c>
      <c r="S413" s="20">
        <v>5</v>
      </c>
      <c r="T413" s="20" t="s">
        <v>395</v>
      </c>
      <c r="U413" s="20" t="s">
        <v>396</v>
      </c>
      <c r="V413" s="20" t="s">
        <v>87</v>
      </c>
      <c r="W413" s="20">
        <v>508</v>
      </c>
      <c r="X413" s="20">
        <v>508</v>
      </c>
      <c r="Y413" s="20" t="s">
        <v>2242</v>
      </c>
      <c r="Z413" s="20">
        <v>1</v>
      </c>
      <c r="AA413" s="20" t="s">
        <v>2243</v>
      </c>
      <c r="AB413" s="20" t="s">
        <v>101</v>
      </c>
      <c r="AC413" s="20" t="s">
        <v>102</v>
      </c>
      <c r="AD413" s="20" t="s">
        <v>2244</v>
      </c>
      <c r="AE413" s="20" t="s">
        <v>91</v>
      </c>
      <c r="AF413" s="20">
        <v>1</v>
      </c>
      <c r="AG413" s="20">
        <v>0</v>
      </c>
      <c r="AH413" s="20">
        <v>1</v>
      </c>
      <c r="AI413" s="4" t="s">
        <v>251</v>
      </c>
      <c r="AJ413" s="20">
        <v>120</v>
      </c>
      <c r="AK413" s="4" t="s">
        <v>179</v>
      </c>
      <c r="AL413" s="4">
        <v>19</v>
      </c>
      <c r="AM413" s="4">
        <v>19</v>
      </c>
      <c r="AN413" s="4" t="s">
        <v>95</v>
      </c>
      <c r="AO413" s="4" t="s">
        <v>96</v>
      </c>
      <c r="AP413" s="4">
        <v>1</v>
      </c>
      <c r="AQ413" s="20">
        <v>49000</v>
      </c>
      <c r="AR413" s="4">
        <v>41827</v>
      </c>
      <c r="AS413" s="20">
        <v>7424.242424242424</v>
      </c>
      <c r="AT413" s="20">
        <v>7379.6600000000008</v>
      </c>
      <c r="AU413" s="20">
        <v>-44.582424242423258</v>
      </c>
      <c r="AV413" s="20">
        <v>0</v>
      </c>
      <c r="AW413" s="20">
        <v>0</v>
      </c>
      <c r="AX413" s="20">
        <v>20</v>
      </c>
      <c r="AY413" s="20">
        <v>20</v>
      </c>
      <c r="AZ413" s="20">
        <v>5.9</v>
      </c>
      <c r="BA413" s="20">
        <v>0</v>
      </c>
      <c r="BB413" s="6">
        <v>41782</v>
      </c>
      <c r="BC413" s="6">
        <v>41899</v>
      </c>
      <c r="BD413" s="6">
        <v>41879</v>
      </c>
      <c r="BE413" s="6">
        <v>41879</v>
      </c>
      <c r="BF413" s="6">
        <v>41906</v>
      </c>
      <c r="BG413" s="6">
        <v>0</v>
      </c>
      <c r="BH413" s="6">
        <v>0</v>
      </c>
      <c r="BI413" s="6">
        <v>0</v>
      </c>
      <c r="BJ413" s="6">
        <v>0</v>
      </c>
      <c r="BK413" s="4" t="s">
        <v>401</v>
      </c>
      <c r="BL413" s="4" t="s">
        <v>401</v>
      </c>
      <c r="BM413" s="20">
        <v>120</v>
      </c>
      <c r="BN413" s="20">
        <v>0</v>
      </c>
      <c r="BO413" s="20">
        <v>0</v>
      </c>
      <c r="BP413" s="20">
        <v>0</v>
      </c>
      <c r="BQ413" s="20">
        <v>0</v>
      </c>
      <c r="BR413" s="20">
        <v>0</v>
      </c>
      <c r="BS413" s="20">
        <v>120</v>
      </c>
      <c r="BT413" s="20">
        <v>885559.20000000007</v>
      </c>
      <c r="BU413" s="20">
        <v>5880000</v>
      </c>
      <c r="BV413" s="20">
        <v>6.0362475433088436</v>
      </c>
    </row>
    <row r="414" spans="1:74">
      <c r="A414" s="10">
        <f t="shared" si="26"/>
        <v>0</v>
      </c>
      <c r="B414" s="10">
        <f t="shared" si="27"/>
        <v>0</v>
      </c>
      <c r="C414" s="12" t="str">
        <f t="shared" si="28"/>
        <v/>
      </c>
      <c r="D414" s="12" t="str">
        <f t="shared" si="29"/>
        <v/>
      </c>
      <c r="E414" s="20" t="s">
        <v>91</v>
      </c>
      <c r="F414" s="20" t="s">
        <v>91</v>
      </c>
      <c r="G414" s="20" t="s">
        <v>91</v>
      </c>
      <c r="H414" s="20" t="s">
        <v>91</v>
      </c>
      <c r="I414" s="20">
        <v>0</v>
      </c>
      <c r="J414" s="20" t="s">
        <v>103</v>
      </c>
      <c r="K414" s="20" t="s">
        <v>104</v>
      </c>
      <c r="L414" s="20">
        <v>0</v>
      </c>
      <c r="M414" s="20" t="s">
        <v>105</v>
      </c>
      <c r="N414" s="20" t="s">
        <v>91</v>
      </c>
      <c r="O414" s="20" t="s">
        <v>2245</v>
      </c>
      <c r="Q414" s="20" t="s">
        <v>91</v>
      </c>
      <c r="R414" s="20" t="s">
        <v>91</v>
      </c>
      <c r="S414" s="20" t="s">
        <v>91</v>
      </c>
      <c r="U414" s="20" t="s">
        <v>91</v>
      </c>
      <c r="V414" s="20" t="s">
        <v>87</v>
      </c>
      <c r="X414" s="20" t="s">
        <v>91</v>
      </c>
      <c r="Y414" s="20" t="s">
        <v>91</v>
      </c>
      <c r="Z414" s="20">
        <v>1</v>
      </c>
      <c r="AB414" s="20" t="s">
        <v>91</v>
      </c>
      <c r="AD414" s="20" t="s">
        <v>91</v>
      </c>
      <c r="AE414" s="20" t="s">
        <v>91</v>
      </c>
      <c r="AF414" s="20">
        <v>1</v>
      </c>
      <c r="AG414" s="20">
        <v>0</v>
      </c>
      <c r="AH414" s="20">
        <v>1</v>
      </c>
      <c r="AM414" s="4" t="s">
        <v>91</v>
      </c>
      <c r="AP414" s="4" t="s">
        <v>91</v>
      </c>
      <c r="AQ414" s="20">
        <v>0</v>
      </c>
      <c r="AR414" s="4">
        <v>0</v>
      </c>
      <c r="AS414" s="20">
        <v>0</v>
      </c>
      <c r="AT414" s="20">
        <v>0</v>
      </c>
      <c r="AU414" s="20">
        <v>0</v>
      </c>
      <c r="AV414" s="20">
        <v>0</v>
      </c>
      <c r="AW414" s="20">
        <v>0</v>
      </c>
      <c r="AX414" s="20" t="s">
        <v>91</v>
      </c>
      <c r="AY414" s="20">
        <v>0</v>
      </c>
      <c r="AZ414" s="20">
        <v>0</v>
      </c>
      <c r="BA414" s="20">
        <v>0</v>
      </c>
      <c r="BB414" s="6">
        <v>0</v>
      </c>
      <c r="BC414" s="6">
        <v>0</v>
      </c>
      <c r="BD414" s="6">
        <v>0</v>
      </c>
      <c r="BE414" s="6">
        <v>0</v>
      </c>
      <c r="BF414" s="6">
        <v>0</v>
      </c>
      <c r="BG414" s="6">
        <v>0</v>
      </c>
      <c r="BH414" s="6">
        <v>0</v>
      </c>
      <c r="BI414" s="6">
        <v>0</v>
      </c>
      <c r="BJ414" s="6">
        <v>0</v>
      </c>
      <c r="BK414" s="4">
        <v>0</v>
      </c>
      <c r="BL414" s="4">
        <v>0</v>
      </c>
      <c r="BM414" s="20">
        <v>120</v>
      </c>
      <c r="BN414" s="20">
        <v>0</v>
      </c>
      <c r="BO414" s="20">
        <v>0</v>
      </c>
      <c r="BP414" s="20">
        <v>0</v>
      </c>
      <c r="BQ414" s="20">
        <v>0</v>
      </c>
      <c r="BR414" s="20">
        <v>0</v>
      </c>
      <c r="BS414" s="20">
        <v>120</v>
      </c>
      <c r="BT414" s="20">
        <v>885559.20000000007</v>
      </c>
      <c r="BU414" s="20">
        <v>5880000</v>
      </c>
      <c r="BV414" s="20">
        <v>6.0362475433088436</v>
      </c>
    </row>
    <row r="415" spans="1:74">
      <c r="A415" s="10">
        <f t="shared" si="26"/>
        <v>0</v>
      </c>
      <c r="B415" s="10">
        <f t="shared" si="27"/>
        <v>0</v>
      </c>
      <c r="C415" s="12">
        <f t="shared" si="28"/>
        <v>5</v>
      </c>
      <c r="D415" s="12">
        <f t="shared" si="29"/>
        <v>11</v>
      </c>
      <c r="E415" s="20" t="s">
        <v>574</v>
      </c>
      <c r="F415" s="20" t="s">
        <v>2268</v>
      </c>
      <c r="G415" s="20" t="s">
        <v>2269</v>
      </c>
      <c r="H415" s="20" t="s">
        <v>2270</v>
      </c>
      <c r="I415" s="20">
        <v>1</v>
      </c>
      <c r="J415" s="20" t="s">
        <v>2271</v>
      </c>
      <c r="K415" s="20" t="s">
        <v>2272</v>
      </c>
      <c r="L415" s="20" t="s">
        <v>2273</v>
      </c>
      <c r="M415" s="20" t="s">
        <v>387</v>
      </c>
      <c r="N415" s="20" t="s">
        <v>559</v>
      </c>
      <c r="P415" s="20" t="s">
        <v>387</v>
      </c>
      <c r="Q415" s="20" t="s">
        <v>394</v>
      </c>
      <c r="R415" s="20" t="s">
        <v>84</v>
      </c>
      <c r="S415" s="20" t="s">
        <v>123</v>
      </c>
      <c r="T415" s="20" t="s">
        <v>1844</v>
      </c>
      <c r="U415" s="20" t="s">
        <v>1845</v>
      </c>
      <c r="V415" s="20" t="s">
        <v>87</v>
      </c>
      <c r="W415" s="20">
        <v>514</v>
      </c>
      <c r="X415" s="20">
        <v>514</v>
      </c>
      <c r="Y415" s="20" t="s">
        <v>2274</v>
      </c>
      <c r="Z415" s="20">
        <v>1</v>
      </c>
      <c r="AA415" s="20" t="s">
        <v>2275</v>
      </c>
      <c r="AB415" s="20" t="s">
        <v>139</v>
      </c>
      <c r="AC415" s="20" t="s">
        <v>140</v>
      </c>
      <c r="AD415" s="20" t="s">
        <v>2276</v>
      </c>
      <c r="AE415" s="20" t="s">
        <v>91</v>
      </c>
      <c r="AF415" s="20">
        <v>1</v>
      </c>
      <c r="AG415" s="20">
        <v>0</v>
      </c>
      <c r="AH415" s="20">
        <v>1</v>
      </c>
      <c r="AI415" s="4" t="s">
        <v>251</v>
      </c>
      <c r="AJ415" s="20">
        <v>150</v>
      </c>
      <c r="AK415" s="4" t="s">
        <v>572</v>
      </c>
      <c r="AL415" s="4">
        <v>2</v>
      </c>
      <c r="AM415" s="4" t="s">
        <v>94</v>
      </c>
      <c r="AN415" s="4" t="s">
        <v>95</v>
      </c>
      <c r="AO415" s="4" t="s">
        <v>96</v>
      </c>
      <c r="AP415" s="4">
        <v>1</v>
      </c>
      <c r="AQ415" s="20">
        <v>45000</v>
      </c>
      <c r="AR415" s="4">
        <v>41820</v>
      </c>
      <c r="AS415" s="20">
        <v>6818.1818181818171</v>
      </c>
      <c r="AT415" s="20">
        <v>9655.4719999999998</v>
      </c>
      <c r="AU415" s="20">
        <v>2837.2901818181826</v>
      </c>
      <c r="AV415" s="20">
        <v>0</v>
      </c>
      <c r="AW415" s="20">
        <v>0</v>
      </c>
      <c r="AX415" s="20">
        <v>20</v>
      </c>
      <c r="AY415" s="20">
        <v>20</v>
      </c>
      <c r="AZ415" s="20">
        <v>7.9</v>
      </c>
      <c r="BA415" s="20">
        <v>0</v>
      </c>
      <c r="BB415" s="6">
        <v>41786</v>
      </c>
      <c r="BC415" s="6">
        <v>0</v>
      </c>
      <c r="BD415" s="6">
        <v>41879</v>
      </c>
      <c r="BE415" s="6">
        <v>41942</v>
      </c>
      <c r="BF415" s="6">
        <v>41953</v>
      </c>
      <c r="BG415" s="6">
        <v>0</v>
      </c>
      <c r="BH415" s="6">
        <v>0</v>
      </c>
      <c r="BI415" s="6">
        <v>0</v>
      </c>
      <c r="BJ415" s="6">
        <v>0</v>
      </c>
      <c r="BK415" s="4" t="s">
        <v>401</v>
      </c>
      <c r="BL415" s="4" t="s">
        <v>401</v>
      </c>
      <c r="BM415" s="20">
        <v>150</v>
      </c>
      <c r="BN415" s="20">
        <v>0</v>
      </c>
      <c r="BO415" s="20">
        <v>0</v>
      </c>
      <c r="BP415" s="20">
        <v>0</v>
      </c>
      <c r="BQ415" s="20">
        <v>0</v>
      </c>
      <c r="BR415" s="20">
        <v>0</v>
      </c>
      <c r="BS415" s="20">
        <v>150</v>
      </c>
      <c r="BT415" s="20">
        <v>1448320.8</v>
      </c>
      <c r="BU415" s="20">
        <v>6750000</v>
      </c>
      <c r="BV415" s="20">
        <v>4.2368815226320269</v>
      </c>
    </row>
    <row r="416" spans="1:74">
      <c r="A416" s="10">
        <f t="shared" si="26"/>
        <v>0</v>
      </c>
      <c r="B416" s="10">
        <f t="shared" si="27"/>
        <v>0</v>
      </c>
      <c r="C416" s="12">
        <f t="shared" si="28"/>
        <v>5</v>
      </c>
      <c r="D416" s="12">
        <f t="shared" si="29"/>
        <v>11</v>
      </c>
      <c r="E416" s="20" t="s">
        <v>574</v>
      </c>
      <c r="F416" s="20" t="s">
        <v>2268</v>
      </c>
      <c r="G416" s="20" t="s">
        <v>2269</v>
      </c>
      <c r="H416" s="20" t="s">
        <v>2277</v>
      </c>
      <c r="I416" s="20">
        <v>2</v>
      </c>
      <c r="J416" s="20" t="s">
        <v>2278</v>
      </c>
      <c r="K416" s="20" t="s">
        <v>2279</v>
      </c>
      <c r="L416" s="20" t="s">
        <v>2280</v>
      </c>
      <c r="M416" s="20" t="s">
        <v>387</v>
      </c>
      <c r="N416" s="20" t="s">
        <v>559</v>
      </c>
      <c r="P416" s="20" t="s">
        <v>387</v>
      </c>
      <c r="Q416" s="20" t="s">
        <v>394</v>
      </c>
      <c r="R416" s="20" t="s">
        <v>84</v>
      </c>
      <c r="S416" s="20" t="s">
        <v>123</v>
      </c>
      <c r="T416" s="20" t="s">
        <v>1844</v>
      </c>
      <c r="U416" s="20" t="s">
        <v>1845</v>
      </c>
      <c r="V416" s="20" t="s">
        <v>87</v>
      </c>
      <c r="W416" s="20">
        <v>515</v>
      </c>
      <c r="X416" s="20">
        <v>515</v>
      </c>
      <c r="Y416" s="20" t="s">
        <v>2281</v>
      </c>
      <c r="Z416" s="20">
        <v>1</v>
      </c>
      <c r="AA416" s="20" t="s">
        <v>2282</v>
      </c>
      <c r="AB416" s="20" t="s">
        <v>176</v>
      </c>
      <c r="AC416" s="20" t="s">
        <v>177</v>
      </c>
      <c r="AD416" s="20" t="s">
        <v>2283</v>
      </c>
      <c r="AE416" s="20" t="s">
        <v>91</v>
      </c>
      <c r="AF416" s="20">
        <v>1</v>
      </c>
      <c r="AG416" s="20">
        <v>0</v>
      </c>
      <c r="AH416" s="20">
        <v>1</v>
      </c>
      <c r="AI416" s="4" t="s">
        <v>251</v>
      </c>
      <c r="AJ416" s="20">
        <v>150</v>
      </c>
      <c r="AK416" s="4" t="s">
        <v>572</v>
      </c>
      <c r="AL416" s="4">
        <v>2</v>
      </c>
      <c r="AM416" s="4" t="s">
        <v>94</v>
      </c>
      <c r="AN416" s="4" t="s">
        <v>95</v>
      </c>
      <c r="AO416" s="4" t="s">
        <v>96</v>
      </c>
      <c r="AP416" s="4">
        <v>1</v>
      </c>
      <c r="AQ416" s="20">
        <v>45000</v>
      </c>
      <c r="AR416" s="4">
        <v>41820</v>
      </c>
      <c r="AS416" s="20">
        <v>6818.1818181818171</v>
      </c>
      <c r="AT416" s="20">
        <v>10753.184000000003</v>
      </c>
      <c r="AU416" s="20">
        <v>3935.0021818181858</v>
      </c>
      <c r="AV416" s="20">
        <v>0</v>
      </c>
      <c r="AW416" s="20">
        <v>0</v>
      </c>
      <c r="AX416" s="20">
        <v>20</v>
      </c>
      <c r="AY416" s="20">
        <v>20</v>
      </c>
      <c r="AZ416" s="20">
        <v>8.8000000000000007</v>
      </c>
      <c r="BA416" s="20">
        <v>0</v>
      </c>
      <c r="BB416" s="6">
        <v>41786</v>
      </c>
      <c r="BC416" s="6">
        <v>0</v>
      </c>
      <c r="BD416" s="6">
        <v>41879</v>
      </c>
      <c r="BE416" s="6">
        <v>41942</v>
      </c>
      <c r="BF416" s="6">
        <v>41953</v>
      </c>
      <c r="BG416" s="6">
        <v>0</v>
      </c>
      <c r="BH416" s="6">
        <v>0</v>
      </c>
      <c r="BI416" s="6">
        <v>0</v>
      </c>
      <c r="BJ416" s="6">
        <v>0</v>
      </c>
      <c r="BK416" s="4" t="s">
        <v>401</v>
      </c>
      <c r="BL416" s="4" t="s">
        <v>401</v>
      </c>
      <c r="BM416" s="20">
        <v>150</v>
      </c>
      <c r="BN416" s="20">
        <v>0</v>
      </c>
      <c r="BO416" s="20">
        <v>0</v>
      </c>
      <c r="BP416" s="20">
        <v>0</v>
      </c>
      <c r="BQ416" s="20">
        <v>0</v>
      </c>
      <c r="BR416" s="20">
        <v>0</v>
      </c>
      <c r="BS416" s="20">
        <v>150</v>
      </c>
      <c r="BT416" s="20">
        <v>1612977.6000000003</v>
      </c>
      <c r="BU416" s="20">
        <v>6750000</v>
      </c>
      <c r="BV416" s="20">
        <v>3.8043700274347483</v>
      </c>
    </row>
    <row r="417" spans="1:74">
      <c r="A417" s="10">
        <f t="shared" si="26"/>
        <v>0</v>
      </c>
      <c r="B417" s="10">
        <f t="shared" si="27"/>
        <v>1</v>
      </c>
      <c r="C417" s="12">
        <f t="shared" si="28"/>
        <v>5</v>
      </c>
      <c r="D417" s="12">
        <f t="shared" si="29"/>
        <v>11</v>
      </c>
      <c r="E417" s="20" t="s">
        <v>574</v>
      </c>
      <c r="F417" s="20" t="s">
        <v>2268</v>
      </c>
      <c r="G417" s="20" t="s">
        <v>2269</v>
      </c>
      <c r="H417" s="20" t="s">
        <v>2284</v>
      </c>
      <c r="I417" s="20">
        <v>3</v>
      </c>
      <c r="J417" s="20" t="s">
        <v>2285</v>
      </c>
      <c r="K417" s="20" t="s">
        <v>2286</v>
      </c>
      <c r="L417" s="20" t="s">
        <v>2287</v>
      </c>
      <c r="M417" s="20" t="s">
        <v>387</v>
      </c>
      <c r="N417" s="20" t="s">
        <v>559</v>
      </c>
      <c r="P417" s="20" t="s">
        <v>387</v>
      </c>
      <c r="Q417" s="20" t="s">
        <v>394</v>
      </c>
      <c r="R417" s="20" t="s">
        <v>84</v>
      </c>
      <c r="S417" s="20" t="s">
        <v>123</v>
      </c>
      <c r="T417" s="20" t="s">
        <v>1844</v>
      </c>
      <c r="U417" s="20" t="s">
        <v>1845</v>
      </c>
      <c r="V417" s="20" t="s">
        <v>87</v>
      </c>
      <c r="W417" s="20">
        <v>516</v>
      </c>
      <c r="X417" s="20">
        <v>516</v>
      </c>
      <c r="Y417" s="20" t="s">
        <v>2288</v>
      </c>
      <c r="Z417" s="20">
        <v>1</v>
      </c>
      <c r="AA417" s="20" t="s">
        <v>2289</v>
      </c>
      <c r="AB417" s="20" t="s">
        <v>101</v>
      </c>
      <c r="AC417" s="20" t="s">
        <v>102</v>
      </c>
      <c r="AD417" s="20" t="s">
        <v>2290</v>
      </c>
      <c r="AE417" s="20" t="s">
        <v>91</v>
      </c>
      <c r="AF417" s="20">
        <v>1</v>
      </c>
      <c r="AG417" s="20">
        <v>0</v>
      </c>
      <c r="AH417" s="20">
        <v>1</v>
      </c>
      <c r="AI417" s="4" t="s">
        <v>251</v>
      </c>
      <c r="AJ417" s="20">
        <v>150</v>
      </c>
      <c r="AK417" s="4" t="s">
        <v>572</v>
      </c>
      <c r="AL417" s="4">
        <v>2</v>
      </c>
      <c r="AM417" s="4" t="s">
        <v>94</v>
      </c>
      <c r="AN417" s="4" t="s">
        <v>95</v>
      </c>
      <c r="AO417" s="4" t="s">
        <v>96</v>
      </c>
      <c r="AP417" s="4">
        <v>1</v>
      </c>
      <c r="AQ417" s="20">
        <v>45000</v>
      </c>
      <c r="AR417" s="4">
        <v>41820</v>
      </c>
      <c r="AS417" s="20">
        <v>6818.1818181818171</v>
      </c>
      <c r="AT417" s="20">
        <v>10583.472</v>
      </c>
      <c r="AU417" s="20">
        <v>3765.2901818181826</v>
      </c>
      <c r="AV417" s="20">
        <v>928</v>
      </c>
      <c r="AW417" s="20">
        <v>0</v>
      </c>
      <c r="AX417" s="20">
        <v>20</v>
      </c>
      <c r="AY417" s="20">
        <v>948</v>
      </c>
      <c r="AZ417" s="20">
        <v>7.9</v>
      </c>
      <c r="BA417" s="20">
        <v>0</v>
      </c>
      <c r="BB417" s="6">
        <v>41786</v>
      </c>
      <c r="BC417" s="6">
        <v>0</v>
      </c>
      <c r="BD417" s="6">
        <v>41879</v>
      </c>
      <c r="BE417" s="6">
        <v>41942</v>
      </c>
      <c r="BF417" s="6">
        <v>41953</v>
      </c>
      <c r="BG417" s="6">
        <v>0</v>
      </c>
      <c r="BH417" s="6">
        <v>0</v>
      </c>
      <c r="BI417" s="6">
        <v>0</v>
      </c>
      <c r="BJ417" s="6">
        <v>0</v>
      </c>
      <c r="BK417" s="4" t="s">
        <v>401</v>
      </c>
      <c r="BL417" s="4" t="s">
        <v>401</v>
      </c>
      <c r="BM417" s="20">
        <v>150</v>
      </c>
      <c r="BN417" s="20">
        <v>0</v>
      </c>
      <c r="BO417" s="20">
        <v>0</v>
      </c>
      <c r="BP417" s="20">
        <v>0</v>
      </c>
      <c r="BQ417" s="20">
        <v>0</v>
      </c>
      <c r="BR417" s="20">
        <v>0</v>
      </c>
      <c r="BS417" s="20">
        <v>150</v>
      </c>
      <c r="BT417" s="20">
        <v>1587520.8</v>
      </c>
      <c r="BU417" s="20">
        <v>6750000</v>
      </c>
      <c r="BV417" s="20">
        <v>3.8653752671231998</v>
      </c>
    </row>
    <row r="418" spans="1:74">
      <c r="A418" s="10">
        <f t="shared" si="26"/>
        <v>0</v>
      </c>
      <c r="B418" s="10">
        <f t="shared" si="27"/>
        <v>1</v>
      </c>
      <c r="C418" s="12">
        <f t="shared" si="28"/>
        <v>5</v>
      </c>
      <c r="D418" s="12">
        <f t="shared" si="29"/>
        <v>11</v>
      </c>
      <c r="E418" s="20" t="s">
        <v>574</v>
      </c>
      <c r="F418" s="20" t="s">
        <v>2268</v>
      </c>
      <c r="G418" s="20" t="s">
        <v>2269</v>
      </c>
      <c r="H418" s="20" t="s">
        <v>2291</v>
      </c>
      <c r="I418" s="20">
        <v>4</v>
      </c>
      <c r="J418" s="20" t="s">
        <v>2292</v>
      </c>
      <c r="K418" s="20" t="s">
        <v>2293</v>
      </c>
      <c r="L418" s="20" t="s">
        <v>2294</v>
      </c>
      <c r="M418" s="20" t="s">
        <v>387</v>
      </c>
      <c r="N418" s="20" t="s">
        <v>559</v>
      </c>
      <c r="P418" s="20" t="s">
        <v>387</v>
      </c>
      <c r="Q418" s="20" t="s">
        <v>394</v>
      </c>
      <c r="R418" s="20" t="s">
        <v>84</v>
      </c>
      <c r="S418" s="20" t="s">
        <v>123</v>
      </c>
      <c r="T418" s="20" t="s">
        <v>1844</v>
      </c>
      <c r="U418" s="20" t="s">
        <v>1845</v>
      </c>
      <c r="V418" s="20" t="s">
        <v>87</v>
      </c>
      <c r="W418" s="20">
        <v>517</v>
      </c>
      <c r="X418" s="20">
        <v>517</v>
      </c>
      <c r="Y418" s="20" t="s">
        <v>2295</v>
      </c>
      <c r="Z418" s="20">
        <v>1</v>
      </c>
      <c r="AA418" s="20" t="s">
        <v>2296</v>
      </c>
      <c r="AB418" s="20" t="s">
        <v>303</v>
      </c>
      <c r="AC418" s="20" t="s">
        <v>304</v>
      </c>
      <c r="AD418" s="20" t="s">
        <v>2297</v>
      </c>
      <c r="AE418" s="20" t="s">
        <v>91</v>
      </c>
      <c r="AF418" s="20">
        <v>1</v>
      </c>
      <c r="AG418" s="20">
        <v>0</v>
      </c>
      <c r="AH418" s="20">
        <v>1</v>
      </c>
      <c r="AI418" s="4" t="s">
        <v>251</v>
      </c>
      <c r="AJ418" s="20">
        <v>150</v>
      </c>
      <c r="AK418" s="4" t="s">
        <v>572</v>
      </c>
      <c r="AL418" s="4">
        <v>2</v>
      </c>
      <c r="AM418" s="4" t="s">
        <v>94</v>
      </c>
      <c r="AN418" s="4" t="s">
        <v>95</v>
      </c>
      <c r="AO418" s="4" t="s">
        <v>96</v>
      </c>
      <c r="AP418" s="4">
        <v>1</v>
      </c>
      <c r="AQ418" s="20">
        <v>49000</v>
      </c>
      <c r="AR418" s="4">
        <v>41820</v>
      </c>
      <c r="AS418" s="20">
        <v>7424.242424242424</v>
      </c>
      <c r="AT418" s="20">
        <v>9634.7920000000013</v>
      </c>
      <c r="AU418" s="20">
        <v>2210.5495757575773</v>
      </c>
      <c r="AV418" s="20">
        <v>1199</v>
      </c>
      <c r="AW418" s="20">
        <v>0</v>
      </c>
      <c r="AX418" s="20">
        <v>20</v>
      </c>
      <c r="AY418" s="20">
        <v>1219</v>
      </c>
      <c r="AZ418" s="20">
        <v>6.9</v>
      </c>
      <c r="BA418" s="20">
        <v>0</v>
      </c>
      <c r="BB418" s="6">
        <v>41786</v>
      </c>
      <c r="BC418" s="6">
        <v>0</v>
      </c>
      <c r="BD418" s="6">
        <v>41879</v>
      </c>
      <c r="BE418" s="6">
        <v>41942</v>
      </c>
      <c r="BF418" s="6">
        <v>41953</v>
      </c>
      <c r="BG418" s="6">
        <v>0</v>
      </c>
      <c r="BH418" s="6">
        <v>0</v>
      </c>
      <c r="BI418" s="6">
        <v>0</v>
      </c>
      <c r="BJ418" s="6">
        <v>0</v>
      </c>
      <c r="BK418" s="4" t="s">
        <v>401</v>
      </c>
      <c r="BL418" s="4" t="s">
        <v>401</v>
      </c>
      <c r="BM418" s="20">
        <v>150</v>
      </c>
      <c r="BN418" s="20">
        <v>0</v>
      </c>
      <c r="BO418" s="20">
        <v>0</v>
      </c>
      <c r="BP418" s="20">
        <v>0</v>
      </c>
      <c r="BQ418" s="20">
        <v>0</v>
      </c>
      <c r="BR418" s="20">
        <v>0</v>
      </c>
      <c r="BS418" s="20">
        <v>150</v>
      </c>
      <c r="BT418" s="20">
        <v>1445218.8000000003</v>
      </c>
      <c r="BU418" s="20">
        <v>7350000</v>
      </c>
      <c r="BV418" s="20">
        <v>4.6233955590794835</v>
      </c>
    </row>
    <row r="419" spans="1:74">
      <c r="A419" s="10">
        <f t="shared" si="26"/>
        <v>0</v>
      </c>
      <c r="B419" s="10">
        <f t="shared" si="27"/>
        <v>1</v>
      </c>
      <c r="C419" s="12">
        <f t="shared" si="28"/>
        <v>5</v>
      </c>
      <c r="D419" s="12">
        <f t="shared" si="29"/>
        <v>11</v>
      </c>
      <c r="E419" s="20" t="s">
        <v>574</v>
      </c>
      <c r="F419" s="20" t="s">
        <v>575</v>
      </c>
      <c r="G419" s="20" t="s">
        <v>2269</v>
      </c>
      <c r="H419" s="20" t="s">
        <v>2298</v>
      </c>
      <c r="I419" s="20">
        <v>5</v>
      </c>
      <c r="J419" s="20" t="s">
        <v>2299</v>
      </c>
      <c r="K419" s="20" t="s">
        <v>2300</v>
      </c>
      <c r="L419" s="20" t="s">
        <v>2301</v>
      </c>
      <c r="M419" s="20" t="s">
        <v>387</v>
      </c>
      <c r="N419" s="20" t="s">
        <v>559</v>
      </c>
      <c r="P419" s="20" t="s">
        <v>387</v>
      </c>
      <c r="Q419" s="20" t="s">
        <v>394</v>
      </c>
      <c r="R419" s="20" t="s">
        <v>84</v>
      </c>
      <c r="S419" s="20" t="s">
        <v>123</v>
      </c>
      <c r="T419" s="20" t="s">
        <v>2302</v>
      </c>
      <c r="U419" s="20" t="s">
        <v>2303</v>
      </c>
      <c r="V419" s="20" t="s">
        <v>87</v>
      </c>
      <c r="W419" s="20">
        <v>518</v>
      </c>
      <c r="X419" s="20">
        <v>518</v>
      </c>
      <c r="Y419" s="20" t="s">
        <v>2304</v>
      </c>
      <c r="Z419" s="20">
        <v>1</v>
      </c>
      <c r="AA419" s="20" t="s">
        <v>2305</v>
      </c>
      <c r="AB419" s="20" t="s">
        <v>303</v>
      </c>
      <c r="AC419" s="20" t="s">
        <v>304</v>
      </c>
      <c r="AD419" s="20" t="s">
        <v>2306</v>
      </c>
      <c r="AE419" s="20" t="s">
        <v>91</v>
      </c>
      <c r="AF419" s="20">
        <v>1</v>
      </c>
      <c r="AG419" s="20">
        <v>0</v>
      </c>
      <c r="AH419" s="20">
        <v>1</v>
      </c>
      <c r="AI419" s="4" t="s">
        <v>251</v>
      </c>
      <c r="AJ419" s="20">
        <v>350</v>
      </c>
      <c r="AK419" s="4" t="s">
        <v>572</v>
      </c>
      <c r="AL419" s="4">
        <v>2</v>
      </c>
      <c r="AM419" s="4" t="s">
        <v>94</v>
      </c>
      <c r="AN419" s="4" t="s">
        <v>95</v>
      </c>
      <c r="AO419" s="4" t="s">
        <v>96</v>
      </c>
      <c r="AP419" s="4">
        <v>1</v>
      </c>
      <c r="AQ419" s="20">
        <v>25000</v>
      </c>
      <c r="AR419" s="4">
        <v>41820</v>
      </c>
      <c r="AS419" s="20">
        <v>3787.8787878787875</v>
      </c>
      <c r="AT419" s="20">
        <v>6006.8320000000003</v>
      </c>
      <c r="AU419" s="20">
        <v>2218.9532121212128</v>
      </c>
      <c r="AV419" s="20">
        <v>149</v>
      </c>
      <c r="AW419" s="20">
        <v>0</v>
      </c>
      <c r="AX419" s="20">
        <v>20</v>
      </c>
      <c r="AY419" s="20">
        <v>169</v>
      </c>
      <c r="AZ419" s="20">
        <v>4.68</v>
      </c>
      <c r="BA419" s="20">
        <v>0</v>
      </c>
      <c r="BB419" s="6">
        <v>41786</v>
      </c>
      <c r="BC419" s="6">
        <v>0</v>
      </c>
      <c r="BD419" s="6">
        <v>41879</v>
      </c>
      <c r="BE419" s="6">
        <v>41942</v>
      </c>
      <c r="BF419" s="6">
        <v>41953</v>
      </c>
      <c r="BG419" s="6">
        <v>0</v>
      </c>
      <c r="BH419" s="6">
        <v>0</v>
      </c>
      <c r="BI419" s="6">
        <v>0</v>
      </c>
      <c r="BJ419" s="6">
        <v>0</v>
      </c>
      <c r="BK419" s="4" t="s">
        <v>401</v>
      </c>
      <c r="BL419" s="4" t="s">
        <v>401</v>
      </c>
      <c r="BM419" s="20">
        <v>348</v>
      </c>
      <c r="BN419" s="20">
        <v>0</v>
      </c>
      <c r="BO419" s="20">
        <v>0</v>
      </c>
      <c r="BP419" s="20">
        <v>0</v>
      </c>
      <c r="BQ419" s="20">
        <v>0</v>
      </c>
      <c r="BR419" s="20">
        <v>0</v>
      </c>
      <c r="BS419" s="20">
        <v>350</v>
      </c>
      <c r="BT419" s="20">
        <v>2102391.2000000002</v>
      </c>
      <c r="BU419" s="20">
        <v>8750000</v>
      </c>
      <c r="BV419" s="20">
        <v>3.7835705621986304</v>
      </c>
    </row>
    <row r="420" spans="1:74">
      <c r="A420" s="10">
        <f t="shared" si="26"/>
        <v>0</v>
      </c>
      <c r="B420" s="10">
        <f t="shared" si="27"/>
        <v>0</v>
      </c>
      <c r="C420" s="12">
        <f t="shared" si="28"/>
        <v>5</v>
      </c>
      <c r="D420" s="12">
        <f t="shared" si="29"/>
        <v>11</v>
      </c>
      <c r="E420" s="20" t="s">
        <v>574</v>
      </c>
      <c r="F420" s="20" t="s">
        <v>575</v>
      </c>
      <c r="G420" s="20" t="s">
        <v>2269</v>
      </c>
      <c r="H420" s="20" t="s">
        <v>2307</v>
      </c>
      <c r="I420" s="20">
        <v>6</v>
      </c>
      <c r="J420" s="20" t="s">
        <v>2308</v>
      </c>
      <c r="K420" s="20" t="s">
        <v>2309</v>
      </c>
      <c r="L420" s="20" t="s">
        <v>2310</v>
      </c>
      <c r="M420" s="20" t="s">
        <v>387</v>
      </c>
      <c r="N420" s="20" t="s">
        <v>559</v>
      </c>
      <c r="P420" s="20" t="s">
        <v>387</v>
      </c>
      <c r="Q420" s="20" t="s">
        <v>394</v>
      </c>
      <c r="R420" s="20" t="s">
        <v>84</v>
      </c>
      <c r="S420" s="20" t="s">
        <v>123</v>
      </c>
      <c r="T420" s="20" t="s">
        <v>2302</v>
      </c>
      <c r="U420" s="20" t="s">
        <v>2303</v>
      </c>
      <c r="V420" s="20" t="s">
        <v>87</v>
      </c>
      <c r="W420" s="20">
        <v>519</v>
      </c>
      <c r="X420" s="20">
        <v>519</v>
      </c>
      <c r="Y420" s="20" t="s">
        <v>2311</v>
      </c>
      <c r="Z420" s="20">
        <v>1</v>
      </c>
      <c r="AA420" s="20" t="s">
        <v>2312</v>
      </c>
      <c r="AB420" s="20" t="s">
        <v>279</v>
      </c>
      <c r="AC420" s="20" t="s">
        <v>280</v>
      </c>
      <c r="AD420" s="20" t="s">
        <v>2313</v>
      </c>
      <c r="AE420" s="20" t="s">
        <v>91</v>
      </c>
      <c r="AF420" s="20">
        <v>1</v>
      </c>
      <c r="AG420" s="20">
        <v>0</v>
      </c>
      <c r="AH420" s="20">
        <v>1</v>
      </c>
      <c r="AI420" s="4" t="s">
        <v>251</v>
      </c>
      <c r="AJ420" s="20">
        <v>350</v>
      </c>
      <c r="AK420" s="4" t="s">
        <v>572</v>
      </c>
      <c r="AL420" s="4">
        <v>2</v>
      </c>
      <c r="AM420" s="4" t="s">
        <v>94</v>
      </c>
      <c r="AN420" s="4" t="s">
        <v>95</v>
      </c>
      <c r="AO420" s="4" t="s">
        <v>96</v>
      </c>
      <c r="AP420" s="4">
        <v>1</v>
      </c>
      <c r="AQ420" s="20">
        <v>25000</v>
      </c>
      <c r="AR420" s="4">
        <v>41820</v>
      </c>
      <c r="AS420" s="20">
        <v>3787.8787878787875</v>
      </c>
      <c r="AT420" s="20">
        <v>5633.3000000000011</v>
      </c>
      <c r="AU420" s="20">
        <v>1845.4212121212136</v>
      </c>
      <c r="AV420" s="20">
        <v>0</v>
      </c>
      <c r="AW420" s="20">
        <v>0</v>
      </c>
      <c r="AX420" s="20">
        <v>20</v>
      </c>
      <c r="AY420" s="20">
        <v>20</v>
      </c>
      <c r="AZ420" s="20">
        <v>4.5</v>
      </c>
      <c r="BA420" s="20">
        <v>0</v>
      </c>
      <c r="BB420" s="6">
        <v>41786</v>
      </c>
      <c r="BC420" s="6">
        <v>0</v>
      </c>
      <c r="BD420" s="6">
        <v>41879</v>
      </c>
      <c r="BE420" s="6">
        <v>41942</v>
      </c>
      <c r="BF420" s="6">
        <v>41953</v>
      </c>
      <c r="BG420" s="6">
        <v>0</v>
      </c>
      <c r="BH420" s="6">
        <v>0</v>
      </c>
      <c r="BI420" s="6">
        <v>0</v>
      </c>
      <c r="BJ420" s="6">
        <v>0</v>
      </c>
      <c r="BK420" s="4" t="s">
        <v>401</v>
      </c>
      <c r="BL420" s="4" t="s">
        <v>401</v>
      </c>
      <c r="BM420" s="20">
        <v>350</v>
      </c>
      <c r="BN420" s="20">
        <v>0</v>
      </c>
      <c r="BO420" s="20">
        <v>0</v>
      </c>
      <c r="BP420" s="20">
        <v>0</v>
      </c>
      <c r="BQ420" s="20">
        <v>0</v>
      </c>
      <c r="BR420" s="20">
        <v>0</v>
      </c>
      <c r="BS420" s="20">
        <v>350</v>
      </c>
      <c r="BT420" s="20">
        <v>1971655.0000000005</v>
      </c>
      <c r="BU420" s="20">
        <v>8750000</v>
      </c>
      <c r="BV420" s="20">
        <v>4.0344509838412161</v>
      </c>
    </row>
    <row r="421" spans="1:74">
      <c r="A421" s="10">
        <f t="shared" si="26"/>
        <v>0</v>
      </c>
      <c r="B421" s="10">
        <f t="shared" si="27"/>
        <v>0</v>
      </c>
      <c r="C421" s="12">
        <f t="shared" si="28"/>
        <v>5</v>
      </c>
      <c r="D421" s="12">
        <f t="shared" si="29"/>
        <v>11</v>
      </c>
      <c r="E421" s="20" t="s">
        <v>574</v>
      </c>
      <c r="F421" s="20" t="s">
        <v>575</v>
      </c>
      <c r="G421" s="20" t="s">
        <v>2269</v>
      </c>
      <c r="H421" s="20" t="s">
        <v>2314</v>
      </c>
      <c r="I421" s="20">
        <v>7</v>
      </c>
      <c r="J421" s="20" t="s">
        <v>2315</v>
      </c>
      <c r="K421" s="20" t="s">
        <v>2316</v>
      </c>
      <c r="L421" s="20" t="s">
        <v>2317</v>
      </c>
      <c r="M421" s="20" t="s">
        <v>387</v>
      </c>
      <c r="N421" s="20" t="s">
        <v>559</v>
      </c>
      <c r="P421" s="20" t="s">
        <v>387</v>
      </c>
      <c r="Q421" s="20" t="s">
        <v>394</v>
      </c>
      <c r="R421" s="20" t="s">
        <v>84</v>
      </c>
      <c r="S421" s="20" t="s">
        <v>123</v>
      </c>
      <c r="T421" s="20" t="s">
        <v>2302</v>
      </c>
      <c r="U421" s="20" t="s">
        <v>2303</v>
      </c>
      <c r="V421" s="20" t="s">
        <v>87</v>
      </c>
      <c r="W421" s="20">
        <v>520</v>
      </c>
      <c r="X421" s="20">
        <v>520</v>
      </c>
      <c r="Y421" s="20" t="s">
        <v>2318</v>
      </c>
      <c r="Z421" s="20">
        <v>1</v>
      </c>
      <c r="AA421" s="20" t="s">
        <v>2319</v>
      </c>
      <c r="AB421" s="20" t="s">
        <v>101</v>
      </c>
      <c r="AC421" s="20" t="s">
        <v>102</v>
      </c>
      <c r="AD421" s="20" t="s">
        <v>2320</v>
      </c>
      <c r="AE421" s="20" t="s">
        <v>91</v>
      </c>
      <c r="AF421" s="20">
        <v>1</v>
      </c>
      <c r="AG421" s="20">
        <v>0</v>
      </c>
      <c r="AH421" s="20">
        <v>1</v>
      </c>
      <c r="AI421" s="4" t="s">
        <v>251</v>
      </c>
      <c r="AJ421" s="20">
        <v>400</v>
      </c>
      <c r="AK421" s="4" t="s">
        <v>572</v>
      </c>
      <c r="AL421" s="4">
        <v>2</v>
      </c>
      <c r="AM421" s="4" t="s">
        <v>94</v>
      </c>
      <c r="AN421" s="4" t="s">
        <v>95</v>
      </c>
      <c r="AO421" s="4" t="s">
        <v>96</v>
      </c>
      <c r="AP421" s="4">
        <v>1</v>
      </c>
      <c r="AQ421" s="20">
        <v>23000</v>
      </c>
      <c r="AR421" s="4">
        <v>41820</v>
      </c>
      <c r="AS421" s="20">
        <v>3484.8484848484845</v>
      </c>
      <c r="AT421" s="20">
        <v>4261.16</v>
      </c>
      <c r="AU421" s="20">
        <v>776.31151515151532</v>
      </c>
      <c r="AV421" s="20">
        <v>0</v>
      </c>
      <c r="AW421" s="20">
        <v>0</v>
      </c>
      <c r="AX421" s="20">
        <v>20</v>
      </c>
      <c r="AY421" s="20">
        <v>20</v>
      </c>
      <c r="AZ421" s="20">
        <v>3.4</v>
      </c>
      <c r="BA421" s="20">
        <v>0</v>
      </c>
      <c r="BB421" s="6">
        <v>41786</v>
      </c>
      <c r="BC421" s="6">
        <v>0</v>
      </c>
      <c r="BD421" s="6">
        <v>41879</v>
      </c>
      <c r="BE421" s="6">
        <v>41942</v>
      </c>
      <c r="BF421" s="6">
        <v>41953</v>
      </c>
      <c r="BG421" s="6">
        <v>0</v>
      </c>
      <c r="BH421" s="6">
        <v>0</v>
      </c>
      <c r="BI421" s="6">
        <v>0</v>
      </c>
      <c r="BJ421" s="6">
        <v>0</v>
      </c>
      <c r="BK421" s="4" t="s">
        <v>401</v>
      </c>
      <c r="BL421" s="4" t="s">
        <v>401</v>
      </c>
      <c r="BM421" s="20">
        <v>399</v>
      </c>
      <c r="BN421" s="20">
        <v>0</v>
      </c>
      <c r="BO421" s="20">
        <v>0</v>
      </c>
      <c r="BP421" s="20">
        <v>0</v>
      </c>
      <c r="BQ421" s="20">
        <v>0</v>
      </c>
      <c r="BR421" s="20">
        <v>0</v>
      </c>
      <c r="BS421" s="20">
        <v>400</v>
      </c>
      <c r="BT421" s="20">
        <v>1704464</v>
      </c>
      <c r="BU421" s="20">
        <v>9200000</v>
      </c>
      <c r="BV421" s="20">
        <v>4.9069011511163412</v>
      </c>
    </row>
    <row r="422" spans="1:74">
      <c r="A422" s="10">
        <f t="shared" si="26"/>
        <v>0</v>
      </c>
      <c r="B422" s="10">
        <f t="shared" si="27"/>
        <v>0</v>
      </c>
      <c r="C422" s="12">
        <f t="shared" si="28"/>
        <v>5</v>
      </c>
      <c r="D422" s="12">
        <f t="shared" si="29"/>
        <v>11</v>
      </c>
      <c r="E422" s="20" t="s">
        <v>574</v>
      </c>
      <c r="F422" s="20" t="s">
        <v>575</v>
      </c>
      <c r="G422" s="20" t="s">
        <v>2269</v>
      </c>
      <c r="H422" s="20" t="s">
        <v>2321</v>
      </c>
      <c r="I422" s="20">
        <v>8</v>
      </c>
      <c r="J422" s="20" t="s">
        <v>2322</v>
      </c>
      <c r="K422" s="20" t="s">
        <v>2323</v>
      </c>
      <c r="L422" s="20" t="s">
        <v>2324</v>
      </c>
      <c r="M422" s="20" t="s">
        <v>387</v>
      </c>
      <c r="N422" s="20" t="s">
        <v>559</v>
      </c>
      <c r="P422" s="20" t="s">
        <v>387</v>
      </c>
      <c r="Q422" s="20" t="s">
        <v>394</v>
      </c>
      <c r="R422" s="20" t="s">
        <v>84</v>
      </c>
      <c r="S422" s="20" t="s">
        <v>123</v>
      </c>
      <c r="T422" s="20" t="s">
        <v>2302</v>
      </c>
      <c r="U422" s="20" t="s">
        <v>2303</v>
      </c>
      <c r="V422" s="20" t="s">
        <v>87</v>
      </c>
      <c r="W422" s="20">
        <v>521</v>
      </c>
      <c r="X422" s="20">
        <v>521</v>
      </c>
      <c r="Y422" s="20" t="s">
        <v>2325</v>
      </c>
      <c r="Z422" s="20">
        <v>1</v>
      </c>
      <c r="AA422" s="20" t="s">
        <v>2326</v>
      </c>
      <c r="AB422" s="20" t="s">
        <v>296</v>
      </c>
      <c r="AC422" s="20" t="s">
        <v>297</v>
      </c>
      <c r="AD422" s="20" t="s">
        <v>2327</v>
      </c>
      <c r="AE422" s="20" t="s">
        <v>91</v>
      </c>
      <c r="AF422" s="20">
        <v>1</v>
      </c>
      <c r="AG422" s="20">
        <v>0</v>
      </c>
      <c r="AH422" s="20">
        <v>1</v>
      </c>
      <c r="AI422" s="4" t="s">
        <v>251</v>
      </c>
      <c r="AJ422" s="20">
        <v>400</v>
      </c>
      <c r="AK422" s="4" t="s">
        <v>572</v>
      </c>
      <c r="AL422" s="4">
        <v>2</v>
      </c>
      <c r="AM422" s="4" t="s">
        <v>94</v>
      </c>
      <c r="AN422" s="4" t="s">
        <v>95</v>
      </c>
      <c r="AO422" s="4" t="s">
        <v>96</v>
      </c>
      <c r="AP422" s="4">
        <v>1</v>
      </c>
      <c r="AQ422" s="20">
        <v>23000</v>
      </c>
      <c r="AR422" s="4">
        <v>41820</v>
      </c>
      <c r="AS422" s="20">
        <v>3484.8484848484845</v>
      </c>
      <c r="AT422" s="20">
        <v>5009.6000000000004</v>
      </c>
      <c r="AU422" s="20">
        <v>1524.7515151515158</v>
      </c>
      <c r="AV422" s="20">
        <v>0</v>
      </c>
      <c r="AW422" s="20">
        <v>0</v>
      </c>
      <c r="AX422" s="20">
        <v>20</v>
      </c>
      <c r="AY422" s="20">
        <v>20</v>
      </c>
      <c r="AZ422" s="20">
        <v>4</v>
      </c>
      <c r="BA422" s="20">
        <v>0</v>
      </c>
      <c r="BB422" s="6">
        <v>41786</v>
      </c>
      <c r="BC422" s="6">
        <v>0</v>
      </c>
      <c r="BD422" s="6">
        <v>41879</v>
      </c>
      <c r="BE422" s="6">
        <v>41942</v>
      </c>
      <c r="BF422" s="6">
        <v>41953</v>
      </c>
      <c r="BG422" s="6">
        <v>0</v>
      </c>
      <c r="BH422" s="6">
        <v>0</v>
      </c>
      <c r="BI422" s="6">
        <v>0</v>
      </c>
      <c r="BJ422" s="6">
        <v>0</v>
      </c>
      <c r="BK422" s="4" t="s">
        <v>401</v>
      </c>
      <c r="BL422" s="4" t="s">
        <v>401</v>
      </c>
      <c r="BM422" s="20">
        <v>396</v>
      </c>
      <c r="BN422" s="20">
        <v>0</v>
      </c>
      <c r="BO422" s="20">
        <v>0</v>
      </c>
      <c r="BP422" s="20">
        <v>0</v>
      </c>
      <c r="BQ422" s="20">
        <v>0</v>
      </c>
      <c r="BR422" s="20">
        <v>0</v>
      </c>
      <c r="BS422" s="20">
        <v>400</v>
      </c>
      <c r="BT422" s="20">
        <v>2003840.0000000002</v>
      </c>
      <c r="BU422" s="20">
        <v>9200000</v>
      </c>
      <c r="BV422" s="20">
        <v>4.1738044772219149</v>
      </c>
    </row>
    <row r="423" spans="1:74">
      <c r="A423" s="10">
        <f t="shared" si="26"/>
        <v>0</v>
      </c>
      <c r="B423" s="10">
        <f t="shared" si="27"/>
        <v>0</v>
      </c>
      <c r="C423" s="12">
        <f t="shared" si="28"/>
        <v>5</v>
      </c>
      <c r="D423" s="12">
        <f t="shared" si="29"/>
        <v>11</v>
      </c>
      <c r="E423" s="20" t="s">
        <v>574</v>
      </c>
      <c r="F423" s="20" t="s">
        <v>575</v>
      </c>
      <c r="G423" s="20" t="s">
        <v>2269</v>
      </c>
      <c r="H423" s="20" t="s">
        <v>2328</v>
      </c>
      <c r="I423" s="20">
        <v>9</v>
      </c>
      <c r="J423" s="20" t="s">
        <v>2329</v>
      </c>
      <c r="K423" s="20" t="s">
        <v>2330</v>
      </c>
      <c r="L423" s="20" t="s">
        <v>2331</v>
      </c>
      <c r="M423" s="20" t="s">
        <v>387</v>
      </c>
      <c r="N423" s="20" t="s">
        <v>559</v>
      </c>
      <c r="P423" s="20" t="s">
        <v>387</v>
      </c>
      <c r="Q423" s="20" t="s">
        <v>394</v>
      </c>
      <c r="R423" s="20" t="s">
        <v>84</v>
      </c>
      <c r="S423" s="20" t="s">
        <v>123</v>
      </c>
      <c r="T423" s="20" t="s">
        <v>2302</v>
      </c>
      <c r="U423" s="20" t="s">
        <v>2303</v>
      </c>
      <c r="V423" s="20" t="s">
        <v>87</v>
      </c>
      <c r="W423" s="20">
        <v>522</v>
      </c>
      <c r="X423" s="20">
        <v>522</v>
      </c>
      <c r="Y423" s="20" t="s">
        <v>2332</v>
      </c>
      <c r="Z423" s="20">
        <v>1</v>
      </c>
      <c r="AA423" s="20" t="s">
        <v>2333</v>
      </c>
      <c r="AB423" s="20" t="s">
        <v>176</v>
      </c>
      <c r="AC423" s="20" t="s">
        <v>177</v>
      </c>
      <c r="AD423" s="20" t="s">
        <v>2334</v>
      </c>
      <c r="AE423" s="20" t="s">
        <v>91</v>
      </c>
      <c r="AF423" s="20">
        <v>1</v>
      </c>
      <c r="AG423" s="20">
        <v>0</v>
      </c>
      <c r="AH423" s="20">
        <v>1</v>
      </c>
      <c r="AI423" s="4" t="s">
        <v>251</v>
      </c>
      <c r="AJ423" s="20">
        <v>400</v>
      </c>
      <c r="AK423" s="4" t="s">
        <v>572</v>
      </c>
      <c r="AL423" s="4">
        <v>2</v>
      </c>
      <c r="AM423" s="4" t="s">
        <v>94</v>
      </c>
      <c r="AN423" s="4" t="s">
        <v>95</v>
      </c>
      <c r="AO423" s="4" t="s">
        <v>96</v>
      </c>
      <c r="AP423" s="4">
        <v>1</v>
      </c>
      <c r="AQ423" s="20">
        <v>23000</v>
      </c>
      <c r="AR423" s="4">
        <v>41820</v>
      </c>
      <c r="AS423" s="20">
        <v>3484.8484848484845</v>
      </c>
      <c r="AT423" s="20">
        <v>4884.8599999999997</v>
      </c>
      <c r="AU423" s="20">
        <v>1400.0115151515151</v>
      </c>
      <c r="AV423" s="20">
        <v>0</v>
      </c>
      <c r="AW423" s="20">
        <v>0</v>
      </c>
      <c r="AX423" s="20">
        <v>20</v>
      </c>
      <c r="AY423" s="20">
        <v>20</v>
      </c>
      <c r="AZ423" s="20">
        <v>3.9</v>
      </c>
      <c r="BA423" s="20">
        <v>0</v>
      </c>
      <c r="BB423" s="6">
        <v>41786</v>
      </c>
      <c r="BC423" s="6">
        <v>0</v>
      </c>
      <c r="BD423" s="6">
        <v>41879</v>
      </c>
      <c r="BE423" s="6">
        <v>41942</v>
      </c>
      <c r="BF423" s="6">
        <v>41953</v>
      </c>
      <c r="BG423" s="6">
        <v>0</v>
      </c>
      <c r="BH423" s="6">
        <v>0</v>
      </c>
      <c r="BI423" s="6">
        <v>0</v>
      </c>
      <c r="BJ423" s="6">
        <v>0</v>
      </c>
      <c r="BK423" s="4" t="s">
        <v>401</v>
      </c>
      <c r="BL423" s="4" t="s">
        <v>401</v>
      </c>
      <c r="BM423" s="20">
        <v>400</v>
      </c>
      <c r="BN423" s="20">
        <v>0</v>
      </c>
      <c r="BO423" s="20">
        <v>0</v>
      </c>
      <c r="BP423" s="20">
        <v>0</v>
      </c>
      <c r="BQ423" s="20">
        <v>0</v>
      </c>
      <c r="BR423" s="20">
        <v>0</v>
      </c>
      <c r="BS423" s="20">
        <v>400</v>
      </c>
      <c r="BT423" s="20">
        <v>1953943.9999999998</v>
      </c>
      <c r="BU423" s="20">
        <v>9200000</v>
      </c>
      <c r="BV423" s="20">
        <v>4.2803869320903587</v>
      </c>
    </row>
    <row r="424" spans="1:74">
      <c r="A424" s="10">
        <f t="shared" si="26"/>
        <v>0</v>
      </c>
      <c r="B424" s="10">
        <f t="shared" si="27"/>
        <v>0</v>
      </c>
      <c r="C424" s="12" t="str">
        <f t="shared" si="28"/>
        <v/>
      </c>
      <c r="D424" s="12" t="str">
        <f t="shared" si="29"/>
        <v/>
      </c>
      <c r="E424" s="20" t="s">
        <v>91</v>
      </c>
      <c r="F424" s="20" t="s">
        <v>91</v>
      </c>
      <c r="G424" s="20" t="s">
        <v>91</v>
      </c>
      <c r="H424" s="20" t="s">
        <v>91</v>
      </c>
      <c r="I424" s="20">
        <v>0</v>
      </c>
      <c r="J424" s="20" t="s">
        <v>103</v>
      </c>
      <c r="K424" s="20" t="s">
        <v>104</v>
      </c>
      <c r="L424" s="20">
        <v>0</v>
      </c>
      <c r="M424" s="20" t="s">
        <v>105</v>
      </c>
      <c r="N424" s="20" t="s">
        <v>91</v>
      </c>
      <c r="O424" s="20" t="s">
        <v>2335</v>
      </c>
      <c r="Q424" s="20" t="s">
        <v>91</v>
      </c>
      <c r="R424" s="20" t="s">
        <v>91</v>
      </c>
      <c r="S424" s="20" t="s">
        <v>91</v>
      </c>
      <c r="U424" s="20" t="s">
        <v>91</v>
      </c>
      <c r="V424" s="20" t="s">
        <v>87</v>
      </c>
      <c r="X424" s="20" t="s">
        <v>91</v>
      </c>
      <c r="Y424" s="20" t="s">
        <v>91</v>
      </c>
      <c r="Z424" s="20">
        <v>9</v>
      </c>
      <c r="AB424" s="20" t="s">
        <v>91</v>
      </c>
      <c r="AD424" s="20" t="s">
        <v>91</v>
      </c>
      <c r="AE424" s="20" t="s">
        <v>91</v>
      </c>
      <c r="AF424" s="20">
        <v>9</v>
      </c>
      <c r="AG424" s="20">
        <v>0</v>
      </c>
      <c r="AH424" s="20">
        <v>1</v>
      </c>
      <c r="AM424" s="4" t="s">
        <v>91</v>
      </c>
      <c r="AP424" s="4" t="s">
        <v>91</v>
      </c>
      <c r="AQ424" s="20">
        <v>0</v>
      </c>
      <c r="AR424" s="4">
        <v>0</v>
      </c>
      <c r="AS424" s="20">
        <v>0</v>
      </c>
      <c r="AT424" s="20">
        <v>0</v>
      </c>
      <c r="AU424" s="20">
        <v>0</v>
      </c>
      <c r="AV424" s="20">
        <v>0</v>
      </c>
      <c r="AW424" s="20">
        <v>0</v>
      </c>
      <c r="AX424" s="20" t="s">
        <v>91</v>
      </c>
      <c r="AY424" s="20">
        <v>0</v>
      </c>
      <c r="AZ424" s="20">
        <v>0</v>
      </c>
      <c r="BA424" s="20">
        <v>0</v>
      </c>
      <c r="BB424" s="6">
        <v>0</v>
      </c>
      <c r="BC424" s="6">
        <v>0</v>
      </c>
      <c r="BD424" s="6">
        <v>0</v>
      </c>
      <c r="BE424" s="6">
        <v>0</v>
      </c>
      <c r="BF424" s="6">
        <v>0</v>
      </c>
      <c r="BG424" s="6">
        <v>0</v>
      </c>
      <c r="BH424" s="6">
        <v>0</v>
      </c>
      <c r="BI424" s="6">
        <v>0</v>
      </c>
      <c r="BJ424" s="6">
        <v>0</v>
      </c>
      <c r="BK424" s="4">
        <v>0</v>
      </c>
      <c r="BL424" s="4">
        <v>0</v>
      </c>
      <c r="BM424" s="20">
        <v>2493</v>
      </c>
      <c r="BN424" s="20">
        <v>0</v>
      </c>
      <c r="BO424" s="20">
        <v>0</v>
      </c>
      <c r="BP424" s="20">
        <v>0</v>
      </c>
      <c r="BQ424" s="20">
        <v>0</v>
      </c>
      <c r="BR424" s="20">
        <v>0</v>
      </c>
      <c r="BS424" s="20">
        <v>2500</v>
      </c>
      <c r="BT424" s="20">
        <v>15830332.200000001</v>
      </c>
      <c r="BU424" s="20">
        <v>72700000</v>
      </c>
      <c r="BV424" s="20">
        <v>4.174954022184644</v>
      </c>
    </row>
    <row r="425" spans="1:74">
      <c r="A425" s="10">
        <f t="shared" si="26"/>
        <v>0</v>
      </c>
      <c r="B425" s="10">
        <f t="shared" si="27"/>
        <v>0.5</v>
      </c>
      <c r="C425" s="12">
        <f t="shared" si="28"/>
        <v>5</v>
      </c>
      <c r="D425" s="12">
        <f t="shared" si="29"/>
        <v>10</v>
      </c>
      <c r="E425" s="20" t="s">
        <v>386</v>
      </c>
      <c r="F425" s="20" t="s">
        <v>387</v>
      </c>
      <c r="G425" s="20" t="s">
        <v>2336</v>
      </c>
      <c r="H425" s="20" t="s">
        <v>2337</v>
      </c>
      <c r="I425" s="20">
        <v>1</v>
      </c>
      <c r="J425" s="20" t="s">
        <v>2338</v>
      </c>
      <c r="K425" s="20" t="s">
        <v>2339</v>
      </c>
      <c r="L425" s="20" t="s">
        <v>2340</v>
      </c>
      <c r="M425" s="20" t="s">
        <v>387</v>
      </c>
      <c r="N425" s="20" t="s">
        <v>559</v>
      </c>
      <c r="P425" s="20" t="s">
        <v>387</v>
      </c>
      <c r="Q425" s="20" t="s">
        <v>394</v>
      </c>
      <c r="R425" s="20" t="s">
        <v>84</v>
      </c>
      <c r="S425" s="20">
        <v>5</v>
      </c>
      <c r="T425" s="20" t="s">
        <v>395</v>
      </c>
      <c r="U425" s="20" t="s">
        <v>396</v>
      </c>
      <c r="V425" s="20" t="s">
        <v>87</v>
      </c>
      <c r="W425" s="20">
        <v>523</v>
      </c>
      <c r="X425" s="20">
        <v>523</v>
      </c>
      <c r="Y425" s="20" t="s">
        <v>2341</v>
      </c>
      <c r="Z425" s="20">
        <v>0.5</v>
      </c>
      <c r="AA425" s="20" t="s">
        <v>2342</v>
      </c>
      <c r="AB425" s="20" t="s">
        <v>303</v>
      </c>
      <c r="AC425" s="20" t="s">
        <v>304</v>
      </c>
      <c r="AD425" s="20" t="s">
        <v>2343</v>
      </c>
      <c r="AE425" s="20" t="s">
        <v>91</v>
      </c>
      <c r="AF425" s="20">
        <v>1</v>
      </c>
      <c r="AG425" s="20">
        <v>0</v>
      </c>
      <c r="AH425" s="20">
        <v>1</v>
      </c>
      <c r="AI425" s="4" t="s">
        <v>251</v>
      </c>
      <c r="AJ425" s="20">
        <v>180</v>
      </c>
      <c r="AK425" s="4" t="s">
        <v>179</v>
      </c>
      <c r="AL425" s="4">
        <v>20</v>
      </c>
      <c r="AM425" s="4">
        <v>20</v>
      </c>
      <c r="AN425" s="4" t="s">
        <v>95</v>
      </c>
      <c r="AO425" s="4" t="s">
        <v>96</v>
      </c>
      <c r="AP425" s="4">
        <v>1</v>
      </c>
      <c r="AQ425" s="20">
        <v>49000</v>
      </c>
      <c r="AR425" s="4">
        <v>41827</v>
      </c>
      <c r="AS425" s="20">
        <v>7424.242424242424</v>
      </c>
      <c r="AT425" s="20">
        <v>8648.4000000000015</v>
      </c>
      <c r="AU425" s="20">
        <v>1224.1575757575774</v>
      </c>
      <c r="AV425" s="20">
        <v>1144</v>
      </c>
      <c r="AW425" s="20">
        <v>0</v>
      </c>
      <c r="AX425" s="20">
        <v>20</v>
      </c>
      <c r="AY425" s="20">
        <v>1164</v>
      </c>
      <c r="AZ425" s="20">
        <v>6</v>
      </c>
      <c r="BA425" s="20">
        <v>0</v>
      </c>
      <c r="BB425" s="6">
        <v>41786</v>
      </c>
      <c r="BC425" s="6">
        <v>41899</v>
      </c>
      <c r="BD425" s="6">
        <v>41879</v>
      </c>
      <c r="BE425" s="6">
        <v>41894</v>
      </c>
      <c r="BF425" s="6">
        <v>41913</v>
      </c>
      <c r="BG425" s="6">
        <v>0</v>
      </c>
      <c r="BH425" s="6">
        <v>0</v>
      </c>
      <c r="BI425" s="6">
        <v>0</v>
      </c>
      <c r="BJ425" s="6">
        <v>0</v>
      </c>
      <c r="BK425" s="4" t="s">
        <v>401</v>
      </c>
      <c r="BL425" s="4" t="s">
        <v>401</v>
      </c>
      <c r="BM425" s="20">
        <v>179</v>
      </c>
      <c r="BN425" s="20">
        <v>0</v>
      </c>
      <c r="BO425" s="20">
        <v>0</v>
      </c>
      <c r="BP425" s="20">
        <v>0</v>
      </c>
      <c r="BQ425" s="20">
        <v>0</v>
      </c>
      <c r="BR425" s="20">
        <v>0</v>
      </c>
      <c r="BS425" s="20">
        <v>180</v>
      </c>
      <c r="BT425" s="20">
        <v>1556712.0000000002</v>
      </c>
      <c r="BU425" s="20">
        <v>8820000</v>
      </c>
      <c r="BV425" s="20">
        <v>5.1507162649107965</v>
      </c>
    </row>
    <row r="426" spans="1:74">
      <c r="A426" s="10">
        <f t="shared" si="26"/>
        <v>0</v>
      </c>
      <c r="B426" s="10">
        <f t="shared" si="27"/>
        <v>0.5</v>
      </c>
      <c r="C426" s="12">
        <f t="shared" si="28"/>
        <v>5</v>
      </c>
      <c r="D426" s="12">
        <f t="shared" si="29"/>
        <v>10</v>
      </c>
      <c r="E426" s="20" t="s">
        <v>386</v>
      </c>
      <c r="F426" s="20" t="s">
        <v>387</v>
      </c>
      <c r="G426" s="20" t="s">
        <v>2336</v>
      </c>
      <c r="H426" s="20" t="s">
        <v>2344</v>
      </c>
      <c r="I426" s="20">
        <v>2</v>
      </c>
      <c r="J426" s="20" t="s">
        <v>2345</v>
      </c>
      <c r="K426" s="20" t="s">
        <v>2346</v>
      </c>
      <c r="L426" s="20" t="s">
        <v>2340</v>
      </c>
      <c r="M426" s="20" t="s">
        <v>387</v>
      </c>
      <c r="N426" s="20" t="s">
        <v>559</v>
      </c>
      <c r="P426" s="20" t="s">
        <v>387</v>
      </c>
      <c r="Q426" s="20" t="s">
        <v>394</v>
      </c>
      <c r="R426" s="20" t="s">
        <v>84</v>
      </c>
      <c r="S426" s="20">
        <v>5</v>
      </c>
      <c r="T426" s="20" t="s">
        <v>395</v>
      </c>
      <c r="U426" s="20" t="s">
        <v>396</v>
      </c>
      <c r="V426" s="20" t="s">
        <v>87</v>
      </c>
      <c r="W426" s="20">
        <v>523</v>
      </c>
      <c r="X426" s="20">
        <v>523</v>
      </c>
      <c r="Y426" s="20" t="s">
        <v>2341</v>
      </c>
      <c r="Z426" s="20">
        <v>0.5</v>
      </c>
      <c r="AA426" s="20" t="s">
        <v>2347</v>
      </c>
      <c r="AB426" s="20" t="s">
        <v>139</v>
      </c>
      <c r="AC426" s="20" t="s">
        <v>140</v>
      </c>
      <c r="AD426" s="20" t="s">
        <v>2348</v>
      </c>
      <c r="AE426" s="20" t="s">
        <v>91</v>
      </c>
      <c r="AF426" s="20">
        <v>1</v>
      </c>
      <c r="AG426" s="20">
        <v>0</v>
      </c>
      <c r="AH426" s="20">
        <v>1</v>
      </c>
      <c r="AI426" s="4" t="s">
        <v>251</v>
      </c>
      <c r="AJ426" s="20">
        <v>180</v>
      </c>
      <c r="AK426" s="4" t="s">
        <v>179</v>
      </c>
      <c r="AL426" s="4">
        <v>20</v>
      </c>
      <c r="AM426" s="4">
        <v>20</v>
      </c>
      <c r="AN426" s="4" t="s">
        <v>95</v>
      </c>
      <c r="AO426" s="4" t="s">
        <v>96</v>
      </c>
      <c r="AP426" s="4">
        <v>1</v>
      </c>
      <c r="AQ426" s="20">
        <v>49000</v>
      </c>
      <c r="AR426" s="4">
        <v>41827</v>
      </c>
      <c r="AS426" s="20">
        <v>7424.242424242424</v>
      </c>
      <c r="AT426" s="20">
        <v>9018.4000000000015</v>
      </c>
      <c r="AU426" s="20">
        <v>1594.1575757575774</v>
      </c>
      <c r="AV426" s="20">
        <v>1514</v>
      </c>
      <c r="AW426" s="20">
        <v>0</v>
      </c>
      <c r="AX426" s="20">
        <v>20</v>
      </c>
      <c r="AY426" s="20">
        <v>1534</v>
      </c>
      <c r="AZ426" s="20">
        <v>6</v>
      </c>
      <c r="BA426" s="20">
        <v>0</v>
      </c>
      <c r="BB426" s="6">
        <v>41786</v>
      </c>
      <c r="BC426" s="6">
        <v>41899</v>
      </c>
      <c r="BD426" s="6">
        <v>41879</v>
      </c>
      <c r="BE426" s="6">
        <v>41894</v>
      </c>
      <c r="BF426" s="6">
        <v>41913</v>
      </c>
      <c r="BG426" s="6">
        <v>0</v>
      </c>
      <c r="BH426" s="6">
        <v>0</v>
      </c>
      <c r="BI426" s="6">
        <v>0</v>
      </c>
      <c r="BJ426" s="6">
        <v>0</v>
      </c>
      <c r="BK426" s="4" t="s">
        <v>401</v>
      </c>
      <c r="BL426" s="4" t="s">
        <v>401</v>
      </c>
      <c r="BM426" s="20">
        <v>180</v>
      </c>
      <c r="BN426" s="20">
        <v>0</v>
      </c>
      <c r="BO426" s="20">
        <v>0</v>
      </c>
      <c r="BP426" s="20">
        <v>0</v>
      </c>
      <c r="BQ426" s="20">
        <v>0</v>
      </c>
      <c r="BR426" s="20">
        <v>0</v>
      </c>
      <c r="BS426" s="20">
        <v>180</v>
      </c>
      <c r="BT426" s="20">
        <v>1623312.0000000002</v>
      </c>
      <c r="BU426" s="20">
        <v>8820000</v>
      </c>
      <c r="BV426" s="20">
        <v>4.9393966275009467</v>
      </c>
    </row>
    <row r="427" spans="1:74">
      <c r="A427" s="10">
        <f t="shared" si="26"/>
        <v>0</v>
      </c>
      <c r="B427" s="10">
        <f t="shared" si="27"/>
        <v>0</v>
      </c>
      <c r="C427" s="12" t="str">
        <f t="shared" si="28"/>
        <v/>
      </c>
      <c r="D427" s="12" t="str">
        <f t="shared" si="29"/>
        <v/>
      </c>
      <c r="E427" s="20" t="s">
        <v>91</v>
      </c>
      <c r="F427" s="20" t="s">
        <v>91</v>
      </c>
      <c r="G427" s="20" t="s">
        <v>91</v>
      </c>
      <c r="H427" s="20" t="s">
        <v>91</v>
      </c>
      <c r="I427" s="20">
        <v>0</v>
      </c>
      <c r="J427" s="20" t="s">
        <v>103</v>
      </c>
      <c r="K427" s="20" t="s">
        <v>104</v>
      </c>
      <c r="L427" s="20">
        <v>0</v>
      </c>
      <c r="M427" s="20" t="s">
        <v>105</v>
      </c>
      <c r="N427" s="20" t="s">
        <v>91</v>
      </c>
      <c r="O427" s="20" t="s">
        <v>2349</v>
      </c>
      <c r="Q427" s="20" t="s">
        <v>91</v>
      </c>
      <c r="R427" s="20" t="s">
        <v>91</v>
      </c>
      <c r="S427" s="20" t="s">
        <v>91</v>
      </c>
      <c r="U427" s="20" t="s">
        <v>91</v>
      </c>
      <c r="V427" s="20" t="s">
        <v>87</v>
      </c>
      <c r="X427" s="20" t="s">
        <v>91</v>
      </c>
      <c r="Y427" s="20" t="s">
        <v>91</v>
      </c>
      <c r="Z427" s="20">
        <v>1</v>
      </c>
      <c r="AB427" s="20" t="s">
        <v>91</v>
      </c>
      <c r="AD427" s="20" t="s">
        <v>91</v>
      </c>
      <c r="AE427" s="20" t="s">
        <v>91</v>
      </c>
      <c r="AF427" s="20">
        <v>2</v>
      </c>
      <c r="AG427" s="20">
        <v>0</v>
      </c>
      <c r="AH427" s="20">
        <v>1</v>
      </c>
      <c r="AM427" s="4" t="s">
        <v>91</v>
      </c>
      <c r="AP427" s="4" t="s">
        <v>91</v>
      </c>
      <c r="AQ427" s="20">
        <v>0</v>
      </c>
      <c r="AR427" s="4">
        <v>0</v>
      </c>
      <c r="AS427" s="20">
        <v>0</v>
      </c>
      <c r="AT427" s="20">
        <v>0</v>
      </c>
      <c r="AU427" s="20">
        <v>0</v>
      </c>
      <c r="AV427" s="20">
        <v>0</v>
      </c>
      <c r="AW427" s="20">
        <v>0</v>
      </c>
      <c r="AX427" s="20" t="s">
        <v>91</v>
      </c>
      <c r="AY427" s="20">
        <v>0</v>
      </c>
      <c r="AZ427" s="20">
        <v>0</v>
      </c>
      <c r="BA427" s="20">
        <v>0</v>
      </c>
      <c r="BB427" s="6">
        <v>0</v>
      </c>
      <c r="BC427" s="6">
        <v>0</v>
      </c>
      <c r="BD427" s="6">
        <v>0</v>
      </c>
      <c r="BE427" s="6">
        <v>0</v>
      </c>
      <c r="BF427" s="6">
        <v>0</v>
      </c>
      <c r="BG427" s="6">
        <v>0</v>
      </c>
      <c r="BH427" s="6">
        <v>0</v>
      </c>
      <c r="BI427" s="6">
        <v>0</v>
      </c>
      <c r="BJ427" s="6">
        <v>0</v>
      </c>
      <c r="BK427" s="4">
        <v>0</v>
      </c>
      <c r="BL427" s="4">
        <v>0</v>
      </c>
      <c r="BM427" s="20">
        <v>359</v>
      </c>
      <c r="BN427" s="20">
        <v>0</v>
      </c>
      <c r="BO427" s="20">
        <v>0</v>
      </c>
      <c r="BP427" s="20">
        <v>0</v>
      </c>
      <c r="BQ427" s="20">
        <v>0</v>
      </c>
      <c r="BR427" s="20">
        <v>0</v>
      </c>
      <c r="BS427" s="20">
        <v>360</v>
      </c>
      <c r="BT427" s="20">
        <v>3180024.0000000005</v>
      </c>
      <c r="BU427" s="20">
        <v>17640000</v>
      </c>
      <c r="BV427" s="20">
        <v>5.0428435874583437</v>
      </c>
    </row>
    <row r="428" spans="1:74">
      <c r="A428" s="10">
        <f t="shared" si="26"/>
        <v>0</v>
      </c>
      <c r="B428" s="10">
        <f t="shared" si="27"/>
        <v>0</v>
      </c>
      <c r="C428" s="12">
        <f t="shared" si="28"/>
        <v>6</v>
      </c>
      <c r="D428" s="12">
        <f t="shared" si="29"/>
        <v>8</v>
      </c>
      <c r="E428" s="20" t="s">
        <v>574</v>
      </c>
      <c r="F428" s="20" t="s">
        <v>2526</v>
      </c>
      <c r="G428" s="20" t="s">
        <v>2527</v>
      </c>
      <c r="H428" s="20" t="s">
        <v>2528</v>
      </c>
      <c r="I428" s="20">
        <v>1</v>
      </c>
      <c r="J428" s="20" t="s">
        <v>2529</v>
      </c>
      <c r="K428" s="20" t="s">
        <v>2530</v>
      </c>
      <c r="L428" s="20" t="s">
        <v>120</v>
      </c>
      <c r="M428" s="20" t="s">
        <v>115</v>
      </c>
      <c r="N428" s="20" t="s">
        <v>2241</v>
      </c>
      <c r="P428" s="20" t="s">
        <v>115</v>
      </c>
      <c r="Q428" s="20" t="s">
        <v>122</v>
      </c>
      <c r="R428" s="20" t="s">
        <v>84</v>
      </c>
      <c r="S428" s="20" t="s">
        <v>123</v>
      </c>
      <c r="T428" s="20" t="s">
        <v>1844</v>
      </c>
      <c r="U428" s="20" t="s">
        <v>1845</v>
      </c>
      <c r="V428" s="20" t="s">
        <v>87</v>
      </c>
      <c r="W428" s="20">
        <v>501</v>
      </c>
      <c r="X428" s="20">
        <v>501</v>
      </c>
      <c r="Y428" s="20" t="s">
        <v>2531</v>
      </c>
      <c r="Z428" s="20">
        <v>1</v>
      </c>
      <c r="AA428" s="20" t="s">
        <v>2532</v>
      </c>
      <c r="AB428" s="20" t="s">
        <v>101</v>
      </c>
      <c r="AC428" s="20" t="s">
        <v>102</v>
      </c>
      <c r="AD428" s="20" t="s">
        <v>2533</v>
      </c>
      <c r="AE428" s="20" t="s">
        <v>91</v>
      </c>
      <c r="AF428" s="20">
        <v>1</v>
      </c>
      <c r="AG428" s="20">
        <v>0</v>
      </c>
      <c r="AH428" s="20">
        <v>1</v>
      </c>
      <c r="AI428" s="4" t="s">
        <v>647</v>
      </c>
      <c r="AJ428" s="20">
        <v>100</v>
      </c>
      <c r="AK428" s="4" t="s">
        <v>1848</v>
      </c>
      <c r="AL428" s="4">
        <v>2</v>
      </c>
      <c r="AM428" s="4" t="s">
        <v>94</v>
      </c>
      <c r="AN428" s="4" t="s">
        <v>95</v>
      </c>
      <c r="AO428" s="4" t="s">
        <v>96</v>
      </c>
      <c r="AP428" s="4">
        <v>1</v>
      </c>
      <c r="AQ428" s="20">
        <v>129000</v>
      </c>
      <c r="AR428" s="4">
        <v>41827</v>
      </c>
      <c r="AS428" s="20">
        <v>29318.181818181816</v>
      </c>
      <c r="AT428" s="20">
        <v>34000</v>
      </c>
      <c r="AU428" s="20">
        <v>4681.8181818181838</v>
      </c>
      <c r="AV428" s="20">
        <v>0</v>
      </c>
      <c r="AW428" s="20">
        <v>0</v>
      </c>
      <c r="AX428" s="20" t="s">
        <v>2666</v>
      </c>
      <c r="AY428" s="20">
        <v>0</v>
      </c>
      <c r="AZ428" s="20">
        <v>0</v>
      </c>
      <c r="BA428" s="20">
        <v>34000</v>
      </c>
      <c r="BB428" s="6">
        <v>41806</v>
      </c>
      <c r="BC428" s="6">
        <v>0</v>
      </c>
      <c r="BD428" s="6">
        <v>41848</v>
      </c>
      <c r="BE428" s="6">
        <v>41881</v>
      </c>
      <c r="BF428" s="6">
        <v>41879</v>
      </c>
      <c r="BG428" s="6">
        <v>0</v>
      </c>
      <c r="BH428" s="6">
        <v>0</v>
      </c>
      <c r="BI428" s="6">
        <v>0</v>
      </c>
      <c r="BJ428" s="6">
        <v>0</v>
      </c>
      <c r="BK428" s="4" t="s">
        <v>401</v>
      </c>
      <c r="BL428" s="4" t="s">
        <v>401</v>
      </c>
      <c r="BM428" s="20">
        <v>100</v>
      </c>
      <c r="BN428" s="20">
        <v>0</v>
      </c>
      <c r="BO428" s="20">
        <v>0</v>
      </c>
      <c r="BP428" s="20">
        <v>0</v>
      </c>
      <c r="BQ428" s="20">
        <v>0</v>
      </c>
      <c r="BR428" s="20">
        <v>0</v>
      </c>
      <c r="BS428" s="20">
        <v>100</v>
      </c>
      <c r="BT428" s="20">
        <v>3400000</v>
      </c>
      <c r="BU428" s="20">
        <v>12900000</v>
      </c>
      <c r="BV428" s="20">
        <v>3.4491978609625664</v>
      </c>
    </row>
    <row r="429" spans="1:74">
      <c r="A429" s="10">
        <f t="shared" si="26"/>
        <v>0</v>
      </c>
      <c r="B429" s="10">
        <f t="shared" si="27"/>
        <v>0</v>
      </c>
      <c r="C429" s="12">
        <f t="shared" si="28"/>
        <v>6</v>
      </c>
      <c r="D429" s="12">
        <f t="shared" si="29"/>
        <v>8</v>
      </c>
      <c r="E429" s="20" t="s">
        <v>574</v>
      </c>
      <c r="F429" s="20" t="s">
        <v>2526</v>
      </c>
      <c r="G429" s="20" t="s">
        <v>2527</v>
      </c>
      <c r="H429" s="20" t="s">
        <v>2534</v>
      </c>
      <c r="I429" s="20">
        <v>2</v>
      </c>
      <c r="J429" s="20" t="s">
        <v>2535</v>
      </c>
      <c r="K429" s="20" t="s">
        <v>2536</v>
      </c>
      <c r="L429" s="20" t="s">
        <v>136</v>
      </c>
      <c r="M429" s="20" t="s">
        <v>115</v>
      </c>
      <c r="N429" s="20" t="s">
        <v>2241</v>
      </c>
      <c r="P429" s="20" t="s">
        <v>115</v>
      </c>
      <c r="Q429" s="20" t="s">
        <v>122</v>
      </c>
      <c r="R429" s="20" t="s">
        <v>84</v>
      </c>
      <c r="S429" s="20" t="s">
        <v>123</v>
      </c>
      <c r="T429" s="20" t="s">
        <v>1844</v>
      </c>
      <c r="U429" s="20" t="s">
        <v>1845</v>
      </c>
      <c r="V429" s="20" t="s">
        <v>87</v>
      </c>
      <c r="W429" s="20">
        <v>502</v>
      </c>
      <c r="X429" s="20">
        <v>502</v>
      </c>
      <c r="Y429" s="20" t="s">
        <v>2537</v>
      </c>
      <c r="Z429" s="20">
        <v>1</v>
      </c>
      <c r="AA429" s="20" t="s">
        <v>2538</v>
      </c>
      <c r="AB429" s="20" t="s">
        <v>101</v>
      </c>
      <c r="AC429" s="20" t="s">
        <v>102</v>
      </c>
      <c r="AD429" s="20" t="s">
        <v>2539</v>
      </c>
      <c r="AE429" s="20" t="s">
        <v>91</v>
      </c>
      <c r="AF429" s="20">
        <v>1</v>
      </c>
      <c r="AG429" s="20">
        <v>0</v>
      </c>
      <c r="AH429" s="20">
        <v>1</v>
      </c>
      <c r="AI429" s="4" t="s">
        <v>647</v>
      </c>
      <c r="AJ429" s="20">
        <v>100</v>
      </c>
      <c r="AK429" s="4" t="s">
        <v>1848</v>
      </c>
      <c r="AL429" s="4">
        <v>2</v>
      </c>
      <c r="AM429" s="4" t="s">
        <v>94</v>
      </c>
      <c r="AN429" s="4" t="s">
        <v>95</v>
      </c>
      <c r="AO429" s="4" t="s">
        <v>96</v>
      </c>
      <c r="AP429" s="4">
        <v>1</v>
      </c>
      <c r="AQ429" s="20">
        <v>129000</v>
      </c>
      <c r="AR429" s="4">
        <v>41827</v>
      </c>
      <c r="AS429" s="20">
        <v>29318.181818181816</v>
      </c>
      <c r="AT429" s="20">
        <v>34520</v>
      </c>
      <c r="AU429" s="20">
        <v>5201.8181818181838</v>
      </c>
      <c r="AV429" s="20">
        <v>0</v>
      </c>
      <c r="AW429" s="20">
        <v>0</v>
      </c>
      <c r="AX429" s="20">
        <v>20</v>
      </c>
      <c r="AY429" s="20">
        <v>20</v>
      </c>
      <c r="AZ429" s="20">
        <v>0</v>
      </c>
      <c r="BA429" s="20">
        <v>34500</v>
      </c>
      <c r="BB429" s="6">
        <v>41806</v>
      </c>
      <c r="BC429" s="6">
        <v>0</v>
      </c>
      <c r="BD429" s="6">
        <v>41848</v>
      </c>
      <c r="BE429" s="6">
        <v>41881</v>
      </c>
      <c r="BF429" s="6">
        <v>41879</v>
      </c>
      <c r="BG429" s="6">
        <v>0</v>
      </c>
      <c r="BH429" s="6">
        <v>0</v>
      </c>
      <c r="BI429" s="6">
        <v>0</v>
      </c>
      <c r="BJ429" s="6">
        <v>0</v>
      </c>
      <c r="BK429" s="4" t="s">
        <v>401</v>
      </c>
      <c r="BL429" s="4" t="s">
        <v>401</v>
      </c>
      <c r="BM429" s="20">
        <v>100</v>
      </c>
      <c r="BN429" s="20">
        <v>0</v>
      </c>
      <c r="BO429" s="20">
        <v>0</v>
      </c>
      <c r="BP429" s="20">
        <v>0</v>
      </c>
      <c r="BQ429" s="20">
        <v>0</v>
      </c>
      <c r="BR429" s="20">
        <v>0</v>
      </c>
      <c r="BS429" s="20">
        <v>100</v>
      </c>
      <c r="BT429" s="20">
        <v>3452000</v>
      </c>
      <c r="BU429" s="20">
        <v>12900000</v>
      </c>
      <c r="BV429" s="20">
        <v>3.3972400716317281</v>
      </c>
    </row>
    <row r="430" spans="1:74">
      <c r="A430" s="10">
        <f t="shared" si="26"/>
        <v>0</v>
      </c>
      <c r="B430" s="10">
        <f t="shared" si="27"/>
        <v>0</v>
      </c>
      <c r="C430" s="12">
        <f t="shared" si="28"/>
        <v>6</v>
      </c>
      <c r="D430" s="12">
        <f t="shared" si="29"/>
        <v>8</v>
      </c>
      <c r="E430" s="20" t="s">
        <v>574</v>
      </c>
      <c r="F430" s="20" t="s">
        <v>2526</v>
      </c>
      <c r="G430" s="20" t="s">
        <v>2527</v>
      </c>
      <c r="H430" s="20" t="s">
        <v>2540</v>
      </c>
      <c r="I430" s="20">
        <v>3</v>
      </c>
      <c r="J430" s="20" t="s">
        <v>2541</v>
      </c>
      <c r="K430" s="20" t="s">
        <v>2542</v>
      </c>
      <c r="L430" s="20" t="s">
        <v>146</v>
      </c>
      <c r="M430" s="20" t="s">
        <v>115</v>
      </c>
      <c r="N430" s="20" t="s">
        <v>2241</v>
      </c>
      <c r="P430" s="20" t="s">
        <v>115</v>
      </c>
      <c r="Q430" s="20" t="s">
        <v>122</v>
      </c>
      <c r="R430" s="20" t="s">
        <v>84</v>
      </c>
      <c r="S430" s="20" t="s">
        <v>123</v>
      </c>
      <c r="T430" s="20" t="s">
        <v>1844</v>
      </c>
      <c r="U430" s="20" t="s">
        <v>1845</v>
      </c>
      <c r="V430" s="20" t="s">
        <v>87</v>
      </c>
      <c r="W430" s="20">
        <v>503</v>
      </c>
      <c r="X430" s="20">
        <v>503</v>
      </c>
      <c r="Y430" s="20" t="s">
        <v>2543</v>
      </c>
      <c r="Z430" s="20">
        <v>1</v>
      </c>
      <c r="AA430" s="20" t="s">
        <v>2544</v>
      </c>
      <c r="AB430" s="20" t="s">
        <v>109</v>
      </c>
      <c r="AC430" s="20" t="s">
        <v>110</v>
      </c>
      <c r="AD430" s="20" t="s">
        <v>2545</v>
      </c>
      <c r="AE430" s="20" t="s">
        <v>91</v>
      </c>
      <c r="AF430" s="20">
        <v>1</v>
      </c>
      <c r="AG430" s="20">
        <v>0</v>
      </c>
      <c r="AH430" s="20">
        <v>1</v>
      </c>
      <c r="AI430" s="4" t="s">
        <v>647</v>
      </c>
      <c r="AJ430" s="20">
        <v>100</v>
      </c>
      <c r="AK430" s="4" t="s">
        <v>1848</v>
      </c>
      <c r="AL430" s="4">
        <v>2</v>
      </c>
      <c r="AM430" s="4" t="s">
        <v>94</v>
      </c>
      <c r="AN430" s="4" t="s">
        <v>95</v>
      </c>
      <c r="AO430" s="4" t="s">
        <v>96</v>
      </c>
      <c r="AP430" s="4">
        <v>1</v>
      </c>
      <c r="AQ430" s="20">
        <v>129000</v>
      </c>
      <c r="AR430" s="4">
        <v>41827</v>
      </c>
      <c r="AS430" s="20">
        <v>29318.181818181816</v>
      </c>
      <c r="AT430" s="20">
        <v>34020</v>
      </c>
      <c r="AU430" s="20">
        <v>4701.8181818181838</v>
      </c>
      <c r="AV430" s="20">
        <v>0</v>
      </c>
      <c r="AW430" s="20">
        <v>0</v>
      </c>
      <c r="AX430" s="20">
        <v>20</v>
      </c>
      <c r="AY430" s="20">
        <v>20</v>
      </c>
      <c r="AZ430" s="20">
        <v>0</v>
      </c>
      <c r="BA430" s="20">
        <v>34000</v>
      </c>
      <c r="BB430" s="6">
        <v>41806</v>
      </c>
      <c r="BC430" s="6">
        <v>0</v>
      </c>
      <c r="BD430" s="6">
        <v>41848</v>
      </c>
      <c r="BE430" s="6">
        <v>41881</v>
      </c>
      <c r="BF430" s="6">
        <v>41879</v>
      </c>
      <c r="BG430" s="6">
        <v>0</v>
      </c>
      <c r="BH430" s="6">
        <v>0</v>
      </c>
      <c r="BI430" s="6">
        <v>0</v>
      </c>
      <c r="BJ430" s="6">
        <v>0</v>
      </c>
      <c r="BK430" s="4" t="s">
        <v>401</v>
      </c>
      <c r="BL430" s="4" t="s">
        <v>401</v>
      </c>
      <c r="BM430" s="20">
        <v>100</v>
      </c>
      <c r="BN430" s="20">
        <v>0</v>
      </c>
      <c r="BO430" s="20">
        <v>0</v>
      </c>
      <c r="BP430" s="20">
        <v>0</v>
      </c>
      <c r="BQ430" s="20">
        <v>0</v>
      </c>
      <c r="BR430" s="20">
        <v>0</v>
      </c>
      <c r="BS430" s="20">
        <v>100</v>
      </c>
      <c r="BT430" s="20">
        <v>3402000</v>
      </c>
      <c r="BU430" s="20">
        <v>12900000</v>
      </c>
      <c r="BV430" s="20">
        <v>3.4471701138367803</v>
      </c>
    </row>
    <row r="431" spans="1:74">
      <c r="A431" s="10">
        <f t="shared" si="26"/>
        <v>0</v>
      </c>
      <c r="B431" s="10">
        <f t="shared" si="27"/>
        <v>0</v>
      </c>
      <c r="C431" s="12" t="str">
        <f t="shared" si="28"/>
        <v/>
      </c>
      <c r="D431" s="12" t="str">
        <f t="shared" si="29"/>
        <v/>
      </c>
      <c r="E431" s="20" t="s">
        <v>91</v>
      </c>
      <c r="F431" s="20" t="s">
        <v>91</v>
      </c>
      <c r="G431" s="20" t="s">
        <v>91</v>
      </c>
      <c r="H431" s="20" t="s">
        <v>91</v>
      </c>
      <c r="I431" s="20">
        <v>0</v>
      </c>
      <c r="J431" s="20" t="s">
        <v>103</v>
      </c>
      <c r="K431" s="20" t="s">
        <v>104</v>
      </c>
      <c r="L431" s="20">
        <v>0</v>
      </c>
      <c r="M431" s="20" t="s">
        <v>105</v>
      </c>
      <c r="N431" s="20" t="s">
        <v>91</v>
      </c>
      <c r="O431" s="20" t="s">
        <v>2546</v>
      </c>
      <c r="Q431" s="20" t="s">
        <v>91</v>
      </c>
      <c r="R431" s="20" t="s">
        <v>91</v>
      </c>
      <c r="S431" s="20" t="s">
        <v>91</v>
      </c>
      <c r="U431" s="20" t="s">
        <v>91</v>
      </c>
      <c r="V431" s="20" t="s">
        <v>87</v>
      </c>
      <c r="X431" s="20" t="s">
        <v>91</v>
      </c>
      <c r="Y431" s="20" t="s">
        <v>91</v>
      </c>
      <c r="Z431" s="20">
        <v>3</v>
      </c>
      <c r="AB431" s="20" t="s">
        <v>91</v>
      </c>
      <c r="AD431" s="20" t="s">
        <v>91</v>
      </c>
      <c r="AE431" s="20" t="s">
        <v>91</v>
      </c>
      <c r="AF431" s="20">
        <v>3</v>
      </c>
      <c r="AG431" s="20">
        <v>0</v>
      </c>
      <c r="AH431" s="20">
        <v>1</v>
      </c>
      <c r="AM431" s="4" t="s">
        <v>91</v>
      </c>
      <c r="AP431" s="4" t="s">
        <v>91</v>
      </c>
      <c r="AQ431" s="20">
        <v>0</v>
      </c>
      <c r="AR431" s="4">
        <v>0</v>
      </c>
      <c r="AS431" s="20">
        <v>0</v>
      </c>
      <c r="AT431" s="20">
        <v>0</v>
      </c>
      <c r="AU431" s="20">
        <v>0</v>
      </c>
      <c r="AV431" s="20">
        <v>0</v>
      </c>
      <c r="AW431" s="20">
        <v>0</v>
      </c>
      <c r="AX431" s="20" t="s">
        <v>91</v>
      </c>
      <c r="AY431" s="20">
        <v>0</v>
      </c>
      <c r="AZ431" s="20">
        <v>0</v>
      </c>
      <c r="BA431" s="20">
        <v>0</v>
      </c>
      <c r="BB431" s="6">
        <v>0</v>
      </c>
      <c r="BC431" s="6">
        <v>0</v>
      </c>
      <c r="BD431" s="6">
        <v>0</v>
      </c>
      <c r="BE431" s="6">
        <v>0</v>
      </c>
      <c r="BF431" s="6">
        <v>0</v>
      </c>
      <c r="BG431" s="6">
        <v>0</v>
      </c>
      <c r="BH431" s="6">
        <v>0</v>
      </c>
      <c r="BI431" s="6">
        <v>0</v>
      </c>
      <c r="BJ431" s="6">
        <v>0</v>
      </c>
      <c r="BK431" s="4">
        <v>0</v>
      </c>
      <c r="BL431" s="4">
        <v>0</v>
      </c>
      <c r="BM431" s="20">
        <v>300</v>
      </c>
      <c r="BN431" s="20">
        <v>0</v>
      </c>
      <c r="BO431" s="20">
        <v>0</v>
      </c>
      <c r="BP431" s="20">
        <v>0</v>
      </c>
      <c r="BQ431" s="20">
        <v>0</v>
      </c>
      <c r="BR431" s="20">
        <v>0</v>
      </c>
      <c r="BS431" s="20">
        <v>300</v>
      </c>
      <c r="BT431" s="20">
        <v>10254000</v>
      </c>
      <c r="BU431" s="20">
        <v>38700000</v>
      </c>
      <c r="BV431" s="20">
        <v>3.4310335656151922</v>
      </c>
    </row>
    <row r="432" spans="1:74">
      <c r="A432" s="10">
        <f t="shared" si="26"/>
        <v>0</v>
      </c>
      <c r="B432" s="10">
        <f t="shared" si="27"/>
        <v>0</v>
      </c>
      <c r="C432" s="12">
        <f t="shared" si="28"/>
        <v>7</v>
      </c>
      <c r="D432" s="12">
        <f t="shared" si="29"/>
        <v>11</v>
      </c>
      <c r="E432" s="20" t="s">
        <v>386</v>
      </c>
      <c r="F432" s="20" t="s">
        <v>387</v>
      </c>
      <c r="G432" s="20" t="s">
        <v>4282</v>
      </c>
      <c r="H432" s="20" t="s">
        <v>4283</v>
      </c>
      <c r="I432" s="20">
        <v>1</v>
      </c>
      <c r="J432" s="20" t="s">
        <v>4284</v>
      </c>
      <c r="K432" s="20" t="s">
        <v>4285</v>
      </c>
      <c r="L432" s="20" t="s">
        <v>2652</v>
      </c>
      <c r="M432" s="20" t="s">
        <v>387</v>
      </c>
      <c r="N432" s="20" t="s">
        <v>559</v>
      </c>
      <c r="P432" s="20" t="s">
        <v>387</v>
      </c>
      <c r="Q432" s="20" t="s">
        <v>394</v>
      </c>
      <c r="R432" s="20" t="s">
        <v>84</v>
      </c>
      <c r="S432" s="20">
        <v>5</v>
      </c>
      <c r="T432" s="20" t="s">
        <v>244</v>
      </c>
      <c r="U432" s="20" t="s">
        <v>245</v>
      </c>
      <c r="V432" s="20" t="s">
        <v>87</v>
      </c>
      <c r="W432" s="20">
        <v>524</v>
      </c>
      <c r="X432" s="20">
        <v>524</v>
      </c>
      <c r="Y432" s="20" t="s">
        <v>2653</v>
      </c>
      <c r="Z432" s="20">
        <v>1</v>
      </c>
      <c r="AA432" s="20" t="s">
        <v>2654</v>
      </c>
      <c r="AB432" s="20" t="s">
        <v>279</v>
      </c>
      <c r="AC432" s="20" t="s">
        <v>280</v>
      </c>
      <c r="AD432" s="20" t="s">
        <v>2655</v>
      </c>
      <c r="AE432" s="20" t="s">
        <v>91</v>
      </c>
      <c r="AF432" s="20">
        <v>1</v>
      </c>
      <c r="AG432" s="20">
        <v>0</v>
      </c>
      <c r="AH432" s="20">
        <v>1</v>
      </c>
      <c r="AI432" s="4" t="s">
        <v>251</v>
      </c>
      <c r="AJ432" s="20">
        <v>180</v>
      </c>
      <c r="AK432" s="4" t="s">
        <v>4286</v>
      </c>
      <c r="AL432" s="4">
        <v>1</v>
      </c>
      <c r="AM432" s="4" t="s">
        <v>130</v>
      </c>
      <c r="AN432" s="4" t="s">
        <v>95</v>
      </c>
      <c r="AO432" s="4" t="s">
        <v>96</v>
      </c>
      <c r="AP432" s="4">
        <v>1</v>
      </c>
      <c r="AQ432" s="20">
        <v>39000</v>
      </c>
      <c r="AR432" s="4">
        <v>41906</v>
      </c>
      <c r="AS432" s="20">
        <v>5909.0909090909081</v>
      </c>
      <c r="AT432" s="20">
        <v>5508.5600000000013</v>
      </c>
      <c r="AU432" s="20">
        <v>-400.53090909090679</v>
      </c>
      <c r="AV432" s="20">
        <v>0</v>
      </c>
      <c r="AW432" s="20">
        <v>0</v>
      </c>
      <c r="AX432" s="20">
        <v>20</v>
      </c>
      <c r="AY432" s="20">
        <v>20</v>
      </c>
      <c r="AZ432" s="20">
        <v>4.4000000000000004</v>
      </c>
      <c r="BA432" s="20">
        <v>0</v>
      </c>
      <c r="BB432" s="6">
        <v>41837</v>
      </c>
      <c r="BC432" s="6">
        <v>0</v>
      </c>
      <c r="BD432" s="6">
        <v>41942</v>
      </c>
      <c r="BE432" s="6">
        <v>41942</v>
      </c>
      <c r="BF432" s="6">
        <v>41961</v>
      </c>
      <c r="BG432" s="6">
        <v>0</v>
      </c>
      <c r="BH432" s="6">
        <v>0</v>
      </c>
      <c r="BI432" s="6">
        <v>0</v>
      </c>
      <c r="BJ432" s="6">
        <v>0</v>
      </c>
      <c r="BK432" s="4" t="s">
        <v>401</v>
      </c>
      <c r="BL432" s="4" t="s">
        <v>401</v>
      </c>
      <c r="BM432" s="20">
        <v>180</v>
      </c>
      <c r="BN432" s="20">
        <v>0</v>
      </c>
      <c r="BO432" s="20">
        <v>0</v>
      </c>
      <c r="BP432" s="20">
        <v>0</v>
      </c>
      <c r="BQ432" s="20">
        <v>0</v>
      </c>
      <c r="BR432" s="20">
        <v>0</v>
      </c>
      <c r="BS432" s="20">
        <v>180</v>
      </c>
      <c r="BT432" s="20">
        <v>991540.80000000028</v>
      </c>
      <c r="BU432" s="20">
        <v>7020000</v>
      </c>
      <c r="BV432" s="20">
        <v>6.4362638247646284</v>
      </c>
    </row>
    <row r="433" spans="1:74">
      <c r="A433" s="10">
        <f t="shared" si="26"/>
        <v>0</v>
      </c>
      <c r="B433" s="10">
        <f t="shared" si="27"/>
        <v>1</v>
      </c>
      <c r="C433" s="12">
        <f t="shared" si="28"/>
        <v>7</v>
      </c>
      <c r="D433" s="12">
        <f t="shared" si="29"/>
        <v>11</v>
      </c>
      <c r="E433" s="20" t="s">
        <v>386</v>
      </c>
      <c r="F433" s="20" t="s">
        <v>387</v>
      </c>
      <c r="G433" s="20" t="s">
        <v>4282</v>
      </c>
      <c r="H433" s="20" t="s">
        <v>4287</v>
      </c>
      <c r="I433" s="20">
        <v>2</v>
      </c>
      <c r="J433" s="20" t="s">
        <v>4288</v>
      </c>
      <c r="K433" s="20" t="s">
        <v>4289</v>
      </c>
      <c r="L433" s="20" t="s">
        <v>2656</v>
      </c>
      <c r="M433" s="20" t="s">
        <v>387</v>
      </c>
      <c r="N433" s="20" t="s">
        <v>559</v>
      </c>
      <c r="P433" s="20" t="s">
        <v>387</v>
      </c>
      <c r="Q433" s="20" t="s">
        <v>394</v>
      </c>
      <c r="R433" s="20" t="s">
        <v>84</v>
      </c>
      <c r="S433" s="20">
        <v>5</v>
      </c>
      <c r="T433" s="20" t="s">
        <v>244</v>
      </c>
      <c r="U433" s="20" t="s">
        <v>245</v>
      </c>
      <c r="V433" s="20" t="s">
        <v>87</v>
      </c>
      <c r="W433" s="20">
        <v>525</v>
      </c>
      <c r="X433" s="20">
        <v>525</v>
      </c>
      <c r="Y433" s="20" t="s">
        <v>2657</v>
      </c>
      <c r="Z433" s="20">
        <v>1</v>
      </c>
      <c r="AA433" s="20" t="s">
        <v>2658</v>
      </c>
      <c r="AB433" s="20" t="s">
        <v>159</v>
      </c>
      <c r="AC433" s="20" t="s">
        <v>160</v>
      </c>
      <c r="AD433" s="20" t="s">
        <v>2659</v>
      </c>
      <c r="AE433" s="20" t="s">
        <v>91</v>
      </c>
      <c r="AF433" s="20">
        <v>1</v>
      </c>
      <c r="AG433" s="20">
        <v>0</v>
      </c>
      <c r="AH433" s="20">
        <v>1</v>
      </c>
      <c r="AI433" s="4" t="s">
        <v>251</v>
      </c>
      <c r="AJ433" s="20">
        <v>180</v>
      </c>
      <c r="AK433" s="4" t="s">
        <v>4286</v>
      </c>
      <c r="AL433" s="4">
        <v>1</v>
      </c>
      <c r="AM433" s="4" t="s">
        <v>130</v>
      </c>
      <c r="AN433" s="4" t="s">
        <v>95</v>
      </c>
      <c r="AO433" s="4" t="s">
        <v>96</v>
      </c>
      <c r="AP433" s="4">
        <v>1</v>
      </c>
      <c r="AQ433" s="20">
        <v>39000</v>
      </c>
      <c r="AR433" s="4">
        <v>41906</v>
      </c>
      <c r="AS433" s="20">
        <v>5909.0909090909081</v>
      </c>
      <c r="AT433" s="20">
        <v>5979.7800000000007</v>
      </c>
      <c r="AU433" s="20">
        <v>70.689090909092556</v>
      </c>
      <c r="AV433" s="20">
        <v>97</v>
      </c>
      <c r="AW433" s="20">
        <v>0</v>
      </c>
      <c r="AX433" s="20">
        <v>20</v>
      </c>
      <c r="AY433" s="20">
        <v>117</v>
      </c>
      <c r="AZ433" s="20">
        <v>4.7</v>
      </c>
      <c r="BA433" s="20">
        <v>0</v>
      </c>
      <c r="BB433" s="6">
        <v>41837</v>
      </c>
      <c r="BC433" s="6">
        <v>0</v>
      </c>
      <c r="BD433" s="6">
        <v>41942</v>
      </c>
      <c r="BE433" s="6">
        <v>41942</v>
      </c>
      <c r="BF433" s="6">
        <v>41961</v>
      </c>
      <c r="BG433" s="6">
        <v>0</v>
      </c>
      <c r="BH433" s="6">
        <v>0</v>
      </c>
      <c r="BI433" s="6">
        <v>0</v>
      </c>
      <c r="BJ433" s="6">
        <v>0</v>
      </c>
      <c r="BK433" s="4" t="s">
        <v>401</v>
      </c>
      <c r="BL433" s="4" t="s">
        <v>401</v>
      </c>
      <c r="BM433" s="20">
        <v>180</v>
      </c>
      <c r="BN433" s="20">
        <v>0</v>
      </c>
      <c r="BO433" s="20">
        <v>0</v>
      </c>
      <c r="BP433" s="20">
        <v>0</v>
      </c>
      <c r="BQ433" s="20">
        <v>0</v>
      </c>
      <c r="BR433" s="20">
        <v>0</v>
      </c>
      <c r="BS433" s="20">
        <v>180</v>
      </c>
      <c r="BT433" s="20">
        <v>1076360.4000000001</v>
      </c>
      <c r="BU433" s="20">
        <v>7020000</v>
      </c>
      <c r="BV433" s="20">
        <v>5.9290718813309935</v>
      </c>
    </row>
    <row r="434" spans="1:74">
      <c r="A434" s="10">
        <f t="shared" si="26"/>
        <v>0</v>
      </c>
      <c r="B434" s="10">
        <f t="shared" si="27"/>
        <v>0</v>
      </c>
      <c r="C434" s="12" t="str">
        <f t="shared" si="28"/>
        <v/>
      </c>
      <c r="D434" s="12" t="str">
        <f t="shared" si="29"/>
        <v/>
      </c>
      <c r="E434" s="20" t="s">
        <v>91</v>
      </c>
      <c r="F434" s="20" t="s">
        <v>91</v>
      </c>
      <c r="G434" s="20" t="s">
        <v>91</v>
      </c>
      <c r="H434" s="20" t="s">
        <v>91</v>
      </c>
      <c r="I434" s="20">
        <v>0</v>
      </c>
      <c r="J434" s="20" t="s">
        <v>103</v>
      </c>
      <c r="K434" s="20" t="s">
        <v>104</v>
      </c>
      <c r="L434" s="20">
        <v>0</v>
      </c>
      <c r="M434" s="20" t="s">
        <v>105</v>
      </c>
      <c r="N434" s="20" t="s">
        <v>91</v>
      </c>
      <c r="O434" s="20" t="s">
        <v>4290</v>
      </c>
      <c r="Q434" s="20" t="s">
        <v>91</v>
      </c>
      <c r="R434" s="20" t="s">
        <v>91</v>
      </c>
      <c r="S434" s="20" t="s">
        <v>91</v>
      </c>
      <c r="U434" s="20" t="s">
        <v>91</v>
      </c>
      <c r="V434" s="20" t="s">
        <v>87</v>
      </c>
      <c r="X434" s="20" t="s">
        <v>91</v>
      </c>
      <c r="Y434" s="20" t="s">
        <v>91</v>
      </c>
      <c r="Z434" s="20">
        <v>2</v>
      </c>
      <c r="AB434" s="20" t="s">
        <v>91</v>
      </c>
      <c r="AD434" s="20" t="s">
        <v>91</v>
      </c>
      <c r="AE434" s="20" t="s">
        <v>91</v>
      </c>
      <c r="AF434" s="20">
        <v>2</v>
      </c>
      <c r="AG434" s="20">
        <v>0</v>
      </c>
      <c r="AH434" s="20">
        <v>1</v>
      </c>
      <c r="AM434" s="4" t="s">
        <v>91</v>
      </c>
      <c r="AP434" s="4" t="s">
        <v>91</v>
      </c>
      <c r="AQ434" s="20">
        <v>0</v>
      </c>
      <c r="AR434" s="4">
        <v>0</v>
      </c>
      <c r="AS434" s="20">
        <v>0</v>
      </c>
      <c r="AT434" s="20">
        <v>0</v>
      </c>
      <c r="AU434" s="20">
        <v>0</v>
      </c>
      <c r="AV434" s="20">
        <v>0</v>
      </c>
      <c r="AW434" s="20">
        <v>0</v>
      </c>
      <c r="AX434" s="20" t="s">
        <v>91</v>
      </c>
      <c r="AY434" s="20">
        <v>0</v>
      </c>
      <c r="AZ434" s="20">
        <v>0</v>
      </c>
      <c r="BA434" s="20">
        <v>0</v>
      </c>
      <c r="BB434" s="6">
        <v>0</v>
      </c>
      <c r="BC434" s="6">
        <v>0</v>
      </c>
      <c r="BD434" s="6">
        <v>0</v>
      </c>
      <c r="BE434" s="6">
        <v>0</v>
      </c>
      <c r="BF434" s="6">
        <v>0</v>
      </c>
      <c r="BG434" s="6">
        <v>0</v>
      </c>
      <c r="BH434" s="6">
        <v>0</v>
      </c>
      <c r="BI434" s="6">
        <v>0</v>
      </c>
      <c r="BJ434" s="6">
        <v>0</v>
      </c>
      <c r="BK434" s="4">
        <v>0</v>
      </c>
      <c r="BL434" s="4">
        <v>0</v>
      </c>
      <c r="BM434" s="20">
        <v>360</v>
      </c>
      <c r="BN434" s="20">
        <v>0</v>
      </c>
      <c r="BO434" s="20">
        <v>0</v>
      </c>
      <c r="BP434" s="20">
        <v>0</v>
      </c>
      <c r="BQ434" s="20">
        <v>0</v>
      </c>
      <c r="BR434" s="20">
        <v>0</v>
      </c>
      <c r="BS434" s="20">
        <v>360</v>
      </c>
      <c r="BT434" s="20">
        <v>2067901.2000000004</v>
      </c>
      <c r="BU434" s="20">
        <v>14040000</v>
      </c>
      <c r="BV434" s="20">
        <v>6.172266046190388</v>
      </c>
    </row>
    <row r="435" spans="1:74">
      <c r="A435" s="10">
        <f t="shared" si="26"/>
        <v>0</v>
      </c>
      <c r="B435" s="10">
        <f t="shared" si="27"/>
        <v>0</v>
      </c>
      <c r="C435" s="12">
        <f t="shared" si="28"/>
        <v>8</v>
      </c>
      <c r="D435" s="12">
        <f t="shared" si="29"/>
        <v>10</v>
      </c>
      <c r="E435" s="20" t="s">
        <v>114</v>
      </c>
      <c r="F435" s="20" t="s">
        <v>115</v>
      </c>
      <c r="G435" s="20" t="s">
        <v>3854</v>
      </c>
      <c r="H435" s="20" t="s">
        <v>3855</v>
      </c>
      <c r="I435" s="20">
        <v>1</v>
      </c>
      <c r="J435" s="20" t="s">
        <v>3856</v>
      </c>
      <c r="K435" s="20" t="s">
        <v>3857</v>
      </c>
      <c r="L435" s="20" t="s">
        <v>156</v>
      </c>
      <c r="M435" s="20" t="s">
        <v>115</v>
      </c>
      <c r="N435" s="20" t="s">
        <v>121</v>
      </c>
      <c r="P435" s="20" t="s">
        <v>115</v>
      </c>
      <c r="Q435" s="20" t="s">
        <v>122</v>
      </c>
      <c r="R435" s="20" t="s">
        <v>84</v>
      </c>
      <c r="S435" s="20" t="s">
        <v>123</v>
      </c>
      <c r="T435" s="20" t="s">
        <v>124</v>
      </c>
      <c r="U435" s="20" t="s">
        <v>125</v>
      </c>
      <c r="V435" s="20" t="s">
        <v>87</v>
      </c>
      <c r="W435" s="20">
        <v>504</v>
      </c>
      <c r="X435" s="20">
        <v>504</v>
      </c>
      <c r="Y435" s="20" t="s">
        <v>157</v>
      </c>
      <c r="Z435" s="20">
        <v>0.5</v>
      </c>
      <c r="AA435" s="20" t="s">
        <v>158</v>
      </c>
      <c r="AB435" s="20" t="s">
        <v>159</v>
      </c>
      <c r="AC435" s="20" t="s">
        <v>160</v>
      </c>
      <c r="AD435" s="20" t="s">
        <v>161</v>
      </c>
      <c r="AE435" s="20" t="s">
        <v>91</v>
      </c>
      <c r="AF435" s="20">
        <v>0.5</v>
      </c>
      <c r="AG435" s="20">
        <v>0</v>
      </c>
      <c r="AH435" s="20">
        <v>1</v>
      </c>
      <c r="AI435" s="4" t="s">
        <v>97</v>
      </c>
      <c r="AJ435" s="20">
        <v>40</v>
      </c>
      <c r="AK435" s="4" t="s">
        <v>1047</v>
      </c>
      <c r="AL435" s="4">
        <v>12</v>
      </c>
      <c r="AM435" s="4">
        <v>12</v>
      </c>
      <c r="AN435" s="4" t="s">
        <v>95</v>
      </c>
      <c r="AO435" s="4" t="s">
        <v>96</v>
      </c>
      <c r="AP435" s="4">
        <v>1</v>
      </c>
      <c r="AQ435" s="20">
        <v>43000</v>
      </c>
      <c r="AR435" s="4">
        <v>41856</v>
      </c>
      <c r="AS435" s="20">
        <v>4343.4343434343427</v>
      </c>
      <c r="AT435" s="20">
        <v>4736.42</v>
      </c>
      <c r="AU435" s="20">
        <v>392.98565656565734</v>
      </c>
      <c r="AV435" s="20">
        <v>0</v>
      </c>
      <c r="AW435" s="20">
        <v>600</v>
      </c>
      <c r="AX435" s="20">
        <v>20</v>
      </c>
      <c r="AY435" s="20">
        <v>620</v>
      </c>
      <c r="AZ435" s="20">
        <v>3.3</v>
      </c>
      <c r="BA435" s="20">
        <v>0</v>
      </c>
      <c r="BB435" s="6">
        <v>41856</v>
      </c>
      <c r="BC435" s="6">
        <v>0</v>
      </c>
      <c r="BD435" s="6">
        <v>41897</v>
      </c>
      <c r="BE435" s="6">
        <v>41911</v>
      </c>
      <c r="BF435" s="6">
        <v>41943</v>
      </c>
      <c r="BG435" s="6">
        <v>0</v>
      </c>
      <c r="BH435" s="6">
        <v>0</v>
      </c>
      <c r="BI435" s="6">
        <v>0</v>
      </c>
      <c r="BJ435" s="6">
        <v>0</v>
      </c>
      <c r="BK435" s="4" t="s">
        <v>401</v>
      </c>
      <c r="BL435" s="4" t="s">
        <v>401</v>
      </c>
      <c r="BM435" s="20">
        <v>40</v>
      </c>
      <c r="BN435" s="20">
        <v>0</v>
      </c>
      <c r="BO435" s="20">
        <v>0</v>
      </c>
      <c r="BP435" s="20">
        <v>0</v>
      </c>
      <c r="BQ435" s="20">
        <v>0</v>
      </c>
      <c r="BR435" s="20">
        <v>0</v>
      </c>
      <c r="BS435" s="20">
        <v>40</v>
      </c>
      <c r="BT435" s="20">
        <v>189456.8</v>
      </c>
      <c r="BU435" s="20">
        <v>1720000</v>
      </c>
      <c r="BV435" s="20">
        <v>8.253260709757388</v>
      </c>
    </row>
    <row r="436" spans="1:74">
      <c r="A436" s="10">
        <f t="shared" si="26"/>
        <v>0</v>
      </c>
      <c r="B436" s="10">
        <f t="shared" si="27"/>
        <v>0</v>
      </c>
      <c r="C436" s="12">
        <f t="shared" si="28"/>
        <v>8</v>
      </c>
      <c r="D436" s="12">
        <f t="shared" si="29"/>
        <v>10</v>
      </c>
      <c r="E436" s="20" t="s">
        <v>114</v>
      </c>
      <c r="F436" s="20" t="s">
        <v>115</v>
      </c>
      <c r="G436" s="20" t="s">
        <v>3854</v>
      </c>
      <c r="H436" s="20" t="s">
        <v>3855</v>
      </c>
      <c r="I436" s="20">
        <v>1</v>
      </c>
      <c r="J436" s="20" t="s">
        <v>3856</v>
      </c>
      <c r="K436" s="20" t="s">
        <v>3858</v>
      </c>
      <c r="L436" s="20" t="s">
        <v>156</v>
      </c>
      <c r="M436" s="20" t="s">
        <v>115</v>
      </c>
      <c r="N436" s="20" t="s">
        <v>121</v>
      </c>
      <c r="P436" s="20" t="s">
        <v>115</v>
      </c>
      <c r="Q436" s="20" t="s">
        <v>122</v>
      </c>
      <c r="R436" s="20" t="s">
        <v>84</v>
      </c>
      <c r="S436" s="20" t="s">
        <v>123</v>
      </c>
      <c r="T436" s="20" t="s">
        <v>124</v>
      </c>
      <c r="U436" s="20" t="s">
        <v>125</v>
      </c>
      <c r="V436" s="20" t="s">
        <v>87</v>
      </c>
      <c r="W436" s="20">
        <v>504</v>
      </c>
      <c r="X436" s="20">
        <v>504</v>
      </c>
      <c r="Y436" s="20" t="s">
        <v>157</v>
      </c>
      <c r="Z436" s="20">
        <v>0.5</v>
      </c>
      <c r="AA436" s="20" t="s">
        <v>158</v>
      </c>
      <c r="AB436" s="20" t="s">
        <v>159</v>
      </c>
      <c r="AC436" s="20" t="s">
        <v>160</v>
      </c>
      <c r="AD436" s="20" t="s">
        <v>161</v>
      </c>
      <c r="AE436" s="20" t="s">
        <v>91</v>
      </c>
      <c r="AF436" s="20">
        <v>0.5</v>
      </c>
      <c r="AG436" s="20">
        <v>0</v>
      </c>
      <c r="AH436" s="20">
        <v>1</v>
      </c>
      <c r="AI436" s="4" t="s">
        <v>98</v>
      </c>
      <c r="AJ436" s="20">
        <v>80</v>
      </c>
      <c r="AK436" s="4" t="s">
        <v>1047</v>
      </c>
      <c r="AL436" s="4">
        <v>12</v>
      </c>
      <c r="AM436" s="4">
        <v>12</v>
      </c>
      <c r="AN436" s="4" t="s">
        <v>95</v>
      </c>
      <c r="AO436" s="4" t="s">
        <v>96</v>
      </c>
      <c r="AP436" s="4">
        <v>1</v>
      </c>
      <c r="AQ436" s="20">
        <v>43000</v>
      </c>
      <c r="AR436" s="4">
        <v>41856</v>
      </c>
      <c r="AS436" s="20">
        <v>4343.4343434343427</v>
      </c>
      <c r="AT436" s="20">
        <v>4736.42</v>
      </c>
      <c r="AU436" s="20">
        <v>392.98565656565734</v>
      </c>
      <c r="AV436" s="20">
        <v>0</v>
      </c>
      <c r="AW436" s="20">
        <v>600</v>
      </c>
      <c r="AX436" s="20">
        <v>20</v>
      </c>
      <c r="AY436" s="20">
        <v>620</v>
      </c>
      <c r="AZ436" s="20">
        <v>3.3</v>
      </c>
      <c r="BA436" s="20">
        <v>0</v>
      </c>
      <c r="BB436" s="6">
        <v>41856</v>
      </c>
      <c r="BC436" s="6">
        <v>0</v>
      </c>
      <c r="BD436" s="6">
        <v>41897</v>
      </c>
      <c r="BE436" s="6">
        <v>41911</v>
      </c>
      <c r="BF436" s="6">
        <v>41943</v>
      </c>
      <c r="BG436" s="6">
        <v>0</v>
      </c>
      <c r="BH436" s="6">
        <v>0</v>
      </c>
      <c r="BI436" s="6">
        <v>0</v>
      </c>
      <c r="BJ436" s="6">
        <v>0</v>
      </c>
      <c r="BK436" s="4" t="s">
        <v>401</v>
      </c>
      <c r="BL436" s="4" t="s">
        <v>401</v>
      </c>
      <c r="BM436" s="20">
        <v>80</v>
      </c>
      <c r="BN436" s="20">
        <v>0</v>
      </c>
      <c r="BO436" s="20">
        <v>0</v>
      </c>
      <c r="BP436" s="20">
        <v>0</v>
      </c>
      <c r="BQ436" s="20">
        <v>0</v>
      </c>
      <c r="BR436" s="20">
        <v>0</v>
      </c>
      <c r="BS436" s="20">
        <v>80</v>
      </c>
      <c r="BT436" s="20">
        <v>378913.6</v>
      </c>
      <c r="BU436" s="20">
        <v>3440000</v>
      </c>
      <c r="BV436" s="20">
        <v>8.253260709757388</v>
      </c>
    </row>
    <row r="437" spans="1:74">
      <c r="A437" s="10">
        <f t="shared" si="26"/>
        <v>0</v>
      </c>
      <c r="B437" s="10">
        <f t="shared" si="27"/>
        <v>0</v>
      </c>
      <c r="C437" s="12" t="str">
        <f t="shared" si="28"/>
        <v/>
      </c>
      <c r="D437" s="12" t="str">
        <f t="shared" si="29"/>
        <v/>
      </c>
      <c r="E437" s="20" t="s">
        <v>91</v>
      </c>
      <c r="F437" s="20" t="s">
        <v>91</v>
      </c>
      <c r="G437" s="20" t="s">
        <v>91</v>
      </c>
      <c r="H437" s="20" t="s">
        <v>91</v>
      </c>
      <c r="I437" s="20">
        <v>0</v>
      </c>
      <c r="J437" s="20" t="s">
        <v>103</v>
      </c>
      <c r="K437" s="20" t="s">
        <v>104</v>
      </c>
      <c r="L437" s="20">
        <v>0</v>
      </c>
      <c r="M437" s="20" t="s">
        <v>105</v>
      </c>
      <c r="N437" s="20" t="s">
        <v>91</v>
      </c>
      <c r="O437" s="20" t="s">
        <v>3859</v>
      </c>
      <c r="Q437" s="20" t="s">
        <v>91</v>
      </c>
      <c r="R437" s="20" t="s">
        <v>91</v>
      </c>
      <c r="S437" s="20" t="s">
        <v>91</v>
      </c>
      <c r="U437" s="20" t="s">
        <v>91</v>
      </c>
      <c r="V437" s="20" t="s">
        <v>87</v>
      </c>
      <c r="X437" s="20" t="s">
        <v>91</v>
      </c>
      <c r="Y437" s="20" t="s">
        <v>91</v>
      </c>
      <c r="Z437" s="20">
        <v>1</v>
      </c>
      <c r="AB437" s="20" t="s">
        <v>91</v>
      </c>
      <c r="AD437" s="20" t="s">
        <v>91</v>
      </c>
      <c r="AE437" s="20" t="s">
        <v>91</v>
      </c>
      <c r="AF437" s="20">
        <v>1</v>
      </c>
      <c r="AG437" s="20">
        <v>0</v>
      </c>
      <c r="AH437" s="20">
        <v>1</v>
      </c>
      <c r="AM437" s="4" t="s">
        <v>91</v>
      </c>
      <c r="AP437" s="4" t="s">
        <v>91</v>
      </c>
      <c r="AQ437" s="20">
        <v>0</v>
      </c>
      <c r="AR437" s="4">
        <v>0</v>
      </c>
      <c r="AS437" s="20">
        <v>0</v>
      </c>
      <c r="AT437" s="20">
        <v>0</v>
      </c>
      <c r="AU437" s="20">
        <v>0</v>
      </c>
      <c r="AV437" s="20">
        <v>0</v>
      </c>
      <c r="AW437" s="20">
        <v>0</v>
      </c>
      <c r="AX437" s="20" t="s">
        <v>91</v>
      </c>
      <c r="AY437" s="20">
        <v>0</v>
      </c>
      <c r="AZ437" s="20">
        <v>0</v>
      </c>
      <c r="BA437" s="20">
        <v>0</v>
      </c>
      <c r="BB437" s="6">
        <v>0</v>
      </c>
      <c r="BC437" s="6">
        <v>0</v>
      </c>
      <c r="BD437" s="6">
        <v>0</v>
      </c>
      <c r="BE437" s="6">
        <v>0</v>
      </c>
      <c r="BF437" s="6">
        <v>0</v>
      </c>
      <c r="BG437" s="6">
        <v>0</v>
      </c>
      <c r="BH437" s="6">
        <v>0</v>
      </c>
      <c r="BI437" s="6">
        <v>0</v>
      </c>
      <c r="BJ437" s="6">
        <v>0</v>
      </c>
      <c r="BK437" s="4">
        <v>0</v>
      </c>
      <c r="BL437" s="4">
        <v>0</v>
      </c>
      <c r="BM437" s="20">
        <v>120</v>
      </c>
      <c r="BN437" s="20">
        <v>0</v>
      </c>
      <c r="BO437" s="20">
        <v>0</v>
      </c>
      <c r="BP437" s="20">
        <v>0</v>
      </c>
      <c r="BQ437" s="20">
        <v>0</v>
      </c>
      <c r="BR437" s="20">
        <v>0</v>
      </c>
      <c r="BS437" s="20">
        <v>120</v>
      </c>
      <c r="BT437" s="20">
        <v>568370.39999999991</v>
      </c>
      <c r="BU437" s="20">
        <v>5160000</v>
      </c>
      <c r="BV437" s="20">
        <v>8.2532607097573898</v>
      </c>
    </row>
    <row r="438" spans="1:74">
      <c r="A438" s="10">
        <f t="shared" si="26"/>
        <v>0</v>
      </c>
      <c r="B438" s="10">
        <f t="shared" si="27"/>
        <v>0.5</v>
      </c>
      <c r="C438" s="12">
        <f t="shared" si="28"/>
        <v>8</v>
      </c>
      <c r="D438" s="12">
        <f t="shared" si="29"/>
        <v>11</v>
      </c>
      <c r="E438" s="20" t="s">
        <v>114</v>
      </c>
      <c r="F438" s="20" t="s">
        <v>115</v>
      </c>
      <c r="G438" s="20" t="s">
        <v>3860</v>
      </c>
      <c r="H438" s="20" t="s">
        <v>3861</v>
      </c>
      <c r="I438" s="20">
        <v>1</v>
      </c>
      <c r="J438" s="20" t="s">
        <v>3862</v>
      </c>
      <c r="K438" s="20" t="s">
        <v>3863</v>
      </c>
      <c r="L438" s="20" t="s">
        <v>3799</v>
      </c>
      <c r="M438" s="20" t="s">
        <v>115</v>
      </c>
      <c r="N438" s="20" t="s">
        <v>3800</v>
      </c>
      <c r="P438" s="20" t="s">
        <v>115</v>
      </c>
      <c r="Q438" s="20" t="s">
        <v>122</v>
      </c>
      <c r="R438" s="20" t="s">
        <v>84</v>
      </c>
      <c r="S438" s="20">
        <v>5</v>
      </c>
      <c r="T438" s="20" t="s">
        <v>106</v>
      </c>
      <c r="U438" s="20" t="s">
        <v>107</v>
      </c>
      <c r="V438" s="20" t="s">
        <v>87</v>
      </c>
      <c r="W438" s="20">
        <v>509</v>
      </c>
      <c r="X438" s="20">
        <v>509</v>
      </c>
      <c r="Y438" s="20" t="s">
        <v>3801</v>
      </c>
      <c r="Z438" s="20">
        <v>0.5</v>
      </c>
      <c r="AA438" s="20" t="s">
        <v>3802</v>
      </c>
      <c r="AB438" s="20" t="s">
        <v>101</v>
      </c>
      <c r="AC438" s="20" t="s">
        <v>102</v>
      </c>
      <c r="AD438" s="20" t="s">
        <v>3803</v>
      </c>
      <c r="AE438" s="20" t="s">
        <v>91</v>
      </c>
      <c r="AF438" s="20">
        <v>0.5</v>
      </c>
      <c r="AG438" s="20">
        <v>0</v>
      </c>
      <c r="AH438" s="20">
        <v>1</v>
      </c>
      <c r="AI438" s="4" t="s">
        <v>97</v>
      </c>
      <c r="AJ438" s="20">
        <v>100</v>
      </c>
      <c r="AK438" s="4" t="s">
        <v>1047</v>
      </c>
      <c r="AL438" s="4">
        <v>11</v>
      </c>
      <c r="AM438" s="4">
        <v>11</v>
      </c>
      <c r="AN438" s="4" t="s">
        <v>95</v>
      </c>
      <c r="AO438" s="4" t="s">
        <v>96</v>
      </c>
      <c r="AP438" s="4">
        <v>1</v>
      </c>
      <c r="AQ438" s="20">
        <v>49000</v>
      </c>
      <c r="AR438" s="4">
        <v>41918</v>
      </c>
      <c r="AS438" s="20">
        <v>4949.4949494949497</v>
      </c>
      <c r="AT438" s="20">
        <v>5694.86</v>
      </c>
      <c r="AU438" s="20">
        <v>745.36505050505002</v>
      </c>
      <c r="AV438" s="20">
        <v>810</v>
      </c>
      <c r="AW438" s="20">
        <v>0</v>
      </c>
      <c r="AX438" s="20">
        <v>20</v>
      </c>
      <c r="AY438" s="20">
        <v>830</v>
      </c>
      <c r="AZ438" s="20">
        <v>3.9</v>
      </c>
      <c r="BA438" s="20">
        <v>0</v>
      </c>
      <c r="BB438" s="6">
        <v>41858</v>
      </c>
      <c r="BC438" s="6">
        <v>0</v>
      </c>
      <c r="BD438" s="6">
        <v>41928</v>
      </c>
      <c r="BE438" s="6">
        <v>0</v>
      </c>
      <c r="BF438" s="6">
        <v>41956</v>
      </c>
      <c r="BG438" s="6">
        <v>0</v>
      </c>
      <c r="BH438" s="6">
        <v>0</v>
      </c>
      <c r="BI438" s="6">
        <v>0</v>
      </c>
      <c r="BJ438" s="6">
        <v>0</v>
      </c>
      <c r="BK438" s="4" t="s">
        <v>401</v>
      </c>
      <c r="BL438" s="4" t="s">
        <v>401</v>
      </c>
      <c r="BM438" s="20">
        <v>100</v>
      </c>
      <c r="BN438" s="20">
        <v>0</v>
      </c>
      <c r="BO438" s="20">
        <v>0</v>
      </c>
      <c r="BP438" s="20">
        <v>0</v>
      </c>
      <c r="BQ438" s="20">
        <v>0</v>
      </c>
      <c r="BR438" s="20">
        <v>0</v>
      </c>
      <c r="BS438" s="20">
        <v>100</v>
      </c>
      <c r="BT438" s="20">
        <v>569486</v>
      </c>
      <c r="BU438" s="20">
        <v>4900000</v>
      </c>
      <c r="BV438" s="20">
        <v>7.8220455894358318</v>
      </c>
    </row>
    <row r="439" spans="1:74">
      <c r="A439" s="10">
        <f t="shared" si="26"/>
        <v>0</v>
      </c>
      <c r="B439" s="10">
        <f t="shared" si="27"/>
        <v>0</v>
      </c>
      <c r="C439" s="12">
        <f t="shared" si="28"/>
        <v>8</v>
      </c>
      <c r="D439" s="12">
        <f t="shared" si="29"/>
        <v>11</v>
      </c>
      <c r="E439" s="20" t="s">
        <v>114</v>
      </c>
      <c r="F439" s="20" t="s">
        <v>115</v>
      </c>
      <c r="G439" s="20" t="s">
        <v>3860</v>
      </c>
      <c r="H439" s="20" t="s">
        <v>3861</v>
      </c>
      <c r="I439" s="20">
        <v>1</v>
      </c>
      <c r="J439" s="20" t="s">
        <v>3862</v>
      </c>
      <c r="K439" s="20" t="s">
        <v>3864</v>
      </c>
      <c r="L439" s="20" t="s">
        <v>3799</v>
      </c>
      <c r="M439" s="20" t="s">
        <v>115</v>
      </c>
      <c r="N439" s="20" t="s">
        <v>3800</v>
      </c>
      <c r="P439" s="20" t="s">
        <v>115</v>
      </c>
      <c r="Q439" s="20" t="s">
        <v>122</v>
      </c>
      <c r="R439" s="20" t="s">
        <v>84</v>
      </c>
      <c r="S439" s="20">
        <v>5</v>
      </c>
      <c r="T439" s="20" t="s">
        <v>106</v>
      </c>
      <c r="U439" s="20" t="s">
        <v>107</v>
      </c>
      <c r="V439" s="20" t="s">
        <v>87</v>
      </c>
      <c r="W439" s="20">
        <v>509</v>
      </c>
      <c r="X439" s="20">
        <v>509</v>
      </c>
      <c r="Y439" s="20" t="s">
        <v>3801</v>
      </c>
      <c r="Z439" s="20">
        <v>0.5</v>
      </c>
      <c r="AA439" s="20" t="s">
        <v>3802</v>
      </c>
      <c r="AB439" s="20" t="s">
        <v>101</v>
      </c>
      <c r="AC439" s="20" t="s">
        <v>102</v>
      </c>
      <c r="AD439" s="20" t="s">
        <v>3803</v>
      </c>
      <c r="AE439" s="20" t="s">
        <v>91</v>
      </c>
      <c r="AF439" s="20">
        <v>0.5</v>
      </c>
      <c r="AG439" s="20">
        <v>0</v>
      </c>
      <c r="AH439" s="20">
        <v>1</v>
      </c>
      <c r="AI439" s="4" t="s">
        <v>98</v>
      </c>
      <c r="AJ439" s="20">
        <v>100</v>
      </c>
      <c r="AK439" s="4" t="s">
        <v>1047</v>
      </c>
      <c r="AL439" s="4">
        <v>11</v>
      </c>
      <c r="AM439" s="4">
        <v>11</v>
      </c>
      <c r="AN439" s="4" t="s">
        <v>95</v>
      </c>
      <c r="AO439" s="4" t="s">
        <v>96</v>
      </c>
      <c r="AP439" s="4">
        <v>1</v>
      </c>
      <c r="AQ439" s="20">
        <v>49000</v>
      </c>
      <c r="AR439" s="4">
        <v>41918</v>
      </c>
      <c r="AS439" s="20">
        <v>4949.4949494949497</v>
      </c>
      <c r="AT439" s="20">
        <v>4884.8599999999997</v>
      </c>
      <c r="AU439" s="20">
        <v>-64.634949494949979</v>
      </c>
      <c r="AV439" s="20">
        <v>0</v>
      </c>
      <c r="AW439" s="20">
        <v>0</v>
      </c>
      <c r="AX439" s="20">
        <v>20</v>
      </c>
      <c r="AY439" s="20">
        <v>20</v>
      </c>
      <c r="AZ439" s="20">
        <v>3.9</v>
      </c>
      <c r="BA439" s="20">
        <v>0</v>
      </c>
      <c r="BB439" s="6">
        <v>41858</v>
      </c>
      <c r="BC439" s="6">
        <v>0</v>
      </c>
      <c r="BD439" s="6">
        <v>41928</v>
      </c>
      <c r="BE439" s="6">
        <v>0</v>
      </c>
      <c r="BF439" s="6">
        <v>41956</v>
      </c>
      <c r="BG439" s="6">
        <v>0</v>
      </c>
      <c r="BH439" s="6">
        <v>0</v>
      </c>
      <c r="BI439" s="6">
        <v>0</v>
      </c>
      <c r="BJ439" s="6">
        <v>0</v>
      </c>
      <c r="BK439" s="4" t="s">
        <v>401</v>
      </c>
      <c r="BL439" s="4" t="s">
        <v>401</v>
      </c>
      <c r="BM439" s="20">
        <v>100</v>
      </c>
      <c r="BN439" s="20">
        <v>0</v>
      </c>
      <c r="BO439" s="20">
        <v>0</v>
      </c>
      <c r="BP439" s="20">
        <v>0</v>
      </c>
      <c r="BQ439" s="20">
        <v>0</v>
      </c>
      <c r="BR439" s="20">
        <v>0</v>
      </c>
      <c r="BS439" s="20">
        <v>100</v>
      </c>
      <c r="BT439" s="20">
        <v>488485.99999999994</v>
      </c>
      <c r="BU439" s="20">
        <v>4900000</v>
      </c>
      <c r="BV439" s="20">
        <v>9.1190852031490248</v>
      </c>
    </row>
    <row r="440" spans="1:74">
      <c r="A440" s="10">
        <f t="shared" si="26"/>
        <v>0</v>
      </c>
      <c r="B440" s="10">
        <f t="shared" si="27"/>
        <v>0</v>
      </c>
      <c r="C440" s="12" t="str">
        <f t="shared" si="28"/>
        <v/>
      </c>
      <c r="D440" s="12" t="str">
        <f t="shared" si="29"/>
        <v/>
      </c>
      <c r="E440" s="20" t="s">
        <v>91</v>
      </c>
      <c r="F440" s="20" t="s">
        <v>91</v>
      </c>
      <c r="G440" s="20" t="s">
        <v>91</v>
      </c>
      <c r="H440" s="20" t="s">
        <v>91</v>
      </c>
      <c r="I440" s="20">
        <v>0</v>
      </c>
      <c r="J440" s="20" t="s">
        <v>103</v>
      </c>
      <c r="K440" s="20" t="s">
        <v>104</v>
      </c>
      <c r="L440" s="20">
        <v>0</v>
      </c>
      <c r="M440" s="20" t="s">
        <v>105</v>
      </c>
      <c r="N440" s="20" t="s">
        <v>91</v>
      </c>
      <c r="O440" s="20" t="s">
        <v>3865</v>
      </c>
      <c r="Q440" s="20" t="s">
        <v>91</v>
      </c>
      <c r="R440" s="20" t="s">
        <v>91</v>
      </c>
      <c r="S440" s="20" t="s">
        <v>91</v>
      </c>
      <c r="U440" s="20" t="s">
        <v>91</v>
      </c>
      <c r="V440" s="20" t="s">
        <v>87</v>
      </c>
      <c r="X440" s="20" t="s">
        <v>91</v>
      </c>
      <c r="Y440" s="20" t="s">
        <v>91</v>
      </c>
      <c r="Z440" s="20">
        <v>1</v>
      </c>
      <c r="AB440" s="20" t="s">
        <v>91</v>
      </c>
      <c r="AD440" s="20" t="s">
        <v>91</v>
      </c>
      <c r="AE440" s="20" t="s">
        <v>91</v>
      </c>
      <c r="AF440" s="20">
        <v>1</v>
      </c>
      <c r="AG440" s="20">
        <v>0</v>
      </c>
      <c r="AH440" s="20">
        <v>1</v>
      </c>
      <c r="AM440" s="4" t="s">
        <v>91</v>
      </c>
      <c r="AP440" s="4" t="s">
        <v>91</v>
      </c>
      <c r="AQ440" s="20">
        <v>0</v>
      </c>
      <c r="AR440" s="4">
        <v>0</v>
      </c>
      <c r="AS440" s="20">
        <v>0</v>
      </c>
      <c r="AT440" s="20">
        <v>0</v>
      </c>
      <c r="AU440" s="20">
        <v>0</v>
      </c>
      <c r="AV440" s="20">
        <v>0</v>
      </c>
      <c r="AW440" s="20">
        <v>0</v>
      </c>
      <c r="AX440" s="20" t="s">
        <v>91</v>
      </c>
      <c r="AY440" s="20">
        <v>0</v>
      </c>
      <c r="AZ440" s="20">
        <v>0</v>
      </c>
      <c r="BA440" s="20">
        <v>0</v>
      </c>
      <c r="BB440" s="6">
        <v>0</v>
      </c>
      <c r="BC440" s="6">
        <v>0</v>
      </c>
      <c r="BD440" s="6">
        <v>0</v>
      </c>
      <c r="BE440" s="6">
        <v>0</v>
      </c>
      <c r="BF440" s="6">
        <v>0</v>
      </c>
      <c r="BG440" s="6">
        <v>0</v>
      </c>
      <c r="BH440" s="6">
        <v>0</v>
      </c>
      <c r="BI440" s="6">
        <v>0</v>
      </c>
      <c r="BJ440" s="6">
        <v>0</v>
      </c>
      <c r="BK440" s="4">
        <v>0</v>
      </c>
      <c r="BL440" s="4">
        <v>0</v>
      </c>
      <c r="BM440" s="20">
        <v>200</v>
      </c>
      <c r="BN440" s="20">
        <v>0</v>
      </c>
      <c r="BO440" s="20">
        <v>0</v>
      </c>
      <c r="BP440" s="20">
        <v>0</v>
      </c>
      <c r="BQ440" s="20">
        <v>0</v>
      </c>
      <c r="BR440" s="20">
        <v>0</v>
      </c>
      <c r="BS440" s="20">
        <v>200</v>
      </c>
      <c r="BT440" s="20">
        <v>1057972</v>
      </c>
      <c r="BU440" s="20">
        <v>9800000</v>
      </c>
      <c r="BV440" s="20">
        <v>8.4209137000704253</v>
      </c>
    </row>
    <row r="441" spans="1:74">
      <c r="A441" s="10">
        <f t="shared" si="26"/>
        <v>0</v>
      </c>
      <c r="B441" s="10">
        <f t="shared" si="27"/>
        <v>0</v>
      </c>
      <c r="C441" s="12">
        <f t="shared" si="28"/>
        <v>11</v>
      </c>
      <c r="D441" s="12">
        <f t="shared" si="29"/>
        <v>12</v>
      </c>
      <c r="E441" s="20" t="s">
        <v>114</v>
      </c>
      <c r="F441" s="20" t="s">
        <v>1760</v>
      </c>
      <c r="G441" s="20" t="s">
        <v>5340</v>
      </c>
      <c r="H441" s="20" t="s">
        <v>5341</v>
      </c>
      <c r="I441" s="20">
        <v>1</v>
      </c>
      <c r="J441" s="20" t="s">
        <v>5342</v>
      </c>
      <c r="K441" s="20" t="s">
        <v>5343</v>
      </c>
      <c r="L441" s="20" t="s">
        <v>2224</v>
      </c>
      <c r="M441" s="20" t="s">
        <v>1760</v>
      </c>
      <c r="N441" s="20" t="s">
        <v>1794</v>
      </c>
      <c r="P441" s="20" t="s">
        <v>1760</v>
      </c>
      <c r="Q441" s="20" t="s">
        <v>1767</v>
      </c>
      <c r="R441" s="20" t="s">
        <v>84</v>
      </c>
      <c r="S441" s="20">
        <v>5</v>
      </c>
      <c r="T441" s="20" t="s">
        <v>395</v>
      </c>
      <c r="U441" s="20" t="s">
        <v>396</v>
      </c>
      <c r="V441" s="20" t="s">
        <v>87</v>
      </c>
      <c r="W441" s="20">
        <v>503</v>
      </c>
      <c r="X441" s="20">
        <v>503</v>
      </c>
      <c r="Y441" s="20" t="s">
        <v>2225</v>
      </c>
      <c r="Z441" s="20">
        <v>0</v>
      </c>
      <c r="AA441" s="20" t="s">
        <v>2226</v>
      </c>
      <c r="AB441" s="20" t="s">
        <v>101</v>
      </c>
      <c r="AC441" s="20" t="s">
        <v>102</v>
      </c>
      <c r="AD441" s="20" t="s">
        <v>2227</v>
      </c>
      <c r="AE441" s="20" t="s">
        <v>400</v>
      </c>
      <c r="AF441" s="20">
        <v>0</v>
      </c>
      <c r="AG441" s="20">
        <v>0</v>
      </c>
      <c r="AH441" s="20">
        <v>1</v>
      </c>
      <c r="AI441" s="4" t="s">
        <v>251</v>
      </c>
      <c r="AJ441" s="20">
        <v>300</v>
      </c>
      <c r="AK441" s="4" t="s">
        <v>179</v>
      </c>
      <c r="AL441" s="4">
        <v>40</v>
      </c>
      <c r="AM441" s="4">
        <v>40</v>
      </c>
      <c r="AN441" s="4" t="s">
        <v>95</v>
      </c>
      <c r="AO441" s="4" t="s">
        <v>96</v>
      </c>
      <c r="AP441" s="4">
        <v>1</v>
      </c>
      <c r="AQ441" s="20">
        <v>55000</v>
      </c>
      <c r="AR441" s="4">
        <v>41827</v>
      </c>
      <c r="AS441" s="20">
        <v>8333.3333333333321</v>
      </c>
      <c r="AT441" s="20">
        <v>12369.260000000004</v>
      </c>
      <c r="AU441" s="20">
        <v>4035.9266666666717</v>
      </c>
      <c r="AV441" s="20">
        <v>0</v>
      </c>
      <c r="AW441" s="20">
        <v>0</v>
      </c>
      <c r="AX441" s="20">
        <v>20</v>
      </c>
      <c r="AY441" s="20">
        <v>20</v>
      </c>
      <c r="AZ441" s="20">
        <v>9.9</v>
      </c>
      <c r="BA441" s="20">
        <v>0</v>
      </c>
      <c r="BB441" s="6">
        <v>41953</v>
      </c>
      <c r="BC441" s="6">
        <v>0</v>
      </c>
      <c r="BD441" s="6">
        <v>41983</v>
      </c>
      <c r="BE441" s="6">
        <v>0</v>
      </c>
      <c r="BF441" s="6">
        <v>41990</v>
      </c>
      <c r="BG441" s="6">
        <v>41999</v>
      </c>
      <c r="BH441" s="6">
        <v>0</v>
      </c>
      <c r="BI441" s="6">
        <v>0</v>
      </c>
      <c r="BJ441" s="6">
        <v>0</v>
      </c>
      <c r="BK441" s="4">
        <v>0</v>
      </c>
      <c r="BL441" s="4">
        <v>0</v>
      </c>
      <c r="BM441" s="20">
        <v>100</v>
      </c>
      <c r="BN441" s="20">
        <v>200</v>
      </c>
      <c r="BO441" s="20">
        <v>0</v>
      </c>
      <c r="BP441" s="20">
        <v>0</v>
      </c>
      <c r="BQ441" s="20">
        <v>0</v>
      </c>
      <c r="BR441" s="20">
        <v>0</v>
      </c>
      <c r="BS441" s="20">
        <v>300</v>
      </c>
      <c r="BT441" s="20">
        <v>3710778.0000000009</v>
      </c>
      <c r="BU441" s="20">
        <v>16500000</v>
      </c>
      <c r="BV441" s="20">
        <v>4.0422790045645405</v>
      </c>
    </row>
    <row r="442" spans="1:74">
      <c r="A442" s="10">
        <f t="shared" si="26"/>
        <v>0</v>
      </c>
      <c r="B442" s="10">
        <f t="shared" si="27"/>
        <v>0</v>
      </c>
      <c r="C442" s="12">
        <f t="shared" si="28"/>
        <v>11</v>
      </c>
      <c r="D442" s="12">
        <f t="shared" si="29"/>
        <v>12</v>
      </c>
      <c r="E442" s="20" t="s">
        <v>114</v>
      </c>
      <c r="F442" s="20" t="s">
        <v>1760</v>
      </c>
      <c r="G442" s="20" t="s">
        <v>5340</v>
      </c>
      <c r="H442" s="20" t="s">
        <v>5344</v>
      </c>
      <c r="I442" s="20">
        <v>2</v>
      </c>
      <c r="J442" s="20" t="s">
        <v>5345</v>
      </c>
      <c r="K442" s="20" t="s">
        <v>5346</v>
      </c>
      <c r="L442" s="20" t="s">
        <v>2231</v>
      </c>
      <c r="M442" s="20" t="s">
        <v>1760</v>
      </c>
      <c r="N442" s="20" t="s">
        <v>1794</v>
      </c>
      <c r="P442" s="20" t="s">
        <v>1760</v>
      </c>
      <c r="Q442" s="20" t="s">
        <v>1767</v>
      </c>
      <c r="R442" s="20" t="s">
        <v>84</v>
      </c>
      <c r="S442" s="20">
        <v>5</v>
      </c>
      <c r="T442" s="20" t="s">
        <v>395</v>
      </c>
      <c r="U442" s="20" t="s">
        <v>396</v>
      </c>
      <c r="V442" s="20" t="s">
        <v>87</v>
      </c>
      <c r="W442" s="20">
        <v>504</v>
      </c>
      <c r="X442" s="20">
        <v>504</v>
      </c>
      <c r="Y442" s="20" t="s">
        <v>2232</v>
      </c>
      <c r="Z442" s="20">
        <v>0</v>
      </c>
      <c r="AA442" s="20" t="s">
        <v>2233</v>
      </c>
      <c r="AB442" s="20" t="s">
        <v>139</v>
      </c>
      <c r="AC442" s="20" t="s">
        <v>140</v>
      </c>
      <c r="AD442" s="20" t="s">
        <v>2234</v>
      </c>
      <c r="AE442" s="20" t="s">
        <v>400</v>
      </c>
      <c r="AF442" s="20">
        <v>0</v>
      </c>
      <c r="AG442" s="20">
        <v>0</v>
      </c>
      <c r="AH442" s="20">
        <v>1</v>
      </c>
      <c r="AI442" s="4" t="s">
        <v>251</v>
      </c>
      <c r="AJ442" s="20">
        <v>300</v>
      </c>
      <c r="AK442" s="4" t="s">
        <v>179</v>
      </c>
      <c r="AL442" s="4">
        <v>40</v>
      </c>
      <c r="AM442" s="4">
        <v>40</v>
      </c>
      <c r="AN442" s="4" t="s">
        <v>95</v>
      </c>
      <c r="AO442" s="4" t="s">
        <v>96</v>
      </c>
      <c r="AP442" s="4">
        <v>1</v>
      </c>
      <c r="AQ442" s="20">
        <v>55000</v>
      </c>
      <c r="AR442" s="4">
        <v>41827</v>
      </c>
      <c r="AS442" s="20">
        <v>8333.3333333333321</v>
      </c>
      <c r="AT442" s="20">
        <v>12369.260000000004</v>
      </c>
      <c r="AU442" s="20">
        <v>4035.9266666666717</v>
      </c>
      <c r="AV442" s="20">
        <v>0</v>
      </c>
      <c r="AW442" s="20">
        <v>0</v>
      </c>
      <c r="AX442" s="20">
        <v>20</v>
      </c>
      <c r="AY442" s="20">
        <v>20</v>
      </c>
      <c r="AZ442" s="20">
        <v>9.9</v>
      </c>
      <c r="BA442" s="20">
        <v>0</v>
      </c>
      <c r="BB442" s="6">
        <v>41953</v>
      </c>
      <c r="BC442" s="6">
        <v>0</v>
      </c>
      <c r="BD442" s="6">
        <v>41983</v>
      </c>
      <c r="BE442" s="6">
        <v>0</v>
      </c>
      <c r="BF442" s="6">
        <v>41990</v>
      </c>
      <c r="BG442" s="6">
        <v>41999</v>
      </c>
      <c r="BH442" s="6">
        <v>0</v>
      </c>
      <c r="BI442" s="6">
        <v>0</v>
      </c>
      <c r="BJ442" s="6">
        <v>0</v>
      </c>
      <c r="BK442" s="4">
        <v>0</v>
      </c>
      <c r="BL442" s="4">
        <v>0</v>
      </c>
      <c r="BM442" s="20">
        <v>100</v>
      </c>
      <c r="BN442" s="20">
        <v>200</v>
      </c>
      <c r="BO442" s="20">
        <v>0</v>
      </c>
      <c r="BP442" s="20">
        <v>0</v>
      </c>
      <c r="BQ442" s="20">
        <v>0</v>
      </c>
      <c r="BR442" s="20">
        <v>0</v>
      </c>
      <c r="BS442" s="20">
        <v>300</v>
      </c>
      <c r="BT442" s="20">
        <v>3710778.0000000009</v>
      </c>
      <c r="BU442" s="20">
        <v>16500000</v>
      </c>
      <c r="BV442" s="20">
        <v>4.0422790045645405</v>
      </c>
    </row>
    <row r="443" spans="1:74">
      <c r="A443" s="10">
        <f t="shared" si="26"/>
        <v>0</v>
      </c>
      <c r="B443" s="10">
        <f t="shared" si="27"/>
        <v>0</v>
      </c>
      <c r="C443" s="12" t="str">
        <f t="shared" si="28"/>
        <v/>
      </c>
      <c r="D443" s="12" t="str">
        <f t="shared" si="29"/>
        <v/>
      </c>
      <c r="E443" s="20" t="s">
        <v>91</v>
      </c>
      <c r="F443" s="20" t="s">
        <v>91</v>
      </c>
      <c r="G443" s="20" t="s">
        <v>91</v>
      </c>
      <c r="H443" s="20" t="s">
        <v>91</v>
      </c>
      <c r="I443" s="20">
        <v>0</v>
      </c>
      <c r="J443" s="20" t="s">
        <v>103</v>
      </c>
      <c r="K443" s="20" t="s">
        <v>104</v>
      </c>
      <c r="L443" s="20">
        <v>0</v>
      </c>
      <c r="M443" s="20" t="s">
        <v>105</v>
      </c>
      <c r="N443" s="20" t="s">
        <v>91</v>
      </c>
      <c r="O443" s="20" t="s">
        <v>5347</v>
      </c>
      <c r="Q443" s="20" t="s">
        <v>91</v>
      </c>
      <c r="R443" s="20" t="s">
        <v>91</v>
      </c>
      <c r="S443" s="20" t="s">
        <v>91</v>
      </c>
      <c r="U443" s="20" t="s">
        <v>91</v>
      </c>
      <c r="V443" s="20" t="s">
        <v>87</v>
      </c>
      <c r="X443" s="20" t="s">
        <v>91</v>
      </c>
      <c r="Y443" s="20" t="s">
        <v>91</v>
      </c>
      <c r="Z443" s="20">
        <v>0</v>
      </c>
      <c r="AB443" s="20" t="s">
        <v>91</v>
      </c>
      <c r="AD443" s="20" t="s">
        <v>91</v>
      </c>
      <c r="AE443" s="20" t="s">
        <v>91</v>
      </c>
      <c r="AF443" s="20">
        <v>0</v>
      </c>
      <c r="AG443" s="20">
        <v>0</v>
      </c>
      <c r="AH443" s="20">
        <v>1</v>
      </c>
      <c r="AM443" s="4" t="s">
        <v>91</v>
      </c>
      <c r="AP443" s="4" t="s">
        <v>91</v>
      </c>
      <c r="AQ443" s="20">
        <v>0</v>
      </c>
      <c r="AR443" s="4">
        <v>0</v>
      </c>
      <c r="AS443" s="20">
        <v>0</v>
      </c>
      <c r="AT443" s="20">
        <v>0</v>
      </c>
      <c r="AU443" s="20">
        <v>0</v>
      </c>
      <c r="AV443" s="20">
        <v>0</v>
      </c>
      <c r="AW443" s="20">
        <v>0</v>
      </c>
      <c r="AX443" s="20" t="s">
        <v>91</v>
      </c>
      <c r="AY443" s="20">
        <v>0</v>
      </c>
      <c r="AZ443" s="20">
        <v>0</v>
      </c>
      <c r="BA443" s="20">
        <v>0</v>
      </c>
      <c r="BB443" s="6">
        <v>0</v>
      </c>
      <c r="BC443" s="6">
        <v>0</v>
      </c>
      <c r="BD443" s="6">
        <v>0</v>
      </c>
      <c r="BE443" s="6">
        <v>0</v>
      </c>
      <c r="BF443" s="6">
        <v>0</v>
      </c>
      <c r="BG443" s="6">
        <v>0</v>
      </c>
      <c r="BH443" s="6">
        <v>0</v>
      </c>
      <c r="BI443" s="6">
        <v>0</v>
      </c>
      <c r="BJ443" s="6">
        <v>0</v>
      </c>
      <c r="BK443" s="4">
        <v>0</v>
      </c>
      <c r="BL443" s="4">
        <v>0</v>
      </c>
      <c r="BM443" s="20">
        <v>200</v>
      </c>
      <c r="BN443" s="20">
        <v>400</v>
      </c>
      <c r="BO443" s="20">
        <v>0</v>
      </c>
      <c r="BP443" s="20">
        <v>0</v>
      </c>
      <c r="BQ443" s="20">
        <v>0</v>
      </c>
      <c r="BR443" s="20">
        <v>0</v>
      </c>
      <c r="BS443" s="20">
        <v>600</v>
      </c>
      <c r="BT443" s="20">
        <v>7421556.0000000019</v>
      </c>
      <c r="BU443" s="20">
        <v>33000000</v>
      </c>
      <c r="BV443" s="20">
        <v>4.0422790045645405</v>
      </c>
    </row>
    <row r="444" spans="1:74">
      <c r="A444" s="10">
        <f t="shared" si="26"/>
        <v>0</v>
      </c>
      <c r="B444" s="10">
        <f t="shared" si="27"/>
        <v>0</v>
      </c>
      <c r="C444" s="12">
        <f t="shared" si="28"/>
        <v>4</v>
      </c>
      <c r="D444" s="12">
        <f t="shared" si="29"/>
        <v>8</v>
      </c>
      <c r="E444" s="20" t="s">
        <v>574</v>
      </c>
      <c r="F444" s="20" t="s">
        <v>626</v>
      </c>
      <c r="G444" s="20" t="s">
        <v>627</v>
      </c>
      <c r="H444" s="20" t="s">
        <v>628</v>
      </c>
      <c r="I444" s="20">
        <v>1</v>
      </c>
      <c r="J444" s="20" t="s">
        <v>629</v>
      </c>
      <c r="K444" s="20" t="s">
        <v>630</v>
      </c>
      <c r="L444" s="20" t="s">
        <v>631</v>
      </c>
      <c r="M444" s="20" t="s">
        <v>632</v>
      </c>
      <c r="N444" s="20" t="s">
        <v>633</v>
      </c>
      <c r="P444" s="20" t="s">
        <v>632</v>
      </c>
      <c r="Q444" s="20" t="s">
        <v>634</v>
      </c>
      <c r="R444" s="20" t="s">
        <v>84</v>
      </c>
      <c r="S444" s="20">
        <v>4</v>
      </c>
      <c r="T444" s="20" t="s">
        <v>635</v>
      </c>
      <c r="U444" s="20" t="s">
        <v>636</v>
      </c>
      <c r="V444" s="20" t="s">
        <v>87</v>
      </c>
      <c r="W444" s="20">
        <v>503</v>
      </c>
      <c r="X444" s="20">
        <v>503</v>
      </c>
      <c r="Y444" s="20" t="s">
        <v>637</v>
      </c>
      <c r="Z444" s="20">
        <v>8.3333333333333329E-2</v>
      </c>
      <c r="AA444" s="20" t="s">
        <v>638</v>
      </c>
      <c r="AB444" s="20" t="s">
        <v>109</v>
      </c>
      <c r="AC444" s="20" t="s">
        <v>110</v>
      </c>
      <c r="AD444" s="20" t="s">
        <v>639</v>
      </c>
      <c r="AE444" s="20" t="s">
        <v>91</v>
      </c>
      <c r="AF444" s="20">
        <v>0.16666666666666666</v>
      </c>
      <c r="AH444" s="20">
        <v>1</v>
      </c>
      <c r="AI444" s="4" t="s">
        <v>640</v>
      </c>
      <c r="AJ444" s="20">
        <v>80</v>
      </c>
      <c r="AK444" s="4" t="s">
        <v>641</v>
      </c>
      <c r="AL444" s="4">
        <v>1</v>
      </c>
      <c r="AM444" s="4" t="s">
        <v>130</v>
      </c>
      <c r="AN444" s="4" t="s">
        <v>95</v>
      </c>
      <c r="AO444" s="4" t="s">
        <v>96</v>
      </c>
      <c r="AP444" s="4">
        <v>1</v>
      </c>
      <c r="AQ444" s="20">
        <v>65000</v>
      </c>
      <c r="AR444" s="4">
        <v>41803</v>
      </c>
      <c r="AS444" s="20">
        <v>11818.181818181818</v>
      </c>
      <c r="AT444" s="20">
        <v>12468.924999999999</v>
      </c>
      <c r="AU444" s="20">
        <v>650.74318181818126</v>
      </c>
      <c r="AW444" s="20">
        <v>70</v>
      </c>
      <c r="AY444" s="20">
        <v>70</v>
      </c>
      <c r="AZ444" s="20">
        <v>9.5</v>
      </c>
      <c r="BB444" s="6">
        <v>41737</v>
      </c>
      <c r="BC444" s="6">
        <v>41839</v>
      </c>
      <c r="BD444" s="6">
        <v>41823</v>
      </c>
      <c r="BE444" s="6">
        <v>41845</v>
      </c>
      <c r="BF444" s="6">
        <v>41877</v>
      </c>
      <c r="BK444" s="4" t="s">
        <v>401</v>
      </c>
      <c r="BM444" s="20">
        <v>76</v>
      </c>
      <c r="BN444" s="20">
        <v>0</v>
      </c>
      <c r="BO444" s="20">
        <v>0</v>
      </c>
      <c r="BP444" s="20">
        <v>0</v>
      </c>
      <c r="BQ444" s="20">
        <v>0</v>
      </c>
      <c r="BR444" s="20">
        <v>0</v>
      </c>
      <c r="BS444" s="20">
        <v>80</v>
      </c>
      <c r="BT444" s="20">
        <v>997514</v>
      </c>
      <c r="BU444" s="20">
        <v>5200000</v>
      </c>
      <c r="BV444" s="20">
        <v>4.7390540155553973</v>
      </c>
    </row>
    <row r="445" spans="1:74">
      <c r="A445" s="10">
        <f t="shared" si="26"/>
        <v>0</v>
      </c>
      <c r="B445" s="10">
        <f t="shared" si="27"/>
        <v>0</v>
      </c>
      <c r="C445" s="12">
        <f t="shared" si="28"/>
        <v>4</v>
      </c>
      <c r="D445" s="12">
        <f t="shared" si="29"/>
        <v>8</v>
      </c>
      <c r="E445" s="20" t="s">
        <v>574</v>
      </c>
      <c r="F445" s="20" t="s">
        <v>626</v>
      </c>
      <c r="G445" s="20" t="s">
        <v>627</v>
      </c>
      <c r="H445" s="20" t="s">
        <v>628</v>
      </c>
      <c r="I445" s="20">
        <v>1</v>
      </c>
      <c r="J445" s="20" t="s">
        <v>629</v>
      </c>
      <c r="K445" s="20" t="s">
        <v>642</v>
      </c>
      <c r="L445" s="20" t="s">
        <v>631</v>
      </c>
      <c r="M445" s="20" t="s">
        <v>632</v>
      </c>
      <c r="N445" s="20" t="s">
        <v>633</v>
      </c>
      <c r="P445" s="20" t="s">
        <v>632</v>
      </c>
      <c r="Q445" s="20" t="s">
        <v>634</v>
      </c>
      <c r="R445" s="20" t="s">
        <v>84</v>
      </c>
      <c r="S445" s="20">
        <v>4</v>
      </c>
      <c r="T445" s="20" t="s">
        <v>635</v>
      </c>
      <c r="U445" s="20" t="s">
        <v>636</v>
      </c>
      <c r="V445" s="20" t="s">
        <v>87</v>
      </c>
      <c r="W445" s="20">
        <v>503</v>
      </c>
      <c r="X445" s="20">
        <v>503</v>
      </c>
      <c r="Y445" s="20" t="s">
        <v>637</v>
      </c>
      <c r="Z445" s="20">
        <v>8.3333333333333329E-2</v>
      </c>
      <c r="AA445" s="20" t="s">
        <v>638</v>
      </c>
      <c r="AB445" s="20" t="s">
        <v>109</v>
      </c>
      <c r="AC445" s="20" t="s">
        <v>110</v>
      </c>
      <c r="AD445" s="20" t="s">
        <v>639</v>
      </c>
      <c r="AE445" s="20" t="s">
        <v>91</v>
      </c>
      <c r="AF445" s="20">
        <v>0.16666666666666666</v>
      </c>
      <c r="AH445" s="20">
        <v>1</v>
      </c>
      <c r="AI445" s="4" t="s">
        <v>643</v>
      </c>
      <c r="AJ445" s="20">
        <v>100</v>
      </c>
      <c r="AK445" s="4" t="s">
        <v>641</v>
      </c>
      <c r="AL445" s="4">
        <v>1</v>
      </c>
      <c r="AM445" s="4" t="s">
        <v>130</v>
      </c>
      <c r="AN445" s="4" t="s">
        <v>95</v>
      </c>
      <c r="AO445" s="4" t="s">
        <v>96</v>
      </c>
      <c r="AP445" s="4">
        <v>1</v>
      </c>
      <c r="AQ445" s="20">
        <v>65000</v>
      </c>
      <c r="AR445" s="4">
        <v>41803</v>
      </c>
      <c r="AS445" s="20">
        <v>11818.181818181818</v>
      </c>
      <c r="AT445" s="20">
        <v>12468.924999999999</v>
      </c>
      <c r="AU445" s="20">
        <v>650.74318181818126</v>
      </c>
      <c r="AW445" s="20">
        <v>70</v>
      </c>
      <c r="AY445" s="20">
        <v>70</v>
      </c>
      <c r="AZ445" s="20">
        <v>9.5</v>
      </c>
      <c r="BB445" s="6">
        <v>41737</v>
      </c>
      <c r="BC445" s="6">
        <v>41839</v>
      </c>
      <c r="BD445" s="6">
        <v>41823</v>
      </c>
      <c r="BE445" s="6">
        <v>41845</v>
      </c>
      <c r="BF445" s="6">
        <v>41877</v>
      </c>
      <c r="BK445" s="4" t="s">
        <v>401</v>
      </c>
      <c r="BM445" s="20">
        <v>93</v>
      </c>
      <c r="BN445" s="20">
        <v>0</v>
      </c>
      <c r="BO445" s="20">
        <v>0</v>
      </c>
      <c r="BP445" s="20">
        <v>0</v>
      </c>
      <c r="BQ445" s="20">
        <v>0</v>
      </c>
      <c r="BR445" s="20">
        <v>0</v>
      </c>
      <c r="BS445" s="20">
        <v>100</v>
      </c>
      <c r="BT445" s="20">
        <v>1246892.5</v>
      </c>
      <c r="BU445" s="20">
        <v>6500000</v>
      </c>
      <c r="BV445" s="20">
        <v>4.7390540155553982</v>
      </c>
    </row>
    <row r="446" spans="1:74">
      <c r="A446" s="10">
        <f t="shared" si="26"/>
        <v>0</v>
      </c>
      <c r="B446" s="10">
        <f t="shared" si="27"/>
        <v>0</v>
      </c>
      <c r="C446" s="12">
        <f t="shared" si="28"/>
        <v>4</v>
      </c>
      <c r="D446" s="12">
        <f t="shared" si="29"/>
        <v>8</v>
      </c>
      <c r="E446" s="20" t="s">
        <v>574</v>
      </c>
      <c r="F446" s="20" t="s">
        <v>626</v>
      </c>
      <c r="G446" s="20" t="s">
        <v>627</v>
      </c>
      <c r="H446" s="20" t="s">
        <v>628</v>
      </c>
      <c r="I446" s="20">
        <v>1</v>
      </c>
      <c r="J446" s="20" t="s">
        <v>629</v>
      </c>
      <c r="K446" s="20" t="s">
        <v>644</v>
      </c>
      <c r="L446" s="20" t="s">
        <v>631</v>
      </c>
      <c r="M446" s="20" t="s">
        <v>632</v>
      </c>
      <c r="N446" s="20" t="s">
        <v>633</v>
      </c>
      <c r="P446" s="20" t="s">
        <v>632</v>
      </c>
      <c r="Q446" s="20" t="s">
        <v>634</v>
      </c>
      <c r="R446" s="20" t="s">
        <v>84</v>
      </c>
      <c r="S446" s="20">
        <v>4</v>
      </c>
      <c r="T446" s="20" t="s">
        <v>635</v>
      </c>
      <c r="U446" s="20" t="s">
        <v>636</v>
      </c>
      <c r="V446" s="20" t="s">
        <v>87</v>
      </c>
      <c r="W446" s="20">
        <v>503</v>
      </c>
      <c r="X446" s="20">
        <v>503</v>
      </c>
      <c r="Y446" s="20" t="s">
        <v>637</v>
      </c>
      <c r="Z446" s="20">
        <v>8.3333333333333329E-2</v>
      </c>
      <c r="AA446" s="20" t="s">
        <v>638</v>
      </c>
      <c r="AB446" s="20" t="s">
        <v>109</v>
      </c>
      <c r="AC446" s="20" t="s">
        <v>110</v>
      </c>
      <c r="AD446" s="20" t="s">
        <v>639</v>
      </c>
      <c r="AE446" s="20" t="s">
        <v>91</v>
      </c>
      <c r="AF446" s="20">
        <v>0.16666666666666666</v>
      </c>
      <c r="AH446" s="20">
        <v>1</v>
      </c>
      <c r="AI446" s="4" t="s">
        <v>645</v>
      </c>
      <c r="AJ446" s="20">
        <v>100</v>
      </c>
      <c r="AK446" s="4" t="s">
        <v>641</v>
      </c>
      <c r="AL446" s="4">
        <v>1</v>
      </c>
      <c r="AM446" s="4" t="s">
        <v>130</v>
      </c>
      <c r="AN446" s="4" t="s">
        <v>95</v>
      </c>
      <c r="AO446" s="4" t="s">
        <v>96</v>
      </c>
      <c r="AP446" s="4">
        <v>1</v>
      </c>
      <c r="AQ446" s="20">
        <v>65000</v>
      </c>
      <c r="AR446" s="4">
        <v>41803</v>
      </c>
      <c r="AS446" s="20">
        <v>11818.181818181818</v>
      </c>
      <c r="AT446" s="20">
        <v>12468.924999999999</v>
      </c>
      <c r="AU446" s="20">
        <v>650.74318181818126</v>
      </c>
      <c r="AW446" s="20">
        <v>70</v>
      </c>
      <c r="AY446" s="20">
        <v>70</v>
      </c>
      <c r="AZ446" s="20">
        <v>9.5</v>
      </c>
      <c r="BB446" s="6">
        <v>41737</v>
      </c>
      <c r="BC446" s="6">
        <v>41839</v>
      </c>
      <c r="BD446" s="6">
        <v>41823</v>
      </c>
      <c r="BE446" s="6">
        <v>41845</v>
      </c>
      <c r="BF446" s="6">
        <v>41877</v>
      </c>
      <c r="BK446" s="4" t="s">
        <v>401</v>
      </c>
      <c r="BM446" s="20">
        <v>100</v>
      </c>
      <c r="BN446" s="20">
        <v>0</v>
      </c>
      <c r="BO446" s="20">
        <v>0</v>
      </c>
      <c r="BP446" s="20">
        <v>0</v>
      </c>
      <c r="BQ446" s="20">
        <v>0</v>
      </c>
      <c r="BR446" s="20">
        <v>0</v>
      </c>
      <c r="BS446" s="20">
        <v>100</v>
      </c>
      <c r="BT446" s="20">
        <v>1246892.5</v>
      </c>
      <c r="BU446" s="20">
        <v>6500000</v>
      </c>
      <c r="BV446" s="20">
        <v>4.7390540155553982</v>
      </c>
    </row>
    <row r="447" spans="1:74">
      <c r="A447" s="10">
        <f t="shared" si="26"/>
        <v>0</v>
      </c>
      <c r="B447" s="10">
        <f t="shared" si="27"/>
        <v>0</v>
      </c>
      <c r="C447" s="12">
        <f t="shared" si="28"/>
        <v>4</v>
      </c>
      <c r="D447" s="12">
        <f t="shared" si="29"/>
        <v>8</v>
      </c>
      <c r="E447" s="20" t="s">
        <v>574</v>
      </c>
      <c r="F447" s="20" t="s">
        <v>626</v>
      </c>
      <c r="G447" s="20" t="s">
        <v>627</v>
      </c>
      <c r="H447" s="20" t="s">
        <v>628</v>
      </c>
      <c r="I447" s="20">
        <v>1</v>
      </c>
      <c r="J447" s="20" t="s">
        <v>629</v>
      </c>
      <c r="K447" s="20" t="s">
        <v>646</v>
      </c>
      <c r="L447" s="20" t="s">
        <v>631</v>
      </c>
      <c r="M447" s="20" t="s">
        <v>632</v>
      </c>
      <c r="N447" s="20" t="s">
        <v>633</v>
      </c>
      <c r="P447" s="20" t="s">
        <v>632</v>
      </c>
      <c r="Q447" s="20" t="s">
        <v>634</v>
      </c>
      <c r="R447" s="20" t="s">
        <v>84</v>
      </c>
      <c r="S447" s="20">
        <v>4</v>
      </c>
      <c r="T447" s="20" t="s">
        <v>635</v>
      </c>
      <c r="U447" s="20" t="s">
        <v>636</v>
      </c>
      <c r="V447" s="20" t="s">
        <v>87</v>
      </c>
      <c r="W447" s="20">
        <v>503</v>
      </c>
      <c r="X447" s="20">
        <v>503</v>
      </c>
      <c r="Y447" s="20" t="s">
        <v>637</v>
      </c>
      <c r="Z447" s="20">
        <v>8.3333333333333329E-2</v>
      </c>
      <c r="AA447" s="20" t="s">
        <v>638</v>
      </c>
      <c r="AB447" s="20" t="s">
        <v>109</v>
      </c>
      <c r="AC447" s="20" t="s">
        <v>110</v>
      </c>
      <c r="AD447" s="20" t="s">
        <v>639</v>
      </c>
      <c r="AE447" s="20" t="s">
        <v>91</v>
      </c>
      <c r="AF447" s="20">
        <v>0.16666666666666666</v>
      </c>
      <c r="AH447" s="20">
        <v>1</v>
      </c>
      <c r="AI447" s="4" t="s">
        <v>647</v>
      </c>
      <c r="AJ447" s="20">
        <v>100</v>
      </c>
      <c r="AK447" s="4" t="s">
        <v>641</v>
      </c>
      <c r="AL447" s="4">
        <v>1</v>
      </c>
      <c r="AM447" s="4" t="s">
        <v>130</v>
      </c>
      <c r="AN447" s="4" t="s">
        <v>95</v>
      </c>
      <c r="AO447" s="4" t="s">
        <v>96</v>
      </c>
      <c r="AP447" s="4">
        <v>1</v>
      </c>
      <c r="AQ447" s="20">
        <v>65000</v>
      </c>
      <c r="AR447" s="4">
        <v>41803</v>
      </c>
      <c r="AS447" s="20">
        <v>11818.181818181818</v>
      </c>
      <c r="AT447" s="20">
        <v>12468.924999999999</v>
      </c>
      <c r="AU447" s="20">
        <v>650.74318181818126</v>
      </c>
      <c r="AW447" s="20">
        <v>70</v>
      </c>
      <c r="AY447" s="20">
        <v>70</v>
      </c>
      <c r="AZ447" s="20">
        <v>9.5</v>
      </c>
      <c r="BB447" s="6">
        <v>41737</v>
      </c>
      <c r="BC447" s="6">
        <v>41839</v>
      </c>
      <c r="BD447" s="6">
        <v>41823</v>
      </c>
      <c r="BE447" s="6">
        <v>41845</v>
      </c>
      <c r="BF447" s="6">
        <v>41877</v>
      </c>
      <c r="BK447" s="4" t="s">
        <v>401</v>
      </c>
      <c r="BM447" s="20">
        <v>99</v>
      </c>
      <c r="BN447" s="20">
        <v>0</v>
      </c>
      <c r="BO447" s="20">
        <v>0</v>
      </c>
      <c r="BP447" s="20">
        <v>0</v>
      </c>
      <c r="BQ447" s="20">
        <v>0</v>
      </c>
      <c r="BR447" s="20">
        <v>0</v>
      </c>
      <c r="BS447" s="20">
        <v>100</v>
      </c>
      <c r="BT447" s="20">
        <v>1246892.5</v>
      </c>
      <c r="BU447" s="20">
        <v>6500000</v>
      </c>
      <c r="BV447" s="20">
        <v>4.7390540155553982</v>
      </c>
    </row>
    <row r="448" spans="1:74">
      <c r="A448" s="10">
        <f t="shared" si="26"/>
        <v>0</v>
      </c>
      <c r="B448" s="10">
        <f t="shared" si="27"/>
        <v>0</v>
      </c>
      <c r="C448" s="12">
        <f t="shared" si="28"/>
        <v>4</v>
      </c>
      <c r="D448" s="12">
        <f t="shared" si="29"/>
        <v>8</v>
      </c>
      <c r="E448" s="20" t="s">
        <v>574</v>
      </c>
      <c r="F448" s="20" t="s">
        <v>626</v>
      </c>
      <c r="G448" s="20" t="s">
        <v>627</v>
      </c>
      <c r="H448" s="20" t="s">
        <v>628</v>
      </c>
      <c r="I448" s="20">
        <v>1</v>
      </c>
      <c r="J448" s="20" t="s">
        <v>629</v>
      </c>
      <c r="K448" s="20" t="s">
        <v>648</v>
      </c>
      <c r="L448" s="20" t="s">
        <v>631</v>
      </c>
      <c r="M448" s="20" t="s">
        <v>632</v>
      </c>
      <c r="N448" s="20" t="s">
        <v>633</v>
      </c>
      <c r="P448" s="20" t="s">
        <v>632</v>
      </c>
      <c r="Q448" s="20" t="s">
        <v>634</v>
      </c>
      <c r="R448" s="20" t="s">
        <v>84</v>
      </c>
      <c r="S448" s="20">
        <v>4</v>
      </c>
      <c r="T448" s="20" t="s">
        <v>635</v>
      </c>
      <c r="U448" s="20" t="s">
        <v>636</v>
      </c>
      <c r="V448" s="20" t="s">
        <v>87</v>
      </c>
      <c r="W448" s="20">
        <v>503</v>
      </c>
      <c r="X448" s="20">
        <v>503</v>
      </c>
      <c r="Y448" s="20" t="s">
        <v>637</v>
      </c>
      <c r="Z448" s="20">
        <v>8.3333333333333329E-2</v>
      </c>
      <c r="AA448" s="20" t="s">
        <v>638</v>
      </c>
      <c r="AB448" s="20" t="s">
        <v>109</v>
      </c>
      <c r="AC448" s="20" t="s">
        <v>110</v>
      </c>
      <c r="AD448" s="20" t="s">
        <v>639</v>
      </c>
      <c r="AE448" s="20" t="s">
        <v>91</v>
      </c>
      <c r="AF448" s="20">
        <v>0.16666666666666666</v>
      </c>
      <c r="AH448" s="20">
        <v>1</v>
      </c>
      <c r="AI448" s="4" t="s">
        <v>649</v>
      </c>
      <c r="AJ448" s="20">
        <v>80</v>
      </c>
      <c r="AK448" s="4" t="s">
        <v>641</v>
      </c>
      <c r="AL448" s="4">
        <v>1</v>
      </c>
      <c r="AM448" s="4" t="s">
        <v>130</v>
      </c>
      <c r="AN448" s="4" t="s">
        <v>95</v>
      </c>
      <c r="AO448" s="4" t="s">
        <v>96</v>
      </c>
      <c r="AP448" s="4">
        <v>1</v>
      </c>
      <c r="AQ448" s="20">
        <v>65000</v>
      </c>
      <c r="AR448" s="4">
        <v>41803</v>
      </c>
      <c r="AS448" s="20">
        <v>11818.181818181818</v>
      </c>
      <c r="AT448" s="20">
        <v>12468.924999999999</v>
      </c>
      <c r="AU448" s="20">
        <v>650.74318181818126</v>
      </c>
      <c r="AW448" s="20">
        <v>70</v>
      </c>
      <c r="AY448" s="20">
        <v>70</v>
      </c>
      <c r="AZ448" s="20">
        <v>9.5</v>
      </c>
      <c r="BB448" s="6">
        <v>41737</v>
      </c>
      <c r="BC448" s="6">
        <v>41839</v>
      </c>
      <c r="BD448" s="6">
        <v>41823</v>
      </c>
      <c r="BE448" s="6">
        <v>41845</v>
      </c>
      <c r="BF448" s="6">
        <v>41877</v>
      </c>
      <c r="BK448" s="4" t="s">
        <v>401</v>
      </c>
      <c r="BM448" s="20">
        <v>80</v>
      </c>
      <c r="BN448" s="20">
        <v>0</v>
      </c>
      <c r="BO448" s="20">
        <v>0</v>
      </c>
      <c r="BP448" s="20">
        <v>0</v>
      </c>
      <c r="BQ448" s="20">
        <v>0</v>
      </c>
      <c r="BR448" s="20">
        <v>0</v>
      </c>
      <c r="BS448" s="20">
        <v>80</v>
      </c>
      <c r="BT448" s="20">
        <v>997514</v>
      </c>
      <c r="BU448" s="20">
        <v>5200000</v>
      </c>
      <c r="BV448" s="20">
        <v>4.7390540155553973</v>
      </c>
    </row>
    <row r="449" spans="1:74">
      <c r="A449" s="10">
        <f t="shared" si="26"/>
        <v>0</v>
      </c>
      <c r="B449" s="10">
        <f t="shared" si="27"/>
        <v>0</v>
      </c>
      <c r="C449" s="12">
        <f t="shared" si="28"/>
        <v>4</v>
      </c>
      <c r="D449" s="12">
        <f t="shared" si="29"/>
        <v>8</v>
      </c>
      <c r="E449" s="20" t="s">
        <v>574</v>
      </c>
      <c r="F449" s="20" t="s">
        <v>626</v>
      </c>
      <c r="G449" s="20" t="s">
        <v>627</v>
      </c>
      <c r="H449" s="20" t="s">
        <v>628</v>
      </c>
      <c r="I449" s="20">
        <v>1</v>
      </c>
      <c r="J449" s="20" t="s">
        <v>629</v>
      </c>
      <c r="K449" s="20" t="s">
        <v>650</v>
      </c>
      <c r="L449" s="20" t="s">
        <v>631</v>
      </c>
      <c r="M449" s="20" t="s">
        <v>632</v>
      </c>
      <c r="N449" s="20" t="s">
        <v>633</v>
      </c>
      <c r="P449" s="20" t="s">
        <v>632</v>
      </c>
      <c r="Q449" s="20" t="s">
        <v>634</v>
      </c>
      <c r="R449" s="20" t="s">
        <v>84</v>
      </c>
      <c r="S449" s="20">
        <v>4</v>
      </c>
      <c r="T449" s="20" t="s">
        <v>635</v>
      </c>
      <c r="U449" s="20" t="s">
        <v>636</v>
      </c>
      <c r="V449" s="20" t="s">
        <v>87</v>
      </c>
      <c r="W449" s="20">
        <v>503</v>
      </c>
      <c r="X449" s="20">
        <v>503</v>
      </c>
      <c r="Y449" s="20" t="s">
        <v>637</v>
      </c>
      <c r="Z449" s="20">
        <v>8.3333333333333329E-2</v>
      </c>
      <c r="AA449" s="20" t="s">
        <v>638</v>
      </c>
      <c r="AB449" s="20" t="s">
        <v>109</v>
      </c>
      <c r="AC449" s="20" t="s">
        <v>110</v>
      </c>
      <c r="AD449" s="20" t="s">
        <v>639</v>
      </c>
      <c r="AE449" s="20" t="s">
        <v>91</v>
      </c>
      <c r="AF449" s="20">
        <v>0.16666666666666666</v>
      </c>
      <c r="AH449" s="20">
        <v>1</v>
      </c>
      <c r="AI449" s="4" t="s">
        <v>651</v>
      </c>
      <c r="AJ449" s="20">
        <v>80</v>
      </c>
      <c r="AK449" s="4" t="s">
        <v>641</v>
      </c>
      <c r="AL449" s="4">
        <v>1</v>
      </c>
      <c r="AM449" s="4" t="s">
        <v>130</v>
      </c>
      <c r="AN449" s="4" t="s">
        <v>95</v>
      </c>
      <c r="AO449" s="4" t="s">
        <v>96</v>
      </c>
      <c r="AP449" s="4">
        <v>1</v>
      </c>
      <c r="AQ449" s="20">
        <v>65000</v>
      </c>
      <c r="AR449" s="4">
        <v>41803</v>
      </c>
      <c r="AS449" s="20">
        <v>11818.181818181818</v>
      </c>
      <c r="AT449" s="20">
        <v>12468.924999999999</v>
      </c>
      <c r="AU449" s="20">
        <v>650.74318181818126</v>
      </c>
      <c r="AW449" s="20">
        <v>70</v>
      </c>
      <c r="AY449" s="20">
        <v>70</v>
      </c>
      <c r="AZ449" s="20">
        <v>9.5</v>
      </c>
      <c r="BB449" s="6">
        <v>41737</v>
      </c>
      <c r="BC449" s="6">
        <v>41839</v>
      </c>
      <c r="BD449" s="6">
        <v>41823</v>
      </c>
      <c r="BE449" s="6">
        <v>41845</v>
      </c>
      <c r="BF449" s="6">
        <v>41877</v>
      </c>
      <c r="BK449" s="4" t="s">
        <v>401</v>
      </c>
      <c r="BM449" s="20">
        <v>80</v>
      </c>
      <c r="BN449" s="20">
        <v>0</v>
      </c>
      <c r="BO449" s="20">
        <v>0</v>
      </c>
      <c r="BP449" s="20">
        <v>0</v>
      </c>
      <c r="BQ449" s="20">
        <v>0</v>
      </c>
      <c r="BR449" s="20">
        <v>0</v>
      </c>
      <c r="BS449" s="20">
        <v>80</v>
      </c>
      <c r="BT449" s="20">
        <v>997514</v>
      </c>
      <c r="BU449" s="20">
        <v>5200000</v>
      </c>
      <c r="BV449" s="20">
        <v>4.7390540155553973</v>
      </c>
    </row>
    <row r="450" spans="1:74">
      <c r="A450" s="10">
        <f t="shared" si="26"/>
        <v>0</v>
      </c>
      <c r="B450" s="10">
        <f t="shared" si="27"/>
        <v>0</v>
      </c>
      <c r="C450" s="12">
        <f t="shared" si="28"/>
        <v>4</v>
      </c>
      <c r="D450" s="12">
        <f t="shared" si="29"/>
        <v>8</v>
      </c>
      <c r="E450" s="20" t="s">
        <v>574</v>
      </c>
      <c r="F450" s="20" t="s">
        <v>626</v>
      </c>
      <c r="G450" s="20" t="s">
        <v>627</v>
      </c>
      <c r="H450" s="20" t="s">
        <v>652</v>
      </c>
      <c r="I450" s="20">
        <v>2</v>
      </c>
      <c r="J450" s="20" t="s">
        <v>653</v>
      </c>
      <c r="K450" s="20" t="s">
        <v>654</v>
      </c>
      <c r="L450" s="20" t="s">
        <v>631</v>
      </c>
      <c r="M450" s="20" t="s">
        <v>632</v>
      </c>
      <c r="N450" s="20" t="s">
        <v>633</v>
      </c>
      <c r="P450" s="20" t="s">
        <v>632</v>
      </c>
      <c r="Q450" s="20" t="s">
        <v>634</v>
      </c>
      <c r="R450" s="20" t="s">
        <v>84</v>
      </c>
      <c r="S450" s="20">
        <v>4</v>
      </c>
      <c r="T450" s="20" t="s">
        <v>635</v>
      </c>
      <c r="U450" s="20" t="s">
        <v>636</v>
      </c>
      <c r="V450" s="20" t="s">
        <v>87</v>
      </c>
      <c r="W450" s="20">
        <v>503</v>
      </c>
      <c r="X450" s="20">
        <v>503</v>
      </c>
      <c r="Y450" s="20" t="s">
        <v>637</v>
      </c>
      <c r="Z450" s="20">
        <v>8.3333333333333329E-2</v>
      </c>
      <c r="AA450" s="20" t="s">
        <v>655</v>
      </c>
      <c r="AB450" s="20" t="s">
        <v>656</v>
      </c>
      <c r="AC450" s="20" t="s">
        <v>657</v>
      </c>
      <c r="AD450" s="20" t="s">
        <v>658</v>
      </c>
      <c r="AE450" s="20" t="s">
        <v>91</v>
      </c>
      <c r="AF450" s="20">
        <v>0.16666666666666666</v>
      </c>
      <c r="AH450" s="20">
        <v>1</v>
      </c>
      <c r="AI450" s="4" t="s">
        <v>640</v>
      </c>
      <c r="AJ450" s="20">
        <v>80</v>
      </c>
      <c r="AK450" s="4" t="s">
        <v>641</v>
      </c>
      <c r="AL450" s="4">
        <v>1</v>
      </c>
      <c r="AM450" s="4" t="s">
        <v>130</v>
      </c>
      <c r="AN450" s="4" t="s">
        <v>95</v>
      </c>
      <c r="AO450" s="4" t="s">
        <v>96</v>
      </c>
      <c r="AP450" s="4">
        <v>1</v>
      </c>
      <c r="AQ450" s="20">
        <v>65000</v>
      </c>
      <c r="AR450" s="4">
        <v>41803</v>
      </c>
      <c r="AS450" s="20">
        <v>11818.181818181818</v>
      </c>
      <c r="AT450" s="20">
        <v>12468.924999999999</v>
      </c>
      <c r="AU450" s="20">
        <v>650.74318181818126</v>
      </c>
      <c r="AW450" s="20">
        <v>70</v>
      </c>
      <c r="AY450" s="20">
        <v>70</v>
      </c>
      <c r="AZ450" s="20">
        <v>9.5</v>
      </c>
      <c r="BB450" s="6">
        <v>41737</v>
      </c>
      <c r="BC450" s="6">
        <v>41839</v>
      </c>
      <c r="BD450" s="6">
        <v>41823</v>
      </c>
      <c r="BE450" s="6">
        <v>41845</v>
      </c>
      <c r="BF450" s="6">
        <v>41877</v>
      </c>
      <c r="BK450" s="4" t="s">
        <v>401</v>
      </c>
      <c r="BM450" s="20">
        <v>64</v>
      </c>
      <c r="BN450" s="20">
        <v>0</v>
      </c>
      <c r="BO450" s="20">
        <v>0</v>
      </c>
      <c r="BP450" s="20">
        <v>0</v>
      </c>
      <c r="BQ450" s="20">
        <v>0</v>
      </c>
      <c r="BS450" s="20">
        <v>80</v>
      </c>
      <c r="BT450" s="20">
        <v>997514</v>
      </c>
      <c r="BU450" s="20">
        <v>5200000</v>
      </c>
      <c r="BV450" s="20">
        <v>4.7390540155553973</v>
      </c>
    </row>
    <row r="451" spans="1:74">
      <c r="A451" s="10">
        <f t="shared" ref="A451:A514" si="30">IF($BL451="공급",$Z451,0)</f>
        <v>0</v>
      </c>
      <c r="B451" s="10">
        <f t="shared" ref="B451:B514" si="31">IF($AV451&gt;0,$Z451,0)</f>
        <v>0</v>
      </c>
      <c r="C451" s="12">
        <f t="shared" si="28"/>
        <v>4</v>
      </c>
      <c r="D451" s="12">
        <f t="shared" si="29"/>
        <v>8</v>
      </c>
      <c r="E451" s="20" t="s">
        <v>574</v>
      </c>
      <c r="F451" s="20" t="s">
        <v>626</v>
      </c>
      <c r="G451" s="20" t="s">
        <v>627</v>
      </c>
      <c r="H451" s="20" t="s">
        <v>652</v>
      </c>
      <c r="I451" s="20">
        <v>2</v>
      </c>
      <c r="J451" s="20" t="s">
        <v>653</v>
      </c>
      <c r="K451" s="20" t="s">
        <v>659</v>
      </c>
      <c r="L451" s="20" t="s">
        <v>631</v>
      </c>
      <c r="M451" s="20" t="s">
        <v>632</v>
      </c>
      <c r="N451" s="20" t="s">
        <v>633</v>
      </c>
      <c r="P451" s="20" t="s">
        <v>632</v>
      </c>
      <c r="Q451" s="20" t="s">
        <v>634</v>
      </c>
      <c r="R451" s="20" t="s">
        <v>84</v>
      </c>
      <c r="S451" s="20">
        <v>4</v>
      </c>
      <c r="T451" s="20" t="s">
        <v>635</v>
      </c>
      <c r="U451" s="20" t="s">
        <v>636</v>
      </c>
      <c r="V451" s="20" t="s">
        <v>87</v>
      </c>
      <c r="W451" s="20">
        <v>503</v>
      </c>
      <c r="X451" s="20">
        <v>503</v>
      </c>
      <c r="Y451" s="20" t="s">
        <v>637</v>
      </c>
      <c r="Z451" s="20">
        <v>8.3333333333333329E-2</v>
      </c>
      <c r="AA451" s="20" t="s">
        <v>655</v>
      </c>
      <c r="AB451" s="20" t="s">
        <v>656</v>
      </c>
      <c r="AC451" s="20" t="s">
        <v>657</v>
      </c>
      <c r="AD451" s="20" t="s">
        <v>658</v>
      </c>
      <c r="AE451" s="20" t="s">
        <v>91</v>
      </c>
      <c r="AF451" s="20">
        <v>0.16666666666666666</v>
      </c>
      <c r="AH451" s="20">
        <v>1</v>
      </c>
      <c r="AI451" s="4" t="s">
        <v>643</v>
      </c>
      <c r="AJ451" s="20">
        <v>100</v>
      </c>
      <c r="AK451" s="4" t="s">
        <v>641</v>
      </c>
      <c r="AL451" s="4">
        <v>1</v>
      </c>
      <c r="AM451" s="4" t="s">
        <v>130</v>
      </c>
      <c r="AN451" s="4" t="s">
        <v>95</v>
      </c>
      <c r="AO451" s="4" t="s">
        <v>96</v>
      </c>
      <c r="AP451" s="4">
        <v>1</v>
      </c>
      <c r="AQ451" s="20">
        <v>65000</v>
      </c>
      <c r="AR451" s="4">
        <v>41803</v>
      </c>
      <c r="AS451" s="20">
        <v>11818.181818181818</v>
      </c>
      <c r="AT451" s="20">
        <v>12468.924999999999</v>
      </c>
      <c r="AU451" s="20">
        <v>650.74318181818126</v>
      </c>
      <c r="AW451" s="20">
        <v>70</v>
      </c>
      <c r="AY451" s="20">
        <v>70</v>
      </c>
      <c r="AZ451" s="20">
        <v>9.5</v>
      </c>
      <c r="BB451" s="6">
        <v>41737</v>
      </c>
      <c r="BC451" s="6">
        <v>41839</v>
      </c>
      <c r="BD451" s="6">
        <v>41823</v>
      </c>
      <c r="BE451" s="6">
        <v>41845</v>
      </c>
      <c r="BF451" s="6">
        <v>41877</v>
      </c>
      <c r="BK451" s="4" t="s">
        <v>401</v>
      </c>
      <c r="BM451" s="20">
        <v>100</v>
      </c>
      <c r="BN451" s="20">
        <v>0</v>
      </c>
      <c r="BO451" s="20">
        <v>0</v>
      </c>
      <c r="BP451" s="20">
        <v>0</v>
      </c>
      <c r="BQ451" s="20">
        <v>0</v>
      </c>
      <c r="BR451" s="20">
        <v>0</v>
      </c>
      <c r="BS451" s="20">
        <v>100</v>
      </c>
      <c r="BT451" s="20">
        <v>1246892.5</v>
      </c>
      <c r="BU451" s="20">
        <v>6500000</v>
      </c>
      <c r="BV451" s="20">
        <v>4.7390540155553982</v>
      </c>
    </row>
    <row r="452" spans="1:74">
      <c r="A452" s="10">
        <f t="shared" si="30"/>
        <v>0</v>
      </c>
      <c r="B452" s="10">
        <f t="shared" si="31"/>
        <v>0</v>
      </c>
      <c r="C452" s="12">
        <f t="shared" ref="C452:C515" si="32">IF($BB452=0,"",MONTH($BB452))</f>
        <v>4</v>
      </c>
      <c r="D452" s="12">
        <f t="shared" si="29"/>
        <v>8</v>
      </c>
      <c r="E452" s="20" t="s">
        <v>574</v>
      </c>
      <c r="F452" s="20" t="s">
        <v>626</v>
      </c>
      <c r="G452" s="20" t="s">
        <v>627</v>
      </c>
      <c r="H452" s="20" t="s">
        <v>652</v>
      </c>
      <c r="I452" s="20">
        <v>2</v>
      </c>
      <c r="J452" s="20" t="s">
        <v>653</v>
      </c>
      <c r="K452" s="20" t="s">
        <v>660</v>
      </c>
      <c r="L452" s="20" t="s">
        <v>631</v>
      </c>
      <c r="M452" s="20" t="s">
        <v>632</v>
      </c>
      <c r="N452" s="20" t="s">
        <v>633</v>
      </c>
      <c r="P452" s="20" t="s">
        <v>632</v>
      </c>
      <c r="Q452" s="20" t="s">
        <v>634</v>
      </c>
      <c r="R452" s="20" t="s">
        <v>84</v>
      </c>
      <c r="S452" s="20">
        <v>4</v>
      </c>
      <c r="T452" s="20" t="s">
        <v>635</v>
      </c>
      <c r="U452" s="20" t="s">
        <v>636</v>
      </c>
      <c r="V452" s="20" t="s">
        <v>87</v>
      </c>
      <c r="W452" s="20">
        <v>503</v>
      </c>
      <c r="X452" s="20">
        <v>503</v>
      </c>
      <c r="Y452" s="20" t="s">
        <v>637</v>
      </c>
      <c r="Z452" s="20">
        <v>8.3333333333333329E-2</v>
      </c>
      <c r="AA452" s="20" t="s">
        <v>655</v>
      </c>
      <c r="AB452" s="20" t="s">
        <v>656</v>
      </c>
      <c r="AC452" s="20" t="s">
        <v>657</v>
      </c>
      <c r="AD452" s="20" t="s">
        <v>658</v>
      </c>
      <c r="AE452" s="20" t="s">
        <v>91</v>
      </c>
      <c r="AF452" s="20">
        <v>0.16666666666666666</v>
      </c>
      <c r="AH452" s="20">
        <v>1</v>
      </c>
      <c r="AI452" s="4" t="s">
        <v>645</v>
      </c>
      <c r="AJ452" s="20">
        <v>100</v>
      </c>
      <c r="AK452" s="4" t="s">
        <v>641</v>
      </c>
      <c r="AL452" s="4">
        <v>1</v>
      </c>
      <c r="AM452" s="4" t="s">
        <v>130</v>
      </c>
      <c r="AN452" s="4" t="s">
        <v>95</v>
      </c>
      <c r="AO452" s="4" t="s">
        <v>96</v>
      </c>
      <c r="AP452" s="4">
        <v>1</v>
      </c>
      <c r="AQ452" s="20">
        <v>65000</v>
      </c>
      <c r="AR452" s="4">
        <v>41803</v>
      </c>
      <c r="AS452" s="20">
        <v>11818.181818181818</v>
      </c>
      <c r="AT452" s="20">
        <v>12468.924999999999</v>
      </c>
      <c r="AU452" s="20">
        <v>650.74318181818126</v>
      </c>
      <c r="AW452" s="20">
        <v>70</v>
      </c>
      <c r="AY452" s="20">
        <v>70</v>
      </c>
      <c r="AZ452" s="20">
        <v>9.5</v>
      </c>
      <c r="BB452" s="6">
        <v>41737</v>
      </c>
      <c r="BC452" s="6">
        <v>41839</v>
      </c>
      <c r="BD452" s="6">
        <v>41823</v>
      </c>
      <c r="BE452" s="6">
        <v>41845</v>
      </c>
      <c r="BF452" s="6">
        <v>41877</v>
      </c>
      <c r="BK452" s="4" t="s">
        <v>401</v>
      </c>
      <c r="BM452" s="20">
        <v>91</v>
      </c>
      <c r="BN452" s="20">
        <v>0</v>
      </c>
      <c r="BO452" s="20">
        <v>0</v>
      </c>
      <c r="BP452" s="20">
        <v>0</v>
      </c>
      <c r="BQ452" s="20">
        <v>0</v>
      </c>
      <c r="BR452" s="20">
        <v>0</v>
      </c>
      <c r="BS452" s="20">
        <v>100</v>
      </c>
      <c r="BT452" s="20">
        <v>1246892.5</v>
      </c>
      <c r="BU452" s="20">
        <v>6500000</v>
      </c>
      <c r="BV452" s="20">
        <v>4.7390540155553982</v>
      </c>
    </row>
    <row r="453" spans="1:74">
      <c r="A453" s="10">
        <f t="shared" si="30"/>
        <v>0</v>
      </c>
      <c r="B453" s="10">
        <f t="shared" si="31"/>
        <v>0</v>
      </c>
      <c r="C453" s="12">
        <f t="shared" si="32"/>
        <v>4</v>
      </c>
      <c r="D453" s="12">
        <f t="shared" ref="D453:D516" si="33">IF(AND(BD453=0,BF453=0),"",MONTH(IF($BF453=0,$BD453,$BF453)))</f>
        <v>8</v>
      </c>
      <c r="E453" s="20" t="s">
        <v>574</v>
      </c>
      <c r="F453" s="20" t="s">
        <v>626</v>
      </c>
      <c r="G453" s="20" t="s">
        <v>627</v>
      </c>
      <c r="H453" s="20" t="s">
        <v>652</v>
      </c>
      <c r="I453" s="20">
        <v>2</v>
      </c>
      <c r="J453" s="20" t="s">
        <v>653</v>
      </c>
      <c r="K453" s="20" t="s">
        <v>661</v>
      </c>
      <c r="L453" s="20" t="s">
        <v>631</v>
      </c>
      <c r="M453" s="20" t="s">
        <v>632</v>
      </c>
      <c r="N453" s="20" t="s">
        <v>633</v>
      </c>
      <c r="P453" s="20" t="s">
        <v>632</v>
      </c>
      <c r="Q453" s="20" t="s">
        <v>634</v>
      </c>
      <c r="R453" s="20" t="s">
        <v>84</v>
      </c>
      <c r="S453" s="20">
        <v>4</v>
      </c>
      <c r="T453" s="20" t="s">
        <v>635</v>
      </c>
      <c r="U453" s="20" t="s">
        <v>636</v>
      </c>
      <c r="V453" s="20" t="s">
        <v>87</v>
      </c>
      <c r="W453" s="20">
        <v>503</v>
      </c>
      <c r="X453" s="20">
        <v>503</v>
      </c>
      <c r="Y453" s="20" t="s">
        <v>637</v>
      </c>
      <c r="Z453" s="20">
        <v>8.3333333333333329E-2</v>
      </c>
      <c r="AA453" s="20" t="s">
        <v>655</v>
      </c>
      <c r="AB453" s="20" t="s">
        <v>656</v>
      </c>
      <c r="AC453" s="20" t="s">
        <v>657</v>
      </c>
      <c r="AD453" s="20" t="s">
        <v>658</v>
      </c>
      <c r="AE453" s="20" t="s">
        <v>91</v>
      </c>
      <c r="AF453" s="20">
        <v>0.16666666666666666</v>
      </c>
      <c r="AH453" s="20">
        <v>1</v>
      </c>
      <c r="AI453" s="4" t="s">
        <v>647</v>
      </c>
      <c r="AJ453" s="20">
        <v>100</v>
      </c>
      <c r="AK453" s="4" t="s">
        <v>641</v>
      </c>
      <c r="AL453" s="4">
        <v>1</v>
      </c>
      <c r="AM453" s="4" t="s">
        <v>130</v>
      </c>
      <c r="AN453" s="4" t="s">
        <v>95</v>
      </c>
      <c r="AO453" s="4" t="s">
        <v>96</v>
      </c>
      <c r="AP453" s="4">
        <v>1</v>
      </c>
      <c r="AQ453" s="20">
        <v>65000</v>
      </c>
      <c r="AR453" s="4">
        <v>41803</v>
      </c>
      <c r="AS453" s="20">
        <v>11818.181818181818</v>
      </c>
      <c r="AT453" s="20">
        <v>12468.924999999999</v>
      </c>
      <c r="AU453" s="20">
        <v>650.74318181818126</v>
      </c>
      <c r="AW453" s="20">
        <v>70</v>
      </c>
      <c r="AY453" s="20">
        <v>70</v>
      </c>
      <c r="AZ453" s="20">
        <v>9.5</v>
      </c>
      <c r="BB453" s="6">
        <v>41737</v>
      </c>
      <c r="BC453" s="6">
        <v>41839</v>
      </c>
      <c r="BD453" s="6">
        <v>41823</v>
      </c>
      <c r="BE453" s="6">
        <v>41845</v>
      </c>
      <c r="BF453" s="6">
        <v>41877</v>
      </c>
      <c r="BK453" s="4" t="s">
        <v>401</v>
      </c>
      <c r="BM453" s="20">
        <v>87</v>
      </c>
      <c r="BN453" s="20">
        <v>0</v>
      </c>
      <c r="BO453" s="20">
        <v>0</v>
      </c>
      <c r="BP453" s="20">
        <v>0</v>
      </c>
      <c r="BQ453" s="20">
        <v>0</v>
      </c>
      <c r="BS453" s="20">
        <v>100</v>
      </c>
      <c r="BT453" s="20">
        <v>1246892.5</v>
      </c>
      <c r="BU453" s="20">
        <v>6500000</v>
      </c>
      <c r="BV453" s="20">
        <v>4.7390540155553982</v>
      </c>
    </row>
    <row r="454" spans="1:74">
      <c r="A454" s="10">
        <f t="shared" si="30"/>
        <v>0</v>
      </c>
      <c r="B454" s="10">
        <f t="shared" si="31"/>
        <v>0</v>
      </c>
      <c r="C454" s="12">
        <f t="shared" si="32"/>
        <v>4</v>
      </c>
      <c r="D454" s="12">
        <f t="shared" si="33"/>
        <v>8</v>
      </c>
      <c r="E454" s="20" t="s">
        <v>574</v>
      </c>
      <c r="F454" s="20" t="s">
        <v>626</v>
      </c>
      <c r="G454" s="20" t="s">
        <v>627</v>
      </c>
      <c r="H454" s="20" t="s">
        <v>652</v>
      </c>
      <c r="I454" s="20">
        <v>2</v>
      </c>
      <c r="J454" s="20" t="s">
        <v>653</v>
      </c>
      <c r="K454" s="20" t="s">
        <v>662</v>
      </c>
      <c r="L454" s="20" t="s">
        <v>631</v>
      </c>
      <c r="M454" s="20" t="s">
        <v>632</v>
      </c>
      <c r="N454" s="20" t="s">
        <v>633</v>
      </c>
      <c r="P454" s="20" t="s">
        <v>632</v>
      </c>
      <c r="Q454" s="20" t="s">
        <v>634</v>
      </c>
      <c r="R454" s="20" t="s">
        <v>84</v>
      </c>
      <c r="S454" s="20">
        <v>4</v>
      </c>
      <c r="T454" s="20" t="s">
        <v>635</v>
      </c>
      <c r="U454" s="20" t="s">
        <v>636</v>
      </c>
      <c r="V454" s="20" t="s">
        <v>87</v>
      </c>
      <c r="W454" s="20">
        <v>503</v>
      </c>
      <c r="X454" s="20">
        <v>503</v>
      </c>
      <c r="Y454" s="20" t="s">
        <v>637</v>
      </c>
      <c r="Z454" s="20">
        <v>8.3333333333333329E-2</v>
      </c>
      <c r="AA454" s="20" t="s">
        <v>655</v>
      </c>
      <c r="AB454" s="20" t="s">
        <v>656</v>
      </c>
      <c r="AC454" s="20" t="s">
        <v>657</v>
      </c>
      <c r="AD454" s="20" t="s">
        <v>658</v>
      </c>
      <c r="AE454" s="20" t="s">
        <v>91</v>
      </c>
      <c r="AF454" s="20">
        <v>0.16666666666666666</v>
      </c>
      <c r="AH454" s="20">
        <v>1</v>
      </c>
      <c r="AI454" s="4" t="s">
        <v>649</v>
      </c>
      <c r="AJ454" s="20">
        <v>80</v>
      </c>
      <c r="AK454" s="4" t="s">
        <v>641</v>
      </c>
      <c r="AL454" s="4">
        <v>1</v>
      </c>
      <c r="AM454" s="4" t="s">
        <v>130</v>
      </c>
      <c r="AN454" s="4" t="s">
        <v>95</v>
      </c>
      <c r="AO454" s="4" t="s">
        <v>96</v>
      </c>
      <c r="AP454" s="4">
        <v>1</v>
      </c>
      <c r="AQ454" s="20">
        <v>65000</v>
      </c>
      <c r="AR454" s="4">
        <v>41803</v>
      </c>
      <c r="AS454" s="20">
        <v>11818.181818181818</v>
      </c>
      <c r="AT454" s="20">
        <v>12468.924999999999</v>
      </c>
      <c r="AU454" s="20">
        <v>650.74318181818126</v>
      </c>
      <c r="AW454" s="20">
        <v>70</v>
      </c>
      <c r="AY454" s="20">
        <v>70</v>
      </c>
      <c r="AZ454" s="20">
        <v>9.5</v>
      </c>
      <c r="BB454" s="6">
        <v>41737</v>
      </c>
      <c r="BC454" s="6">
        <v>41839</v>
      </c>
      <c r="BD454" s="6">
        <v>41823</v>
      </c>
      <c r="BE454" s="6">
        <v>41845</v>
      </c>
      <c r="BF454" s="6">
        <v>41877</v>
      </c>
      <c r="BK454" s="4" t="s">
        <v>401</v>
      </c>
      <c r="BM454" s="20">
        <v>91</v>
      </c>
      <c r="BN454" s="20">
        <v>0</v>
      </c>
      <c r="BO454" s="20">
        <v>0</v>
      </c>
      <c r="BP454" s="20">
        <v>0</v>
      </c>
      <c r="BQ454" s="20">
        <v>0</v>
      </c>
      <c r="BR454" s="20">
        <v>0</v>
      </c>
      <c r="BS454" s="20">
        <v>80</v>
      </c>
      <c r="BT454" s="20">
        <v>997514</v>
      </c>
      <c r="BU454" s="20">
        <v>5200000</v>
      </c>
      <c r="BV454" s="20">
        <v>4.7390540155553973</v>
      </c>
    </row>
    <row r="455" spans="1:74">
      <c r="A455" s="10">
        <f t="shared" si="30"/>
        <v>0</v>
      </c>
      <c r="B455" s="10">
        <f t="shared" si="31"/>
        <v>0</v>
      </c>
      <c r="C455" s="12">
        <f t="shared" si="32"/>
        <v>4</v>
      </c>
      <c r="D455" s="12">
        <f t="shared" si="33"/>
        <v>8</v>
      </c>
      <c r="E455" s="20" t="s">
        <v>574</v>
      </c>
      <c r="F455" s="20" t="s">
        <v>626</v>
      </c>
      <c r="G455" s="20" t="s">
        <v>627</v>
      </c>
      <c r="H455" s="20" t="s">
        <v>652</v>
      </c>
      <c r="I455" s="20">
        <v>2</v>
      </c>
      <c r="J455" s="20" t="s">
        <v>653</v>
      </c>
      <c r="K455" s="20" t="s">
        <v>663</v>
      </c>
      <c r="L455" s="20" t="s">
        <v>631</v>
      </c>
      <c r="M455" s="20" t="s">
        <v>632</v>
      </c>
      <c r="N455" s="20" t="s">
        <v>633</v>
      </c>
      <c r="P455" s="20" t="s">
        <v>632</v>
      </c>
      <c r="Q455" s="20" t="s">
        <v>634</v>
      </c>
      <c r="R455" s="20" t="s">
        <v>84</v>
      </c>
      <c r="S455" s="20">
        <v>4</v>
      </c>
      <c r="T455" s="20" t="s">
        <v>635</v>
      </c>
      <c r="U455" s="20" t="s">
        <v>636</v>
      </c>
      <c r="V455" s="20" t="s">
        <v>87</v>
      </c>
      <c r="W455" s="20">
        <v>503</v>
      </c>
      <c r="X455" s="20">
        <v>503</v>
      </c>
      <c r="Y455" s="20" t="s">
        <v>637</v>
      </c>
      <c r="Z455" s="20">
        <v>8.3333333333333329E-2</v>
      </c>
      <c r="AA455" s="20" t="s">
        <v>655</v>
      </c>
      <c r="AB455" s="20" t="s">
        <v>656</v>
      </c>
      <c r="AC455" s="20" t="s">
        <v>657</v>
      </c>
      <c r="AD455" s="20" t="s">
        <v>658</v>
      </c>
      <c r="AE455" s="20" t="s">
        <v>91</v>
      </c>
      <c r="AF455" s="20">
        <v>0.16666666666666666</v>
      </c>
      <c r="AH455" s="20">
        <v>1</v>
      </c>
      <c r="AI455" s="4" t="s">
        <v>651</v>
      </c>
      <c r="AJ455" s="20">
        <v>80</v>
      </c>
      <c r="AK455" s="4" t="s">
        <v>641</v>
      </c>
      <c r="AL455" s="4">
        <v>1</v>
      </c>
      <c r="AM455" s="4" t="s">
        <v>130</v>
      </c>
      <c r="AN455" s="4" t="s">
        <v>95</v>
      </c>
      <c r="AO455" s="4" t="s">
        <v>96</v>
      </c>
      <c r="AP455" s="4">
        <v>1</v>
      </c>
      <c r="AQ455" s="20">
        <v>65000</v>
      </c>
      <c r="AR455" s="4">
        <v>41803</v>
      </c>
      <c r="AS455" s="20">
        <v>11818.181818181818</v>
      </c>
      <c r="AT455" s="20">
        <v>12468.924999999999</v>
      </c>
      <c r="AU455" s="20">
        <v>650.74318181818126</v>
      </c>
      <c r="AW455" s="20">
        <v>70</v>
      </c>
      <c r="AY455" s="20">
        <v>70</v>
      </c>
      <c r="AZ455" s="20">
        <v>9.5</v>
      </c>
      <c r="BB455" s="6">
        <v>41737</v>
      </c>
      <c r="BC455" s="6">
        <v>41839</v>
      </c>
      <c r="BD455" s="6">
        <v>41823</v>
      </c>
      <c r="BE455" s="6">
        <v>41845</v>
      </c>
      <c r="BF455" s="6">
        <v>41877</v>
      </c>
      <c r="BK455" s="4" t="s">
        <v>401</v>
      </c>
      <c r="BM455" s="20">
        <v>79</v>
      </c>
      <c r="BN455" s="20">
        <v>0</v>
      </c>
      <c r="BO455" s="20">
        <v>0</v>
      </c>
      <c r="BP455" s="20">
        <v>0</v>
      </c>
      <c r="BQ455" s="20">
        <v>0</v>
      </c>
      <c r="BR455" s="20">
        <v>0</v>
      </c>
      <c r="BS455" s="20">
        <v>80</v>
      </c>
      <c r="BT455" s="20">
        <v>997514</v>
      </c>
      <c r="BU455" s="20">
        <v>5200000</v>
      </c>
      <c r="BV455" s="20">
        <v>4.7390540155553973</v>
      </c>
    </row>
    <row r="456" spans="1:74">
      <c r="A456" s="10">
        <f t="shared" si="30"/>
        <v>0</v>
      </c>
      <c r="B456" s="10">
        <f t="shared" si="31"/>
        <v>0</v>
      </c>
      <c r="C456" s="12" t="str">
        <f t="shared" si="32"/>
        <v/>
      </c>
      <c r="D456" s="12" t="str">
        <f t="shared" si="33"/>
        <v/>
      </c>
      <c r="E456" s="20" t="s">
        <v>91</v>
      </c>
      <c r="F456" s="20" t="s">
        <v>91</v>
      </c>
      <c r="G456" s="20" t="s">
        <v>91</v>
      </c>
      <c r="H456" s="20" t="s">
        <v>91</v>
      </c>
      <c r="I456" s="20">
        <v>0</v>
      </c>
      <c r="J456" s="20" t="s">
        <v>103</v>
      </c>
      <c r="K456" s="20" t="s">
        <v>104</v>
      </c>
      <c r="L456" s="20">
        <v>0</v>
      </c>
      <c r="M456" s="20" t="s">
        <v>105</v>
      </c>
      <c r="N456" s="20" t="s">
        <v>91</v>
      </c>
      <c r="O456" s="20" t="s">
        <v>664</v>
      </c>
      <c r="Q456" s="20" t="s">
        <v>91</v>
      </c>
      <c r="R456" s="20" t="s">
        <v>91</v>
      </c>
      <c r="S456" s="20" t="s">
        <v>91</v>
      </c>
      <c r="U456" s="20" t="s">
        <v>91</v>
      </c>
      <c r="V456" s="20" t="s">
        <v>87</v>
      </c>
      <c r="X456" s="20" t="s">
        <v>91</v>
      </c>
      <c r="Y456" s="20" t="s">
        <v>91</v>
      </c>
      <c r="Z456" s="20">
        <v>1</v>
      </c>
      <c r="AB456" s="20" t="s">
        <v>91</v>
      </c>
      <c r="AD456" s="20" t="s">
        <v>91</v>
      </c>
      <c r="AE456" s="20" t="s">
        <v>91</v>
      </c>
      <c r="AF456" s="20">
        <v>2</v>
      </c>
      <c r="AH456" s="20">
        <v>1</v>
      </c>
      <c r="AM456" s="4" t="s">
        <v>91</v>
      </c>
      <c r="AP456" s="4" t="s">
        <v>91</v>
      </c>
      <c r="AQ456" s="20">
        <v>0</v>
      </c>
      <c r="AR456" s="4">
        <v>0</v>
      </c>
      <c r="AS456" s="20">
        <v>0</v>
      </c>
      <c r="AT456" s="20">
        <v>0</v>
      </c>
      <c r="AU456" s="20">
        <v>0</v>
      </c>
      <c r="AY456" s="20">
        <v>0</v>
      </c>
      <c r="BB456" s="6">
        <v>0</v>
      </c>
      <c r="BD456" s="6">
        <v>0</v>
      </c>
      <c r="BF456" s="6">
        <v>0</v>
      </c>
      <c r="BM456" s="20">
        <v>1040</v>
      </c>
      <c r="BN456" s="20">
        <v>0</v>
      </c>
      <c r="BO456" s="20">
        <v>0</v>
      </c>
      <c r="BP456" s="20">
        <v>0</v>
      </c>
      <c r="BQ456" s="20">
        <v>0</v>
      </c>
      <c r="BR456" s="20">
        <v>0</v>
      </c>
      <c r="BS456" s="20">
        <v>1080</v>
      </c>
      <c r="BT456" s="20">
        <v>13466439</v>
      </c>
      <c r="BU456" s="20">
        <v>70200000</v>
      </c>
      <c r="BV456" s="20">
        <v>4.7390540155553982</v>
      </c>
    </row>
    <row r="457" spans="1:74">
      <c r="A457" s="10">
        <f t="shared" si="30"/>
        <v>0</v>
      </c>
      <c r="B457" s="10">
        <f t="shared" si="31"/>
        <v>0</v>
      </c>
      <c r="C457" s="12">
        <f t="shared" si="32"/>
        <v>4</v>
      </c>
      <c r="D457" s="12">
        <f t="shared" si="33"/>
        <v>9</v>
      </c>
      <c r="E457" s="20" t="s">
        <v>574</v>
      </c>
      <c r="F457" s="20" t="s">
        <v>665</v>
      </c>
      <c r="G457" s="20" t="s">
        <v>666</v>
      </c>
      <c r="H457" s="20" t="s">
        <v>667</v>
      </c>
      <c r="I457" s="20">
        <v>1</v>
      </c>
      <c r="J457" s="20" t="s">
        <v>668</v>
      </c>
      <c r="K457" s="20" t="s">
        <v>669</v>
      </c>
      <c r="L457" s="20" t="s">
        <v>670</v>
      </c>
      <c r="M457" s="20" t="s">
        <v>671</v>
      </c>
      <c r="N457" s="20" t="s">
        <v>672</v>
      </c>
      <c r="P457" s="20" t="s">
        <v>671</v>
      </c>
      <c r="Q457" s="20" t="s">
        <v>673</v>
      </c>
      <c r="R457" s="20" t="s">
        <v>84</v>
      </c>
      <c r="S457" s="20">
        <v>5</v>
      </c>
      <c r="T457" s="20" t="s">
        <v>674</v>
      </c>
      <c r="U457" s="20" t="s">
        <v>675</v>
      </c>
      <c r="V457" s="20" t="s">
        <v>87</v>
      </c>
      <c r="W457" s="20">
        <v>502</v>
      </c>
      <c r="X457" s="20">
        <v>502</v>
      </c>
      <c r="Y457" s="20" t="s">
        <v>676</v>
      </c>
      <c r="Z457" s="20">
        <v>8.3333333333333329E-2</v>
      </c>
      <c r="AA457" s="20" t="s">
        <v>677</v>
      </c>
      <c r="AB457" s="20" t="s">
        <v>89</v>
      </c>
      <c r="AC457" s="20" t="s">
        <v>90</v>
      </c>
      <c r="AD457" s="20" t="s">
        <v>678</v>
      </c>
      <c r="AE457" s="20" t="s">
        <v>91</v>
      </c>
      <c r="AF457" s="20">
        <v>0.25</v>
      </c>
      <c r="AH457" s="20">
        <v>1</v>
      </c>
      <c r="AI457" s="4" t="s">
        <v>643</v>
      </c>
      <c r="AJ457" s="20">
        <v>60</v>
      </c>
      <c r="AK457" s="4" t="s">
        <v>679</v>
      </c>
      <c r="AL457" s="4">
        <v>1</v>
      </c>
      <c r="AM457" s="4" t="s">
        <v>130</v>
      </c>
      <c r="AN457" s="4" t="s">
        <v>95</v>
      </c>
      <c r="AO457" s="4" t="s">
        <v>680</v>
      </c>
      <c r="AP457" s="4">
        <v>1</v>
      </c>
      <c r="AQ457" s="20">
        <v>218000</v>
      </c>
      <c r="AR457" s="4">
        <v>41801</v>
      </c>
      <c r="AS457" s="20">
        <v>44040.404040404042</v>
      </c>
      <c r="AT457" s="20">
        <v>52861.25</v>
      </c>
      <c r="AU457" s="20">
        <v>8820.8459595959575</v>
      </c>
      <c r="AW457" s="20">
        <v>20</v>
      </c>
      <c r="AY457" s="20">
        <v>20</v>
      </c>
      <c r="AZ457" s="20">
        <v>45.75</v>
      </c>
      <c r="BB457" s="6">
        <v>41744</v>
      </c>
      <c r="BD457" s="6">
        <v>41897</v>
      </c>
      <c r="BE457" s="6">
        <v>41912</v>
      </c>
      <c r="BF457" s="6">
        <v>41908</v>
      </c>
      <c r="BK457" s="4" t="s">
        <v>401</v>
      </c>
      <c r="BM457" s="20">
        <v>60</v>
      </c>
      <c r="BN457" s="20">
        <v>0</v>
      </c>
      <c r="BO457" s="20">
        <v>0</v>
      </c>
      <c r="BP457" s="20">
        <v>0</v>
      </c>
      <c r="BQ457" s="20">
        <v>0</v>
      </c>
      <c r="BR457" s="20">
        <v>0</v>
      </c>
      <c r="BS457" s="20">
        <v>60</v>
      </c>
      <c r="BT457" s="20">
        <v>3171675</v>
      </c>
      <c r="BU457" s="20">
        <v>13080000</v>
      </c>
      <c r="BV457" s="20">
        <v>3.7490944346154915</v>
      </c>
    </row>
    <row r="458" spans="1:74">
      <c r="A458" s="10">
        <f t="shared" si="30"/>
        <v>0</v>
      </c>
      <c r="B458" s="10">
        <f t="shared" si="31"/>
        <v>0</v>
      </c>
      <c r="C458" s="12">
        <f t="shared" si="32"/>
        <v>4</v>
      </c>
      <c r="D458" s="12">
        <f t="shared" si="33"/>
        <v>9</v>
      </c>
      <c r="E458" s="20" t="s">
        <v>574</v>
      </c>
      <c r="F458" s="20" t="s">
        <v>665</v>
      </c>
      <c r="G458" s="20" t="s">
        <v>666</v>
      </c>
      <c r="H458" s="20" t="s">
        <v>667</v>
      </c>
      <c r="I458" s="20">
        <v>1</v>
      </c>
      <c r="J458" s="20" t="s">
        <v>668</v>
      </c>
      <c r="K458" s="20" t="s">
        <v>681</v>
      </c>
      <c r="L458" s="20" t="s">
        <v>670</v>
      </c>
      <c r="M458" s="20" t="s">
        <v>671</v>
      </c>
      <c r="N458" s="20" t="s">
        <v>672</v>
      </c>
      <c r="P458" s="20" t="s">
        <v>671</v>
      </c>
      <c r="Q458" s="20" t="s">
        <v>673</v>
      </c>
      <c r="R458" s="20" t="s">
        <v>84</v>
      </c>
      <c r="S458" s="20">
        <v>5</v>
      </c>
      <c r="T458" s="20" t="s">
        <v>674</v>
      </c>
      <c r="U458" s="20" t="s">
        <v>675</v>
      </c>
      <c r="V458" s="20" t="s">
        <v>87</v>
      </c>
      <c r="W458" s="20">
        <v>502</v>
      </c>
      <c r="X458" s="20">
        <v>502</v>
      </c>
      <c r="Y458" s="20" t="s">
        <v>676</v>
      </c>
      <c r="Z458" s="20">
        <v>8.3333333333333329E-2</v>
      </c>
      <c r="AA458" s="20" t="s">
        <v>677</v>
      </c>
      <c r="AB458" s="20" t="s">
        <v>89</v>
      </c>
      <c r="AC458" s="20" t="s">
        <v>90</v>
      </c>
      <c r="AD458" s="20" t="s">
        <v>678</v>
      </c>
      <c r="AE458" s="20" t="s">
        <v>91</v>
      </c>
      <c r="AF458" s="20">
        <v>0.25</v>
      </c>
      <c r="AH458" s="20">
        <v>1</v>
      </c>
      <c r="AI458" s="4" t="s">
        <v>645</v>
      </c>
      <c r="AJ458" s="20">
        <v>80</v>
      </c>
      <c r="AK458" s="4" t="s">
        <v>679</v>
      </c>
      <c r="AL458" s="4">
        <v>1</v>
      </c>
      <c r="AM458" s="4" t="s">
        <v>130</v>
      </c>
      <c r="AN458" s="4" t="s">
        <v>95</v>
      </c>
      <c r="AO458" s="4" t="s">
        <v>680</v>
      </c>
      <c r="AP458" s="4">
        <v>1</v>
      </c>
      <c r="AQ458" s="20">
        <v>218000</v>
      </c>
      <c r="AR458" s="4">
        <v>41801</v>
      </c>
      <c r="AS458" s="20">
        <v>44040.404040404042</v>
      </c>
      <c r="AT458" s="20">
        <v>52861.25</v>
      </c>
      <c r="AU458" s="20">
        <v>8820.8459595959575</v>
      </c>
      <c r="AW458" s="20">
        <v>20</v>
      </c>
      <c r="AY458" s="20">
        <v>20</v>
      </c>
      <c r="AZ458" s="20">
        <v>45.75</v>
      </c>
      <c r="BB458" s="6">
        <v>41744</v>
      </c>
      <c r="BD458" s="6">
        <v>41897</v>
      </c>
      <c r="BE458" s="6">
        <v>41912</v>
      </c>
      <c r="BF458" s="6">
        <v>41908</v>
      </c>
      <c r="BK458" s="4" t="s">
        <v>401</v>
      </c>
      <c r="BM458" s="20">
        <v>80</v>
      </c>
      <c r="BN458" s="20">
        <v>0</v>
      </c>
      <c r="BO458" s="20">
        <v>0</v>
      </c>
      <c r="BP458" s="20">
        <v>0</v>
      </c>
      <c r="BQ458" s="20">
        <v>0</v>
      </c>
      <c r="BR458" s="20">
        <v>0</v>
      </c>
      <c r="BS458" s="20">
        <v>80</v>
      </c>
      <c r="BT458" s="20">
        <v>4228900</v>
      </c>
      <c r="BU458" s="20">
        <v>17440000</v>
      </c>
      <c r="BV458" s="20">
        <v>3.749094434615492</v>
      </c>
    </row>
    <row r="459" spans="1:74">
      <c r="A459" s="10">
        <f t="shared" si="30"/>
        <v>0</v>
      </c>
      <c r="B459" s="10">
        <f t="shared" si="31"/>
        <v>0</v>
      </c>
      <c r="C459" s="12">
        <f t="shared" si="32"/>
        <v>4</v>
      </c>
      <c r="D459" s="12">
        <f t="shared" si="33"/>
        <v>9</v>
      </c>
      <c r="E459" s="20" t="s">
        <v>574</v>
      </c>
      <c r="F459" s="20" t="s">
        <v>665</v>
      </c>
      <c r="G459" s="20" t="s">
        <v>666</v>
      </c>
      <c r="H459" s="20" t="s">
        <v>667</v>
      </c>
      <c r="I459" s="20">
        <v>1</v>
      </c>
      <c r="J459" s="20" t="s">
        <v>668</v>
      </c>
      <c r="K459" s="20" t="s">
        <v>682</v>
      </c>
      <c r="L459" s="20" t="s">
        <v>670</v>
      </c>
      <c r="M459" s="20" t="s">
        <v>671</v>
      </c>
      <c r="N459" s="20" t="s">
        <v>672</v>
      </c>
      <c r="P459" s="20" t="s">
        <v>671</v>
      </c>
      <c r="Q459" s="20" t="s">
        <v>673</v>
      </c>
      <c r="R459" s="20" t="s">
        <v>84</v>
      </c>
      <c r="S459" s="20">
        <v>5</v>
      </c>
      <c r="T459" s="20" t="s">
        <v>674</v>
      </c>
      <c r="U459" s="20" t="s">
        <v>675</v>
      </c>
      <c r="V459" s="20" t="s">
        <v>87</v>
      </c>
      <c r="W459" s="20">
        <v>502</v>
      </c>
      <c r="X459" s="20">
        <v>502</v>
      </c>
      <c r="Y459" s="20" t="s">
        <v>676</v>
      </c>
      <c r="Z459" s="20">
        <v>8.3333333333333329E-2</v>
      </c>
      <c r="AA459" s="20" t="s">
        <v>677</v>
      </c>
      <c r="AB459" s="20" t="s">
        <v>89</v>
      </c>
      <c r="AC459" s="20" t="s">
        <v>90</v>
      </c>
      <c r="AD459" s="20" t="s">
        <v>678</v>
      </c>
      <c r="AE459" s="20" t="s">
        <v>91</v>
      </c>
      <c r="AF459" s="20">
        <v>0.25</v>
      </c>
      <c r="AH459" s="20">
        <v>1</v>
      </c>
      <c r="AI459" s="4" t="s">
        <v>647</v>
      </c>
      <c r="AJ459" s="20">
        <v>60</v>
      </c>
      <c r="AK459" s="4" t="s">
        <v>679</v>
      </c>
      <c r="AL459" s="4">
        <v>1</v>
      </c>
      <c r="AM459" s="4" t="s">
        <v>130</v>
      </c>
      <c r="AN459" s="4" t="s">
        <v>95</v>
      </c>
      <c r="AO459" s="4" t="s">
        <v>680</v>
      </c>
      <c r="AP459" s="4">
        <v>1</v>
      </c>
      <c r="AQ459" s="20">
        <v>218000</v>
      </c>
      <c r="AR459" s="4">
        <v>41801</v>
      </c>
      <c r="AS459" s="20">
        <v>44040.404040404042</v>
      </c>
      <c r="AT459" s="20">
        <v>52861.25</v>
      </c>
      <c r="AU459" s="20">
        <v>8820.8459595959575</v>
      </c>
      <c r="AW459" s="20">
        <v>20</v>
      </c>
      <c r="AY459" s="20">
        <v>20</v>
      </c>
      <c r="AZ459" s="20">
        <v>45.75</v>
      </c>
      <c r="BB459" s="6">
        <v>41744</v>
      </c>
      <c r="BD459" s="6">
        <v>41897</v>
      </c>
      <c r="BE459" s="6">
        <v>41912</v>
      </c>
      <c r="BF459" s="6">
        <v>41908</v>
      </c>
      <c r="BK459" s="4" t="s">
        <v>401</v>
      </c>
      <c r="BM459" s="20">
        <v>60</v>
      </c>
      <c r="BN459" s="20">
        <v>0</v>
      </c>
      <c r="BO459" s="20">
        <v>0</v>
      </c>
      <c r="BP459" s="20">
        <v>0</v>
      </c>
      <c r="BQ459" s="20">
        <v>0</v>
      </c>
      <c r="BR459" s="20">
        <v>0</v>
      </c>
      <c r="BS459" s="20">
        <v>60</v>
      </c>
      <c r="BT459" s="20">
        <v>3171675</v>
      </c>
      <c r="BU459" s="20">
        <v>13080000</v>
      </c>
      <c r="BV459" s="20">
        <v>3.7490944346154915</v>
      </c>
    </row>
    <row r="460" spans="1:74">
      <c r="A460" s="10">
        <f t="shared" si="30"/>
        <v>0</v>
      </c>
      <c r="B460" s="10">
        <f t="shared" si="31"/>
        <v>0</v>
      </c>
      <c r="C460" s="12">
        <f t="shared" si="32"/>
        <v>4</v>
      </c>
      <c r="D460" s="12">
        <f t="shared" si="33"/>
        <v>9</v>
      </c>
      <c r="E460" s="20" t="s">
        <v>574</v>
      </c>
      <c r="F460" s="20" t="s">
        <v>665</v>
      </c>
      <c r="G460" s="20" t="s">
        <v>666</v>
      </c>
      <c r="H460" s="20" t="s">
        <v>667</v>
      </c>
      <c r="I460" s="20">
        <v>1</v>
      </c>
      <c r="J460" s="20" t="s">
        <v>668</v>
      </c>
      <c r="K460" s="20" t="s">
        <v>683</v>
      </c>
      <c r="L460" s="20" t="s">
        <v>670</v>
      </c>
      <c r="M460" s="20" t="s">
        <v>671</v>
      </c>
      <c r="N460" s="20" t="s">
        <v>672</v>
      </c>
      <c r="P460" s="20" t="s">
        <v>671</v>
      </c>
      <c r="Q460" s="20" t="s">
        <v>673</v>
      </c>
      <c r="R460" s="20" t="s">
        <v>84</v>
      </c>
      <c r="S460" s="20">
        <v>5</v>
      </c>
      <c r="T460" s="20" t="s">
        <v>674</v>
      </c>
      <c r="U460" s="20" t="s">
        <v>675</v>
      </c>
      <c r="V460" s="20" t="s">
        <v>87</v>
      </c>
      <c r="W460" s="20">
        <v>502</v>
      </c>
      <c r="X460" s="20">
        <v>502</v>
      </c>
      <c r="Y460" s="20" t="s">
        <v>676</v>
      </c>
      <c r="Z460" s="20">
        <v>8.3333333333333329E-2</v>
      </c>
      <c r="AA460" s="20" t="s">
        <v>677</v>
      </c>
      <c r="AB460" s="20" t="s">
        <v>89</v>
      </c>
      <c r="AC460" s="20" t="s">
        <v>90</v>
      </c>
      <c r="AD460" s="20" t="s">
        <v>678</v>
      </c>
      <c r="AE460" s="20" t="s">
        <v>91</v>
      </c>
      <c r="AF460" s="20">
        <v>0.25</v>
      </c>
      <c r="AH460" s="20">
        <v>1</v>
      </c>
      <c r="AI460" s="4" t="s">
        <v>649</v>
      </c>
      <c r="AJ460" s="20">
        <v>50</v>
      </c>
      <c r="AK460" s="4" t="s">
        <v>679</v>
      </c>
      <c r="AL460" s="4">
        <v>1</v>
      </c>
      <c r="AM460" s="4" t="s">
        <v>130</v>
      </c>
      <c r="AN460" s="4" t="s">
        <v>95</v>
      </c>
      <c r="AO460" s="4" t="s">
        <v>680</v>
      </c>
      <c r="AP460" s="4">
        <v>1</v>
      </c>
      <c r="AQ460" s="20">
        <v>218000</v>
      </c>
      <c r="AR460" s="4">
        <v>41801</v>
      </c>
      <c r="AS460" s="20">
        <v>44040.404040404042</v>
      </c>
      <c r="AT460" s="20">
        <v>52861.25</v>
      </c>
      <c r="AU460" s="20">
        <v>8820.8459595959575</v>
      </c>
      <c r="AW460" s="20">
        <v>20</v>
      </c>
      <c r="AY460" s="20">
        <v>20</v>
      </c>
      <c r="AZ460" s="20">
        <v>45.75</v>
      </c>
      <c r="BB460" s="6">
        <v>41744</v>
      </c>
      <c r="BD460" s="6">
        <v>41897</v>
      </c>
      <c r="BE460" s="6">
        <v>41912</v>
      </c>
      <c r="BF460" s="6">
        <v>41908</v>
      </c>
      <c r="BK460" s="4" t="s">
        <v>401</v>
      </c>
      <c r="BM460" s="20">
        <v>50</v>
      </c>
      <c r="BN460" s="20">
        <v>0</v>
      </c>
      <c r="BO460" s="20">
        <v>0</v>
      </c>
      <c r="BP460" s="20">
        <v>0</v>
      </c>
      <c r="BQ460" s="20">
        <v>0</v>
      </c>
      <c r="BR460" s="20">
        <v>0</v>
      </c>
      <c r="BS460" s="20">
        <v>50</v>
      </c>
      <c r="BT460" s="20">
        <v>2643062.5</v>
      </c>
      <c r="BU460" s="20">
        <v>10900000</v>
      </c>
      <c r="BV460" s="20">
        <v>3.7490944346154915</v>
      </c>
    </row>
    <row r="461" spans="1:74">
      <c r="A461" s="10">
        <f t="shared" si="30"/>
        <v>0</v>
      </c>
      <c r="B461" s="10">
        <f t="shared" si="31"/>
        <v>0</v>
      </c>
      <c r="C461" s="12">
        <f t="shared" si="32"/>
        <v>4</v>
      </c>
      <c r="D461" s="12">
        <f t="shared" si="33"/>
        <v>9</v>
      </c>
      <c r="E461" s="20" t="s">
        <v>574</v>
      </c>
      <c r="F461" s="20" t="s">
        <v>665</v>
      </c>
      <c r="G461" s="20" t="s">
        <v>666</v>
      </c>
      <c r="H461" s="20" t="s">
        <v>684</v>
      </c>
      <c r="I461" s="20">
        <v>2</v>
      </c>
      <c r="J461" s="20" t="s">
        <v>685</v>
      </c>
      <c r="K461" s="20" t="s">
        <v>686</v>
      </c>
      <c r="L461" s="20" t="s">
        <v>670</v>
      </c>
      <c r="M461" s="20" t="s">
        <v>671</v>
      </c>
      <c r="N461" s="20" t="s">
        <v>672</v>
      </c>
      <c r="P461" s="20" t="s">
        <v>671</v>
      </c>
      <c r="Q461" s="20" t="s">
        <v>673</v>
      </c>
      <c r="R461" s="20" t="s">
        <v>84</v>
      </c>
      <c r="S461" s="20">
        <v>5</v>
      </c>
      <c r="T461" s="20" t="s">
        <v>674</v>
      </c>
      <c r="U461" s="20" t="s">
        <v>675</v>
      </c>
      <c r="V461" s="20" t="s">
        <v>87</v>
      </c>
      <c r="W461" s="20">
        <v>502</v>
      </c>
      <c r="X461" s="20">
        <v>502</v>
      </c>
      <c r="Y461" s="20" t="s">
        <v>676</v>
      </c>
      <c r="Z461" s="20">
        <v>8.3333333333333329E-2</v>
      </c>
      <c r="AA461" s="20" t="s">
        <v>687</v>
      </c>
      <c r="AB461" s="20" t="s">
        <v>279</v>
      </c>
      <c r="AC461" s="20" t="s">
        <v>280</v>
      </c>
      <c r="AD461" s="20" t="s">
        <v>688</v>
      </c>
      <c r="AE461" s="20" t="s">
        <v>91</v>
      </c>
      <c r="AF461" s="20">
        <v>0.25</v>
      </c>
      <c r="AH461" s="20">
        <v>1</v>
      </c>
      <c r="AI461" s="4" t="s">
        <v>643</v>
      </c>
      <c r="AJ461" s="20">
        <v>60</v>
      </c>
      <c r="AK461" s="4" t="s">
        <v>679</v>
      </c>
      <c r="AL461" s="4">
        <v>1</v>
      </c>
      <c r="AM461" s="4" t="s">
        <v>130</v>
      </c>
      <c r="AN461" s="4" t="s">
        <v>95</v>
      </c>
      <c r="AO461" s="4" t="s">
        <v>680</v>
      </c>
      <c r="AP461" s="4">
        <v>1</v>
      </c>
      <c r="AQ461" s="20">
        <v>218000</v>
      </c>
      <c r="AR461" s="4">
        <v>41801</v>
      </c>
      <c r="AS461" s="20">
        <v>44040.404040404042</v>
      </c>
      <c r="AT461" s="20">
        <v>52861.25</v>
      </c>
      <c r="AU461" s="20">
        <v>8820.8459595959575</v>
      </c>
      <c r="AW461" s="20">
        <v>20</v>
      </c>
      <c r="AY461" s="20">
        <v>20</v>
      </c>
      <c r="AZ461" s="20">
        <v>45.75</v>
      </c>
      <c r="BB461" s="6">
        <v>41744</v>
      </c>
      <c r="BD461" s="6">
        <v>41897</v>
      </c>
      <c r="BE461" s="6">
        <v>41912</v>
      </c>
      <c r="BF461" s="6">
        <v>41908</v>
      </c>
      <c r="BK461" s="4" t="s">
        <v>401</v>
      </c>
      <c r="BM461" s="20">
        <v>60</v>
      </c>
      <c r="BN461" s="20">
        <v>0</v>
      </c>
      <c r="BO461" s="20">
        <v>0</v>
      </c>
      <c r="BP461" s="20">
        <v>0</v>
      </c>
      <c r="BQ461" s="20">
        <v>0</v>
      </c>
      <c r="BR461" s="20">
        <v>0</v>
      </c>
      <c r="BS461" s="20">
        <v>60</v>
      </c>
      <c r="BT461" s="20">
        <v>3171675</v>
      </c>
      <c r="BU461" s="20">
        <v>13080000</v>
      </c>
      <c r="BV461" s="20">
        <v>3.7490944346154915</v>
      </c>
    </row>
    <row r="462" spans="1:74">
      <c r="A462" s="10">
        <f t="shared" si="30"/>
        <v>0</v>
      </c>
      <c r="B462" s="10">
        <f t="shared" si="31"/>
        <v>0</v>
      </c>
      <c r="C462" s="12">
        <f t="shared" si="32"/>
        <v>4</v>
      </c>
      <c r="D462" s="12">
        <f t="shared" si="33"/>
        <v>9</v>
      </c>
      <c r="E462" s="20" t="s">
        <v>574</v>
      </c>
      <c r="F462" s="20" t="s">
        <v>665</v>
      </c>
      <c r="G462" s="20" t="s">
        <v>666</v>
      </c>
      <c r="H462" s="20" t="s">
        <v>684</v>
      </c>
      <c r="I462" s="20">
        <v>2</v>
      </c>
      <c r="J462" s="20" t="s">
        <v>685</v>
      </c>
      <c r="K462" s="20" t="s">
        <v>689</v>
      </c>
      <c r="L462" s="20" t="s">
        <v>670</v>
      </c>
      <c r="M462" s="20" t="s">
        <v>671</v>
      </c>
      <c r="N462" s="20" t="s">
        <v>672</v>
      </c>
      <c r="P462" s="20" t="s">
        <v>671</v>
      </c>
      <c r="Q462" s="20" t="s">
        <v>673</v>
      </c>
      <c r="R462" s="20" t="s">
        <v>84</v>
      </c>
      <c r="S462" s="20">
        <v>5</v>
      </c>
      <c r="T462" s="20" t="s">
        <v>674</v>
      </c>
      <c r="U462" s="20" t="s">
        <v>675</v>
      </c>
      <c r="V462" s="20" t="s">
        <v>87</v>
      </c>
      <c r="W462" s="20">
        <v>502</v>
      </c>
      <c r="X462" s="20">
        <v>502</v>
      </c>
      <c r="Y462" s="20" t="s">
        <v>676</v>
      </c>
      <c r="Z462" s="20">
        <v>8.3333333333333329E-2</v>
      </c>
      <c r="AA462" s="20" t="s">
        <v>687</v>
      </c>
      <c r="AB462" s="20" t="s">
        <v>279</v>
      </c>
      <c r="AC462" s="20" t="s">
        <v>280</v>
      </c>
      <c r="AD462" s="20" t="s">
        <v>688</v>
      </c>
      <c r="AE462" s="20" t="s">
        <v>91</v>
      </c>
      <c r="AF462" s="20">
        <v>0.25</v>
      </c>
      <c r="AH462" s="20">
        <v>1</v>
      </c>
      <c r="AI462" s="4" t="s">
        <v>645</v>
      </c>
      <c r="AJ462" s="20">
        <v>80</v>
      </c>
      <c r="AK462" s="4" t="s">
        <v>679</v>
      </c>
      <c r="AL462" s="4">
        <v>1</v>
      </c>
      <c r="AM462" s="4" t="s">
        <v>130</v>
      </c>
      <c r="AN462" s="4" t="s">
        <v>95</v>
      </c>
      <c r="AO462" s="4" t="s">
        <v>680</v>
      </c>
      <c r="AP462" s="4">
        <v>1</v>
      </c>
      <c r="AQ462" s="20">
        <v>218000</v>
      </c>
      <c r="AR462" s="4">
        <v>41801</v>
      </c>
      <c r="AS462" s="20">
        <v>44040.404040404042</v>
      </c>
      <c r="AT462" s="20">
        <v>52861.25</v>
      </c>
      <c r="AU462" s="20">
        <v>8820.8459595959575</v>
      </c>
      <c r="AW462" s="20">
        <v>20</v>
      </c>
      <c r="AY462" s="20">
        <v>20</v>
      </c>
      <c r="AZ462" s="20">
        <v>45.75</v>
      </c>
      <c r="BB462" s="6">
        <v>41744</v>
      </c>
      <c r="BD462" s="6">
        <v>41897</v>
      </c>
      <c r="BE462" s="6">
        <v>41912</v>
      </c>
      <c r="BF462" s="6">
        <v>41908</v>
      </c>
      <c r="BK462" s="4" t="s">
        <v>401</v>
      </c>
      <c r="BM462" s="20">
        <v>80</v>
      </c>
      <c r="BN462" s="20">
        <v>0</v>
      </c>
      <c r="BO462" s="20">
        <v>0</v>
      </c>
      <c r="BP462" s="20">
        <v>0</v>
      </c>
      <c r="BQ462" s="20">
        <v>0</v>
      </c>
      <c r="BR462" s="20">
        <v>0</v>
      </c>
      <c r="BS462" s="20">
        <v>80</v>
      </c>
      <c r="BT462" s="20">
        <v>4228900</v>
      </c>
      <c r="BU462" s="20">
        <v>17440000</v>
      </c>
      <c r="BV462" s="20">
        <v>3.749094434615492</v>
      </c>
    </row>
    <row r="463" spans="1:74">
      <c r="A463" s="10">
        <f t="shared" si="30"/>
        <v>0</v>
      </c>
      <c r="B463" s="10">
        <f t="shared" si="31"/>
        <v>0</v>
      </c>
      <c r="C463" s="12">
        <f t="shared" si="32"/>
        <v>4</v>
      </c>
      <c r="D463" s="12">
        <f t="shared" si="33"/>
        <v>9</v>
      </c>
      <c r="E463" s="20" t="s">
        <v>574</v>
      </c>
      <c r="F463" s="20" t="s">
        <v>665</v>
      </c>
      <c r="G463" s="20" t="s">
        <v>666</v>
      </c>
      <c r="H463" s="20" t="s">
        <v>684</v>
      </c>
      <c r="I463" s="20">
        <v>2</v>
      </c>
      <c r="J463" s="20" t="s">
        <v>685</v>
      </c>
      <c r="K463" s="20" t="s">
        <v>690</v>
      </c>
      <c r="L463" s="20" t="s">
        <v>670</v>
      </c>
      <c r="M463" s="20" t="s">
        <v>671</v>
      </c>
      <c r="N463" s="20" t="s">
        <v>672</v>
      </c>
      <c r="P463" s="20" t="s">
        <v>671</v>
      </c>
      <c r="Q463" s="20" t="s">
        <v>673</v>
      </c>
      <c r="R463" s="20" t="s">
        <v>84</v>
      </c>
      <c r="S463" s="20">
        <v>5</v>
      </c>
      <c r="T463" s="20" t="s">
        <v>674</v>
      </c>
      <c r="U463" s="20" t="s">
        <v>675</v>
      </c>
      <c r="V463" s="20" t="s">
        <v>87</v>
      </c>
      <c r="W463" s="20">
        <v>502</v>
      </c>
      <c r="X463" s="20">
        <v>502</v>
      </c>
      <c r="Y463" s="20" t="s">
        <v>676</v>
      </c>
      <c r="Z463" s="20">
        <v>8.3333333333333329E-2</v>
      </c>
      <c r="AA463" s="20" t="s">
        <v>687</v>
      </c>
      <c r="AB463" s="20" t="s">
        <v>279</v>
      </c>
      <c r="AC463" s="20" t="s">
        <v>280</v>
      </c>
      <c r="AD463" s="20" t="s">
        <v>688</v>
      </c>
      <c r="AE463" s="20" t="s">
        <v>91</v>
      </c>
      <c r="AF463" s="20">
        <v>0.25</v>
      </c>
      <c r="AH463" s="20">
        <v>1</v>
      </c>
      <c r="AI463" s="4" t="s">
        <v>647</v>
      </c>
      <c r="AJ463" s="20">
        <v>60</v>
      </c>
      <c r="AK463" s="4" t="s">
        <v>679</v>
      </c>
      <c r="AL463" s="4">
        <v>1</v>
      </c>
      <c r="AM463" s="4" t="s">
        <v>130</v>
      </c>
      <c r="AN463" s="4" t="s">
        <v>95</v>
      </c>
      <c r="AO463" s="4" t="s">
        <v>680</v>
      </c>
      <c r="AP463" s="4">
        <v>1</v>
      </c>
      <c r="AQ463" s="20">
        <v>218000</v>
      </c>
      <c r="AR463" s="4">
        <v>41801</v>
      </c>
      <c r="AS463" s="20">
        <v>44040.404040404042</v>
      </c>
      <c r="AT463" s="20">
        <v>52861.25</v>
      </c>
      <c r="AU463" s="20">
        <v>8820.8459595959575</v>
      </c>
      <c r="AW463" s="20">
        <v>20</v>
      </c>
      <c r="AY463" s="20">
        <v>20</v>
      </c>
      <c r="AZ463" s="20">
        <v>45.75</v>
      </c>
      <c r="BB463" s="6">
        <v>41744</v>
      </c>
      <c r="BD463" s="6">
        <v>41897</v>
      </c>
      <c r="BE463" s="6">
        <v>41912</v>
      </c>
      <c r="BF463" s="6">
        <v>41908</v>
      </c>
      <c r="BK463" s="4" t="s">
        <v>401</v>
      </c>
      <c r="BM463" s="20">
        <v>60</v>
      </c>
      <c r="BN463" s="20">
        <v>0</v>
      </c>
      <c r="BO463" s="20">
        <v>0</v>
      </c>
      <c r="BP463" s="20">
        <v>0</v>
      </c>
      <c r="BQ463" s="20">
        <v>0</v>
      </c>
      <c r="BR463" s="20">
        <v>0</v>
      </c>
      <c r="BS463" s="20">
        <v>60</v>
      </c>
      <c r="BT463" s="20">
        <v>3171675</v>
      </c>
      <c r="BU463" s="20">
        <v>13080000</v>
      </c>
      <c r="BV463" s="20">
        <v>3.7490944346154915</v>
      </c>
    </row>
    <row r="464" spans="1:74">
      <c r="A464" s="10">
        <f t="shared" si="30"/>
        <v>0</v>
      </c>
      <c r="B464" s="10">
        <f t="shared" si="31"/>
        <v>0</v>
      </c>
      <c r="C464" s="12">
        <f t="shared" si="32"/>
        <v>4</v>
      </c>
      <c r="D464" s="12">
        <f t="shared" si="33"/>
        <v>9</v>
      </c>
      <c r="E464" s="20" t="s">
        <v>574</v>
      </c>
      <c r="F464" s="20" t="s">
        <v>665</v>
      </c>
      <c r="G464" s="20" t="s">
        <v>666</v>
      </c>
      <c r="H464" s="20" t="s">
        <v>684</v>
      </c>
      <c r="I464" s="20">
        <v>2</v>
      </c>
      <c r="J464" s="20" t="s">
        <v>685</v>
      </c>
      <c r="K464" s="20" t="s">
        <v>691</v>
      </c>
      <c r="L464" s="20" t="s">
        <v>670</v>
      </c>
      <c r="M464" s="20" t="s">
        <v>671</v>
      </c>
      <c r="N464" s="20" t="s">
        <v>672</v>
      </c>
      <c r="P464" s="20" t="s">
        <v>671</v>
      </c>
      <c r="Q464" s="20" t="s">
        <v>673</v>
      </c>
      <c r="R464" s="20" t="s">
        <v>84</v>
      </c>
      <c r="S464" s="20">
        <v>5</v>
      </c>
      <c r="T464" s="20" t="s">
        <v>674</v>
      </c>
      <c r="U464" s="20" t="s">
        <v>675</v>
      </c>
      <c r="V464" s="20" t="s">
        <v>87</v>
      </c>
      <c r="W464" s="20">
        <v>502</v>
      </c>
      <c r="X464" s="20">
        <v>502</v>
      </c>
      <c r="Y464" s="20" t="s">
        <v>676</v>
      </c>
      <c r="Z464" s="20">
        <v>8.3333333333333329E-2</v>
      </c>
      <c r="AA464" s="20" t="s">
        <v>687</v>
      </c>
      <c r="AB464" s="20" t="s">
        <v>279</v>
      </c>
      <c r="AC464" s="20" t="s">
        <v>280</v>
      </c>
      <c r="AD464" s="20" t="s">
        <v>688</v>
      </c>
      <c r="AE464" s="20" t="s">
        <v>91</v>
      </c>
      <c r="AF464" s="20">
        <v>0.25</v>
      </c>
      <c r="AH464" s="20">
        <v>1</v>
      </c>
      <c r="AI464" s="4" t="s">
        <v>649</v>
      </c>
      <c r="AJ464" s="20">
        <v>50</v>
      </c>
      <c r="AK464" s="4" t="s">
        <v>679</v>
      </c>
      <c r="AL464" s="4">
        <v>1</v>
      </c>
      <c r="AM464" s="4" t="s">
        <v>130</v>
      </c>
      <c r="AN464" s="4" t="s">
        <v>95</v>
      </c>
      <c r="AO464" s="4" t="s">
        <v>680</v>
      </c>
      <c r="AP464" s="4">
        <v>1</v>
      </c>
      <c r="AQ464" s="20">
        <v>218000</v>
      </c>
      <c r="AR464" s="4">
        <v>41801</v>
      </c>
      <c r="AS464" s="20">
        <v>44040.404040404042</v>
      </c>
      <c r="AT464" s="20">
        <v>52861.25</v>
      </c>
      <c r="AU464" s="20">
        <v>8820.8459595959575</v>
      </c>
      <c r="AW464" s="20">
        <v>20</v>
      </c>
      <c r="AY464" s="20">
        <v>20</v>
      </c>
      <c r="AZ464" s="20">
        <v>45.75</v>
      </c>
      <c r="BB464" s="6">
        <v>41744</v>
      </c>
      <c r="BD464" s="6">
        <v>41897</v>
      </c>
      <c r="BE464" s="6">
        <v>41912</v>
      </c>
      <c r="BF464" s="6">
        <v>41908</v>
      </c>
      <c r="BK464" s="4" t="s">
        <v>401</v>
      </c>
      <c r="BM464" s="20">
        <v>50</v>
      </c>
      <c r="BN464" s="20">
        <v>0</v>
      </c>
      <c r="BO464" s="20">
        <v>0</v>
      </c>
      <c r="BP464" s="20">
        <v>0</v>
      </c>
      <c r="BQ464" s="20">
        <v>0</v>
      </c>
      <c r="BR464" s="20">
        <v>0</v>
      </c>
      <c r="BS464" s="20">
        <v>50</v>
      </c>
      <c r="BT464" s="20">
        <v>2643062.5</v>
      </c>
      <c r="BU464" s="20">
        <v>10900000</v>
      </c>
      <c r="BV464" s="20">
        <v>3.7490944346154915</v>
      </c>
    </row>
    <row r="465" spans="1:74">
      <c r="A465" s="10">
        <f t="shared" si="30"/>
        <v>0</v>
      </c>
      <c r="B465" s="10">
        <f t="shared" si="31"/>
        <v>0</v>
      </c>
      <c r="C465" s="12">
        <f t="shared" si="32"/>
        <v>4</v>
      </c>
      <c r="D465" s="12">
        <f t="shared" si="33"/>
        <v>9</v>
      </c>
      <c r="E465" s="20" t="s">
        <v>574</v>
      </c>
      <c r="F465" s="20" t="s">
        <v>665</v>
      </c>
      <c r="G465" s="20" t="s">
        <v>666</v>
      </c>
      <c r="H465" s="20" t="s">
        <v>692</v>
      </c>
      <c r="I465" s="20">
        <v>3</v>
      </c>
      <c r="J465" s="20" t="s">
        <v>693</v>
      </c>
      <c r="K465" s="20" t="s">
        <v>694</v>
      </c>
      <c r="L465" s="20" t="s">
        <v>670</v>
      </c>
      <c r="M465" s="20" t="s">
        <v>671</v>
      </c>
      <c r="N465" s="20" t="s">
        <v>672</v>
      </c>
      <c r="P465" s="20" t="s">
        <v>671</v>
      </c>
      <c r="Q465" s="20" t="s">
        <v>673</v>
      </c>
      <c r="R465" s="20" t="s">
        <v>84</v>
      </c>
      <c r="S465" s="20">
        <v>5</v>
      </c>
      <c r="T465" s="20" t="s">
        <v>674</v>
      </c>
      <c r="U465" s="20" t="s">
        <v>675</v>
      </c>
      <c r="V465" s="20" t="s">
        <v>87</v>
      </c>
      <c r="W465" s="20">
        <v>502</v>
      </c>
      <c r="X465" s="20">
        <v>502</v>
      </c>
      <c r="Y465" s="20" t="s">
        <v>676</v>
      </c>
      <c r="Z465" s="20">
        <v>8.3333333333333329E-2</v>
      </c>
      <c r="AA465" s="20" t="s">
        <v>695</v>
      </c>
      <c r="AB465" s="20" t="s">
        <v>139</v>
      </c>
      <c r="AC465" s="20" t="s">
        <v>140</v>
      </c>
      <c r="AD465" s="20" t="s">
        <v>696</v>
      </c>
      <c r="AE465" s="20" t="s">
        <v>91</v>
      </c>
      <c r="AF465" s="20">
        <v>0.25</v>
      </c>
      <c r="AH465" s="20">
        <v>1</v>
      </c>
      <c r="AI465" s="4" t="s">
        <v>643</v>
      </c>
      <c r="AJ465" s="20">
        <v>60</v>
      </c>
      <c r="AK465" s="4" t="s">
        <v>679</v>
      </c>
      <c r="AL465" s="4">
        <v>1</v>
      </c>
      <c r="AM465" s="4" t="s">
        <v>130</v>
      </c>
      <c r="AN465" s="4" t="s">
        <v>95</v>
      </c>
      <c r="AO465" s="4" t="s">
        <v>680</v>
      </c>
      <c r="AP465" s="4">
        <v>1</v>
      </c>
      <c r="AQ465" s="20">
        <v>218000</v>
      </c>
      <c r="AR465" s="4">
        <v>41801</v>
      </c>
      <c r="AS465" s="20">
        <v>44040.404040404042</v>
      </c>
      <c r="AT465" s="20">
        <v>52861.25</v>
      </c>
      <c r="AU465" s="20">
        <v>8820.8459595959575</v>
      </c>
      <c r="AW465" s="20">
        <v>20</v>
      </c>
      <c r="AY465" s="20">
        <v>20</v>
      </c>
      <c r="AZ465" s="20">
        <v>45.75</v>
      </c>
      <c r="BB465" s="6">
        <v>41744</v>
      </c>
      <c r="BD465" s="6">
        <v>41897</v>
      </c>
      <c r="BE465" s="6">
        <v>41912</v>
      </c>
      <c r="BF465" s="6">
        <v>41908</v>
      </c>
      <c r="BK465" s="4" t="s">
        <v>401</v>
      </c>
      <c r="BM465" s="20">
        <v>60</v>
      </c>
      <c r="BN465" s="20">
        <v>0</v>
      </c>
      <c r="BO465" s="20">
        <v>0</v>
      </c>
      <c r="BP465" s="20">
        <v>0</v>
      </c>
      <c r="BQ465" s="20">
        <v>0</v>
      </c>
      <c r="BR465" s="20">
        <v>0</v>
      </c>
      <c r="BS465" s="20">
        <v>60</v>
      </c>
      <c r="BT465" s="20">
        <v>3171675</v>
      </c>
      <c r="BU465" s="20">
        <v>13080000</v>
      </c>
      <c r="BV465" s="20">
        <v>3.7490944346154915</v>
      </c>
    </row>
    <row r="466" spans="1:74">
      <c r="A466" s="10">
        <f t="shared" si="30"/>
        <v>0</v>
      </c>
      <c r="B466" s="10">
        <f t="shared" si="31"/>
        <v>0</v>
      </c>
      <c r="C466" s="12">
        <f t="shared" si="32"/>
        <v>4</v>
      </c>
      <c r="D466" s="12">
        <f t="shared" si="33"/>
        <v>9</v>
      </c>
      <c r="E466" s="20" t="s">
        <v>574</v>
      </c>
      <c r="F466" s="20" t="s">
        <v>665</v>
      </c>
      <c r="G466" s="20" t="s">
        <v>666</v>
      </c>
      <c r="H466" s="20" t="s">
        <v>692</v>
      </c>
      <c r="I466" s="20">
        <v>3</v>
      </c>
      <c r="J466" s="20" t="s">
        <v>693</v>
      </c>
      <c r="K466" s="20" t="s">
        <v>697</v>
      </c>
      <c r="L466" s="20" t="s">
        <v>670</v>
      </c>
      <c r="M466" s="20" t="s">
        <v>671</v>
      </c>
      <c r="N466" s="20" t="s">
        <v>672</v>
      </c>
      <c r="P466" s="20" t="s">
        <v>671</v>
      </c>
      <c r="Q466" s="20" t="s">
        <v>673</v>
      </c>
      <c r="R466" s="20" t="s">
        <v>84</v>
      </c>
      <c r="S466" s="20">
        <v>5</v>
      </c>
      <c r="T466" s="20" t="s">
        <v>674</v>
      </c>
      <c r="U466" s="20" t="s">
        <v>675</v>
      </c>
      <c r="V466" s="20" t="s">
        <v>87</v>
      </c>
      <c r="W466" s="20">
        <v>502</v>
      </c>
      <c r="X466" s="20">
        <v>502</v>
      </c>
      <c r="Y466" s="20" t="s">
        <v>676</v>
      </c>
      <c r="Z466" s="20">
        <v>8.3333333333333329E-2</v>
      </c>
      <c r="AA466" s="20" t="s">
        <v>695</v>
      </c>
      <c r="AB466" s="20" t="s">
        <v>139</v>
      </c>
      <c r="AC466" s="20" t="s">
        <v>140</v>
      </c>
      <c r="AD466" s="20" t="s">
        <v>696</v>
      </c>
      <c r="AE466" s="20" t="s">
        <v>91</v>
      </c>
      <c r="AF466" s="20">
        <v>0.25</v>
      </c>
      <c r="AH466" s="20">
        <v>1</v>
      </c>
      <c r="AI466" s="4" t="s">
        <v>645</v>
      </c>
      <c r="AJ466" s="20">
        <v>80</v>
      </c>
      <c r="AK466" s="4" t="s">
        <v>679</v>
      </c>
      <c r="AL466" s="4">
        <v>1</v>
      </c>
      <c r="AM466" s="4" t="s">
        <v>130</v>
      </c>
      <c r="AN466" s="4" t="s">
        <v>95</v>
      </c>
      <c r="AO466" s="4" t="s">
        <v>680</v>
      </c>
      <c r="AP466" s="4">
        <v>1</v>
      </c>
      <c r="AQ466" s="20">
        <v>218000</v>
      </c>
      <c r="AR466" s="4">
        <v>41801</v>
      </c>
      <c r="AS466" s="20">
        <v>44040.404040404042</v>
      </c>
      <c r="AT466" s="20">
        <v>52861.25</v>
      </c>
      <c r="AU466" s="20">
        <v>8820.8459595959575</v>
      </c>
      <c r="AW466" s="20">
        <v>20</v>
      </c>
      <c r="AY466" s="20">
        <v>20</v>
      </c>
      <c r="AZ466" s="20">
        <v>45.75</v>
      </c>
      <c r="BB466" s="6">
        <v>41744</v>
      </c>
      <c r="BD466" s="6">
        <v>41897</v>
      </c>
      <c r="BE466" s="6">
        <v>41912</v>
      </c>
      <c r="BF466" s="6">
        <v>41908</v>
      </c>
      <c r="BK466" s="4" t="s">
        <v>401</v>
      </c>
      <c r="BM466" s="20">
        <v>79</v>
      </c>
      <c r="BN466" s="20">
        <v>0</v>
      </c>
      <c r="BO466" s="20">
        <v>0</v>
      </c>
      <c r="BP466" s="20">
        <v>0</v>
      </c>
      <c r="BQ466" s="20">
        <v>0</v>
      </c>
      <c r="BR466" s="20">
        <v>0</v>
      </c>
      <c r="BS466" s="20">
        <v>80</v>
      </c>
      <c r="BT466" s="20">
        <v>4228900</v>
      </c>
      <c r="BU466" s="20">
        <v>17440000</v>
      </c>
      <c r="BV466" s="20">
        <v>3.749094434615492</v>
      </c>
    </row>
    <row r="467" spans="1:74">
      <c r="A467" s="10">
        <f t="shared" si="30"/>
        <v>0</v>
      </c>
      <c r="B467" s="10">
        <f t="shared" si="31"/>
        <v>0</v>
      </c>
      <c r="C467" s="12">
        <f t="shared" si="32"/>
        <v>4</v>
      </c>
      <c r="D467" s="12">
        <f t="shared" si="33"/>
        <v>9</v>
      </c>
      <c r="E467" s="20" t="s">
        <v>574</v>
      </c>
      <c r="F467" s="20" t="s">
        <v>665</v>
      </c>
      <c r="G467" s="20" t="s">
        <v>666</v>
      </c>
      <c r="H467" s="20" t="s">
        <v>692</v>
      </c>
      <c r="I467" s="20">
        <v>3</v>
      </c>
      <c r="J467" s="20" t="s">
        <v>693</v>
      </c>
      <c r="K467" s="20" t="s">
        <v>698</v>
      </c>
      <c r="L467" s="20" t="s">
        <v>670</v>
      </c>
      <c r="M467" s="20" t="s">
        <v>671</v>
      </c>
      <c r="N467" s="20" t="s">
        <v>672</v>
      </c>
      <c r="P467" s="20" t="s">
        <v>671</v>
      </c>
      <c r="Q467" s="20" t="s">
        <v>673</v>
      </c>
      <c r="R467" s="20" t="s">
        <v>84</v>
      </c>
      <c r="S467" s="20">
        <v>5</v>
      </c>
      <c r="T467" s="20" t="s">
        <v>674</v>
      </c>
      <c r="U467" s="20" t="s">
        <v>675</v>
      </c>
      <c r="V467" s="20" t="s">
        <v>87</v>
      </c>
      <c r="W467" s="20">
        <v>502</v>
      </c>
      <c r="X467" s="20">
        <v>502</v>
      </c>
      <c r="Y467" s="20" t="s">
        <v>676</v>
      </c>
      <c r="Z467" s="20">
        <v>8.3333333333333329E-2</v>
      </c>
      <c r="AA467" s="20" t="s">
        <v>695</v>
      </c>
      <c r="AB467" s="20" t="s">
        <v>139</v>
      </c>
      <c r="AC467" s="20" t="s">
        <v>140</v>
      </c>
      <c r="AD467" s="20" t="s">
        <v>696</v>
      </c>
      <c r="AE467" s="20" t="s">
        <v>91</v>
      </c>
      <c r="AF467" s="20">
        <v>0.25</v>
      </c>
      <c r="AH467" s="20">
        <v>1</v>
      </c>
      <c r="AI467" s="4" t="s">
        <v>647</v>
      </c>
      <c r="AJ467" s="20">
        <v>60</v>
      </c>
      <c r="AK467" s="4" t="s">
        <v>679</v>
      </c>
      <c r="AL467" s="4">
        <v>1</v>
      </c>
      <c r="AM467" s="4" t="s">
        <v>130</v>
      </c>
      <c r="AN467" s="4" t="s">
        <v>95</v>
      </c>
      <c r="AO467" s="4" t="s">
        <v>680</v>
      </c>
      <c r="AP467" s="4">
        <v>1</v>
      </c>
      <c r="AQ467" s="20">
        <v>218000</v>
      </c>
      <c r="AR467" s="4">
        <v>41801</v>
      </c>
      <c r="AS467" s="20">
        <v>44040.404040404042</v>
      </c>
      <c r="AT467" s="20">
        <v>52861.25</v>
      </c>
      <c r="AU467" s="20">
        <v>8820.8459595959575</v>
      </c>
      <c r="AW467" s="20">
        <v>20</v>
      </c>
      <c r="AY467" s="20">
        <v>20</v>
      </c>
      <c r="AZ467" s="20">
        <v>45.75</v>
      </c>
      <c r="BB467" s="6">
        <v>41744</v>
      </c>
      <c r="BD467" s="6">
        <v>41897</v>
      </c>
      <c r="BE467" s="6">
        <v>41912</v>
      </c>
      <c r="BF467" s="6">
        <v>41908</v>
      </c>
      <c r="BK467" s="4" t="s">
        <v>401</v>
      </c>
      <c r="BM467" s="20">
        <v>60</v>
      </c>
      <c r="BN467" s="20">
        <v>0</v>
      </c>
      <c r="BO467" s="20">
        <v>0</v>
      </c>
      <c r="BP467" s="20">
        <v>0</v>
      </c>
      <c r="BQ467" s="20">
        <v>0</v>
      </c>
      <c r="BR467" s="20">
        <v>0</v>
      </c>
      <c r="BS467" s="20">
        <v>60</v>
      </c>
      <c r="BT467" s="20">
        <v>3171675</v>
      </c>
      <c r="BU467" s="20">
        <v>13080000</v>
      </c>
      <c r="BV467" s="20">
        <v>3.7490944346154915</v>
      </c>
    </row>
    <row r="468" spans="1:74">
      <c r="A468" s="10">
        <f t="shared" si="30"/>
        <v>0</v>
      </c>
      <c r="B468" s="10">
        <f t="shared" si="31"/>
        <v>0</v>
      </c>
      <c r="C468" s="12">
        <f t="shared" si="32"/>
        <v>4</v>
      </c>
      <c r="D468" s="12">
        <f t="shared" si="33"/>
        <v>9</v>
      </c>
      <c r="E468" s="20" t="s">
        <v>574</v>
      </c>
      <c r="F468" s="20" t="s">
        <v>665</v>
      </c>
      <c r="G468" s="20" t="s">
        <v>666</v>
      </c>
      <c r="H468" s="20" t="s">
        <v>692</v>
      </c>
      <c r="I468" s="20">
        <v>3</v>
      </c>
      <c r="J468" s="20" t="s">
        <v>693</v>
      </c>
      <c r="K468" s="20" t="s">
        <v>699</v>
      </c>
      <c r="L468" s="20" t="s">
        <v>670</v>
      </c>
      <c r="M468" s="20" t="s">
        <v>671</v>
      </c>
      <c r="N468" s="20" t="s">
        <v>672</v>
      </c>
      <c r="P468" s="20" t="s">
        <v>671</v>
      </c>
      <c r="Q468" s="20" t="s">
        <v>673</v>
      </c>
      <c r="R468" s="20" t="s">
        <v>84</v>
      </c>
      <c r="S468" s="20">
        <v>5</v>
      </c>
      <c r="T468" s="20" t="s">
        <v>674</v>
      </c>
      <c r="U468" s="20" t="s">
        <v>675</v>
      </c>
      <c r="V468" s="20" t="s">
        <v>87</v>
      </c>
      <c r="W468" s="20">
        <v>502</v>
      </c>
      <c r="X468" s="20">
        <v>502</v>
      </c>
      <c r="Y468" s="20" t="s">
        <v>676</v>
      </c>
      <c r="Z468" s="20">
        <v>8.3333333333333329E-2</v>
      </c>
      <c r="AA468" s="20" t="s">
        <v>695</v>
      </c>
      <c r="AB468" s="20" t="s">
        <v>139</v>
      </c>
      <c r="AC468" s="20" t="s">
        <v>140</v>
      </c>
      <c r="AD468" s="20" t="s">
        <v>696</v>
      </c>
      <c r="AE468" s="20" t="s">
        <v>91</v>
      </c>
      <c r="AF468" s="20">
        <v>0.25</v>
      </c>
      <c r="AH468" s="20">
        <v>1</v>
      </c>
      <c r="AI468" s="4" t="s">
        <v>649</v>
      </c>
      <c r="AJ468" s="20">
        <v>50</v>
      </c>
      <c r="AK468" s="4" t="s">
        <v>679</v>
      </c>
      <c r="AL468" s="4">
        <v>1</v>
      </c>
      <c r="AM468" s="4" t="s">
        <v>130</v>
      </c>
      <c r="AN468" s="4" t="s">
        <v>95</v>
      </c>
      <c r="AO468" s="4" t="s">
        <v>680</v>
      </c>
      <c r="AP468" s="4">
        <v>1</v>
      </c>
      <c r="AQ468" s="20">
        <v>218000</v>
      </c>
      <c r="AR468" s="4">
        <v>41801</v>
      </c>
      <c r="AS468" s="20">
        <v>44040.404040404042</v>
      </c>
      <c r="AT468" s="20">
        <v>52861.25</v>
      </c>
      <c r="AU468" s="20">
        <v>8820.8459595959575</v>
      </c>
      <c r="AW468" s="20">
        <v>20</v>
      </c>
      <c r="AY468" s="20">
        <v>20</v>
      </c>
      <c r="AZ468" s="20">
        <v>45.75</v>
      </c>
      <c r="BB468" s="6">
        <v>41744</v>
      </c>
      <c r="BD468" s="6">
        <v>41897</v>
      </c>
      <c r="BE468" s="6">
        <v>41912</v>
      </c>
      <c r="BF468" s="6">
        <v>41908</v>
      </c>
      <c r="BK468" s="4" t="s">
        <v>401</v>
      </c>
      <c r="BM468" s="20">
        <v>50</v>
      </c>
      <c r="BN468" s="20">
        <v>0</v>
      </c>
      <c r="BO468" s="20">
        <v>0</v>
      </c>
      <c r="BP468" s="20">
        <v>0</v>
      </c>
      <c r="BQ468" s="20">
        <v>0</v>
      </c>
      <c r="BR468" s="20">
        <v>0</v>
      </c>
      <c r="BS468" s="20">
        <v>50</v>
      </c>
      <c r="BT468" s="20">
        <v>2643062.5</v>
      </c>
      <c r="BU468" s="20">
        <v>10900000</v>
      </c>
      <c r="BV468" s="20">
        <v>3.7490944346154915</v>
      </c>
    </row>
    <row r="469" spans="1:74">
      <c r="A469" s="10">
        <f t="shared" si="30"/>
        <v>0</v>
      </c>
      <c r="B469" s="10">
        <f t="shared" si="31"/>
        <v>0</v>
      </c>
      <c r="C469" s="12">
        <f t="shared" si="32"/>
        <v>4</v>
      </c>
      <c r="D469" s="12">
        <f t="shared" si="33"/>
        <v>9</v>
      </c>
      <c r="E469" s="20" t="s">
        <v>574</v>
      </c>
      <c r="F469" s="20" t="s">
        <v>665</v>
      </c>
      <c r="G469" s="20" t="s">
        <v>666</v>
      </c>
      <c r="H469" s="20" t="s">
        <v>2473</v>
      </c>
      <c r="I469" s="20">
        <v>4</v>
      </c>
      <c r="J469" s="20" t="s">
        <v>700</v>
      </c>
      <c r="K469" s="20" t="s">
        <v>2474</v>
      </c>
      <c r="L469" s="20" t="s">
        <v>701</v>
      </c>
      <c r="M469" s="20" t="s">
        <v>671</v>
      </c>
      <c r="N469" s="20" t="s">
        <v>702</v>
      </c>
      <c r="P469" s="20" t="s">
        <v>671</v>
      </c>
      <c r="Q469" s="20" t="s">
        <v>673</v>
      </c>
      <c r="R469" s="20" t="s">
        <v>84</v>
      </c>
      <c r="S469" s="20">
        <v>5</v>
      </c>
      <c r="T469" s="20" t="s">
        <v>762</v>
      </c>
      <c r="U469" s="20" t="s">
        <v>763</v>
      </c>
      <c r="V469" s="20" t="s">
        <v>87</v>
      </c>
      <c r="W469" s="20">
        <v>503</v>
      </c>
      <c r="X469" s="20">
        <v>503</v>
      </c>
      <c r="Y469" s="20" t="s">
        <v>2475</v>
      </c>
      <c r="Z469" s="20">
        <v>0.2</v>
      </c>
      <c r="AA469" s="20" t="s">
        <v>703</v>
      </c>
      <c r="AB469" s="20" t="s">
        <v>248</v>
      </c>
      <c r="AC469" s="20" t="s">
        <v>249</v>
      </c>
      <c r="AD469" s="20" t="s">
        <v>2476</v>
      </c>
      <c r="AE469" s="20" t="s">
        <v>91</v>
      </c>
      <c r="AF469" s="20">
        <v>0.2</v>
      </c>
      <c r="AH469" s="20">
        <v>1</v>
      </c>
      <c r="AI469" s="4" t="s">
        <v>643</v>
      </c>
      <c r="AJ469" s="20">
        <v>70</v>
      </c>
      <c r="AK469" s="4" t="s">
        <v>679</v>
      </c>
      <c r="AL469" s="4">
        <v>1</v>
      </c>
      <c r="AM469" s="4" t="s">
        <v>130</v>
      </c>
      <c r="AN469" s="4" t="s">
        <v>95</v>
      </c>
      <c r="AO469" s="4" t="s">
        <v>680</v>
      </c>
      <c r="AP469" s="4">
        <v>1</v>
      </c>
      <c r="AQ469" s="20">
        <v>89000</v>
      </c>
      <c r="AR469" s="4">
        <v>41801</v>
      </c>
      <c r="AS469" s="20">
        <v>17979.797979797979</v>
      </c>
      <c r="AT469" s="20">
        <v>20290.250000000004</v>
      </c>
      <c r="AU469" s="20">
        <v>2310.4520202020249</v>
      </c>
      <c r="AW469" s="20">
        <v>20</v>
      </c>
      <c r="AY469" s="20">
        <v>20</v>
      </c>
      <c r="AZ469" s="20">
        <v>17.55</v>
      </c>
      <c r="BB469" s="6">
        <v>41744</v>
      </c>
      <c r="BD469" s="6">
        <v>41897</v>
      </c>
      <c r="BE469" s="6">
        <v>41912</v>
      </c>
      <c r="BF469" s="6">
        <v>41908</v>
      </c>
      <c r="BK469" s="4" t="s">
        <v>401</v>
      </c>
      <c r="BM469" s="20">
        <v>70</v>
      </c>
      <c r="BN469" s="20">
        <v>0</v>
      </c>
      <c r="BO469" s="20">
        <v>0</v>
      </c>
      <c r="BP469" s="20">
        <v>0</v>
      </c>
      <c r="BQ469" s="20">
        <v>0</v>
      </c>
      <c r="BR469" s="20">
        <v>0</v>
      </c>
      <c r="BS469" s="20">
        <v>70</v>
      </c>
      <c r="BT469" s="20">
        <v>1420317.5000000002</v>
      </c>
      <c r="BU469" s="20">
        <v>6230000</v>
      </c>
      <c r="BV469" s="20">
        <v>3.987584722173994</v>
      </c>
    </row>
    <row r="470" spans="1:74">
      <c r="A470" s="10">
        <f t="shared" si="30"/>
        <v>0</v>
      </c>
      <c r="B470" s="10">
        <f t="shared" si="31"/>
        <v>0</v>
      </c>
      <c r="C470" s="12">
        <f t="shared" si="32"/>
        <v>4</v>
      </c>
      <c r="D470" s="12">
        <f t="shared" si="33"/>
        <v>9</v>
      </c>
      <c r="E470" s="20" t="s">
        <v>574</v>
      </c>
      <c r="F470" s="20" t="s">
        <v>665</v>
      </c>
      <c r="G470" s="20" t="s">
        <v>666</v>
      </c>
      <c r="H470" s="20" t="s">
        <v>2473</v>
      </c>
      <c r="I470" s="20">
        <v>4</v>
      </c>
      <c r="J470" s="20" t="s">
        <v>700</v>
      </c>
      <c r="K470" s="20" t="s">
        <v>2477</v>
      </c>
      <c r="L470" s="20" t="s">
        <v>701</v>
      </c>
      <c r="M470" s="20" t="s">
        <v>671</v>
      </c>
      <c r="N470" s="20" t="s">
        <v>702</v>
      </c>
      <c r="P470" s="20" t="s">
        <v>671</v>
      </c>
      <c r="Q470" s="20" t="s">
        <v>673</v>
      </c>
      <c r="R470" s="20" t="s">
        <v>84</v>
      </c>
      <c r="S470" s="20">
        <v>5</v>
      </c>
      <c r="T470" s="20" t="s">
        <v>762</v>
      </c>
      <c r="U470" s="20" t="s">
        <v>763</v>
      </c>
      <c r="V470" s="20" t="s">
        <v>87</v>
      </c>
      <c r="W470" s="20">
        <v>503</v>
      </c>
      <c r="X470" s="20">
        <v>503</v>
      </c>
      <c r="Y470" s="20" t="s">
        <v>2475</v>
      </c>
      <c r="Z470" s="20">
        <v>0.2</v>
      </c>
      <c r="AA470" s="20" t="s">
        <v>703</v>
      </c>
      <c r="AB470" s="20" t="s">
        <v>248</v>
      </c>
      <c r="AC470" s="20" t="s">
        <v>249</v>
      </c>
      <c r="AD470" s="20" t="s">
        <v>2476</v>
      </c>
      <c r="AE470" s="20" t="s">
        <v>91</v>
      </c>
      <c r="AF470" s="20">
        <v>0.2</v>
      </c>
      <c r="AH470" s="20">
        <v>1</v>
      </c>
      <c r="AI470" s="4" t="s">
        <v>645</v>
      </c>
      <c r="AJ470" s="20">
        <v>70</v>
      </c>
      <c r="AK470" s="4" t="s">
        <v>679</v>
      </c>
      <c r="AL470" s="4">
        <v>1</v>
      </c>
      <c r="AM470" s="4" t="s">
        <v>130</v>
      </c>
      <c r="AN470" s="4" t="s">
        <v>95</v>
      </c>
      <c r="AO470" s="4" t="s">
        <v>680</v>
      </c>
      <c r="AP470" s="4">
        <v>1</v>
      </c>
      <c r="AQ470" s="20">
        <v>89000</v>
      </c>
      <c r="AR470" s="4">
        <v>41801</v>
      </c>
      <c r="AS470" s="20">
        <v>17979.797979797979</v>
      </c>
      <c r="AT470" s="20">
        <v>20290.250000000004</v>
      </c>
      <c r="AU470" s="20">
        <v>2310.4520202020249</v>
      </c>
      <c r="AW470" s="20">
        <v>20</v>
      </c>
      <c r="AY470" s="20">
        <v>20</v>
      </c>
      <c r="AZ470" s="20">
        <v>17.55</v>
      </c>
      <c r="BB470" s="6">
        <v>41744</v>
      </c>
      <c r="BD470" s="6">
        <v>41897</v>
      </c>
      <c r="BE470" s="6">
        <v>41912</v>
      </c>
      <c r="BF470" s="6">
        <v>41908</v>
      </c>
      <c r="BK470" s="4" t="s">
        <v>401</v>
      </c>
      <c r="BM470" s="20">
        <v>70</v>
      </c>
      <c r="BN470" s="20">
        <v>0</v>
      </c>
      <c r="BO470" s="20">
        <v>0</v>
      </c>
      <c r="BP470" s="20">
        <v>0</v>
      </c>
      <c r="BQ470" s="20">
        <v>0</v>
      </c>
      <c r="BR470" s="20">
        <v>0</v>
      </c>
      <c r="BS470" s="20">
        <v>70</v>
      </c>
      <c r="BT470" s="20">
        <v>1420317.5000000002</v>
      </c>
      <c r="BU470" s="20">
        <v>6230000</v>
      </c>
      <c r="BV470" s="20">
        <v>3.987584722173994</v>
      </c>
    </row>
    <row r="471" spans="1:74">
      <c r="A471" s="10">
        <f t="shared" si="30"/>
        <v>0</v>
      </c>
      <c r="B471" s="10">
        <f t="shared" si="31"/>
        <v>0</v>
      </c>
      <c r="C471" s="12">
        <f t="shared" si="32"/>
        <v>4</v>
      </c>
      <c r="D471" s="12">
        <f t="shared" si="33"/>
        <v>9</v>
      </c>
      <c r="E471" s="20" t="s">
        <v>574</v>
      </c>
      <c r="F471" s="20" t="s">
        <v>665</v>
      </c>
      <c r="G471" s="20" t="s">
        <v>666</v>
      </c>
      <c r="H471" s="20" t="s">
        <v>2473</v>
      </c>
      <c r="I471" s="20">
        <v>4</v>
      </c>
      <c r="J471" s="20" t="s">
        <v>700</v>
      </c>
      <c r="K471" s="20" t="s">
        <v>2478</v>
      </c>
      <c r="L471" s="20" t="s">
        <v>701</v>
      </c>
      <c r="M471" s="20" t="s">
        <v>671</v>
      </c>
      <c r="N471" s="20" t="s">
        <v>702</v>
      </c>
      <c r="P471" s="20" t="s">
        <v>671</v>
      </c>
      <c r="Q471" s="20" t="s">
        <v>673</v>
      </c>
      <c r="R471" s="20" t="s">
        <v>84</v>
      </c>
      <c r="S471" s="20">
        <v>5</v>
      </c>
      <c r="T471" s="20" t="s">
        <v>762</v>
      </c>
      <c r="U471" s="20" t="s">
        <v>763</v>
      </c>
      <c r="V471" s="20" t="s">
        <v>87</v>
      </c>
      <c r="W471" s="20">
        <v>503</v>
      </c>
      <c r="X471" s="20">
        <v>503</v>
      </c>
      <c r="Y471" s="20" t="s">
        <v>2475</v>
      </c>
      <c r="Z471" s="20">
        <v>0.2</v>
      </c>
      <c r="AA471" s="20" t="s">
        <v>703</v>
      </c>
      <c r="AB471" s="20" t="s">
        <v>248</v>
      </c>
      <c r="AC471" s="20" t="s">
        <v>249</v>
      </c>
      <c r="AD471" s="20" t="s">
        <v>2476</v>
      </c>
      <c r="AE471" s="20" t="s">
        <v>91</v>
      </c>
      <c r="AF471" s="20">
        <v>0.2</v>
      </c>
      <c r="AH471" s="20">
        <v>1</v>
      </c>
      <c r="AI471" s="4" t="s">
        <v>647</v>
      </c>
      <c r="AJ471" s="20">
        <v>60</v>
      </c>
      <c r="AK471" s="4" t="s">
        <v>679</v>
      </c>
      <c r="AL471" s="4">
        <v>1</v>
      </c>
      <c r="AM471" s="4" t="s">
        <v>130</v>
      </c>
      <c r="AN471" s="4" t="s">
        <v>95</v>
      </c>
      <c r="AO471" s="4" t="s">
        <v>680</v>
      </c>
      <c r="AP471" s="4">
        <v>1</v>
      </c>
      <c r="AQ471" s="20">
        <v>89000</v>
      </c>
      <c r="AR471" s="4">
        <v>41801</v>
      </c>
      <c r="AS471" s="20">
        <v>17979.797979797979</v>
      </c>
      <c r="AT471" s="20">
        <v>20290.250000000004</v>
      </c>
      <c r="AU471" s="20">
        <v>2310.4520202020249</v>
      </c>
      <c r="AW471" s="20">
        <v>20</v>
      </c>
      <c r="AY471" s="20">
        <v>20</v>
      </c>
      <c r="AZ471" s="20">
        <v>17.55</v>
      </c>
      <c r="BB471" s="6">
        <v>41744</v>
      </c>
      <c r="BD471" s="6">
        <v>41897</v>
      </c>
      <c r="BE471" s="6">
        <v>41912</v>
      </c>
      <c r="BF471" s="6">
        <v>41908</v>
      </c>
      <c r="BK471" s="4" t="s">
        <v>401</v>
      </c>
      <c r="BM471" s="20">
        <v>60</v>
      </c>
      <c r="BN471" s="20">
        <v>0</v>
      </c>
      <c r="BO471" s="20">
        <v>0</v>
      </c>
      <c r="BP471" s="20">
        <v>0</v>
      </c>
      <c r="BQ471" s="20">
        <v>0</v>
      </c>
      <c r="BR471" s="20">
        <v>0</v>
      </c>
      <c r="BS471" s="20">
        <v>60</v>
      </c>
      <c r="BT471" s="20">
        <v>1217415.0000000002</v>
      </c>
      <c r="BU471" s="20">
        <v>5340000</v>
      </c>
      <c r="BV471" s="20">
        <v>3.987584722173994</v>
      </c>
    </row>
    <row r="472" spans="1:74">
      <c r="A472" s="10">
        <f t="shared" si="30"/>
        <v>0</v>
      </c>
      <c r="B472" s="10">
        <f t="shared" si="31"/>
        <v>0</v>
      </c>
      <c r="C472" s="12">
        <f t="shared" si="32"/>
        <v>4</v>
      </c>
      <c r="D472" s="12">
        <f t="shared" si="33"/>
        <v>9</v>
      </c>
      <c r="E472" s="20" t="s">
        <v>574</v>
      </c>
      <c r="F472" s="20" t="s">
        <v>665</v>
      </c>
      <c r="G472" s="20" t="s">
        <v>666</v>
      </c>
      <c r="H472" s="20" t="s">
        <v>2473</v>
      </c>
      <c r="I472" s="20">
        <v>4</v>
      </c>
      <c r="J472" s="20" t="s">
        <v>700</v>
      </c>
      <c r="K472" s="20" t="s">
        <v>2479</v>
      </c>
      <c r="L472" s="20" t="s">
        <v>701</v>
      </c>
      <c r="M472" s="20" t="s">
        <v>671</v>
      </c>
      <c r="N472" s="20" t="s">
        <v>702</v>
      </c>
      <c r="P472" s="20" t="s">
        <v>671</v>
      </c>
      <c r="Q472" s="20" t="s">
        <v>673</v>
      </c>
      <c r="R472" s="20" t="s">
        <v>84</v>
      </c>
      <c r="S472" s="20">
        <v>5</v>
      </c>
      <c r="T472" s="20" t="s">
        <v>762</v>
      </c>
      <c r="U472" s="20" t="s">
        <v>763</v>
      </c>
      <c r="V472" s="20" t="s">
        <v>87</v>
      </c>
      <c r="W472" s="20">
        <v>503</v>
      </c>
      <c r="X472" s="20">
        <v>503</v>
      </c>
      <c r="Y472" s="20" t="s">
        <v>2475</v>
      </c>
      <c r="Z472" s="20">
        <v>0.2</v>
      </c>
      <c r="AA472" s="20" t="s">
        <v>703</v>
      </c>
      <c r="AB472" s="20" t="s">
        <v>248</v>
      </c>
      <c r="AC472" s="20" t="s">
        <v>249</v>
      </c>
      <c r="AD472" s="20" t="s">
        <v>2476</v>
      </c>
      <c r="AE472" s="20" t="s">
        <v>91</v>
      </c>
      <c r="AF472" s="20">
        <v>0.2</v>
      </c>
      <c r="AH472" s="20">
        <v>1</v>
      </c>
      <c r="AI472" s="4" t="s">
        <v>649</v>
      </c>
      <c r="AJ472" s="20">
        <v>50</v>
      </c>
      <c r="AK472" s="4" t="s">
        <v>679</v>
      </c>
      <c r="AL472" s="4">
        <v>1</v>
      </c>
      <c r="AM472" s="4" t="s">
        <v>130</v>
      </c>
      <c r="AN472" s="4" t="s">
        <v>95</v>
      </c>
      <c r="AO472" s="4" t="s">
        <v>680</v>
      </c>
      <c r="AP472" s="4">
        <v>1</v>
      </c>
      <c r="AQ472" s="20">
        <v>89000</v>
      </c>
      <c r="AR472" s="4">
        <v>41801</v>
      </c>
      <c r="AS472" s="20">
        <v>17979.797979797979</v>
      </c>
      <c r="AT472" s="20">
        <v>20290.250000000004</v>
      </c>
      <c r="AU472" s="20">
        <v>2310.4520202020249</v>
      </c>
      <c r="AW472" s="20">
        <v>20</v>
      </c>
      <c r="AY472" s="20">
        <v>20</v>
      </c>
      <c r="AZ472" s="20">
        <v>17.55</v>
      </c>
      <c r="BB472" s="6">
        <v>41744</v>
      </c>
      <c r="BD472" s="6">
        <v>41897</v>
      </c>
      <c r="BE472" s="6">
        <v>41912</v>
      </c>
      <c r="BF472" s="6">
        <v>41908</v>
      </c>
      <c r="BK472" s="4" t="s">
        <v>401</v>
      </c>
      <c r="BM472" s="20">
        <v>50</v>
      </c>
      <c r="BN472" s="20">
        <v>0</v>
      </c>
      <c r="BO472" s="20">
        <v>0</v>
      </c>
      <c r="BP472" s="20">
        <v>0</v>
      </c>
      <c r="BQ472" s="20">
        <v>0</v>
      </c>
      <c r="BR472" s="20">
        <v>0</v>
      </c>
      <c r="BS472" s="20">
        <v>50</v>
      </c>
      <c r="BT472" s="20">
        <v>1014512.5000000002</v>
      </c>
      <c r="BU472" s="20">
        <v>4450000</v>
      </c>
      <c r="BV472" s="20">
        <v>3.9875847221739944</v>
      </c>
    </row>
    <row r="473" spans="1:74">
      <c r="A473" s="10">
        <f t="shared" si="30"/>
        <v>0</v>
      </c>
      <c r="B473" s="10">
        <f t="shared" si="31"/>
        <v>0</v>
      </c>
      <c r="C473" s="12">
        <f t="shared" si="32"/>
        <v>4</v>
      </c>
      <c r="D473" s="12">
        <f t="shared" si="33"/>
        <v>9</v>
      </c>
      <c r="E473" s="20" t="s">
        <v>574</v>
      </c>
      <c r="F473" s="20" t="s">
        <v>665</v>
      </c>
      <c r="G473" s="20" t="s">
        <v>666</v>
      </c>
      <c r="H473" s="20" t="s">
        <v>2473</v>
      </c>
      <c r="I473" s="20">
        <v>4</v>
      </c>
      <c r="J473" s="20" t="s">
        <v>700</v>
      </c>
      <c r="K473" s="20" t="s">
        <v>2480</v>
      </c>
      <c r="L473" s="20" t="s">
        <v>701</v>
      </c>
      <c r="M473" s="20" t="s">
        <v>671</v>
      </c>
      <c r="N473" s="20" t="s">
        <v>702</v>
      </c>
      <c r="P473" s="20" t="s">
        <v>671</v>
      </c>
      <c r="Q473" s="20" t="s">
        <v>673</v>
      </c>
      <c r="R473" s="20" t="s">
        <v>84</v>
      </c>
      <c r="S473" s="20">
        <v>5</v>
      </c>
      <c r="T473" s="20" t="s">
        <v>762</v>
      </c>
      <c r="U473" s="20" t="s">
        <v>763</v>
      </c>
      <c r="V473" s="20" t="s">
        <v>87</v>
      </c>
      <c r="W473" s="20">
        <v>503</v>
      </c>
      <c r="X473" s="20">
        <v>503</v>
      </c>
      <c r="Y473" s="20" t="s">
        <v>2475</v>
      </c>
      <c r="Z473" s="20">
        <v>0.2</v>
      </c>
      <c r="AA473" s="20" t="s">
        <v>703</v>
      </c>
      <c r="AB473" s="20" t="s">
        <v>248</v>
      </c>
      <c r="AC473" s="20" t="s">
        <v>249</v>
      </c>
      <c r="AD473" s="20" t="s">
        <v>2476</v>
      </c>
      <c r="AE473" s="20" t="s">
        <v>91</v>
      </c>
      <c r="AF473" s="20">
        <v>0.2</v>
      </c>
      <c r="AH473" s="20">
        <v>1</v>
      </c>
      <c r="AI473" s="4" t="s">
        <v>651</v>
      </c>
      <c r="AJ473" s="20">
        <v>50</v>
      </c>
      <c r="AK473" s="4" t="s">
        <v>679</v>
      </c>
      <c r="AL473" s="4">
        <v>1</v>
      </c>
      <c r="AM473" s="4" t="s">
        <v>130</v>
      </c>
      <c r="AN473" s="4" t="s">
        <v>95</v>
      </c>
      <c r="AO473" s="4" t="s">
        <v>680</v>
      </c>
      <c r="AP473" s="4">
        <v>1</v>
      </c>
      <c r="AQ473" s="20">
        <v>89000</v>
      </c>
      <c r="AR473" s="4">
        <v>41801</v>
      </c>
      <c r="AS473" s="20">
        <v>17979.797979797979</v>
      </c>
      <c r="AT473" s="20">
        <v>20290.250000000004</v>
      </c>
      <c r="AU473" s="20">
        <v>2310.4520202020249</v>
      </c>
      <c r="AW473" s="20">
        <v>20</v>
      </c>
      <c r="AY473" s="20">
        <v>20</v>
      </c>
      <c r="AZ473" s="20">
        <v>17.55</v>
      </c>
      <c r="BB473" s="6">
        <v>41744</v>
      </c>
      <c r="BD473" s="6">
        <v>41897</v>
      </c>
      <c r="BE473" s="6">
        <v>41912</v>
      </c>
      <c r="BF473" s="6">
        <v>41908</v>
      </c>
      <c r="BK473" s="4" t="s">
        <v>401</v>
      </c>
      <c r="BM473" s="20">
        <v>50</v>
      </c>
      <c r="BN473" s="20">
        <v>0</v>
      </c>
      <c r="BO473" s="20">
        <v>0</v>
      </c>
      <c r="BP473" s="20">
        <v>0</v>
      </c>
      <c r="BQ473" s="20">
        <v>0</v>
      </c>
      <c r="BR473" s="20">
        <v>0</v>
      </c>
      <c r="BS473" s="20">
        <v>50</v>
      </c>
      <c r="BT473" s="20">
        <v>1014512.5000000002</v>
      </c>
      <c r="BU473" s="20">
        <v>4450000</v>
      </c>
      <c r="BV473" s="20">
        <v>3.9875847221739944</v>
      </c>
    </row>
    <row r="474" spans="1:74">
      <c r="A474" s="10">
        <f t="shared" si="30"/>
        <v>0</v>
      </c>
      <c r="B474" s="10">
        <f t="shared" si="31"/>
        <v>0</v>
      </c>
      <c r="C474" s="12">
        <f t="shared" si="32"/>
        <v>4</v>
      </c>
      <c r="D474" s="12">
        <f t="shared" si="33"/>
        <v>9</v>
      </c>
      <c r="E474" s="20" t="s">
        <v>574</v>
      </c>
      <c r="F474" s="20" t="s">
        <v>665</v>
      </c>
      <c r="G474" s="20" t="s">
        <v>666</v>
      </c>
      <c r="H474" s="20" t="s">
        <v>704</v>
      </c>
      <c r="I474" s="20">
        <v>5</v>
      </c>
      <c r="J474" s="20" t="s">
        <v>705</v>
      </c>
      <c r="K474" s="20" t="s">
        <v>706</v>
      </c>
      <c r="L474" s="20" t="s">
        <v>707</v>
      </c>
      <c r="M474" s="20" t="s">
        <v>671</v>
      </c>
      <c r="N474" s="20" t="s">
        <v>672</v>
      </c>
      <c r="P474" s="20" t="s">
        <v>671</v>
      </c>
      <c r="Q474" s="20" t="s">
        <v>673</v>
      </c>
      <c r="R474" s="20" t="s">
        <v>84</v>
      </c>
      <c r="S474" s="20">
        <v>5</v>
      </c>
      <c r="T474" s="20" t="s">
        <v>674</v>
      </c>
      <c r="U474" s="20" t="s">
        <v>675</v>
      </c>
      <c r="V474" s="20" t="s">
        <v>87</v>
      </c>
      <c r="W474" s="20">
        <v>529</v>
      </c>
      <c r="X474" s="20">
        <v>529</v>
      </c>
      <c r="Y474" s="20" t="s">
        <v>708</v>
      </c>
      <c r="Z474" s="20">
        <v>0.125</v>
      </c>
      <c r="AA474" s="20" t="s">
        <v>709</v>
      </c>
      <c r="AB474" s="20" t="s">
        <v>101</v>
      </c>
      <c r="AC474" s="20" t="s">
        <v>102</v>
      </c>
      <c r="AD474" s="20" t="s">
        <v>710</v>
      </c>
      <c r="AE474" s="20" t="s">
        <v>91</v>
      </c>
      <c r="AF474" s="20">
        <v>0.25</v>
      </c>
      <c r="AH474" s="20">
        <v>1</v>
      </c>
      <c r="AI474" s="4" t="s">
        <v>643</v>
      </c>
      <c r="AJ474" s="20">
        <v>60</v>
      </c>
      <c r="AK474" s="4" t="s">
        <v>679</v>
      </c>
      <c r="AL474" s="4">
        <v>1</v>
      </c>
      <c r="AM474" s="4" t="s">
        <v>130</v>
      </c>
      <c r="AN474" s="4" t="s">
        <v>95</v>
      </c>
      <c r="AO474" s="4" t="s">
        <v>680</v>
      </c>
      <c r="AP474" s="4">
        <v>1</v>
      </c>
      <c r="AQ474" s="20">
        <v>218000</v>
      </c>
      <c r="AR474" s="4">
        <v>41801</v>
      </c>
      <c r="AS474" s="20">
        <v>44040.404040404042</v>
      </c>
      <c r="AT474" s="20">
        <v>54998.000000000007</v>
      </c>
      <c r="AU474" s="20">
        <v>10957.595959595965</v>
      </c>
      <c r="AW474" s="20">
        <v>20</v>
      </c>
      <c r="AY474" s="20">
        <v>20</v>
      </c>
      <c r="AZ474" s="20">
        <v>47.6</v>
      </c>
      <c r="BB474" s="6">
        <v>41744</v>
      </c>
      <c r="BD474" s="6">
        <v>41897</v>
      </c>
      <c r="BE474" s="6">
        <v>41912</v>
      </c>
      <c r="BF474" s="6">
        <v>41908</v>
      </c>
      <c r="BK474" s="4" t="s">
        <v>401</v>
      </c>
      <c r="BM474" s="20">
        <v>60</v>
      </c>
      <c r="BN474" s="20">
        <v>0</v>
      </c>
      <c r="BO474" s="20">
        <v>0</v>
      </c>
      <c r="BP474" s="20">
        <v>0</v>
      </c>
      <c r="BQ474" s="20">
        <v>0</v>
      </c>
      <c r="BR474" s="20">
        <v>0</v>
      </c>
      <c r="BS474" s="20">
        <v>60</v>
      </c>
      <c r="BT474" s="20">
        <v>3299880.0000000005</v>
      </c>
      <c r="BU474" s="20">
        <v>13080000</v>
      </c>
      <c r="BV474" s="20">
        <v>3.6034368191901183</v>
      </c>
    </row>
    <row r="475" spans="1:74">
      <c r="A475" s="10">
        <f t="shared" si="30"/>
        <v>0</v>
      </c>
      <c r="B475" s="10">
        <f t="shared" si="31"/>
        <v>0</v>
      </c>
      <c r="C475" s="12">
        <f t="shared" si="32"/>
        <v>4</v>
      </c>
      <c r="D475" s="12">
        <f t="shared" si="33"/>
        <v>9</v>
      </c>
      <c r="E475" s="20" t="s">
        <v>574</v>
      </c>
      <c r="F475" s="20" t="s">
        <v>665</v>
      </c>
      <c r="G475" s="20" t="s">
        <v>666</v>
      </c>
      <c r="H475" s="20" t="s">
        <v>704</v>
      </c>
      <c r="I475" s="20">
        <v>5</v>
      </c>
      <c r="J475" s="20" t="s">
        <v>705</v>
      </c>
      <c r="K475" s="20" t="s">
        <v>711</v>
      </c>
      <c r="L475" s="20" t="s">
        <v>707</v>
      </c>
      <c r="M475" s="20" t="s">
        <v>671</v>
      </c>
      <c r="N475" s="20" t="s">
        <v>672</v>
      </c>
      <c r="P475" s="20" t="s">
        <v>671</v>
      </c>
      <c r="Q475" s="20" t="s">
        <v>673</v>
      </c>
      <c r="R475" s="20" t="s">
        <v>84</v>
      </c>
      <c r="S475" s="20">
        <v>5</v>
      </c>
      <c r="T475" s="20" t="s">
        <v>674</v>
      </c>
      <c r="U475" s="20" t="s">
        <v>675</v>
      </c>
      <c r="V475" s="20" t="s">
        <v>87</v>
      </c>
      <c r="W475" s="20">
        <v>529</v>
      </c>
      <c r="X475" s="20">
        <v>529</v>
      </c>
      <c r="Y475" s="20" t="s">
        <v>708</v>
      </c>
      <c r="Z475" s="20">
        <v>0.125</v>
      </c>
      <c r="AA475" s="20" t="s">
        <v>709</v>
      </c>
      <c r="AB475" s="20" t="s">
        <v>101</v>
      </c>
      <c r="AC475" s="20" t="s">
        <v>102</v>
      </c>
      <c r="AD475" s="20" t="s">
        <v>710</v>
      </c>
      <c r="AE475" s="20" t="s">
        <v>91</v>
      </c>
      <c r="AF475" s="20">
        <v>0.25</v>
      </c>
      <c r="AH475" s="20">
        <v>1</v>
      </c>
      <c r="AI475" s="4" t="s">
        <v>645</v>
      </c>
      <c r="AJ475" s="20">
        <v>80</v>
      </c>
      <c r="AK475" s="4" t="s">
        <v>679</v>
      </c>
      <c r="AL475" s="4">
        <v>1</v>
      </c>
      <c r="AM475" s="4" t="s">
        <v>130</v>
      </c>
      <c r="AN475" s="4" t="s">
        <v>95</v>
      </c>
      <c r="AO475" s="4" t="s">
        <v>680</v>
      </c>
      <c r="AP475" s="4">
        <v>1</v>
      </c>
      <c r="AQ475" s="20">
        <v>218000</v>
      </c>
      <c r="AR475" s="4">
        <v>41801</v>
      </c>
      <c r="AS475" s="20">
        <v>44040.404040404042</v>
      </c>
      <c r="AT475" s="20">
        <v>54998.000000000007</v>
      </c>
      <c r="AU475" s="20">
        <v>10957.595959595965</v>
      </c>
      <c r="AW475" s="20">
        <v>20</v>
      </c>
      <c r="AY475" s="20">
        <v>20</v>
      </c>
      <c r="AZ475" s="20">
        <v>47.6</v>
      </c>
      <c r="BB475" s="6">
        <v>41744</v>
      </c>
      <c r="BD475" s="6">
        <v>41897</v>
      </c>
      <c r="BE475" s="6">
        <v>41912</v>
      </c>
      <c r="BF475" s="6">
        <v>41908</v>
      </c>
      <c r="BK475" s="4" t="s">
        <v>401</v>
      </c>
      <c r="BM475" s="20">
        <v>80</v>
      </c>
      <c r="BN475" s="20">
        <v>0</v>
      </c>
      <c r="BO475" s="20">
        <v>0</v>
      </c>
      <c r="BP475" s="20">
        <v>0</v>
      </c>
      <c r="BQ475" s="20">
        <v>0</v>
      </c>
      <c r="BR475" s="20">
        <v>0</v>
      </c>
      <c r="BS475" s="20">
        <v>80</v>
      </c>
      <c r="BT475" s="20">
        <v>4399840.0000000009</v>
      </c>
      <c r="BU475" s="20">
        <v>17440000</v>
      </c>
      <c r="BV475" s="20">
        <v>3.6034368191901178</v>
      </c>
    </row>
    <row r="476" spans="1:74">
      <c r="A476" s="10">
        <f t="shared" si="30"/>
        <v>0</v>
      </c>
      <c r="B476" s="10">
        <f t="shared" si="31"/>
        <v>0</v>
      </c>
      <c r="C476" s="12">
        <f t="shared" si="32"/>
        <v>4</v>
      </c>
      <c r="D476" s="12">
        <f t="shared" si="33"/>
        <v>9</v>
      </c>
      <c r="E476" s="20" t="s">
        <v>574</v>
      </c>
      <c r="F476" s="20" t="s">
        <v>665</v>
      </c>
      <c r="G476" s="20" t="s">
        <v>666</v>
      </c>
      <c r="H476" s="20" t="s">
        <v>704</v>
      </c>
      <c r="I476" s="20">
        <v>5</v>
      </c>
      <c r="J476" s="20" t="s">
        <v>705</v>
      </c>
      <c r="K476" s="20" t="s">
        <v>712</v>
      </c>
      <c r="L476" s="20" t="s">
        <v>707</v>
      </c>
      <c r="M476" s="20" t="s">
        <v>671</v>
      </c>
      <c r="N476" s="20" t="s">
        <v>672</v>
      </c>
      <c r="P476" s="20" t="s">
        <v>671</v>
      </c>
      <c r="Q476" s="20" t="s">
        <v>673</v>
      </c>
      <c r="R476" s="20" t="s">
        <v>84</v>
      </c>
      <c r="S476" s="20">
        <v>5</v>
      </c>
      <c r="T476" s="20" t="s">
        <v>674</v>
      </c>
      <c r="U476" s="20" t="s">
        <v>675</v>
      </c>
      <c r="V476" s="20" t="s">
        <v>87</v>
      </c>
      <c r="W476" s="20">
        <v>529</v>
      </c>
      <c r="X476" s="20">
        <v>529</v>
      </c>
      <c r="Y476" s="20" t="s">
        <v>708</v>
      </c>
      <c r="Z476" s="20">
        <v>0.125</v>
      </c>
      <c r="AA476" s="20" t="s">
        <v>709</v>
      </c>
      <c r="AB476" s="20" t="s">
        <v>101</v>
      </c>
      <c r="AC476" s="20" t="s">
        <v>102</v>
      </c>
      <c r="AD476" s="20" t="s">
        <v>710</v>
      </c>
      <c r="AE476" s="20" t="s">
        <v>91</v>
      </c>
      <c r="AF476" s="20">
        <v>0.25</v>
      </c>
      <c r="AH476" s="20">
        <v>1</v>
      </c>
      <c r="AI476" s="4" t="s">
        <v>647</v>
      </c>
      <c r="AJ476" s="20">
        <v>60</v>
      </c>
      <c r="AK476" s="4" t="s">
        <v>679</v>
      </c>
      <c r="AL476" s="4">
        <v>1</v>
      </c>
      <c r="AM476" s="4" t="s">
        <v>130</v>
      </c>
      <c r="AN476" s="4" t="s">
        <v>95</v>
      </c>
      <c r="AO476" s="4" t="s">
        <v>680</v>
      </c>
      <c r="AP476" s="4">
        <v>1</v>
      </c>
      <c r="AQ476" s="20">
        <v>218000</v>
      </c>
      <c r="AR476" s="4">
        <v>41801</v>
      </c>
      <c r="AS476" s="20">
        <v>44040.404040404042</v>
      </c>
      <c r="AT476" s="20">
        <v>54998.000000000007</v>
      </c>
      <c r="AU476" s="20">
        <v>10957.595959595965</v>
      </c>
      <c r="AW476" s="20">
        <v>20</v>
      </c>
      <c r="AY476" s="20">
        <v>20</v>
      </c>
      <c r="AZ476" s="20">
        <v>47.6</v>
      </c>
      <c r="BB476" s="6">
        <v>41744</v>
      </c>
      <c r="BD476" s="6">
        <v>41897</v>
      </c>
      <c r="BE476" s="6">
        <v>41912</v>
      </c>
      <c r="BF476" s="6">
        <v>41908</v>
      </c>
      <c r="BK476" s="4" t="s">
        <v>401</v>
      </c>
      <c r="BM476" s="20">
        <v>60</v>
      </c>
      <c r="BN476" s="20">
        <v>0</v>
      </c>
      <c r="BO476" s="20">
        <v>0</v>
      </c>
      <c r="BP476" s="20">
        <v>0</v>
      </c>
      <c r="BQ476" s="20">
        <v>0</v>
      </c>
      <c r="BR476" s="20">
        <v>0</v>
      </c>
      <c r="BS476" s="20">
        <v>60</v>
      </c>
      <c r="BT476" s="20">
        <v>3299880.0000000005</v>
      </c>
      <c r="BU476" s="20">
        <v>13080000</v>
      </c>
      <c r="BV476" s="20">
        <v>3.6034368191901183</v>
      </c>
    </row>
    <row r="477" spans="1:74">
      <c r="A477" s="10">
        <f t="shared" si="30"/>
        <v>0</v>
      </c>
      <c r="B477" s="10">
        <f t="shared" si="31"/>
        <v>0</v>
      </c>
      <c r="C477" s="12">
        <f t="shared" si="32"/>
        <v>4</v>
      </c>
      <c r="D477" s="12">
        <f t="shared" si="33"/>
        <v>9</v>
      </c>
      <c r="E477" s="20" t="s">
        <v>574</v>
      </c>
      <c r="F477" s="20" t="s">
        <v>665</v>
      </c>
      <c r="G477" s="20" t="s">
        <v>666</v>
      </c>
      <c r="H477" s="20" t="s">
        <v>704</v>
      </c>
      <c r="I477" s="20">
        <v>5</v>
      </c>
      <c r="J477" s="20" t="s">
        <v>705</v>
      </c>
      <c r="K477" s="20" t="s">
        <v>713</v>
      </c>
      <c r="L477" s="20" t="s">
        <v>707</v>
      </c>
      <c r="M477" s="20" t="s">
        <v>671</v>
      </c>
      <c r="N477" s="20" t="s">
        <v>672</v>
      </c>
      <c r="P477" s="20" t="s">
        <v>671</v>
      </c>
      <c r="Q477" s="20" t="s">
        <v>673</v>
      </c>
      <c r="R477" s="20" t="s">
        <v>84</v>
      </c>
      <c r="S477" s="20">
        <v>5</v>
      </c>
      <c r="T477" s="20" t="s">
        <v>674</v>
      </c>
      <c r="U477" s="20" t="s">
        <v>675</v>
      </c>
      <c r="V477" s="20" t="s">
        <v>87</v>
      </c>
      <c r="W477" s="20">
        <v>529</v>
      </c>
      <c r="X477" s="20">
        <v>529</v>
      </c>
      <c r="Y477" s="20" t="s">
        <v>708</v>
      </c>
      <c r="Z477" s="20">
        <v>0.125</v>
      </c>
      <c r="AA477" s="20" t="s">
        <v>709</v>
      </c>
      <c r="AB477" s="20" t="s">
        <v>101</v>
      </c>
      <c r="AC477" s="20" t="s">
        <v>102</v>
      </c>
      <c r="AD477" s="20" t="s">
        <v>710</v>
      </c>
      <c r="AE477" s="20" t="s">
        <v>91</v>
      </c>
      <c r="AF477" s="20">
        <v>0.25</v>
      </c>
      <c r="AH477" s="20">
        <v>1</v>
      </c>
      <c r="AI477" s="4" t="s">
        <v>649</v>
      </c>
      <c r="AJ477" s="20">
        <v>50</v>
      </c>
      <c r="AK477" s="4" t="s">
        <v>679</v>
      </c>
      <c r="AL477" s="4">
        <v>1</v>
      </c>
      <c r="AM477" s="4" t="s">
        <v>130</v>
      </c>
      <c r="AN477" s="4" t="s">
        <v>95</v>
      </c>
      <c r="AO477" s="4" t="s">
        <v>680</v>
      </c>
      <c r="AP477" s="4">
        <v>1</v>
      </c>
      <c r="AQ477" s="20">
        <v>218000</v>
      </c>
      <c r="AR477" s="4">
        <v>41801</v>
      </c>
      <c r="AS477" s="20">
        <v>44040.404040404042</v>
      </c>
      <c r="AT477" s="20">
        <v>54998.000000000007</v>
      </c>
      <c r="AU477" s="20">
        <v>10957.595959595965</v>
      </c>
      <c r="AW477" s="20">
        <v>20</v>
      </c>
      <c r="AY477" s="20">
        <v>20</v>
      </c>
      <c r="AZ477" s="20">
        <v>47.6</v>
      </c>
      <c r="BB477" s="6">
        <v>41744</v>
      </c>
      <c r="BD477" s="6">
        <v>41897</v>
      </c>
      <c r="BE477" s="6">
        <v>41912</v>
      </c>
      <c r="BF477" s="6">
        <v>41908</v>
      </c>
      <c r="BK477" s="4" t="s">
        <v>401</v>
      </c>
      <c r="BM477" s="20">
        <v>50</v>
      </c>
      <c r="BN477" s="20">
        <v>0</v>
      </c>
      <c r="BO477" s="20">
        <v>0</v>
      </c>
      <c r="BP477" s="20">
        <v>0</v>
      </c>
      <c r="BQ477" s="20">
        <v>0</v>
      </c>
      <c r="BR477" s="20">
        <v>0</v>
      </c>
      <c r="BS477" s="20">
        <v>50</v>
      </c>
      <c r="BT477" s="20">
        <v>2749900.0000000005</v>
      </c>
      <c r="BU477" s="20">
        <v>10900000</v>
      </c>
      <c r="BV477" s="20">
        <v>3.6034368191901183</v>
      </c>
    </row>
    <row r="478" spans="1:74">
      <c r="A478" s="10">
        <f t="shared" si="30"/>
        <v>0</v>
      </c>
      <c r="B478" s="10">
        <f t="shared" si="31"/>
        <v>0</v>
      </c>
      <c r="C478" s="12">
        <f t="shared" si="32"/>
        <v>4</v>
      </c>
      <c r="D478" s="12">
        <f t="shared" si="33"/>
        <v>9</v>
      </c>
      <c r="E478" s="20" t="s">
        <v>574</v>
      </c>
      <c r="F478" s="20" t="s">
        <v>665</v>
      </c>
      <c r="G478" s="20" t="s">
        <v>666</v>
      </c>
      <c r="H478" s="20" t="s">
        <v>714</v>
      </c>
      <c r="I478" s="20">
        <v>6</v>
      </c>
      <c r="J478" s="20" t="s">
        <v>715</v>
      </c>
      <c r="K478" s="20" t="s">
        <v>716</v>
      </c>
      <c r="L478" s="20" t="s">
        <v>707</v>
      </c>
      <c r="M478" s="20" t="s">
        <v>671</v>
      </c>
      <c r="N478" s="20" t="s">
        <v>672</v>
      </c>
      <c r="P478" s="20" t="s">
        <v>671</v>
      </c>
      <c r="Q478" s="20" t="s">
        <v>673</v>
      </c>
      <c r="R478" s="20" t="s">
        <v>84</v>
      </c>
      <c r="S478" s="20">
        <v>5</v>
      </c>
      <c r="T478" s="20" t="s">
        <v>674</v>
      </c>
      <c r="U478" s="20" t="s">
        <v>675</v>
      </c>
      <c r="V478" s="20" t="s">
        <v>87</v>
      </c>
      <c r="W478" s="20">
        <v>529</v>
      </c>
      <c r="X478" s="20">
        <v>529</v>
      </c>
      <c r="Y478" s="20" t="s">
        <v>708</v>
      </c>
      <c r="Z478" s="20">
        <v>0.125</v>
      </c>
      <c r="AA478" s="20" t="s">
        <v>717</v>
      </c>
      <c r="AB478" s="20" t="s">
        <v>718</v>
      </c>
      <c r="AC478" s="20" t="s">
        <v>719</v>
      </c>
      <c r="AD478" s="20" t="s">
        <v>720</v>
      </c>
      <c r="AE478" s="20" t="s">
        <v>91</v>
      </c>
      <c r="AF478" s="20">
        <v>0.25</v>
      </c>
      <c r="AH478" s="20">
        <v>1</v>
      </c>
      <c r="AI478" s="4" t="s">
        <v>643</v>
      </c>
      <c r="AJ478" s="20">
        <v>60</v>
      </c>
      <c r="AK478" s="4" t="s">
        <v>679</v>
      </c>
      <c r="AL478" s="4">
        <v>1</v>
      </c>
      <c r="AM478" s="4" t="s">
        <v>130</v>
      </c>
      <c r="AN478" s="4" t="s">
        <v>95</v>
      </c>
      <c r="AO478" s="4" t="s">
        <v>680</v>
      </c>
      <c r="AP478" s="4">
        <v>1</v>
      </c>
      <c r="AQ478" s="20">
        <v>218000</v>
      </c>
      <c r="AR478" s="4">
        <v>41801</v>
      </c>
      <c r="AS478" s="20">
        <v>44040.404040404042</v>
      </c>
      <c r="AT478" s="20">
        <v>54998.000000000007</v>
      </c>
      <c r="AU478" s="20">
        <v>10957.595959595965</v>
      </c>
      <c r="AW478" s="20">
        <v>20</v>
      </c>
      <c r="AY478" s="20">
        <v>20</v>
      </c>
      <c r="AZ478" s="20">
        <v>47.6</v>
      </c>
      <c r="BB478" s="6">
        <v>41744</v>
      </c>
      <c r="BD478" s="6">
        <v>41897</v>
      </c>
      <c r="BE478" s="6">
        <v>41912</v>
      </c>
      <c r="BF478" s="6">
        <v>41908</v>
      </c>
      <c r="BK478" s="4" t="s">
        <v>401</v>
      </c>
      <c r="BM478" s="20">
        <v>60</v>
      </c>
      <c r="BN478" s="20">
        <v>0</v>
      </c>
      <c r="BO478" s="20">
        <v>0</v>
      </c>
      <c r="BP478" s="20">
        <v>0</v>
      </c>
      <c r="BQ478" s="20">
        <v>0</v>
      </c>
      <c r="BR478" s="20">
        <v>0</v>
      </c>
      <c r="BS478" s="20">
        <v>60</v>
      </c>
      <c r="BT478" s="20">
        <v>3299880.0000000005</v>
      </c>
      <c r="BU478" s="20">
        <v>13080000</v>
      </c>
      <c r="BV478" s="20">
        <v>3.6034368191901183</v>
      </c>
    </row>
    <row r="479" spans="1:74">
      <c r="A479" s="10">
        <f t="shared" si="30"/>
        <v>0</v>
      </c>
      <c r="B479" s="10">
        <f t="shared" si="31"/>
        <v>0</v>
      </c>
      <c r="C479" s="12">
        <f t="shared" si="32"/>
        <v>4</v>
      </c>
      <c r="D479" s="12">
        <f t="shared" si="33"/>
        <v>9</v>
      </c>
      <c r="E479" s="20" t="s">
        <v>574</v>
      </c>
      <c r="F479" s="20" t="s">
        <v>665</v>
      </c>
      <c r="G479" s="20" t="s">
        <v>666</v>
      </c>
      <c r="H479" s="20" t="s">
        <v>714</v>
      </c>
      <c r="I479" s="20">
        <v>6</v>
      </c>
      <c r="J479" s="20" t="s">
        <v>715</v>
      </c>
      <c r="K479" s="20" t="s">
        <v>721</v>
      </c>
      <c r="L479" s="20" t="s">
        <v>707</v>
      </c>
      <c r="M479" s="20" t="s">
        <v>671</v>
      </c>
      <c r="N479" s="20" t="s">
        <v>672</v>
      </c>
      <c r="P479" s="20" t="s">
        <v>671</v>
      </c>
      <c r="Q479" s="20" t="s">
        <v>673</v>
      </c>
      <c r="R479" s="20" t="s">
        <v>84</v>
      </c>
      <c r="S479" s="20">
        <v>5</v>
      </c>
      <c r="T479" s="20" t="s">
        <v>674</v>
      </c>
      <c r="U479" s="20" t="s">
        <v>675</v>
      </c>
      <c r="V479" s="20" t="s">
        <v>87</v>
      </c>
      <c r="W479" s="20">
        <v>529</v>
      </c>
      <c r="X479" s="20">
        <v>529</v>
      </c>
      <c r="Y479" s="20" t="s">
        <v>708</v>
      </c>
      <c r="Z479" s="20">
        <v>0.125</v>
      </c>
      <c r="AA479" s="20" t="s">
        <v>717</v>
      </c>
      <c r="AB479" s="20" t="s">
        <v>718</v>
      </c>
      <c r="AC479" s="20" t="s">
        <v>719</v>
      </c>
      <c r="AD479" s="20" t="s">
        <v>720</v>
      </c>
      <c r="AE479" s="20" t="s">
        <v>91</v>
      </c>
      <c r="AF479" s="20">
        <v>0.25</v>
      </c>
      <c r="AH479" s="20">
        <v>1</v>
      </c>
      <c r="AI479" s="4" t="s">
        <v>645</v>
      </c>
      <c r="AJ479" s="20">
        <v>80</v>
      </c>
      <c r="AK479" s="4" t="s">
        <v>679</v>
      </c>
      <c r="AL479" s="4">
        <v>1</v>
      </c>
      <c r="AM479" s="4" t="s">
        <v>130</v>
      </c>
      <c r="AN479" s="4" t="s">
        <v>95</v>
      </c>
      <c r="AO479" s="4" t="s">
        <v>680</v>
      </c>
      <c r="AP479" s="4">
        <v>1</v>
      </c>
      <c r="AQ479" s="20">
        <v>218000</v>
      </c>
      <c r="AR479" s="4">
        <v>41801</v>
      </c>
      <c r="AS479" s="20">
        <v>44040.404040404042</v>
      </c>
      <c r="AT479" s="20">
        <v>54998.000000000007</v>
      </c>
      <c r="AU479" s="20">
        <v>10957.595959595965</v>
      </c>
      <c r="AW479" s="20">
        <v>20</v>
      </c>
      <c r="AY479" s="20">
        <v>20</v>
      </c>
      <c r="AZ479" s="20">
        <v>47.6</v>
      </c>
      <c r="BB479" s="6">
        <v>41744</v>
      </c>
      <c r="BD479" s="6">
        <v>41897</v>
      </c>
      <c r="BE479" s="6">
        <v>41912</v>
      </c>
      <c r="BF479" s="6">
        <v>41908</v>
      </c>
      <c r="BK479" s="4" t="s">
        <v>401</v>
      </c>
      <c r="BM479" s="20">
        <v>80</v>
      </c>
      <c r="BN479" s="20">
        <v>0</v>
      </c>
      <c r="BO479" s="20">
        <v>0</v>
      </c>
      <c r="BP479" s="20">
        <v>0</v>
      </c>
      <c r="BQ479" s="20">
        <v>0</v>
      </c>
      <c r="BR479" s="20">
        <v>0</v>
      </c>
      <c r="BS479" s="20">
        <v>80</v>
      </c>
      <c r="BT479" s="20">
        <v>4399840.0000000009</v>
      </c>
      <c r="BU479" s="20">
        <v>17440000</v>
      </c>
      <c r="BV479" s="20">
        <v>3.6034368191901178</v>
      </c>
    </row>
    <row r="480" spans="1:74">
      <c r="A480" s="10">
        <f t="shared" si="30"/>
        <v>0</v>
      </c>
      <c r="B480" s="10">
        <f t="shared" si="31"/>
        <v>0</v>
      </c>
      <c r="C480" s="12">
        <f t="shared" si="32"/>
        <v>4</v>
      </c>
      <c r="D480" s="12">
        <f t="shared" si="33"/>
        <v>9</v>
      </c>
      <c r="E480" s="20" t="s">
        <v>574</v>
      </c>
      <c r="F480" s="20" t="s">
        <v>665</v>
      </c>
      <c r="G480" s="20" t="s">
        <v>666</v>
      </c>
      <c r="H480" s="20" t="s">
        <v>714</v>
      </c>
      <c r="I480" s="20">
        <v>6</v>
      </c>
      <c r="J480" s="20" t="s">
        <v>715</v>
      </c>
      <c r="K480" s="20" t="s">
        <v>722</v>
      </c>
      <c r="L480" s="20" t="s">
        <v>707</v>
      </c>
      <c r="M480" s="20" t="s">
        <v>671</v>
      </c>
      <c r="N480" s="20" t="s">
        <v>672</v>
      </c>
      <c r="P480" s="20" t="s">
        <v>671</v>
      </c>
      <c r="Q480" s="20" t="s">
        <v>673</v>
      </c>
      <c r="R480" s="20" t="s">
        <v>84</v>
      </c>
      <c r="S480" s="20">
        <v>5</v>
      </c>
      <c r="T480" s="20" t="s">
        <v>674</v>
      </c>
      <c r="U480" s="20" t="s">
        <v>675</v>
      </c>
      <c r="V480" s="20" t="s">
        <v>87</v>
      </c>
      <c r="W480" s="20">
        <v>529</v>
      </c>
      <c r="X480" s="20">
        <v>529</v>
      </c>
      <c r="Y480" s="20" t="s">
        <v>708</v>
      </c>
      <c r="Z480" s="20">
        <v>0.125</v>
      </c>
      <c r="AA480" s="20" t="s">
        <v>717</v>
      </c>
      <c r="AB480" s="20" t="s">
        <v>718</v>
      </c>
      <c r="AC480" s="20" t="s">
        <v>719</v>
      </c>
      <c r="AD480" s="20" t="s">
        <v>720</v>
      </c>
      <c r="AE480" s="20" t="s">
        <v>91</v>
      </c>
      <c r="AF480" s="20">
        <v>0.25</v>
      </c>
      <c r="AH480" s="20">
        <v>1</v>
      </c>
      <c r="AI480" s="4" t="s">
        <v>647</v>
      </c>
      <c r="AJ480" s="20">
        <v>60</v>
      </c>
      <c r="AK480" s="4" t="s">
        <v>679</v>
      </c>
      <c r="AL480" s="4">
        <v>1</v>
      </c>
      <c r="AM480" s="4" t="s">
        <v>130</v>
      </c>
      <c r="AN480" s="4" t="s">
        <v>95</v>
      </c>
      <c r="AO480" s="4" t="s">
        <v>680</v>
      </c>
      <c r="AP480" s="4">
        <v>1</v>
      </c>
      <c r="AQ480" s="20">
        <v>218000</v>
      </c>
      <c r="AR480" s="4">
        <v>41801</v>
      </c>
      <c r="AS480" s="20">
        <v>44040.404040404042</v>
      </c>
      <c r="AT480" s="20">
        <v>54998.000000000007</v>
      </c>
      <c r="AU480" s="20">
        <v>10957.595959595965</v>
      </c>
      <c r="AW480" s="20">
        <v>20</v>
      </c>
      <c r="AY480" s="20">
        <v>20</v>
      </c>
      <c r="AZ480" s="20">
        <v>47.6</v>
      </c>
      <c r="BB480" s="6">
        <v>41744</v>
      </c>
      <c r="BD480" s="6">
        <v>41897</v>
      </c>
      <c r="BE480" s="6">
        <v>41912</v>
      </c>
      <c r="BF480" s="6">
        <v>41908</v>
      </c>
      <c r="BK480" s="4" t="s">
        <v>401</v>
      </c>
      <c r="BM480" s="20">
        <v>60</v>
      </c>
      <c r="BN480" s="20">
        <v>0</v>
      </c>
      <c r="BO480" s="20">
        <v>0</v>
      </c>
      <c r="BP480" s="20">
        <v>0</v>
      </c>
      <c r="BQ480" s="20">
        <v>0</v>
      </c>
      <c r="BR480" s="20">
        <v>0</v>
      </c>
      <c r="BS480" s="20">
        <v>60</v>
      </c>
      <c r="BT480" s="20">
        <v>3299880.0000000005</v>
      </c>
      <c r="BU480" s="20">
        <v>13080000</v>
      </c>
      <c r="BV480" s="20">
        <v>3.6034368191901183</v>
      </c>
    </row>
    <row r="481" spans="1:74">
      <c r="A481" s="10">
        <f t="shared" si="30"/>
        <v>0</v>
      </c>
      <c r="B481" s="10">
        <f t="shared" si="31"/>
        <v>0</v>
      </c>
      <c r="C481" s="12">
        <f t="shared" si="32"/>
        <v>4</v>
      </c>
      <c r="D481" s="12">
        <f t="shared" si="33"/>
        <v>9</v>
      </c>
      <c r="E481" s="20" t="s">
        <v>574</v>
      </c>
      <c r="F481" s="20" t="s">
        <v>665</v>
      </c>
      <c r="G481" s="20" t="s">
        <v>666</v>
      </c>
      <c r="H481" s="20" t="s">
        <v>714</v>
      </c>
      <c r="I481" s="20">
        <v>6</v>
      </c>
      <c r="J481" s="20" t="s">
        <v>715</v>
      </c>
      <c r="K481" s="20" t="s">
        <v>723</v>
      </c>
      <c r="L481" s="20" t="s">
        <v>707</v>
      </c>
      <c r="M481" s="20" t="s">
        <v>671</v>
      </c>
      <c r="N481" s="20" t="s">
        <v>672</v>
      </c>
      <c r="P481" s="20" t="s">
        <v>671</v>
      </c>
      <c r="Q481" s="20" t="s">
        <v>673</v>
      </c>
      <c r="R481" s="20" t="s">
        <v>84</v>
      </c>
      <c r="S481" s="20">
        <v>5</v>
      </c>
      <c r="T481" s="20" t="s">
        <v>674</v>
      </c>
      <c r="U481" s="20" t="s">
        <v>675</v>
      </c>
      <c r="V481" s="20" t="s">
        <v>87</v>
      </c>
      <c r="W481" s="20">
        <v>529</v>
      </c>
      <c r="X481" s="20">
        <v>529</v>
      </c>
      <c r="Y481" s="20" t="s">
        <v>708</v>
      </c>
      <c r="Z481" s="20">
        <v>0.125</v>
      </c>
      <c r="AA481" s="20" t="s">
        <v>717</v>
      </c>
      <c r="AB481" s="20" t="s">
        <v>718</v>
      </c>
      <c r="AC481" s="20" t="s">
        <v>719</v>
      </c>
      <c r="AD481" s="20" t="s">
        <v>720</v>
      </c>
      <c r="AE481" s="20" t="s">
        <v>91</v>
      </c>
      <c r="AF481" s="20">
        <v>0.25</v>
      </c>
      <c r="AH481" s="20">
        <v>1</v>
      </c>
      <c r="AI481" s="4" t="s">
        <v>649</v>
      </c>
      <c r="AJ481" s="20">
        <v>50</v>
      </c>
      <c r="AK481" s="4" t="s">
        <v>679</v>
      </c>
      <c r="AL481" s="4">
        <v>1</v>
      </c>
      <c r="AM481" s="4" t="s">
        <v>130</v>
      </c>
      <c r="AN481" s="4" t="s">
        <v>95</v>
      </c>
      <c r="AO481" s="4" t="s">
        <v>680</v>
      </c>
      <c r="AP481" s="4">
        <v>1</v>
      </c>
      <c r="AQ481" s="20">
        <v>218000</v>
      </c>
      <c r="AR481" s="4">
        <v>41801</v>
      </c>
      <c r="AS481" s="20">
        <v>44040.404040404042</v>
      </c>
      <c r="AT481" s="20">
        <v>54998.000000000007</v>
      </c>
      <c r="AU481" s="20">
        <v>10957.595959595965</v>
      </c>
      <c r="AW481" s="20">
        <v>20</v>
      </c>
      <c r="AY481" s="20">
        <v>20</v>
      </c>
      <c r="AZ481" s="20">
        <v>47.6</v>
      </c>
      <c r="BB481" s="6">
        <v>41744</v>
      </c>
      <c r="BD481" s="6">
        <v>41897</v>
      </c>
      <c r="BE481" s="6">
        <v>41912</v>
      </c>
      <c r="BF481" s="6">
        <v>41908</v>
      </c>
      <c r="BK481" s="4" t="s">
        <v>401</v>
      </c>
      <c r="BM481" s="20">
        <v>50</v>
      </c>
      <c r="BN481" s="20">
        <v>0</v>
      </c>
      <c r="BO481" s="20">
        <v>0</v>
      </c>
      <c r="BP481" s="20">
        <v>0</v>
      </c>
      <c r="BQ481" s="20">
        <v>0</v>
      </c>
      <c r="BR481" s="20">
        <v>0</v>
      </c>
      <c r="BS481" s="20">
        <v>50</v>
      </c>
      <c r="BT481" s="20">
        <v>2749900.0000000005</v>
      </c>
      <c r="BU481" s="20">
        <v>10900000</v>
      </c>
      <c r="BV481" s="20">
        <v>3.6034368191901183</v>
      </c>
    </row>
    <row r="482" spans="1:74">
      <c r="A482" s="10">
        <f t="shared" si="30"/>
        <v>0</v>
      </c>
      <c r="B482" s="10">
        <f t="shared" si="31"/>
        <v>0</v>
      </c>
      <c r="C482" s="12">
        <f t="shared" si="32"/>
        <v>4</v>
      </c>
      <c r="D482" s="12">
        <f t="shared" si="33"/>
        <v>10</v>
      </c>
      <c r="E482" s="20" t="s">
        <v>574</v>
      </c>
      <c r="F482" s="20" t="s">
        <v>665</v>
      </c>
      <c r="G482" s="20" t="s">
        <v>666</v>
      </c>
      <c r="H482" s="20" t="s">
        <v>724</v>
      </c>
      <c r="I482" s="20">
        <v>7</v>
      </c>
      <c r="J482" s="20" t="s">
        <v>725</v>
      </c>
      <c r="K482" s="20" t="s">
        <v>726</v>
      </c>
      <c r="L482" s="20" t="s">
        <v>727</v>
      </c>
      <c r="M482" s="20" t="s">
        <v>671</v>
      </c>
      <c r="N482" s="20" t="s">
        <v>672</v>
      </c>
      <c r="P482" s="20" t="s">
        <v>671</v>
      </c>
      <c r="Q482" s="20" t="s">
        <v>673</v>
      </c>
      <c r="R482" s="20" t="s">
        <v>84</v>
      </c>
      <c r="S482" s="20">
        <v>5</v>
      </c>
      <c r="T482" s="20" t="s">
        <v>728</v>
      </c>
      <c r="U482" s="20" t="s">
        <v>729</v>
      </c>
      <c r="V482" s="20" t="s">
        <v>87</v>
      </c>
      <c r="W482" s="20">
        <v>530</v>
      </c>
      <c r="X482" s="20">
        <v>530</v>
      </c>
      <c r="Y482" s="20" t="s">
        <v>730</v>
      </c>
      <c r="Z482" s="20">
        <v>0.25</v>
      </c>
      <c r="AA482" s="20" t="s">
        <v>731</v>
      </c>
      <c r="AB482" s="20" t="s">
        <v>89</v>
      </c>
      <c r="AC482" s="20" t="s">
        <v>90</v>
      </c>
      <c r="AD482" s="20" t="s">
        <v>732</v>
      </c>
      <c r="AE482" s="20" t="s">
        <v>91</v>
      </c>
      <c r="AF482" s="20">
        <v>0.25</v>
      </c>
      <c r="AH482" s="20">
        <v>1</v>
      </c>
      <c r="AI482" s="4" t="s">
        <v>643</v>
      </c>
      <c r="AJ482" s="20">
        <v>60</v>
      </c>
      <c r="AK482" s="4" t="s">
        <v>679</v>
      </c>
      <c r="AL482" s="4">
        <v>1</v>
      </c>
      <c r="AM482" s="4" t="s">
        <v>130</v>
      </c>
      <c r="AN482" s="4" t="s">
        <v>95</v>
      </c>
      <c r="AO482" s="4" t="s">
        <v>680</v>
      </c>
      <c r="AP482" s="4">
        <v>1</v>
      </c>
      <c r="AQ482" s="20">
        <v>98000</v>
      </c>
      <c r="AR482" s="4">
        <v>41801</v>
      </c>
      <c r="AS482" s="20">
        <v>19797.979797979799</v>
      </c>
      <c r="AT482" s="20">
        <v>24852.5</v>
      </c>
      <c r="AU482" s="20">
        <v>5054.5202020202014</v>
      </c>
      <c r="AW482" s="20">
        <v>20</v>
      </c>
      <c r="AY482" s="20">
        <v>20</v>
      </c>
      <c r="AZ482" s="20">
        <v>21.5</v>
      </c>
      <c r="BB482" s="6">
        <v>41744</v>
      </c>
      <c r="BD482" s="6">
        <v>41897</v>
      </c>
      <c r="BE482" s="6">
        <v>41912</v>
      </c>
      <c r="BF482" s="6">
        <v>41920</v>
      </c>
      <c r="BK482" s="4" t="s">
        <v>401</v>
      </c>
      <c r="BM482" s="20">
        <v>61</v>
      </c>
      <c r="BN482" s="20">
        <v>0</v>
      </c>
      <c r="BO482" s="20">
        <v>0</v>
      </c>
      <c r="BP482" s="20">
        <v>0</v>
      </c>
      <c r="BQ482" s="20">
        <v>0</v>
      </c>
      <c r="BR482" s="20">
        <v>0</v>
      </c>
      <c r="BS482" s="20">
        <v>60</v>
      </c>
      <c r="BT482" s="20">
        <v>1491150</v>
      </c>
      <c r="BU482" s="20">
        <v>5880000</v>
      </c>
      <c r="BV482" s="20">
        <v>3.5847866046035239</v>
      </c>
    </row>
    <row r="483" spans="1:74">
      <c r="A483" s="10">
        <f t="shared" si="30"/>
        <v>0</v>
      </c>
      <c r="B483" s="10">
        <f t="shared" si="31"/>
        <v>0</v>
      </c>
      <c r="C483" s="12">
        <f t="shared" si="32"/>
        <v>4</v>
      </c>
      <c r="D483" s="12">
        <f t="shared" si="33"/>
        <v>10</v>
      </c>
      <c r="E483" s="20" t="s">
        <v>574</v>
      </c>
      <c r="F483" s="20" t="s">
        <v>665</v>
      </c>
      <c r="G483" s="20" t="s">
        <v>666</v>
      </c>
      <c r="H483" s="20" t="s">
        <v>724</v>
      </c>
      <c r="I483" s="20">
        <v>7</v>
      </c>
      <c r="J483" s="20" t="s">
        <v>725</v>
      </c>
      <c r="K483" s="20" t="s">
        <v>733</v>
      </c>
      <c r="L483" s="20" t="s">
        <v>727</v>
      </c>
      <c r="M483" s="20" t="s">
        <v>671</v>
      </c>
      <c r="N483" s="20" t="s">
        <v>672</v>
      </c>
      <c r="P483" s="20" t="s">
        <v>671</v>
      </c>
      <c r="Q483" s="20" t="s">
        <v>673</v>
      </c>
      <c r="R483" s="20" t="s">
        <v>84</v>
      </c>
      <c r="S483" s="20">
        <v>5</v>
      </c>
      <c r="T483" s="20" t="s">
        <v>728</v>
      </c>
      <c r="U483" s="20" t="s">
        <v>729</v>
      </c>
      <c r="V483" s="20" t="s">
        <v>87</v>
      </c>
      <c r="W483" s="20">
        <v>530</v>
      </c>
      <c r="X483" s="20">
        <v>530</v>
      </c>
      <c r="Y483" s="20" t="s">
        <v>730</v>
      </c>
      <c r="Z483" s="20">
        <v>0.25</v>
      </c>
      <c r="AA483" s="20" t="s">
        <v>731</v>
      </c>
      <c r="AB483" s="20" t="s">
        <v>89</v>
      </c>
      <c r="AC483" s="20" t="s">
        <v>90</v>
      </c>
      <c r="AD483" s="20" t="s">
        <v>732</v>
      </c>
      <c r="AE483" s="20" t="s">
        <v>91</v>
      </c>
      <c r="AF483" s="20">
        <v>0.25</v>
      </c>
      <c r="AH483" s="20">
        <v>1</v>
      </c>
      <c r="AI483" s="4" t="s">
        <v>645</v>
      </c>
      <c r="AJ483" s="20">
        <v>80</v>
      </c>
      <c r="AK483" s="4" t="s">
        <v>679</v>
      </c>
      <c r="AL483" s="4">
        <v>1</v>
      </c>
      <c r="AM483" s="4" t="s">
        <v>130</v>
      </c>
      <c r="AN483" s="4" t="s">
        <v>95</v>
      </c>
      <c r="AO483" s="4" t="s">
        <v>680</v>
      </c>
      <c r="AP483" s="4">
        <v>1</v>
      </c>
      <c r="AQ483" s="20">
        <v>98000</v>
      </c>
      <c r="AR483" s="4">
        <v>41801</v>
      </c>
      <c r="AS483" s="20">
        <v>19797.979797979799</v>
      </c>
      <c r="AT483" s="20">
        <v>24852.5</v>
      </c>
      <c r="AU483" s="20">
        <v>5054.5202020202014</v>
      </c>
      <c r="AW483" s="20">
        <v>20</v>
      </c>
      <c r="AY483" s="20">
        <v>20</v>
      </c>
      <c r="AZ483" s="20">
        <v>21.5</v>
      </c>
      <c r="BB483" s="6">
        <v>41744</v>
      </c>
      <c r="BD483" s="6">
        <v>41897</v>
      </c>
      <c r="BE483" s="6">
        <v>41912</v>
      </c>
      <c r="BF483" s="6">
        <v>41920</v>
      </c>
      <c r="BK483" s="4" t="s">
        <v>401</v>
      </c>
      <c r="BM483" s="20">
        <v>80</v>
      </c>
      <c r="BN483" s="20">
        <v>0</v>
      </c>
      <c r="BO483" s="20">
        <v>0</v>
      </c>
      <c r="BP483" s="20">
        <v>0</v>
      </c>
      <c r="BQ483" s="20">
        <v>0</v>
      </c>
      <c r="BR483" s="20">
        <v>0</v>
      </c>
      <c r="BS483" s="20">
        <v>80</v>
      </c>
      <c r="BT483" s="20">
        <v>1988200</v>
      </c>
      <c r="BU483" s="20">
        <v>7840000</v>
      </c>
      <c r="BV483" s="20">
        <v>3.5847866046035244</v>
      </c>
    </row>
    <row r="484" spans="1:74">
      <c r="A484" s="10">
        <f t="shared" si="30"/>
        <v>0</v>
      </c>
      <c r="B484" s="10">
        <f t="shared" si="31"/>
        <v>0</v>
      </c>
      <c r="C484" s="12">
        <f t="shared" si="32"/>
        <v>4</v>
      </c>
      <c r="D484" s="12">
        <f t="shared" si="33"/>
        <v>10</v>
      </c>
      <c r="E484" s="20" t="s">
        <v>574</v>
      </c>
      <c r="F484" s="20" t="s">
        <v>665</v>
      </c>
      <c r="G484" s="20" t="s">
        <v>666</v>
      </c>
      <c r="H484" s="20" t="s">
        <v>724</v>
      </c>
      <c r="I484" s="20">
        <v>7</v>
      </c>
      <c r="J484" s="20" t="s">
        <v>725</v>
      </c>
      <c r="K484" s="20" t="s">
        <v>734</v>
      </c>
      <c r="L484" s="20" t="s">
        <v>727</v>
      </c>
      <c r="M484" s="20" t="s">
        <v>671</v>
      </c>
      <c r="N484" s="20" t="s">
        <v>672</v>
      </c>
      <c r="P484" s="20" t="s">
        <v>671</v>
      </c>
      <c r="Q484" s="20" t="s">
        <v>673</v>
      </c>
      <c r="R484" s="20" t="s">
        <v>84</v>
      </c>
      <c r="S484" s="20">
        <v>5</v>
      </c>
      <c r="T484" s="20" t="s">
        <v>728</v>
      </c>
      <c r="U484" s="20" t="s">
        <v>729</v>
      </c>
      <c r="V484" s="20" t="s">
        <v>87</v>
      </c>
      <c r="W484" s="20">
        <v>530</v>
      </c>
      <c r="X484" s="20">
        <v>530</v>
      </c>
      <c r="Y484" s="20" t="s">
        <v>730</v>
      </c>
      <c r="Z484" s="20">
        <v>0.25</v>
      </c>
      <c r="AA484" s="20" t="s">
        <v>731</v>
      </c>
      <c r="AB484" s="20" t="s">
        <v>89</v>
      </c>
      <c r="AC484" s="20" t="s">
        <v>90</v>
      </c>
      <c r="AD484" s="20" t="s">
        <v>732</v>
      </c>
      <c r="AE484" s="20" t="s">
        <v>91</v>
      </c>
      <c r="AF484" s="20">
        <v>0.25</v>
      </c>
      <c r="AH484" s="20">
        <v>1</v>
      </c>
      <c r="AI484" s="4" t="s">
        <v>647</v>
      </c>
      <c r="AJ484" s="20">
        <v>60</v>
      </c>
      <c r="AK484" s="4" t="s">
        <v>679</v>
      </c>
      <c r="AL484" s="4">
        <v>1</v>
      </c>
      <c r="AM484" s="4" t="s">
        <v>130</v>
      </c>
      <c r="AN484" s="4" t="s">
        <v>95</v>
      </c>
      <c r="AO484" s="4" t="s">
        <v>680</v>
      </c>
      <c r="AP484" s="4">
        <v>1</v>
      </c>
      <c r="AQ484" s="20">
        <v>98000</v>
      </c>
      <c r="AR484" s="4">
        <v>41801</v>
      </c>
      <c r="AS484" s="20">
        <v>19797.979797979799</v>
      </c>
      <c r="AT484" s="20">
        <v>24852.5</v>
      </c>
      <c r="AU484" s="20">
        <v>5054.5202020202014</v>
      </c>
      <c r="AW484" s="20">
        <v>20</v>
      </c>
      <c r="AY484" s="20">
        <v>20</v>
      </c>
      <c r="AZ484" s="20">
        <v>21.5</v>
      </c>
      <c r="BB484" s="6">
        <v>41744</v>
      </c>
      <c r="BD484" s="6">
        <v>41897</v>
      </c>
      <c r="BE484" s="6">
        <v>41912</v>
      </c>
      <c r="BF484" s="6">
        <v>41920</v>
      </c>
      <c r="BK484" s="4" t="s">
        <v>401</v>
      </c>
      <c r="BM484" s="20">
        <v>61</v>
      </c>
      <c r="BN484" s="20">
        <v>0</v>
      </c>
      <c r="BO484" s="20">
        <v>0</v>
      </c>
      <c r="BP484" s="20">
        <v>0</v>
      </c>
      <c r="BQ484" s="20">
        <v>0</v>
      </c>
      <c r="BR484" s="20">
        <v>0</v>
      </c>
      <c r="BS484" s="20">
        <v>60</v>
      </c>
      <c r="BT484" s="20">
        <v>1491150</v>
      </c>
      <c r="BU484" s="20">
        <v>5880000</v>
      </c>
      <c r="BV484" s="20">
        <v>3.5847866046035239</v>
      </c>
    </row>
    <row r="485" spans="1:74">
      <c r="A485" s="10">
        <f t="shared" si="30"/>
        <v>0</v>
      </c>
      <c r="B485" s="10">
        <f t="shared" si="31"/>
        <v>0</v>
      </c>
      <c r="C485" s="12">
        <f t="shared" si="32"/>
        <v>4</v>
      </c>
      <c r="D485" s="12">
        <f t="shared" si="33"/>
        <v>10</v>
      </c>
      <c r="E485" s="20" t="s">
        <v>574</v>
      </c>
      <c r="F485" s="20" t="s">
        <v>665</v>
      </c>
      <c r="G485" s="20" t="s">
        <v>666</v>
      </c>
      <c r="H485" s="20" t="s">
        <v>724</v>
      </c>
      <c r="I485" s="20">
        <v>7</v>
      </c>
      <c r="J485" s="20" t="s">
        <v>725</v>
      </c>
      <c r="K485" s="20" t="s">
        <v>735</v>
      </c>
      <c r="L485" s="20" t="s">
        <v>727</v>
      </c>
      <c r="M485" s="20" t="s">
        <v>671</v>
      </c>
      <c r="N485" s="20" t="s">
        <v>672</v>
      </c>
      <c r="P485" s="20" t="s">
        <v>671</v>
      </c>
      <c r="Q485" s="20" t="s">
        <v>673</v>
      </c>
      <c r="R485" s="20" t="s">
        <v>84</v>
      </c>
      <c r="S485" s="20">
        <v>5</v>
      </c>
      <c r="T485" s="20" t="s">
        <v>728</v>
      </c>
      <c r="U485" s="20" t="s">
        <v>729</v>
      </c>
      <c r="V485" s="20" t="s">
        <v>87</v>
      </c>
      <c r="W485" s="20">
        <v>530</v>
      </c>
      <c r="X485" s="20">
        <v>530</v>
      </c>
      <c r="Y485" s="20" t="s">
        <v>730</v>
      </c>
      <c r="Z485" s="20">
        <v>0.25</v>
      </c>
      <c r="AA485" s="20" t="s">
        <v>731</v>
      </c>
      <c r="AB485" s="20" t="s">
        <v>89</v>
      </c>
      <c r="AC485" s="20" t="s">
        <v>90</v>
      </c>
      <c r="AD485" s="20" t="s">
        <v>732</v>
      </c>
      <c r="AE485" s="20" t="s">
        <v>91</v>
      </c>
      <c r="AF485" s="20">
        <v>0.25</v>
      </c>
      <c r="AH485" s="20">
        <v>1</v>
      </c>
      <c r="AI485" s="4" t="s">
        <v>649</v>
      </c>
      <c r="AJ485" s="20">
        <v>50</v>
      </c>
      <c r="AK485" s="4" t="s">
        <v>679</v>
      </c>
      <c r="AL485" s="4">
        <v>1</v>
      </c>
      <c r="AM485" s="4" t="s">
        <v>130</v>
      </c>
      <c r="AN485" s="4" t="s">
        <v>95</v>
      </c>
      <c r="AO485" s="4" t="s">
        <v>680</v>
      </c>
      <c r="AP485" s="4">
        <v>1</v>
      </c>
      <c r="AQ485" s="20">
        <v>98000</v>
      </c>
      <c r="AR485" s="4">
        <v>41801</v>
      </c>
      <c r="AS485" s="20">
        <v>19797.979797979799</v>
      </c>
      <c r="AT485" s="20">
        <v>24852.5</v>
      </c>
      <c r="AU485" s="20">
        <v>5054.5202020202014</v>
      </c>
      <c r="AW485" s="20">
        <v>20</v>
      </c>
      <c r="AY485" s="20">
        <v>20</v>
      </c>
      <c r="AZ485" s="20">
        <v>21.5</v>
      </c>
      <c r="BB485" s="6">
        <v>41744</v>
      </c>
      <c r="BD485" s="6">
        <v>41897</v>
      </c>
      <c r="BE485" s="6">
        <v>41912</v>
      </c>
      <c r="BF485" s="6">
        <v>41920</v>
      </c>
      <c r="BK485" s="4" t="s">
        <v>401</v>
      </c>
      <c r="BM485" s="20">
        <v>50</v>
      </c>
      <c r="BN485" s="20">
        <v>0</v>
      </c>
      <c r="BO485" s="20">
        <v>0</v>
      </c>
      <c r="BP485" s="20">
        <v>0</v>
      </c>
      <c r="BQ485" s="20">
        <v>0</v>
      </c>
      <c r="BR485" s="20">
        <v>0</v>
      </c>
      <c r="BS485" s="20">
        <v>50</v>
      </c>
      <c r="BT485" s="20">
        <v>1242625</v>
      </c>
      <c r="BU485" s="20">
        <v>4900000</v>
      </c>
      <c r="BV485" s="20">
        <v>3.5847866046035244</v>
      </c>
    </row>
    <row r="486" spans="1:74">
      <c r="A486" s="10">
        <f t="shared" si="30"/>
        <v>0</v>
      </c>
      <c r="B486" s="10">
        <f t="shared" si="31"/>
        <v>0</v>
      </c>
      <c r="C486" s="12" t="str">
        <f t="shared" si="32"/>
        <v/>
      </c>
      <c r="D486" s="12" t="str">
        <f t="shared" si="33"/>
        <v/>
      </c>
      <c r="E486" s="20" t="s">
        <v>91</v>
      </c>
      <c r="F486" s="20" t="s">
        <v>91</v>
      </c>
      <c r="G486" s="20" t="s">
        <v>91</v>
      </c>
      <c r="H486" s="20" t="s">
        <v>91</v>
      </c>
      <c r="I486" s="20">
        <v>0</v>
      </c>
      <c r="J486" s="20" t="s">
        <v>103</v>
      </c>
      <c r="K486" s="20" t="s">
        <v>104</v>
      </c>
      <c r="L486" s="20">
        <v>0</v>
      </c>
      <c r="M486" s="20" t="s">
        <v>105</v>
      </c>
      <c r="N486" s="20" t="s">
        <v>91</v>
      </c>
      <c r="O486" s="20" t="s">
        <v>736</v>
      </c>
      <c r="Q486" s="20" t="s">
        <v>91</v>
      </c>
      <c r="R486" s="20" t="s">
        <v>91</v>
      </c>
      <c r="S486" s="20" t="s">
        <v>91</v>
      </c>
      <c r="U486" s="20" t="s">
        <v>91</v>
      </c>
      <c r="V486" s="20" t="s">
        <v>87</v>
      </c>
      <c r="X486" s="20" t="s">
        <v>91</v>
      </c>
      <c r="Y486" s="20" t="s">
        <v>91</v>
      </c>
      <c r="Z486" s="20">
        <v>4</v>
      </c>
      <c r="AB486" s="20" t="s">
        <v>91</v>
      </c>
      <c r="AD486" s="20" t="s">
        <v>91</v>
      </c>
      <c r="AE486" s="20" t="s">
        <v>91</v>
      </c>
      <c r="AF486" s="20">
        <v>7.0000000000000009</v>
      </c>
      <c r="AH486" s="20">
        <v>1</v>
      </c>
      <c r="AM486" s="4" t="s">
        <v>91</v>
      </c>
      <c r="AP486" s="4" t="s">
        <v>91</v>
      </c>
      <c r="AQ486" s="20">
        <v>0</v>
      </c>
      <c r="AR486" s="4">
        <v>0</v>
      </c>
      <c r="AS486" s="20">
        <v>0</v>
      </c>
      <c r="AT486" s="20">
        <v>0</v>
      </c>
      <c r="AU486" s="20">
        <v>0</v>
      </c>
      <c r="AY486" s="20">
        <v>0</v>
      </c>
      <c r="BB486" s="6">
        <v>0</v>
      </c>
      <c r="BD486" s="6">
        <v>0</v>
      </c>
      <c r="BF486" s="6">
        <v>0</v>
      </c>
      <c r="BM486" s="20">
        <v>1801</v>
      </c>
      <c r="BN486" s="20">
        <v>0</v>
      </c>
      <c r="BO486" s="20">
        <v>0</v>
      </c>
      <c r="BP486" s="20">
        <v>0</v>
      </c>
      <c r="BQ486" s="20">
        <v>0</v>
      </c>
      <c r="BR486" s="20">
        <v>0</v>
      </c>
      <c r="BS486" s="20">
        <v>1800</v>
      </c>
      <c r="BT486" s="20">
        <v>79445137.5</v>
      </c>
      <c r="BU486" s="20">
        <v>323700000</v>
      </c>
      <c r="BV486" s="20">
        <v>3.7040999176661664</v>
      </c>
    </row>
    <row r="487" spans="1:74">
      <c r="A487" s="10">
        <f t="shared" si="30"/>
        <v>0</v>
      </c>
      <c r="B487" s="10">
        <f t="shared" si="31"/>
        <v>0</v>
      </c>
      <c r="C487" s="12">
        <f t="shared" si="32"/>
        <v>4</v>
      </c>
      <c r="D487" s="12">
        <f t="shared" si="33"/>
        <v>8</v>
      </c>
      <c r="E487" s="20" t="s">
        <v>574</v>
      </c>
      <c r="F487" s="20" t="s">
        <v>665</v>
      </c>
      <c r="G487" s="20" t="s">
        <v>737</v>
      </c>
      <c r="H487" s="20" t="s">
        <v>738</v>
      </c>
      <c r="I487" s="20">
        <v>1</v>
      </c>
      <c r="J487" s="20" t="s">
        <v>739</v>
      </c>
      <c r="K487" s="20" t="s">
        <v>740</v>
      </c>
      <c r="L487" s="20" t="s">
        <v>741</v>
      </c>
      <c r="M487" s="20" t="s">
        <v>671</v>
      </c>
      <c r="N487" s="20" t="s">
        <v>672</v>
      </c>
      <c r="P487" s="20" t="s">
        <v>671</v>
      </c>
      <c r="Q487" s="20" t="s">
        <v>673</v>
      </c>
      <c r="R487" s="20" t="s">
        <v>84</v>
      </c>
      <c r="S487" s="20">
        <v>4</v>
      </c>
      <c r="T487" s="20" t="s">
        <v>635</v>
      </c>
      <c r="U487" s="20" t="s">
        <v>636</v>
      </c>
      <c r="V487" s="20" t="s">
        <v>87</v>
      </c>
      <c r="W487" s="20">
        <v>506</v>
      </c>
      <c r="X487" s="20">
        <v>506</v>
      </c>
      <c r="Y487" s="20" t="s">
        <v>742</v>
      </c>
      <c r="Z487" s="20">
        <v>8.3333333333333329E-2</v>
      </c>
      <c r="AA487" s="20" t="s">
        <v>743</v>
      </c>
      <c r="AB487" s="20" t="s">
        <v>139</v>
      </c>
      <c r="AC487" s="20" t="s">
        <v>140</v>
      </c>
      <c r="AD487" s="20" t="s">
        <v>744</v>
      </c>
      <c r="AE487" s="20" t="s">
        <v>91</v>
      </c>
      <c r="AF487" s="20">
        <v>0.16666666666666666</v>
      </c>
      <c r="AH487" s="20">
        <v>1</v>
      </c>
      <c r="AI487" s="4" t="s">
        <v>640</v>
      </c>
      <c r="AJ487" s="20">
        <v>150</v>
      </c>
      <c r="AK487" s="4" t="s">
        <v>641</v>
      </c>
      <c r="AL487" s="4">
        <v>2</v>
      </c>
      <c r="AM487" s="4" t="s">
        <v>94</v>
      </c>
      <c r="AN487" s="4" t="s">
        <v>95</v>
      </c>
      <c r="AO487" s="4" t="s">
        <v>96</v>
      </c>
      <c r="AP487" s="4">
        <v>1</v>
      </c>
      <c r="AQ487" s="20">
        <v>65000</v>
      </c>
      <c r="AR487" s="4">
        <v>41803</v>
      </c>
      <c r="AS487" s="20">
        <v>11818.181818181818</v>
      </c>
      <c r="AT487" s="20">
        <v>13121.499999999998</v>
      </c>
      <c r="AU487" s="20">
        <v>1303.3181818181802</v>
      </c>
      <c r="AW487" s="20">
        <v>70</v>
      </c>
      <c r="AY487" s="20">
        <v>70</v>
      </c>
      <c r="AZ487" s="20">
        <v>10</v>
      </c>
      <c r="BB487" s="6">
        <v>41744</v>
      </c>
      <c r="BC487" s="6">
        <v>41839</v>
      </c>
      <c r="BD487" s="6">
        <v>41823</v>
      </c>
      <c r="BE487" s="6">
        <v>41845</v>
      </c>
      <c r="BF487" s="6">
        <v>41876</v>
      </c>
      <c r="BK487" s="4" t="s">
        <v>401</v>
      </c>
      <c r="BM487" s="20">
        <v>154</v>
      </c>
      <c r="BN487" s="20">
        <v>0</v>
      </c>
      <c r="BO487" s="20">
        <v>0</v>
      </c>
      <c r="BP487" s="20">
        <v>0</v>
      </c>
      <c r="BQ487" s="20">
        <v>0</v>
      </c>
      <c r="BR487" s="20">
        <v>0</v>
      </c>
      <c r="BS487" s="20">
        <v>150</v>
      </c>
      <c r="BT487" s="20">
        <v>1968224.9999999998</v>
      </c>
      <c r="BU487" s="20">
        <v>9750000</v>
      </c>
      <c r="BV487" s="20">
        <v>4.5033653996043963</v>
      </c>
    </row>
    <row r="488" spans="1:74">
      <c r="A488" s="10">
        <f t="shared" si="30"/>
        <v>0</v>
      </c>
      <c r="B488" s="10">
        <f t="shared" si="31"/>
        <v>0</v>
      </c>
      <c r="C488" s="12">
        <f t="shared" si="32"/>
        <v>4</v>
      </c>
      <c r="D488" s="12">
        <f t="shared" si="33"/>
        <v>8</v>
      </c>
      <c r="E488" s="20" t="s">
        <v>574</v>
      </c>
      <c r="F488" s="20" t="s">
        <v>665</v>
      </c>
      <c r="G488" s="20" t="s">
        <v>737</v>
      </c>
      <c r="H488" s="20" t="s">
        <v>738</v>
      </c>
      <c r="I488" s="20">
        <v>1</v>
      </c>
      <c r="J488" s="20" t="s">
        <v>739</v>
      </c>
      <c r="K488" s="20" t="s">
        <v>745</v>
      </c>
      <c r="L488" s="20" t="s">
        <v>741</v>
      </c>
      <c r="M488" s="20" t="s">
        <v>671</v>
      </c>
      <c r="N488" s="20" t="s">
        <v>672</v>
      </c>
      <c r="P488" s="20" t="s">
        <v>671</v>
      </c>
      <c r="Q488" s="20" t="s">
        <v>673</v>
      </c>
      <c r="R488" s="20" t="s">
        <v>84</v>
      </c>
      <c r="S488" s="20">
        <v>4</v>
      </c>
      <c r="T488" s="20" t="s">
        <v>635</v>
      </c>
      <c r="U488" s="20" t="s">
        <v>636</v>
      </c>
      <c r="V488" s="20" t="s">
        <v>87</v>
      </c>
      <c r="W488" s="20">
        <v>506</v>
      </c>
      <c r="X488" s="20">
        <v>506</v>
      </c>
      <c r="Y488" s="20" t="s">
        <v>742</v>
      </c>
      <c r="Z488" s="20">
        <v>8.3333333333333329E-2</v>
      </c>
      <c r="AA488" s="20" t="s">
        <v>743</v>
      </c>
      <c r="AB488" s="20" t="s">
        <v>139</v>
      </c>
      <c r="AC488" s="20" t="s">
        <v>140</v>
      </c>
      <c r="AD488" s="20" t="s">
        <v>744</v>
      </c>
      <c r="AE488" s="20" t="s">
        <v>91</v>
      </c>
      <c r="AF488" s="20">
        <v>0.16666666666666666</v>
      </c>
      <c r="AH488" s="20">
        <v>1</v>
      </c>
      <c r="AI488" s="4" t="s">
        <v>643</v>
      </c>
      <c r="AJ488" s="20">
        <v>60</v>
      </c>
      <c r="AK488" s="4" t="s">
        <v>641</v>
      </c>
      <c r="AL488" s="4">
        <v>2</v>
      </c>
      <c r="AM488" s="4" t="s">
        <v>94</v>
      </c>
      <c r="AN488" s="4" t="s">
        <v>95</v>
      </c>
      <c r="AO488" s="4" t="s">
        <v>96</v>
      </c>
      <c r="AP488" s="4">
        <v>1</v>
      </c>
      <c r="AQ488" s="20">
        <v>65000</v>
      </c>
      <c r="AR488" s="4">
        <v>41803</v>
      </c>
      <c r="AS488" s="20">
        <v>11818.181818181818</v>
      </c>
      <c r="AT488" s="20">
        <v>13121.499999999998</v>
      </c>
      <c r="AU488" s="20">
        <v>1303.3181818181802</v>
      </c>
      <c r="AW488" s="20">
        <v>70</v>
      </c>
      <c r="AY488" s="20">
        <v>70</v>
      </c>
      <c r="AZ488" s="20">
        <v>10</v>
      </c>
      <c r="BB488" s="6">
        <v>41744</v>
      </c>
      <c r="BC488" s="6">
        <v>41839</v>
      </c>
      <c r="BD488" s="6">
        <v>41823</v>
      </c>
      <c r="BE488" s="6">
        <v>41845</v>
      </c>
      <c r="BF488" s="6">
        <v>41876</v>
      </c>
      <c r="BK488" s="4" t="s">
        <v>401</v>
      </c>
      <c r="BM488" s="20">
        <v>64</v>
      </c>
      <c r="BN488" s="20">
        <v>0</v>
      </c>
      <c r="BO488" s="20">
        <v>0</v>
      </c>
      <c r="BP488" s="20">
        <v>0</v>
      </c>
      <c r="BQ488" s="20">
        <v>0</v>
      </c>
      <c r="BR488" s="20">
        <v>0</v>
      </c>
      <c r="BS488" s="20">
        <v>60</v>
      </c>
      <c r="BT488" s="20">
        <v>787289.99999999988</v>
      </c>
      <c r="BU488" s="20">
        <v>3900000</v>
      </c>
      <c r="BV488" s="20">
        <v>4.5033653996043963</v>
      </c>
    </row>
    <row r="489" spans="1:74">
      <c r="A489" s="10">
        <f t="shared" si="30"/>
        <v>0</v>
      </c>
      <c r="B489" s="10">
        <f t="shared" si="31"/>
        <v>0</v>
      </c>
      <c r="C489" s="12">
        <f t="shared" si="32"/>
        <v>4</v>
      </c>
      <c r="D489" s="12">
        <f t="shared" si="33"/>
        <v>8</v>
      </c>
      <c r="E489" s="20" t="s">
        <v>574</v>
      </c>
      <c r="F489" s="20" t="s">
        <v>665</v>
      </c>
      <c r="G489" s="20" t="s">
        <v>737</v>
      </c>
      <c r="H489" s="20" t="s">
        <v>738</v>
      </c>
      <c r="I489" s="20">
        <v>1</v>
      </c>
      <c r="J489" s="20" t="s">
        <v>739</v>
      </c>
      <c r="K489" s="20" t="s">
        <v>746</v>
      </c>
      <c r="L489" s="20" t="s">
        <v>741</v>
      </c>
      <c r="M489" s="20" t="s">
        <v>671</v>
      </c>
      <c r="N489" s="20" t="s">
        <v>672</v>
      </c>
      <c r="P489" s="20" t="s">
        <v>671</v>
      </c>
      <c r="Q489" s="20" t="s">
        <v>673</v>
      </c>
      <c r="R489" s="20" t="s">
        <v>84</v>
      </c>
      <c r="S489" s="20">
        <v>4</v>
      </c>
      <c r="T489" s="20" t="s">
        <v>635</v>
      </c>
      <c r="U489" s="20" t="s">
        <v>636</v>
      </c>
      <c r="V489" s="20" t="s">
        <v>87</v>
      </c>
      <c r="W489" s="20">
        <v>506</v>
      </c>
      <c r="X489" s="20">
        <v>506</v>
      </c>
      <c r="Y489" s="20" t="s">
        <v>742</v>
      </c>
      <c r="Z489" s="20">
        <v>8.3333333333333329E-2</v>
      </c>
      <c r="AA489" s="20" t="s">
        <v>743</v>
      </c>
      <c r="AB489" s="20" t="s">
        <v>139</v>
      </c>
      <c r="AC489" s="20" t="s">
        <v>140</v>
      </c>
      <c r="AD489" s="20" t="s">
        <v>744</v>
      </c>
      <c r="AE489" s="20" t="s">
        <v>91</v>
      </c>
      <c r="AF489" s="20">
        <v>0.16666666666666666</v>
      </c>
      <c r="AH489" s="20">
        <v>1</v>
      </c>
      <c r="AI489" s="4" t="s">
        <v>645</v>
      </c>
      <c r="AJ489" s="20">
        <v>75</v>
      </c>
      <c r="AK489" s="4" t="s">
        <v>641</v>
      </c>
      <c r="AL489" s="4">
        <v>2</v>
      </c>
      <c r="AM489" s="4" t="s">
        <v>94</v>
      </c>
      <c r="AN489" s="4" t="s">
        <v>95</v>
      </c>
      <c r="AO489" s="4" t="s">
        <v>96</v>
      </c>
      <c r="AP489" s="4">
        <v>1</v>
      </c>
      <c r="AQ489" s="20">
        <v>65000</v>
      </c>
      <c r="AR489" s="4">
        <v>41803</v>
      </c>
      <c r="AS489" s="20">
        <v>11818.181818181818</v>
      </c>
      <c r="AT489" s="20">
        <v>13121.499999999998</v>
      </c>
      <c r="AU489" s="20">
        <v>1303.3181818181802</v>
      </c>
      <c r="AW489" s="20">
        <v>70</v>
      </c>
      <c r="AY489" s="20">
        <v>70</v>
      </c>
      <c r="AZ489" s="20">
        <v>10</v>
      </c>
      <c r="BB489" s="6">
        <v>41744</v>
      </c>
      <c r="BC489" s="6">
        <v>41839</v>
      </c>
      <c r="BD489" s="6">
        <v>41823</v>
      </c>
      <c r="BE489" s="6">
        <v>41845</v>
      </c>
      <c r="BF489" s="6">
        <v>41876</v>
      </c>
      <c r="BK489" s="4" t="s">
        <v>401</v>
      </c>
      <c r="BM489" s="20">
        <v>75</v>
      </c>
      <c r="BN489" s="20">
        <v>0</v>
      </c>
      <c r="BO489" s="20">
        <v>0</v>
      </c>
      <c r="BP489" s="20">
        <v>0</v>
      </c>
      <c r="BQ489" s="20">
        <v>0</v>
      </c>
      <c r="BR489" s="20">
        <v>0</v>
      </c>
      <c r="BS489" s="20">
        <v>75</v>
      </c>
      <c r="BT489" s="20">
        <v>984112.49999999988</v>
      </c>
      <c r="BU489" s="20">
        <v>4875000</v>
      </c>
      <c r="BV489" s="20">
        <v>4.5033653996043963</v>
      </c>
    </row>
    <row r="490" spans="1:74">
      <c r="A490" s="10">
        <f t="shared" si="30"/>
        <v>0</v>
      </c>
      <c r="B490" s="10">
        <f t="shared" si="31"/>
        <v>0</v>
      </c>
      <c r="C490" s="12">
        <f t="shared" si="32"/>
        <v>4</v>
      </c>
      <c r="D490" s="12">
        <f t="shared" si="33"/>
        <v>8</v>
      </c>
      <c r="E490" s="20" t="s">
        <v>574</v>
      </c>
      <c r="F490" s="20" t="s">
        <v>665</v>
      </c>
      <c r="G490" s="20" t="s">
        <v>737</v>
      </c>
      <c r="H490" s="20" t="s">
        <v>738</v>
      </c>
      <c r="I490" s="20">
        <v>1</v>
      </c>
      <c r="J490" s="20" t="s">
        <v>739</v>
      </c>
      <c r="K490" s="20" t="s">
        <v>747</v>
      </c>
      <c r="L490" s="20" t="s">
        <v>741</v>
      </c>
      <c r="M490" s="20" t="s">
        <v>671</v>
      </c>
      <c r="N490" s="20" t="s">
        <v>672</v>
      </c>
      <c r="P490" s="20" t="s">
        <v>671</v>
      </c>
      <c r="Q490" s="20" t="s">
        <v>673</v>
      </c>
      <c r="R490" s="20" t="s">
        <v>84</v>
      </c>
      <c r="S490" s="20">
        <v>4</v>
      </c>
      <c r="T490" s="20" t="s">
        <v>635</v>
      </c>
      <c r="U490" s="20" t="s">
        <v>636</v>
      </c>
      <c r="V490" s="20" t="s">
        <v>87</v>
      </c>
      <c r="W490" s="20">
        <v>506</v>
      </c>
      <c r="X490" s="20">
        <v>506</v>
      </c>
      <c r="Y490" s="20" t="s">
        <v>742</v>
      </c>
      <c r="Z490" s="20">
        <v>8.3333333333333329E-2</v>
      </c>
      <c r="AA490" s="20" t="s">
        <v>743</v>
      </c>
      <c r="AB490" s="20" t="s">
        <v>139</v>
      </c>
      <c r="AC490" s="20" t="s">
        <v>140</v>
      </c>
      <c r="AD490" s="20" t="s">
        <v>744</v>
      </c>
      <c r="AE490" s="20" t="s">
        <v>91</v>
      </c>
      <c r="AF490" s="20">
        <v>0.16666666666666666</v>
      </c>
      <c r="AH490" s="20">
        <v>1</v>
      </c>
      <c r="AI490" s="4" t="s">
        <v>647</v>
      </c>
      <c r="AJ490" s="20">
        <v>75</v>
      </c>
      <c r="AK490" s="4" t="s">
        <v>641</v>
      </c>
      <c r="AL490" s="4">
        <v>2</v>
      </c>
      <c r="AM490" s="4" t="s">
        <v>94</v>
      </c>
      <c r="AN490" s="4" t="s">
        <v>95</v>
      </c>
      <c r="AO490" s="4" t="s">
        <v>96</v>
      </c>
      <c r="AP490" s="4">
        <v>1</v>
      </c>
      <c r="AQ490" s="20">
        <v>65000</v>
      </c>
      <c r="AR490" s="4">
        <v>41803</v>
      </c>
      <c r="AS490" s="20">
        <v>11818.181818181818</v>
      </c>
      <c r="AT490" s="20">
        <v>13121.499999999998</v>
      </c>
      <c r="AU490" s="20">
        <v>1303.3181818181802</v>
      </c>
      <c r="AW490" s="20">
        <v>70</v>
      </c>
      <c r="AY490" s="20">
        <v>70</v>
      </c>
      <c r="AZ490" s="20">
        <v>10</v>
      </c>
      <c r="BB490" s="6">
        <v>41744</v>
      </c>
      <c r="BC490" s="6">
        <v>41839</v>
      </c>
      <c r="BD490" s="6">
        <v>41823</v>
      </c>
      <c r="BE490" s="6">
        <v>41845</v>
      </c>
      <c r="BF490" s="6">
        <v>41876</v>
      </c>
      <c r="BK490" s="4" t="s">
        <v>401</v>
      </c>
      <c r="BM490" s="20">
        <v>75</v>
      </c>
      <c r="BN490" s="20">
        <v>0</v>
      </c>
      <c r="BO490" s="20">
        <v>0</v>
      </c>
      <c r="BP490" s="20">
        <v>0</v>
      </c>
      <c r="BQ490" s="20">
        <v>0</v>
      </c>
      <c r="BR490" s="20">
        <v>0</v>
      </c>
      <c r="BS490" s="20">
        <v>75</v>
      </c>
      <c r="BT490" s="20">
        <v>984112.49999999988</v>
      </c>
      <c r="BU490" s="20">
        <v>4875000</v>
      </c>
      <c r="BV490" s="20">
        <v>4.5033653996043963</v>
      </c>
    </row>
    <row r="491" spans="1:74">
      <c r="A491" s="10">
        <f t="shared" si="30"/>
        <v>0</v>
      </c>
      <c r="B491" s="10">
        <f t="shared" si="31"/>
        <v>0</v>
      </c>
      <c r="C491" s="12">
        <f t="shared" si="32"/>
        <v>4</v>
      </c>
      <c r="D491" s="12">
        <f t="shared" si="33"/>
        <v>8</v>
      </c>
      <c r="E491" s="20" t="s">
        <v>574</v>
      </c>
      <c r="F491" s="20" t="s">
        <v>665</v>
      </c>
      <c r="G491" s="20" t="s">
        <v>737</v>
      </c>
      <c r="H491" s="20" t="s">
        <v>738</v>
      </c>
      <c r="I491" s="20">
        <v>1</v>
      </c>
      <c r="J491" s="20" t="s">
        <v>739</v>
      </c>
      <c r="K491" s="20" t="s">
        <v>748</v>
      </c>
      <c r="L491" s="20" t="s">
        <v>741</v>
      </c>
      <c r="M491" s="20" t="s">
        <v>671</v>
      </c>
      <c r="N491" s="20" t="s">
        <v>672</v>
      </c>
      <c r="P491" s="20" t="s">
        <v>671</v>
      </c>
      <c r="Q491" s="20" t="s">
        <v>673</v>
      </c>
      <c r="R491" s="20" t="s">
        <v>84</v>
      </c>
      <c r="S491" s="20">
        <v>4</v>
      </c>
      <c r="T491" s="20" t="s">
        <v>635</v>
      </c>
      <c r="U491" s="20" t="s">
        <v>636</v>
      </c>
      <c r="V491" s="20" t="s">
        <v>87</v>
      </c>
      <c r="W491" s="20">
        <v>506</v>
      </c>
      <c r="X491" s="20">
        <v>506</v>
      </c>
      <c r="Y491" s="20" t="s">
        <v>742</v>
      </c>
      <c r="Z491" s="20">
        <v>8.3333333333333329E-2</v>
      </c>
      <c r="AA491" s="20" t="s">
        <v>743</v>
      </c>
      <c r="AB491" s="20" t="s">
        <v>139</v>
      </c>
      <c r="AC491" s="20" t="s">
        <v>140</v>
      </c>
      <c r="AD491" s="20" t="s">
        <v>744</v>
      </c>
      <c r="AE491" s="20" t="s">
        <v>91</v>
      </c>
      <c r="AF491" s="20">
        <v>0.16666666666666666</v>
      </c>
      <c r="AH491" s="20">
        <v>1</v>
      </c>
      <c r="AI491" s="4" t="s">
        <v>649</v>
      </c>
      <c r="AJ491" s="20">
        <v>45</v>
      </c>
      <c r="AK491" s="4" t="s">
        <v>641</v>
      </c>
      <c r="AL491" s="4">
        <v>2</v>
      </c>
      <c r="AM491" s="4" t="s">
        <v>94</v>
      </c>
      <c r="AN491" s="4" t="s">
        <v>95</v>
      </c>
      <c r="AO491" s="4" t="s">
        <v>96</v>
      </c>
      <c r="AP491" s="4">
        <v>1</v>
      </c>
      <c r="AQ491" s="20">
        <v>65000</v>
      </c>
      <c r="AR491" s="4">
        <v>41803</v>
      </c>
      <c r="AS491" s="20">
        <v>11818.181818181818</v>
      </c>
      <c r="AT491" s="20">
        <v>13121.499999999998</v>
      </c>
      <c r="AU491" s="20">
        <v>1303.3181818181802</v>
      </c>
      <c r="AW491" s="20">
        <v>70</v>
      </c>
      <c r="AY491" s="20">
        <v>70</v>
      </c>
      <c r="AZ491" s="20">
        <v>10</v>
      </c>
      <c r="BB491" s="6">
        <v>41744</v>
      </c>
      <c r="BC491" s="6">
        <v>41839</v>
      </c>
      <c r="BD491" s="6">
        <v>41823</v>
      </c>
      <c r="BE491" s="6">
        <v>41845</v>
      </c>
      <c r="BF491" s="6">
        <v>41876</v>
      </c>
      <c r="BK491" s="4" t="s">
        <v>401</v>
      </c>
      <c r="BM491" s="20">
        <v>46</v>
      </c>
      <c r="BN491" s="20">
        <v>0</v>
      </c>
      <c r="BO491" s="20">
        <v>0</v>
      </c>
      <c r="BP491" s="20">
        <v>0</v>
      </c>
      <c r="BQ491" s="20">
        <v>0</v>
      </c>
      <c r="BR491" s="20">
        <v>0</v>
      </c>
      <c r="BS491" s="20">
        <v>45</v>
      </c>
      <c r="BT491" s="20">
        <v>590467.49999999988</v>
      </c>
      <c r="BU491" s="20">
        <v>2925000</v>
      </c>
      <c r="BV491" s="20">
        <v>4.5033653996043972</v>
      </c>
    </row>
    <row r="492" spans="1:74">
      <c r="A492" s="10">
        <f t="shared" si="30"/>
        <v>0</v>
      </c>
      <c r="B492" s="10">
        <f t="shared" si="31"/>
        <v>0</v>
      </c>
      <c r="C492" s="12">
        <f t="shared" si="32"/>
        <v>4</v>
      </c>
      <c r="D492" s="12">
        <f t="shared" si="33"/>
        <v>8</v>
      </c>
      <c r="E492" s="20" t="s">
        <v>574</v>
      </c>
      <c r="F492" s="20" t="s">
        <v>665</v>
      </c>
      <c r="G492" s="20" t="s">
        <v>737</v>
      </c>
      <c r="H492" s="20" t="s">
        <v>738</v>
      </c>
      <c r="I492" s="20">
        <v>1</v>
      </c>
      <c r="J492" s="20" t="s">
        <v>739</v>
      </c>
      <c r="K492" s="20" t="s">
        <v>749</v>
      </c>
      <c r="L492" s="20" t="s">
        <v>741</v>
      </c>
      <c r="M492" s="20" t="s">
        <v>671</v>
      </c>
      <c r="N492" s="20" t="s">
        <v>672</v>
      </c>
      <c r="P492" s="20" t="s">
        <v>671</v>
      </c>
      <c r="Q492" s="20" t="s">
        <v>673</v>
      </c>
      <c r="R492" s="20" t="s">
        <v>84</v>
      </c>
      <c r="S492" s="20">
        <v>4</v>
      </c>
      <c r="T492" s="20" t="s">
        <v>635</v>
      </c>
      <c r="U492" s="20" t="s">
        <v>636</v>
      </c>
      <c r="V492" s="20" t="s">
        <v>87</v>
      </c>
      <c r="W492" s="20">
        <v>506</v>
      </c>
      <c r="X492" s="20">
        <v>506</v>
      </c>
      <c r="Y492" s="20" t="s">
        <v>742</v>
      </c>
      <c r="Z492" s="20">
        <v>8.3333333333333329E-2</v>
      </c>
      <c r="AA492" s="20" t="s">
        <v>743</v>
      </c>
      <c r="AB492" s="20" t="s">
        <v>139</v>
      </c>
      <c r="AC492" s="20" t="s">
        <v>140</v>
      </c>
      <c r="AD492" s="20" t="s">
        <v>744</v>
      </c>
      <c r="AE492" s="20" t="s">
        <v>91</v>
      </c>
      <c r="AF492" s="20">
        <v>0.16666666666666666</v>
      </c>
      <c r="AH492" s="20">
        <v>1</v>
      </c>
      <c r="AI492" s="4" t="s">
        <v>651</v>
      </c>
      <c r="AJ492" s="20">
        <v>45</v>
      </c>
      <c r="AK492" s="4" t="s">
        <v>641</v>
      </c>
      <c r="AL492" s="4">
        <v>2</v>
      </c>
      <c r="AM492" s="4" t="s">
        <v>94</v>
      </c>
      <c r="AN492" s="4" t="s">
        <v>95</v>
      </c>
      <c r="AO492" s="4" t="s">
        <v>96</v>
      </c>
      <c r="AP492" s="4">
        <v>1</v>
      </c>
      <c r="AQ492" s="20">
        <v>65000</v>
      </c>
      <c r="AR492" s="4">
        <v>41803</v>
      </c>
      <c r="AS492" s="20">
        <v>11818.181818181818</v>
      </c>
      <c r="AT492" s="20">
        <v>13121.499999999998</v>
      </c>
      <c r="AU492" s="20">
        <v>1303.3181818181802</v>
      </c>
      <c r="AW492" s="20">
        <v>70</v>
      </c>
      <c r="AY492" s="20">
        <v>70</v>
      </c>
      <c r="AZ492" s="20">
        <v>10</v>
      </c>
      <c r="BB492" s="6">
        <v>41744</v>
      </c>
      <c r="BC492" s="6">
        <v>41839</v>
      </c>
      <c r="BD492" s="6">
        <v>41823</v>
      </c>
      <c r="BE492" s="6">
        <v>41845</v>
      </c>
      <c r="BF492" s="6">
        <v>41876</v>
      </c>
      <c r="BK492" s="4" t="s">
        <v>401</v>
      </c>
      <c r="BM492" s="20">
        <v>45</v>
      </c>
      <c r="BN492" s="20">
        <v>0</v>
      </c>
      <c r="BO492" s="20">
        <v>0</v>
      </c>
      <c r="BP492" s="20">
        <v>0</v>
      </c>
      <c r="BQ492" s="20">
        <v>0</v>
      </c>
      <c r="BR492" s="20">
        <v>0</v>
      </c>
      <c r="BS492" s="20">
        <v>45</v>
      </c>
      <c r="BT492" s="20">
        <v>590467.49999999988</v>
      </c>
      <c r="BU492" s="20">
        <v>2925000</v>
      </c>
      <c r="BV492" s="20">
        <v>4.5033653996043972</v>
      </c>
    </row>
    <row r="493" spans="1:74">
      <c r="A493" s="10">
        <f t="shared" si="30"/>
        <v>0</v>
      </c>
      <c r="B493" s="10">
        <f t="shared" si="31"/>
        <v>0</v>
      </c>
      <c r="C493" s="12">
        <f t="shared" si="32"/>
        <v>4</v>
      </c>
      <c r="D493" s="12">
        <f t="shared" si="33"/>
        <v>8</v>
      </c>
      <c r="E493" s="20" t="s">
        <v>574</v>
      </c>
      <c r="F493" s="20" t="s">
        <v>665</v>
      </c>
      <c r="G493" s="20" t="s">
        <v>737</v>
      </c>
      <c r="H493" s="20" t="s">
        <v>750</v>
      </c>
      <c r="I493" s="20">
        <v>2</v>
      </c>
      <c r="J493" s="20" t="s">
        <v>751</v>
      </c>
      <c r="K493" s="20" t="s">
        <v>752</v>
      </c>
      <c r="L493" s="20" t="s">
        <v>741</v>
      </c>
      <c r="M493" s="20" t="s">
        <v>671</v>
      </c>
      <c r="N493" s="20" t="s">
        <v>672</v>
      </c>
      <c r="P493" s="20" t="s">
        <v>671</v>
      </c>
      <c r="Q493" s="20" t="s">
        <v>673</v>
      </c>
      <c r="R493" s="20" t="s">
        <v>84</v>
      </c>
      <c r="S493" s="20">
        <v>4</v>
      </c>
      <c r="T493" s="20" t="s">
        <v>635</v>
      </c>
      <c r="U493" s="20" t="s">
        <v>636</v>
      </c>
      <c r="V493" s="20" t="s">
        <v>87</v>
      </c>
      <c r="W493" s="20">
        <v>506</v>
      </c>
      <c r="X493" s="20">
        <v>506</v>
      </c>
      <c r="Y493" s="20" t="s">
        <v>742</v>
      </c>
      <c r="Z493" s="20">
        <v>8.3333333333333329E-2</v>
      </c>
      <c r="AA493" s="20" t="s">
        <v>753</v>
      </c>
      <c r="AB493" s="20" t="s">
        <v>279</v>
      </c>
      <c r="AC493" s="20" t="s">
        <v>280</v>
      </c>
      <c r="AD493" s="20" t="s">
        <v>754</v>
      </c>
      <c r="AE493" s="20" t="s">
        <v>91</v>
      </c>
      <c r="AF493" s="20">
        <v>0.16666666666666666</v>
      </c>
      <c r="AH493" s="20">
        <v>1</v>
      </c>
      <c r="AI493" s="4" t="s">
        <v>640</v>
      </c>
      <c r="AJ493" s="20">
        <v>150</v>
      </c>
      <c r="AK493" s="4" t="s">
        <v>641</v>
      </c>
      <c r="AL493" s="4">
        <v>2</v>
      </c>
      <c r="AM493" s="4" t="s">
        <v>94</v>
      </c>
      <c r="AN493" s="4" t="s">
        <v>95</v>
      </c>
      <c r="AO493" s="4" t="s">
        <v>96</v>
      </c>
      <c r="AP493" s="4">
        <v>1</v>
      </c>
      <c r="AQ493" s="20">
        <v>65000</v>
      </c>
      <c r="AR493" s="4">
        <v>41803</v>
      </c>
      <c r="AS493" s="20">
        <v>11818.181818181818</v>
      </c>
      <c r="AT493" s="20">
        <v>13121.499999999998</v>
      </c>
      <c r="AU493" s="20">
        <v>1303.3181818181802</v>
      </c>
      <c r="AW493" s="20">
        <v>70</v>
      </c>
      <c r="AY493" s="20">
        <v>70</v>
      </c>
      <c r="AZ493" s="20">
        <v>10</v>
      </c>
      <c r="BB493" s="6">
        <v>41744</v>
      </c>
      <c r="BC493" s="6">
        <v>41839</v>
      </c>
      <c r="BD493" s="6">
        <v>41823</v>
      </c>
      <c r="BE493" s="6">
        <v>41845</v>
      </c>
      <c r="BF493" s="6">
        <v>41877</v>
      </c>
      <c r="BK493" s="4" t="s">
        <v>401</v>
      </c>
      <c r="BM493" s="20">
        <v>149</v>
      </c>
      <c r="BN493" s="20">
        <v>0</v>
      </c>
      <c r="BO493" s="20">
        <v>0</v>
      </c>
      <c r="BP493" s="20">
        <v>0</v>
      </c>
      <c r="BQ493" s="20">
        <v>0</v>
      </c>
      <c r="BR493" s="20">
        <v>0</v>
      </c>
      <c r="BS493" s="20">
        <v>150</v>
      </c>
      <c r="BT493" s="20">
        <v>1968224.9999999998</v>
      </c>
      <c r="BU493" s="20">
        <v>9750000</v>
      </c>
      <c r="BV493" s="20">
        <v>4.5033653996043963</v>
      </c>
    </row>
    <row r="494" spans="1:74">
      <c r="A494" s="10">
        <f t="shared" si="30"/>
        <v>0</v>
      </c>
      <c r="B494" s="10">
        <f t="shared" si="31"/>
        <v>0</v>
      </c>
      <c r="C494" s="12">
        <f t="shared" si="32"/>
        <v>4</v>
      </c>
      <c r="D494" s="12">
        <f t="shared" si="33"/>
        <v>8</v>
      </c>
      <c r="E494" s="20" t="s">
        <v>574</v>
      </c>
      <c r="F494" s="20" t="s">
        <v>665</v>
      </c>
      <c r="G494" s="20" t="s">
        <v>737</v>
      </c>
      <c r="H494" s="20" t="s">
        <v>750</v>
      </c>
      <c r="I494" s="20">
        <v>2</v>
      </c>
      <c r="J494" s="20" t="s">
        <v>751</v>
      </c>
      <c r="K494" s="20" t="s">
        <v>755</v>
      </c>
      <c r="L494" s="20" t="s">
        <v>741</v>
      </c>
      <c r="M494" s="20" t="s">
        <v>671</v>
      </c>
      <c r="N494" s="20" t="s">
        <v>672</v>
      </c>
      <c r="P494" s="20" t="s">
        <v>671</v>
      </c>
      <c r="Q494" s="20" t="s">
        <v>673</v>
      </c>
      <c r="R494" s="20" t="s">
        <v>84</v>
      </c>
      <c r="S494" s="20">
        <v>4</v>
      </c>
      <c r="T494" s="20" t="s">
        <v>635</v>
      </c>
      <c r="U494" s="20" t="s">
        <v>636</v>
      </c>
      <c r="V494" s="20" t="s">
        <v>87</v>
      </c>
      <c r="W494" s="20">
        <v>506</v>
      </c>
      <c r="X494" s="20">
        <v>506</v>
      </c>
      <c r="Y494" s="20" t="s">
        <v>742</v>
      </c>
      <c r="Z494" s="20">
        <v>8.3333333333333329E-2</v>
      </c>
      <c r="AA494" s="20" t="s">
        <v>753</v>
      </c>
      <c r="AB494" s="20" t="s">
        <v>279</v>
      </c>
      <c r="AC494" s="20" t="s">
        <v>280</v>
      </c>
      <c r="AD494" s="20" t="s">
        <v>754</v>
      </c>
      <c r="AE494" s="20" t="s">
        <v>91</v>
      </c>
      <c r="AF494" s="20">
        <v>0.16666666666666666</v>
      </c>
      <c r="AH494" s="20">
        <v>1</v>
      </c>
      <c r="AI494" s="4" t="s">
        <v>643</v>
      </c>
      <c r="AJ494" s="20">
        <v>60</v>
      </c>
      <c r="AK494" s="4" t="s">
        <v>641</v>
      </c>
      <c r="AL494" s="4">
        <v>2</v>
      </c>
      <c r="AM494" s="4" t="s">
        <v>94</v>
      </c>
      <c r="AN494" s="4" t="s">
        <v>95</v>
      </c>
      <c r="AO494" s="4" t="s">
        <v>96</v>
      </c>
      <c r="AP494" s="4">
        <v>1</v>
      </c>
      <c r="AQ494" s="20">
        <v>65000</v>
      </c>
      <c r="AR494" s="4">
        <v>41803</v>
      </c>
      <c r="AS494" s="20">
        <v>11818.181818181818</v>
      </c>
      <c r="AT494" s="20">
        <v>13121.499999999998</v>
      </c>
      <c r="AU494" s="20">
        <v>1303.3181818181802</v>
      </c>
      <c r="AW494" s="20">
        <v>70</v>
      </c>
      <c r="AY494" s="20">
        <v>70</v>
      </c>
      <c r="AZ494" s="20">
        <v>10</v>
      </c>
      <c r="BB494" s="6">
        <v>41744</v>
      </c>
      <c r="BC494" s="6">
        <v>41839</v>
      </c>
      <c r="BD494" s="6">
        <v>41823</v>
      </c>
      <c r="BE494" s="6">
        <v>41845</v>
      </c>
      <c r="BF494" s="6">
        <v>41877</v>
      </c>
      <c r="BK494" s="4" t="s">
        <v>401</v>
      </c>
      <c r="BM494" s="20">
        <v>63</v>
      </c>
      <c r="BN494" s="20">
        <v>0</v>
      </c>
      <c r="BO494" s="20">
        <v>0</v>
      </c>
      <c r="BP494" s="20">
        <v>0</v>
      </c>
      <c r="BQ494" s="20">
        <v>0</v>
      </c>
      <c r="BR494" s="20">
        <v>0</v>
      </c>
      <c r="BS494" s="20">
        <v>60</v>
      </c>
      <c r="BT494" s="20">
        <v>787289.99999999988</v>
      </c>
      <c r="BU494" s="20">
        <v>3900000</v>
      </c>
      <c r="BV494" s="20">
        <v>4.5033653996043963</v>
      </c>
    </row>
    <row r="495" spans="1:74">
      <c r="A495" s="10">
        <f t="shared" si="30"/>
        <v>0</v>
      </c>
      <c r="B495" s="10">
        <f t="shared" si="31"/>
        <v>0</v>
      </c>
      <c r="C495" s="12">
        <f t="shared" si="32"/>
        <v>4</v>
      </c>
      <c r="D495" s="12">
        <f t="shared" si="33"/>
        <v>8</v>
      </c>
      <c r="E495" s="20" t="s">
        <v>574</v>
      </c>
      <c r="F495" s="20" t="s">
        <v>665</v>
      </c>
      <c r="G495" s="20" t="s">
        <v>737</v>
      </c>
      <c r="H495" s="20" t="s">
        <v>750</v>
      </c>
      <c r="I495" s="20">
        <v>2</v>
      </c>
      <c r="J495" s="20" t="s">
        <v>751</v>
      </c>
      <c r="K495" s="20" t="s">
        <v>756</v>
      </c>
      <c r="L495" s="20" t="s">
        <v>741</v>
      </c>
      <c r="M495" s="20" t="s">
        <v>671</v>
      </c>
      <c r="N495" s="20" t="s">
        <v>672</v>
      </c>
      <c r="P495" s="20" t="s">
        <v>671</v>
      </c>
      <c r="Q495" s="20" t="s">
        <v>673</v>
      </c>
      <c r="R495" s="20" t="s">
        <v>84</v>
      </c>
      <c r="S495" s="20">
        <v>4</v>
      </c>
      <c r="T495" s="20" t="s">
        <v>635</v>
      </c>
      <c r="U495" s="20" t="s">
        <v>636</v>
      </c>
      <c r="V495" s="20" t="s">
        <v>87</v>
      </c>
      <c r="W495" s="20">
        <v>506</v>
      </c>
      <c r="X495" s="20">
        <v>506</v>
      </c>
      <c r="Y495" s="20" t="s">
        <v>742</v>
      </c>
      <c r="Z495" s="20">
        <v>8.3333333333333329E-2</v>
      </c>
      <c r="AA495" s="20" t="s">
        <v>753</v>
      </c>
      <c r="AB495" s="20" t="s">
        <v>279</v>
      </c>
      <c r="AC495" s="20" t="s">
        <v>280</v>
      </c>
      <c r="AD495" s="20" t="s">
        <v>754</v>
      </c>
      <c r="AE495" s="20" t="s">
        <v>91</v>
      </c>
      <c r="AF495" s="20">
        <v>0.16666666666666666</v>
      </c>
      <c r="AH495" s="20">
        <v>1</v>
      </c>
      <c r="AI495" s="4" t="s">
        <v>645</v>
      </c>
      <c r="AJ495" s="20">
        <v>75</v>
      </c>
      <c r="AK495" s="4" t="s">
        <v>641</v>
      </c>
      <c r="AL495" s="4">
        <v>2</v>
      </c>
      <c r="AM495" s="4" t="s">
        <v>94</v>
      </c>
      <c r="AN495" s="4" t="s">
        <v>95</v>
      </c>
      <c r="AO495" s="4" t="s">
        <v>96</v>
      </c>
      <c r="AP495" s="4">
        <v>1</v>
      </c>
      <c r="AQ495" s="20">
        <v>65000</v>
      </c>
      <c r="AR495" s="4">
        <v>41803</v>
      </c>
      <c r="AS495" s="20">
        <v>11818.181818181818</v>
      </c>
      <c r="AT495" s="20">
        <v>13121.499999999998</v>
      </c>
      <c r="AU495" s="20">
        <v>1303.3181818181802</v>
      </c>
      <c r="AW495" s="20">
        <v>70</v>
      </c>
      <c r="AY495" s="20">
        <v>70</v>
      </c>
      <c r="AZ495" s="20">
        <v>10</v>
      </c>
      <c r="BB495" s="6">
        <v>41744</v>
      </c>
      <c r="BC495" s="6">
        <v>41839</v>
      </c>
      <c r="BD495" s="6">
        <v>41823</v>
      </c>
      <c r="BE495" s="6">
        <v>41845</v>
      </c>
      <c r="BF495" s="6">
        <v>41877</v>
      </c>
      <c r="BK495" s="4" t="s">
        <v>401</v>
      </c>
      <c r="BM495" s="20">
        <v>75</v>
      </c>
      <c r="BN495" s="20">
        <v>0</v>
      </c>
      <c r="BO495" s="20">
        <v>0</v>
      </c>
      <c r="BP495" s="20">
        <v>0</v>
      </c>
      <c r="BQ495" s="20">
        <v>0</v>
      </c>
      <c r="BR495" s="20">
        <v>0</v>
      </c>
      <c r="BS495" s="20">
        <v>75</v>
      </c>
      <c r="BT495" s="20">
        <v>984112.49999999988</v>
      </c>
      <c r="BU495" s="20">
        <v>4875000</v>
      </c>
      <c r="BV495" s="20">
        <v>4.5033653996043963</v>
      </c>
    </row>
    <row r="496" spans="1:74">
      <c r="A496" s="10">
        <f t="shared" si="30"/>
        <v>0</v>
      </c>
      <c r="B496" s="10">
        <f t="shared" si="31"/>
        <v>0</v>
      </c>
      <c r="C496" s="12">
        <f t="shared" si="32"/>
        <v>4</v>
      </c>
      <c r="D496" s="12">
        <f t="shared" si="33"/>
        <v>8</v>
      </c>
      <c r="E496" s="20" t="s">
        <v>574</v>
      </c>
      <c r="F496" s="20" t="s">
        <v>665</v>
      </c>
      <c r="G496" s="20" t="s">
        <v>737</v>
      </c>
      <c r="H496" s="20" t="s">
        <v>750</v>
      </c>
      <c r="I496" s="20">
        <v>2</v>
      </c>
      <c r="J496" s="20" t="s">
        <v>751</v>
      </c>
      <c r="K496" s="20" t="s">
        <v>757</v>
      </c>
      <c r="L496" s="20" t="s">
        <v>741</v>
      </c>
      <c r="M496" s="20" t="s">
        <v>671</v>
      </c>
      <c r="N496" s="20" t="s">
        <v>672</v>
      </c>
      <c r="P496" s="20" t="s">
        <v>671</v>
      </c>
      <c r="Q496" s="20" t="s">
        <v>673</v>
      </c>
      <c r="R496" s="20" t="s">
        <v>84</v>
      </c>
      <c r="S496" s="20">
        <v>4</v>
      </c>
      <c r="T496" s="20" t="s">
        <v>635</v>
      </c>
      <c r="U496" s="20" t="s">
        <v>636</v>
      </c>
      <c r="V496" s="20" t="s">
        <v>87</v>
      </c>
      <c r="W496" s="20">
        <v>506</v>
      </c>
      <c r="X496" s="20">
        <v>506</v>
      </c>
      <c r="Y496" s="20" t="s">
        <v>742</v>
      </c>
      <c r="Z496" s="20">
        <v>8.3333333333333329E-2</v>
      </c>
      <c r="AA496" s="20" t="s">
        <v>753</v>
      </c>
      <c r="AB496" s="20" t="s">
        <v>279</v>
      </c>
      <c r="AC496" s="20" t="s">
        <v>280</v>
      </c>
      <c r="AD496" s="20" t="s">
        <v>754</v>
      </c>
      <c r="AE496" s="20" t="s">
        <v>91</v>
      </c>
      <c r="AF496" s="20">
        <v>0.16666666666666666</v>
      </c>
      <c r="AH496" s="20">
        <v>1</v>
      </c>
      <c r="AI496" s="4" t="s">
        <v>647</v>
      </c>
      <c r="AJ496" s="20">
        <v>75</v>
      </c>
      <c r="AK496" s="4" t="s">
        <v>641</v>
      </c>
      <c r="AL496" s="4">
        <v>2</v>
      </c>
      <c r="AM496" s="4" t="s">
        <v>94</v>
      </c>
      <c r="AN496" s="4" t="s">
        <v>95</v>
      </c>
      <c r="AO496" s="4" t="s">
        <v>96</v>
      </c>
      <c r="AP496" s="4">
        <v>1</v>
      </c>
      <c r="AQ496" s="20">
        <v>65000</v>
      </c>
      <c r="AR496" s="4">
        <v>41803</v>
      </c>
      <c r="AS496" s="20">
        <v>11818.181818181818</v>
      </c>
      <c r="AT496" s="20">
        <v>13121.499999999998</v>
      </c>
      <c r="AU496" s="20">
        <v>1303.3181818181802</v>
      </c>
      <c r="AW496" s="20">
        <v>70</v>
      </c>
      <c r="AY496" s="20">
        <v>70</v>
      </c>
      <c r="AZ496" s="20">
        <v>10</v>
      </c>
      <c r="BB496" s="6">
        <v>41744</v>
      </c>
      <c r="BC496" s="6">
        <v>41839</v>
      </c>
      <c r="BD496" s="6">
        <v>41823</v>
      </c>
      <c r="BE496" s="6">
        <v>41845</v>
      </c>
      <c r="BF496" s="6">
        <v>41877</v>
      </c>
      <c r="BK496" s="4" t="s">
        <v>401</v>
      </c>
      <c r="BM496" s="20">
        <v>75</v>
      </c>
      <c r="BN496" s="20">
        <v>0</v>
      </c>
      <c r="BO496" s="20">
        <v>0</v>
      </c>
      <c r="BP496" s="20">
        <v>0</v>
      </c>
      <c r="BQ496" s="20">
        <v>0</v>
      </c>
      <c r="BR496" s="20">
        <v>0</v>
      </c>
      <c r="BS496" s="20">
        <v>75</v>
      </c>
      <c r="BT496" s="20">
        <v>984112.49999999988</v>
      </c>
      <c r="BU496" s="20">
        <v>4875000</v>
      </c>
      <c r="BV496" s="20">
        <v>4.5033653996043963</v>
      </c>
    </row>
    <row r="497" spans="1:74">
      <c r="A497" s="10">
        <f t="shared" si="30"/>
        <v>0</v>
      </c>
      <c r="B497" s="10">
        <f t="shared" si="31"/>
        <v>0</v>
      </c>
      <c r="C497" s="12">
        <f t="shared" si="32"/>
        <v>4</v>
      </c>
      <c r="D497" s="12">
        <f t="shared" si="33"/>
        <v>8</v>
      </c>
      <c r="E497" s="20" t="s">
        <v>574</v>
      </c>
      <c r="F497" s="20" t="s">
        <v>665</v>
      </c>
      <c r="G497" s="20" t="s">
        <v>737</v>
      </c>
      <c r="H497" s="20" t="s">
        <v>750</v>
      </c>
      <c r="I497" s="20">
        <v>2</v>
      </c>
      <c r="J497" s="20" t="s">
        <v>751</v>
      </c>
      <c r="K497" s="20" t="s">
        <v>758</v>
      </c>
      <c r="L497" s="20" t="s">
        <v>741</v>
      </c>
      <c r="M497" s="20" t="s">
        <v>671</v>
      </c>
      <c r="N497" s="20" t="s">
        <v>672</v>
      </c>
      <c r="P497" s="20" t="s">
        <v>671</v>
      </c>
      <c r="Q497" s="20" t="s">
        <v>673</v>
      </c>
      <c r="R497" s="20" t="s">
        <v>84</v>
      </c>
      <c r="S497" s="20">
        <v>4</v>
      </c>
      <c r="T497" s="20" t="s">
        <v>635</v>
      </c>
      <c r="U497" s="20" t="s">
        <v>636</v>
      </c>
      <c r="V497" s="20" t="s">
        <v>87</v>
      </c>
      <c r="W497" s="20">
        <v>506</v>
      </c>
      <c r="X497" s="20">
        <v>506</v>
      </c>
      <c r="Y497" s="20" t="s">
        <v>742</v>
      </c>
      <c r="Z497" s="20">
        <v>8.3333333333333329E-2</v>
      </c>
      <c r="AA497" s="20" t="s">
        <v>753</v>
      </c>
      <c r="AB497" s="20" t="s">
        <v>279</v>
      </c>
      <c r="AC497" s="20" t="s">
        <v>280</v>
      </c>
      <c r="AD497" s="20" t="s">
        <v>754</v>
      </c>
      <c r="AE497" s="20" t="s">
        <v>91</v>
      </c>
      <c r="AF497" s="20">
        <v>0.16666666666666666</v>
      </c>
      <c r="AH497" s="20">
        <v>1</v>
      </c>
      <c r="AI497" s="4" t="s">
        <v>649</v>
      </c>
      <c r="AJ497" s="20">
        <v>45</v>
      </c>
      <c r="AK497" s="4" t="s">
        <v>641</v>
      </c>
      <c r="AL497" s="4">
        <v>2</v>
      </c>
      <c r="AM497" s="4" t="s">
        <v>94</v>
      </c>
      <c r="AN497" s="4" t="s">
        <v>95</v>
      </c>
      <c r="AO497" s="4" t="s">
        <v>96</v>
      </c>
      <c r="AP497" s="4">
        <v>1</v>
      </c>
      <c r="AQ497" s="20">
        <v>65000</v>
      </c>
      <c r="AR497" s="4">
        <v>41803</v>
      </c>
      <c r="AS497" s="20">
        <v>11818.181818181818</v>
      </c>
      <c r="AT497" s="20">
        <v>13121.499999999998</v>
      </c>
      <c r="AU497" s="20">
        <v>1303.3181818181802</v>
      </c>
      <c r="AW497" s="20">
        <v>70</v>
      </c>
      <c r="AY497" s="20">
        <v>70</v>
      </c>
      <c r="AZ497" s="20">
        <v>10</v>
      </c>
      <c r="BB497" s="6">
        <v>41744</v>
      </c>
      <c r="BC497" s="6">
        <v>41839</v>
      </c>
      <c r="BD497" s="6">
        <v>41823</v>
      </c>
      <c r="BE497" s="6">
        <v>41845</v>
      </c>
      <c r="BF497" s="6">
        <v>41877</v>
      </c>
      <c r="BK497" s="4" t="s">
        <v>401</v>
      </c>
      <c r="BM497" s="20">
        <v>45</v>
      </c>
      <c r="BN497" s="20">
        <v>0</v>
      </c>
      <c r="BO497" s="20">
        <v>0</v>
      </c>
      <c r="BP497" s="20">
        <v>0</v>
      </c>
      <c r="BQ497" s="20">
        <v>0</v>
      </c>
      <c r="BR497" s="20">
        <v>0</v>
      </c>
      <c r="BS497" s="20">
        <v>45</v>
      </c>
      <c r="BT497" s="20">
        <v>590467.49999999988</v>
      </c>
      <c r="BU497" s="20">
        <v>2925000</v>
      </c>
      <c r="BV497" s="20">
        <v>4.5033653996043972</v>
      </c>
    </row>
    <row r="498" spans="1:74">
      <c r="A498" s="10">
        <f t="shared" si="30"/>
        <v>0</v>
      </c>
      <c r="B498" s="10">
        <f t="shared" si="31"/>
        <v>0</v>
      </c>
      <c r="C498" s="12">
        <f t="shared" si="32"/>
        <v>4</v>
      </c>
      <c r="D498" s="12">
        <f t="shared" si="33"/>
        <v>8</v>
      </c>
      <c r="E498" s="20" t="s">
        <v>574</v>
      </c>
      <c r="F498" s="20" t="s">
        <v>665</v>
      </c>
      <c r="G498" s="20" t="s">
        <v>737</v>
      </c>
      <c r="H498" s="20" t="s">
        <v>750</v>
      </c>
      <c r="I498" s="20">
        <v>2</v>
      </c>
      <c r="J498" s="20" t="s">
        <v>751</v>
      </c>
      <c r="K498" s="20" t="s">
        <v>759</v>
      </c>
      <c r="L498" s="20" t="s">
        <v>741</v>
      </c>
      <c r="M498" s="20" t="s">
        <v>671</v>
      </c>
      <c r="N498" s="20" t="s">
        <v>672</v>
      </c>
      <c r="P498" s="20" t="s">
        <v>671</v>
      </c>
      <c r="Q498" s="20" t="s">
        <v>673</v>
      </c>
      <c r="R498" s="20" t="s">
        <v>84</v>
      </c>
      <c r="S498" s="20">
        <v>4</v>
      </c>
      <c r="T498" s="20" t="s">
        <v>635</v>
      </c>
      <c r="U498" s="20" t="s">
        <v>636</v>
      </c>
      <c r="V498" s="20" t="s">
        <v>87</v>
      </c>
      <c r="W498" s="20">
        <v>506</v>
      </c>
      <c r="X498" s="20">
        <v>506</v>
      </c>
      <c r="Y498" s="20" t="s">
        <v>742</v>
      </c>
      <c r="Z498" s="20">
        <v>8.3333333333333329E-2</v>
      </c>
      <c r="AA498" s="20" t="s">
        <v>753</v>
      </c>
      <c r="AB498" s="20" t="s">
        <v>279</v>
      </c>
      <c r="AC498" s="20" t="s">
        <v>280</v>
      </c>
      <c r="AD498" s="20" t="s">
        <v>754</v>
      </c>
      <c r="AE498" s="20" t="s">
        <v>91</v>
      </c>
      <c r="AF498" s="20">
        <v>0.16666666666666666</v>
      </c>
      <c r="AH498" s="20">
        <v>1</v>
      </c>
      <c r="AI498" s="4" t="s">
        <v>651</v>
      </c>
      <c r="AJ498" s="20">
        <v>45</v>
      </c>
      <c r="AK498" s="4" t="s">
        <v>641</v>
      </c>
      <c r="AL498" s="4">
        <v>2</v>
      </c>
      <c r="AM498" s="4" t="s">
        <v>94</v>
      </c>
      <c r="AN498" s="4" t="s">
        <v>95</v>
      </c>
      <c r="AO498" s="4" t="s">
        <v>96</v>
      </c>
      <c r="AP498" s="4">
        <v>1</v>
      </c>
      <c r="AQ498" s="20">
        <v>65000</v>
      </c>
      <c r="AR498" s="4">
        <v>41803</v>
      </c>
      <c r="AS498" s="20">
        <v>11818.181818181818</v>
      </c>
      <c r="AT498" s="20">
        <v>13121.499999999998</v>
      </c>
      <c r="AU498" s="20">
        <v>1303.3181818181802</v>
      </c>
      <c r="AW498" s="20">
        <v>70</v>
      </c>
      <c r="AY498" s="20">
        <v>70</v>
      </c>
      <c r="AZ498" s="20">
        <v>10</v>
      </c>
      <c r="BB498" s="6">
        <v>41744</v>
      </c>
      <c r="BC498" s="6">
        <v>41839</v>
      </c>
      <c r="BD498" s="6">
        <v>41823</v>
      </c>
      <c r="BE498" s="6">
        <v>41845</v>
      </c>
      <c r="BF498" s="6">
        <v>41877</v>
      </c>
      <c r="BK498" s="4" t="s">
        <v>401</v>
      </c>
      <c r="BM498" s="20">
        <v>45</v>
      </c>
      <c r="BN498" s="20">
        <v>0</v>
      </c>
      <c r="BO498" s="20">
        <v>0</v>
      </c>
      <c r="BP498" s="20">
        <v>0</v>
      </c>
      <c r="BQ498" s="20">
        <v>0</v>
      </c>
      <c r="BR498" s="20">
        <v>0</v>
      </c>
      <c r="BS498" s="20">
        <v>45</v>
      </c>
      <c r="BT498" s="20">
        <v>590467.49999999988</v>
      </c>
      <c r="BU498" s="20">
        <v>2925000</v>
      </c>
      <c r="BV498" s="20">
        <v>4.5033653996043972</v>
      </c>
    </row>
    <row r="499" spans="1:74">
      <c r="A499" s="10">
        <f t="shared" si="30"/>
        <v>0</v>
      </c>
      <c r="B499" s="10">
        <f t="shared" si="31"/>
        <v>0</v>
      </c>
      <c r="C499" s="12">
        <f t="shared" si="32"/>
        <v>4</v>
      </c>
      <c r="D499" s="12">
        <f t="shared" si="33"/>
        <v>8</v>
      </c>
      <c r="E499" s="20" t="s">
        <v>574</v>
      </c>
      <c r="F499" s="20" t="s">
        <v>665</v>
      </c>
      <c r="G499" s="20" t="s">
        <v>737</v>
      </c>
      <c r="H499" s="20" t="s">
        <v>2350</v>
      </c>
      <c r="I499" s="20">
        <v>3</v>
      </c>
      <c r="J499" s="20" t="s">
        <v>760</v>
      </c>
      <c r="K499" s="20" t="s">
        <v>2351</v>
      </c>
      <c r="L499" s="20" t="s">
        <v>761</v>
      </c>
      <c r="M499" s="20" t="s">
        <v>671</v>
      </c>
      <c r="N499" s="20" t="s">
        <v>702</v>
      </c>
      <c r="P499" s="20" t="s">
        <v>671</v>
      </c>
      <c r="Q499" s="20" t="s">
        <v>673</v>
      </c>
      <c r="R499" s="20" t="s">
        <v>84</v>
      </c>
      <c r="S499" s="20">
        <v>4</v>
      </c>
      <c r="T499" s="20" t="s">
        <v>762</v>
      </c>
      <c r="U499" s="20" t="s">
        <v>763</v>
      </c>
      <c r="V499" s="20" t="s">
        <v>87</v>
      </c>
      <c r="W499" s="20">
        <v>507</v>
      </c>
      <c r="X499" s="20">
        <v>507</v>
      </c>
      <c r="Y499" s="20" t="s">
        <v>2352</v>
      </c>
      <c r="Z499" s="20">
        <v>0.1</v>
      </c>
      <c r="AA499" s="20" t="s">
        <v>764</v>
      </c>
      <c r="AB499" s="20" t="s">
        <v>89</v>
      </c>
      <c r="AC499" s="20" t="s">
        <v>90</v>
      </c>
      <c r="AD499" s="20" t="s">
        <v>2353</v>
      </c>
      <c r="AE499" s="20" t="s">
        <v>91</v>
      </c>
      <c r="AF499" s="20">
        <v>0.2</v>
      </c>
      <c r="AH499" s="20">
        <v>1</v>
      </c>
      <c r="AI499" s="4" t="s">
        <v>643</v>
      </c>
      <c r="AJ499" s="20">
        <v>75</v>
      </c>
      <c r="AK499" s="4" t="s">
        <v>641</v>
      </c>
      <c r="AL499" s="4">
        <v>2</v>
      </c>
      <c r="AM499" s="4" t="s">
        <v>94</v>
      </c>
      <c r="AN499" s="4" t="s">
        <v>95</v>
      </c>
      <c r="AO499" s="4" t="s">
        <v>96</v>
      </c>
      <c r="AP499" s="4">
        <v>1</v>
      </c>
      <c r="AQ499" s="20">
        <v>65000</v>
      </c>
      <c r="AR499" s="4">
        <v>41803</v>
      </c>
      <c r="AS499" s="20">
        <v>11818.181818181818</v>
      </c>
      <c r="AT499" s="20">
        <v>13774.074999999999</v>
      </c>
      <c r="AU499" s="20">
        <v>1955.8931818181809</v>
      </c>
      <c r="AW499" s="20">
        <v>70</v>
      </c>
      <c r="AY499" s="20">
        <v>70</v>
      </c>
      <c r="AZ499" s="20">
        <v>10.5</v>
      </c>
      <c r="BB499" s="6">
        <v>41744</v>
      </c>
      <c r="BC499" s="6">
        <v>41839</v>
      </c>
      <c r="BD499" s="6">
        <v>41823</v>
      </c>
      <c r="BE499" s="6">
        <v>41845</v>
      </c>
      <c r="BF499" s="6">
        <v>41876</v>
      </c>
      <c r="BK499" s="4" t="s">
        <v>401</v>
      </c>
      <c r="BM499" s="20">
        <v>75</v>
      </c>
      <c r="BN499" s="20">
        <v>0</v>
      </c>
      <c r="BO499" s="20">
        <v>0</v>
      </c>
      <c r="BP499" s="20">
        <v>0</v>
      </c>
      <c r="BQ499" s="20">
        <v>0</v>
      </c>
      <c r="BR499" s="20">
        <v>0</v>
      </c>
      <c r="BS499" s="20">
        <v>75</v>
      </c>
      <c r="BT499" s="20">
        <v>1033055.6249999999</v>
      </c>
      <c r="BU499" s="20">
        <v>4875000</v>
      </c>
      <c r="BV499" s="20">
        <v>4.290009244969923</v>
      </c>
    </row>
    <row r="500" spans="1:74">
      <c r="A500" s="10">
        <f t="shared" si="30"/>
        <v>0</v>
      </c>
      <c r="B500" s="10">
        <f t="shared" si="31"/>
        <v>0</v>
      </c>
      <c r="C500" s="12">
        <f t="shared" si="32"/>
        <v>4</v>
      </c>
      <c r="D500" s="12">
        <f t="shared" si="33"/>
        <v>8</v>
      </c>
      <c r="E500" s="20" t="s">
        <v>574</v>
      </c>
      <c r="F500" s="20" t="s">
        <v>665</v>
      </c>
      <c r="G500" s="20" t="s">
        <v>737</v>
      </c>
      <c r="H500" s="20" t="s">
        <v>2350</v>
      </c>
      <c r="I500" s="20">
        <v>3</v>
      </c>
      <c r="J500" s="20" t="s">
        <v>760</v>
      </c>
      <c r="K500" s="20" t="s">
        <v>2354</v>
      </c>
      <c r="L500" s="20" t="s">
        <v>761</v>
      </c>
      <c r="M500" s="20" t="s">
        <v>671</v>
      </c>
      <c r="N500" s="20" t="s">
        <v>702</v>
      </c>
      <c r="P500" s="20" t="s">
        <v>671</v>
      </c>
      <c r="Q500" s="20" t="s">
        <v>673</v>
      </c>
      <c r="R500" s="20" t="s">
        <v>84</v>
      </c>
      <c r="S500" s="20">
        <v>4</v>
      </c>
      <c r="T500" s="20" t="s">
        <v>762</v>
      </c>
      <c r="U500" s="20" t="s">
        <v>763</v>
      </c>
      <c r="V500" s="20" t="s">
        <v>87</v>
      </c>
      <c r="W500" s="20">
        <v>507</v>
      </c>
      <c r="X500" s="20">
        <v>507</v>
      </c>
      <c r="Y500" s="20" t="s">
        <v>2352</v>
      </c>
      <c r="Z500" s="20">
        <v>0.1</v>
      </c>
      <c r="AA500" s="20" t="s">
        <v>764</v>
      </c>
      <c r="AB500" s="20" t="s">
        <v>89</v>
      </c>
      <c r="AC500" s="20" t="s">
        <v>90</v>
      </c>
      <c r="AD500" s="20" t="s">
        <v>2353</v>
      </c>
      <c r="AE500" s="20" t="s">
        <v>91</v>
      </c>
      <c r="AF500" s="20">
        <v>0.2</v>
      </c>
      <c r="AH500" s="20">
        <v>1</v>
      </c>
      <c r="AI500" s="4" t="s">
        <v>645</v>
      </c>
      <c r="AJ500" s="20">
        <v>75</v>
      </c>
      <c r="AK500" s="4" t="s">
        <v>641</v>
      </c>
      <c r="AL500" s="4">
        <v>2</v>
      </c>
      <c r="AM500" s="4" t="s">
        <v>94</v>
      </c>
      <c r="AN500" s="4" t="s">
        <v>95</v>
      </c>
      <c r="AO500" s="4" t="s">
        <v>96</v>
      </c>
      <c r="AP500" s="4">
        <v>1</v>
      </c>
      <c r="AQ500" s="20">
        <v>65000</v>
      </c>
      <c r="AR500" s="4">
        <v>41803</v>
      </c>
      <c r="AS500" s="20">
        <v>11818.181818181818</v>
      </c>
      <c r="AT500" s="20">
        <v>13774.074999999999</v>
      </c>
      <c r="AU500" s="20">
        <v>1955.8931818181809</v>
      </c>
      <c r="AW500" s="20">
        <v>70</v>
      </c>
      <c r="AY500" s="20">
        <v>70</v>
      </c>
      <c r="AZ500" s="20">
        <v>10.5</v>
      </c>
      <c r="BB500" s="6">
        <v>41744</v>
      </c>
      <c r="BC500" s="6">
        <v>41839</v>
      </c>
      <c r="BD500" s="6">
        <v>41823</v>
      </c>
      <c r="BE500" s="6">
        <v>41845</v>
      </c>
      <c r="BF500" s="6">
        <v>41876</v>
      </c>
      <c r="BK500" s="4" t="s">
        <v>401</v>
      </c>
      <c r="BM500" s="20">
        <v>75</v>
      </c>
      <c r="BN500" s="20">
        <v>0</v>
      </c>
      <c r="BO500" s="20">
        <v>0</v>
      </c>
      <c r="BP500" s="20">
        <v>0</v>
      </c>
      <c r="BQ500" s="20">
        <v>0</v>
      </c>
      <c r="BR500" s="20">
        <v>0</v>
      </c>
      <c r="BS500" s="20">
        <v>75</v>
      </c>
      <c r="BT500" s="20">
        <v>1033055.6249999999</v>
      </c>
      <c r="BU500" s="20">
        <v>4875000</v>
      </c>
      <c r="BV500" s="20">
        <v>4.290009244969923</v>
      </c>
    </row>
    <row r="501" spans="1:74">
      <c r="A501" s="10">
        <f t="shared" si="30"/>
        <v>0</v>
      </c>
      <c r="B501" s="10">
        <f t="shared" si="31"/>
        <v>0</v>
      </c>
      <c r="C501" s="12">
        <f t="shared" si="32"/>
        <v>4</v>
      </c>
      <c r="D501" s="12">
        <f t="shared" si="33"/>
        <v>8</v>
      </c>
      <c r="E501" s="20" t="s">
        <v>574</v>
      </c>
      <c r="F501" s="20" t="s">
        <v>665</v>
      </c>
      <c r="G501" s="20" t="s">
        <v>737</v>
      </c>
      <c r="H501" s="20" t="s">
        <v>2350</v>
      </c>
      <c r="I501" s="20">
        <v>3</v>
      </c>
      <c r="J501" s="20" t="s">
        <v>760</v>
      </c>
      <c r="K501" s="20" t="s">
        <v>2355</v>
      </c>
      <c r="L501" s="20" t="s">
        <v>761</v>
      </c>
      <c r="M501" s="20" t="s">
        <v>671</v>
      </c>
      <c r="N501" s="20" t="s">
        <v>702</v>
      </c>
      <c r="P501" s="20" t="s">
        <v>671</v>
      </c>
      <c r="Q501" s="20" t="s">
        <v>673</v>
      </c>
      <c r="R501" s="20" t="s">
        <v>84</v>
      </c>
      <c r="S501" s="20">
        <v>4</v>
      </c>
      <c r="T501" s="20" t="s">
        <v>762</v>
      </c>
      <c r="U501" s="20" t="s">
        <v>763</v>
      </c>
      <c r="V501" s="20" t="s">
        <v>87</v>
      </c>
      <c r="W501" s="20">
        <v>507</v>
      </c>
      <c r="X501" s="20">
        <v>507</v>
      </c>
      <c r="Y501" s="20" t="s">
        <v>2352</v>
      </c>
      <c r="Z501" s="20">
        <v>0.1</v>
      </c>
      <c r="AA501" s="20" t="s">
        <v>764</v>
      </c>
      <c r="AB501" s="20" t="s">
        <v>89</v>
      </c>
      <c r="AC501" s="20" t="s">
        <v>90</v>
      </c>
      <c r="AD501" s="20" t="s">
        <v>2353</v>
      </c>
      <c r="AE501" s="20" t="s">
        <v>91</v>
      </c>
      <c r="AF501" s="20">
        <v>0.2</v>
      </c>
      <c r="AH501" s="20">
        <v>1</v>
      </c>
      <c r="AI501" s="4" t="s">
        <v>647</v>
      </c>
      <c r="AJ501" s="20">
        <v>60</v>
      </c>
      <c r="AK501" s="4" t="s">
        <v>641</v>
      </c>
      <c r="AL501" s="4">
        <v>2</v>
      </c>
      <c r="AM501" s="4" t="s">
        <v>94</v>
      </c>
      <c r="AN501" s="4" t="s">
        <v>95</v>
      </c>
      <c r="AO501" s="4" t="s">
        <v>96</v>
      </c>
      <c r="AP501" s="4">
        <v>1</v>
      </c>
      <c r="AQ501" s="20">
        <v>65000</v>
      </c>
      <c r="AR501" s="4">
        <v>41803</v>
      </c>
      <c r="AS501" s="20">
        <v>11818.181818181818</v>
      </c>
      <c r="AT501" s="20">
        <v>13774.074999999999</v>
      </c>
      <c r="AU501" s="20">
        <v>1955.8931818181809</v>
      </c>
      <c r="AW501" s="20">
        <v>70</v>
      </c>
      <c r="AY501" s="20">
        <v>70</v>
      </c>
      <c r="AZ501" s="20">
        <v>10.5</v>
      </c>
      <c r="BB501" s="6">
        <v>41744</v>
      </c>
      <c r="BC501" s="6">
        <v>41839</v>
      </c>
      <c r="BD501" s="6">
        <v>41823</v>
      </c>
      <c r="BE501" s="6">
        <v>41845</v>
      </c>
      <c r="BF501" s="6">
        <v>41876</v>
      </c>
      <c r="BK501" s="4" t="s">
        <v>401</v>
      </c>
      <c r="BM501" s="20">
        <v>60</v>
      </c>
      <c r="BN501" s="20">
        <v>0</v>
      </c>
      <c r="BO501" s="20">
        <v>0</v>
      </c>
      <c r="BP501" s="20">
        <v>0</v>
      </c>
      <c r="BQ501" s="20">
        <v>0</v>
      </c>
      <c r="BR501" s="20">
        <v>0</v>
      </c>
      <c r="BS501" s="20">
        <v>60</v>
      </c>
      <c r="BT501" s="20">
        <v>826444.49999999988</v>
      </c>
      <c r="BU501" s="20">
        <v>3900000</v>
      </c>
      <c r="BV501" s="20">
        <v>4.290009244969923</v>
      </c>
    </row>
    <row r="502" spans="1:74">
      <c r="A502" s="10">
        <f t="shared" si="30"/>
        <v>0</v>
      </c>
      <c r="B502" s="10">
        <f t="shared" si="31"/>
        <v>0</v>
      </c>
      <c r="C502" s="12">
        <f t="shared" si="32"/>
        <v>4</v>
      </c>
      <c r="D502" s="12">
        <f t="shared" si="33"/>
        <v>8</v>
      </c>
      <c r="E502" s="20" t="s">
        <v>574</v>
      </c>
      <c r="F502" s="20" t="s">
        <v>665</v>
      </c>
      <c r="G502" s="20" t="s">
        <v>737</v>
      </c>
      <c r="H502" s="20" t="s">
        <v>2350</v>
      </c>
      <c r="I502" s="20">
        <v>3</v>
      </c>
      <c r="J502" s="20" t="s">
        <v>760</v>
      </c>
      <c r="K502" s="20" t="s">
        <v>2356</v>
      </c>
      <c r="L502" s="20" t="s">
        <v>761</v>
      </c>
      <c r="M502" s="20" t="s">
        <v>671</v>
      </c>
      <c r="N502" s="20" t="s">
        <v>702</v>
      </c>
      <c r="P502" s="20" t="s">
        <v>671</v>
      </c>
      <c r="Q502" s="20" t="s">
        <v>673</v>
      </c>
      <c r="R502" s="20" t="s">
        <v>84</v>
      </c>
      <c r="S502" s="20">
        <v>4</v>
      </c>
      <c r="T502" s="20" t="s">
        <v>762</v>
      </c>
      <c r="U502" s="20" t="s">
        <v>763</v>
      </c>
      <c r="V502" s="20" t="s">
        <v>87</v>
      </c>
      <c r="W502" s="20">
        <v>507</v>
      </c>
      <c r="X502" s="20">
        <v>507</v>
      </c>
      <c r="Y502" s="20" t="s">
        <v>2352</v>
      </c>
      <c r="Z502" s="20">
        <v>0.1</v>
      </c>
      <c r="AA502" s="20" t="s">
        <v>764</v>
      </c>
      <c r="AB502" s="20" t="s">
        <v>89</v>
      </c>
      <c r="AC502" s="20" t="s">
        <v>90</v>
      </c>
      <c r="AD502" s="20" t="s">
        <v>2353</v>
      </c>
      <c r="AE502" s="20" t="s">
        <v>91</v>
      </c>
      <c r="AF502" s="20">
        <v>0.2</v>
      </c>
      <c r="AH502" s="20">
        <v>1</v>
      </c>
      <c r="AI502" s="4" t="s">
        <v>649</v>
      </c>
      <c r="AJ502" s="20">
        <v>45</v>
      </c>
      <c r="AK502" s="4" t="s">
        <v>641</v>
      </c>
      <c r="AL502" s="4">
        <v>2</v>
      </c>
      <c r="AM502" s="4" t="s">
        <v>94</v>
      </c>
      <c r="AN502" s="4" t="s">
        <v>95</v>
      </c>
      <c r="AO502" s="4" t="s">
        <v>96</v>
      </c>
      <c r="AP502" s="4">
        <v>1</v>
      </c>
      <c r="AQ502" s="20">
        <v>65000</v>
      </c>
      <c r="AR502" s="4">
        <v>41803</v>
      </c>
      <c r="AS502" s="20">
        <v>11818.181818181818</v>
      </c>
      <c r="AT502" s="20">
        <v>13774.074999999999</v>
      </c>
      <c r="AU502" s="20">
        <v>1955.8931818181809</v>
      </c>
      <c r="AW502" s="20">
        <v>70</v>
      </c>
      <c r="AY502" s="20">
        <v>70</v>
      </c>
      <c r="AZ502" s="20">
        <v>10.5</v>
      </c>
      <c r="BB502" s="6">
        <v>41744</v>
      </c>
      <c r="BC502" s="6">
        <v>41839</v>
      </c>
      <c r="BD502" s="6">
        <v>41823</v>
      </c>
      <c r="BE502" s="6">
        <v>41845</v>
      </c>
      <c r="BF502" s="6">
        <v>41876</v>
      </c>
      <c r="BK502" s="4" t="s">
        <v>401</v>
      </c>
      <c r="BM502" s="20">
        <v>46</v>
      </c>
      <c r="BN502" s="20">
        <v>0</v>
      </c>
      <c r="BO502" s="20">
        <v>0</v>
      </c>
      <c r="BP502" s="20">
        <v>0</v>
      </c>
      <c r="BQ502" s="20">
        <v>0</v>
      </c>
      <c r="BR502" s="20">
        <v>0</v>
      </c>
      <c r="BS502" s="20">
        <v>45</v>
      </c>
      <c r="BT502" s="20">
        <v>619833.375</v>
      </c>
      <c r="BU502" s="20">
        <v>2925000</v>
      </c>
      <c r="BV502" s="20">
        <v>4.290009244969923</v>
      </c>
    </row>
    <row r="503" spans="1:74">
      <c r="A503" s="10">
        <f t="shared" si="30"/>
        <v>0</v>
      </c>
      <c r="B503" s="10">
        <f t="shared" si="31"/>
        <v>0</v>
      </c>
      <c r="C503" s="12">
        <f t="shared" si="32"/>
        <v>4</v>
      </c>
      <c r="D503" s="12">
        <f t="shared" si="33"/>
        <v>8</v>
      </c>
      <c r="E503" s="20" t="s">
        <v>574</v>
      </c>
      <c r="F503" s="20" t="s">
        <v>665</v>
      </c>
      <c r="G503" s="20" t="s">
        <v>737</v>
      </c>
      <c r="H503" s="20" t="s">
        <v>2350</v>
      </c>
      <c r="I503" s="20">
        <v>3</v>
      </c>
      <c r="J503" s="20" t="s">
        <v>760</v>
      </c>
      <c r="K503" s="20" t="s">
        <v>2357</v>
      </c>
      <c r="L503" s="20" t="s">
        <v>761</v>
      </c>
      <c r="M503" s="20" t="s">
        <v>671</v>
      </c>
      <c r="N503" s="20" t="s">
        <v>702</v>
      </c>
      <c r="P503" s="20" t="s">
        <v>671</v>
      </c>
      <c r="Q503" s="20" t="s">
        <v>673</v>
      </c>
      <c r="R503" s="20" t="s">
        <v>84</v>
      </c>
      <c r="S503" s="20">
        <v>4</v>
      </c>
      <c r="T503" s="20" t="s">
        <v>762</v>
      </c>
      <c r="U503" s="20" t="s">
        <v>763</v>
      </c>
      <c r="V503" s="20" t="s">
        <v>87</v>
      </c>
      <c r="W503" s="20">
        <v>507</v>
      </c>
      <c r="X503" s="20">
        <v>507</v>
      </c>
      <c r="Y503" s="20" t="s">
        <v>2352</v>
      </c>
      <c r="Z503" s="20">
        <v>0.1</v>
      </c>
      <c r="AA503" s="20" t="s">
        <v>764</v>
      </c>
      <c r="AB503" s="20" t="s">
        <v>89</v>
      </c>
      <c r="AC503" s="20" t="s">
        <v>90</v>
      </c>
      <c r="AD503" s="20" t="s">
        <v>2353</v>
      </c>
      <c r="AE503" s="20" t="s">
        <v>91</v>
      </c>
      <c r="AF503" s="20">
        <v>0.2</v>
      </c>
      <c r="AH503" s="20">
        <v>1</v>
      </c>
      <c r="AI503" s="4" t="s">
        <v>651</v>
      </c>
      <c r="AJ503" s="20">
        <v>45</v>
      </c>
      <c r="AK503" s="4" t="s">
        <v>641</v>
      </c>
      <c r="AL503" s="4">
        <v>2</v>
      </c>
      <c r="AM503" s="4" t="s">
        <v>94</v>
      </c>
      <c r="AN503" s="4" t="s">
        <v>95</v>
      </c>
      <c r="AO503" s="4" t="s">
        <v>96</v>
      </c>
      <c r="AP503" s="4">
        <v>1</v>
      </c>
      <c r="AQ503" s="20">
        <v>65000</v>
      </c>
      <c r="AR503" s="4">
        <v>41803</v>
      </c>
      <c r="AS503" s="20">
        <v>11818.181818181818</v>
      </c>
      <c r="AT503" s="20">
        <v>13774.074999999999</v>
      </c>
      <c r="AU503" s="20">
        <v>1955.8931818181809</v>
      </c>
      <c r="AW503" s="20">
        <v>70</v>
      </c>
      <c r="AY503" s="20">
        <v>70</v>
      </c>
      <c r="AZ503" s="20">
        <v>10.5</v>
      </c>
      <c r="BB503" s="6">
        <v>41744</v>
      </c>
      <c r="BC503" s="6">
        <v>41839</v>
      </c>
      <c r="BD503" s="6">
        <v>41823</v>
      </c>
      <c r="BE503" s="6">
        <v>41845</v>
      </c>
      <c r="BF503" s="6">
        <v>41876</v>
      </c>
      <c r="BK503" s="4" t="s">
        <v>401</v>
      </c>
      <c r="BM503" s="20">
        <v>45</v>
      </c>
      <c r="BN503" s="20">
        <v>0</v>
      </c>
      <c r="BO503" s="20">
        <v>0</v>
      </c>
      <c r="BP503" s="20">
        <v>0</v>
      </c>
      <c r="BQ503" s="20">
        <v>0</v>
      </c>
      <c r="BR503" s="20">
        <v>0</v>
      </c>
      <c r="BS503" s="20">
        <v>45</v>
      </c>
      <c r="BT503" s="20">
        <v>619833.375</v>
      </c>
      <c r="BU503" s="20">
        <v>2925000</v>
      </c>
      <c r="BV503" s="20">
        <v>4.290009244969923</v>
      </c>
    </row>
    <row r="504" spans="1:74">
      <c r="A504" s="10">
        <f t="shared" si="30"/>
        <v>0</v>
      </c>
      <c r="B504" s="10">
        <f t="shared" si="31"/>
        <v>0</v>
      </c>
      <c r="C504" s="12">
        <f t="shared" si="32"/>
        <v>4</v>
      </c>
      <c r="D504" s="12">
        <f t="shared" si="33"/>
        <v>8</v>
      </c>
      <c r="E504" s="20" t="s">
        <v>574</v>
      </c>
      <c r="F504" s="20" t="s">
        <v>665</v>
      </c>
      <c r="G504" s="20" t="s">
        <v>737</v>
      </c>
      <c r="H504" s="20" t="s">
        <v>2358</v>
      </c>
      <c r="I504" s="20">
        <v>4</v>
      </c>
      <c r="J504" s="20" t="s">
        <v>765</v>
      </c>
      <c r="K504" s="20" t="s">
        <v>2359</v>
      </c>
      <c r="L504" s="20" t="s">
        <v>761</v>
      </c>
      <c r="M504" s="20" t="s">
        <v>671</v>
      </c>
      <c r="N504" s="20" t="s">
        <v>702</v>
      </c>
      <c r="P504" s="20" t="s">
        <v>671</v>
      </c>
      <c r="Q504" s="20" t="s">
        <v>673</v>
      </c>
      <c r="R504" s="20" t="s">
        <v>84</v>
      </c>
      <c r="S504" s="20">
        <v>4</v>
      </c>
      <c r="T504" s="20" t="s">
        <v>762</v>
      </c>
      <c r="U504" s="20" t="s">
        <v>763</v>
      </c>
      <c r="V504" s="20" t="s">
        <v>87</v>
      </c>
      <c r="W504" s="20">
        <v>507</v>
      </c>
      <c r="X504" s="20">
        <v>507</v>
      </c>
      <c r="Y504" s="20" t="s">
        <v>2352</v>
      </c>
      <c r="Z504" s="20">
        <v>0.1</v>
      </c>
      <c r="AA504" s="20" t="s">
        <v>766</v>
      </c>
      <c r="AB504" s="20" t="s">
        <v>279</v>
      </c>
      <c r="AC504" s="20" t="s">
        <v>280</v>
      </c>
      <c r="AD504" s="20" t="s">
        <v>2360</v>
      </c>
      <c r="AE504" s="20" t="s">
        <v>91</v>
      </c>
      <c r="AF504" s="20">
        <v>0.2</v>
      </c>
      <c r="AH504" s="20">
        <v>1</v>
      </c>
      <c r="AI504" s="4" t="s">
        <v>643</v>
      </c>
      <c r="AJ504" s="20">
        <v>75</v>
      </c>
      <c r="AK504" s="4" t="s">
        <v>641</v>
      </c>
      <c r="AL504" s="4">
        <v>2</v>
      </c>
      <c r="AM504" s="4" t="s">
        <v>94</v>
      </c>
      <c r="AN504" s="4" t="s">
        <v>95</v>
      </c>
      <c r="AO504" s="4" t="s">
        <v>96</v>
      </c>
      <c r="AP504" s="4">
        <v>1</v>
      </c>
      <c r="AQ504" s="20">
        <v>65000</v>
      </c>
      <c r="AR504" s="4">
        <v>41803</v>
      </c>
      <c r="AS504" s="20">
        <v>11818.181818181818</v>
      </c>
      <c r="AT504" s="20">
        <v>13774.074999999999</v>
      </c>
      <c r="AU504" s="20">
        <v>1955.8931818181809</v>
      </c>
      <c r="AW504" s="20">
        <v>70</v>
      </c>
      <c r="AY504" s="20">
        <v>70</v>
      </c>
      <c r="AZ504" s="20">
        <v>10.5</v>
      </c>
      <c r="BB504" s="6">
        <v>41744</v>
      </c>
      <c r="BC504" s="6">
        <v>41839</v>
      </c>
      <c r="BD504" s="6">
        <v>41823</v>
      </c>
      <c r="BE504" s="6">
        <v>41845</v>
      </c>
      <c r="BF504" s="6">
        <v>41877</v>
      </c>
      <c r="BK504" s="4" t="s">
        <v>401</v>
      </c>
      <c r="BM504" s="20">
        <v>75</v>
      </c>
      <c r="BN504" s="20">
        <v>0</v>
      </c>
      <c r="BO504" s="20">
        <v>0</v>
      </c>
      <c r="BP504" s="20">
        <v>0</v>
      </c>
      <c r="BQ504" s="20">
        <v>0</v>
      </c>
      <c r="BR504" s="20">
        <v>0</v>
      </c>
      <c r="BS504" s="20">
        <v>75</v>
      </c>
      <c r="BT504" s="20">
        <v>1033055.6249999999</v>
      </c>
      <c r="BU504" s="20">
        <v>4875000</v>
      </c>
      <c r="BV504" s="20">
        <v>4.290009244969923</v>
      </c>
    </row>
    <row r="505" spans="1:74">
      <c r="A505" s="10">
        <f t="shared" si="30"/>
        <v>0</v>
      </c>
      <c r="B505" s="10">
        <f t="shared" si="31"/>
        <v>0</v>
      </c>
      <c r="C505" s="12">
        <f t="shared" si="32"/>
        <v>4</v>
      </c>
      <c r="D505" s="12">
        <f t="shared" si="33"/>
        <v>8</v>
      </c>
      <c r="E505" s="20" t="s">
        <v>574</v>
      </c>
      <c r="F505" s="20" t="s">
        <v>665</v>
      </c>
      <c r="G505" s="20" t="s">
        <v>737</v>
      </c>
      <c r="H505" s="20" t="s">
        <v>2358</v>
      </c>
      <c r="I505" s="20">
        <v>4</v>
      </c>
      <c r="J505" s="20" t="s">
        <v>765</v>
      </c>
      <c r="K505" s="20" t="s">
        <v>2361</v>
      </c>
      <c r="L505" s="20" t="s">
        <v>761</v>
      </c>
      <c r="M505" s="20" t="s">
        <v>671</v>
      </c>
      <c r="N505" s="20" t="s">
        <v>702</v>
      </c>
      <c r="P505" s="20" t="s">
        <v>671</v>
      </c>
      <c r="Q505" s="20" t="s">
        <v>673</v>
      </c>
      <c r="R505" s="20" t="s">
        <v>84</v>
      </c>
      <c r="S505" s="20">
        <v>4</v>
      </c>
      <c r="T505" s="20" t="s">
        <v>762</v>
      </c>
      <c r="U505" s="20" t="s">
        <v>763</v>
      </c>
      <c r="V505" s="20" t="s">
        <v>87</v>
      </c>
      <c r="W505" s="20">
        <v>507</v>
      </c>
      <c r="X505" s="20">
        <v>507</v>
      </c>
      <c r="Y505" s="20" t="s">
        <v>2352</v>
      </c>
      <c r="Z505" s="20">
        <v>0.1</v>
      </c>
      <c r="AA505" s="20" t="s">
        <v>766</v>
      </c>
      <c r="AB505" s="20" t="s">
        <v>279</v>
      </c>
      <c r="AC505" s="20" t="s">
        <v>280</v>
      </c>
      <c r="AD505" s="20" t="s">
        <v>2360</v>
      </c>
      <c r="AE505" s="20" t="s">
        <v>91</v>
      </c>
      <c r="AF505" s="20">
        <v>0.2</v>
      </c>
      <c r="AH505" s="20">
        <v>1</v>
      </c>
      <c r="AI505" s="4" t="s">
        <v>645</v>
      </c>
      <c r="AJ505" s="20">
        <v>75</v>
      </c>
      <c r="AK505" s="4" t="s">
        <v>641</v>
      </c>
      <c r="AL505" s="4">
        <v>2</v>
      </c>
      <c r="AM505" s="4" t="s">
        <v>94</v>
      </c>
      <c r="AN505" s="4" t="s">
        <v>95</v>
      </c>
      <c r="AO505" s="4" t="s">
        <v>96</v>
      </c>
      <c r="AP505" s="4">
        <v>1</v>
      </c>
      <c r="AQ505" s="20">
        <v>65000</v>
      </c>
      <c r="AR505" s="4">
        <v>41803</v>
      </c>
      <c r="AS505" s="20">
        <v>11818.181818181818</v>
      </c>
      <c r="AT505" s="20">
        <v>13774.074999999999</v>
      </c>
      <c r="AU505" s="20">
        <v>1955.8931818181809</v>
      </c>
      <c r="AW505" s="20">
        <v>70</v>
      </c>
      <c r="AY505" s="20">
        <v>70</v>
      </c>
      <c r="AZ505" s="20">
        <v>10.5</v>
      </c>
      <c r="BB505" s="6">
        <v>41744</v>
      </c>
      <c r="BC505" s="6">
        <v>41839</v>
      </c>
      <c r="BD505" s="6">
        <v>41823</v>
      </c>
      <c r="BE505" s="6">
        <v>41845</v>
      </c>
      <c r="BF505" s="6">
        <v>41877</v>
      </c>
      <c r="BK505" s="4" t="s">
        <v>401</v>
      </c>
      <c r="BM505" s="20">
        <v>76</v>
      </c>
      <c r="BN505" s="20">
        <v>0</v>
      </c>
      <c r="BO505" s="20">
        <v>0</v>
      </c>
      <c r="BP505" s="20">
        <v>0</v>
      </c>
      <c r="BQ505" s="20">
        <v>0</v>
      </c>
      <c r="BR505" s="20">
        <v>0</v>
      </c>
      <c r="BS505" s="20">
        <v>75</v>
      </c>
      <c r="BT505" s="20">
        <v>1033055.6249999999</v>
      </c>
      <c r="BU505" s="20">
        <v>4875000</v>
      </c>
      <c r="BV505" s="20">
        <v>4.290009244969923</v>
      </c>
    </row>
    <row r="506" spans="1:74">
      <c r="A506" s="10">
        <f t="shared" si="30"/>
        <v>0</v>
      </c>
      <c r="B506" s="10">
        <f t="shared" si="31"/>
        <v>0</v>
      </c>
      <c r="C506" s="12">
        <f t="shared" si="32"/>
        <v>4</v>
      </c>
      <c r="D506" s="12">
        <f t="shared" si="33"/>
        <v>8</v>
      </c>
      <c r="E506" s="20" t="s">
        <v>574</v>
      </c>
      <c r="F506" s="20" t="s">
        <v>665</v>
      </c>
      <c r="G506" s="20" t="s">
        <v>737</v>
      </c>
      <c r="H506" s="20" t="s">
        <v>2358</v>
      </c>
      <c r="I506" s="20">
        <v>4</v>
      </c>
      <c r="J506" s="20" t="s">
        <v>765</v>
      </c>
      <c r="K506" s="20" t="s">
        <v>2362</v>
      </c>
      <c r="L506" s="20" t="s">
        <v>761</v>
      </c>
      <c r="M506" s="20" t="s">
        <v>671</v>
      </c>
      <c r="N506" s="20" t="s">
        <v>702</v>
      </c>
      <c r="P506" s="20" t="s">
        <v>671</v>
      </c>
      <c r="Q506" s="20" t="s">
        <v>673</v>
      </c>
      <c r="R506" s="20" t="s">
        <v>84</v>
      </c>
      <c r="S506" s="20">
        <v>4</v>
      </c>
      <c r="T506" s="20" t="s">
        <v>762</v>
      </c>
      <c r="U506" s="20" t="s">
        <v>763</v>
      </c>
      <c r="V506" s="20" t="s">
        <v>87</v>
      </c>
      <c r="W506" s="20">
        <v>507</v>
      </c>
      <c r="X506" s="20">
        <v>507</v>
      </c>
      <c r="Y506" s="20" t="s">
        <v>2352</v>
      </c>
      <c r="Z506" s="20">
        <v>0.1</v>
      </c>
      <c r="AA506" s="20" t="s">
        <v>766</v>
      </c>
      <c r="AB506" s="20" t="s">
        <v>279</v>
      </c>
      <c r="AC506" s="20" t="s">
        <v>280</v>
      </c>
      <c r="AD506" s="20" t="s">
        <v>2360</v>
      </c>
      <c r="AE506" s="20" t="s">
        <v>91</v>
      </c>
      <c r="AF506" s="20">
        <v>0.2</v>
      </c>
      <c r="AH506" s="20">
        <v>1</v>
      </c>
      <c r="AI506" s="4" t="s">
        <v>647</v>
      </c>
      <c r="AJ506" s="20">
        <v>60</v>
      </c>
      <c r="AK506" s="4" t="s">
        <v>641</v>
      </c>
      <c r="AL506" s="4">
        <v>2</v>
      </c>
      <c r="AM506" s="4" t="s">
        <v>94</v>
      </c>
      <c r="AN506" s="4" t="s">
        <v>95</v>
      </c>
      <c r="AO506" s="4" t="s">
        <v>96</v>
      </c>
      <c r="AP506" s="4">
        <v>1</v>
      </c>
      <c r="AQ506" s="20">
        <v>65000</v>
      </c>
      <c r="AR506" s="4">
        <v>41803</v>
      </c>
      <c r="AS506" s="20">
        <v>11818.181818181818</v>
      </c>
      <c r="AT506" s="20">
        <v>13774.074999999999</v>
      </c>
      <c r="AU506" s="20">
        <v>1955.8931818181809</v>
      </c>
      <c r="AW506" s="20">
        <v>70</v>
      </c>
      <c r="AY506" s="20">
        <v>70</v>
      </c>
      <c r="AZ506" s="20">
        <v>10.5</v>
      </c>
      <c r="BB506" s="6">
        <v>41744</v>
      </c>
      <c r="BC506" s="6">
        <v>41839</v>
      </c>
      <c r="BD506" s="6">
        <v>41823</v>
      </c>
      <c r="BE506" s="6">
        <v>41845</v>
      </c>
      <c r="BF506" s="6">
        <v>41877</v>
      </c>
      <c r="BK506" s="4" t="s">
        <v>401</v>
      </c>
      <c r="BM506" s="20">
        <v>60</v>
      </c>
      <c r="BN506" s="20">
        <v>0</v>
      </c>
      <c r="BO506" s="20">
        <v>0</v>
      </c>
      <c r="BP506" s="20">
        <v>0</v>
      </c>
      <c r="BQ506" s="20">
        <v>0</v>
      </c>
      <c r="BR506" s="20">
        <v>0</v>
      </c>
      <c r="BS506" s="20">
        <v>60</v>
      </c>
      <c r="BT506" s="20">
        <v>826444.49999999988</v>
      </c>
      <c r="BU506" s="20">
        <v>3900000</v>
      </c>
      <c r="BV506" s="20">
        <v>4.290009244969923</v>
      </c>
    </row>
    <row r="507" spans="1:74">
      <c r="A507" s="10">
        <f t="shared" si="30"/>
        <v>0</v>
      </c>
      <c r="B507" s="10">
        <f t="shared" si="31"/>
        <v>0</v>
      </c>
      <c r="C507" s="12">
        <f t="shared" si="32"/>
        <v>4</v>
      </c>
      <c r="D507" s="12">
        <f t="shared" si="33"/>
        <v>8</v>
      </c>
      <c r="E507" s="20" t="s">
        <v>574</v>
      </c>
      <c r="F507" s="20" t="s">
        <v>665</v>
      </c>
      <c r="G507" s="20" t="s">
        <v>737</v>
      </c>
      <c r="H507" s="20" t="s">
        <v>2358</v>
      </c>
      <c r="I507" s="20">
        <v>4</v>
      </c>
      <c r="J507" s="20" t="s">
        <v>765</v>
      </c>
      <c r="K507" s="20" t="s">
        <v>2363</v>
      </c>
      <c r="L507" s="20" t="s">
        <v>761</v>
      </c>
      <c r="M507" s="20" t="s">
        <v>671</v>
      </c>
      <c r="N507" s="20" t="s">
        <v>702</v>
      </c>
      <c r="P507" s="20" t="s">
        <v>671</v>
      </c>
      <c r="Q507" s="20" t="s">
        <v>673</v>
      </c>
      <c r="R507" s="20" t="s">
        <v>84</v>
      </c>
      <c r="S507" s="20">
        <v>4</v>
      </c>
      <c r="T507" s="20" t="s">
        <v>762</v>
      </c>
      <c r="U507" s="20" t="s">
        <v>763</v>
      </c>
      <c r="V507" s="20" t="s">
        <v>87</v>
      </c>
      <c r="W507" s="20">
        <v>507</v>
      </c>
      <c r="X507" s="20">
        <v>507</v>
      </c>
      <c r="Y507" s="20" t="s">
        <v>2352</v>
      </c>
      <c r="Z507" s="20">
        <v>0.1</v>
      </c>
      <c r="AA507" s="20" t="s">
        <v>766</v>
      </c>
      <c r="AB507" s="20" t="s">
        <v>279</v>
      </c>
      <c r="AC507" s="20" t="s">
        <v>280</v>
      </c>
      <c r="AD507" s="20" t="s">
        <v>2360</v>
      </c>
      <c r="AE507" s="20" t="s">
        <v>91</v>
      </c>
      <c r="AF507" s="20">
        <v>0.2</v>
      </c>
      <c r="AH507" s="20">
        <v>1</v>
      </c>
      <c r="AI507" s="4" t="s">
        <v>649</v>
      </c>
      <c r="AJ507" s="20">
        <v>45</v>
      </c>
      <c r="AK507" s="4" t="s">
        <v>641</v>
      </c>
      <c r="AL507" s="4">
        <v>2</v>
      </c>
      <c r="AM507" s="4" t="s">
        <v>94</v>
      </c>
      <c r="AN507" s="4" t="s">
        <v>95</v>
      </c>
      <c r="AO507" s="4" t="s">
        <v>96</v>
      </c>
      <c r="AP507" s="4">
        <v>1</v>
      </c>
      <c r="AQ507" s="20">
        <v>65000</v>
      </c>
      <c r="AR507" s="4">
        <v>41803</v>
      </c>
      <c r="AS507" s="20">
        <v>11818.181818181818</v>
      </c>
      <c r="AT507" s="20">
        <v>13774.074999999999</v>
      </c>
      <c r="AU507" s="20">
        <v>1955.8931818181809</v>
      </c>
      <c r="AW507" s="20">
        <v>70</v>
      </c>
      <c r="AY507" s="20">
        <v>70</v>
      </c>
      <c r="AZ507" s="20">
        <v>10.5</v>
      </c>
      <c r="BB507" s="6">
        <v>41744</v>
      </c>
      <c r="BC507" s="6">
        <v>41839</v>
      </c>
      <c r="BD507" s="6">
        <v>41823</v>
      </c>
      <c r="BE507" s="6">
        <v>41845</v>
      </c>
      <c r="BF507" s="6">
        <v>41877</v>
      </c>
      <c r="BK507" s="4" t="s">
        <v>401</v>
      </c>
      <c r="BM507" s="20">
        <v>45</v>
      </c>
      <c r="BN507" s="20">
        <v>0</v>
      </c>
      <c r="BO507" s="20">
        <v>0</v>
      </c>
      <c r="BP507" s="20">
        <v>0</v>
      </c>
      <c r="BQ507" s="20">
        <v>0</v>
      </c>
      <c r="BR507" s="20">
        <v>0</v>
      </c>
      <c r="BS507" s="20">
        <v>45</v>
      </c>
      <c r="BT507" s="20">
        <v>619833.375</v>
      </c>
      <c r="BU507" s="20">
        <v>2925000</v>
      </c>
      <c r="BV507" s="20">
        <v>4.290009244969923</v>
      </c>
    </row>
    <row r="508" spans="1:74">
      <c r="A508" s="10">
        <f t="shared" si="30"/>
        <v>0</v>
      </c>
      <c r="B508" s="10">
        <f t="shared" si="31"/>
        <v>0</v>
      </c>
      <c r="C508" s="12">
        <f t="shared" si="32"/>
        <v>4</v>
      </c>
      <c r="D508" s="12">
        <f t="shared" si="33"/>
        <v>8</v>
      </c>
      <c r="E508" s="20" t="s">
        <v>574</v>
      </c>
      <c r="F508" s="20" t="s">
        <v>665</v>
      </c>
      <c r="G508" s="20" t="s">
        <v>737</v>
      </c>
      <c r="H508" s="20" t="s">
        <v>2358</v>
      </c>
      <c r="I508" s="20">
        <v>4</v>
      </c>
      <c r="J508" s="20" t="s">
        <v>765</v>
      </c>
      <c r="K508" s="20" t="s">
        <v>2364</v>
      </c>
      <c r="L508" s="20" t="s">
        <v>761</v>
      </c>
      <c r="M508" s="20" t="s">
        <v>671</v>
      </c>
      <c r="N508" s="20" t="s">
        <v>702</v>
      </c>
      <c r="P508" s="20" t="s">
        <v>671</v>
      </c>
      <c r="Q508" s="20" t="s">
        <v>673</v>
      </c>
      <c r="R508" s="20" t="s">
        <v>84</v>
      </c>
      <c r="S508" s="20">
        <v>4</v>
      </c>
      <c r="T508" s="20" t="s">
        <v>762</v>
      </c>
      <c r="U508" s="20" t="s">
        <v>763</v>
      </c>
      <c r="V508" s="20" t="s">
        <v>87</v>
      </c>
      <c r="W508" s="20">
        <v>507</v>
      </c>
      <c r="X508" s="20">
        <v>507</v>
      </c>
      <c r="Y508" s="20" t="s">
        <v>2352</v>
      </c>
      <c r="Z508" s="20">
        <v>0.1</v>
      </c>
      <c r="AA508" s="20" t="s">
        <v>766</v>
      </c>
      <c r="AB508" s="20" t="s">
        <v>279</v>
      </c>
      <c r="AC508" s="20" t="s">
        <v>280</v>
      </c>
      <c r="AD508" s="20" t="s">
        <v>2360</v>
      </c>
      <c r="AE508" s="20" t="s">
        <v>91</v>
      </c>
      <c r="AF508" s="20">
        <v>0.2</v>
      </c>
      <c r="AH508" s="20">
        <v>1</v>
      </c>
      <c r="AI508" s="4" t="s">
        <v>651</v>
      </c>
      <c r="AJ508" s="20">
        <v>45</v>
      </c>
      <c r="AK508" s="4" t="s">
        <v>641</v>
      </c>
      <c r="AL508" s="4">
        <v>2</v>
      </c>
      <c r="AM508" s="4" t="s">
        <v>94</v>
      </c>
      <c r="AN508" s="4" t="s">
        <v>95</v>
      </c>
      <c r="AO508" s="4" t="s">
        <v>96</v>
      </c>
      <c r="AP508" s="4">
        <v>1</v>
      </c>
      <c r="AQ508" s="20">
        <v>65000</v>
      </c>
      <c r="AR508" s="4">
        <v>41803</v>
      </c>
      <c r="AS508" s="20">
        <v>11818.181818181818</v>
      </c>
      <c r="AT508" s="20">
        <v>13774.074999999999</v>
      </c>
      <c r="AU508" s="20">
        <v>1955.8931818181809</v>
      </c>
      <c r="AW508" s="20">
        <v>70</v>
      </c>
      <c r="AY508" s="20">
        <v>70</v>
      </c>
      <c r="AZ508" s="20">
        <v>10.5</v>
      </c>
      <c r="BB508" s="6">
        <v>41744</v>
      </c>
      <c r="BC508" s="6">
        <v>41839</v>
      </c>
      <c r="BD508" s="6">
        <v>41823</v>
      </c>
      <c r="BE508" s="6">
        <v>41845</v>
      </c>
      <c r="BF508" s="6">
        <v>41877</v>
      </c>
      <c r="BK508" s="4" t="s">
        <v>401</v>
      </c>
      <c r="BM508" s="20">
        <v>45</v>
      </c>
      <c r="BN508" s="20">
        <v>0</v>
      </c>
      <c r="BO508" s="20">
        <v>0</v>
      </c>
      <c r="BP508" s="20">
        <v>0</v>
      </c>
      <c r="BQ508" s="20">
        <v>0</v>
      </c>
      <c r="BR508" s="20">
        <v>0</v>
      </c>
      <c r="BS508" s="20">
        <v>45</v>
      </c>
      <c r="BT508" s="20">
        <v>619833.375</v>
      </c>
      <c r="BU508" s="20">
        <v>2925000</v>
      </c>
      <c r="BV508" s="20">
        <v>4.290009244969923</v>
      </c>
    </row>
    <row r="509" spans="1:74">
      <c r="A509" s="10">
        <f t="shared" si="30"/>
        <v>0</v>
      </c>
      <c r="B509" s="10">
        <f t="shared" si="31"/>
        <v>0</v>
      </c>
      <c r="C509" s="12" t="str">
        <f t="shared" si="32"/>
        <v/>
      </c>
      <c r="D509" s="12" t="str">
        <f t="shared" si="33"/>
        <v/>
      </c>
      <c r="E509" s="20" t="s">
        <v>91</v>
      </c>
      <c r="F509" s="20" t="s">
        <v>91</v>
      </c>
      <c r="G509" s="20" t="s">
        <v>91</v>
      </c>
      <c r="H509" s="20" t="s">
        <v>91</v>
      </c>
      <c r="I509" s="20">
        <v>0</v>
      </c>
      <c r="J509" s="20" t="s">
        <v>103</v>
      </c>
      <c r="K509" s="20" t="s">
        <v>104</v>
      </c>
      <c r="L509" s="20">
        <v>0</v>
      </c>
      <c r="M509" s="20" t="s">
        <v>105</v>
      </c>
      <c r="N509" s="20" t="s">
        <v>91</v>
      </c>
      <c r="O509" s="20" t="s">
        <v>767</v>
      </c>
      <c r="Q509" s="20" t="s">
        <v>91</v>
      </c>
      <c r="R509" s="20" t="s">
        <v>91</v>
      </c>
      <c r="S509" s="20" t="s">
        <v>91</v>
      </c>
      <c r="U509" s="20" t="s">
        <v>91</v>
      </c>
      <c r="V509" s="20" t="s">
        <v>87</v>
      </c>
      <c r="X509" s="20" t="s">
        <v>91</v>
      </c>
      <c r="Y509" s="20" t="s">
        <v>91</v>
      </c>
      <c r="Z509" s="20">
        <v>2.0000000000000009</v>
      </c>
      <c r="AB509" s="20" t="s">
        <v>91</v>
      </c>
      <c r="AD509" s="20" t="s">
        <v>91</v>
      </c>
      <c r="AE509" s="20" t="s">
        <v>91</v>
      </c>
      <c r="AF509" s="20">
        <v>4.0000000000000018</v>
      </c>
      <c r="AH509" s="20">
        <v>1</v>
      </c>
      <c r="AM509" s="4" t="s">
        <v>91</v>
      </c>
      <c r="AP509" s="4" t="s">
        <v>91</v>
      </c>
      <c r="AQ509" s="20">
        <v>0</v>
      </c>
      <c r="AR509" s="4">
        <v>0</v>
      </c>
      <c r="AS509" s="20">
        <v>0</v>
      </c>
      <c r="AT509" s="20">
        <v>0</v>
      </c>
      <c r="AU509" s="20">
        <v>0</v>
      </c>
      <c r="AY509" s="20">
        <v>0</v>
      </c>
      <c r="BB509" s="6">
        <v>0</v>
      </c>
      <c r="BD509" s="6">
        <v>0</v>
      </c>
      <c r="BF509" s="6">
        <v>0</v>
      </c>
      <c r="BM509" s="20">
        <v>1513</v>
      </c>
      <c r="BN509" s="20">
        <v>0</v>
      </c>
      <c r="BO509" s="20">
        <v>0</v>
      </c>
      <c r="BP509" s="20">
        <v>0</v>
      </c>
      <c r="BQ509" s="20">
        <v>0</v>
      </c>
      <c r="BR509" s="20">
        <v>0</v>
      </c>
      <c r="BS509" s="20">
        <v>1500</v>
      </c>
      <c r="BT509" s="20">
        <v>20073794.999999996</v>
      </c>
      <c r="BU509" s="20">
        <v>97500000</v>
      </c>
      <c r="BV509" s="20">
        <v>4.4155259947789469</v>
      </c>
    </row>
    <row r="510" spans="1:74">
      <c r="A510" s="10">
        <f t="shared" si="30"/>
        <v>0</v>
      </c>
      <c r="B510" s="10">
        <f t="shared" si="31"/>
        <v>0</v>
      </c>
      <c r="C510" s="12">
        <f t="shared" si="32"/>
        <v>4</v>
      </c>
      <c r="D510" s="12">
        <f t="shared" si="33"/>
        <v>9</v>
      </c>
      <c r="E510" s="20" t="s">
        <v>574</v>
      </c>
      <c r="F510" s="20" t="s">
        <v>665</v>
      </c>
      <c r="G510" s="20" t="s">
        <v>768</v>
      </c>
      <c r="H510" s="20" t="s">
        <v>769</v>
      </c>
      <c r="I510" s="20">
        <v>1</v>
      </c>
      <c r="J510" s="20" t="s">
        <v>770</v>
      </c>
      <c r="K510" s="20" t="s">
        <v>771</v>
      </c>
      <c r="L510" s="20" t="s">
        <v>772</v>
      </c>
      <c r="M510" s="20" t="s">
        <v>671</v>
      </c>
      <c r="N510" s="20" t="s">
        <v>672</v>
      </c>
      <c r="P510" s="20" t="s">
        <v>671</v>
      </c>
      <c r="Q510" s="20" t="s">
        <v>673</v>
      </c>
      <c r="R510" s="20" t="s">
        <v>84</v>
      </c>
      <c r="S510" s="20">
        <v>5</v>
      </c>
      <c r="T510" s="20" t="s">
        <v>773</v>
      </c>
      <c r="U510" s="20" t="s">
        <v>774</v>
      </c>
      <c r="V510" s="20" t="s">
        <v>775</v>
      </c>
      <c r="W510" s="20">
        <v>590</v>
      </c>
      <c r="X510" s="20">
        <v>590</v>
      </c>
      <c r="Y510" s="20" t="s">
        <v>776</v>
      </c>
      <c r="Z510" s="20">
        <v>0.16666666666666666</v>
      </c>
      <c r="AA510" s="20" t="s">
        <v>777</v>
      </c>
      <c r="AB510" s="20" t="s">
        <v>176</v>
      </c>
      <c r="AC510" s="20" t="s">
        <v>177</v>
      </c>
      <c r="AD510" s="20" t="s">
        <v>778</v>
      </c>
      <c r="AE510" s="20" t="s">
        <v>91</v>
      </c>
      <c r="AF510" s="20">
        <v>0.33333333333333331</v>
      </c>
      <c r="AH510" s="20">
        <v>3</v>
      </c>
      <c r="AI510" s="4" t="s">
        <v>779</v>
      </c>
      <c r="AJ510" s="20">
        <v>90</v>
      </c>
      <c r="AK510" s="4" t="s">
        <v>780</v>
      </c>
      <c r="AL510" s="4">
        <v>3</v>
      </c>
      <c r="AM510" s="4" t="s">
        <v>438</v>
      </c>
      <c r="AN510" s="4" t="s">
        <v>95</v>
      </c>
      <c r="AO510" s="4" t="s">
        <v>131</v>
      </c>
      <c r="AP510" s="4">
        <v>2</v>
      </c>
      <c r="AQ510" s="20">
        <v>99000</v>
      </c>
      <c r="AR510" s="4">
        <v>41820</v>
      </c>
      <c r="AS510" s="20">
        <v>25000</v>
      </c>
      <c r="AT510" s="20">
        <v>23100</v>
      </c>
      <c r="AU510" s="20">
        <v>-1900</v>
      </c>
      <c r="AW510" s="20">
        <v>20</v>
      </c>
      <c r="AY510" s="20">
        <v>20</v>
      </c>
      <c r="BA510" s="20">
        <v>23080</v>
      </c>
      <c r="BB510" s="6">
        <v>41740</v>
      </c>
      <c r="BD510" s="6">
        <v>41848</v>
      </c>
      <c r="BE510" s="6">
        <v>41864</v>
      </c>
      <c r="BF510" s="6">
        <v>41887</v>
      </c>
      <c r="BG510" s="6">
        <v>41908</v>
      </c>
      <c r="BK510" s="4" t="s">
        <v>401</v>
      </c>
      <c r="BM510" s="20">
        <v>34</v>
      </c>
      <c r="BN510" s="20">
        <v>53</v>
      </c>
      <c r="BO510" s="20">
        <v>0</v>
      </c>
      <c r="BP510" s="20">
        <v>0</v>
      </c>
      <c r="BQ510" s="20">
        <v>0</v>
      </c>
      <c r="BR510" s="20">
        <v>0</v>
      </c>
      <c r="BS510" s="20">
        <v>90</v>
      </c>
      <c r="BT510" s="20">
        <v>2079000</v>
      </c>
      <c r="BU510" s="20">
        <v>8910000</v>
      </c>
      <c r="BV510" s="20">
        <v>3.8961038961038961</v>
      </c>
    </row>
    <row r="511" spans="1:74">
      <c r="A511" s="10">
        <f t="shared" si="30"/>
        <v>0</v>
      </c>
      <c r="B511" s="10">
        <f t="shared" si="31"/>
        <v>0</v>
      </c>
      <c r="C511" s="12">
        <f t="shared" si="32"/>
        <v>4</v>
      </c>
      <c r="D511" s="12">
        <f t="shared" si="33"/>
        <v>9</v>
      </c>
      <c r="E511" s="20" t="s">
        <v>574</v>
      </c>
      <c r="F511" s="20" t="s">
        <v>665</v>
      </c>
      <c r="G511" s="20" t="s">
        <v>768</v>
      </c>
      <c r="H511" s="20" t="s">
        <v>769</v>
      </c>
      <c r="I511" s="20">
        <v>1</v>
      </c>
      <c r="J511" s="20" t="s">
        <v>770</v>
      </c>
      <c r="K511" s="20" t="s">
        <v>781</v>
      </c>
      <c r="L511" s="20" t="s">
        <v>772</v>
      </c>
      <c r="M511" s="20" t="s">
        <v>671</v>
      </c>
      <c r="N511" s="20" t="s">
        <v>672</v>
      </c>
      <c r="P511" s="20" t="s">
        <v>671</v>
      </c>
      <c r="Q511" s="20" t="s">
        <v>673</v>
      </c>
      <c r="R511" s="20" t="s">
        <v>84</v>
      </c>
      <c r="S511" s="20">
        <v>5</v>
      </c>
      <c r="T511" s="20" t="s">
        <v>773</v>
      </c>
      <c r="U511" s="20" t="s">
        <v>774</v>
      </c>
      <c r="V511" s="20" t="s">
        <v>775</v>
      </c>
      <c r="W511" s="20">
        <v>590</v>
      </c>
      <c r="X511" s="20">
        <v>590</v>
      </c>
      <c r="Y511" s="20" t="s">
        <v>776</v>
      </c>
      <c r="Z511" s="20">
        <v>0.16666666666666666</v>
      </c>
      <c r="AA511" s="20" t="s">
        <v>777</v>
      </c>
      <c r="AB511" s="20" t="s">
        <v>176</v>
      </c>
      <c r="AC511" s="20" t="s">
        <v>177</v>
      </c>
      <c r="AD511" s="20" t="s">
        <v>778</v>
      </c>
      <c r="AE511" s="20" t="s">
        <v>91</v>
      </c>
      <c r="AF511" s="20">
        <v>0.33333333333333331</v>
      </c>
      <c r="AH511" s="20">
        <v>3</v>
      </c>
      <c r="AI511" s="4" t="s">
        <v>782</v>
      </c>
      <c r="AJ511" s="20">
        <v>180</v>
      </c>
      <c r="AK511" s="4" t="s">
        <v>780</v>
      </c>
      <c r="AL511" s="4">
        <v>3</v>
      </c>
      <c r="AM511" s="4" t="s">
        <v>438</v>
      </c>
      <c r="AN511" s="4" t="s">
        <v>95</v>
      </c>
      <c r="AO511" s="4" t="s">
        <v>131</v>
      </c>
      <c r="AP511" s="4">
        <v>2</v>
      </c>
      <c r="AQ511" s="20">
        <v>99000</v>
      </c>
      <c r="AR511" s="4">
        <v>41820</v>
      </c>
      <c r="AS511" s="20">
        <v>25000</v>
      </c>
      <c r="AT511" s="20">
        <v>23100</v>
      </c>
      <c r="AU511" s="20">
        <v>-1900</v>
      </c>
      <c r="AW511" s="20">
        <v>20</v>
      </c>
      <c r="AY511" s="20">
        <v>20</v>
      </c>
      <c r="BA511" s="20">
        <v>23080</v>
      </c>
      <c r="BB511" s="6">
        <v>41740</v>
      </c>
      <c r="BD511" s="6">
        <v>41848</v>
      </c>
      <c r="BE511" s="6">
        <v>41864</v>
      </c>
      <c r="BF511" s="6">
        <v>41887</v>
      </c>
      <c r="BG511" s="6">
        <v>41908</v>
      </c>
      <c r="BK511" s="4" t="s">
        <v>401</v>
      </c>
      <c r="BM511" s="20">
        <v>60</v>
      </c>
      <c r="BN511" s="20">
        <v>120</v>
      </c>
      <c r="BO511" s="20">
        <v>0</v>
      </c>
      <c r="BP511" s="20">
        <v>0</v>
      </c>
      <c r="BQ511" s="20">
        <v>0</v>
      </c>
      <c r="BR511" s="20">
        <v>0</v>
      </c>
      <c r="BS511" s="20">
        <v>180</v>
      </c>
      <c r="BT511" s="20">
        <v>4158000</v>
      </c>
      <c r="BU511" s="20">
        <v>17820000</v>
      </c>
      <c r="BV511" s="20">
        <v>3.8961038961038961</v>
      </c>
    </row>
    <row r="512" spans="1:74">
      <c r="A512" s="10">
        <f t="shared" si="30"/>
        <v>0</v>
      </c>
      <c r="B512" s="10">
        <f t="shared" si="31"/>
        <v>0</v>
      </c>
      <c r="C512" s="12">
        <f t="shared" si="32"/>
        <v>4</v>
      </c>
      <c r="D512" s="12">
        <f t="shared" si="33"/>
        <v>9</v>
      </c>
      <c r="E512" s="20" t="s">
        <v>574</v>
      </c>
      <c r="F512" s="20" t="s">
        <v>665</v>
      </c>
      <c r="G512" s="20" t="s">
        <v>768</v>
      </c>
      <c r="H512" s="20" t="s">
        <v>769</v>
      </c>
      <c r="I512" s="20">
        <v>1</v>
      </c>
      <c r="J512" s="20" t="s">
        <v>770</v>
      </c>
      <c r="K512" s="20" t="s">
        <v>783</v>
      </c>
      <c r="L512" s="20" t="s">
        <v>772</v>
      </c>
      <c r="M512" s="20" t="s">
        <v>671</v>
      </c>
      <c r="N512" s="20" t="s">
        <v>672</v>
      </c>
      <c r="P512" s="20" t="s">
        <v>671</v>
      </c>
      <c r="Q512" s="20" t="s">
        <v>673</v>
      </c>
      <c r="R512" s="20" t="s">
        <v>84</v>
      </c>
      <c r="S512" s="20">
        <v>5</v>
      </c>
      <c r="T512" s="20" t="s">
        <v>773</v>
      </c>
      <c r="U512" s="20" t="s">
        <v>774</v>
      </c>
      <c r="V512" s="20" t="s">
        <v>775</v>
      </c>
      <c r="W512" s="20">
        <v>590</v>
      </c>
      <c r="X512" s="20">
        <v>590</v>
      </c>
      <c r="Y512" s="20" t="s">
        <v>776</v>
      </c>
      <c r="Z512" s="20">
        <v>0.16666666666666666</v>
      </c>
      <c r="AA512" s="20" t="s">
        <v>777</v>
      </c>
      <c r="AB512" s="20" t="s">
        <v>176</v>
      </c>
      <c r="AC512" s="20" t="s">
        <v>177</v>
      </c>
      <c r="AD512" s="20" t="s">
        <v>778</v>
      </c>
      <c r="AE512" s="20" t="s">
        <v>91</v>
      </c>
      <c r="AF512" s="20">
        <v>0.33333333333333331</v>
      </c>
      <c r="AH512" s="20">
        <v>3</v>
      </c>
      <c r="AI512" s="4" t="s">
        <v>784</v>
      </c>
      <c r="AJ512" s="20">
        <v>180</v>
      </c>
      <c r="AK512" s="4" t="s">
        <v>780</v>
      </c>
      <c r="AL512" s="4">
        <v>3</v>
      </c>
      <c r="AM512" s="4" t="s">
        <v>438</v>
      </c>
      <c r="AN512" s="4" t="s">
        <v>95</v>
      </c>
      <c r="AO512" s="4" t="s">
        <v>131</v>
      </c>
      <c r="AP512" s="4">
        <v>2</v>
      </c>
      <c r="AQ512" s="20">
        <v>99000</v>
      </c>
      <c r="AR512" s="4">
        <v>41820</v>
      </c>
      <c r="AS512" s="20">
        <v>25000</v>
      </c>
      <c r="AT512" s="20">
        <v>23100</v>
      </c>
      <c r="AU512" s="20">
        <v>-1900</v>
      </c>
      <c r="AW512" s="20">
        <v>20</v>
      </c>
      <c r="AY512" s="20">
        <v>20</v>
      </c>
      <c r="BA512" s="20">
        <v>23080</v>
      </c>
      <c r="BB512" s="6">
        <v>41740</v>
      </c>
      <c r="BD512" s="6">
        <v>41848</v>
      </c>
      <c r="BE512" s="6">
        <v>41864</v>
      </c>
      <c r="BF512" s="6">
        <v>41887</v>
      </c>
      <c r="BG512" s="6">
        <v>41908</v>
      </c>
      <c r="BK512" s="4" t="s">
        <v>401</v>
      </c>
      <c r="BM512" s="20">
        <v>173</v>
      </c>
      <c r="BN512" s="20">
        <v>5</v>
      </c>
      <c r="BO512" s="20">
        <v>0</v>
      </c>
      <c r="BP512" s="20">
        <v>0</v>
      </c>
      <c r="BQ512" s="20">
        <v>0</v>
      </c>
      <c r="BR512" s="20">
        <v>0</v>
      </c>
      <c r="BS512" s="20">
        <v>180</v>
      </c>
      <c r="BT512" s="20">
        <v>4158000</v>
      </c>
      <c r="BU512" s="20">
        <v>17820000</v>
      </c>
      <c r="BV512" s="20">
        <v>3.8961038961038961</v>
      </c>
    </row>
    <row r="513" spans="1:74">
      <c r="A513" s="10">
        <f t="shared" si="30"/>
        <v>0</v>
      </c>
      <c r="B513" s="10">
        <f t="shared" si="31"/>
        <v>0</v>
      </c>
      <c r="C513" s="12">
        <f t="shared" si="32"/>
        <v>4</v>
      </c>
      <c r="D513" s="12">
        <f t="shared" si="33"/>
        <v>9</v>
      </c>
      <c r="E513" s="20" t="s">
        <v>574</v>
      </c>
      <c r="F513" s="20" t="s">
        <v>665</v>
      </c>
      <c r="G513" s="20" t="s">
        <v>768</v>
      </c>
      <c r="H513" s="20" t="s">
        <v>786</v>
      </c>
      <c r="I513" s="20">
        <v>2</v>
      </c>
      <c r="J513" s="20" t="s">
        <v>787</v>
      </c>
      <c r="K513" s="20" t="s">
        <v>788</v>
      </c>
      <c r="L513" s="20" t="s">
        <v>772</v>
      </c>
      <c r="M513" s="20" t="s">
        <v>671</v>
      </c>
      <c r="N513" s="20" t="s">
        <v>672</v>
      </c>
      <c r="P513" s="20" t="s">
        <v>671</v>
      </c>
      <c r="Q513" s="20" t="s">
        <v>673</v>
      </c>
      <c r="R513" s="20" t="s">
        <v>84</v>
      </c>
      <c r="S513" s="20">
        <v>5</v>
      </c>
      <c r="T513" s="20" t="s">
        <v>773</v>
      </c>
      <c r="U513" s="20" t="s">
        <v>774</v>
      </c>
      <c r="V513" s="20" t="s">
        <v>775</v>
      </c>
      <c r="W513" s="20">
        <v>590</v>
      </c>
      <c r="X513" s="20">
        <v>590</v>
      </c>
      <c r="Y513" s="20" t="s">
        <v>776</v>
      </c>
      <c r="Z513" s="20">
        <v>0.16666666666666666</v>
      </c>
      <c r="AA513" s="20" t="s">
        <v>789</v>
      </c>
      <c r="AB513" s="20" t="s">
        <v>101</v>
      </c>
      <c r="AC513" s="20" t="s">
        <v>102</v>
      </c>
      <c r="AD513" s="20" t="s">
        <v>790</v>
      </c>
      <c r="AE513" s="20" t="s">
        <v>91</v>
      </c>
      <c r="AF513" s="20">
        <v>0.33333333333333331</v>
      </c>
      <c r="AH513" s="20">
        <v>3</v>
      </c>
      <c r="AI513" s="4" t="s">
        <v>779</v>
      </c>
      <c r="AJ513" s="20">
        <v>90</v>
      </c>
      <c r="AK513" s="4" t="s">
        <v>780</v>
      </c>
      <c r="AL513" s="4">
        <v>3</v>
      </c>
      <c r="AM513" s="4" t="s">
        <v>438</v>
      </c>
      <c r="AN513" s="4" t="s">
        <v>95</v>
      </c>
      <c r="AO513" s="4" t="s">
        <v>131</v>
      </c>
      <c r="AP513" s="4">
        <v>2</v>
      </c>
      <c r="AQ513" s="20">
        <v>99000</v>
      </c>
      <c r="AR513" s="4">
        <v>41820</v>
      </c>
      <c r="AS513" s="20">
        <v>25000</v>
      </c>
      <c r="AT513" s="20">
        <v>23100</v>
      </c>
      <c r="AU513" s="20">
        <v>-1900</v>
      </c>
      <c r="AW513" s="20">
        <v>20</v>
      </c>
      <c r="AY513" s="20">
        <v>20</v>
      </c>
      <c r="BA513" s="20">
        <v>23080</v>
      </c>
      <c r="BB513" s="6">
        <v>41740</v>
      </c>
      <c r="BD513" s="6">
        <v>41848</v>
      </c>
      <c r="BE513" s="6">
        <v>41864</v>
      </c>
      <c r="BF513" s="6">
        <v>41887</v>
      </c>
      <c r="BG513" s="6">
        <v>41908</v>
      </c>
      <c r="BK513" s="4" t="s">
        <v>401</v>
      </c>
      <c r="BM513" s="20">
        <v>90</v>
      </c>
      <c r="BO513" s="20">
        <v>0</v>
      </c>
      <c r="BP513" s="20">
        <v>0</v>
      </c>
      <c r="BQ513" s="20">
        <v>0</v>
      </c>
      <c r="BR513" s="20">
        <v>0</v>
      </c>
      <c r="BS513" s="20">
        <v>90</v>
      </c>
      <c r="BT513" s="20">
        <v>2079000</v>
      </c>
      <c r="BU513" s="20">
        <v>8910000</v>
      </c>
      <c r="BV513" s="20">
        <v>3.8961038961038961</v>
      </c>
    </row>
    <row r="514" spans="1:74">
      <c r="A514" s="10">
        <f t="shared" si="30"/>
        <v>0</v>
      </c>
      <c r="B514" s="10">
        <f t="shared" si="31"/>
        <v>0</v>
      </c>
      <c r="C514" s="12">
        <f t="shared" si="32"/>
        <v>4</v>
      </c>
      <c r="D514" s="12">
        <f t="shared" si="33"/>
        <v>9</v>
      </c>
      <c r="E514" s="20" t="s">
        <v>574</v>
      </c>
      <c r="F514" s="20" t="s">
        <v>665</v>
      </c>
      <c r="G514" s="20" t="s">
        <v>768</v>
      </c>
      <c r="H514" s="20" t="s">
        <v>786</v>
      </c>
      <c r="I514" s="20">
        <v>2</v>
      </c>
      <c r="J514" s="20" t="s">
        <v>787</v>
      </c>
      <c r="K514" s="20" t="s">
        <v>791</v>
      </c>
      <c r="L514" s="20" t="s">
        <v>772</v>
      </c>
      <c r="M514" s="20" t="s">
        <v>671</v>
      </c>
      <c r="N514" s="20" t="s">
        <v>672</v>
      </c>
      <c r="P514" s="20" t="s">
        <v>671</v>
      </c>
      <c r="Q514" s="20" t="s">
        <v>673</v>
      </c>
      <c r="R514" s="20" t="s">
        <v>84</v>
      </c>
      <c r="S514" s="20">
        <v>5</v>
      </c>
      <c r="T514" s="20" t="s">
        <v>773</v>
      </c>
      <c r="U514" s="20" t="s">
        <v>774</v>
      </c>
      <c r="V514" s="20" t="s">
        <v>775</v>
      </c>
      <c r="W514" s="20">
        <v>590</v>
      </c>
      <c r="X514" s="20">
        <v>590</v>
      </c>
      <c r="Y514" s="20" t="s">
        <v>776</v>
      </c>
      <c r="Z514" s="20">
        <v>0.16666666666666666</v>
      </c>
      <c r="AA514" s="20" t="s">
        <v>789</v>
      </c>
      <c r="AB514" s="20" t="s">
        <v>101</v>
      </c>
      <c r="AC514" s="20" t="s">
        <v>102</v>
      </c>
      <c r="AD514" s="20" t="s">
        <v>790</v>
      </c>
      <c r="AE514" s="20" t="s">
        <v>91</v>
      </c>
      <c r="AF514" s="20">
        <v>0.33333333333333331</v>
      </c>
      <c r="AH514" s="20">
        <v>3</v>
      </c>
      <c r="AI514" s="4" t="s">
        <v>782</v>
      </c>
      <c r="AJ514" s="20">
        <v>180</v>
      </c>
      <c r="AK514" s="4" t="s">
        <v>780</v>
      </c>
      <c r="AL514" s="4">
        <v>3</v>
      </c>
      <c r="AM514" s="4" t="s">
        <v>438</v>
      </c>
      <c r="AN514" s="4" t="s">
        <v>95</v>
      </c>
      <c r="AO514" s="4" t="s">
        <v>131</v>
      </c>
      <c r="AP514" s="4">
        <v>2</v>
      </c>
      <c r="AQ514" s="20">
        <v>99000</v>
      </c>
      <c r="AR514" s="4">
        <v>41820</v>
      </c>
      <c r="AS514" s="20">
        <v>25000</v>
      </c>
      <c r="AT514" s="20">
        <v>23100</v>
      </c>
      <c r="AU514" s="20">
        <v>-1900</v>
      </c>
      <c r="AW514" s="20">
        <v>20</v>
      </c>
      <c r="AY514" s="20">
        <v>20</v>
      </c>
      <c r="BA514" s="20">
        <v>23080</v>
      </c>
      <c r="BB514" s="6">
        <v>41740</v>
      </c>
      <c r="BD514" s="6">
        <v>41848</v>
      </c>
      <c r="BE514" s="6">
        <v>41864</v>
      </c>
      <c r="BF514" s="6">
        <v>41887</v>
      </c>
      <c r="BG514" s="6">
        <v>41908</v>
      </c>
      <c r="BK514" s="4" t="s">
        <v>401</v>
      </c>
      <c r="BM514" s="20">
        <v>177</v>
      </c>
      <c r="BO514" s="20">
        <v>0</v>
      </c>
      <c r="BP514" s="20">
        <v>0</v>
      </c>
      <c r="BQ514" s="20">
        <v>0</v>
      </c>
      <c r="BR514" s="20">
        <v>0</v>
      </c>
      <c r="BS514" s="20">
        <v>180</v>
      </c>
      <c r="BT514" s="20">
        <v>4158000</v>
      </c>
      <c r="BU514" s="20">
        <v>17820000</v>
      </c>
      <c r="BV514" s="20">
        <v>3.8961038961038961</v>
      </c>
    </row>
    <row r="515" spans="1:74">
      <c r="A515" s="10">
        <f t="shared" ref="A515:A578" si="34">IF($BL515="공급",$Z515,0)</f>
        <v>0</v>
      </c>
      <c r="B515" s="10">
        <f t="shared" ref="B515:B578" si="35">IF($AV515&gt;0,$Z515,0)</f>
        <v>0</v>
      </c>
      <c r="C515" s="12">
        <f t="shared" si="32"/>
        <v>4</v>
      </c>
      <c r="D515" s="12">
        <f t="shared" si="33"/>
        <v>9</v>
      </c>
      <c r="E515" s="20" t="s">
        <v>574</v>
      </c>
      <c r="F515" s="20" t="s">
        <v>665</v>
      </c>
      <c r="G515" s="20" t="s">
        <v>768</v>
      </c>
      <c r="H515" s="20" t="s">
        <v>786</v>
      </c>
      <c r="I515" s="20">
        <v>2</v>
      </c>
      <c r="J515" s="20" t="s">
        <v>787</v>
      </c>
      <c r="K515" s="20" t="s">
        <v>792</v>
      </c>
      <c r="L515" s="20" t="s">
        <v>772</v>
      </c>
      <c r="M515" s="20" t="s">
        <v>671</v>
      </c>
      <c r="N515" s="20" t="s">
        <v>672</v>
      </c>
      <c r="P515" s="20" t="s">
        <v>671</v>
      </c>
      <c r="Q515" s="20" t="s">
        <v>673</v>
      </c>
      <c r="R515" s="20" t="s">
        <v>84</v>
      </c>
      <c r="S515" s="20">
        <v>5</v>
      </c>
      <c r="T515" s="20" t="s">
        <v>773</v>
      </c>
      <c r="U515" s="20" t="s">
        <v>774</v>
      </c>
      <c r="V515" s="20" t="s">
        <v>775</v>
      </c>
      <c r="W515" s="20">
        <v>590</v>
      </c>
      <c r="X515" s="20">
        <v>590</v>
      </c>
      <c r="Y515" s="20" t="s">
        <v>776</v>
      </c>
      <c r="Z515" s="20">
        <v>0.16666666666666666</v>
      </c>
      <c r="AA515" s="20" t="s">
        <v>789</v>
      </c>
      <c r="AB515" s="20" t="s">
        <v>101</v>
      </c>
      <c r="AC515" s="20" t="s">
        <v>102</v>
      </c>
      <c r="AD515" s="20" t="s">
        <v>790</v>
      </c>
      <c r="AE515" s="20" t="s">
        <v>91</v>
      </c>
      <c r="AF515" s="20">
        <v>0.33333333333333331</v>
      </c>
      <c r="AH515" s="20">
        <v>3</v>
      </c>
      <c r="AI515" s="4" t="s">
        <v>784</v>
      </c>
      <c r="AJ515" s="20">
        <v>180</v>
      </c>
      <c r="AK515" s="4" t="s">
        <v>780</v>
      </c>
      <c r="AL515" s="4">
        <v>3</v>
      </c>
      <c r="AM515" s="4" t="s">
        <v>438</v>
      </c>
      <c r="AN515" s="4" t="s">
        <v>95</v>
      </c>
      <c r="AO515" s="4" t="s">
        <v>131</v>
      </c>
      <c r="AP515" s="4">
        <v>2</v>
      </c>
      <c r="AQ515" s="20">
        <v>99000</v>
      </c>
      <c r="AR515" s="4">
        <v>41820</v>
      </c>
      <c r="AS515" s="20">
        <v>25000</v>
      </c>
      <c r="AT515" s="20">
        <v>23100</v>
      </c>
      <c r="AU515" s="20">
        <v>-1900</v>
      </c>
      <c r="AW515" s="20">
        <v>20</v>
      </c>
      <c r="AY515" s="20">
        <v>20</v>
      </c>
      <c r="BA515" s="20">
        <v>23080</v>
      </c>
      <c r="BB515" s="6">
        <v>41740</v>
      </c>
      <c r="BD515" s="6">
        <v>41848</v>
      </c>
      <c r="BE515" s="6">
        <v>41864</v>
      </c>
      <c r="BF515" s="6">
        <v>41887</v>
      </c>
      <c r="BG515" s="6">
        <v>41908</v>
      </c>
      <c r="BK515" s="4" t="s">
        <v>401</v>
      </c>
      <c r="BM515" s="20">
        <v>179</v>
      </c>
      <c r="BN515" s="20">
        <v>3</v>
      </c>
      <c r="BO515" s="20">
        <v>0</v>
      </c>
      <c r="BP515" s="20">
        <v>0</v>
      </c>
      <c r="BQ515" s="20">
        <v>0</v>
      </c>
      <c r="BR515" s="20">
        <v>0</v>
      </c>
      <c r="BS515" s="20">
        <v>180</v>
      </c>
      <c r="BT515" s="20">
        <v>4158000</v>
      </c>
      <c r="BU515" s="20">
        <v>17820000</v>
      </c>
      <c r="BV515" s="20">
        <v>3.8961038961038961</v>
      </c>
    </row>
    <row r="516" spans="1:74">
      <c r="A516" s="10">
        <f t="shared" si="34"/>
        <v>0</v>
      </c>
      <c r="B516" s="10">
        <f t="shared" si="35"/>
        <v>0</v>
      </c>
      <c r="C516" s="12">
        <f t="shared" ref="C516:C579" si="36">IF($BB516=0,"",MONTH($BB516))</f>
        <v>4</v>
      </c>
      <c r="D516" s="12">
        <f t="shared" si="33"/>
        <v>9</v>
      </c>
      <c r="E516" s="20" t="s">
        <v>574</v>
      </c>
      <c r="F516" s="20" t="s">
        <v>665</v>
      </c>
      <c r="G516" s="20" t="s">
        <v>768</v>
      </c>
      <c r="H516" s="20" t="s">
        <v>793</v>
      </c>
      <c r="I516" s="20">
        <v>3</v>
      </c>
      <c r="J516" s="20" t="s">
        <v>794</v>
      </c>
      <c r="K516" s="20" t="s">
        <v>795</v>
      </c>
      <c r="L516" s="20" t="s">
        <v>796</v>
      </c>
      <c r="M516" s="20" t="s">
        <v>671</v>
      </c>
      <c r="N516" s="20" t="s">
        <v>672</v>
      </c>
      <c r="P516" s="20" t="s">
        <v>671</v>
      </c>
      <c r="Q516" s="20" t="s">
        <v>673</v>
      </c>
      <c r="R516" s="20" t="s">
        <v>84</v>
      </c>
      <c r="S516" s="20">
        <v>5</v>
      </c>
      <c r="T516" s="20" t="s">
        <v>773</v>
      </c>
      <c r="U516" s="20" t="s">
        <v>774</v>
      </c>
      <c r="V516" s="20" t="s">
        <v>775</v>
      </c>
      <c r="W516" s="20">
        <v>591</v>
      </c>
      <c r="X516" s="20">
        <v>591</v>
      </c>
      <c r="Y516" s="20" t="s">
        <v>797</v>
      </c>
      <c r="Z516" s="20">
        <v>0.25</v>
      </c>
      <c r="AA516" s="20" t="s">
        <v>798</v>
      </c>
      <c r="AB516" s="20" t="s">
        <v>101</v>
      </c>
      <c r="AC516" s="20" t="s">
        <v>102</v>
      </c>
      <c r="AD516" s="20" t="s">
        <v>799</v>
      </c>
      <c r="AE516" s="20" t="s">
        <v>91</v>
      </c>
      <c r="AF516" s="20">
        <v>0.25</v>
      </c>
      <c r="AH516" s="20">
        <v>3</v>
      </c>
      <c r="AI516" s="4" t="s">
        <v>779</v>
      </c>
      <c r="AJ516" s="20">
        <v>75</v>
      </c>
      <c r="AK516" s="4" t="s">
        <v>780</v>
      </c>
      <c r="AL516" s="4">
        <v>3</v>
      </c>
      <c r="AM516" s="4" t="s">
        <v>438</v>
      </c>
      <c r="AN516" s="4" t="s">
        <v>95</v>
      </c>
      <c r="AO516" s="4" t="s">
        <v>131</v>
      </c>
      <c r="AP516" s="4">
        <v>2</v>
      </c>
      <c r="AQ516" s="20">
        <v>79000</v>
      </c>
      <c r="AR516" s="4">
        <v>41820</v>
      </c>
      <c r="AS516" s="20">
        <v>19949.494949494947</v>
      </c>
      <c r="AT516" s="20">
        <v>21000</v>
      </c>
      <c r="AU516" s="20">
        <v>1050.5050505050531</v>
      </c>
      <c r="AW516" s="20">
        <v>20</v>
      </c>
      <c r="AY516" s="20">
        <v>20</v>
      </c>
      <c r="BA516" s="20">
        <v>20980</v>
      </c>
      <c r="BB516" s="6">
        <v>41740</v>
      </c>
      <c r="BD516" s="6">
        <v>41848</v>
      </c>
      <c r="BE516" s="6">
        <v>41864</v>
      </c>
      <c r="BF516" s="6">
        <v>41887</v>
      </c>
      <c r="BG516" s="6">
        <v>41908</v>
      </c>
      <c r="BK516" s="4" t="s">
        <v>401</v>
      </c>
      <c r="BM516" s="20">
        <v>73</v>
      </c>
      <c r="BN516" s="20">
        <v>0</v>
      </c>
      <c r="BO516" s="20">
        <v>0</v>
      </c>
      <c r="BP516" s="20">
        <v>0</v>
      </c>
      <c r="BQ516" s="20">
        <v>0</v>
      </c>
      <c r="BR516" s="20">
        <v>0</v>
      </c>
      <c r="BS516" s="20">
        <v>75</v>
      </c>
      <c r="BT516" s="20">
        <v>1575000</v>
      </c>
      <c r="BU516" s="20">
        <v>5925000</v>
      </c>
      <c r="BV516" s="20">
        <v>3.4199134199134194</v>
      </c>
    </row>
    <row r="517" spans="1:74">
      <c r="A517" s="10">
        <f t="shared" si="34"/>
        <v>0</v>
      </c>
      <c r="B517" s="10">
        <f t="shared" si="35"/>
        <v>0</v>
      </c>
      <c r="C517" s="12">
        <f t="shared" si="36"/>
        <v>4</v>
      </c>
      <c r="D517" s="12">
        <f t="shared" ref="D517:D580" si="37">IF(AND(BD517=0,BF517=0),"",MONTH(IF($BF517=0,$BD517,$BF517)))</f>
        <v>9</v>
      </c>
      <c r="E517" s="20" t="s">
        <v>574</v>
      </c>
      <c r="F517" s="20" t="s">
        <v>665</v>
      </c>
      <c r="G517" s="20" t="s">
        <v>768</v>
      </c>
      <c r="H517" s="20" t="s">
        <v>793</v>
      </c>
      <c r="I517" s="20">
        <v>3</v>
      </c>
      <c r="J517" s="20" t="s">
        <v>794</v>
      </c>
      <c r="K517" s="20" t="s">
        <v>800</v>
      </c>
      <c r="L517" s="20" t="s">
        <v>796</v>
      </c>
      <c r="M517" s="20" t="s">
        <v>671</v>
      </c>
      <c r="N517" s="20" t="s">
        <v>672</v>
      </c>
      <c r="P517" s="20" t="s">
        <v>671</v>
      </c>
      <c r="Q517" s="20" t="s">
        <v>673</v>
      </c>
      <c r="R517" s="20" t="s">
        <v>84</v>
      </c>
      <c r="S517" s="20">
        <v>5</v>
      </c>
      <c r="T517" s="20" t="s">
        <v>773</v>
      </c>
      <c r="U517" s="20" t="s">
        <v>774</v>
      </c>
      <c r="V517" s="20" t="s">
        <v>775</v>
      </c>
      <c r="W517" s="20">
        <v>591</v>
      </c>
      <c r="X517" s="20">
        <v>591</v>
      </c>
      <c r="Y517" s="20" t="s">
        <v>797</v>
      </c>
      <c r="Z517" s="20">
        <v>0.25</v>
      </c>
      <c r="AA517" s="20" t="s">
        <v>798</v>
      </c>
      <c r="AB517" s="20" t="s">
        <v>101</v>
      </c>
      <c r="AC517" s="20" t="s">
        <v>102</v>
      </c>
      <c r="AD517" s="20" t="s">
        <v>799</v>
      </c>
      <c r="AE517" s="20" t="s">
        <v>91</v>
      </c>
      <c r="AF517" s="20">
        <v>0.25</v>
      </c>
      <c r="AH517" s="20">
        <v>3</v>
      </c>
      <c r="AI517" s="4" t="s">
        <v>782</v>
      </c>
      <c r="AJ517" s="20">
        <v>200</v>
      </c>
      <c r="AK517" s="4" t="s">
        <v>780</v>
      </c>
      <c r="AL517" s="4">
        <v>3</v>
      </c>
      <c r="AM517" s="4" t="s">
        <v>438</v>
      </c>
      <c r="AN517" s="4" t="s">
        <v>95</v>
      </c>
      <c r="AO517" s="4" t="s">
        <v>131</v>
      </c>
      <c r="AP517" s="4">
        <v>2</v>
      </c>
      <c r="AQ517" s="20">
        <v>79000</v>
      </c>
      <c r="AR517" s="4">
        <v>41820</v>
      </c>
      <c r="AS517" s="20">
        <v>19949.494949494947</v>
      </c>
      <c r="AT517" s="20">
        <v>21000</v>
      </c>
      <c r="AU517" s="20">
        <v>1050.5050505050531</v>
      </c>
      <c r="AW517" s="20">
        <v>20</v>
      </c>
      <c r="AY517" s="20">
        <v>20</v>
      </c>
      <c r="BA517" s="20">
        <v>20980</v>
      </c>
      <c r="BB517" s="6">
        <v>41740</v>
      </c>
      <c r="BD517" s="6">
        <v>41848</v>
      </c>
      <c r="BE517" s="6">
        <v>41864</v>
      </c>
      <c r="BF517" s="6">
        <v>41887</v>
      </c>
      <c r="BG517" s="6">
        <v>41908</v>
      </c>
      <c r="BK517" s="4" t="s">
        <v>401</v>
      </c>
      <c r="BM517" s="20">
        <v>134</v>
      </c>
      <c r="BN517" s="20">
        <v>59</v>
      </c>
      <c r="BO517" s="20">
        <v>0</v>
      </c>
      <c r="BP517" s="20">
        <v>0</v>
      </c>
      <c r="BQ517" s="20">
        <v>0</v>
      </c>
      <c r="BR517" s="20">
        <v>0</v>
      </c>
      <c r="BS517" s="20">
        <v>200</v>
      </c>
      <c r="BT517" s="20">
        <v>4200000</v>
      </c>
      <c r="BU517" s="20">
        <v>15800000</v>
      </c>
      <c r="BV517" s="20">
        <v>3.4199134199134198</v>
      </c>
    </row>
    <row r="518" spans="1:74">
      <c r="A518" s="10">
        <f t="shared" si="34"/>
        <v>0</v>
      </c>
      <c r="B518" s="10">
        <f t="shared" si="35"/>
        <v>0</v>
      </c>
      <c r="C518" s="12">
        <f t="shared" si="36"/>
        <v>4</v>
      </c>
      <c r="D518" s="12">
        <f t="shared" si="37"/>
        <v>9</v>
      </c>
      <c r="E518" s="20" t="s">
        <v>574</v>
      </c>
      <c r="F518" s="20" t="s">
        <v>665</v>
      </c>
      <c r="G518" s="20" t="s">
        <v>768</v>
      </c>
      <c r="H518" s="20" t="s">
        <v>793</v>
      </c>
      <c r="I518" s="20">
        <v>3</v>
      </c>
      <c r="J518" s="20" t="s">
        <v>794</v>
      </c>
      <c r="K518" s="20" t="s">
        <v>801</v>
      </c>
      <c r="L518" s="20" t="s">
        <v>796</v>
      </c>
      <c r="M518" s="20" t="s">
        <v>671</v>
      </c>
      <c r="N518" s="20" t="s">
        <v>672</v>
      </c>
      <c r="P518" s="20" t="s">
        <v>671</v>
      </c>
      <c r="Q518" s="20" t="s">
        <v>673</v>
      </c>
      <c r="R518" s="20" t="s">
        <v>84</v>
      </c>
      <c r="S518" s="20">
        <v>5</v>
      </c>
      <c r="T518" s="20" t="s">
        <v>773</v>
      </c>
      <c r="U518" s="20" t="s">
        <v>774</v>
      </c>
      <c r="V518" s="20" t="s">
        <v>775</v>
      </c>
      <c r="W518" s="20">
        <v>591</v>
      </c>
      <c r="X518" s="20">
        <v>591</v>
      </c>
      <c r="Y518" s="20" t="s">
        <v>797</v>
      </c>
      <c r="Z518" s="20">
        <v>0.25</v>
      </c>
      <c r="AA518" s="20" t="s">
        <v>798</v>
      </c>
      <c r="AB518" s="20" t="s">
        <v>101</v>
      </c>
      <c r="AC518" s="20" t="s">
        <v>102</v>
      </c>
      <c r="AD518" s="20" t="s">
        <v>799</v>
      </c>
      <c r="AE518" s="20" t="s">
        <v>91</v>
      </c>
      <c r="AF518" s="20">
        <v>0.25</v>
      </c>
      <c r="AH518" s="20">
        <v>3</v>
      </c>
      <c r="AI518" s="4" t="s">
        <v>784</v>
      </c>
      <c r="AJ518" s="20">
        <v>180</v>
      </c>
      <c r="AK518" s="4" t="s">
        <v>780</v>
      </c>
      <c r="AL518" s="4">
        <v>3</v>
      </c>
      <c r="AM518" s="4" t="s">
        <v>438</v>
      </c>
      <c r="AN518" s="4" t="s">
        <v>95</v>
      </c>
      <c r="AO518" s="4" t="s">
        <v>131</v>
      </c>
      <c r="AP518" s="4">
        <v>2</v>
      </c>
      <c r="AQ518" s="20">
        <v>79000</v>
      </c>
      <c r="AR518" s="4">
        <v>41820</v>
      </c>
      <c r="AS518" s="20">
        <v>19949.494949494947</v>
      </c>
      <c r="AT518" s="20">
        <v>21000</v>
      </c>
      <c r="AU518" s="20">
        <v>1050.5050505050531</v>
      </c>
      <c r="AW518" s="20">
        <v>20</v>
      </c>
      <c r="AY518" s="20">
        <v>20</v>
      </c>
      <c r="BA518" s="20">
        <v>20980</v>
      </c>
      <c r="BB518" s="6">
        <v>41740</v>
      </c>
      <c r="BD518" s="6">
        <v>41848</v>
      </c>
      <c r="BE518" s="6">
        <v>41864</v>
      </c>
      <c r="BF518" s="6">
        <v>41887</v>
      </c>
      <c r="BG518" s="6">
        <v>41908</v>
      </c>
      <c r="BK518" s="4" t="s">
        <v>401</v>
      </c>
      <c r="BM518" s="20">
        <v>170</v>
      </c>
      <c r="BN518" s="20">
        <v>8</v>
      </c>
      <c r="BO518" s="20">
        <v>0</v>
      </c>
      <c r="BP518" s="20">
        <v>0</v>
      </c>
      <c r="BQ518" s="20">
        <v>0</v>
      </c>
      <c r="BR518" s="20">
        <v>0</v>
      </c>
      <c r="BS518" s="20">
        <v>180</v>
      </c>
      <c r="BT518" s="20">
        <v>3780000</v>
      </c>
      <c r="BU518" s="20">
        <v>14220000</v>
      </c>
      <c r="BV518" s="20">
        <v>3.4199134199134194</v>
      </c>
    </row>
    <row r="519" spans="1:74">
      <c r="A519" s="10">
        <f t="shared" si="34"/>
        <v>0</v>
      </c>
      <c r="B519" s="10">
        <f t="shared" si="35"/>
        <v>0</v>
      </c>
      <c r="C519" s="12">
        <f t="shared" si="36"/>
        <v>4</v>
      </c>
      <c r="D519" s="12">
        <f t="shared" si="37"/>
        <v>9</v>
      </c>
      <c r="E519" s="20" t="s">
        <v>574</v>
      </c>
      <c r="F519" s="20" t="s">
        <v>665</v>
      </c>
      <c r="G519" s="20" t="s">
        <v>768</v>
      </c>
      <c r="H519" s="20" t="s">
        <v>793</v>
      </c>
      <c r="I519" s="20">
        <v>3</v>
      </c>
      <c r="J519" s="20" t="s">
        <v>794</v>
      </c>
      <c r="K519" s="20" t="s">
        <v>802</v>
      </c>
      <c r="L519" s="20" t="s">
        <v>796</v>
      </c>
      <c r="M519" s="20" t="s">
        <v>671</v>
      </c>
      <c r="N519" s="20" t="s">
        <v>672</v>
      </c>
      <c r="P519" s="20" t="s">
        <v>671</v>
      </c>
      <c r="Q519" s="20" t="s">
        <v>673</v>
      </c>
      <c r="R519" s="20" t="s">
        <v>84</v>
      </c>
      <c r="S519" s="20">
        <v>5</v>
      </c>
      <c r="T519" s="20" t="s">
        <v>773</v>
      </c>
      <c r="U519" s="20" t="s">
        <v>774</v>
      </c>
      <c r="V519" s="20" t="s">
        <v>775</v>
      </c>
      <c r="W519" s="20">
        <v>591</v>
      </c>
      <c r="X519" s="20">
        <v>591</v>
      </c>
      <c r="Y519" s="20" t="s">
        <v>797</v>
      </c>
      <c r="Z519" s="20">
        <v>0.25</v>
      </c>
      <c r="AA519" s="20" t="s">
        <v>798</v>
      </c>
      <c r="AB519" s="20" t="s">
        <v>101</v>
      </c>
      <c r="AC519" s="20" t="s">
        <v>102</v>
      </c>
      <c r="AD519" s="20" t="s">
        <v>799</v>
      </c>
      <c r="AE519" s="20" t="s">
        <v>91</v>
      </c>
      <c r="AF519" s="20">
        <v>0.25</v>
      </c>
      <c r="AH519" s="20">
        <v>3</v>
      </c>
      <c r="AI519" s="4" t="s">
        <v>785</v>
      </c>
      <c r="AJ519" s="20">
        <v>65</v>
      </c>
      <c r="AK519" s="4" t="s">
        <v>780</v>
      </c>
      <c r="AL519" s="4">
        <v>3</v>
      </c>
      <c r="AM519" s="4" t="s">
        <v>438</v>
      </c>
      <c r="AN519" s="4" t="s">
        <v>95</v>
      </c>
      <c r="AO519" s="4" t="s">
        <v>131</v>
      </c>
      <c r="AP519" s="4">
        <v>2</v>
      </c>
      <c r="AQ519" s="20">
        <v>79000</v>
      </c>
      <c r="AR519" s="4">
        <v>41820</v>
      </c>
      <c r="AS519" s="20">
        <v>19949.494949494947</v>
      </c>
      <c r="AT519" s="20">
        <v>21000</v>
      </c>
      <c r="AU519" s="20">
        <v>1050.5050505050531</v>
      </c>
      <c r="AW519" s="20">
        <v>20</v>
      </c>
      <c r="AY519" s="20">
        <v>20</v>
      </c>
      <c r="BA519" s="20">
        <v>20980</v>
      </c>
      <c r="BB519" s="6">
        <v>41740</v>
      </c>
      <c r="BD519" s="6">
        <v>41848</v>
      </c>
      <c r="BE519" s="6">
        <v>41864</v>
      </c>
      <c r="BF519" s="6">
        <v>41887</v>
      </c>
      <c r="BG519" s="6">
        <v>41908</v>
      </c>
      <c r="BK519" s="4" t="s">
        <v>401</v>
      </c>
      <c r="BM519" s="20">
        <v>50</v>
      </c>
      <c r="BN519" s="20">
        <v>12</v>
      </c>
      <c r="BO519" s="20">
        <v>0</v>
      </c>
      <c r="BP519" s="20">
        <v>0</v>
      </c>
      <c r="BQ519" s="20">
        <v>0</v>
      </c>
      <c r="BR519" s="20">
        <v>0</v>
      </c>
      <c r="BS519" s="20">
        <v>65</v>
      </c>
      <c r="BT519" s="20">
        <v>1365000</v>
      </c>
      <c r="BU519" s="20">
        <v>5135000</v>
      </c>
      <c r="BV519" s="20">
        <v>3.4199134199134194</v>
      </c>
    </row>
    <row r="520" spans="1:74">
      <c r="A520" s="10">
        <f t="shared" si="34"/>
        <v>0</v>
      </c>
      <c r="B520" s="10">
        <f t="shared" si="35"/>
        <v>0</v>
      </c>
      <c r="C520" s="12">
        <f t="shared" si="36"/>
        <v>4</v>
      </c>
      <c r="D520" s="12">
        <f t="shared" si="37"/>
        <v>9</v>
      </c>
      <c r="E520" s="20" t="s">
        <v>574</v>
      </c>
      <c r="F520" s="20" t="s">
        <v>665</v>
      </c>
      <c r="G520" s="20" t="s">
        <v>768</v>
      </c>
      <c r="H520" s="20" t="s">
        <v>803</v>
      </c>
      <c r="I520" s="20">
        <v>4</v>
      </c>
      <c r="J520" s="20" t="s">
        <v>804</v>
      </c>
      <c r="K520" s="20" t="s">
        <v>805</v>
      </c>
      <c r="L520" s="20" t="s">
        <v>806</v>
      </c>
      <c r="M520" s="20" t="s">
        <v>671</v>
      </c>
      <c r="N520" s="20" t="s">
        <v>672</v>
      </c>
      <c r="P520" s="20" t="s">
        <v>671</v>
      </c>
      <c r="Q520" s="20" t="s">
        <v>673</v>
      </c>
      <c r="R520" s="20" t="s">
        <v>84</v>
      </c>
      <c r="S520" s="20">
        <v>5</v>
      </c>
      <c r="T520" s="20" t="s">
        <v>773</v>
      </c>
      <c r="U520" s="20" t="s">
        <v>774</v>
      </c>
      <c r="V520" s="20" t="s">
        <v>775</v>
      </c>
      <c r="W520" s="20">
        <v>592</v>
      </c>
      <c r="X520" s="20">
        <v>592</v>
      </c>
      <c r="Y520" s="20" t="s">
        <v>807</v>
      </c>
      <c r="Z520" s="20">
        <v>0.25</v>
      </c>
      <c r="AA520" s="20" t="s">
        <v>808</v>
      </c>
      <c r="AB520" s="20" t="s">
        <v>139</v>
      </c>
      <c r="AC520" s="20" t="s">
        <v>140</v>
      </c>
      <c r="AD520" s="20" t="s">
        <v>809</v>
      </c>
      <c r="AE520" s="20" t="s">
        <v>91</v>
      </c>
      <c r="AF520" s="20">
        <v>0.25</v>
      </c>
      <c r="AH520" s="20">
        <v>3</v>
      </c>
      <c r="AI520" s="4" t="s">
        <v>779</v>
      </c>
      <c r="AJ520" s="20">
        <v>75</v>
      </c>
      <c r="AK520" s="4" t="s">
        <v>780</v>
      </c>
      <c r="AL520" s="4">
        <v>3</v>
      </c>
      <c r="AM520" s="4" t="s">
        <v>438</v>
      </c>
      <c r="AN520" s="4" t="s">
        <v>95</v>
      </c>
      <c r="AO520" s="4" t="s">
        <v>131</v>
      </c>
      <c r="AP520" s="4">
        <v>2</v>
      </c>
      <c r="AQ520" s="20">
        <v>79000</v>
      </c>
      <c r="AR520" s="4">
        <v>41820</v>
      </c>
      <c r="AS520" s="20">
        <v>19949.494949494947</v>
      </c>
      <c r="AT520" s="20">
        <v>21000</v>
      </c>
      <c r="AU520" s="20">
        <v>1050.5050505050531</v>
      </c>
      <c r="AW520" s="20">
        <v>20</v>
      </c>
      <c r="AY520" s="20">
        <v>20</v>
      </c>
      <c r="BA520" s="20">
        <v>20980</v>
      </c>
      <c r="BB520" s="6">
        <v>41740</v>
      </c>
      <c r="BD520" s="6">
        <v>41848</v>
      </c>
      <c r="BE520" s="6">
        <v>41864</v>
      </c>
      <c r="BF520" s="6">
        <v>41887</v>
      </c>
      <c r="BG520" s="6">
        <v>41908</v>
      </c>
      <c r="BK520" s="4" t="s">
        <v>401</v>
      </c>
      <c r="BM520" s="20">
        <v>75</v>
      </c>
      <c r="BN520" s="20">
        <v>0</v>
      </c>
      <c r="BO520" s="20">
        <v>0</v>
      </c>
      <c r="BP520" s="20">
        <v>0</v>
      </c>
      <c r="BQ520" s="20">
        <v>0</v>
      </c>
      <c r="BR520" s="20">
        <v>0</v>
      </c>
      <c r="BS520" s="20">
        <v>75</v>
      </c>
      <c r="BT520" s="20">
        <v>1575000</v>
      </c>
      <c r="BU520" s="20">
        <v>5925000</v>
      </c>
      <c r="BV520" s="20">
        <v>3.4199134199134194</v>
      </c>
    </row>
    <row r="521" spans="1:74">
      <c r="A521" s="10">
        <f t="shared" si="34"/>
        <v>0</v>
      </c>
      <c r="B521" s="10">
        <f t="shared" si="35"/>
        <v>0</v>
      </c>
      <c r="C521" s="12">
        <f t="shared" si="36"/>
        <v>4</v>
      </c>
      <c r="D521" s="12">
        <f t="shared" si="37"/>
        <v>9</v>
      </c>
      <c r="E521" s="20" t="s">
        <v>574</v>
      </c>
      <c r="F521" s="20" t="s">
        <v>665</v>
      </c>
      <c r="G521" s="20" t="s">
        <v>768</v>
      </c>
      <c r="H521" s="20" t="s">
        <v>803</v>
      </c>
      <c r="I521" s="20">
        <v>4</v>
      </c>
      <c r="J521" s="20" t="s">
        <v>804</v>
      </c>
      <c r="K521" s="20" t="s">
        <v>810</v>
      </c>
      <c r="L521" s="20" t="s">
        <v>806</v>
      </c>
      <c r="M521" s="20" t="s">
        <v>671</v>
      </c>
      <c r="N521" s="20" t="s">
        <v>672</v>
      </c>
      <c r="P521" s="20" t="s">
        <v>671</v>
      </c>
      <c r="Q521" s="20" t="s">
        <v>673</v>
      </c>
      <c r="R521" s="20" t="s">
        <v>84</v>
      </c>
      <c r="S521" s="20">
        <v>5</v>
      </c>
      <c r="T521" s="20" t="s">
        <v>773</v>
      </c>
      <c r="U521" s="20" t="s">
        <v>774</v>
      </c>
      <c r="V521" s="20" t="s">
        <v>775</v>
      </c>
      <c r="W521" s="20">
        <v>592</v>
      </c>
      <c r="X521" s="20">
        <v>592</v>
      </c>
      <c r="Y521" s="20" t="s">
        <v>807</v>
      </c>
      <c r="Z521" s="20">
        <v>0.25</v>
      </c>
      <c r="AA521" s="20" t="s">
        <v>808</v>
      </c>
      <c r="AB521" s="20" t="s">
        <v>139</v>
      </c>
      <c r="AC521" s="20" t="s">
        <v>140</v>
      </c>
      <c r="AD521" s="20" t="s">
        <v>809</v>
      </c>
      <c r="AE521" s="20" t="s">
        <v>91</v>
      </c>
      <c r="AF521" s="20">
        <v>0.25</v>
      </c>
      <c r="AH521" s="20">
        <v>3</v>
      </c>
      <c r="AI521" s="4" t="s">
        <v>782</v>
      </c>
      <c r="AJ521" s="20">
        <v>200</v>
      </c>
      <c r="AK521" s="4" t="s">
        <v>780</v>
      </c>
      <c r="AL521" s="4">
        <v>3</v>
      </c>
      <c r="AM521" s="4" t="s">
        <v>438</v>
      </c>
      <c r="AN521" s="4" t="s">
        <v>95</v>
      </c>
      <c r="AO521" s="4" t="s">
        <v>131</v>
      </c>
      <c r="AP521" s="4">
        <v>2</v>
      </c>
      <c r="AQ521" s="20">
        <v>79000</v>
      </c>
      <c r="AR521" s="4">
        <v>41820</v>
      </c>
      <c r="AS521" s="20">
        <v>19949.494949494947</v>
      </c>
      <c r="AT521" s="20">
        <v>21000</v>
      </c>
      <c r="AU521" s="20">
        <v>1050.5050505050531</v>
      </c>
      <c r="AW521" s="20">
        <v>20</v>
      </c>
      <c r="AY521" s="20">
        <v>20</v>
      </c>
      <c r="BA521" s="20">
        <v>20980</v>
      </c>
      <c r="BB521" s="6">
        <v>41740</v>
      </c>
      <c r="BD521" s="6">
        <v>41848</v>
      </c>
      <c r="BE521" s="6">
        <v>41864</v>
      </c>
      <c r="BF521" s="6">
        <v>41887</v>
      </c>
      <c r="BG521" s="6">
        <v>41908</v>
      </c>
      <c r="BK521" s="4" t="s">
        <v>401</v>
      </c>
      <c r="BM521" s="20">
        <v>190</v>
      </c>
      <c r="BN521" s="20">
        <v>2</v>
      </c>
      <c r="BO521" s="20">
        <v>0</v>
      </c>
      <c r="BP521" s="20">
        <v>0</v>
      </c>
      <c r="BQ521" s="20">
        <v>0</v>
      </c>
      <c r="BR521" s="20">
        <v>0</v>
      </c>
      <c r="BS521" s="20">
        <v>200</v>
      </c>
      <c r="BT521" s="20">
        <v>4200000</v>
      </c>
      <c r="BU521" s="20">
        <v>15800000</v>
      </c>
      <c r="BV521" s="20">
        <v>3.4199134199134198</v>
      </c>
    </row>
    <row r="522" spans="1:74">
      <c r="A522" s="10">
        <f t="shared" si="34"/>
        <v>0</v>
      </c>
      <c r="B522" s="10">
        <f t="shared" si="35"/>
        <v>0</v>
      </c>
      <c r="C522" s="12">
        <f t="shared" si="36"/>
        <v>4</v>
      </c>
      <c r="D522" s="12">
        <f t="shared" si="37"/>
        <v>9</v>
      </c>
      <c r="E522" s="20" t="s">
        <v>574</v>
      </c>
      <c r="F522" s="20" t="s">
        <v>665</v>
      </c>
      <c r="G522" s="20" t="s">
        <v>768</v>
      </c>
      <c r="H522" s="20" t="s">
        <v>803</v>
      </c>
      <c r="I522" s="20">
        <v>4</v>
      </c>
      <c r="J522" s="20" t="s">
        <v>804</v>
      </c>
      <c r="K522" s="20" t="s">
        <v>811</v>
      </c>
      <c r="L522" s="20" t="s">
        <v>806</v>
      </c>
      <c r="M522" s="20" t="s">
        <v>671</v>
      </c>
      <c r="N522" s="20" t="s">
        <v>672</v>
      </c>
      <c r="P522" s="20" t="s">
        <v>671</v>
      </c>
      <c r="Q522" s="20" t="s">
        <v>673</v>
      </c>
      <c r="R522" s="20" t="s">
        <v>84</v>
      </c>
      <c r="S522" s="20">
        <v>5</v>
      </c>
      <c r="T522" s="20" t="s">
        <v>773</v>
      </c>
      <c r="U522" s="20" t="s">
        <v>774</v>
      </c>
      <c r="V522" s="20" t="s">
        <v>775</v>
      </c>
      <c r="W522" s="20">
        <v>592</v>
      </c>
      <c r="X522" s="20">
        <v>592</v>
      </c>
      <c r="Y522" s="20" t="s">
        <v>807</v>
      </c>
      <c r="Z522" s="20">
        <v>0.25</v>
      </c>
      <c r="AA522" s="20" t="s">
        <v>808</v>
      </c>
      <c r="AB522" s="20" t="s">
        <v>139</v>
      </c>
      <c r="AC522" s="20" t="s">
        <v>140</v>
      </c>
      <c r="AD522" s="20" t="s">
        <v>809</v>
      </c>
      <c r="AE522" s="20" t="s">
        <v>91</v>
      </c>
      <c r="AF522" s="20">
        <v>0.25</v>
      </c>
      <c r="AH522" s="20">
        <v>3</v>
      </c>
      <c r="AI522" s="4" t="s">
        <v>784</v>
      </c>
      <c r="AJ522" s="20">
        <v>180</v>
      </c>
      <c r="AK522" s="4" t="s">
        <v>780</v>
      </c>
      <c r="AL522" s="4">
        <v>3</v>
      </c>
      <c r="AM522" s="4" t="s">
        <v>438</v>
      </c>
      <c r="AN522" s="4" t="s">
        <v>95</v>
      </c>
      <c r="AO522" s="4" t="s">
        <v>131</v>
      </c>
      <c r="AP522" s="4">
        <v>2</v>
      </c>
      <c r="AQ522" s="20">
        <v>79000</v>
      </c>
      <c r="AR522" s="4">
        <v>41820</v>
      </c>
      <c r="AS522" s="20">
        <v>19949.494949494947</v>
      </c>
      <c r="AT522" s="20">
        <v>21000</v>
      </c>
      <c r="AU522" s="20">
        <v>1050.5050505050531</v>
      </c>
      <c r="AW522" s="20">
        <v>20</v>
      </c>
      <c r="AY522" s="20">
        <v>20</v>
      </c>
      <c r="BA522" s="20">
        <v>20980</v>
      </c>
      <c r="BB522" s="6">
        <v>41740</v>
      </c>
      <c r="BD522" s="6">
        <v>41848</v>
      </c>
      <c r="BE522" s="6">
        <v>41864</v>
      </c>
      <c r="BF522" s="6">
        <v>41887</v>
      </c>
      <c r="BG522" s="6">
        <v>41908</v>
      </c>
      <c r="BK522" s="4" t="s">
        <v>401</v>
      </c>
      <c r="BM522" s="20">
        <v>168</v>
      </c>
      <c r="BN522" s="20">
        <v>5</v>
      </c>
      <c r="BO522" s="20">
        <v>0</v>
      </c>
      <c r="BP522" s="20">
        <v>0</v>
      </c>
      <c r="BQ522" s="20">
        <v>0</v>
      </c>
      <c r="BR522" s="20">
        <v>0</v>
      </c>
      <c r="BS522" s="20">
        <v>180</v>
      </c>
      <c r="BT522" s="20">
        <v>3780000</v>
      </c>
      <c r="BU522" s="20">
        <v>14220000</v>
      </c>
      <c r="BV522" s="20">
        <v>3.4199134199134194</v>
      </c>
    </row>
    <row r="523" spans="1:74">
      <c r="A523" s="10">
        <f t="shared" si="34"/>
        <v>0</v>
      </c>
      <c r="B523" s="10">
        <f t="shared" si="35"/>
        <v>0</v>
      </c>
      <c r="C523" s="12">
        <f t="shared" si="36"/>
        <v>4</v>
      </c>
      <c r="D523" s="12">
        <f t="shared" si="37"/>
        <v>9</v>
      </c>
      <c r="E523" s="20" t="s">
        <v>574</v>
      </c>
      <c r="F523" s="20" t="s">
        <v>665</v>
      </c>
      <c r="G523" s="20" t="s">
        <v>768</v>
      </c>
      <c r="H523" s="20" t="s">
        <v>803</v>
      </c>
      <c r="I523" s="20">
        <v>4</v>
      </c>
      <c r="J523" s="20" t="s">
        <v>804</v>
      </c>
      <c r="K523" s="20" t="s">
        <v>812</v>
      </c>
      <c r="L523" s="20" t="s">
        <v>806</v>
      </c>
      <c r="M523" s="20" t="s">
        <v>671</v>
      </c>
      <c r="N523" s="20" t="s">
        <v>672</v>
      </c>
      <c r="P523" s="20" t="s">
        <v>671</v>
      </c>
      <c r="Q523" s="20" t="s">
        <v>673</v>
      </c>
      <c r="R523" s="20" t="s">
        <v>84</v>
      </c>
      <c r="S523" s="20">
        <v>5</v>
      </c>
      <c r="T523" s="20" t="s">
        <v>773</v>
      </c>
      <c r="U523" s="20" t="s">
        <v>774</v>
      </c>
      <c r="V523" s="20" t="s">
        <v>775</v>
      </c>
      <c r="W523" s="20">
        <v>592</v>
      </c>
      <c r="X523" s="20">
        <v>592</v>
      </c>
      <c r="Y523" s="20" t="s">
        <v>807</v>
      </c>
      <c r="Z523" s="20">
        <v>0.25</v>
      </c>
      <c r="AA523" s="20" t="s">
        <v>808</v>
      </c>
      <c r="AB523" s="20" t="s">
        <v>139</v>
      </c>
      <c r="AC523" s="20" t="s">
        <v>140</v>
      </c>
      <c r="AD523" s="20" t="s">
        <v>809</v>
      </c>
      <c r="AE523" s="20" t="s">
        <v>91</v>
      </c>
      <c r="AF523" s="20">
        <v>0.25</v>
      </c>
      <c r="AH523" s="20">
        <v>3</v>
      </c>
      <c r="AI523" s="4" t="s">
        <v>785</v>
      </c>
      <c r="AJ523" s="20">
        <v>65</v>
      </c>
      <c r="AK523" s="4" t="s">
        <v>780</v>
      </c>
      <c r="AL523" s="4">
        <v>3</v>
      </c>
      <c r="AM523" s="4" t="s">
        <v>438</v>
      </c>
      <c r="AN523" s="4" t="s">
        <v>95</v>
      </c>
      <c r="AO523" s="4" t="s">
        <v>131</v>
      </c>
      <c r="AP523" s="4">
        <v>2</v>
      </c>
      <c r="AQ523" s="20">
        <v>79000</v>
      </c>
      <c r="AR523" s="4">
        <v>41820</v>
      </c>
      <c r="AS523" s="20">
        <v>19949.494949494947</v>
      </c>
      <c r="AT523" s="20">
        <v>21000</v>
      </c>
      <c r="AU523" s="20">
        <v>1050.5050505050531</v>
      </c>
      <c r="AW523" s="20">
        <v>20</v>
      </c>
      <c r="AY523" s="20">
        <v>20</v>
      </c>
      <c r="BA523" s="20">
        <v>20980</v>
      </c>
      <c r="BB523" s="6">
        <v>41740</v>
      </c>
      <c r="BD523" s="6">
        <v>41848</v>
      </c>
      <c r="BE523" s="6">
        <v>41864</v>
      </c>
      <c r="BF523" s="6">
        <v>41887</v>
      </c>
      <c r="BG523" s="6">
        <v>41908</v>
      </c>
      <c r="BK523" s="4" t="s">
        <v>401</v>
      </c>
      <c r="BM523" s="20">
        <v>62</v>
      </c>
      <c r="BN523" s="20">
        <v>1</v>
      </c>
      <c r="BO523" s="20">
        <v>0</v>
      </c>
      <c r="BP523" s="20">
        <v>0</v>
      </c>
      <c r="BQ523" s="20">
        <v>0</v>
      </c>
      <c r="BR523" s="20">
        <v>0</v>
      </c>
      <c r="BS523" s="20">
        <v>65</v>
      </c>
      <c r="BT523" s="20">
        <v>1365000</v>
      </c>
      <c r="BU523" s="20">
        <v>5135000</v>
      </c>
      <c r="BV523" s="20">
        <v>3.4199134199134194</v>
      </c>
    </row>
    <row r="524" spans="1:74">
      <c r="A524" s="10">
        <f t="shared" si="34"/>
        <v>0</v>
      </c>
      <c r="B524" s="10">
        <f t="shared" si="35"/>
        <v>0</v>
      </c>
      <c r="C524" s="12">
        <f t="shared" si="36"/>
        <v>4</v>
      </c>
      <c r="D524" s="12">
        <f t="shared" si="37"/>
        <v>9</v>
      </c>
      <c r="E524" s="20" t="s">
        <v>574</v>
      </c>
      <c r="F524" s="20" t="s">
        <v>665</v>
      </c>
      <c r="G524" s="20" t="s">
        <v>768</v>
      </c>
      <c r="H524" s="20" t="s">
        <v>813</v>
      </c>
      <c r="I524" s="20">
        <v>5</v>
      </c>
      <c r="J524" s="20" t="s">
        <v>814</v>
      </c>
      <c r="K524" s="20" t="s">
        <v>819</v>
      </c>
      <c r="L524" s="20" t="s">
        <v>815</v>
      </c>
      <c r="M524" s="20" t="s">
        <v>671</v>
      </c>
      <c r="N524" s="20" t="s">
        <v>672</v>
      </c>
      <c r="P524" s="20" t="s">
        <v>671</v>
      </c>
      <c r="Q524" s="20" t="s">
        <v>673</v>
      </c>
      <c r="R524" s="20" t="s">
        <v>84</v>
      </c>
      <c r="S524" s="20">
        <v>5</v>
      </c>
      <c r="T524" s="20" t="s">
        <v>773</v>
      </c>
      <c r="U524" s="20" t="s">
        <v>774</v>
      </c>
      <c r="V524" s="20" t="s">
        <v>775</v>
      </c>
      <c r="W524" s="20">
        <v>593</v>
      </c>
      <c r="X524" s="20">
        <v>593</v>
      </c>
      <c r="Y524" s="20" t="s">
        <v>816</v>
      </c>
      <c r="Z524" s="20">
        <v>0.5</v>
      </c>
      <c r="AA524" s="20" t="s">
        <v>817</v>
      </c>
      <c r="AB524" s="20" t="s">
        <v>159</v>
      </c>
      <c r="AC524" s="20" t="s">
        <v>160</v>
      </c>
      <c r="AD524" s="20" t="s">
        <v>818</v>
      </c>
      <c r="AE524" s="20" t="s">
        <v>91</v>
      </c>
      <c r="AF524" s="20">
        <v>0.5</v>
      </c>
      <c r="AH524" s="20">
        <v>3</v>
      </c>
      <c r="AI524" s="4" t="s">
        <v>782</v>
      </c>
      <c r="AJ524" s="20">
        <v>220</v>
      </c>
      <c r="AK524" s="4" t="s">
        <v>780</v>
      </c>
      <c r="AL524" s="4">
        <v>3</v>
      </c>
      <c r="AM524" s="4" t="s">
        <v>438</v>
      </c>
      <c r="AN524" s="4" t="s">
        <v>95</v>
      </c>
      <c r="AO524" s="4" t="s">
        <v>131</v>
      </c>
      <c r="AP524" s="4">
        <v>2</v>
      </c>
      <c r="AQ524" s="20">
        <v>99000</v>
      </c>
      <c r="AR524" s="4">
        <v>41820</v>
      </c>
      <c r="AS524" s="20">
        <v>25000</v>
      </c>
      <c r="AT524" s="20">
        <v>23700</v>
      </c>
      <c r="AU524" s="20">
        <v>-1300</v>
      </c>
      <c r="AW524" s="20">
        <v>20</v>
      </c>
      <c r="AY524" s="20">
        <v>20</v>
      </c>
      <c r="BA524" s="20">
        <v>23680</v>
      </c>
      <c r="BB524" s="6">
        <v>41740</v>
      </c>
      <c r="BD524" s="6">
        <v>41848</v>
      </c>
      <c r="BE524" s="6">
        <v>41864</v>
      </c>
      <c r="BF524" s="6">
        <v>41908</v>
      </c>
      <c r="BK524" s="4" t="s">
        <v>401</v>
      </c>
      <c r="BM524" s="20">
        <v>184</v>
      </c>
      <c r="BN524" s="20">
        <v>0</v>
      </c>
      <c r="BO524" s="20">
        <v>0</v>
      </c>
      <c r="BP524" s="20">
        <v>0</v>
      </c>
      <c r="BQ524" s="20">
        <v>0</v>
      </c>
      <c r="BS524" s="20">
        <v>220</v>
      </c>
      <c r="BT524" s="20">
        <v>5214000</v>
      </c>
      <c r="BU524" s="20">
        <v>21780000</v>
      </c>
      <c r="BV524" s="20">
        <v>3.7974683544303796</v>
      </c>
    </row>
    <row r="525" spans="1:74">
      <c r="A525" s="10">
        <f t="shared" si="34"/>
        <v>0</v>
      </c>
      <c r="B525" s="10">
        <f t="shared" si="35"/>
        <v>0</v>
      </c>
      <c r="C525" s="12">
        <f t="shared" si="36"/>
        <v>4</v>
      </c>
      <c r="D525" s="12">
        <f t="shared" si="37"/>
        <v>9</v>
      </c>
      <c r="E525" s="20" t="s">
        <v>574</v>
      </c>
      <c r="F525" s="20" t="s">
        <v>665</v>
      </c>
      <c r="G525" s="20" t="s">
        <v>768</v>
      </c>
      <c r="H525" s="20" t="s">
        <v>813</v>
      </c>
      <c r="I525" s="20">
        <v>5</v>
      </c>
      <c r="J525" s="20" t="s">
        <v>814</v>
      </c>
      <c r="K525" s="20" t="s">
        <v>820</v>
      </c>
      <c r="L525" s="20" t="s">
        <v>815</v>
      </c>
      <c r="M525" s="20" t="s">
        <v>671</v>
      </c>
      <c r="N525" s="20" t="s">
        <v>672</v>
      </c>
      <c r="P525" s="20" t="s">
        <v>671</v>
      </c>
      <c r="Q525" s="20" t="s">
        <v>673</v>
      </c>
      <c r="R525" s="20" t="s">
        <v>84</v>
      </c>
      <c r="S525" s="20">
        <v>5</v>
      </c>
      <c r="T525" s="20" t="s">
        <v>773</v>
      </c>
      <c r="U525" s="20" t="s">
        <v>774</v>
      </c>
      <c r="V525" s="20" t="s">
        <v>775</v>
      </c>
      <c r="W525" s="20">
        <v>593</v>
      </c>
      <c r="X525" s="20">
        <v>593</v>
      </c>
      <c r="Y525" s="20" t="s">
        <v>816</v>
      </c>
      <c r="Z525" s="20">
        <v>0.5</v>
      </c>
      <c r="AA525" s="20" t="s">
        <v>817</v>
      </c>
      <c r="AB525" s="20" t="s">
        <v>159</v>
      </c>
      <c r="AC525" s="20" t="s">
        <v>160</v>
      </c>
      <c r="AD525" s="20" t="s">
        <v>818</v>
      </c>
      <c r="AE525" s="20" t="s">
        <v>91</v>
      </c>
      <c r="AF525" s="20">
        <v>0.5</v>
      </c>
      <c r="AH525" s="20">
        <v>3</v>
      </c>
      <c r="AI525" s="4" t="s">
        <v>784</v>
      </c>
      <c r="AJ525" s="20">
        <v>300</v>
      </c>
      <c r="AK525" s="4" t="s">
        <v>780</v>
      </c>
      <c r="AL525" s="4">
        <v>3</v>
      </c>
      <c r="AM525" s="4" t="s">
        <v>438</v>
      </c>
      <c r="AN525" s="4" t="s">
        <v>95</v>
      </c>
      <c r="AO525" s="4" t="s">
        <v>131</v>
      </c>
      <c r="AP525" s="4">
        <v>2</v>
      </c>
      <c r="AQ525" s="20">
        <v>99000</v>
      </c>
      <c r="AR525" s="4">
        <v>41820</v>
      </c>
      <c r="AS525" s="20">
        <v>25000</v>
      </c>
      <c r="AT525" s="20">
        <v>23700</v>
      </c>
      <c r="AU525" s="20">
        <v>-1300</v>
      </c>
      <c r="AW525" s="20">
        <v>20</v>
      </c>
      <c r="AY525" s="20">
        <v>20</v>
      </c>
      <c r="BA525" s="20">
        <v>23680</v>
      </c>
      <c r="BB525" s="6">
        <v>41740</v>
      </c>
      <c r="BD525" s="6">
        <v>41848</v>
      </c>
      <c r="BE525" s="6">
        <v>41864</v>
      </c>
      <c r="BF525" s="6">
        <v>41908</v>
      </c>
      <c r="BK525" s="4" t="s">
        <v>401</v>
      </c>
      <c r="BM525" s="20">
        <v>261</v>
      </c>
      <c r="BN525" s="20">
        <v>0</v>
      </c>
      <c r="BO525" s="20">
        <v>0</v>
      </c>
      <c r="BP525" s="20">
        <v>0</v>
      </c>
      <c r="BQ525" s="20">
        <v>0</v>
      </c>
      <c r="BS525" s="20">
        <v>300</v>
      </c>
      <c r="BT525" s="20">
        <v>7110000</v>
      </c>
      <c r="BU525" s="20">
        <v>29700000</v>
      </c>
      <c r="BV525" s="20">
        <v>3.7974683544303791</v>
      </c>
    </row>
    <row r="526" spans="1:74">
      <c r="A526" s="10">
        <f t="shared" si="34"/>
        <v>0</v>
      </c>
      <c r="B526" s="10">
        <f t="shared" si="35"/>
        <v>0</v>
      </c>
      <c r="C526" s="12" t="str">
        <f t="shared" si="36"/>
        <v/>
      </c>
      <c r="D526" s="12" t="str">
        <f t="shared" si="37"/>
        <v/>
      </c>
      <c r="E526" s="20" t="s">
        <v>91</v>
      </c>
      <c r="F526" s="20" t="s">
        <v>91</v>
      </c>
      <c r="G526" s="20" t="s">
        <v>91</v>
      </c>
      <c r="H526" s="20" t="s">
        <v>91</v>
      </c>
      <c r="I526" s="20">
        <v>0</v>
      </c>
      <c r="J526" s="20" t="s">
        <v>103</v>
      </c>
      <c r="K526" s="20" t="s">
        <v>104</v>
      </c>
      <c r="L526" s="20">
        <v>0</v>
      </c>
      <c r="M526" s="20" t="s">
        <v>105</v>
      </c>
      <c r="N526" s="20" t="s">
        <v>91</v>
      </c>
      <c r="O526" s="20" t="s">
        <v>821</v>
      </c>
      <c r="Q526" s="20" t="s">
        <v>91</v>
      </c>
      <c r="R526" s="20" t="s">
        <v>91</v>
      </c>
      <c r="S526" s="20" t="s">
        <v>91</v>
      </c>
      <c r="U526" s="20" t="s">
        <v>91</v>
      </c>
      <c r="V526" s="20" t="s">
        <v>87</v>
      </c>
      <c r="X526" s="20" t="s">
        <v>91</v>
      </c>
      <c r="Y526" s="20" t="s">
        <v>91</v>
      </c>
      <c r="Z526" s="20">
        <v>4</v>
      </c>
      <c r="AB526" s="20" t="s">
        <v>91</v>
      </c>
      <c r="AD526" s="20" t="s">
        <v>91</v>
      </c>
      <c r="AE526" s="20" t="s">
        <v>91</v>
      </c>
      <c r="AF526" s="20">
        <v>5</v>
      </c>
      <c r="AH526" s="20">
        <v>1</v>
      </c>
      <c r="AM526" s="4" t="s">
        <v>91</v>
      </c>
      <c r="AP526" s="4" t="s">
        <v>91</v>
      </c>
      <c r="AQ526" s="20">
        <v>0</v>
      </c>
      <c r="AR526" s="4">
        <v>0</v>
      </c>
      <c r="AS526" s="20">
        <v>0</v>
      </c>
      <c r="AT526" s="20">
        <v>0</v>
      </c>
      <c r="AU526" s="20">
        <v>0</v>
      </c>
      <c r="AY526" s="20">
        <v>0</v>
      </c>
      <c r="BB526" s="6">
        <v>0</v>
      </c>
      <c r="BD526" s="6">
        <v>0</v>
      </c>
      <c r="BF526" s="6">
        <v>0</v>
      </c>
      <c r="BM526" s="20">
        <v>2080</v>
      </c>
      <c r="BN526" s="20">
        <v>268</v>
      </c>
      <c r="BO526" s="20">
        <v>0</v>
      </c>
      <c r="BP526" s="20">
        <v>0</v>
      </c>
      <c r="BQ526" s="20">
        <v>0</v>
      </c>
      <c r="BR526" s="20">
        <v>0</v>
      </c>
      <c r="BS526" s="20">
        <v>2460</v>
      </c>
      <c r="BT526" s="20">
        <v>54954000</v>
      </c>
      <c r="BU526" s="20">
        <v>222740000</v>
      </c>
      <c r="BV526" s="20">
        <v>3.6847346706501631</v>
      </c>
    </row>
    <row r="527" spans="1:74">
      <c r="A527" s="10">
        <f t="shared" si="34"/>
        <v>0</v>
      </c>
      <c r="B527" s="10">
        <f t="shared" si="35"/>
        <v>0</v>
      </c>
      <c r="C527" s="12">
        <f t="shared" si="36"/>
        <v>4</v>
      </c>
      <c r="D527" s="12">
        <f t="shared" si="37"/>
        <v>10</v>
      </c>
      <c r="E527" s="20" t="s">
        <v>574</v>
      </c>
      <c r="F527" s="20" t="s">
        <v>665</v>
      </c>
      <c r="G527" s="20" t="s">
        <v>822</v>
      </c>
      <c r="H527" s="20" t="s">
        <v>823</v>
      </c>
      <c r="I527" s="20">
        <v>1</v>
      </c>
      <c r="J527" s="20" t="s">
        <v>824</v>
      </c>
      <c r="K527" s="20" t="s">
        <v>829</v>
      </c>
      <c r="L527" s="20" t="s">
        <v>825</v>
      </c>
      <c r="M527" s="20" t="s">
        <v>671</v>
      </c>
      <c r="N527" s="20" t="s">
        <v>672</v>
      </c>
      <c r="P527" s="20" t="s">
        <v>671</v>
      </c>
      <c r="Q527" s="20" t="s">
        <v>673</v>
      </c>
      <c r="R527" s="20" t="s">
        <v>84</v>
      </c>
      <c r="S527" s="20">
        <v>5</v>
      </c>
      <c r="T527" s="20" t="s">
        <v>674</v>
      </c>
      <c r="U527" s="20" t="s">
        <v>675</v>
      </c>
      <c r="V527" s="20" t="s">
        <v>775</v>
      </c>
      <c r="W527" s="20">
        <v>594</v>
      </c>
      <c r="X527" s="20">
        <v>594</v>
      </c>
      <c r="Y527" s="20" t="s">
        <v>826</v>
      </c>
      <c r="Z527" s="20">
        <v>0.33333333333333331</v>
      </c>
      <c r="AA527" s="20" t="s">
        <v>827</v>
      </c>
      <c r="AB527" s="20" t="s">
        <v>109</v>
      </c>
      <c r="AC527" s="20" t="s">
        <v>110</v>
      </c>
      <c r="AD527" s="20" t="s">
        <v>828</v>
      </c>
      <c r="AE527" s="20" t="s">
        <v>91</v>
      </c>
      <c r="AF527" s="20">
        <v>0.33333333333333331</v>
      </c>
      <c r="AH527" s="20">
        <v>3</v>
      </c>
      <c r="AI527" s="4" t="s">
        <v>782</v>
      </c>
      <c r="AJ527" s="20">
        <v>190</v>
      </c>
      <c r="AK527" s="4" t="s">
        <v>679</v>
      </c>
      <c r="AL527" s="4">
        <v>2</v>
      </c>
      <c r="AM527" s="4" t="s">
        <v>94</v>
      </c>
      <c r="AN527" s="4" t="s">
        <v>95</v>
      </c>
      <c r="AO527" s="4" t="s">
        <v>680</v>
      </c>
      <c r="AP527" s="4">
        <v>1</v>
      </c>
      <c r="AQ527" s="20">
        <v>129000</v>
      </c>
      <c r="AR527" s="4">
        <v>41820</v>
      </c>
      <c r="AS527" s="20">
        <v>26060.60606060606</v>
      </c>
      <c r="AT527" s="20">
        <v>32360.000000000004</v>
      </c>
      <c r="AU527" s="20">
        <v>6299.3939393939436</v>
      </c>
      <c r="AW527" s="20">
        <v>20</v>
      </c>
      <c r="AY527" s="20">
        <v>20</v>
      </c>
      <c r="AZ527" s="20">
        <v>28</v>
      </c>
      <c r="BB527" s="6">
        <v>41740</v>
      </c>
      <c r="BC527" s="6">
        <v>41859</v>
      </c>
      <c r="BD527" s="6">
        <v>41879</v>
      </c>
      <c r="BE527" s="6">
        <v>41912</v>
      </c>
      <c r="BF527" s="6">
        <v>41933</v>
      </c>
      <c r="BK527" s="4" t="s">
        <v>401</v>
      </c>
      <c r="BM527" s="20">
        <v>190</v>
      </c>
      <c r="BN527" s="20">
        <v>0</v>
      </c>
      <c r="BO527" s="20">
        <v>0</v>
      </c>
      <c r="BP527" s="20">
        <v>0</v>
      </c>
      <c r="BQ527" s="20">
        <v>0</v>
      </c>
      <c r="BR527" s="20">
        <v>0</v>
      </c>
      <c r="BS527" s="20">
        <v>190</v>
      </c>
      <c r="BT527" s="20">
        <v>6148400.0000000009</v>
      </c>
      <c r="BU527" s="20">
        <v>24510000</v>
      </c>
      <c r="BV527" s="20">
        <v>3.6240026969322385</v>
      </c>
    </row>
    <row r="528" spans="1:74">
      <c r="A528" s="10">
        <f t="shared" si="34"/>
        <v>0</v>
      </c>
      <c r="B528" s="10">
        <f t="shared" si="35"/>
        <v>0</v>
      </c>
      <c r="C528" s="12">
        <f t="shared" si="36"/>
        <v>4</v>
      </c>
      <c r="D528" s="12">
        <f t="shared" si="37"/>
        <v>10</v>
      </c>
      <c r="E528" s="20" t="s">
        <v>574</v>
      </c>
      <c r="F528" s="20" t="s">
        <v>665</v>
      </c>
      <c r="G528" s="20" t="s">
        <v>822</v>
      </c>
      <c r="H528" s="20" t="s">
        <v>823</v>
      </c>
      <c r="I528" s="20">
        <v>1</v>
      </c>
      <c r="J528" s="20" t="s">
        <v>824</v>
      </c>
      <c r="K528" s="20" t="s">
        <v>830</v>
      </c>
      <c r="L528" s="20" t="s">
        <v>825</v>
      </c>
      <c r="M528" s="20" t="s">
        <v>671</v>
      </c>
      <c r="N528" s="20" t="s">
        <v>672</v>
      </c>
      <c r="P528" s="20" t="s">
        <v>671</v>
      </c>
      <c r="Q528" s="20" t="s">
        <v>673</v>
      </c>
      <c r="R528" s="20" t="s">
        <v>84</v>
      </c>
      <c r="S528" s="20">
        <v>5</v>
      </c>
      <c r="T528" s="20" t="s">
        <v>674</v>
      </c>
      <c r="U528" s="20" t="s">
        <v>675</v>
      </c>
      <c r="V528" s="20" t="s">
        <v>775</v>
      </c>
      <c r="W528" s="20">
        <v>594</v>
      </c>
      <c r="X528" s="20">
        <v>594</v>
      </c>
      <c r="Y528" s="20" t="s">
        <v>826</v>
      </c>
      <c r="Z528" s="20">
        <v>0.33333333333333331</v>
      </c>
      <c r="AA528" s="20" t="s">
        <v>827</v>
      </c>
      <c r="AB528" s="20" t="s">
        <v>109</v>
      </c>
      <c r="AC528" s="20" t="s">
        <v>110</v>
      </c>
      <c r="AD528" s="20" t="s">
        <v>828</v>
      </c>
      <c r="AE528" s="20" t="s">
        <v>91</v>
      </c>
      <c r="AF528" s="20">
        <v>0.33333333333333331</v>
      </c>
      <c r="AH528" s="20">
        <v>3</v>
      </c>
      <c r="AI528" s="4" t="s">
        <v>784</v>
      </c>
      <c r="AJ528" s="20">
        <v>190</v>
      </c>
      <c r="AK528" s="4" t="s">
        <v>679</v>
      </c>
      <c r="AL528" s="4">
        <v>2</v>
      </c>
      <c r="AM528" s="4" t="s">
        <v>94</v>
      </c>
      <c r="AN528" s="4" t="s">
        <v>95</v>
      </c>
      <c r="AO528" s="4" t="s">
        <v>680</v>
      </c>
      <c r="AP528" s="4">
        <v>1</v>
      </c>
      <c r="AQ528" s="20">
        <v>129000</v>
      </c>
      <c r="AR528" s="4">
        <v>41820</v>
      </c>
      <c r="AS528" s="20">
        <v>26060.60606060606</v>
      </c>
      <c r="AT528" s="20">
        <v>32360.000000000004</v>
      </c>
      <c r="AU528" s="20">
        <v>6299.3939393939436</v>
      </c>
      <c r="AW528" s="20">
        <v>20</v>
      </c>
      <c r="AY528" s="20">
        <v>20</v>
      </c>
      <c r="AZ528" s="20">
        <v>28</v>
      </c>
      <c r="BB528" s="6">
        <v>41740</v>
      </c>
      <c r="BC528" s="6">
        <v>41879</v>
      </c>
      <c r="BD528" s="6">
        <v>41879</v>
      </c>
      <c r="BE528" s="6">
        <v>41912</v>
      </c>
      <c r="BF528" s="6">
        <v>41933</v>
      </c>
      <c r="BK528" s="4" t="s">
        <v>401</v>
      </c>
      <c r="BM528" s="20">
        <v>189</v>
      </c>
      <c r="BN528" s="20">
        <v>0</v>
      </c>
      <c r="BO528" s="20">
        <v>0</v>
      </c>
      <c r="BP528" s="20">
        <v>0</v>
      </c>
      <c r="BQ528" s="20">
        <v>0</v>
      </c>
      <c r="BR528" s="20">
        <v>0</v>
      </c>
      <c r="BS528" s="20">
        <v>190</v>
      </c>
      <c r="BT528" s="20">
        <v>6148400.0000000009</v>
      </c>
      <c r="BU528" s="20">
        <v>24510000</v>
      </c>
      <c r="BV528" s="20">
        <v>3.6240026969322385</v>
      </c>
    </row>
    <row r="529" spans="1:74">
      <c r="A529" s="10">
        <f t="shared" si="34"/>
        <v>0</v>
      </c>
      <c r="B529" s="10">
        <f t="shared" si="35"/>
        <v>0</v>
      </c>
      <c r="C529" s="12">
        <f t="shared" si="36"/>
        <v>4</v>
      </c>
      <c r="D529" s="12">
        <f t="shared" si="37"/>
        <v>10</v>
      </c>
      <c r="E529" s="20" t="s">
        <v>574</v>
      </c>
      <c r="F529" s="20" t="s">
        <v>665</v>
      </c>
      <c r="G529" s="20" t="s">
        <v>822</v>
      </c>
      <c r="H529" s="20" t="s">
        <v>823</v>
      </c>
      <c r="I529" s="20">
        <v>1</v>
      </c>
      <c r="J529" s="20" t="s">
        <v>824</v>
      </c>
      <c r="K529" s="20" t="s">
        <v>831</v>
      </c>
      <c r="L529" s="20" t="s">
        <v>825</v>
      </c>
      <c r="M529" s="20" t="s">
        <v>671</v>
      </c>
      <c r="N529" s="20" t="s">
        <v>672</v>
      </c>
      <c r="P529" s="20" t="s">
        <v>671</v>
      </c>
      <c r="Q529" s="20" t="s">
        <v>673</v>
      </c>
      <c r="R529" s="20" t="s">
        <v>84</v>
      </c>
      <c r="S529" s="20">
        <v>5</v>
      </c>
      <c r="T529" s="20" t="s">
        <v>674</v>
      </c>
      <c r="U529" s="20" t="s">
        <v>675</v>
      </c>
      <c r="V529" s="20" t="s">
        <v>775</v>
      </c>
      <c r="W529" s="20">
        <v>594</v>
      </c>
      <c r="X529" s="20">
        <v>594</v>
      </c>
      <c r="Y529" s="20" t="s">
        <v>826</v>
      </c>
      <c r="Z529" s="20">
        <v>0.33333333333333331</v>
      </c>
      <c r="AA529" s="20" t="s">
        <v>827</v>
      </c>
      <c r="AB529" s="20" t="s">
        <v>109</v>
      </c>
      <c r="AC529" s="20" t="s">
        <v>110</v>
      </c>
      <c r="AD529" s="20" t="s">
        <v>828</v>
      </c>
      <c r="AE529" s="20" t="s">
        <v>91</v>
      </c>
      <c r="AF529" s="20">
        <v>0.33333333333333331</v>
      </c>
      <c r="AH529" s="20">
        <v>3</v>
      </c>
      <c r="AI529" s="4" t="s">
        <v>785</v>
      </c>
      <c r="AJ529" s="20">
        <v>100</v>
      </c>
      <c r="AK529" s="4" t="s">
        <v>679</v>
      </c>
      <c r="AL529" s="4">
        <v>2</v>
      </c>
      <c r="AM529" s="4" t="s">
        <v>94</v>
      </c>
      <c r="AN529" s="4" t="s">
        <v>95</v>
      </c>
      <c r="AO529" s="4" t="s">
        <v>680</v>
      </c>
      <c r="AP529" s="4">
        <v>1</v>
      </c>
      <c r="AQ529" s="20">
        <v>129000</v>
      </c>
      <c r="AR529" s="4">
        <v>41820</v>
      </c>
      <c r="AS529" s="20">
        <v>26060.60606060606</v>
      </c>
      <c r="AT529" s="20">
        <v>32360.000000000004</v>
      </c>
      <c r="AU529" s="20">
        <v>6299.3939393939436</v>
      </c>
      <c r="AW529" s="20">
        <v>20</v>
      </c>
      <c r="AY529" s="20">
        <v>20</v>
      </c>
      <c r="AZ529" s="20">
        <v>28</v>
      </c>
      <c r="BB529" s="6">
        <v>41740</v>
      </c>
      <c r="BC529" s="6">
        <v>41879</v>
      </c>
      <c r="BD529" s="6">
        <v>41879</v>
      </c>
      <c r="BE529" s="6">
        <v>41912</v>
      </c>
      <c r="BF529" s="6">
        <v>41933</v>
      </c>
      <c r="BK529" s="4" t="s">
        <v>401</v>
      </c>
      <c r="BM529" s="20">
        <v>101</v>
      </c>
      <c r="BN529" s="20">
        <v>0</v>
      </c>
      <c r="BO529" s="20">
        <v>0</v>
      </c>
      <c r="BP529" s="20">
        <v>0</v>
      </c>
      <c r="BQ529" s="20">
        <v>0</v>
      </c>
      <c r="BR529" s="20">
        <v>0</v>
      </c>
      <c r="BS529" s="20">
        <v>100</v>
      </c>
      <c r="BT529" s="20">
        <v>3236000.0000000005</v>
      </c>
      <c r="BU529" s="20">
        <v>12900000</v>
      </c>
      <c r="BV529" s="20">
        <v>3.6240026969322385</v>
      </c>
    </row>
    <row r="530" spans="1:74">
      <c r="A530" s="10">
        <f t="shared" si="34"/>
        <v>0</v>
      </c>
      <c r="B530" s="10">
        <f t="shared" si="35"/>
        <v>0</v>
      </c>
      <c r="C530" s="12" t="str">
        <f t="shared" si="36"/>
        <v/>
      </c>
      <c r="D530" s="12" t="str">
        <f t="shared" si="37"/>
        <v/>
      </c>
      <c r="E530" s="20" t="s">
        <v>91</v>
      </c>
      <c r="F530" s="20" t="s">
        <v>91</v>
      </c>
      <c r="G530" s="20" t="s">
        <v>91</v>
      </c>
      <c r="H530" s="20" t="s">
        <v>91</v>
      </c>
      <c r="I530" s="20">
        <v>0</v>
      </c>
      <c r="J530" s="20" t="s">
        <v>103</v>
      </c>
      <c r="K530" s="20" t="s">
        <v>104</v>
      </c>
      <c r="L530" s="20">
        <v>0</v>
      </c>
      <c r="M530" s="20" t="s">
        <v>105</v>
      </c>
      <c r="N530" s="20" t="s">
        <v>91</v>
      </c>
      <c r="O530" s="20" t="s">
        <v>832</v>
      </c>
      <c r="Q530" s="20" t="s">
        <v>91</v>
      </c>
      <c r="R530" s="20" t="s">
        <v>91</v>
      </c>
      <c r="S530" s="20" t="s">
        <v>91</v>
      </c>
      <c r="U530" s="20" t="s">
        <v>91</v>
      </c>
      <c r="V530" s="20" t="s">
        <v>87</v>
      </c>
      <c r="X530" s="20" t="s">
        <v>91</v>
      </c>
      <c r="Y530" s="20" t="s">
        <v>91</v>
      </c>
      <c r="Z530" s="20">
        <v>1</v>
      </c>
      <c r="AB530" s="20" t="s">
        <v>91</v>
      </c>
      <c r="AD530" s="20" t="s">
        <v>91</v>
      </c>
      <c r="AE530" s="20" t="s">
        <v>91</v>
      </c>
      <c r="AF530" s="20">
        <v>1</v>
      </c>
      <c r="AH530" s="20">
        <v>1</v>
      </c>
      <c r="AM530" s="4" t="s">
        <v>91</v>
      </c>
      <c r="AP530" s="4" t="s">
        <v>91</v>
      </c>
      <c r="AQ530" s="20">
        <v>0</v>
      </c>
      <c r="AR530" s="4">
        <v>0</v>
      </c>
      <c r="AS530" s="20">
        <v>0</v>
      </c>
      <c r="AT530" s="20">
        <v>0</v>
      </c>
      <c r="AU530" s="20">
        <v>0</v>
      </c>
      <c r="AY530" s="20">
        <v>0</v>
      </c>
      <c r="BB530" s="6">
        <v>0</v>
      </c>
      <c r="BD530" s="6">
        <v>0</v>
      </c>
      <c r="BF530" s="6">
        <v>0</v>
      </c>
      <c r="BM530" s="20">
        <v>480</v>
      </c>
      <c r="BN530" s="20">
        <v>0</v>
      </c>
      <c r="BO530" s="20">
        <v>0</v>
      </c>
      <c r="BP530" s="20">
        <v>0</v>
      </c>
      <c r="BQ530" s="20">
        <v>0</v>
      </c>
      <c r="BR530" s="20">
        <v>0</v>
      </c>
      <c r="BS530" s="20">
        <v>480</v>
      </c>
      <c r="BT530" s="20">
        <v>15532800.000000002</v>
      </c>
      <c r="BU530" s="20">
        <v>61920000</v>
      </c>
      <c r="BV530" s="20">
        <v>3.624002696932239</v>
      </c>
    </row>
    <row r="531" spans="1:74">
      <c r="A531" s="10">
        <f t="shared" si="34"/>
        <v>0</v>
      </c>
      <c r="B531" s="10">
        <f t="shared" si="35"/>
        <v>0</v>
      </c>
      <c r="C531" s="12">
        <f t="shared" si="36"/>
        <v>4</v>
      </c>
      <c r="D531" s="12">
        <f t="shared" si="37"/>
        <v>8</v>
      </c>
      <c r="E531" s="20" t="s">
        <v>574</v>
      </c>
      <c r="F531" s="20" t="s">
        <v>665</v>
      </c>
      <c r="G531" s="20" t="s">
        <v>833</v>
      </c>
      <c r="H531" s="20" t="s">
        <v>834</v>
      </c>
      <c r="I531" s="20">
        <v>1</v>
      </c>
      <c r="J531" s="20" t="s">
        <v>835</v>
      </c>
      <c r="K531" s="20" t="s">
        <v>836</v>
      </c>
      <c r="L531" s="20" t="s">
        <v>837</v>
      </c>
      <c r="M531" s="20" t="s">
        <v>671</v>
      </c>
      <c r="N531" s="20" t="s">
        <v>672</v>
      </c>
      <c r="P531" s="20" t="s">
        <v>671</v>
      </c>
      <c r="Q531" s="20" t="s">
        <v>673</v>
      </c>
      <c r="R531" s="20" t="s">
        <v>84</v>
      </c>
      <c r="S531" s="20">
        <v>5</v>
      </c>
      <c r="T531" s="20" t="s">
        <v>635</v>
      </c>
      <c r="U531" s="20" t="s">
        <v>636</v>
      </c>
      <c r="V531" s="20" t="s">
        <v>87</v>
      </c>
      <c r="W531" s="20">
        <v>511</v>
      </c>
      <c r="X531" s="20">
        <v>511</v>
      </c>
      <c r="Y531" s="20" t="s">
        <v>838</v>
      </c>
      <c r="Z531" s="20">
        <v>8.3333333333333329E-2</v>
      </c>
      <c r="AA531" s="20" t="s">
        <v>839</v>
      </c>
      <c r="AB531" s="20" t="s">
        <v>159</v>
      </c>
      <c r="AC531" s="20" t="s">
        <v>160</v>
      </c>
      <c r="AD531" s="20" t="s">
        <v>840</v>
      </c>
      <c r="AE531" s="20" t="s">
        <v>91</v>
      </c>
      <c r="AF531" s="20">
        <v>0.16666666666666666</v>
      </c>
      <c r="AH531" s="20">
        <v>1</v>
      </c>
      <c r="AI531" s="4" t="s">
        <v>640</v>
      </c>
      <c r="AJ531" s="20">
        <v>150</v>
      </c>
      <c r="AK531" s="4" t="s">
        <v>679</v>
      </c>
      <c r="AL531" s="4">
        <v>3</v>
      </c>
      <c r="AM531" s="4" t="s">
        <v>438</v>
      </c>
      <c r="AN531" s="4" t="s">
        <v>95</v>
      </c>
      <c r="AO531" s="4" t="s">
        <v>680</v>
      </c>
      <c r="AP531" s="4">
        <v>1</v>
      </c>
      <c r="AQ531" s="20">
        <v>79000</v>
      </c>
      <c r="AR531" s="4">
        <v>41803</v>
      </c>
      <c r="AS531" s="20">
        <v>15959.595959595958</v>
      </c>
      <c r="AT531" s="20">
        <v>17749.25</v>
      </c>
      <c r="AU531" s="20">
        <v>1789.6540404040425</v>
      </c>
      <c r="AW531" s="20">
        <v>20</v>
      </c>
      <c r="AY531" s="20">
        <v>20</v>
      </c>
      <c r="AZ531" s="20">
        <v>15.35</v>
      </c>
      <c r="BB531" s="6">
        <v>41744</v>
      </c>
      <c r="BD531" s="6">
        <v>41844</v>
      </c>
      <c r="BE531" s="6">
        <v>41859</v>
      </c>
      <c r="BF531" s="6">
        <v>41859</v>
      </c>
      <c r="BG531" s="6">
        <v>41884</v>
      </c>
      <c r="BK531" s="4" t="s">
        <v>401</v>
      </c>
      <c r="BM531" s="20">
        <v>145</v>
      </c>
      <c r="BN531" s="20">
        <v>5</v>
      </c>
      <c r="BO531" s="20">
        <v>0</v>
      </c>
      <c r="BP531" s="20">
        <v>0</v>
      </c>
      <c r="BQ531" s="20">
        <v>0</v>
      </c>
      <c r="BR531" s="20">
        <v>0</v>
      </c>
      <c r="BS531" s="20">
        <v>150</v>
      </c>
      <c r="BT531" s="20">
        <v>2662387.5</v>
      </c>
      <c r="BU531" s="20">
        <v>11850000</v>
      </c>
      <c r="BV531" s="20">
        <v>4.0462657192941567</v>
      </c>
    </row>
    <row r="532" spans="1:74">
      <c r="A532" s="10">
        <f t="shared" si="34"/>
        <v>0</v>
      </c>
      <c r="B532" s="10">
        <f t="shared" si="35"/>
        <v>0</v>
      </c>
      <c r="C532" s="12">
        <f t="shared" si="36"/>
        <v>4</v>
      </c>
      <c r="D532" s="12">
        <f t="shared" si="37"/>
        <v>8</v>
      </c>
      <c r="E532" s="20" t="s">
        <v>574</v>
      </c>
      <c r="F532" s="20" t="s">
        <v>665</v>
      </c>
      <c r="G532" s="20" t="s">
        <v>833</v>
      </c>
      <c r="H532" s="20" t="s">
        <v>834</v>
      </c>
      <c r="I532" s="20">
        <v>1</v>
      </c>
      <c r="J532" s="20" t="s">
        <v>835</v>
      </c>
      <c r="K532" s="20" t="s">
        <v>841</v>
      </c>
      <c r="L532" s="20" t="s">
        <v>837</v>
      </c>
      <c r="M532" s="20" t="s">
        <v>671</v>
      </c>
      <c r="N532" s="20" t="s">
        <v>672</v>
      </c>
      <c r="P532" s="20" t="s">
        <v>671</v>
      </c>
      <c r="Q532" s="20" t="s">
        <v>673</v>
      </c>
      <c r="R532" s="20" t="s">
        <v>84</v>
      </c>
      <c r="S532" s="20">
        <v>5</v>
      </c>
      <c r="T532" s="20" t="s">
        <v>635</v>
      </c>
      <c r="U532" s="20" t="s">
        <v>636</v>
      </c>
      <c r="V532" s="20" t="s">
        <v>87</v>
      </c>
      <c r="W532" s="20">
        <v>511</v>
      </c>
      <c r="X532" s="20">
        <v>511</v>
      </c>
      <c r="Y532" s="20" t="s">
        <v>838</v>
      </c>
      <c r="Z532" s="20">
        <v>8.3333333333333329E-2</v>
      </c>
      <c r="AA532" s="20" t="s">
        <v>839</v>
      </c>
      <c r="AB532" s="20" t="s">
        <v>159</v>
      </c>
      <c r="AC532" s="20" t="s">
        <v>160</v>
      </c>
      <c r="AD532" s="20" t="s">
        <v>840</v>
      </c>
      <c r="AE532" s="20" t="s">
        <v>91</v>
      </c>
      <c r="AF532" s="20">
        <v>0.16666666666666666</v>
      </c>
      <c r="AH532" s="20">
        <v>1</v>
      </c>
      <c r="AI532" s="4" t="s">
        <v>643</v>
      </c>
      <c r="AJ532" s="20">
        <v>40</v>
      </c>
      <c r="AK532" s="4" t="s">
        <v>679</v>
      </c>
      <c r="AL532" s="4">
        <v>3</v>
      </c>
      <c r="AM532" s="4" t="s">
        <v>438</v>
      </c>
      <c r="AN532" s="4" t="s">
        <v>95</v>
      </c>
      <c r="AO532" s="4" t="s">
        <v>680</v>
      </c>
      <c r="AP532" s="4">
        <v>1</v>
      </c>
      <c r="AQ532" s="20">
        <v>79000</v>
      </c>
      <c r="AR532" s="4">
        <v>41803</v>
      </c>
      <c r="AS532" s="20">
        <v>15959.595959595958</v>
      </c>
      <c r="AT532" s="20">
        <v>17749.25</v>
      </c>
      <c r="AU532" s="20">
        <v>1789.6540404040425</v>
      </c>
      <c r="AW532" s="20">
        <v>20</v>
      </c>
      <c r="AY532" s="20">
        <v>20</v>
      </c>
      <c r="AZ532" s="20">
        <v>15.35</v>
      </c>
      <c r="BB532" s="6">
        <v>41744</v>
      </c>
      <c r="BD532" s="6">
        <v>41844</v>
      </c>
      <c r="BE532" s="6">
        <v>41859</v>
      </c>
      <c r="BF532" s="6">
        <v>41859</v>
      </c>
      <c r="BG532" s="6">
        <v>41884</v>
      </c>
      <c r="BK532" s="4" t="s">
        <v>401</v>
      </c>
      <c r="BM532" s="20">
        <v>37</v>
      </c>
      <c r="BN532" s="20">
        <v>4</v>
      </c>
      <c r="BO532" s="20">
        <v>0</v>
      </c>
      <c r="BP532" s="20">
        <v>0</v>
      </c>
      <c r="BQ532" s="20">
        <v>0</v>
      </c>
      <c r="BR532" s="20">
        <v>0</v>
      </c>
      <c r="BS532" s="20">
        <v>40</v>
      </c>
      <c r="BT532" s="20">
        <v>709970</v>
      </c>
      <c r="BU532" s="20">
        <v>3160000</v>
      </c>
      <c r="BV532" s="20">
        <v>4.0462657192941567</v>
      </c>
    </row>
    <row r="533" spans="1:74">
      <c r="A533" s="10">
        <f t="shared" si="34"/>
        <v>0</v>
      </c>
      <c r="B533" s="10">
        <f t="shared" si="35"/>
        <v>0</v>
      </c>
      <c r="C533" s="12">
        <f t="shared" si="36"/>
        <v>4</v>
      </c>
      <c r="D533" s="12">
        <f t="shared" si="37"/>
        <v>8</v>
      </c>
      <c r="E533" s="20" t="s">
        <v>574</v>
      </c>
      <c r="F533" s="20" t="s">
        <v>665</v>
      </c>
      <c r="G533" s="20" t="s">
        <v>833</v>
      </c>
      <c r="H533" s="20" t="s">
        <v>834</v>
      </c>
      <c r="I533" s="20">
        <v>1</v>
      </c>
      <c r="J533" s="20" t="s">
        <v>835</v>
      </c>
      <c r="K533" s="20" t="s">
        <v>842</v>
      </c>
      <c r="L533" s="20" t="s">
        <v>837</v>
      </c>
      <c r="M533" s="20" t="s">
        <v>671</v>
      </c>
      <c r="N533" s="20" t="s">
        <v>672</v>
      </c>
      <c r="P533" s="20" t="s">
        <v>671</v>
      </c>
      <c r="Q533" s="20" t="s">
        <v>673</v>
      </c>
      <c r="R533" s="20" t="s">
        <v>84</v>
      </c>
      <c r="S533" s="20">
        <v>5</v>
      </c>
      <c r="T533" s="20" t="s">
        <v>635</v>
      </c>
      <c r="U533" s="20" t="s">
        <v>636</v>
      </c>
      <c r="V533" s="20" t="s">
        <v>87</v>
      </c>
      <c r="W533" s="20">
        <v>511</v>
      </c>
      <c r="X533" s="20">
        <v>511</v>
      </c>
      <c r="Y533" s="20" t="s">
        <v>838</v>
      </c>
      <c r="Z533" s="20">
        <v>8.3333333333333329E-2</v>
      </c>
      <c r="AA533" s="20" t="s">
        <v>839</v>
      </c>
      <c r="AB533" s="20" t="s">
        <v>159</v>
      </c>
      <c r="AC533" s="20" t="s">
        <v>160</v>
      </c>
      <c r="AD533" s="20" t="s">
        <v>840</v>
      </c>
      <c r="AE533" s="20" t="s">
        <v>91</v>
      </c>
      <c r="AF533" s="20">
        <v>0.16666666666666666</v>
      </c>
      <c r="AH533" s="20">
        <v>1</v>
      </c>
      <c r="AI533" s="4" t="s">
        <v>645</v>
      </c>
      <c r="AJ533" s="20">
        <v>60</v>
      </c>
      <c r="AK533" s="4" t="s">
        <v>679</v>
      </c>
      <c r="AL533" s="4">
        <v>3</v>
      </c>
      <c r="AM533" s="4" t="s">
        <v>438</v>
      </c>
      <c r="AN533" s="4" t="s">
        <v>95</v>
      </c>
      <c r="AO533" s="4" t="s">
        <v>680</v>
      </c>
      <c r="AP533" s="4">
        <v>1</v>
      </c>
      <c r="AQ533" s="20">
        <v>79000</v>
      </c>
      <c r="AR533" s="4">
        <v>41803</v>
      </c>
      <c r="AS533" s="20">
        <v>15959.595959595958</v>
      </c>
      <c r="AT533" s="20">
        <v>17749.25</v>
      </c>
      <c r="AU533" s="20">
        <v>1789.6540404040425</v>
      </c>
      <c r="AW533" s="20">
        <v>20</v>
      </c>
      <c r="AY533" s="20">
        <v>20</v>
      </c>
      <c r="AZ533" s="20">
        <v>15.35</v>
      </c>
      <c r="BB533" s="6">
        <v>41744</v>
      </c>
      <c r="BD533" s="6">
        <v>41844</v>
      </c>
      <c r="BE533" s="6">
        <v>41859</v>
      </c>
      <c r="BF533" s="6">
        <v>41859</v>
      </c>
      <c r="BG533" s="6">
        <v>41884</v>
      </c>
      <c r="BK533" s="4" t="s">
        <v>401</v>
      </c>
      <c r="BM533" s="20">
        <v>0</v>
      </c>
      <c r="BN533" s="20">
        <v>59</v>
      </c>
      <c r="BO533" s="20">
        <v>0</v>
      </c>
      <c r="BP533" s="20">
        <v>0</v>
      </c>
      <c r="BQ533" s="20">
        <v>0</v>
      </c>
      <c r="BR533" s="20">
        <v>0</v>
      </c>
      <c r="BS533" s="20">
        <v>60</v>
      </c>
      <c r="BT533" s="20">
        <v>1064955</v>
      </c>
      <c r="BU533" s="20">
        <v>4740000</v>
      </c>
      <c r="BV533" s="20">
        <v>4.0462657192941567</v>
      </c>
    </row>
    <row r="534" spans="1:74">
      <c r="A534" s="10">
        <f t="shared" si="34"/>
        <v>0</v>
      </c>
      <c r="B534" s="10">
        <f t="shared" si="35"/>
        <v>0</v>
      </c>
      <c r="C534" s="12">
        <f t="shared" si="36"/>
        <v>4</v>
      </c>
      <c r="D534" s="12">
        <f t="shared" si="37"/>
        <v>8</v>
      </c>
      <c r="E534" s="20" t="s">
        <v>574</v>
      </c>
      <c r="F534" s="20" t="s">
        <v>665</v>
      </c>
      <c r="G534" s="20" t="s">
        <v>833</v>
      </c>
      <c r="H534" s="20" t="s">
        <v>834</v>
      </c>
      <c r="I534" s="20">
        <v>1</v>
      </c>
      <c r="J534" s="20" t="s">
        <v>835</v>
      </c>
      <c r="K534" s="20" t="s">
        <v>843</v>
      </c>
      <c r="L534" s="20" t="s">
        <v>837</v>
      </c>
      <c r="M534" s="20" t="s">
        <v>671</v>
      </c>
      <c r="N534" s="20" t="s">
        <v>672</v>
      </c>
      <c r="P534" s="20" t="s">
        <v>671</v>
      </c>
      <c r="Q534" s="20" t="s">
        <v>673</v>
      </c>
      <c r="R534" s="20" t="s">
        <v>84</v>
      </c>
      <c r="S534" s="20">
        <v>5</v>
      </c>
      <c r="T534" s="20" t="s">
        <v>635</v>
      </c>
      <c r="U534" s="20" t="s">
        <v>636</v>
      </c>
      <c r="V534" s="20" t="s">
        <v>87</v>
      </c>
      <c r="W534" s="20">
        <v>511</v>
      </c>
      <c r="X534" s="20">
        <v>511</v>
      </c>
      <c r="Y534" s="20" t="s">
        <v>838</v>
      </c>
      <c r="Z534" s="20">
        <v>8.3333333333333329E-2</v>
      </c>
      <c r="AA534" s="20" t="s">
        <v>839</v>
      </c>
      <c r="AB534" s="20" t="s">
        <v>159</v>
      </c>
      <c r="AC534" s="20" t="s">
        <v>160</v>
      </c>
      <c r="AD534" s="20" t="s">
        <v>840</v>
      </c>
      <c r="AE534" s="20" t="s">
        <v>91</v>
      </c>
      <c r="AF534" s="20">
        <v>0.16666666666666666</v>
      </c>
      <c r="AH534" s="20">
        <v>1</v>
      </c>
      <c r="AI534" s="4" t="s">
        <v>647</v>
      </c>
      <c r="AJ534" s="20">
        <v>60</v>
      </c>
      <c r="AK534" s="4" t="s">
        <v>679</v>
      </c>
      <c r="AL534" s="4">
        <v>3</v>
      </c>
      <c r="AM534" s="4" t="s">
        <v>438</v>
      </c>
      <c r="AN534" s="4" t="s">
        <v>95</v>
      </c>
      <c r="AO534" s="4" t="s">
        <v>680</v>
      </c>
      <c r="AP534" s="4">
        <v>1</v>
      </c>
      <c r="AQ534" s="20">
        <v>79000</v>
      </c>
      <c r="AR534" s="4">
        <v>41803</v>
      </c>
      <c r="AS534" s="20">
        <v>15959.595959595958</v>
      </c>
      <c r="AT534" s="20">
        <v>17749.25</v>
      </c>
      <c r="AU534" s="20">
        <v>1789.6540404040425</v>
      </c>
      <c r="AW534" s="20">
        <v>20</v>
      </c>
      <c r="AY534" s="20">
        <v>20</v>
      </c>
      <c r="AZ534" s="20">
        <v>15.35</v>
      </c>
      <c r="BB534" s="6">
        <v>41744</v>
      </c>
      <c r="BD534" s="6">
        <v>41844</v>
      </c>
      <c r="BE534" s="6">
        <v>41859</v>
      </c>
      <c r="BF534" s="6">
        <v>41859</v>
      </c>
      <c r="BG534" s="6">
        <v>41884</v>
      </c>
      <c r="BK534" s="4" t="s">
        <v>401</v>
      </c>
      <c r="BM534" s="20">
        <v>57</v>
      </c>
      <c r="BN534" s="20">
        <v>2</v>
      </c>
      <c r="BO534" s="20">
        <v>0</v>
      </c>
      <c r="BP534" s="20">
        <v>0</v>
      </c>
      <c r="BQ534" s="20">
        <v>0</v>
      </c>
      <c r="BR534" s="20">
        <v>0</v>
      </c>
      <c r="BS534" s="20">
        <v>60</v>
      </c>
      <c r="BT534" s="20">
        <v>1064955</v>
      </c>
      <c r="BU534" s="20">
        <v>4740000</v>
      </c>
      <c r="BV534" s="20">
        <v>4.0462657192941567</v>
      </c>
    </row>
    <row r="535" spans="1:74">
      <c r="A535" s="10">
        <f t="shared" si="34"/>
        <v>0</v>
      </c>
      <c r="B535" s="10">
        <f t="shared" si="35"/>
        <v>0</v>
      </c>
      <c r="C535" s="12">
        <f t="shared" si="36"/>
        <v>4</v>
      </c>
      <c r="D535" s="12">
        <f t="shared" si="37"/>
        <v>8</v>
      </c>
      <c r="E535" s="20" t="s">
        <v>574</v>
      </c>
      <c r="F535" s="20" t="s">
        <v>665</v>
      </c>
      <c r="G535" s="20" t="s">
        <v>833</v>
      </c>
      <c r="H535" s="20" t="s">
        <v>834</v>
      </c>
      <c r="I535" s="20">
        <v>1</v>
      </c>
      <c r="J535" s="20" t="s">
        <v>835</v>
      </c>
      <c r="K535" s="20" t="s">
        <v>844</v>
      </c>
      <c r="L535" s="20" t="s">
        <v>837</v>
      </c>
      <c r="M535" s="20" t="s">
        <v>671</v>
      </c>
      <c r="N535" s="20" t="s">
        <v>672</v>
      </c>
      <c r="P535" s="20" t="s">
        <v>671</v>
      </c>
      <c r="Q535" s="20" t="s">
        <v>673</v>
      </c>
      <c r="R535" s="20" t="s">
        <v>84</v>
      </c>
      <c r="S535" s="20">
        <v>5</v>
      </c>
      <c r="T535" s="20" t="s">
        <v>635</v>
      </c>
      <c r="U535" s="20" t="s">
        <v>636</v>
      </c>
      <c r="V535" s="20" t="s">
        <v>87</v>
      </c>
      <c r="W535" s="20">
        <v>511</v>
      </c>
      <c r="X535" s="20">
        <v>511</v>
      </c>
      <c r="Y535" s="20" t="s">
        <v>838</v>
      </c>
      <c r="Z535" s="20">
        <v>8.3333333333333329E-2</v>
      </c>
      <c r="AA535" s="20" t="s">
        <v>839</v>
      </c>
      <c r="AB535" s="20" t="s">
        <v>159</v>
      </c>
      <c r="AC535" s="20" t="s">
        <v>160</v>
      </c>
      <c r="AD535" s="20" t="s">
        <v>840</v>
      </c>
      <c r="AE535" s="20" t="s">
        <v>91</v>
      </c>
      <c r="AF535" s="20">
        <v>0.16666666666666666</v>
      </c>
      <c r="AH535" s="20">
        <v>1</v>
      </c>
      <c r="AI535" s="4" t="s">
        <v>649</v>
      </c>
      <c r="AJ535" s="20">
        <v>45</v>
      </c>
      <c r="AK535" s="4" t="s">
        <v>679</v>
      </c>
      <c r="AL535" s="4">
        <v>3</v>
      </c>
      <c r="AM535" s="4" t="s">
        <v>438</v>
      </c>
      <c r="AN535" s="4" t="s">
        <v>95</v>
      </c>
      <c r="AO535" s="4" t="s">
        <v>680</v>
      </c>
      <c r="AP535" s="4">
        <v>1</v>
      </c>
      <c r="AQ535" s="20">
        <v>79000</v>
      </c>
      <c r="AR535" s="4">
        <v>41803</v>
      </c>
      <c r="AS535" s="20">
        <v>15959.595959595958</v>
      </c>
      <c r="AT535" s="20">
        <v>17749.25</v>
      </c>
      <c r="AU535" s="20">
        <v>1789.6540404040425</v>
      </c>
      <c r="AW535" s="20">
        <v>20</v>
      </c>
      <c r="AY535" s="20">
        <v>20</v>
      </c>
      <c r="AZ535" s="20">
        <v>15.35</v>
      </c>
      <c r="BB535" s="6">
        <v>41744</v>
      </c>
      <c r="BD535" s="6">
        <v>41844</v>
      </c>
      <c r="BE535" s="6">
        <v>41859</v>
      </c>
      <c r="BF535" s="6">
        <v>41859</v>
      </c>
      <c r="BG535" s="6">
        <v>41884</v>
      </c>
      <c r="BK535" s="4" t="s">
        <v>401</v>
      </c>
      <c r="BM535" s="20">
        <v>43</v>
      </c>
      <c r="BN535" s="20">
        <v>2</v>
      </c>
      <c r="BO535" s="20">
        <v>0</v>
      </c>
      <c r="BP535" s="20">
        <v>0</v>
      </c>
      <c r="BQ535" s="20">
        <v>0</v>
      </c>
      <c r="BR535" s="20">
        <v>0</v>
      </c>
      <c r="BS535" s="20">
        <v>45</v>
      </c>
      <c r="BT535" s="20">
        <v>798716.25</v>
      </c>
      <c r="BU535" s="20">
        <v>3555000</v>
      </c>
      <c r="BV535" s="20">
        <v>4.0462657192941567</v>
      </c>
    </row>
    <row r="536" spans="1:74">
      <c r="A536" s="10">
        <f t="shared" si="34"/>
        <v>0</v>
      </c>
      <c r="B536" s="10">
        <f t="shared" si="35"/>
        <v>0</v>
      </c>
      <c r="C536" s="12">
        <f t="shared" si="36"/>
        <v>4</v>
      </c>
      <c r="D536" s="12">
        <f t="shared" si="37"/>
        <v>8</v>
      </c>
      <c r="E536" s="20" t="s">
        <v>574</v>
      </c>
      <c r="F536" s="20" t="s">
        <v>665</v>
      </c>
      <c r="G536" s="20" t="s">
        <v>833</v>
      </c>
      <c r="H536" s="20" t="s">
        <v>834</v>
      </c>
      <c r="I536" s="20">
        <v>1</v>
      </c>
      <c r="J536" s="20" t="s">
        <v>835</v>
      </c>
      <c r="K536" s="20" t="s">
        <v>845</v>
      </c>
      <c r="L536" s="20" t="s">
        <v>837</v>
      </c>
      <c r="M536" s="20" t="s">
        <v>671</v>
      </c>
      <c r="N536" s="20" t="s">
        <v>672</v>
      </c>
      <c r="P536" s="20" t="s">
        <v>671</v>
      </c>
      <c r="Q536" s="20" t="s">
        <v>673</v>
      </c>
      <c r="R536" s="20" t="s">
        <v>84</v>
      </c>
      <c r="S536" s="20">
        <v>5</v>
      </c>
      <c r="T536" s="20" t="s">
        <v>635</v>
      </c>
      <c r="U536" s="20" t="s">
        <v>636</v>
      </c>
      <c r="V536" s="20" t="s">
        <v>87</v>
      </c>
      <c r="W536" s="20">
        <v>511</v>
      </c>
      <c r="X536" s="20">
        <v>511</v>
      </c>
      <c r="Y536" s="20" t="s">
        <v>838</v>
      </c>
      <c r="Z536" s="20">
        <v>8.3333333333333329E-2</v>
      </c>
      <c r="AA536" s="20" t="s">
        <v>839</v>
      </c>
      <c r="AB536" s="20" t="s">
        <v>159</v>
      </c>
      <c r="AC536" s="20" t="s">
        <v>160</v>
      </c>
      <c r="AD536" s="20" t="s">
        <v>840</v>
      </c>
      <c r="AE536" s="20" t="s">
        <v>91</v>
      </c>
      <c r="AF536" s="20">
        <v>0.16666666666666666</v>
      </c>
      <c r="AH536" s="20">
        <v>1</v>
      </c>
      <c r="AI536" s="4" t="s">
        <v>651</v>
      </c>
      <c r="AJ536" s="20">
        <v>45</v>
      </c>
      <c r="AK536" s="4" t="s">
        <v>679</v>
      </c>
      <c r="AL536" s="4">
        <v>3</v>
      </c>
      <c r="AM536" s="4" t="s">
        <v>438</v>
      </c>
      <c r="AN536" s="4" t="s">
        <v>95</v>
      </c>
      <c r="AO536" s="4" t="s">
        <v>680</v>
      </c>
      <c r="AP536" s="4">
        <v>1</v>
      </c>
      <c r="AQ536" s="20">
        <v>79000</v>
      </c>
      <c r="AR536" s="4">
        <v>41803</v>
      </c>
      <c r="AS536" s="20">
        <v>15959.595959595958</v>
      </c>
      <c r="AT536" s="20">
        <v>17749.25</v>
      </c>
      <c r="AU536" s="20">
        <v>1789.6540404040425</v>
      </c>
      <c r="AW536" s="20">
        <v>20</v>
      </c>
      <c r="AY536" s="20">
        <v>20</v>
      </c>
      <c r="AZ536" s="20">
        <v>15.35</v>
      </c>
      <c r="BB536" s="6">
        <v>41744</v>
      </c>
      <c r="BD536" s="6">
        <v>41844</v>
      </c>
      <c r="BE536" s="6">
        <v>41859</v>
      </c>
      <c r="BF536" s="6">
        <v>41859</v>
      </c>
      <c r="BG536" s="6">
        <v>41884</v>
      </c>
      <c r="BK536" s="4" t="s">
        <v>401</v>
      </c>
      <c r="BM536" s="20">
        <v>36</v>
      </c>
      <c r="BN536" s="20">
        <v>9</v>
      </c>
      <c r="BO536" s="20">
        <v>0</v>
      </c>
      <c r="BP536" s="20">
        <v>0</v>
      </c>
      <c r="BQ536" s="20">
        <v>0</v>
      </c>
      <c r="BR536" s="20">
        <v>0</v>
      </c>
      <c r="BS536" s="20">
        <v>45</v>
      </c>
      <c r="BT536" s="20">
        <v>798716.25</v>
      </c>
      <c r="BU536" s="20">
        <v>3555000</v>
      </c>
      <c r="BV536" s="20">
        <v>4.0462657192941567</v>
      </c>
    </row>
    <row r="537" spans="1:74">
      <c r="A537" s="10">
        <f t="shared" si="34"/>
        <v>0</v>
      </c>
      <c r="B537" s="10">
        <f t="shared" si="35"/>
        <v>0</v>
      </c>
      <c r="C537" s="12">
        <f t="shared" si="36"/>
        <v>4</v>
      </c>
      <c r="D537" s="12">
        <f t="shared" si="37"/>
        <v>8</v>
      </c>
      <c r="E537" s="20" t="s">
        <v>574</v>
      </c>
      <c r="F537" s="20" t="s">
        <v>665</v>
      </c>
      <c r="G537" s="20" t="s">
        <v>833</v>
      </c>
      <c r="H537" s="20" t="s">
        <v>846</v>
      </c>
      <c r="I537" s="20">
        <v>2</v>
      </c>
      <c r="J537" s="20" t="s">
        <v>847</v>
      </c>
      <c r="K537" s="20" t="s">
        <v>848</v>
      </c>
      <c r="L537" s="20" t="s">
        <v>837</v>
      </c>
      <c r="M537" s="20" t="s">
        <v>671</v>
      </c>
      <c r="N537" s="20" t="s">
        <v>672</v>
      </c>
      <c r="P537" s="20" t="s">
        <v>671</v>
      </c>
      <c r="Q537" s="20" t="s">
        <v>673</v>
      </c>
      <c r="R537" s="20" t="s">
        <v>84</v>
      </c>
      <c r="S537" s="20">
        <v>5</v>
      </c>
      <c r="T537" s="20" t="s">
        <v>635</v>
      </c>
      <c r="U537" s="20" t="s">
        <v>636</v>
      </c>
      <c r="V537" s="20" t="s">
        <v>87</v>
      </c>
      <c r="W537" s="20">
        <v>511</v>
      </c>
      <c r="X537" s="20">
        <v>511</v>
      </c>
      <c r="Y537" s="20" t="s">
        <v>838</v>
      </c>
      <c r="Z537" s="20">
        <v>8.3333333333333329E-2</v>
      </c>
      <c r="AA537" s="20" t="s">
        <v>849</v>
      </c>
      <c r="AB537" s="20" t="s">
        <v>101</v>
      </c>
      <c r="AC537" s="20" t="s">
        <v>102</v>
      </c>
      <c r="AD537" s="20" t="s">
        <v>850</v>
      </c>
      <c r="AE537" s="20" t="s">
        <v>91</v>
      </c>
      <c r="AF537" s="20">
        <v>0.16666666666666666</v>
      </c>
      <c r="AH537" s="20">
        <v>1</v>
      </c>
      <c r="AI537" s="4" t="s">
        <v>640</v>
      </c>
      <c r="AJ537" s="20">
        <v>150</v>
      </c>
      <c r="AK537" s="4" t="s">
        <v>679</v>
      </c>
      <c r="AL537" s="4">
        <v>3</v>
      </c>
      <c r="AM537" s="4" t="s">
        <v>438</v>
      </c>
      <c r="AN537" s="4" t="s">
        <v>95</v>
      </c>
      <c r="AO537" s="4" t="s">
        <v>680</v>
      </c>
      <c r="AP537" s="4">
        <v>1</v>
      </c>
      <c r="AQ537" s="20">
        <v>79000</v>
      </c>
      <c r="AR537" s="4">
        <v>41803</v>
      </c>
      <c r="AS537" s="20">
        <v>15959.595959595958</v>
      </c>
      <c r="AT537" s="20">
        <v>17749.25</v>
      </c>
      <c r="AU537" s="20">
        <v>1789.6540404040425</v>
      </c>
      <c r="AW537" s="20">
        <v>20</v>
      </c>
      <c r="AY537" s="20">
        <v>20</v>
      </c>
      <c r="AZ537" s="20">
        <v>15.35</v>
      </c>
      <c r="BB537" s="6">
        <v>41744</v>
      </c>
      <c r="BD537" s="6">
        <v>41844</v>
      </c>
      <c r="BE537" s="6">
        <v>41859</v>
      </c>
      <c r="BF537" s="6">
        <v>41859</v>
      </c>
      <c r="BG537" s="6">
        <v>41884</v>
      </c>
      <c r="BK537" s="4" t="s">
        <v>401</v>
      </c>
      <c r="BM537" s="20">
        <v>148</v>
      </c>
      <c r="BN537" s="20">
        <v>2</v>
      </c>
      <c r="BO537" s="20">
        <v>0</v>
      </c>
      <c r="BP537" s="20">
        <v>0</v>
      </c>
      <c r="BQ537" s="20">
        <v>0</v>
      </c>
      <c r="BR537" s="20">
        <v>0</v>
      </c>
      <c r="BS537" s="20">
        <v>150</v>
      </c>
      <c r="BT537" s="20">
        <v>2662387.5</v>
      </c>
      <c r="BU537" s="20">
        <v>11850000</v>
      </c>
      <c r="BV537" s="20">
        <v>4.0462657192941567</v>
      </c>
    </row>
    <row r="538" spans="1:74">
      <c r="A538" s="10">
        <f t="shared" si="34"/>
        <v>0</v>
      </c>
      <c r="B538" s="10">
        <f t="shared" si="35"/>
        <v>0</v>
      </c>
      <c r="C538" s="12">
        <f t="shared" si="36"/>
        <v>4</v>
      </c>
      <c r="D538" s="12">
        <f t="shared" si="37"/>
        <v>8</v>
      </c>
      <c r="E538" s="20" t="s">
        <v>574</v>
      </c>
      <c r="F538" s="20" t="s">
        <v>665</v>
      </c>
      <c r="G538" s="20" t="s">
        <v>833</v>
      </c>
      <c r="H538" s="20" t="s">
        <v>846</v>
      </c>
      <c r="I538" s="20">
        <v>2</v>
      </c>
      <c r="J538" s="20" t="s">
        <v>847</v>
      </c>
      <c r="K538" s="20" t="s">
        <v>851</v>
      </c>
      <c r="L538" s="20" t="s">
        <v>837</v>
      </c>
      <c r="M538" s="20" t="s">
        <v>671</v>
      </c>
      <c r="N538" s="20" t="s">
        <v>672</v>
      </c>
      <c r="P538" s="20" t="s">
        <v>671</v>
      </c>
      <c r="Q538" s="20" t="s">
        <v>673</v>
      </c>
      <c r="R538" s="20" t="s">
        <v>84</v>
      </c>
      <c r="S538" s="20">
        <v>5</v>
      </c>
      <c r="T538" s="20" t="s">
        <v>635</v>
      </c>
      <c r="U538" s="20" t="s">
        <v>636</v>
      </c>
      <c r="V538" s="20" t="s">
        <v>87</v>
      </c>
      <c r="W538" s="20">
        <v>511</v>
      </c>
      <c r="X538" s="20">
        <v>511</v>
      </c>
      <c r="Y538" s="20" t="s">
        <v>838</v>
      </c>
      <c r="Z538" s="20">
        <v>8.3333333333333329E-2</v>
      </c>
      <c r="AA538" s="20" t="s">
        <v>849</v>
      </c>
      <c r="AB538" s="20" t="s">
        <v>101</v>
      </c>
      <c r="AC538" s="20" t="s">
        <v>102</v>
      </c>
      <c r="AD538" s="20" t="s">
        <v>850</v>
      </c>
      <c r="AE538" s="20" t="s">
        <v>91</v>
      </c>
      <c r="AF538" s="20">
        <v>0.16666666666666666</v>
      </c>
      <c r="AH538" s="20">
        <v>1</v>
      </c>
      <c r="AI538" s="4" t="s">
        <v>643</v>
      </c>
      <c r="AJ538" s="20">
        <v>40</v>
      </c>
      <c r="AK538" s="4" t="s">
        <v>679</v>
      </c>
      <c r="AL538" s="4">
        <v>3</v>
      </c>
      <c r="AM538" s="4" t="s">
        <v>438</v>
      </c>
      <c r="AN538" s="4" t="s">
        <v>95</v>
      </c>
      <c r="AO538" s="4" t="s">
        <v>680</v>
      </c>
      <c r="AP538" s="4">
        <v>1</v>
      </c>
      <c r="AQ538" s="20">
        <v>79000</v>
      </c>
      <c r="AR538" s="4">
        <v>41803</v>
      </c>
      <c r="AS538" s="20">
        <v>15959.595959595958</v>
      </c>
      <c r="AT538" s="20">
        <v>17749.25</v>
      </c>
      <c r="AU538" s="20">
        <v>1789.6540404040425</v>
      </c>
      <c r="AW538" s="20">
        <v>20</v>
      </c>
      <c r="AY538" s="20">
        <v>20</v>
      </c>
      <c r="AZ538" s="20">
        <v>15.35</v>
      </c>
      <c r="BB538" s="6">
        <v>41744</v>
      </c>
      <c r="BD538" s="6">
        <v>41844</v>
      </c>
      <c r="BE538" s="6">
        <v>41859</v>
      </c>
      <c r="BF538" s="6">
        <v>41859</v>
      </c>
      <c r="BG538" s="6">
        <v>41884</v>
      </c>
      <c r="BK538" s="4" t="s">
        <v>401</v>
      </c>
      <c r="BM538" s="20">
        <v>37</v>
      </c>
      <c r="BN538" s="20">
        <v>2</v>
      </c>
      <c r="BO538" s="20">
        <v>0</v>
      </c>
      <c r="BP538" s="20">
        <v>0</v>
      </c>
      <c r="BQ538" s="20">
        <v>0</v>
      </c>
      <c r="BR538" s="20">
        <v>0</v>
      </c>
      <c r="BS538" s="20">
        <v>40</v>
      </c>
      <c r="BT538" s="20">
        <v>709970</v>
      </c>
      <c r="BU538" s="20">
        <v>3160000</v>
      </c>
      <c r="BV538" s="20">
        <v>4.0462657192941567</v>
      </c>
    </row>
    <row r="539" spans="1:74">
      <c r="A539" s="10">
        <f t="shared" si="34"/>
        <v>0</v>
      </c>
      <c r="B539" s="10">
        <f t="shared" si="35"/>
        <v>0</v>
      </c>
      <c r="C539" s="12">
        <f t="shared" si="36"/>
        <v>4</v>
      </c>
      <c r="D539" s="12">
        <f t="shared" si="37"/>
        <v>8</v>
      </c>
      <c r="E539" s="20" t="s">
        <v>574</v>
      </c>
      <c r="F539" s="20" t="s">
        <v>665</v>
      </c>
      <c r="G539" s="20" t="s">
        <v>833</v>
      </c>
      <c r="H539" s="20" t="s">
        <v>846</v>
      </c>
      <c r="I539" s="20">
        <v>2</v>
      </c>
      <c r="J539" s="20" t="s">
        <v>847</v>
      </c>
      <c r="K539" s="20" t="s">
        <v>852</v>
      </c>
      <c r="L539" s="20" t="s">
        <v>837</v>
      </c>
      <c r="M539" s="20" t="s">
        <v>671</v>
      </c>
      <c r="N539" s="20" t="s">
        <v>672</v>
      </c>
      <c r="P539" s="20" t="s">
        <v>671</v>
      </c>
      <c r="Q539" s="20" t="s">
        <v>673</v>
      </c>
      <c r="R539" s="20" t="s">
        <v>84</v>
      </c>
      <c r="S539" s="20">
        <v>5</v>
      </c>
      <c r="T539" s="20" t="s">
        <v>635</v>
      </c>
      <c r="U539" s="20" t="s">
        <v>636</v>
      </c>
      <c r="V539" s="20" t="s">
        <v>87</v>
      </c>
      <c r="W539" s="20">
        <v>511</v>
      </c>
      <c r="X539" s="20">
        <v>511</v>
      </c>
      <c r="Y539" s="20" t="s">
        <v>838</v>
      </c>
      <c r="Z539" s="20">
        <v>8.3333333333333329E-2</v>
      </c>
      <c r="AA539" s="20" t="s">
        <v>849</v>
      </c>
      <c r="AB539" s="20" t="s">
        <v>101</v>
      </c>
      <c r="AC539" s="20" t="s">
        <v>102</v>
      </c>
      <c r="AD539" s="20" t="s">
        <v>850</v>
      </c>
      <c r="AE539" s="20" t="s">
        <v>91</v>
      </c>
      <c r="AF539" s="20">
        <v>0.16666666666666666</v>
      </c>
      <c r="AH539" s="20">
        <v>1</v>
      </c>
      <c r="AI539" s="4" t="s">
        <v>645</v>
      </c>
      <c r="AJ539" s="20">
        <v>60</v>
      </c>
      <c r="AK539" s="4" t="s">
        <v>679</v>
      </c>
      <c r="AL539" s="4">
        <v>3</v>
      </c>
      <c r="AM539" s="4" t="s">
        <v>438</v>
      </c>
      <c r="AN539" s="4" t="s">
        <v>95</v>
      </c>
      <c r="AO539" s="4" t="s">
        <v>680</v>
      </c>
      <c r="AP539" s="4">
        <v>1</v>
      </c>
      <c r="AQ539" s="20">
        <v>79000</v>
      </c>
      <c r="AR539" s="4">
        <v>41803</v>
      </c>
      <c r="AS539" s="20">
        <v>15959.595959595958</v>
      </c>
      <c r="AT539" s="20">
        <v>17749.25</v>
      </c>
      <c r="AU539" s="20">
        <v>1789.6540404040425</v>
      </c>
      <c r="AW539" s="20">
        <v>20</v>
      </c>
      <c r="AY539" s="20">
        <v>20</v>
      </c>
      <c r="AZ539" s="20">
        <v>15.35</v>
      </c>
      <c r="BB539" s="6">
        <v>41744</v>
      </c>
      <c r="BD539" s="6">
        <v>41844</v>
      </c>
      <c r="BE539" s="6">
        <v>41859</v>
      </c>
      <c r="BF539" s="6">
        <v>41859</v>
      </c>
      <c r="BG539" s="6">
        <v>41884</v>
      </c>
      <c r="BK539" s="4" t="s">
        <v>401</v>
      </c>
      <c r="BM539" s="20">
        <v>0</v>
      </c>
      <c r="BN539" s="20">
        <v>60</v>
      </c>
      <c r="BO539" s="20">
        <v>0</v>
      </c>
      <c r="BP539" s="20">
        <v>0</v>
      </c>
      <c r="BQ539" s="20">
        <v>0</v>
      </c>
      <c r="BR539" s="20">
        <v>0</v>
      </c>
      <c r="BS539" s="20">
        <v>60</v>
      </c>
      <c r="BT539" s="20">
        <v>1064955</v>
      </c>
      <c r="BU539" s="20">
        <v>4740000</v>
      </c>
      <c r="BV539" s="20">
        <v>4.0462657192941567</v>
      </c>
    </row>
    <row r="540" spans="1:74">
      <c r="A540" s="10">
        <f t="shared" si="34"/>
        <v>0</v>
      </c>
      <c r="B540" s="10">
        <f t="shared" si="35"/>
        <v>0</v>
      </c>
      <c r="C540" s="12">
        <f t="shared" si="36"/>
        <v>4</v>
      </c>
      <c r="D540" s="12">
        <f t="shared" si="37"/>
        <v>8</v>
      </c>
      <c r="E540" s="20" t="s">
        <v>574</v>
      </c>
      <c r="F540" s="20" t="s">
        <v>665</v>
      </c>
      <c r="G540" s="20" t="s">
        <v>833</v>
      </c>
      <c r="H540" s="20" t="s">
        <v>846</v>
      </c>
      <c r="I540" s="20">
        <v>2</v>
      </c>
      <c r="J540" s="20" t="s">
        <v>847</v>
      </c>
      <c r="K540" s="20" t="s">
        <v>853</v>
      </c>
      <c r="L540" s="20" t="s">
        <v>837</v>
      </c>
      <c r="M540" s="20" t="s">
        <v>671</v>
      </c>
      <c r="N540" s="20" t="s">
        <v>672</v>
      </c>
      <c r="P540" s="20" t="s">
        <v>671</v>
      </c>
      <c r="Q540" s="20" t="s">
        <v>673</v>
      </c>
      <c r="R540" s="20" t="s">
        <v>84</v>
      </c>
      <c r="S540" s="20">
        <v>5</v>
      </c>
      <c r="T540" s="20" t="s">
        <v>635</v>
      </c>
      <c r="U540" s="20" t="s">
        <v>636</v>
      </c>
      <c r="V540" s="20" t="s">
        <v>87</v>
      </c>
      <c r="W540" s="20">
        <v>511</v>
      </c>
      <c r="X540" s="20">
        <v>511</v>
      </c>
      <c r="Y540" s="20" t="s">
        <v>838</v>
      </c>
      <c r="Z540" s="20">
        <v>8.3333333333333329E-2</v>
      </c>
      <c r="AA540" s="20" t="s">
        <v>849</v>
      </c>
      <c r="AB540" s="20" t="s">
        <v>101</v>
      </c>
      <c r="AC540" s="20" t="s">
        <v>102</v>
      </c>
      <c r="AD540" s="20" t="s">
        <v>850</v>
      </c>
      <c r="AE540" s="20" t="s">
        <v>91</v>
      </c>
      <c r="AF540" s="20">
        <v>0.16666666666666666</v>
      </c>
      <c r="AH540" s="20">
        <v>1</v>
      </c>
      <c r="AI540" s="4" t="s">
        <v>647</v>
      </c>
      <c r="AJ540" s="20">
        <v>60</v>
      </c>
      <c r="AK540" s="4" t="s">
        <v>679</v>
      </c>
      <c r="AL540" s="4">
        <v>3</v>
      </c>
      <c r="AM540" s="4" t="s">
        <v>438</v>
      </c>
      <c r="AN540" s="4" t="s">
        <v>95</v>
      </c>
      <c r="AO540" s="4" t="s">
        <v>680</v>
      </c>
      <c r="AP540" s="4">
        <v>1</v>
      </c>
      <c r="AQ540" s="20">
        <v>79000</v>
      </c>
      <c r="AR540" s="4">
        <v>41803</v>
      </c>
      <c r="AS540" s="20">
        <v>15959.595959595958</v>
      </c>
      <c r="AT540" s="20">
        <v>17749.25</v>
      </c>
      <c r="AU540" s="20">
        <v>1789.6540404040425</v>
      </c>
      <c r="AW540" s="20">
        <v>20</v>
      </c>
      <c r="AY540" s="20">
        <v>20</v>
      </c>
      <c r="AZ540" s="20">
        <v>15.35</v>
      </c>
      <c r="BB540" s="6">
        <v>41744</v>
      </c>
      <c r="BD540" s="6">
        <v>41844</v>
      </c>
      <c r="BE540" s="6">
        <v>41859</v>
      </c>
      <c r="BF540" s="6">
        <v>41859</v>
      </c>
      <c r="BG540" s="6">
        <v>41884</v>
      </c>
      <c r="BK540" s="4" t="s">
        <v>401</v>
      </c>
      <c r="BM540" s="20">
        <v>0</v>
      </c>
      <c r="BN540" s="20">
        <v>60</v>
      </c>
      <c r="BO540" s="20">
        <v>0</v>
      </c>
      <c r="BP540" s="20">
        <v>0</v>
      </c>
      <c r="BQ540" s="20">
        <v>0</v>
      </c>
      <c r="BR540" s="20">
        <v>0</v>
      </c>
      <c r="BS540" s="20">
        <v>60</v>
      </c>
      <c r="BT540" s="20">
        <v>1064955</v>
      </c>
      <c r="BU540" s="20">
        <v>4740000</v>
      </c>
      <c r="BV540" s="20">
        <v>4.0462657192941567</v>
      </c>
    </row>
    <row r="541" spans="1:74">
      <c r="A541" s="10">
        <f t="shared" si="34"/>
        <v>0</v>
      </c>
      <c r="B541" s="10">
        <f t="shared" si="35"/>
        <v>0</v>
      </c>
      <c r="C541" s="12">
        <f t="shared" si="36"/>
        <v>4</v>
      </c>
      <c r="D541" s="12">
        <f t="shared" si="37"/>
        <v>8</v>
      </c>
      <c r="E541" s="20" t="s">
        <v>574</v>
      </c>
      <c r="F541" s="20" t="s">
        <v>665</v>
      </c>
      <c r="G541" s="20" t="s">
        <v>833</v>
      </c>
      <c r="H541" s="20" t="s">
        <v>846</v>
      </c>
      <c r="I541" s="20">
        <v>2</v>
      </c>
      <c r="J541" s="20" t="s">
        <v>847</v>
      </c>
      <c r="K541" s="20" t="s">
        <v>854</v>
      </c>
      <c r="L541" s="20" t="s">
        <v>837</v>
      </c>
      <c r="M541" s="20" t="s">
        <v>671</v>
      </c>
      <c r="N541" s="20" t="s">
        <v>672</v>
      </c>
      <c r="P541" s="20" t="s">
        <v>671</v>
      </c>
      <c r="Q541" s="20" t="s">
        <v>673</v>
      </c>
      <c r="R541" s="20" t="s">
        <v>84</v>
      </c>
      <c r="S541" s="20">
        <v>5</v>
      </c>
      <c r="T541" s="20" t="s">
        <v>635</v>
      </c>
      <c r="U541" s="20" t="s">
        <v>636</v>
      </c>
      <c r="V541" s="20" t="s">
        <v>87</v>
      </c>
      <c r="W541" s="20">
        <v>511</v>
      </c>
      <c r="X541" s="20">
        <v>511</v>
      </c>
      <c r="Y541" s="20" t="s">
        <v>838</v>
      </c>
      <c r="Z541" s="20">
        <v>8.3333333333333329E-2</v>
      </c>
      <c r="AA541" s="20" t="s">
        <v>849</v>
      </c>
      <c r="AB541" s="20" t="s">
        <v>101</v>
      </c>
      <c r="AC541" s="20" t="s">
        <v>102</v>
      </c>
      <c r="AD541" s="20" t="s">
        <v>850</v>
      </c>
      <c r="AE541" s="20" t="s">
        <v>91</v>
      </c>
      <c r="AF541" s="20">
        <v>0.16666666666666666</v>
      </c>
      <c r="AH541" s="20">
        <v>1</v>
      </c>
      <c r="AI541" s="4" t="s">
        <v>649</v>
      </c>
      <c r="AJ541" s="20">
        <v>45</v>
      </c>
      <c r="AK541" s="4" t="s">
        <v>679</v>
      </c>
      <c r="AL541" s="4">
        <v>3</v>
      </c>
      <c r="AM541" s="4" t="s">
        <v>438</v>
      </c>
      <c r="AN541" s="4" t="s">
        <v>95</v>
      </c>
      <c r="AO541" s="4" t="s">
        <v>680</v>
      </c>
      <c r="AP541" s="4">
        <v>1</v>
      </c>
      <c r="AQ541" s="20">
        <v>79000</v>
      </c>
      <c r="AR541" s="4">
        <v>41803</v>
      </c>
      <c r="AS541" s="20">
        <v>15959.595959595958</v>
      </c>
      <c r="AT541" s="20">
        <v>17749.25</v>
      </c>
      <c r="AU541" s="20">
        <v>1789.6540404040425</v>
      </c>
      <c r="AW541" s="20">
        <v>20</v>
      </c>
      <c r="AY541" s="20">
        <v>20</v>
      </c>
      <c r="AZ541" s="20">
        <v>15.35</v>
      </c>
      <c r="BB541" s="6">
        <v>41744</v>
      </c>
      <c r="BD541" s="6">
        <v>41844</v>
      </c>
      <c r="BE541" s="6">
        <v>41859</v>
      </c>
      <c r="BF541" s="6">
        <v>41859</v>
      </c>
      <c r="BG541" s="6">
        <v>41884</v>
      </c>
      <c r="BK541" s="4" t="s">
        <v>401</v>
      </c>
      <c r="BM541" s="20">
        <v>25</v>
      </c>
      <c r="BN541" s="20">
        <v>20</v>
      </c>
      <c r="BO541" s="20">
        <v>0</v>
      </c>
      <c r="BP541" s="20">
        <v>0</v>
      </c>
      <c r="BQ541" s="20">
        <v>0</v>
      </c>
      <c r="BR541" s="20">
        <v>0</v>
      </c>
      <c r="BS541" s="20">
        <v>45</v>
      </c>
      <c r="BT541" s="20">
        <v>798716.25</v>
      </c>
      <c r="BU541" s="20">
        <v>3555000</v>
      </c>
      <c r="BV541" s="20">
        <v>4.0462657192941567</v>
      </c>
    </row>
    <row r="542" spans="1:74">
      <c r="A542" s="10">
        <f t="shared" si="34"/>
        <v>0</v>
      </c>
      <c r="B542" s="10">
        <f t="shared" si="35"/>
        <v>0</v>
      </c>
      <c r="C542" s="12">
        <f t="shared" si="36"/>
        <v>4</v>
      </c>
      <c r="D542" s="12">
        <f t="shared" si="37"/>
        <v>8</v>
      </c>
      <c r="E542" s="20" t="s">
        <v>574</v>
      </c>
      <c r="F542" s="20" t="s">
        <v>665</v>
      </c>
      <c r="G542" s="20" t="s">
        <v>833</v>
      </c>
      <c r="H542" s="20" t="s">
        <v>846</v>
      </c>
      <c r="I542" s="20">
        <v>2</v>
      </c>
      <c r="J542" s="20" t="s">
        <v>847</v>
      </c>
      <c r="K542" s="20" t="s">
        <v>855</v>
      </c>
      <c r="L542" s="20" t="s">
        <v>837</v>
      </c>
      <c r="M542" s="20" t="s">
        <v>671</v>
      </c>
      <c r="N542" s="20" t="s">
        <v>672</v>
      </c>
      <c r="P542" s="20" t="s">
        <v>671</v>
      </c>
      <c r="Q542" s="20" t="s">
        <v>673</v>
      </c>
      <c r="R542" s="20" t="s">
        <v>84</v>
      </c>
      <c r="S542" s="20">
        <v>5</v>
      </c>
      <c r="T542" s="20" t="s">
        <v>635</v>
      </c>
      <c r="U542" s="20" t="s">
        <v>636</v>
      </c>
      <c r="V542" s="20" t="s">
        <v>87</v>
      </c>
      <c r="W542" s="20">
        <v>511</v>
      </c>
      <c r="X542" s="20">
        <v>511</v>
      </c>
      <c r="Y542" s="20" t="s">
        <v>838</v>
      </c>
      <c r="Z542" s="20">
        <v>8.3333333333333329E-2</v>
      </c>
      <c r="AA542" s="20" t="s">
        <v>849</v>
      </c>
      <c r="AB542" s="20" t="s">
        <v>101</v>
      </c>
      <c r="AC542" s="20" t="s">
        <v>102</v>
      </c>
      <c r="AD542" s="20" t="s">
        <v>850</v>
      </c>
      <c r="AE542" s="20" t="s">
        <v>91</v>
      </c>
      <c r="AF542" s="20">
        <v>0.16666666666666666</v>
      </c>
      <c r="AH542" s="20">
        <v>1</v>
      </c>
      <c r="AI542" s="4" t="s">
        <v>651</v>
      </c>
      <c r="AJ542" s="20">
        <v>45</v>
      </c>
      <c r="AK542" s="4" t="s">
        <v>679</v>
      </c>
      <c r="AL542" s="4">
        <v>3</v>
      </c>
      <c r="AM542" s="4" t="s">
        <v>438</v>
      </c>
      <c r="AN542" s="4" t="s">
        <v>95</v>
      </c>
      <c r="AO542" s="4" t="s">
        <v>680</v>
      </c>
      <c r="AP542" s="4">
        <v>1</v>
      </c>
      <c r="AQ542" s="20">
        <v>79000</v>
      </c>
      <c r="AR542" s="4">
        <v>41803</v>
      </c>
      <c r="AS542" s="20">
        <v>15959.595959595958</v>
      </c>
      <c r="AT542" s="20">
        <v>17749.25</v>
      </c>
      <c r="AU542" s="20">
        <v>1789.6540404040425</v>
      </c>
      <c r="AW542" s="20">
        <v>20</v>
      </c>
      <c r="AY542" s="20">
        <v>20</v>
      </c>
      <c r="AZ542" s="20">
        <v>15.35</v>
      </c>
      <c r="BB542" s="6">
        <v>41744</v>
      </c>
      <c r="BD542" s="6">
        <v>41844</v>
      </c>
      <c r="BE542" s="6">
        <v>41859</v>
      </c>
      <c r="BF542" s="6">
        <v>41859</v>
      </c>
      <c r="BG542" s="6">
        <v>41884</v>
      </c>
      <c r="BK542" s="4" t="s">
        <v>401</v>
      </c>
      <c r="BM542" s="20">
        <v>31</v>
      </c>
      <c r="BN542" s="20">
        <v>14</v>
      </c>
      <c r="BO542" s="20">
        <v>0</v>
      </c>
      <c r="BP542" s="20">
        <v>0</v>
      </c>
      <c r="BQ542" s="20">
        <v>0</v>
      </c>
      <c r="BR542" s="20">
        <v>0</v>
      </c>
      <c r="BS542" s="20">
        <v>45</v>
      </c>
      <c r="BT542" s="20">
        <v>798716.25</v>
      </c>
      <c r="BU542" s="20">
        <v>3555000</v>
      </c>
      <c r="BV542" s="20">
        <v>4.0462657192941567</v>
      </c>
    </row>
    <row r="543" spans="1:74">
      <c r="A543" s="10">
        <f t="shared" si="34"/>
        <v>0</v>
      </c>
      <c r="B543" s="10">
        <f t="shared" si="35"/>
        <v>0</v>
      </c>
      <c r="C543" s="12">
        <f t="shared" si="36"/>
        <v>4</v>
      </c>
      <c r="D543" s="12">
        <f t="shared" si="37"/>
        <v>9</v>
      </c>
      <c r="E543" s="20" t="s">
        <v>574</v>
      </c>
      <c r="F543" s="20" t="s">
        <v>665</v>
      </c>
      <c r="G543" s="20" t="s">
        <v>833</v>
      </c>
      <c r="H543" s="20" t="s">
        <v>856</v>
      </c>
      <c r="I543" s="20">
        <v>3</v>
      </c>
      <c r="J543" s="20" t="s">
        <v>857</v>
      </c>
      <c r="K543" s="20" t="s">
        <v>858</v>
      </c>
      <c r="L543" s="20" t="s">
        <v>859</v>
      </c>
      <c r="M543" s="20" t="s">
        <v>671</v>
      </c>
      <c r="N543" s="20" t="s">
        <v>672</v>
      </c>
      <c r="P543" s="20" t="s">
        <v>671</v>
      </c>
      <c r="Q543" s="20" t="s">
        <v>673</v>
      </c>
      <c r="R543" s="20" t="s">
        <v>84</v>
      </c>
      <c r="S543" s="20">
        <v>5</v>
      </c>
      <c r="T543" s="20" t="s">
        <v>860</v>
      </c>
      <c r="U543" s="20" t="s">
        <v>861</v>
      </c>
      <c r="V543" s="20" t="s">
        <v>87</v>
      </c>
      <c r="W543" s="20">
        <v>513</v>
      </c>
      <c r="X543" s="20">
        <v>513</v>
      </c>
      <c r="Y543" s="20" t="s">
        <v>862</v>
      </c>
      <c r="Z543" s="20">
        <v>0.16666666666666666</v>
      </c>
      <c r="AA543" s="20" t="s">
        <v>863</v>
      </c>
      <c r="AB543" s="20" t="s">
        <v>159</v>
      </c>
      <c r="AC543" s="20" t="s">
        <v>160</v>
      </c>
      <c r="AD543" s="20" t="s">
        <v>864</v>
      </c>
      <c r="AE543" s="20" t="s">
        <v>91</v>
      </c>
      <c r="AF543" s="20">
        <v>0.16666666666666666</v>
      </c>
      <c r="AH543" s="20">
        <v>1</v>
      </c>
      <c r="AI543" s="4" t="s">
        <v>640</v>
      </c>
      <c r="AJ543" s="20">
        <v>150</v>
      </c>
      <c r="AK543" s="4" t="s">
        <v>679</v>
      </c>
      <c r="AL543" s="4">
        <v>3</v>
      </c>
      <c r="AM543" s="4" t="s">
        <v>438</v>
      </c>
      <c r="AN543" s="4" t="s">
        <v>95</v>
      </c>
      <c r="AO543" s="4" t="s">
        <v>680</v>
      </c>
      <c r="AP543" s="4">
        <v>1</v>
      </c>
      <c r="AQ543" s="20">
        <v>119000</v>
      </c>
      <c r="AR543" s="4">
        <v>41803</v>
      </c>
      <c r="AS543" s="20">
        <v>24040.404040404039</v>
      </c>
      <c r="AT543" s="20">
        <v>24044.000000000004</v>
      </c>
      <c r="AU543" s="20">
        <v>3.5959595959648141</v>
      </c>
      <c r="AW543" s="20">
        <v>20</v>
      </c>
      <c r="AY543" s="20">
        <v>20</v>
      </c>
      <c r="AZ543" s="20">
        <v>20.8</v>
      </c>
      <c r="BB543" s="6">
        <v>41744</v>
      </c>
      <c r="BD543" s="6">
        <v>41844</v>
      </c>
      <c r="BE543" s="6">
        <v>41859</v>
      </c>
      <c r="BF543" s="6">
        <v>41884</v>
      </c>
      <c r="BK543" s="4" t="s">
        <v>401</v>
      </c>
      <c r="BM543" s="20">
        <v>150</v>
      </c>
      <c r="BN543" s="20">
        <v>0</v>
      </c>
      <c r="BO543" s="20">
        <v>0</v>
      </c>
      <c r="BP543" s="20">
        <v>0</v>
      </c>
      <c r="BQ543" s="20">
        <v>0</v>
      </c>
      <c r="BR543" s="20">
        <v>0</v>
      </c>
      <c r="BS543" s="20">
        <v>150</v>
      </c>
      <c r="BT543" s="20">
        <v>3606600.0000000005</v>
      </c>
      <c r="BU543" s="20">
        <v>17850000</v>
      </c>
      <c r="BV543" s="20">
        <v>4.4993269914248106</v>
      </c>
    </row>
    <row r="544" spans="1:74">
      <c r="A544" s="10">
        <f t="shared" si="34"/>
        <v>0</v>
      </c>
      <c r="B544" s="10">
        <f t="shared" si="35"/>
        <v>0</v>
      </c>
      <c r="C544" s="12">
        <f t="shared" si="36"/>
        <v>4</v>
      </c>
      <c r="D544" s="12">
        <f t="shared" si="37"/>
        <v>9</v>
      </c>
      <c r="E544" s="20" t="s">
        <v>574</v>
      </c>
      <c r="F544" s="20" t="s">
        <v>665</v>
      </c>
      <c r="G544" s="20" t="s">
        <v>833</v>
      </c>
      <c r="H544" s="20" t="s">
        <v>856</v>
      </c>
      <c r="I544" s="20">
        <v>3</v>
      </c>
      <c r="J544" s="20" t="s">
        <v>857</v>
      </c>
      <c r="K544" s="20" t="s">
        <v>865</v>
      </c>
      <c r="L544" s="20" t="s">
        <v>859</v>
      </c>
      <c r="M544" s="20" t="s">
        <v>671</v>
      </c>
      <c r="N544" s="20" t="s">
        <v>672</v>
      </c>
      <c r="P544" s="20" t="s">
        <v>671</v>
      </c>
      <c r="Q544" s="20" t="s">
        <v>673</v>
      </c>
      <c r="R544" s="20" t="s">
        <v>84</v>
      </c>
      <c r="S544" s="20">
        <v>5</v>
      </c>
      <c r="T544" s="20" t="s">
        <v>860</v>
      </c>
      <c r="U544" s="20" t="s">
        <v>861</v>
      </c>
      <c r="V544" s="20" t="s">
        <v>87</v>
      </c>
      <c r="W544" s="20">
        <v>513</v>
      </c>
      <c r="X544" s="20">
        <v>513</v>
      </c>
      <c r="Y544" s="20" t="s">
        <v>862</v>
      </c>
      <c r="Z544" s="20">
        <v>0.16666666666666666</v>
      </c>
      <c r="AA544" s="20" t="s">
        <v>863</v>
      </c>
      <c r="AB544" s="20" t="s">
        <v>159</v>
      </c>
      <c r="AC544" s="20" t="s">
        <v>160</v>
      </c>
      <c r="AD544" s="20" t="s">
        <v>864</v>
      </c>
      <c r="AE544" s="20" t="s">
        <v>91</v>
      </c>
      <c r="AF544" s="20">
        <v>0.16666666666666666</v>
      </c>
      <c r="AH544" s="20">
        <v>1</v>
      </c>
      <c r="AI544" s="4" t="s">
        <v>643</v>
      </c>
      <c r="AJ544" s="20">
        <v>40</v>
      </c>
      <c r="AK544" s="4" t="s">
        <v>679</v>
      </c>
      <c r="AL544" s="4">
        <v>3</v>
      </c>
      <c r="AM544" s="4" t="s">
        <v>438</v>
      </c>
      <c r="AN544" s="4" t="s">
        <v>95</v>
      </c>
      <c r="AO544" s="4" t="s">
        <v>680</v>
      </c>
      <c r="AP544" s="4">
        <v>1</v>
      </c>
      <c r="AQ544" s="20">
        <v>119000</v>
      </c>
      <c r="AR544" s="4">
        <v>41803</v>
      </c>
      <c r="AS544" s="20">
        <v>24040.404040404039</v>
      </c>
      <c r="AT544" s="20">
        <v>24044.000000000004</v>
      </c>
      <c r="AU544" s="20">
        <v>3.5959595959648141</v>
      </c>
      <c r="AW544" s="20">
        <v>20</v>
      </c>
      <c r="AY544" s="20">
        <v>20</v>
      </c>
      <c r="AZ544" s="20">
        <v>20.8</v>
      </c>
      <c r="BB544" s="6">
        <v>41744</v>
      </c>
      <c r="BD544" s="6">
        <v>41844</v>
      </c>
      <c r="BE544" s="6">
        <v>41859</v>
      </c>
      <c r="BF544" s="6">
        <v>41884</v>
      </c>
      <c r="BK544" s="4" t="s">
        <v>401</v>
      </c>
      <c r="BM544" s="20">
        <v>40</v>
      </c>
      <c r="BN544" s="20">
        <v>0</v>
      </c>
      <c r="BO544" s="20">
        <v>0</v>
      </c>
      <c r="BP544" s="20">
        <v>0</v>
      </c>
      <c r="BQ544" s="20">
        <v>0</v>
      </c>
      <c r="BR544" s="20">
        <v>0</v>
      </c>
      <c r="BS544" s="20">
        <v>40</v>
      </c>
      <c r="BT544" s="20">
        <v>961760.00000000012</v>
      </c>
      <c r="BU544" s="20">
        <v>4760000</v>
      </c>
      <c r="BV544" s="20">
        <v>4.4993269914248115</v>
      </c>
    </row>
    <row r="545" spans="1:74">
      <c r="A545" s="10">
        <f t="shared" si="34"/>
        <v>0</v>
      </c>
      <c r="B545" s="10">
        <f t="shared" si="35"/>
        <v>0</v>
      </c>
      <c r="C545" s="12">
        <f t="shared" si="36"/>
        <v>4</v>
      </c>
      <c r="D545" s="12">
        <f t="shared" si="37"/>
        <v>9</v>
      </c>
      <c r="E545" s="20" t="s">
        <v>574</v>
      </c>
      <c r="F545" s="20" t="s">
        <v>665</v>
      </c>
      <c r="G545" s="20" t="s">
        <v>833</v>
      </c>
      <c r="H545" s="20" t="s">
        <v>856</v>
      </c>
      <c r="I545" s="20">
        <v>3</v>
      </c>
      <c r="J545" s="20" t="s">
        <v>857</v>
      </c>
      <c r="K545" s="20" t="s">
        <v>866</v>
      </c>
      <c r="L545" s="20" t="s">
        <v>859</v>
      </c>
      <c r="M545" s="20" t="s">
        <v>671</v>
      </c>
      <c r="N545" s="20" t="s">
        <v>672</v>
      </c>
      <c r="P545" s="20" t="s">
        <v>671</v>
      </c>
      <c r="Q545" s="20" t="s">
        <v>673</v>
      </c>
      <c r="R545" s="20" t="s">
        <v>84</v>
      </c>
      <c r="S545" s="20">
        <v>5</v>
      </c>
      <c r="T545" s="20" t="s">
        <v>860</v>
      </c>
      <c r="U545" s="20" t="s">
        <v>861</v>
      </c>
      <c r="V545" s="20" t="s">
        <v>87</v>
      </c>
      <c r="W545" s="20">
        <v>513</v>
      </c>
      <c r="X545" s="20">
        <v>513</v>
      </c>
      <c r="Y545" s="20" t="s">
        <v>862</v>
      </c>
      <c r="Z545" s="20">
        <v>0.16666666666666666</v>
      </c>
      <c r="AA545" s="20" t="s">
        <v>863</v>
      </c>
      <c r="AB545" s="20" t="s">
        <v>159</v>
      </c>
      <c r="AC545" s="20" t="s">
        <v>160</v>
      </c>
      <c r="AD545" s="20" t="s">
        <v>864</v>
      </c>
      <c r="AE545" s="20" t="s">
        <v>91</v>
      </c>
      <c r="AF545" s="20">
        <v>0.16666666666666666</v>
      </c>
      <c r="AH545" s="20">
        <v>1</v>
      </c>
      <c r="AI545" s="4" t="s">
        <v>645</v>
      </c>
      <c r="AJ545" s="20">
        <v>60</v>
      </c>
      <c r="AK545" s="4" t="s">
        <v>679</v>
      </c>
      <c r="AL545" s="4">
        <v>3</v>
      </c>
      <c r="AM545" s="4" t="s">
        <v>438</v>
      </c>
      <c r="AN545" s="4" t="s">
        <v>95</v>
      </c>
      <c r="AO545" s="4" t="s">
        <v>680</v>
      </c>
      <c r="AP545" s="4">
        <v>1</v>
      </c>
      <c r="AQ545" s="20">
        <v>119000</v>
      </c>
      <c r="AR545" s="4">
        <v>41803</v>
      </c>
      <c r="AS545" s="20">
        <v>24040.404040404039</v>
      </c>
      <c r="AT545" s="20">
        <v>24044.000000000004</v>
      </c>
      <c r="AU545" s="20">
        <v>3.5959595959648141</v>
      </c>
      <c r="AW545" s="20">
        <v>20</v>
      </c>
      <c r="AY545" s="20">
        <v>20</v>
      </c>
      <c r="AZ545" s="20">
        <v>20.8</v>
      </c>
      <c r="BB545" s="6">
        <v>41744</v>
      </c>
      <c r="BD545" s="6">
        <v>41844</v>
      </c>
      <c r="BE545" s="6">
        <v>41859</v>
      </c>
      <c r="BF545" s="6">
        <v>41884</v>
      </c>
      <c r="BK545" s="4" t="s">
        <v>401</v>
      </c>
      <c r="BM545" s="20">
        <v>59</v>
      </c>
      <c r="BN545" s="20">
        <v>0</v>
      </c>
      <c r="BO545" s="20">
        <v>0</v>
      </c>
      <c r="BP545" s="20">
        <v>0</v>
      </c>
      <c r="BQ545" s="20">
        <v>0</v>
      </c>
      <c r="BR545" s="20">
        <v>0</v>
      </c>
      <c r="BS545" s="20">
        <v>60</v>
      </c>
      <c r="BT545" s="20">
        <v>1442640.0000000002</v>
      </c>
      <c r="BU545" s="20">
        <v>7140000</v>
      </c>
      <c r="BV545" s="20">
        <v>4.4993269914248106</v>
      </c>
    </row>
    <row r="546" spans="1:74">
      <c r="A546" s="10">
        <f t="shared" si="34"/>
        <v>0</v>
      </c>
      <c r="B546" s="10">
        <f t="shared" si="35"/>
        <v>0</v>
      </c>
      <c r="C546" s="12">
        <f t="shared" si="36"/>
        <v>4</v>
      </c>
      <c r="D546" s="12">
        <f t="shared" si="37"/>
        <v>9</v>
      </c>
      <c r="E546" s="20" t="s">
        <v>574</v>
      </c>
      <c r="F546" s="20" t="s">
        <v>665</v>
      </c>
      <c r="G546" s="20" t="s">
        <v>833</v>
      </c>
      <c r="H546" s="20" t="s">
        <v>856</v>
      </c>
      <c r="I546" s="20">
        <v>3</v>
      </c>
      <c r="J546" s="20" t="s">
        <v>857</v>
      </c>
      <c r="K546" s="20" t="s">
        <v>867</v>
      </c>
      <c r="L546" s="20" t="s">
        <v>859</v>
      </c>
      <c r="M546" s="20" t="s">
        <v>671</v>
      </c>
      <c r="N546" s="20" t="s">
        <v>672</v>
      </c>
      <c r="P546" s="20" t="s">
        <v>671</v>
      </c>
      <c r="Q546" s="20" t="s">
        <v>673</v>
      </c>
      <c r="R546" s="20" t="s">
        <v>84</v>
      </c>
      <c r="S546" s="20">
        <v>5</v>
      </c>
      <c r="T546" s="20" t="s">
        <v>860</v>
      </c>
      <c r="U546" s="20" t="s">
        <v>861</v>
      </c>
      <c r="V546" s="20" t="s">
        <v>87</v>
      </c>
      <c r="W546" s="20">
        <v>513</v>
      </c>
      <c r="X546" s="20">
        <v>513</v>
      </c>
      <c r="Y546" s="20" t="s">
        <v>862</v>
      </c>
      <c r="Z546" s="20">
        <v>0.16666666666666666</v>
      </c>
      <c r="AA546" s="20" t="s">
        <v>863</v>
      </c>
      <c r="AB546" s="20" t="s">
        <v>159</v>
      </c>
      <c r="AC546" s="20" t="s">
        <v>160</v>
      </c>
      <c r="AD546" s="20" t="s">
        <v>864</v>
      </c>
      <c r="AE546" s="20" t="s">
        <v>91</v>
      </c>
      <c r="AF546" s="20">
        <v>0.16666666666666666</v>
      </c>
      <c r="AH546" s="20">
        <v>1</v>
      </c>
      <c r="AI546" s="4" t="s">
        <v>647</v>
      </c>
      <c r="AJ546" s="20">
        <v>60</v>
      </c>
      <c r="AK546" s="4" t="s">
        <v>679</v>
      </c>
      <c r="AL546" s="4">
        <v>3</v>
      </c>
      <c r="AM546" s="4" t="s">
        <v>438</v>
      </c>
      <c r="AN546" s="4" t="s">
        <v>95</v>
      </c>
      <c r="AO546" s="4" t="s">
        <v>680</v>
      </c>
      <c r="AP546" s="4">
        <v>1</v>
      </c>
      <c r="AQ546" s="20">
        <v>119000</v>
      </c>
      <c r="AR546" s="4">
        <v>41803</v>
      </c>
      <c r="AS546" s="20">
        <v>24040.404040404039</v>
      </c>
      <c r="AT546" s="20">
        <v>24044.000000000004</v>
      </c>
      <c r="AU546" s="20">
        <v>3.5959595959648141</v>
      </c>
      <c r="AW546" s="20">
        <v>20</v>
      </c>
      <c r="AY546" s="20">
        <v>20</v>
      </c>
      <c r="AZ546" s="20">
        <v>20.8</v>
      </c>
      <c r="BB546" s="6">
        <v>41744</v>
      </c>
      <c r="BD546" s="6">
        <v>41844</v>
      </c>
      <c r="BE546" s="6">
        <v>41859</v>
      </c>
      <c r="BF546" s="6">
        <v>41884</v>
      </c>
      <c r="BK546" s="4" t="s">
        <v>401</v>
      </c>
      <c r="BM546" s="20">
        <v>59</v>
      </c>
      <c r="BN546" s="20">
        <v>0</v>
      </c>
      <c r="BO546" s="20">
        <v>0</v>
      </c>
      <c r="BP546" s="20">
        <v>0</v>
      </c>
      <c r="BQ546" s="20">
        <v>0</v>
      </c>
      <c r="BR546" s="20">
        <v>0</v>
      </c>
      <c r="BS546" s="20">
        <v>60</v>
      </c>
      <c r="BT546" s="20">
        <v>1442640.0000000002</v>
      </c>
      <c r="BU546" s="20">
        <v>7140000</v>
      </c>
      <c r="BV546" s="20">
        <v>4.4993269914248106</v>
      </c>
    </row>
    <row r="547" spans="1:74">
      <c r="A547" s="10">
        <f t="shared" si="34"/>
        <v>0</v>
      </c>
      <c r="B547" s="10">
        <f t="shared" si="35"/>
        <v>0</v>
      </c>
      <c r="C547" s="12">
        <f t="shared" si="36"/>
        <v>4</v>
      </c>
      <c r="D547" s="12">
        <f t="shared" si="37"/>
        <v>9</v>
      </c>
      <c r="E547" s="20" t="s">
        <v>574</v>
      </c>
      <c r="F547" s="20" t="s">
        <v>665</v>
      </c>
      <c r="G547" s="20" t="s">
        <v>833</v>
      </c>
      <c r="H547" s="20" t="s">
        <v>856</v>
      </c>
      <c r="I547" s="20">
        <v>3</v>
      </c>
      <c r="J547" s="20" t="s">
        <v>857</v>
      </c>
      <c r="K547" s="20" t="s">
        <v>868</v>
      </c>
      <c r="L547" s="20" t="s">
        <v>859</v>
      </c>
      <c r="M547" s="20" t="s">
        <v>671</v>
      </c>
      <c r="N547" s="20" t="s">
        <v>672</v>
      </c>
      <c r="P547" s="20" t="s">
        <v>671</v>
      </c>
      <c r="Q547" s="20" t="s">
        <v>673</v>
      </c>
      <c r="R547" s="20" t="s">
        <v>84</v>
      </c>
      <c r="S547" s="20">
        <v>5</v>
      </c>
      <c r="T547" s="20" t="s">
        <v>860</v>
      </c>
      <c r="U547" s="20" t="s">
        <v>861</v>
      </c>
      <c r="V547" s="20" t="s">
        <v>87</v>
      </c>
      <c r="W547" s="20">
        <v>513</v>
      </c>
      <c r="X547" s="20">
        <v>513</v>
      </c>
      <c r="Y547" s="20" t="s">
        <v>862</v>
      </c>
      <c r="Z547" s="20">
        <v>0.16666666666666666</v>
      </c>
      <c r="AA547" s="20" t="s">
        <v>863</v>
      </c>
      <c r="AB547" s="20" t="s">
        <v>159</v>
      </c>
      <c r="AC547" s="20" t="s">
        <v>160</v>
      </c>
      <c r="AD547" s="20" t="s">
        <v>864</v>
      </c>
      <c r="AE547" s="20" t="s">
        <v>91</v>
      </c>
      <c r="AF547" s="20">
        <v>0.16666666666666666</v>
      </c>
      <c r="AH547" s="20">
        <v>1</v>
      </c>
      <c r="AI547" s="4" t="s">
        <v>649</v>
      </c>
      <c r="AJ547" s="20">
        <v>45</v>
      </c>
      <c r="AK547" s="4" t="s">
        <v>679</v>
      </c>
      <c r="AL547" s="4">
        <v>3</v>
      </c>
      <c r="AM547" s="4" t="s">
        <v>438</v>
      </c>
      <c r="AN547" s="4" t="s">
        <v>95</v>
      </c>
      <c r="AO547" s="4" t="s">
        <v>680</v>
      </c>
      <c r="AP547" s="4">
        <v>1</v>
      </c>
      <c r="AQ547" s="20">
        <v>119000</v>
      </c>
      <c r="AR547" s="4">
        <v>41803</v>
      </c>
      <c r="AS547" s="20">
        <v>24040.404040404039</v>
      </c>
      <c r="AT547" s="20">
        <v>24044.000000000004</v>
      </c>
      <c r="AU547" s="20">
        <v>3.5959595959648141</v>
      </c>
      <c r="AW547" s="20">
        <v>20</v>
      </c>
      <c r="AY547" s="20">
        <v>20</v>
      </c>
      <c r="AZ547" s="20">
        <v>20.8</v>
      </c>
      <c r="BB547" s="6">
        <v>41744</v>
      </c>
      <c r="BD547" s="6">
        <v>41844</v>
      </c>
      <c r="BE547" s="6">
        <v>41859</v>
      </c>
      <c r="BF547" s="6">
        <v>41884</v>
      </c>
      <c r="BK547" s="4" t="s">
        <v>401</v>
      </c>
      <c r="BM547" s="20">
        <v>45</v>
      </c>
      <c r="BN547" s="20">
        <v>0</v>
      </c>
      <c r="BO547" s="20">
        <v>0</v>
      </c>
      <c r="BP547" s="20">
        <v>0</v>
      </c>
      <c r="BQ547" s="20">
        <v>0</v>
      </c>
      <c r="BR547" s="20">
        <v>0</v>
      </c>
      <c r="BS547" s="20">
        <v>45</v>
      </c>
      <c r="BT547" s="20">
        <v>1081980.0000000002</v>
      </c>
      <c r="BU547" s="20">
        <v>5355000</v>
      </c>
      <c r="BV547" s="20">
        <v>4.4993269914248106</v>
      </c>
    </row>
    <row r="548" spans="1:74">
      <c r="A548" s="10">
        <f t="shared" si="34"/>
        <v>0</v>
      </c>
      <c r="B548" s="10">
        <f t="shared" si="35"/>
        <v>0</v>
      </c>
      <c r="C548" s="12">
        <f t="shared" si="36"/>
        <v>4</v>
      </c>
      <c r="D548" s="12">
        <f t="shared" si="37"/>
        <v>9</v>
      </c>
      <c r="E548" s="20" t="s">
        <v>574</v>
      </c>
      <c r="F548" s="20" t="s">
        <v>665</v>
      </c>
      <c r="G548" s="20" t="s">
        <v>833</v>
      </c>
      <c r="H548" s="20" t="s">
        <v>856</v>
      </c>
      <c r="I548" s="20">
        <v>3</v>
      </c>
      <c r="J548" s="20" t="s">
        <v>857</v>
      </c>
      <c r="K548" s="20" t="s">
        <v>869</v>
      </c>
      <c r="L548" s="20" t="s">
        <v>859</v>
      </c>
      <c r="M548" s="20" t="s">
        <v>671</v>
      </c>
      <c r="N548" s="20" t="s">
        <v>672</v>
      </c>
      <c r="P548" s="20" t="s">
        <v>671</v>
      </c>
      <c r="Q548" s="20" t="s">
        <v>673</v>
      </c>
      <c r="R548" s="20" t="s">
        <v>84</v>
      </c>
      <c r="S548" s="20">
        <v>5</v>
      </c>
      <c r="T548" s="20" t="s">
        <v>860</v>
      </c>
      <c r="U548" s="20" t="s">
        <v>861</v>
      </c>
      <c r="V548" s="20" t="s">
        <v>87</v>
      </c>
      <c r="W548" s="20">
        <v>513</v>
      </c>
      <c r="X548" s="20">
        <v>513</v>
      </c>
      <c r="Y548" s="20" t="s">
        <v>862</v>
      </c>
      <c r="Z548" s="20">
        <v>0.16666666666666666</v>
      </c>
      <c r="AA548" s="20" t="s">
        <v>863</v>
      </c>
      <c r="AB548" s="20" t="s">
        <v>159</v>
      </c>
      <c r="AC548" s="20" t="s">
        <v>160</v>
      </c>
      <c r="AD548" s="20" t="s">
        <v>864</v>
      </c>
      <c r="AE548" s="20" t="s">
        <v>91</v>
      </c>
      <c r="AF548" s="20">
        <v>0.16666666666666666</v>
      </c>
      <c r="AH548" s="20">
        <v>1</v>
      </c>
      <c r="AI548" s="4" t="s">
        <v>651</v>
      </c>
      <c r="AJ548" s="20">
        <v>45</v>
      </c>
      <c r="AK548" s="4" t="s">
        <v>679</v>
      </c>
      <c r="AL548" s="4">
        <v>3</v>
      </c>
      <c r="AM548" s="4" t="s">
        <v>438</v>
      </c>
      <c r="AN548" s="4" t="s">
        <v>95</v>
      </c>
      <c r="AO548" s="4" t="s">
        <v>680</v>
      </c>
      <c r="AP548" s="4">
        <v>1</v>
      </c>
      <c r="AQ548" s="20">
        <v>119000</v>
      </c>
      <c r="AR548" s="4">
        <v>41803</v>
      </c>
      <c r="AS548" s="20">
        <v>24040.404040404039</v>
      </c>
      <c r="AT548" s="20">
        <v>24044.000000000004</v>
      </c>
      <c r="AU548" s="20">
        <v>3.5959595959648141</v>
      </c>
      <c r="AW548" s="20">
        <v>20</v>
      </c>
      <c r="AY548" s="20">
        <v>20</v>
      </c>
      <c r="AZ548" s="20">
        <v>20.8</v>
      </c>
      <c r="BB548" s="6">
        <v>41744</v>
      </c>
      <c r="BD548" s="6">
        <v>41844</v>
      </c>
      <c r="BE548" s="6">
        <v>41859</v>
      </c>
      <c r="BF548" s="6">
        <v>41884</v>
      </c>
      <c r="BK548" s="4" t="s">
        <v>401</v>
      </c>
      <c r="BM548" s="20">
        <v>45</v>
      </c>
      <c r="BN548" s="20">
        <v>0</v>
      </c>
      <c r="BO548" s="20">
        <v>0</v>
      </c>
      <c r="BP548" s="20">
        <v>0</v>
      </c>
      <c r="BQ548" s="20">
        <v>0</v>
      </c>
      <c r="BR548" s="20">
        <v>0</v>
      </c>
      <c r="BS548" s="20">
        <v>45</v>
      </c>
      <c r="BT548" s="20">
        <v>1081980.0000000002</v>
      </c>
      <c r="BU548" s="20">
        <v>5355000</v>
      </c>
      <c r="BV548" s="20">
        <v>4.4993269914248106</v>
      </c>
    </row>
    <row r="549" spans="1:74">
      <c r="A549" s="10">
        <f t="shared" si="34"/>
        <v>0</v>
      </c>
      <c r="B549" s="10">
        <f t="shared" si="35"/>
        <v>0</v>
      </c>
      <c r="C549" s="12">
        <f t="shared" si="36"/>
        <v>4</v>
      </c>
      <c r="D549" s="12">
        <f t="shared" si="37"/>
        <v>9</v>
      </c>
      <c r="E549" s="20" t="s">
        <v>574</v>
      </c>
      <c r="F549" s="20" t="s">
        <v>665</v>
      </c>
      <c r="G549" s="20" t="s">
        <v>833</v>
      </c>
      <c r="H549" s="20" t="s">
        <v>870</v>
      </c>
      <c r="I549" s="20">
        <v>4</v>
      </c>
      <c r="J549" s="20" t="s">
        <v>871</v>
      </c>
      <c r="K549" s="20" t="s">
        <v>872</v>
      </c>
      <c r="L549" s="20" t="s">
        <v>873</v>
      </c>
      <c r="M549" s="20" t="s">
        <v>671</v>
      </c>
      <c r="N549" s="20" t="s">
        <v>672</v>
      </c>
      <c r="P549" s="20" t="s">
        <v>671</v>
      </c>
      <c r="Q549" s="20" t="s">
        <v>673</v>
      </c>
      <c r="R549" s="20" t="s">
        <v>84</v>
      </c>
      <c r="S549" s="20">
        <v>5</v>
      </c>
      <c r="T549" s="20" t="s">
        <v>860</v>
      </c>
      <c r="U549" s="20" t="s">
        <v>861</v>
      </c>
      <c r="V549" s="20" t="s">
        <v>87</v>
      </c>
      <c r="W549" s="20">
        <v>514</v>
      </c>
      <c r="X549" s="20">
        <v>514</v>
      </c>
      <c r="Y549" s="20" t="s">
        <v>874</v>
      </c>
      <c r="Z549" s="20">
        <v>0.16666666666666666</v>
      </c>
      <c r="AA549" s="20" t="s">
        <v>875</v>
      </c>
      <c r="AB549" s="20" t="s">
        <v>101</v>
      </c>
      <c r="AC549" s="20" t="s">
        <v>102</v>
      </c>
      <c r="AD549" s="20" t="s">
        <v>876</v>
      </c>
      <c r="AE549" s="20" t="s">
        <v>91</v>
      </c>
      <c r="AF549" s="20">
        <v>0.16666666666666666</v>
      </c>
      <c r="AH549" s="20">
        <v>1</v>
      </c>
      <c r="AI549" s="4" t="s">
        <v>640</v>
      </c>
      <c r="AJ549" s="20">
        <v>120</v>
      </c>
      <c r="AK549" s="4" t="s">
        <v>679</v>
      </c>
      <c r="AL549" s="4">
        <v>3</v>
      </c>
      <c r="AM549" s="4" t="s">
        <v>438</v>
      </c>
      <c r="AN549" s="4" t="s">
        <v>95</v>
      </c>
      <c r="AO549" s="4" t="s">
        <v>680</v>
      </c>
      <c r="AP549" s="4">
        <v>1</v>
      </c>
      <c r="AQ549" s="20">
        <v>119000</v>
      </c>
      <c r="AR549" s="4">
        <v>41803</v>
      </c>
      <c r="AS549" s="20">
        <v>24040.404040404039</v>
      </c>
      <c r="AT549" s="20">
        <v>24044.000000000004</v>
      </c>
      <c r="AU549" s="20">
        <v>3.5959595959648141</v>
      </c>
      <c r="AW549" s="20">
        <v>20</v>
      </c>
      <c r="AY549" s="20">
        <v>20</v>
      </c>
      <c r="AZ549" s="20">
        <v>20.8</v>
      </c>
      <c r="BB549" s="6">
        <v>41744</v>
      </c>
      <c r="BD549" s="6">
        <v>41844</v>
      </c>
      <c r="BE549" s="6">
        <v>41859</v>
      </c>
      <c r="BF549" s="6">
        <v>41884</v>
      </c>
      <c r="BK549" s="4" t="s">
        <v>401</v>
      </c>
      <c r="BM549" s="20">
        <v>120</v>
      </c>
      <c r="BN549" s="20">
        <v>0</v>
      </c>
      <c r="BO549" s="20">
        <v>0</v>
      </c>
      <c r="BP549" s="20">
        <v>0</v>
      </c>
      <c r="BQ549" s="20">
        <v>0</v>
      </c>
      <c r="BR549" s="20">
        <v>0</v>
      </c>
      <c r="BS549" s="20">
        <v>120</v>
      </c>
      <c r="BT549" s="20">
        <v>2885280.0000000005</v>
      </c>
      <c r="BU549" s="20">
        <v>14280000</v>
      </c>
      <c r="BV549" s="20">
        <v>4.4993269914248106</v>
      </c>
    </row>
    <row r="550" spans="1:74">
      <c r="A550" s="10">
        <f t="shared" si="34"/>
        <v>0</v>
      </c>
      <c r="B550" s="10">
        <f t="shared" si="35"/>
        <v>0</v>
      </c>
      <c r="C550" s="12">
        <f t="shared" si="36"/>
        <v>4</v>
      </c>
      <c r="D550" s="12">
        <f t="shared" si="37"/>
        <v>9</v>
      </c>
      <c r="E550" s="20" t="s">
        <v>574</v>
      </c>
      <c r="F550" s="20" t="s">
        <v>665</v>
      </c>
      <c r="G550" s="20" t="s">
        <v>833</v>
      </c>
      <c r="H550" s="20" t="s">
        <v>870</v>
      </c>
      <c r="I550" s="20">
        <v>4</v>
      </c>
      <c r="J550" s="20" t="s">
        <v>871</v>
      </c>
      <c r="K550" s="20" t="s">
        <v>877</v>
      </c>
      <c r="L550" s="20" t="s">
        <v>873</v>
      </c>
      <c r="M550" s="20" t="s">
        <v>671</v>
      </c>
      <c r="N550" s="20" t="s">
        <v>672</v>
      </c>
      <c r="P550" s="20" t="s">
        <v>671</v>
      </c>
      <c r="Q550" s="20" t="s">
        <v>673</v>
      </c>
      <c r="R550" s="20" t="s">
        <v>84</v>
      </c>
      <c r="S550" s="20">
        <v>5</v>
      </c>
      <c r="T550" s="20" t="s">
        <v>860</v>
      </c>
      <c r="U550" s="20" t="s">
        <v>861</v>
      </c>
      <c r="V550" s="20" t="s">
        <v>87</v>
      </c>
      <c r="W550" s="20">
        <v>514</v>
      </c>
      <c r="X550" s="20">
        <v>514</v>
      </c>
      <c r="Y550" s="20" t="s">
        <v>874</v>
      </c>
      <c r="Z550" s="20">
        <v>0.16666666666666666</v>
      </c>
      <c r="AA550" s="20" t="s">
        <v>875</v>
      </c>
      <c r="AB550" s="20" t="s">
        <v>101</v>
      </c>
      <c r="AC550" s="20" t="s">
        <v>102</v>
      </c>
      <c r="AD550" s="20" t="s">
        <v>876</v>
      </c>
      <c r="AE550" s="20" t="s">
        <v>91</v>
      </c>
      <c r="AF550" s="20">
        <v>0.16666666666666666</v>
      </c>
      <c r="AH550" s="20">
        <v>1</v>
      </c>
      <c r="AI550" s="4" t="s">
        <v>643</v>
      </c>
      <c r="AJ550" s="20">
        <v>30</v>
      </c>
      <c r="AK550" s="4" t="s">
        <v>679</v>
      </c>
      <c r="AL550" s="4">
        <v>3</v>
      </c>
      <c r="AM550" s="4" t="s">
        <v>438</v>
      </c>
      <c r="AN550" s="4" t="s">
        <v>95</v>
      </c>
      <c r="AO550" s="4" t="s">
        <v>680</v>
      </c>
      <c r="AP550" s="4">
        <v>1</v>
      </c>
      <c r="AQ550" s="20">
        <v>119000</v>
      </c>
      <c r="AR550" s="4">
        <v>41803</v>
      </c>
      <c r="AS550" s="20">
        <v>24040.404040404039</v>
      </c>
      <c r="AT550" s="20">
        <v>24044.000000000004</v>
      </c>
      <c r="AU550" s="20">
        <v>3.5959595959648141</v>
      </c>
      <c r="AW550" s="20">
        <v>20</v>
      </c>
      <c r="AY550" s="20">
        <v>20</v>
      </c>
      <c r="AZ550" s="20">
        <v>20.8</v>
      </c>
      <c r="BB550" s="6">
        <v>41744</v>
      </c>
      <c r="BD550" s="6">
        <v>41844</v>
      </c>
      <c r="BE550" s="6">
        <v>41859</v>
      </c>
      <c r="BF550" s="6">
        <v>41884</v>
      </c>
      <c r="BK550" s="4" t="s">
        <v>401</v>
      </c>
      <c r="BM550" s="20">
        <v>30</v>
      </c>
      <c r="BN550" s="20">
        <v>0</v>
      </c>
      <c r="BO550" s="20">
        <v>0</v>
      </c>
      <c r="BP550" s="20">
        <v>0</v>
      </c>
      <c r="BQ550" s="20">
        <v>0</v>
      </c>
      <c r="BR550" s="20">
        <v>0</v>
      </c>
      <c r="BS550" s="20">
        <v>30</v>
      </c>
      <c r="BT550" s="20">
        <v>721320.00000000012</v>
      </c>
      <c r="BU550" s="20">
        <v>3570000</v>
      </c>
      <c r="BV550" s="20">
        <v>4.4993269914248106</v>
      </c>
    </row>
    <row r="551" spans="1:74">
      <c r="A551" s="10">
        <f t="shared" si="34"/>
        <v>0</v>
      </c>
      <c r="B551" s="10">
        <f t="shared" si="35"/>
        <v>0</v>
      </c>
      <c r="C551" s="12">
        <f t="shared" si="36"/>
        <v>4</v>
      </c>
      <c r="D551" s="12">
        <f t="shared" si="37"/>
        <v>9</v>
      </c>
      <c r="E551" s="20" t="s">
        <v>574</v>
      </c>
      <c r="F551" s="20" t="s">
        <v>665</v>
      </c>
      <c r="G551" s="20" t="s">
        <v>833</v>
      </c>
      <c r="H551" s="20" t="s">
        <v>870</v>
      </c>
      <c r="I551" s="20">
        <v>4</v>
      </c>
      <c r="J551" s="20" t="s">
        <v>871</v>
      </c>
      <c r="K551" s="20" t="s">
        <v>878</v>
      </c>
      <c r="L551" s="20" t="s">
        <v>873</v>
      </c>
      <c r="M551" s="20" t="s">
        <v>671</v>
      </c>
      <c r="N551" s="20" t="s">
        <v>672</v>
      </c>
      <c r="P551" s="20" t="s">
        <v>671</v>
      </c>
      <c r="Q551" s="20" t="s">
        <v>673</v>
      </c>
      <c r="R551" s="20" t="s">
        <v>84</v>
      </c>
      <c r="S551" s="20">
        <v>5</v>
      </c>
      <c r="T551" s="20" t="s">
        <v>860</v>
      </c>
      <c r="U551" s="20" t="s">
        <v>861</v>
      </c>
      <c r="V551" s="20" t="s">
        <v>87</v>
      </c>
      <c r="W551" s="20">
        <v>514</v>
      </c>
      <c r="X551" s="20">
        <v>514</v>
      </c>
      <c r="Y551" s="20" t="s">
        <v>874</v>
      </c>
      <c r="Z551" s="20">
        <v>0.16666666666666666</v>
      </c>
      <c r="AA551" s="20" t="s">
        <v>875</v>
      </c>
      <c r="AB551" s="20" t="s">
        <v>101</v>
      </c>
      <c r="AC551" s="20" t="s">
        <v>102</v>
      </c>
      <c r="AD551" s="20" t="s">
        <v>876</v>
      </c>
      <c r="AE551" s="20" t="s">
        <v>91</v>
      </c>
      <c r="AF551" s="20">
        <v>0.16666666666666666</v>
      </c>
      <c r="AH551" s="20">
        <v>1</v>
      </c>
      <c r="AI551" s="4" t="s">
        <v>645</v>
      </c>
      <c r="AJ551" s="20">
        <v>50</v>
      </c>
      <c r="AK551" s="4" t="s">
        <v>679</v>
      </c>
      <c r="AL551" s="4">
        <v>3</v>
      </c>
      <c r="AM551" s="4" t="s">
        <v>438</v>
      </c>
      <c r="AN551" s="4" t="s">
        <v>95</v>
      </c>
      <c r="AO551" s="4" t="s">
        <v>680</v>
      </c>
      <c r="AP551" s="4">
        <v>1</v>
      </c>
      <c r="AQ551" s="20">
        <v>119000</v>
      </c>
      <c r="AR551" s="4">
        <v>41803</v>
      </c>
      <c r="AS551" s="20">
        <v>24040.404040404039</v>
      </c>
      <c r="AT551" s="20">
        <v>24044.000000000004</v>
      </c>
      <c r="AU551" s="20">
        <v>3.5959595959648141</v>
      </c>
      <c r="AW551" s="20">
        <v>20</v>
      </c>
      <c r="AY551" s="20">
        <v>20</v>
      </c>
      <c r="AZ551" s="20">
        <v>20.8</v>
      </c>
      <c r="BB551" s="6">
        <v>41744</v>
      </c>
      <c r="BD551" s="6">
        <v>41844</v>
      </c>
      <c r="BE551" s="6">
        <v>41859</v>
      </c>
      <c r="BF551" s="6">
        <v>41884</v>
      </c>
      <c r="BK551" s="4" t="s">
        <v>401</v>
      </c>
      <c r="BM551" s="20">
        <v>50</v>
      </c>
      <c r="BN551" s="20">
        <v>0</v>
      </c>
      <c r="BO551" s="20">
        <v>0</v>
      </c>
      <c r="BP551" s="20">
        <v>0</v>
      </c>
      <c r="BQ551" s="20">
        <v>0</v>
      </c>
      <c r="BR551" s="20">
        <v>0</v>
      </c>
      <c r="BS551" s="20">
        <v>50</v>
      </c>
      <c r="BT551" s="20">
        <v>1202200.0000000002</v>
      </c>
      <c r="BU551" s="20">
        <v>5950000</v>
      </c>
      <c r="BV551" s="20">
        <v>4.4993269914248106</v>
      </c>
    </row>
    <row r="552" spans="1:74">
      <c r="A552" s="10">
        <f t="shared" si="34"/>
        <v>0</v>
      </c>
      <c r="B552" s="10">
        <f t="shared" si="35"/>
        <v>0</v>
      </c>
      <c r="C552" s="12">
        <f t="shared" si="36"/>
        <v>4</v>
      </c>
      <c r="D552" s="12">
        <f t="shared" si="37"/>
        <v>9</v>
      </c>
      <c r="E552" s="20" t="s">
        <v>574</v>
      </c>
      <c r="F552" s="20" t="s">
        <v>665</v>
      </c>
      <c r="G552" s="20" t="s">
        <v>833</v>
      </c>
      <c r="H552" s="20" t="s">
        <v>870</v>
      </c>
      <c r="I552" s="20">
        <v>4</v>
      </c>
      <c r="J552" s="20" t="s">
        <v>871</v>
      </c>
      <c r="K552" s="20" t="s">
        <v>879</v>
      </c>
      <c r="L552" s="20" t="s">
        <v>873</v>
      </c>
      <c r="M552" s="20" t="s">
        <v>671</v>
      </c>
      <c r="N552" s="20" t="s">
        <v>672</v>
      </c>
      <c r="P552" s="20" t="s">
        <v>671</v>
      </c>
      <c r="Q552" s="20" t="s">
        <v>673</v>
      </c>
      <c r="R552" s="20" t="s">
        <v>84</v>
      </c>
      <c r="S552" s="20">
        <v>5</v>
      </c>
      <c r="T552" s="20" t="s">
        <v>860</v>
      </c>
      <c r="U552" s="20" t="s">
        <v>861</v>
      </c>
      <c r="V552" s="20" t="s">
        <v>87</v>
      </c>
      <c r="W552" s="20">
        <v>514</v>
      </c>
      <c r="X552" s="20">
        <v>514</v>
      </c>
      <c r="Y552" s="20" t="s">
        <v>874</v>
      </c>
      <c r="Z552" s="20">
        <v>0.16666666666666666</v>
      </c>
      <c r="AA552" s="20" t="s">
        <v>875</v>
      </c>
      <c r="AB552" s="20" t="s">
        <v>101</v>
      </c>
      <c r="AC552" s="20" t="s">
        <v>102</v>
      </c>
      <c r="AD552" s="20" t="s">
        <v>876</v>
      </c>
      <c r="AE552" s="20" t="s">
        <v>91</v>
      </c>
      <c r="AF552" s="20">
        <v>0.16666666666666666</v>
      </c>
      <c r="AH552" s="20">
        <v>1</v>
      </c>
      <c r="AI552" s="4" t="s">
        <v>647</v>
      </c>
      <c r="AJ552" s="20">
        <v>50</v>
      </c>
      <c r="AK552" s="4" t="s">
        <v>679</v>
      </c>
      <c r="AL552" s="4">
        <v>3</v>
      </c>
      <c r="AM552" s="4" t="s">
        <v>438</v>
      </c>
      <c r="AN552" s="4" t="s">
        <v>95</v>
      </c>
      <c r="AO552" s="4" t="s">
        <v>680</v>
      </c>
      <c r="AP552" s="4">
        <v>1</v>
      </c>
      <c r="AQ552" s="20">
        <v>119000</v>
      </c>
      <c r="AR552" s="4">
        <v>41803</v>
      </c>
      <c r="AS552" s="20">
        <v>24040.404040404039</v>
      </c>
      <c r="AT552" s="20">
        <v>24044.000000000004</v>
      </c>
      <c r="AU552" s="20">
        <v>3.5959595959648141</v>
      </c>
      <c r="AW552" s="20">
        <v>20</v>
      </c>
      <c r="AY552" s="20">
        <v>20</v>
      </c>
      <c r="AZ552" s="20">
        <v>20.8</v>
      </c>
      <c r="BB552" s="6">
        <v>41744</v>
      </c>
      <c r="BD552" s="6">
        <v>41844</v>
      </c>
      <c r="BE552" s="6">
        <v>41859</v>
      </c>
      <c r="BF552" s="6">
        <v>41884</v>
      </c>
      <c r="BK552" s="4" t="s">
        <v>401</v>
      </c>
      <c r="BM552" s="20">
        <v>50</v>
      </c>
      <c r="BN552" s="20">
        <v>0</v>
      </c>
      <c r="BO552" s="20">
        <v>0</v>
      </c>
      <c r="BP552" s="20">
        <v>0</v>
      </c>
      <c r="BQ552" s="20">
        <v>0</v>
      </c>
      <c r="BR552" s="20">
        <v>0</v>
      </c>
      <c r="BS552" s="20">
        <v>50</v>
      </c>
      <c r="BT552" s="20">
        <v>1202200.0000000002</v>
      </c>
      <c r="BU552" s="20">
        <v>5950000</v>
      </c>
      <c r="BV552" s="20">
        <v>4.4993269914248106</v>
      </c>
    </row>
    <row r="553" spans="1:74">
      <c r="A553" s="10">
        <f t="shared" si="34"/>
        <v>0</v>
      </c>
      <c r="B553" s="10">
        <f t="shared" si="35"/>
        <v>0</v>
      </c>
      <c r="C553" s="12">
        <f t="shared" si="36"/>
        <v>4</v>
      </c>
      <c r="D553" s="12">
        <f t="shared" si="37"/>
        <v>9</v>
      </c>
      <c r="E553" s="20" t="s">
        <v>574</v>
      </c>
      <c r="F553" s="20" t="s">
        <v>665</v>
      </c>
      <c r="G553" s="20" t="s">
        <v>833</v>
      </c>
      <c r="H553" s="20" t="s">
        <v>870</v>
      </c>
      <c r="I553" s="20">
        <v>4</v>
      </c>
      <c r="J553" s="20" t="s">
        <v>871</v>
      </c>
      <c r="K553" s="20" t="s">
        <v>880</v>
      </c>
      <c r="L553" s="20" t="s">
        <v>873</v>
      </c>
      <c r="M553" s="20" t="s">
        <v>671</v>
      </c>
      <c r="N553" s="20" t="s">
        <v>672</v>
      </c>
      <c r="P553" s="20" t="s">
        <v>671</v>
      </c>
      <c r="Q553" s="20" t="s">
        <v>673</v>
      </c>
      <c r="R553" s="20" t="s">
        <v>84</v>
      </c>
      <c r="S553" s="20">
        <v>5</v>
      </c>
      <c r="T553" s="20" t="s">
        <v>860</v>
      </c>
      <c r="U553" s="20" t="s">
        <v>861</v>
      </c>
      <c r="V553" s="20" t="s">
        <v>87</v>
      </c>
      <c r="W553" s="20">
        <v>514</v>
      </c>
      <c r="X553" s="20">
        <v>514</v>
      </c>
      <c r="Y553" s="20" t="s">
        <v>874</v>
      </c>
      <c r="Z553" s="20">
        <v>0.16666666666666666</v>
      </c>
      <c r="AA553" s="20" t="s">
        <v>875</v>
      </c>
      <c r="AB553" s="20" t="s">
        <v>101</v>
      </c>
      <c r="AC553" s="20" t="s">
        <v>102</v>
      </c>
      <c r="AD553" s="20" t="s">
        <v>876</v>
      </c>
      <c r="AE553" s="20" t="s">
        <v>91</v>
      </c>
      <c r="AF553" s="20">
        <v>0.16666666666666666</v>
      </c>
      <c r="AH553" s="20">
        <v>1</v>
      </c>
      <c r="AI553" s="4" t="s">
        <v>649</v>
      </c>
      <c r="AJ553" s="20">
        <v>35</v>
      </c>
      <c r="AK553" s="4" t="s">
        <v>679</v>
      </c>
      <c r="AL553" s="4">
        <v>3</v>
      </c>
      <c r="AM553" s="4" t="s">
        <v>438</v>
      </c>
      <c r="AN553" s="4" t="s">
        <v>95</v>
      </c>
      <c r="AO553" s="4" t="s">
        <v>680</v>
      </c>
      <c r="AP553" s="4">
        <v>1</v>
      </c>
      <c r="AQ553" s="20">
        <v>119000</v>
      </c>
      <c r="AR553" s="4">
        <v>41803</v>
      </c>
      <c r="AS553" s="20">
        <v>24040.404040404039</v>
      </c>
      <c r="AT553" s="20">
        <v>24044.000000000004</v>
      </c>
      <c r="AU553" s="20">
        <v>3.5959595959648141</v>
      </c>
      <c r="AW553" s="20">
        <v>20</v>
      </c>
      <c r="AY553" s="20">
        <v>20</v>
      </c>
      <c r="AZ553" s="20">
        <v>20.8</v>
      </c>
      <c r="BB553" s="6">
        <v>41744</v>
      </c>
      <c r="BD553" s="6">
        <v>41844</v>
      </c>
      <c r="BE553" s="6">
        <v>41859</v>
      </c>
      <c r="BF553" s="6">
        <v>41884</v>
      </c>
      <c r="BK553" s="4" t="s">
        <v>401</v>
      </c>
      <c r="BM553" s="20">
        <v>35</v>
      </c>
      <c r="BN553" s="20">
        <v>0</v>
      </c>
      <c r="BO553" s="20">
        <v>0</v>
      </c>
      <c r="BP553" s="20">
        <v>0</v>
      </c>
      <c r="BQ553" s="20">
        <v>0</v>
      </c>
      <c r="BR553" s="20">
        <v>0</v>
      </c>
      <c r="BS553" s="20">
        <v>35</v>
      </c>
      <c r="BT553" s="20">
        <v>841540.00000000012</v>
      </c>
      <c r="BU553" s="20">
        <v>4165000</v>
      </c>
      <c r="BV553" s="20">
        <v>4.4993269914248106</v>
      </c>
    </row>
    <row r="554" spans="1:74">
      <c r="A554" s="10">
        <f t="shared" si="34"/>
        <v>0</v>
      </c>
      <c r="B554" s="10">
        <f t="shared" si="35"/>
        <v>0</v>
      </c>
      <c r="C554" s="12">
        <f t="shared" si="36"/>
        <v>4</v>
      </c>
      <c r="D554" s="12">
        <f t="shared" si="37"/>
        <v>9</v>
      </c>
      <c r="E554" s="20" t="s">
        <v>574</v>
      </c>
      <c r="F554" s="20" t="s">
        <v>665</v>
      </c>
      <c r="G554" s="20" t="s">
        <v>833</v>
      </c>
      <c r="H554" s="20" t="s">
        <v>870</v>
      </c>
      <c r="I554" s="20">
        <v>4</v>
      </c>
      <c r="J554" s="20" t="s">
        <v>871</v>
      </c>
      <c r="K554" s="20" t="s">
        <v>881</v>
      </c>
      <c r="L554" s="20" t="s">
        <v>873</v>
      </c>
      <c r="M554" s="20" t="s">
        <v>671</v>
      </c>
      <c r="N554" s="20" t="s">
        <v>672</v>
      </c>
      <c r="P554" s="20" t="s">
        <v>671</v>
      </c>
      <c r="Q554" s="20" t="s">
        <v>673</v>
      </c>
      <c r="R554" s="20" t="s">
        <v>84</v>
      </c>
      <c r="S554" s="20">
        <v>5</v>
      </c>
      <c r="T554" s="20" t="s">
        <v>860</v>
      </c>
      <c r="U554" s="20" t="s">
        <v>861</v>
      </c>
      <c r="V554" s="20" t="s">
        <v>87</v>
      </c>
      <c r="W554" s="20">
        <v>514</v>
      </c>
      <c r="X554" s="20">
        <v>514</v>
      </c>
      <c r="Y554" s="20" t="s">
        <v>874</v>
      </c>
      <c r="Z554" s="20">
        <v>0.16666666666666666</v>
      </c>
      <c r="AA554" s="20" t="s">
        <v>875</v>
      </c>
      <c r="AB554" s="20" t="s">
        <v>101</v>
      </c>
      <c r="AC554" s="20" t="s">
        <v>102</v>
      </c>
      <c r="AD554" s="20" t="s">
        <v>876</v>
      </c>
      <c r="AE554" s="20" t="s">
        <v>91</v>
      </c>
      <c r="AF554" s="20">
        <v>0.16666666666666666</v>
      </c>
      <c r="AH554" s="20">
        <v>1</v>
      </c>
      <c r="AI554" s="4" t="s">
        <v>651</v>
      </c>
      <c r="AJ554" s="20">
        <v>35</v>
      </c>
      <c r="AK554" s="4" t="s">
        <v>679</v>
      </c>
      <c r="AL554" s="4">
        <v>3</v>
      </c>
      <c r="AM554" s="4" t="s">
        <v>438</v>
      </c>
      <c r="AN554" s="4" t="s">
        <v>95</v>
      </c>
      <c r="AO554" s="4" t="s">
        <v>680</v>
      </c>
      <c r="AP554" s="4">
        <v>1</v>
      </c>
      <c r="AQ554" s="20">
        <v>119000</v>
      </c>
      <c r="AR554" s="4">
        <v>41803</v>
      </c>
      <c r="AS554" s="20">
        <v>24040.404040404039</v>
      </c>
      <c r="AT554" s="20">
        <v>24044.000000000004</v>
      </c>
      <c r="AU554" s="20">
        <v>3.5959595959648141</v>
      </c>
      <c r="AW554" s="20">
        <v>20</v>
      </c>
      <c r="AY554" s="20">
        <v>20</v>
      </c>
      <c r="AZ554" s="20">
        <v>20.8</v>
      </c>
      <c r="BB554" s="6">
        <v>41744</v>
      </c>
      <c r="BD554" s="6">
        <v>41844</v>
      </c>
      <c r="BE554" s="6">
        <v>41859</v>
      </c>
      <c r="BF554" s="6">
        <v>41884</v>
      </c>
      <c r="BK554" s="4" t="s">
        <v>401</v>
      </c>
      <c r="BM554" s="20">
        <v>35</v>
      </c>
      <c r="BN554" s="20">
        <v>0</v>
      </c>
      <c r="BO554" s="20">
        <v>0</v>
      </c>
      <c r="BP554" s="20">
        <v>0</v>
      </c>
      <c r="BQ554" s="20">
        <v>0</v>
      </c>
      <c r="BR554" s="20">
        <v>0</v>
      </c>
      <c r="BS554" s="20">
        <v>35</v>
      </c>
      <c r="BT554" s="20">
        <v>841540.00000000012</v>
      </c>
      <c r="BU554" s="20">
        <v>4165000</v>
      </c>
      <c r="BV554" s="20">
        <v>4.4993269914248106</v>
      </c>
    </row>
    <row r="555" spans="1:74">
      <c r="A555" s="10">
        <f t="shared" si="34"/>
        <v>0</v>
      </c>
      <c r="B555" s="10">
        <f t="shared" si="35"/>
        <v>0</v>
      </c>
      <c r="C555" s="12">
        <f t="shared" si="36"/>
        <v>4</v>
      </c>
      <c r="D555" s="12">
        <f t="shared" si="37"/>
        <v>9</v>
      </c>
      <c r="E555" s="20" t="s">
        <v>574</v>
      </c>
      <c r="F555" s="20" t="s">
        <v>665</v>
      </c>
      <c r="G555" s="20" t="s">
        <v>833</v>
      </c>
      <c r="H555" s="20" t="s">
        <v>882</v>
      </c>
      <c r="I555" s="20">
        <v>5</v>
      </c>
      <c r="J555" s="20" t="s">
        <v>883</v>
      </c>
      <c r="K555" s="20" t="s">
        <v>884</v>
      </c>
      <c r="L555" s="20" t="s">
        <v>885</v>
      </c>
      <c r="M555" s="20" t="s">
        <v>671</v>
      </c>
      <c r="N555" s="20" t="s">
        <v>672</v>
      </c>
      <c r="P555" s="20" t="s">
        <v>671</v>
      </c>
      <c r="Q555" s="20" t="s">
        <v>673</v>
      </c>
      <c r="R555" s="20" t="s">
        <v>84</v>
      </c>
      <c r="S555" s="20">
        <v>5</v>
      </c>
      <c r="T555" s="20" t="s">
        <v>860</v>
      </c>
      <c r="U555" s="20" t="s">
        <v>861</v>
      </c>
      <c r="V555" s="20" t="s">
        <v>87</v>
      </c>
      <c r="W555" s="20">
        <v>515</v>
      </c>
      <c r="X555" s="20">
        <v>515</v>
      </c>
      <c r="Y555" s="20" t="s">
        <v>886</v>
      </c>
      <c r="Z555" s="20">
        <v>0.16666666666666666</v>
      </c>
      <c r="AA555" s="20" t="s">
        <v>887</v>
      </c>
      <c r="AB555" s="20" t="s">
        <v>89</v>
      </c>
      <c r="AC555" s="20" t="s">
        <v>90</v>
      </c>
      <c r="AD555" s="20" t="s">
        <v>888</v>
      </c>
      <c r="AE555" s="20" t="s">
        <v>91</v>
      </c>
      <c r="AF555" s="20">
        <v>0.16666666666666666</v>
      </c>
      <c r="AH555" s="20">
        <v>1</v>
      </c>
      <c r="AI555" s="4" t="s">
        <v>640</v>
      </c>
      <c r="AJ555" s="20">
        <v>120</v>
      </c>
      <c r="AK555" s="4" t="s">
        <v>679</v>
      </c>
      <c r="AL555" s="4">
        <v>3</v>
      </c>
      <c r="AM555" s="4" t="s">
        <v>438</v>
      </c>
      <c r="AN555" s="4" t="s">
        <v>95</v>
      </c>
      <c r="AO555" s="4" t="s">
        <v>680</v>
      </c>
      <c r="AP555" s="4">
        <v>1</v>
      </c>
      <c r="AQ555" s="20">
        <v>119000</v>
      </c>
      <c r="AR555" s="4">
        <v>41803</v>
      </c>
      <c r="AS555" s="20">
        <v>24040.404040404039</v>
      </c>
      <c r="AT555" s="20">
        <v>23928.5</v>
      </c>
      <c r="AU555" s="20">
        <v>-111.90404040403882</v>
      </c>
      <c r="AW555" s="20">
        <v>20</v>
      </c>
      <c r="AY555" s="20">
        <v>20</v>
      </c>
      <c r="AZ555" s="20">
        <v>20.7</v>
      </c>
      <c r="BB555" s="6">
        <v>41744</v>
      </c>
      <c r="BD555" s="6">
        <v>41844</v>
      </c>
      <c r="BE555" s="6">
        <v>41859</v>
      </c>
      <c r="BF555" s="6">
        <v>41884</v>
      </c>
      <c r="BK555" s="4" t="s">
        <v>401</v>
      </c>
      <c r="BM555" s="20">
        <v>118</v>
      </c>
      <c r="BN555" s="20">
        <v>0</v>
      </c>
      <c r="BO555" s="20">
        <v>0</v>
      </c>
      <c r="BP555" s="20">
        <v>0</v>
      </c>
      <c r="BQ555" s="20">
        <v>0</v>
      </c>
      <c r="BR555" s="20">
        <v>0</v>
      </c>
      <c r="BS555" s="20">
        <v>120</v>
      </c>
      <c r="BT555" s="20">
        <v>2871420</v>
      </c>
      <c r="BU555" s="20">
        <v>14280000</v>
      </c>
      <c r="BV555" s="20">
        <v>4.5210447032542014</v>
      </c>
    </row>
    <row r="556" spans="1:74">
      <c r="A556" s="10">
        <f t="shared" si="34"/>
        <v>0</v>
      </c>
      <c r="B556" s="10">
        <f t="shared" si="35"/>
        <v>0</v>
      </c>
      <c r="C556" s="12">
        <f t="shared" si="36"/>
        <v>4</v>
      </c>
      <c r="D556" s="12">
        <f t="shared" si="37"/>
        <v>9</v>
      </c>
      <c r="E556" s="20" t="s">
        <v>574</v>
      </c>
      <c r="F556" s="20" t="s">
        <v>665</v>
      </c>
      <c r="G556" s="20" t="s">
        <v>833</v>
      </c>
      <c r="H556" s="20" t="s">
        <v>882</v>
      </c>
      <c r="I556" s="20">
        <v>5</v>
      </c>
      <c r="J556" s="20" t="s">
        <v>883</v>
      </c>
      <c r="K556" s="20" t="s">
        <v>889</v>
      </c>
      <c r="L556" s="20" t="s">
        <v>885</v>
      </c>
      <c r="M556" s="20" t="s">
        <v>671</v>
      </c>
      <c r="N556" s="20" t="s">
        <v>672</v>
      </c>
      <c r="P556" s="20" t="s">
        <v>671</v>
      </c>
      <c r="Q556" s="20" t="s">
        <v>673</v>
      </c>
      <c r="R556" s="20" t="s">
        <v>84</v>
      </c>
      <c r="S556" s="20">
        <v>5</v>
      </c>
      <c r="T556" s="20" t="s">
        <v>860</v>
      </c>
      <c r="U556" s="20" t="s">
        <v>861</v>
      </c>
      <c r="V556" s="20" t="s">
        <v>87</v>
      </c>
      <c r="W556" s="20">
        <v>515</v>
      </c>
      <c r="X556" s="20">
        <v>515</v>
      </c>
      <c r="Y556" s="20" t="s">
        <v>886</v>
      </c>
      <c r="Z556" s="20">
        <v>0.16666666666666666</v>
      </c>
      <c r="AA556" s="20" t="s">
        <v>887</v>
      </c>
      <c r="AB556" s="20" t="s">
        <v>89</v>
      </c>
      <c r="AC556" s="20" t="s">
        <v>90</v>
      </c>
      <c r="AD556" s="20" t="s">
        <v>888</v>
      </c>
      <c r="AE556" s="20" t="s">
        <v>91</v>
      </c>
      <c r="AF556" s="20">
        <v>0.16666666666666666</v>
      </c>
      <c r="AH556" s="20">
        <v>1</v>
      </c>
      <c r="AI556" s="4" t="s">
        <v>643</v>
      </c>
      <c r="AJ556" s="20">
        <v>30</v>
      </c>
      <c r="AK556" s="4" t="s">
        <v>679</v>
      </c>
      <c r="AL556" s="4">
        <v>3</v>
      </c>
      <c r="AM556" s="4" t="s">
        <v>438</v>
      </c>
      <c r="AN556" s="4" t="s">
        <v>95</v>
      </c>
      <c r="AO556" s="4" t="s">
        <v>680</v>
      </c>
      <c r="AP556" s="4">
        <v>1</v>
      </c>
      <c r="AQ556" s="20">
        <v>119000</v>
      </c>
      <c r="AR556" s="4">
        <v>41803</v>
      </c>
      <c r="AS556" s="20">
        <v>24040.404040404039</v>
      </c>
      <c r="AT556" s="20">
        <v>23928.5</v>
      </c>
      <c r="AU556" s="20">
        <v>-111.90404040403882</v>
      </c>
      <c r="AW556" s="20">
        <v>20</v>
      </c>
      <c r="AY556" s="20">
        <v>20</v>
      </c>
      <c r="AZ556" s="20">
        <v>20.7</v>
      </c>
      <c r="BB556" s="6">
        <v>41744</v>
      </c>
      <c r="BD556" s="6">
        <v>41844</v>
      </c>
      <c r="BE556" s="6">
        <v>41859</v>
      </c>
      <c r="BF556" s="6">
        <v>41884</v>
      </c>
      <c r="BK556" s="4" t="s">
        <v>401</v>
      </c>
      <c r="BM556" s="20">
        <v>30</v>
      </c>
      <c r="BN556" s="20">
        <v>0</v>
      </c>
      <c r="BO556" s="20">
        <v>0</v>
      </c>
      <c r="BP556" s="20">
        <v>0</v>
      </c>
      <c r="BQ556" s="20">
        <v>0</v>
      </c>
      <c r="BR556" s="20">
        <v>0</v>
      </c>
      <c r="BS556" s="20">
        <v>30</v>
      </c>
      <c r="BT556" s="20">
        <v>717855</v>
      </c>
      <c r="BU556" s="20">
        <v>3570000</v>
      </c>
      <c r="BV556" s="20">
        <v>4.5210447032542014</v>
      </c>
    </row>
    <row r="557" spans="1:74">
      <c r="A557" s="10">
        <f t="shared" si="34"/>
        <v>0</v>
      </c>
      <c r="B557" s="10">
        <f t="shared" si="35"/>
        <v>0</v>
      </c>
      <c r="C557" s="12">
        <f t="shared" si="36"/>
        <v>4</v>
      </c>
      <c r="D557" s="12">
        <f t="shared" si="37"/>
        <v>9</v>
      </c>
      <c r="E557" s="20" t="s">
        <v>574</v>
      </c>
      <c r="F557" s="20" t="s">
        <v>665</v>
      </c>
      <c r="G557" s="20" t="s">
        <v>833</v>
      </c>
      <c r="H557" s="20" t="s">
        <v>882</v>
      </c>
      <c r="I557" s="20">
        <v>5</v>
      </c>
      <c r="J557" s="20" t="s">
        <v>883</v>
      </c>
      <c r="K557" s="20" t="s">
        <v>890</v>
      </c>
      <c r="L557" s="20" t="s">
        <v>885</v>
      </c>
      <c r="M557" s="20" t="s">
        <v>671</v>
      </c>
      <c r="N557" s="20" t="s">
        <v>672</v>
      </c>
      <c r="P557" s="20" t="s">
        <v>671</v>
      </c>
      <c r="Q557" s="20" t="s">
        <v>673</v>
      </c>
      <c r="R557" s="20" t="s">
        <v>84</v>
      </c>
      <c r="S557" s="20">
        <v>5</v>
      </c>
      <c r="T557" s="20" t="s">
        <v>860</v>
      </c>
      <c r="U557" s="20" t="s">
        <v>861</v>
      </c>
      <c r="V557" s="20" t="s">
        <v>87</v>
      </c>
      <c r="W557" s="20">
        <v>515</v>
      </c>
      <c r="X557" s="20">
        <v>515</v>
      </c>
      <c r="Y557" s="20" t="s">
        <v>886</v>
      </c>
      <c r="Z557" s="20">
        <v>0.16666666666666666</v>
      </c>
      <c r="AA557" s="20" t="s">
        <v>887</v>
      </c>
      <c r="AB557" s="20" t="s">
        <v>89</v>
      </c>
      <c r="AC557" s="20" t="s">
        <v>90</v>
      </c>
      <c r="AD557" s="20" t="s">
        <v>888</v>
      </c>
      <c r="AE557" s="20" t="s">
        <v>91</v>
      </c>
      <c r="AF557" s="20">
        <v>0.16666666666666666</v>
      </c>
      <c r="AH557" s="20">
        <v>1</v>
      </c>
      <c r="AI557" s="4" t="s">
        <v>645</v>
      </c>
      <c r="AJ557" s="20">
        <v>50</v>
      </c>
      <c r="AK557" s="4" t="s">
        <v>679</v>
      </c>
      <c r="AL557" s="4">
        <v>3</v>
      </c>
      <c r="AM557" s="4" t="s">
        <v>438</v>
      </c>
      <c r="AN557" s="4" t="s">
        <v>95</v>
      </c>
      <c r="AO557" s="4" t="s">
        <v>680</v>
      </c>
      <c r="AP557" s="4">
        <v>1</v>
      </c>
      <c r="AQ557" s="20">
        <v>119000</v>
      </c>
      <c r="AR557" s="4">
        <v>41803</v>
      </c>
      <c r="AS557" s="20">
        <v>24040.404040404039</v>
      </c>
      <c r="AT557" s="20">
        <v>23928.5</v>
      </c>
      <c r="AU557" s="20">
        <v>-111.90404040403882</v>
      </c>
      <c r="AW557" s="20">
        <v>20</v>
      </c>
      <c r="AY557" s="20">
        <v>20</v>
      </c>
      <c r="AZ557" s="20">
        <v>20.7</v>
      </c>
      <c r="BB557" s="6">
        <v>41744</v>
      </c>
      <c r="BD557" s="6">
        <v>41844</v>
      </c>
      <c r="BE557" s="6">
        <v>41859</v>
      </c>
      <c r="BF557" s="6">
        <v>41884</v>
      </c>
      <c r="BK557" s="4" t="s">
        <v>401</v>
      </c>
      <c r="BM557" s="20">
        <v>50</v>
      </c>
      <c r="BN557" s="20">
        <v>0</v>
      </c>
      <c r="BO557" s="20">
        <v>0</v>
      </c>
      <c r="BP557" s="20">
        <v>0</v>
      </c>
      <c r="BQ557" s="20">
        <v>0</v>
      </c>
      <c r="BR557" s="20">
        <v>0</v>
      </c>
      <c r="BS557" s="20">
        <v>50</v>
      </c>
      <c r="BT557" s="20">
        <v>1196425</v>
      </c>
      <c r="BU557" s="20">
        <v>5950000</v>
      </c>
      <c r="BV557" s="20">
        <v>4.5210447032542023</v>
      </c>
    </row>
    <row r="558" spans="1:74">
      <c r="A558" s="10">
        <f t="shared" si="34"/>
        <v>0</v>
      </c>
      <c r="B558" s="10">
        <f t="shared" si="35"/>
        <v>0</v>
      </c>
      <c r="C558" s="12">
        <f t="shared" si="36"/>
        <v>4</v>
      </c>
      <c r="D558" s="12">
        <f t="shared" si="37"/>
        <v>9</v>
      </c>
      <c r="E558" s="20" t="s">
        <v>574</v>
      </c>
      <c r="F558" s="20" t="s">
        <v>665</v>
      </c>
      <c r="G558" s="20" t="s">
        <v>833</v>
      </c>
      <c r="H558" s="20" t="s">
        <v>882</v>
      </c>
      <c r="I558" s="20">
        <v>5</v>
      </c>
      <c r="J558" s="20" t="s">
        <v>883</v>
      </c>
      <c r="K558" s="20" t="s">
        <v>891</v>
      </c>
      <c r="L558" s="20" t="s">
        <v>885</v>
      </c>
      <c r="M558" s="20" t="s">
        <v>671</v>
      </c>
      <c r="N558" s="20" t="s">
        <v>672</v>
      </c>
      <c r="P558" s="20" t="s">
        <v>671</v>
      </c>
      <c r="Q558" s="20" t="s">
        <v>673</v>
      </c>
      <c r="R558" s="20" t="s">
        <v>84</v>
      </c>
      <c r="S558" s="20">
        <v>5</v>
      </c>
      <c r="T558" s="20" t="s">
        <v>860</v>
      </c>
      <c r="U558" s="20" t="s">
        <v>861</v>
      </c>
      <c r="V558" s="20" t="s">
        <v>87</v>
      </c>
      <c r="W558" s="20">
        <v>515</v>
      </c>
      <c r="X558" s="20">
        <v>515</v>
      </c>
      <c r="Y558" s="20" t="s">
        <v>886</v>
      </c>
      <c r="Z558" s="20">
        <v>0.16666666666666666</v>
      </c>
      <c r="AA558" s="20" t="s">
        <v>887</v>
      </c>
      <c r="AB558" s="20" t="s">
        <v>89</v>
      </c>
      <c r="AC558" s="20" t="s">
        <v>90</v>
      </c>
      <c r="AD558" s="20" t="s">
        <v>888</v>
      </c>
      <c r="AE558" s="20" t="s">
        <v>91</v>
      </c>
      <c r="AF558" s="20">
        <v>0.16666666666666666</v>
      </c>
      <c r="AH558" s="20">
        <v>1</v>
      </c>
      <c r="AI558" s="4" t="s">
        <v>647</v>
      </c>
      <c r="AJ558" s="20">
        <v>50</v>
      </c>
      <c r="AK558" s="4" t="s">
        <v>679</v>
      </c>
      <c r="AL558" s="4">
        <v>3</v>
      </c>
      <c r="AM558" s="4" t="s">
        <v>438</v>
      </c>
      <c r="AN558" s="4" t="s">
        <v>95</v>
      </c>
      <c r="AO558" s="4" t="s">
        <v>680</v>
      </c>
      <c r="AP558" s="4">
        <v>1</v>
      </c>
      <c r="AQ558" s="20">
        <v>119000</v>
      </c>
      <c r="AR558" s="4">
        <v>41803</v>
      </c>
      <c r="AS558" s="20">
        <v>24040.404040404039</v>
      </c>
      <c r="AT558" s="20">
        <v>23928.5</v>
      </c>
      <c r="AU558" s="20">
        <v>-111.90404040403882</v>
      </c>
      <c r="AW558" s="20">
        <v>20</v>
      </c>
      <c r="AY558" s="20">
        <v>20</v>
      </c>
      <c r="AZ558" s="20">
        <v>20.7</v>
      </c>
      <c r="BB558" s="6">
        <v>41744</v>
      </c>
      <c r="BD558" s="6">
        <v>41844</v>
      </c>
      <c r="BE558" s="6">
        <v>41859</v>
      </c>
      <c r="BF558" s="6">
        <v>41884</v>
      </c>
      <c r="BK558" s="4" t="s">
        <v>401</v>
      </c>
      <c r="BM558" s="20">
        <v>50</v>
      </c>
      <c r="BN558" s="20">
        <v>0</v>
      </c>
      <c r="BO558" s="20">
        <v>0</v>
      </c>
      <c r="BP558" s="20">
        <v>0</v>
      </c>
      <c r="BQ558" s="20">
        <v>0</v>
      </c>
      <c r="BR558" s="20">
        <v>0</v>
      </c>
      <c r="BS558" s="20">
        <v>50</v>
      </c>
      <c r="BT558" s="20">
        <v>1196425</v>
      </c>
      <c r="BU558" s="20">
        <v>5950000</v>
      </c>
      <c r="BV558" s="20">
        <v>4.5210447032542023</v>
      </c>
    </row>
    <row r="559" spans="1:74">
      <c r="A559" s="10">
        <f t="shared" si="34"/>
        <v>0</v>
      </c>
      <c r="B559" s="10">
        <f t="shared" si="35"/>
        <v>0</v>
      </c>
      <c r="C559" s="12">
        <f t="shared" si="36"/>
        <v>4</v>
      </c>
      <c r="D559" s="12">
        <f t="shared" si="37"/>
        <v>9</v>
      </c>
      <c r="E559" s="20" t="s">
        <v>574</v>
      </c>
      <c r="F559" s="20" t="s">
        <v>665</v>
      </c>
      <c r="G559" s="20" t="s">
        <v>833</v>
      </c>
      <c r="H559" s="20" t="s">
        <v>882</v>
      </c>
      <c r="I559" s="20">
        <v>5</v>
      </c>
      <c r="J559" s="20" t="s">
        <v>883</v>
      </c>
      <c r="K559" s="20" t="s">
        <v>892</v>
      </c>
      <c r="L559" s="20" t="s">
        <v>885</v>
      </c>
      <c r="M559" s="20" t="s">
        <v>671</v>
      </c>
      <c r="N559" s="20" t="s">
        <v>672</v>
      </c>
      <c r="P559" s="20" t="s">
        <v>671</v>
      </c>
      <c r="Q559" s="20" t="s">
        <v>673</v>
      </c>
      <c r="R559" s="20" t="s">
        <v>84</v>
      </c>
      <c r="S559" s="20">
        <v>5</v>
      </c>
      <c r="T559" s="20" t="s">
        <v>860</v>
      </c>
      <c r="U559" s="20" t="s">
        <v>861</v>
      </c>
      <c r="V559" s="20" t="s">
        <v>87</v>
      </c>
      <c r="W559" s="20">
        <v>515</v>
      </c>
      <c r="X559" s="20">
        <v>515</v>
      </c>
      <c r="Y559" s="20" t="s">
        <v>886</v>
      </c>
      <c r="Z559" s="20">
        <v>0.16666666666666666</v>
      </c>
      <c r="AA559" s="20" t="s">
        <v>887</v>
      </c>
      <c r="AB559" s="20" t="s">
        <v>89</v>
      </c>
      <c r="AC559" s="20" t="s">
        <v>90</v>
      </c>
      <c r="AD559" s="20" t="s">
        <v>888</v>
      </c>
      <c r="AE559" s="20" t="s">
        <v>91</v>
      </c>
      <c r="AF559" s="20">
        <v>0.16666666666666666</v>
      </c>
      <c r="AH559" s="20">
        <v>1</v>
      </c>
      <c r="AI559" s="4" t="s">
        <v>649</v>
      </c>
      <c r="AJ559" s="20">
        <v>35</v>
      </c>
      <c r="AK559" s="4" t="s">
        <v>679</v>
      </c>
      <c r="AL559" s="4">
        <v>3</v>
      </c>
      <c r="AM559" s="4" t="s">
        <v>438</v>
      </c>
      <c r="AN559" s="4" t="s">
        <v>95</v>
      </c>
      <c r="AO559" s="4" t="s">
        <v>680</v>
      </c>
      <c r="AP559" s="4">
        <v>1</v>
      </c>
      <c r="AQ559" s="20">
        <v>119000</v>
      </c>
      <c r="AR559" s="4">
        <v>41803</v>
      </c>
      <c r="AS559" s="20">
        <v>24040.404040404039</v>
      </c>
      <c r="AT559" s="20">
        <v>23928.5</v>
      </c>
      <c r="AU559" s="20">
        <v>-111.90404040403882</v>
      </c>
      <c r="AW559" s="20">
        <v>20</v>
      </c>
      <c r="AY559" s="20">
        <v>20</v>
      </c>
      <c r="AZ559" s="20">
        <v>20.7</v>
      </c>
      <c r="BB559" s="6">
        <v>41744</v>
      </c>
      <c r="BD559" s="6">
        <v>41844</v>
      </c>
      <c r="BE559" s="6">
        <v>41859</v>
      </c>
      <c r="BF559" s="6">
        <v>41884</v>
      </c>
      <c r="BK559" s="4" t="s">
        <v>401</v>
      </c>
      <c r="BM559" s="20">
        <v>35</v>
      </c>
      <c r="BN559" s="20">
        <v>0</v>
      </c>
      <c r="BO559" s="20">
        <v>0</v>
      </c>
      <c r="BP559" s="20">
        <v>0</v>
      </c>
      <c r="BQ559" s="20">
        <v>0</v>
      </c>
      <c r="BR559" s="20">
        <v>0</v>
      </c>
      <c r="BS559" s="20">
        <v>35</v>
      </c>
      <c r="BT559" s="20">
        <v>837497.5</v>
      </c>
      <c r="BU559" s="20">
        <v>4165000</v>
      </c>
      <c r="BV559" s="20">
        <v>4.5210447032542014</v>
      </c>
    </row>
    <row r="560" spans="1:74">
      <c r="A560" s="10">
        <f t="shared" si="34"/>
        <v>0</v>
      </c>
      <c r="B560" s="10">
        <f t="shared" si="35"/>
        <v>0</v>
      </c>
      <c r="C560" s="12">
        <f t="shared" si="36"/>
        <v>4</v>
      </c>
      <c r="D560" s="12">
        <f t="shared" si="37"/>
        <v>9</v>
      </c>
      <c r="E560" s="20" t="s">
        <v>574</v>
      </c>
      <c r="F560" s="20" t="s">
        <v>665</v>
      </c>
      <c r="G560" s="20" t="s">
        <v>833</v>
      </c>
      <c r="H560" s="20" t="s">
        <v>882</v>
      </c>
      <c r="I560" s="20">
        <v>5</v>
      </c>
      <c r="J560" s="20" t="s">
        <v>883</v>
      </c>
      <c r="K560" s="20" t="s">
        <v>893</v>
      </c>
      <c r="L560" s="20" t="s">
        <v>885</v>
      </c>
      <c r="M560" s="20" t="s">
        <v>671</v>
      </c>
      <c r="N560" s="20" t="s">
        <v>672</v>
      </c>
      <c r="P560" s="20" t="s">
        <v>671</v>
      </c>
      <c r="Q560" s="20" t="s">
        <v>673</v>
      </c>
      <c r="R560" s="20" t="s">
        <v>84</v>
      </c>
      <c r="S560" s="20">
        <v>5</v>
      </c>
      <c r="T560" s="20" t="s">
        <v>860</v>
      </c>
      <c r="U560" s="20" t="s">
        <v>861</v>
      </c>
      <c r="V560" s="20" t="s">
        <v>87</v>
      </c>
      <c r="W560" s="20">
        <v>515</v>
      </c>
      <c r="X560" s="20">
        <v>515</v>
      </c>
      <c r="Y560" s="20" t="s">
        <v>886</v>
      </c>
      <c r="Z560" s="20">
        <v>0.16666666666666666</v>
      </c>
      <c r="AA560" s="20" t="s">
        <v>887</v>
      </c>
      <c r="AB560" s="20" t="s">
        <v>89</v>
      </c>
      <c r="AC560" s="20" t="s">
        <v>90</v>
      </c>
      <c r="AD560" s="20" t="s">
        <v>888</v>
      </c>
      <c r="AE560" s="20" t="s">
        <v>91</v>
      </c>
      <c r="AF560" s="20">
        <v>0.16666666666666666</v>
      </c>
      <c r="AH560" s="20">
        <v>1</v>
      </c>
      <c r="AI560" s="4" t="s">
        <v>651</v>
      </c>
      <c r="AJ560" s="20">
        <v>35</v>
      </c>
      <c r="AK560" s="4" t="s">
        <v>679</v>
      </c>
      <c r="AL560" s="4">
        <v>3</v>
      </c>
      <c r="AM560" s="4" t="s">
        <v>438</v>
      </c>
      <c r="AN560" s="4" t="s">
        <v>95</v>
      </c>
      <c r="AO560" s="4" t="s">
        <v>680</v>
      </c>
      <c r="AP560" s="4">
        <v>1</v>
      </c>
      <c r="AQ560" s="20">
        <v>119000</v>
      </c>
      <c r="AR560" s="4">
        <v>41803</v>
      </c>
      <c r="AS560" s="20">
        <v>24040.404040404039</v>
      </c>
      <c r="AT560" s="20">
        <v>23928.5</v>
      </c>
      <c r="AU560" s="20">
        <v>-111.90404040403882</v>
      </c>
      <c r="AW560" s="20">
        <v>20</v>
      </c>
      <c r="AY560" s="20">
        <v>20</v>
      </c>
      <c r="AZ560" s="20">
        <v>20.7</v>
      </c>
      <c r="BB560" s="6">
        <v>41744</v>
      </c>
      <c r="BD560" s="6">
        <v>41844</v>
      </c>
      <c r="BE560" s="6">
        <v>41859</v>
      </c>
      <c r="BF560" s="6">
        <v>41884</v>
      </c>
      <c r="BK560" s="4" t="s">
        <v>401</v>
      </c>
      <c r="BM560" s="20">
        <v>34</v>
      </c>
      <c r="BN560" s="20">
        <v>0</v>
      </c>
      <c r="BO560" s="20">
        <v>0</v>
      </c>
      <c r="BP560" s="20">
        <v>0</v>
      </c>
      <c r="BQ560" s="20">
        <v>0</v>
      </c>
      <c r="BR560" s="20">
        <v>0</v>
      </c>
      <c r="BS560" s="20">
        <v>35</v>
      </c>
      <c r="BT560" s="20">
        <v>837497.5</v>
      </c>
      <c r="BU560" s="20">
        <v>4165000</v>
      </c>
      <c r="BV560" s="20">
        <v>4.5210447032542014</v>
      </c>
    </row>
    <row r="561" spans="1:74">
      <c r="A561" s="10">
        <f t="shared" si="34"/>
        <v>0</v>
      </c>
      <c r="B561" s="10">
        <f t="shared" si="35"/>
        <v>0</v>
      </c>
      <c r="C561" s="12">
        <f t="shared" si="36"/>
        <v>4</v>
      </c>
      <c r="D561" s="12">
        <f t="shared" si="37"/>
        <v>9</v>
      </c>
      <c r="E561" s="20" t="s">
        <v>574</v>
      </c>
      <c r="F561" s="20" t="s">
        <v>665</v>
      </c>
      <c r="G561" s="20" t="s">
        <v>833</v>
      </c>
      <c r="H561" s="20" t="s">
        <v>894</v>
      </c>
      <c r="I561" s="20">
        <v>6</v>
      </c>
      <c r="J561" s="20" t="s">
        <v>895</v>
      </c>
      <c r="K561" s="20" t="s">
        <v>896</v>
      </c>
      <c r="L561" s="20" t="s">
        <v>897</v>
      </c>
      <c r="M561" s="20" t="s">
        <v>671</v>
      </c>
      <c r="N561" s="20" t="s">
        <v>672</v>
      </c>
      <c r="P561" s="20" t="s">
        <v>671</v>
      </c>
      <c r="Q561" s="20" t="s">
        <v>673</v>
      </c>
      <c r="R561" s="20" t="s">
        <v>84</v>
      </c>
      <c r="S561" s="20">
        <v>5</v>
      </c>
      <c r="T561" s="20" t="s">
        <v>674</v>
      </c>
      <c r="U561" s="20" t="s">
        <v>675</v>
      </c>
      <c r="V561" s="20" t="s">
        <v>87</v>
      </c>
      <c r="W561" s="20">
        <v>516</v>
      </c>
      <c r="X561" s="20">
        <v>516</v>
      </c>
      <c r="Y561" s="20" t="s">
        <v>898</v>
      </c>
      <c r="Z561" s="20">
        <v>8.3333333333333329E-2</v>
      </c>
      <c r="AA561" s="20" t="s">
        <v>899</v>
      </c>
      <c r="AB561" s="20" t="s">
        <v>139</v>
      </c>
      <c r="AC561" s="20" t="s">
        <v>140</v>
      </c>
      <c r="AD561" s="20" t="s">
        <v>900</v>
      </c>
      <c r="AE561" s="20" t="s">
        <v>91</v>
      </c>
      <c r="AF561" s="20">
        <v>0.16666666666666666</v>
      </c>
      <c r="AH561" s="20">
        <v>1</v>
      </c>
      <c r="AI561" s="4" t="s">
        <v>640</v>
      </c>
      <c r="AJ561" s="20">
        <v>120</v>
      </c>
      <c r="AK561" s="4" t="s">
        <v>679</v>
      </c>
      <c r="AL561" s="4">
        <v>3</v>
      </c>
      <c r="AM561" s="4" t="s">
        <v>438</v>
      </c>
      <c r="AN561" s="4" t="s">
        <v>95</v>
      </c>
      <c r="AO561" s="4" t="s">
        <v>680</v>
      </c>
      <c r="AP561" s="4">
        <v>1</v>
      </c>
      <c r="AQ561" s="20">
        <v>159000</v>
      </c>
      <c r="AR561" s="4">
        <v>41803</v>
      </c>
      <c r="AS561" s="20">
        <v>32121.212121212116</v>
      </c>
      <c r="AT561" s="20">
        <v>35825.000000000007</v>
      </c>
      <c r="AU561" s="20">
        <v>3703.7878787878908</v>
      </c>
      <c r="AW561" s="20">
        <v>20</v>
      </c>
      <c r="AY561" s="20">
        <v>20</v>
      </c>
      <c r="AZ561" s="20">
        <v>31</v>
      </c>
      <c r="BB561" s="6">
        <v>41744</v>
      </c>
      <c r="BD561" s="6">
        <v>41844</v>
      </c>
      <c r="BE561" s="6">
        <v>41859</v>
      </c>
      <c r="BF561" s="6">
        <v>41884</v>
      </c>
      <c r="BK561" s="4" t="s">
        <v>401</v>
      </c>
      <c r="BM561" s="20">
        <v>120</v>
      </c>
      <c r="BN561" s="20">
        <v>0</v>
      </c>
      <c r="BO561" s="20">
        <v>0</v>
      </c>
      <c r="BP561" s="20">
        <v>0</v>
      </c>
      <c r="BQ561" s="20">
        <v>0</v>
      </c>
      <c r="BR561" s="20">
        <v>0</v>
      </c>
      <c r="BS561" s="20">
        <v>120</v>
      </c>
      <c r="BT561" s="20">
        <v>4299000.0000000009</v>
      </c>
      <c r="BU561" s="20">
        <v>19080000</v>
      </c>
      <c r="BV561" s="20">
        <v>4.0347649559094068</v>
      </c>
    </row>
    <row r="562" spans="1:74">
      <c r="A562" s="10">
        <f t="shared" si="34"/>
        <v>0</v>
      </c>
      <c r="B562" s="10">
        <f t="shared" si="35"/>
        <v>0</v>
      </c>
      <c r="C562" s="12">
        <f t="shared" si="36"/>
        <v>4</v>
      </c>
      <c r="D562" s="12">
        <f t="shared" si="37"/>
        <v>9</v>
      </c>
      <c r="E562" s="20" t="s">
        <v>574</v>
      </c>
      <c r="F562" s="20" t="s">
        <v>665</v>
      </c>
      <c r="G562" s="20" t="s">
        <v>833</v>
      </c>
      <c r="H562" s="20" t="s">
        <v>894</v>
      </c>
      <c r="I562" s="20">
        <v>6</v>
      </c>
      <c r="J562" s="20" t="s">
        <v>895</v>
      </c>
      <c r="K562" s="20" t="s">
        <v>901</v>
      </c>
      <c r="L562" s="20" t="s">
        <v>897</v>
      </c>
      <c r="M562" s="20" t="s">
        <v>671</v>
      </c>
      <c r="N562" s="20" t="s">
        <v>672</v>
      </c>
      <c r="P562" s="20" t="s">
        <v>671</v>
      </c>
      <c r="Q562" s="20" t="s">
        <v>673</v>
      </c>
      <c r="R562" s="20" t="s">
        <v>84</v>
      </c>
      <c r="S562" s="20">
        <v>5</v>
      </c>
      <c r="T562" s="20" t="s">
        <v>674</v>
      </c>
      <c r="U562" s="20" t="s">
        <v>675</v>
      </c>
      <c r="V562" s="20" t="s">
        <v>87</v>
      </c>
      <c r="W562" s="20">
        <v>516</v>
      </c>
      <c r="X562" s="20">
        <v>516</v>
      </c>
      <c r="Y562" s="20" t="s">
        <v>898</v>
      </c>
      <c r="Z562" s="20">
        <v>8.3333333333333329E-2</v>
      </c>
      <c r="AA562" s="20" t="s">
        <v>899</v>
      </c>
      <c r="AB562" s="20" t="s">
        <v>139</v>
      </c>
      <c r="AC562" s="20" t="s">
        <v>140</v>
      </c>
      <c r="AD562" s="20" t="s">
        <v>900</v>
      </c>
      <c r="AE562" s="20" t="s">
        <v>91</v>
      </c>
      <c r="AF562" s="20">
        <v>0.16666666666666666</v>
      </c>
      <c r="AH562" s="20">
        <v>1</v>
      </c>
      <c r="AI562" s="4" t="s">
        <v>643</v>
      </c>
      <c r="AJ562" s="20">
        <v>30</v>
      </c>
      <c r="AK562" s="4" t="s">
        <v>679</v>
      </c>
      <c r="AL562" s="4">
        <v>3</v>
      </c>
      <c r="AM562" s="4" t="s">
        <v>438</v>
      </c>
      <c r="AN562" s="4" t="s">
        <v>95</v>
      </c>
      <c r="AO562" s="4" t="s">
        <v>680</v>
      </c>
      <c r="AP562" s="4">
        <v>1</v>
      </c>
      <c r="AQ562" s="20">
        <v>159000</v>
      </c>
      <c r="AR562" s="4">
        <v>41803</v>
      </c>
      <c r="AS562" s="20">
        <v>32121.212121212116</v>
      </c>
      <c r="AT562" s="20">
        <v>35825.000000000007</v>
      </c>
      <c r="AU562" s="20">
        <v>3703.7878787878908</v>
      </c>
      <c r="AW562" s="20">
        <v>20</v>
      </c>
      <c r="AY562" s="20">
        <v>20</v>
      </c>
      <c r="AZ562" s="20">
        <v>31</v>
      </c>
      <c r="BB562" s="6">
        <v>41744</v>
      </c>
      <c r="BD562" s="6">
        <v>41844</v>
      </c>
      <c r="BE562" s="6">
        <v>41859</v>
      </c>
      <c r="BF562" s="6">
        <v>41884</v>
      </c>
      <c r="BK562" s="4" t="s">
        <v>401</v>
      </c>
      <c r="BM562" s="20">
        <v>30</v>
      </c>
      <c r="BN562" s="20">
        <v>0</v>
      </c>
      <c r="BO562" s="20">
        <v>0</v>
      </c>
      <c r="BP562" s="20">
        <v>0</v>
      </c>
      <c r="BQ562" s="20">
        <v>0</v>
      </c>
      <c r="BR562" s="20">
        <v>0</v>
      </c>
      <c r="BS562" s="20">
        <v>30</v>
      </c>
      <c r="BT562" s="20">
        <v>1074750.0000000002</v>
      </c>
      <c r="BU562" s="20">
        <v>4770000</v>
      </c>
      <c r="BV562" s="20">
        <v>4.0347649559094068</v>
      </c>
    </row>
    <row r="563" spans="1:74">
      <c r="A563" s="10">
        <f t="shared" si="34"/>
        <v>0</v>
      </c>
      <c r="B563" s="10">
        <f t="shared" si="35"/>
        <v>0</v>
      </c>
      <c r="C563" s="12">
        <f t="shared" si="36"/>
        <v>4</v>
      </c>
      <c r="D563" s="12">
        <f t="shared" si="37"/>
        <v>9</v>
      </c>
      <c r="E563" s="20" t="s">
        <v>574</v>
      </c>
      <c r="F563" s="20" t="s">
        <v>665</v>
      </c>
      <c r="G563" s="20" t="s">
        <v>833</v>
      </c>
      <c r="H563" s="20" t="s">
        <v>894</v>
      </c>
      <c r="I563" s="20">
        <v>6</v>
      </c>
      <c r="J563" s="20" t="s">
        <v>895</v>
      </c>
      <c r="K563" s="20" t="s">
        <v>902</v>
      </c>
      <c r="L563" s="20" t="s">
        <v>897</v>
      </c>
      <c r="M563" s="20" t="s">
        <v>671</v>
      </c>
      <c r="N563" s="20" t="s">
        <v>672</v>
      </c>
      <c r="P563" s="20" t="s">
        <v>671</v>
      </c>
      <c r="Q563" s="20" t="s">
        <v>673</v>
      </c>
      <c r="R563" s="20" t="s">
        <v>84</v>
      </c>
      <c r="S563" s="20">
        <v>5</v>
      </c>
      <c r="T563" s="20" t="s">
        <v>674</v>
      </c>
      <c r="U563" s="20" t="s">
        <v>675</v>
      </c>
      <c r="V563" s="20" t="s">
        <v>87</v>
      </c>
      <c r="W563" s="20">
        <v>516</v>
      </c>
      <c r="X563" s="20">
        <v>516</v>
      </c>
      <c r="Y563" s="20" t="s">
        <v>898</v>
      </c>
      <c r="Z563" s="20">
        <v>8.3333333333333329E-2</v>
      </c>
      <c r="AA563" s="20" t="s">
        <v>899</v>
      </c>
      <c r="AB563" s="20" t="s">
        <v>139</v>
      </c>
      <c r="AC563" s="20" t="s">
        <v>140</v>
      </c>
      <c r="AD563" s="20" t="s">
        <v>900</v>
      </c>
      <c r="AE563" s="20" t="s">
        <v>91</v>
      </c>
      <c r="AF563" s="20">
        <v>0.16666666666666666</v>
      </c>
      <c r="AH563" s="20">
        <v>1</v>
      </c>
      <c r="AI563" s="4" t="s">
        <v>645</v>
      </c>
      <c r="AJ563" s="20">
        <v>35</v>
      </c>
      <c r="AK563" s="4" t="s">
        <v>679</v>
      </c>
      <c r="AL563" s="4">
        <v>3</v>
      </c>
      <c r="AM563" s="4" t="s">
        <v>438</v>
      </c>
      <c r="AN563" s="4" t="s">
        <v>95</v>
      </c>
      <c r="AO563" s="4" t="s">
        <v>680</v>
      </c>
      <c r="AP563" s="4">
        <v>1</v>
      </c>
      <c r="AQ563" s="20">
        <v>159000</v>
      </c>
      <c r="AR563" s="4">
        <v>41803</v>
      </c>
      <c r="AS563" s="20">
        <v>32121.212121212116</v>
      </c>
      <c r="AT563" s="20">
        <v>35825.000000000007</v>
      </c>
      <c r="AU563" s="20">
        <v>3703.7878787878908</v>
      </c>
      <c r="AW563" s="20">
        <v>20</v>
      </c>
      <c r="AY563" s="20">
        <v>20</v>
      </c>
      <c r="AZ563" s="20">
        <v>31</v>
      </c>
      <c r="BB563" s="6">
        <v>41744</v>
      </c>
      <c r="BD563" s="6">
        <v>41844</v>
      </c>
      <c r="BE563" s="6">
        <v>41859</v>
      </c>
      <c r="BF563" s="6">
        <v>41884</v>
      </c>
      <c r="BK563" s="4" t="s">
        <v>401</v>
      </c>
      <c r="BM563" s="20">
        <v>33</v>
      </c>
      <c r="BN563" s="20">
        <v>0</v>
      </c>
      <c r="BO563" s="20">
        <v>0</v>
      </c>
      <c r="BP563" s="20">
        <v>0</v>
      </c>
      <c r="BQ563" s="20">
        <v>0</v>
      </c>
      <c r="BR563" s="20">
        <v>0</v>
      </c>
      <c r="BS563" s="20">
        <v>35</v>
      </c>
      <c r="BT563" s="20">
        <v>1253875.0000000002</v>
      </c>
      <c r="BU563" s="20">
        <v>5565000</v>
      </c>
      <c r="BV563" s="20">
        <v>4.0347649559094068</v>
      </c>
    </row>
    <row r="564" spans="1:74">
      <c r="A564" s="10">
        <f t="shared" si="34"/>
        <v>0</v>
      </c>
      <c r="B564" s="10">
        <f t="shared" si="35"/>
        <v>0</v>
      </c>
      <c r="C564" s="12">
        <f t="shared" si="36"/>
        <v>4</v>
      </c>
      <c r="D564" s="12">
        <f t="shared" si="37"/>
        <v>9</v>
      </c>
      <c r="E564" s="20" t="s">
        <v>574</v>
      </c>
      <c r="F564" s="20" t="s">
        <v>665</v>
      </c>
      <c r="G564" s="20" t="s">
        <v>833</v>
      </c>
      <c r="H564" s="20" t="s">
        <v>894</v>
      </c>
      <c r="I564" s="20">
        <v>6</v>
      </c>
      <c r="J564" s="20" t="s">
        <v>895</v>
      </c>
      <c r="K564" s="20" t="s">
        <v>903</v>
      </c>
      <c r="L564" s="20" t="s">
        <v>897</v>
      </c>
      <c r="M564" s="20" t="s">
        <v>671</v>
      </c>
      <c r="N564" s="20" t="s">
        <v>672</v>
      </c>
      <c r="P564" s="20" t="s">
        <v>671</v>
      </c>
      <c r="Q564" s="20" t="s">
        <v>673</v>
      </c>
      <c r="R564" s="20" t="s">
        <v>84</v>
      </c>
      <c r="S564" s="20">
        <v>5</v>
      </c>
      <c r="T564" s="20" t="s">
        <v>674</v>
      </c>
      <c r="U564" s="20" t="s">
        <v>675</v>
      </c>
      <c r="V564" s="20" t="s">
        <v>87</v>
      </c>
      <c r="W564" s="20">
        <v>516</v>
      </c>
      <c r="X564" s="20">
        <v>516</v>
      </c>
      <c r="Y564" s="20" t="s">
        <v>898</v>
      </c>
      <c r="Z564" s="20">
        <v>8.3333333333333329E-2</v>
      </c>
      <c r="AA564" s="20" t="s">
        <v>899</v>
      </c>
      <c r="AB564" s="20" t="s">
        <v>139</v>
      </c>
      <c r="AC564" s="20" t="s">
        <v>140</v>
      </c>
      <c r="AD564" s="20" t="s">
        <v>900</v>
      </c>
      <c r="AE564" s="20" t="s">
        <v>91</v>
      </c>
      <c r="AF564" s="20">
        <v>0.16666666666666666</v>
      </c>
      <c r="AH564" s="20">
        <v>1</v>
      </c>
      <c r="AI564" s="4" t="s">
        <v>647</v>
      </c>
      <c r="AJ564" s="20">
        <v>35</v>
      </c>
      <c r="AK564" s="4" t="s">
        <v>679</v>
      </c>
      <c r="AL564" s="4">
        <v>3</v>
      </c>
      <c r="AM564" s="4" t="s">
        <v>438</v>
      </c>
      <c r="AN564" s="4" t="s">
        <v>95</v>
      </c>
      <c r="AO564" s="4" t="s">
        <v>680</v>
      </c>
      <c r="AP564" s="4">
        <v>1</v>
      </c>
      <c r="AQ564" s="20">
        <v>159000</v>
      </c>
      <c r="AR564" s="4">
        <v>41803</v>
      </c>
      <c r="AS564" s="20">
        <v>32121.212121212116</v>
      </c>
      <c r="AT564" s="20">
        <v>35825.000000000007</v>
      </c>
      <c r="AU564" s="20">
        <v>3703.7878787878908</v>
      </c>
      <c r="AW564" s="20">
        <v>20</v>
      </c>
      <c r="AY564" s="20">
        <v>20</v>
      </c>
      <c r="AZ564" s="20">
        <v>31</v>
      </c>
      <c r="BB564" s="6">
        <v>41744</v>
      </c>
      <c r="BD564" s="6">
        <v>41844</v>
      </c>
      <c r="BE564" s="6">
        <v>41859</v>
      </c>
      <c r="BF564" s="6">
        <v>41884</v>
      </c>
      <c r="BK564" s="4" t="s">
        <v>401</v>
      </c>
      <c r="BM564" s="20">
        <v>35</v>
      </c>
      <c r="BN564" s="20">
        <v>0</v>
      </c>
      <c r="BO564" s="20">
        <v>0</v>
      </c>
      <c r="BP564" s="20">
        <v>0</v>
      </c>
      <c r="BQ564" s="20">
        <v>0</v>
      </c>
      <c r="BR564" s="20">
        <v>0</v>
      </c>
      <c r="BS564" s="20">
        <v>35</v>
      </c>
      <c r="BT564" s="20">
        <v>1253875.0000000002</v>
      </c>
      <c r="BU564" s="20">
        <v>5565000</v>
      </c>
      <c r="BV564" s="20">
        <v>4.0347649559094068</v>
      </c>
    </row>
    <row r="565" spans="1:74">
      <c r="A565" s="10">
        <f t="shared" si="34"/>
        <v>0</v>
      </c>
      <c r="B565" s="10">
        <f t="shared" si="35"/>
        <v>0</v>
      </c>
      <c r="C565" s="12">
        <f t="shared" si="36"/>
        <v>4</v>
      </c>
      <c r="D565" s="12">
        <f t="shared" si="37"/>
        <v>9</v>
      </c>
      <c r="E565" s="20" t="s">
        <v>574</v>
      </c>
      <c r="F565" s="20" t="s">
        <v>665</v>
      </c>
      <c r="G565" s="20" t="s">
        <v>833</v>
      </c>
      <c r="H565" s="20" t="s">
        <v>894</v>
      </c>
      <c r="I565" s="20">
        <v>6</v>
      </c>
      <c r="J565" s="20" t="s">
        <v>895</v>
      </c>
      <c r="K565" s="20" t="s">
        <v>904</v>
      </c>
      <c r="L565" s="20" t="s">
        <v>897</v>
      </c>
      <c r="M565" s="20" t="s">
        <v>671</v>
      </c>
      <c r="N565" s="20" t="s">
        <v>672</v>
      </c>
      <c r="P565" s="20" t="s">
        <v>671</v>
      </c>
      <c r="Q565" s="20" t="s">
        <v>673</v>
      </c>
      <c r="R565" s="20" t="s">
        <v>84</v>
      </c>
      <c r="S565" s="20">
        <v>5</v>
      </c>
      <c r="T565" s="20" t="s">
        <v>674</v>
      </c>
      <c r="U565" s="20" t="s">
        <v>675</v>
      </c>
      <c r="V565" s="20" t="s">
        <v>87</v>
      </c>
      <c r="W565" s="20">
        <v>516</v>
      </c>
      <c r="X565" s="20">
        <v>516</v>
      </c>
      <c r="Y565" s="20" t="s">
        <v>898</v>
      </c>
      <c r="Z565" s="20">
        <v>8.3333333333333329E-2</v>
      </c>
      <c r="AA565" s="20" t="s">
        <v>899</v>
      </c>
      <c r="AB565" s="20" t="s">
        <v>139</v>
      </c>
      <c r="AC565" s="20" t="s">
        <v>140</v>
      </c>
      <c r="AD565" s="20" t="s">
        <v>900</v>
      </c>
      <c r="AE565" s="20" t="s">
        <v>91</v>
      </c>
      <c r="AF565" s="20">
        <v>0.16666666666666666</v>
      </c>
      <c r="AH565" s="20">
        <v>1</v>
      </c>
      <c r="AI565" s="4" t="s">
        <v>649</v>
      </c>
      <c r="AJ565" s="20">
        <v>25</v>
      </c>
      <c r="AK565" s="4" t="s">
        <v>679</v>
      </c>
      <c r="AL565" s="4">
        <v>3</v>
      </c>
      <c r="AM565" s="4" t="s">
        <v>438</v>
      </c>
      <c r="AN565" s="4" t="s">
        <v>95</v>
      </c>
      <c r="AO565" s="4" t="s">
        <v>680</v>
      </c>
      <c r="AP565" s="4">
        <v>1</v>
      </c>
      <c r="AQ565" s="20">
        <v>159000</v>
      </c>
      <c r="AR565" s="4">
        <v>41803</v>
      </c>
      <c r="AS565" s="20">
        <v>32121.212121212116</v>
      </c>
      <c r="AT565" s="20">
        <v>35825.000000000007</v>
      </c>
      <c r="AU565" s="20">
        <v>3703.7878787878908</v>
      </c>
      <c r="AW565" s="20">
        <v>20</v>
      </c>
      <c r="AY565" s="20">
        <v>20</v>
      </c>
      <c r="AZ565" s="20">
        <v>31</v>
      </c>
      <c r="BB565" s="6">
        <v>41744</v>
      </c>
      <c r="BD565" s="6">
        <v>41844</v>
      </c>
      <c r="BE565" s="6">
        <v>41859</v>
      </c>
      <c r="BF565" s="6">
        <v>41884</v>
      </c>
      <c r="BK565" s="4" t="s">
        <v>401</v>
      </c>
      <c r="BM565" s="20">
        <v>25</v>
      </c>
      <c r="BN565" s="20">
        <v>0</v>
      </c>
      <c r="BO565" s="20">
        <v>0</v>
      </c>
      <c r="BP565" s="20">
        <v>0</v>
      </c>
      <c r="BQ565" s="20">
        <v>0</v>
      </c>
      <c r="BR565" s="20">
        <v>0</v>
      </c>
      <c r="BS565" s="20">
        <v>25</v>
      </c>
      <c r="BT565" s="20">
        <v>895625.00000000023</v>
      </c>
      <c r="BU565" s="20">
        <v>3975000</v>
      </c>
      <c r="BV565" s="20">
        <v>4.0347649559094068</v>
      </c>
    </row>
    <row r="566" spans="1:74">
      <c r="A566" s="10">
        <f t="shared" si="34"/>
        <v>0</v>
      </c>
      <c r="B566" s="10">
        <f t="shared" si="35"/>
        <v>0</v>
      </c>
      <c r="C566" s="12">
        <f t="shared" si="36"/>
        <v>4</v>
      </c>
      <c r="D566" s="12">
        <f t="shared" si="37"/>
        <v>9</v>
      </c>
      <c r="E566" s="20" t="s">
        <v>574</v>
      </c>
      <c r="F566" s="20" t="s">
        <v>665</v>
      </c>
      <c r="G566" s="20" t="s">
        <v>833</v>
      </c>
      <c r="H566" s="20" t="s">
        <v>894</v>
      </c>
      <c r="I566" s="20">
        <v>6</v>
      </c>
      <c r="J566" s="20" t="s">
        <v>895</v>
      </c>
      <c r="K566" s="20" t="s">
        <v>905</v>
      </c>
      <c r="L566" s="20" t="s">
        <v>897</v>
      </c>
      <c r="M566" s="20" t="s">
        <v>671</v>
      </c>
      <c r="N566" s="20" t="s">
        <v>672</v>
      </c>
      <c r="P566" s="20" t="s">
        <v>671</v>
      </c>
      <c r="Q566" s="20" t="s">
        <v>673</v>
      </c>
      <c r="R566" s="20" t="s">
        <v>84</v>
      </c>
      <c r="S566" s="20">
        <v>5</v>
      </c>
      <c r="T566" s="20" t="s">
        <v>674</v>
      </c>
      <c r="U566" s="20" t="s">
        <v>675</v>
      </c>
      <c r="V566" s="20" t="s">
        <v>87</v>
      </c>
      <c r="W566" s="20">
        <v>516</v>
      </c>
      <c r="X566" s="20">
        <v>516</v>
      </c>
      <c r="Y566" s="20" t="s">
        <v>898</v>
      </c>
      <c r="Z566" s="20">
        <v>8.3333333333333329E-2</v>
      </c>
      <c r="AA566" s="20" t="s">
        <v>899</v>
      </c>
      <c r="AB566" s="20" t="s">
        <v>139</v>
      </c>
      <c r="AC566" s="20" t="s">
        <v>140</v>
      </c>
      <c r="AD566" s="20" t="s">
        <v>900</v>
      </c>
      <c r="AE566" s="20" t="s">
        <v>91</v>
      </c>
      <c r="AF566" s="20">
        <v>0.16666666666666666</v>
      </c>
      <c r="AH566" s="20">
        <v>1</v>
      </c>
      <c r="AI566" s="4" t="s">
        <v>651</v>
      </c>
      <c r="AJ566" s="20">
        <v>25</v>
      </c>
      <c r="AK566" s="4" t="s">
        <v>679</v>
      </c>
      <c r="AL566" s="4">
        <v>3</v>
      </c>
      <c r="AM566" s="4" t="s">
        <v>438</v>
      </c>
      <c r="AN566" s="4" t="s">
        <v>95</v>
      </c>
      <c r="AO566" s="4" t="s">
        <v>680</v>
      </c>
      <c r="AP566" s="4">
        <v>1</v>
      </c>
      <c r="AQ566" s="20">
        <v>159000</v>
      </c>
      <c r="AR566" s="4">
        <v>41803</v>
      </c>
      <c r="AS566" s="20">
        <v>32121.212121212116</v>
      </c>
      <c r="AT566" s="20">
        <v>35825.000000000007</v>
      </c>
      <c r="AU566" s="20">
        <v>3703.7878787878908</v>
      </c>
      <c r="AW566" s="20">
        <v>20</v>
      </c>
      <c r="AY566" s="20">
        <v>20</v>
      </c>
      <c r="AZ566" s="20">
        <v>31</v>
      </c>
      <c r="BB566" s="6">
        <v>41744</v>
      </c>
      <c r="BD566" s="6">
        <v>41844</v>
      </c>
      <c r="BE566" s="6">
        <v>41859</v>
      </c>
      <c r="BF566" s="6">
        <v>41884</v>
      </c>
      <c r="BK566" s="4" t="s">
        <v>401</v>
      </c>
      <c r="BM566" s="20">
        <v>25</v>
      </c>
      <c r="BN566" s="20">
        <v>0</v>
      </c>
      <c r="BO566" s="20">
        <v>0</v>
      </c>
      <c r="BP566" s="20">
        <v>0</v>
      </c>
      <c r="BQ566" s="20">
        <v>0</v>
      </c>
      <c r="BR566" s="20">
        <v>0</v>
      </c>
      <c r="BS566" s="20">
        <v>25</v>
      </c>
      <c r="BT566" s="20">
        <v>895625.00000000023</v>
      </c>
      <c r="BU566" s="20">
        <v>3975000</v>
      </c>
      <c r="BV566" s="20">
        <v>4.0347649559094068</v>
      </c>
    </row>
    <row r="567" spans="1:74">
      <c r="A567" s="10">
        <f t="shared" si="34"/>
        <v>0</v>
      </c>
      <c r="B567" s="10">
        <f t="shared" si="35"/>
        <v>0</v>
      </c>
      <c r="C567" s="12">
        <f t="shared" si="36"/>
        <v>4</v>
      </c>
      <c r="D567" s="12">
        <f t="shared" si="37"/>
        <v>9</v>
      </c>
      <c r="E567" s="20" t="s">
        <v>574</v>
      </c>
      <c r="F567" s="20" t="s">
        <v>665</v>
      </c>
      <c r="G567" s="20" t="s">
        <v>833</v>
      </c>
      <c r="H567" s="20" t="s">
        <v>906</v>
      </c>
      <c r="I567" s="20">
        <v>7</v>
      </c>
      <c r="J567" s="20" t="s">
        <v>907</v>
      </c>
      <c r="K567" s="20" t="s">
        <v>908</v>
      </c>
      <c r="L567" s="20" t="s">
        <v>897</v>
      </c>
      <c r="M567" s="20" t="s">
        <v>671</v>
      </c>
      <c r="N567" s="20" t="s">
        <v>672</v>
      </c>
      <c r="P567" s="20" t="s">
        <v>671</v>
      </c>
      <c r="Q567" s="20" t="s">
        <v>673</v>
      </c>
      <c r="R567" s="20" t="s">
        <v>84</v>
      </c>
      <c r="S567" s="20">
        <v>5</v>
      </c>
      <c r="T567" s="20" t="s">
        <v>674</v>
      </c>
      <c r="U567" s="20" t="s">
        <v>675</v>
      </c>
      <c r="V567" s="20" t="s">
        <v>87</v>
      </c>
      <c r="W567" s="20">
        <v>516</v>
      </c>
      <c r="X567" s="20">
        <v>516</v>
      </c>
      <c r="Y567" s="20" t="s">
        <v>898</v>
      </c>
      <c r="Z567" s="20">
        <v>8.3333333333333329E-2</v>
      </c>
      <c r="AA567" s="20" t="s">
        <v>909</v>
      </c>
      <c r="AB567" s="20" t="s">
        <v>101</v>
      </c>
      <c r="AC567" s="20" t="s">
        <v>102</v>
      </c>
      <c r="AD567" s="20" t="s">
        <v>910</v>
      </c>
      <c r="AE567" s="20" t="s">
        <v>91</v>
      </c>
      <c r="AF567" s="20">
        <v>0.16666666666666666</v>
      </c>
      <c r="AH567" s="20">
        <v>1</v>
      </c>
      <c r="AI567" s="4" t="s">
        <v>640</v>
      </c>
      <c r="AJ567" s="20">
        <v>120</v>
      </c>
      <c r="AK567" s="4" t="s">
        <v>679</v>
      </c>
      <c r="AL567" s="4">
        <v>3</v>
      </c>
      <c r="AM567" s="4" t="s">
        <v>438</v>
      </c>
      <c r="AN567" s="4" t="s">
        <v>95</v>
      </c>
      <c r="AO567" s="4" t="s">
        <v>680</v>
      </c>
      <c r="AP567" s="4">
        <v>1</v>
      </c>
      <c r="AQ567" s="20">
        <v>159000</v>
      </c>
      <c r="AR567" s="4">
        <v>41803</v>
      </c>
      <c r="AS567" s="20">
        <v>32121.212121212116</v>
      </c>
      <c r="AT567" s="20">
        <v>35825.000000000007</v>
      </c>
      <c r="AU567" s="20">
        <v>3703.7878787878908</v>
      </c>
      <c r="AW567" s="20">
        <v>20</v>
      </c>
      <c r="AY567" s="20">
        <v>20</v>
      </c>
      <c r="AZ567" s="20">
        <v>31</v>
      </c>
      <c r="BB567" s="6">
        <v>41744</v>
      </c>
      <c r="BD567" s="6">
        <v>41844</v>
      </c>
      <c r="BE567" s="6">
        <v>41859</v>
      </c>
      <c r="BF567" s="6">
        <v>41884</v>
      </c>
      <c r="BK567" s="4" t="s">
        <v>401</v>
      </c>
      <c r="BM567" s="20">
        <v>120</v>
      </c>
      <c r="BN567" s="20">
        <v>0</v>
      </c>
      <c r="BO567" s="20">
        <v>0</v>
      </c>
      <c r="BP567" s="20">
        <v>0</v>
      </c>
      <c r="BQ567" s="20">
        <v>0</v>
      </c>
      <c r="BR567" s="20">
        <v>0</v>
      </c>
      <c r="BS567" s="20">
        <v>120</v>
      </c>
      <c r="BT567" s="20">
        <v>4299000.0000000009</v>
      </c>
      <c r="BU567" s="20">
        <v>19080000</v>
      </c>
      <c r="BV567" s="20">
        <v>4.0347649559094068</v>
      </c>
    </row>
    <row r="568" spans="1:74">
      <c r="A568" s="10">
        <f t="shared" si="34"/>
        <v>0</v>
      </c>
      <c r="B568" s="10">
        <f t="shared" si="35"/>
        <v>0</v>
      </c>
      <c r="C568" s="12">
        <f t="shared" si="36"/>
        <v>4</v>
      </c>
      <c r="D568" s="12">
        <f t="shared" si="37"/>
        <v>9</v>
      </c>
      <c r="E568" s="20" t="s">
        <v>574</v>
      </c>
      <c r="F568" s="20" t="s">
        <v>665</v>
      </c>
      <c r="G568" s="20" t="s">
        <v>833</v>
      </c>
      <c r="H568" s="20" t="s">
        <v>906</v>
      </c>
      <c r="I568" s="20">
        <v>7</v>
      </c>
      <c r="J568" s="20" t="s">
        <v>907</v>
      </c>
      <c r="K568" s="20" t="s">
        <v>911</v>
      </c>
      <c r="L568" s="20" t="s">
        <v>897</v>
      </c>
      <c r="M568" s="20" t="s">
        <v>671</v>
      </c>
      <c r="N568" s="20" t="s">
        <v>672</v>
      </c>
      <c r="P568" s="20" t="s">
        <v>671</v>
      </c>
      <c r="Q568" s="20" t="s">
        <v>673</v>
      </c>
      <c r="R568" s="20" t="s">
        <v>84</v>
      </c>
      <c r="S568" s="20">
        <v>5</v>
      </c>
      <c r="T568" s="20" t="s">
        <v>674</v>
      </c>
      <c r="U568" s="20" t="s">
        <v>675</v>
      </c>
      <c r="V568" s="20" t="s">
        <v>87</v>
      </c>
      <c r="W568" s="20">
        <v>516</v>
      </c>
      <c r="X568" s="20">
        <v>516</v>
      </c>
      <c r="Y568" s="20" t="s">
        <v>898</v>
      </c>
      <c r="Z568" s="20">
        <v>8.3333333333333329E-2</v>
      </c>
      <c r="AA568" s="20" t="s">
        <v>909</v>
      </c>
      <c r="AB568" s="20" t="s">
        <v>101</v>
      </c>
      <c r="AC568" s="20" t="s">
        <v>102</v>
      </c>
      <c r="AD568" s="20" t="s">
        <v>910</v>
      </c>
      <c r="AE568" s="20" t="s">
        <v>91</v>
      </c>
      <c r="AF568" s="20">
        <v>0.16666666666666666</v>
      </c>
      <c r="AH568" s="20">
        <v>1</v>
      </c>
      <c r="AI568" s="4" t="s">
        <v>643</v>
      </c>
      <c r="AJ568" s="20">
        <v>30</v>
      </c>
      <c r="AK568" s="4" t="s">
        <v>679</v>
      </c>
      <c r="AL568" s="4">
        <v>3</v>
      </c>
      <c r="AM568" s="4" t="s">
        <v>438</v>
      </c>
      <c r="AN568" s="4" t="s">
        <v>95</v>
      </c>
      <c r="AO568" s="4" t="s">
        <v>680</v>
      </c>
      <c r="AP568" s="4">
        <v>1</v>
      </c>
      <c r="AQ568" s="20">
        <v>159000</v>
      </c>
      <c r="AR568" s="4">
        <v>41803</v>
      </c>
      <c r="AS568" s="20">
        <v>32121.212121212116</v>
      </c>
      <c r="AT568" s="20">
        <v>35825.000000000007</v>
      </c>
      <c r="AU568" s="20">
        <v>3703.7878787878908</v>
      </c>
      <c r="AW568" s="20">
        <v>20</v>
      </c>
      <c r="AY568" s="20">
        <v>20</v>
      </c>
      <c r="AZ568" s="20">
        <v>31</v>
      </c>
      <c r="BB568" s="6">
        <v>41744</v>
      </c>
      <c r="BD568" s="6">
        <v>41844</v>
      </c>
      <c r="BE568" s="6">
        <v>41859</v>
      </c>
      <c r="BF568" s="6">
        <v>41884</v>
      </c>
      <c r="BK568" s="4" t="s">
        <v>401</v>
      </c>
      <c r="BM568" s="20">
        <v>28</v>
      </c>
      <c r="BN568" s="20">
        <v>0</v>
      </c>
      <c r="BO568" s="20">
        <v>0</v>
      </c>
      <c r="BP568" s="20">
        <v>0</v>
      </c>
      <c r="BQ568" s="20">
        <v>0</v>
      </c>
      <c r="BR568" s="20">
        <v>0</v>
      </c>
      <c r="BS568" s="20">
        <v>30</v>
      </c>
      <c r="BT568" s="20">
        <v>1074750.0000000002</v>
      </c>
      <c r="BU568" s="20">
        <v>4770000</v>
      </c>
      <c r="BV568" s="20">
        <v>4.0347649559094068</v>
      </c>
    </row>
    <row r="569" spans="1:74">
      <c r="A569" s="10">
        <f t="shared" si="34"/>
        <v>0</v>
      </c>
      <c r="B569" s="10">
        <f t="shared" si="35"/>
        <v>0</v>
      </c>
      <c r="C569" s="12">
        <f t="shared" si="36"/>
        <v>4</v>
      </c>
      <c r="D569" s="12">
        <f t="shared" si="37"/>
        <v>9</v>
      </c>
      <c r="E569" s="20" t="s">
        <v>574</v>
      </c>
      <c r="F569" s="20" t="s">
        <v>665</v>
      </c>
      <c r="G569" s="20" t="s">
        <v>833</v>
      </c>
      <c r="H569" s="20" t="s">
        <v>906</v>
      </c>
      <c r="I569" s="20">
        <v>7</v>
      </c>
      <c r="J569" s="20" t="s">
        <v>907</v>
      </c>
      <c r="K569" s="20" t="s">
        <v>912</v>
      </c>
      <c r="L569" s="20" t="s">
        <v>897</v>
      </c>
      <c r="M569" s="20" t="s">
        <v>671</v>
      </c>
      <c r="N569" s="20" t="s">
        <v>672</v>
      </c>
      <c r="P569" s="20" t="s">
        <v>671</v>
      </c>
      <c r="Q569" s="20" t="s">
        <v>673</v>
      </c>
      <c r="R569" s="20" t="s">
        <v>84</v>
      </c>
      <c r="S569" s="20">
        <v>5</v>
      </c>
      <c r="T569" s="20" t="s">
        <v>674</v>
      </c>
      <c r="U569" s="20" t="s">
        <v>675</v>
      </c>
      <c r="V569" s="20" t="s">
        <v>87</v>
      </c>
      <c r="W569" s="20">
        <v>516</v>
      </c>
      <c r="X569" s="20">
        <v>516</v>
      </c>
      <c r="Y569" s="20" t="s">
        <v>898</v>
      </c>
      <c r="Z569" s="20">
        <v>8.3333333333333329E-2</v>
      </c>
      <c r="AA569" s="20" t="s">
        <v>909</v>
      </c>
      <c r="AB569" s="20" t="s">
        <v>101</v>
      </c>
      <c r="AC569" s="20" t="s">
        <v>102</v>
      </c>
      <c r="AD569" s="20" t="s">
        <v>910</v>
      </c>
      <c r="AE569" s="20" t="s">
        <v>91</v>
      </c>
      <c r="AF569" s="20">
        <v>0.16666666666666666</v>
      </c>
      <c r="AH569" s="20">
        <v>1</v>
      </c>
      <c r="AI569" s="4" t="s">
        <v>645</v>
      </c>
      <c r="AJ569" s="20">
        <v>35</v>
      </c>
      <c r="AK569" s="4" t="s">
        <v>679</v>
      </c>
      <c r="AL569" s="4">
        <v>3</v>
      </c>
      <c r="AM569" s="4" t="s">
        <v>438</v>
      </c>
      <c r="AN569" s="4" t="s">
        <v>95</v>
      </c>
      <c r="AO569" s="4" t="s">
        <v>680</v>
      </c>
      <c r="AP569" s="4">
        <v>1</v>
      </c>
      <c r="AQ569" s="20">
        <v>159000</v>
      </c>
      <c r="AR569" s="4">
        <v>41803</v>
      </c>
      <c r="AS569" s="20">
        <v>32121.212121212116</v>
      </c>
      <c r="AT569" s="20">
        <v>35825.000000000007</v>
      </c>
      <c r="AU569" s="20">
        <v>3703.7878787878908</v>
      </c>
      <c r="AW569" s="20">
        <v>20</v>
      </c>
      <c r="AY569" s="20">
        <v>20</v>
      </c>
      <c r="AZ569" s="20">
        <v>31</v>
      </c>
      <c r="BB569" s="6">
        <v>41744</v>
      </c>
      <c r="BD569" s="6">
        <v>41844</v>
      </c>
      <c r="BE569" s="6">
        <v>41859</v>
      </c>
      <c r="BF569" s="6">
        <v>41884</v>
      </c>
      <c r="BK569" s="4" t="s">
        <v>401</v>
      </c>
      <c r="BM569" s="20">
        <v>35</v>
      </c>
      <c r="BN569" s="20">
        <v>0</v>
      </c>
      <c r="BO569" s="20">
        <v>0</v>
      </c>
      <c r="BP569" s="20">
        <v>0</v>
      </c>
      <c r="BQ569" s="20">
        <v>0</v>
      </c>
      <c r="BR569" s="20">
        <v>0</v>
      </c>
      <c r="BS569" s="20">
        <v>35</v>
      </c>
      <c r="BT569" s="20">
        <v>1253875.0000000002</v>
      </c>
      <c r="BU569" s="20">
        <v>5565000</v>
      </c>
      <c r="BV569" s="20">
        <v>4.0347649559094068</v>
      </c>
    </row>
    <row r="570" spans="1:74">
      <c r="A570" s="10">
        <f t="shared" si="34"/>
        <v>0</v>
      </c>
      <c r="B570" s="10">
        <f t="shared" si="35"/>
        <v>0</v>
      </c>
      <c r="C570" s="12">
        <f t="shared" si="36"/>
        <v>4</v>
      </c>
      <c r="D570" s="12">
        <f t="shared" si="37"/>
        <v>9</v>
      </c>
      <c r="E570" s="20" t="s">
        <v>574</v>
      </c>
      <c r="F570" s="20" t="s">
        <v>665</v>
      </c>
      <c r="G570" s="20" t="s">
        <v>833</v>
      </c>
      <c r="H570" s="20" t="s">
        <v>906</v>
      </c>
      <c r="I570" s="20">
        <v>7</v>
      </c>
      <c r="J570" s="20" t="s">
        <v>907</v>
      </c>
      <c r="K570" s="20" t="s">
        <v>913</v>
      </c>
      <c r="L570" s="20" t="s">
        <v>897</v>
      </c>
      <c r="M570" s="20" t="s">
        <v>671</v>
      </c>
      <c r="N570" s="20" t="s">
        <v>672</v>
      </c>
      <c r="P570" s="20" t="s">
        <v>671</v>
      </c>
      <c r="Q570" s="20" t="s">
        <v>673</v>
      </c>
      <c r="R570" s="20" t="s">
        <v>84</v>
      </c>
      <c r="S570" s="20">
        <v>5</v>
      </c>
      <c r="T570" s="20" t="s">
        <v>674</v>
      </c>
      <c r="U570" s="20" t="s">
        <v>675</v>
      </c>
      <c r="V570" s="20" t="s">
        <v>87</v>
      </c>
      <c r="W570" s="20">
        <v>516</v>
      </c>
      <c r="X570" s="20">
        <v>516</v>
      </c>
      <c r="Y570" s="20" t="s">
        <v>898</v>
      </c>
      <c r="Z570" s="20">
        <v>8.3333333333333329E-2</v>
      </c>
      <c r="AA570" s="20" t="s">
        <v>909</v>
      </c>
      <c r="AB570" s="20" t="s">
        <v>101</v>
      </c>
      <c r="AC570" s="20" t="s">
        <v>102</v>
      </c>
      <c r="AD570" s="20" t="s">
        <v>910</v>
      </c>
      <c r="AE570" s="20" t="s">
        <v>91</v>
      </c>
      <c r="AF570" s="20">
        <v>0.16666666666666666</v>
      </c>
      <c r="AH570" s="20">
        <v>1</v>
      </c>
      <c r="AI570" s="4" t="s">
        <v>647</v>
      </c>
      <c r="AJ570" s="20">
        <v>35</v>
      </c>
      <c r="AK570" s="4" t="s">
        <v>679</v>
      </c>
      <c r="AL570" s="4">
        <v>3</v>
      </c>
      <c r="AM570" s="4" t="s">
        <v>438</v>
      </c>
      <c r="AN570" s="4" t="s">
        <v>95</v>
      </c>
      <c r="AO570" s="4" t="s">
        <v>680</v>
      </c>
      <c r="AP570" s="4">
        <v>1</v>
      </c>
      <c r="AQ570" s="20">
        <v>159000</v>
      </c>
      <c r="AR570" s="4">
        <v>41803</v>
      </c>
      <c r="AS570" s="20">
        <v>32121.212121212116</v>
      </c>
      <c r="AT570" s="20">
        <v>35825.000000000007</v>
      </c>
      <c r="AU570" s="20">
        <v>3703.7878787878908</v>
      </c>
      <c r="AW570" s="20">
        <v>20</v>
      </c>
      <c r="AY570" s="20">
        <v>20</v>
      </c>
      <c r="AZ570" s="20">
        <v>31</v>
      </c>
      <c r="BB570" s="6">
        <v>41744</v>
      </c>
      <c r="BD570" s="6">
        <v>41844</v>
      </c>
      <c r="BE570" s="6">
        <v>41859</v>
      </c>
      <c r="BF570" s="6">
        <v>41884</v>
      </c>
      <c r="BK570" s="4" t="s">
        <v>401</v>
      </c>
      <c r="BM570" s="20">
        <v>35</v>
      </c>
      <c r="BN570" s="20">
        <v>0</v>
      </c>
      <c r="BO570" s="20">
        <v>0</v>
      </c>
      <c r="BP570" s="20">
        <v>0</v>
      </c>
      <c r="BQ570" s="20">
        <v>0</v>
      </c>
      <c r="BR570" s="20">
        <v>0</v>
      </c>
      <c r="BS570" s="20">
        <v>35</v>
      </c>
      <c r="BT570" s="20">
        <v>1253875.0000000002</v>
      </c>
      <c r="BU570" s="20">
        <v>5565000</v>
      </c>
      <c r="BV570" s="20">
        <v>4.0347649559094068</v>
      </c>
    </row>
    <row r="571" spans="1:74">
      <c r="A571" s="10">
        <f t="shared" si="34"/>
        <v>0</v>
      </c>
      <c r="B571" s="10">
        <f t="shared" si="35"/>
        <v>0</v>
      </c>
      <c r="C571" s="12">
        <f t="shared" si="36"/>
        <v>4</v>
      </c>
      <c r="D571" s="12">
        <f t="shared" si="37"/>
        <v>9</v>
      </c>
      <c r="E571" s="20" t="s">
        <v>574</v>
      </c>
      <c r="F571" s="20" t="s">
        <v>665</v>
      </c>
      <c r="G571" s="20" t="s">
        <v>833</v>
      </c>
      <c r="H571" s="20" t="s">
        <v>906</v>
      </c>
      <c r="I571" s="20">
        <v>7</v>
      </c>
      <c r="J571" s="20" t="s">
        <v>907</v>
      </c>
      <c r="K571" s="20" t="s">
        <v>914</v>
      </c>
      <c r="L571" s="20" t="s">
        <v>897</v>
      </c>
      <c r="M571" s="20" t="s">
        <v>671</v>
      </c>
      <c r="N571" s="20" t="s">
        <v>672</v>
      </c>
      <c r="P571" s="20" t="s">
        <v>671</v>
      </c>
      <c r="Q571" s="20" t="s">
        <v>673</v>
      </c>
      <c r="R571" s="20" t="s">
        <v>84</v>
      </c>
      <c r="S571" s="20">
        <v>5</v>
      </c>
      <c r="T571" s="20" t="s">
        <v>674</v>
      </c>
      <c r="U571" s="20" t="s">
        <v>675</v>
      </c>
      <c r="V571" s="20" t="s">
        <v>87</v>
      </c>
      <c r="W571" s="20">
        <v>516</v>
      </c>
      <c r="X571" s="20">
        <v>516</v>
      </c>
      <c r="Y571" s="20" t="s">
        <v>898</v>
      </c>
      <c r="Z571" s="20">
        <v>8.3333333333333329E-2</v>
      </c>
      <c r="AA571" s="20" t="s">
        <v>909</v>
      </c>
      <c r="AB571" s="20" t="s">
        <v>101</v>
      </c>
      <c r="AC571" s="20" t="s">
        <v>102</v>
      </c>
      <c r="AD571" s="20" t="s">
        <v>910</v>
      </c>
      <c r="AE571" s="20" t="s">
        <v>91</v>
      </c>
      <c r="AF571" s="20">
        <v>0.16666666666666666</v>
      </c>
      <c r="AH571" s="20">
        <v>1</v>
      </c>
      <c r="AI571" s="4" t="s">
        <v>649</v>
      </c>
      <c r="AJ571" s="20">
        <v>25</v>
      </c>
      <c r="AK571" s="4" t="s">
        <v>679</v>
      </c>
      <c r="AL571" s="4">
        <v>3</v>
      </c>
      <c r="AM571" s="4" t="s">
        <v>438</v>
      </c>
      <c r="AN571" s="4" t="s">
        <v>95</v>
      </c>
      <c r="AO571" s="4" t="s">
        <v>680</v>
      </c>
      <c r="AP571" s="4">
        <v>1</v>
      </c>
      <c r="AQ571" s="20">
        <v>159000</v>
      </c>
      <c r="AR571" s="4">
        <v>41803</v>
      </c>
      <c r="AS571" s="20">
        <v>32121.212121212116</v>
      </c>
      <c r="AT571" s="20">
        <v>35825.000000000007</v>
      </c>
      <c r="AU571" s="20">
        <v>3703.7878787878908</v>
      </c>
      <c r="AW571" s="20">
        <v>20</v>
      </c>
      <c r="AY571" s="20">
        <v>20</v>
      </c>
      <c r="AZ571" s="20">
        <v>31</v>
      </c>
      <c r="BB571" s="6">
        <v>41744</v>
      </c>
      <c r="BD571" s="6">
        <v>41844</v>
      </c>
      <c r="BE571" s="6">
        <v>41859</v>
      </c>
      <c r="BF571" s="6">
        <v>41884</v>
      </c>
      <c r="BK571" s="4" t="s">
        <v>401</v>
      </c>
      <c r="BM571" s="20">
        <v>25</v>
      </c>
      <c r="BN571" s="20">
        <v>0</v>
      </c>
      <c r="BO571" s="20">
        <v>0</v>
      </c>
      <c r="BP571" s="20">
        <v>0</v>
      </c>
      <c r="BQ571" s="20">
        <v>0</v>
      </c>
      <c r="BR571" s="20">
        <v>0</v>
      </c>
      <c r="BS571" s="20">
        <v>25</v>
      </c>
      <c r="BT571" s="20">
        <v>895625.00000000023</v>
      </c>
      <c r="BU571" s="20">
        <v>3975000</v>
      </c>
      <c r="BV571" s="20">
        <v>4.0347649559094068</v>
      </c>
    </row>
    <row r="572" spans="1:74">
      <c r="A572" s="10">
        <f t="shared" si="34"/>
        <v>0</v>
      </c>
      <c r="B572" s="10">
        <f t="shared" si="35"/>
        <v>0</v>
      </c>
      <c r="C572" s="12">
        <f t="shared" si="36"/>
        <v>4</v>
      </c>
      <c r="D572" s="12">
        <f t="shared" si="37"/>
        <v>9</v>
      </c>
      <c r="E572" s="20" t="s">
        <v>574</v>
      </c>
      <c r="F572" s="20" t="s">
        <v>665</v>
      </c>
      <c r="G572" s="20" t="s">
        <v>833</v>
      </c>
      <c r="H572" s="20" t="s">
        <v>906</v>
      </c>
      <c r="I572" s="20">
        <v>7</v>
      </c>
      <c r="J572" s="20" t="s">
        <v>907</v>
      </c>
      <c r="K572" s="20" t="s">
        <v>915</v>
      </c>
      <c r="L572" s="20" t="s">
        <v>897</v>
      </c>
      <c r="M572" s="20" t="s">
        <v>671</v>
      </c>
      <c r="N572" s="20" t="s">
        <v>672</v>
      </c>
      <c r="P572" s="20" t="s">
        <v>671</v>
      </c>
      <c r="Q572" s="20" t="s">
        <v>673</v>
      </c>
      <c r="R572" s="20" t="s">
        <v>84</v>
      </c>
      <c r="S572" s="20">
        <v>5</v>
      </c>
      <c r="T572" s="20" t="s">
        <v>674</v>
      </c>
      <c r="U572" s="20" t="s">
        <v>675</v>
      </c>
      <c r="V572" s="20" t="s">
        <v>87</v>
      </c>
      <c r="W572" s="20">
        <v>516</v>
      </c>
      <c r="X572" s="20">
        <v>516</v>
      </c>
      <c r="Y572" s="20" t="s">
        <v>898</v>
      </c>
      <c r="Z572" s="20">
        <v>8.3333333333333329E-2</v>
      </c>
      <c r="AA572" s="20" t="s">
        <v>909</v>
      </c>
      <c r="AB572" s="20" t="s">
        <v>101</v>
      </c>
      <c r="AC572" s="20" t="s">
        <v>102</v>
      </c>
      <c r="AD572" s="20" t="s">
        <v>910</v>
      </c>
      <c r="AE572" s="20" t="s">
        <v>91</v>
      </c>
      <c r="AF572" s="20">
        <v>0.16666666666666666</v>
      </c>
      <c r="AH572" s="20">
        <v>1</v>
      </c>
      <c r="AI572" s="4" t="s">
        <v>651</v>
      </c>
      <c r="AJ572" s="20">
        <v>25</v>
      </c>
      <c r="AK572" s="4" t="s">
        <v>679</v>
      </c>
      <c r="AL572" s="4">
        <v>3</v>
      </c>
      <c r="AM572" s="4" t="s">
        <v>438</v>
      </c>
      <c r="AN572" s="4" t="s">
        <v>95</v>
      </c>
      <c r="AO572" s="4" t="s">
        <v>680</v>
      </c>
      <c r="AP572" s="4">
        <v>1</v>
      </c>
      <c r="AQ572" s="20">
        <v>159000</v>
      </c>
      <c r="AR572" s="4">
        <v>41803</v>
      </c>
      <c r="AS572" s="20">
        <v>32121.212121212116</v>
      </c>
      <c r="AT572" s="20">
        <v>35825.000000000007</v>
      </c>
      <c r="AU572" s="20">
        <v>3703.7878787878908</v>
      </c>
      <c r="AW572" s="20">
        <v>20</v>
      </c>
      <c r="AY572" s="20">
        <v>20</v>
      </c>
      <c r="AZ572" s="20">
        <v>31</v>
      </c>
      <c r="BB572" s="6">
        <v>41744</v>
      </c>
      <c r="BD572" s="6">
        <v>41844</v>
      </c>
      <c r="BE572" s="6">
        <v>41859</v>
      </c>
      <c r="BF572" s="6">
        <v>41884</v>
      </c>
      <c r="BK572" s="4" t="s">
        <v>401</v>
      </c>
      <c r="BM572" s="20">
        <v>23</v>
      </c>
      <c r="BN572" s="20">
        <v>0</v>
      </c>
      <c r="BO572" s="20">
        <v>0</v>
      </c>
      <c r="BP572" s="20">
        <v>0</v>
      </c>
      <c r="BQ572" s="20">
        <v>0</v>
      </c>
      <c r="BR572" s="20">
        <v>0</v>
      </c>
      <c r="BS572" s="20">
        <v>25</v>
      </c>
      <c r="BT572" s="20">
        <v>895625.00000000023</v>
      </c>
      <c r="BU572" s="20">
        <v>3975000</v>
      </c>
      <c r="BV572" s="20">
        <v>4.0347649559094068</v>
      </c>
    </row>
    <row r="573" spans="1:74">
      <c r="A573" s="10">
        <f t="shared" si="34"/>
        <v>0</v>
      </c>
      <c r="B573" s="10">
        <f t="shared" si="35"/>
        <v>0</v>
      </c>
      <c r="C573" s="12" t="str">
        <f t="shared" si="36"/>
        <v/>
      </c>
      <c r="D573" s="12" t="str">
        <f t="shared" si="37"/>
        <v/>
      </c>
      <c r="E573" s="20" t="s">
        <v>91</v>
      </c>
      <c r="F573" s="20" t="s">
        <v>91</v>
      </c>
      <c r="G573" s="20" t="s">
        <v>91</v>
      </c>
      <c r="H573" s="20" t="s">
        <v>91</v>
      </c>
      <c r="I573" s="20">
        <v>0</v>
      </c>
      <c r="J573" s="20" t="s">
        <v>103</v>
      </c>
      <c r="K573" s="20" t="s">
        <v>104</v>
      </c>
      <c r="L573" s="20">
        <v>0</v>
      </c>
      <c r="M573" s="20" t="s">
        <v>105</v>
      </c>
      <c r="N573" s="20" t="s">
        <v>91</v>
      </c>
      <c r="O573" s="20" t="s">
        <v>916</v>
      </c>
      <c r="Q573" s="20" t="s">
        <v>91</v>
      </c>
      <c r="R573" s="20" t="s">
        <v>91</v>
      </c>
      <c r="S573" s="20" t="s">
        <v>91</v>
      </c>
      <c r="U573" s="20" t="s">
        <v>91</v>
      </c>
      <c r="V573" s="20" t="s">
        <v>87</v>
      </c>
      <c r="X573" s="20" t="s">
        <v>91</v>
      </c>
      <c r="Y573" s="20" t="s">
        <v>91</v>
      </c>
      <c r="Z573" s="20">
        <v>4.9999999999999956</v>
      </c>
      <c r="AB573" s="20" t="s">
        <v>91</v>
      </c>
      <c r="AD573" s="20" t="s">
        <v>91</v>
      </c>
      <c r="AE573" s="20" t="s">
        <v>91</v>
      </c>
      <c r="AF573" s="20">
        <v>7.0000000000000036</v>
      </c>
      <c r="AH573" s="20">
        <v>1</v>
      </c>
      <c r="AM573" s="4" t="s">
        <v>91</v>
      </c>
      <c r="AP573" s="4" t="s">
        <v>91</v>
      </c>
      <c r="AQ573" s="20">
        <v>0</v>
      </c>
      <c r="AR573" s="4">
        <v>0</v>
      </c>
      <c r="AS573" s="20">
        <v>0</v>
      </c>
      <c r="AT573" s="20">
        <v>0</v>
      </c>
      <c r="AU573" s="20">
        <v>0</v>
      </c>
      <c r="AY573" s="20">
        <v>0</v>
      </c>
      <c r="BB573" s="6">
        <v>0</v>
      </c>
      <c r="BD573" s="6">
        <v>0</v>
      </c>
      <c r="BF573" s="6">
        <v>0</v>
      </c>
      <c r="BM573" s="20">
        <v>2128</v>
      </c>
      <c r="BN573" s="20">
        <v>239</v>
      </c>
      <c r="BO573" s="20">
        <v>0</v>
      </c>
      <c r="BP573" s="20">
        <v>0</v>
      </c>
      <c r="BQ573" s="20">
        <v>0</v>
      </c>
      <c r="BR573" s="20">
        <v>0</v>
      </c>
      <c r="BS573" s="20">
        <v>2380</v>
      </c>
      <c r="BT573" s="20">
        <v>58513700</v>
      </c>
      <c r="BU573" s="20">
        <v>272820000</v>
      </c>
      <c r="BV573" s="20">
        <v>4.2386344021687536</v>
      </c>
    </row>
    <row r="574" spans="1:74">
      <c r="A574" s="10">
        <f t="shared" si="34"/>
        <v>0</v>
      </c>
      <c r="B574" s="10">
        <f t="shared" si="35"/>
        <v>0</v>
      </c>
      <c r="C574" s="12">
        <f t="shared" si="36"/>
        <v>4</v>
      </c>
      <c r="D574" s="12">
        <f t="shared" si="37"/>
        <v>9</v>
      </c>
      <c r="E574" s="20" t="s">
        <v>574</v>
      </c>
      <c r="F574" s="20" t="s">
        <v>665</v>
      </c>
      <c r="G574" s="20" t="s">
        <v>917</v>
      </c>
      <c r="H574" s="20" t="s">
        <v>918</v>
      </c>
      <c r="I574" s="20">
        <v>1</v>
      </c>
      <c r="J574" s="20" t="s">
        <v>919</v>
      </c>
      <c r="K574" s="20" t="s">
        <v>920</v>
      </c>
      <c r="L574" s="20" t="s">
        <v>921</v>
      </c>
      <c r="M574" s="20" t="s">
        <v>671</v>
      </c>
      <c r="N574" s="20" t="s">
        <v>672</v>
      </c>
      <c r="P574" s="20" t="s">
        <v>671</v>
      </c>
      <c r="Q574" s="20" t="s">
        <v>673</v>
      </c>
      <c r="R574" s="20" t="s">
        <v>84</v>
      </c>
      <c r="S574" s="20">
        <v>5</v>
      </c>
      <c r="T574" s="20" t="s">
        <v>922</v>
      </c>
      <c r="U574" s="20" t="s">
        <v>923</v>
      </c>
      <c r="V574" s="20" t="s">
        <v>87</v>
      </c>
      <c r="W574" s="20">
        <v>517</v>
      </c>
      <c r="X574" s="20">
        <v>517</v>
      </c>
      <c r="Y574" s="20" t="s">
        <v>924</v>
      </c>
      <c r="Z574" s="20">
        <v>8.3333333333333329E-2</v>
      </c>
      <c r="AA574" s="20" t="s">
        <v>925</v>
      </c>
      <c r="AB574" s="20" t="s">
        <v>248</v>
      </c>
      <c r="AC574" s="20" t="s">
        <v>249</v>
      </c>
      <c r="AD574" s="20" t="s">
        <v>926</v>
      </c>
      <c r="AE574" s="20" t="s">
        <v>91</v>
      </c>
      <c r="AF574" s="20">
        <v>0.16666666666666666</v>
      </c>
      <c r="AH574" s="20">
        <v>1</v>
      </c>
      <c r="AI574" s="4" t="s">
        <v>640</v>
      </c>
      <c r="AJ574" s="20">
        <v>150</v>
      </c>
      <c r="AK574" s="4" t="s">
        <v>780</v>
      </c>
      <c r="AL574" s="4">
        <v>4</v>
      </c>
      <c r="AM574" s="4" t="s">
        <v>470</v>
      </c>
      <c r="AN574" s="4" t="s">
        <v>95</v>
      </c>
      <c r="AO574" s="4" t="s">
        <v>131</v>
      </c>
      <c r="AP574" s="4">
        <v>2</v>
      </c>
      <c r="AQ574" s="20">
        <v>99000</v>
      </c>
      <c r="AR574" s="4">
        <v>41803</v>
      </c>
      <c r="AS574" s="20">
        <v>25000</v>
      </c>
      <c r="AT574" s="20">
        <v>22325</v>
      </c>
      <c r="AU574" s="20">
        <v>-2675</v>
      </c>
      <c r="AW574" s="20">
        <v>20</v>
      </c>
      <c r="AY574" s="20">
        <v>20</v>
      </c>
      <c r="BA574" s="20">
        <v>22305</v>
      </c>
      <c r="BB574" s="6">
        <v>41744</v>
      </c>
      <c r="BD574" s="6">
        <v>41844</v>
      </c>
      <c r="BE574" s="6">
        <v>41864</v>
      </c>
      <c r="BF574" s="6">
        <v>41912</v>
      </c>
      <c r="BK574" s="4" t="s">
        <v>401</v>
      </c>
      <c r="BM574" s="20">
        <v>154</v>
      </c>
      <c r="BN574" s="20">
        <v>0</v>
      </c>
      <c r="BO574" s="20">
        <v>0</v>
      </c>
      <c r="BP574" s="20">
        <v>0</v>
      </c>
      <c r="BQ574" s="20">
        <v>0</v>
      </c>
      <c r="BR574" s="20">
        <v>0</v>
      </c>
      <c r="BS574" s="20">
        <v>150</v>
      </c>
      <c r="BT574" s="20">
        <v>3348750</v>
      </c>
      <c r="BU574" s="20">
        <v>14850000</v>
      </c>
      <c r="BV574" s="20">
        <v>4.0313549832026867</v>
      </c>
    </row>
    <row r="575" spans="1:74">
      <c r="A575" s="10">
        <f t="shared" si="34"/>
        <v>0</v>
      </c>
      <c r="B575" s="10">
        <f t="shared" si="35"/>
        <v>0</v>
      </c>
      <c r="C575" s="12">
        <f t="shared" si="36"/>
        <v>4</v>
      </c>
      <c r="D575" s="12">
        <f t="shared" si="37"/>
        <v>9</v>
      </c>
      <c r="E575" s="20" t="s">
        <v>574</v>
      </c>
      <c r="F575" s="20" t="s">
        <v>665</v>
      </c>
      <c r="G575" s="20" t="s">
        <v>917</v>
      </c>
      <c r="H575" s="20" t="s">
        <v>918</v>
      </c>
      <c r="I575" s="20">
        <v>1</v>
      </c>
      <c r="J575" s="20" t="s">
        <v>919</v>
      </c>
      <c r="K575" s="20" t="s">
        <v>927</v>
      </c>
      <c r="L575" s="20" t="s">
        <v>921</v>
      </c>
      <c r="M575" s="20" t="s">
        <v>671</v>
      </c>
      <c r="N575" s="20" t="s">
        <v>672</v>
      </c>
      <c r="P575" s="20" t="s">
        <v>671</v>
      </c>
      <c r="Q575" s="20" t="s">
        <v>673</v>
      </c>
      <c r="R575" s="20" t="s">
        <v>84</v>
      </c>
      <c r="S575" s="20">
        <v>5</v>
      </c>
      <c r="T575" s="20" t="s">
        <v>922</v>
      </c>
      <c r="U575" s="20" t="s">
        <v>923</v>
      </c>
      <c r="V575" s="20" t="s">
        <v>87</v>
      </c>
      <c r="W575" s="20">
        <v>517</v>
      </c>
      <c r="X575" s="20">
        <v>517</v>
      </c>
      <c r="Y575" s="20" t="s">
        <v>924</v>
      </c>
      <c r="Z575" s="20">
        <v>8.3333333333333329E-2</v>
      </c>
      <c r="AA575" s="20" t="s">
        <v>925</v>
      </c>
      <c r="AB575" s="20" t="s">
        <v>248</v>
      </c>
      <c r="AC575" s="20" t="s">
        <v>249</v>
      </c>
      <c r="AD575" s="20" t="s">
        <v>926</v>
      </c>
      <c r="AE575" s="20" t="s">
        <v>91</v>
      </c>
      <c r="AF575" s="20">
        <v>0.16666666666666666</v>
      </c>
      <c r="AH575" s="20">
        <v>1</v>
      </c>
      <c r="AI575" s="4" t="s">
        <v>643</v>
      </c>
      <c r="AJ575" s="20">
        <v>40</v>
      </c>
      <c r="AK575" s="4" t="s">
        <v>780</v>
      </c>
      <c r="AL575" s="4">
        <v>4</v>
      </c>
      <c r="AM575" s="4" t="s">
        <v>470</v>
      </c>
      <c r="AN575" s="4" t="s">
        <v>95</v>
      </c>
      <c r="AO575" s="4" t="s">
        <v>131</v>
      </c>
      <c r="AP575" s="4">
        <v>2</v>
      </c>
      <c r="AQ575" s="20">
        <v>99000</v>
      </c>
      <c r="AR575" s="4">
        <v>41803</v>
      </c>
      <c r="AS575" s="20">
        <v>25000</v>
      </c>
      <c r="AT575" s="20">
        <v>22325</v>
      </c>
      <c r="AU575" s="20">
        <v>-2675</v>
      </c>
      <c r="AW575" s="20">
        <v>20</v>
      </c>
      <c r="AY575" s="20">
        <v>20</v>
      </c>
      <c r="BA575" s="20">
        <v>22305</v>
      </c>
      <c r="BB575" s="6">
        <v>41744</v>
      </c>
      <c r="BD575" s="6">
        <v>41844</v>
      </c>
      <c r="BE575" s="6">
        <v>41864</v>
      </c>
      <c r="BF575" s="6">
        <v>41912</v>
      </c>
      <c r="BK575" s="4" t="s">
        <v>401</v>
      </c>
      <c r="BM575" s="20">
        <v>39</v>
      </c>
      <c r="BN575" s="20">
        <v>0</v>
      </c>
      <c r="BO575" s="20">
        <v>0</v>
      </c>
      <c r="BP575" s="20">
        <v>0</v>
      </c>
      <c r="BQ575" s="20">
        <v>0</v>
      </c>
      <c r="BR575" s="20">
        <v>0</v>
      </c>
      <c r="BS575" s="20">
        <v>40</v>
      </c>
      <c r="BT575" s="20">
        <v>893000</v>
      </c>
      <c r="BU575" s="20">
        <v>3960000</v>
      </c>
      <c r="BV575" s="20">
        <v>4.0313549832026867</v>
      </c>
    </row>
    <row r="576" spans="1:74">
      <c r="A576" s="10">
        <f t="shared" si="34"/>
        <v>0</v>
      </c>
      <c r="B576" s="10">
        <f t="shared" si="35"/>
        <v>0</v>
      </c>
      <c r="C576" s="12">
        <f t="shared" si="36"/>
        <v>4</v>
      </c>
      <c r="D576" s="12">
        <f t="shared" si="37"/>
        <v>9</v>
      </c>
      <c r="E576" s="20" t="s">
        <v>574</v>
      </c>
      <c r="F576" s="20" t="s">
        <v>665</v>
      </c>
      <c r="G576" s="20" t="s">
        <v>917</v>
      </c>
      <c r="H576" s="20" t="s">
        <v>918</v>
      </c>
      <c r="I576" s="20">
        <v>1</v>
      </c>
      <c r="J576" s="20" t="s">
        <v>919</v>
      </c>
      <c r="K576" s="20" t="s">
        <v>928</v>
      </c>
      <c r="L576" s="20" t="s">
        <v>921</v>
      </c>
      <c r="M576" s="20" t="s">
        <v>671</v>
      </c>
      <c r="N576" s="20" t="s">
        <v>672</v>
      </c>
      <c r="P576" s="20" t="s">
        <v>671</v>
      </c>
      <c r="Q576" s="20" t="s">
        <v>673</v>
      </c>
      <c r="R576" s="20" t="s">
        <v>84</v>
      </c>
      <c r="S576" s="20">
        <v>5</v>
      </c>
      <c r="T576" s="20" t="s">
        <v>922</v>
      </c>
      <c r="U576" s="20" t="s">
        <v>923</v>
      </c>
      <c r="V576" s="20" t="s">
        <v>87</v>
      </c>
      <c r="W576" s="20">
        <v>517</v>
      </c>
      <c r="X576" s="20">
        <v>517</v>
      </c>
      <c r="Y576" s="20" t="s">
        <v>924</v>
      </c>
      <c r="Z576" s="20">
        <v>8.3333333333333329E-2</v>
      </c>
      <c r="AA576" s="20" t="s">
        <v>925</v>
      </c>
      <c r="AB576" s="20" t="s">
        <v>248</v>
      </c>
      <c r="AC576" s="20" t="s">
        <v>249</v>
      </c>
      <c r="AD576" s="20" t="s">
        <v>926</v>
      </c>
      <c r="AE576" s="20" t="s">
        <v>91</v>
      </c>
      <c r="AF576" s="20">
        <v>0.16666666666666666</v>
      </c>
      <c r="AH576" s="20">
        <v>1</v>
      </c>
      <c r="AI576" s="4" t="s">
        <v>645</v>
      </c>
      <c r="AJ576" s="20">
        <v>60</v>
      </c>
      <c r="AK576" s="4" t="s">
        <v>780</v>
      </c>
      <c r="AL576" s="4">
        <v>4</v>
      </c>
      <c r="AM576" s="4" t="s">
        <v>470</v>
      </c>
      <c r="AN576" s="4" t="s">
        <v>95</v>
      </c>
      <c r="AO576" s="4" t="s">
        <v>131</v>
      </c>
      <c r="AP576" s="4">
        <v>2</v>
      </c>
      <c r="AQ576" s="20">
        <v>99000</v>
      </c>
      <c r="AR576" s="4">
        <v>41803</v>
      </c>
      <c r="AS576" s="20">
        <v>25000</v>
      </c>
      <c r="AT576" s="20">
        <v>22325</v>
      </c>
      <c r="AU576" s="20">
        <v>-2675</v>
      </c>
      <c r="AW576" s="20">
        <v>20</v>
      </c>
      <c r="AY576" s="20">
        <v>20</v>
      </c>
      <c r="BA576" s="20">
        <v>22305</v>
      </c>
      <c r="BB576" s="6">
        <v>41744</v>
      </c>
      <c r="BD576" s="6">
        <v>41844</v>
      </c>
      <c r="BE576" s="6">
        <v>41864</v>
      </c>
      <c r="BF576" s="6">
        <v>41912</v>
      </c>
      <c r="BK576" s="4" t="s">
        <v>401</v>
      </c>
      <c r="BM576" s="20">
        <v>60</v>
      </c>
      <c r="BN576" s="20">
        <v>0</v>
      </c>
      <c r="BO576" s="20">
        <v>0</v>
      </c>
      <c r="BP576" s="20">
        <v>0</v>
      </c>
      <c r="BQ576" s="20">
        <v>0</v>
      </c>
      <c r="BR576" s="20">
        <v>0</v>
      </c>
      <c r="BS576" s="20">
        <v>60</v>
      </c>
      <c r="BT576" s="20">
        <v>1339500</v>
      </c>
      <c r="BU576" s="20">
        <v>5940000</v>
      </c>
      <c r="BV576" s="20">
        <v>4.0313549832026867</v>
      </c>
    </row>
    <row r="577" spans="1:74">
      <c r="A577" s="10">
        <f t="shared" si="34"/>
        <v>0</v>
      </c>
      <c r="B577" s="10">
        <f t="shared" si="35"/>
        <v>0</v>
      </c>
      <c r="C577" s="12">
        <f t="shared" si="36"/>
        <v>4</v>
      </c>
      <c r="D577" s="12">
        <f t="shared" si="37"/>
        <v>9</v>
      </c>
      <c r="E577" s="20" t="s">
        <v>574</v>
      </c>
      <c r="F577" s="20" t="s">
        <v>665</v>
      </c>
      <c r="G577" s="20" t="s">
        <v>917</v>
      </c>
      <c r="H577" s="20" t="s">
        <v>918</v>
      </c>
      <c r="I577" s="20">
        <v>1</v>
      </c>
      <c r="J577" s="20" t="s">
        <v>919</v>
      </c>
      <c r="K577" s="20" t="s">
        <v>929</v>
      </c>
      <c r="L577" s="20" t="s">
        <v>921</v>
      </c>
      <c r="M577" s="20" t="s">
        <v>671</v>
      </c>
      <c r="N577" s="20" t="s">
        <v>672</v>
      </c>
      <c r="P577" s="20" t="s">
        <v>671</v>
      </c>
      <c r="Q577" s="20" t="s">
        <v>673</v>
      </c>
      <c r="R577" s="20" t="s">
        <v>84</v>
      </c>
      <c r="S577" s="20">
        <v>5</v>
      </c>
      <c r="T577" s="20" t="s">
        <v>922</v>
      </c>
      <c r="U577" s="20" t="s">
        <v>923</v>
      </c>
      <c r="V577" s="20" t="s">
        <v>87</v>
      </c>
      <c r="W577" s="20">
        <v>517</v>
      </c>
      <c r="X577" s="20">
        <v>517</v>
      </c>
      <c r="Y577" s="20" t="s">
        <v>924</v>
      </c>
      <c r="Z577" s="20">
        <v>8.3333333333333329E-2</v>
      </c>
      <c r="AA577" s="20" t="s">
        <v>925</v>
      </c>
      <c r="AB577" s="20" t="s">
        <v>248</v>
      </c>
      <c r="AC577" s="20" t="s">
        <v>249</v>
      </c>
      <c r="AD577" s="20" t="s">
        <v>926</v>
      </c>
      <c r="AE577" s="20" t="s">
        <v>91</v>
      </c>
      <c r="AF577" s="20">
        <v>0.16666666666666666</v>
      </c>
      <c r="AH577" s="20">
        <v>1</v>
      </c>
      <c r="AI577" s="4" t="s">
        <v>647</v>
      </c>
      <c r="AJ577" s="20">
        <v>60</v>
      </c>
      <c r="AK577" s="4" t="s">
        <v>780</v>
      </c>
      <c r="AL577" s="4">
        <v>4</v>
      </c>
      <c r="AM577" s="4" t="s">
        <v>470</v>
      </c>
      <c r="AN577" s="4" t="s">
        <v>95</v>
      </c>
      <c r="AO577" s="4" t="s">
        <v>131</v>
      </c>
      <c r="AP577" s="4">
        <v>2</v>
      </c>
      <c r="AQ577" s="20">
        <v>99000</v>
      </c>
      <c r="AR577" s="4">
        <v>41803</v>
      </c>
      <c r="AS577" s="20">
        <v>25000</v>
      </c>
      <c r="AT577" s="20">
        <v>22325</v>
      </c>
      <c r="AU577" s="20">
        <v>-2675</v>
      </c>
      <c r="AW577" s="20">
        <v>20</v>
      </c>
      <c r="AY577" s="20">
        <v>20</v>
      </c>
      <c r="BA577" s="20">
        <v>22305</v>
      </c>
      <c r="BB577" s="6">
        <v>41744</v>
      </c>
      <c r="BD577" s="6">
        <v>41844</v>
      </c>
      <c r="BE577" s="6">
        <v>41864</v>
      </c>
      <c r="BF577" s="6">
        <v>41912</v>
      </c>
      <c r="BK577" s="4" t="s">
        <v>401</v>
      </c>
      <c r="BM577" s="20">
        <v>62</v>
      </c>
      <c r="BN577" s="20">
        <v>0</v>
      </c>
      <c r="BO577" s="20">
        <v>0</v>
      </c>
      <c r="BP577" s="20">
        <v>0</v>
      </c>
      <c r="BQ577" s="20">
        <v>0</v>
      </c>
      <c r="BR577" s="20">
        <v>0</v>
      </c>
      <c r="BS577" s="20">
        <v>60</v>
      </c>
      <c r="BT577" s="20">
        <v>1339500</v>
      </c>
      <c r="BU577" s="20">
        <v>5940000</v>
      </c>
      <c r="BV577" s="20">
        <v>4.0313549832026867</v>
      </c>
    </row>
    <row r="578" spans="1:74">
      <c r="A578" s="10">
        <f t="shared" si="34"/>
        <v>0</v>
      </c>
      <c r="B578" s="10">
        <f t="shared" si="35"/>
        <v>0</v>
      </c>
      <c r="C578" s="12">
        <f t="shared" si="36"/>
        <v>4</v>
      </c>
      <c r="D578" s="12">
        <f t="shared" si="37"/>
        <v>9</v>
      </c>
      <c r="E578" s="20" t="s">
        <v>574</v>
      </c>
      <c r="F578" s="20" t="s">
        <v>665</v>
      </c>
      <c r="G578" s="20" t="s">
        <v>917</v>
      </c>
      <c r="H578" s="20" t="s">
        <v>918</v>
      </c>
      <c r="I578" s="20">
        <v>1</v>
      </c>
      <c r="J578" s="20" t="s">
        <v>919</v>
      </c>
      <c r="K578" s="20" t="s">
        <v>930</v>
      </c>
      <c r="L578" s="20" t="s">
        <v>921</v>
      </c>
      <c r="M578" s="20" t="s">
        <v>671</v>
      </c>
      <c r="N578" s="20" t="s">
        <v>672</v>
      </c>
      <c r="P578" s="20" t="s">
        <v>671</v>
      </c>
      <c r="Q578" s="20" t="s">
        <v>673</v>
      </c>
      <c r="R578" s="20" t="s">
        <v>84</v>
      </c>
      <c r="S578" s="20">
        <v>5</v>
      </c>
      <c r="T578" s="20" t="s">
        <v>922</v>
      </c>
      <c r="U578" s="20" t="s">
        <v>923</v>
      </c>
      <c r="V578" s="20" t="s">
        <v>87</v>
      </c>
      <c r="W578" s="20">
        <v>517</v>
      </c>
      <c r="X578" s="20">
        <v>517</v>
      </c>
      <c r="Y578" s="20" t="s">
        <v>924</v>
      </c>
      <c r="Z578" s="20">
        <v>8.3333333333333329E-2</v>
      </c>
      <c r="AA578" s="20" t="s">
        <v>925</v>
      </c>
      <c r="AB578" s="20" t="s">
        <v>248</v>
      </c>
      <c r="AC578" s="20" t="s">
        <v>249</v>
      </c>
      <c r="AD578" s="20" t="s">
        <v>926</v>
      </c>
      <c r="AE578" s="20" t="s">
        <v>91</v>
      </c>
      <c r="AF578" s="20">
        <v>0.16666666666666666</v>
      </c>
      <c r="AH578" s="20">
        <v>1</v>
      </c>
      <c r="AI578" s="4" t="s">
        <v>649</v>
      </c>
      <c r="AJ578" s="20">
        <v>45</v>
      </c>
      <c r="AK578" s="4" t="s">
        <v>780</v>
      </c>
      <c r="AL578" s="4">
        <v>4</v>
      </c>
      <c r="AM578" s="4" t="s">
        <v>470</v>
      </c>
      <c r="AN578" s="4" t="s">
        <v>95</v>
      </c>
      <c r="AO578" s="4" t="s">
        <v>131</v>
      </c>
      <c r="AP578" s="4">
        <v>2</v>
      </c>
      <c r="AQ578" s="20">
        <v>99000</v>
      </c>
      <c r="AR578" s="4">
        <v>41803</v>
      </c>
      <c r="AS578" s="20">
        <v>25000</v>
      </c>
      <c r="AT578" s="20">
        <v>22325</v>
      </c>
      <c r="AU578" s="20">
        <v>-2675</v>
      </c>
      <c r="AW578" s="20">
        <v>20</v>
      </c>
      <c r="AY578" s="20">
        <v>20</v>
      </c>
      <c r="BA578" s="20">
        <v>22305</v>
      </c>
      <c r="BB578" s="6">
        <v>41744</v>
      </c>
      <c r="BD578" s="6">
        <v>41844</v>
      </c>
      <c r="BE578" s="6">
        <v>41864</v>
      </c>
      <c r="BF578" s="6">
        <v>41912</v>
      </c>
      <c r="BK578" s="4" t="s">
        <v>401</v>
      </c>
      <c r="BM578" s="20">
        <v>46</v>
      </c>
      <c r="BN578" s="20">
        <v>0</v>
      </c>
      <c r="BO578" s="20">
        <v>0</v>
      </c>
      <c r="BP578" s="20">
        <v>0</v>
      </c>
      <c r="BQ578" s="20">
        <v>0</v>
      </c>
      <c r="BR578" s="20">
        <v>0</v>
      </c>
      <c r="BS578" s="20">
        <v>45</v>
      </c>
      <c r="BT578" s="20">
        <v>1004625</v>
      </c>
      <c r="BU578" s="20">
        <v>4455000</v>
      </c>
      <c r="BV578" s="20">
        <v>4.0313549832026876</v>
      </c>
    </row>
    <row r="579" spans="1:74">
      <c r="A579" s="10">
        <f t="shared" ref="A579:A642" si="38">IF($BL579="공급",$Z579,0)</f>
        <v>0</v>
      </c>
      <c r="B579" s="10">
        <f t="shared" ref="B579:B642" si="39">IF($AV579&gt;0,$Z579,0)</f>
        <v>0</v>
      </c>
      <c r="C579" s="12">
        <f t="shared" si="36"/>
        <v>4</v>
      </c>
      <c r="D579" s="12">
        <f t="shared" si="37"/>
        <v>9</v>
      </c>
      <c r="E579" s="20" t="s">
        <v>574</v>
      </c>
      <c r="F579" s="20" t="s">
        <v>665</v>
      </c>
      <c r="G579" s="20" t="s">
        <v>917</v>
      </c>
      <c r="H579" s="20" t="s">
        <v>918</v>
      </c>
      <c r="I579" s="20">
        <v>1</v>
      </c>
      <c r="J579" s="20" t="s">
        <v>919</v>
      </c>
      <c r="K579" s="20" t="s">
        <v>931</v>
      </c>
      <c r="L579" s="20" t="s">
        <v>921</v>
      </c>
      <c r="M579" s="20" t="s">
        <v>671</v>
      </c>
      <c r="N579" s="20" t="s">
        <v>672</v>
      </c>
      <c r="P579" s="20" t="s">
        <v>671</v>
      </c>
      <c r="Q579" s="20" t="s">
        <v>673</v>
      </c>
      <c r="R579" s="20" t="s">
        <v>84</v>
      </c>
      <c r="S579" s="20">
        <v>5</v>
      </c>
      <c r="T579" s="20" t="s">
        <v>922</v>
      </c>
      <c r="U579" s="20" t="s">
        <v>923</v>
      </c>
      <c r="V579" s="20" t="s">
        <v>87</v>
      </c>
      <c r="W579" s="20">
        <v>517</v>
      </c>
      <c r="X579" s="20">
        <v>517</v>
      </c>
      <c r="Y579" s="20" t="s">
        <v>924</v>
      </c>
      <c r="Z579" s="20">
        <v>8.3333333333333329E-2</v>
      </c>
      <c r="AA579" s="20" t="s">
        <v>925</v>
      </c>
      <c r="AB579" s="20" t="s">
        <v>248</v>
      </c>
      <c r="AC579" s="20" t="s">
        <v>249</v>
      </c>
      <c r="AD579" s="20" t="s">
        <v>926</v>
      </c>
      <c r="AE579" s="20" t="s">
        <v>91</v>
      </c>
      <c r="AF579" s="20">
        <v>0.16666666666666666</v>
      </c>
      <c r="AH579" s="20">
        <v>1</v>
      </c>
      <c r="AI579" s="4" t="s">
        <v>651</v>
      </c>
      <c r="AJ579" s="20">
        <v>45</v>
      </c>
      <c r="AK579" s="4" t="s">
        <v>780</v>
      </c>
      <c r="AL579" s="4">
        <v>4</v>
      </c>
      <c r="AM579" s="4" t="s">
        <v>470</v>
      </c>
      <c r="AN579" s="4" t="s">
        <v>95</v>
      </c>
      <c r="AO579" s="4" t="s">
        <v>131</v>
      </c>
      <c r="AP579" s="4">
        <v>2</v>
      </c>
      <c r="AQ579" s="20">
        <v>99000</v>
      </c>
      <c r="AR579" s="4">
        <v>41803</v>
      </c>
      <c r="AS579" s="20">
        <v>25000</v>
      </c>
      <c r="AT579" s="20">
        <v>22325</v>
      </c>
      <c r="AU579" s="20">
        <v>-2675</v>
      </c>
      <c r="AW579" s="20">
        <v>20</v>
      </c>
      <c r="AY579" s="20">
        <v>20</v>
      </c>
      <c r="BA579" s="20">
        <v>22305</v>
      </c>
      <c r="BB579" s="6">
        <v>41744</v>
      </c>
      <c r="BD579" s="6">
        <v>41844</v>
      </c>
      <c r="BE579" s="6">
        <v>41864</v>
      </c>
      <c r="BF579" s="6">
        <v>41912</v>
      </c>
      <c r="BK579" s="4" t="s">
        <v>401</v>
      </c>
      <c r="BM579" s="20">
        <v>45</v>
      </c>
      <c r="BN579" s="20">
        <v>0</v>
      </c>
      <c r="BO579" s="20">
        <v>0</v>
      </c>
      <c r="BP579" s="20">
        <v>0</v>
      </c>
      <c r="BQ579" s="20">
        <v>0</v>
      </c>
      <c r="BR579" s="20">
        <v>0</v>
      </c>
      <c r="BS579" s="20">
        <v>45</v>
      </c>
      <c r="BT579" s="20">
        <v>1004625</v>
      </c>
      <c r="BU579" s="20">
        <v>4455000</v>
      </c>
      <c r="BV579" s="20">
        <v>4.0313549832026876</v>
      </c>
    </row>
    <row r="580" spans="1:74">
      <c r="A580" s="10">
        <f t="shared" si="38"/>
        <v>0</v>
      </c>
      <c r="B580" s="10">
        <f t="shared" si="39"/>
        <v>0</v>
      </c>
      <c r="C580" s="12">
        <f t="shared" ref="C580:C643" si="40">IF($BB580=0,"",MONTH($BB580))</f>
        <v>4</v>
      </c>
      <c r="D580" s="12">
        <f t="shared" si="37"/>
        <v>9</v>
      </c>
      <c r="E580" s="20" t="s">
        <v>574</v>
      </c>
      <c r="F580" s="20" t="s">
        <v>665</v>
      </c>
      <c r="G580" s="20" t="s">
        <v>917</v>
      </c>
      <c r="H580" s="20" t="s">
        <v>932</v>
      </c>
      <c r="I580" s="20">
        <v>2</v>
      </c>
      <c r="J580" s="20" t="s">
        <v>933</v>
      </c>
      <c r="K580" s="20" t="s">
        <v>934</v>
      </c>
      <c r="L580" s="20" t="s">
        <v>921</v>
      </c>
      <c r="M580" s="20" t="s">
        <v>671</v>
      </c>
      <c r="N580" s="20" t="s">
        <v>672</v>
      </c>
      <c r="P580" s="20" t="s">
        <v>671</v>
      </c>
      <c r="Q580" s="20" t="s">
        <v>673</v>
      </c>
      <c r="R580" s="20" t="s">
        <v>84</v>
      </c>
      <c r="S580" s="20">
        <v>5</v>
      </c>
      <c r="T580" s="20" t="s">
        <v>922</v>
      </c>
      <c r="U580" s="20" t="s">
        <v>923</v>
      </c>
      <c r="V580" s="20" t="s">
        <v>87</v>
      </c>
      <c r="W580" s="20">
        <v>517</v>
      </c>
      <c r="X580" s="20">
        <v>517</v>
      </c>
      <c r="Y580" s="20" t="s">
        <v>924</v>
      </c>
      <c r="Z580" s="20">
        <v>8.3333333333333329E-2</v>
      </c>
      <c r="AA580" s="20" t="s">
        <v>935</v>
      </c>
      <c r="AB580" s="20" t="s">
        <v>89</v>
      </c>
      <c r="AC580" s="20" t="s">
        <v>90</v>
      </c>
      <c r="AD580" s="20" t="s">
        <v>936</v>
      </c>
      <c r="AE580" s="20" t="s">
        <v>91</v>
      </c>
      <c r="AF580" s="20">
        <v>0.16666666666666666</v>
      </c>
      <c r="AH580" s="20">
        <v>1</v>
      </c>
      <c r="AI580" s="4" t="s">
        <v>640</v>
      </c>
      <c r="AJ580" s="20">
        <v>150</v>
      </c>
      <c r="AK580" s="4" t="s">
        <v>780</v>
      </c>
      <c r="AL580" s="4">
        <v>4</v>
      </c>
      <c r="AM580" s="4" t="s">
        <v>470</v>
      </c>
      <c r="AN580" s="4" t="s">
        <v>95</v>
      </c>
      <c r="AO580" s="4" t="s">
        <v>131</v>
      </c>
      <c r="AP580" s="4">
        <v>2</v>
      </c>
      <c r="AQ580" s="20">
        <v>99000</v>
      </c>
      <c r="AR580" s="4">
        <v>41803</v>
      </c>
      <c r="AS580" s="20">
        <v>25000</v>
      </c>
      <c r="AT580" s="20">
        <v>22620</v>
      </c>
      <c r="AU580" s="20">
        <v>-2380</v>
      </c>
      <c r="AW580" s="20">
        <v>20</v>
      </c>
      <c r="AY580" s="20">
        <v>20</v>
      </c>
      <c r="BA580" s="20">
        <v>22600</v>
      </c>
      <c r="BB580" s="6">
        <v>41744</v>
      </c>
      <c r="BD580" s="6">
        <v>41844</v>
      </c>
      <c r="BE580" s="6">
        <v>41864</v>
      </c>
      <c r="BF580" s="6">
        <v>41908</v>
      </c>
      <c r="BG580" s="6">
        <v>41912</v>
      </c>
      <c r="BK580" s="4" t="s">
        <v>401</v>
      </c>
      <c r="BM580" s="20">
        <v>60</v>
      </c>
      <c r="BN580" s="20">
        <v>92</v>
      </c>
      <c r="BO580" s="20">
        <v>0</v>
      </c>
      <c r="BP580" s="20">
        <v>0</v>
      </c>
      <c r="BQ580" s="20">
        <v>0</v>
      </c>
      <c r="BR580" s="20">
        <v>0</v>
      </c>
      <c r="BS580" s="20">
        <v>150</v>
      </c>
      <c r="BT580" s="20">
        <v>3393000</v>
      </c>
      <c r="BU580" s="20">
        <v>14850000</v>
      </c>
      <c r="BV580" s="20">
        <v>3.978779840848806</v>
      </c>
    </row>
    <row r="581" spans="1:74">
      <c r="A581" s="10">
        <f t="shared" si="38"/>
        <v>0</v>
      </c>
      <c r="B581" s="10">
        <f t="shared" si="39"/>
        <v>0</v>
      </c>
      <c r="C581" s="12">
        <f t="shared" si="40"/>
        <v>4</v>
      </c>
      <c r="D581" s="12">
        <f t="shared" ref="D581:D644" si="41">IF(AND(BD581=0,BF581=0),"",MONTH(IF($BF581=0,$BD581,$BF581)))</f>
        <v>9</v>
      </c>
      <c r="E581" s="20" t="s">
        <v>574</v>
      </c>
      <c r="F581" s="20" t="s">
        <v>665</v>
      </c>
      <c r="G581" s="20" t="s">
        <v>917</v>
      </c>
      <c r="H581" s="20" t="s">
        <v>932</v>
      </c>
      <c r="I581" s="20">
        <v>2</v>
      </c>
      <c r="J581" s="20" t="s">
        <v>933</v>
      </c>
      <c r="K581" s="20" t="s">
        <v>937</v>
      </c>
      <c r="L581" s="20" t="s">
        <v>921</v>
      </c>
      <c r="M581" s="20" t="s">
        <v>671</v>
      </c>
      <c r="N581" s="20" t="s">
        <v>672</v>
      </c>
      <c r="P581" s="20" t="s">
        <v>671</v>
      </c>
      <c r="Q581" s="20" t="s">
        <v>673</v>
      </c>
      <c r="R581" s="20" t="s">
        <v>84</v>
      </c>
      <c r="S581" s="20">
        <v>5</v>
      </c>
      <c r="T581" s="20" t="s">
        <v>922</v>
      </c>
      <c r="U581" s="20" t="s">
        <v>923</v>
      </c>
      <c r="V581" s="20" t="s">
        <v>87</v>
      </c>
      <c r="W581" s="20">
        <v>517</v>
      </c>
      <c r="X581" s="20">
        <v>517</v>
      </c>
      <c r="Y581" s="20" t="s">
        <v>924</v>
      </c>
      <c r="Z581" s="20">
        <v>8.3333333333333329E-2</v>
      </c>
      <c r="AA581" s="20" t="s">
        <v>935</v>
      </c>
      <c r="AB581" s="20" t="s">
        <v>89</v>
      </c>
      <c r="AC581" s="20" t="s">
        <v>90</v>
      </c>
      <c r="AD581" s="20" t="s">
        <v>936</v>
      </c>
      <c r="AE581" s="20" t="s">
        <v>91</v>
      </c>
      <c r="AF581" s="20">
        <v>0.16666666666666666</v>
      </c>
      <c r="AH581" s="20">
        <v>1</v>
      </c>
      <c r="AI581" s="4" t="s">
        <v>643</v>
      </c>
      <c r="AJ581" s="20">
        <v>40</v>
      </c>
      <c r="AK581" s="4" t="s">
        <v>780</v>
      </c>
      <c r="AL581" s="4">
        <v>4</v>
      </c>
      <c r="AM581" s="4" t="s">
        <v>470</v>
      </c>
      <c r="AN581" s="4" t="s">
        <v>95</v>
      </c>
      <c r="AO581" s="4" t="s">
        <v>131</v>
      </c>
      <c r="AP581" s="4">
        <v>2</v>
      </c>
      <c r="AQ581" s="20">
        <v>99000</v>
      </c>
      <c r="AR581" s="4">
        <v>41803</v>
      </c>
      <c r="AS581" s="20">
        <v>25000</v>
      </c>
      <c r="AT581" s="20">
        <v>22620</v>
      </c>
      <c r="AU581" s="20">
        <v>-2380</v>
      </c>
      <c r="AW581" s="20">
        <v>20</v>
      </c>
      <c r="AY581" s="20">
        <v>20</v>
      </c>
      <c r="BA581" s="20">
        <v>22600</v>
      </c>
      <c r="BB581" s="6">
        <v>41744</v>
      </c>
      <c r="BD581" s="6">
        <v>41844</v>
      </c>
      <c r="BE581" s="6">
        <v>41864</v>
      </c>
      <c r="BF581" s="6">
        <v>41908</v>
      </c>
      <c r="BG581" s="6">
        <v>41912</v>
      </c>
      <c r="BK581" s="4" t="s">
        <v>401</v>
      </c>
      <c r="BM581" s="20">
        <v>0</v>
      </c>
      <c r="BN581" s="20">
        <v>42</v>
      </c>
      <c r="BO581" s="20">
        <v>0</v>
      </c>
      <c r="BP581" s="20">
        <v>0</v>
      </c>
      <c r="BQ581" s="20">
        <v>0</v>
      </c>
      <c r="BR581" s="20">
        <v>0</v>
      </c>
      <c r="BS581" s="20">
        <v>40</v>
      </c>
      <c r="BT581" s="20">
        <v>904800</v>
      </c>
      <c r="BU581" s="20">
        <v>3960000</v>
      </c>
      <c r="BV581" s="20">
        <v>3.978779840848806</v>
      </c>
    </row>
    <row r="582" spans="1:74">
      <c r="A582" s="10">
        <f t="shared" si="38"/>
        <v>0</v>
      </c>
      <c r="B582" s="10">
        <f t="shared" si="39"/>
        <v>0</v>
      </c>
      <c r="C582" s="12">
        <f t="shared" si="40"/>
        <v>4</v>
      </c>
      <c r="D582" s="12">
        <f t="shared" si="41"/>
        <v>9</v>
      </c>
      <c r="E582" s="20" t="s">
        <v>574</v>
      </c>
      <c r="F582" s="20" t="s">
        <v>665</v>
      </c>
      <c r="G582" s="20" t="s">
        <v>917</v>
      </c>
      <c r="H582" s="20" t="s">
        <v>932</v>
      </c>
      <c r="I582" s="20">
        <v>2</v>
      </c>
      <c r="J582" s="20" t="s">
        <v>933</v>
      </c>
      <c r="K582" s="20" t="s">
        <v>938</v>
      </c>
      <c r="L582" s="20" t="s">
        <v>921</v>
      </c>
      <c r="M582" s="20" t="s">
        <v>671</v>
      </c>
      <c r="N582" s="20" t="s">
        <v>672</v>
      </c>
      <c r="P582" s="20" t="s">
        <v>671</v>
      </c>
      <c r="Q582" s="20" t="s">
        <v>673</v>
      </c>
      <c r="R582" s="20" t="s">
        <v>84</v>
      </c>
      <c r="S582" s="20">
        <v>5</v>
      </c>
      <c r="T582" s="20" t="s">
        <v>922</v>
      </c>
      <c r="U582" s="20" t="s">
        <v>923</v>
      </c>
      <c r="V582" s="20" t="s">
        <v>87</v>
      </c>
      <c r="W582" s="20">
        <v>517</v>
      </c>
      <c r="X582" s="20">
        <v>517</v>
      </c>
      <c r="Y582" s="20" t="s">
        <v>924</v>
      </c>
      <c r="Z582" s="20">
        <v>8.3333333333333329E-2</v>
      </c>
      <c r="AA582" s="20" t="s">
        <v>935</v>
      </c>
      <c r="AB582" s="20" t="s">
        <v>89</v>
      </c>
      <c r="AC582" s="20" t="s">
        <v>90</v>
      </c>
      <c r="AD582" s="20" t="s">
        <v>936</v>
      </c>
      <c r="AE582" s="20" t="s">
        <v>91</v>
      </c>
      <c r="AF582" s="20">
        <v>0.16666666666666666</v>
      </c>
      <c r="AH582" s="20">
        <v>1</v>
      </c>
      <c r="AI582" s="4" t="s">
        <v>645</v>
      </c>
      <c r="AJ582" s="20">
        <v>60</v>
      </c>
      <c r="AK582" s="4" t="s">
        <v>780</v>
      </c>
      <c r="AL582" s="4">
        <v>4</v>
      </c>
      <c r="AM582" s="4" t="s">
        <v>470</v>
      </c>
      <c r="AN582" s="4" t="s">
        <v>95</v>
      </c>
      <c r="AO582" s="4" t="s">
        <v>131</v>
      </c>
      <c r="AP582" s="4">
        <v>2</v>
      </c>
      <c r="AQ582" s="20">
        <v>99000</v>
      </c>
      <c r="AR582" s="4">
        <v>41803</v>
      </c>
      <c r="AS582" s="20">
        <v>25000</v>
      </c>
      <c r="AT582" s="20">
        <v>22620</v>
      </c>
      <c r="AU582" s="20">
        <v>-2380</v>
      </c>
      <c r="AW582" s="20">
        <v>20</v>
      </c>
      <c r="AY582" s="20">
        <v>20</v>
      </c>
      <c r="BA582" s="20">
        <v>22600</v>
      </c>
      <c r="BB582" s="6">
        <v>41744</v>
      </c>
      <c r="BD582" s="6">
        <v>41844</v>
      </c>
      <c r="BE582" s="6">
        <v>41864</v>
      </c>
      <c r="BF582" s="6">
        <v>41908</v>
      </c>
      <c r="BG582" s="6">
        <v>41912</v>
      </c>
      <c r="BK582" s="4" t="s">
        <v>401</v>
      </c>
      <c r="BM582" s="20">
        <v>0</v>
      </c>
      <c r="BN582" s="20">
        <v>62</v>
      </c>
      <c r="BO582" s="20">
        <v>0</v>
      </c>
      <c r="BP582" s="20">
        <v>0</v>
      </c>
      <c r="BQ582" s="20">
        <v>0</v>
      </c>
      <c r="BR582" s="20">
        <v>0</v>
      </c>
      <c r="BS582" s="20">
        <v>60</v>
      </c>
      <c r="BT582" s="20">
        <v>1357200</v>
      </c>
      <c r="BU582" s="20">
        <v>5940000</v>
      </c>
      <c r="BV582" s="20">
        <v>3.9787798408488055</v>
      </c>
    </row>
    <row r="583" spans="1:74">
      <c r="A583" s="10">
        <f t="shared" si="38"/>
        <v>0</v>
      </c>
      <c r="B583" s="10">
        <f t="shared" si="39"/>
        <v>0</v>
      </c>
      <c r="C583" s="12">
        <f t="shared" si="40"/>
        <v>4</v>
      </c>
      <c r="D583" s="12">
        <f t="shared" si="41"/>
        <v>9</v>
      </c>
      <c r="E583" s="20" t="s">
        <v>574</v>
      </c>
      <c r="F583" s="20" t="s">
        <v>665</v>
      </c>
      <c r="G583" s="20" t="s">
        <v>917</v>
      </c>
      <c r="H583" s="20" t="s">
        <v>932</v>
      </c>
      <c r="I583" s="20">
        <v>2</v>
      </c>
      <c r="J583" s="20" t="s">
        <v>933</v>
      </c>
      <c r="K583" s="20" t="s">
        <v>939</v>
      </c>
      <c r="L583" s="20" t="s">
        <v>921</v>
      </c>
      <c r="M583" s="20" t="s">
        <v>671</v>
      </c>
      <c r="N583" s="20" t="s">
        <v>672</v>
      </c>
      <c r="P583" s="20" t="s">
        <v>671</v>
      </c>
      <c r="Q583" s="20" t="s">
        <v>673</v>
      </c>
      <c r="R583" s="20" t="s">
        <v>84</v>
      </c>
      <c r="S583" s="20">
        <v>5</v>
      </c>
      <c r="T583" s="20" t="s">
        <v>922</v>
      </c>
      <c r="U583" s="20" t="s">
        <v>923</v>
      </c>
      <c r="V583" s="20" t="s">
        <v>87</v>
      </c>
      <c r="W583" s="20">
        <v>517</v>
      </c>
      <c r="X583" s="20">
        <v>517</v>
      </c>
      <c r="Y583" s="20" t="s">
        <v>924</v>
      </c>
      <c r="Z583" s="20">
        <v>8.3333333333333329E-2</v>
      </c>
      <c r="AA583" s="20" t="s">
        <v>935</v>
      </c>
      <c r="AB583" s="20" t="s">
        <v>89</v>
      </c>
      <c r="AC583" s="20" t="s">
        <v>90</v>
      </c>
      <c r="AD583" s="20" t="s">
        <v>936</v>
      </c>
      <c r="AE583" s="20" t="s">
        <v>91</v>
      </c>
      <c r="AF583" s="20">
        <v>0.16666666666666666</v>
      </c>
      <c r="AH583" s="20">
        <v>1</v>
      </c>
      <c r="AI583" s="4" t="s">
        <v>647</v>
      </c>
      <c r="AJ583" s="20">
        <v>60</v>
      </c>
      <c r="AK583" s="4" t="s">
        <v>780</v>
      </c>
      <c r="AL583" s="4">
        <v>4</v>
      </c>
      <c r="AM583" s="4" t="s">
        <v>470</v>
      </c>
      <c r="AN583" s="4" t="s">
        <v>95</v>
      </c>
      <c r="AO583" s="4" t="s">
        <v>131</v>
      </c>
      <c r="AP583" s="4">
        <v>2</v>
      </c>
      <c r="AQ583" s="20">
        <v>99000</v>
      </c>
      <c r="AR583" s="4">
        <v>41803</v>
      </c>
      <c r="AS583" s="20">
        <v>25000</v>
      </c>
      <c r="AT583" s="20">
        <v>22620</v>
      </c>
      <c r="AU583" s="20">
        <v>-2380</v>
      </c>
      <c r="AW583" s="20">
        <v>20</v>
      </c>
      <c r="AY583" s="20">
        <v>20</v>
      </c>
      <c r="BA583" s="20">
        <v>22600</v>
      </c>
      <c r="BB583" s="6">
        <v>41744</v>
      </c>
      <c r="BD583" s="6">
        <v>41844</v>
      </c>
      <c r="BE583" s="6">
        <v>41864</v>
      </c>
      <c r="BF583" s="6">
        <v>41908</v>
      </c>
      <c r="BG583" s="6">
        <v>41912</v>
      </c>
      <c r="BK583" s="4" t="s">
        <v>401</v>
      </c>
      <c r="BM583" s="20">
        <v>0</v>
      </c>
      <c r="BN583" s="20">
        <v>61</v>
      </c>
      <c r="BO583" s="20">
        <v>0</v>
      </c>
      <c r="BP583" s="20">
        <v>0</v>
      </c>
      <c r="BQ583" s="20">
        <v>0</v>
      </c>
      <c r="BR583" s="20">
        <v>0</v>
      </c>
      <c r="BS583" s="20">
        <v>60</v>
      </c>
      <c r="BT583" s="20">
        <v>1357200</v>
      </c>
      <c r="BU583" s="20">
        <v>5940000</v>
      </c>
      <c r="BV583" s="20">
        <v>3.9787798408488055</v>
      </c>
    </row>
    <row r="584" spans="1:74">
      <c r="A584" s="10">
        <f t="shared" si="38"/>
        <v>0</v>
      </c>
      <c r="B584" s="10">
        <f t="shared" si="39"/>
        <v>0</v>
      </c>
      <c r="C584" s="12">
        <f t="shared" si="40"/>
        <v>4</v>
      </c>
      <c r="D584" s="12">
        <f t="shared" si="41"/>
        <v>9</v>
      </c>
      <c r="E584" s="20" t="s">
        <v>574</v>
      </c>
      <c r="F584" s="20" t="s">
        <v>665</v>
      </c>
      <c r="G584" s="20" t="s">
        <v>917</v>
      </c>
      <c r="H584" s="20" t="s">
        <v>932</v>
      </c>
      <c r="I584" s="20">
        <v>2</v>
      </c>
      <c r="J584" s="20" t="s">
        <v>933</v>
      </c>
      <c r="K584" s="20" t="s">
        <v>940</v>
      </c>
      <c r="L584" s="20" t="s">
        <v>921</v>
      </c>
      <c r="M584" s="20" t="s">
        <v>671</v>
      </c>
      <c r="N584" s="20" t="s">
        <v>672</v>
      </c>
      <c r="P584" s="20" t="s">
        <v>671</v>
      </c>
      <c r="Q584" s="20" t="s">
        <v>673</v>
      </c>
      <c r="R584" s="20" t="s">
        <v>84</v>
      </c>
      <c r="S584" s="20">
        <v>5</v>
      </c>
      <c r="T584" s="20" t="s">
        <v>922</v>
      </c>
      <c r="U584" s="20" t="s">
        <v>923</v>
      </c>
      <c r="V584" s="20" t="s">
        <v>87</v>
      </c>
      <c r="W584" s="20">
        <v>517</v>
      </c>
      <c r="X584" s="20">
        <v>517</v>
      </c>
      <c r="Y584" s="20" t="s">
        <v>924</v>
      </c>
      <c r="Z584" s="20">
        <v>8.3333333333333329E-2</v>
      </c>
      <c r="AA584" s="20" t="s">
        <v>935</v>
      </c>
      <c r="AB584" s="20" t="s">
        <v>89</v>
      </c>
      <c r="AC584" s="20" t="s">
        <v>90</v>
      </c>
      <c r="AD584" s="20" t="s">
        <v>936</v>
      </c>
      <c r="AE584" s="20" t="s">
        <v>91</v>
      </c>
      <c r="AF584" s="20">
        <v>0.16666666666666666</v>
      </c>
      <c r="AH584" s="20">
        <v>1</v>
      </c>
      <c r="AI584" s="4" t="s">
        <v>649</v>
      </c>
      <c r="AJ584" s="20">
        <v>45</v>
      </c>
      <c r="AK584" s="4" t="s">
        <v>780</v>
      </c>
      <c r="AL584" s="4">
        <v>4</v>
      </c>
      <c r="AM584" s="4" t="s">
        <v>470</v>
      </c>
      <c r="AN584" s="4" t="s">
        <v>95</v>
      </c>
      <c r="AO584" s="4" t="s">
        <v>131</v>
      </c>
      <c r="AP584" s="4">
        <v>2</v>
      </c>
      <c r="AQ584" s="20">
        <v>99000</v>
      </c>
      <c r="AR584" s="4">
        <v>41803</v>
      </c>
      <c r="AS584" s="20">
        <v>25000</v>
      </c>
      <c r="AT584" s="20">
        <v>22620</v>
      </c>
      <c r="AU584" s="20">
        <v>-2380</v>
      </c>
      <c r="AW584" s="20">
        <v>20</v>
      </c>
      <c r="AY584" s="20">
        <v>20</v>
      </c>
      <c r="BA584" s="20">
        <v>22600</v>
      </c>
      <c r="BB584" s="6">
        <v>41744</v>
      </c>
      <c r="BD584" s="6">
        <v>41844</v>
      </c>
      <c r="BE584" s="6">
        <v>41864</v>
      </c>
      <c r="BF584" s="6">
        <v>41908</v>
      </c>
      <c r="BG584" s="6">
        <v>41912</v>
      </c>
      <c r="BK584" s="4" t="s">
        <v>401</v>
      </c>
      <c r="BM584" s="20">
        <v>0</v>
      </c>
      <c r="BN584" s="20">
        <v>46</v>
      </c>
      <c r="BO584" s="20">
        <v>0</v>
      </c>
      <c r="BP584" s="20">
        <v>0</v>
      </c>
      <c r="BQ584" s="20">
        <v>0</v>
      </c>
      <c r="BR584" s="20">
        <v>0</v>
      </c>
      <c r="BS584" s="20">
        <v>45</v>
      </c>
      <c r="BT584" s="20">
        <v>1017900</v>
      </c>
      <c r="BU584" s="20">
        <v>4455000</v>
      </c>
      <c r="BV584" s="20">
        <v>3.9787798408488064</v>
      </c>
    </row>
    <row r="585" spans="1:74">
      <c r="A585" s="10">
        <f t="shared" si="38"/>
        <v>0</v>
      </c>
      <c r="B585" s="10">
        <f t="shared" si="39"/>
        <v>0</v>
      </c>
      <c r="C585" s="12">
        <f t="shared" si="40"/>
        <v>4</v>
      </c>
      <c r="D585" s="12">
        <f t="shared" si="41"/>
        <v>9</v>
      </c>
      <c r="E585" s="20" t="s">
        <v>574</v>
      </c>
      <c r="F585" s="20" t="s">
        <v>665</v>
      </c>
      <c r="G585" s="20" t="s">
        <v>917</v>
      </c>
      <c r="H585" s="20" t="s">
        <v>932</v>
      </c>
      <c r="I585" s="20">
        <v>2</v>
      </c>
      <c r="J585" s="20" t="s">
        <v>933</v>
      </c>
      <c r="K585" s="20" t="s">
        <v>941</v>
      </c>
      <c r="L585" s="20" t="s">
        <v>921</v>
      </c>
      <c r="M585" s="20" t="s">
        <v>671</v>
      </c>
      <c r="N585" s="20" t="s">
        <v>672</v>
      </c>
      <c r="P585" s="20" t="s">
        <v>671</v>
      </c>
      <c r="Q585" s="20" t="s">
        <v>673</v>
      </c>
      <c r="R585" s="20" t="s">
        <v>84</v>
      </c>
      <c r="S585" s="20">
        <v>5</v>
      </c>
      <c r="T585" s="20" t="s">
        <v>922</v>
      </c>
      <c r="U585" s="20" t="s">
        <v>923</v>
      </c>
      <c r="V585" s="20" t="s">
        <v>87</v>
      </c>
      <c r="W585" s="20">
        <v>517</v>
      </c>
      <c r="X585" s="20">
        <v>517</v>
      </c>
      <c r="Y585" s="20" t="s">
        <v>924</v>
      </c>
      <c r="Z585" s="20">
        <v>8.3333333333333329E-2</v>
      </c>
      <c r="AA585" s="20" t="s">
        <v>935</v>
      </c>
      <c r="AB585" s="20" t="s">
        <v>89</v>
      </c>
      <c r="AC585" s="20" t="s">
        <v>90</v>
      </c>
      <c r="AD585" s="20" t="s">
        <v>936</v>
      </c>
      <c r="AE585" s="20" t="s">
        <v>91</v>
      </c>
      <c r="AF585" s="20">
        <v>0.16666666666666666</v>
      </c>
      <c r="AH585" s="20">
        <v>1</v>
      </c>
      <c r="AI585" s="4" t="s">
        <v>651</v>
      </c>
      <c r="AJ585" s="20">
        <v>45</v>
      </c>
      <c r="AK585" s="4" t="s">
        <v>780</v>
      </c>
      <c r="AL585" s="4">
        <v>4</v>
      </c>
      <c r="AM585" s="4" t="s">
        <v>470</v>
      </c>
      <c r="AN585" s="4" t="s">
        <v>95</v>
      </c>
      <c r="AO585" s="4" t="s">
        <v>131</v>
      </c>
      <c r="AP585" s="4">
        <v>2</v>
      </c>
      <c r="AQ585" s="20">
        <v>99000</v>
      </c>
      <c r="AR585" s="4">
        <v>41803</v>
      </c>
      <c r="AS585" s="20">
        <v>25000</v>
      </c>
      <c r="AT585" s="20">
        <v>22620</v>
      </c>
      <c r="AU585" s="20">
        <v>-2380</v>
      </c>
      <c r="AW585" s="20">
        <v>20</v>
      </c>
      <c r="AY585" s="20">
        <v>20</v>
      </c>
      <c r="BA585" s="20">
        <v>22600</v>
      </c>
      <c r="BB585" s="6">
        <v>41744</v>
      </c>
      <c r="BD585" s="6">
        <v>41844</v>
      </c>
      <c r="BE585" s="6">
        <v>41864</v>
      </c>
      <c r="BF585" s="6">
        <v>41908</v>
      </c>
      <c r="BG585" s="6">
        <v>41912</v>
      </c>
      <c r="BK585" s="4" t="s">
        <v>401</v>
      </c>
      <c r="BM585" s="20">
        <v>0</v>
      </c>
      <c r="BN585" s="20">
        <v>46</v>
      </c>
      <c r="BO585" s="20">
        <v>0</v>
      </c>
      <c r="BP585" s="20">
        <v>0</v>
      </c>
      <c r="BQ585" s="20">
        <v>0</v>
      </c>
      <c r="BR585" s="20">
        <v>0</v>
      </c>
      <c r="BS585" s="20">
        <v>45</v>
      </c>
      <c r="BT585" s="20">
        <v>1017900</v>
      </c>
      <c r="BU585" s="20">
        <v>4455000</v>
      </c>
      <c r="BV585" s="20">
        <v>3.9787798408488064</v>
      </c>
    </row>
    <row r="586" spans="1:74">
      <c r="A586" s="10">
        <f t="shared" si="38"/>
        <v>0</v>
      </c>
      <c r="B586" s="10">
        <f t="shared" si="39"/>
        <v>0</v>
      </c>
      <c r="C586" s="12">
        <f t="shared" si="40"/>
        <v>4</v>
      </c>
      <c r="D586" s="12">
        <f t="shared" si="41"/>
        <v>9</v>
      </c>
      <c r="E586" s="20" t="s">
        <v>574</v>
      </c>
      <c r="F586" s="20" t="s">
        <v>665</v>
      </c>
      <c r="G586" s="20" t="s">
        <v>917</v>
      </c>
      <c r="H586" s="20" t="s">
        <v>942</v>
      </c>
      <c r="I586" s="20">
        <v>3</v>
      </c>
      <c r="J586" s="20" t="s">
        <v>943</v>
      </c>
      <c r="K586" s="20" t="s">
        <v>944</v>
      </c>
      <c r="L586" s="20" t="s">
        <v>945</v>
      </c>
      <c r="M586" s="20" t="s">
        <v>671</v>
      </c>
      <c r="N586" s="20" t="s">
        <v>672</v>
      </c>
      <c r="P586" s="20" t="s">
        <v>671</v>
      </c>
      <c r="Q586" s="20" t="s">
        <v>673</v>
      </c>
      <c r="R586" s="20" t="s">
        <v>84</v>
      </c>
      <c r="S586" s="20">
        <v>5</v>
      </c>
      <c r="T586" s="20" t="s">
        <v>922</v>
      </c>
      <c r="U586" s="20" t="s">
        <v>923</v>
      </c>
      <c r="V586" s="20" t="s">
        <v>87</v>
      </c>
      <c r="W586" s="20">
        <v>518</v>
      </c>
      <c r="X586" s="20">
        <v>518</v>
      </c>
      <c r="Y586" s="20" t="s">
        <v>946</v>
      </c>
      <c r="Z586" s="20">
        <v>0.16666666666666666</v>
      </c>
      <c r="AA586" s="20" t="s">
        <v>947</v>
      </c>
      <c r="AB586" s="20" t="s">
        <v>279</v>
      </c>
      <c r="AC586" s="20" t="s">
        <v>280</v>
      </c>
      <c r="AD586" s="20" t="s">
        <v>948</v>
      </c>
      <c r="AE586" s="20" t="s">
        <v>91</v>
      </c>
      <c r="AF586" s="20">
        <v>0.16666666666666666</v>
      </c>
      <c r="AH586" s="20">
        <v>1</v>
      </c>
      <c r="AI586" s="4" t="s">
        <v>640</v>
      </c>
      <c r="AJ586" s="20">
        <v>150</v>
      </c>
      <c r="AK586" s="4" t="s">
        <v>780</v>
      </c>
      <c r="AL586" s="4">
        <v>4</v>
      </c>
      <c r="AM586" s="4" t="s">
        <v>470</v>
      </c>
      <c r="AN586" s="4" t="s">
        <v>95</v>
      </c>
      <c r="AO586" s="4" t="s">
        <v>131</v>
      </c>
      <c r="AP586" s="4">
        <v>2</v>
      </c>
      <c r="AQ586" s="20">
        <v>99000</v>
      </c>
      <c r="AR586" s="4">
        <v>41803</v>
      </c>
      <c r="AS586" s="20">
        <v>25000</v>
      </c>
      <c r="AT586" s="20">
        <v>23740</v>
      </c>
      <c r="AU586" s="20">
        <v>-1260</v>
      </c>
      <c r="AW586" s="20">
        <v>20</v>
      </c>
      <c r="AY586" s="20">
        <v>20</v>
      </c>
      <c r="BA586" s="20">
        <v>23720</v>
      </c>
      <c r="BB586" s="6">
        <v>41744</v>
      </c>
      <c r="BD586" s="6">
        <v>41844</v>
      </c>
      <c r="BE586" s="6">
        <v>41864</v>
      </c>
      <c r="BF586" s="6">
        <v>41901</v>
      </c>
      <c r="BK586" s="4" t="s">
        <v>401</v>
      </c>
      <c r="BM586" s="20">
        <v>153</v>
      </c>
      <c r="BN586" s="20">
        <v>0</v>
      </c>
      <c r="BO586" s="20">
        <v>0</v>
      </c>
      <c r="BP586" s="20">
        <v>0</v>
      </c>
      <c r="BQ586" s="20">
        <v>0</v>
      </c>
      <c r="BR586" s="20">
        <v>0</v>
      </c>
      <c r="BS586" s="20">
        <v>150</v>
      </c>
      <c r="BT586" s="20">
        <v>3561000</v>
      </c>
      <c r="BU586" s="20">
        <v>14850000</v>
      </c>
      <c r="BV586" s="20">
        <v>3.791069924178601</v>
      </c>
    </row>
    <row r="587" spans="1:74">
      <c r="A587" s="10">
        <f t="shared" si="38"/>
        <v>0</v>
      </c>
      <c r="B587" s="10">
        <f t="shared" si="39"/>
        <v>0</v>
      </c>
      <c r="C587" s="12">
        <f t="shared" si="40"/>
        <v>4</v>
      </c>
      <c r="D587" s="12">
        <f t="shared" si="41"/>
        <v>9</v>
      </c>
      <c r="E587" s="20" t="s">
        <v>574</v>
      </c>
      <c r="F587" s="20" t="s">
        <v>665</v>
      </c>
      <c r="G587" s="20" t="s">
        <v>917</v>
      </c>
      <c r="H587" s="20" t="s">
        <v>942</v>
      </c>
      <c r="I587" s="20">
        <v>3</v>
      </c>
      <c r="J587" s="20" t="s">
        <v>943</v>
      </c>
      <c r="K587" s="20" t="s">
        <v>949</v>
      </c>
      <c r="L587" s="20" t="s">
        <v>945</v>
      </c>
      <c r="M587" s="20" t="s">
        <v>671</v>
      </c>
      <c r="N587" s="20" t="s">
        <v>672</v>
      </c>
      <c r="P587" s="20" t="s">
        <v>671</v>
      </c>
      <c r="Q587" s="20" t="s">
        <v>673</v>
      </c>
      <c r="R587" s="20" t="s">
        <v>84</v>
      </c>
      <c r="S587" s="20">
        <v>5</v>
      </c>
      <c r="T587" s="20" t="s">
        <v>922</v>
      </c>
      <c r="U587" s="20" t="s">
        <v>923</v>
      </c>
      <c r="V587" s="20" t="s">
        <v>87</v>
      </c>
      <c r="W587" s="20">
        <v>518</v>
      </c>
      <c r="X587" s="20">
        <v>518</v>
      </c>
      <c r="Y587" s="20" t="s">
        <v>946</v>
      </c>
      <c r="Z587" s="20">
        <v>0.16666666666666666</v>
      </c>
      <c r="AA587" s="20" t="s">
        <v>947</v>
      </c>
      <c r="AB587" s="20" t="s">
        <v>279</v>
      </c>
      <c r="AC587" s="20" t="s">
        <v>280</v>
      </c>
      <c r="AD587" s="20" t="s">
        <v>948</v>
      </c>
      <c r="AE587" s="20" t="s">
        <v>91</v>
      </c>
      <c r="AF587" s="20">
        <v>0.16666666666666666</v>
      </c>
      <c r="AH587" s="20">
        <v>1</v>
      </c>
      <c r="AI587" s="4" t="s">
        <v>643</v>
      </c>
      <c r="AJ587" s="20">
        <v>45</v>
      </c>
      <c r="AK587" s="4" t="s">
        <v>780</v>
      </c>
      <c r="AL587" s="4">
        <v>4</v>
      </c>
      <c r="AM587" s="4" t="s">
        <v>470</v>
      </c>
      <c r="AN587" s="4" t="s">
        <v>95</v>
      </c>
      <c r="AO587" s="4" t="s">
        <v>131</v>
      </c>
      <c r="AP587" s="4">
        <v>2</v>
      </c>
      <c r="AQ587" s="20">
        <v>99000</v>
      </c>
      <c r="AR587" s="4">
        <v>41803</v>
      </c>
      <c r="AS587" s="20">
        <v>25000</v>
      </c>
      <c r="AT587" s="20">
        <v>23740</v>
      </c>
      <c r="AU587" s="20">
        <v>-1260</v>
      </c>
      <c r="AW587" s="20">
        <v>20</v>
      </c>
      <c r="AY587" s="20">
        <v>20</v>
      </c>
      <c r="BA587" s="20">
        <v>23720</v>
      </c>
      <c r="BB587" s="6">
        <v>41744</v>
      </c>
      <c r="BD587" s="6">
        <v>41844</v>
      </c>
      <c r="BE587" s="6">
        <v>41864</v>
      </c>
      <c r="BF587" s="6">
        <v>41901</v>
      </c>
      <c r="BK587" s="4" t="s">
        <v>401</v>
      </c>
      <c r="BM587" s="20">
        <v>45</v>
      </c>
      <c r="BN587" s="20">
        <v>0</v>
      </c>
      <c r="BO587" s="20">
        <v>0</v>
      </c>
      <c r="BP587" s="20">
        <v>0</v>
      </c>
      <c r="BQ587" s="20">
        <v>0</v>
      </c>
      <c r="BR587" s="20">
        <v>0</v>
      </c>
      <c r="BS587" s="20">
        <v>45</v>
      </c>
      <c r="BT587" s="20">
        <v>1068300</v>
      </c>
      <c r="BU587" s="20">
        <v>4455000</v>
      </c>
      <c r="BV587" s="20">
        <v>3.7910699241786014</v>
      </c>
    </row>
    <row r="588" spans="1:74">
      <c r="A588" s="10">
        <f t="shared" si="38"/>
        <v>0</v>
      </c>
      <c r="B588" s="10">
        <f t="shared" si="39"/>
        <v>0</v>
      </c>
      <c r="C588" s="12">
        <f t="shared" si="40"/>
        <v>4</v>
      </c>
      <c r="D588" s="12">
        <f t="shared" si="41"/>
        <v>9</v>
      </c>
      <c r="E588" s="20" t="s">
        <v>574</v>
      </c>
      <c r="F588" s="20" t="s">
        <v>665</v>
      </c>
      <c r="G588" s="20" t="s">
        <v>917</v>
      </c>
      <c r="H588" s="20" t="s">
        <v>942</v>
      </c>
      <c r="I588" s="20">
        <v>3</v>
      </c>
      <c r="J588" s="20" t="s">
        <v>943</v>
      </c>
      <c r="K588" s="20" t="s">
        <v>950</v>
      </c>
      <c r="L588" s="20" t="s">
        <v>945</v>
      </c>
      <c r="M588" s="20" t="s">
        <v>671</v>
      </c>
      <c r="N588" s="20" t="s">
        <v>672</v>
      </c>
      <c r="P588" s="20" t="s">
        <v>671</v>
      </c>
      <c r="Q588" s="20" t="s">
        <v>673</v>
      </c>
      <c r="R588" s="20" t="s">
        <v>84</v>
      </c>
      <c r="S588" s="20">
        <v>5</v>
      </c>
      <c r="T588" s="20" t="s">
        <v>922</v>
      </c>
      <c r="U588" s="20" t="s">
        <v>923</v>
      </c>
      <c r="V588" s="20" t="s">
        <v>87</v>
      </c>
      <c r="W588" s="20">
        <v>518</v>
      </c>
      <c r="X588" s="20">
        <v>518</v>
      </c>
      <c r="Y588" s="20" t="s">
        <v>946</v>
      </c>
      <c r="Z588" s="20">
        <v>0.16666666666666666</v>
      </c>
      <c r="AA588" s="20" t="s">
        <v>947</v>
      </c>
      <c r="AB588" s="20" t="s">
        <v>279</v>
      </c>
      <c r="AC588" s="20" t="s">
        <v>280</v>
      </c>
      <c r="AD588" s="20" t="s">
        <v>948</v>
      </c>
      <c r="AE588" s="20" t="s">
        <v>91</v>
      </c>
      <c r="AF588" s="20">
        <v>0.16666666666666666</v>
      </c>
      <c r="AH588" s="20">
        <v>1</v>
      </c>
      <c r="AI588" s="4" t="s">
        <v>645</v>
      </c>
      <c r="AJ588" s="20">
        <v>75</v>
      </c>
      <c r="AK588" s="4" t="s">
        <v>780</v>
      </c>
      <c r="AL588" s="4">
        <v>4</v>
      </c>
      <c r="AM588" s="4" t="s">
        <v>470</v>
      </c>
      <c r="AN588" s="4" t="s">
        <v>95</v>
      </c>
      <c r="AO588" s="4" t="s">
        <v>131</v>
      </c>
      <c r="AP588" s="4">
        <v>2</v>
      </c>
      <c r="AQ588" s="20">
        <v>99000</v>
      </c>
      <c r="AR588" s="4">
        <v>41803</v>
      </c>
      <c r="AS588" s="20">
        <v>25000</v>
      </c>
      <c r="AT588" s="20">
        <v>23740</v>
      </c>
      <c r="AU588" s="20">
        <v>-1260</v>
      </c>
      <c r="AW588" s="20">
        <v>20</v>
      </c>
      <c r="AY588" s="20">
        <v>20</v>
      </c>
      <c r="BA588" s="20">
        <v>23720</v>
      </c>
      <c r="BB588" s="6">
        <v>41744</v>
      </c>
      <c r="BD588" s="6">
        <v>41844</v>
      </c>
      <c r="BE588" s="6">
        <v>41864</v>
      </c>
      <c r="BF588" s="6">
        <v>41901</v>
      </c>
      <c r="BK588" s="4" t="s">
        <v>401</v>
      </c>
      <c r="BM588" s="20">
        <v>75</v>
      </c>
      <c r="BN588" s="20">
        <v>0</v>
      </c>
      <c r="BO588" s="20">
        <v>0</v>
      </c>
      <c r="BP588" s="20">
        <v>0</v>
      </c>
      <c r="BQ588" s="20">
        <v>0</v>
      </c>
      <c r="BR588" s="20">
        <v>0</v>
      </c>
      <c r="BS588" s="20">
        <v>75</v>
      </c>
      <c r="BT588" s="20">
        <v>1780500</v>
      </c>
      <c r="BU588" s="20">
        <v>7425000</v>
      </c>
      <c r="BV588" s="20">
        <v>3.791069924178601</v>
      </c>
    </row>
    <row r="589" spans="1:74">
      <c r="A589" s="10">
        <f t="shared" si="38"/>
        <v>0</v>
      </c>
      <c r="B589" s="10">
        <f t="shared" si="39"/>
        <v>0</v>
      </c>
      <c r="C589" s="12">
        <f t="shared" si="40"/>
        <v>4</v>
      </c>
      <c r="D589" s="12">
        <f t="shared" si="41"/>
        <v>9</v>
      </c>
      <c r="E589" s="20" t="s">
        <v>574</v>
      </c>
      <c r="F589" s="20" t="s">
        <v>665</v>
      </c>
      <c r="G589" s="20" t="s">
        <v>917</v>
      </c>
      <c r="H589" s="20" t="s">
        <v>942</v>
      </c>
      <c r="I589" s="20">
        <v>3</v>
      </c>
      <c r="J589" s="20" t="s">
        <v>943</v>
      </c>
      <c r="K589" s="20" t="s">
        <v>951</v>
      </c>
      <c r="L589" s="20" t="s">
        <v>945</v>
      </c>
      <c r="M589" s="20" t="s">
        <v>671</v>
      </c>
      <c r="N589" s="20" t="s">
        <v>672</v>
      </c>
      <c r="P589" s="20" t="s">
        <v>671</v>
      </c>
      <c r="Q589" s="20" t="s">
        <v>673</v>
      </c>
      <c r="R589" s="20" t="s">
        <v>84</v>
      </c>
      <c r="S589" s="20">
        <v>5</v>
      </c>
      <c r="T589" s="20" t="s">
        <v>922</v>
      </c>
      <c r="U589" s="20" t="s">
        <v>923</v>
      </c>
      <c r="V589" s="20" t="s">
        <v>87</v>
      </c>
      <c r="W589" s="20">
        <v>518</v>
      </c>
      <c r="X589" s="20">
        <v>518</v>
      </c>
      <c r="Y589" s="20" t="s">
        <v>946</v>
      </c>
      <c r="Z589" s="20">
        <v>0.16666666666666666</v>
      </c>
      <c r="AA589" s="20" t="s">
        <v>947</v>
      </c>
      <c r="AB589" s="20" t="s">
        <v>279</v>
      </c>
      <c r="AC589" s="20" t="s">
        <v>280</v>
      </c>
      <c r="AD589" s="20" t="s">
        <v>948</v>
      </c>
      <c r="AE589" s="20" t="s">
        <v>91</v>
      </c>
      <c r="AF589" s="20">
        <v>0.16666666666666666</v>
      </c>
      <c r="AH589" s="20">
        <v>1</v>
      </c>
      <c r="AI589" s="4" t="s">
        <v>647</v>
      </c>
      <c r="AJ589" s="20">
        <v>75</v>
      </c>
      <c r="AK589" s="4" t="s">
        <v>780</v>
      </c>
      <c r="AL589" s="4">
        <v>4</v>
      </c>
      <c r="AM589" s="4" t="s">
        <v>470</v>
      </c>
      <c r="AN589" s="4" t="s">
        <v>95</v>
      </c>
      <c r="AO589" s="4" t="s">
        <v>131</v>
      </c>
      <c r="AP589" s="4">
        <v>2</v>
      </c>
      <c r="AQ589" s="20">
        <v>99000</v>
      </c>
      <c r="AR589" s="4">
        <v>41803</v>
      </c>
      <c r="AS589" s="20">
        <v>25000</v>
      </c>
      <c r="AT589" s="20">
        <v>23740</v>
      </c>
      <c r="AU589" s="20">
        <v>-1260</v>
      </c>
      <c r="AW589" s="20">
        <v>20</v>
      </c>
      <c r="AY589" s="20">
        <v>20</v>
      </c>
      <c r="BA589" s="20">
        <v>23720</v>
      </c>
      <c r="BB589" s="6">
        <v>41744</v>
      </c>
      <c r="BD589" s="6">
        <v>41844</v>
      </c>
      <c r="BE589" s="6">
        <v>41864</v>
      </c>
      <c r="BF589" s="6">
        <v>41901</v>
      </c>
      <c r="BK589" s="4" t="s">
        <v>401</v>
      </c>
      <c r="BM589" s="20">
        <v>75</v>
      </c>
      <c r="BN589" s="20">
        <v>0</v>
      </c>
      <c r="BO589" s="20">
        <v>0</v>
      </c>
      <c r="BP589" s="20">
        <v>0</v>
      </c>
      <c r="BQ589" s="20">
        <v>0</v>
      </c>
      <c r="BR589" s="20">
        <v>0</v>
      </c>
      <c r="BS589" s="20">
        <v>75</v>
      </c>
      <c r="BT589" s="20">
        <v>1780500</v>
      </c>
      <c r="BU589" s="20">
        <v>7425000</v>
      </c>
      <c r="BV589" s="20">
        <v>3.791069924178601</v>
      </c>
    </row>
    <row r="590" spans="1:74">
      <c r="A590" s="10">
        <f t="shared" si="38"/>
        <v>0</v>
      </c>
      <c r="B590" s="10">
        <f t="shared" si="39"/>
        <v>0</v>
      </c>
      <c r="C590" s="12">
        <f t="shared" si="40"/>
        <v>4</v>
      </c>
      <c r="D590" s="12">
        <f t="shared" si="41"/>
        <v>9</v>
      </c>
      <c r="E590" s="20" t="s">
        <v>574</v>
      </c>
      <c r="F590" s="20" t="s">
        <v>665</v>
      </c>
      <c r="G590" s="20" t="s">
        <v>917</v>
      </c>
      <c r="H590" s="20" t="s">
        <v>942</v>
      </c>
      <c r="I590" s="20">
        <v>3</v>
      </c>
      <c r="J590" s="20" t="s">
        <v>943</v>
      </c>
      <c r="K590" s="20" t="s">
        <v>952</v>
      </c>
      <c r="L590" s="20" t="s">
        <v>945</v>
      </c>
      <c r="M590" s="20" t="s">
        <v>671</v>
      </c>
      <c r="N590" s="20" t="s">
        <v>672</v>
      </c>
      <c r="P590" s="20" t="s">
        <v>671</v>
      </c>
      <c r="Q590" s="20" t="s">
        <v>673</v>
      </c>
      <c r="R590" s="20" t="s">
        <v>84</v>
      </c>
      <c r="S590" s="20">
        <v>5</v>
      </c>
      <c r="T590" s="20" t="s">
        <v>922</v>
      </c>
      <c r="U590" s="20" t="s">
        <v>923</v>
      </c>
      <c r="V590" s="20" t="s">
        <v>87</v>
      </c>
      <c r="W590" s="20">
        <v>518</v>
      </c>
      <c r="X590" s="20">
        <v>518</v>
      </c>
      <c r="Y590" s="20" t="s">
        <v>946</v>
      </c>
      <c r="Z590" s="20">
        <v>0.16666666666666666</v>
      </c>
      <c r="AA590" s="20" t="s">
        <v>947</v>
      </c>
      <c r="AB590" s="20" t="s">
        <v>279</v>
      </c>
      <c r="AC590" s="20" t="s">
        <v>280</v>
      </c>
      <c r="AD590" s="20" t="s">
        <v>948</v>
      </c>
      <c r="AE590" s="20" t="s">
        <v>91</v>
      </c>
      <c r="AF590" s="20">
        <v>0.16666666666666666</v>
      </c>
      <c r="AH590" s="20">
        <v>1</v>
      </c>
      <c r="AI590" s="4" t="s">
        <v>649</v>
      </c>
      <c r="AJ590" s="20">
        <v>45</v>
      </c>
      <c r="AK590" s="4" t="s">
        <v>780</v>
      </c>
      <c r="AL590" s="4">
        <v>4</v>
      </c>
      <c r="AM590" s="4" t="s">
        <v>470</v>
      </c>
      <c r="AN590" s="4" t="s">
        <v>95</v>
      </c>
      <c r="AO590" s="4" t="s">
        <v>131</v>
      </c>
      <c r="AP590" s="4">
        <v>2</v>
      </c>
      <c r="AQ590" s="20">
        <v>99000</v>
      </c>
      <c r="AR590" s="4">
        <v>41803</v>
      </c>
      <c r="AS590" s="20">
        <v>25000</v>
      </c>
      <c r="AT590" s="20">
        <v>23740</v>
      </c>
      <c r="AU590" s="20">
        <v>-1260</v>
      </c>
      <c r="AW590" s="20">
        <v>20</v>
      </c>
      <c r="AY590" s="20">
        <v>20</v>
      </c>
      <c r="BA590" s="20">
        <v>23720</v>
      </c>
      <c r="BB590" s="6">
        <v>41744</v>
      </c>
      <c r="BD590" s="6">
        <v>41844</v>
      </c>
      <c r="BE590" s="6">
        <v>41864</v>
      </c>
      <c r="BF590" s="6">
        <v>41901</v>
      </c>
      <c r="BK590" s="4" t="s">
        <v>401</v>
      </c>
      <c r="BM590" s="20">
        <v>45</v>
      </c>
      <c r="BN590" s="20">
        <v>0</v>
      </c>
      <c r="BO590" s="20">
        <v>0</v>
      </c>
      <c r="BP590" s="20">
        <v>0</v>
      </c>
      <c r="BQ590" s="20">
        <v>0</v>
      </c>
      <c r="BR590" s="20">
        <v>0</v>
      </c>
      <c r="BS590" s="20">
        <v>45</v>
      </c>
      <c r="BT590" s="20">
        <v>1068300</v>
      </c>
      <c r="BU590" s="20">
        <v>4455000</v>
      </c>
      <c r="BV590" s="20">
        <v>3.7910699241786014</v>
      </c>
    </row>
    <row r="591" spans="1:74">
      <c r="A591" s="10">
        <f t="shared" si="38"/>
        <v>0</v>
      </c>
      <c r="B591" s="10">
        <f t="shared" si="39"/>
        <v>0</v>
      </c>
      <c r="C591" s="12">
        <f t="shared" si="40"/>
        <v>4</v>
      </c>
      <c r="D591" s="12">
        <f t="shared" si="41"/>
        <v>9</v>
      </c>
      <c r="E591" s="20" t="s">
        <v>574</v>
      </c>
      <c r="F591" s="20" t="s">
        <v>665</v>
      </c>
      <c r="G591" s="20" t="s">
        <v>917</v>
      </c>
      <c r="H591" s="20" t="s">
        <v>942</v>
      </c>
      <c r="I591" s="20">
        <v>3</v>
      </c>
      <c r="J591" s="20" t="s">
        <v>943</v>
      </c>
      <c r="K591" s="20" t="s">
        <v>953</v>
      </c>
      <c r="L591" s="20" t="s">
        <v>945</v>
      </c>
      <c r="M591" s="20" t="s">
        <v>671</v>
      </c>
      <c r="N591" s="20" t="s">
        <v>672</v>
      </c>
      <c r="P591" s="20" t="s">
        <v>671</v>
      </c>
      <c r="Q591" s="20" t="s">
        <v>673</v>
      </c>
      <c r="R591" s="20" t="s">
        <v>84</v>
      </c>
      <c r="S591" s="20">
        <v>5</v>
      </c>
      <c r="T591" s="20" t="s">
        <v>922</v>
      </c>
      <c r="U591" s="20" t="s">
        <v>923</v>
      </c>
      <c r="V591" s="20" t="s">
        <v>87</v>
      </c>
      <c r="W591" s="20">
        <v>518</v>
      </c>
      <c r="X591" s="20">
        <v>518</v>
      </c>
      <c r="Y591" s="20" t="s">
        <v>946</v>
      </c>
      <c r="Z591" s="20">
        <v>0.16666666666666666</v>
      </c>
      <c r="AA591" s="20" t="s">
        <v>947</v>
      </c>
      <c r="AB591" s="20" t="s">
        <v>279</v>
      </c>
      <c r="AC591" s="20" t="s">
        <v>280</v>
      </c>
      <c r="AD591" s="20" t="s">
        <v>948</v>
      </c>
      <c r="AE591" s="20" t="s">
        <v>91</v>
      </c>
      <c r="AF591" s="20">
        <v>0.16666666666666666</v>
      </c>
      <c r="AH591" s="20">
        <v>1</v>
      </c>
      <c r="AI591" s="4" t="s">
        <v>651</v>
      </c>
      <c r="AJ591" s="20">
        <v>40</v>
      </c>
      <c r="AK591" s="4" t="s">
        <v>780</v>
      </c>
      <c r="AL591" s="4">
        <v>4</v>
      </c>
      <c r="AM591" s="4" t="s">
        <v>470</v>
      </c>
      <c r="AN591" s="4" t="s">
        <v>95</v>
      </c>
      <c r="AO591" s="4" t="s">
        <v>131</v>
      </c>
      <c r="AP591" s="4">
        <v>2</v>
      </c>
      <c r="AQ591" s="20">
        <v>99000</v>
      </c>
      <c r="AR591" s="4">
        <v>41803</v>
      </c>
      <c r="AS591" s="20">
        <v>25000</v>
      </c>
      <c r="AT591" s="20">
        <v>23740</v>
      </c>
      <c r="AU591" s="20">
        <v>-1260</v>
      </c>
      <c r="AW591" s="20">
        <v>20</v>
      </c>
      <c r="AY591" s="20">
        <v>20</v>
      </c>
      <c r="BA591" s="20">
        <v>23720</v>
      </c>
      <c r="BB591" s="6">
        <v>41744</v>
      </c>
      <c r="BD591" s="6">
        <v>41844</v>
      </c>
      <c r="BE591" s="6">
        <v>41864</v>
      </c>
      <c r="BF591" s="6">
        <v>41901</v>
      </c>
      <c r="BK591" s="4" t="s">
        <v>401</v>
      </c>
      <c r="BM591" s="20">
        <v>40</v>
      </c>
      <c r="BN591" s="20">
        <v>0</v>
      </c>
      <c r="BO591" s="20">
        <v>0</v>
      </c>
      <c r="BP591" s="20">
        <v>0</v>
      </c>
      <c r="BQ591" s="20">
        <v>0</v>
      </c>
      <c r="BR591" s="20">
        <v>0</v>
      </c>
      <c r="BS591" s="20">
        <v>40</v>
      </c>
      <c r="BT591" s="20">
        <v>949600</v>
      </c>
      <c r="BU591" s="20">
        <v>3960000</v>
      </c>
      <c r="BV591" s="20">
        <v>3.791069924178601</v>
      </c>
    </row>
    <row r="592" spans="1:74">
      <c r="A592" s="10">
        <f t="shared" si="38"/>
        <v>0</v>
      </c>
      <c r="B592" s="10">
        <f t="shared" si="39"/>
        <v>0</v>
      </c>
      <c r="C592" s="12" t="str">
        <f t="shared" si="40"/>
        <v/>
      </c>
      <c r="D592" s="12" t="str">
        <f t="shared" si="41"/>
        <v/>
      </c>
      <c r="E592" s="20" t="s">
        <v>91</v>
      </c>
      <c r="F592" s="20" t="s">
        <v>91</v>
      </c>
      <c r="G592" s="20" t="s">
        <v>91</v>
      </c>
      <c r="H592" s="20" t="s">
        <v>91</v>
      </c>
      <c r="I592" s="20">
        <v>0</v>
      </c>
      <c r="J592" s="20" t="s">
        <v>103</v>
      </c>
      <c r="K592" s="20" t="s">
        <v>104</v>
      </c>
      <c r="L592" s="20">
        <v>0</v>
      </c>
      <c r="M592" s="20" t="s">
        <v>105</v>
      </c>
      <c r="N592" s="20" t="s">
        <v>91</v>
      </c>
      <c r="O592" s="20" t="s">
        <v>954</v>
      </c>
      <c r="Q592" s="20" t="s">
        <v>91</v>
      </c>
      <c r="R592" s="20" t="s">
        <v>91</v>
      </c>
      <c r="S592" s="20" t="s">
        <v>91</v>
      </c>
      <c r="U592" s="20" t="s">
        <v>91</v>
      </c>
      <c r="V592" s="20" t="s">
        <v>87</v>
      </c>
      <c r="X592" s="20" t="s">
        <v>91</v>
      </c>
      <c r="Y592" s="20" t="s">
        <v>91</v>
      </c>
      <c r="Z592" s="20">
        <v>2.0000000000000004</v>
      </c>
      <c r="AB592" s="20" t="s">
        <v>91</v>
      </c>
      <c r="AD592" s="20" t="s">
        <v>91</v>
      </c>
      <c r="AE592" s="20" t="s">
        <v>91</v>
      </c>
      <c r="AF592" s="20">
        <v>2.9999999999999991</v>
      </c>
      <c r="AH592" s="20">
        <v>1</v>
      </c>
      <c r="AM592" s="4" t="s">
        <v>91</v>
      </c>
      <c r="AP592" s="4" t="s">
        <v>91</v>
      </c>
      <c r="AQ592" s="20">
        <v>0</v>
      </c>
      <c r="AR592" s="4">
        <v>0</v>
      </c>
      <c r="AS592" s="20">
        <v>0</v>
      </c>
      <c r="AT592" s="20">
        <v>0</v>
      </c>
      <c r="AU592" s="20">
        <v>0</v>
      </c>
      <c r="AY592" s="20">
        <v>0</v>
      </c>
      <c r="BB592" s="6">
        <v>0</v>
      </c>
      <c r="BD592" s="6">
        <v>0</v>
      </c>
      <c r="BF592" s="6">
        <v>0</v>
      </c>
      <c r="BM592" s="20">
        <v>899</v>
      </c>
      <c r="BN592" s="20">
        <v>349</v>
      </c>
      <c r="BO592" s="20">
        <v>0</v>
      </c>
      <c r="BP592" s="20">
        <v>0</v>
      </c>
      <c r="BQ592" s="20">
        <v>0</v>
      </c>
      <c r="BR592" s="20">
        <v>0</v>
      </c>
      <c r="BS592" s="20">
        <v>1230</v>
      </c>
      <c r="BT592" s="20">
        <v>28186200</v>
      </c>
      <c r="BU592" s="20">
        <v>121770000</v>
      </c>
      <c r="BV592" s="20">
        <v>3.9274538603997695</v>
      </c>
    </row>
    <row r="593" spans="1:74">
      <c r="A593" s="10">
        <f t="shared" si="38"/>
        <v>0</v>
      </c>
      <c r="B593" s="10">
        <f t="shared" si="39"/>
        <v>0</v>
      </c>
      <c r="C593" s="12">
        <f t="shared" si="40"/>
        <v>4</v>
      </c>
      <c r="D593" s="12">
        <f t="shared" si="41"/>
        <v>8</v>
      </c>
      <c r="E593" s="20" t="s">
        <v>574</v>
      </c>
      <c r="F593" s="20" t="s">
        <v>665</v>
      </c>
      <c r="G593" s="20" t="s">
        <v>955</v>
      </c>
      <c r="H593" s="20" t="s">
        <v>956</v>
      </c>
      <c r="I593" s="20">
        <v>1</v>
      </c>
      <c r="J593" s="20" t="s">
        <v>957</v>
      </c>
      <c r="K593" s="20" t="s">
        <v>958</v>
      </c>
      <c r="L593" s="20" t="s">
        <v>959</v>
      </c>
      <c r="M593" s="20" t="s">
        <v>671</v>
      </c>
      <c r="N593" s="20" t="s">
        <v>672</v>
      </c>
      <c r="P593" s="20" t="s">
        <v>671</v>
      </c>
      <c r="Q593" s="20" t="s">
        <v>673</v>
      </c>
      <c r="R593" s="20" t="s">
        <v>84</v>
      </c>
      <c r="S593" s="20">
        <v>5</v>
      </c>
      <c r="T593" s="20" t="s">
        <v>635</v>
      </c>
      <c r="U593" s="20" t="s">
        <v>636</v>
      </c>
      <c r="V593" s="20" t="s">
        <v>87</v>
      </c>
      <c r="W593" s="20">
        <v>510</v>
      </c>
      <c r="X593" s="20">
        <v>510</v>
      </c>
      <c r="Y593" s="20" t="s">
        <v>960</v>
      </c>
      <c r="Z593" s="20">
        <v>0.16666666666666666</v>
      </c>
      <c r="AA593" s="20" t="s">
        <v>961</v>
      </c>
      <c r="AB593" s="20" t="s">
        <v>109</v>
      </c>
      <c r="AC593" s="20" t="s">
        <v>110</v>
      </c>
      <c r="AD593" s="20" t="s">
        <v>962</v>
      </c>
      <c r="AE593" s="20" t="s">
        <v>91</v>
      </c>
      <c r="AF593" s="20">
        <v>0.16666666666666666</v>
      </c>
      <c r="AH593" s="20">
        <v>1</v>
      </c>
      <c r="AI593" s="4" t="s">
        <v>640</v>
      </c>
      <c r="AJ593" s="20">
        <v>150</v>
      </c>
      <c r="AK593" s="4" t="s">
        <v>641</v>
      </c>
      <c r="AL593" s="4">
        <v>3</v>
      </c>
      <c r="AM593" s="4" t="s">
        <v>438</v>
      </c>
      <c r="AN593" s="4" t="s">
        <v>95</v>
      </c>
      <c r="AO593" s="4" t="s">
        <v>96</v>
      </c>
      <c r="AP593" s="4">
        <v>1</v>
      </c>
      <c r="AQ593" s="20">
        <v>69000</v>
      </c>
      <c r="AR593" s="4">
        <v>41803</v>
      </c>
      <c r="AS593" s="20">
        <v>12545.454545454544</v>
      </c>
      <c r="AT593" s="20">
        <v>14165.62</v>
      </c>
      <c r="AU593" s="20">
        <v>1620.1654545454567</v>
      </c>
      <c r="AW593" s="20">
        <v>70</v>
      </c>
      <c r="AY593" s="20">
        <v>70</v>
      </c>
      <c r="AZ593" s="20">
        <v>10.8</v>
      </c>
      <c r="BB593" s="6">
        <v>41744</v>
      </c>
      <c r="BC593" s="6">
        <v>41853</v>
      </c>
      <c r="BD593" s="6">
        <v>41844</v>
      </c>
      <c r="BE593" s="6">
        <v>41859</v>
      </c>
      <c r="BF593" s="6">
        <v>41876</v>
      </c>
      <c r="BG593" s="6">
        <v>41885</v>
      </c>
      <c r="BK593" s="4" t="s">
        <v>401</v>
      </c>
      <c r="BM593" s="20">
        <v>90</v>
      </c>
      <c r="BN593" s="20">
        <v>46</v>
      </c>
      <c r="BO593" s="20">
        <v>0</v>
      </c>
      <c r="BP593" s="20">
        <v>0</v>
      </c>
      <c r="BQ593" s="20">
        <v>0</v>
      </c>
      <c r="BR593" s="20">
        <v>0</v>
      </c>
      <c r="BS593" s="20">
        <v>150</v>
      </c>
      <c r="BT593" s="20">
        <v>2124843</v>
      </c>
      <c r="BU593" s="20">
        <v>10350000</v>
      </c>
      <c r="BV593" s="20">
        <v>4.4281346476379237</v>
      </c>
    </row>
    <row r="594" spans="1:74">
      <c r="A594" s="10">
        <f t="shared" si="38"/>
        <v>0</v>
      </c>
      <c r="B594" s="10">
        <f t="shared" si="39"/>
        <v>0</v>
      </c>
      <c r="C594" s="12">
        <f t="shared" si="40"/>
        <v>4</v>
      </c>
      <c r="D594" s="12">
        <f t="shared" si="41"/>
        <v>8</v>
      </c>
      <c r="E594" s="20" t="s">
        <v>574</v>
      </c>
      <c r="F594" s="20" t="s">
        <v>665</v>
      </c>
      <c r="G594" s="20" t="s">
        <v>955</v>
      </c>
      <c r="H594" s="20" t="s">
        <v>956</v>
      </c>
      <c r="I594" s="20">
        <v>1</v>
      </c>
      <c r="J594" s="20" t="s">
        <v>957</v>
      </c>
      <c r="K594" s="20" t="s">
        <v>963</v>
      </c>
      <c r="L594" s="20" t="s">
        <v>959</v>
      </c>
      <c r="M594" s="20" t="s">
        <v>671</v>
      </c>
      <c r="N594" s="20" t="s">
        <v>672</v>
      </c>
      <c r="P594" s="20" t="s">
        <v>671</v>
      </c>
      <c r="Q594" s="20" t="s">
        <v>673</v>
      </c>
      <c r="R594" s="20" t="s">
        <v>84</v>
      </c>
      <c r="S594" s="20">
        <v>5</v>
      </c>
      <c r="T594" s="20" t="s">
        <v>635</v>
      </c>
      <c r="U594" s="20" t="s">
        <v>636</v>
      </c>
      <c r="V594" s="20" t="s">
        <v>87</v>
      </c>
      <c r="W594" s="20">
        <v>510</v>
      </c>
      <c r="X594" s="20">
        <v>510</v>
      </c>
      <c r="Y594" s="20" t="s">
        <v>960</v>
      </c>
      <c r="Z594" s="20">
        <v>0.16666666666666666</v>
      </c>
      <c r="AA594" s="20" t="s">
        <v>961</v>
      </c>
      <c r="AB594" s="20" t="s">
        <v>109</v>
      </c>
      <c r="AC594" s="20" t="s">
        <v>110</v>
      </c>
      <c r="AD594" s="20" t="s">
        <v>962</v>
      </c>
      <c r="AE594" s="20" t="s">
        <v>91</v>
      </c>
      <c r="AF594" s="20">
        <v>0.16666666666666666</v>
      </c>
      <c r="AH594" s="20">
        <v>1</v>
      </c>
      <c r="AI594" s="4" t="s">
        <v>643</v>
      </c>
      <c r="AJ594" s="20">
        <v>60</v>
      </c>
      <c r="AK594" s="4" t="s">
        <v>641</v>
      </c>
      <c r="AL594" s="4">
        <v>3</v>
      </c>
      <c r="AM594" s="4" t="s">
        <v>438</v>
      </c>
      <c r="AN594" s="4" t="s">
        <v>95</v>
      </c>
      <c r="AO594" s="4" t="s">
        <v>96</v>
      </c>
      <c r="AP594" s="4">
        <v>1</v>
      </c>
      <c r="AQ594" s="20">
        <v>69000</v>
      </c>
      <c r="AR594" s="4">
        <v>41803</v>
      </c>
      <c r="AS594" s="20">
        <v>12545.454545454544</v>
      </c>
      <c r="AT594" s="20">
        <v>14165.62</v>
      </c>
      <c r="AU594" s="20">
        <v>1620.1654545454567</v>
      </c>
      <c r="AW594" s="20">
        <v>70</v>
      </c>
      <c r="AY594" s="20">
        <v>70</v>
      </c>
      <c r="AZ594" s="20">
        <v>10.8</v>
      </c>
      <c r="BB594" s="6">
        <v>41744</v>
      </c>
      <c r="BC594" s="6">
        <v>41853</v>
      </c>
      <c r="BD594" s="6">
        <v>41844</v>
      </c>
      <c r="BE594" s="6">
        <v>41859</v>
      </c>
      <c r="BF594" s="6">
        <v>41876</v>
      </c>
      <c r="BG594" s="6">
        <v>41885</v>
      </c>
      <c r="BK594" s="4" t="s">
        <v>401</v>
      </c>
      <c r="BM594" s="20">
        <v>45</v>
      </c>
      <c r="BN594" s="20">
        <v>22</v>
      </c>
      <c r="BO594" s="20">
        <v>0</v>
      </c>
      <c r="BP594" s="20">
        <v>0</v>
      </c>
      <c r="BQ594" s="20">
        <v>0</v>
      </c>
      <c r="BR594" s="20">
        <v>0</v>
      </c>
      <c r="BS594" s="20">
        <v>60</v>
      </c>
      <c r="BT594" s="20">
        <v>849937.20000000007</v>
      </c>
      <c r="BU594" s="20">
        <v>4140000</v>
      </c>
      <c r="BV594" s="20">
        <v>4.4281346476379229</v>
      </c>
    </row>
    <row r="595" spans="1:74">
      <c r="A595" s="10">
        <f t="shared" si="38"/>
        <v>0</v>
      </c>
      <c r="B595" s="10">
        <f t="shared" si="39"/>
        <v>0</v>
      </c>
      <c r="C595" s="12">
        <f t="shared" si="40"/>
        <v>4</v>
      </c>
      <c r="D595" s="12">
        <f t="shared" si="41"/>
        <v>8</v>
      </c>
      <c r="E595" s="20" t="s">
        <v>574</v>
      </c>
      <c r="F595" s="20" t="s">
        <v>665</v>
      </c>
      <c r="G595" s="20" t="s">
        <v>955</v>
      </c>
      <c r="H595" s="20" t="s">
        <v>956</v>
      </c>
      <c r="I595" s="20">
        <v>1</v>
      </c>
      <c r="J595" s="20" t="s">
        <v>957</v>
      </c>
      <c r="K595" s="20" t="s">
        <v>964</v>
      </c>
      <c r="L595" s="20" t="s">
        <v>959</v>
      </c>
      <c r="M595" s="20" t="s">
        <v>671</v>
      </c>
      <c r="N595" s="20" t="s">
        <v>672</v>
      </c>
      <c r="P595" s="20" t="s">
        <v>671</v>
      </c>
      <c r="Q595" s="20" t="s">
        <v>673</v>
      </c>
      <c r="R595" s="20" t="s">
        <v>84</v>
      </c>
      <c r="S595" s="20">
        <v>5</v>
      </c>
      <c r="T595" s="20" t="s">
        <v>635</v>
      </c>
      <c r="U595" s="20" t="s">
        <v>636</v>
      </c>
      <c r="V595" s="20" t="s">
        <v>87</v>
      </c>
      <c r="W595" s="20">
        <v>510</v>
      </c>
      <c r="X595" s="20">
        <v>510</v>
      </c>
      <c r="Y595" s="20" t="s">
        <v>960</v>
      </c>
      <c r="Z595" s="20">
        <v>0.16666666666666666</v>
      </c>
      <c r="AA595" s="20" t="s">
        <v>961</v>
      </c>
      <c r="AB595" s="20" t="s">
        <v>109</v>
      </c>
      <c r="AC595" s="20" t="s">
        <v>110</v>
      </c>
      <c r="AD595" s="20" t="s">
        <v>962</v>
      </c>
      <c r="AE595" s="20" t="s">
        <v>91</v>
      </c>
      <c r="AF595" s="20">
        <v>0.16666666666666666</v>
      </c>
      <c r="AH595" s="20">
        <v>1</v>
      </c>
      <c r="AI595" s="4" t="s">
        <v>645</v>
      </c>
      <c r="AJ595" s="20">
        <v>75</v>
      </c>
      <c r="AK595" s="4" t="s">
        <v>641</v>
      </c>
      <c r="AL595" s="4">
        <v>3</v>
      </c>
      <c r="AM595" s="4" t="s">
        <v>438</v>
      </c>
      <c r="AN595" s="4" t="s">
        <v>95</v>
      </c>
      <c r="AO595" s="4" t="s">
        <v>96</v>
      </c>
      <c r="AP595" s="4">
        <v>1</v>
      </c>
      <c r="AQ595" s="20">
        <v>69000</v>
      </c>
      <c r="AR595" s="4">
        <v>41803</v>
      </c>
      <c r="AS595" s="20">
        <v>12545.454545454544</v>
      </c>
      <c r="AT595" s="20">
        <v>14165.62</v>
      </c>
      <c r="AU595" s="20">
        <v>1620.1654545454567</v>
      </c>
      <c r="AW595" s="20">
        <v>70</v>
      </c>
      <c r="AY595" s="20">
        <v>70</v>
      </c>
      <c r="AZ595" s="20">
        <v>10.8</v>
      </c>
      <c r="BB595" s="6">
        <v>41744</v>
      </c>
      <c r="BC595" s="6">
        <v>41853</v>
      </c>
      <c r="BD595" s="6">
        <v>41844</v>
      </c>
      <c r="BE595" s="6">
        <v>41859</v>
      </c>
      <c r="BF595" s="6">
        <v>41876</v>
      </c>
      <c r="BG595" s="6">
        <v>41885</v>
      </c>
      <c r="BK595" s="4" t="s">
        <v>401</v>
      </c>
      <c r="BM595" s="20">
        <v>45</v>
      </c>
      <c r="BN595" s="20">
        <v>13</v>
      </c>
      <c r="BO595" s="20">
        <v>0</v>
      </c>
      <c r="BP595" s="20">
        <v>0</v>
      </c>
      <c r="BQ595" s="20">
        <v>0</v>
      </c>
      <c r="BS595" s="20">
        <v>75</v>
      </c>
      <c r="BT595" s="20">
        <v>1062421.5</v>
      </c>
      <c r="BU595" s="20">
        <v>5175000</v>
      </c>
      <c r="BV595" s="20">
        <v>4.4281346476379237</v>
      </c>
    </row>
    <row r="596" spans="1:74">
      <c r="A596" s="10">
        <f t="shared" si="38"/>
        <v>0</v>
      </c>
      <c r="B596" s="10">
        <f t="shared" si="39"/>
        <v>0</v>
      </c>
      <c r="C596" s="12">
        <f t="shared" si="40"/>
        <v>4</v>
      </c>
      <c r="D596" s="12">
        <f t="shared" si="41"/>
        <v>8</v>
      </c>
      <c r="E596" s="20" t="s">
        <v>574</v>
      </c>
      <c r="F596" s="20" t="s">
        <v>665</v>
      </c>
      <c r="G596" s="20" t="s">
        <v>955</v>
      </c>
      <c r="H596" s="20" t="s">
        <v>956</v>
      </c>
      <c r="I596" s="20">
        <v>1</v>
      </c>
      <c r="J596" s="20" t="s">
        <v>957</v>
      </c>
      <c r="K596" s="20" t="s">
        <v>965</v>
      </c>
      <c r="L596" s="20" t="s">
        <v>959</v>
      </c>
      <c r="M596" s="20" t="s">
        <v>671</v>
      </c>
      <c r="N596" s="20" t="s">
        <v>672</v>
      </c>
      <c r="P596" s="20" t="s">
        <v>671</v>
      </c>
      <c r="Q596" s="20" t="s">
        <v>673</v>
      </c>
      <c r="R596" s="20" t="s">
        <v>84</v>
      </c>
      <c r="S596" s="20">
        <v>5</v>
      </c>
      <c r="T596" s="20" t="s">
        <v>635</v>
      </c>
      <c r="U596" s="20" t="s">
        <v>636</v>
      </c>
      <c r="V596" s="20" t="s">
        <v>87</v>
      </c>
      <c r="W596" s="20">
        <v>510</v>
      </c>
      <c r="X596" s="20">
        <v>510</v>
      </c>
      <c r="Y596" s="20" t="s">
        <v>960</v>
      </c>
      <c r="Z596" s="20">
        <v>0.16666666666666666</v>
      </c>
      <c r="AA596" s="20" t="s">
        <v>961</v>
      </c>
      <c r="AB596" s="20" t="s">
        <v>109</v>
      </c>
      <c r="AC596" s="20" t="s">
        <v>110</v>
      </c>
      <c r="AD596" s="20" t="s">
        <v>962</v>
      </c>
      <c r="AE596" s="20" t="s">
        <v>91</v>
      </c>
      <c r="AF596" s="20">
        <v>0.16666666666666666</v>
      </c>
      <c r="AH596" s="20">
        <v>1</v>
      </c>
      <c r="AI596" s="4" t="s">
        <v>647</v>
      </c>
      <c r="AJ596" s="20">
        <v>75</v>
      </c>
      <c r="AK596" s="4" t="s">
        <v>641</v>
      </c>
      <c r="AL596" s="4">
        <v>3</v>
      </c>
      <c r="AM596" s="4" t="s">
        <v>438</v>
      </c>
      <c r="AN596" s="4" t="s">
        <v>95</v>
      </c>
      <c r="AO596" s="4" t="s">
        <v>96</v>
      </c>
      <c r="AP596" s="4">
        <v>1</v>
      </c>
      <c r="AQ596" s="20">
        <v>69000</v>
      </c>
      <c r="AR596" s="4">
        <v>41803</v>
      </c>
      <c r="AS596" s="20">
        <v>12545.454545454544</v>
      </c>
      <c r="AT596" s="20">
        <v>14165.62</v>
      </c>
      <c r="AU596" s="20">
        <v>1620.1654545454567</v>
      </c>
      <c r="AW596" s="20">
        <v>70</v>
      </c>
      <c r="AY596" s="20">
        <v>70</v>
      </c>
      <c r="AZ596" s="20">
        <v>10.8</v>
      </c>
      <c r="BB596" s="6">
        <v>41744</v>
      </c>
      <c r="BC596" s="6">
        <v>41853</v>
      </c>
      <c r="BD596" s="6">
        <v>41844</v>
      </c>
      <c r="BE596" s="6">
        <v>41859</v>
      </c>
      <c r="BF596" s="6">
        <v>41876</v>
      </c>
      <c r="BG596" s="6">
        <v>41885</v>
      </c>
      <c r="BK596" s="4" t="s">
        <v>401</v>
      </c>
      <c r="BM596" s="20">
        <v>45</v>
      </c>
      <c r="BN596" s="20">
        <v>22</v>
      </c>
      <c r="BO596" s="20">
        <v>0</v>
      </c>
      <c r="BP596" s="20">
        <v>0</v>
      </c>
      <c r="BQ596" s="20">
        <v>0</v>
      </c>
      <c r="BS596" s="20">
        <v>75</v>
      </c>
      <c r="BT596" s="20">
        <v>1062421.5</v>
      </c>
      <c r="BU596" s="20">
        <v>5175000</v>
      </c>
      <c r="BV596" s="20">
        <v>4.4281346476379237</v>
      </c>
    </row>
    <row r="597" spans="1:74">
      <c r="A597" s="10">
        <f t="shared" si="38"/>
        <v>0</v>
      </c>
      <c r="B597" s="10">
        <f t="shared" si="39"/>
        <v>0</v>
      </c>
      <c r="C597" s="12">
        <f t="shared" si="40"/>
        <v>4</v>
      </c>
      <c r="D597" s="12">
        <f t="shared" si="41"/>
        <v>8</v>
      </c>
      <c r="E597" s="20" t="s">
        <v>574</v>
      </c>
      <c r="F597" s="20" t="s">
        <v>665</v>
      </c>
      <c r="G597" s="20" t="s">
        <v>955</v>
      </c>
      <c r="H597" s="20" t="s">
        <v>956</v>
      </c>
      <c r="I597" s="20">
        <v>1</v>
      </c>
      <c r="J597" s="20" t="s">
        <v>957</v>
      </c>
      <c r="K597" s="20" t="s">
        <v>966</v>
      </c>
      <c r="L597" s="20" t="s">
        <v>959</v>
      </c>
      <c r="M597" s="20" t="s">
        <v>671</v>
      </c>
      <c r="N597" s="20" t="s">
        <v>672</v>
      </c>
      <c r="P597" s="20" t="s">
        <v>671</v>
      </c>
      <c r="Q597" s="20" t="s">
        <v>673</v>
      </c>
      <c r="R597" s="20" t="s">
        <v>84</v>
      </c>
      <c r="S597" s="20">
        <v>5</v>
      </c>
      <c r="T597" s="20" t="s">
        <v>635</v>
      </c>
      <c r="U597" s="20" t="s">
        <v>636</v>
      </c>
      <c r="V597" s="20" t="s">
        <v>87</v>
      </c>
      <c r="W597" s="20">
        <v>510</v>
      </c>
      <c r="X597" s="20">
        <v>510</v>
      </c>
      <c r="Y597" s="20" t="s">
        <v>960</v>
      </c>
      <c r="Z597" s="20">
        <v>0.16666666666666666</v>
      </c>
      <c r="AA597" s="20" t="s">
        <v>961</v>
      </c>
      <c r="AB597" s="20" t="s">
        <v>109</v>
      </c>
      <c r="AC597" s="20" t="s">
        <v>110</v>
      </c>
      <c r="AD597" s="20" t="s">
        <v>962</v>
      </c>
      <c r="AE597" s="20" t="s">
        <v>91</v>
      </c>
      <c r="AF597" s="20">
        <v>0.16666666666666666</v>
      </c>
      <c r="AH597" s="20">
        <v>1</v>
      </c>
      <c r="AI597" s="4" t="s">
        <v>649</v>
      </c>
      <c r="AJ597" s="20">
        <v>45</v>
      </c>
      <c r="AK597" s="4" t="s">
        <v>641</v>
      </c>
      <c r="AL597" s="4">
        <v>3</v>
      </c>
      <c r="AM597" s="4" t="s">
        <v>438</v>
      </c>
      <c r="AN597" s="4" t="s">
        <v>95</v>
      </c>
      <c r="AO597" s="4" t="s">
        <v>96</v>
      </c>
      <c r="AP597" s="4">
        <v>1</v>
      </c>
      <c r="AQ597" s="20">
        <v>69000</v>
      </c>
      <c r="AR597" s="4">
        <v>41803</v>
      </c>
      <c r="AS597" s="20">
        <v>12545.454545454544</v>
      </c>
      <c r="AT597" s="20">
        <v>14165.62</v>
      </c>
      <c r="AU597" s="20">
        <v>1620.1654545454567</v>
      </c>
      <c r="AW597" s="20">
        <v>70</v>
      </c>
      <c r="AY597" s="20">
        <v>70</v>
      </c>
      <c r="AZ597" s="20">
        <v>10.8</v>
      </c>
      <c r="BB597" s="6">
        <v>41744</v>
      </c>
      <c r="BC597" s="6">
        <v>41853</v>
      </c>
      <c r="BD597" s="6">
        <v>41844</v>
      </c>
      <c r="BE597" s="6">
        <v>41859</v>
      </c>
      <c r="BF597" s="6">
        <v>41876</v>
      </c>
      <c r="BG597" s="6">
        <v>41885</v>
      </c>
      <c r="BK597" s="4" t="s">
        <v>401</v>
      </c>
      <c r="BM597" s="20">
        <v>36</v>
      </c>
      <c r="BN597" s="20">
        <v>8</v>
      </c>
      <c r="BO597" s="20">
        <v>0</v>
      </c>
      <c r="BP597" s="20">
        <v>0</v>
      </c>
      <c r="BQ597" s="20">
        <v>0</v>
      </c>
      <c r="BR597" s="20">
        <v>0</v>
      </c>
      <c r="BS597" s="20">
        <v>45</v>
      </c>
      <c r="BT597" s="20">
        <v>637452.9</v>
      </c>
      <c r="BU597" s="20">
        <v>3105000</v>
      </c>
      <c r="BV597" s="20">
        <v>4.4281346476379237</v>
      </c>
    </row>
    <row r="598" spans="1:74">
      <c r="A598" s="10">
        <f t="shared" si="38"/>
        <v>0</v>
      </c>
      <c r="B598" s="10">
        <f t="shared" si="39"/>
        <v>0</v>
      </c>
      <c r="C598" s="12">
        <f t="shared" si="40"/>
        <v>4</v>
      </c>
      <c r="D598" s="12">
        <f t="shared" si="41"/>
        <v>8</v>
      </c>
      <c r="E598" s="20" t="s">
        <v>574</v>
      </c>
      <c r="F598" s="20" t="s">
        <v>665</v>
      </c>
      <c r="G598" s="20" t="s">
        <v>955</v>
      </c>
      <c r="H598" s="20" t="s">
        <v>956</v>
      </c>
      <c r="I598" s="20">
        <v>1</v>
      </c>
      <c r="J598" s="20" t="s">
        <v>957</v>
      </c>
      <c r="K598" s="20" t="s">
        <v>967</v>
      </c>
      <c r="L598" s="20" t="s">
        <v>959</v>
      </c>
      <c r="M598" s="20" t="s">
        <v>671</v>
      </c>
      <c r="N598" s="20" t="s">
        <v>672</v>
      </c>
      <c r="P598" s="20" t="s">
        <v>671</v>
      </c>
      <c r="Q598" s="20" t="s">
        <v>673</v>
      </c>
      <c r="R598" s="20" t="s">
        <v>84</v>
      </c>
      <c r="S598" s="20">
        <v>5</v>
      </c>
      <c r="T598" s="20" t="s">
        <v>635</v>
      </c>
      <c r="U598" s="20" t="s">
        <v>636</v>
      </c>
      <c r="V598" s="20" t="s">
        <v>87</v>
      </c>
      <c r="W598" s="20">
        <v>510</v>
      </c>
      <c r="X598" s="20">
        <v>510</v>
      </c>
      <c r="Y598" s="20" t="s">
        <v>960</v>
      </c>
      <c r="Z598" s="20">
        <v>0.16666666666666666</v>
      </c>
      <c r="AA598" s="20" t="s">
        <v>961</v>
      </c>
      <c r="AB598" s="20" t="s">
        <v>109</v>
      </c>
      <c r="AC598" s="20" t="s">
        <v>110</v>
      </c>
      <c r="AD598" s="20" t="s">
        <v>962</v>
      </c>
      <c r="AE598" s="20" t="s">
        <v>91</v>
      </c>
      <c r="AF598" s="20">
        <v>0.16666666666666666</v>
      </c>
      <c r="AH598" s="20">
        <v>1</v>
      </c>
      <c r="AI598" s="4" t="s">
        <v>651</v>
      </c>
      <c r="AJ598" s="20">
        <v>45</v>
      </c>
      <c r="AK598" s="4" t="s">
        <v>641</v>
      </c>
      <c r="AL598" s="4">
        <v>3</v>
      </c>
      <c r="AM598" s="4" t="s">
        <v>438</v>
      </c>
      <c r="AN598" s="4" t="s">
        <v>95</v>
      </c>
      <c r="AO598" s="4" t="s">
        <v>96</v>
      </c>
      <c r="AP598" s="4">
        <v>1</v>
      </c>
      <c r="AQ598" s="20">
        <v>69000</v>
      </c>
      <c r="AR598" s="4">
        <v>41803</v>
      </c>
      <c r="AS598" s="20">
        <v>12545.454545454544</v>
      </c>
      <c r="AT598" s="20">
        <v>14165.62</v>
      </c>
      <c r="AU598" s="20">
        <v>1620.1654545454567</v>
      </c>
      <c r="AW598" s="20">
        <v>70</v>
      </c>
      <c r="AY598" s="20">
        <v>70</v>
      </c>
      <c r="AZ598" s="20">
        <v>10.8</v>
      </c>
      <c r="BB598" s="6">
        <v>41744</v>
      </c>
      <c r="BC598" s="6">
        <v>41853</v>
      </c>
      <c r="BD598" s="6">
        <v>41844</v>
      </c>
      <c r="BE598" s="6">
        <v>41859</v>
      </c>
      <c r="BF598" s="6">
        <v>41876</v>
      </c>
      <c r="BG598" s="6">
        <v>41885</v>
      </c>
      <c r="BK598" s="4" t="s">
        <v>401</v>
      </c>
      <c r="BM598" s="20">
        <v>35</v>
      </c>
      <c r="BN598" s="20">
        <v>11</v>
      </c>
      <c r="BO598" s="20">
        <v>0</v>
      </c>
      <c r="BP598" s="20">
        <v>0</v>
      </c>
      <c r="BQ598" s="20">
        <v>0</v>
      </c>
      <c r="BR598" s="20">
        <v>0</v>
      </c>
      <c r="BS598" s="20">
        <v>45</v>
      </c>
      <c r="BT598" s="20">
        <v>637452.9</v>
      </c>
      <c r="BU598" s="20">
        <v>3105000</v>
      </c>
      <c r="BV598" s="20">
        <v>4.4281346476379237</v>
      </c>
    </row>
    <row r="599" spans="1:74">
      <c r="A599" s="10">
        <f t="shared" si="38"/>
        <v>0</v>
      </c>
      <c r="B599" s="10">
        <f t="shared" si="39"/>
        <v>0</v>
      </c>
      <c r="C599" s="12">
        <f t="shared" si="40"/>
        <v>4</v>
      </c>
      <c r="D599" s="12">
        <f t="shared" si="41"/>
        <v>8</v>
      </c>
      <c r="E599" s="20" t="s">
        <v>574</v>
      </c>
      <c r="F599" s="20" t="s">
        <v>665</v>
      </c>
      <c r="G599" s="20" t="s">
        <v>955</v>
      </c>
      <c r="H599" s="20" t="s">
        <v>968</v>
      </c>
      <c r="I599" s="20">
        <v>2</v>
      </c>
      <c r="J599" s="20" t="s">
        <v>969</v>
      </c>
      <c r="K599" s="20" t="s">
        <v>970</v>
      </c>
      <c r="L599" s="20" t="s">
        <v>971</v>
      </c>
      <c r="M599" s="20" t="s">
        <v>671</v>
      </c>
      <c r="N599" s="20" t="s">
        <v>672</v>
      </c>
      <c r="P599" s="20" t="s">
        <v>671</v>
      </c>
      <c r="Q599" s="20" t="s">
        <v>673</v>
      </c>
      <c r="R599" s="20" t="s">
        <v>84</v>
      </c>
      <c r="S599" s="20">
        <v>5</v>
      </c>
      <c r="T599" s="20" t="s">
        <v>635</v>
      </c>
      <c r="U599" s="20" t="s">
        <v>636</v>
      </c>
      <c r="V599" s="20" t="s">
        <v>87</v>
      </c>
      <c r="W599" s="20">
        <v>521</v>
      </c>
      <c r="X599" s="20">
        <v>521</v>
      </c>
      <c r="Y599" s="20" t="s">
        <v>972</v>
      </c>
      <c r="Z599" s="20">
        <v>0.16666666666666666</v>
      </c>
      <c r="AA599" s="20" t="s">
        <v>973</v>
      </c>
      <c r="AB599" s="20" t="s">
        <v>89</v>
      </c>
      <c r="AC599" s="20" t="s">
        <v>90</v>
      </c>
      <c r="AD599" s="20" t="s">
        <v>974</v>
      </c>
      <c r="AE599" s="20" t="s">
        <v>91</v>
      </c>
      <c r="AF599" s="20">
        <v>0.16666666666666666</v>
      </c>
      <c r="AH599" s="20">
        <v>1</v>
      </c>
      <c r="AI599" s="4" t="s">
        <v>640</v>
      </c>
      <c r="AJ599" s="20">
        <v>150</v>
      </c>
      <c r="AK599" s="4" t="s">
        <v>641</v>
      </c>
      <c r="AL599" s="4">
        <v>3</v>
      </c>
      <c r="AM599" s="4" t="s">
        <v>438</v>
      </c>
      <c r="AN599" s="4" t="s">
        <v>95</v>
      </c>
      <c r="AO599" s="4" t="s">
        <v>96</v>
      </c>
      <c r="AP599" s="4">
        <v>1</v>
      </c>
      <c r="AQ599" s="20">
        <v>69000</v>
      </c>
      <c r="AR599" s="4">
        <v>41803</v>
      </c>
      <c r="AS599" s="20">
        <v>12545.454545454544</v>
      </c>
      <c r="AT599" s="20">
        <v>13774.074999999999</v>
      </c>
      <c r="AU599" s="20">
        <v>1228.6204545454548</v>
      </c>
      <c r="AW599" s="20">
        <v>70</v>
      </c>
      <c r="AY599" s="20">
        <v>70</v>
      </c>
      <c r="AZ599" s="20">
        <v>10.5</v>
      </c>
      <c r="BB599" s="6">
        <v>41744</v>
      </c>
      <c r="BC599" s="6">
        <v>41853</v>
      </c>
      <c r="BD599" s="6">
        <v>41844</v>
      </c>
      <c r="BE599" s="6">
        <v>41859</v>
      </c>
      <c r="BF599" s="6">
        <v>41877</v>
      </c>
      <c r="BK599" s="4" t="s">
        <v>401</v>
      </c>
      <c r="BM599" s="20">
        <v>152</v>
      </c>
      <c r="BN599" s="20">
        <v>0</v>
      </c>
      <c r="BO599" s="20">
        <v>0</v>
      </c>
      <c r="BP599" s="20">
        <v>0</v>
      </c>
      <c r="BQ599" s="20">
        <v>0</v>
      </c>
      <c r="BR599" s="20">
        <v>0</v>
      </c>
      <c r="BS599" s="20">
        <v>150</v>
      </c>
      <c r="BT599" s="20">
        <v>2066111.2499999998</v>
      </c>
      <c r="BU599" s="20">
        <v>10350000</v>
      </c>
      <c r="BV599" s="20">
        <v>4.5540098138911489</v>
      </c>
    </row>
    <row r="600" spans="1:74">
      <c r="A600" s="10">
        <f t="shared" si="38"/>
        <v>0</v>
      </c>
      <c r="B600" s="10">
        <f t="shared" si="39"/>
        <v>0</v>
      </c>
      <c r="C600" s="12">
        <f t="shared" si="40"/>
        <v>4</v>
      </c>
      <c r="D600" s="12">
        <f t="shared" si="41"/>
        <v>8</v>
      </c>
      <c r="E600" s="20" t="s">
        <v>574</v>
      </c>
      <c r="F600" s="20" t="s">
        <v>665</v>
      </c>
      <c r="G600" s="20" t="s">
        <v>955</v>
      </c>
      <c r="H600" s="20" t="s">
        <v>968</v>
      </c>
      <c r="I600" s="20">
        <v>2</v>
      </c>
      <c r="J600" s="20" t="s">
        <v>969</v>
      </c>
      <c r="K600" s="20" t="s">
        <v>975</v>
      </c>
      <c r="L600" s="20" t="s">
        <v>971</v>
      </c>
      <c r="M600" s="20" t="s">
        <v>671</v>
      </c>
      <c r="N600" s="20" t="s">
        <v>672</v>
      </c>
      <c r="P600" s="20" t="s">
        <v>671</v>
      </c>
      <c r="Q600" s="20" t="s">
        <v>673</v>
      </c>
      <c r="R600" s="20" t="s">
        <v>84</v>
      </c>
      <c r="S600" s="20">
        <v>5</v>
      </c>
      <c r="T600" s="20" t="s">
        <v>635</v>
      </c>
      <c r="U600" s="20" t="s">
        <v>636</v>
      </c>
      <c r="V600" s="20" t="s">
        <v>87</v>
      </c>
      <c r="W600" s="20">
        <v>521</v>
      </c>
      <c r="X600" s="20">
        <v>521</v>
      </c>
      <c r="Y600" s="20" t="s">
        <v>972</v>
      </c>
      <c r="Z600" s="20">
        <v>0.16666666666666666</v>
      </c>
      <c r="AA600" s="20" t="s">
        <v>973</v>
      </c>
      <c r="AB600" s="20" t="s">
        <v>89</v>
      </c>
      <c r="AC600" s="20" t="s">
        <v>90</v>
      </c>
      <c r="AD600" s="20" t="s">
        <v>974</v>
      </c>
      <c r="AE600" s="20" t="s">
        <v>91</v>
      </c>
      <c r="AF600" s="20">
        <v>0.16666666666666666</v>
      </c>
      <c r="AH600" s="20">
        <v>1</v>
      </c>
      <c r="AI600" s="4" t="s">
        <v>643</v>
      </c>
      <c r="AJ600" s="20">
        <v>60</v>
      </c>
      <c r="AK600" s="4" t="s">
        <v>641</v>
      </c>
      <c r="AL600" s="4">
        <v>3</v>
      </c>
      <c r="AM600" s="4" t="s">
        <v>438</v>
      </c>
      <c r="AN600" s="4" t="s">
        <v>95</v>
      </c>
      <c r="AO600" s="4" t="s">
        <v>96</v>
      </c>
      <c r="AP600" s="4">
        <v>1</v>
      </c>
      <c r="AQ600" s="20">
        <v>69000</v>
      </c>
      <c r="AR600" s="4">
        <v>41803</v>
      </c>
      <c r="AS600" s="20">
        <v>12545.454545454544</v>
      </c>
      <c r="AT600" s="20">
        <v>13774.074999999999</v>
      </c>
      <c r="AU600" s="20">
        <v>1228.6204545454548</v>
      </c>
      <c r="AW600" s="20">
        <v>70</v>
      </c>
      <c r="AY600" s="20">
        <v>70</v>
      </c>
      <c r="AZ600" s="20">
        <v>10.5</v>
      </c>
      <c r="BB600" s="6">
        <v>41744</v>
      </c>
      <c r="BC600" s="6">
        <v>41853</v>
      </c>
      <c r="BD600" s="6">
        <v>41844</v>
      </c>
      <c r="BE600" s="6">
        <v>41859</v>
      </c>
      <c r="BF600" s="6">
        <v>41877</v>
      </c>
      <c r="BK600" s="4" t="s">
        <v>401</v>
      </c>
      <c r="BM600" s="20">
        <v>62</v>
      </c>
      <c r="BN600" s="20">
        <v>0</v>
      </c>
      <c r="BO600" s="20">
        <v>0</v>
      </c>
      <c r="BP600" s="20">
        <v>0</v>
      </c>
      <c r="BQ600" s="20">
        <v>0</v>
      </c>
      <c r="BR600" s="20">
        <v>0</v>
      </c>
      <c r="BS600" s="20">
        <v>60</v>
      </c>
      <c r="BT600" s="20">
        <v>826444.49999999988</v>
      </c>
      <c r="BU600" s="20">
        <v>4140000</v>
      </c>
      <c r="BV600" s="20">
        <v>4.5540098138911489</v>
      </c>
    </row>
    <row r="601" spans="1:74">
      <c r="A601" s="10">
        <f t="shared" si="38"/>
        <v>0</v>
      </c>
      <c r="B601" s="10">
        <f t="shared" si="39"/>
        <v>0</v>
      </c>
      <c r="C601" s="12">
        <f t="shared" si="40"/>
        <v>4</v>
      </c>
      <c r="D601" s="12">
        <f t="shared" si="41"/>
        <v>8</v>
      </c>
      <c r="E601" s="20" t="s">
        <v>574</v>
      </c>
      <c r="F601" s="20" t="s">
        <v>665</v>
      </c>
      <c r="G601" s="20" t="s">
        <v>955</v>
      </c>
      <c r="H601" s="20" t="s">
        <v>968</v>
      </c>
      <c r="I601" s="20">
        <v>2</v>
      </c>
      <c r="J601" s="20" t="s">
        <v>969</v>
      </c>
      <c r="K601" s="20" t="s">
        <v>976</v>
      </c>
      <c r="L601" s="20" t="s">
        <v>971</v>
      </c>
      <c r="M601" s="20" t="s">
        <v>671</v>
      </c>
      <c r="N601" s="20" t="s">
        <v>672</v>
      </c>
      <c r="P601" s="20" t="s">
        <v>671</v>
      </c>
      <c r="Q601" s="20" t="s">
        <v>673</v>
      </c>
      <c r="R601" s="20" t="s">
        <v>84</v>
      </c>
      <c r="S601" s="20">
        <v>5</v>
      </c>
      <c r="T601" s="20" t="s">
        <v>635</v>
      </c>
      <c r="U601" s="20" t="s">
        <v>636</v>
      </c>
      <c r="V601" s="20" t="s">
        <v>87</v>
      </c>
      <c r="W601" s="20">
        <v>521</v>
      </c>
      <c r="X601" s="20">
        <v>521</v>
      </c>
      <c r="Y601" s="20" t="s">
        <v>972</v>
      </c>
      <c r="Z601" s="20">
        <v>0.16666666666666666</v>
      </c>
      <c r="AA601" s="20" t="s">
        <v>973</v>
      </c>
      <c r="AB601" s="20" t="s">
        <v>89</v>
      </c>
      <c r="AC601" s="20" t="s">
        <v>90</v>
      </c>
      <c r="AD601" s="20" t="s">
        <v>974</v>
      </c>
      <c r="AE601" s="20" t="s">
        <v>91</v>
      </c>
      <c r="AF601" s="20">
        <v>0.16666666666666666</v>
      </c>
      <c r="AH601" s="20">
        <v>1</v>
      </c>
      <c r="AI601" s="4" t="s">
        <v>645</v>
      </c>
      <c r="AJ601" s="20">
        <v>75</v>
      </c>
      <c r="AK601" s="4" t="s">
        <v>641</v>
      </c>
      <c r="AL601" s="4">
        <v>3</v>
      </c>
      <c r="AM601" s="4" t="s">
        <v>438</v>
      </c>
      <c r="AN601" s="4" t="s">
        <v>95</v>
      </c>
      <c r="AO601" s="4" t="s">
        <v>96</v>
      </c>
      <c r="AP601" s="4">
        <v>1</v>
      </c>
      <c r="AQ601" s="20">
        <v>69000</v>
      </c>
      <c r="AR601" s="4">
        <v>41803</v>
      </c>
      <c r="AS601" s="20">
        <v>12545.454545454544</v>
      </c>
      <c r="AT601" s="20">
        <v>13774.074999999999</v>
      </c>
      <c r="AU601" s="20">
        <v>1228.6204545454548</v>
      </c>
      <c r="AW601" s="20">
        <v>70</v>
      </c>
      <c r="AY601" s="20">
        <v>70</v>
      </c>
      <c r="AZ601" s="20">
        <v>10.5</v>
      </c>
      <c r="BB601" s="6">
        <v>41744</v>
      </c>
      <c r="BC601" s="6">
        <v>41853</v>
      </c>
      <c r="BD601" s="6">
        <v>41844</v>
      </c>
      <c r="BE601" s="6">
        <v>41859</v>
      </c>
      <c r="BF601" s="6">
        <v>41877</v>
      </c>
      <c r="BK601" s="4" t="s">
        <v>401</v>
      </c>
      <c r="BM601" s="20">
        <v>78</v>
      </c>
      <c r="BN601" s="20">
        <v>0</v>
      </c>
      <c r="BO601" s="20">
        <v>0</v>
      </c>
      <c r="BP601" s="20">
        <v>0</v>
      </c>
      <c r="BQ601" s="20">
        <v>0</v>
      </c>
      <c r="BR601" s="20">
        <v>0</v>
      </c>
      <c r="BS601" s="20">
        <v>75</v>
      </c>
      <c r="BT601" s="20">
        <v>1033055.6249999999</v>
      </c>
      <c r="BU601" s="20">
        <v>5175000</v>
      </c>
      <c r="BV601" s="20">
        <v>4.5540098138911489</v>
      </c>
    </row>
    <row r="602" spans="1:74">
      <c r="A602" s="10">
        <f t="shared" si="38"/>
        <v>0</v>
      </c>
      <c r="B602" s="10">
        <f t="shared" si="39"/>
        <v>0</v>
      </c>
      <c r="C602" s="12">
        <f t="shared" si="40"/>
        <v>4</v>
      </c>
      <c r="D602" s="12">
        <f t="shared" si="41"/>
        <v>8</v>
      </c>
      <c r="E602" s="20" t="s">
        <v>574</v>
      </c>
      <c r="F602" s="20" t="s">
        <v>665</v>
      </c>
      <c r="G602" s="20" t="s">
        <v>955</v>
      </c>
      <c r="H602" s="20" t="s">
        <v>968</v>
      </c>
      <c r="I602" s="20">
        <v>2</v>
      </c>
      <c r="J602" s="20" t="s">
        <v>969</v>
      </c>
      <c r="K602" s="20" t="s">
        <v>977</v>
      </c>
      <c r="L602" s="20" t="s">
        <v>971</v>
      </c>
      <c r="M602" s="20" t="s">
        <v>671</v>
      </c>
      <c r="N602" s="20" t="s">
        <v>672</v>
      </c>
      <c r="P602" s="20" t="s">
        <v>671</v>
      </c>
      <c r="Q602" s="20" t="s">
        <v>673</v>
      </c>
      <c r="R602" s="20" t="s">
        <v>84</v>
      </c>
      <c r="S602" s="20">
        <v>5</v>
      </c>
      <c r="T602" s="20" t="s">
        <v>635</v>
      </c>
      <c r="U602" s="20" t="s">
        <v>636</v>
      </c>
      <c r="V602" s="20" t="s">
        <v>87</v>
      </c>
      <c r="W602" s="20">
        <v>521</v>
      </c>
      <c r="X602" s="20">
        <v>521</v>
      </c>
      <c r="Y602" s="20" t="s">
        <v>972</v>
      </c>
      <c r="Z602" s="20">
        <v>0.16666666666666666</v>
      </c>
      <c r="AA602" s="20" t="s">
        <v>973</v>
      </c>
      <c r="AB602" s="20" t="s">
        <v>89</v>
      </c>
      <c r="AC602" s="20" t="s">
        <v>90</v>
      </c>
      <c r="AD602" s="20" t="s">
        <v>974</v>
      </c>
      <c r="AE602" s="20" t="s">
        <v>91</v>
      </c>
      <c r="AF602" s="20">
        <v>0.16666666666666666</v>
      </c>
      <c r="AH602" s="20">
        <v>1</v>
      </c>
      <c r="AI602" s="4" t="s">
        <v>647</v>
      </c>
      <c r="AJ602" s="20">
        <v>75</v>
      </c>
      <c r="AK602" s="4" t="s">
        <v>641</v>
      </c>
      <c r="AL602" s="4">
        <v>3</v>
      </c>
      <c r="AM602" s="4" t="s">
        <v>438</v>
      </c>
      <c r="AN602" s="4" t="s">
        <v>95</v>
      </c>
      <c r="AO602" s="4" t="s">
        <v>96</v>
      </c>
      <c r="AP602" s="4">
        <v>1</v>
      </c>
      <c r="AQ602" s="20">
        <v>69000</v>
      </c>
      <c r="AR602" s="4">
        <v>41803</v>
      </c>
      <c r="AS602" s="20">
        <v>12545.454545454544</v>
      </c>
      <c r="AT602" s="20">
        <v>13774.074999999999</v>
      </c>
      <c r="AU602" s="20">
        <v>1228.6204545454548</v>
      </c>
      <c r="AW602" s="20">
        <v>70</v>
      </c>
      <c r="AY602" s="20">
        <v>70</v>
      </c>
      <c r="AZ602" s="20">
        <v>10.5</v>
      </c>
      <c r="BB602" s="6">
        <v>41744</v>
      </c>
      <c r="BC602" s="6">
        <v>41853</v>
      </c>
      <c r="BD602" s="6">
        <v>41844</v>
      </c>
      <c r="BE602" s="6">
        <v>41859</v>
      </c>
      <c r="BF602" s="6">
        <v>41877</v>
      </c>
      <c r="BK602" s="4" t="s">
        <v>401</v>
      </c>
      <c r="BM602" s="20">
        <v>80</v>
      </c>
      <c r="BN602" s="20">
        <v>0</v>
      </c>
      <c r="BO602" s="20">
        <v>0</v>
      </c>
      <c r="BP602" s="20">
        <v>0</v>
      </c>
      <c r="BQ602" s="20">
        <v>0</v>
      </c>
      <c r="BR602" s="20">
        <v>0</v>
      </c>
      <c r="BS602" s="20">
        <v>75</v>
      </c>
      <c r="BT602" s="20">
        <v>1033055.6249999999</v>
      </c>
      <c r="BU602" s="20">
        <v>5175000</v>
      </c>
      <c r="BV602" s="20">
        <v>4.5540098138911489</v>
      </c>
    </row>
    <row r="603" spans="1:74">
      <c r="A603" s="10">
        <f t="shared" si="38"/>
        <v>0</v>
      </c>
      <c r="B603" s="10">
        <f t="shared" si="39"/>
        <v>0</v>
      </c>
      <c r="C603" s="12">
        <f t="shared" si="40"/>
        <v>4</v>
      </c>
      <c r="D603" s="12">
        <f t="shared" si="41"/>
        <v>8</v>
      </c>
      <c r="E603" s="20" t="s">
        <v>574</v>
      </c>
      <c r="F603" s="20" t="s">
        <v>665</v>
      </c>
      <c r="G603" s="20" t="s">
        <v>955</v>
      </c>
      <c r="H603" s="20" t="s">
        <v>968</v>
      </c>
      <c r="I603" s="20">
        <v>2</v>
      </c>
      <c r="J603" s="20" t="s">
        <v>969</v>
      </c>
      <c r="K603" s="20" t="s">
        <v>978</v>
      </c>
      <c r="L603" s="20" t="s">
        <v>971</v>
      </c>
      <c r="M603" s="20" t="s">
        <v>671</v>
      </c>
      <c r="N603" s="20" t="s">
        <v>672</v>
      </c>
      <c r="P603" s="20" t="s">
        <v>671</v>
      </c>
      <c r="Q603" s="20" t="s">
        <v>673</v>
      </c>
      <c r="R603" s="20" t="s">
        <v>84</v>
      </c>
      <c r="S603" s="20">
        <v>5</v>
      </c>
      <c r="T603" s="20" t="s">
        <v>635</v>
      </c>
      <c r="U603" s="20" t="s">
        <v>636</v>
      </c>
      <c r="V603" s="20" t="s">
        <v>87</v>
      </c>
      <c r="W603" s="20">
        <v>521</v>
      </c>
      <c r="X603" s="20">
        <v>521</v>
      </c>
      <c r="Y603" s="20" t="s">
        <v>972</v>
      </c>
      <c r="Z603" s="20">
        <v>0.16666666666666666</v>
      </c>
      <c r="AA603" s="20" t="s">
        <v>973</v>
      </c>
      <c r="AB603" s="20" t="s">
        <v>89</v>
      </c>
      <c r="AC603" s="20" t="s">
        <v>90</v>
      </c>
      <c r="AD603" s="20" t="s">
        <v>974</v>
      </c>
      <c r="AE603" s="20" t="s">
        <v>91</v>
      </c>
      <c r="AF603" s="20">
        <v>0.16666666666666666</v>
      </c>
      <c r="AH603" s="20">
        <v>1</v>
      </c>
      <c r="AI603" s="4" t="s">
        <v>649</v>
      </c>
      <c r="AJ603" s="20">
        <v>45</v>
      </c>
      <c r="AK603" s="4" t="s">
        <v>641</v>
      </c>
      <c r="AL603" s="4">
        <v>3</v>
      </c>
      <c r="AM603" s="4" t="s">
        <v>438</v>
      </c>
      <c r="AN603" s="4" t="s">
        <v>95</v>
      </c>
      <c r="AO603" s="4" t="s">
        <v>96</v>
      </c>
      <c r="AP603" s="4">
        <v>1</v>
      </c>
      <c r="AQ603" s="20">
        <v>69000</v>
      </c>
      <c r="AR603" s="4">
        <v>41803</v>
      </c>
      <c r="AS603" s="20">
        <v>12545.454545454544</v>
      </c>
      <c r="AT603" s="20">
        <v>13774.074999999999</v>
      </c>
      <c r="AU603" s="20">
        <v>1228.6204545454548</v>
      </c>
      <c r="AW603" s="20">
        <v>70</v>
      </c>
      <c r="AY603" s="20">
        <v>70</v>
      </c>
      <c r="AZ603" s="20">
        <v>10.5</v>
      </c>
      <c r="BB603" s="6">
        <v>41744</v>
      </c>
      <c r="BC603" s="6">
        <v>41853</v>
      </c>
      <c r="BD603" s="6">
        <v>41844</v>
      </c>
      <c r="BE603" s="6">
        <v>41859</v>
      </c>
      <c r="BF603" s="6">
        <v>41877</v>
      </c>
      <c r="BK603" s="4" t="s">
        <v>401</v>
      </c>
      <c r="BM603" s="20">
        <v>45</v>
      </c>
      <c r="BN603" s="20">
        <v>0</v>
      </c>
      <c r="BO603" s="20">
        <v>0</v>
      </c>
      <c r="BP603" s="20">
        <v>0</v>
      </c>
      <c r="BQ603" s="20">
        <v>0</v>
      </c>
      <c r="BR603" s="20">
        <v>0</v>
      </c>
      <c r="BS603" s="20">
        <v>45</v>
      </c>
      <c r="BT603" s="20">
        <v>619833.375</v>
      </c>
      <c r="BU603" s="20">
        <v>3105000</v>
      </c>
      <c r="BV603" s="20">
        <v>4.5540098138911489</v>
      </c>
    </row>
    <row r="604" spans="1:74">
      <c r="A604" s="10">
        <f t="shared" si="38"/>
        <v>0</v>
      </c>
      <c r="B604" s="10">
        <f t="shared" si="39"/>
        <v>0</v>
      </c>
      <c r="C604" s="12">
        <f t="shared" si="40"/>
        <v>4</v>
      </c>
      <c r="D604" s="12">
        <f t="shared" si="41"/>
        <v>8</v>
      </c>
      <c r="E604" s="20" t="s">
        <v>574</v>
      </c>
      <c r="F604" s="20" t="s">
        <v>665</v>
      </c>
      <c r="G604" s="20" t="s">
        <v>955</v>
      </c>
      <c r="H604" s="20" t="s">
        <v>968</v>
      </c>
      <c r="I604" s="20">
        <v>2</v>
      </c>
      <c r="J604" s="20" t="s">
        <v>969</v>
      </c>
      <c r="K604" s="20" t="s">
        <v>979</v>
      </c>
      <c r="L604" s="20" t="s">
        <v>971</v>
      </c>
      <c r="M604" s="20" t="s">
        <v>671</v>
      </c>
      <c r="N604" s="20" t="s">
        <v>672</v>
      </c>
      <c r="P604" s="20" t="s">
        <v>671</v>
      </c>
      <c r="Q604" s="20" t="s">
        <v>673</v>
      </c>
      <c r="R604" s="20" t="s">
        <v>84</v>
      </c>
      <c r="S604" s="20">
        <v>5</v>
      </c>
      <c r="T604" s="20" t="s">
        <v>635</v>
      </c>
      <c r="U604" s="20" t="s">
        <v>636</v>
      </c>
      <c r="V604" s="20" t="s">
        <v>87</v>
      </c>
      <c r="W604" s="20">
        <v>521</v>
      </c>
      <c r="X604" s="20">
        <v>521</v>
      </c>
      <c r="Y604" s="20" t="s">
        <v>972</v>
      </c>
      <c r="Z604" s="20">
        <v>0.16666666666666666</v>
      </c>
      <c r="AA604" s="20" t="s">
        <v>973</v>
      </c>
      <c r="AB604" s="20" t="s">
        <v>89</v>
      </c>
      <c r="AC604" s="20" t="s">
        <v>90</v>
      </c>
      <c r="AD604" s="20" t="s">
        <v>974</v>
      </c>
      <c r="AE604" s="20" t="s">
        <v>91</v>
      </c>
      <c r="AF604" s="20">
        <v>0.16666666666666666</v>
      </c>
      <c r="AH604" s="20">
        <v>1</v>
      </c>
      <c r="AI604" s="4" t="s">
        <v>651</v>
      </c>
      <c r="AJ604" s="20">
        <v>45</v>
      </c>
      <c r="AK604" s="4" t="s">
        <v>641</v>
      </c>
      <c r="AL604" s="4">
        <v>3</v>
      </c>
      <c r="AM604" s="4" t="s">
        <v>438</v>
      </c>
      <c r="AN604" s="4" t="s">
        <v>95</v>
      </c>
      <c r="AO604" s="4" t="s">
        <v>96</v>
      </c>
      <c r="AP604" s="4">
        <v>1</v>
      </c>
      <c r="AQ604" s="20">
        <v>69000</v>
      </c>
      <c r="AR604" s="4">
        <v>41803</v>
      </c>
      <c r="AS604" s="20">
        <v>12545.454545454544</v>
      </c>
      <c r="AT604" s="20">
        <v>13774.074999999999</v>
      </c>
      <c r="AU604" s="20">
        <v>1228.6204545454548</v>
      </c>
      <c r="AW604" s="20">
        <v>70</v>
      </c>
      <c r="AY604" s="20">
        <v>70</v>
      </c>
      <c r="AZ604" s="20">
        <v>10.5</v>
      </c>
      <c r="BB604" s="6">
        <v>41744</v>
      </c>
      <c r="BC604" s="6">
        <v>41853</v>
      </c>
      <c r="BD604" s="6">
        <v>41844</v>
      </c>
      <c r="BE604" s="6">
        <v>41859</v>
      </c>
      <c r="BF604" s="6">
        <v>41877</v>
      </c>
      <c r="BK604" s="4" t="s">
        <v>401</v>
      </c>
      <c r="BM604" s="20">
        <v>45</v>
      </c>
      <c r="BN604" s="20">
        <v>0</v>
      </c>
      <c r="BO604" s="20">
        <v>0</v>
      </c>
      <c r="BP604" s="20">
        <v>0</v>
      </c>
      <c r="BQ604" s="20">
        <v>0</v>
      </c>
      <c r="BR604" s="20">
        <v>0</v>
      </c>
      <c r="BS604" s="20">
        <v>45</v>
      </c>
      <c r="BT604" s="20">
        <v>619833.375</v>
      </c>
      <c r="BU604" s="20">
        <v>3105000</v>
      </c>
      <c r="BV604" s="20">
        <v>4.5540098138911489</v>
      </c>
    </row>
    <row r="605" spans="1:74">
      <c r="A605" s="10">
        <f t="shared" si="38"/>
        <v>0</v>
      </c>
      <c r="B605" s="10">
        <f t="shared" si="39"/>
        <v>0</v>
      </c>
      <c r="C605" s="12">
        <f t="shared" si="40"/>
        <v>4</v>
      </c>
      <c r="D605" s="12">
        <f t="shared" si="41"/>
        <v>8</v>
      </c>
      <c r="E605" s="20" t="s">
        <v>574</v>
      </c>
      <c r="F605" s="20" t="s">
        <v>665</v>
      </c>
      <c r="G605" s="20" t="s">
        <v>955</v>
      </c>
      <c r="H605" s="20" t="s">
        <v>980</v>
      </c>
      <c r="I605" s="20">
        <v>3</v>
      </c>
      <c r="J605" s="20" t="s">
        <v>981</v>
      </c>
      <c r="K605" s="20" t="s">
        <v>982</v>
      </c>
      <c r="L605" s="20" t="s">
        <v>983</v>
      </c>
      <c r="M605" s="20" t="s">
        <v>671</v>
      </c>
      <c r="N605" s="20" t="s">
        <v>672</v>
      </c>
      <c r="P605" s="20" t="s">
        <v>671</v>
      </c>
      <c r="Q605" s="20" t="s">
        <v>673</v>
      </c>
      <c r="R605" s="20" t="s">
        <v>84</v>
      </c>
      <c r="S605" s="20">
        <v>5</v>
      </c>
      <c r="T605" s="20" t="s">
        <v>922</v>
      </c>
      <c r="U605" s="20" t="s">
        <v>923</v>
      </c>
      <c r="V605" s="20" t="s">
        <v>87</v>
      </c>
      <c r="W605" s="20">
        <v>522</v>
      </c>
      <c r="X605" s="20">
        <v>522</v>
      </c>
      <c r="Y605" s="20" t="s">
        <v>984</v>
      </c>
      <c r="Z605" s="20">
        <v>8.3333333333333329E-2</v>
      </c>
      <c r="AA605" s="20" t="s">
        <v>985</v>
      </c>
      <c r="AB605" s="20" t="s">
        <v>139</v>
      </c>
      <c r="AC605" s="20" t="s">
        <v>140</v>
      </c>
      <c r="AD605" s="20" t="s">
        <v>986</v>
      </c>
      <c r="AE605" s="20" t="s">
        <v>91</v>
      </c>
      <c r="AF605" s="20">
        <v>0.16666666666666666</v>
      </c>
      <c r="AH605" s="20">
        <v>1</v>
      </c>
      <c r="AI605" s="4" t="s">
        <v>640</v>
      </c>
      <c r="AJ605" s="20">
        <v>150</v>
      </c>
      <c r="AK605" s="4" t="s">
        <v>641</v>
      </c>
      <c r="AL605" s="4">
        <v>3</v>
      </c>
      <c r="AM605" s="4" t="s">
        <v>438</v>
      </c>
      <c r="AN605" s="4" t="s">
        <v>95</v>
      </c>
      <c r="AO605" s="4" t="s">
        <v>96</v>
      </c>
      <c r="AP605" s="4">
        <v>1</v>
      </c>
      <c r="AQ605" s="20">
        <v>79000</v>
      </c>
      <c r="AR605" s="4">
        <v>41803</v>
      </c>
      <c r="AS605" s="20">
        <v>14363.636363636362</v>
      </c>
      <c r="AT605" s="20">
        <v>15079.225</v>
      </c>
      <c r="AU605" s="20">
        <v>715.58863636363822</v>
      </c>
      <c r="AW605" s="20">
        <v>70</v>
      </c>
      <c r="AY605" s="20">
        <v>70</v>
      </c>
      <c r="AZ605" s="20">
        <v>11.5</v>
      </c>
      <c r="BB605" s="6">
        <v>41744</v>
      </c>
      <c r="BC605" s="6">
        <v>41853</v>
      </c>
      <c r="BD605" s="6">
        <v>41844</v>
      </c>
      <c r="BE605" s="6">
        <v>41859</v>
      </c>
      <c r="BF605" s="6">
        <v>41877</v>
      </c>
      <c r="BK605" s="4" t="s">
        <v>401</v>
      </c>
      <c r="BM605" s="20">
        <v>156</v>
      </c>
      <c r="BN605" s="20">
        <v>0</v>
      </c>
      <c r="BO605" s="20">
        <v>0</v>
      </c>
      <c r="BP605" s="20">
        <v>0</v>
      </c>
      <c r="BQ605" s="20">
        <v>0</v>
      </c>
      <c r="BR605" s="20">
        <v>0</v>
      </c>
      <c r="BS605" s="20">
        <v>150</v>
      </c>
      <c r="BT605" s="20">
        <v>2261883.75</v>
      </c>
      <c r="BU605" s="20">
        <v>11850000</v>
      </c>
      <c r="BV605" s="20">
        <v>4.7627236690335089</v>
      </c>
    </row>
    <row r="606" spans="1:74">
      <c r="A606" s="10">
        <f t="shared" si="38"/>
        <v>0</v>
      </c>
      <c r="B606" s="10">
        <f t="shared" si="39"/>
        <v>0</v>
      </c>
      <c r="C606" s="12">
        <f t="shared" si="40"/>
        <v>4</v>
      </c>
      <c r="D606" s="12">
        <f t="shared" si="41"/>
        <v>8</v>
      </c>
      <c r="E606" s="20" t="s">
        <v>574</v>
      </c>
      <c r="F606" s="20" t="s">
        <v>665</v>
      </c>
      <c r="G606" s="20" t="s">
        <v>955</v>
      </c>
      <c r="H606" s="20" t="s">
        <v>980</v>
      </c>
      <c r="I606" s="20">
        <v>3</v>
      </c>
      <c r="J606" s="20" t="s">
        <v>981</v>
      </c>
      <c r="K606" s="20" t="s">
        <v>987</v>
      </c>
      <c r="L606" s="20" t="s">
        <v>983</v>
      </c>
      <c r="M606" s="20" t="s">
        <v>671</v>
      </c>
      <c r="N606" s="20" t="s">
        <v>672</v>
      </c>
      <c r="P606" s="20" t="s">
        <v>671</v>
      </c>
      <c r="Q606" s="20" t="s">
        <v>673</v>
      </c>
      <c r="R606" s="20" t="s">
        <v>84</v>
      </c>
      <c r="S606" s="20">
        <v>5</v>
      </c>
      <c r="T606" s="20" t="s">
        <v>922</v>
      </c>
      <c r="U606" s="20" t="s">
        <v>923</v>
      </c>
      <c r="V606" s="20" t="s">
        <v>87</v>
      </c>
      <c r="W606" s="20">
        <v>522</v>
      </c>
      <c r="X606" s="20">
        <v>522</v>
      </c>
      <c r="Y606" s="20" t="s">
        <v>984</v>
      </c>
      <c r="Z606" s="20">
        <v>8.3333333333333329E-2</v>
      </c>
      <c r="AA606" s="20" t="s">
        <v>985</v>
      </c>
      <c r="AB606" s="20" t="s">
        <v>139</v>
      </c>
      <c r="AC606" s="20" t="s">
        <v>140</v>
      </c>
      <c r="AD606" s="20" t="s">
        <v>986</v>
      </c>
      <c r="AE606" s="20" t="s">
        <v>91</v>
      </c>
      <c r="AF606" s="20">
        <v>0.16666666666666666</v>
      </c>
      <c r="AH606" s="20">
        <v>1</v>
      </c>
      <c r="AI606" s="4" t="s">
        <v>643</v>
      </c>
      <c r="AJ606" s="20">
        <v>45</v>
      </c>
      <c r="AK606" s="4" t="s">
        <v>641</v>
      </c>
      <c r="AL606" s="4">
        <v>3</v>
      </c>
      <c r="AM606" s="4" t="s">
        <v>438</v>
      </c>
      <c r="AN606" s="4" t="s">
        <v>95</v>
      </c>
      <c r="AO606" s="4" t="s">
        <v>96</v>
      </c>
      <c r="AP606" s="4">
        <v>1</v>
      </c>
      <c r="AQ606" s="20">
        <v>79000</v>
      </c>
      <c r="AR606" s="4">
        <v>41803</v>
      </c>
      <c r="AS606" s="20">
        <v>14363.636363636362</v>
      </c>
      <c r="AT606" s="20">
        <v>15079.225</v>
      </c>
      <c r="AU606" s="20">
        <v>715.58863636363822</v>
      </c>
      <c r="AW606" s="20">
        <v>70</v>
      </c>
      <c r="AY606" s="20">
        <v>70</v>
      </c>
      <c r="AZ606" s="20">
        <v>11.5</v>
      </c>
      <c r="BB606" s="6">
        <v>41744</v>
      </c>
      <c r="BC606" s="6">
        <v>41853</v>
      </c>
      <c r="BD606" s="6">
        <v>41844</v>
      </c>
      <c r="BE606" s="6">
        <v>41859</v>
      </c>
      <c r="BF606" s="6">
        <v>41877</v>
      </c>
      <c r="BK606" s="4" t="s">
        <v>401</v>
      </c>
      <c r="BM606" s="20">
        <v>40</v>
      </c>
      <c r="BN606" s="20">
        <v>0</v>
      </c>
      <c r="BO606" s="20">
        <v>0</v>
      </c>
      <c r="BP606" s="20">
        <v>0</v>
      </c>
      <c r="BQ606" s="20">
        <v>0</v>
      </c>
      <c r="BS606" s="20">
        <v>45</v>
      </c>
      <c r="BT606" s="20">
        <v>678565.125</v>
      </c>
      <c r="BU606" s="20">
        <v>3555000</v>
      </c>
      <c r="BV606" s="20">
        <v>4.7627236690335089</v>
      </c>
    </row>
    <row r="607" spans="1:74">
      <c r="A607" s="10">
        <f t="shared" si="38"/>
        <v>0</v>
      </c>
      <c r="B607" s="10">
        <f t="shared" si="39"/>
        <v>0</v>
      </c>
      <c r="C607" s="12">
        <f t="shared" si="40"/>
        <v>4</v>
      </c>
      <c r="D607" s="12">
        <f t="shared" si="41"/>
        <v>8</v>
      </c>
      <c r="E607" s="20" t="s">
        <v>574</v>
      </c>
      <c r="F607" s="20" t="s">
        <v>665</v>
      </c>
      <c r="G607" s="20" t="s">
        <v>955</v>
      </c>
      <c r="H607" s="20" t="s">
        <v>980</v>
      </c>
      <c r="I607" s="20">
        <v>3</v>
      </c>
      <c r="J607" s="20" t="s">
        <v>981</v>
      </c>
      <c r="K607" s="20" t="s">
        <v>988</v>
      </c>
      <c r="L607" s="20" t="s">
        <v>983</v>
      </c>
      <c r="M607" s="20" t="s">
        <v>671</v>
      </c>
      <c r="N607" s="20" t="s">
        <v>672</v>
      </c>
      <c r="P607" s="20" t="s">
        <v>671</v>
      </c>
      <c r="Q607" s="20" t="s">
        <v>673</v>
      </c>
      <c r="R607" s="20" t="s">
        <v>84</v>
      </c>
      <c r="S607" s="20">
        <v>5</v>
      </c>
      <c r="T607" s="20" t="s">
        <v>922</v>
      </c>
      <c r="U607" s="20" t="s">
        <v>923</v>
      </c>
      <c r="V607" s="20" t="s">
        <v>87</v>
      </c>
      <c r="W607" s="20">
        <v>522</v>
      </c>
      <c r="X607" s="20">
        <v>522</v>
      </c>
      <c r="Y607" s="20" t="s">
        <v>984</v>
      </c>
      <c r="Z607" s="20">
        <v>8.3333333333333329E-2</v>
      </c>
      <c r="AA607" s="20" t="s">
        <v>985</v>
      </c>
      <c r="AB607" s="20" t="s">
        <v>139</v>
      </c>
      <c r="AC607" s="20" t="s">
        <v>140</v>
      </c>
      <c r="AD607" s="20" t="s">
        <v>986</v>
      </c>
      <c r="AE607" s="20" t="s">
        <v>91</v>
      </c>
      <c r="AF607" s="20">
        <v>0.16666666666666666</v>
      </c>
      <c r="AH607" s="20">
        <v>1</v>
      </c>
      <c r="AI607" s="4" t="s">
        <v>645</v>
      </c>
      <c r="AJ607" s="20">
        <v>75</v>
      </c>
      <c r="AK607" s="4" t="s">
        <v>641</v>
      </c>
      <c r="AL607" s="4">
        <v>3</v>
      </c>
      <c r="AM607" s="4" t="s">
        <v>438</v>
      </c>
      <c r="AN607" s="4" t="s">
        <v>95</v>
      </c>
      <c r="AO607" s="4" t="s">
        <v>96</v>
      </c>
      <c r="AP607" s="4">
        <v>1</v>
      </c>
      <c r="AQ607" s="20">
        <v>79000</v>
      </c>
      <c r="AR607" s="4">
        <v>41803</v>
      </c>
      <c r="AS607" s="20">
        <v>14363.636363636362</v>
      </c>
      <c r="AT607" s="20">
        <v>15079.225</v>
      </c>
      <c r="AU607" s="20">
        <v>715.58863636363822</v>
      </c>
      <c r="AW607" s="20">
        <v>70</v>
      </c>
      <c r="AY607" s="20">
        <v>70</v>
      </c>
      <c r="AZ607" s="20">
        <v>11.5</v>
      </c>
      <c r="BB607" s="6">
        <v>41744</v>
      </c>
      <c r="BC607" s="6">
        <v>41853</v>
      </c>
      <c r="BD607" s="6">
        <v>41844</v>
      </c>
      <c r="BE607" s="6">
        <v>41859</v>
      </c>
      <c r="BF607" s="6">
        <v>41877</v>
      </c>
      <c r="BK607" s="4" t="s">
        <v>401</v>
      </c>
      <c r="BM607" s="20">
        <v>64</v>
      </c>
      <c r="BN607" s="20">
        <v>0</v>
      </c>
      <c r="BO607" s="20">
        <v>0</v>
      </c>
      <c r="BP607" s="20">
        <v>0</v>
      </c>
      <c r="BQ607" s="20">
        <v>0</v>
      </c>
      <c r="BS607" s="20">
        <v>75</v>
      </c>
      <c r="BT607" s="20">
        <v>1130941.875</v>
      </c>
      <c r="BU607" s="20">
        <v>5925000</v>
      </c>
      <c r="BV607" s="20">
        <v>4.7627236690335089</v>
      </c>
    </row>
    <row r="608" spans="1:74">
      <c r="A608" s="10">
        <f t="shared" si="38"/>
        <v>0</v>
      </c>
      <c r="B608" s="10">
        <f t="shared" si="39"/>
        <v>0</v>
      </c>
      <c r="C608" s="12">
        <f t="shared" si="40"/>
        <v>4</v>
      </c>
      <c r="D608" s="12">
        <f t="shared" si="41"/>
        <v>8</v>
      </c>
      <c r="E608" s="20" t="s">
        <v>574</v>
      </c>
      <c r="F608" s="20" t="s">
        <v>665</v>
      </c>
      <c r="G608" s="20" t="s">
        <v>955</v>
      </c>
      <c r="H608" s="20" t="s">
        <v>980</v>
      </c>
      <c r="I608" s="20">
        <v>3</v>
      </c>
      <c r="J608" s="20" t="s">
        <v>981</v>
      </c>
      <c r="K608" s="20" t="s">
        <v>989</v>
      </c>
      <c r="L608" s="20" t="s">
        <v>983</v>
      </c>
      <c r="M608" s="20" t="s">
        <v>671</v>
      </c>
      <c r="N608" s="20" t="s">
        <v>672</v>
      </c>
      <c r="P608" s="20" t="s">
        <v>671</v>
      </c>
      <c r="Q608" s="20" t="s">
        <v>673</v>
      </c>
      <c r="R608" s="20" t="s">
        <v>84</v>
      </c>
      <c r="S608" s="20">
        <v>5</v>
      </c>
      <c r="T608" s="20" t="s">
        <v>922</v>
      </c>
      <c r="U608" s="20" t="s">
        <v>923</v>
      </c>
      <c r="V608" s="20" t="s">
        <v>87</v>
      </c>
      <c r="W608" s="20">
        <v>522</v>
      </c>
      <c r="X608" s="20">
        <v>522</v>
      </c>
      <c r="Y608" s="20" t="s">
        <v>984</v>
      </c>
      <c r="Z608" s="20">
        <v>8.3333333333333329E-2</v>
      </c>
      <c r="AA608" s="20" t="s">
        <v>985</v>
      </c>
      <c r="AB608" s="20" t="s">
        <v>139</v>
      </c>
      <c r="AC608" s="20" t="s">
        <v>140</v>
      </c>
      <c r="AD608" s="20" t="s">
        <v>986</v>
      </c>
      <c r="AE608" s="20" t="s">
        <v>91</v>
      </c>
      <c r="AF608" s="20">
        <v>0.16666666666666666</v>
      </c>
      <c r="AH608" s="20">
        <v>1</v>
      </c>
      <c r="AI608" s="4" t="s">
        <v>647</v>
      </c>
      <c r="AJ608" s="20">
        <v>75</v>
      </c>
      <c r="AK608" s="4" t="s">
        <v>641</v>
      </c>
      <c r="AL608" s="4">
        <v>3</v>
      </c>
      <c r="AM608" s="4" t="s">
        <v>438</v>
      </c>
      <c r="AN608" s="4" t="s">
        <v>95</v>
      </c>
      <c r="AO608" s="4" t="s">
        <v>96</v>
      </c>
      <c r="AP608" s="4">
        <v>1</v>
      </c>
      <c r="AQ608" s="20">
        <v>79000</v>
      </c>
      <c r="AR608" s="4">
        <v>41803</v>
      </c>
      <c r="AS608" s="20">
        <v>14363.636363636362</v>
      </c>
      <c r="AT608" s="20">
        <v>15079.225</v>
      </c>
      <c r="AU608" s="20">
        <v>715.58863636363822</v>
      </c>
      <c r="AW608" s="20">
        <v>70</v>
      </c>
      <c r="AY608" s="20">
        <v>70</v>
      </c>
      <c r="AZ608" s="20">
        <v>11.5</v>
      </c>
      <c r="BB608" s="6">
        <v>41744</v>
      </c>
      <c r="BC608" s="6">
        <v>41853</v>
      </c>
      <c r="BD608" s="6">
        <v>41844</v>
      </c>
      <c r="BE608" s="6">
        <v>41859</v>
      </c>
      <c r="BF608" s="6">
        <v>41877</v>
      </c>
      <c r="BK608" s="4" t="s">
        <v>401</v>
      </c>
      <c r="BM608" s="20">
        <v>65</v>
      </c>
      <c r="BN608" s="20">
        <v>0</v>
      </c>
      <c r="BO608" s="20">
        <v>0</v>
      </c>
      <c r="BP608" s="20">
        <v>0</v>
      </c>
      <c r="BQ608" s="20">
        <v>0</v>
      </c>
      <c r="BS608" s="20">
        <v>75</v>
      </c>
      <c r="BT608" s="20">
        <v>1130941.875</v>
      </c>
      <c r="BU608" s="20">
        <v>5925000</v>
      </c>
      <c r="BV608" s="20">
        <v>4.7627236690335089</v>
      </c>
    </row>
    <row r="609" spans="1:74">
      <c r="A609" s="10">
        <f t="shared" si="38"/>
        <v>0</v>
      </c>
      <c r="B609" s="10">
        <f t="shared" si="39"/>
        <v>0</v>
      </c>
      <c r="C609" s="12">
        <f t="shared" si="40"/>
        <v>4</v>
      </c>
      <c r="D609" s="12">
        <f t="shared" si="41"/>
        <v>8</v>
      </c>
      <c r="E609" s="20" t="s">
        <v>574</v>
      </c>
      <c r="F609" s="20" t="s">
        <v>665</v>
      </c>
      <c r="G609" s="20" t="s">
        <v>955</v>
      </c>
      <c r="H609" s="20" t="s">
        <v>980</v>
      </c>
      <c r="I609" s="20">
        <v>3</v>
      </c>
      <c r="J609" s="20" t="s">
        <v>981</v>
      </c>
      <c r="K609" s="20" t="s">
        <v>990</v>
      </c>
      <c r="L609" s="20" t="s">
        <v>983</v>
      </c>
      <c r="M609" s="20" t="s">
        <v>671</v>
      </c>
      <c r="N609" s="20" t="s">
        <v>672</v>
      </c>
      <c r="P609" s="20" t="s">
        <v>671</v>
      </c>
      <c r="Q609" s="20" t="s">
        <v>673</v>
      </c>
      <c r="R609" s="20" t="s">
        <v>84</v>
      </c>
      <c r="S609" s="20">
        <v>5</v>
      </c>
      <c r="T609" s="20" t="s">
        <v>922</v>
      </c>
      <c r="U609" s="20" t="s">
        <v>923</v>
      </c>
      <c r="V609" s="20" t="s">
        <v>87</v>
      </c>
      <c r="W609" s="20">
        <v>522</v>
      </c>
      <c r="X609" s="20">
        <v>522</v>
      </c>
      <c r="Y609" s="20" t="s">
        <v>984</v>
      </c>
      <c r="Z609" s="20">
        <v>8.3333333333333329E-2</v>
      </c>
      <c r="AA609" s="20" t="s">
        <v>985</v>
      </c>
      <c r="AB609" s="20" t="s">
        <v>139</v>
      </c>
      <c r="AC609" s="20" t="s">
        <v>140</v>
      </c>
      <c r="AD609" s="20" t="s">
        <v>986</v>
      </c>
      <c r="AE609" s="20" t="s">
        <v>91</v>
      </c>
      <c r="AF609" s="20">
        <v>0.16666666666666666</v>
      </c>
      <c r="AH609" s="20">
        <v>1</v>
      </c>
      <c r="AI609" s="4" t="s">
        <v>649</v>
      </c>
      <c r="AJ609" s="20">
        <v>45</v>
      </c>
      <c r="AK609" s="4" t="s">
        <v>641</v>
      </c>
      <c r="AL609" s="4">
        <v>3</v>
      </c>
      <c r="AM609" s="4" t="s">
        <v>438</v>
      </c>
      <c r="AN609" s="4" t="s">
        <v>95</v>
      </c>
      <c r="AO609" s="4" t="s">
        <v>96</v>
      </c>
      <c r="AP609" s="4">
        <v>1</v>
      </c>
      <c r="AQ609" s="20">
        <v>79000</v>
      </c>
      <c r="AR609" s="4">
        <v>41803</v>
      </c>
      <c r="AS609" s="20">
        <v>14363.636363636362</v>
      </c>
      <c r="AT609" s="20">
        <v>15079.225</v>
      </c>
      <c r="AU609" s="20">
        <v>715.58863636363822</v>
      </c>
      <c r="AW609" s="20">
        <v>70</v>
      </c>
      <c r="AY609" s="20">
        <v>70</v>
      </c>
      <c r="AZ609" s="20">
        <v>11.5</v>
      </c>
      <c r="BB609" s="6">
        <v>41744</v>
      </c>
      <c r="BC609" s="6">
        <v>41853</v>
      </c>
      <c r="BD609" s="6">
        <v>41844</v>
      </c>
      <c r="BE609" s="6">
        <v>41859</v>
      </c>
      <c r="BF609" s="6">
        <v>41877</v>
      </c>
      <c r="BK609" s="4" t="s">
        <v>401</v>
      </c>
      <c r="BM609" s="20">
        <v>47</v>
      </c>
      <c r="BN609" s="20">
        <v>0</v>
      </c>
      <c r="BO609" s="20">
        <v>0</v>
      </c>
      <c r="BP609" s="20">
        <v>0</v>
      </c>
      <c r="BQ609" s="20">
        <v>0</v>
      </c>
      <c r="BR609" s="20">
        <v>0</v>
      </c>
      <c r="BS609" s="20">
        <v>45</v>
      </c>
      <c r="BT609" s="20">
        <v>678565.125</v>
      </c>
      <c r="BU609" s="20">
        <v>3555000</v>
      </c>
      <c r="BV609" s="20">
        <v>4.7627236690335089</v>
      </c>
    </row>
    <row r="610" spans="1:74">
      <c r="A610" s="10">
        <f t="shared" si="38"/>
        <v>0</v>
      </c>
      <c r="B610" s="10">
        <f t="shared" si="39"/>
        <v>0</v>
      </c>
      <c r="C610" s="12">
        <f t="shared" si="40"/>
        <v>4</v>
      </c>
      <c r="D610" s="12">
        <f t="shared" si="41"/>
        <v>8</v>
      </c>
      <c r="E610" s="20" t="s">
        <v>574</v>
      </c>
      <c r="F610" s="20" t="s">
        <v>665</v>
      </c>
      <c r="G610" s="20" t="s">
        <v>955</v>
      </c>
      <c r="H610" s="20" t="s">
        <v>980</v>
      </c>
      <c r="I610" s="20">
        <v>3</v>
      </c>
      <c r="J610" s="20" t="s">
        <v>981</v>
      </c>
      <c r="K610" s="20" t="s">
        <v>991</v>
      </c>
      <c r="L610" s="20" t="s">
        <v>983</v>
      </c>
      <c r="M610" s="20" t="s">
        <v>671</v>
      </c>
      <c r="N610" s="20" t="s">
        <v>672</v>
      </c>
      <c r="P610" s="20" t="s">
        <v>671</v>
      </c>
      <c r="Q610" s="20" t="s">
        <v>673</v>
      </c>
      <c r="R610" s="20" t="s">
        <v>84</v>
      </c>
      <c r="S610" s="20">
        <v>5</v>
      </c>
      <c r="T610" s="20" t="s">
        <v>922</v>
      </c>
      <c r="U610" s="20" t="s">
        <v>923</v>
      </c>
      <c r="V610" s="20" t="s">
        <v>87</v>
      </c>
      <c r="W610" s="20">
        <v>522</v>
      </c>
      <c r="X610" s="20">
        <v>522</v>
      </c>
      <c r="Y610" s="20" t="s">
        <v>984</v>
      </c>
      <c r="Z610" s="20">
        <v>8.3333333333333329E-2</v>
      </c>
      <c r="AA610" s="20" t="s">
        <v>985</v>
      </c>
      <c r="AB610" s="20" t="s">
        <v>139</v>
      </c>
      <c r="AC610" s="20" t="s">
        <v>140</v>
      </c>
      <c r="AD610" s="20" t="s">
        <v>986</v>
      </c>
      <c r="AE610" s="20" t="s">
        <v>91</v>
      </c>
      <c r="AF610" s="20">
        <v>0.16666666666666666</v>
      </c>
      <c r="AH610" s="20">
        <v>1</v>
      </c>
      <c r="AI610" s="4" t="s">
        <v>651</v>
      </c>
      <c r="AJ610" s="20">
        <v>40</v>
      </c>
      <c r="AK610" s="4" t="s">
        <v>641</v>
      </c>
      <c r="AL610" s="4">
        <v>3</v>
      </c>
      <c r="AM610" s="4" t="s">
        <v>438</v>
      </c>
      <c r="AN610" s="4" t="s">
        <v>95</v>
      </c>
      <c r="AO610" s="4" t="s">
        <v>96</v>
      </c>
      <c r="AP610" s="4">
        <v>1</v>
      </c>
      <c r="AQ610" s="20">
        <v>79000</v>
      </c>
      <c r="AR610" s="4">
        <v>41803</v>
      </c>
      <c r="AS610" s="20">
        <v>14363.636363636362</v>
      </c>
      <c r="AT610" s="20">
        <v>15079.225</v>
      </c>
      <c r="AU610" s="20">
        <v>715.58863636363822</v>
      </c>
      <c r="AW610" s="20">
        <v>70</v>
      </c>
      <c r="AY610" s="20">
        <v>70</v>
      </c>
      <c r="AZ610" s="20">
        <v>11.5</v>
      </c>
      <c r="BB610" s="6">
        <v>41744</v>
      </c>
      <c r="BC610" s="6">
        <v>41853</v>
      </c>
      <c r="BD610" s="6">
        <v>41844</v>
      </c>
      <c r="BE610" s="6">
        <v>41859</v>
      </c>
      <c r="BF610" s="6">
        <v>41877</v>
      </c>
      <c r="BK610" s="4" t="s">
        <v>401</v>
      </c>
      <c r="BM610" s="20">
        <v>41</v>
      </c>
      <c r="BN610" s="20">
        <v>0</v>
      </c>
      <c r="BO610" s="20">
        <v>0</v>
      </c>
      <c r="BP610" s="20">
        <v>0</v>
      </c>
      <c r="BQ610" s="20">
        <v>0</v>
      </c>
      <c r="BR610" s="20">
        <v>0</v>
      </c>
      <c r="BS610" s="20">
        <v>40</v>
      </c>
      <c r="BT610" s="20">
        <v>603169</v>
      </c>
      <c r="BU610" s="20">
        <v>3160000</v>
      </c>
      <c r="BV610" s="20">
        <v>4.7627236690335089</v>
      </c>
    </row>
    <row r="611" spans="1:74">
      <c r="A611" s="10">
        <f t="shared" si="38"/>
        <v>0</v>
      </c>
      <c r="B611" s="10">
        <f t="shared" si="39"/>
        <v>0</v>
      </c>
      <c r="C611" s="12">
        <f t="shared" si="40"/>
        <v>4</v>
      </c>
      <c r="D611" s="12">
        <f t="shared" si="41"/>
        <v>8</v>
      </c>
      <c r="E611" s="20" t="s">
        <v>574</v>
      </c>
      <c r="F611" s="20" t="s">
        <v>665</v>
      </c>
      <c r="G611" s="20" t="s">
        <v>955</v>
      </c>
      <c r="H611" s="20" t="s">
        <v>992</v>
      </c>
      <c r="I611" s="20">
        <v>4</v>
      </c>
      <c r="J611" s="20" t="s">
        <v>993</v>
      </c>
      <c r="K611" s="20" t="s">
        <v>994</v>
      </c>
      <c r="L611" s="20" t="s">
        <v>983</v>
      </c>
      <c r="M611" s="20" t="s">
        <v>671</v>
      </c>
      <c r="N611" s="20" t="s">
        <v>672</v>
      </c>
      <c r="P611" s="20" t="s">
        <v>671</v>
      </c>
      <c r="Q611" s="20" t="s">
        <v>673</v>
      </c>
      <c r="R611" s="20" t="s">
        <v>84</v>
      </c>
      <c r="S611" s="20">
        <v>5</v>
      </c>
      <c r="T611" s="20" t="s">
        <v>922</v>
      </c>
      <c r="U611" s="20" t="s">
        <v>923</v>
      </c>
      <c r="V611" s="20" t="s">
        <v>87</v>
      </c>
      <c r="W611" s="20">
        <v>522</v>
      </c>
      <c r="X611" s="20">
        <v>522</v>
      </c>
      <c r="Y611" s="20" t="s">
        <v>984</v>
      </c>
      <c r="Z611" s="20">
        <v>8.3333333333333329E-2</v>
      </c>
      <c r="AA611" s="20" t="s">
        <v>995</v>
      </c>
      <c r="AB611" s="20" t="s">
        <v>101</v>
      </c>
      <c r="AC611" s="20" t="s">
        <v>102</v>
      </c>
      <c r="AD611" s="20" t="s">
        <v>996</v>
      </c>
      <c r="AE611" s="20" t="s">
        <v>91</v>
      </c>
      <c r="AF611" s="20">
        <v>0.16666666666666666</v>
      </c>
      <c r="AH611" s="20">
        <v>1</v>
      </c>
      <c r="AI611" s="4" t="s">
        <v>640</v>
      </c>
      <c r="AJ611" s="20">
        <v>150</v>
      </c>
      <c r="AK611" s="4" t="s">
        <v>641</v>
      </c>
      <c r="AL611" s="4">
        <v>3</v>
      </c>
      <c r="AM611" s="4" t="s">
        <v>438</v>
      </c>
      <c r="AN611" s="4" t="s">
        <v>95</v>
      </c>
      <c r="AO611" s="4" t="s">
        <v>96</v>
      </c>
      <c r="AP611" s="4">
        <v>1</v>
      </c>
      <c r="AQ611" s="20">
        <v>79000</v>
      </c>
      <c r="AR611" s="4">
        <v>41803</v>
      </c>
      <c r="AS611" s="20">
        <v>14363.636363636362</v>
      </c>
      <c r="AT611" s="20">
        <v>15079.225</v>
      </c>
      <c r="AU611" s="20">
        <v>715.58863636363822</v>
      </c>
      <c r="AW611" s="20">
        <v>70</v>
      </c>
      <c r="AY611" s="20">
        <v>70</v>
      </c>
      <c r="AZ611" s="20">
        <v>11.5</v>
      </c>
      <c r="BB611" s="6">
        <v>41744</v>
      </c>
      <c r="BC611" s="6">
        <v>41853</v>
      </c>
      <c r="BD611" s="6">
        <v>41844</v>
      </c>
      <c r="BE611" s="6">
        <v>41859</v>
      </c>
      <c r="BF611" s="6">
        <v>41877</v>
      </c>
      <c r="BK611" s="4" t="s">
        <v>401</v>
      </c>
      <c r="BM611" s="20">
        <v>142</v>
      </c>
      <c r="BN611" s="20">
        <v>0</v>
      </c>
      <c r="BO611" s="20">
        <v>0</v>
      </c>
      <c r="BP611" s="20">
        <v>0</v>
      </c>
      <c r="BQ611" s="20">
        <v>0</v>
      </c>
      <c r="BR611" s="20">
        <v>0</v>
      </c>
      <c r="BS611" s="20">
        <v>150</v>
      </c>
      <c r="BT611" s="20">
        <v>2261883.75</v>
      </c>
      <c r="BU611" s="20">
        <v>11850000</v>
      </c>
      <c r="BV611" s="20">
        <v>4.7627236690335089</v>
      </c>
    </row>
    <row r="612" spans="1:74">
      <c r="A612" s="10">
        <f t="shared" si="38"/>
        <v>0</v>
      </c>
      <c r="B612" s="10">
        <f t="shared" si="39"/>
        <v>0</v>
      </c>
      <c r="C612" s="12">
        <f t="shared" si="40"/>
        <v>4</v>
      </c>
      <c r="D612" s="12">
        <f t="shared" si="41"/>
        <v>8</v>
      </c>
      <c r="E612" s="20" t="s">
        <v>574</v>
      </c>
      <c r="F612" s="20" t="s">
        <v>665</v>
      </c>
      <c r="G612" s="20" t="s">
        <v>955</v>
      </c>
      <c r="H612" s="20" t="s">
        <v>992</v>
      </c>
      <c r="I612" s="20">
        <v>4</v>
      </c>
      <c r="J612" s="20" t="s">
        <v>993</v>
      </c>
      <c r="K612" s="20" t="s">
        <v>997</v>
      </c>
      <c r="L612" s="20" t="s">
        <v>983</v>
      </c>
      <c r="M612" s="20" t="s">
        <v>671</v>
      </c>
      <c r="N612" s="20" t="s">
        <v>672</v>
      </c>
      <c r="P612" s="20" t="s">
        <v>671</v>
      </c>
      <c r="Q612" s="20" t="s">
        <v>673</v>
      </c>
      <c r="R612" s="20" t="s">
        <v>84</v>
      </c>
      <c r="S612" s="20">
        <v>5</v>
      </c>
      <c r="T612" s="20" t="s">
        <v>922</v>
      </c>
      <c r="U612" s="20" t="s">
        <v>923</v>
      </c>
      <c r="V612" s="20" t="s">
        <v>87</v>
      </c>
      <c r="W612" s="20">
        <v>522</v>
      </c>
      <c r="X612" s="20">
        <v>522</v>
      </c>
      <c r="Y612" s="20" t="s">
        <v>984</v>
      </c>
      <c r="Z612" s="20">
        <v>8.3333333333333329E-2</v>
      </c>
      <c r="AA612" s="20" t="s">
        <v>995</v>
      </c>
      <c r="AB612" s="20" t="s">
        <v>101</v>
      </c>
      <c r="AC612" s="20" t="s">
        <v>102</v>
      </c>
      <c r="AD612" s="20" t="s">
        <v>996</v>
      </c>
      <c r="AE612" s="20" t="s">
        <v>91</v>
      </c>
      <c r="AF612" s="20">
        <v>0.16666666666666666</v>
      </c>
      <c r="AH612" s="20">
        <v>1</v>
      </c>
      <c r="AI612" s="4" t="s">
        <v>643</v>
      </c>
      <c r="AJ612" s="20">
        <v>45</v>
      </c>
      <c r="AK612" s="4" t="s">
        <v>641</v>
      </c>
      <c r="AL612" s="4">
        <v>3</v>
      </c>
      <c r="AM612" s="4" t="s">
        <v>438</v>
      </c>
      <c r="AN612" s="4" t="s">
        <v>95</v>
      </c>
      <c r="AO612" s="4" t="s">
        <v>96</v>
      </c>
      <c r="AP612" s="4">
        <v>1</v>
      </c>
      <c r="AQ612" s="20">
        <v>79000</v>
      </c>
      <c r="AR612" s="4">
        <v>41803</v>
      </c>
      <c r="AS612" s="20">
        <v>14363.636363636362</v>
      </c>
      <c r="AT612" s="20">
        <v>15079.225</v>
      </c>
      <c r="AU612" s="20">
        <v>715.58863636363822</v>
      </c>
      <c r="AW612" s="20">
        <v>70</v>
      </c>
      <c r="AY612" s="20">
        <v>70</v>
      </c>
      <c r="AZ612" s="20">
        <v>11.5</v>
      </c>
      <c r="BB612" s="6">
        <v>41744</v>
      </c>
      <c r="BC612" s="6">
        <v>41853</v>
      </c>
      <c r="BD612" s="6">
        <v>41844</v>
      </c>
      <c r="BE612" s="6">
        <v>41859</v>
      </c>
      <c r="BF612" s="6">
        <v>41877</v>
      </c>
      <c r="BK612" s="4" t="s">
        <v>401</v>
      </c>
      <c r="BM612" s="20">
        <v>45</v>
      </c>
      <c r="BN612" s="20">
        <v>0</v>
      </c>
      <c r="BO612" s="20">
        <v>0</v>
      </c>
      <c r="BP612" s="20">
        <v>0</v>
      </c>
      <c r="BQ612" s="20">
        <v>0</v>
      </c>
      <c r="BR612" s="20">
        <v>0</v>
      </c>
      <c r="BS612" s="20">
        <v>45</v>
      </c>
      <c r="BT612" s="20">
        <v>678565.125</v>
      </c>
      <c r="BU612" s="20">
        <v>3555000</v>
      </c>
      <c r="BV612" s="20">
        <v>4.7627236690335089</v>
      </c>
    </row>
    <row r="613" spans="1:74">
      <c r="A613" s="10">
        <f t="shared" si="38"/>
        <v>0</v>
      </c>
      <c r="B613" s="10">
        <f t="shared" si="39"/>
        <v>0</v>
      </c>
      <c r="C613" s="12">
        <f t="shared" si="40"/>
        <v>4</v>
      </c>
      <c r="D613" s="12">
        <f t="shared" si="41"/>
        <v>8</v>
      </c>
      <c r="E613" s="20" t="s">
        <v>574</v>
      </c>
      <c r="F613" s="20" t="s">
        <v>665</v>
      </c>
      <c r="G613" s="20" t="s">
        <v>955</v>
      </c>
      <c r="H613" s="20" t="s">
        <v>992</v>
      </c>
      <c r="I613" s="20">
        <v>4</v>
      </c>
      <c r="J613" s="20" t="s">
        <v>993</v>
      </c>
      <c r="K613" s="20" t="s">
        <v>998</v>
      </c>
      <c r="L613" s="20" t="s">
        <v>983</v>
      </c>
      <c r="M613" s="20" t="s">
        <v>671</v>
      </c>
      <c r="N613" s="20" t="s">
        <v>672</v>
      </c>
      <c r="P613" s="20" t="s">
        <v>671</v>
      </c>
      <c r="Q613" s="20" t="s">
        <v>673</v>
      </c>
      <c r="R613" s="20" t="s">
        <v>84</v>
      </c>
      <c r="S613" s="20">
        <v>5</v>
      </c>
      <c r="T613" s="20" t="s">
        <v>922</v>
      </c>
      <c r="U613" s="20" t="s">
        <v>923</v>
      </c>
      <c r="V613" s="20" t="s">
        <v>87</v>
      </c>
      <c r="W613" s="20">
        <v>522</v>
      </c>
      <c r="X613" s="20">
        <v>522</v>
      </c>
      <c r="Y613" s="20" t="s">
        <v>984</v>
      </c>
      <c r="Z613" s="20">
        <v>8.3333333333333329E-2</v>
      </c>
      <c r="AA613" s="20" t="s">
        <v>995</v>
      </c>
      <c r="AB613" s="20" t="s">
        <v>101</v>
      </c>
      <c r="AC613" s="20" t="s">
        <v>102</v>
      </c>
      <c r="AD613" s="20" t="s">
        <v>996</v>
      </c>
      <c r="AE613" s="20" t="s">
        <v>91</v>
      </c>
      <c r="AF613" s="20">
        <v>0.16666666666666666</v>
      </c>
      <c r="AH613" s="20">
        <v>1</v>
      </c>
      <c r="AI613" s="4" t="s">
        <v>645</v>
      </c>
      <c r="AJ613" s="20">
        <v>75</v>
      </c>
      <c r="AK613" s="4" t="s">
        <v>641</v>
      </c>
      <c r="AL613" s="4">
        <v>3</v>
      </c>
      <c r="AM613" s="4" t="s">
        <v>438</v>
      </c>
      <c r="AN613" s="4" t="s">
        <v>95</v>
      </c>
      <c r="AO613" s="4" t="s">
        <v>96</v>
      </c>
      <c r="AP613" s="4">
        <v>1</v>
      </c>
      <c r="AQ613" s="20">
        <v>79000</v>
      </c>
      <c r="AR613" s="4">
        <v>41803</v>
      </c>
      <c r="AS613" s="20">
        <v>14363.636363636362</v>
      </c>
      <c r="AT613" s="20">
        <v>15079.225</v>
      </c>
      <c r="AU613" s="20">
        <v>715.58863636363822</v>
      </c>
      <c r="AW613" s="20">
        <v>70</v>
      </c>
      <c r="AY613" s="20">
        <v>70</v>
      </c>
      <c r="AZ613" s="20">
        <v>11.5</v>
      </c>
      <c r="BB613" s="6">
        <v>41744</v>
      </c>
      <c r="BC613" s="6">
        <v>41853</v>
      </c>
      <c r="BD613" s="6">
        <v>41844</v>
      </c>
      <c r="BE613" s="6">
        <v>41859</v>
      </c>
      <c r="BF613" s="6">
        <v>41877</v>
      </c>
      <c r="BK613" s="4" t="s">
        <v>401</v>
      </c>
      <c r="BM613" s="20">
        <v>81</v>
      </c>
      <c r="BN613" s="20">
        <v>0</v>
      </c>
      <c r="BO613" s="20">
        <v>0</v>
      </c>
      <c r="BP613" s="20">
        <v>0</v>
      </c>
      <c r="BQ613" s="20">
        <v>0</v>
      </c>
      <c r="BR613" s="20">
        <v>0</v>
      </c>
      <c r="BS613" s="20">
        <v>75</v>
      </c>
      <c r="BT613" s="20">
        <v>1130941.875</v>
      </c>
      <c r="BU613" s="20">
        <v>5925000</v>
      </c>
      <c r="BV613" s="20">
        <v>4.7627236690335089</v>
      </c>
    </row>
    <row r="614" spans="1:74">
      <c r="A614" s="10">
        <f t="shared" si="38"/>
        <v>0</v>
      </c>
      <c r="B614" s="10">
        <f t="shared" si="39"/>
        <v>0</v>
      </c>
      <c r="C614" s="12">
        <f t="shared" si="40"/>
        <v>4</v>
      </c>
      <c r="D614" s="12">
        <f t="shared" si="41"/>
        <v>8</v>
      </c>
      <c r="E614" s="20" t="s">
        <v>574</v>
      </c>
      <c r="F614" s="20" t="s">
        <v>665</v>
      </c>
      <c r="G614" s="20" t="s">
        <v>955</v>
      </c>
      <c r="H614" s="20" t="s">
        <v>992</v>
      </c>
      <c r="I614" s="20">
        <v>4</v>
      </c>
      <c r="J614" s="20" t="s">
        <v>993</v>
      </c>
      <c r="K614" s="20" t="s">
        <v>999</v>
      </c>
      <c r="L614" s="20" t="s">
        <v>983</v>
      </c>
      <c r="M614" s="20" t="s">
        <v>671</v>
      </c>
      <c r="N614" s="20" t="s">
        <v>672</v>
      </c>
      <c r="P614" s="20" t="s">
        <v>671</v>
      </c>
      <c r="Q614" s="20" t="s">
        <v>673</v>
      </c>
      <c r="R614" s="20" t="s">
        <v>84</v>
      </c>
      <c r="S614" s="20">
        <v>5</v>
      </c>
      <c r="T614" s="20" t="s">
        <v>922</v>
      </c>
      <c r="U614" s="20" t="s">
        <v>923</v>
      </c>
      <c r="V614" s="20" t="s">
        <v>87</v>
      </c>
      <c r="W614" s="20">
        <v>522</v>
      </c>
      <c r="X614" s="20">
        <v>522</v>
      </c>
      <c r="Y614" s="20" t="s">
        <v>984</v>
      </c>
      <c r="Z614" s="20">
        <v>8.3333333333333329E-2</v>
      </c>
      <c r="AA614" s="20" t="s">
        <v>995</v>
      </c>
      <c r="AB614" s="20" t="s">
        <v>101</v>
      </c>
      <c r="AC614" s="20" t="s">
        <v>102</v>
      </c>
      <c r="AD614" s="20" t="s">
        <v>996</v>
      </c>
      <c r="AE614" s="20" t="s">
        <v>91</v>
      </c>
      <c r="AF614" s="20">
        <v>0.16666666666666666</v>
      </c>
      <c r="AH614" s="20">
        <v>1</v>
      </c>
      <c r="AI614" s="4" t="s">
        <v>647</v>
      </c>
      <c r="AJ614" s="20">
        <v>75</v>
      </c>
      <c r="AK614" s="4" t="s">
        <v>641</v>
      </c>
      <c r="AL614" s="4">
        <v>3</v>
      </c>
      <c r="AM614" s="4" t="s">
        <v>438</v>
      </c>
      <c r="AN614" s="4" t="s">
        <v>95</v>
      </c>
      <c r="AO614" s="4" t="s">
        <v>96</v>
      </c>
      <c r="AP614" s="4">
        <v>1</v>
      </c>
      <c r="AQ614" s="20">
        <v>79000</v>
      </c>
      <c r="AR614" s="4">
        <v>41803</v>
      </c>
      <c r="AS614" s="20">
        <v>14363.636363636362</v>
      </c>
      <c r="AT614" s="20">
        <v>15079.225</v>
      </c>
      <c r="AU614" s="20">
        <v>715.58863636363822</v>
      </c>
      <c r="AW614" s="20">
        <v>70</v>
      </c>
      <c r="AY614" s="20">
        <v>70</v>
      </c>
      <c r="AZ614" s="20">
        <v>11.5</v>
      </c>
      <c r="BB614" s="6">
        <v>41744</v>
      </c>
      <c r="BC614" s="6">
        <v>41853</v>
      </c>
      <c r="BD614" s="6">
        <v>41844</v>
      </c>
      <c r="BE614" s="6">
        <v>41859</v>
      </c>
      <c r="BF614" s="6">
        <v>41877</v>
      </c>
      <c r="BK614" s="4" t="s">
        <v>401</v>
      </c>
      <c r="BM614" s="20">
        <v>79</v>
      </c>
      <c r="BN614" s="20">
        <v>0</v>
      </c>
      <c r="BO614" s="20">
        <v>0</v>
      </c>
      <c r="BP614" s="20">
        <v>0</v>
      </c>
      <c r="BQ614" s="20">
        <v>0</v>
      </c>
      <c r="BR614" s="20">
        <v>0</v>
      </c>
      <c r="BS614" s="20">
        <v>75</v>
      </c>
      <c r="BT614" s="20">
        <v>1130941.875</v>
      </c>
      <c r="BU614" s="20">
        <v>5925000</v>
      </c>
      <c r="BV614" s="20">
        <v>4.7627236690335089</v>
      </c>
    </row>
    <row r="615" spans="1:74">
      <c r="A615" s="10">
        <f t="shared" si="38"/>
        <v>0</v>
      </c>
      <c r="B615" s="10">
        <f t="shared" si="39"/>
        <v>0</v>
      </c>
      <c r="C615" s="12">
        <f t="shared" si="40"/>
        <v>4</v>
      </c>
      <c r="D615" s="12">
        <f t="shared" si="41"/>
        <v>8</v>
      </c>
      <c r="E615" s="20" t="s">
        <v>574</v>
      </c>
      <c r="F615" s="20" t="s">
        <v>665</v>
      </c>
      <c r="G615" s="20" t="s">
        <v>955</v>
      </c>
      <c r="H615" s="20" t="s">
        <v>992</v>
      </c>
      <c r="I615" s="20">
        <v>4</v>
      </c>
      <c r="J615" s="20" t="s">
        <v>993</v>
      </c>
      <c r="K615" s="20" t="s">
        <v>1000</v>
      </c>
      <c r="L615" s="20" t="s">
        <v>983</v>
      </c>
      <c r="M615" s="20" t="s">
        <v>671</v>
      </c>
      <c r="N615" s="20" t="s">
        <v>672</v>
      </c>
      <c r="P615" s="20" t="s">
        <v>671</v>
      </c>
      <c r="Q615" s="20" t="s">
        <v>673</v>
      </c>
      <c r="R615" s="20" t="s">
        <v>84</v>
      </c>
      <c r="S615" s="20">
        <v>5</v>
      </c>
      <c r="T615" s="20" t="s">
        <v>922</v>
      </c>
      <c r="U615" s="20" t="s">
        <v>923</v>
      </c>
      <c r="V615" s="20" t="s">
        <v>87</v>
      </c>
      <c r="W615" s="20">
        <v>522</v>
      </c>
      <c r="X615" s="20">
        <v>522</v>
      </c>
      <c r="Y615" s="20" t="s">
        <v>984</v>
      </c>
      <c r="Z615" s="20">
        <v>8.3333333333333329E-2</v>
      </c>
      <c r="AA615" s="20" t="s">
        <v>995</v>
      </c>
      <c r="AB615" s="20" t="s">
        <v>101</v>
      </c>
      <c r="AC615" s="20" t="s">
        <v>102</v>
      </c>
      <c r="AD615" s="20" t="s">
        <v>996</v>
      </c>
      <c r="AE615" s="20" t="s">
        <v>91</v>
      </c>
      <c r="AF615" s="20">
        <v>0.16666666666666666</v>
      </c>
      <c r="AH615" s="20">
        <v>1</v>
      </c>
      <c r="AI615" s="4" t="s">
        <v>649</v>
      </c>
      <c r="AJ615" s="20">
        <v>45</v>
      </c>
      <c r="AK615" s="4" t="s">
        <v>641</v>
      </c>
      <c r="AL615" s="4">
        <v>3</v>
      </c>
      <c r="AM615" s="4" t="s">
        <v>438</v>
      </c>
      <c r="AN615" s="4" t="s">
        <v>95</v>
      </c>
      <c r="AO615" s="4" t="s">
        <v>96</v>
      </c>
      <c r="AP615" s="4">
        <v>1</v>
      </c>
      <c r="AQ615" s="20">
        <v>79000</v>
      </c>
      <c r="AR615" s="4">
        <v>41803</v>
      </c>
      <c r="AS615" s="20">
        <v>14363.636363636362</v>
      </c>
      <c r="AT615" s="20">
        <v>15079.225</v>
      </c>
      <c r="AU615" s="20">
        <v>715.58863636363822</v>
      </c>
      <c r="AW615" s="20">
        <v>70</v>
      </c>
      <c r="AY615" s="20">
        <v>70</v>
      </c>
      <c r="AZ615" s="20">
        <v>11.5</v>
      </c>
      <c r="BB615" s="6">
        <v>41744</v>
      </c>
      <c r="BC615" s="6">
        <v>41853</v>
      </c>
      <c r="BD615" s="6">
        <v>41844</v>
      </c>
      <c r="BE615" s="6">
        <v>41859</v>
      </c>
      <c r="BF615" s="6">
        <v>41877</v>
      </c>
      <c r="BK615" s="4" t="s">
        <v>401</v>
      </c>
      <c r="BM615" s="20">
        <v>50</v>
      </c>
      <c r="BN615" s="20">
        <v>0</v>
      </c>
      <c r="BO615" s="20">
        <v>0</v>
      </c>
      <c r="BP615" s="20">
        <v>0</v>
      </c>
      <c r="BQ615" s="20">
        <v>0</v>
      </c>
      <c r="BR615" s="20">
        <v>0</v>
      </c>
      <c r="BS615" s="20">
        <v>45</v>
      </c>
      <c r="BT615" s="20">
        <v>678565.125</v>
      </c>
      <c r="BU615" s="20">
        <v>3555000</v>
      </c>
      <c r="BV615" s="20">
        <v>4.7627236690335089</v>
      </c>
    </row>
    <row r="616" spans="1:74">
      <c r="A616" s="10">
        <f t="shared" si="38"/>
        <v>0</v>
      </c>
      <c r="B616" s="10">
        <f t="shared" si="39"/>
        <v>0</v>
      </c>
      <c r="C616" s="12">
        <f t="shared" si="40"/>
        <v>4</v>
      </c>
      <c r="D616" s="12">
        <f t="shared" si="41"/>
        <v>8</v>
      </c>
      <c r="E616" s="20" t="s">
        <v>574</v>
      </c>
      <c r="F616" s="20" t="s">
        <v>665</v>
      </c>
      <c r="G616" s="20" t="s">
        <v>955</v>
      </c>
      <c r="H616" s="20" t="s">
        <v>992</v>
      </c>
      <c r="I616" s="20">
        <v>4</v>
      </c>
      <c r="J616" s="20" t="s">
        <v>993</v>
      </c>
      <c r="K616" s="20" t="s">
        <v>1001</v>
      </c>
      <c r="L616" s="20" t="s">
        <v>983</v>
      </c>
      <c r="M616" s="20" t="s">
        <v>671</v>
      </c>
      <c r="N616" s="20" t="s">
        <v>672</v>
      </c>
      <c r="P616" s="20" t="s">
        <v>671</v>
      </c>
      <c r="Q616" s="20" t="s">
        <v>673</v>
      </c>
      <c r="R616" s="20" t="s">
        <v>84</v>
      </c>
      <c r="S616" s="20">
        <v>5</v>
      </c>
      <c r="T616" s="20" t="s">
        <v>922</v>
      </c>
      <c r="U616" s="20" t="s">
        <v>923</v>
      </c>
      <c r="V616" s="20" t="s">
        <v>87</v>
      </c>
      <c r="W616" s="20">
        <v>522</v>
      </c>
      <c r="X616" s="20">
        <v>522</v>
      </c>
      <c r="Y616" s="20" t="s">
        <v>984</v>
      </c>
      <c r="Z616" s="20">
        <v>8.3333333333333329E-2</v>
      </c>
      <c r="AA616" s="20" t="s">
        <v>995</v>
      </c>
      <c r="AB616" s="20" t="s">
        <v>101</v>
      </c>
      <c r="AC616" s="20" t="s">
        <v>102</v>
      </c>
      <c r="AD616" s="20" t="s">
        <v>996</v>
      </c>
      <c r="AE616" s="20" t="s">
        <v>91</v>
      </c>
      <c r="AF616" s="20">
        <v>0.16666666666666666</v>
      </c>
      <c r="AH616" s="20">
        <v>1</v>
      </c>
      <c r="AI616" s="4" t="s">
        <v>651</v>
      </c>
      <c r="AJ616" s="20">
        <v>40</v>
      </c>
      <c r="AK616" s="4" t="s">
        <v>641</v>
      </c>
      <c r="AL616" s="4">
        <v>3</v>
      </c>
      <c r="AM616" s="4" t="s">
        <v>438</v>
      </c>
      <c r="AN616" s="4" t="s">
        <v>95</v>
      </c>
      <c r="AO616" s="4" t="s">
        <v>96</v>
      </c>
      <c r="AP616" s="4">
        <v>1</v>
      </c>
      <c r="AQ616" s="20">
        <v>79000</v>
      </c>
      <c r="AR616" s="4">
        <v>41803</v>
      </c>
      <c r="AS616" s="20">
        <v>14363.636363636362</v>
      </c>
      <c r="AT616" s="20">
        <v>15079.225</v>
      </c>
      <c r="AU616" s="20">
        <v>715.58863636363822</v>
      </c>
      <c r="AW616" s="20">
        <v>70</v>
      </c>
      <c r="AY616" s="20">
        <v>70</v>
      </c>
      <c r="AZ616" s="20">
        <v>11.5</v>
      </c>
      <c r="BB616" s="6">
        <v>41744</v>
      </c>
      <c r="BC616" s="6">
        <v>41853</v>
      </c>
      <c r="BD616" s="6">
        <v>41844</v>
      </c>
      <c r="BE616" s="6">
        <v>41859</v>
      </c>
      <c r="BF616" s="6">
        <v>41877</v>
      </c>
      <c r="BK616" s="4" t="s">
        <v>401</v>
      </c>
      <c r="BM616" s="20">
        <v>40</v>
      </c>
      <c r="BN616" s="20">
        <v>0</v>
      </c>
      <c r="BO616" s="20">
        <v>0</v>
      </c>
      <c r="BP616" s="20">
        <v>0</v>
      </c>
      <c r="BQ616" s="20">
        <v>0</v>
      </c>
      <c r="BR616" s="20">
        <v>0</v>
      </c>
      <c r="BS616" s="20">
        <v>40</v>
      </c>
      <c r="BT616" s="20">
        <v>603169</v>
      </c>
      <c r="BU616" s="20">
        <v>3160000</v>
      </c>
      <c r="BV616" s="20">
        <v>4.7627236690335089</v>
      </c>
    </row>
    <row r="617" spans="1:74">
      <c r="A617" s="10">
        <f t="shared" si="38"/>
        <v>0</v>
      </c>
      <c r="B617" s="10">
        <f t="shared" si="39"/>
        <v>0</v>
      </c>
      <c r="C617" s="12">
        <f t="shared" si="40"/>
        <v>4</v>
      </c>
      <c r="D617" s="12">
        <f t="shared" si="41"/>
        <v>9</v>
      </c>
      <c r="E617" s="20" t="s">
        <v>574</v>
      </c>
      <c r="F617" s="20" t="s">
        <v>665</v>
      </c>
      <c r="G617" s="20" t="s">
        <v>955</v>
      </c>
      <c r="H617" s="20" t="s">
        <v>1002</v>
      </c>
      <c r="I617" s="20">
        <v>5</v>
      </c>
      <c r="J617" s="20" t="s">
        <v>1003</v>
      </c>
      <c r="K617" s="20" t="s">
        <v>1004</v>
      </c>
      <c r="L617" s="20" t="s">
        <v>1005</v>
      </c>
      <c r="M617" s="20" t="s">
        <v>671</v>
      </c>
      <c r="N617" s="20" t="s">
        <v>702</v>
      </c>
      <c r="P617" s="20" t="s">
        <v>671</v>
      </c>
      <c r="Q617" s="20" t="s">
        <v>673</v>
      </c>
      <c r="R617" s="20" t="s">
        <v>84</v>
      </c>
      <c r="S617" s="20">
        <v>5</v>
      </c>
      <c r="T617" s="20" t="s">
        <v>762</v>
      </c>
      <c r="U617" s="20" t="s">
        <v>763</v>
      </c>
      <c r="V617" s="20" t="s">
        <v>87</v>
      </c>
      <c r="W617" s="20">
        <v>524</v>
      </c>
      <c r="X617" s="20">
        <v>524</v>
      </c>
      <c r="Y617" s="20" t="s">
        <v>1006</v>
      </c>
      <c r="Z617" s="20">
        <v>0.2</v>
      </c>
      <c r="AA617" s="20" t="s">
        <v>1007</v>
      </c>
      <c r="AB617" s="20" t="s">
        <v>248</v>
      </c>
      <c r="AC617" s="20" t="s">
        <v>249</v>
      </c>
      <c r="AD617" s="20" t="s">
        <v>1008</v>
      </c>
      <c r="AE617" s="20" t="s">
        <v>91</v>
      </c>
      <c r="AF617" s="20">
        <v>0.2</v>
      </c>
      <c r="AH617" s="20">
        <v>1</v>
      </c>
      <c r="AI617" s="4" t="s">
        <v>643</v>
      </c>
      <c r="AJ617" s="20">
        <v>75</v>
      </c>
      <c r="AK617" s="4" t="s">
        <v>641</v>
      </c>
      <c r="AL617" s="4">
        <v>3</v>
      </c>
      <c r="AM617" s="4" t="s">
        <v>438</v>
      </c>
      <c r="AN617" s="4" t="s">
        <v>95</v>
      </c>
      <c r="AO617" s="4" t="s">
        <v>96</v>
      </c>
      <c r="AP617" s="4">
        <v>1</v>
      </c>
      <c r="AQ617" s="20">
        <v>75000</v>
      </c>
      <c r="AR617" s="4">
        <v>41803</v>
      </c>
      <c r="AS617" s="20">
        <v>13636.363636363636</v>
      </c>
      <c r="AT617" s="20">
        <v>16384.375</v>
      </c>
      <c r="AU617" s="20">
        <v>2748.011363636364</v>
      </c>
      <c r="AW617" s="20">
        <v>70</v>
      </c>
      <c r="AY617" s="20">
        <v>70</v>
      </c>
      <c r="AZ617" s="20">
        <v>12.5</v>
      </c>
      <c r="BB617" s="6">
        <v>41744</v>
      </c>
      <c r="BC617" s="6">
        <v>41853</v>
      </c>
      <c r="BD617" s="6">
        <v>41844</v>
      </c>
      <c r="BE617" s="6">
        <v>41859</v>
      </c>
      <c r="BF617" s="6">
        <v>41885</v>
      </c>
      <c r="BK617" s="4" t="s">
        <v>401</v>
      </c>
      <c r="BM617" s="20">
        <v>48</v>
      </c>
      <c r="BN617" s="20">
        <v>0</v>
      </c>
      <c r="BO617" s="20">
        <v>0</v>
      </c>
      <c r="BP617" s="20">
        <v>0</v>
      </c>
      <c r="BQ617" s="20">
        <v>0</v>
      </c>
      <c r="BS617" s="20">
        <v>75</v>
      </c>
      <c r="BT617" s="20">
        <v>1228828.125</v>
      </c>
      <c r="BU617" s="20">
        <v>5625000</v>
      </c>
      <c r="BV617" s="20">
        <v>4.1613926794167115</v>
      </c>
    </row>
    <row r="618" spans="1:74">
      <c r="A618" s="10">
        <f t="shared" si="38"/>
        <v>0</v>
      </c>
      <c r="B618" s="10">
        <f t="shared" si="39"/>
        <v>0</v>
      </c>
      <c r="C618" s="12">
        <f t="shared" si="40"/>
        <v>4</v>
      </c>
      <c r="D618" s="12">
        <f t="shared" si="41"/>
        <v>9</v>
      </c>
      <c r="E618" s="20" t="s">
        <v>574</v>
      </c>
      <c r="F618" s="20" t="s">
        <v>665</v>
      </c>
      <c r="G618" s="20" t="s">
        <v>955</v>
      </c>
      <c r="H618" s="20" t="s">
        <v>1002</v>
      </c>
      <c r="I618" s="20">
        <v>5</v>
      </c>
      <c r="J618" s="20" t="s">
        <v>1003</v>
      </c>
      <c r="K618" s="20" t="s">
        <v>1009</v>
      </c>
      <c r="L618" s="20" t="s">
        <v>1005</v>
      </c>
      <c r="M618" s="20" t="s">
        <v>671</v>
      </c>
      <c r="N618" s="20" t="s">
        <v>702</v>
      </c>
      <c r="P618" s="20" t="s">
        <v>671</v>
      </c>
      <c r="Q618" s="20" t="s">
        <v>673</v>
      </c>
      <c r="R618" s="20" t="s">
        <v>84</v>
      </c>
      <c r="S618" s="20">
        <v>5</v>
      </c>
      <c r="T618" s="20" t="s">
        <v>762</v>
      </c>
      <c r="U618" s="20" t="s">
        <v>763</v>
      </c>
      <c r="V618" s="20" t="s">
        <v>87</v>
      </c>
      <c r="W618" s="20">
        <v>524</v>
      </c>
      <c r="X618" s="20">
        <v>524</v>
      </c>
      <c r="Y618" s="20" t="s">
        <v>1006</v>
      </c>
      <c r="Z618" s="20">
        <v>0.2</v>
      </c>
      <c r="AA618" s="20" t="s">
        <v>1007</v>
      </c>
      <c r="AB618" s="20" t="s">
        <v>248</v>
      </c>
      <c r="AC618" s="20" t="s">
        <v>249</v>
      </c>
      <c r="AD618" s="20" t="s">
        <v>1008</v>
      </c>
      <c r="AE618" s="20" t="s">
        <v>91</v>
      </c>
      <c r="AF618" s="20">
        <v>0.2</v>
      </c>
      <c r="AH618" s="20">
        <v>1</v>
      </c>
      <c r="AI618" s="4" t="s">
        <v>645</v>
      </c>
      <c r="AJ618" s="20">
        <v>75</v>
      </c>
      <c r="AK618" s="4" t="s">
        <v>641</v>
      </c>
      <c r="AL618" s="4">
        <v>3</v>
      </c>
      <c r="AM618" s="4" t="s">
        <v>438</v>
      </c>
      <c r="AN618" s="4" t="s">
        <v>95</v>
      </c>
      <c r="AO618" s="4" t="s">
        <v>96</v>
      </c>
      <c r="AP618" s="4">
        <v>1</v>
      </c>
      <c r="AQ618" s="20">
        <v>75000</v>
      </c>
      <c r="AR618" s="4">
        <v>41803</v>
      </c>
      <c r="AS618" s="20">
        <v>13636.363636363636</v>
      </c>
      <c r="AT618" s="20">
        <v>16384.375</v>
      </c>
      <c r="AU618" s="20">
        <v>2748.011363636364</v>
      </c>
      <c r="AW618" s="20">
        <v>70</v>
      </c>
      <c r="AY618" s="20">
        <v>70</v>
      </c>
      <c r="AZ618" s="20">
        <v>12.5</v>
      </c>
      <c r="BB618" s="6">
        <v>41744</v>
      </c>
      <c r="BC618" s="6">
        <v>41853</v>
      </c>
      <c r="BD618" s="6">
        <v>41844</v>
      </c>
      <c r="BE618" s="6">
        <v>41859</v>
      </c>
      <c r="BF618" s="6">
        <v>41885</v>
      </c>
      <c r="BK618" s="4" t="s">
        <v>401</v>
      </c>
      <c r="BM618" s="20">
        <v>55</v>
      </c>
      <c r="BN618" s="20">
        <v>0</v>
      </c>
      <c r="BO618" s="20">
        <v>0</v>
      </c>
      <c r="BP618" s="20">
        <v>0</v>
      </c>
      <c r="BQ618" s="20">
        <v>0</v>
      </c>
      <c r="BS618" s="20">
        <v>75</v>
      </c>
      <c r="BT618" s="20">
        <v>1228828.125</v>
      </c>
      <c r="BU618" s="20">
        <v>5625000</v>
      </c>
      <c r="BV618" s="20">
        <v>4.1613926794167115</v>
      </c>
    </row>
    <row r="619" spans="1:74">
      <c r="A619" s="10">
        <f t="shared" si="38"/>
        <v>0</v>
      </c>
      <c r="B619" s="10">
        <f t="shared" si="39"/>
        <v>0</v>
      </c>
      <c r="C619" s="12">
        <f t="shared" si="40"/>
        <v>4</v>
      </c>
      <c r="D619" s="12">
        <f t="shared" si="41"/>
        <v>9</v>
      </c>
      <c r="E619" s="20" t="s">
        <v>574</v>
      </c>
      <c r="F619" s="20" t="s">
        <v>665</v>
      </c>
      <c r="G619" s="20" t="s">
        <v>955</v>
      </c>
      <c r="H619" s="20" t="s">
        <v>1002</v>
      </c>
      <c r="I619" s="20">
        <v>5</v>
      </c>
      <c r="J619" s="20" t="s">
        <v>1003</v>
      </c>
      <c r="K619" s="20" t="s">
        <v>1010</v>
      </c>
      <c r="L619" s="20" t="s">
        <v>1005</v>
      </c>
      <c r="M619" s="20" t="s">
        <v>671</v>
      </c>
      <c r="N619" s="20" t="s">
        <v>702</v>
      </c>
      <c r="P619" s="20" t="s">
        <v>671</v>
      </c>
      <c r="Q619" s="20" t="s">
        <v>673</v>
      </c>
      <c r="R619" s="20" t="s">
        <v>84</v>
      </c>
      <c r="S619" s="20">
        <v>5</v>
      </c>
      <c r="T619" s="20" t="s">
        <v>762</v>
      </c>
      <c r="U619" s="20" t="s">
        <v>763</v>
      </c>
      <c r="V619" s="20" t="s">
        <v>87</v>
      </c>
      <c r="W619" s="20">
        <v>524</v>
      </c>
      <c r="X619" s="20">
        <v>524</v>
      </c>
      <c r="Y619" s="20" t="s">
        <v>1006</v>
      </c>
      <c r="Z619" s="20">
        <v>0.2</v>
      </c>
      <c r="AA619" s="20" t="s">
        <v>1007</v>
      </c>
      <c r="AB619" s="20" t="s">
        <v>248</v>
      </c>
      <c r="AC619" s="20" t="s">
        <v>249</v>
      </c>
      <c r="AD619" s="20" t="s">
        <v>1008</v>
      </c>
      <c r="AE619" s="20" t="s">
        <v>91</v>
      </c>
      <c r="AF619" s="20">
        <v>0.2</v>
      </c>
      <c r="AH619" s="20">
        <v>1</v>
      </c>
      <c r="AI619" s="4" t="s">
        <v>647</v>
      </c>
      <c r="AJ619" s="20">
        <v>60</v>
      </c>
      <c r="AK619" s="4" t="s">
        <v>641</v>
      </c>
      <c r="AL619" s="4">
        <v>3</v>
      </c>
      <c r="AM619" s="4" t="s">
        <v>438</v>
      </c>
      <c r="AN619" s="4" t="s">
        <v>95</v>
      </c>
      <c r="AO619" s="4" t="s">
        <v>96</v>
      </c>
      <c r="AP619" s="4">
        <v>1</v>
      </c>
      <c r="AQ619" s="20">
        <v>75000</v>
      </c>
      <c r="AR619" s="4">
        <v>41803</v>
      </c>
      <c r="AS619" s="20">
        <v>13636.363636363636</v>
      </c>
      <c r="AT619" s="20">
        <v>16384.375</v>
      </c>
      <c r="AU619" s="20">
        <v>2748.011363636364</v>
      </c>
      <c r="AW619" s="20">
        <v>70</v>
      </c>
      <c r="AY619" s="20">
        <v>70</v>
      </c>
      <c r="AZ619" s="20">
        <v>12.5</v>
      </c>
      <c r="BB619" s="6">
        <v>41744</v>
      </c>
      <c r="BC619" s="6">
        <v>41853</v>
      </c>
      <c r="BD619" s="6">
        <v>41844</v>
      </c>
      <c r="BE619" s="6">
        <v>41859</v>
      </c>
      <c r="BF619" s="6">
        <v>41885</v>
      </c>
      <c r="BK619" s="4" t="s">
        <v>401</v>
      </c>
      <c r="BM619" s="20">
        <v>53</v>
      </c>
      <c r="BN619" s="20">
        <v>0</v>
      </c>
      <c r="BO619" s="20">
        <v>0</v>
      </c>
      <c r="BP619" s="20">
        <v>0</v>
      </c>
      <c r="BQ619" s="20">
        <v>0</v>
      </c>
      <c r="BS619" s="20">
        <v>60</v>
      </c>
      <c r="BT619" s="20">
        <v>983062.5</v>
      </c>
      <c r="BU619" s="20">
        <v>4500000</v>
      </c>
      <c r="BV619" s="20">
        <v>4.1613926794167115</v>
      </c>
    </row>
    <row r="620" spans="1:74">
      <c r="A620" s="10">
        <f t="shared" si="38"/>
        <v>0</v>
      </c>
      <c r="B620" s="10">
        <f t="shared" si="39"/>
        <v>0</v>
      </c>
      <c r="C620" s="12">
        <f t="shared" si="40"/>
        <v>4</v>
      </c>
      <c r="D620" s="12">
        <f t="shared" si="41"/>
        <v>9</v>
      </c>
      <c r="E620" s="20" t="s">
        <v>574</v>
      </c>
      <c r="F620" s="20" t="s">
        <v>665</v>
      </c>
      <c r="G620" s="20" t="s">
        <v>955</v>
      </c>
      <c r="H620" s="20" t="s">
        <v>1002</v>
      </c>
      <c r="I620" s="20">
        <v>5</v>
      </c>
      <c r="J620" s="20" t="s">
        <v>1003</v>
      </c>
      <c r="K620" s="20" t="s">
        <v>1011</v>
      </c>
      <c r="L620" s="20" t="s">
        <v>1005</v>
      </c>
      <c r="M620" s="20" t="s">
        <v>671</v>
      </c>
      <c r="N620" s="20" t="s">
        <v>702</v>
      </c>
      <c r="P620" s="20" t="s">
        <v>671</v>
      </c>
      <c r="Q620" s="20" t="s">
        <v>673</v>
      </c>
      <c r="R620" s="20" t="s">
        <v>84</v>
      </c>
      <c r="S620" s="20">
        <v>5</v>
      </c>
      <c r="T620" s="20" t="s">
        <v>762</v>
      </c>
      <c r="U620" s="20" t="s">
        <v>763</v>
      </c>
      <c r="V620" s="20" t="s">
        <v>87</v>
      </c>
      <c r="W620" s="20">
        <v>524</v>
      </c>
      <c r="X620" s="20">
        <v>524</v>
      </c>
      <c r="Y620" s="20" t="s">
        <v>1006</v>
      </c>
      <c r="Z620" s="20">
        <v>0.2</v>
      </c>
      <c r="AA620" s="20" t="s">
        <v>1007</v>
      </c>
      <c r="AB620" s="20" t="s">
        <v>248</v>
      </c>
      <c r="AC620" s="20" t="s">
        <v>249</v>
      </c>
      <c r="AD620" s="20" t="s">
        <v>1008</v>
      </c>
      <c r="AE620" s="20" t="s">
        <v>91</v>
      </c>
      <c r="AF620" s="20">
        <v>0.2</v>
      </c>
      <c r="AH620" s="20">
        <v>1</v>
      </c>
      <c r="AI620" s="4" t="s">
        <v>649</v>
      </c>
      <c r="AJ620" s="20">
        <v>45</v>
      </c>
      <c r="AK620" s="4" t="s">
        <v>641</v>
      </c>
      <c r="AL620" s="4">
        <v>3</v>
      </c>
      <c r="AM620" s="4" t="s">
        <v>438</v>
      </c>
      <c r="AN620" s="4" t="s">
        <v>95</v>
      </c>
      <c r="AO620" s="4" t="s">
        <v>96</v>
      </c>
      <c r="AP620" s="4">
        <v>1</v>
      </c>
      <c r="AQ620" s="20">
        <v>75000</v>
      </c>
      <c r="AR620" s="4">
        <v>41803</v>
      </c>
      <c r="AS620" s="20">
        <v>13636.363636363636</v>
      </c>
      <c r="AT620" s="20">
        <v>16384.375</v>
      </c>
      <c r="AU620" s="20">
        <v>2748.011363636364</v>
      </c>
      <c r="AW620" s="20">
        <v>70</v>
      </c>
      <c r="AY620" s="20">
        <v>70</v>
      </c>
      <c r="AZ620" s="20">
        <v>12.5</v>
      </c>
      <c r="BB620" s="6">
        <v>41744</v>
      </c>
      <c r="BC620" s="6">
        <v>41853</v>
      </c>
      <c r="BD620" s="6">
        <v>41844</v>
      </c>
      <c r="BE620" s="6">
        <v>41859</v>
      </c>
      <c r="BF620" s="6">
        <v>41885</v>
      </c>
      <c r="BK620" s="4" t="s">
        <v>401</v>
      </c>
      <c r="BM620" s="20">
        <v>42</v>
      </c>
      <c r="BN620" s="20">
        <v>0</v>
      </c>
      <c r="BO620" s="20">
        <v>0</v>
      </c>
      <c r="BP620" s="20">
        <v>0</v>
      </c>
      <c r="BQ620" s="20">
        <v>0</v>
      </c>
      <c r="BR620" s="20">
        <v>0</v>
      </c>
      <c r="BS620" s="20">
        <v>45</v>
      </c>
      <c r="BT620" s="20">
        <v>737296.875</v>
      </c>
      <c r="BU620" s="20">
        <v>3375000</v>
      </c>
      <c r="BV620" s="20">
        <v>4.1613926794167106</v>
      </c>
    </row>
    <row r="621" spans="1:74">
      <c r="A621" s="10">
        <f t="shared" si="38"/>
        <v>0</v>
      </c>
      <c r="B621" s="10">
        <f t="shared" si="39"/>
        <v>0</v>
      </c>
      <c r="C621" s="12">
        <f t="shared" si="40"/>
        <v>4</v>
      </c>
      <c r="D621" s="12">
        <f t="shared" si="41"/>
        <v>9</v>
      </c>
      <c r="E621" s="20" t="s">
        <v>574</v>
      </c>
      <c r="F621" s="20" t="s">
        <v>665</v>
      </c>
      <c r="G621" s="20" t="s">
        <v>955</v>
      </c>
      <c r="H621" s="20" t="s">
        <v>1002</v>
      </c>
      <c r="I621" s="20">
        <v>5</v>
      </c>
      <c r="J621" s="20" t="s">
        <v>1003</v>
      </c>
      <c r="K621" s="20" t="s">
        <v>1012</v>
      </c>
      <c r="L621" s="20" t="s">
        <v>1005</v>
      </c>
      <c r="M621" s="20" t="s">
        <v>671</v>
      </c>
      <c r="N621" s="20" t="s">
        <v>702</v>
      </c>
      <c r="P621" s="20" t="s">
        <v>671</v>
      </c>
      <c r="Q621" s="20" t="s">
        <v>673</v>
      </c>
      <c r="R621" s="20" t="s">
        <v>84</v>
      </c>
      <c r="S621" s="20">
        <v>5</v>
      </c>
      <c r="T621" s="20" t="s">
        <v>762</v>
      </c>
      <c r="U621" s="20" t="s">
        <v>763</v>
      </c>
      <c r="V621" s="20" t="s">
        <v>87</v>
      </c>
      <c r="W621" s="20">
        <v>524</v>
      </c>
      <c r="X621" s="20">
        <v>524</v>
      </c>
      <c r="Y621" s="20" t="s">
        <v>1006</v>
      </c>
      <c r="Z621" s="20">
        <v>0.2</v>
      </c>
      <c r="AA621" s="20" t="s">
        <v>1007</v>
      </c>
      <c r="AB621" s="20" t="s">
        <v>248</v>
      </c>
      <c r="AC621" s="20" t="s">
        <v>249</v>
      </c>
      <c r="AD621" s="20" t="s">
        <v>1008</v>
      </c>
      <c r="AE621" s="20" t="s">
        <v>91</v>
      </c>
      <c r="AF621" s="20">
        <v>0.2</v>
      </c>
      <c r="AH621" s="20">
        <v>1</v>
      </c>
      <c r="AI621" s="4" t="s">
        <v>651</v>
      </c>
      <c r="AJ621" s="20">
        <v>45</v>
      </c>
      <c r="AK621" s="4" t="s">
        <v>641</v>
      </c>
      <c r="AL621" s="4">
        <v>3</v>
      </c>
      <c r="AM621" s="4" t="s">
        <v>438</v>
      </c>
      <c r="AN621" s="4" t="s">
        <v>95</v>
      </c>
      <c r="AO621" s="4" t="s">
        <v>96</v>
      </c>
      <c r="AP621" s="4">
        <v>1</v>
      </c>
      <c r="AQ621" s="20">
        <v>75000</v>
      </c>
      <c r="AR621" s="4">
        <v>41803</v>
      </c>
      <c r="AS621" s="20">
        <v>13636.363636363636</v>
      </c>
      <c r="AT621" s="20">
        <v>16384.375</v>
      </c>
      <c r="AU621" s="20">
        <v>2748.011363636364</v>
      </c>
      <c r="AW621" s="20">
        <v>70</v>
      </c>
      <c r="AY621" s="20">
        <v>70</v>
      </c>
      <c r="AZ621" s="20">
        <v>12.5</v>
      </c>
      <c r="BB621" s="6">
        <v>41744</v>
      </c>
      <c r="BC621" s="6">
        <v>41853</v>
      </c>
      <c r="BD621" s="6">
        <v>41844</v>
      </c>
      <c r="BE621" s="6">
        <v>41859</v>
      </c>
      <c r="BF621" s="6">
        <v>41885</v>
      </c>
      <c r="BK621" s="4" t="s">
        <v>401</v>
      </c>
      <c r="BM621" s="20">
        <v>36</v>
      </c>
      <c r="BN621" s="20">
        <v>0</v>
      </c>
      <c r="BO621" s="20">
        <v>0</v>
      </c>
      <c r="BP621" s="20">
        <v>0</v>
      </c>
      <c r="BQ621" s="20">
        <v>0</v>
      </c>
      <c r="BS621" s="20">
        <v>45</v>
      </c>
      <c r="BT621" s="20">
        <v>737296.875</v>
      </c>
      <c r="BU621" s="20">
        <v>3375000</v>
      </c>
      <c r="BV621" s="20">
        <v>4.1613926794167106</v>
      </c>
    </row>
    <row r="622" spans="1:74">
      <c r="A622" s="10">
        <f t="shared" si="38"/>
        <v>0</v>
      </c>
      <c r="B622" s="10">
        <f t="shared" si="39"/>
        <v>0</v>
      </c>
      <c r="C622" s="12" t="str">
        <f t="shared" si="40"/>
        <v/>
      </c>
      <c r="D622" s="12" t="str">
        <f t="shared" si="41"/>
        <v/>
      </c>
      <c r="E622" s="20" t="s">
        <v>91</v>
      </c>
      <c r="F622" s="20" t="s">
        <v>91</v>
      </c>
      <c r="G622" s="20" t="s">
        <v>91</v>
      </c>
      <c r="H622" s="20" t="s">
        <v>91</v>
      </c>
      <c r="I622" s="20">
        <v>0</v>
      </c>
      <c r="J622" s="20" t="s">
        <v>103</v>
      </c>
      <c r="K622" s="20" t="s">
        <v>104</v>
      </c>
      <c r="L622" s="20">
        <v>0</v>
      </c>
      <c r="M622" s="20" t="s">
        <v>105</v>
      </c>
      <c r="N622" s="20" t="s">
        <v>91</v>
      </c>
      <c r="O622" s="20" t="s">
        <v>1013</v>
      </c>
      <c r="Q622" s="20" t="s">
        <v>91</v>
      </c>
      <c r="R622" s="20" t="s">
        <v>91</v>
      </c>
      <c r="S622" s="20" t="s">
        <v>91</v>
      </c>
      <c r="U622" s="20" t="s">
        <v>91</v>
      </c>
      <c r="V622" s="20" t="s">
        <v>87</v>
      </c>
      <c r="X622" s="20" t="s">
        <v>91</v>
      </c>
      <c r="Y622" s="20" t="s">
        <v>91</v>
      </c>
      <c r="Z622" s="20">
        <v>4.0000000000000027</v>
      </c>
      <c r="AB622" s="20" t="s">
        <v>91</v>
      </c>
      <c r="AD622" s="20" t="s">
        <v>91</v>
      </c>
      <c r="AE622" s="20" t="s">
        <v>91</v>
      </c>
      <c r="AF622" s="20">
        <v>4.9999999999999991</v>
      </c>
      <c r="AH622" s="20">
        <v>1</v>
      </c>
      <c r="AM622" s="4" t="s">
        <v>91</v>
      </c>
      <c r="AP622" s="4" t="s">
        <v>91</v>
      </c>
      <c r="AQ622" s="20">
        <v>0</v>
      </c>
      <c r="AR622" s="4">
        <v>0</v>
      </c>
      <c r="AS622" s="20">
        <v>0</v>
      </c>
      <c r="AT622" s="20">
        <v>0</v>
      </c>
      <c r="AU622" s="20">
        <v>0</v>
      </c>
      <c r="AY622" s="20">
        <v>0</v>
      </c>
      <c r="BB622" s="6">
        <v>0</v>
      </c>
      <c r="BD622" s="6">
        <v>0</v>
      </c>
      <c r="BF622" s="6">
        <v>0</v>
      </c>
      <c r="BM622" s="20">
        <v>1842</v>
      </c>
      <c r="BN622" s="20">
        <v>122</v>
      </c>
      <c r="BO622" s="20">
        <v>0</v>
      </c>
      <c r="BP622" s="20">
        <v>0</v>
      </c>
      <c r="BQ622" s="20">
        <v>0</v>
      </c>
      <c r="BR622" s="20">
        <v>0</v>
      </c>
      <c r="BS622" s="20">
        <v>2060</v>
      </c>
      <c r="BT622" s="20">
        <v>30456308.75</v>
      </c>
      <c r="BU622" s="20">
        <v>152540000</v>
      </c>
      <c r="BV622" s="20">
        <v>4.5531692107214816</v>
      </c>
    </row>
    <row r="623" spans="1:74">
      <c r="A623" s="10">
        <f t="shared" si="38"/>
        <v>0</v>
      </c>
      <c r="B623" s="10">
        <f t="shared" si="39"/>
        <v>0</v>
      </c>
      <c r="C623" s="12">
        <f t="shared" si="40"/>
        <v>4</v>
      </c>
      <c r="D623" s="12">
        <f t="shared" si="41"/>
        <v>9</v>
      </c>
      <c r="E623" s="20" t="s">
        <v>574</v>
      </c>
      <c r="F623" s="20" t="s">
        <v>665</v>
      </c>
      <c r="G623" s="20" t="s">
        <v>1779</v>
      </c>
      <c r="H623" s="20" t="s">
        <v>1780</v>
      </c>
      <c r="I623" s="20">
        <v>1</v>
      </c>
      <c r="J623" s="20" t="s">
        <v>1781</v>
      </c>
      <c r="K623" s="20" t="s">
        <v>1782</v>
      </c>
      <c r="L623" s="20" t="s">
        <v>1014</v>
      </c>
      <c r="M623" s="20" t="s">
        <v>671</v>
      </c>
      <c r="N623" s="20" t="s">
        <v>672</v>
      </c>
      <c r="P623" s="20" t="s">
        <v>671</v>
      </c>
      <c r="Q623" s="20" t="s">
        <v>673</v>
      </c>
      <c r="R623" s="20" t="s">
        <v>84</v>
      </c>
      <c r="S623" s="20">
        <v>5</v>
      </c>
      <c r="T623" s="20" t="s">
        <v>635</v>
      </c>
      <c r="U623" s="20" t="s">
        <v>636</v>
      </c>
      <c r="V623" s="20" t="s">
        <v>87</v>
      </c>
      <c r="W623" s="20">
        <v>526</v>
      </c>
      <c r="X623" s="20">
        <v>526</v>
      </c>
      <c r="Y623" s="20" t="s">
        <v>1015</v>
      </c>
      <c r="Z623" s="20">
        <v>0.16666666666666666</v>
      </c>
      <c r="AA623" s="20" t="s">
        <v>1016</v>
      </c>
      <c r="AB623" s="20" t="s">
        <v>248</v>
      </c>
      <c r="AC623" s="20" t="s">
        <v>249</v>
      </c>
      <c r="AD623" s="20" t="s">
        <v>1017</v>
      </c>
      <c r="AE623" s="20" t="s">
        <v>91</v>
      </c>
      <c r="AF623" s="20">
        <v>0.16666666666666666</v>
      </c>
      <c r="AH623" s="20">
        <v>1</v>
      </c>
      <c r="AI623" s="4" t="s">
        <v>640</v>
      </c>
      <c r="AJ623" s="20">
        <v>150</v>
      </c>
      <c r="AK623" s="4" t="s">
        <v>780</v>
      </c>
      <c r="AL623" s="4">
        <v>5</v>
      </c>
      <c r="AM623" s="4" t="s">
        <v>485</v>
      </c>
      <c r="AN623" s="4" t="s">
        <v>95</v>
      </c>
      <c r="AO623" s="4" t="s">
        <v>131</v>
      </c>
      <c r="AP623" s="4">
        <v>2</v>
      </c>
      <c r="AQ623" s="20">
        <v>79000</v>
      </c>
      <c r="AR623" s="4">
        <v>41803</v>
      </c>
      <c r="AS623" s="20">
        <v>19949.494949494947</v>
      </c>
      <c r="AT623" s="20">
        <v>17130</v>
      </c>
      <c r="AU623" s="20">
        <v>-2819.4949494949469</v>
      </c>
      <c r="AW623" s="20">
        <v>20</v>
      </c>
      <c r="AY623" s="20">
        <v>20</v>
      </c>
      <c r="BA623" s="20">
        <v>17110</v>
      </c>
      <c r="BB623" s="6">
        <v>41744</v>
      </c>
      <c r="BD623" s="6">
        <v>41844</v>
      </c>
      <c r="BE623" s="6">
        <v>41864</v>
      </c>
      <c r="BF623" s="6">
        <v>41912</v>
      </c>
      <c r="BK623" s="4" t="s">
        <v>401</v>
      </c>
      <c r="BM623" s="20">
        <v>157</v>
      </c>
      <c r="BN623" s="20">
        <v>0</v>
      </c>
      <c r="BO623" s="20">
        <v>0</v>
      </c>
      <c r="BP623" s="20">
        <v>0</v>
      </c>
      <c r="BQ623" s="20">
        <v>0</v>
      </c>
      <c r="BR623" s="20">
        <v>0</v>
      </c>
      <c r="BS623" s="20">
        <v>150</v>
      </c>
      <c r="BT623" s="20">
        <v>2569500</v>
      </c>
      <c r="BU623" s="20">
        <v>11850000</v>
      </c>
      <c r="BV623" s="20">
        <v>4.1925383431513028</v>
      </c>
    </row>
    <row r="624" spans="1:74">
      <c r="A624" s="10">
        <f t="shared" si="38"/>
        <v>0</v>
      </c>
      <c r="B624" s="10">
        <f t="shared" si="39"/>
        <v>0</v>
      </c>
      <c r="C624" s="12">
        <f t="shared" si="40"/>
        <v>4</v>
      </c>
      <c r="D624" s="12">
        <f t="shared" si="41"/>
        <v>9</v>
      </c>
      <c r="E624" s="20" t="s">
        <v>574</v>
      </c>
      <c r="F624" s="20" t="s">
        <v>665</v>
      </c>
      <c r="G624" s="20" t="s">
        <v>1779</v>
      </c>
      <c r="H624" s="20" t="s">
        <v>1780</v>
      </c>
      <c r="I624" s="20">
        <v>1</v>
      </c>
      <c r="J624" s="20" t="s">
        <v>1781</v>
      </c>
      <c r="K624" s="20" t="s">
        <v>1783</v>
      </c>
      <c r="L624" s="20" t="s">
        <v>1014</v>
      </c>
      <c r="M624" s="20" t="s">
        <v>671</v>
      </c>
      <c r="N624" s="20" t="s">
        <v>672</v>
      </c>
      <c r="P624" s="20" t="s">
        <v>671</v>
      </c>
      <c r="Q624" s="20" t="s">
        <v>673</v>
      </c>
      <c r="R624" s="20" t="s">
        <v>84</v>
      </c>
      <c r="S624" s="20">
        <v>5</v>
      </c>
      <c r="T624" s="20" t="s">
        <v>635</v>
      </c>
      <c r="U624" s="20" t="s">
        <v>636</v>
      </c>
      <c r="V624" s="20" t="s">
        <v>87</v>
      </c>
      <c r="W624" s="20">
        <v>526</v>
      </c>
      <c r="X624" s="20">
        <v>526</v>
      </c>
      <c r="Y624" s="20" t="s">
        <v>1015</v>
      </c>
      <c r="Z624" s="20">
        <v>0.16666666666666666</v>
      </c>
      <c r="AA624" s="20" t="s">
        <v>1016</v>
      </c>
      <c r="AB624" s="20" t="s">
        <v>248</v>
      </c>
      <c r="AC624" s="20" t="s">
        <v>249</v>
      </c>
      <c r="AD624" s="20" t="s">
        <v>1017</v>
      </c>
      <c r="AE624" s="20" t="s">
        <v>91</v>
      </c>
      <c r="AF624" s="20">
        <v>0.16666666666666666</v>
      </c>
      <c r="AH624" s="20">
        <v>1</v>
      </c>
      <c r="AI624" s="4" t="s">
        <v>643</v>
      </c>
      <c r="AJ624" s="20">
        <v>60</v>
      </c>
      <c r="AK624" s="4" t="s">
        <v>780</v>
      </c>
      <c r="AL624" s="4">
        <v>5</v>
      </c>
      <c r="AM624" s="4" t="s">
        <v>485</v>
      </c>
      <c r="AN624" s="4" t="s">
        <v>95</v>
      </c>
      <c r="AO624" s="4" t="s">
        <v>131</v>
      </c>
      <c r="AP624" s="4">
        <v>2</v>
      </c>
      <c r="AQ624" s="20">
        <v>79000</v>
      </c>
      <c r="AR624" s="4">
        <v>41803</v>
      </c>
      <c r="AS624" s="20">
        <v>19949.494949494947</v>
      </c>
      <c r="AT624" s="20">
        <v>17130</v>
      </c>
      <c r="AU624" s="20">
        <v>-2819.4949494949469</v>
      </c>
      <c r="AW624" s="20">
        <v>20</v>
      </c>
      <c r="AY624" s="20">
        <v>20</v>
      </c>
      <c r="BA624" s="20">
        <v>17110</v>
      </c>
      <c r="BB624" s="6">
        <v>41744</v>
      </c>
      <c r="BD624" s="6">
        <v>41844</v>
      </c>
      <c r="BE624" s="6">
        <v>41864</v>
      </c>
      <c r="BF624" s="6">
        <v>41912</v>
      </c>
      <c r="BK624" s="4" t="s">
        <v>401</v>
      </c>
      <c r="BM624" s="20">
        <v>50</v>
      </c>
      <c r="BN624" s="20">
        <v>0</v>
      </c>
      <c r="BO624" s="20">
        <v>0</v>
      </c>
      <c r="BP624" s="20">
        <v>0</v>
      </c>
      <c r="BQ624" s="20">
        <v>0</v>
      </c>
      <c r="BS624" s="20">
        <v>60</v>
      </c>
      <c r="BT624" s="20">
        <v>1027800</v>
      </c>
      <c r="BU624" s="20">
        <v>4740000</v>
      </c>
      <c r="BV624" s="20">
        <v>4.1925383431513028</v>
      </c>
    </row>
    <row r="625" spans="1:74">
      <c r="A625" s="10">
        <f t="shared" si="38"/>
        <v>0</v>
      </c>
      <c r="B625" s="10">
        <f t="shared" si="39"/>
        <v>0</v>
      </c>
      <c r="C625" s="12">
        <f t="shared" si="40"/>
        <v>4</v>
      </c>
      <c r="D625" s="12">
        <f t="shared" si="41"/>
        <v>9</v>
      </c>
      <c r="E625" s="20" t="s">
        <v>574</v>
      </c>
      <c r="F625" s="20" t="s">
        <v>665</v>
      </c>
      <c r="G625" s="20" t="s">
        <v>1779</v>
      </c>
      <c r="H625" s="20" t="s">
        <v>1780</v>
      </c>
      <c r="I625" s="20">
        <v>1</v>
      </c>
      <c r="J625" s="20" t="s">
        <v>1781</v>
      </c>
      <c r="K625" s="20" t="s">
        <v>1784</v>
      </c>
      <c r="L625" s="20" t="s">
        <v>1014</v>
      </c>
      <c r="M625" s="20" t="s">
        <v>671</v>
      </c>
      <c r="N625" s="20" t="s">
        <v>672</v>
      </c>
      <c r="P625" s="20" t="s">
        <v>671</v>
      </c>
      <c r="Q625" s="20" t="s">
        <v>673</v>
      </c>
      <c r="R625" s="20" t="s">
        <v>84</v>
      </c>
      <c r="S625" s="20">
        <v>5</v>
      </c>
      <c r="T625" s="20" t="s">
        <v>635</v>
      </c>
      <c r="U625" s="20" t="s">
        <v>636</v>
      </c>
      <c r="V625" s="20" t="s">
        <v>87</v>
      </c>
      <c r="W625" s="20">
        <v>526</v>
      </c>
      <c r="X625" s="20">
        <v>526</v>
      </c>
      <c r="Y625" s="20" t="s">
        <v>1015</v>
      </c>
      <c r="Z625" s="20">
        <v>0.16666666666666666</v>
      </c>
      <c r="AA625" s="20" t="s">
        <v>1016</v>
      </c>
      <c r="AB625" s="20" t="s">
        <v>248</v>
      </c>
      <c r="AC625" s="20" t="s">
        <v>249</v>
      </c>
      <c r="AD625" s="20" t="s">
        <v>1017</v>
      </c>
      <c r="AE625" s="20" t="s">
        <v>91</v>
      </c>
      <c r="AF625" s="20">
        <v>0.16666666666666666</v>
      </c>
      <c r="AH625" s="20">
        <v>1</v>
      </c>
      <c r="AI625" s="4" t="s">
        <v>645</v>
      </c>
      <c r="AJ625" s="20">
        <v>75</v>
      </c>
      <c r="AK625" s="4" t="s">
        <v>780</v>
      </c>
      <c r="AL625" s="4">
        <v>5</v>
      </c>
      <c r="AM625" s="4" t="s">
        <v>485</v>
      </c>
      <c r="AN625" s="4" t="s">
        <v>95</v>
      </c>
      <c r="AO625" s="4" t="s">
        <v>131</v>
      </c>
      <c r="AP625" s="4">
        <v>2</v>
      </c>
      <c r="AQ625" s="20">
        <v>79000</v>
      </c>
      <c r="AR625" s="4">
        <v>41803</v>
      </c>
      <c r="AS625" s="20">
        <v>19949.494949494947</v>
      </c>
      <c r="AT625" s="20">
        <v>17130</v>
      </c>
      <c r="AU625" s="20">
        <v>-2819.4949494949469</v>
      </c>
      <c r="AW625" s="20">
        <v>20</v>
      </c>
      <c r="AY625" s="20">
        <v>20</v>
      </c>
      <c r="BA625" s="20">
        <v>17110</v>
      </c>
      <c r="BB625" s="6">
        <v>41744</v>
      </c>
      <c r="BD625" s="6">
        <v>41844</v>
      </c>
      <c r="BE625" s="6">
        <v>41864</v>
      </c>
      <c r="BF625" s="6">
        <v>41912</v>
      </c>
      <c r="BK625" s="4" t="s">
        <v>401</v>
      </c>
      <c r="BM625" s="20">
        <v>79</v>
      </c>
      <c r="BN625" s="20">
        <v>0</v>
      </c>
      <c r="BO625" s="20">
        <v>0</v>
      </c>
      <c r="BP625" s="20">
        <v>0</v>
      </c>
      <c r="BQ625" s="20">
        <v>0</v>
      </c>
      <c r="BR625" s="20">
        <v>0</v>
      </c>
      <c r="BS625" s="20">
        <v>75</v>
      </c>
      <c r="BT625" s="20">
        <v>1284750</v>
      </c>
      <c r="BU625" s="20">
        <v>5925000</v>
      </c>
      <c r="BV625" s="20">
        <v>4.1925383431513028</v>
      </c>
    </row>
    <row r="626" spans="1:74">
      <c r="A626" s="10">
        <f t="shared" si="38"/>
        <v>0</v>
      </c>
      <c r="B626" s="10">
        <f t="shared" si="39"/>
        <v>0</v>
      </c>
      <c r="C626" s="12">
        <f t="shared" si="40"/>
        <v>4</v>
      </c>
      <c r="D626" s="12">
        <f t="shared" si="41"/>
        <v>9</v>
      </c>
      <c r="E626" s="20" t="s">
        <v>574</v>
      </c>
      <c r="F626" s="20" t="s">
        <v>665</v>
      </c>
      <c r="G626" s="20" t="s">
        <v>1779</v>
      </c>
      <c r="H626" s="20" t="s">
        <v>1780</v>
      </c>
      <c r="I626" s="20">
        <v>1</v>
      </c>
      <c r="J626" s="20" t="s">
        <v>1781</v>
      </c>
      <c r="K626" s="20" t="s">
        <v>1785</v>
      </c>
      <c r="L626" s="20" t="s">
        <v>1014</v>
      </c>
      <c r="M626" s="20" t="s">
        <v>671</v>
      </c>
      <c r="N626" s="20" t="s">
        <v>672</v>
      </c>
      <c r="P626" s="20" t="s">
        <v>671</v>
      </c>
      <c r="Q626" s="20" t="s">
        <v>673</v>
      </c>
      <c r="R626" s="20" t="s">
        <v>84</v>
      </c>
      <c r="S626" s="20">
        <v>5</v>
      </c>
      <c r="T626" s="20" t="s">
        <v>635</v>
      </c>
      <c r="U626" s="20" t="s">
        <v>636</v>
      </c>
      <c r="V626" s="20" t="s">
        <v>87</v>
      </c>
      <c r="W626" s="20">
        <v>526</v>
      </c>
      <c r="X626" s="20">
        <v>526</v>
      </c>
      <c r="Y626" s="20" t="s">
        <v>1015</v>
      </c>
      <c r="Z626" s="20">
        <v>0.16666666666666666</v>
      </c>
      <c r="AA626" s="20" t="s">
        <v>1016</v>
      </c>
      <c r="AB626" s="20" t="s">
        <v>248</v>
      </c>
      <c r="AC626" s="20" t="s">
        <v>249</v>
      </c>
      <c r="AD626" s="20" t="s">
        <v>1017</v>
      </c>
      <c r="AE626" s="20" t="s">
        <v>91</v>
      </c>
      <c r="AF626" s="20">
        <v>0.16666666666666666</v>
      </c>
      <c r="AH626" s="20">
        <v>1</v>
      </c>
      <c r="AI626" s="4" t="s">
        <v>647</v>
      </c>
      <c r="AJ626" s="20">
        <v>75</v>
      </c>
      <c r="AK626" s="4" t="s">
        <v>780</v>
      </c>
      <c r="AL626" s="4">
        <v>5</v>
      </c>
      <c r="AM626" s="4" t="s">
        <v>485</v>
      </c>
      <c r="AN626" s="4" t="s">
        <v>95</v>
      </c>
      <c r="AO626" s="4" t="s">
        <v>131</v>
      </c>
      <c r="AP626" s="4">
        <v>2</v>
      </c>
      <c r="AQ626" s="20">
        <v>79000</v>
      </c>
      <c r="AR626" s="4">
        <v>41803</v>
      </c>
      <c r="AS626" s="20">
        <v>19949.494949494947</v>
      </c>
      <c r="AT626" s="20">
        <v>17130</v>
      </c>
      <c r="AU626" s="20">
        <v>-2819.4949494949469</v>
      </c>
      <c r="AW626" s="20">
        <v>20</v>
      </c>
      <c r="AY626" s="20">
        <v>20</v>
      </c>
      <c r="BA626" s="20">
        <v>17110</v>
      </c>
      <c r="BB626" s="6">
        <v>41744</v>
      </c>
      <c r="BD626" s="6">
        <v>41844</v>
      </c>
      <c r="BE626" s="6">
        <v>41864</v>
      </c>
      <c r="BF626" s="6">
        <v>41912</v>
      </c>
      <c r="BK626" s="4" t="s">
        <v>401</v>
      </c>
      <c r="BM626" s="20">
        <v>70</v>
      </c>
      <c r="BN626" s="20">
        <v>0</v>
      </c>
      <c r="BO626" s="20">
        <v>0</v>
      </c>
      <c r="BP626" s="20">
        <v>0</v>
      </c>
      <c r="BQ626" s="20">
        <v>0</v>
      </c>
      <c r="BR626" s="20">
        <v>0</v>
      </c>
      <c r="BS626" s="20">
        <v>75</v>
      </c>
      <c r="BT626" s="20">
        <v>1284750</v>
      </c>
      <c r="BU626" s="20">
        <v>5925000</v>
      </c>
      <c r="BV626" s="20">
        <v>4.1925383431513028</v>
      </c>
    </row>
    <row r="627" spans="1:74">
      <c r="A627" s="10">
        <f t="shared" si="38"/>
        <v>0</v>
      </c>
      <c r="B627" s="10">
        <f t="shared" si="39"/>
        <v>0</v>
      </c>
      <c r="C627" s="12">
        <f t="shared" si="40"/>
        <v>4</v>
      </c>
      <c r="D627" s="12">
        <f t="shared" si="41"/>
        <v>9</v>
      </c>
      <c r="E627" s="20" t="s">
        <v>574</v>
      </c>
      <c r="F627" s="20" t="s">
        <v>665</v>
      </c>
      <c r="G627" s="20" t="s">
        <v>1779</v>
      </c>
      <c r="H627" s="20" t="s">
        <v>1780</v>
      </c>
      <c r="I627" s="20">
        <v>1</v>
      </c>
      <c r="J627" s="20" t="s">
        <v>1781</v>
      </c>
      <c r="K627" s="20" t="s">
        <v>1786</v>
      </c>
      <c r="L627" s="20" t="s">
        <v>1014</v>
      </c>
      <c r="M627" s="20" t="s">
        <v>671</v>
      </c>
      <c r="N627" s="20" t="s">
        <v>672</v>
      </c>
      <c r="P627" s="20" t="s">
        <v>671</v>
      </c>
      <c r="Q627" s="20" t="s">
        <v>673</v>
      </c>
      <c r="R627" s="20" t="s">
        <v>84</v>
      </c>
      <c r="S627" s="20">
        <v>5</v>
      </c>
      <c r="T627" s="20" t="s">
        <v>635</v>
      </c>
      <c r="U627" s="20" t="s">
        <v>636</v>
      </c>
      <c r="V627" s="20" t="s">
        <v>87</v>
      </c>
      <c r="W627" s="20">
        <v>526</v>
      </c>
      <c r="X627" s="20">
        <v>526</v>
      </c>
      <c r="Y627" s="20" t="s">
        <v>1015</v>
      </c>
      <c r="Z627" s="20">
        <v>0.16666666666666666</v>
      </c>
      <c r="AA627" s="20" t="s">
        <v>1016</v>
      </c>
      <c r="AB627" s="20" t="s">
        <v>248</v>
      </c>
      <c r="AC627" s="20" t="s">
        <v>249</v>
      </c>
      <c r="AD627" s="20" t="s">
        <v>1017</v>
      </c>
      <c r="AE627" s="20" t="s">
        <v>91</v>
      </c>
      <c r="AF627" s="20">
        <v>0.16666666666666666</v>
      </c>
      <c r="AH627" s="20">
        <v>1</v>
      </c>
      <c r="AI627" s="4" t="s">
        <v>649</v>
      </c>
      <c r="AJ627" s="20">
        <v>45</v>
      </c>
      <c r="AK627" s="4" t="s">
        <v>780</v>
      </c>
      <c r="AL627" s="4">
        <v>5</v>
      </c>
      <c r="AM627" s="4" t="s">
        <v>485</v>
      </c>
      <c r="AN627" s="4" t="s">
        <v>95</v>
      </c>
      <c r="AO627" s="4" t="s">
        <v>131</v>
      </c>
      <c r="AP627" s="4">
        <v>2</v>
      </c>
      <c r="AQ627" s="20">
        <v>79000</v>
      </c>
      <c r="AR627" s="4">
        <v>41803</v>
      </c>
      <c r="AS627" s="20">
        <v>19949.494949494947</v>
      </c>
      <c r="AT627" s="20">
        <v>17130</v>
      </c>
      <c r="AU627" s="20">
        <v>-2819.4949494949469</v>
      </c>
      <c r="AW627" s="20">
        <v>20</v>
      </c>
      <c r="AY627" s="20">
        <v>20</v>
      </c>
      <c r="BA627" s="20">
        <v>17110</v>
      </c>
      <c r="BB627" s="6">
        <v>41744</v>
      </c>
      <c r="BD627" s="6">
        <v>41844</v>
      </c>
      <c r="BE627" s="6">
        <v>41864</v>
      </c>
      <c r="BF627" s="6">
        <v>41912</v>
      </c>
      <c r="BK627" s="4" t="s">
        <v>401</v>
      </c>
      <c r="BM627" s="20">
        <v>45</v>
      </c>
      <c r="BN627" s="20">
        <v>0</v>
      </c>
      <c r="BO627" s="20">
        <v>0</v>
      </c>
      <c r="BP627" s="20">
        <v>0</v>
      </c>
      <c r="BQ627" s="20">
        <v>0</v>
      </c>
      <c r="BR627" s="20">
        <v>0</v>
      </c>
      <c r="BS627" s="20">
        <v>45</v>
      </c>
      <c r="BT627" s="20">
        <v>770850</v>
      </c>
      <c r="BU627" s="20">
        <v>3555000</v>
      </c>
      <c r="BV627" s="20">
        <v>4.1925383431513019</v>
      </c>
    </row>
    <row r="628" spans="1:74">
      <c r="A628" s="10">
        <f t="shared" si="38"/>
        <v>0</v>
      </c>
      <c r="B628" s="10">
        <f t="shared" si="39"/>
        <v>0</v>
      </c>
      <c r="C628" s="12">
        <f t="shared" si="40"/>
        <v>4</v>
      </c>
      <c r="D628" s="12">
        <f t="shared" si="41"/>
        <v>9</v>
      </c>
      <c r="E628" s="20" t="s">
        <v>574</v>
      </c>
      <c r="F628" s="20" t="s">
        <v>665</v>
      </c>
      <c r="G628" s="20" t="s">
        <v>1779</v>
      </c>
      <c r="H628" s="20" t="s">
        <v>1780</v>
      </c>
      <c r="I628" s="20">
        <v>1</v>
      </c>
      <c r="J628" s="20" t="s">
        <v>1781</v>
      </c>
      <c r="K628" s="20" t="s">
        <v>1787</v>
      </c>
      <c r="L628" s="20" t="s">
        <v>1014</v>
      </c>
      <c r="M628" s="20" t="s">
        <v>671</v>
      </c>
      <c r="N628" s="20" t="s">
        <v>672</v>
      </c>
      <c r="P628" s="20" t="s">
        <v>671</v>
      </c>
      <c r="Q628" s="20" t="s">
        <v>673</v>
      </c>
      <c r="R628" s="20" t="s">
        <v>84</v>
      </c>
      <c r="S628" s="20">
        <v>5</v>
      </c>
      <c r="T628" s="20" t="s">
        <v>635</v>
      </c>
      <c r="U628" s="20" t="s">
        <v>636</v>
      </c>
      <c r="V628" s="20" t="s">
        <v>87</v>
      </c>
      <c r="W628" s="20">
        <v>526</v>
      </c>
      <c r="X628" s="20">
        <v>526</v>
      </c>
      <c r="Y628" s="20" t="s">
        <v>1015</v>
      </c>
      <c r="Z628" s="20">
        <v>0.16666666666666666</v>
      </c>
      <c r="AA628" s="20" t="s">
        <v>1016</v>
      </c>
      <c r="AB628" s="20" t="s">
        <v>248</v>
      </c>
      <c r="AC628" s="20" t="s">
        <v>249</v>
      </c>
      <c r="AD628" s="20" t="s">
        <v>1017</v>
      </c>
      <c r="AE628" s="20" t="s">
        <v>91</v>
      </c>
      <c r="AF628" s="20">
        <v>0.16666666666666666</v>
      </c>
      <c r="AH628" s="20">
        <v>1</v>
      </c>
      <c r="AI628" s="4" t="s">
        <v>651</v>
      </c>
      <c r="AJ628" s="20">
        <v>45</v>
      </c>
      <c r="AK628" s="4" t="s">
        <v>780</v>
      </c>
      <c r="AL628" s="4">
        <v>5</v>
      </c>
      <c r="AM628" s="4" t="s">
        <v>485</v>
      </c>
      <c r="AN628" s="4" t="s">
        <v>95</v>
      </c>
      <c r="AO628" s="4" t="s">
        <v>131</v>
      </c>
      <c r="AP628" s="4">
        <v>2</v>
      </c>
      <c r="AQ628" s="20">
        <v>79000</v>
      </c>
      <c r="AR628" s="4">
        <v>41803</v>
      </c>
      <c r="AS628" s="20">
        <v>19949.494949494947</v>
      </c>
      <c r="AT628" s="20">
        <v>17130</v>
      </c>
      <c r="AU628" s="20">
        <v>-2819.4949494949469</v>
      </c>
      <c r="AW628" s="20">
        <v>20</v>
      </c>
      <c r="AY628" s="20">
        <v>20</v>
      </c>
      <c r="BA628" s="20">
        <v>17110</v>
      </c>
      <c r="BB628" s="6">
        <v>41744</v>
      </c>
      <c r="BD628" s="6">
        <v>41844</v>
      </c>
      <c r="BE628" s="6">
        <v>41864</v>
      </c>
      <c r="BF628" s="6">
        <v>41912</v>
      </c>
      <c r="BK628" s="4" t="s">
        <v>401</v>
      </c>
      <c r="BM628" s="20">
        <v>47</v>
      </c>
      <c r="BN628" s="20">
        <v>0</v>
      </c>
      <c r="BO628" s="20">
        <v>0</v>
      </c>
      <c r="BP628" s="20">
        <v>0</v>
      </c>
      <c r="BQ628" s="20">
        <v>0</v>
      </c>
      <c r="BR628" s="20">
        <v>0</v>
      </c>
      <c r="BS628" s="20">
        <v>45</v>
      </c>
      <c r="BT628" s="20">
        <v>770850</v>
      </c>
      <c r="BU628" s="20">
        <v>3555000</v>
      </c>
      <c r="BV628" s="20">
        <v>4.1925383431513019</v>
      </c>
    </row>
    <row r="629" spans="1:74">
      <c r="A629" s="10">
        <f t="shared" si="38"/>
        <v>0</v>
      </c>
      <c r="B629" s="10">
        <f t="shared" si="39"/>
        <v>0</v>
      </c>
      <c r="C629" s="12" t="str">
        <f t="shared" si="40"/>
        <v/>
      </c>
      <c r="D629" s="12" t="str">
        <f t="shared" si="41"/>
        <v/>
      </c>
      <c r="E629" s="20" t="s">
        <v>91</v>
      </c>
      <c r="F629" s="20" t="s">
        <v>91</v>
      </c>
      <c r="G629" s="20" t="s">
        <v>91</v>
      </c>
      <c r="H629" s="20" t="s">
        <v>91</v>
      </c>
      <c r="I629" s="20">
        <v>0</v>
      </c>
      <c r="J629" s="20" t="s">
        <v>103</v>
      </c>
      <c r="K629" s="20" t="s">
        <v>104</v>
      </c>
      <c r="L629" s="20">
        <v>0</v>
      </c>
      <c r="M629" s="20" t="s">
        <v>105</v>
      </c>
      <c r="N629" s="20" t="s">
        <v>91</v>
      </c>
      <c r="O629" s="20" t="s">
        <v>1788</v>
      </c>
      <c r="Q629" s="20" t="s">
        <v>91</v>
      </c>
      <c r="R629" s="20" t="s">
        <v>91</v>
      </c>
      <c r="S629" s="20" t="s">
        <v>91</v>
      </c>
      <c r="U629" s="20" t="s">
        <v>91</v>
      </c>
      <c r="V629" s="20" t="s">
        <v>87</v>
      </c>
      <c r="X629" s="20" t="s">
        <v>91</v>
      </c>
      <c r="Y629" s="20" t="s">
        <v>91</v>
      </c>
      <c r="Z629" s="20">
        <v>0.99999999999999989</v>
      </c>
      <c r="AB629" s="20" t="s">
        <v>91</v>
      </c>
      <c r="AD629" s="20" t="s">
        <v>91</v>
      </c>
      <c r="AE629" s="20" t="s">
        <v>91</v>
      </c>
      <c r="AF629" s="20">
        <v>0.99999999999999989</v>
      </c>
      <c r="AH629" s="20">
        <v>1</v>
      </c>
      <c r="AM629" s="4" t="s">
        <v>91</v>
      </c>
      <c r="AP629" s="4" t="s">
        <v>91</v>
      </c>
      <c r="AQ629" s="20">
        <v>0</v>
      </c>
      <c r="AR629" s="4">
        <v>0</v>
      </c>
      <c r="AS629" s="20">
        <v>0</v>
      </c>
      <c r="AT629" s="20">
        <v>0</v>
      </c>
      <c r="AU629" s="20">
        <v>0</v>
      </c>
      <c r="AY629" s="20">
        <v>0</v>
      </c>
      <c r="BB629" s="6">
        <v>0</v>
      </c>
      <c r="BD629" s="6">
        <v>0</v>
      </c>
      <c r="BF629" s="6">
        <v>0</v>
      </c>
      <c r="BM629" s="20">
        <v>448</v>
      </c>
      <c r="BN629" s="20">
        <v>0</v>
      </c>
      <c r="BO629" s="20">
        <v>0</v>
      </c>
      <c r="BP629" s="20">
        <v>0</v>
      </c>
      <c r="BQ629" s="20">
        <v>0</v>
      </c>
      <c r="BR629" s="20">
        <v>0</v>
      </c>
      <c r="BS629" s="20">
        <v>450</v>
      </c>
      <c r="BT629" s="20">
        <v>7708500</v>
      </c>
      <c r="BU629" s="20">
        <v>35550000</v>
      </c>
      <c r="BV629" s="20">
        <v>4.1925383431513028</v>
      </c>
    </row>
    <row r="630" spans="1:74">
      <c r="A630" s="10">
        <f t="shared" si="38"/>
        <v>0</v>
      </c>
      <c r="B630" s="10">
        <f t="shared" si="39"/>
        <v>0</v>
      </c>
      <c r="C630" s="12">
        <f t="shared" si="40"/>
        <v>5</v>
      </c>
      <c r="D630" s="12">
        <f t="shared" si="41"/>
        <v>9</v>
      </c>
      <c r="E630" s="20" t="s">
        <v>574</v>
      </c>
      <c r="F630" s="20" t="s">
        <v>2365</v>
      </c>
      <c r="G630" s="20" t="s">
        <v>2366</v>
      </c>
      <c r="H630" s="20" t="s">
        <v>2367</v>
      </c>
      <c r="I630" s="20">
        <v>1</v>
      </c>
      <c r="J630" s="20" t="s">
        <v>2368</v>
      </c>
      <c r="K630" s="20" t="s">
        <v>2369</v>
      </c>
      <c r="L630" s="20" t="s">
        <v>2370</v>
      </c>
      <c r="M630" s="20" t="s">
        <v>2371</v>
      </c>
      <c r="N630" s="20" t="s">
        <v>1789</v>
      </c>
      <c r="P630" s="20" t="s">
        <v>2371</v>
      </c>
      <c r="Q630" s="20" t="s">
        <v>2372</v>
      </c>
      <c r="R630" s="20" t="s">
        <v>84</v>
      </c>
      <c r="S630" s="20">
        <v>4</v>
      </c>
      <c r="T630" s="20" t="s">
        <v>635</v>
      </c>
      <c r="U630" s="20" t="s">
        <v>636</v>
      </c>
      <c r="V630" s="20" t="s">
        <v>87</v>
      </c>
      <c r="W630" s="20">
        <v>501</v>
      </c>
      <c r="X630" s="20">
        <v>501</v>
      </c>
      <c r="Y630" s="20" t="s">
        <v>2373</v>
      </c>
      <c r="Z630" s="20">
        <v>0.16666666666666666</v>
      </c>
      <c r="AA630" s="20" t="s">
        <v>1790</v>
      </c>
      <c r="AB630" s="20" t="s">
        <v>109</v>
      </c>
      <c r="AC630" s="20" t="s">
        <v>110</v>
      </c>
      <c r="AD630" s="20" t="s">
        <v>2374</v>
      </c>
      <c r="AE630" s="20" t="s">
        <v>91</v>
      </c>
      <c r="AF630" s="20">
        <v>0.16666666666666666</v>
      </c>
      <c r="AH630" s="20">
        <v>1</v>
      </c>
      <c r="AI630" s="4" t="s">
        <v>640</v>
      </c>
      <c r="AJ630" s="20">
        <v>120</v>
      </c>
      <c r="AK630" s="4" t="s">
        <v>679</v>
      </c>
      <c r="AL630" s="4">
        <v>4</v>
      </c>
      <c r="AM630" s="4" t="s">
        <v>470</v>
      </c>
      <c r="AN630" s="4" t="s">
        <v>95</v>
      </c>
      <c r="AO630" s="4" t="s">
        <v>680</v>
      </c>
      <c r="AP630" s="4">
        <v>1</v>
      </c>
      <c r="AQ630" s="20">
        <v>79000</v>
      </c>
      <c r="AR630" s="4">
        <v>41803</v>
      </c>
      <c r="AS630" s="20">
        <v>15959.595959595958</v>
      </c>
      <c r="AT630" s="20">
        <v>17229.5</v>
      </c>
      <c r="AU630" s="20">
        <v>1269.9040404040425</v>
      </c>
      <c r="AW630" s="20">
        <v>20</v>
      </c>
      <c r="AY630" s="20">
        <v>20</v>
      </c>
      <c r="AZ630" s="20">
        <v>14.9</v>
      </c>
      <c r="BB630" s="6">
        <v>41767</v>
      </c>
      <c r="BD630" s="6">
        <v>41848</v>
      </c>
      <c r="BE630" s="6">
        <v>41859</v>
      </c>
      <c r="BF630" s="6">
        <v>41884</v>
      </c>
      <c r="BK630" s="4" t="s">
        <v>401</v>
      </c>
      <c r="BM630" s="20">
        <v>120</v>
      </c>
      <c r="BN630" s="20">
        <v>0</v>
      </c>
      <c r="BO630" s="20">
        <v>0</v>
      </c>
      <c r="BP630" s="20">
        <v>0</v>
      </c>
      <c r="BQ630" s="20">
        <v>0</v>
      </c>
      <c r="BR630" s="20">
        <v>0</v>
      </c>
      <c r="BS630" s="20">
        <v>120</v>
      </c>
      <c r="BT630" s="20">
        <v>2067540</v>
      </c>
      <c r="BU630" s="20">
        <v>9480000</v>
      </c>
      <c r="BV630" s="20">
        <v>4.1683265224284991</v>
      </c>
    </row>
    <row r="631" spans="1:74">
      <c r="A631" s="10">
        <f t="shared" si="38"/>
        <v>0</v>
      </c>
      <c r="B631" s="10">
        <f t="shared" si="39"/>
        <v>0</v>
      </c>
      <c r="C631" s="12">
        <f t="shared" si="40"/>
        <v>5</v>
      </c>
      <c r="D631" s="12">
        <f t="shared" si="41"/>
        <v>9</v>
      </c>
      <c r="E631" s="20" t="s">
        <v>574</v>
      </c>
      <c r="F631" s="20" t="s">
        <v>2365</v>
      </c>
      <c r="G631" s="20" t="s">
        <v>2366</v>
      </c>
      <c r="H631" s="20" t="s">
        <v>2367</v>
      </c>
      <c r="I631" s="20">
        <v>1</v>
      </c>
      <c r="J631" s="20" t="s">
        <v>2368</v>
      </c>
      <c r="K631" s="20" t="s">
        <v>2375</v>
      </c>
      <c r="L631" s="20" t="s">
        <v>2370</v>
      </c>
      <c r="M631" s="20" t="s">
        <v>2371</v>
      </c>
      <c r="N631" s="20" t="s">
        <v>1789</v>
      </c>
      <c r="P631" s="20" t="s">
        <v>2371</v>
      </c>
      <c r="Q631" s="20" t="s">
        <v>2372</v>
      </c>
      <c r="R631" s="20" t="s">
        <v>84</v>
      </c>
      <c r="S631" s="20">
        <v>4</v>
      </c>
      <c r="T631" s="20" t="s">
        <v>635</v>
      </c>
      <c r="U631" s="20" t="s">
        <v>636</v>
      </c>
      <c r="V631" s="20" t="s">
        <v>87</v>
      </c>
      <c r="W631" s="20">
        <v>501</v>
      </c>
      <c r="X631" s="20">
        <v>501</v>
      </c>
      <c r="Y631" s="20" t="s">
        <v>2373</v>
      </c>
      <c r="Z631" s="20">
        <v>0.16666666666666666</v>
      </c>
      <c r="AA631" s="20" t="s">
        <v>1790</v>
      </c>
      <c r="AB631" s="20" t="s">
        <v>109</v>
      </c>
      <c r="AC631" s="20" t="s">
        <v>110</v>
      </c>
      <c r="AD631" s="20" t="s">
        <v>2374</v>
      </c>
      <c r="AE631" s="20" t="s">
        <v>91</v>
      </c>
      <c r="AF631" s="20">
        <v>0.16666666666666666</v>
      </c>
      <c r="AH631" s="20">
        <v>1</v>
      </c>
      <c r="AI631" s="4" t="s">
        <v>643</v>
      </c>
      <c r="AJ631" s="20">
        <v>30</v>
      </c>
      <c r="AK631" s="4" t="s">
        <v>679</v>
      </c>
      <c r="AL631" s="4">
        <v>4</v>
      </c>
      <c r="AM631" s="4" t="s">
        <v>470</v>
      </c>
      <c r="AN631" s="4" t="s">
        <v>95</v>
      </c>
      <c r="AO631" s="4" t="s">
        <v>680</v>
      </c>
      <c r="AP631" s="4">
        <v>1</v>
      </c>
      <c r="AQ631" s="20">
        <v>79000</v>
      </c>
      <c r="AR631" s="4">
        <v>41803</v>
      </c>
      <c r="AS631" s="20">
        <v>15959.595959595958</v>
      </c>
      <c r="AT631" s="20">
        <v>17229.5</v>
      </c>
      <c r="AU631" s="20">
        <v>1269.9040404040425</v>
      </c>
      <c r="AW631" s="20">
        <v>20</v>
      </c>
      <c r="AY631" s="20">
        <v>20</v>
      </c>
      <c r="AZ631" s="20">
        <v>14.9</v>
      </c>
      <c r="BB631" s="6">
        <v>41767</v>
      </c>
      <c r="BD631" s="6">
        <v>41848</v>
      </c>
      <c r="BE631" s="6">
        <v>41859</v>
      </c>
      <c r="BF631" s="6">
        <v>41884</v>
      </c>
      <c r="BK631" s="4" t="s">
        <v>401</v>
      </c>
      <c r="BM631" s="20">
        <v>31</v>
      </c>
      <c r="BN631" s="20">
        <v>0</v>
      </c>
      <c r="BO631" s="20">
        <v>0</v>
      </c>
      <c r="BP631" s="20">
        <v>0</v>
      </c>
      <c r="BQ631" s="20">
        <v>0</v>
      </c>
      <c r="BR631" s="20">
        <v>0</v>
      </c>
      <c r="BS631" s="20">
        <v>30</v>
      </c>
      <c r="BT631" s="20">
        <v>516885</v>
      </c>
      <c r="BU631" s="20">
        <v>2370000</v>
      </c>
      <c r="BV631" s="20">
        <v>4.1683265224284991</v>
      </c>
    </row>
    <row r="632" spans="1:74">
      <c r="A632" s="10">
        <f t="shared" si="38"/>
        <v>0</v>
      </c>
      <c r="B632" s="10">
        <f t="shared" si="39"/>
        <v>0</v>
      </c>
      <c r="C632" s="12">
        <f t="shared" si="40"/>
        <v>5</v>
      </c>
      <c r="D632" s="12">
        <f t="shared" si="41"/>
        <v>9</v>
      </c>
      <c r="E632" s="20" t="s">
        <v>574</v>
      </c>
      <c r="F632" s="20" t="s">
        <v>2365</v>
      </c>
      <c r="G632" s="20" t="s">
        <v>2366</v>
      </c>
      <c r="H632" s="20" t="s">
        <v>2367</v>
      </c>
      <c r="I632" s="20">
        <v>1</v>
      </c>
      <c r="J632" s="20" t="s">
        <v>2368</v>
      </c>
      <c r="K632" s="20" t="s">
        <v>2376</v>
      </c>
      <c r="L632" s="20" t="s">
        <v>2370</v>
      </c>
      <c r="M632" s="20" t="s">
        <v>2371</v>
      </c>
      <c r="N632" s="20" t="s">
        <v>1789</v>
      </c>
      <c r="P632" s="20" t="s">
        <v>2371</v>
      </c>
      <c r="Q632" s="20" t="s">
        <v>2372</v>
      </c>
      <c r="R632" s="20" t="s">
        <v>84</v>
      </c>
      <c r="S632" s="20">
        <v>4</v>
      </c>
      <c r="T632" s="20" t="s">
        <v>635</v>
      </c>
      <c r="U632" s="20" t="s">
        <v>636</v>
      </c>
      <c r="V632" s="20" t="s">
        <v>87</v>
      </c>
      <c r="W632" s="20">
        <v>501</v>
      </c>
      <c r="X632" s="20">
        <v>501</v>
      </c>
      <c r="Y632" s="20" t="s">
        <v>2373</v>
      </c>
      <c r="Z632" s="20">
        <v>0.16666666666666666</v>
      </c>
      <c r="AA632" s="20" t="s">
        <v>1790</v>
      </c>
      <c r="AB632" s="20" t="s">
        <v>109</v>
      </c>
      <c r="AC632" s="20" t="s">
        <v>110</v>
      </c>
      <c r="AD632" s="20" t="s">
        <v>2374</v>
      </c>
      <c r="AE632" s="20" t="s">
        <v>91</v>
      </c>
      <c r="AF632" s="20">
        <v>0.16666666666666666</v>
      </c>
      <c r="AH632" s="20">
        <v>1</v>
      </c>
      <c r="AI632" s="4" t="s">
        <v>645</v>
      </c>
      <c r="AJ632" s="20">
        <v>50</v>
      </c>
      <c r="AK632" s="4" t="s">
        <v>679</v>
      </c>
      <c r="AL632" s="4">
        <v>4</v>
      </c>
      <c r="AM632" s="4" t="s">
        <v>470</v>
      </c>
      <c r="AN632" s="4" t="s">
        <v>95</v>
      </c>
      <c r="AO632" s="4" t="s">
        <v>680</v>
      </c>
      <c r="AP632" s="4">
        <v>1</v>
      </c>
      <c r="AQ632" s="20">
        <v>79000</v>
      </c>
      <c r="AR632" s="4">
        <v>41803</v>
      </c>
      <c r="AS632" s="20">
        <v>15959.595959595958</v>
      </c>
      <c r="AT632" s="20">
        <v>17229.5</v>
      </c>
      <c r="AU632" s="20">
        <v>1269.9040404040425</v>
      </c>
      <c r="AW632" s="20">
        <v>20</v>
      </c>
      <c r="AY632" s="20">
        <v>20</v>
      </c>
      <c r="AZ632" s="20">
        <v>14.9</v>
      </c>
      <c r="BB632" s="6">
        <v>41767</v>
      </c>
      <c r="BD632" s="6">
        <v>41848</v>
      </c>
      <c r="BE632" s="6">
        <v>41859</v>
      </c>
      <c r="BF632" s="6">
        <v>41884</v>
      </c>
      <c r="BK632" s="4" t="s">
        <v>401</v>
      </c>
      <c r="BM632" s="20">
        <v>38</v>
      </c>
      <c r="BN632" s="20">
        <v>0</v>
      </c>
      <c r="BO632" s="20">
        <v>0</v>
      </c>
      <c r="BP632" s="20">
        <v>0</v>
      </c>
      <c r="BQ632" s="20">
        <v>0</v>
      </c>
      <c r="BS632" s="20">
        <v>50</v>
      </c>
      <c r="BT632" s="20">
        <v>861475</v>
      </c>
      <c r="BU632" s="20">
        <v>3950000</v>
      </c>
      <c r="BV632" s="20">
        <v>4.1683265224284982</v>
      </c>
    </row>
    <row r="633" spans="1:74">
      <c r="A633" s="10">
        <f t="shared" si="38"/>
        <v>0</v>
      </c>
      <c r="B633" s="10">
        <f t="shared" si="39"/>
        <v>0</v>
      </c>
      <c r="C633" s="12">
        <f t="shared" si="40"/>
        <v>5</v>
      </c>
      <c r="D633" s="12">
        <f t="shared" si="41"/>
        <v>9</v>
      </c>
      <c r="E633" s="20" t="s">
        <v>574</v>
      </c>
      <c r="F633" s="20" t="s">
        <v>2365</v>
      </c>
      <c r="G633" s="20" t="s">
        <v>2366</v>
      </c>
      <c r="H633" s="20" t="s">
        <v>2367</v>
      </c>
      <c r="I633" s="20">
        <v>1</v>
      </c>
      <c r="J633" s="20" t="s">
        <v>2368</v>
      </c>
      <c r="K633" s="20" t="s">
        <v>2377</v>
      </c>
      <c r="L633" s="20" t="s">
        <v>2370</v>
      </c>
      <c r="M633" s="20" t="s">
        <v>2371</v>
      </c>
      <c r="N633" s="20" t="s">
        <v>1789</v>
      </c>
      <c r="P633" s="20" t="s">
        <v>2371</v>
      </c>
      <c r="Q633" s="20" t="s">
        <v>2372</v>
      </c>
      <c r="R633" s="20" t="s">
        <v>84</v>
      </c>
      <c r="S633" s="20">
        <v>4</v>
      </c>
      <c r="T633" s="20" t="s">
        <v>635</v>
      </c>
      <c r="U633" s="20" t="s">
        <v>636</v>
      </c>
      <c r="V633" s="20" t="s">
        <v>87</v>
      </c>
      <c r="W633" s="20">
        <v>501</v>
      </c>
      <c r="X633" s="20">
        <v>501</v>
      </c>
      <c r="Y633" s="20" t="s">
        <v>2373</v>
      </c>
      <c r="Z633" s="20">
        <v>0.16666666666666666</v>
      </c>
      <c r="AA633" s="20" t="s">
        <v>1790</v>
      </c>
      <c r="AB633" s="20" t="s">
        <v>109</v>
      </c>
      <c r="AC633" s="20" t="s">
        <v>110</v>
      </c>
      <c r="AD633" s="20" t="s">
        <v>2374</v>
      </c>
      <c r="AE633" s="20" t="s">
        <v>91</v>
      </c>
      <c r="AF633" s="20">
        <v>0.16666666666666666</v>
      </c>
      <c r="AH633" s="20">
        <v>1</v>
      </c>
      <c r="AI633" s="4" t="s">
        <v>647</v>
      </c>
      <c r="AJ633" s="20">
        <v>50</v>
      </c>
      <c r="AK633" s="4" t="s">
        <v>679</v>
      </c>
      <c r="AL633" s="4">
        <v>4</v>
      </c>
      <c r="AM633" s="4" t="s">
        <v>470</v>
      </c>
      <c r="AN633" s="4" t="s">
        <v>95</v>
      </c>
      <c r="AO633" s="4" t="s">
        <v>680</v>
      </c>
      <c r="AP633" s="4">
        <v>1</v>
      </c>
      <c r="AQ633" s="20">
        <v>79000</v>
      </c>
      <c r="AR633" s="4">
        <v>41803</v>
      </c>
      <c r="AS633" s="20">
        <v>15959.595959595958</v>
      </c>
      <c r="AT633" s="20">
        <v>17229.5</v>
      </c>
      <c r="AU633" s="20">
        <v>1269.9040404040425</v>
      </c>
      <c r="AW633" s="20">
        <v>20</v>
      </c>
      <c r="AY633" s="20">
        <v>20</v>
      </c>
      <c r="AZ633" s="20">
        <v>14.9</v>
      </c>
      <c r="BB633" s="6">
        <v>41767</v>
      </c>
      <c r="BD633" s="6">
        <v>41848</v>
      </c>
      <c r="BE633" s="6">
        <v>41859</v>
      </c>
      <c r="BF633" s="6">
        <v>41884</v>
      </c>
      <c r="BK633" s="4" t="s">
        <v>401</v>
      </c>
      <c r="BM633" s="20">
        <v>49</v>
      </c>
      <c r="BN633" s="20">
        <v>0</v>
      </c>
      <c r="BO633" s="20">
        <v>0</v>
      </c>
      <c r="BP633" s="20">
        <v>0</v>
      </c>
      <c r="BQ633" s="20">
        <v>0</v>
      </c>
      <c r="BR633" s="20">
        <v>0</v>
      </c>
      <c r="BS633" s="20">
        <v>50</v>
      </c>
      <c r="BT633" s="20">
        <v>861475</v>
      </c>
      <c r="BU633" s="20">
        <v>3950000</v>
      </c>
      <c r="BV633" s="20">
        <v>4.1683265224284982</v>
      </c>
    </row>
    <row r="634" spans="1:74">
      <c r="A634" s="10">
        <f t="shared" si="38"/>
        <v>0</v>
      </c>
      <c r="B634" s="10">
        <f t="shared" si="39"/>
        <v>0</v>
      </c>
      <c r="C634" s="12">
        <f t="shared" si="40"/>
        <v>5</v>
      </c>
      <c r="D634" s="12">
        <f t="shared" si="41"/>
        <v>9</v>
      </c>
      <c r="E634" s="20" t="s">
        <v>574</v>
      </c>
      <c r="F634" s="20" t="s">
        <v>2365</v>
      </c>
      <c r="G634" s="20" t="s">
        <v>2366</v>
      </c>
      <c r="H634" s="20" t="s">
        <v>2367</v>
      </c>
      <c r="I634" s="20">
        <v>1</v>
      </c>
      <c r="J634" s="20" t="s">
        <v>2368</v>
      </c>
      <c r="K634" s="20" t="s">
        <v>2378</v>
      </c>
      <c r="L634" s="20" t="s">
        <v>2370</v>
      </c>
      <c r="M634" s="20" t="s">
        <v>2371</v>
      </c>
      <c r="N634" s="20" t="s">
        <v>1789</v>
      </c>
      <c r="P634" s="20" t="s">
        <v>2371</v>
      </c>
      <c r="Q634" s="20" t="s">
        <v>2372</v>
      </c>
      <c r="R634" s="20" t="s">
        <v>84</v>
      </c>
      <c r="S634" s="20">
        <v>4</v>
      </c>
      <c r="T634" s="20" t="s">
        <v>635</v>
      </c>
      <c r="U634" s="20" t="s">
        <v>636</v>
      </c>
      <c r="V634" s="20" t="s">
        <v>87</v>
      </c>
      <c r="W634" s="20">
        <v>501</v>
      </c>
      <c r="X634" s="20">
        <v>501</v>
      </c>
      <c r="Y634" s="20" t="s">
        <v>2373</v>
      </c>
      <c r="Z634" s="20">
        <v>0.16666666666666666</v>
      </c>
      <c r="AA634" s="20" t="s">
        <v>1790</v>
      </c>
      <c r="AB634" s="20" t="s">
        <v>109</v>
      </c>
      <c r="AC634" s="20" t="s">
        <v>110</v>
      </c>
      <c r="AD634" s="20" t="s">
        <v>2374</v>
      </c>
      <c r="AE634" s="20" t="s">
        <v>91</v>
      </c>
      <c r="AF634" s="20">
        <v>0.16666666666666666</v>
      </c>
      <c r="AH634" s="20">
        <v>1</v>
      </c>
      <c r="AI634" s="4" t="s">
        <v>649</v>
      </c>
      <c r="AJ634" s="20">
        <v>35</v>
      </c>
      <c r="AK634" s="4" t="s">
        <v>679</v>
      </c>
      <c r="AL634" s="4">
        <v>4</v>
      </c>
      <c r="AM634" s="4" t="s">
        <v>470</v>
      </c>
      <c r="AN634" s="4" t="s">
        <v>95</v>
      </c>
      <c r="AO634" s="4" t="s">
        <v>680</v>
      </c>
      <c r="AP634" s="4">
        <v>1</v>
      </c>
      <c r="AQ634" s="20">
        <v>79000</v>
      </c>
      <c r="AR634" s="4">
        <v>41803</v>
      </c>
      <c r="AS634" s="20">
        <v>15959.595959595958</v>
      </c>
      <c r="AT634" s="20">
        <v>17229.5</v>
      </c>
      <c r="AU634" s="20">
        <v>1269.9040404040425</v>
      </c>
      <c r="AW634" s="20">
        <v>20</v>
      </c>
      <c r="AY634" s="20">
        <v>20</v>
      </c>
      <c r="AZ634" s="20">
        <v>14.9</v>
      </c>
      <c r="BB634" s="6">
        <v>41767</v>
      </c>
      <c r="BD634" s="6">
        <v>41848</v>
      </c>
      <c r="BE634" s="6">
        <v>41859</v>
      </c>
      <c r="BF634" s="6">
        <v>41884</v>
      </c>
      <c r="BK634" s="4" t="s">
        <v>401</v>
      </c>
      <c r="BM634" s="20">
        <v>35</v>
      </c>
      <c r="BN634" s="20">
        <v>0</v>
      </c>
      <c r="BO634" s="20">
        <v>0</v>
      </c>
      <c r="BP634" s="20">
        <v>0</v>
      </c>
      <c r="BQ634" s="20">
        <v>0</v>
      </c>
      <c r="BR634" s="20">
        <v>0</v>
      </c>
      <c r="BS634" s="20">
        <v>35</v>
      </c>
      <c r="BT634" s="20">
        <v>603032.5</v>
      </c>
      <c r="BU634" s="20">
        <v>2765000</v>
      </c>
      <c r="BV634" s="20">
        <v>4.1683265224284991</v>
      </c>
    </row>
    <row r="635" spans="1:74">
      <c r="A635" s="10">
        <f t="shared" si="38"/>
        <v>0</v>
      </c>
      <c r="B635" s="10">
        <f t="shared" si="39"/>
        <v>0</v>
      </c>
      <c r="C635" s="12">
        <f t="shared" si="40"/>
        <v>5</v>
      </c>
      <c r="D635" s="12">
        <f t="shared" si="41"/>
        <v>9</v>
      </c>
      <c r="E635" s="20" t="s">
        <v>574</v>
      </c>
      <c r="F635" s="20" t="s">
        <v>2365</v>
      </c>
      <c r="G635" s="20" t="s">
        <v>2366</v>
      </c>
      <c r="H635" s="20" t="s">
        <v>2367</v>
      </c>
      <c r="I635" s="20">
        <v>1</v>
      </c>
      <c r="J635" s="20" t="s">
        <v>2368</v>
      </c>
      <c r="K635" s="20" t="s">
        <v>2379</v>
      </c>
      <c r="L635" s="20" t="s">
        <v>2370</v>
      </c>
      <c r="M635" s="20" t="s">
        <v>2371</v>
      </c>
      <c r="N635" s="20" t="s">
        <v>1789</v>
      </c>
      <c r="P635" s="20" t="s">
        <v>2371</v>
      </c>
      <c r="Q635" s="20" t="s">
        <v>2372</v>
      </c>
      <c r="R635" s="20" t="s">
        <v>84</v>
      </c>
      <c r="S635" s="20">
        <v>4</v>
      </c>
      <c r="T635" s="20" t="s">
        <v>635</v>
      </c>
      <c r="U635" s="20" t="s">
        <v>636</v>
      </c>
      <c r="V635" s="20" t="s">
        <v>87</v>
      </c>
      <c r="W635" s="20">
        <v>501</v>
      </c>
      <c r="X635" s="20">
        <v>501</v>
      </c>
      <c r="Y635" s="20" t="s">
        <v>2373</v>
      </c>
      <c r="Z635" s="20">
        <v>0.16666666666666666</v>
      </c>
      <c r="AA635" s="20" t="s">
        <v>1790</v>
      </c>
      <c r="AB635" s="20" t="s">
        <v>109</v>
      </c>
      <c r="AC635" s="20" t="s">
        <v>110</v>
      </c>
      <c r="AD635" s="20" t="s">
        <v>2374</v>
      </c>
      <c r="AE635" s="20" t="s">
        <v>91</v>
      </c>
      <c r="AF635" s="20">
        <v>0.16666666666666666</v>
      </c>
      <c r="AH635" s="20">
        <v>1</v>
      </c>
      <c r="AI635" s="4" t="s">
        <v>651</v>
      </c>
      <c r="AJ635" s="20">
        <v>35</v>
      </c>
      <c r="AK635" s="4" t="s">
        <v>679</v>
      </c>
      <c r="AL635" s="4">
        <v>4</v>
      </c>
      <c r="AM635" s="4" t="s">
        <v>470</v>
      </c>
      <c r="AN635" s="4" t="s">
        <v>95</v>
      </c>
      <c r="AO635" s="4" t="s">
        <v>680</v>
      </c>
      <c r="AP635" s="4">
        <v>1</v>
      </c>
      <c r="AQ635" s="20">
        <v>79000</v>
      </c>
      <c r="AR635" s="4">
        <v>41803</v>
      </c>
      <c r="AS635" s="20">
        <v>15959.595959595958</v>
      </c>
      <c r="AT635" s="20">
        <v>17229.5</v>
      </c>
      <c r="AU635" s="20">
        <v>1269.9040404040425</v>
      </c>
      <c r="AW635" s="20">
        <v>20</v>
      </c>
      <c r="AY635" s="20">
        <v>20</v>
      </c>
      <c r="AZ635" s="20">
        <v>14.9</v>
      </c>
      <c r="BB635" s="6">
        <v>41767</v>
      </c>
      <c r="BD635" s="6">
        <v>41848</v>
      </c>
      <c r="BE635" s="6">
        <v>41859</v>
      </c>
      <c r="BF635" s="6">
        <v>41884</v>
      </c>
      <c r="BK635" s="4" t="s">
        <v>401</v>
      </c>
      <c r="BM635" s="20">
        <v>35</v>
      </c>
      <c r="BN635" s="20">
        <v>0</v>
      </c>
      <c r="BO635" s="20">
        <v>0</v>
      </c>
      <c r="BP635" s="20">
        <v>0</v>
      </c>
      <c r="BQ635" s="20">
        <v>0</v>
      </c>
      <c r="BR635" s="20">
        <v>0</v>
      </c>
      <c r="BS635" s="20">
        <v>35</v>
      </c>
      <c r="BT635" s="20">
        <v>603032.5</v>
      </c>
      <c r="BU635" s="20">
        <v>2765000</v>
      </c>
      <c r="BV635" s="20">
        <v>4.1683265224284991</v>
      </c>
    </row>
    <row r="636" spans="1:74">
      <c r="A636" s="10">
        <f t="shared" si="38"/>
        <v>0</v>
      </c>
      <c r="B636" s="10">
        <f t="shared" si="39"/>
        <v>0</v>
      </c>
      <c r="C636" s="12">
        <f t="shared" si="40"/>
        <v>5</v>
      </c>
      <c r="D636" s="12">
        <f t="shared" si="41"/>
        <v>8</v>
      </c>
      <c r="E636" s="20" t="s">
        <v>574</v>
      </c>
      <c r="F636" s="20" t="s">
        <v>2365</v>
      </c>
      <c r="G636" s="20" t="s">
        <v>2366</v>
      </c>
      <c r="H636" s="20" t="s">
        <v>2380</v>
      </c>
      <c r="I636" s="20">
        <v>2</v>
      </c>
      <c r="J636" s="20" t="s">
        <v>2381</v>
      </c>
      <c r="K636" s="20" t="s">
        <v>2382</v>
      </c>
      <c r="L636" s="20" t="s">
        <v>2383</v>
      </c>
      <c r="M636" s="20" t="s">
        <v>2371</v>
      </c>
      <c r="N636" s="20" t="s">
        <v>1789</v>
      </c>
      <c r="P636" s="20" t="s">
        <v>2371</v>
      </c>
      <c r="Q636" s="20" t="s">
        <v>2372</v>
      </c>
      <c r="R636" s="20" t="s">
        <v>84</v>
      </c>
      <c r="S636" s="20">
        <v>5</v>
      </c>
      <c r="T636" s="20" t="s">
        <v>860</v>
      </c>
      <c r="U636" s="20" t="s">
        <v>861</v>
      </c>
      <c r="V636" s="20" t="s">
        <v>87</v>
      </c>
      <c r="W636" s="20">
        <v>506</v>
      </c>
      <c r="X636" s="20">
        <v>506</v>
      </c>
      <c r="Y636" s="20" t="s">
        <v>2384</v>
      </c>
      <c r="Z636" s="20">
        <v>0.16666666666666666</v>
      </c>
      <c r="AA636" s="20" t="s">
        <v>1791</v>
      </c>
      <c r="AB636" s="20" t="s">
        <v>248</v>
      </c>
      <c r="AC636" s="20" t="s">
        <v>249</v>
      </c>
      <c r="AD636" s="20" t="s">
        <v>2385</v>
      </c>
      <c r="AE636" s="20" t="s">
        <v>91</v>
      </c>
      <c r="AF636" s="20">
        <v>0.16666666666666666</v>
      </c>
      <c r="AH636" s="20">
        <v>1</v>
      </c>
      <c r="AI636" s="4" t="s">
        <v>640</v>
      </c>
      <c r="AJ636" s="20">
        <v>120</v>
      </c>
      <c r="AK636" s="4" t="s">
        <v>679</v>
      </c>
      <c r="AL636" s="4">
        <v>4</v>
      </c>
      <c r="AM636" s="4" t="s">
        <v>470</v>
      </c>
      <c r="AN636" s="4" t="s">
        <v>95</v>
      </c>
      <c r="AO636" s="4" t="s">
        <v>680</v>
      </c>
      <c r="AP636" s="4">
        <v>1</v>
      </c>
      <c r="AQ636" s="20">
        <v>109000</v>
      </c>
      <c r="AR636" s="4">
        <v>41803</v>
      </c>
      <c r="AS636" s="20">
        <v>22020.202020202021</v>
      </c>
      <c r="AT636" s="20">
        <v>23120</v>
      </c>
      <c r="AU636" s="20">
        <v>1099.7979797979788</v>
      </c>
      <c r="AW636" s="20">
        <v>20</v>
      </c>
      <c r="AY636" s="20">
        <v>20</v>
      </c>
      <c r="AZ636" s="20">
        <v>20</v>
      </c>
      <c r="BB636" s="6">
        <v>41767</v>
      </c>
      <c r="BD636" s="6">
        <v>41848</v>
      </c>
      <c r="BE636" s="6">
        <v>41859</v>
      </c>
      <c r="BF636" s="6">
        <v>41859</v>
      </c>
      <c r="BK636" s="4" t="s">
        <v>401</v>
      </c>
      <c r="BM636" s="20">
        <v>120</v>
      </c>
      <c r="BN636" s="20">
        <v>0</v>
      </c>
      <c r="BO636" s="20">
        <v>0</v>
      </c>
      <c r="BP636" s="20">
        <v>0</v>
      </c>
      <c r="BQ636" s="20">
        <v>0</v>
      </c>
      <c r="BR636" s="20">
        <v>0</v>
      </c>
      <c r="BS636" s="20">
        <v>120</v>
      </c>
      <c r="BT636" s="20">
        <v>2774400</v>
      </c>
      <c r="BU636" s="20">
        <v>13080000</v>
      </c>
      <c r="BV636" s="20">
        <v>4.2859389745202892</v>
      </c>
    </row>
    <row r="637" spans="1:74">
      <c r="A637" s="10">
        <f t="shared" si="38"/>
        <v>0</v>
      </c>
      <c r="B637" s="10">
        <f t="shared" si="39"/>
        <v>0</v>
      </c>
      <c r="C637" s="12">
        <f t="shared" si="40"/>
        <v>5</v>
      </c>
      <c r="D637" s="12">
        <f t="shared" si="41"/>
        <v>8</v>
      </c>
      <c r="E637" s="20" t="s">
        <v>574</v>
      </c>
      <c r="F637" s="20" t="s">
        <v>2365</v>
      </c>
      <c r="G637" s="20" t="s">
        <v>2366</v>
      </c>
      <c r="H637" s="20" t="s">
        <v>2380</v>
      </c>
      <c r="I637" s="20">
        <v>2</v>
      </c>
      <c r="J637" s="20" t="s">
        <v>2381</v>
      </c>
      <c r="K637" s="20" t="s">
        <v>2386</v>
      </c>
      <c r="L637" s="20" t="s">
        <v>2383</v>
      </c>
      <c r="M637" s="20" t="s">
        <v>2371</v>
      </c>
      <c r="N637" s="20" t="s">
        <v>1789</v>
      </c>
      <c r="P637" s="20" t="s">
        <v>2371</v>
      </c>
      <c r="Q637" s="20" t="s">
        <v>2372</v>
      </c>
      <c r="R637" s="20" t="s">
        <v>84</v>
      </c>
      <c r="S637" s="20">
        <v>5</v>
      </c>
      <c r="T637" s="20" t="s">
        <v>860</v>
      </c>
      <c r="U637" s="20" t="s">
        <v>861</v>
      </c>
      <c r="V637" s="20" t="s">
        <v>87</v>
      </c>
      <c r="W637" s="20">
        <v>506</v>
      </c>
      <c r="X637" s="20">
        <v>506</v>
      </c>
      <c r="Y637" s="20" t="s">
        <v>2384</v>
      </c>
      <c r="Z637" s="20">
        <v>0.16666666666666666</v>
      </c>
      <c r="AA637" s="20" t="s">
        <v>1791</v>
      </c>
      <c r="AB637" s="20" t="s">
        <v>248</v>
      </c>
      <c r="AC637" s="20" t="s">
        <v>249</v>
      </c>
      <c r="AD637" s="20" t="s">
        <v>2385</v>
      </c>
      <c r="AE637" s="20" t="s">
        <v>91</v>
      </c>
      <c r="AF637" s="20">
        <v>0.16666666666666666</v>
      </c>
      <c r="AH637" s="20">
        <v>1</v>
      </c>
      <c r="AI637" s="4" t="s">
        <v>643</v>
      </c>
      <c r="AJ637" s="20">
        <v>30</v>
      </c>
      <c r="AK637" s="4" t="s">
        <v>679</v>
      </c>
      <c r="AL637" s="4">
        <v>4</v>
      </c>
      <c r="AM637" s="4" t="s">
        <v>470</v>
      </c>
      <c r="AN637" s="4" t="s">
        <v>95</v>
      </c>
      <c r="AO637" s="4" t="s">
        <v>680</v>
      </c>
      <c r="AP637" s="4">
        <v>1</v>
      </c>
      <c r="AQ637" s="20">
        <v>109000</v>
      </c>
      <c r="AR637" s="4">
        <v>41803</v>
      </c>
      <c r="AS637" s="20">
        <v>22020.202020202021</v>
      </c>
      <c r="AT637" s="20">
        <v>23120</v>
      </c>
      <c r="AU637" s="20">
        <v>1099.7979797979788</v>
      </c>
      <c r="AW637" s="20">
        <v>20</v>
      </c>
      <c r="AY637" s="20">
        <v>20</v>
      </c>
      <c r="AZ637" s="20">
        <v>20</v>
      </c>
      <c r="BB637" s="6">
        <v>41767</v>
      </c>
      <c r="BD637" s="6">
        <v>41848</v>
      </c>
      <c r="BE637" s="6">
        <v>41859</v>
      </c>
      <c r="BF637" s="6">
        <v>41859</v>
      </c>
      <c r="BK637" s="4" t="s">
        <v>401</v>
      </c>
      <c r="BM637" s="20">
        <v>31</v>
      </c>
      <c r="BN637" s="20">
        <v>0</v>
      </c>
      <c r="BO637" s="20">
        <v>0</v>
      </c>
      <c r="BP637" s="20">
        <v>0</v>
      </c>
      <c r="BQ637" s="20">
        <v>0</v>
      </c>
      <c r="BR637" s="20">
        <v>0</v>
      </c>
      <c r="BS637" s="20">
        <v>30</v>
      </c>
      <c r="BT637" s="20">
        <v>693600</v>
      </c>
      <c r="BU637" s="20">
        <v>3270000</v>
      </c>
      <c r="BV637" s="20">
        <v>4.2859389745202892</v>
      </c>
    </row>
    <row r="638" spans="1:74">
      <c r="A638" s="10">
        <f t="shared" si="38"/>
        <v>0</v>
      </c>
      <c r="B638" s="10">
        <f t="shared" si="39"/>
        <v>0</v>
      </c>
      <c r="C638" s="12">
        <f t="shared" si="40"/>
        <v>5</v>
      </c>
      <c r="D638" s="12">
        <f t="shared" si="41"/>
        <v>8</v>
      </c>
      <c r="E638" s="20" t="s">
        <v>574</v>
      </c>
      <c r="F638" s="20" t="s">
        <v>2365</v>
      </c>
      <c r="G638" s="20" t="s">
        <v>2366</v>
      </c>
      <c r="H638" s="20" t="s">
        <v>2380</v>
      </c>
      <c r="I638" s="20">
        <v>2</v>
      </c>
      <c r="J638" s="20" t="s">
        <v>2381</v>
      </c>
      <c r="K638" s="20" t="s">
        <v>2387</v>
      </c>
      <c r="L638" s="20" t="s">
        <v>2383</v>
      </c>
      <c r="M638" s="20" t="s">
        <v>2371</v>
      </c>
      <c r="N638" s="20" t="s">
        <v>1789</v>
      </c>
      <c r="P638" s="20" t="s">
        <v>2371</v>
      </c>
      <c r="Q638" s="20" t="s">
        <v>2372</v>
      </c>
      <c r="R638" s="20" t="s">
        <v>84</v>
      </c>
      <c r="S638" s="20">
        <v>5</v>
      </c>
      <c r="T638" s="20" t="s">
        <v>860</v>
      </c>
      <c r="U638" s="20" t="s">
        <v>861</v>
      </c>
      <c r="V638" s="20" t="s">
        <v>87</v>
      </c>
      <c r="W638" s="20">
        <v>506</v>
      </c>
      <c r="X638" s="20">
        <v>506</v>
      </c>
      <c r="Y638" s="20" t="s">
        <v>2384</v>
      </c>
      <c r="Z638" s="20">
        <v>0.16666666666666666</v>
      </c>
      <c r="AA638" s="20" t="s">
        <v>1791</v>
      </c>
      <c r="AB638" s="20" t="s">
        <v>248</v>
      </c>
      <c r="AC638" s="20" t="s">
        <v>249</v>
      </c>
      <c r="AD638" s="20" t="s">
        <v>2385</v>
      </c>
      <c r="AE638" s="20" t="s">
        <v>91</v>
      </c>
      <c r="AF638" s="20">
        <v>0.16666666666666666</v>
      </c>
      <c r="AH638" s="20">
        <v>1</v>
      </c>
      <c r="AI638" s="4" t="s">
        <v>645</v>
      </c>
      <c r="AJ638" s="20">
        <v>50</v>
      </c>
      <c r="AK638" s="4" t="s">
        <v>679</v>
      </c>
      <c r="AL638" s="4">
        <v>4</v>
      </c>
      <c r="AM638" s="4" t="s">
        <v>470</v>
      </c>
      <c r="AN638" s="4" t="s">
        <v>95</v>
      </c>
      <c r="AO638" s="4" t="s">
        <v>680</v>
      </c>
      <c r="AP638" s="4">
        <v>1</v>
      </c>
      <c r="AQ638" s="20">
        <v>109000</v>
      </c>
      <c r="AR638" s="4">
        <v>41803</v>
      </c>
      <c r="AS638" s="20">
        <v>22020.202020202021</v>
      </c>
      <c r="AT638" s="20">
        <v>23120</v>
      </c>
      <c r="AU638" s="20">
        <v>1099.7979797979788</v>
      </c>
      <c r="AW638" s="20">
        <v>20</v>
      </c>
      <c r="AY638" s="20">
        <v>20</v>
      </c>
      <c r="AZ638" s="20">
        <v>20</v>
      </c>
      <c r="BB638" s="6">
        <v>41767</v>
      </c>
      <c r="BD638" s="6">
        <v>41848</v>
      </c>
      <c r="BE638" s="6">
        <v>41859</v>
      </c>
      <c r="BF638" s="6">
        <v>41859</v>
      </c>
      <c r="BK638" s="4" t="s">
        <v>401</v>
      </c>
      <c r="BM638" s="20">
        <v>50</v>
      </c>
      <c r="BN638" s="20">
        <v>0</v>
      </c>
      <c r="BO638" s="20">
        <v>0</v>
      </c>
      <c r="BP638" s="20">
        <v>0</v>
      </c>
      <c r="BQ638" s="20">
        <v>0</v>
      </c>
      <c r="BR638" s="20">
        <v>0</v>
      </c>
      <c r="BS638" s="20">
        <v>50</v>
      </c>
      <c r="BT638" s="20">
        <v>1156000</v>
      </c>
      <c r="BU638" s="20">
        <v>5450000</v>
      </c>
      <c r="BV638" s="20">
        <v>4.2859389745202892</v>
      </c>
    </row>
    <row r="639" spans="1:74">
      <c r="A639" s="10">
        <f t="shared" si="38"/>
        <v>0</v>
      </c>
      <c r="B639" s="10">
        <f t="shared" si="39"/>
        <v>0</v>
      </c>
      <c r="C639" s="12">
        <f t="shared" si="40"/>
        <v>5</v>
      </c>
      <c r="D639" s="12">
        <f t="shared" si="41"/>
        <v>8</v>
      </c>
      <c r="E639" s="20" t="s">
        <v>574</v>
      </c>
      <c r="F639" s="20" t="s">
        <v>2365</v>
      </c>
      <c r="G639" s="20" t="s">
        <v>2366</v>
      </c>
      <c r="H639" s="20" t="s">
        <v>2380</v>
      </c>
      <c r="I639" s="20">
        <v>2</v>
      </c>
      <c r="J639" s="20" t="s">
        <v>2381</v>
      </c>
      <c r="K639" s="20" t="s">
        <v>2388</v>
      </c>
      <c r="L639" s="20" t="s">
        <v>2383</v>
      </c>
      <c r="M639" s="20" t="s">
        <v>2371</v>
      </c>
      <c r="N639" s="20" t="s">
        <v>1789</v>
      </c>
      <c r="P639" s="20" t="s">
        <v>2371</v>
      </c>
      <c r="Q639" s="20" t="s">
        <v>2372</v>
      </c>
      <c r="R639" s="20" t="s">
        <v>84</v>
      </c>
      <c r="S639" s="20">
        <v>5</v>
      </c>
      <c r="T639" s="20" t="s">
        <v>860</v>
      </c>
      <c r="U639" s="20" t="s">
        <v>861</v>
      </c>
      <c r="V639" s="20" t="s">
        <v>87</v>
      </c>
      <c r="W639" s="20">
        <v>506</v>
      </c>
      <c r="X639" s="20">
        <v>506</v>
      </c>
      <c r="Y639" s="20" t="s">
        <v>2384</v>
      </c>
      <c r="Z639" s="20">
        <v>0.16666666666666666</v>
      </c>
      <c r="AA639" s="20" t="s">
        <v>1791</v>
      </c>
      <c r="AB639" s="20" t="s">
        <v>248</v>
      </c>
      <c r="AC639" s="20" t="s">
        <v>249</v>
      </c>
      <c r="AD639" s="20" t="s">
        <v>2385</v>
      </c>
      <c r="AE639" s="20" t="s">
        <v>91</v>
      </c>
      <c r="AF639" s="20">
        <v>0.16666666666666666</v>
      </c>
      <c r="AH639" s="20">
        <v>1</v>
      </c>
      <c r="AI639" s="4" t="s">
        <v>647</v>
      </c>
      <c r="AJ639" s="20">
        <v>50</v>
      </c>
      <c r="AK639" s="4" t="s">
        <v>679</v>
      </c>
      <c r="AL639" s="4">
        <v>4</v>
      </c>
      <c r="AM639" s="4" t="s">
        <v>470</v>
      </c>
      <c r="AN639" s="4" t="s">
        <v>95</v>
      </c>
      <c r="AO639" s="4" t="s">
        <v>680</v>
      </c>
      <c r="AP639" s="4">
        <v>1</v>
      </c>
      <c r="AQ639" s="20">
        <v>109000</v>
      </c>
      <c r="AR639" s="4">
        <v>41803</v>
      </c>
      <c r="AS639" s="20">
        <v>22020.202020202021</v>
      </c>
      <c r="AT639" s="20">
        <v>23120</v>
      </c>
      <c r="AU639" s="20">
        <v>1099.7979797979788</v>
      </c>
      <c r="AW639" s="20">
        <v>20</v>
      </c>
      <c r="AY639" s="20">
        <v>20</v>
      </c>
      <c r="AZ639" s="20">
        <v>20</v>
      </c>
      <c r="BB639" s="6">
        <v>41767</v>
      </c>
      <c r="BD639" s="6">
        <v>41848</v>
      </c>
      <c r="BE639" s="6">
        <v>41859</v>
      </c>
      <c r="BF639" s="6">
        <v>41859</v>
      </c>
      <c r="BK639" s="4" t="s">
        <v>401</v>
      </c>
      <c r="BM639" s="20">
        <v>50</v>
      </c>
      <c r="BN639" s="20">
        <v>0</v>
      </c>
      <c r="BO639" s="20">
        <v>0</v>
      </c>
      <c r="BP639" s="20">
        <v>0</v>
      </c>
      <c r="BQ639" s="20">
        <v>0</v>
      </c>
      <c r="BR639" s="20">
        <v>0</v>
      </c>
      <c r="BS639" s="20">
        <v>50</v>
      </c>
      <c r="BT639" s="20">
        <v>1156000</v>
      </c>
      <c r="BU639" s="20">
        <v>5450000</v>
      </c>
      <c r="BV639" s="20">
        <v>4.2859389745202892</v>
      </c>
    </row>
    <row r="640" spans="1:74">
      <c r="A640" s="10">
        <f t="shared" si="38"/>
        <v>0</v>
      </c>
      <c r="B640" s="10">
        <f t="shared" si="39"/>
        <v>0</v>
      </c>
      <c r="C640" s="12">
        <f t="shared" si="40"/>
        <v>5</v>
      </c>
      <c r="D640" s="12">
        <f t="shared" si="41"/>
        <v>8</v>
      </c>
      <c r="E640" s="20" t="s">
        <v>574</v>
      </c>
      <c r="F640" s="20" t="s">
        <v>2365</v>
      </c>
      <c r="G640" s="20" t="s">
        <v>2366</v>
      </c>
      <c r="H640" s="20" t="s">
        <v>2380</v>
      </c>
      <c r="I640" s="20">
        <v>2</v>
      </c>
      <c r="J640" s="20" t="s">
        <v>2381</v>
      </c>
      <c r="K640" s="20" t="s">
        <v>2389</v>
      </c>
      <c r="L640" s="20" t="s">
        <v>2383</v>
      </c>
      <c r="M640" s="20" t="s">
        <v>2371</v>
      </c>
      <c r="N640" s="20" t="s">
        <v>1789</v>
      </c>
      <c r="P640" s="20" t="s">
        <v>2371</v>
      </c>
      <c r="Q640" s="20" t="s">
        <v>2372</v>
      </c>
      <c r="R640" s="20" t="s">
        <v>84</v>
      </c>
      <c r="S640" s="20">
        <v>5</v>
      </c>
      <c r="T640" s="20" t="s">
        <v>860</v>
      </c>
      <c r="U640" s="20" t="s">
        <v>861</v>
      </c>
      <c r="V640" s="20" t="s">
        <v>87</v>
      </c>
      <c r="W640" s="20">
        <v>506</v>
      </c>
      <c r="X640" s="20">
        <v>506</v>
      </c>
      <c r="Y640" s="20" t="s">
        <v>2384</v>
      </c>
      <c r="Z640" s="20">
        <v>0.16666666666666666</v>
      </c>
      <c r="AA640" s="20" t="s">
        <v>1791</v>
      </c>
      <c r="AB640" s="20" t="s">
        <v>248</v>
      </c>
      <c r="AC640" s="20" t="s">
        <v>249</v>
      </c>
      <c r="AD640" s="20" t="s">
        <v>2385</v>
      </c>
      <c r="AE640" s="20" t="s">
        <v>91</v>
      </c>
      <c r="AF640" s="20">
        <v>0.16666666666666666</v>
      </c>
      <c r="AH640" s="20">
        <v>1</v>
      </c>
      <c r="AI640" s="4" t="s">
        <v>649</v>
      </c>
      <c r="AJ640" s="20">
        <v>35</v>
      </c>
      <c r="AK640" s="4" t="s">
        <v>679</v>
      </c>
      <c r="AL640" s="4">
        <v>4</v>
      </c>
      <c r="AM640" s="4" t="s">
        <v>470</v>
      </c>
      <c r="AN640" s="4" t="s">
        <v>95</v>
      </c>
      <c r="AO640" s="4" t="s">
        <v>680</v>
      </c>
      <c r="AP640" s="4">
        <v>1</v>
      </c>
      <c r="AQ640" s="20">
        <v>109000</v>
      </c>
      <c r="AR640" s="4">
        <v>41803</v>
      </c>
      <c r="AS640" s="20">
        <v>22020.202020202021</v>
      </c>
      <c r="AT640" s="20">
        <v>23120</v>
      </c>
      <c r="AU640" s="20">
        <v>1099.7979797979788</v>
      </c>
      <c r="AW640" s="20">
        <v>20</v>
      </c>
      <c r="AY640" s="20">
        <v>20</v>
      </c>
      <c r="AZ640" s="20">
        <v>20</v>
      </c>
      <c r="BB640" s="6">
        <v>41767</v>
      </c>
      <c r="BD640" s="6">
        <v>41848</v>
      </c>
      <c r="BE640" s="6">
        <v>41859</v>
      </c>
      <c r="BF640" s="6">
        <v>41859</v>
      </c>
      <c r="BK640" s="4" t="s">
        <v>401</v>
      </c>
      <c r="BM640" s="20">
        <v>35</v>
      </c>
      <c r="BN640" s="20">
        <v>0</v>
      </c>
      <c r="BO640" s="20">
        <v>0</v>
      </c>
      <c r="BP640" s="20">
        <v>0</v>
      </c>
      <c r="BQ640" s="20">
        <v>0</v>
      </c>
      <c r="BR640" s="20">
        <v>0</v>
      </c>
      <c r="BS640" s="20">
        <v>35</v>
      </c>
      <c r="BT640" s="20">
        <v>809200</v>
      </c>
      <c r="BU640" s="20">
        <v>3815000</v>
      </c>
      <c r="BV640" s="20">
        <v>4.2859389745202892</v>
      </c>
    </row>
    <row r="641" spans="1:74">
      <c r="A641" s="10">
        <f t="shared" si="38"/>
        <v>0</v>
      </c>
      <c r="B641" s="10">
        <f t="shared" si="39"/>
        <v>0</v>
      </c>
      <c r="C641" s="12">
        <f t="shared" si="40"/>
        <v>5</v>
      </c>
      <c r="D641" s="12">
        <f t="shared" si="41"/>
        <v>8</v>
      </c>
      <c r="E641" s="20" t="s">
        <v>574</v>
      </c>
      <c r="F641" s="20" t="s">
        <v>2365</v>
      </c>
      <c r="G641" s="20" t="s">
        <v>2366</v>
      </c>
      <c r="H641" s="20" t="s">
        <v>2380</v>
      </c>
      <c r="I641" s="20">
        <v>2</v>
      </c>
      <c r="J641" s="20" t="s">
        <v>2381</v>
      </c>
      <c r="K641" s="20" t="s">
        <v>2390</v>
      </c>
      <c r="L641" s="20" t="s">
        <v>2383</v>
      </c>
      <c r="M641" s="20" t="s">
        <v>2371</v>
      </c>
      <c r="N641" s="20" t="s">
        <v>1789</v>
      </c>
      <c r="P641" s="20" t="s">
        <v>2371</v>
      </c>
      <c r="Q641" s="20" t="s">
        <v>2372</v>
      </c>
      <c r="R641" s="20" t="s">
        <v>84</v>
      </c>
      <c r="S641" s="20">
        <v>5</v>
      </c>
      <c r="T641" s="20" t="s">
        <v>860</v>
      </c>
      <c r="U641" s="20" t="s">
        <v>861</v>
      </c>
      <c r="V641" s="20" t="s">
        <v>87</v>
      </c>
      <c r="W641" s="20">
        <v>506</v>
      </c>
      <c r="X641" s="20">
        <v>506</v>
      </c>
      <c r="Y641" s="20" t="s">
        <v>2384</v>
      </c>
      <c r="Z641" s="20">
        <v>0.16666666666666666</v>
      </c>
      <c r="AA641" s="20" t="s">
        <v>1791</v>
      </c>
      <c r="AB641" s="20" t="s">
        <v>248</v>
      </c>
      <c r="AC641" s="20" t="s">
        <v>249</v>
      </c>
      <c r="AD641" s="20" t="s">
        <v>2385</v>
      </c>
      <c r="AE641" s="20" t="s">
        <v>91</v>
      </c>
      <c r="AF641" s="20">
        <v>0.16666666666666666</v>
      </c>
      <c r="AH641" s="20">
        <v>1</v>
      </c>
      <c r="AI641" s="4" t="s">
        <v>651</v>
      </c>
      <c r="AJ641" s="20">
        <v>35</v>
      </c>
      <c r="AK641" s="4" t="s">
        <v>679</v>
      </c>
      <c r="AL641" s="4">
        <v>4</v>
      </c>
      <c r="AM641" s="4" t="s">
        <v>470</v>
      </c>
      <c r="AN641" s="4" t="s">
        <v>95</v>
      </c>
      <c r="AO641" s="4" t="s">
        <v>680</v>
      </c>
      <c r="AP641" s="4">
        <v>1</v>
      </c>
      <c r="AQ641" s="20">
        <v>109000</v>
      </c>
      <c r="AR641" s="4">
        <v>41803</v>
      </c>
      <c r="AS641" s="20">
        <v>22020.202020202021</v>
      </c>
      <c r="AT641" s="20">
        <v>23120</v>
      </c>
      <c r="AU641" s="20">
        <v>1099.7979797979788</v>
      </c>
      <c r="AW641" s="20">
        <v>20</v>
      </c>
      <c r="AY641" s="20">
        <v>20</v>
      </c>
      <c r="AZ641" s="20">
        <v>20</v>
      </c>
      <c r="BB641" s="6">
        <v>41767</v>
      </c>
      <c r="BD641" s="6">
        <v>41848</v>
      </c>
      <c r="BE641" s="6">
        <v>41859</v>
      </c>
      <c r="BF641" s="6">
        <v>41859</v>
      </c>
      <c r="BK641" s="4" t="s">
        <v>401</v>
      </c>
      <c r="BM641" s="20">
        <v>35</v>
      </c>
      <c r="BN641" s="20">
        <v>0</v>
      </c>
      <c r="BO641" s="20">
        <v>0</v>
      </c>
      <c r="BP641" s="20">
        <v>0</v>
      </c>
      <c r="BQ641" s="20">
        <v>0</v>
      </c>
      <c r="BR641" s="20">
        <v>0</v>
      </c>
      <c r="BS641" s="20">
        <v>35</v>
      </c>
      <c r="BT641" s="20">
        <v>809200</v>
      </c>
      <c r="BU641" s="20">
        <v>3815000</v>
      </c>
      <c r="BV641" s="20">
        <v>4.2859389745202892</v>
      </c>
    </row>
    <row r="642" spans="1:74">
      <c r="A642" s="10">
        <f t="shared" si="38"/>
        <v>0</v>
      </c>
      <c r="B642" s="10">
        <f t="shared" si="39"/>
        <v>0</v>
      </c>
      <c r="C642" s="12" t="str">
        <f t="shared" si="40"/>
        <v/>
      </c>
      <c r="D642" s="12" t="str">
        <f t="shared" si="41"/>
        <v/>
      </c>
      <c r="E642" s="20" t="s">
        <v>91</v>
      </c>
      <c r="F642" s="20" t="s">
        <v>91</v>
      </c>
      <c r="G642" s="20" t="s">
        <v>91</v>
      </c>
      <c r="H642" s="20" t="s">
        <v>91</v>
      </c>
      <c r="I642" s="20">
        <v>0</v>
      </c>
      <c r="J642" s="20" t="s">
        <v>103</v>
      </c>
      <c r="K642" s="20" t="s">
        <v>104</v>
      </c>
      <c r="L642" s="20">
        <v>0</v>
      </c>
      <c r="M642" s="20" t="s">
        <v>105</v>
      </c>
      <c r="N642" s="20" t="s">
        <v>91</v>
      </c>
      <c r="O642" s="20" t="s">
        <v>2391</v>
      </c>
      <c r="Q642" s="20" t="s">
        <v>91</v>
      </c>
      <c r="R642" s="20" t="s">
        <v>91</v>
      </c>
      <c r="S642" s="20" t="s">
        <v>91</v>
      </c>
      <c r="U642" s="20" t="s">
        <v>91</v>
      </c>
      <c r="X642" s="20" t="s">
        <v>91</v>
      </c>
      <c r="Y642" s="20" t="s">
        <v>91</v>
      </c>
      <c r="Z642" s="20">
        <v>2</v>
      </c>
      <c r="AB642" s="20" t="s">
        <v>91</v>
      </c>
      <c r="AD642" s="20" t="s">
        <v>91</v>
      </c>
      <c r="AE642" s="20" t="s">
        <v>91</v>
      </c>
      <c r="AF642" s="20">
        <v>2</v>
      </c>
      <c r="AH642" s="20">
        <v>1</v>
      </c>
      <c r="AM642" s="4" t="s">
        <v>91</v>
      </c>
      <c r="AP642" s="4" t="s">
        <v>91</v>
      </c>
      <c r="AQ642" s="20">
        <v>0</v>
      </c>
      <c r="AR642" s="4">
        <v>0</v>
      </c>
      <c r="AS642" s="20">
        <v>0</v>
      </c>
      <c r="AT642" s="20">
        <v>0</v>
      </c>
      <c r="AU642" s="20">
        <v>0</v>
      </c>
      <c r="AY642" s="20">
        <v>0</v>
      </c>
      <c r="BB642" s="6">
        <v>0</v>
      </c>
      <c r="BD642" s="6">
        <v>0</v>
      </c>
      <c r="BF642" s="6">
        <v>0</v>
      </c>
      <c r="BM642" s="20">
        <v>629</v>
      </c>
      <c r="BN642" s="20">
        <v>0</v>
      </c>
      <c r="BO642" s="20">
        <v>0</v>
      </c>
      <c r="BP642" s="20">
        <v>0</v>
      </c>
      <c r="BQ642" s="20">
        <v>0</v>
      </c>
      <c r="BR642" s="20">
        <v>0</v>
      </c>
      <c r="BS642" s="20">
        <v>640</v>
      </c>
      <c r="BT642" s="20">
        <v>12911840</v>
      </c>
      <c r="BU642" s="20">
        <v>60160000</v>
      </c>
      <c r="BV642" s="20">
        <v>4.235717689416</v>
      </c>
    </row>
    <row r="643" spans="1:74">
      <c r="A643" s="10">
        <f t="shared" ref="A643:A706" si="42">IF($BL643="공급",$Z643,0)</f>
        <v>0</v>
      </c>
      <c r="B643" s="10">
        <f t="shared" ref="B643:B706" si="43">IF($AV643&gt;0,$Z643,0)</f>
        <v>0</v>
      </c>
      <c r="C643" s="12">
        <f t="shared" si="40"/>
        <v>5</v>
      </c>
      <c r="D643" s="12">
        <f t="shared" si="41"/>
        <v>8</v>
      </c>
      <c r="E643" s="20" t="s">
        <v>574</v>
      </c>
      <c r="F643" s="20" t="s">
        <v>2365</v>
      </c>
      <c r="G643" s="20" t="s">
        <v>2392</v>
      </c>
      <c r="H643" s="20" t="s">
        <v>2393</v>
      </c>
      <c r="I643" s="20">
        <v>1</v>
      </c>
      <c r="J643" s="20" t="s">
        <v>2394</v>
      </c>
      <c r="K643" s="20" t="s">
        <v>2395</v>
      </c>
      <c r="L643" s="20" t="s">
        <v>2396</v>
      </c>
      <c r="M643" s="20" t="s">
        <v>2371</v>
      </c>
      <c r="N643" s="20" t="s">
        <v>1789</v>
      </c>
      <c r="P643" s="20" t="s">
        <v>2371</v>
      </c>
      <c r="Q643" s="20" t="s">
        <v>2372</v>
      </c>
      <c r="R643" s="20" t="s">
        <v>84</v>
      </c>
      <c r="S643" s="20">
        <v>5</v>
      </c>
      <c r="T643" s="20" t="s">
        <v>635</v>
      </c>
      <c r="U643" s="20" t="s">
        <v>636</v>
      </c>
      <c r="V643" s="20" t="s">
        <v>87</v>
      </c>
      <c r="W643" s="20">
        <v>508</v>
      </c>
      <c r="X643" s="20">
        <v>508</v>
      </c>
      <c r="Y643" s="20" t="s">
        <v>2397</v>
      </c>
      <c r="Z643" s="20">
        <v>8.3333333333333329E-2</v>
      </c>
      <c r="AA643" s="20" t="s">
        <v>1792</v>
      </c>
      <c r="AB643" s="20" t="s">
        <v>176</v>
      </c>
      <c r="AC643" s="20" t="s">
        <v>177</v>
      </c>
      <c r="AD643" s="20" t="s">
        <v>2398</v>
      </c>
      <c r="AE643" s="20" t="s">
        <v>91</v>
      </c>
      <c r="AF643" s="20">
        <v>0.16666666666666666</v>
      </c>
      <c r="AH643" s="20">
        <v>1</v>
      </c>
      <c r="AI643" s="4" t="s">
        <v>640</v>
      </c>
      <c r="AJ643" s="20">
        <v>120</v>
      </c>
      <c r="AK643" s="4" t="s">
        <v>641</v>
      </c>
      <c r="AL643" s="4">
        <v>4</v>
      </c>
      <c r="AM643" s="4" t="s">
        <v>470</v>
      </c>
      <c r="AN643" s="4" t="s">
        <v>95</v>
      </c>
      <c r="AO643" s="4" t="s">
        <v>96</v>
      </c>
      <c r="AP643" s="4">
        <v>1</v>
      </c>
      <c r="AQ643" s="20">
        <v>69000</v>
      </c>
      <c r="AR643" s="4">
        <v>41803</v>
      </c>
      <c r="AS643" s="20">
        <v>12545.454545454544</v>
      </c>
      <c r="AT643" s="20">
        <v>15862.314999999999</v>
      </c>
      <c r="AU643" s="20">
        <v>3316.8604545454546</v>
      </c>
      <c r="AW643" s="20">
        <v>70</v>
      </c>
      <c r="AY643" s="20">
        <v>70</v>
      </c>
      <c r="AZ643" s="20">
        <v>12.1</v>
      </c>
      <c r="BB643" s="6">
        <v>41767</v>
      </c>
      <c r="BC643" s="6">
        <v>41853</v>
      </c>
      <c r="BD643" s="6">
        <v>41848</v>
      </c>
      <c r="BE643" s="6">
        <v>41859</v>
      </c>
      <c r="BF643" s="6">
        <v>41876</v>
      </c>
      <c r="BK643" s="4" t="s">
        <v>401</v>
      </c>
      <c r="BM643" s="20">
        <v>122</v>
      </c>
      <c r="BN643" s="20">
        <v>0</v>
      </c>
      <c r="BO643" s="20">
        <v>0</v>
      </c>
      <c r="BP643" s="20">
        <v>0</v>
      </c>
      <c r="BQ643" s="20">
        <v>0</v>
      </c>
      <c r="BR643" s="20">
        <v>0</v>
      </c>
      <c r="BS643" s="20">
        <v>120</v>
      </c>
      <c r="BT643" s="20">
        <v>1903477.7999999998</v>
      </c>
      <c r="BU643" s="20">
        <v>8280000</v>
      </c>
      <c r="BV643" s="20">
        <v>3.9544841170581169</v>
      </c>
    </row>
    <row r="644" spans="1:74">
      <c r="A644" s="10">
        <f t="shared" si="42"/>
        <v>0</v>
      </c>
      <c r="B644" s="10">
        <f t="shared" si="43"/>
        <v>0</v>
      </c>
      <c r="C644" s="12">
        <f t="shared" ref="C644:C707" si="44">IF($BB644=0,"",MONTH($BB644))</f>
        <v>5</v>
      </c>
      <c r="D644" s="12">
        <f t="shared" si="41"/>
        <v>8</v>
      </c>
      <c r="E644" s="20" t="s">
        <v>574</v>
      </c>
      <c r="F644" s="20" t="s">
        <v>2365</v>
      </c>
      <c r="G644" s="20" t="s">
        <v>2392</v>
      </c>
      <c r="H644" s="20" t="s">
        <v>2393</v>
      </c>
      <c r="I644" s="20">
        <v>1</v>
      </c>
      <c r="J644" s="20" t="s">
        <v>2394</v>
      </c>
      <c r="K644" s="20" t="s">
        <v>2399</v>
      </c>
      <c r="L644" s="20" t="s">
        <v>2396</v>
      </c>
      <c r="M644" s="20" t="s">
        <v>2371</v>
      </c>
      <c r="N644" s="20" t="s">
        <v>1789</v>
      </c>
      <c r="P644" s="20" t="s">
        <v>2371</v>
      </c>
      <c r="Q644" s="20" t="s">
        <v>2372</v>
      </c>
      <c r="R644" s="20" t="s">
        <v>84</v>
      </c>
      <c r="S644" s="20">
        <v>5</v>
      </c>
      <c r="T644" s="20" t="s">
        <v>635</v>
      </c>
      <c r="U644" s="20" t="s">
        <v>636</v>
      </c>
      <c r="V644" s="20" t="s">
        <v>87</v>
      </c>
      <c r="W644" s="20">
        <v>508</v>
      </c>
      <c r="X644" s="20">
        <v>508</v>
      </c>
      <c r="Y644" s="20" t="s">
        <v>2397</v>
      </c>
      <c r="Z644" s="20">
        <v>8.3333333333333329E-2</v>
      </c>
      <c r="AA644" s="20" t="s">
        <v>1792</v>
      </c>
      <c r="AB644" s="20" t="s">
        <v>176</v>
      </c>
      <c r="AC644" s="20" t="s">
        <v>177</v>
      </c>
      <c r="AD644" s="20" t="s">
        <v>2398</v>
      </c>
      <c r="AE644" s="20" t="s">
        <v>91</v>
      </c>
      <c r="AF644" s="20">
        <v>0.16666666666666666</v>
      </c>
      <c r="AH644" s="20">
        <v>1</v>
      </c>
      <c r="AI644" s="4" t="s">
        <v>643</v>
      </c>
      <c r="AJ644" s="20">
        <v>45</v>
      </c>
      <c r="AK644" s="4" t="s">
        <v>641</v>
      </c>
      <c r="AL644" s="4">
        <v>4</v>
      </c>
      <c r="AM644" s="4" t="s">
        <v>470</v>
      </c>
      <c r="AN644" s="4" t="s">
        <v>95</v>
      </c>
      <c r="AO644" s="4" t="s">
        <v>96</v>
      </c>
      <c r="AP644" s="4">
        <v>1</v>
      </c>
      <c r="AQ644" s="20">
        <v>69000</v>
      </c>
      <c r="AR644" s="4">
        <v>41803</v>
      </c>
      <c r="AS644" s="20">
        <v>12545.454545454544</v>
      </c>
      <c r="AT644" s="20">
        <v>15862.314999999999</v>
      </c>
      <c r="AU644" s="20">
        <v>3316.8604545454546</v>
      </c>
      <c r="AW644" s="20">
        <v>70</v>
      </c>
      <c r="AY644" s="20">
        <v>70</v>
      </c>
      <c r="AZ644" s="20">
        <v>12.1</v>
      </c>
      <c r="BB644" s="6">
        <v>41767</v>
      </c>
      <c r="BC644" s="6">
        <v>41853</v>
      </c>
      <c r="BD644" s="6">
        <v>41848</v>
      </c>
      <c r="BE644" s="6">
        <v>41859</v>
      </c>
      <c r="BF644" s="6">
        <v>41876</v>
      </c>
      <c r="BK644" s="4" t="s">
        <v>401</v>
      </c>
      <c r="BM644" s="20">
        <v>46</v>
      </c>
      <c r="BN644" s="20">
        <v>0</v>
      </c>
      <c r="BO644" s="20">
        <v>0</v>
      </c>
      <c r="BP644" s="20">
        <v>0</v>
      </c>
      <c r="BQ644" s="20">
        <v>0</v>
      </c>
      <c r="BR644" s="20">
        <v>0</v>
      </c>
      <c r="BS644" s="20">
        <v>45</v>
      </c>
      <c r="BT644" s="20">
        <v>713804.17499999993</v>
      </c>
      <c r="BU644" s="20">
        <v>3105000</v>
      </c>
      <c r="BV644" s="20">
        <v>3.9544841170581169</v>
      </c>
    </row>
    <row r="645" spans="1:74">
      <c r="A645" s="10">
        <f t="shared" si="42"/>
        <v>0</v>
      </c>
      <c r="B645" s="10">
        <f t="shared" si="43"/>
        <v>0</v>
      </c>
      <c r="C645" s="12">
        <f t="shared" si="44"/>
        <v>5</v>
      </c>
      <c r="D645" s="12">
        <f t="shared" ref="D645:D708" si="45">IF(AND(BD645=0,BF645=0),"",MONTH(IF($BF645=0,$BD645,$BF645)))</f>
        <v>8</v>
      </c>
      <c r="E645" s="20" t="s">
        <v>574</v>
      </c>
      <c r="F645" s="20" t="s">
        <v>2365</v>
      </c>
      <c r="G645" s="20" t="s">
        <v>2392</v>
      </c>
      <c r="H645" s="20" t="s">
        <v>2393</v>
      </c>
      <c r="I645" s="20">
        <v>1</v>
      </c>
      <c r="J645" s="20" t="s">
        <v>2394</v>
      </c>
      <c r="K645" s="20" t="s">
        <v>2400</v>
      </c>
      <c r="L645" s="20" t="s">
        <v>2396</v>
      </c>
      <c r="M645" s="20" t="s">
        <v>2371</v>
      </c>
      <c r="N645" s="20" t="s">
        <v>1789</v>
      </c>
      <c r="P645" s="20" t="s">
        <v>2371</v>
      </c>
      <c r="Q645" s="20" t="s">
        <v>2372</v>
      </c>
      <c r="R645" s="20" t="s">
        <v>84</v>
      </c>
      <c r="S645" s="20">
        <v>5</v>
      </c>
      <c r="T645" s="20" t="s">
        <v>635</v>
      </c>
      <c r="U645" s="20" t="s">
        <v>636</v>
      </c>
      <c r="V645" s="20" t="s">
        <v>87</v>
      </c>
      <c r="W645" s="20">
        <v>508</v>
      </c>
      <c r="X645" s="20">
        <v>508</v>
      </c>
      <c r="Y645" s="20" t="s">
        <v>2397</v>
      </c>
      <c r="Z645" s="20">
        <v>8.3333333333333329E-2</v>
      </c>
      <c r="AA645" s="20" t="s">
        <v>1792</v>
      </c>
      <c r="AB645" s="20" t="s">
        <v>176</v>
      </c>
      <c r="AC645" s="20" t="s">
        <v>177</v>
      </c>
      <c r="AD645" s="20" t="s">
        <v>2398</v>
      </c>
      <c r="AE645" s="20" t="s">
        <v>91</v>
      </c>
      <c r="AF645" s="20">
        <v>0.16666666666666666</v>
      </c>
      <c r="AH645" s="20">
        <v>1</v>
      </c>
      <c r="AI645" s="4" t="s">
        <v>645</v>
      </c>
      <c r="AJ645" s="20">
        <v>75</v>
      </c>
      <c r="AK645" s="4" t="s">
        <v>641</v>
      </c>
      <c r="AL645" s="4">
        <v>4</v>
      </c>
      <c r="AM645" s="4" t="s">
        <v>470</v>
      </c>
      <c r="AN645" s="4" t="s">
        <v>95</v>
      </c>
      <c r="AO645" s="4" t="s">
        <v>96</v>
      </c>
      <c r="AP645" s="4">
        <v>1</v>
      </c>
      <c r="AQ645" s="20">
        <v>69000</v>
      </c>
      <c r="AR645" s="4">
        <v>41803</v>
      </c>
      <c r="AS645" s="20">
        <v>12545.454545454544</v>
      </c>
      <c r="AT645" s="20">
        <v>15862.314999999999</v>
      </c>
      <c r="AU645" s="20">
        <v>3316.8604545454546</v>
      </c>
      <c r="AW645" s="20">
        <v>70</v>
      </c>
      <c r="AY645" s="20">
        <v>70</v>
      </c>
      <c r="AZ645" s="20">
        <v>12.1</v>
      </c>
      <c r="BB645" s="6">
        <v>41767</v>
      </c>
      <c r="BC645" s="6">
        <v>41853</v>
      </c>
      <c r="BD645" s="6">
        <v>41848</v>
      </c>
      <c r="BE645" s="6">
        <v>41859</v>
      </c>
      <c r="BF645" s="6">
        <v>41876</v>
      </c>
      <c r="BK645" s="4" t="s">
        <v>401</v>
      </c>
      <c r="BM645" s="20">
        <v>76</v>
      </c>
      <c r="BN645" s="20">
        <v>0</v>
      </c>
      <c r="BO645" s="20">
        <v>0</v>
      </c>
      <c r="BP645" s="20">
        <v>0</v>
      </c>
      <c r="BQ645" s="20">
        <v>0</v>
      </c>
      <c r="BR645" s="20">
        <v>0</v>
      </c>
      <c r="BS645" s="20">
        <v>75</v>
      </c>
      <c r="BT645" s="20">
        <v>1189673.625</v>
      </c>
      <c r="BU645" s="20">
        <v>5175000</v>
      </c>
      <c r="BV645" s="20">
        <v>3.9544841170581169</v>
      </c>
    </row>
    <row r="646" spans="1:74">
      <c r="A646" s="10">
        <f t="shared" si="42"/>
        <v>0</v>
      </c>
      <c r="B646" s="10">
        <f t="shared" si="43"/>
        <v>0</v>
      </c>
      <c r="C646" s="12">
        <f t="shared" si="44"/>
        <v>5</v>
      </c>
      <c r="D646" s="12">
        <f t="shared" si="45"/>
        <v>8</v>
      </c>
      <c r="E646" s="20" t="s">
        <v>574</v>
      </c>
      <c r="F646" s="20" t="s">
        <v>2365</v>
      </c>
      <c r="G646" s="20" t="s">
        <v>2392</v>
      </c>
      <c r="H646" s="20" t="s">
        <v>2393</v>
      </c>
      <c r="I646" s="20">
        <v>1</v>
      </c>
      <c r="J646" s="20" t="s">
        <v>2394</v>
      </c>
      <c r="K646" s="20" t="s">
        <v>2401</v>
      </c>
      <c r="L646" s="20" t="s">
        <v>2396</v>
      </c>
      <c r="M646" s="20" t="s">
        <v>2371</v>
      </c>
      <c r="N646" s="20" t="s">
        <v>1789</v>
      </c>
      <c r="P646" s="20" t="s">
        <v>2371</v>
      </c>
      <c r="Q646" s="20" t="s">
        <v>2372</v>
      </c>
      <c r="R646" s="20" t="s">
        <v>84</v>
      </c>
      <c r="S646" s="20">
        <v>5</v>
      </c>
      <c r="T646" s="20" t="s">
        <v>635</v>
      </c>
      <c r="U646" s="20" t="s">
        <v>636</v>
      </c>
      <c r="V646" s="20" t="s">
        <v>87</v>
      </c>
      <c r="W646" s="20">
        <v>508</v>
      </c>
      <c r="X646" s="20">
        <v>508</v>
      </c>
      <c r="Y646" s="20" t="s">
        <v>2397</v>
      </c>
      <c r="Z646" s="20">
        <v>8.3333333333333329E-2</v>
      </c>
      <c r="AA646" s="20" t="s">
        <v>1792</v>
      </c>
      <c r="AB646" s="20" t="s">
        <v>176</v>
      </c>
      <c r="AC646" s="20" t="s">
        <v>177</v>
      </c>
      <c r="AD646" s="20" t="s">
        <v>2398</v>
      </c>
      <c r="AE646" s="20" t="s">
        <v>91</v>
      </c>
      <c r="AF646" s="20">
        <v>0.16666666666666666</v>
      </c>
      <c r="AH646" s="20">
        <v>1</v>
      </c>
      <c r="AI646" s="4" t="s">
        <v>647</v>
      </c>
      <c r="AJ646" s="20">
        <v>75</v>
      </c>
      <c r="AK646" s="4" t="s">
        <v>641</v>
      </c>
      <c r="AL646" s="4">
        <v>4</v>
      </c>
      <c r="AM646" s="4" t="s">
        <v>470</v>
      </c>
      <c r="AN646" s="4" t="s">
        <v>95</v>
      </c>
      <c r="AO646" s="4" t="s">
        <v>96</v>
      </c>
      <c r="AP646" s="4">
        <v>1</v>
      </c>
      <c r="AQ646" s="20">
        <v>69000</v>
      </c>
      <c r="AR646" s="4">
        <v>41803</v>
      </c>
      <c r="AS646" s="20">
        <v>12545.454545454544</v>
      </c>
      <c r="AT646" s="20">
        <v>15862.314999999999</v>
      </c>
      <c r="AU646" s="20">
        <v>3316.8604545454546</v>
      </c>
      <c r="AW646" s="20">
        <v>70</v>
      </c>
      <c r="AY646" s="20">
        <v>70</v>
      </c>
      <c r="AZ646" s="20">
        <v>12.1</v>
      </c>
      <c r="BB646" s="6">
        <v>41767</v>
      </c>
      <c r="BC646" s="6">
        <v>41853</v>
      </c>
      <c r="BD646" s="6">
        <v>41848</v>
      </c>
      <c r="BE646" s="6">
        <v>41859</v>
      </c>
      <c r="BF646" s="6">
        <v>41876</v>
      </c>
      <c r="BK646" s="4" t="s">
        <v>401</v>
      </c>
      <c r="BM646" s="20">
        <v>76</v>
      </c>
      <c r="BN646" s="20">
        <v>0</v>
      </c>
      <c r="BO646" s="20">
        <v>0</v>
      </c>
      <c r="BP646" s="20">
        <v>0</v>
      </c>
      <c r="BQ646" s="20">
        <v>0</v>
      </c>
      <c r="BR646" s="20">
        <v>0</v>
      </c>
      <c r="BS646" s="20">
        <v>75</v>
      </c>
      <c r="BT646" s="20">
        <v>1189673.625</v>
      </c>
      <c r="BU646" s="20">
        <v>5175000</v>
      </c>
      <c r="BV646" s="20">
        <v>3.9544841170581169</v>
      </c>
    </row>
    <row r="647" spans="1:74">
      <c r="A647" s="10">
        <f t="shared" si="42"/>
        <v>0</v>
      </c>
      <c r="B647" s="10">
        <f t="shared" si="43"/>
        <v>0</v>
      </c>
      <c r="C647" s="12">
        <f t="shared" si="44"/>
        <v>5</v>
      </c>
      <c r="D647" s="12">
        <f t="shared" si="45"/>
        <v>8</v>
      </c>
      <c r="E647" s="20" t="s">
        <v>574</v>
      </c>
      <c r="F647" s="20" t="s">
        <v>2365</v>
      </c>
      <c r="G647" s="20" t="s">
        <v>2392</v>
      </c>
      <c r="H647" s="20" t="s">
        <v>2393</v>
      </c>
      <c r="I647" s="20">
        <v>1</v>
      </c>
      <c r="J647" s="20" t="s">
        <v>2394</v>
      </c>
      <c r="K647" s="20" t="s">
        <v>2402</v>
      </c>
      <c r="L647" s="20" t="s">
        <v>2396</v>
      </c>
      <c r="M647" s="20" t="s">
        <v>2371</v>
      </c>
      <c r="N647" s="20" t="s">
        <v>1789</v>
      </c>
      <c r="P647" s="20" t="s">
        <v>2371</v>
      </c>
      <c r="Q647" s="20" t="s">
        <v>2372</v>
      </c>
      <c r="R647" s="20" t="s">
        <v>84</v>
      </c>
      <c r="S647" s="20">
        <v>5</v>
      </c>
      <c r="T647" s="20" t="s">
        <v>635</v>
      </c>
      <c r="U647" s="20" t="s">
        <v>636</v>
      </c>
      <c r="V647" s="20" t="s">
        <v>87</v>
      </c>
      <c r="W647" s="20">
        <v>508</v>
      </c>
      <c r="X647" s="20">
        <v>508</v>
      </c>
      <c r="Y647" s="20" t="s">
        <v>2397</v>
      </c>
      <c r="Z647" s="20">
        <v>8.3333333333333329E-2</v>
      </c>
      <c r="AA647" s="20" t="s">
        <v>1792</v>
      </c>
      <c r="AB647" s="20" t="s">
        <v>176</v>
      </c>
      <c r="AC647" s="20" t="s">
        <v>177</v>
      </c>
      <c r="AD647" s="20" t="s">
        <v>2398</v>
      </c>
      <c r="AE647" s="20" t="s">
        <v>91</v>
      </c>
      <c r="AF647" s="20">
        <v>0.16666666666666666</v>
      </c>
      <c r="AH647" s="20">
        <v>1</v>
      </c>
      <c r="AI647" s="4" t="s">
        <v>649</v>
      </c>
      <c r="AJ647" s="20">
        <v>45</v>
      </c>
      <c r="AK647" s="4" t="s">
        <v>641</v>
      </c>
      <c r="AL647" s="4">
        <v>4</v>
      </c>
      <c r="AM647" s="4" t="s">
        <v>470</v>
      </c>
      <c r="AN647" s="4" t="s">
        <v>95</v>
      </c>
      <c r="AO647" s="4" t="s">
        <v>96</v>
      </c>
      <c r="AP647" s="4">
        <v>1</v>
      </c>
      <c r="AQ647" s="20">
        <v>69000</v>
      </c>
      <c r="AR647" s="4">
        <v>41803</v>
      </c>
      <c r="AS647" s="20">
        <v>12545.454545454544</v>
      </c>
      <c r="AT647" s="20">
        <v>15862.314999999999</v>
      </c>
      <c r="AU647" s="20">
        <v>3316.8604545454546</v>
      </c>
      <c r="AW647" s="20">
        <v>70</v>
      </c>
      <c r="AY647" s="20">
        <v>70</v>
      </c>
      <c r="AZ647" s="20">
        <v>12.1</v>
      </c>
      <c r="BB647" s="6">
        <v>41767</v>
      </c>
      <c r="BC647" s="6">
        <v>41853</v>
      </c>
      <c r="BD647" s="6">
        <v>41848</v>
      </c>
      <c r="BE647" s="6">
        <v>41859</v>
      </c>
      <c r="BF647" s="6">
        <v>41876</v>
      </c>
      <c r="BK647" s="4" t="s">
        <v>401</v>
      </c>
      <c r="BM647" s="20">
        <v>45</v>
      </c>
      <c r="BN647" s="20">
        <v>0</v>
      </c>
      <c r="BO647" s="20">
        <v>0</v>
      </c>
      <c r="BP647" s="20">
        <v>0</v>
      </c>
      <c r="BQ647" s="20">
        <v>0</v>
      </c>
      <c r="BR647" s="20">
        <v>0</v>
      </c>
      <c r="BS647" s="20">
        <v>45</v>
      </c>
      <c r="BT647" s="20">
        <v>713804.17499999993</v>
      </c>
      <c r="BU647" s="20">
        <v>3105000</v>
      </c>
      <c r="BV647" s="20">
        <v>3.9544841170581169</v>
      </c>
    </row>
    <row r="648" spans="1:74">
      <c r="A648" s="10">
        <f t="shared" si="42"/>
        <v>0</v>
      </c>
      <c r="B648" s="10">
        <f t="shared" si="43"/>
        <v>0</v>
      </c>
      <c r="C648" s="12">
        <f t="shared" si="44"/>
        <v>5</v>
      </c>
      <c r="D648" s="12">
        <f t="shared" si="45"/>
        <v>8</v>
      </c>
      <c r="E648" s="20" t="s">
        <v>574</v>
      </c>
      <c r="F648" s="20" t="s">
        <v>2365</v>
      </c>
      <c r="G648" s="20" t="s">
        <v>2392</v>
      </c>
      <c r="H648" s="20" t="s">
        <v>2393</v>
      </c>
      <c r="I648" s="20">
        <v>1</v>
      </c>
      <c r="J648" s="20" t="s">
        <v>2394</v>
      </c>
      <c r="K648" s="20" t="s">
        <v>2403</v>
      </c>
      <c r="L648" s="20" t="s">
        <v>2396</v>
      </c>
      <c r="M648" s="20" t="s">
        <v>2371</v>
      </c>
      <c r="N648" s="20" t="s">
        <v>1789</v>
      </c>
      <c r="P648" s="20" t="s">
        <v>2371</v>
      </c>
      <c r="Q648" s="20" t="s">
        <v>2372</v>
      </c>
      <c r="R648" s="20" t="s">
        <v>84</v>
      </c>
      <c r="S648" s="20">
        <v>5</v>
      </c>
      <c r="T648" s="20" t="s">
        <v>635</v>
      </c>
      <c r="U648" s="20" t="s">
        <v>636</v>
      </c>
      <c r="V648" s="20" t="s">
        <v>87</v>
      </c>
      <c r="W648" s="20">
        <v>508</v>
      </c>
      <c r="X648" s="20">
        <v>508</v>
      </c>
      <c r="Y648" s="20" t="s">
        <v>2397</v>
      </c>
      <c r="Z648" s="20">
        <v>8.3333333333333329E-2</v>
      </c>
      <c r="AA648" s="20" t="s">
        <v>1792</v>
      </c>
      <c r="AB648" s="20" t="s">
        <v>176</v>
      </c>
      <c r="AC648" s="20" t="s">
        <v>177</v>
      </c>
      <c r="AD648" s="20" t="s">
        <v>2398</v>
      </c>
      <c r="AE648" s="20" t="s">
        <v>91</v>
      </c>
      <c r="AF648" s="20">
        <v>0.16666666666666666</v>
      </c>
      <c r="AH648" s="20">
        <v>1</v>
      </c>
      <c r="AI648" s="4" t="s">
        <v>651</v>
      </c>
      <c r="AJ648" s="20">
        <v>40</v>
      </c>
      <c r="AK648" s="4" t="s">
        <v>641</v>
      </c>
      <c r="AL648" s="4">
        <v>4</v>
      </c>
      <c r="AM648" s="4" t="s">
        <v>470</v>
      </c>
      <c r="AN648" s="4" t="s">
        <v>95</v>
      </c>
      <c r="AO648" s="4" t="s">
        <v>96</v>
      </c>
      <c r="AP648" s="4">
        <v>1</v>
      </c>
      <c r="AQ648" s="20">
        <v>69000</v>
      </c>
      <c r="AR648" s="4">
        <v>41803</v>
      </c>
      <c r="AS648" s="20">
        <v>12545.454545454544</v>
      </c>
      <c r="AT648" s="20">
        <v>15862.314999999999</v>
      </c>
      <c r="AU648" s="20">
        <v>3316.8604545454546</v>
      </c>
      <c r="AW648" s="20">
        <v>70</v>
      </c>
      <c r="AY648" s="20">
        <v>70</v>
      </c>
      <c r="AZ648" s="20">
        <v>12.1</v>
      </c>
      <c r="BB648" s="6">
        <v>41767</v>
      </c>
      <c r="BC648" s="6">
        <v>41853</v>
      </c>
      <c r="BD648" s="6">
        <v>41848</v>
      </c>
      <c r="BE648" s="6">
        <v>41859</v>
      </c>
      <c r="BF648" s="6">
        <v>41876</v>
      </c>
      <c r="BK648" s="4" t="s">
        <v>401</v>
      </c>
      <c r="BM648" s="20">
        <v>40</v>
      </c>
      <c r="BN648" s="20">
        <v>0</v>
      </c>
      <c r="BO648" s="20">
        <v>0</v>
      </c>
      <c r="BP648" s="20">
        <v>0</v>
      </c>
      <c r="BQ648" s="20">
        <v>0</v>
      </c>
      <c r="BR648" s="20">
        <v>0</v>
      </c>
      <c r="BS648" s="20">
        <v>40</v>
      </c>
      <c r="BT648" s="20">
        <v>634492.6</v>
      </c>
      <c r="BU648" s="20">
        <v>2760000</v>
      </c>
      <c r="BV648" s="20">
        <v>3.9544841170581173</v>
      </c>
    </row>
    <row r="649" spans="1:74">
      <c r="A649" s="10">
        <f t="shared" si="42"/>
        <v>0</v>
      </c>
      <c r="B649" s="10">
        <f t="shared" si="43"/>
        <v>0</v>
      </c>
      <c r="C649" s="12">
        <f t="shared" si="44"/>
        <v>5</v>
      </c>
      <c r="D649" s="12">
        <f t="shared" si="45"/>
        <v>9</v>
      </c>
      <c r="E649" s="20" t="s">
        <v>574</v>
      </c>
      <c r="F649" s="20" t="s">
        <v>2365</v>
      </c>
      <c r="G649" s="20" t="s">
        <v>2392</v>
      </c>
      <c r="H649" s="20" t="s">
        <v>2404</v>
      </c>
      <c r="I649" s="20">
        <v>2</v>
      </c>
      <c r="J649" s="20" t="s">
        <v>2405</v>
      </c>
      <c r="K649" s="20" t="s">
        <v>2406</v>
      </c>
      <c r="L649" s="20" t="s">
        <v>2396</v>
      </c>
      <c r="M649" s="20" t="s">
        <v>2371</v>
      </c>
      <c r="N649" s="20" t="s">
        <v>1789</v>
      </c>
      <c r="P649" s="20" t="s">
        <v>2371</v>
      </c>
      <c r="Q649" s="20" t="s">
        <v>2372</v>
      </c>
      <c r="R649" s="20" t="s">
        <v>84</v>
      </c>
      <c r="S649" s="20">
        <v>5</v>
      </c>
      <c r="T649" s="20" t="s">
        <v>635</v>
      </c>
      <c r="U649" s="20" t="s">
        <v>636</v>
      </c>
      <c r="V649" s="20" t="s">
        <v>87</v>
      </c>
      <c r="W649" s="20">
        <v>508</v>
      </c>
      <c r="X649" s="20">
        <v>508</v>
      </c>
      <c r="Y649" s="20" t="s">
        <v>2397</v>
      </c>
      <c r="Z649" s="20">
        <v>8.3333333333333329E-2</v>
      </c>
      <c r="AA649" s="20" t="s">
        <v>1793</v>
      </c>
      <c r="AB649" s="20" t="s">
        <v>248</v>
      </c>
      <c r="AC649" s="20" t="s">
        <v>249</v>
      </c>
      <c r="AD649" s="20" t="s">
        <v>2407</v>
      </c>
      <c r="AE649" s="20" t="s">
        <v>91</v>
      </c>
      <c r="AF649" s="20">
        <v>0.16666666666666666</v>
      </c>
      <c r="AH649" s="20">
        <v>1</v>
      </c>
      <c r="AI649" s="4" t="s">
        <v>640</v>
      </c>
      <c r="AJ649" s="20">
        <v>120</v>
      </c>
      <c r="AK649" s="4" t="s">
        <v>641</v>
      </c>
      <c r="AL649" s="4">
        <v>4</v>
      </c>
      <c r="AM649" s="4" t="s">
        <v>470</v>
      </c>
      <c r="AN649" s="4" t="s">
        <v>95</v>
      </c>
      <c r="AO649" s="4" t="s">
        <v>96</v>
      </c>
      <c r="AP649" s="4">
        <v>1</v>
      </c>
      <c r="AQ649" s="20">
        <v>69000</v>
      </c>
      <c r="AR649" s="4">
        <v>41803</v>
      </c>
      <c r="AS649" s="20">
        <v>12545.454545454544</v>
      </c>
      <c r="AT649" s="20">
        <v>15209.739999999998</v>
      </c>
      <c r="AU649" s="20">
        <v>2664.2854545454538</v>
      </c>
      <c r="AW649" s="20">
        <v>70</v>
      </c>
      <c r="AY649" s="20">
        <v>70</v>
      </c>
      <c r="AZ649" s="20">
        <v>11.6</v>
      </c>
      <c r="BB649" s="6">
        <v>41767</v>
      </c>
      <c r="BC649" s="6">
        <v>41853</v>
      </c>
      <c r="BD649" s="6">
        <v>41848</v>
      </c>
      <c r="BE649" s="6">
        <v>41859</v>
      </c>
      <c r="BF649" s="6">
        <v>41899</v>
      </c>
      <c r="BK649" s="4" t="s">
        <v>401</v>
      </c>
      <c r="BM649" s="20">
        <v>121</v>
      </c>
      <c r="BN649" s="20">
        <v>0</v>
      </c>
      <c r="BO649" s="20">
        <v>0</v>
      </c>
      <c r="BP649" s="20">
        <v>0</v>
      </c>
      <c r="BQ649" s="20">
        <v>0</v>
      </c>
      <c r="BR649" s="20">
        <v>0</v>
      </c>
      <c r="BS649" s="20">
        <v>120</v>
      </c>
      <c r="BT649" s="20">
        <v>1825168.7999999998</v>
      </c>
      <c r="BU649" s="20">
        <v>8280000</v>
      </c>
      <c r="BV649" s="20">
        <v>4.1241515454749873</v>
      </c>
    </row>
    <row r="650" spans="1:74">
      <c r="A650" s="10">
        <f t="shared" si="42"/>
        <v>0</v>
      </c>
      <c r="B650" s="10">
        <f t="shared" si="43"/>
        <v>0</v>
      </c>
      <c r="C650" s="12">
        <f t="shared" si="44"/>
        <v>5</v>
      </c>
      <c r="D650" s="12">
        <f t="shared" si="45"/>
        <v>9</v>
      </c>
      <c r="E650" s="20" t="s">
        <v>574</v>
      </c>
      <c r="F650" s="20" t="s">
        <v>2365</v>
      </c>
      <c r="G650" s="20" t="s">
        <v>2392</v>
      </c>
      <c r="H650" s="20" t="s">
        <v>2404</v>
      </c>
      <c r="I650" s="20">
        <v>2</v>
      </c>
      <c r="J650" s="20" t="s">
        <v>2405</v>
      </c>
      <c r="K650" s="20" t="s">
        <v>2408</v>
      </c>
      <c r="L650" s="20" t="s">
        <v>2396</v>
      </c>
      <c r="M650" s="20" t="s">
        <v>2371</v>
      </c>
      <c r="N650" s="20" t="s">
        <v>1789</v>
      </c>
      <c r="P650" s="20" t="s">
        <v>2371</v>
      </c>
      <c r="Q650" s="20" t="s">
        <v>2372</v>
      </c>
      <c r="R650" s="20" t="s">
        <v>84</v>
      </c>
      <c r="S650" s="20">
        <v>5</v>
      </c>
      <c r="T650" s="20" t="s">
        <v>635</v>
      </c>
      <c r="U650" s="20" t="s">
        <v>636</v>
      </c>
      <c r="V650" s="20" t="s">
        <v>87</v>
      </c>
      <c r="W650" s="20">
        <v>508</v>
      </c>
      <c r="X650" s="20">
        <v>508</v>
      </c>
      <c r="Y650" s="20" t="s">
        <v>2397</v>
      </c>
      <c r="Z650" s="20">
        <v>8.3333333333333329E-2</v>
      </c>
      <c r="AA650" s="20" t="s">
        <v>1793</v>
      </c>
      <c r="AB650" s="20" t="s">
        <v>248</v>
      </c>
      <c r="AC650" s="20" t="s">
        <v>249</v>
      </c>
      <c r="AD650" s="20" t="s">
        <v>2407</v>
      </c>
      <c r="AE650" s="20" t="s">
        <v>91</v>
      </c>
      <c r="AF650" s="20">
        <v>0.16666666666666666</v>
      </c>
      <c r="AH650" s="20">
        <v>1</v>
      </c>
      <c r="AI650" s="4" t="s">
        <v>643</v>
      </c>
      <c r="AJ650" s="20">
        <v>45</v>
      </c>
      <c r="AK650" s="4" t="s">
        <v>641</v>
      </c>
      <c r="AL650" s="4">
        <v>4</v>
      </c>
      <c r="AM650" s="4" t="s">
        <v>470</v>
      </c>
      <c r="AN650" s="4" t="s">
        <v>95</v>
      </c>
      <c r="AO650" s="4" t="s">
        <v>96</v>
      </c>
      <c r="AP650" s="4">
        <v>1</v>
      </c>
      <c r="AQ650" s="20">
        <v>69000</v>
      </c>
      <c r="AR650" s="4">
        <v>41803</v>
      </c>
      <c r="AS650" s="20">
        <v>12545.454545454544</v>
      </c>
      <c r="AT650" s="20">
        <v>15209.739999999998</v>
      </c>
      <c r="AU650" s="20">
        <v>2664.2854545454538</v>
      </c>
      <c r="AW650" s="20">
        <v>70</v>
      </c>
      <c r="AY650" s="20">
        <v>70</v>
      </c>
      <c r="AZ650" s="20">
        <v>11.6</v>
      </c>
      <c r="BB650" s="6">
        <v>41767</v>
      </c>
      <c r="BC650" s="6">
        <v>41853</v>
      </c>
      <c r="BD650" s="6">
        <v>41848</v>
      </c>
      <c r="BE650" s="6">
        <v>41859</v>
      </c>
      <c r="BF650" s="6">
        <v>41899</v>
      </c>
      <c r="BK650" s="4" t="s">
        <v>401</v>
      </c>
      <c r="BM650" s="20">
        <v>46</v>
      </c>
      <c r="BN650" s="20">
        <v>0</v>
      </c>
      <c r="BO650" s="20">
        <v>0</v>
      </c>
      <c r="BP650" s="20">
        <v>0</v>
      </c>
      <c r="BQ650" s="20">
        <v>0</v>
      </c>
      <c r="BR650" s="20">
        <v>0</v>
      </c>
      <c r="BS650" s="20">
        <v>45</v>
      </c>
      <c r="BT650" s="20">
        <v>684438.29999999993</v>
      </c>
      <c r="BU650" s="20">
        <v>3105000</v>
      </c>
      <c r="BV650" s="20">
        <v>4.1241515454749873</v>
      </c>
    </row>
    <row r="651" spans="1:74">
      <c r="A651" s="10">
        <f t="shared" si="42"/>
        <v>0</v>
      </c>
      <c r="B651" s="10">
        <f t="shared" si="43"/>
        <v>0</v>
      </c>
      <c r="C651" s="12">
        <f t="shared" si="44"/>
        <v>5</v>
      </c>
      <c r="D651" s="12">
        <f t="shared" si="45"/>
        <v>9</v>
      </c>
      <c r="E651" s="20" t="s">
        <v>574</v>
      </c>
      <c r="F651" s="20" t="s">
        <v>2365</v>
      </c>
      <c r="G651" s="20" t="s">
        <v>2392</v>
      </c>
      <c r="H651" s="20" t="s">
        <v>2404</v>
      </c>
      <c r="I651" s="20">
        <v>2</v>
      </c>
      <c r="J651" s="20" t="s">
        <v>2405</v>
      </c>
      <c r="K651" s="20" t="s">
        <v>2409</v>
      </c>
      <c r="L651" s="20" t="s">
        <v>2396</v>
      </c>
      <c r="M651" s="20" t="s">
        <v>2371</v>
      </c>
      <c r="N651" s="20" t="s">
        <v>1789</v>
      </c>
      <c r="P651" s="20" t="s">
        <v>2371</v>
      </c>
      <c r="Q651" s="20" t="s">
        <v>2372</v>
      </c>
      <c r="R651" s="20" t="s">
        <v>84</v>
      </c>
      <c r="S651" s="20">
        <v>5</v>
      </c>
      <c r="T651" s="20" t="s">
        <v>635</v>
      </c>
      <c r="U651" s="20" t="s">
        <v>636</v>
      </c>
      <c r="V651" s="20" t="s">
        <v>87</v>
      </c>
      <c r="W651" s="20">
        <v>508</v>
      </c>
      <c r="X651" s="20">
        <v>508</v>
      </c>
      <c r="Y651" s="20" t="s">
        <v>2397</v>
      </c>
      <c r="Z651" s="20">
        <v>8.3333333333333329E-2</v>
      </c>
      <c r="AA651" s="20" t="s">
        <v>1793</v>
      </c>
      <c r="AB651" s="20" t="s">
        <v>248</v>
      </c>
      <c r="AC651" s="20" t="s">
        <v>249</v>
      </c>
      <c r="AD651" s="20" t="s">
        <v>2407</v>
      </c>
      <c r="AE651" s="20" t="s">
        <v>91</v>
      </c>
      <c r="AF651" s="20">
        <v>0.16666666666666666</v>
      </c>
      <c r="AH651" s="20">
        <v>1</v>
      </c>
      <c r="AI651" s="4" t="s">
        <v>645</v>
      </c>
      <c r="AJ651" s="20">
        <v>75</v>
      </c>
      <c r="AK651" s="4" t="s">
        <v>641</v>
      </c>
      <c r="AL651" s="4">
        <v>4</v>
      </c>
      <c r="AM651" s="4" t="s">
        <v>470</v>
      </c>
      <c r="AN651" s="4" t="s">
        <v>95</v>
      </c>
      <c r="AO651" s="4" t="s">
        <v>96</v>
      </c>
      <c r="AP651" s="4">
        <v>1</v>
      </c>
      <c r="AQ651" s="20">
        <v>69000</v>
      </c>
      <c r="AR651" s="4">
        <v>41803</v>
      </c>
      <c r="AS651" s="20">
        <v>12545.454545454544</v>
      </c>
      <c r="AT651" s="20">
        <v>15209.739999999998</v>
      </c>
      <c r="AU651" s="20">
        <v>2664.2854545454538</v>
      </c>
      <c r="AW651" s="20">
        <v>70</v>
      </c>
      <c r="AY651" s="20">
        <v>70</v>
      </c>
      <c r="AZ651" s="20">
        <v>11.6</v>
      </c>
      <c r="BB651" s="6">
        <v>41767</v>
      </c>
      <c r="BC651" s="6">
        <v>41853</v>
      </c>
      <c r="BD651" s="6">
        <v>41848</v>
      </c>
      <c r="BE651" s="6">
        <v>41859</v>
      </c>
      <c r="BF651" s="6">
        <v>41899</v>
      </c>
      <c r="BK651" s="4" t="s">
        <v>401</v>
      </c>
      <c r="BM651" s="20">
        <v>77</v>
      </c>
      <c r="BN651" s="20">
        <v>0</v>
      </c>
      <c r="BO651" s="20">
        <v>0</v>
      </c>
      <c r="BP651" s="20">
        <v>0</v>
      </c>
      <c r="BQ651" s="20">
        <v>0</v>
      </c>
      <c r="BR651" s="20">
        <v>0</v>
      </c>
      <c r="BS651" s="20">
        <v>75</v>
      </c>
      <c r="BT651" s="20">
        <v>1140730.4999999998</v>
      </c>
      <c r="BU651" s="20">
        <v>5175000</v>
      </c>
      <c r="BV651" s="20">
        <v>4.1241515454749873</v>
      </c>
    </row>
    <row r="652" spans="1:74">
      <c r="A652" s="10">
        <f t="shared" si="42"/>
        <v>0</v>
      </c>
      <c r="B652" s="10">
        <f t="shared" si="43"/>
        <v>0</v>
      </c>
      <c r="C652" s="12">
        <f t="shared" si="44"/>
        <v>5</v>
      </c>
      <c r="D652" s="12">
        <f t="shared" si="45"/>
        <v>9</v>
      </c>
      <c r="E652" s="20" t="s">
        <v>574</v>
      </c>
      <c r="F652" s="20" t="s">
        <v>2365</v>
      </c>
      <c r="G652" s="20" t="s">
        <v>2392</v>
      </c>
      <c r="H652" s="20" t="s">
        <v>2404</v>
      </c>
      <c r="I652" s="20">
        <v>2</v>
      </c>
      <c r="J652" s="20" t="s">
        <v>2405</v>
      </c>
      <c r="K652" s="20" t="s">
        <v>2410</v>
      </c>
      <c r="L652" s="20" t="s">
        <v>2396</v>
      </c>
      <c r="M652" s="20" t="s">
        <v>2371</v>
      </c>
      <c r="N652" s="20" t="s">
        <v>1789</v>
      </c>
      <c r="P652" s="20" t="s">
        <v>2371</v>
      </c>
      <c r="Q652" s="20" t="s">
        <v>2372</v>
      </c>
      <c r="R652" s="20" t="s">
        <v>84</v>
      </c>
      <c r="S652" s="20">
        <v>5</v>
      </c>
      <c r="T652" s="20" t="s">
        <v>635</v>
      </c>
      <c r="U652" s="20" t="s">
        <v>636</v>
      </c>
      <c r="V652" s="20" t="s">
        <v>87</v>
      </c>
      <c r="W652" s="20">
        <v>508</v>
      </c>
      <c r="X652" s="20">
        <v>508</v>
      </c>
      <c r="Y652" s="20" t="s">
        <v>2397</v>
      </c>
      <c r="Z652" s="20">
        <v>8.3333333333333329E-2</v>
      </c>
      <c r="AA652" s="20" t="s">
        <v>1793</v>
      </c>
      <c r="AB652" s="20" t="s">
        <v>248</v>
      </c>
      <c r="AC652" s="20" t="s">
        <v>249</v>
      </c>
      <c r="AD652" s="20" t="s">
        <v>2407</v>
      </c>
      <c r="AE652" s="20" t="s">
        <v>91</v>
      </c>
      <c r="AF652" s="20">
        <v>0.16666666666666666</v>
      </c>
      <c r="AH652" s="20">
        <v>1</v>
      </c>
      <c r="AI652" s="4" t="s">
        <v>647</v>
      </c>
      <c r="AJ652" s="20">
        <v>75</v>
      </c>
      <c r="AK652" s="4" t="s">
        <v>641</v>
      </c>
      <c r="AL652" s="4">
        <v>4</v>
      </c>
      <c r="AM652" s="4" t="s">
        <v>470</v>
      </c>
      <c r="AN652" s="4" t="s">
        <v>95</v>
      </c>
      <c r="AO652" s="4" t="s">
        <v>96</v>
      </c>
      <c r="AP652" s="4">
        <v>1</v>
      </c>
      <c r="AQ652" s="20">
        <v>69000</v>
      </c>
      <c r="AR652" s="4">
        <v>41803</v>
      </c>
      <c r="AS652" s="20">
        <v>12545.454545454544</v>
      </c>
      <c r="AT652" s="20">
        <v>15209.739999999998</v>
      </c>
      <c r="AU652" s="20">
        <v>2664.2854545454538</v>
      </c>
      <c r="AW652" s="20">
        <v>70</v>
      </c>
      <c r="AY652" s="20">
        <v>70</v>
      </c>
      <c r="AZ652" s="20">
        <v>11.6</v>
      </c>
      <c r="BB652" s="6">
        <v>41767</v>
      </c>
      <c r="BC652" s="6">
        <v>41853</v>
      </c>
      <c r="BD652" s="6">
        <v>41848</v>
      </c>
      <c r="BE652" s="6">
        <v>41859</v>
      </c>
      <c r="BF652" s="6">
        <v>41899</v>
      </c>
      <c r="BK652" s="4" t="s">
        <v>401</v>
      </c>
      <c r="BM652" s="20">
        <v>77</v>
      </c>
      <c r="BN652" s="20">
        <v>0</v>
      </c>
      <c r="BO652" s="20">
        <v>0</v>
      </c>
      <c r="BP652" s="20">
        <v>0</v>
      </c>
      <c r="BQ652" s="20">
        <v>0</v>
      </c>
      <c r="BR652" s="20">
        <v>0</v>
      </c>
      <c r="BS652" s="20">
        <v>75</v>
      </c>
      <c r="BT652" s="20">
        <v>1140730.4999999998</v>
      </c>
      <c r="BU652" s="20">
        <v>5175000</v>
      </c>
      <c r="BV652" s="20">
        <v>4.1241515454749873</v>
      </c>
    </row>
    <row r="653" spans="1:74">
      <c r="A653" s="10">
        <f t="shared" si="42"/>
        <v>0</v>
      </c>
      <c r="B653" s="10">
        <f t="shared" si="43"/>
        <v>0</v>
      </c>
      <c r="C653" s="12">
        <f t="shared" si="44"/>
        <v>5</v>
      </c>
      <c r="D653" s="12">
        <f t="shared" si="45"/>
        <v>9</v>
      </c>
      <c r="E653" s="20" t="s">
        <v>574</v>
      </c>
      <c r="F653" s="20" t="s">
        <v>2365</v>
      </c>
      <c r="G653" s="20" t="s">
        <v>2392</v>
      </c>
      <c r="H653" s="20" t="s">
        <v>2404</v>
      </c>
      <c r="I653" s="20">
        <v>2</v>
      </c>
      <c r="J653" s="20" t="s">
        <v>2405</v>
      </c>
      <c r="K653" s="20" t="s">
        <v>2411</v>
      </c>
      <c r="L653" s="20" t="s">
        <v>2396</v>
      </c>
      <c r="M653" s="20" t="s">
        <v>2371</v>
      </c>
      <c r="N653" s="20" t="s">
        <v>1789</v>
      </c>
      <c r="P653" s="20" t="s">
        <v>2371</v>
      </c>
      <c r="Q653" s="20" t="s">
        <v>2372</v>
      </c>
      <c r="R653" s="20" t="s">
        <v>84</v>
      </c>
      <c r="S653" s="20">
        <v>5</v>
      </c>
      <c r="T653" s="20" t="s">
        <v>635</v>
      </c>
      <c r="U653" s="20" t="s">
        <v>636</v>
      </c>
      <c r="V653" s="20" t="s">
        <v>87</v>
      </c>
      <c r="W653" s="20">
        <v>508</v>
      </c>
      <c r="X653" s="20">
        <v>508</v>
      </c>
      <c r="Y653" s="20" t="s">
        <v>2397</v>
      </c>
      <c r="Z653" s="20">
        <v>8.3333333333333329E-2</v>
      </c>
      <c r="AA653" s="20" t="s">
        <v>1793</v>
      </c>
      <c r="AB653" s="20" t="s">
        <v>248</v>
      </c>
      <c r="AC653" s="20" t="s">
        <v>249</v>
      </c>
      <c r="AD653" s="20" t="s">
        <v>2407</v>
      </c>
      <c r="AE653" s="20" t="s">
        <v>91</v>
      </c>
      <c r="AF653" s="20">
        <v>0.16666666666666666</v>
      </c>
      <c r="AH653" s="20">
        <v>1</v>
      </c>
      <c r="AI653" s="4" t="s">
        <v>649</v>
      </c>
      <c r="AJ653" s="20">
        <v>45</v>
      </c>
      <c r="AK653" s="4" t="s">
        <v>641</v>
      </c>
      <c r="AL653" s="4">
        <v>4</v>
      </c>
      <c r="AM653" s="4" t="s">
        <v>470</v>
      </c>
      <c r="AN653" s="4" t="s">
        <v>95</v>
      </c>
      <c r="AO653" s="4" t="s">
        <v>96</v>
      </c>
      <c r="AP653" s="4">
        <v>1</v>
      </c>
      <c r="AQ653" s="20">
        <v>69000</v>
      </c>
      <c r="AR653" s="4">
        <v>41803</v>
      </c>
      <c r="AS653" s="20">
        <v>12545.454545454544</v>
      </c>
      <c r="AT653" s="20">
        <v>15209.739999999998</v>
      </c>
      <c r="AU653" s="20">
        <v>2664.2854545454538</v>
      </c>
      <c r="AW653" s="20">
        <v>70</v>
      </c>
      <c r="AY653" s="20">
        <v>70</v>
      </c>
      <c r="AZ653" s="20">
        <v>11.6</v>
      </c>
      <c r="BB653" s="6">
        <v>41767</v>
      </c>
      <c r="BC653" s="6">
        <v>41853</v>
      </c>
      <c r="BD653" s="6">
        <v>41848</v>
      </c>
      <c r="BE653" s="6">
        <v>41859</v>
      </c>
      <c r="BF653" s="6">
        <v>41899</v>
      </c>
      <c r="BK653" s="4" t="s">
        <v>401</v>
      </c>
      <c r="BM653" s="20">
        <v>46</v>
      </c>
      <c r="BN653" s="20">
        <v>0</v>
      </c>
      <c r="BO653" s="20">
        <v>0</v>
      </c>
      <c r="BP653" s="20">
        <v>0</v>
      </c>
      <c r="BQ653" s="20">
        <v>0</v>
      </c>
      <c r="BR653" s="20">
        <v>0</v>
      </c>
      <c r="BS653" s="20">
        <v>45</v>
      </c>
      <c r="BT653" s="20">
        <v>684438.29999999993</v>
      </c>
      <c r="BU653" s="20">
        <v>3105000</v>
      </c>
      <c r="BV653" s="20">
        <v>4.1241515454749873</v>
      </c>
    </row>
    <row r="654" spans="1:74">
      <c r="A654" s="10">
        <f t="shared" si="42"/>
        <v>0</v>
      </c>
      <c r="B654" s="10">
        <f t="shared" si="43"/>
        <v>0</v>
      </c>
      <c r="C654" s="12">
        <f t="shared" si="44"/>
        <v>5</v>
      </c>
      <c r="D654" s="12">
        <f t="shared" si="45"/>
        <v>9</v>
      </c>
      <c r="E654" s="20" t="s">
        <v>574</v>
      </c>
      <c r="F654" s="20" t="s">
        <v>2365</v>
      </c>
      <c r="G654" s="20" t="s">
        <v>2392</v>
      </c>
      <c r="H654" s="20" t="s">
        <v>2404</v>
      </c>
      <c r="I654" s="20">
        <v>2</v>
      </c>
      <c r="J654" s="20" t="s">
        <v>2405</v>
      </c>
      <c r="K654" s="20" t="s">
        <v>2412</v>
      </c>
      <c r="L654" s="20" t="s">
        <v>2396</v>
      </c>
      <c r="M654" s="20" t="s">
        <v>2371</v>
      </c>
      <c r="N654" s="20" t="s">
        <v>1789</v>
      </c>
      <c r="P654" s="20" t="s">
        <v>2371</v>
      </c>
      <c r="Q654" s="20" t="s">
        <v>2372</v>
      </c>
      <c r="R654" s="20" t="s">
        <v>84</v>
      </c>
      <c r="S654" s="20">
        <v>5</v>
      </c>
      <c r="T654" s="20" t="s">
        <v>635</v>
      </c>
      <c r="U654" s="20" t="s">
        <v>636</v>
      </c>
      <c r="V654" s="20" t="s">
        <v>87</v>
      </c>
      <c r="W654" s="20">
        <v>508</v>
      </c>
      <c r="X654" s="20">
        <v>508</v>
      </c>
      <c r="Y654" s="20" t="s">
        <v>2397</v>
      </c>
      <c r="Z654" s="20">
        <v>8.3333333333333329E-2</v>
      </c>
      <c r="AA654" s="20" t="s">
        <v>1793</v>
      </c>
      <c r="AB654" s="20" t="s">
        <v>248</v>
      </c>
      <c r="AC654" s="20" t="s">
        <v>249</v>
      </c>
      <c r="AD654" s="20" t="s">
        <v>2407</v>
      </c>
      <c r="AE654" s="20" t="s">
        <v>91</v>
      </c>
      <c r="AF654" s="20">
        <v>0.16666666666666666</v>
      </c>
      <c r="AH654" s="20">
        <v>1</v>
      </c>
      <c r="AI654" s="4" t="s">
        <v>651</v>
      </c>
      <c r="AJ654" s="20">
        <v>40</v>
      </c>
      <c r="AK654" s="4" t="s">
        <v>641</v>
      </c>
      <c r="AL654" s="4">
        <v>4</v>
      </c>
      <c r="AM654" s="4" t="s">
        <v>470</v>
      </c>
      <c r="AN654" s="4" t="s">
        <v>95</v>
      </c>
      <c r="AO654" s="4" t="s">
        <v>96</v>
      </c>
      <c r="AP654" s="4">
        <v>1</v>
      </c>
      <c r="AQ654" s="20">
        <v>69000</v>
      </c>
      <c r="AR654" s="4">
        <v>41803</v>
      </c>
      <c r="AS654" s="20">
        <v>12545.454545454544</v>
      </c>
      <c r="AT654" s="20">
        <v>15209.739999999998</v>
      </c>
      <c r="AU654" s="20">
        <v>2664.2854545454538</v>
      </c>
      <c r="AW654" s="20">
        <v>70</v>
      </c>
      <c r="AY654" s="20">
        <v>70</v>
      </c>
      <c r="AZ654" s="20">
        <v>11.6</v>
      </c>
      <c r="BB654" s="6">
        <v>41767</v>
      </c>
      <c r="BC654" s="6">
        <v>41853</v>
      </c>
      <c r="BD654" s="6">
        <v>41848</v>
      </c>
      <c r="BE654" s="6">
        <v>41859</v>
      </c>
      <c r="BF654" s="6">
        <v>41899</v>
      </c>
      <c r="BK654" s="4" t="s">
        <v>401</v>
      </c>
      <c r="BM654" s="20">
        <v>40</v>
      </c>
      <c r="BN654" s="20">
        <v>0</v>
      </c>
      <c r="BO654" s="20">
        <v>0</v>
      </c>
      <c r="BP654" s="20">
        <v>0</v>
      </c>
      <c r="BQ654" s="20">
        <v>0</v>
      </c>
      <c r="BR654" s="20">
        <v>0</v>
      </c>
      <c r="BS654" s="20">
        <v>40</v>
      </c>
      <c r="BT654" s="20">
        <v>608389.59999999986</v>
      </c>
      <c r="BU654" s="20">
        <v>2760000</v>
      </c>
      <c r="BV654" s="20">
        <v>4.1241515454749873</v>
      </c>
    </row>
    <row r="655" spans="1:74">
      <c r="A655" s="10">
        <f t="shared" si="42"/>
        <v>0</v>
      </c>
      <c r="B655" s="10">
        <f t="shared" si="43"/>
        <v>0</v>
      </c>
      <c r="C655" s="12">
        <f t="shared" si="44"/>
        <v>5</v>
      </c>
      <c r="D655" s="12">
        <f t="shared" si="45"/>
        <v>8</v>
      </c>
      <c r="E655" s="20" t="s">
        <v>574</v>
      </c>
      <c r="F655" s="20" t="s">
        <v>2365</v>
      </c>
      <c r="G655" s="20" t="s">
        <v>2392</v>
      </c>
      <c r="H655" s="20" t="s">
        <v>2413</v>
      </c>
      <c r="I655" s="20">
        <v>3</v>
      </c>
      <c r="J655" s="20" t="s">
        <v>2414</v>
      </c>
      <c r="K655" s="20" t="s">
        <v>2415</v>
      </c>
      <c r="L655" s="20" t="s">
        <v>2396</v>
      </c>
      <c r="M655" s="20" t="s">
        <v>2371</v>
      </c>
      <c r="N655" s="20" t="s">
        <v>1794</v>
      </c>
      <c r="P655" s="20" t="s">
        <v>2371</v>
      </c>
      <c r="Q655" s="20" t="s">
        <v>2372</v>
      </c>
      <c r="R655" s="20" t="s">
        <v>84</v>
      </c>
      <c r="S655" s="20">
        <v>5</v>
      </c>
      <c r="T655" s="20" t="s">
        <v>762</v>
      </c>
      <c r="U655" s="20" t="s">
        <v>763</v>
      </c>
      <c r="V655" s="20" t="s">
        <v>87</v>
      </c>
      <c r="W655" s="20">
        <v>508</v>
      </c>
      <c r="X655" s="20">
        <v>508</v>
      </c>
      <c r="Y655" s="20" t="s">
        <v>2416</v>
      </c>
      <c r="Z655" s="20">
        <v>0.2</v>
      </c>
      <c r="AA655" s="20" t="s">
        <v>1795</v>
      </c>
      <c r="AB655" s="20" t="s">
        <v>248</v>
      </c>
      <c r="AC655" s="20" t="s">
        <v>249</v>
      </c>
      <c r="AD655" s="20" t="s">
        <v>2417</v>
      </c>
      <c r="AE655" s="20" t="s">
        <v>91</v>
      </c>
      <c r="AF655" s="20">
        <v>0.2</v>
      </c>
      <c r="AH655" s="20">
        <v>1</v>
      </c>
      <c r="AI655" s="4" t="s">
        <v>643</v>
      </c>
      <c r="AJ655" s="20">
        <v>60</v>
      </c>
      <c r="AK655" s="4" t="s">
        <v>641</v>
      </c>
      <c r="AL655" s="4">
        <v>4</v>
      </c>
      <c r="AM655" s="4" t="s">
        <v>470</v>
      </c>
      <c r="AN655" s="4" t="s">
        <v>95</v>
      </c>
      <c r="AO655" s="4" t="s">
        <v>96</v>
      </c>
      <c r="AP655" s="4">
        <v>1</v>
      </c>
      <c r="AQ655" s="20">
        <v>69000</v>
      </c>
      <c r="AR655" s="4">
        <v>41803</v>
      </c>
      <c r="AS655" s="20">
        <v>12545.454545454544</v>
      </c>
      <c r="AT655" s="20">
        <v>16514.89</v>
      </c>
      <c r="AU655" s="20">
        <v>3969.4354545454553</v>
      </c>
      <c r="AW655" s="20">
        <v>70</v>
      </c>
      <c r="AY655" s="20">
        <v>70</v>
      </c>
      <c r="AZ655" s="20">
        <v>12.6</v>
      </c>
      <c r="BB655" s="6">
        <v>41767</v>
      </c>
      <c r="BC655" s="6">
        <v>41853</v>
      </c>
      <c r="BD655" s="6">
        <v>41848</v>
      </c>
      <c r="BE655" s="6">
        <v>41859</v>
      </c>
      <c r="BF655" s="6">
        <v>41877</v>
      </c>
      <c r="BK655" s="4" t="s">
        <v>401</v>
      </c>
      <c r="BM655" s="20">
        <v>66</v>
      </c>
      <c r="BN655" s="20">
        <v>0</v>
      </c>
      <c r="BO655" s="20">
        <v>0</v>
      </c>
      <c r="BP655" s="20">
        <v>0</v>
      </c>
      <c r="BQ655" s="20">
        <v>0</v>
      </c>
      <c r="BR655" s="20">
        <v>0</v>
      </c>
      <c r="BS655" s="20">
        <v>60</v>
      </c>
      <c r="BT655" s="20">
        <v>990893.39999999991</v>
      </c>
      <c r="BU655" s="20">
        <v>4140000</v>
      </c>
      <c r="BV655" s="20">
        <v>3.7982252819893279</v>
      </c>
    </row>
    <row r="656" spans="1:74">
      <c r="A656" s="10">
        <f t="shared" si="42"/>
        <v>0</v>
      </c>
      <c r="B656" s="10">
        <f t="shared" si="43"/>
        <v>0</v>
      </c>
      <c r="C656" s="12">
        <f t="shared" si="44"/>
        <v>5</v>
      </c>
      <c r="D656" s="12">
        <f t="shared" si="45"/>
        <v>8</v>
      </c>
      <c r="E656" s="20" t="s">
        <v>574</v>
      </c>
      <c r="F656" s="20" t="s">
        <v>2365</v>
      </c>
      <c r="G656" s="20" t="s">
        <v>2392</v>
      </c>
      <c r="H656" s="20" t="s">
        <v>2413</v>
      </c>
      <c r="I656" s="20">
        <v>3</v>
      </c>
      <c r="J656" s="20" t="s">
        <v>2414</v>
      </c>
      <c r="K656" s="20" t="s">
        <v>2418</v>
      </c>
      <c r="L656" s="20" t="s">
        <v>2396</v>
      </c>
      <c r="M656" s="20" t="s">
        <v>2371</v>
      </c>
      <c r="N656" s="20" t="s">
        <v>1794</v>
      </c>
      <c r="P656" s="20" t="s">
        <v>2371</v>
      </c>
      <c r="Q656" s="20" t="s">
        <v>2372</v>
      </c>
      <c r="R656" s="20" t="s">
        <v>84</v>
      </c>
      <c r="S656" s="20">
        <v>5</v>
      </c>
      <c r="T656" s="20" t="s">
        <v>762</v>
      </c>
      <c r="U656" s="20" t="s">
        <v>763</v>
      </c>
      <c r="V656" s="20" t="s">
        <v>87</v>
      </c>
      <c r="W656" s="20">
        <v>508</v>
      </c>
      <c r="X656" s="20">
        <v>508</v>
      </c>
      <c r="Y656" s="20" t="s">
        <v>2416</v>
      </c>
      <c r="Z656" s="20">
        <v>0.2</v>
      </c>
      <c r="AA656" s="20" t="s">
        <v>1795</v>
      </c>
      <c r="AB656" s="20" t="s">
        <v>248</v>
      </c>
      <c r="AC656" s="20" t="s">
        <v>249</v>
      </c>
      <c r="AD656" s="20" t="s">
        <v>2417</v>
      </c>
      <c r="AE656" s="20" t="s">
        <v>91</v>
      </c>
      <c r="AF656" s="20">
        <v>0.2</v>
      </c>
      <c r="AH656" s="20">
        <v>1</v>
      </c>
      <c r="AI656" s="4" t="s">
        <v>645</v>
      </c>
      <c r="AJ656" s="20">
        <v>60</v>
      </c>
      <c r="AK656" s="4" t="s">
        <v>641</v>
      </c>
      <c r="AL656" s="4">
        <v>4</v>
      </c>
      <c r="AM656" s="4" t="s">
        <v>470</v>
      </c>
      <c r="AN656" s="4" t="s">
        <v>95</v>
      </c>
      <c r="AO656" s="4" t="s">
        <v>96</v>
      </c>
      <c r="AP656" s="4">
        <v>1</v>
      </c>
      <c r="AQ656" s="20">
        <v>69000</v>
      </c>
      <c r="AR656" s="4">
        <v>41803</v>
      </c>
      <c r="AS656" s="20">
        <v>12545.454545454544</v>
      </c>
      <c r="AT656" s="20">
        <v>16514.89</v>
      </c>
      <c r="AU656" s="20">
        <v>3969.4354545454553</v>
      </c>
      <c r="AW656" s="20">
        <v>70</v>
      </c>
      <c r="AY656" s="20">
        <v>70</v>
      </c>
      <c r="AZ656" s="20">
        <v>12.6</v>
      </c>
      <c r="BB656" s="6">
        <v>41767</v>
      </c>
      <c r="BC656" s="6">
        <v>41853</v>
      </c>
      <c r="BD656" s="6">
        <v>41848</v>
      </c>
      <c r="BE656" s="6">
        <v>41859</v>
      </c>
      <c r="BF656" s="6">
        <v>41877</v>
      </c>
      <c r="BK656" s="4" t="s">
        <v>401</v>
      </c>
      <c r="BM656" s="20">
        <v>60</v>
      </c>
      <c r="BN656" s="20">
        <v>0</v>
      </c>
      <c r="BO656" s="20">
        <v>0</v>
      </c>
      <c r="BP656" s="20">
        <v>0</v>
      </c>
      <c r="BQ656" s="20">
        <v>0</v>
      </c>
      <c r="BR656" s="20">
        <v>0</v>
      </c>
      <c r="BS656" s="20">
        <v>60</v>
      </c>
      <c r="BT656" s="20">
        <v>990893.39999999991</v>
      </c>
      <c r="BU656" s="20">
        <v>4140000</v>
      </c>
      <c r="BV656" s="20">
        <v>3.7982252819893279</v>
      </c>
    </row>
    <row r="657" spans="1:74">
      <c r="A657" s="10">
        <f t="shared" si="42"/>
        <v>0</v>
      </c>
      <c r="B657" s="10">
        <f t="shared" si="43"/>
        <v>0</v>
      </c>
      <c r="C657" s="12">
        <f t="shared" si="44"/>
        <v>5</v>
      </c>
      <c r="D657" s="12">
        <f t="shared" si="45"/>
        <v>8</v>
      </c>
      <c r="E657" s="20" t="s">
        <v>574</v>
      </c>
      <c r="F657" s="20" t="s">
        <v>2365</v>
      </c>
      <c r="G657" s="20" t="s">
        <v>2392</v>
      </c>
      <c r="H657" s="20" t="s">
        <v>2413</v>
      </c>
      <c r="I657" s="20">
        <v>3</v>
      </c>
      <c r="J657" s="20" t="s">
        <v>2414</v>
      </c>
      <c r="K657" s="20" t="s">
        <v>2419</v>
      </c>
      <c r="L657" s="20" t="s">
        <v>2396</v>
      </c>
      <c r="M657" s="20" t="s">
        <v>2371</v>
      </c>
      <c r="N657" s="20" t="s">
        <v>1794</v>
      </c>
      <c r="P657" s="20" t="s">
        <v>2371</v>
      </c>
      <c r="Q657" s="20" t="s">
        <v>2372</v>
      </c>
      <c r="R657" s="20" t="s">
        <v>84</v>
      </c>
      <c r="S657" s="20">
        <v>5</v>
      </c>
      <c r="T657" s="20" t="s">
        <v>762</v>
      </c>
      <c r="U657" s="20" t="s">
        <v>763</v>
      </c>
      <c r="V657" s="20" t="s">
        <v>87</v>
      </c>
      <c r="W657" s="20">
        <v>508</v>
      </c>
      <c r="X657" s="20">
        <v>508</v>
      </c>
      <c r="Y657" s="20" t="s">
        <v>2416</v>
      </c>
      <c r="Z657" s="20">
        <v>0.2</v>
      </c>
      <c r="AA657" s="20" t="s">
        <v>1795</v>
      </c>
      <c r="AB657" s="20" t="s">
        <v>248</v>
      </c>
      <c r="AC657" s="20" t="s">
        <v>249</v>
      </c>
      <c r="AD657" s="20" t="s">
        <v>2417</v>
      </c>
      <c r="AE657" s="20" t="s">
        <v>91</v>
      </c>
      <c r="AF657" s="20">
        <v>0.2</v>
      </c>
      <c r="AH657" s="20">
        <v>1</v>
      </c>
      <c r="AI657" s="4" t="s">
        <v>647</v>
      </c>
      <c r="AJ657" s="20">
        <v>45</v>
      </c>
      <c r="AK657" s="4" t="s">
        <v>641</v>
      </c>
      <c r="AL657" s="4">
        <v>4</v>
      </c>
      <c r="AM657" s="4" t="s">
        <v>470</v>
      </c>
      <c r="AN657" s="4" t="s">
        <v>95</v>
      </c>
      <c r="AO657" s="4" t="s">
        <v>96</v>
      </c>
      <c r="AP657" s="4">
        <v>1</v>
      </c>
      <c r="AQ657" s="20">
        <v>69000</v>
      </c>
      <c r="AR657" s="4">
        <v>41803</v>
      </c>
      <c r="AS657" s="20">
        <v>12545.454545454544</v>
      </c>
      <c r="AT657" s="20">
        <v>16514.89</v>
      </c>
      <c r="AU657" s="20">
        <v>3969.4354545454553</v>
      </c>
      <c r="AW657" s="20">
        <v>70</v>
      </c>
      <c r="AY657" s="20">
        <v>70</v>
      </c>
      <c r="AZ657" s="20">
        <v>12.6</v>
      </c>
      <c r="BB657" s="6">
        <v>41767</v>
      </c>
      <c r="BC657" s="6">
        <v>41853</v>
      </c>
      <c r="BD657" s="6">
        <v>41848</v>
      </c>
      <c r="BE657" s="6">
        <v>41859</v>
      </c>
      <c r="BF657" s="6">
        <v>41877</v>
      </c>
      <c r="BK657" s="4" t="s">
        <v>401</v>
      </c>
      <c r="BM657" s="20">
        <v>45</v>
      </c>
      <c r="BN657" s="20">
        <v>0</v>
      </c>
      <c r="BO657" s="20">
        <v>0</v>
      </c>
      <c r="BP657" s="20">
        <v>0</v>
      </c>
      <c r="BQ657" s="20">
        <v>0</v>
      </c>
      <c r="BR657" s="20">
        <v>0</v>
      </c>
      <c r="BS657" s="20">
        <v>45</v>
      </c>
      <c r="BT657" s="20">
        <v>743170.04999999993</v>
      </c>
      <c r="BU657" s="20">
        <v>3105000</v>
      </c>
      <c r="BV657" s="20">
        <v>3.7982252819893279</v>
      </c>
    </row>
    <row r="658" spans="1:74">
      <c r="A658" s="10">
        <f t="shared" si="42"/>
        <v>0</v>
      </c>
      <c r="B658" s="10">
        <f t="shared" si="43"/>
        <v>0</v>
      </c>
      <c r="C658" s="12">
        <f t="shared" si="44"/>
        <v>5</v>
      </c>
      <c r="D658" s="12">
        <f t="shared" si="45"/>
        <v>8</v>
      </c>
      <c r="E658" s="20" t="s">
        <v>574</v>
      </c>
      <c r="F658" s="20" t="s">
        <v>2365</v>
      </c>
      <c r="G658" s="20" t="s">
        <v>2392</v>
      </c>
      <c r="H658" s="20" t="s">
        <v>2413</v>
      </c>
      <c r="I658" s="20">
        <v>3</v>
      </c>
      <c r="J658" s="20" t="s">
        <v>2414</v>
      </c>
      <c r="K658" s="20" t="s">
        <v>2420</v>
      </c>
      <c r="L658" s="20" t="s">
        <v>2396</v>
      </c>
      <c r="M658" s="20" t="s">
        <v>2371</v>
      </c>
      <c r="N658" s="20" t="s">
        <v>1794</v>
      </c>
      <c r="P658" s="20" t="s">
        <v>2371</v>
      </c>
      <c r="Q658" s="20" t="s">
        <v>2372</v>
      </c>
      <c r="R658" s="20" t="s">
        <v>84</v>
      </c>
      <c r="S658" s="20">
        <v>5</v>
      </c>
      <c r="T658" s="20" t="s">
        <v>762</v>
      </c>
      <c r="U658" s="20" t="s">
        <v>763</v>
      </c>
      <c r="V658" s="20" t="s">
        <v>87</v>
      </c>
      <c r="W658" s="20">
        <v>508</v>
      </c>
      <c r="X658" s="20">
        <v>508</v>
      </c>
      <c r="Y658" s="20" t="s">
        <v>2416</v>
      </c>
      <c r="Z658" s="20">
        <v>0.2</v>
      </c>
      <c r="AA658" s="20" t="s">
        <v>1795</v>
      </c>
      <c r="AB658" s="20" t="s">
        <v>248</v>
      </c>
      <c r="AC658" s="20" t="s">
        <v>249</v>
      </c>
      <c r="AD658" s="20" t="s">
        <v>2417</v>
      </c>
      <c r="AE658" s="20" t="s">
        <v>91</v>
      </c>
      <c r="AF658" s="20">
        <v>0.2</v>
      </c>
      <c r="AH658" s="20">
        <v>1</v>
      </c>
      <c r="AI658" s="4" t="s">
        <v>649</v>
      </c>
      <c r="AJ658" s="20">
        <v>30</v>
      </c>
      <c r="AK658" s="4" t="s">
        <v>641</v>
      </c>
      <c r="AL658" s="4">
        <v>4</v>
      </c>
      <c r="AM658" s="4" t="s">
        <v>470</v>
      </c>
      <c r="AN658" s="4" t="s">
        <v>95</v>
      </c>
      <c r="AO658" s="4" t="s">
        <v>96</v>
      </c>
      <c r="AP658" s="4">
        <v>1</v>
      </c>
      <c r="AQ658" s="20">
        <v>69000</v>
      </c>
      <c r="AR658" s="4">
        <v>41803</v>
      </c>
      <c r="AS658" s="20">
        <v>12545.454545454544</v>
      </c>
      <c r="AT658" s="20">
        <v>16514.89</v>
      </c>
      <c r="AU658" s="20">
        <v>3969.4354545454553</v>
      </c>
      <c r="AW658" s="20">
        <v>70</v>
      </c>
      <c r="AY658" s="20">
        <v>70</v>
      </c>
      <c r="AZ658" s="20">
        <v>12.6</v>
      </c>
      <c r="BB658" s="6">
        <v>41767</v>
      </c>
      <c r="BC658" s="6">
        <v>41853</v>
      </c>
      <c r="BD658" s="6">
        <v>41848</v>
      </c>
      <c r="BE658" s="6">
        <v>41859</v>
      </c>
      <c r="BF658" s="6">
        <v>41877</v>
      </c>
      <c r="BK658" s="4" t="s">
        <v>401</v>
      </c>
      <c r="BM658" s="20">
        <v>30</v>
      </c>
      <c r="BN658" s="20">
        <v>0</v>
      </c>
      <c r="BO658" s="20">
        <v>0</v>
      </c>
      <c r="BP658" s="20">
        <v>0</v>
      </c>
      <c r="BQ658" s="20">
        <v>0</v>
      </c>
      <c r="BR658" s="20">
        <v>0</v>
      </c>
      <c r="BS658" s="20">
        <v>30</v>
      </c>
      <c r="BT658" s="20">
        <v>495446.69999999995</v>
      </c>
      <c r="BU658" s="20">
        <v>2070000</v>
      </c>
      <c r="BV658" s="20">
        <v>3.7982252819893279</v>
      </c>
    </row>
    <row r="659" spans="1:74">
      <c r="A659" s="10">
        <f t="shared" si="42"/>
        <v>0</v>
      </c>
      <c r="B659" s="10">
        <f t="shared" si="43"/>
        <v>0</v>
      </c>
      <c r="C659" s="12">
        <f t="shared" si="44"/>
        <v>5</v>
      </c>
      <c r="D659" s="12">
        <f t="shared" si="45"/>
        <v>8</v>
      </c>
      <c r="E659" s="20" t="s">
        <v>574</v>
      </c>
      <c r="F659" s="20" t="s">
        <v>2365</v>
      </c>
      <c r="G659" s="20" t="s">
        <v>2392</v>
      </c>
      <c r="H659" s="20" t="s">
        <v>2413</v>
      </c>
      <c r="I659" s="20">
        <v>3</v>
      </c>
      <c r="J659" s="20" t="s">
        <v>2414</v>
      </c>
      <c r="K659" s="20" t="s">
        <v>2421</v>
      </c>
      <c r="L659" s="20" t="s">
        <v>2396</v>
      </c>
      <c r="M659" s="20" t="s">
        <v>2371</v>
      </c>
      <c r="N659" s="20" t="s">
        <v>1794</v>
      </c>
      <c r="P659" s="20" t="s">
        <v>2371</v>
      </c>
      <c r="Q659" s="20" t="s">
        <v>2372</v>
      </c>
      <c r="R659" s="20" t="s">
        <v>84</v>
      </c>
      <c r="S659" s="20">
        <v>5</v>
      </c>
      <c r="T659" s="20" t="s">
        <v>762</v>
      </c>
      <c r="U659" s="20" t="s">
        <v>763</v>
      </c>
      <c r="V659" s="20" t="s">
        <v>87</v>
      </c>
      <c r="W659" s="20">
        <v>508</v>
      </c>
      <c r="X659" s="20">
        <v>508</v>
      </c>
      <c r="Y659" s="20" t="s">
        <v>2416</v>
      </c>
      <c r="Z659" s="20">
        <v>0.2</v>
      </c>
      <c r="AA659" s="20" t="s">
        <v>1795</v>
      </c>
      <c r="AB659" s="20" t="s">
        <v>248</v>
      </c>
      <c r="AC659" s="20" t="s">
        <v>249</v>
      </c>
      <c r="AD659" s="20" t="s">
        <v>2417</v>
      </c>
      <c r="AE659" s="20" t="s">
        <v>91</v>
      </c>
      <c r="AF659" s="20">
        <v>0.2</v>
      </c>
      <c r="AH659" s="20">
        <v>1</v>
      </c>
      <c r="AI659" s="4" t="s">
        <v>651</v>
      </c>
      <c r="AJ659" s="20">
        <v>30</v>
      </c>
      <c r="AK659" s="4" t="s">
        <v>641</v>
      </c>
      <c r="AL659" s="4">
        <v>4</v>
      </c>
      <c r="AM659" s="4" t="s">
        <v>470</v>
      </c>
      <c r="AN659" s="4" t="s">
        <v>95</v>
      </c>
      <c r="AO659" s="4" t="s">
        <v>96</v>
      </c>
      <c r="AP659" s="4">
        <v>1</v>
      </c>
      <c r="AQ659" s="20">
        <v>69000</v>
      </c>
      <c r="AR659" s="4">
        <v>41803</v>
      </c>
      <c r="AS659" s="20">
        <v>12545.454545454544</v>
      </c>
      <c r="AT659" s="20">
        <v>16514.89</v>
      </c>
      <c r="AU659" s="20">
        <v>3969.4354545454553</v>
      </c>
      <c r="AW659" s="20">
        <v>70</v>
      </c>
      <c r="AY659" s="20">
        <v>70</v>
      </c>
      <c r="AZ659" s="20">
        <v>12.6</v>
      </c>
      <c r="BB659" s="6">
        <v>41767</v>
      </c>
      <c r="BC659" s="6">
        <v>41853</v>
      </c>
      <c r="BD659" s="6">
        <v>41848</v>
      </c>
      <c r="BE659" s="6">
        <v>41859</v>
      </c>
      <c r="BF659" s="6">
        <v>41877</v>
      </c>
      <c r="BK659" s="4" t="s">
        <v>401</v>
      </c>
      <c r="BM659" s="20">
        <v>31</v>
      </c>
      <c r="BN659" s="20">
        <v>0</v>
      </c>
      <c r="BO659" s="20">
        <v>0</v>
      </c>
      <c r="BP659" s="20">
        <v>0</v>
      </c>
      <c r="BQ659" s="20">
        <v>0</v>
      </c>
      <c r="BR659" s="20">
        <v>0</v>
      </c>
      <c r="BS659" s="20">
        <v>30</v>
      </c>
      <c r="BT659" s="20">
        <v>495446.69999999995</v>
      </c>
      <c r="BU659" s="20">
        <v>2070000</v>
      </c>
      <c r="BV659" s="20">
        <v>3.7982252819893279</v>
      </c>
    </row>
    <row r="660" spans="1:74">
      <c r="A660" s="10">
        <f t="shared" si="42"/>
        <v>0</v>
      </c>
      <c r="B660" s="10">
        <f t="shared" si="43"/>
        <v>0</v>
      </c>
      <c r="C660" s="12" t="str">
        <f t="shared" si="44"/>
        <v/>
      </c>
      <c r="D660" s="12" t="str">
        <f t="shared" si="45"/>
        <v/>
      </c>
      <c r="E660" s="20" t="s">
        <v>91</v>
      </c>
      <c r="F660" s="20" t="s">
        <v>91</v>
      </c>
      <c r="G660" s="20" t="s">
        <v>91</v>
      </c>
      <c r="H660" s="20" t="s">
        <v>91</v>
      </c>
      <c r="I660" s="20">
        <v>0</v>
      </c>
      <c r="J660" s="20" t="s">
        <v>103</v>
      </c>
      <c r="K660" s="20" t="s">
        <v>104</v>
      </c>
      <c r="L660" s="20">
        <v>0</v>
      </c>
      <c r="M660" s="20" t="s">
        <v>105</v>
      </c>
      <c r="N660" s="20" t="s">
        <v>91</v>
      </c>
      <c r="O660" s="20" t="s">
        <v>2422</v>
      </c>
      <c r="Q660" s="20" t="s">
        <v>91</v>
      </c>
      <c r="R660" s="20" t="s">
        <v>91</v>
      </c>
      <c r="S660" s="20" t="s">
        <v>91</v>
      </c>
      <c r="U660" s="20" t="s">
        <v>91</v>
      </c>
      <c r="X660" s="20" t="s">
        <v>91</v>
      </c>
      <c r="Y660" s="20" t="s">
        <v>91</v>
      </c>
      <c r="Z660" s="20">
        <v>1.9999999999999998</v>
      </c>
      <c r="AB660" s="20" t="s">
        <v>91</v>
      </c>
      <c r="AD660" s="20" t="s">
        <v>91</v>
      </c>
      <c r="AE660" s="20" t="s">
        <v>91</v>
      </c>
      <c r="AF660" s="20">
        <v>3.0000000000000009</v>
      </c>
      <c r="AH660" s="20">
        <v>1</v>
      </c>
      <c r="AM660" s="4" t="s">
        <v>91</v>
      </c>
      <c r="AP660" s="4" t="s">
        <v>91</v>
      </c>
      <c r="AQ660" s="20">
        <v>0</v>
      </c>
      <c r="AR660" s="4">
        <v>0</v>
      </c>
      <c r="AS660" s="20">
        <v>0</v>
      </c>
      <c r="AT660" s="20">
        <v>0</v>
      </c>
      <c r="AU660" s="20">
        <v>0</v>
      </c>
      <c r="AY660" s="20">
        <v>0</v>
      </c>
      <c r="BB660" s="6">
        <v>0</v>
      </c>
      <c r="BD660" s="6">
        <v>0</v>
      </c>
      <c r="BF660" s="6">
        <v>0</v>
      </c>
      <c r="BM660" s="20">
        <v>1044</v>
      </c>
      <c r="BN660" s="20">
        <v>0</v>
      </c>
      <c r="BO660" s="20">
        <v>0</v>
      </c>
      <c r="BP660" s="20">
        <v>0</v>
      </c>
      <c r="BQ660" s="20">
        <v>0</v>
      </c>
      <c r="BR660" s="20">
        <v>0</v>
      </c>
      <c r="BS660" s="20">
        <v>1025</v>
      </c>
      <c r="BT660" s="20">
        <v>16144672.25</v>
      </c>
      <c r="BU660" s="20">
        <v>70725000</v>
      </c>
      <c r="BV660" s="20">
        <v>3.9824564754143301</v>
      </c>
    </row>
    <row r="661" spans="1:74">
      <c r="A661" s="10">
        <f t="shared" si="42"/>
        <v>0</v>
      </c>
      <c r="B661" s="10">
        <f t="shared" si="43"/>
        <v>0</v>
      </c>
      <c r="C661" s="12">
        <f t="shared" si="44"/>
        <v>5</v>
      </c>
      <c r="D661" s="12">
        <f t="shared" si="45"/>
        <v>9</v>
      </c>
      <c r="E661" s="20" t="s">
        <v>574</v>
      </c>
      <c r="F661" s="20" t="s">
        <v>2365</v>
      </c>
      <c r="G661" s="20" t="s">
        <v>2423</v>
      </c>
      <c r="H661" s="20" t="s">
        <v>2424</v>
      </c>
      <c r="I661" s="20">
        <v>1</v>
      </c>
      <c r="J661" s="20" t="s">
        <v>2425</v>
      </c>
      <c r="K661" s="20" t="s">
        <v>2426</v>
      </c>
      <c r="L661" s="20" t="s">
        <v>2427</v>
      </c>
      <c r="M661" s="20" t="s">
        <v>2371</v>
      </c>
      <c r="N661" s="20" t="s">
        <v>1794</v>
      </c>
      <c r="P661" s="20" t="s">
        <v>2371</v>
      </c>
      <c r="Q661" s="20" t="s">
        <v>2372</v>
      </c>
      <c r="R661" s="20" t="s">
        <v>84</v>
      </c>
      <c r="S661" s="20">
        <v>5</v>
      </c>
      <c r="T661" s="20" t="s">
        <v>922</v>
      </c>
      <c r="U661" s="20" t="s">
        <v>923</v>
      </c>
      <c r="V661" s="20" t="s">
        <v>87</v>
      </c>
      <c r="W661" s="20">
        <v>505</v>
      </c>
      <c r="X661" s="20">
        <v>505</v>
      </c>
      <c r="Y661" s="20" t="s">
        <v>2428</v>
      </c>
      <c r="Z661" s="20">
        <v>0.16666666666666666</v>
      </c>
      <c r="AA661" s="20" t="s">
        <v>1796</v>
      </c>
      <c r="AB661" s="20" t="s">
        <v>248</v>
      </c>
      <c r="AC661" s="20" t="s">
        <v>249</v>
      </c>
      <c r="AD661" s="20" t="s">
        <v>2429</v>
      </c>
      <c r="AE661" s="20" t="s">
        <v>91</v>
      </c>
      <c r="AF661" s="20">
        <v>0.16666666666666666</v>
      </c>
      <c r="AH661" s="20">
        <v>1</v>
      </c>
      <c r="AI661" s="4" t="s">
        <v>640</v>
      </c>
      <c r="AJ661" s="20">
        <v>120</v>
      </c>
      <c r="AK661" s="4" t="s">
        <v>780</v>
      </c>
      <c r="AL661" s="4">
        <v>6</v>
      </c>
      <c r="AM661" s="4" t="s">
        <v>112</v>
      </c>
      <c r="AN661" s="4" t="s">
        <v>95</v>
      </c>
      <c r="AO661" s="4" t="s">
        <v>131</v>
      </c>
      <c r="AP661" s="4">
        <v>2</v>
      </c>
      <c r="AQ661" s="20">
        <v>99000</v>
      </c>
      <c r="AR661" s="4">
        <v>41821</v>
      </c>
      <c r="AS661" s="20">
        <v>25000</v>
      </c>
      <c r="AT661" s="20">
        <v>21490</v>
      </c>
      <c r="AU661" s="20">
        <v>-3510</v>
      </c>
      <c r="AW661" s="20">
        <v>20</v>
      </c>
      <c r="AY661" s="20">
        <v>20</v>
      </c>
      <c r="BA661" s="20">
        <v>21470</v>
      </c>
      <c r="BB661" s="6">
        <v>41767</v>
      </c>
      <c r="BD661" s="6">
        <v>41848</v>
      </c>
      <c r="BE661" s="6">
        <v>41864</v>
      </c>
      <c r="BF661" s="6">
        <v>41908</v>
      </c>
      <c r="BG661" s="6">
        <v>41912</v>
      </c>
      <c r="BK661" s="4" t="s">
        <v>401</v>
      </c>
      <c r="BM661" s="20">
        <v>125</v>
      </c>
      <c r="BN661" s="20">
        <v>0</v>
      </c>
      <c r="BO661" s="20">
        <v>0</v>
      </c>
      <c r="BP661" s="20">
        <v>0</v>
      </c>
      <c r="BQ661" s="20">
        <v>0</v>
      </c>
      <c r="BR661" s="20">
        <v>0</v>
      </c>
      <c r="BS661" s="20">
        <v>120</v>
      </c>
      <c r="BT661" s="20">
        <v>2578800</v>
      </c>
      <c r="BU661" s="20">
        <v>11880000</v>
      </c>
      <c r="BV661" s="20">
        <v>4.1879944160074452</v>
      </c>
    </row>
    <row r="662" spans="1:74">
      <c r="A662" s="10">
        <f t="shared" si="42"/>
        <v>0</v>
      </c>
      <c r="B662" s="10">
        <f t="shared" si="43"/>
        <v>0</v>
      </c>
      <c r="C662" s="12">
        <f t="shared" si="44"/>
        <v>5</v>
      </c>
      <c r="D662" s="12">
        <f t="shared" si="45"/>
        <v>9</v>
      </c>
      <c r="E662" s="20" t="s">
        <v>574</v>
      </c>
      <c r="F662" s="20" t="s">
        <v>2365</v>
      </c>
      <c r="G662" s="20" t="s">
        <v>2423</v>
      </c>
      <c r="H662" s="20" t="s">
        <v>2424</v>
      </c>
      <c r="I662" s="20">
        <v>1</v>
      </c>
      <c r="J662" s="20" t="s">
        <v>2425</v>
      </c>
      <c r="K662" s="20" t="s">
        <v>2430</v>
      </c>
      <c r="L662" s="20" t="s">
        <v>2427</v>
      </c>
      <c r="M662" s="20" t="s">
        <v>2371</v>
      </c>
      <c r="N662" s="20" t="s">
        <v>1794</v>
      </c>
      <c r="P662" s="20" t="s">
        <v>2371</v>
      </c>
      <c r="Q662" s="20" t="s">
        <v>2372</v>
      </c>
      <c r="R662" s="20" t="s">
        <v>84</v>
      </c>
      <c r="S662" s="20">
        <v>5</v>
      </c>
      <c r="T662" s="20" t="s">
        <v>922</v>
      </c>
      <c r="U662" s="20" t="s">
        <v>923</v>
      </c>
      <c r="V662" s="20" t="s">
        <v>87</v>
      </c>
      <c r="W662" s="20">
        <v>505</v>
      </c>
      <c r="X662" s="20">
        <v>505</v>
      </c>
      <c r="Y662" s="20" t="s">
        <v>2428</v>
      </c>
      <c r="Z662" s="20">
        <v>0.16666666666666666</v>
      </c>
      <c r="AA662" s="20" t="s">
        <v>1796</v>
      </c>
      <c r="AB662" s="20" t="s">
        <v>248</v>
      </c>
      <c r="AC662" s="20" t="s">
        <v>249</v>
      </c>
      <c r="AD662" s="20" t="s">
        <v>2429</v>
      </c>
      <c r="AE662" s="20" t="s">
        <v>91</v>
      </c>
      <c r="AF662" s="20">
        <v>0.16666666666666666</v>
      </c>
      <c r="AH662" s="20">
        <v>1</v>
      </c>
      <c r="AI662" s="4" t="s">
        <v>643</v>
      </c>
      <c r="AJ662" s="20">
        <v>45</v>
      </c>
      <c r="AK662" s="4" t="s">
        <v>780</v>
      </c>
      <c r="AL662" s="4">
        <v>6</v>
      </c>
      <c r="AM662" s="4" t="s">
        <v>112</v>
      </c>
      <c r="AN662" s="4" t="s">
        <v>95</v>
      </c>
      <c r="AO662" s="4" t="s">
        <v>131</v>
      </c>
      <c r="AP662" s="4">
        <v>2</v>
      </c>
      <c r="AQ662" s="20">
        <v>99000</v>
      </c>
      <c r="AR662" s="4">
        <v>41821</v>
      </c>
      <c r="AS662" s="20">
        <v>25000</v>
      </c>
      <c r="AT662" s="20">
        <v>21490</v>
      </c>
      <c r="AU662" s="20">
        <v>-3510</v>
      </c>
      <c r="AW662" s="20">
        <v>20</v>
      </c>
      <c r="AY662" s="20">
        <v>20</v>
      </c>
      <c r="BA662" s="20">
        <v>21470</v>
      </c>
      <c r="BB662" s="6">
        <v>41767</v>
      </c>
      <c r="BD662" s="6">
        <v>41848</v>
      </c>
      <c r="BE662" s="6">
        <v>41864</v>
      </c>
      <c r="BF662" s="6">
        <v>41908</v>
      </c>
      <c r="BG662" s="6">
        <v>41912</v>
      </c>
      <c r="BK662" s="4" t="s">
        <v>401</v>
      </c>
      <c r="BM662" s="20">
        <v>48</v>
      </c>
      <c r="BN662" s="20">
        <v>0</v>
      </c>
      <c r="BO662" s="20">
        <v>0</v>
      </c>
      <c r="BP662" s="20">
        <v>0</v>
      </c>
      <c r="BQ662" s="20">
        <v>0</v>
      </c>
      <c r="BR662" s="20">
        <v>0</v>
      </c>
      <c r="BS662" s="20">
        <v>45</v>
      </c>
      <c r="BT662" s="20">
        <v>967050</v>
      </c>
      <c r="BU662" s="20">
        <v>4455000</v>
      </c>
      <c r="BV662" s="20">
        <v>4.1879944160074452</v>
      </c>
    </row>
    <row r="663" spans="1:74">
      <c r="A663" s="10">
        <f t="shared" si="42"/>
        <v>0</v>
      </c>
      <c r="B663" s="10">
        <f t="shared" si="43"/>
        <v>0</v>
      </c>
      <c r="C663" s="12">
        <f t="shared" si="44"/>
        <v>5</v>
      </c>
      <c r="D663" s="12">
        <f t="shared" si="45"/>
        <v>9</v>
      </c>
      <c r="E663" s="20" t="s">
        <v>574</v>
      </c>
      <c r="F663" s="20" t="s">
        <v>2365</v>
      </c>
      <c r="G663" s="20" t="s">
        <v>2423</v>
      </c>
      <c r="H663" s="20" t="s">
        <v>2424</v>
      </c>
      <c r="I663" s="20">
        <v>1</v>
      </c>
      <c r="J663" s="20" t="s">
        <v>2425</v>
      </c>
      <c r="K663" s="20" t="s">
        <v>2431</v>
      </c>
      <c r="L663" s="20" t="s">
        <v>2427</v>
      </c>
      <c r="M663" s="20" t="s">
        <v>2371</v>
      </c>
      <c r="N663" s="20" t="s">
        <v>1794</v>
      </c>
      <c r="P663" s="20" t="s">
        <v>2371</v>
      </c>
      <c r="Q663" s="20" t="s">
        <v>2372</v>
      </c>
      <c r="R663" s="20" t="s">
        <v>84</v>
      </c>
      <c r="S663" s="20">
        <v>5</v>
      </c>
      <c r="T663" s="20" t="s">
        <v>922</v>
      </c>
      <c r="U663" s="20" t="s">
        <v>923</v>
      </c>
      <c r="V663" s="20" t="s">
        <v>87</v>
      </c>
      <c r="W663" s="20">
        <v>505</v>
      </c>
      <c r="X663" s="20">
        <v>505</v>
      </c>
      <c r="Y663" s="20" t="s">
        <v>2428</v>
      </c>
      <c r="Z663" s="20">
        <v>0.16666666666666666</v>
      </c>
      <c r="AA663" s="20" t="s">
        <v>1796</v>
      </c>
      <c r="AB663" s="20" t="s">
        <v>248</v>
      </c>
      <c r="AC663" s="20" t="s">
        <v>249</v>
      </c>
      <c r="AD663" s="20" t="s">
        <v>2429</v>
      </c>
      <c r="AE663" s="20" t="s">
        <v>91</v>
      </c>
      <c r="AF663" s="20">
        <v>0.16666666666666666</v>
      </c>
      <c r="AH663" s="20">
        <v>1</v>
      </c>
      <c r="AI663" s="4" t="s">
        <v>645</v>
      </c>
      <c r="AJ663" s="20">
        <v>75</v>
      </c>
      <c r="AK663" s="4" t="s">
        <v>780</v>
      </c>
      <c r="AL663" s="4">
        <v>6</v>
      </c>
      <c r="AM663" s="4" t="s">
        <v>112</v>
      </c>
      <c r="AN663" s="4" t="s">
        <v>95</v>
      </c>
      <c r="AO663" s="4" t="s">
        <v>131</v>
      </c>
      <c r="AP663" s="4">
        <v>2</v>
      </c>
      <c r="AQ663" s="20">
        <v>99000</v>
      </c>
      <c r="AR663" s="4">
        <v>41821</v>
      </c>
      <c r="AS663" s="20">
        <v>25000</v>
      </c>
      <c r="AT663" s="20">
        <v>21490</v>
      </c>
      <c r="AU663" s="20">
        <v>-3510</v>
      </c>
      <c r="AW663" s="20">
        <v>20</v>
      </c>
      <c r="AY663" s="20">
        <v>20</v>
      </c>
      <c r="BA663" s="20">
        <v>21470</v>
      </c>
      <c r="BB663" s="6">
        <v>41767</v>
      </c>
      <c r="BD663" s="6">
        <v>41848</v>
      </c>
      <c r="BE663" s="6">
        <v>41864</v>
      </c>
      <c r="BF663" s="6">
        <v>41908</v>
      </c>
      <c r="BG663" s="6">
        <v>41912</v>
      </c>
      <c r="BK663" s="4" t="s">
        <v>401</v>
      </c>
      <c r="BM663" s="20">
        <v>79</v>
      </c>
      <c r="BN663" s="20">
        <v>0</v>
      </c>
      <c r="BO663" s="20">
        <v>0</v>
      </c>
      <c r="BP663" s="20">
        <v>0</v>
      </c>
      <c r="BQ663" s="20">
        <v>0</v>
      </c>
      <c r="BR663" s="20">
        <v>0</v>
      </c>
      <c r="BS663" s="20">
        <v>75</v>
      </c>
      <c r="BT663" s="20">
        <v>1611750</v>
      </c>
      <c r="BU663" s="20">
        <v>7425000</v>
      </c>
      <c r="BV663" s="20">
        <v>4.1879944160074452</v>
      </c>
    </row>
    <row r="664" spans="1:74">
      <c r="A664" s="10">
        <f t="shared" si="42"/>
        <v>0</v>
      </c>
      <c r="B664" s="10">
        <f t="shared" si="43"/>
        <v>0</v>
      </c>
      <c r="C664" s="12">
        <f t="shared" si="44"/>
        <v>5</v>
      </c>
      <c r="D664" s="12">
        <f t="shared" si="45"/>
        <v>9</v>
      </c>
      <c r="E664" s="20" t="s">
        <v>574</v>
      </c>
      <c r="F664" s="20" t="s">
        <v>2365</v>
      </c>
      <c r="G664" s="20" t="s">
        <v>2423</v>
      </c>
      <c r="H664" s="20" t="s">
        <v>2424</v>
      </c>
      <c r="I664" s="20">
        <v>1</v>
      </c>
      <c r="J664" s="20" t="s">
        <v>2425</v>
      </c>
      <c r="K664" s="20" t="s">
        <v>2432</v>
      </c>
      <c r="L664" s="20" t="s">
        <v>2427</v>
      </c>
      <c r="M664" s="20" t="s">
        <v>2371</v>
      </c>
      <c r="N664" s="20" t="s">
        <v>1794</v>
      </c>
      <c r="P664" s="20" t="s">
        <v>2371</v>
      </c>
      <c r="Q664" s="20" t="s">
        <v>2372</v>
      </c>
      <c r="R664" s="20" t="s">
        <v>84</v>
      </c>
      <c r="S664" s="20">
        <v>5</v>
      </c>
      <c r="T664" s="20" t="s">
        <v>922</v>
      </c>
      <c r="U664" s="20" t="s">
        <v>923</v>
      </c>
      <c r="V664" s="20" t="s">
        <v>87</v>
      </c>
      <c r="W664" s="20">
        <v>505</v>
      </c>
      <c r="X664" s="20">
        <v>505</v>
      </c>
      <c r="Y664" s="20" t="s">
        <v>2428</v>
      </c>
      <c r="Z664" s="20">
        <v>0.16666666666666666</v>
      </c>
      <c r="AA664" s="20" t="s">
        <v>1796</v>
      </c>
      <c r="AB664" s="20" t="s">
        <v>248</v>
      </c>
      <c r="AC664" s="20" t="s">
        <v>249</v>
      </c>
      <c r="AD664" s="20" t="s">
        <v>2429</v>
      </c>
      <c r="AE664" s="20" t="s">
        <v>91</v>
      </c>
      <c r="AF664" s="20">
        <v>0.16666666666666666</v>
      </c>
      <c r="AH664" s="20">
        <v>1</v>
      </c>
      <c r="AI664" s="4" t="s">
        <v>647</v>
      </c>
      <c r="AJ664" s="20">
        <v>75</v>
      </c>
      <c r="AK664" s="4" t="s">
        <v>780</v>
      </c>
      <c r="AL664" s="4">
        <v>6</v>
      </c>
      <c r="AM664" s="4" t="s">
        <v>112</v>
      </c>
      <c r="AN664" s="4" t="s">
        <v>95</v>
      </c>
      <c r="AO664" s="4" t="s">
        <v>131</v>
      </c>
      <c r="AP664" s="4">
        <v>2</v>
      </c>
      <c r="AQ664" s="20">
        <v>99000</v>
      </c>
      <c r="AR664" s="4">
        <v>41821</v>
      </c>
      <c r="AS664" s="20">
        <v>25000</v>
      </c>
      <c r="AT664" s="20">
        <v>21490</v>
      </c>
      <c r="AU664" s="20">
        <v>-3510</v>
      </c>
      <c r="AW664" s="20">
        <v>20</v>
      </c>
      <c r="AY664" s="20">
        <v>20</v>
      </c>
      <c r="BA664" s="20">
        <v>21470</v>
      </c>
      <c r="BB664" s="6">
        <v>41767</v>
      </c>
      <c r="BD664" s="6">
        <v>41848</v>
      </c>
      <c r="BE664" s="6">
        <v>41864</v>
      </c>
      <c r="BF664" s="6">
        <v>41908</v>
      </c>
      <c r="BG664" s="6">
        <v>41912</v>
      </c>
      <c r="BK664" s="4" t="s">
        <v>401</v>
      </c>
      <c r="BM664" s="20">
        <v>76</v>
      </c>
      <c r="BN664" s="20">
        <v>0</v>
      </c>
      <c r="BO664" s="20">
        <v>0</v>
      </c>
      <c r="BP664" s="20">
        <v>0</v>
      </c>
      <c r="BQ664" s="20">
        <v>0</v>
      </c>
      <c r="BR664" s="20">
        <v>0</v>
      </c>
      <c r="BS664" s="20">
        <v>75</v>
      </c>
      <c r="BT664" s="20">
        <v>1611750</v>
      </c>
      <c r="BU664" s="20">
        <v>7425000</v>
      </c>
      <c r="BV664" s="20">
        <v>4.1879944160074452</v>
      </c>
    </row>
    <row r="665" spans="1:74">
      <c r="A665" s="10">
        <f t="shared" si="42"/>
        <v>0</v>
      </c>
      <c r="B665" s="10">
        <f t="shared" si="43"/>
        <v>0</v>
      </c>
      <c r="C665" s="12">
        <f t="shared" si="44"/>
        <v>5</v>
      </c>
      <c r="D665" s="12">
        <f t="shared" si="45"/>
        <v>9</v>
      </c>
      <c r="E665" s="20" t="s">
        <v>574</v>
      </c>
      <c r="F665" s="20" t="s">
        <v>2365</v>
      </c>
      <c r="G665" s="20" t="s">
        <v>2423</v>
      </c>
      <c r="H665" s="20" t="s">
        <v>2424</v>
      </c>
      <c r="I665" s="20">
        <v>1</v>
      </c>
      <c r="J665" s="20" t="s">
        <v>2425</v>
      </c>
      <c r="K665" s="20" t="s">
        <v>2433</v>
      </c>
      <c r="L665" s="20" t="s">
        <v>2427</v>
      </c>
      <c r="M665" s="20" t="s">
        <v>2371</v>
      </c>
      <c r="N665" s="20" t="s">
        <v>1794</v>
      </c>
      <c r="P665" s="20" t="s">
        <v>2371</v>
      </c>
      <c r="Q665" s="20" t="s">
        <v>2372</v>
      </c>
      <c r="R665" s="20" t="s">
        <v>84</v>
      </c>
      <c r="S665" s="20">
        <v>5</v>
      </c>
      <c r="T665" s="20" t="s">
        <v>922</v>
      </c>
      <c r="U665" s="20" t="s">
        <v>923</v>
      </c>
      <c r="V665" s="20" t="s">
        <v>87</v>
      </c>
      <c r="W665" s="20">
        <v>505</v>
      </c>
      <c r="X665" s="20">
        <v>505</v>
      </c>
      <c r="Y665" s="20" t="s">
        <v>2428</v>
      </c>
      <c r="Z665" s="20">
        <v>0.16666666666666666</v>
      </c>
      <c r="AA665" s="20" t="s">
        <v>1796</v>
      </c>
      <c r="AB665" s="20" t="s">
        <v>248</v>
      </c>
      <c r="AC665" s="20" t="s">
        <v>249</v>
      </c>
      <c r="AD665" s="20" t="s">
        <v>2429</v>
      </c>
      <c r="AE665" s="20" t="s">
        <v>91</v>
      </c>
      <c r="AF665" s="20">
        <v>0.16666666666666666</v>
      </c>
      <c r="AH665" s="20">
        <v>1</v>
      </c>
      <c r="AI665" s="4" t="s">
        <v>649</v>
      </c>
      <c r="AJ665" s="20">
        <v>45</v>
      </c>
      <c r="AK665" s="4" t="s">
        <v>780</v>
      </c>
      <c r="AL665" s="4">
        <v>6</v>
      </c>
      <c r="AM665" s="4" t="s">
        <v>112</v>
      </c>
      <c r="AN665" s="4" t="s">
        <v>95</v>
      </c>
      <c r="AO665" s="4" t="s">
        <v>131</v>
      </c>
      <c r="AP665" s="4">
        <v>2</v>
      </c>
      <c r="AQ665" s="20">
        <v>99000</v>
      </c>
      <c r="AR665" s="4">
        <v>41821</v>
      </c>
      <c r="AS665" s="20">
        <v>25000</v>
      </c>
      <c r="AT665" s="20">
        <v>21490</v>
      </c>
      <c r="AU665" s="20">
        <v>-3510</v>
      </c>
      <c r="AW665" s="20">
        <v>20</v>
      </c>
      <c r="AY665" s="20">
        <v>20</v>
      </c>
      <c r="BA665" s="20">
        <v>21470</v>
      </c>
      <c r="BB665" s="6">
        <v>41767</v>
      </c>
      <c r="BD665" s="6">
        <v>41848</v>
      </c>
      <c r="BE665" s="6">
        <v>41864</v>
      </c>
      <c r="BF665" s="6">
        <v>41908</v>
      </c>
      <c r="BG665" s="6">
        <v>41912</v>
      </c>
      <c r="BK665" s="4" t="s">
        <v>401</v>
      </c>
      <c r="BM665" s="20">
        <v>44</v>
      </c>
      <c r="BN665" s="20">
        <v>0</v>
      </c>
      <c r="BO665" s="20">
        <v>0</v>
      </c>
      <c r="BP665" s="20">
        <v>0</v>
      </c>
      <c r="BQ665" s="20">
        <v>0</v>
      </c>
      <c r="BR665" s="20">
        <v>0</v>
      </c>
      <c r="BS665" s="20">
        <v>45</v>
      </c>
      <c r="BT665" s="20">
        <v>967050</v>
      </c>
      <c r="BU665" s="20">
        <v>4455000</v>
      </c>
      <c r="BV665" s="20">
        <v>4.1879944160074452</v>
      </c>
    </row>
    <row r="666" spans="1:74">
      <c r="A666" s="10">
        <f t="shared" si="42"/>
        <v>0</v>
      </c>
      <c r="B666" s="10">
        <f t="shared" si="43"/>
        <v>0</v>
      </c>
      <c r="C666" s="12">
        <f t="shared" si="44"/>
        <v>5</v>
      </c>
      <c r="D666" s="12">
        <f t="shared" si="45"/>
        <v>9</v>
      </c>
      <c r="E666" s="20" t="s">
        <v>574</v>
      </c>
      <c r="F666" s="20" t="s">
        <v>2365</v>
      </c>
      <c r="G666" s="20" t="s">
        <v>2423</v>
      </c>
      <c r="H666" s="20" t="s">
        <v>2424</v>
      </c>
      <c r="I666" s="20">
        <v>1</v>
      </c>
      <c r="J666" s="20" t="s">
        <v>2425</v>
      </c>
      <c r="K666" s="20" t="s">
        <v>2434</v>
      </c>
      <c r="L666" s="20" t="s">
        <v>2427</v>
      </c>
      <c r="M666" s="20" t="s">
        <v>2371</v>
      </c>
      <c r="N666" s="20" t="s">
        <v>1794</v>
      </c>
      <c r="P666" s="20" t="s">
        <v>2371</v>
      </c>
      <c r="Q666" s="20" t="s">
        <v>2372</v>
      </c>
      <c r="R666" s="20" t="s">
        <v>84</v>
      </c>
      <c r="S666" s="20">
        <v>5</v>
      </c>
      <c r="T666" s="20" t="s">
        <v>922</v>
      </c>
      <c r="U666" s="20" t="s">
        <v>923</v>
      </c>
      <c r="V666" s="20" t="s">
        <v>87</v>
      </c>
      <c r="W666" s="20">
        <v>505</v>
      </c>
      <c r="X666" s="20">
        <v>505</v>
      </c>
      <c r="Y666" s="20" t="s">
        <v>2428</v>
      </c>
      <c r="Z666" s="20">
        <v>0.16666666666666666</v>
      </c>
      <c r="AA666" s="20" t="s">
        <v>1796</v>
      </c>
      <c r="AB666" s="20" t="s">
        <v>248</v>
      </c>
      <c r="AC666" s="20" t="s">
        <v>249</v>
      </c>
      <c r="AD666" s="20" t="s">
        <v>2429</v>
      </c>
      <c r="AE666" s="20" t="s">
        <v>91</v>
      </c>
      <c r="AF666" s="20">
        <v>0.16666666666666666</v>
      </c>
      <c r="AH666" s="20">
        <v>1</v>
      </c>
      <c r="AI666" s="4" t="s">
        <v>651</v>
      </c>
      <c r="AJ666" s="20">
        <v>40</v>
      </c>
      <c r="AK666" s="4" t="s">
        <v>780</v>
      </c>
      <c r="AL666" s="4">
        <v>6</v>
      </c>
      <c r="AM666" s="4" t="s">
        <v>112</v>
      </c>
      <c r="AN666" s="4" t="s">
        <v>95</v>
      </c>
      <c r="AO666" s="4" t="s">
        <v>131</v>
      </c>
      <c r="AP666" s="4">
        <v>2</v>
      </c>
      <c r="AQ666" s="20">
        <v>99000</v>
      </c>
      <c r="AR666" s="4">
        <v>41821</v>
      </c>
      <c r="AS666" s="20">
        <v>25000</v>
      </c>
      <c r="AT666" s="20">
        <v>21490</v>
      </c>
      <c r="AU666" s="20">
        <v>-3510</v>
      </c>
      <c r="AW666" s="20">
        <v>20</v>
      </c>
      <c r="AY666" s="20">
        <v>20</v>
      </c>
      <c r="BA666" s="20">
        <v>21470</v>
      </c>
      <c r="BB666" s="6">
        <v>41767</v>
      </c>
      <c r="BD666" s="6">
        <v>41848</v>
      </c>
      <c r="BE666" s="6">
        <v>41864</v>
      </c>
      <c r="BF666" s="6">
        <v>41908</v>
      </c>
      <c r="BG666" s="6">
        <v>41912</v>
      </c>
      <c r="BK666" s="4" t="s">
        <v>401</v>
      </c>
      <c r="BM666" s="20">
        <v>33</v>
      </c>
      <c r="BN666" s="20">
        <v>5</v>
      </c>
      <c r="BO666" s="20">
        <v>0</v>
      </c>
      <c r="BP666" s="20">
        <v>0</v>
      </c>
      <c r="BQ666" s="20">
        <v>0</v>
      </c>
      <c r="BR666" s="20">
        <v>0</v>
      </c>
      <c r="BS666" s="20">
        <v>40</v>
      </c>
      <c r="BT666" s="20">
        <v>859600</v>
      </c>
      <c r="BU666" s="20">
        <v>3960000</v>
      </c>
      <c r="BV666" s="20">
        <v>4.1879944160074452</v>
      </c>
    </row>
    <row r="667" spans="1:74">
      <c r="A667" s="10">
        <f t="shared" si="42"/>
        <v>0</v>
      </c>
      <c r="B667" s="10">
        <f t="shared" si="43"/>
        <v>0</v>
      </c>
      <c r="C667" s="12" t="str">
        <f t="shared" si="44"/>
        <v/>
      </c>
      <c r="D667" s="12" t="str">
        <f t="shared" si="45"/>
        <v/>
      </c>
      <c r="E667" s="20" t="s">
        <v>91</v>
      </c>
      <c r="F667" s="20" t="s">
        <v>91</v>
      </c>
      <c r="G667" s="20" t="s">
        <v>91</v>
      </c>
      <c r="H667" s="20" t="s">
        <v>91</v>
      </c>
      <c r="I667" s="20">
        <v>0</v>
      </c>
      <c r="J667" s="20" t="s">
        <v>103</v>
      </c>
      <c r="K667" s="20" t="s">
        <v>104</v>
      </c>
      <c r="L667" s="20">
        <v>0</v>
      </c>
      <c r="M667" s="20" t="s">
        <v>105</v>
      </c>
      <c r="N667" s="20" t="s">
        <v>91</v>
      </c>
      <c r="O667" s="20" t="s">
        <v>2435</v>
      </c>
      <c r="Q667" s="20" t="s">
        <v>91</v>
      </c>
      <c r="R667" s="20" t="s">
        <v>91</v>
      </c>
      <c r="S667" s="20" t="s">
        <v>91</v>
      </c>
      <c r="U667" s="20" t="s">
        <v>91</v>
      </c>
      <c r="X667" s="20" t="s">
        <v>91</v>
      </c>
      <c r="Y667" s="20" t="s">
        <v>91</v>
      </c>
      <c r="Z667" s="20">
        <v>0.99999999999999989</v>
      </c>
      <c r="AB667" s="20" t="s">
        <v>91</v>
      </c>
      <c r="AD667" s="20" t="s">
        <v>91</v>
      </c>
      <c r="AE667" s="20" t="s">
        <v>91</v>
      </c>
      <c r="AF667" s="20">
        <v>0.99999999999999989</v>
      </c>
      <c r="AH667" s="20">
        <v>1</v>
      </c>
      <c r="AM667" s="4" t="s">
        <v>91</v>
      </c>
      <c r="AP667" s="4" t="s">
        <v>91</v>
      </c>
      <c r="AQ667" s="20">
        <v>0</v>
      </c>
      <c r="AR667" s="4">
        <v>0</v>
      </c>
      <c r="AS667" s="20">
        <v>0</v>
      </c>
      <c r="AT667" s="20">
        <v>0</v>
      </c>
      <c r="AU667" s="20">
        <v>0</v>
      </c>
      <c r="AY667" s="20">
        <v>0</v>
      </c>
      <c r="BB667" s="6">
        <v>0</v>
      </c>
      <c r="BD667" s="6">
        <v>0</v>
      </c>
      <c r="BF667" s="6">
        <v>0</v>
      </c>
      <c r="BM667" s="20">
        <v>405</v>
      </c>
      <c r="BN667" s="20">
        <v>5</v>
      </c>
      <c r="BO667" s="20">
        <v>0</v>
      </c>
      <c r="BP667" s="20">
        <v>0</v>
      </c>
      <c r="BQ667" s="20">
        <v>0</v>
      </c>
      <c r="BR667" s="20">
        <v>0</v>
      </c>
      <c r="BS667" s="20">
        <v>400</v>
      </c>
      <c r="BT667" s="20">
        <v>8596000</v>
      </c>
      <c r="BU667" s="20">
        <v>39600000</v>
      </c>
      <c r="BV667" s="20">
        <v>4.1879944160074452</v>
      </c>
    </row>
    <row r="668" spans="1:74">
      <c r="A668" s="10">
        <f t="shared" si="42"/>
        <v>0</v>
      </c>
      <c r="B668" s="10">
        <f t="shared" si="43"/>
        <v>0</v>
      </c>
      <c r="C668" s="12">
        <f t="shared" si="44"/>
        <v>6</v>
      </c>
      <c r="D668" s="12">
        <f t="shared" si="45"/>
        <v>10</v>
      </c>
      <c r="E668" s="20" t="s">
        <v>114</v>
      </c>
      <c r="F668" s="20" t="s">
        <v>671</v>
      </c>
      <c r="G668" s="20" t="s">
        <v>2481</v>
      </c>
      <c r="H668" s="20" t="s">
        <v>2482</v>
      </c>
      <c r="I668" s="20">
        <v>1</v>
      </c>
      <c r="J668" s="20" t="s">
        <v>2483</v>
      </c>
      <c r="K668" s="20" t="s">
        <v>2484</v>
      </c>
      <c r="L668" s="20" t="s">
        <v>2485</v>
      </c>
      <c r="M668" s="20" t="s">
        <v>671</v>
      </c>
      <c r="N668" s="20" t="s">
        <v>702</v>
      </c>
      <c r="P668" s="20" t="s">
        <v>671</v>
      </c>
      <c r="Q668" s="20" t="s">
        <v>673</v>
      </c>
      <c r="R668" s="20" t="s">
        <v>84</v>
      </c>
      <c r="S668" s="20" t="s">
        <v>123</v>
      </c>
      <c r="T668" s="20" t="s">
        <v>244</v>
      </c>
      <c r="U668" s="20" t="s">
        <v>245</v>
      </c>
      <c r="V668" s="20" t="s">
        <v>87</v>
      </c>
      <c r="W668" s="20">
        <v>533</v>
      </c>
      <c r="X668" s="20">
        <v>533</v>
      </c>
      <c r="Y668" s="20" t="s">
        <v>2486</v>
      </c>
      <c r="Z668" s="20">
        <v>1</v>
      </c>
      <c r="AA668" s="20" t="s">
        <v>2487</v>
      </c>
      <c r="AB668" s="20" t="s">
        <v>101</v>
      </c>
      <c r="AC668" s="20" t="s">
        <v>102</v>
      </c>
      <c r="AD668" s="20" t="s">
        <v>2488</v>
      </c>
      <c r="AE668" s="20" t="s">
        <v>91</v>
      </c>
      <c r="AF668" s="20">
        <v>1</v>
      </c>
      <c r="AH668" s="20">
        <v>1</v>
      </c>
      <c r="AI668" s="4" t="s">
        <v>251</v>
      </c>
      <c r="AJ668" s="20">
        <v>400</v>
      </c>
      <c r="AK668" s="4" t="s">
        <v>780</v>
      </c>
      <c r="AL668" s="4">
        <v>7</v>
      </c>
      <c r="AM668" s="4" t="s">
        <v>514</v>
      </c>
      <c r="AN668" s="4" t="s">
        <v>95</v>
      </c>
      <c r="AO668" s="4" t="s">
        <v>131</v>
      </c>
      <c r="AP668" s="4">
        <v>2</v>
      </c>
      <c r="AQ668" s="20">
        <v>23000</v>
      </c>
      <c r="AR668" s="4">
        <v>0</v>
      </c>
      <c r="AS668" s="20">
        <v>5808.0808080808074</v>
      </c>
      <c r="AT668" s="20">
        <v>5220</v>
      </c>
      <c r="AU668" s="20">
        <v>-588.0808080808074</v>
      </c>
      <c r="AW668" s="20">
        <v>20</v>
      </c>
      <c r="AY668" s="20">
        <v>20</v>
      </c>
      <c r="BA668" s="20">
        <v>5200</v>
      </c>
      <c r="BB668" s="6">
        <v>41802</v>
      </c>
      <c r="BD668" s="6">
        <v>41848</v>
      </c>
      <c r="BE668" s="6">
        <v>41864</v>
      </c>
      <c r="BF668" s="6">
        <v>41922</v>
      </c>
      <c r="BK668" s="4" t="s">
        <v>401</v>
      </c>
      <c r="BM668" s="20">
        <v>395</v>
      </c>
      <c r="BN668" s="20">
        <v>0</v>
      </c>
      <c r="BO668" s="20">
        <v>0</v>
      </c>
      <c r="BP668" s="20">
        <v>0</v>
      </c>
      <c r="BQ668" s="20">
        <v>0</v>
      </c>
      <c r="BR668" s="20">
        <v>0</v>
      </c>
      <c r="BS668" s="20">
        <v>400</v>
      </c>
      <c r="BT668" s="20">
        <v>2088000</v>
      </c>
      <c r="BU668" s="20">
        <v>9200000</v>
      </c>
      <c r="BV668" s="20">
        <v>4.0055729710902126</v>
      </c>
    </row>
    <row r="669" spans="1:74">
      <c r="A669" s="10">
        <f t="shared" si="42"/>
        <v>0</v>
      </c>
      <c r="B669" s="10">
        <f t="shared" si="43"/>
        <v>0</v>
      </c>
      <c r="C669" s="12">
        <f t="shared" si="44"/>
        <v>6</v>
      </c>
      <c r="D669" s="12">
        <f t="shared" si="45"/>
        <v>10</v>
      </c>
      <c r="E669" s="20" t="s">
        <v>114</v>
      </c>
      <c r="F669" s="20" t="s">
        <v>671</v>
      </c>
      <c r="G669" s="20" t="s">
        <v>2481</v>
      </c>
      <c r="H669" s="20" t="s">
        <v>2489</v>
      </c>
      <c r="I669" s="20">
        <v>2</v>
      </c>
      <c r="J669" s="20" t="s">
        <v>2490</v>
      </c>
      <c r="K669" s="20" t="s">
        <v>2491</v>
      </c>
      <c r="L669" s="20" t="s">
        <v>2492</v>
      </c>
      <c r="M669" s="20" t="s">
        <v>671</v>
      </c>
      <c r="N669" s="20" t="s">
        <v>702</v>
      </c>
      <c r="P669" s="20" t="s">
        <v>671</v>
      </c>
      <c r="Q669" s="20" t="s">
        <v>673</v>
      </c>
      <c r="R669" s="20" t="s">
        <v>84</v>
      </c>
      <c r="S669" s="20" t="s">
        <v>123</v>
      </c>
      <c r="T669" s="20" t="s">
        <v>244</v>
      </c>
      <c r="U669" s="20" t="s">
        <v>245</v>
      </c>
      <c r="V669" s="20" t="s">
        <v>87</v>
      </c>
      <c r="W669" s="20">
        <v>534</v>
      </c>
      <c r="X669" s="20">
        <v>534</v>
      </c>
      <c r="Y669" s="20" t="s">
        <v>2493</v>
      </c>
      <c r="Z669" s="20">
        <v>1</v>
      </c>
      <c r="AA669" s="20" t="s">
        <v>2494</v>
      </c>
      <c r="AB669" s="20" t="s">
        <v>139</v>
      </c>
      <c r="AC669" s="20" t="s">
        <v>140</v>
      </c>
      <c r="AD669" s="20" t="s">
        <v>2495</v>
      </c>
      <c r="AE669" s="20" t="s">
        <v>91</v>
      </c>
      <c r="AF669" s="20">
        <v>1</v>
      </c>
      <c r="AH669" s="20">
        <v>1</v>
      </c>
      <c r="AI669" s="4" t="s">
        <v>251</v>
      </c>
      <c r="AJ669" s="20">
        <v>400</v>
      </c>
      <c r="AK669" s="4" t="s">
        <v>780</v>
      </c>
      <c r="AL669" s="4">
        <v>7</v>
      </c>
      <c r="AM669" s="4" t="s">
        <v>514</v>
      </c>
      <c r="AN669" s="4" t="s">
        <v>95</v>
      </c>
      <c r="AO669" s="4" t="s">
        <v>131</v>
      </c>
      <c r="AP669" s="4">
        <v>2</v>
      </c>
      <c r="AQ669" s="20">
        <v>23000</v>
      </c>
      <c r="AR669" s="4">
        <v>0</v>
      </c>
      <c r="AS669" s="20">
        <v>5808.0808080808074</v>
      </c>
      <c r="AT669" s="20">
        <v>5820</v>
      </c>
      <c r="AU669" s="20">
        <v>11.919191919192599</v>
      </c>
      <c r="AW669" s="20">
        <v>20</v>
      </c>
      <c r="AY669" s="20">
        <v>20</v>
      </c>
      <c r="BA669" s="20">
        <v>5800</v>
      </c>
      <c r="BB669" s="6">
        <v>41802</v>
      </c>
      <c r="BD669" s="6">
        <v>41848</v>
      </c>
      <c r="BE669" s="6">
        <v>41864</v>
      </c>
      <c r="BF669" s="6">
        <v>41922</v>
      </c>
      <c r="BK669" s="4" t="s">
        <v>401</v>
      </c>
      <c r="BM669" s="20">
        <v>390</v>
      </c>
      <c r="BN669" s="20">
        <v>0</v>
      </c>
      <c r="BO669" s="20">
        <v>0</v>
      </c>
      <c r="BP669" s="20">
        <v>0</v>
      </c>
      <c r="BQ669" s="20">
        <v>0</v>
      </c>
      <c r="BR669" s="20">
        <v>0</v>
      </c>
      <c r="BS669" s="20">
        <v>400</v>
      </c>
      <c r="BT669" s="20">
        <v>2328000</v>
      </c>
      <c r="BU669" s="20">
        <v>9200000</v>
      </c>
      <c r="BV669" s="20">
        <v>3.5926273039675101</v>
      </c>
    </row>
    <row r="670" spans="1:74">
      <c r="A670" s="10">
        <f t="shared" si="42"/>
        <v>0</v>
      </c>
      <c r="B670" s="10">
        <f t="shared" si="43"/>
        <v>0</v>
      </c>
      <c r="C670" s="12">
        <f t="shared" si="44"/>
        <v>6</v>
      </c>
      <c r="D670" s="12">
        <f t="shared" si="45"/>
        <v>10</v>
      </c>
      <c r="E670" s="20" t="s">
        <v>574</v>
      </c>
      <c r="F670" s="20" t="s">
        <v>665</v>
      </c>
      <c r="G670" s="20" t="s">
        <v>2481</v>
      </c>
      <c r="H670" s="20" t="s">
        <v>2496</v>
      </c>
      <c r="I670" s="20">
        <v>3</v>
      </c>
      <c r="J670" s="20" t="s">
        <v>2497</v>
      </c>
      <c r="K670" s="20" t="s">
        <v>2498</v>
      </c>
      <c r="L670" s="20" t="s">
        <v>2499</v>
      </c>
      <c r="M670" s="20" t="s">
        <v>671</v>
      </c>
      <c r="N670" s="20" t="s">
        <v>702</v>
      </c>
      <c r="P670" s="20" t="s">
        <v>671</v>
      </c>
      <c r="Q670" s="20" t="s">
        <v>673</v>
      </c>
      <c r="R670" s="20" t="s">
        <v>84</v>
      </c>
      <c r="S670" s="20">
        <v>4</v>
      </c>
      <c r="T670" s="20" t="s">
        <v>2500</v>
      </c>
      <c r="U670" s="20" t="s">
        <v>2501</v>
      </c>
      <c r="V670" s="20" t="s">
        <v>87</v>
      </c>
      <c r="W670" s="20">
        <v>595</v>
      </c>
      <c r="X670" s="20">
        <v>595</v>
      </c>
      <c r="Y670" s="20" t="s">
        <v>2502</v>
      </c>
      <c r="Z670" s="20">
        <v>1</v>
      </c>
      <c r="AA670" s="20" t="s">
        <v>2503</v>
      </c>
      <c r="AB670" s="20" t="s">
        <v>101</v>
      </c>
      <c r="AC670" s="20" t="s">
        <v>102</v>
      </c>
      <c r="AD670" s="20" t="s">
        <v>2504</v>
      </c>
      <c r="AE670" s="20" t="s">
        <v>91</v>
      </c>
      <c r="AF670" s="20">
        <v>1</v>
      </c>
      <c r="AH670" s="20">
        <v>1</v>
      </c>
      <c r="AI670" s="4" t="s">
        <v>251</v>
      </c>
      <c r="AJ670" s="20">
        <v>350</v>
      </c>
      <c r="AK670" s="4" t="s">
        <v>780</v>
      </c>
      <c r="AL670" s="4">
        <v>7</v>
      </c>
      <c r="AM670" s="4" t="s">
        <v>514</v>
      </c>
      <c r="AN670" s="4" t="s">
        <v>95</v>
      </c>
      <c r="AO670" s="4" t="s">
        <v>131</v>
      </c>
      <c r="AP670" s="4">
        <v>2</v>
      </c>
      <c r="AQ670" s="20">
        <v>23000</v>
      </c>
      <c r="AR670" s="4">
        <v>0</v>
      </c>
      <c r="AS670" s="20">
        <v>5808.0808080808074</v>
      </c>
      <c r="AT670" s="20">
        <v>6220</v>
      </c>
      <c r="AU670" s="20">
        <v>411.9191919191926</v>
      </c>
      <c r="AW670" s="20">
        <v>20</v>
      </c>
      <c r="AY670" s="20">
        <v>20</v>
      </c>
      <c r="BA670" s="20">
        <v>6200</v>
      </c>
      <c r="BB670" s="6">
        <v>41802</v>
      </c>
      <c r="BD670" s="6">
        <v>41848</v>
      </c>
      <c r="BE670" s="6">
        <v>41864</v>
      </c>
      <c r="BF670" s="6">
        <v>41922</v>
      </c>
      <c r="BK670" s="4" t="s">
        <v>401</v>
      </c>
      <c r="BM670" s="20">
        <v>340</v>
      </c>
      <c r="BN670" s="20">
        <v>0</v>
      </c>
      <c r="BO670" s="20">
        <v>0</v>
      </c>
      <c r="BP670" s="20">
        <v>0</v>
      </c>
      <c r="BQ670" s="20">
        <v>0</v>
      </c>
      <c r="BR670" s="20">
        <v>0</v>
      </c>
      <c r="BS670" s="20">
        <v>350</v>
      </c>
      <c r="BT670" s="20">
        <v>2177000</v>
      </c>
      <c r="BU670" s="20">
        <v>8050000</v>
      </c>
      <c r="BV670" s="20">
        <v>3.3615901783104354</v>
      </c>
    </row>
    <row r="671" spans="1:74">
      <c r="A671" s="10">
        <f t="shared" si="42"/>
        <v>0</v>
      </c>
      <c r="B671" s="10">
        <f t="shared" si="43"/>
        <v>0</v>
      </c>
      <c r="C671" s="12">
        <f t="shared" si="44"/>
        <v>6</v>
      </c>
      <c r="D671" s="12">
        <f t="shared" si="45"/>
        <v>10</v>
      </c>
      <c r="E671" s="20" t="s">
        <v>574</v>
      </c>
      <c r="F671" s="20" t="s">
        <v>665</v>
      </c>
      <c r="G671" s="20" t="s">
        <v>2481</v>
      </c>
      <c r="H671" s="20" t="s">
        <v>2505</v>
      </c>
      <c r="I671" s="20">
        <v>4</v>
      </c>
      <c r="J671" s="20" t="s">
        <v>2506</v>
      </c>
      <c r="K671" s="20" t="s">
        <v>2507</v>
      </c>
      <c r="L671" s="20" t="s">
        <v>2508</v>
      </c>
      <c r="M671" s="20" t="s">
        <v>671</v>
      </c>
      <c r="N671" s="20" t="s">
        <v>702</v>
      </c>
      <c r="P671" s="20" t="s">
        <v>671</v>
      </c>
      <c r="Q671" s="20" t="s">
        <v>673</v>
      </c>
      <c r="R671" s="20" t="s">
        <v>84</v>
      </c>
      <c r="S671" s="20">
        <v>4</v>
      </c>
      <c r="T671" s="20" t="s">
        <v>2500</v>
      </c>
      <c r="U671" s="20" t="s">
        <v>2501</v>
      </c>
      <c r="V671" s="20" t="s">
        <v>87</v>
      </c>
      <c r="W671" s="20">
        <v>596</v>
      </c>
      <c r="X671" s="20">
        <v>596</v>
      </c>
      <c r="Y671" s="20" t="s">
        <v>2509</v>
      </c>
      <c r="Z671" s="20">
        <v>1</v>
      </c>
      <c r="AA671" s="20" t="s">
        <v>2510</v>
      </c>
      <c r="AB671" s="20" t="s">
        <v>139</v>
      </c>
      <c r="AC671" s="20" t="s">
        <v>140</v>
      </c>
      <c r="AD671" s="20" t="s">
        <v>2511</v>
      </c>
      <c r="AE671" s="20" t="s">
        <v>91</v>
      </c>
      <c r="AF671" s="20">
        <v>1</v>
      </c>
      <c r="AH671" s="20">
        <v>1</v>
      </c>
      <c r="AI671" s="4" t="s">
        <v>251</v>
      </c>
      <c r="AJ671" s="20">
        <v>350</v>
      </c>
      <c r="AK671" s="4" t="s">
        <v>780</v>
      </c>
      <c r="AL671" s="4">
        <v>7</v>
      </c>
      <c r="AM671" s="4" t="s">
        <v>514</v>
      </c>
      <c r="AN671" s="4" t="s">
        <v>95</v>
      </c>
      <c r="AO671" s="4" t="s">
        <v>131</v>
      </c>
      <c r="AP671" s="4">
        <v>2</v>
      </c>
      <c r="AQ671" s="20">
        <v>23000</v>
      </c>
      <c r="AR671" s="4">
        <v>0</v>
      </c>
      <c r="AS671" s="20">
        <v>5808.0808080808074</v>
      </c>
      <c r="AT671" s="20">
        <v>6220</v>
      </c>
      <c r="AU671" s="20">
        <v>411.9191919191926</v>
      </c>
      <c r="AW671" s="20">
        <v>20</v>
      </c>
      <c r="AY671" s="20">
        <v>20</v>
      </c>
      <c r="BA671" s="20">
        <v>6200</v>
      </c>
      <c r="BB671" s="6">
        <v>41802</v>
      </c>
      <c r="BD671" s="6">
        <v>41848</v>
      </c>
      <c r="BE671" s="6">
        <v>41864</v>
      </c>
      <c r="BF671" s="6">
        <v>41922</v>
      </c>
      <c r="BK671" s="4" t="s">
        <v>401</v>
      </c>
      <c r="BM671" s="20">
        <v>340</v>
      </c>
      <c r="BN671" s="20">
        <v>0</v>
      </c>
      <c r="BO671" s="20">
        <v>0</v>
      </c>
      <c r="BP671" s="20">
        <v>0</v>
      </c>
      <c r="BQ671" s="20">
        <v>0</v>
      </c>
      <c r="BR671" s="20">
        <v>0</v>
      </c>
      <c r="BS671" s="20">
        <v>350</v>
      </c>
      <c r="BT671" s="20">
        <v>2177000</v>
      </c>
      <c r="BU671" s="20">
        <v>8050000</v>
      </c>
      <c r="BV671" s="20">
        <v>3.3615901783104354</v>
      </c>
    </row>
    <row r="672" spans="1:74">
      <c r="A672" s="10">
        <f t="shared" si="42"/>
        <v>0</v>
      </c>
      <c r="B672" s="10">
        <f t="shared" si="43"/>
        <v>0</v>
      </c>
      <c r="C672" s="12" t="str">
        <f t="shared" si="44"/>
        <v/>
      </c>
      <c r="D672" s="12" t="str">
        <f t="shared" si="45"/>
        <v/>
      </c>
      <c r="E672" s="20" t="s">
        <v>91</v>
      </c>
      <c r="F672" s="20" t="s">
        <v>91</v>
      </c>
      <c r="G672" s="20" t="s">
        <v>91</v>
      </c>
      <c r="H672" s="20" t="s">
        <v>91</v>
      </c>
      <c r="I672" s="20">
        <v>0</v>
      </c>
      <c r="J672" s="20" t="s">
        <v>103</v>
      </c>
      <c r="K672" s="20" t="s">
        <v>104</v>
      </c>
      <c r="L672" s="20">
        <v>0</v>
      </c>
      <c r="M672" s="20" t="s">
        <v>105</v>
      </c>
      <c r="N672" s="20" t="s">
        <v>91</v>
      </c>
      <c r="O672" s="20" t="s">
        <v>2512</v>
      </c>
      <c r="Q672" s="20" t="s">
        <v>91</v>
      </c>
      <c r="R672" s="20" t="s">
        <v>91</v>
      </c>
      <c r="S672" s="20" t="s">
        <v>91</v>
      </c>
      <c r="U672" s="20" t="s">
        <v>91</v>
      </c>
      <c r="V672" s="20" t="s">
        <v>87</v>
      </c>
      <c r="X672" s="20" t="s">
        <v>91</v>
      </c>
      <c r="Y672" s="20" t="s">
        <v>91</v>
      </c>
      <c r="Z672" s="20">
        <v>4</v>
      </c>
      <c r="AB672" s="20" t="s">
        <v>91</v>
      </c>
      <c r="AD672" s="20" t="s">
        <v>91</v>
      </c>
      <c r="AE672" s="20" t="s">
        <v>91</v>
      </c>
      <c r="AF672" s="20">
        <v>4</v>
      </c>
      <c r="AH672" s="20">
        <v>1</v>
      </c>
      <c r="AM672" s="4" t="s">
        <v>91</v>
      </c>
      <c r="AP672" s="4" t="s">
        <v>91</v>
      </c>
      <c r="AQ672" s="20">
        <v>0</v>
      </c>
      <c r="AR672" s="4">
        <v>0</v>
      </c>
      <c r="AS672" s="20">
        <v>0</v>
      </c>
      <c r="AT672" s="20">
        <v>0</v>
      </c>
      <c r="AU672" s="20">
        <v>0</v>
      </c>
      <c r="AY672" s="20">
        <v>0</v>
      </c>
      <c r="BB672" s="6">
        <v>0</v>
      </c>
      <c r="BD672" s="6">
        <v>0</v>
      </c>
      <c r="BM672" s="20">
        <v>1465</v>
      </c>
      <c r="BN672" s="20">
        <v>0</v>
      </c>
      <c r="BO672" s="20">
        <v>0</v>
      </c>
      <c r="BP672" s="20">
        <v>0</v>
      </c>
      <c r="BQ672" s="20">
        <v>0</v>
      </c>
      <c r="BR672" s="20">
        <v>0</v>
      </c>
      <c r="BS672" s="20">
        <v>1500</v>
      </c>
      <c r="BT672" s="20">
        <v>8770000</v>
      </c>
      <c r="BU672" s="20">
        <v>34500000</v>
      </c>
      <c r="BV672" s="20">
        <v>3.5762413185446253</v>
      </c>
    </row>
    <row r="673" spans="1:74">
      <c r="A673" s="10">
        <f t="shared" si="42"/>
        <v>0</v>
      </c>
      <c r="B673" s="10">
        <f t="shared" si="43"/>
        <v>1</v>
      </c>
      <c r="C673" s="12">
        <f t="shared" si="44"/>
        <v>3</v>
      </c>
      <c r="D673" s="12">
        <f t="shared" si="45"/>
        <v>9</v>
      </c>
      <c r="E673" s="20" t="s">
        <v>114</v>
      </c>
      <c r="F673" s="20" t="s">
        <v>671</v>
      </c>
      <c r="G673" s="20" t="s">
        <v>1210</v>
      </c>
      <c r="H673" s="20" t="s">
        <v>1211</v>
      </c>
      <c r="I673" s="20">
        <v>1</v>
      </c>
      <c r="J673" s="20" t="s">
        <v>1212</v>
      </c>
      <c r="K673" s="20" t="s">
        <v>1213</v>
      </c>
      <c r="L673" s="20" t="s">
        <v>1214</v>
      </c>
      <c r="M673" s="20" t="s">
        <v>671</v>
      </c>
      <c r="N673" s="20" t="s">
        <v>1215</v>
      </c>
      <c r="P673" s="20" t="s">
        <v>671</v>
      </c>
      <c r="Q673" s="20" t="s">
        <v>673</v>
      </c>
      <c r="R673" s="20" t="s">
        <v>84</v>
      </c>
      <c r="S673" s="20">
        <v>5</v>
      </c>
      <c r="T673" s="20" t="s">
        <v>480</v>
      </c>
      <c r="U673" s="20" t="s">
        <v>481</v>
      </c>
      <c r="V673" s="20" t="s">
        <v>87</v>
      </c>
      <c r="W673" s="20">
        <v>821</v>
      </c>
      <c r="X673" s="20">
        <v>821</v>
      </c>
      <c r="Y673" s="20" t="s">
        <v>1216</v>
      </c>
      <c r="Z673" s="20">
        <v>1</v>
      </c>
      <c r="AA673" s="20" t="s">
        <v>1217</v>
      </c>
      <c r="AB673" s="20" t="s">
        <v>159</v>
      </c>
      <c r="AC673" s="20" t="s">
        <v>160</v>
      </c>
      <c r="AD673" s="20" t="s">
        <v>1218</v>
      </c>
      <c r="AE673" s="20" t="s">
        <v>400</v>
      </c>
      <c r="AF673" s="20">
        <v>1</v>
      </c>
      <c r="AG673" s="20" t="s">
        <v>2521</v>
      </c>
      <c r="AH673" s="20">
        <v>1</v>
      </c>
      <c r="AI673" s="4" t="s">
        <v>251</v>
      </c>
      <c r="AJ673" s="20">
        <v>250</v>
      </c>
      <c r="AK673" s="4" t="s">
        <v>179</v>
      </c>
      <c r="AL673" s="4">
        <v>1</v>
      </c>
      <c r="AM673" s="4" t="s">
        <v>130</v>
      </c>
      <c r="AN673" s="4" t="s">
        <v>95</v>
      </c>
      <c r="AO673" s="4" t="s">
        <v>96</v>
      </c>
      <c r="AP673" s="4">
        <v>1</v>
      </c>
      <c r="AQ673" s="20">
        <v>45000</v>
      </c>
      <c r="AR673" s="4">
        <v>41710</v>
      </c>
      <c r="AS673" s="20">
        <v>6818.1818181818171</v>
      </c>
      <c r="AT673" s="20">
        <v>6718.04</v>
      </c>
      <c r="AU673" s="20">
        <v>-100.14181818181714</v>
      </c>
      <c r="AV673" s="20">
        <v>960</v>
      </c>
      <c r="AX673" s="20">
        <v>20</v>
      </c>
      <c r="AY673" s="20">
        <v>980</v>
      </c>
      <c r="AZ673" s="20">
        <v>4.5999999999999996</v>
      </c>
      <c r="BB673" s="6">
        <v>41711</v>
      </c>
      <c r="BC673" s="6">
        <v>41861</v>
      </c>
      <c r="BD673" s="6">
        <v>41858</v>
      </c>
      <c r="BE673" s="6">
        <v>41866</v>
      </c>
      <c r="BF673" s="6">
        <v>41906</v>
      </c>
      <c r="BK673" s="4" t="s">
        <v>401</v>
      </c>
      <c r="BL673" s="4" t="s">
        <v>401</v>
      </c>
      <c r="BM673" s="20">
        <v>250</v>
      </c>
      <c r="BN673" s="20">
        <v>0</v>
      </c>
      <c r="BO673" s="20">
        <v>0</v>
      </c>
      <c r="BP673" s="20">
        <v>0</v>
      </c>
      <c r="BQ673" s="20">
        <v>0</v>
      </c>
      <c r="BR673" s="20">
        <v>0</v>
      </c>
      <c r="BS673" s="20">
        <v>250</v>
      </c>
      <c r="BT673" s="20">
        <v>1679510</v>
      </c>
      <c r="BU673" s="20">
        <v>11250000</v>
      </c>
      <c r="BV673" s="20">
        <v>6.0894384238692991</v>
      </c>
    </row>
    <row r="674" spans="1:74">
      <c r="A674" s="10">
        <f t="shared" si="42"/>
        <v>0</v>
      </c>
      <c r="B674" s="10">
        <f t="shared" si="43"/>
        <v>1</v>
      </c>
      <c r="C674" s="12">
        <f t="shared" si="44"/>
        <v>3</v>
      </c>
      <c r="D674" s="12">
        <f t="shared" si="45"/>
        <v>9</v>
      </c>
      <c r="E674" s="20" t="s">
        <v>114</v>
      </c>
      <c r="F674" s="20" t="s">
        <v>671</v>
      </c>
      <c r="G674" s="20" t="s">
        <v>1210</v>
      </c>
      <c r="H674" s="20" t="s">
        <v>1219</v>
      </c>
      <c r="I674" s="20">
        <v>2</v>
      </c>
      <c r="J674" s="20" t="s">
        <v>1220</v>
      </c>
      <c r="K674" s="20" t="s">
        <v>1221</v>
      </c>
      <c r="L674" s="20" t="s">
        <v>1222</v>
      </c>
      <c r="M674" s="20" t="s">
        <v>671</v>
      </c>
      <c r="N674" s="20" t="s">
        <v>1215</v>
      </c>
      <c r="P674" s="20" t="s">
        <v>671</v>
      </c>
      <c r="Q674" s="20" t="s">
        <v>673</v>
      </c>
      <c r="R674" s="20" t="s">
        <v>84</v>
      </c>
      <c r="S674" s="20">
        <v>5</v>
      </c>
      <c r="T674" s="20" t="s">
        <v>480</v>
      </c>
      <c r="U674" s="20" t="s">
        <v>481</v>
      </c>
      <c r="V674" s="20" t="s">
        <v>87</v>
      </c>
      <c r="W674" s="20">
        <v>801</v>
      </c>
      <c r="X674" s="20">
        <v>801</v>
      </c>
      <c r="Y674" s="20" t="s">
        <v>1223</v>
      </c>
      <c r="Z674" s="20">
        <v>1</v>
      </c>
      <c r="AA674" s="20" t="s">
        <v>1224</v>
      </c>
      <c r="AB674" s="20" t="s">
        <v>109</v>
      </c>
      <c r="AC674" s="20" t="s">
        <v>110</v>
      </c>
      <c r="AD674" s="20" t="s">
        <v>1225</v>
      </c>
      <c r="AE674" s="20" t="s">
        <v>400</v>
      </c>
      <c r="AF674" s="20">
        <v>1</v>
      </c>
      <c r="AG674" s="20" t="s">
        <v>2522</v>
      </c>
      <c r="AH674" s="20">
        <v>1</v>
      </c>
      <c r="AI674" s="4" t="s">
        <v>251</v>
      </c>
      <c r="AJ674" s="20">
        <v>250</v>
      </c>
      <c r="AK674" s="4" t="s">
        <v>179</v>
      </c>
      <c r="AL674" s="4">
        <v>1</v>
      </c>
      <c r="AM674" s="4" t="s">
        <v>130</v>
      </c>
      <c r="AN674" s="4" t="s">
        <v>95</v>
      </c>
      <c r="AO674" s="4" t="s">
        <v>96</v>
      </c>
      <c r="AP674" s="4">
        <v>1</v>
      </c>
      <c r="AQ674" s="20">
        <v>55000</v>
      </c>
      <c r="AR674" s="4">
        <v>41710</v>
      </c>
      <c r="AS674" s="20">
        <v>8333.3333333333321</v>
      </c>
      <c r="AT674" s="20">
        <v>8445</v>
      </c>
      <c r="AU674" s="20">
        <v>111.66666666666788</v>
      </c>
      <c r="AV674" s="20">
        <v>2188</v>
      </c>
      <c r="AW674" s="20">
        <v>0</v>
      </c>
      <c r="AX674" s="20">
        <v>20</v>
      </c>
      <c r="AY674" s="20">
        <v>2208</v>
      </c>
      <c r="AZ674" s="20">
        <v>5</v>
      </c>
      <c r="BA674" s="20">
        <v>0</v>
      </c>
      <c r="BB674" s="6">
        <v>41711</v>
      </c>
      <c r="BC674" s="6">
        <v>41861</v>
      </c>
      <c r="BD674" s="6">
        <v>41858</v>
      </c>
      <c r="BE674" s="6">
        <v>41866</v>
      </c>
      <c r="BF674" s="6">
        <v>41906</v>
      </c>
      <c r="BG674" s="6">
        <v>0</v>
      </c>
      <c r="BH674" s="6">
        <v>0</v>
      </c>
      <c r="BI674" s="6">
        <v>0</v>
      </c>
      <c r="BJ674" s="6">
        <v>0</v>
      </c>
      <c r="BK674" s="4" t="s">
        <v>401</v>
      </c>
      <c r="BL674" s="4" t="s">
        <v>401</v>
      </c>
      <c r="BM674" s="20">
        <v>250</v>
      </c>
      <c r="BN674" s="20">
        <v>0</v>
      </c>
      <c r="BO674" s="20">
        <v>0</v>
      </c>
      <c r="BP674" s="20">
        <v>0</v>
      </c>
      <c r="BQ674" s="20">
        <v>0</v>
      </c>
      <c r="BR674" s="20">
        <v>0</v>
      </c>
      <c r="BS674" s="20">
        <v>250</v>
      </c>
      <c r="BT674" s="20">
        <v>2111250</v>
      </c>
      <c r="BU674" s="20">
        <v>13750000</v>
      </c>
      <c r="BV674" s="20">
        <v>5.9206631142687982</v>
      </c>
    </row>
    <row r="675" spans="1:74">
      <c r="A675" s="10">
        <f t="shared" si="42"/>
        <v>0</v>
      </c>
      <c r="B675" s="10">
        <f t="shared" si="43"/>
        <v>0</v>
      </c>
      <c r="C675" s="12" t="str">
        <f t="shared" si="44"/>
        <v/>
      </c>
      <c r="D675" s="12" t="str">
        <f t="shared" si="45"/>
        <v/>
      </c>
      <c r="E675" s="20" t="s">
        <v>91</v>
      </c>
      <c r="F675" s="20" t="s">
        <v>91</v>
      </c>
      <c r="G675" s="20" t="s">
        <v>91</v>
      </c>
      <c r="H675" s="20" t="s">
        <v>91</v>
      </c>
      <c r="I675" s="20">
        <v>0</v>
      </c>
      <c r="J675" s="20" t="s">
        <v>103</v>
      </c>
      <c r="K675" s="20" t="s">
        <v>104</v>
      </c>
      <c r="L675" s="20">
        <v>0</v>
      </c>
      <c r="M675" s="20" t="s">
        <v>105</v>
      </c>
      <c r="N675" s="20" t="s">
        <v>91</v>
      </c>
      <c r="O675" s="20" t="s">
        <v>1226</v>
      </c>
      <c r="Q675" s="20" t="s">
        <v>91</v>
      </c>
      <c r="R675" s="20" t="s">
        <v>91</v>
      </c>
      <c r="S675" s="20" t="s">
        <v>91</v>
      </c>
      <c r="U675" s="20" t="s">
        <v>91</v>
      </c>
      <c r="X675" s="20" t="s">
        <v>91</v>
      </c>
      <c r="Y675" s="20" t="s">
        <v>91</v>
      </c>
      <c r="Z675" s="20">
        <v>2</v>
      </c>
      <c r="AB675" s="20" t="s">
        <v>91</v>
      </c>
      <c r="AD675" s="20" t="s">
        <v>91</v>
      </c>
      <c r="AE675" s="20" t="s">
        <v>91</v>
      </c>
      <c r="AF675" s="20">
        <v>2</v>
      </c>
      <c r="AG675" s="20">
        <v>0</v>
      </c>
      <c r="AH675" s="20">
        <v>1</v>
      </c>
      <c r="AM675" s="4" t="s">
        <v>91</v>
      </c>
      <c r="AP675" s="4" t="s">
        <v>91</v>
      </c>
      <c r="AQ675" s="20">
        <v>0</v>
      </c>
      <c r="AR675" s="4">
        <v>0</v>
      </c>
      <c r="AS675" s="20">
        <v>0</v>
      </c>
      <c r="AT675" s="20">
        <v>0</v>
      </c>
      <c r="AU675" s="20">
        <v>0</v>
      </c>
      <c r="AV675" s="20">
        <v>0</v>
      </c>
      <c r="AW675" s="20">
        <v>0</v>
      </c>
      <c r="AY675" s="20">
        <v>0</v>
      </c>
      <c r="AZ675" s="20">
        <v>0</v>
      </c>
      <c r="BA675" s="20">
        <v>0</v>
      </c>
      <c r="BB675" s="6">
        <v>0</v>
      </c>
      <c r="BC675" s="6">
        <v>0</v>
      </c>
      <c r="BD675" s="6">
        <v>0</v>
      </c>
      <c r="BE675" s="6">
        <v>0</v>
      </c>
      <c r="BF675" s="6">
        <v>0</v>
      </c>
      <c r="BG675" s="6">
        <v>0</v>
      </c>
      <c r="BH675" s="6">
        <v>0</v>
      </c>
      <c r="BI675" s="6">
        <v>0</v>
      </c>
      <c r="BJ675" s="6">
        <v>0</v>
      </c>
      <c r="BK675" s="4">
        <v>0</v>
      </c>
      <c r="BL675" s="4">
        <v>0</v>
      </c>
      <c r="BM675" s="20">
        <v>500</v>
      </c>
      <c r="BN675" s="20">
        <v>0</v>
      </c>
      <c r="BO675" s="20">
        <v>0</v>
      </c>
      <c r="BP675" s="20">
        <v>0</v>
      </c>
      <c r="BQ675" s="20">
        <v>0</v>
      </c>
      <c r="BR675" s="20">
        <v>0</v>
      </c>
      <c r="BS675" s="20">
        <v>500</v>
      </c>
      <c r="BT675" s="20">
        <v>3790760</v>
      </c>
      <c r="BU675" s="20">
        <v>25000000</v>
      </c>
      <c r="BV675" s="20">
        <v>5.9954396288007485</v>
      </c>
    </row>
    <row r="676" spans="1:74">
      <c r="A676" s="10">
        <f t="shared" si="42"/>
        <v>0</v>
      </c>
      <c r="B676" s="10">
        <f t="shared" si="43"/>
        <v>0</v>
      </c>
      <c r="C676" s="12">
        <f t="shared" si="44"/>
        <v>4</v>
      </c>
      <c r="D676" s="12">
        <f t="shared" si="45"/>
        <v>8</v>
      </c>
      <c r="E676" s="20" t="s">
        <v>114</v>
      </c>
      <c r="F676" s="20" t="s">
        <v>671</v>
      </c>
      <c r="G676" s="20" t="s">
        <v>1227</v>
      </c>
      <c r="H676" s="20" t="s">
        <v>1228</v>
      </c>
      <c r="I676" s="20">
        <v>1</v>
      </c>
      <c r="J676" s="20" t="s">
        <v>1229</v>
      </c>
      <c r="K676" s="20" t="s">
        <v>1230</v>
      </c>
      <c r="L676" s="20" t="s">
        <v>1231</v>
      </c>
      <c r="M676" s="20" t="s">
        <v>671</v>
      </c>
      <c r="N676" s="20" t="s">
        <v>702</v>
      </c>
      <c r="P676" s="20" t="s">
        <v>671</v>
      </c>
      <c r="Q676" s="20" t="s">
        <v>673</v>
      </c>
      <c r="R676" s="20" t="s">
        <v>84</v>
      </c>
      <c r="S676" s="20">
        <v>5</v>
      </c>
      <c r="T676" s="20" t="s">
        <v>124</v>
      </c>
      <c r="U676" s="20" t="s">
        <v>125</v>
      </c>
      <c r="V676" s="20" t="s">
        <v>87</v>
      </c>
      <c r="W676" s="20">
        <v>503</v>
      </c>
      <c r="X676" s="20">
        <v>503</v>
      </c>
      <c r="Y676" s="20" t="s">
        <v>1232</v>
      </c>
      <c r="Z676" s="20">
        <v>0.33333333333333331</v>
      </c>
      <c r="AA676" s="20" t="s">
        <v>1233</v>
      </c>
      <c r="AB676" s="20" t="s">
        <v>89</v>
      </c>
      <c r="AC676" s="20" t="s">
        <v>90</v>
      </c>
      <c r="AD676" s="20" t="s">
        <v>1234</v>
      </c>
      <c r="AE676" s="20" t="s">
        <v>91</v>
      </c>
      <c r="AF676" s="20">
        <v>0.33333333333333331</v>
      </c>
      <c r="AG676" s="20" t="s">
        <v>2576</v>
      </c>
      <c r="AH676" s="20">
        <v>1</v>
      </c>
      <c r="AI676" s="4" t="s">
        <v>92</v>
      </c>
      <c r="AJ676" s="20">
        <v>400</v>
      </c>
      <c r="AK676" s="4" t="s">
        <v>93</v>
      </c>
      <c r="AL676" s="4">
        <v>5</v>
      </c>
      <c r="AM676" s="4" t="s">
        <v>485</v>
      </c>
      <c r="AN676" s="4" t="s">
        <v>95</v>
      </c>
      <c r="AO676" s="4" t="s">
        <v>189</v>
      </c>
      <c r="AP676" s="4">
        <v>1</v>
      </c>
      <c r="AQ676" s="20">
        <v>45000</v>
      </c>
      <c r="AR676" s="4">
        <v>41801</v>
      </c>
      <c r="AS676" s="20">
        <v>6818.1818181818171</v>
      </c>
      <c r="AT676" s="20">
        <v>6950.0000000000009</v>
      </c>
      <c r="AU676" s="20">
        <v>131.8181818181838</v>
      </c>
      <c r="AV676" s="20">
        <v>0</v>
      </c>
      <c r="AW676" s="20">
        <v>0</v>
      </c>
      <c r="AX676" s="20">
        <v>20</v>
      </c>
      <c r="AY676" s="20">
        <v>20</v>
      </c>
      <c r="AZ676" s="20">
        <v>6</v>
      </c>
      <c r="BA676" s="20">
        <v>0</v>
      </c>
      <c r="BB676" s="6">
        <v>41736</v>
      </c>
      <c r="BC676" s="6">
        <v>41867</v>
      </c>
      <c r="BD676" s="6">
        <v>41844</v>
      </c>
      <c r="BE676" s="6">
        <v>41871</v>
      </c>
      <c r="BF676" s="6">
        <v>41877</v>
      </c>
      <c r="BG676" s="6">
        <v>41887</v>
      </c>
      <c r="BH676" s="6">
        <v>41900</v>
      </c>
      <c r="BI676" s="6">
        <v>0</v>
      </c>
      <c r="BJ676" s="6">
        <v>0</v>
      </c>
      <c r="BK676" s="4" t="s">
        <v>401</v>
      </c>
      <c r="BL676" s="4" t="s">
        <v>401</v>
      </c>
      <c r="BM676" s="20">
        <v>400</v>
      </c>
      <c r="BN676" s="20">
        <v>0</v>
      </c>
      <c r="BO676" s="20">
        <v>0</v>
      </c>
      <c r="BP676" s="20">
        <v>0</v>
      </c>
      <c r="BQ676" s="20">
        <v>0</v>
      </c>
      <c r="BR676" s="20">
        <v>0</v>
      </c>
      <c r="BS676" s="20">
        <v>400</v>
      </c>
      <c r="BT676" s="20">
        <v>2780000.0000000005</v>
      </c>
      <c r="BU676" s="20">
        <v>18000000</v>
      </c>
      <c r="BV676" s="20">
        <v>5.8862001308044452</v>
      </c>
    </row>
    <row r="677" spans="1:74">
      <c r="A677" s="10">
        <f t="shared" si="42"/>
        <v>0</v>
      </c>
      <c r="B677" s="10">
        <f t="shared" si="43"/>
        <v>0</v>
      </c>
      <c r="C677" s="12">
        <f t="shared" si="44"/>
        <v>4</v>
      </c>
      <c r="D677" s="12">
        <f t="shared" si="45"/>
        <v>8</v>
      </c>
      <c r="E677" s="20" t="s">
        <v>114</v>
      </c>
      <c r="F677" s="20" t="s">
        <v>671</v>
      </c>
      <c r="G677" s="20" t="s">
        <v>1227</v>
      </c>
      <c r="H677" s="20" t="s">
        <v>1228</v>
      </c>
      <c r="I677" s="20">
        <v>1</v>
      </c>
      <c r="J677" s="20" t="s">
        <v>1229</v>
      </c>
      <c r="K677" s="20" t="s">
        <v>1235</v>
      </c>
      <c r="L677" s="20" t="s">
        <v>1231</v>
      </c>
      <c r="M677" s="20" t="s">
        <v>671</v>
      </c>
      <c r="N677" s="20" t="s">
        <v>702</v>
      </c>
      <c r="P677" s="20" t="s">
        <v>671</v>
      </c>
      <c r="Q677" s="20" t="s">
        <v>673</v>
      </c>
      <c r="R677" s="20" t="s">
        <v>84</v>
      </c>
      <c r="S677" s="20">
        <v>5</v>
      </c>
      <c r="T677" s="20" t="s">
        <v>124</v>
      </c>
      <c r="U677" s="20" t="s">
        <v>125</v>
      </c>
      <c r="V677" s="20" t="s">
        <v>87</v>
      </c>
      <c r="W677" s="20">
        <v>503</v>
      </c>
      <c r="X677" s="20">
        <v>503</v>
      </c>
      <c r="Y677" s="20" t="s">
        <v>1232</v>
      </c>
      <c r="Z677" s="20">
        <v>0.33333333333333331</v>
      </c>
      <c r="AA677" s="20" t="s">
        <v>1233</v>
      </c>
      <c r="AB677" s="20" t="s">
        <v>89</v>
      </c>
      <c r="AC677" s="20" t="s">
        <v>90</v>
      </c>
      <c r="AD677" s="20" t="s">
        <v>1234</v>
      </c>
      <c r="AE677" s="20" t="s">
        <v>91</v>
      </c>
      <c r="AF677" s="20">
        <v>0.33333333333333331</v>
      </c>
      <c r="AG677" s="20" t="s">
        <v>2576</v>
      </c>
      <c r="AH677" s="20">
        <v>1</v>
      </c>
      <c r="AI677" s="4" t="s">
        <v>97</v>
      </c>
      <c r="AJ677" s="20">
        <v>100</v>
      </c>
      <c r="AK677" s="4" t="s">
        <v>93</v>
      </c>
      <c r="AL677" s="4">
        <v>5</v>
      </c>
      <c r="AM677" s="4" t="s">
        <v>485</v>
      </c>
      <c r="AN677" s="4" t="s">
        <v>95</v>
      </c>
      <c r="AO677" s="4" t="s">
        <v>189</v>
      </c>
      <c r="AP677" s="4">
        <v>1</v>
      </c>
      <c r="AQ677" s="20">
        <v>45000</v>
      </c>
      <c r="AR677" s="4">
        <v>41801</v>
      </c>
      <c r="AS677" s="20">
        <v>6818.1818181818171</v>
      </c>
      <c r="AT677" s="20">
        <v>7065.5</v>
      </c>
      <c r="AU677" s="20">
        <v>247.31818181818289</v>
      </c>
      <c r="AV677" s="20">
        <v>0</v>
      </c>
      <c r="AW677" s="20">
        <v>0</v>
      </c>
      <c r="AX677" s="20">
        <v>20</v>
      </c>
      <c r="AY677" s="20">
        <v>20</v>
      </c>
      <c r="AZ677" s="20">
        <v>6.1</v>
      </c>
      <c r="BA677" s="20">
        <v>0</v>
      </c>
      <c r="BB677" s="6">
        <v>41736</v>
      </c>
      <c r="BC677" s="6">
        <v>41867</v>
      </c>
      <c r="BD677" s="6">
        <v>41844</v>
      </c>
      <c r="BE677" s="6">
        <v>41871</v>
      </c>
      <c r="BF677" s="6">
        <v>41877</v>
      </c>
      <c r="BG677" s="6">
        <v>41887</v>
      </c>
      <c r="BH677" s="6">
        <v>41900</v>
      </c>
      <c r="BI677" s="6">
        <v>0</v>
      </c>
      <c r="BJ677" s="6">
        <v>0</v>
      </c>
      <c r="BK677" s="4" t="s">
        <v>401</v>
      </c>
      <c r="BL677" s="4" t="s">
        <v>401</v>
      </c>
      <c r="BM677" s="20">
        <v>50</v>
      </c>
      <c r="BN677" s="20">
        <v>0</v>
      </c>
      <c r="BO677" s="20">
        <v>50</v>
      </c>
      <c r="BP677" s="20">
        <v>0</v>
      </c>
      <c r="BQ677" s="20">
        <v>0</v>
      </c>
      <c r="BR677" s="20">
        <v>0</v>
      </c>
      <c r="BS677" s="20">
        <v>100</v>
      </c>
      <c r="BT677" s="20">
        <v>706550</v>
      </c>
      <c r="BU677" s="20">
        <v>4500000</v>
      </c>
      <c r="BV677" s="20">
        <v>5.7899781910821462</v>
      </c>
    </row>
    <row r="678" spans="1:74">
      <c r="A678" s="10">
        <f t="shared" si="42"/>
        <v>0</v>
      </c>
      <c r="B678" s="10">
        <f t="shared" si="43"/>
        <v>0</v>
      </c>
      <c r="C678" s="12">
        <f t="shared" si="44"/>
        <v>4</v>
      </c>
      <c r="D678" s="12">
        <f t="shared" si="45"/>
        <v>8</v>
      </c>
      <c r="E678" s="20" t="s">
        <v>114</v>
      </c>
      <c r="F678" s="20" t="s">
        <v>671</v>
      </c>
      <c r="G678" s="20" t="s">
        <v>1227</v>
      </c>
      <c r="H678" s="20" t="s">
        <v>1228</v>
      </c>
      <c r="I678" s="20">
        <v>1</v>
      </c>
      <c r="J678" s="20" t="s">
        <v>1229</v>
      </c>
      <c r="K678" s="20" t="s">
        <v>1236</v>
      </c>
      <c r="L678" s="20" t="s">
        <v>1231</v>
      </c>
      <c r="M678" s="20" t="s">
        <v>671</v>
      </c>
      <c r="N678" s="20" t="s">
        <v>702</v>
      </c>
      <c r="P678" s="20" t="s">
        <v>671</v>
      </c>
      <c r="Q678" s="20" t="s">
        <v>673</v>
      </c>
      <c r="R678" s="20" t="s">
        <v>84</v>
      </c>
      <c r="S678" s="20">
        <v>5</v>
      </c>
      <c r="T678" s="20" t="s">
        <v>124</v>
      </c>
      <c r="U678" s="20" t="s">
        <v>125</v>
      </c>
      <c r="V678" s="20" t="s">
        <v>87</v>
      </c>
      <c r="W678" s="20">
        <v>503</v>
      </c>
      <c r="X678" s="20">
        <v>503</v>
      </c>
      <c r="Y678" s="20" t="s">
        <v>1232</v>
      </c>
      <c r="Z678" s="20">
        <v>0.33333333333333331</v>
      </c>
      <c r="AA678" s="20" t="s">
        <v>1233</v>
      </c>
      <c r="AB678" s="20" t="s">
        <v>89</v>
      </c>
      <c r="AC678" s="20" t="s">
        <v>90</v>
      </c>
      <c r="AD678" s="20" t="s">
        <v>1234</v>
      </c>
      <c r="AE678" s="20" t="s">
        <v>91</v>
      </c>
      <c r="AF678" s="20">
        <v>0.33333333333333331</v>
      </c>
      <c r="AG678" s="20" t="s">
        <v>2576</v>
      </c>
      <c r="AH678" s="20">
        <v>1</v>
      </c>
      <c r="AI678" s="4" t="s">
        <v>98</v>
      </c>
      <c r="AJ678" s="20">
        <v>50</v>
      </c>
      <c r="AK678" s="4" t="s">
        <v>93</v>
      </c>
      <c r="AL678" s="4">
        <v>5</v>
      </c>
      <c r="AM678" s="4" t="s">
        <v>485</v>
      </c>
      <c r="AN678" s="4" t="s">
        <v>95</v>
      </c>
      <c r="AO678" s="4" t="s">
        <v>189</v>
      </c>
      <c r="AP678" s="4">
        <v>1</v>
      </c>
      <c r="AQ678" s="20">
        <v>45000</v>
      </c>
      <c r="AR678" s="4">
        <v>41801</v>
      </c>
      <c r="AS678" s="20">
        <v>6818.1818181818171</v>
      </c>
      <c r="AT678" s="20">
        <v>7065.5</v>
      </c>
      <c r="AU678" s="20">
        <v>247.31818181818289</v>
      </c>
      <c r="AV678" s="20">
        <v>0</v>
      </c>
      <c r="AW678" s="20">
        <v>0</v>
      </c>
      <c r="AX678" s="20">
        <v>20</v>
      </c>
      <c r="AY678" s="20">
        <v>20</v>
      </c>
      <c r="AZ678" s="20">
        <v>6.1</v>
      </c>
      <c r="BA678" s="20">
        <v>0</v>
      </c>
      <c r="BB678" s="6">
        <v>41736</v>
      </c>
      <c r="BC678" s="6">
        <v>41867</v>
      </c>
      <c r="BD678" s="6">
        <v>41844</v>
      </c>
      <c r="BE678" s="6">
        <v>41871</v>
      </c>
      <c r="BF678" s="6">
        <v>41877</v>
      </c>
      <c r="BG678" s="6">
        <v>41887</v>
      </c>
      <c r="BH678" s="6">
        <v>41900</v>
      </c>
      <c r="BI678" s="6">
        <v>0</v>
      </c>
      <c r="BJ678" s="6">
        <v>0</v>
      </c>
      <c r="BK678" s="4" t="s">
        <v>401</v>
      </c>
      <c r="BL678" s="4" t="s">
        <v>401</v>
      </c>
      <c r="BM678" s="20">
        <v>50</v>
      </c>
      <c r="BN678" s="20">
        <v>50</v>
      </c>
      <c r="BO678" s="20">
        <v>0</v>
      </c>
      <c r="BP678" s="20">
        <v>0</v>
      </c>
      <c r="BQ678" s="20">
        <v>0</v>
      </c>
      <c r="BR678" s="20">
        <v>0</v>
      </c>
      <c r="BS678" s="20">
        <v>50</v>
      </c>
      <c r="BT678" s="20">
        <v>353275</v>
      </c>
      <c r="BU678" s="20">
        <v>2250000</v>
      </c>
      <c r="BV678" s="20">
        <v>5.7899781910821462</v>
      </c>
    </row>
    <row r="679" spans="1:74">
      <c r="A679" s="10">
        <f t="shared" si="42"/>
        <v>0</v>
      </c>
      <c r="B679" s="10">
        <f t="shared" si="43"/>
        <v>0</v>
      </c>
      <c r="C679" s="12" t="str">
        <f t="shared" si="44"/>
        <v/>
      </c>
      <c r="D679" s="12" t="str">
        <f t="shared" si="45"/>
        <v/>
      </c>
      <c r="E679" s="20" t="s">
        <v>91</v>
      </c>
      <c r="F679" s="20" t="s">
        <v>91</v>
      </c>
      <c r="G679" s="20" t="s">
        <v>91</v>
      </c>
      <c r="H679" s="20" t="s">
        <v>91</v>
      </c>
      <c r="I679" s="20">
        <v>0</v>
      </c>
      <c r="J679" s="20" t="s">
        <v>103</v>
      </c>
      <c r="K679" s="20" t="s">
        <v>104</v>
      </c>
      <c r="L679" s="20">
        <v>0</v>
      </c>
      <c r="M679" s="20" t="s">
        <v>105</v>
      </c>
      <c r="N679" s="20" t="s">
        <v>91</v>
      </c>
      <c r="O679" s="20" t="s">
        <v>1237</v>
      </c>
      <c r="Q679" s="20" t="s">
        <v>91</v>
      </c>
      <c r="R679" s="20" t="s">
        <v>91</v>
      </c>
      <c r="S679" s="20" t="s">
        <v>91</v>
      </c>
      <c r="U679" s="20" t="s">
        <v>91</v>
      </c>
      <c r="V679" s="20" t="s">
        <v>87</v>
      </c>
      <c r="X679" s="20" t="s">
        <v>91</v>
      </c>
      <c r="Y679" s="20" t="s">
        <v>91</v>
      </c>
      <c r="Z679" s="20">
        <v>1</v>
      </c>
      <c r="AB679" s="20" t="s">
        <v>91</v>
      </c>
      <c r="AD679" s="20" t="s">
        <v>91</v>
      </c>
      <c r="AE679" s="20" t="s">
        <v>91</v>
      </c>
      <c r="AF679" s="20">
        <v>1</v>
      </c>
      <c r="AG679" s="20">
        <v>0</v>
      </c>
      <c r="AH679" s="20">
        <v>1</v>
      </c>
      <c r="AM679" s="4" t="s">
        <v>91</v>
      </c>
      <c r="AP679" s="4" t="s">
        <v>91</v>
      </c>
      <c r="AQ679" s="20">
        <v>0</v>
      </c>
      <c r="AR679" s="4">
        <v>0</v>
      </c>
      <c r="AS679" s="20">
        <v>0</v>
      </c>
      <c r="AT679" s="20">
        <v>0</v>
      </c>
      <c r="AU679" s="20">
        <v>0</v>
      </c>
      <c r="AV679" s="20">
        <v>0</v>
      </c>
      <c r="AW679" s="20">
        <v>0</v>
      </c>
      <c r="AY679" s="20">
        <v>0</v>
      </c>
      <c r="AZ679" s="20">
        <v>0</v>
      </c>
      <c r="BA679" s="20">
        <v>0</v>
      </c>
      <c r="BB679" s="6">
        <v>0</v>
      </c>
      <c r="BC679" s="6">
        <v>0</v>
      </c>
      <c r="BD679" s="6">
        <v>0</v>
      </c>
      <c r="BE679" s="6">
        <v>0</v>
      </c>
      <c r="BF679" s="6">
        <v>0</v>
      </c>
      <c r="BG679" s="6">
        <v>0</v>
      </c>
      <c r="BH679" s="6">
        <v>0</v>
      </c>
      <c r="BI679" s="6">
        <v>0</v>
      </c>
      <c r="BJ679" s="6">
        <v>0</v>
      </c>
      <c r="BK679" s="4">
        <v>0</v>
      </c>
      <c r="BL679" s="4">
        <v>0</v>
      </c>
      <c r="BM679" s="20">
        <v>500</v>
      </c>
      <c r="BN679" s="20">
        <v>50</v>
      </c>
      <c r="BO679" s="20">
        <v>50</v>
      </c>
      <c r="BP679" s="20">
        <v>0</v>
      </c>
      <c r="BQ679" s="20">
        <v>0</v>
      </c>
      <c r="BR679" s="20">
        <v>0</v>
      </c>
      <c r="BS679" s="20">
        <v>550</v>
      </c>
      <c r="BT679" s="20">
        <v>3839825.0000000005</v>
      </c>
      <c r="BU679" s="20">
        <v>24750000</v>
      </c>
      <c r="BV679" s="20">
        <v>5.8596420409784287</v>
      </c>
    </row>
    <row r="680" spans="1:74">
      <c r="A680" s="10">
        <f t="shared" si="42"/>
        <v>0</v>
      </c>
      <c r="B680" s="10">
        <f t="shared" si="43"/>
        <v>0.5</v>
      </c>
      <c r="C680" s="12">
        <f t="shared" si="44"/>
        <v>4</v>
      </c>
      <c r="D680" s="12">
        <f t="shared" si="45"/>
        <v>9</v>
      </c>
      <c r="E680" s="20" t="s">
        <v>114</v>
      </c>
      <c r="F680" s="20" t="s">
        <v>671</v>
      </c>
      <c r="G680" s="20" t="s">
        <v>1238</v>
      </c>
      <c r="H680" s="20" t="s">
        <v>1239</v>
      </c>
      <c r="I680" s="20">
        <v>1</v>
      </c>
      <c r="J680" s="20" t="s">
        <v>1240</v>
      </c>
      <c r="K680" s="20" t="s">
        <v>1241</v>
      </c>
      <c r="L680" s="20" t="s">
        <v>1242</v>
      </c>
      <c r="M680" s="20" t="s">
        <v>671</v>
      </c>
      <c r="N680" s="20" t="s">
        <v>702</v>
      </c>
      <c r="P680" s="20" t="s">
        <v>671</v>
      </c>
      <c r="Q680" s="20" t="s">
        <v>673</v>
      </c>
      <c r="R680" s="20" t="s">
        <v>84</v>
      </c>
      <c r="S680" s="20">
        <v>5</v>
      </c>
      <c r="T680" s="20" t="s">
        <v>172</v>
      </c>
      <c r="U680" s="20" t="s">
        <v>173</v>
      </c>
      <c r="V680" s="20" t="s">
        <v>87</v>
      </c>
      <c r="W680" s="20">
        <v>506</v>
      </c>
      <c r="X680" s="20">
        <v>506</v>
      </c>
      <c r="Y680" s="20" t="s">
        <v>1243</v>
      </c>
      <c r="Z680" s="20">
        <v>0.5</v>
      </c>
      <c r="AA680" s="20" t="s">
        <v>1244</v>
      </c>
      <c r="AB680" s="20" t="s">
        <v>296</v>
      </c>
      <c r="AC680" s="20" t="s">
        <v>297</v>
      </c>
      <c r="AD680" s="20" t="s">
        <v>1245</v>
      </c>
      <c r="AE680" s="20" t="s">
        <v>91</v>
      </c>
      <c r="AF680" s="20">
        <v>0.5</v>
      </c>
      <c r="AG680" s="20" t="s">
        <v>2577</v>
      </c>
      <c r="AH680" s="20">
        <v>1</v>
      </c>
      <c r="AI680" s="4" t="s">
        <v>97</v>
      </c>
      <c r="AJ680" s="20">
        <v>100</v>
      </c>
      <c r="AK680" s="4" t="s">
        <v>111</v>
      </c>
      <c r="AL680" s="4">
        <v>3</v>
      </c>
      <c r="AM680" s="4" t="s">
        <v>438</v>
      </c>
      <c r="AN680" s="4" t="s">
        <v>95</v>
      </c>
      <c r="AO680" s="4" t="s">
        <v>96</v>
      </c>
      <c r="AP680" s="4">
        <v>1</v>
      </c>
      <c r="AQ680" s="20">
        <v>45000</v>
      </c>
      <c r="AR680" s="4">
        <v>41801</v>
      </c>
      <c r="AS680" s="20">
        <v>6818.1818181818171</v>
      </c>
      <c r="AT680" s="20">
        <v>7607.92</v>
      </c>
      <c r="AU680" s="20">
        <v>789.73818181818297</v>
      </c>
      <c r="AV680" s="20">
        <v>353</v>
      </c>
      <c r="AW680" s="20">
        <v>0</v>
      </c>
      <c r="AX680" s="20">
        <v>20</v>
      </c>
      <c r="AY680" s="20">
        <v>373</v>
      </c>
      <c r="AZ680" s="20">
        <v>5.8</v>
      </c>
      <c r="BA680" s="20">
        <v>0</v>
      </c>
      <c r="BB680" s="6">
        <v>41736</v>
      </c>
      <c r="BC680" s="6">
        <v>41866</v>
      </c>
      <c r="BD680" s="6">
        <v>41844</v>
      </c>
      <c r="BE680" s="6">
        <v>41870</v>
      </c>
      <c r="BF680" s="6">
        <v>41883</v>
      </c>
      <c r="BH680" s="6">
        <v>0</v>
      </c>
      <c r="BI680" s="6">
        <v>0</v>
      </c>
      <c r="BJ680" s="6">
        <v>0</v>
      </c>
      <c r="BK680" s="4" t="s">
        <v>401</v>
      </c>
      <c r="BL680" s="4" t="s">
        <v>401</v>
      </c>
      <c r="BM680" s="20">
        <v>93</v>
      </c>
      <c r="BN680" s="20">
        <v>0</v>
      </c>
      <c r="BO680" s="20">
        <v>0</v>
      </c>
      <c r="BP680" s="20">
        <v>0</v>
      </c>
      <c r="BQ680" s="20">
        <v>0</v>
      </c>
      <c r="BR680" s="20">
        <v>0</v>
      </c>
      <c r="BS680" s="20">
        <v>100</v>
      </c>
      <c r="BT680" s="20">
        <v>760792</v>
      </c>
      <c r="BU680" s="20">
        <v>4500000</v>
      </c>
      <c r="BV680" s="20">
        <v>5.3771715408535981</v>
      </c>
    </row>
    <row r="681" spans="1:74">
      <c r="A681" s="10">
        <f t="shared" si="42"/>
        <v>0</v>
      </c>
      <c r="B681" s="10">
        <f t="shared" si="43"/>
        <v>0.5</v>
      </c>
      <c r="C681" s="12">
        <f t="shared" si="44"/>
        <v>4</v>
      </c>
      <c r="D681" s="12">
        <f t="shared" si="45"/>
        <v>9</v>
      </c>
      <c r="E681" s="20" t="s">
        <v>114</v>
      </c>
      <c r="F681" s="20" t="s">
        <v>671</v>
      </c>
      <c r="G681" s="20" t="s">
        <v>1238</v>
      </c>
      <c r="H681" s="20" t="s">
        <v>1239</v>
      </c>
      <c r="I681" s="20">
        <v>1</v>
      </c>
      <c r="J681" s="20" t="s">
        <v>1240</v>
      </c>
      <c r="K681" s="20" t="s">
        <v>1246</v>
      </c>
      <c r="L681" s="20" t="s">
        <v>1242</v>
      </c>
      <c r="M681" s="20" t="s">
        <v>671</v>
      </c>
      <c r="N681" s="20" t="s">
        <v>702</v>
      </c>
      <c r="P681" s="20" t="s">
        <v>671</v>
      </c>
      <c r="Q681" s="20" t="s">
        <v>673</v>
      </c>
      <c r="R681" s="20" t="s">
        <v>84</v>
      </c>
      <c r="S681" s="20">
        <v>5</v>
      </c>
      <c r="T681" s="20" t="s">
        <v>172</v>
      </c>
      <c r="U681" s="20" t="s">
        <v>173</v>
      </c>
      <c r="V681" s="20" t="s">
        <v>87</v>
      </c>
      <c r="W681" s="20">
        <v>506</v>
      </c>
      <c r="X681" s="20">
        <v>506</v>
      </c>
      <c r="Y681" s="20" t="s">
        <v>1243</v>
      </c>
      <c r="Z681" s="20">
        <v>0.5</v>
      </c>
      <c r="AA681" s="20" t="s">
        <v>1244</v>
      </c>
      <c r="AB681" s="20" t="s">
        <v>296</v>
      </c>
      <c r="AC681" s="20" t="s">
        <v>297</v>
      </c>
      <c r="AD681" s="20" t="s">
        <v>1245</v>
      </c>
      <c r="AE681" s="20" t="s">
        <v>91</v>
      </c>
      <c r="AF681" s="20">
        <v>0.5</v>
      </c>
      <c r="AG681" s="20" t="s">
        <v>2577</v>
      </c>
      <c r="AH681" s="20">
        <v>1</v>
      </c>
      <c r="AI681" s="4" t="s">
        <v>98</v>
      </c>
      <c r="AJ681" s="20">
        <v>50</v>
      </c>
      <c r="AK681" s="4" t="s">
        <v>111</v>
      </c>
      <c r="AL681" s="4">
        <v>3</v>
      </c>
      <c r="AM681" s="4" t="s">
        <v>438</v>
      </c>
      <c r="AN681" s="4" t="s">
        <v>95</v>
      </c>
      <c r="AO681" s="4" t="s">
        <v>96</v>
      </c>
      <c r="AP681" s="4">
        <v>1</v>
      </c>
      <c r="AQ681" s="20">
        <v>45000</v>
      </c>
      <c r="AR681" s="4">
        <v>41801</v>
      </c>
      <c r="AS681" s="20">
        <v>6818.1818181818171</v>
      </c>
      <c r="AT681" s="20">
        <v>7431.92</v>
      </c>
      <c r="AU681" s="20">
        <v>613.73818181818297</v>
      </c>
      <c r="AV681" s="20">
        <v>177</v>
      </c>
      <c r="AW681" s="20">
        <v>0</v>
      </c>
      <c r="AX681" s="20">
        <v>20</v>
      </c>
      <c r="AY681" s="20">
        <v>197</v>
      </c>
      <c r="AZ681" s="20">
        <v>5.8</v>
      </c>
      <c r="BA681" s="20">
        <v>0</v>
      </c>
      <c r="BB681" s="6">
        <v>41736</v>
      </c>
      <c r="BC681" s="6">
        <v>41866</v>
      </c>
      <c r="BD681" s="6">
        <v>41844</v>
      </c>
      <c r="BE681" s="6">
        <v>41870</v>
      </c>
      <c r="BF681" s="6">
        <v>41883</v>
      </c>
      <c r="BG681" s="6">
        <v>0</v>
      </c>
      <c r="BH681" s="6">
        <v>0</v>
      </c>
      <c r="BI681" s="6">
        <v>0</v>
      </c>
      <c r="BJ681" s="6">
        <v>0</v>
      </c>
      <c r="BK681" s="4" t="s">
        <v>401</v>
      </c>
      <c r="BL681" s="4" t="s">
        <v>401</v>
      </c>
      <c r="BM681" s="20">
        <v>48</v>
      </c>
      <c r="BN681" s="20">
        <v>0</v>
      </c>
      <c r="BO681" s="20">
        <v>0</v>
      </c>
      <c r="BP681" s="20">
        <v>0</v>
      </c>
      <c r="BQ681" s="20">
        <v>0</v>
      </c>
      <c r="BR681" s="20">
        <v>0</v>
      </c>
      <c r="BS681" s="20">
        <v>50</v>
      </c>
      <c r="BT681" s="20">
        <v>371596</v>
      </c>
      <c r="BU681" s="20">
        <v>2250000</v>
      </c>
      <c r="BV681" s="20">
        <v>5.5045117424690932</v>
      </c>
    </row>
    <row r="682" spans="1:74">
      <c r="A682" s="10">
        <f t="shared" si="42"/>
        <v>0</v>
      </c>
      <c r="B682" s="10">
        <f t="shared" si="43"/>
        <v>0.33333333333333331</v>
      </c>
      <c r="C682" s="12">
        <f t="shared" si="44"/>
        <v>4</v>
      </c>
      <c r="D682" s="12">
        <f t="shared" si="45"/>
        <v>8</v>
      </c>
      <c r="E682" s="20" t="s">
        <v>114</v>
      </c>
      <c r="F682" s="20" t="s">
        <v>671</v>
      </c>
      <c r="G682" s="20" t="s">
        <v>1238</v>
      </c>
      <c r="H682" s="20" t="s">
        <v>1247</v>
      </c>
      <c r="I682" s="20">
        <v>2</v>
      </c>
      <c r="J682" s="20" t="s">
        <v>1248</v>
      </c>
      <c r="K682" s="20" t="s">
        <v>1249</v>
      </c>
      <c r="L682" s="20" t="s">
        <v>1250</v>
      </c>
      <c r="M682" s="20" t="s">
        <v>671</v>
      </c>
      <c r="N682" s="20" t="s">
        <v>702</v>
      </c>
      <c r="P682" s="20" t="s">
        <v>671</v>
      </c>
      <c r="Q682" s="20" t="s">
        <v>673</v>
      </c>
      <c r="R682" s="20" t="s">
        <v>84</v>
      </c>
      <c r="S682" s="20">
        <v>5</v>
      </c>
      <c r="T682" s="20" t="s">
        <v>172</v>
      </c>
      <c r="U682" s="20" t="s">
        <v>173</v>
      </c>
      <c r="V682" s="20" t="s">
        <v>87</v>
      </c>
      <c r="W682" s="20">
        <v>507</v>
      </c>
      <c r="X682" s="20">
        <v>507</v>
      </c>
      <c r="Y682" s="20" t="s">
        <v>1251</v>
      </c>
      <c r="Z682" s="20">
        <v>0.33333333333333331</v>
      </c>
      <c r="AA682" s="20" t="s">
        <v>1252</v>
      </c>
      <c r="AB682" s="20" t="s">
        <v>89</v>
      </c>
      <c r="AC682" s="20" t="s">
        <v>90</v>
      </c>
      <c r="AD682" s="20" t="s">
        <v>1253</v>
      </c>
      <c r="AE682" s="20" t="s">
        <v>91</v>
      </c>
      <c r="AF682" s="20">
        <v>0.33333333333333331</v>
      </c>
      <c r="AG682" s="20" t="s">
        <v>2578</v>
      </c>
      <c r="AH682" s="20">
        <v>1</v>
      </c>
      <c r="AI682" s="4" t="s">
        <v>92</v>
      </c>
      <c r="AJ682" s="20">
        <v>400</v>
      </c>
      <c r="AK682" s="4" t="s">
        <v>111</v>
      </c>
      <c r="AL682" s="4">
        <v>3</v>
      </c>
      <c r="AM682" s="4" t="s">
        <v>438</v>
      </c>
      <c r="AN682" s="4" t="s">
        <v>95</v>
      </c>
      <c r="AO682" s="4" t="s">
        <v>96</v>
      </c>
      <c r="AP682" s="4">
        <v>1</v>
      </c>
      <c r="AQ682" s="20">
        <v>45000</v>
      </c>
      <c r="AR682" s="4">
        <v>41801</v>
      </c>
      <c r="AS682" s="20">
        <v>6818.1818181818171</v>
      </c>
      <c r="AT682" s="20">
        <v>7589.5500000000011</v>
      </c>
      <c r="AU682" s="20">
        <v>771.36818181818398</v>
      </c>
      <c r="AV682" s="20">
        <v>397</v>
      </c>
      <c r="AW682" s="20">
        <v>0</v>
      </c>
      <c r="AX682" s="20">
        <v>20</v>
      </c>
      <c r="AY682" s="20">
        <v>417</v>
      </c>
      <c r="AZ682" s="20">
        <v>5.75</v>
      </c>
      <c r="BA682" s="20">
        <v>0</v>
      </c>
      <c r="BB682" s="6">
        <v>41736</v>
      </c>
      <c r="BC682" s="6">
        <v>41866</v>
      </c>
      <c r="BD682" s="6">
        <v>41844</v>
      </c>
      <c r="BE682" s="6">
        <v>41870</v>
      </c>
      <c r="BF682" s="6">
        <v>41873</v>
      </c>
      <c r="BG682" s="6">
        <v>41883</v>
      </c>
      <c r="BH682" s="6">
        <v>41887</v>
      </c>
      <c r="BI682" s="6">
        <v>41925</v>
      </c>
      <c r="BJ682" s="6">
        <v>0</v>
      </c>
      <c r="BK682" s="4" t="s">
        <v>401</v>
      </c>
      <c r="BL682" s="4" t="s">
        <v>401</v>
      </c>
      <c r="BM682" s="20">
        <v>20</v>
      </c>
      <c r="BN682" s="20">
        <v>360</v>
      </c>
      <c r="BO682" s="20">
        <v>17</v>
      </c>
      <c r="BP682" s="20">
        <v>0</v>
      </c>
      <c r="BQ682" s="20">
        <v>0</v>
      </c>
      <c r="BR682" s="20">
        <v>0</v>
      </c>
      <c r="BS682" s="20">
        <v>400</v>
      </c>
      <c r="BT682" s="20">
        <v>3035820.0000000005</v>
      </c>
      <c r="BU682" s="20">
        <v>18000000</v>
      </c>
      <c r="BV682" s="20">
        <v>5.3901866262282869</v>
      </c>
    </row>
    <row r="683" spans="1:74">
      <c r="A683" s="10">
        <f t="shared" si="42"/>
        <v>0</v>
      </c>
      <c r="B683" s="10">
        <f t="shared" si="43"/>
        <v>0.33333333333333331</v>
      </c>
      <c r="C683" s="12">
        <f t="shared" si="44"/>
        <v>4</v>
      </c>
      <c r="D683" s="12">
        <f t="shared" si="45"/>
        <v>8</v>
      </c>
      <c r="E683" s="20" t="s">
        <v>114</v>
      </c>
      <c r="F683" s="20" t="s">
        <v>671</v>
      </c>
      <c r="G683" s="20" t="s">
        <v>1238</v>
      </c>
      <c r="H683" s="20" t="s">
        <v>1247</v>
      </c>
      <c r="I683" s="20">
        <v>2</v>
      </c>
      <c r="J683" s="20" t="s">
        <v>1248</v>
      </c>
      <c r="K683" s="20" t="s">
        <v>1254</v>
      </c>
      <c r="L683" s="20" t="s">
        <v>1250</v>
      </c>
      <c r="M683" s="20" t="s">
        <v>671</v>
      </c>
      <c r="N683" s="20" t="s">
        <v>702</v>
      </c>
      <c r="P683" s="20" t="s">
        <v>671</v>
      </c>
      <c r="Q683" s="20" t="s">
        <v>673</v>
      </c>
      <c r="R683" s="20" t="s">
        <v>84</v>
      </c>
      <c r="S683" s="20">
        <v>5</v>
      </c>
      <c r="T683" s="20" t="s">
        <v>172</v>
      </c>
      <c r="U683" s="20" t="s">
        <v>173</v>
      </c>
      <c r="V683" s="20" t="s">
        <v>87</v>
      </c>
      <c r="W683" s="20">
        <v>507</v>
      </c>
      <c r="X683" s="20">
        <v>507</v>
      </c>
      <c r="Y683" s="20" t="s">
        <v>1251</v>
      </c>
      <c r="Z683" s="20">
        <v>0.33333333333333331</v>
      </c>
      <c r="AA683" s="20" t="s">
        <v>1252</v>
      </c>
      <c r="AB683" s="20" t="s">
        <v>89</v>
      </c>
      <c r="AC683" s="20" t="s">
        <v>90</v>
      </c>
      <c r="AD683" s="20" t="s">
        <v>1253</v>
      </c>
      <c r="AE683" s="20" t="s">
        <v>91</v>
      </c>
      <c r="AF683" s="20">
        <v>0.33333333333333331</v>
      </c>
      <c r="AG683" s="20" t="s">
        <v>2578</v>
      </c>
      <c r="AH683" s="20">
        <v>1</v>
      </c>
      <c r="AI683" s="4" t="s">
        <v>97</v>
      </c>
      <c r="AJ683" s="20">
        <v>100</v>
      </c>
      <c r="AK683" s="4" t="s">
        <v>111</v>
      </c>
      <c r="AL683" s="4">
        <v>3</v>
      </c>
      <c r="AM683" s="4" t="s">
        <v>438</v>
      </c>
      <c r="AN683" s="4" t="s">
        <v>95</v>
      </c>
      <c r="AO683" s="4" t="s">
        <v>96</v>
      </c>
      <c r="AP683" s="4">
        <v>1</v>
      </c>
      <c r="AQ683" s="20">
        <v>45000</v>
      </c>
      <c r="AR683" s="4">
        <v>41801</v>
      </c>
      <c r="AS683" s="20">
        <v>6818.1818181818171</v>
      </c>
      <c r="AT683" s="20">
        <v>7481.6600000000008</v>
      </c>
      <c r="AU683" s="20">
        <v>663.47818181818366</v>
      </c>
      <c r="AV683" s="20">
        <v>102</v>
      </c>
      <c r="AW683" s="20">
        <v>0</v>
      </c>
      <c r="AX683" s="20">
        <v>20</v>
      </c>
      <c r="AY683" s="20">
        <v>122</v>
      </c>
      <c r="AZ683" s="20">
        <v>5.9</v>
      </c>
      <c r="BA683" s="20">
        <v>0</v>
      </c>
      <c r="BB683" s="6">
        <v>41736</v>
      </c>
      <c r="BC683" s="6">
        <v>41866</v>
      </c>
      <c r="BD683" s="6">
        <v>41844</v>
      </c>
      <c r="BE683" s="6">
        <v>41870</v>
      </c>
      <c r="BF683" s="6">
        <v>41873</v>
      </c>
      <c r="BG683" s="6">
        <v>41883</v>
      </c>
      <c r="BH683" s="6">
        <v>41887</v>
      </c>
      <c r="BI683" s="6">
        <v>41925</v>
      </c>
      <c r="BJ683" s="6">
        <v>0</v>
      </c>
      <c r="BK683" s="4" t="s">
        <v>401</v>
      </c>
      <c r="BL683" s="4" t="s">
        <v>401</v>
      </c>
      <c r="BM683" s="20">
        <v>20</v>
      </c>
      <c r="BN683" s="20">
        <v>73</v>
      </c>
      <c r="BO683" s="20">
        <v>0</v>
      </c>
      <c r="BP683" s="20">
        <v>3</v>
      </c>
      <c r="BQ683" s="20">
        <v>0</v>
      </c>
      <c r="BR683" s="20">
        <v>0</v>
      </c>
      <c r="BS683" s="20">
        <v>100</v>
      </c>
      <c r="BT683" s="20">
        <v>748166.00000000012</v>
      </c>
      <c r="BU683" s="20">
        <v>4500000</v>
      </c>
      <c r="BV683" s="20">
        <v>5.46791633261748</v>
      </c>
    </row>
    <row r="684" spans="1:74">
      <c r="A684" s="10">
        <f t="shared" si="42"/>
        <v>0</v>
      </c>
      <c r="B684" s="10">
        <f t="shared" si="43"/>
        <v>0.33333333333333331</v>
      </c>
      <c r="C684" s="12">
        <f t="shared" si="44"/>
        <v>4</v>
      </c>
      <c r="D684" s="12">
        <f t="shared" si="45"/>
        <v>8</v>
      </c>
      <c r="E684" s="20" t="s">
        <v>114</v>
      </c>
      <c r="F684" s="20" t="s">
        <v>671</v>
      </c>
      <c r="G684" s="20" t="s">
        <v>1238</v>
      </c>
      <c r="H684" s="20" t="s">
        <v>1247</v>
      </c>
      <c r="I684" s="20">
        <v>2</v>
      </c>
      <c r="J684" s="20" t="s">
        <v>1248</v>
      </c>
      <c r="K684" s="20" t="s">
        <v>1255</v>
      </c>
      <c r="L684" s="20" t="s">
        <v>1250</v>
      </c>
      <c r="M684" s="20" t="s">
        <v>671</v>
      </c>
      <c r="N684" s="20" t="s">
        <v>702</v>
      </c>
      <c r="P684" s="20" t="s">
        <v>671</v>
      </c>
      <c r="Q684" s="20" t="s">
        <v>673</v>
      </c>
      <c r="R684" s="20" t="s">
        <v>84</v>
      </c>
      <c r="S684" s="20">
        <v>5</v>
      </c>
      <c r="T684" s="20" t="s">
        <v>172</v>
      </c>
      <c r="U684" s="20" t="s">
        <v>173</v>
      </c>
      <c r="V684" s="20" t="s">
        <v>87</v>
      </c>
      <c r="W684" s="20">
        <v>507</v>
      </c>
      <c r="X684" s="20">
        <v>507</v>
      </c>
      <c r="Y684" s="20" t="s">
        <v>1251</v>
      </c>
      <c r="Z684" s="20">
        <v>0.33333333333333331</v>
      </c>
      <c r="AA684" s="20" t="s">
        <v>1252</v>
      </c>
      <c r="AB684" s="20" t="s">
        <v>89</v>
      </c>
      <c r="AC684" s="20" t="s">
        <v>90</v>
      </c>
      <c r="AD684" s="20" t="s">
        <v>1253</v>
      </c>
      <c r="AE684" s="20" t="s">
        <v>91</v>
      </c>
      <c r="AF684" s="20">
        <v>0.33333333333333331</v>
      </c>
      <c r="AG684" s="20" t="s">
        <v>2578</v>
      </c>
      <c r="AH684" s="20">
        <v>1</v>
      </c>
      <c r="AI684" s="4" t="s">
        <v>98</v>
      </c>
      <c r="AJ684" s="20">
        <v>50</v>
      </c>
      <c r="AK684" s="4" t="s">
        <v>111</v>
      </c>
      <c r="AL684" s="4">
        <v>3</v>
      </c>
      <c r="AM684" s="4" t="s">
        <v>438</v>
      </c>
      <c r="AN684" s="4" t="s">
        <v>95</v>
      </c>
      <c r="AO684" s="4" t="s">
        <v>96</v>
      </c>
      <c r="AP684" s="4">
        <v>1</v>
      </c>
      <c r="AQ684" s="20">
        <v>45000</v>
      </c>
      <c r="AR684" s="4">
        <v>41801</v>
      </c>
      <c r="AS684" s="20">
        <v>6818.1818181818171</v>
      </c>
      <c r="AT684" s="20">
        <v>7430.6600000000008</v>
      </c>
      <c r="AU684" s="20">
        <v>612.47818181818366</v>
      </c>
      <c r="AV684" s="20">
        <v>51</v>
      </c>
      <c r="AW684" s="20">
        <v>0</v>
      </c>
      <c r="AX684" s="20">
        <v>20</v>
      </c>
      <c r="AY684" s="20">
        <v>71</v>
      </c>
      <c r="AZ684" s="20">
        <v>5.9</v>
      </c>
      <c r="BA684" s="20">
        <v>0</v>
      </c>
      <c r="BB684" s="6">
        <v>41736</v>
      </c>
      <c r="BC684" s="6">
        <v>41866</v>
      </c>
      <c r="BD684" s="6">
        <v>41844</v>
      </c>
      <c r="BE684" s="6">
        <v>41870</v>
      </c>
      <c r="BF684" s="6">
        <v>41873</v>
      </c>
      <c r="BG684" s="6">
        <v>41883</v>
      </c>
      <c r="BH684" s="6">
        <v>41887</v>
      </c>
      <c r="BI684" s="6">
        <v>41925</v>
      </c>
      <c r="BJ684" s="6">
        <v>0</v>
      </c>
      <c r="BK684" s="4" t="s">
        <v>401</v>
      </c>
      <c r="BL684" s="4" t="s">
        <v>401</v>
      </c>
      <c r="BM684" s="20">
        <v>20</v>
      </c>
      <c r="BN684" s="20">
        <v>28</v>
      </c>
      <c r="BO684" s="20">
        <v>0</v>
      </c>
      <c r="BP684" s="20">
        <v>0</v>
      </c>
      <c r="BQ684" s="20">
        <v>0</v>
      </c>
      <c r="BR684" s="20">
        <v>0</v>
      </c>
      <c r="BS684" s="20">
        <v>50</v>
      </c>
      <c r="BT684" s="20">
        <v>371533.00000000006</v>
      </c>
      <c r="BU684" s="20">
        <v>2250000</v>
      </c>
      <c r="BV684" s="20">
        <v>5.5054451299199396</v>
      </c>
    </row>
    <row r="685" spans="1:74">
      <c r="A685" s="10">
        <f t="shared" si="42"/>
        <v>0</v>
      </c>
      <c r="B685" s="10">
        <f t="shared" si="43"/>
        <v>0.33333333333333331</v>
      </c>
      <c r="C685" s="12">
        <f t="shared" si="44"/>
        <v>4</v>
      </c>
      <c r="D685" s="12">
        <f t="shared" si="45"/>
        <v>8</v>
      </c>
      <c r="E685" s="20" t="s">
        <v>114</v>
      </c>
      <c r="F685" s="20" t="s">
        <v>671</v>
      </c>
      <c r="G685" s="20" t="s">
        <v>1238</v>
      </c>
      <c r="H685" s="20" t="s">
        <v>1256</v>
      </c>
      <c r="I685" s="20">
        <v>3</v>
      </c>
      <c r="J685" s="20" t="s">
        <v>1257</v>
      </c>
      <c r="K685" s="20" t="s">
        <v>1258</v>
      </c>
      <c r="L685" s="20" t="s">
        <v>1259</v>
      </c>
      <c r="M685" s="20" t="s">
        <v>671</v>
      </c>
      <c r="N685" s="20" t="s">
        <v>702</v>
      </c>
      <c r="P685" s="20" t="s">
        <v>671</v>
      </c>
      <c r="Q685" s="20" t="s">
        <v>673</v>
      </c>
      <c r="R685" s="20" t="s">
        <v>84</v>
      </c>
      <c r="S685" s="20">
        <v>5</v>
      </c>
      <c r="T685" s="20" t="s">
        <v>172</v>
      </c>
      <c r="U685" s="20" t="s">
        <v>173</v>
      </c>
      <c r="V685" s="20" t="s">
        <v>87</v>
      </c>
      <c r="W685" s="20">
        <v>508</v>
      </c>
      <c r="X685" s="20">
        <v>508</v>
      </c>
      <c r="Y685" s="20" t="s">
        <v>1260</v>
      </c>
      <c r="Z685" s="20">
        <v>0.33333333333333331</v>
      </c>
      <c r="AA685" s="20" t="s">
        <v>1261</v>
      </c>
      <c r="AB685" s="20" t="s">
        <v>101</v>
      </c>
      <c r="AC685" s="20" t="s">
        <v>102</v>
      </c>
      <c r="AD685" s="20" t="s">
        <v>1262</v>
      </c>
      <c r="AE685" s="20" t="s">
        <v>91</v>
      </c>
      <c r="AF685" s="20">
        <v>0.33333333333333331</v>
      </c>
      <c r="AG685" s="20" t="s">
        <v>2579</v>
      </c>
      <c r="AH685" s="20">
        <v>1</v>
      </c>
      <c r="AI685" s="4" t="s">
        <v>92</v>
      </c>
      <c r="AJ685" s="20">
        <v>400</v>
      </c>
      <c r="AK685" s="4" t="s">
        <v>111</v>
      </c>
      <c r="AL685" s="4">
        <v>3</v>
      </c>
      <c r="AM685" s="4" t="s">
        <v>438</v>
      </c>
      <c r="AN685" s="4" t="s">
        <v>95</v>
      </c>
      <c r="AO685" s="4" t="s">
        <v>96</v>
      </c>
      <c r="AP685" s="4">
        <v>1</v>
      </c>
      <c r="AQ685" s="20">
        <v>45000</v>
      </c>
      <c r="AR685" s="4">
        <v>41801</v>
      </c>
      <c r="AS685" s="20">
        <v>6818.1818181818171</v>
      </c>
      <c r="AT685" s="20">
        <v>7235.3300000000008</v>
      </c>
      <c r="AU685" s="20">
        <v>417.14818181818373</v>
      </c>
      <c r="AV685" s="20">
        <v>417</v>
      </c>
      <c r="AW685" s="20">
        <v>0</v>
      </c>
      <c r="AX685" s="20">
        <v>20</v>
      </c>
      <c r="AY685" s="20">
        <v>437</v>
      </c>
      <c r="AZ685" s="20">
        <v>5.45</v>
      </c>
      <c r="BA685" s="20">
        <v>0</v>
      </c>
      <c r="BB685" s="6">
        <v>41736</v>
      </c>
      <c r="BC685" s="6">
        <v>41866</v>
      </c>
      <c r="BD685" s="6">
        <v>41844</v>
      </c>
      <c r="BE685" s="6">
        <v>41870</v>
      </c>
      <c r="BF685" s="6">
        <v>41873</v>
      </c>
      <c r="BG685" s="6">
        <v>41887</v>
      </c>
      <c r="BH685" s="6">
        <v>41912</v>
      </c>
      <c r="BI685" s="6">
        <v>0</v>
      </c>
      <c r="BJ685" s="6">
        <v>0</v>
      </c>
      <c r="BK685" s="4" t="s">
        <v>401</v>
      </c>
      <c r="BL685" s="4" t="s">
        <v>401</v>
      </c>
      <c r="BM685" s="20">
        <v>20</v>
      </c>
      <c r="BN685" s="20">
        <v>3</v>
      </c>
      <c r="BO685" s="20">
        <v>350</v>
      </c>
      <c r="BP685" s="20">
        <v>0</v>
      </c>
      <c r="BQ685" s="20">
        <v>0</v>
      </c>
      <c r="BR685" s="20">
        <v>0</v>
      </c>
      <c r="BS685" s="20">
        <v>400</v>
      </c>
      <c r="BT685" s="20">
        <v>2894132.0000000005</v>
      </c>
      <c r="BU685" s="20">
        <v>18000000</v>
      </c>
      <c r="BV685" s="20">
        <v>5.6540739550360382</v>
      </c>
    </row>
    <row r="686" spans="1:74">
      <c r="A686" s="10">
        <f t="shared" si="42"/>
        <v>0</v>
      </c>
      <c r="B686" s="10">
        <f t="shared" si="43"/>
        <v>0.33333333333333331</v>
      </c>
      <c r="C686" s="12">
        <f t="shared" si="44"/>
        <v>4</v>
      </c>
      <c r="D686" s="12">
        <f t="shared" si="45"/>
        <v>8</v>
      </c>
      <c r="E686" s="20" t="s">
        <v>114</v>
      </c>
      <c r="F686" s="20" t="s">
        <v>671</v>
      </c>
      <c r="G686" s="20" t="s">
        <v>1238</v>
      </c>
      <c r="H686" s="20" t="s">
        <v>1256</v>
      </c>
      <c r="I686" s="20">
        <v>3</v>
      </c>
      <c r="J686" s="20" t="s">
        <v>1257</v>
      </c>
      <c r="K686" s="20" t="s">
        <v>1263</v>
      </c>
      <c r="L686" s="20" t="s">
        <v>1259</v>
      </c>
      <c r="M686" s="20" t="s">
        <v>671</v>
      </c>
      <c r="N686" s="20" t="s">
        <v>702</v>
      </c>
      <c r="P686" s="20" t="s">
        <v>671</v>
      </c>
      <c r="Q686" s="20" t="s">
        <v>673</v>
      </c>
      <c r="R686" s="20" t="s">
        <v>84</v>
      </c>
      <c r="S686" s="20">
        <v>5</v>
      </c>
      <c r="T686" s="20" t="s">
        <v>172</v>
      </c>
      <c r="U686" s="20" t="s">
        <v>173</v>
      </c>
      <c r="V686" s="20" t="s">
        <v>87</v>
      </c>
      <c r="W686" s="20">
        <v>508</v>
      </c>
      <c r="X686" s="20">
        <v>508</v>
      </c>
      <c r="Y686" s="20" t="s">
        <v>1260</v>
      </c>
      <c r="Z686" s="20">
        <v>0.33333333333333331</v>
      </c>
      <c r="AA686" s="20" t="s">
        <v>1261</v>
      </c>
      <c r="AB686" s="20" t="s">
        <v>101</v>
      </c>
      <c r="AC686" s="20" t="s">
        <v>102</v>
      </c>
      <c r="AD686" s="20" t="s">
        <v>1262</v>
      </c>
      <c r="AE686" s="20" t="s">
        <v>91</v>
      </c>
      <c r="AF686" s="20">
        <v>0.33333333333333331</v>
      </c>
      <c r="AG686" s="20" t="s">
        <v>2579</v>
      </c>
      <c r="AH686" s="20">
        <v>1</v>
      </c>
      <c r="AI686" s="4" t="s">
        <v>97</v>
      </c>
      <c r="AJ686" s="20">
        <v>100</v>
      </c>
      <c r="AK686" s="4" t="s">
        <v>111</v>
      </c>
      <c r="AL686" s="4">
        <v>3</v>
      </c>
      <c r="AM686" s="4" t="s">
        <v>438</v>
      </c>
      <c r="AN686" s="4" t="s">
        <v>95</v>
      </c>
      <c r="AO686" s="4" t="s">
        <v>96</v>
      </c>
      <c r="AP686" s="4">
        <v>1</v>
      </c>
      <c r="AQ686" s="20">
        <v>45000</v>
      </c>
      <c r="AR686" s="4">
        <v>41801</v>
      </c>
      <c r="AS686" s="20">
        <v>6818.1818181818171</v>
      </c>
      <c r="AT686" s="20">
        <v>7112.4400000000005</v>
      </c>
      <c r="AU686" s="20">
        <v>294.2581818181834</v>
      </c>
      <c r="AV686" s="20">
        <v>107</v>
      </c>
      <c r="AW686" s="20">
        <v>0</v>
      </c>
      <c r="AX686" s="20">
        <v>20</v>
      </c>
      <c r="AY686" s="20">
        <v>127</v>
      </c>
      <c r="AZ686" s="20">
        <v>5.6</v>
      </c>
      <c r="BA686" s="20">
        <v>0</v>
      </c>
      <c r="BB686" s="6">
        <v>41736</v>
      </c>
      <c r="BC686" s="6">
        <v>41866</v>
      </c>
      <c r="BD686" s="6">
        <v>41844</v>
      </c>
      <c r="BE686" s="6">
        <v>41870</v>
      </c>
      <c r="BF686" s="6">
        <v>41873</v>
      </c>
      <c r="BG686" s="6">
        <v>41887</v>
      </c>
      <c r="BH686" s="6">
        <v>41912</v>
      </c>
      <c r="BI686" s="6">
        <v>0</v>
      </c>
      <c r="BJ686" s="6">
        <v>0</v>
      </c>
      <c r="BK686" s="4" t="s">
        <v>401</v>
      </c>
      <c r="BL686" s="4" t="s">
        <v>401</v>
      </c>
      <c r="BM686" s="20">
        <v>20</v>
      </c>
      <c r="BN686" s="20">
        <v>82</v>
      </c>
      <c r="BO686" s="20">
        <v>0</v>
      </c>
      <c r="BP686" s="20">
        <v>0</v>
      </c>
      <c r="BQ686" s="20">
        <v>0</v>
      </c>
      <c r="BR686" s="20">
        <v>0</v>
      </c>
      <c r="BS686" s="20">
        <v>100</v>
      </c>
      <c r="BT686" s="20">
        <v>711244</v>
      </c>
      <c r="BU686" s="20">
        <v>4500000</v>
      </c>
      <c r="BV686" s="20">
        <v>5.7517660478107242</v>
      </c>
    </row>
    <row r="687" spans="1:74">
      <c r="A687" s="10">
        <f t="shared" si="42"/>
        <v>0</v>
      </c>
      <c r="B687" s="10">
        <f t="shared" si="43"/>
        <v>0.33333333333333331</v>
      </c>
      <c r="C687" s="12">
        <f t="shared" si="44"/>
        <v>4</v>
      </c>
      <c r="D687" s="12">
        <f t="shared" si="45"/>
        <v>8</v>
      </c>
      <c r="E687" s="20" t="s">
        <v>114</v>
      </c>
      <c r="F687" s="20" t="s">
        <v>671</v>
      </c>
      <c r="G687" s="20" t="s">
        <v>1238</v>
      </c>
      <c r="H687" s="20" t="s">
        <v>1256</v>
      </c>
      <c r="I687" s="20">
        <v>3</v>
      </c>
      <c r="J687" s="20" t="s">
        <v>1257</v>
      </c>
      <c r="K687" s="20" t="s">
        <v>1264</v>
      </c>
      <c r="L687" s="20" t="s">
        <v>1259</v>
      </c>
      <c r="M687" s="20" t="s">
        <v>671</v>
      </c>
      <c r="N687" s="20" t="s">
        <v>702</v>
      </c>
      <c r="P687" s="20" t="s">
        <v>671</v>
      </c>
      <c r="Q687" s="20" t="s">
        <v>673</v>
      </c>
      <c r="R687" s="20" t="s">
        <v>84</v>
      </c>
      <c r="S687" s="20">
        <v>5</v>
      </c>
      <c r="T687" s="20" t="s">
        <v>172</v>
      </c>
      <c r="U687" s="20" t="s">
        <v>173</v>
      </c>
      <c r="V687" s="20" t="s">
        <v>87</v>
      </c>
      <c r="W687" s="20">
        <v>508</v>
      </c>
      <c r="X687" s="20">
        <v>508</v>
      </c>
      <c r="Y687" s="20" t="s">
        <v>1260</v>
      </c>
      <c r="Z687" s="20">
        <v>0.33333333333333331</v>
      </c>
      <c r="AA687" s="20" t="s">
        <v>1261</v>
      </c>
      <c r="AB687" s="20" t="s">
        <v>101</v>
      </c>
      <c r="AC687" s="20" t="s">
        <v>102</v>
      </c>
      <c r="AD687" s="20" t="s">
        <v>1262</v>
      </c>
      <c r="AE687" s="20" t="s">
        <v>91</v>
      </c>
      <c r="AF687" s="20">
        <v>0.33333333333333331</v>
      </c>
      <c r="AG687" s="20" t="s">
        <v>2579</v>
      </c>
      <c r="AH687" s="20">
        <v>1</v>
      </c>
      <c r="AI687" s="4" t="s">
        <v>98</v>
      </c>
      <c r="AJ687" s="20">
        <v>50</v>
      </c>
      <c r="AK687" s="4" t="s">
        <v>111</v>
      </c>
      <c r="AL687" s="4">
        <v>3</v>
      </c>
      <c r="AM687" s="4" t="s">
        <v>438</v>
      </c>
      <c r="AN687" s="4" t="s">
        <v>95</v>
      </c>
      <c r="AO687" s="4" t="s">
        <v>96</v>
      </c>
      <c r="AP687" s="4">
        <v>1</v>
      </c>
      <c r="AQ687" s="20">
        <v>45000</v>
      </c>
      <c r="AR687" s="4">
        <v>41801</v>
      </c>
      <c r="AS687" s="20">
        <v>6818.1818181818171</v>
      </c>
      <c r="AT687" s="20">
        <v>7059.4400000000005</v>
      </c>
      <c r="AU687" s="20">
        <v>241.2581818181834</v>
      </c>
      <c r="AV687" s="20">
        <v>54</v>
      </c>
      <c r="AW687" s="20">
        <v>0</v>
      </c>
      <c r="AX687" s="20">
        <v>20</v>
      </c>
      <c r="AY687" s="20">
        <v>74</v>
      </c>
      <c r="AZ687" s="20">
        <v>5.6</v>
      </c>
      <c r="BA687" s="20">
        <v>0</v>
      </c>
      <c r="BB687" s="6">
        <v>41736</v>
      </c>
      <c r="BC687" s="6">
        <v>41866</v>
      </c>
      <c r="BD687" s="6">
        <v>41844</v>
      </c>
      <c r="BE687" s="6">
        <v>41870</v>
      </c>
      <c r="BF687" s="6">
        <v>41873</v>
      </c>
      <c r="BG687" s="6">
        <v>41887</v>
      </c>
      <c r="BH687" s="6">
        <v>41912</v>
      </c>
      <c r="BI687" s="6">
        <v>0</v>
      </c>
      <c r="BJ687" s="6">
        <v>0</v>
      </c>
      <c r="BK687" s="4" t="s">
        <v>401</v>
      </c>
      <c r="BL687" s="4" t="s">
        <v>401</v>
      </c>
      <c r="BM687" s="20">
        <v>20</v>
      </c>
      <c r="BN687" s="20">
        <v>24</v>
      </c>
      <c r="BO687" s="20">
        <v>0</v>
      </c>
      <c r="BP687" s="20">
        <v>0</v>
      </c>
      <c r="BQ687" s="20">
        <v>0</v>
      </c>
      <c r="BS687" s="20">
        <v>50</v>
      </c>
      <c r="BT687" s="20">
        <v>352972</v>
      </c>
      <c r="BU687" s="20">
        <v>2250000</v>
      </c>
      <c r="BV687" s="20">
        <v>5.7949484532896243</v>
      </c>
    </row>
    <row r="688" spans="1:74">
      <c r="A688" s="10">
        <f t="shared" si="42"/>
        <v>0</v>
      </c>
      <c r="B688" s="10">
        <f t="shared" si="43"/>
        <v>0</v>
      </c>
      <c r="C688" s="12" t="str">
        <f t="shared" si="44"/>
        <v/>
      </c>
      <c r="D688" s="12" t="str">
        <f t="shared" si="45"/>
        <v/>
      </c>
      <c r="E688" s="20" t="s">
        <v>91</v>
      </c>
      <c r="F688" s="20" t="s">
        <v>91</v>
      </c>
      <c r="G688" s="20" t="s">
        <v>91</v>
      </c>
      <c r="H688" s="20" t="s">
        <v>91</v>
      </c>
      <c r="I688" s="20">
        <v>0</v>
      </c>
      <c r="J688" s="20" t="s">
        <v>103</v>
      </c>
      <c r="K688" s="20" t="s">
        <v>104</v>
      </c>
      <c r="L688" s="20">
        <v>0</v>
      </c>
      <c r="M688" s="20" t="s">
        <v>105</v>
      </c>
      <c r="N688" s="20" t="s">
        <v>91</v>
      </c>
      <c r="O688" s="20" t="s">
        <v>1265</v>
      </c>
      <c r="Q688" s="20" t="s">
        <v>91</v>
      </c>
      <c r="R688" s="20" t="s">
        <v>91</v>
      </c>
      <c r="S688" s="20" t="s">
        <v>91</v>
      </c>
      <c r="U688" s="20" t="s">
        <v>91</v>
      </c>
      <c r="V688" s="20" t="s">
        <v>87</v>
      </c>
      <c r="X688" s="20" t="s">
        <v>91</v>
      </c>
      <c r="Y688" s="20" t="s">
        <v>91</v>
      </c>
      <c r="Z688" s="20">
        <v>3</v>
      </c>
      <c r="AB688" s="20" t="s">
        <v>91</v>
      </c>
      <c r="AD688" s="20" t="s">
        <v>91</v>
      </c>
      <c r="AE688" s="20" t="s">
        <v>91</v>
      </c>
      <c r="AF688" s="20">
        <v>3</v>
      </c>
      <c r="AG688" s="20">
        <v>0</v>
      </c>
      <c r="AH688" s="20">
        <v>1</v>
      </c>
      <c r="AM688" s="4" t="s">
        <v>91</v>
      </c>
      <c r="AP688" s="4" t="s">
        <v>91</v>
      </c>
      <c r="AQ688" s="20">
        <v>0</v>
      </c>
      <c r="AR688" s="4">
        <v>0</v>
      </c>
      <c r="AS688" s="20">
        <v>0</v>
      </c>
      <c r="AT688" s="20">
        <v>0</v>
      </c>
      <c r="AU688" s="20">
        <v>0</v>
      </c>
      <c r="AV688" s="20">
        <v>0</v>
      </c>
      <c r="AW688" s="20">
        <v>0</v>
      </c>
      <c r="AY688" s="20">
        <v>0</v>
      </c>
      <c r="AZ688" s="20">
        <v>0</v>
      </c>
      <c r="BA688" s="20">
        <v>0</v>
      </c>
      <c r="BB688" s="6">
        <v>0</v>
      </c>
      <c r="BC688" s="6">
        <v>0</v>
      </c>
      <c r="BD688" s="6">
        <v>0</v>
      </c>
      <c r="BE688" s="6">
        <v>0</v>
      </c>
      <c r="BF688" s="6">
        <v>0</v>
      </c>
      <c r="BG688" s="6">
        <v>0</v>
      </c>
      <c r="BH688" s="6">
        <v>0</v>
      </c>
      <c r="BI688" s="6">
        <v>0</v>
      </c>
      <c r="BJ688" s="6">
        <v>0</v>
      </c>
      <c r="BK688" s="4">
        <v>0</v>
      </c>
      <c r="BL688" s="4">
        <v>0</v>
      </c>
      <c r="BM688" s="20">
        <v>261</v>
      </c>
      <c r="BN688" s="20">
        <v>570</v>
      </c>
      <c r="BO688" s="20">
        <v>367</v>
      </c>
      <c r="BP688" s="20">
        <v>3</v>
      </c>
      <c r="BQ688" s="20">
        <v>0</v>
      </c>
      <c r="BR688" s="20">
        <v>0</v>
      </c>
      <c r="BS688" s="20">
        <v>1250</v>
      </c>
      <c r="BT688" s="20">
        <v>9246255.0000000019</v>
      </c>
      <c r="BU688" s="20">
        <v>56250000</v>
      </c>
      <c r="BV688" s="20">
        <v>5.5304946312170298</v>
      </c>
    </row>
    <row r="689" spans="1:74">
      <c r="A689" s="10">
        <f t="shared" si="42"/>
        <v>0</v>
      </c>
      <c r="B689" s="10">
        <f t="shared" si="43"/>
        <v>0.5</v>
      </c>
      <c r="C689" s="12">
        <f t="shared" si="44"/>
        <v>4</v>
      </c>
      <c r="D689" s="12">
        <f t="shared" si="45"/>
        <v>9</v>
      </c>
      <c r="E689" s="20" t="s">
        <v>114</v>
      </c>
      <c r="F689" s="20" t="s">
        <v>671</v>
      </c>
      <c r="G689" s="20" t="s">
        <v>1266</v>
      </c>
      <c r="H689" s="20" t="s">
        <v>1267</v>
      </c>
      <c r="I689" s="20">
        <v>1</v>
      </c>
      <c r="J689" s="20" t="s">
        <v>1268</v>
      </c>
      <c r="K689" s="20" t="s">
        <v>1269</v>
      </c>
      <c r="L689" s="20" t="s">
        <v>1270</v>
      </c>
      <c r="M689" s="20" t="s">
        <v>671</v>
      </c>
      <c r="N689" s="20" t="s">
        <v>702</v>
      </c>
      <c r="P689" s="20" t="s">
        <v>671</v>
      </c>
      <c r="Q689" s="20" t="s">
        <v>673</v>
      </c>
      <c r="R689" s="20" t="s">
        <v>84</v>
      </c>
      <c r="S689" s="20">
        <v>5</v>
      </c>
      <c r="T689" s="20" t="s">
        <v>106</v>
      </c>
      <c r="U689" s="20" t="s">
        <v>107</v>
      </c>
      <c r="V689" s="20" t="s">
        <v>87</v>
      </c>
      <c r="W689" s="20">
        <v>511</v>
      </c>
      <c r="X689" s="20">
        <v>511</v>
      </c>
      <c r="Y689" s="20" t="s">
        <v>1271</v>
      </c>
      <c r="Z689" s="20">
        <v>0.5</v>
      </c>
      <c r="AA689" s="20" t="s">
        <v>1272</v>
      </c>
      <c r="AB689" s="20" t="s">
        <v>296</v>
      </c>
      <c r="AC689" s="20" t="s">
        <v>297</v>
      </c>
      <c r="AD689" s="20" t="s">
        <v>1273</v>
      </c>
      <c r="AE689" s="20" t="s">
        <v>91</v>
      </c>
      <c r="AF689" s="20">
        <v>0.5</v>
      </c>
      <c r="AG689" s="20" t="s">
        <v>2580</v>
      </c>
      <c r="AH689" s="20">
        <v>1</v>
      </c>
      <c r="AI689" s="4" t="s">
        <v>97</v>
      </c>
      <c r="AJ689" s="20">
        <v>100</v>
      </c>
      <c r="AK689" s="4" t="s">
        <v>111</v>
      </c>
      <c r="AL689" s="4">
        <v>4</v>
      </c>
      <c r="AM689" s="4" t="s">
        <v>470</v>
      </c>
      <c r="AN689" s="4" t="s">
        <v>95</v>
      </c>
      <c r="AO689" s="4" t="s">
        <v>96</v>
      </c>
      <c r="AP689" s="4">
        <v>1</v>
      </c>
      <c r="AQ689" s="20">
        <v>55000</v>
      </c>
      <c r="AR689" s="4">
        <v>41801</v>
      </c>
      <c r="AS689" s="20">
        <v>8333.3333333333321</v>
      </c>
      <c r="AT689" s="20">
        <v>9087.0600000000013</v>
      </c>
      <c r="AU689" s="20">
        <v>753.72666666666919</v>
      </c>
      <c r="AV689" s="20">
        <v>460</v>
      </c>
      <c r="AW689" s="20">
        <v>0</v>
      </c>
      <c r="AX689" s="20">
        <v>20</v>
      </c>
      <c r="AY689" s="20">
        <v>480</v>
      </c>
      <c r="AZ689" s="20">
        <v>6.9</v>
      </c>
      <c r="BA689" s="20">
        <v>0</v>
      </c>
      <c r="BB689" s="6">
        <v>41736</v>
      </c>
      <c r="BC689" s="6">
        <v>41876</v>
      </c>
      <c r="BD689" s="6">
        <v>41879</v>
      </c>
      <c r="BE689" s="6">
        <v>41879</v>
      </c>
      <c r="BF689" s="6">
        <v>41912</v>
      </c>
      <c r="BG689" s="6">
        <v>0</v>
      </c>
      <c r="BH689" s="6">
        <v>0</v>
      </c>
      <c r="BI689" s="6">
        <v>0</v>
      </c>
      <c r="BJ689" s="6">
        <v>0</v>
      </c>
      <c r="BK689" s="4" t="s">
        <v>401</v>
      </c>
      <c r="BL689" s="4" t="s">
        <v>401</v>
      </c>
      <c r="BM689" s="20">
        <v>100</v>
      </c>
      <c r="BN689" s="20">
        <v>0</v>
      </c>
      <c r="BO689" s="20">
        <v>0</v>
      </c>
      <c r="BP689" s="20">
        <v>0</v>
      </c>
      <c r="BQ689" s="20">
        <v>0</v>
      </c>
      <c r="BR689" s="20">
        <v>0</v>
      </c>
      <c r="BS689" s="20">
        <v>100</v>
      </c>
      <c r="BT689" s="20">
        <v>908706.00000000012</v>
      </c>
      <c r="BU689" s="20">
        <v>5500000</v>
      </c>
      <c r="BV689" s="20">
        <v>5.5023296863892162</v>
      </c>
    </row>
    <row r="690" spans="1:74">
      <c r="A690" s="10">
        <f t="shared" si="42"/>
        <v>0</v>
      </c>
      <c r="B690" s="10">
        <f t="shared" si="43"/>
        <v>0.5</v>
      </c>
      <c r="C690" s="12">
        <f t="shared" si="44"/>
        <v>4</v>
      </c>
      <c r="D690" s="12">
        <f t="shared" si="45"/>
        <v>9</v>
      </c>
      <c r="E690" s="20" t="s">
        <v>114</v>
      </c>
      <c r="F690" s="20" t="s">
        <v>671</v>
      </c>
      <c r="G690" s="20" t="s">
        <v>1266</v>
      </c>
      <c r="H690" s="20" t="s">
        <v>1267</v>
      </c>
      <c r="I690" s="20">
        <v>1</v>
      </c>
      <c r="J690" s="20" t="s">
        <v>1268</v>
      </c>
      <c r="K690" s="20" t="s">
        <v>1274</v>
      </c>
      <c r="L690" s="20" t="s">
        <v>1270</v>
      </c>
      <c r="M690" s="20" t="s">
        <v>671</v>
      </c>
      <c r="N690" s="20" t="s">
        <v>702</v>
      </c>
      <c r="P690" s="20" t="s">
        <v>671</v>
      </c>
      <c r="Q690" s="20" t="s">
        <v>673</v>
      </c>
      <c r="R690" s="20" t="s">
        <v>84</v>
      </c>
      <c r="S690" s="20">
        <v>5</v>
      </c>
      <c r="T690" s="20" t="s">
        <v>106</v>
      </c>
      <c r="U690" s="20" t="s">
        <v>107</v>
      </c>
      <c r="V690" s="20" t="s">
        <v>87</v>
      </c>
      <c r="W690" s="20">
        <v>511</v>
      </c>
      <c r="X690" s="20">
        <v>511</v>
      </c>
      <c r="Y690" s="20" t="s">
        <v>1271</v>
      </c>
      <c r="Z690" s="20">
        <v>0.5</v>
      </c>
      <c r="AA690" s="20" t="s">
        <v>1272</v>
      </c>
      <c r="AB690" s="20" t="s">
        <v>296</v>
      </c>
      <c r="AC690" s="20" t="s">
        <v>297</v>
      </c>
      <c r="AD690" s="20" t="s">
        <v>1273</v>
      </c>
      <c r="AE690" s="20" t="s">
        <v>91</v>
      </c>
      <c r="AF690" s="20">
        <v>0.5</v>
      </c>
      <c r="AG690" s="20" t="s">
        <v>2580</v>
      </c>
      <c r="AH690" s="20">
        <v>1</v>
      </c>
      <c r="AI690" s="4" t="s">
        <v>98</v>
      </c>
      <c r="AJ690" s="20">
        <v>50</v>
      </c>
      <c r="AK690" s="4" t="s">
        <v>111</v>
      </c>
      <c r="AL690" s="4">
        <v>4</v>
      </c>
      <c r="AM690" s="4" t="s">
        <v>470</v>
      </c>
      <c r="AN690" s="4" t="s">
        <v>95</v>
      </c>
      <c r="AO690" s="4" t="s">
        <v>96</v>
      </c>
      <c r="AP690" s="4">
        <v>1</v>
      </c>
      <c r="AQ690" s="20">
        <v>55000</v>
      </c>
      <c r="AR690" s="4">
        <v>41801</v>
      </c>
      <c r="AS690" s="20">
        <v>8333.3333333333321</v>
      </c>
      <c r="AT690" s="20">
        <v>8857.0600000000013</v>
      </c>
      <c r="AU690" s="20">
        <v>523.72666666666919</v>
      </c>
      <c r="AV690" s="20">
        <v>230</v>
      </c>
      <c r="AW690" s="20">
        <v>0</v>
      </c>
      <c r="AX690" s="20">
        <v>20</v>
      </c>
      <c r="AY690" s="20">
        <v>250</v>
      </c>
      <c r="AZ690" s="20">
        <v>6.9</v>
      </c>
      <c r="BA690" s="20">
        <v>0</v>
      </c>
      <c r="BB690" s="6">
        <v>41736</v>
      </c>
      <c r="BC690" s="6">
        <v>41876</v>
      </c>
      <c r="BD690" s="6">
        <v>41879</v>
      </c>
      <c r="BE690" s="6">
        <v>41879</v>
      </c>
      <c r="BF690" s="6">
        <v>41912</v>
      </c>
      <c r="BG690" s="6">
        <v>0</v>
      </c>
      <c r="BH690" s="6">
        <v>0</v>
      </c>
      <c r="BI690" s="6">
        <v>0</v>
      </c>
      <c r="BJ690" s="6">
        <v>0</v>
      </c>
      <c r="BK690" s="4" t="s">
        <v>401</v>
      </c>
      <c r="BL690" s="4" t="s">
        <v>401</v>
      </c>
      <c r="BM690" s="20">
        <v>45</v>
      </c>
      <c r="BN690" s="20">
        <v>0</v>
      </c>
      <c r="BO690" s="20">
        <v>0</v>
      </c>
      <c r="BP690" s="20">
        <v>0</v>
      </c>
      <c r="BQ690" s="20">
        <v>0</v>
      </c>
      <c r="BS690" s="20">
        <v>50</v>
      </c>
      <c r="BT690" s="20">
        <v>442853.00000000006</v>
      </c>
      <c r="BU690" s="20">
        <v>2750000</v>
      </c>
      <c r="BV690" s="20">
        <v>5.6452141003899703</v>
      </c>
    </row>
    <row r="691" spans="1:74">
      <c r="A691" s="10">
        <f t="shared" si="42"/>
        <v>0</v>
      </c>
      <c r="B691" s="10">
        <f t="shared" si="43"/>
        <v>0.5</v>
      </c>
      <c r="C691" s="12">
        <f t="shared" si="44"/>
        <v>4</v>
      </c>
      <c r="D691" s="12">
        <f t="shared" si="45"/>
        <v>9</v>
      </c>
      <c r="E691" s="20" t="s">
        <v>114</v>
      </c>
      <c r="F691" s="20" t="s">
        <v>671</v>
      </c>
      <c r="G691" s="20" t="s">
        <v>1266</v>
      </c>
      <c r="H691" s="20" t="s">
        <v>1275</v>
      </c>
      <c r="I691" s="20">
        <v>2</v>
      </c>
      <c r="J691" s="20" t="s">
        <v>1276</v>
      </c>
      <c r="K691" s="20" t="s">
        <v>1277</v>
      </c>
      <c r="L691" s="20" t="s">
        <v>1278</v>
      </c>
      <c r="M691" s="20" t="s">
        <v>671</v>
      </c>
      <c r="N691" s="20" t="s">
        <v>702</v>
      </c>
      <c r="P691" s="20" t="s">
        <v>671</v>
      </c>
      <c r="Q691" s="20" t="s">
        <v>673</v>
      </c>
      <c r="R691" s="20" t="s">
        <v>84</v>
      </c>
      <c r="S691" s="20">
        <v>5</v>
      </c>
      <c r="T691" s="20" t="s">
        <v>106</v>
      </c>
      <c r="U691" s="20" t="s">
        <v>107</v>
      </c>
      <c r="V691" s="20" t="s">
        <v>87</v>
      </c>
      <c r="W691" s="20">
        <v>512</v>
      </c>
      <c r="X691" s="20">
        <v>512</v>
      </c>
      <c r="Y691" s="20" t="s">
        <v>1279</v>
      </c>
      <c r="Z691" s="20">
        <v>0.5</v>
      </c>
      <c r="AA691" s="20" t="s">
        <v>1280</v>
      </c>
      <c r="AB691" s="20" t="s">
        <v>89</v>
      </c>
      <c r="AC691" s="20" t="s">
        <v>90</v>
      </c>
      <c r="AD691" s="20" t="s">
        <v>1281</v>
      </c>
      <c r="AE691" s="20" t="s">
        <v>91</v>
      </c>
      <c r="AF691" s="20">
        <v>0.5</v>
      </c>
      <c r="AG691" s="20" t="s">
        <v>2581</v>
      </c>
      <c r="AH691" s="20">
        <v>1</v>
      </c>
      <c r="AI691" s="4" t="s">
        <v>97</v>
      </c>
      <c r="AJ691" s="20">
        <v>100</v>
      </c>
      <c r="AK691" s="4" t="s">
        <v>111</v>
      </c>
      <c r="AL691" s="4">
        <v>4</v>
      </c>
      <c r="AM691" s="4" t="s">
        <v>470</v>
      </c>
      <c r="AN691" s="4" t="s">
        <v>95</v>
      </c>
      <c r="AO691" s="4" t="s">
        <v>96</v>
      </c>
      <c r="AP691" s="4">
        <v>1</v>
      </c>
      <c r="AQ691" s="20">
        <v>55000</v>
      </c>
      <c r="AR691" s="4">
        <v>41801</v>
      </c>
      <c r="AS691" s="20">
        <v>8333.3333333333321</v>
      </c>
      <c r="AT691" s="20">
        <v>9257.8000000000011</v>
      </c>
      <c r="AU691" s="20">
        <v>924.46666666666897</v>
      </c>
      <c r="AV691" s="20">
        <v>506</v>
      </c>
      <c r="AW691" s="20">
        <v>0</v>
      </c>
      <c r="AX691" s="20">
        <v>20</v>
      </c>
      <c r="AY691" s="20">
        <v>526</v>
      </c>
      <c r="AZ691" s="20">
        <v>7</v>
      </c>
      <c r="BA691" s="20">
        <v>0</v>
      </c>
      <c r="BB691" s="6">
        <v>41736</v>
      </c>
      <c r="BC691" s="6">
        <v>41876</v>
      </c>
      <c r="BD691" s="6">
        <v>41879</v>
      </c>
      <c r="BE691" s="6">
        <v>41879</v>
      </c>
      <c r="BF691" s="6">
        <v>41887</v>
      </c>
      <c r="BG691" s="6">
        <v>41912</v>
      </c>
      <c r="BH691" s="6">
        <v>0</v>
      </c>
      <c r="BI691" s="6">
        <v>0</v>
      </c>
      <c r="BJ691" s="6">
        <v>0</v>
      </c>
      <c r="BK691" s="4" t="s">
        <v>401</v>
      </c>
      <c r="BL691" s="4" t="s">
        <v>401</v>
      </c>
      <c r="BM691" s="20">
        <v>0</v>
      </c>
      <c r="BN691" s="20">
        <v>105</v>
      </c>
      <c r="BO691" s="20">
        <v>0</v>
      </c>
      <c r="BP691" s="20">
        <v>0</v>
      </c>
      <c r="BQ691" s="20">
        <v>0</v>
      </c>
      <c r="BR691" s="20">
        <v>0</v>
      </c>
      <c r="BS691" s="20">
        <v>100</v>
      </c>
      <c r="BT691" s="20">
        <v>925780.00000000012</v>
      </c>
      <c r="BU691" s="20">
        <v>5500000</v>
      </c>
      <c r="BV691" s="20">
        <v>5.4008511741450445</v>
      </c>
    </row>
    <row r="692" spans="1:74">
      <c r="A692" s="10">
        <f t="shared" si="42"/>
        <v>0</v>
      </c>
      <c r="B692" s="10">
        <f t="shared" si="43"/>
        <v>0.5</v>
      </c>
      <c r="C692" s="12">
        <f t="shared" si="44"/>
        <v>4</v>
      </c>
      <c r="D692" s="12">
        <f t="shared" si="45"/>
        <v>9</v>
      </c>
      <c r="E692" s="20" t="s">
        <v>114</v>
      </c>
      <c r="F692" s="20" t="s">
        <v>671</v>
      </c>
      <c r="G692" s="20" t="s">
        <v>1266</v>
      </c>
      <c r="H692" s="20" t="s">
        <v>1275</v>
      </c>
      <c r="I692" s="20">
        <v>2</v>
      </c>
      <c r="J692" s="20" t="s">
        <v>1276</v>
      </c>
      <c r="K692" s="20" t="s">
        <v>1282</v>
      </c>
      <c r="L692" s="20" t="s">
        <v>1278</v>
      </c>
      <c r="M692" s="20" t="s">
        <v>671</v>
      </c>
      <c r="N692" s="20" t="s">
        <v>702</v>
      </c>
      <c r="P692" s="20" t="s">
        <v>671</v>
      </c>
      <c r="Q692" s="20" t="s">
        <v>673</v>
      </c>
      <c r="R692" s="20" t="s">
        <v>84</v>
      </c>
      <c r="S692" s="20">
        <v>5</v>
      </c>
      <c r="T692" s="20" t="s">
        <v>106</v>
      </c>
      <c r="U692" s="20" t="s">
        <v>107</v>
      </c>
      <c r="V692" s="20" t="s">
        <v>87</v>
      </c>
      <c r="W692" s="20">
        <v>512</v>
      </c>
      <c r="X692" s="20">
        <v>512</v>
      </c>
      <c r="Y692" s="20" t="s">
        <v>1279</v>
      </c>
      <c r="Z692" s="20">
        <v>0.5</v>
      </c>
      <c r="AA692" s="20" t="s">
        <v>1280</v>
      </c>
      <c r="AB692" s="20" t="s">
        <v>89</v>
      </c>
      <c r="AC692" s="20" t="s">
        <v>90</v>
      </c>
      <c r="AD692" s="20" t="s">
        <v>1281</v>
      </c>
      <c r="AE692" s="20" t="s">
        <v>91</v>
      </c>
      <c r="AF692" s="20">
        <v>0.5</v>
      </c>
      <c r="AG692" s="20" t="s">
        <v>2581</v>
      </c>
      <c r="AH692" s="20">
        <v>1</v>
      </c>
      <c r="AI692" s="4" t="s">
        <v>98</v>
      </c>
      <c r="AJ692" s="20">
        <v>50</v>
      </c>
      <c r="AK692" s="4" t="s">
        <v>111</v>
      </c>
      <c r="AL692" s="4">
        <v>4</v>
      </c>
      <c r="AM692" s="4" t="s">
        <v>470</v>
      </c>
      <c r="AN692" s="4" t="s">
        <v>95</v>
      </c>
      <c r="AO692" s="4" t="s">
        <v>96</v>
      </c>
      <c r="AP692" s="4">
        <v>1</v>
      </c>
      <c r="AQ692" s="20">
        <v>55000</v>
      </c>
      <c r="AR692" s="4">
        <v>41801</v>
      </c>
      <c r="AS692" s="20">
        <v>8333.3333333333321</v>
      </c>
      <c r="AT692" s="20">
        <v>9004.8000000000011</v>
      </c>
      <c r="AU692" s="20">
        <v>671.46666666666897</v>
      </c>
      <c r="AV692" s="20">
        <v>253</v>
      </c>
      <c r="AW692" s="20">
        <v>0</v>
      </c>
      <c r="AX692" s="20">
        <v>20</v>
      </c>
      <c r="AY692" s="20">
        <v>273</v>
      </c>
      <c r="AZ692" s="20">
        <v>7</v>
      </c>
      <c r="BA692" s="20">
        <v>0</v>
      </c>
      <c r="BB692" s="6">
        <v>41736</v>
      </c>
      <c r="BC692" s="6">
        <v>41876</v>
      </c>
      <c r="BD692" s="6">
        <v>41879</v>
      </c>
      <c r="BE692" s="6">
        <v>41879</v>
      </c>
      <c r="BF692" s="6">
        <v>41887</v>
      </c>
      <c r="BG692" s="6">
        <v>41912</v>
      </c>
      <c r="BH692" s="6">
        <v>0</v>
      </c>
      <c r="BI692" s="6">
        <v>0</v>
      </c>
      <c r="BJ692" s="6">
        <v>0</v>
      </c>
      <c r="BK692" s="4" t="s">
        <v>401</v>
      </c>
      <c r="BL692" s="4" t="s">
        <v>401</v>
      </c>
      <c r="BM692" s="20">
        <v>19</v>
      </c>
      <c r="BN692" s="20">
        <v>1</v>
      </c>
      <c r="BO692" s="20">
        <v>0</v>
      </c>
      <c r="BP692" s="20">
        <v>0</v>
      </c>
      <c r="BQ692" s="20">
        <v>0</v>
      </c>
      <c r="BS692" s="20">
        <v>50</v>
      </c>
      <c r="BT692" s="20">
        <v>450240.00000000006</v>
      </c>
      <c r="BU692" s="20">
        <v>2750000</v>
      </c>
      <c r="BV692" s="20">
        <v>5.5525941719971561</v>
      </c>
    </row>
    <row r="693" spans="1:74">
      <c r="A693" s="10">
        <f t="shared" si="42"/>
        <v>0</v>
      </c>
      <c r="B693" s="10">
        <f t="shared" si="43"/>
        <v>0.5</v>
      </c>
      <c r="C693" s="12">
        <f t="shared" si="44"/>
        <v>4</v>
      </c>
      <c r="D693" s="12">
        <f t="shared" si="45"/>
        <v>9</v>
      </c>
      <c r="E693" s="20" t="s">
        <v>114</v>
      </c>
      <c r="F693" s="20" t="s">
        <v>671</v>
      </c>
      <c r="G693" s="20" t="s">
        <v>1266</v>
      </c>
      <c r="H693" s="20" t="s">
        <v>1283</v>
      </c>
      <c r="I693" s="20">
        <v>3</v>
      </c>
      <c r="J693" s="20" t="s">
        <v>1284</v>
      </c>
      <c r="K693" s="20" t="s">
        <v>1285</v>
      </c>
      <c r="L693" s="20" t="s">
        <v>1286</v>
      </c>
      <c r="M693" s="20" t="s">
        <v>671</v>
      </c>
      <c r="N693" s="20" t="s">
        <v>702</v>
      </c>
      <c r="P693" s="20" t="s">
        <v>671</v>
      </c>
      <c r="Q693" s="20" t="s">
        <v>673</v>
      </c>
      <c r="R693" s="20" t="s">
        <v>84</v>
      </c>
      <c r="S693" s="20">
        <v>5</v>
      </c>
      <c r="T693" s="20" t="s">
        <v>106</v>
      </c>
      <c r="U693" s="20" t="s">
        <v>107</v>
      </c>
      <c r="V693" s="20" t="s">
        <v>87</v>
      </c>
      <c r="W693" s="20">
        <v>513</v>
      </c>
      <c r="X693" s="20">
        <v>513</v>
      </c>
      <c r="Y693" s="20" t="s">
        <v>1287</v>
      </c>
      <c r="Z693" s="20">
        <v>0.5</v>
      </c>
      <c r="AA693" s="20" t="s">
        <v>1288</v>
      </c>
      <c r="AB693" s="20" t="s">
        <v>101</v>
      </c>
      <c r="AC693" s="20" t="s">
        <v>102</v>
      </c>
      <c r="AD693" s="20" t="s">
        <v>1289</v>
      </c>
      <c r="AE693" s="20" t="s">
        <v>91</v>
      </c>
      <c r="AF693" s="20">
        <v>0.5</v>
      </c>
      <c r="AG693" s="20" t="s">
        <v>2579</v>
      </c>
      <c r="AH693" s="20">
        <v>1</v>
      </c>
      <c r="AI693" s="4" t="s">
        <v>97</v>
      </c>
      <c r="AJ693" s="20">
        <v>100</v>
      </c>
      <c r="AK693" s="4" t="s">
        <v>111</v>
      </c>
      <c r="AL693" s="4">
        <v>4</v>
      </c>
      <c r="AM693" s="4" t="s">
        <v>470</v>
      </c>
      <c r="AN693" s="4" t="s">
        <v>95</v>
      </c>
      <c r="AO693" s="4" t="s">
        <v>96</v>
      </c>
      <c r="AP693" s="4">
        <v>1</v>
      </c>
      <c r="AQ693" s="20">
        <v>55000</v>
      </c>
      <c r="AR693" s="4">
        <v>41801</v>
      </c>
      <c r="AS693" s="20">
        <v>8333.3333333333321</v>
      </c>
      <c r="AT693" s="20">
        <v>9284.0600000000013</v>
      </c>
      <c r="AU693" s="20">
        <v>950.72666666666919</v>
      </c>
      <c r="AV693" s="20">
        <v>657</v>
      </c>
      <c r="AW693" s="20">
        <v>0</v>
      </c>
      <c r="AX693" s="20">
        <v>20</v>
      </c>
      <c r="AY693" s="20">
        <v>677</v>
      </c>
      <c r="AZ693" s="20">
        <v>6.9</v>
      </c>
      <c r="BA693" s="20">
        <v>0</v>
      </c>
      <c r="BB693" s="6">
        <v>41736</v>
      </c>
      <c r="BC693" s="6">
        <v>41876</v>
      </c>
      <c r="BD693" s="6">
        <v>41879</v>
      </c>
      <c r="BE693" s="6">
        <v>41879</v>
      </c>
      <c r="BF693" s="6">
        <v>41912</v>
      </c>
      <c r="BG693" s="6">
        <v>0</v>
      </c>
      <c r="BI693" s="6">
        <v>0</v>
      </c>
      <c r="BJ693" s="6">
        <v>0</v>
      </c>
      <c r="BK693" s="4" t="s">
        <v>401</v>
      </c>
      <c r="BL693" s="4" t="s">
        <v>401</v>
      </c>
      <c r="BM693" s="20">
        <v>113</v>
      </c>
      <c r="BN693" s="20">
        <v>0</v>
      </c>
      <c r="BO693" s="20">
        <v>0</v>
      </c>
      <c r="BP693" s="20">
        <v>0</v>
      </c>
      <c r="BQ693" s="20">
        <v>0</v>
      </c>
      <c r="BR693" s="20">
        <v>0</v>
      </c>
      <c r="BS693" s="20">
        <v>100</v>
      </c>
      <c r="BT693" s="20">
        <v>928406.00000000012</v>
      </c>
      <c r="BU693" s="20">
        <v>5500000</v>
      </c>
      <c r="BV693" s="20">
        <v>5.3855748454878567</v>
      </c>
    </row>
    <row r="694" spans="1:74">
      <c r="A694" s="10">
        <f t="shared" si="42"/>
        <v>0</v>
      </c>
      <c r="B694" s="10">
        <f t="shared" si="43"/>
        <v>0.5</v>
      </c>
      <c r="C694" s="12">
        <f t="shared" si="44"/>
        <v>4</v>
      </c>
      <c r="D694" s="12">
        <f t="shared" si="45"/>
        <v>9</v>
      </c>
      <c r="E694" s="20" t="s">
        <v>114</v>
      </c>
      <c r="F694" s="20" t="s">
        <v>671</v>
      </c>
      <c r="G694" s="20" t="s">
        <v>1266</v>
      </c>
      <c r="H694" s="20" t="s">
        <v>1283</v>
      </c>
      <c r="I694" s="20">
        <v>3</v>
      </c>
      <c r="J694" s="20" t="s">
        <v>1284</v>
      </c>
      <c r="K694" s="20" t="s">
        <v>1290</v>
      </c>
      <c r="L694" s="20" t="s">
        <v>1286</v>
      </c>
      <c r="M694" s="20" t="s">
        <v>671</v>
      </c>
      <c r="N694" s="20" t="s">
        <v>702</v>
      </c>
      <c r="P694" s="20" t="s">
        <v>671</v>
      </c>
      <c r="Q694" s="20" t="s">
        <v>673</v>
      </c>
      <c r="R694" s="20" t="s">
        <v>84</v>
      </c>
      <c r="S694" s="20">
        <v>5</v>
      </c>
      <c r="T694" s="20" t="s">
        <v>106</v>
      </c>
      <c r="U694" s="20" t="s">
        <v>107</v>
      </c>
      <c r="V694" s="20" t="s">
        <v>87</v>
      </c>
      <c r="W694" s="20">
        <v>513</v>
      </c>
      <c r="X694" s="20">
        <v>513</v>
      </c>
      <c r="Y694" s="20" t="s">
        <v>1287</v>
      </c>
      <c r="Z694" s="20">
        <v>0.5</v>
      </c>
      <c r="AA694" s="20" t="s">
        <v>1288</v>
      </c>
      <c r="AB694" s="20" t="s">
        <v>101</v>
      </c>
      <c r="AC694" s="20" t="s">
        <v>102</v>
      </c>
      <c r="AD694" s="20" t="s">
        <v>1289</v>
      </c>
      <c r="AE694" s="20" t="s">
        <v>91</v>
      </c>
      <c r="AF694" s="20">
        <v>0.5</v>
      </c>
      <c r="AG694" s="20" t="s">
        <v>2579</v>
      </c>
      <c r="AH694" s="20">
        <v>1</v>
      </c>
      <c r="AI694" s="4" t="s">
        <v>98</v>
      </c>
      <c r="AJ694" s="20">
        <v>50</v>
      </c>
      <c r="AK694" s="4" t="s">
        <v>111</v>
      </c>
      <c r="AL694" s="4">
        <v>4</v>
      </c>
      <c r="AM694" s="4" t="s">
        <v>470</v>
      </c>
      <c r="AN694" s="4" t="s">
        <v>95</v>
      </c>
      <c r="AO694" s="4" t="s">
        <v>96</v>
      </c>
      <c r="AP694" s="4">
        <v>1</v>
      </c>
      <c r="AQ694" s="20">
        <v>55000</v>
      </c>
      <c r="AR694" s="4">
        <v>41801</v>
      </c>
      <c r="AS694" s="20">
        <v>8333.3333333333321</v>
      </c>
      <c r="AT694" s="20">
        <v>8956.0600000000013</v>
      </c>
      <c r="AU694" s="20">
        <v>622.72666666666919</v>
      </c>
      <c r="AV694" s="20">
        <v>329</v>
      </c>
      <c r="AW694" s="20">
        <v>0</v>
      </c>
      <c r="AX694" s="20">
        <v>20</v>
      </c>
      <c r="AY694" s="20">
        <v>349</v>
      </c>
      <c r="AZ694" s="20">
        <v>6.9</v>
      </c>
      <c r="BA694" s="20">
        <v>0</v>
      </c>
      <c r="BB694" s="6">
        <v>41736</v>
      </c>
      <c r="BC694" s="6">
        <v>41876</v>
      </c>
      <c r="BD694" s="6">
        <v>41879</v>
      </c>
      <c r="BE694" s="6">
        <v>41879</v>
      </c>
      <c r="BF694" s="6">
        <v>41912</v>
      </c>
      <c r="BG694" s="6">
        <v>0</v>
      </c>
      <c r="BH694" s="6">
        <v>0</v>
      </c>
      <c r="BI694" s="6">
        <v>0</v>
      </c>
      <c r="BJ694" s="6">
        <v>0</v>
      </c>
      <c r="BK694" s="4" t="s">
        <v>401</v>
      </c>
      <c r="BL694" s="4" t="s">
        <v>401</v>
      </c>
      <c r="BM694" s="20">
        <v>50</v>
      </c>
      <c r="BN694" s="20">
        <v>0</v>
      </c>
      <c r="BO694" s="20">
        <v>0</v>
      </c>
      <c r="BP694" s="20">
        <v>0</v>
      </c>
      <c r="BQ694" s="20">
        <v>0</v>
      </c>
      <c r="BR694" s="20">
        <v>0</v>
      </c>
      <c r="BS694" s="20">
        <v>50</v>
      </c>
      <c r="BT694" s="20">
        <v>447803.00000000006</v>
      </c>
      <c r="BU694" s="20">
        <v>2750000</v>
      </c>
      <c r="BV694" s="20">
        <v>5.5828120847783502</v>
      </c>
    </row>
    <row r="695" spans="1:74">
      <c r="A695" s="10">
        <f t="shared" si="42"/>
        <v>0</v>
      </c>
      <c r="B695" s="10">
        <f t="shared" si="43"/>
        <v>0</v>
      </c>
      <c r="C695" s="12" t="str">
        <f t="shared" si="44"/>
        <v/>
      </c>
      <c r="D695" s="12" t="str">
        <f t="shared" si="45"/>
        <v/>
      </c>
      <c r="E695" s="20" t="s">
        <v>91</v>
      </c>
      <c r="F695" s="20" t="s">
        <v>91</v>
      </c>
      <c r="G695" s="20" t="s">
        <v>91</v>
      </c>
      <c r="H695" s="20" t="s">
        <v>91</v>
      </c>
      <c r="I695" s="20">
        <v>0</v>
      </c>
      <c r="J695" s="20" t="s">
        <v>103</v>
      </c>
      <c r="K695" s="20" t="s">
        <v>104</v>
      </c>
      <c r="L695" s="20">
        <v>0</v>
      </c>
      <c r="M695" s="20" t="s">
        <v>105</v>
      </c>
      <c r="N695" s="20" t="s">
        <v>91</v>
      </c>
      <c r="O695" s="20" t="s">
        <v>1291</v>
      </c>
      <c r="Q695" s="20" t="s">
        <v>91</v>
      </c>
      <c r="R695" s="20" t="s">
        <v>91</v>
      </c>
      <c r="S695" s="20" t="s">
        <v>91</v>
      </c>
      <c r="U695" s="20" t="s">
        <v>91</v>
      </c>
      <c r="V695" s="20" t="s">
        <v>87</v>
      </c>
      <c r="X695" s="20" t="s">
        <v>91</v>
      </c>
      <c r="Y695" s="20" t="s">
        <v>91</v>
      </c>
      <c r="Z695" s="20">
        <v>3</v>
      </c>
      <c r="AB695" s="20" t="s">
        <v>91</v>
      </c>
      <c r="AD695" s="20" t="s">
        <v>91</v>
      </c>
      <c r="AE695" s="20" t="s">
        <v>91</v>
      </c>
      <c r="AF695" s="20">
        <v>3</v>
      </c>
      <c r="AG695" s="20">
        <v>0</v>
      </c>
      <c r="AH695" s="20">
        <v>1</v>
      </c>
      <c r="AM695" s="4" t="s">
        <v>91</v>
      </c>
      <c r="AP695" s="4" t="s">
        <v>91</v>
      </c>
      <c r="AQ695" s="20">
        <v>0</v>
      </c>
      <c r="AR695" s="4">
        <v>0</v>
      </c>
      <c r="AS695" s="20">
        <v>0</v>
      </c>
      <c r="AT695" s="20">
        <v>0</v>
      </c>
      <c r="AU695" s="20">
        <v>0</v>
      </c>
      <c r="AV695" s="20">
        <v>0</v>
      </c>
      <c r="AW695" s="20">
        <v>0</v>
      </c>
      <c r="AY695" s="20">
        <v>0</v>
      </c>
      <c r="AZ695" s="20">
        <v>0</v>
      </c>
      <c r="BA695" s="20">
        <v>0</v>
      </c>
      <c r="BB695" s="6">
        <v>0</v>
      </c>
      <c r="BC695" s="6">
        <v>0</v>
      </c>
      <c r="BD695" s="6">
        <v>0</v>
      </c>
      <c r="BE695" s="6">
        <v>0</v>
      </c>
      <c r="BF695" s="6">
        <v>0</v>
      </c>
      <c r="BG695" s="6">
        <v>0</v>
      </c>
      <c r="BH695" s="6">
        <v>0</v>
      </c>
      <c r="BI695" s="6">
        <v>0</v>
      </c>
      <c r="BJ695" s="6">
        <v>0</v>
      </c>
      <c r="BK695" s="4">
        <v>0</v>
      </c>
      <c r="BL695" s="4">
        <v>0</v>
      </c>
      <c r="BM695" s="20">
        <v>327</v>
      </c>
      <c r="BN695" s="20">
        <v>106</v>
      </c>
      <c r="BO695" s="20">
        <v>0</v>
      </c>
      <c r="BP695" s="20">
        <v>0</v>
      </c>
      <c r="BQ695" s="20">
        <v>0</v>
      </c>
      <c r="BR695" s="20">
        <v>0</v>
      </c>
      <c r="BS695" s="20">
        <v>450</v>
      </c>
      <c r="BT695" s="20">
        <v>4103788.0000000005</v>
      </c>
      <c r="BU695" s="20">
        <v>24750000</v>
      </c>
      <c r="BV695" s="20">
        <v>5.4827393617798963</v>
      </c>
    </row>
    <row r="696" spans="1:74">
      <c r="A696" s="10">
        <f t="shared" si="42"/>
        <v>0</v>
      </c>
      <c r="B696" s="10">
        <f t="shared" si="43"/>
        <v>0.33333333333333331</v>
      </c>
      <c r="C696" s="12">
        <f t="shared" si="44"/>
        <v>4</v>
      </c>
      <c r="D696" s="12">
        <f t="shared" si="45"/>
        <v>9</v>
      </c>
      <c r="E696" s="20" t="s">
        <v>114</v>
      </c>
      <c r="F696" s="20" t="s">
        <v>671</v>
      </c>
      <c r="G696" s="20" t="s">
        <v>1292</v>
      </c>
      <c r="H696" s="20" t="s">
        <v>1293</v>
      </c>
      <c r="I696" s="20">
        <v>1</v>
      </c>
      <c r="J696" s="20" t="s">
        <v>1294</v>
      </c>
      <c r="K696" s="20" t="s">
        <v>1295</v>
      </c>
      <c r="L696" s="20" t="s">
        <v>1296</v>
      </c>
      <c r="M696" s="20" t="s">
        <v>671</v>
      </c>
      <c r="N696" s="20" t="s">
        <v>702</v>
      </c>
      <c r="P696" s="20" t="s">
        <v>671</v>
      </c>
      <c r="Q696" s="20" t="s">
        <v>673</v>
      </c>
      <c r="R696" s="20" t="s">
        <v>84</v>
      </c>
      <c r="S696" s="20">
        <v>5</v>
      </c>
      <c r="T696" s="20" t="s">
        <v>106</v>
      </c>
      <c r="U696" s="20" t="s">
        <v>107</v>
      </c>
      <c r="V696" s="20" t="s">
        <v>87</v>
      </c>
      <c r="W696" s="20">
        <v>516</v>
      </c>
      <c r="X696" s="20">
        <v>516</v>
      </c>
      <c r="Y696" s="20" t="s">
        <v>1297</v>
      </c>
      <c r="Z696" s="20">
        <v>0.33333333333333331</v>
      </c>
      <c r="AA696" s="20" t="s">
        <v>1298</v>
      </c>
      <c r="AB696" s="20" t="s">
        <v>718</v>
      </c>
      <c r="AC696" s="20" t="s">
        <v>719</v>
      </c>
      <c r="AD696" s="20" t="s">
        <v>1299</v>
      </c>
      <c r="AE696" s="20" t="s">
        <v>91</v>
      </c>
      <c r="AF696" s="20">
        <v>0.33333333333333331</v>
      </c>
      <c r="AG696" s="20" t="s">
        <v>2523</v>
      </c>
      <c r="AH696" s="20">
        <v>1</v>
      </c>
      <c r="AI696" s="4" t="s">
        <v>92</v>
      </c>
      <c r="AJ696" s="20">
        <v>400</v>
      </c>
      <c r="AK696" s="4" t="s">
        <v>179</v>
      </c>
      <c r="AL696" s="4">
        <v>10</v>
      </c>
      <c r="AM696" s="4">
        <v>10</v>
      </c>
      <c r="AN696" s="4" t="s">
        <v>95</v>
      </c>
      <c r="AO696" s="4" t="s">
        <v>96</v>
      </c>
      <c r="AP696" s="4">
        <v>1</v>
      </c>
      <c r="AQ696" s="20">
        <v>45000</v>
      </c>
      <c r="AR696" s="4">
        <v>41801</v>
      </c>
      <c r="AS696" s="20">
        <v>6818.1818181818171</v>
      </c>
      <c r="AT696" s="20">
        <v>6874.9982608695655</v>
      </c>
      <c r="AU696" s="20">
        <v>56.816442687748349</v>
      </c>
      <c r="AV696" s="20">
        <v>867.47826086956513</v>
      </c>
      <c r="AW696" s="20">
        <v>0</v>
      </c>
      <c r="AX696" s="20">
        <v>20</v>
      </c>
      <c r="AY696" s="20">
        <v>887.47826086956513</v>
      </c>
      <c r="AZ696" s="20">
        <v>4.8</v>
      </c>
      <c r="BA696" s="20">
        <v>0</v>
      </c>
      <c r="BB696" s="6">
        <v>41750</v>
      </c>
      <c r="BC696" s="6">
        <v>41871</v>
      </c>
      <c r="BD696" s="6">
        <v>41879</v>
      </c>
      <c r="BE696" s="6">
        <v>41877</v>
      </c>
      <c r="BF696" s="6">
        <v>41906</v>
      </c>
      <c r="BG696" s="6">
        <v>0</v>
      </c>
      <c r="BH696" s="6">
        <v>0</v>
      </c>
      <c r="BI696" s="6">
        <v>0</v>
      </c>
      <c r="BJ696" s="6">
        <v>0</v>
      </c>
      <c r="BK696" s="4" t="s">
        <v>401</v>
      </c>
      <c r="BL696" s="4" t="s">
        <v>401</v>
      </c>
      <c r="BM696" s="20">
        <v>400</v>
      </c>
      <c r="BN696" s="20">
        <v>0</v>
      </c>
      <c r="BO696" s="20">
        <v>0</v>
      </c>
      <c r="BP696" s="20">
        <v>0</v>
      </c>
      <c r="BQ696" s="20">
        <v>0</v>
      </c>
      <c r="BR696" s="20">
        <v>0</v>
      </c>
      <c r="BS696" s="20">
        <v>400</v>
      </c>
      <c r="BT696" s="20">
        <v>2749999.3043478262</v>
      </c>
      <c r="BU696" s="20">
        <v>18000000</v>
      </c>
      <c r="BV696" s="20">
        <v>5.9504147283837465</v>
      </c>
    </row>
    <row r="697" spans="1:74">
      <c r="A697" s="10">
        <f t="shared" si="42"/>
        <v>0</v>
      </c>
      <c r="B697" s="10">
        <f t="shared" si="43"/>
        <v>0.33333333333333331</v>
      </c>
      <c r="C697" s="12">
        <f t="shared" si="44"/>
        <v>4</v>
      </c>
      <c r="D697" s="12">
        <f t="shared" si="45"/>
        <v>9</v>
      </c>
      <c r="E697" s="20" t="s">
        <v>114</v>
      </c>
      <c r="F697" s="20" t="s">
        <v>671</v>
      </c>
      <c r="G697" s="20" t="s">
        <v>1292</v>
      </c>
      <c r="H697" s="20" t="s">
        <v>1293</v>
      </c>
      <c r="I697" s="20">
        <v>1</v>
      </c>
      <c r="J697" s="20" t="s">
        <v>1294</v>
      </c>
      <c r="K697" s="20" t="s">
        <v>1300</v>
      </c>
      <c r="L697" s="20" t="s">
        <v>1296</v>
      </c>
      <c r="M697" s="20" t="s">
        <v>671</v>
      </c>
      <c r="N697" s="20" t="s">
        <v>702</v>
      </c>
      <c r="P697" s="20" t="s">
        <v>671</v>
      </c>
      <c r="Q697" s="20" t="s">
        <v>673</v>
      </c>
      <c r="R697" s="20" t="s">
        <v>84</v>
      </c>
      <c r="S697" s="20">
        <v>5</v>
      </c>
      <c r="T697" s="20" t="s">
        <v>106</v>
      </c>
      <c r="U697" s="20" t="s">
        <v>107</v>
      </c>
      <c r="V697" s="20" t="s">
        <v>87</v>
      </c>
      <c r="W697" s="20">
        <v>516</v>
      </c>
      <c r="X697" s="20">
        <v>516</v>
      </c>
      <c r="Y697" s="20" t="s">
        <v>1297</v>
      </c>
      <c r="Z697" s="20">
        <v>0.33333333333333331</v>
      </c>
      <c r="AA697" s="20" t="s">
        <v>1298</v>
      </c>
      <c r="AB697" s="20" t="s">
        <v>718</v>
      </c>
      <c r="AC697" s="20" t="s">
        <v>719</v>
      </c>
      <c r="AD697" s="20" t="s">
        <v>1299</v>
      </c>
      <c r="AE697" s="20" t="s">
        <v>91</v>
      </c>
      <c r="AF697" s="20">
        <v>0.33333333333333331</v>
      </c>
      <c r="AG697" s="20" t="s">
        <v>2523</v>
      </c>
      <c r="AH697" s="20">
        <v>1</v>
      </c>
      <c r="AI697" s="4" t="s">
        <v>97</v>
      </c>
      <c r="AJ697" s="20">
        <v>100</v>
      </c>
      <c r="AK697" s="4" t="s">
        <v>179</v>
      </c>
      <c r="AL697" s="4">
        <v>10</v>
      </c>
      <c r="AM697" s="4">
        <v>10</v>
      </c>
      <c r="AN697" s="4" t="s">
        <v>95</v>
      </c>
      <c r="AO697" s="4" t="s">
        <v>96</v>
      </c>
      <c r="AP697" s="4">
        <v>1</v>
      </c>
      <c r="AQ697" s="20">
        <v>45000</v>
      </c>
      <c r="AR697" s="4">
        <v>41801</v>
      </c>
      <c r="AS697" s="20">
        <v>6818.1818181818171</v>
      </c>
      <c r="AT697" s="20">
        <v>6224.3895652173915</v>
      </c>
      <c r="AU697" s="20">
        <v>-593.79225296442564</v>
      </c>
      <c r="AV697" s="20">
        <v>216.86956521739128</v>
      </c>
      <c r="AW697" s="20">
        <v>0</v>
      </c>
      <c r="AX697" s="20">
        <v>20</v>
      </c>
      <c r="AY697" s="20">
        <v>236.86956521739128</v>
      </c>
      <c r="AZ697" s="20">
        <v>4.8</v>
      </c>
      <c r="BA697" s="20">
        <v>0</v>
      </c>
      <c r="BB697" s="6">
        <v>41750</v>
      </c>
      <c r="BC697" s="6">
        <v>41871</v>
      </c>
      <c r="BD697" s="6">
        <v>41879</v>
      </c>
      <c r="BE697" s="6">
        <v>41877</v>
      </c>
      <c r="BF697" s="6">
        <v>41906</v>
      </c>
      <c r="BG697" s="6">
        <v>0</v>
      </c>
      <c r="BH697" s="6">
        <v>0</v>
      </c>
      <c r="BI697" s="6">
        <v>0</v>
      </c>
      <c r="BJ697" s="6">
        <v>0</v>
      </c>
      <c r="BK697" s="4" t="s">
        <v>401</v>
      </c>
      <c r="BL697" s="4" t="s">
        <v>401</v>
      </c>
      <c r="BM697" s="20">
        <v>100</v>
      </c>
      <c r="BN697" s="20">
        <v>0</v>
      </c>
      <c r="BO697" s="20">
        <v>0</v>
      </c>
      <c r="BP697" s="20">
        <v>0</v>
      </c>
      <c r="BQ697" s="20">
        <v>0</v>
      </c>
      <c r="BR697" s="20">
        <v>0</v>
      </c>
      <c r="BS697" s="20">
        <v>100</v>
      </c>
      <c r="BT697" s="20">
        <v>622438.95652173914</v>
      </c>
      <c r="BU697" s="20">
        <v>4500000</v>
      </c>
      <c r="BV697" s="20">
        <v>6.5723860115850767</v>
      </c>
    </row>
    <row r="698" spans="1:74">
      <c r="A698" s="10">
        <f t="shared" si="42"/>
        <v>0</v>
      </c>
      <c r="B698" s="10">
        <f t="shared" si="43"/>
        <v>0.33333333333333331</v>
      </c>
      <c r="C698" s="12">
        <f t="shared" si="44"/>
        <v>4</v>
      </c>
      <c r="D698" s="12">
        <f t="shared" si="45"/>
        <v>9</v>
      </c>
      <c r="E698" s="20" t="s">
        <v>114</v>
      </c>
      <c r="F698" s="20" t="s">
        <v>671</v>
      </c>
      <c r="G698" s="20" t="s">
        <v>1292</v>
      </c>
      <c r="H698" s="20" t="s">
        <v>1293</v>
      </c>
      <c r="I698" s="20">
        <v>1</v>
      </c>
      <c r="J698" s="20" t="s">
        <v>1294</v>
      </c>
      <c r="K698" s="20" t="s">
        <v>1301</v>
      </c>
      <c r="L698" s="20" t="s">
        <v>1296</v>
      </c>
      <c r="M698" s="20" t="s">
        <v>671</v>
      </c>
      <c r="N698" s="20" t="s">
        <v>702</v>
      </c>
      <c r="P698" s="20" t="s">
        <v>671</v>
      </c>
      <c r="Q698" s="20" t="s">
        <v>673</v>
      </c>
      <c r="R698" s="20" t="s">
        <v>84</v>
      </c>
      <c r="S698" s="20">
        <v>5</v>
      </c>
      <c r="T698" s="20" t="s">
        <v>106</v>
      </c>
      <c r="U698" s="20" t="s">
        <v>107</v>
      </c>
      <c r="V698" s="20" t="s">
        <v>87</v>
      </c>
      <c r="W698" s="20">
        <v>516</v>
      </c>
      <c r="X698" s="20">
        <v>516</v>
      </c>
      <c r="Y698" s="20" t="s">
        <v>1297</v>
      </c>
      <c r="Z698" s="20">
        <v>0.33333333333333331</v>
      </c>
      <c r="AA698" s="20" t="s">
        <v>1298</v>
      </c>
      <c r="AB698" s="20" t="s">
        <v>718</v>
      </c>
      <c r="AC698" s="20" t="s">
        <v>719</v>
      </c>
      <c r="AD698" s="20" t="s">
        <v>1299</v>
      </c>
      <c r="AE698" s="20" t="s">
        <v>91</v>
      </c>
      <c r="AF698" s="20">
        <v>0.33333333333333331</v>
      </c>
      <c r="AG698" s="20" t="s">
        <v>2523</v>
      </c>
      <c r="AH698" s="20">
        <v>1</v>
      </c>
      <c r="AI698" s="4" t="s">
        <v>98</v>
      </c>
      <c r="AJ698" s="20">
        <v>75</v>
      </c>
      <c r="AK698" s="4" t="s">
        <v>179</v>
      </c>
      <c r="AL698" s="4">
        <v>10</v>
      </c>
      <c r="AM698" s="4">
        <v>10</v>
      </c>
      <c r="AN698" s="4" t="s">
        <v>95</v>
      </c>
      <c r="AO698" s="4" t="s">
        <v>96</v>
      </c>
      <c r="AP698" s="4">
        <v>1</v>
      </c>
      <c r="AQ698" s="20">
        <v>45000</v>
      </c>
      <c r="AR698" s="4">
        <v>41801</v>
      </c>
      <c r="AS698" s="20">
        <v>6818.1818181818171</v>
      </c>
      <c r="AT698" s="20">
        <v>6170.1721739130444</v>
      </c>
      <c r="AU698" s="20">
        <v>-648.00964426877272</v>
      </c>
      <c r="AV698" s="20">
        <v>162.65217391304353</v>
      </c>
      <c r="AW698" s="20">
        <v>0</v>
      </c>
      <c r="AX698" s="20">
        <v>20</v>
      </c>
      <c r="AY698" s="20">
        <v>182.65217391304353</v>
      </c>
      <c r="AZ698" s="20">
        <v>4.8</v>
      </c>
      <c r="BA698" s="20">
        <v>0</v>
      </c>
      <c r="BB698" s="6">
        <v>41750</v>
      </c>
      <c r="BC698" s="6">
        <v>41871</v>
      </c>
      <c r="BD698" s="6">
        <v>41879</v>
      </c>
      <c r="BE698" s="6">
        <v>41877</v>
      </c>
      <c r="BF698" s="6">
        <v>41906</v>
      </c>
      <c r="BG698" s="6">
        <v>0</v>
      </c>
      <c r="BH698" s="6">
        <v>0</v>
      </c>
      <c r="BI698" s="6">
        <v>0</v>
      </c>
      <c r="BJ698" s="6">
        <v>0</v>
      </c>
      <c r="BK698" s="4" t="s">
        <v>401</v>
      </c>
      <c r="BL698" s="4" t="s">
        <v>401</v>
      </c>
      <c r="BM698" s="20">
        <v>87</v>
      </c>
      <c r="BN698" s="20">
        <v>0</v>
      </c>
      <c r="BO698" s="20">
        <v>0</v>
      </c>
      <c r="BP698" s="20">
        <v>0</v>
      </c>
      <c r="BQ698" s="20">
        <v>0</v>
      </c>
      <c r="BR698" s="20">
        <v>0</v>
      </c>
      <c r="BS698" s="20">
        <v>75</v>
      </c>
      <c r="BT698" s="20">
        <v>462762.91304347833</v>
      </c>
      <c r="BU698" s="20">
        <v>3375000</v>
      </c>
      <c r="BV698" s="20">
        <v>6.6301376616443566</v>
      </c>
    </row>
    <row r="699" spans="1:74">
      <c r="A699" s="10">
        <f t="shared" si="42"/>
        <v>0</v>
      </c>
      <c r="B699" s="10">
        <f t="shared" si="43"/>
        <v>0</v>
      </c>
      <c r="C699" s="12">
        <f t="shared" si="44"/>
        <v>4</v>
      </c>
      <c r="D699" s="12">
        <f t="shared" si="45"/>
        <v>9</v>
      </c>
      <c r="E699" s="20" t="s">
        <v>114</v>
      </c>
      <c r="F699" s="20" t="s">
        <v>671</v>
      </c>
      <c r="G699" s="20" t="s">
        <v>1292</v>
      </c>
      <c r="H699" s="20" t="s">
        <v>1302</v>
      </c>
      <c r="I699" s="20">
        <v>2</v>
      </c>
      <c r="J699" s="20" t="s">
        <v>1303</v>
      </c>
      <c r="K699" s="20" t="s">
        <v>1304</v>
      </c>
      <c r="L699" s="20" t="s">
        <v>1305</v>
      </c>
      <c r="M699" s="20" t="s">
        <v>671</v>
      </c>
      <c r="N699" s="20" t="s">
        <v>702</v>
      </c>
      <c r="P699" s="20" t="s">
        <v>671</v>
      </c>
      <c r="Q699" s="20" t="s">
        <v>673</v>
      </c>
      <c r="R699" s="20" t="s">
        <v>84</v>
      </c>
      <c r="S699" s="20">
        <v>5</v>
      </c>
      <c r="T699" s="20" t="s">
        <v>480</v>
      </c>
      <c r="U699" s="20" t="s">
        <v>481</v>
      </c>
      <c r="V699" s="20" t="s">
        <v>87</v>
      </c>
      <c r="W699" s="20">
        <v>517</v>
      </c>
      <c r="X699" s="20">
        <v>517</v>
      </c>
      <c r="Y699" s="20" t="s">
        <v>1306</v>
      </c>
      <c r="Z699" s="20">
        <v>1</v>
      </c>
      <c r="AA699" s="20" t="s">
        <v>1307</v>
      </c>
      <c r="AB699" s="20" t="s">
        <v>248</v>
      </c>
      <c r="AC699" s="20" t="s">
        <v>249</v>
      </c>
      <c r="AD699" s="20" t="s">
        <v>1308</v>
      </c>
      <c r="AE699" s="20" t="s">
        <v>91</v>
      </c>
      <c r="AF699" s="20">
        <v>1</v>
      </c>
      <c r="AG699" s="20" t="s">
        <v>2524</v>
      </c>
      <c r="AH699" s="20">
        <v>1</v>
      </c>
      <c r="AI699" s="4" t="s">
        <v>251</v>
      </c>
      <c r="AJ699" s="20">
        <v>150</v>
      </c>
      <c r="AK699" s="4" t="s">
        <v>179</v>
      </c>
      <c r="AL699" s="4">
        <v>10</v>
      </c>
      <c r="AM699" s="4">
        <v>10</v>
      </c>
      <c r="AN699" s="4" t="s">
        <v>95</v>
      </c>
      <c r="AO699" s="4" t="s">
        <v>96</v>
      </c>
      <c r="AP699" s="4">
        <v>1</v>
      </c>
      <c r="AQ699" s="20">
        <v>55000</v>
      </c>
      <c r="AR699" s="4">
        <v>41801</v>
      </c>
      <c r="AS699" s="20">
        <v>8333.3333333333321</v>
      </c>
      <c r="AT699" s="20">
        <v>8252.84</v>
      </c>
      <c r="AU699" s="20">
        <v>-80.493333333331975</v>
      </c>
      <c r="AV699" s="20">
        <v>0</v>
      </c>
      <c r="AW699" s="20">
        <v>0</v>
      </c>
      <c r="AX699" s="20">
        <v>20</v>
      </c>
      <c r="AY699" s="20">
        <v>20</v>
      </c>
      <c r="AZ699" s="20">
        <v>6.6</v>
      </c>
      <c r="BA699" s="20">
        <v>0</v>
      </c>
      <c r="BB699" s="6">
        <v>41750</v>
      </c>
      <c r="BC699" s="6">
        <v>41871</v>
      </c>
      <c r="BD699" s="6">
        <v>41879</v>
      </c>
      <c r="BE699" s="6">
        <v>41877</v>
      </c>
      <c r="BF699" s="6">
        <v>41906</v>
      </c>
      <c r="BG699" s="6">
        <v>0</v>
      </c>
      <c r="BH699" s="6">
        <v>0</v>
      </c>
      <c r="BI699" s="6">
        <v>0</v>
      </c>
      <c r="BJ699" s="6">
        <v>0</v>
      </c>
      <c r="BK699" s="4" t="s">
        <v>401</v>
      </c>
      <c r="BL699" s="4" t="s">
        <v>401</v>
      </c>
      <c r="BM699" s="20">
        <v>154</v>
      </c>
      <c r="BN699" s="20">
        <v>0</v>
      </c>
      <c r="BO699" s="20">
        <v>0</v>
      </c>
      <c r="BP699" s="20">
        <v>0</v>
      </c>
      <c r="BQ699" s="20">
        <v>0</v>
      </c>
      <c r="BR699" s="20">
        <v>0</v>
      </c>
      <c r="BS699" s="20">
        <v>150</v>
      </c>
      <c r="BT699" s="20">
        <v>1237926</v>
      </c>
      <c r="BU699" s="20">
        <v>8250000</v>
      </c>
      <c r="BV699" s="20">
        <v>6.0585204608353003</v>
      </c>
    </row>
    <row r="700" spans="1:74">
      <c r="A700" s="10">
        <f t="shared" si="42"/>
        <v>0</v>
      </c>
      <c r="B700" s="10">
        <f t="shared" si="43"/>
        <v>0</v>
      </c>
      <c r="C700" s="12" t="str">
        <f t="shared" si="44"/>
        <v/>
      </c>
      <c r="D700" s="12" t="str">
        <f t="shared" si="45"/>
        <v/>
      </c>
      <c r="E700" s="20" t="s">
        <v>91</v>
      </c>
      <c r="F700" s="20" t="s">
        <v>91</v>
      </c>
      <c r="G700" s="20" t="s">
        <v>91</v>
      </c>
      <c r="H700" s="20" t="s">
        <v>91</v>
      </c>
      <c r="I700" s="20">
        <v>0</v>
      </c>
      <c r="J700" s="20" t="s">
        <v>103</v>
      </c>
      <c r="K700" s="20" t="s">
        <v>104</v>
      </c>
      <c r="L700" s="20">
        <v>0</v>
      </c>
      <c r="M700" s="20" t="s">
        <v>105</v>
      </c>
      <c r="N700" s="20" t="s">
        <v>91</v>
      </c>
      <c r="O700" s="20" t="s">
        <v>1309</v>
      </c>
      <c r="Q700" s="20" t="s">
        <v>91</v>
      </c>
      <c r="R700" s="20" t="s">
        <v>91</v>
      </c>
      <c r="S700" s="20" t="s">
        <v>91</v>
      </c>
      <c r="U700" s="20" t="s">
        <v>91</v>
      </c>
      <c r="V700" s="20" t="s">
        <v>87</v>
      </c>
      <c r="X700" s="20" t="s">
        <v>91</v>
      </c>
      <c r="Y700" s="20" t="s">
        <v>91</v>
      </c>
      <c r="Z700" s="20">
        <v>2</v>
      </c>
      <c r="AB700" s="20" t="s">
        <v>91</v>
      </c>
      <c r="AD700" s="20" t="s">
        <v>91</v>
      </c>
      <c r="AE700" s="20" t="s">
        <v>91</v>
      </c>
      <c r="AF700" s="20">
        <v>2</v>
      </c>
      <c r="AG700" s="20">
        <v>0</v>
      </c>
      <c r="AH700" s="20">
        <v>1</v>
      </c>
      <c r="AM700" s="4" t="s">
        <v>91</v>
      </c>
      <c r="AP700" s="4" t="s">
        <v>91</v>
      </c>
      <c r="AQ700" s="20">
        <v>0</v>
      </c>
      <c r="AR700" s="4">
        <v>0</v>
      </c>
      <c r="AS700" s="20">
        <v>0</v>
      </c>
      <c r="AT700" s="20">
        <v>0</v>
      </c>
      <c r="AU700" s="20">
        <v>0</v>
      </c>
      <c r="AV700" s="20">
        <v>0</v>
      </c>
      <c r="AW700" s="20">
        <v>0</v>
      </c>
      <c r="AY700" s="20">
        <v>0</v>
      </c>
      <c r="AZ700" s="20">
        <v>0</v>
      </c>
      <c r="BA700" s="20">
        <v>0</v>
      </c>
      <c r="BB700" s="6">
        <v>0</v>
      </c>
      <c r="BC700" s="6">
        <v>0</v>
      </c>
      <c r="BD700" s="6">
        <v>0</v>
      </c>
      <c r="BE700" s="6">
        <v>0</v>
      </c>
      <c r="BF700" s="6">
        <v>0</v>
      </c>
      <c r="BG700" s="6">
        <v>0</v>
      </c>
      <c r="BH700" s="6">
        <v>0</v>
      </c>
      <c r="BI700" s="6">
        <v>0</v>
      </c>
      <c r="BJ700" s="6">
        <v>0</v>
      </c>
      <c r="BK700" s="4">
        <v>0</v>
      </c>
      <c r="BL700" s="4">
        <v>0</v>
      </c>
      <c r="BM700" s="20">
        <v>741</v>
      </c>
      <c r="BN700" s="20">
        <v>0</v>
      </c>
      <c r="BO700" s="20">
        <v>0</v>
      </c>
      <c r="BP700" s="20">
        <v>0</v>
      </c>
      <c r="BQ700" s="20">
        <v>0</v>
      </c>
      <c r="BR700" s="20">
        <v>0</v>
      </c>
      <c r="BS700" s="20">
        <v>725</v>
      </c>
      <c r="BT700" s="20">
        <v>5073127.1739130439</v>
      </c>
      <c r="BU700" s="20">
        <v>34125000</v>
      </c>
      <c r="BV700" s="20">
        <v>6.1151093219684816</v>
      </c>
    </row>
    <row r="701" spans="1:74">
      <c r="A701" s="10">
        <f t="shared" si="42"/>
        <v>0</v>
      </c>
      <c r="B701" s="10">
        <f t="shared" si="43"/>
        <v>1</v>
      </c>
      <c r="C701" s="12">
        <f t="shared" si="44"/>
        <v>4</v>
      </c>
      <c r="D701" s="12">
        <f t="shared" si="45"/>
        <v>10</v>
      </c>
      <c r="E701" s="20" t="s">
        <v>114</v>
      </c>
      <c r="F701" s="20" t="s">
        <v>671</v>
      </c>
      <c r="G701" s="20" t="s">
        <v>1310</v>
      </c>
      <c r="H701" s="20" t="s">
        <v>1311</v>
      </c>
      <c r="I701" s="20">
        <v>1</v>
      </c>
      <c r="J701" s="20" t="s">
        <v>1312</v>
      </c>
      <c r="K701" s="20" t="s">
        <v>1313</v>
      </c>
      <c r="L701" s="20" t="s">
        <v>1314</v>
      </c>
      <c r="M701" s="20" t="s">
        <v>671</v>
      </c>
      <c r="N701" s="20" t="s">
        <v>702</v>
      </c>
      <c r="P701" s="20" t="s">
        <v>671</v>
      </c>
      <c r="Q701" s="20" t="s">
        <v>673</v>
      </c>
      <c r="R701" s="20" t="s">
        <v>84</v>
      </c>
      <c r="S701" s="20">
        <v>5</v>
      </c>
      <c r="T701" s="20" t="s">
        <v>480</v>
      </c>
      <c r="U701" s="20" t="s">
        <v>481</v>
      </c>
      <c r="V701" s="20" t="s">
        <v>87</v>
      </c>
      <c r="W701" s="20">
        <v>515</v>
      </c>
      <c r="X701" s="20">
        <v>515</v>
      </c>
      <c r="Y701" s="20" t="s">
        <v>1315</v>
      </c>
      <c r="Z701" s="20">
        <v>1</v>
      </c>
      <c r="AA701" s="20" t="s">
        <v>1316</v>
      </c>
      <c r="AB701" s="20" t="s">
        <v>89</v>
      </c>
      <c r="AC701" s="20" t="s">
        <v>90</v>
      </c>
      <c r="AD701" s="20" t="s">
        <v>1317</v>
      </c>
      <c r="AE701" s="20" t="s">
        <v>91</v>
      </c>
      <c r="AF701" s="20">
        <v>1</v>
      </c>
      <c r="AG701" s="20" t="s">
        <v>2525</v>
      </c>
      <c r="AH701" s="20">
        <v>1</v>
      </c>
      <c r="AI701" s="4" t="s">
        <v>251</v>
      </c>
      <c r="AJ701" s="20">
        <v>150</v>
      </c>
      <c r="AK701" s="4" t="s">
        <v>179</v>
      </c>
      <c r="AL701" s="4">
        <v>11</v>
      </c>
      <c r="AM701" s="4">
        <v>11</v>
      </c>
      <c r="AN701" s="4" t="s">
        <v>95</v>
      </c>
      <c r="AO701" s="4" t="s">
        <v>96</v>
      </c>
      <c r="AP701" s="4">
        <v>1</v>
      </c>
      <c r="AQ701" s="20">
        <v>59000</v>
      </c>
      <c r="AR701" s="4">
        <v>41858</v>
      </c>
      <c r="AS701" s="20">
        <v>8939.3939393939381</v>
      </c>
      <c r="AT701" s="20">
        <v>11574.2</v>
      </c>
      <c r="AU701" s="20">
        <v>2634.8060606060626</v>
      </c>
      <c r="AV701" s="20">
        <v>1490</v>
      </c>
      <c r="AW701" s="20">
        <v>85</v>
      </c>
      <c r="AX701" s="20">
        <v>20</v>
      </c>
      <c r="AY701" s="20">
        <v>1595</v>
      </c>
      <c r="AZ701" s="20">
        <v>8</v>
      </c>
      <c r="BA701" s="20">
        <v>0</v>
      </c>
      <c r="BB701" s="6">
        <v>41750</v>
      </c>
      <c r="BC701" s="6">
        <v>41897</v>
      </c>
      <c r="BD701" s="6">
        <v>41907</v>
      </c>
      <c r="BE701" s="6">
        <v>41905</v>
      </c>
      <c r="BF701" s="6">
        <v>41913</v>
      </c>
      <c r="BG701" s="6">
        <v>0</v>
      </c>
      <c r="BH701" s="6">
        <v>0</v>
      </c>
      <c r="BI701" s="6">
        <v>0</v>
      </c>
      <c r="BJ701" s="6">
        <v>0</v>
      </c>
      <c r="BK701" s="4" t="s">
        <v>401</v>
      </c>
      <c r="BL701" s="4" t="s">
        <v>401</v>
      </c>
      <c r="BM701" s="20">
        <v>150</v>
      </c>
      <c r="BN701" s="20">
        <v>0</v>
      </c>
      <c r="BO701" s="20">
        <v>0</v>
      </c>
      <c r="BP701" s="20">
        <v>0</v>
      </c>
      <c r="BQ701" s="20">
        <v>0</v>
      </c>
      <c r="BR701" s="20">
        <v>0</v>
      </c>
      <c r="BS701" s="20">
        <v>150</v>
      </c>
      <c r="BT701" s="20">
        <v>1736130</v>
      </c>
      <c r="BU701" s="20">
        <v>8850000</v>
      </c>
      <c r="BV701" s="20">
        <v>4.6341313988321984</v>
      </c>
    </row>
    <row r="702" spans="1:74">
      <c r="A702" s="10">
        <f t="shared" si="42"/>
        <v>0</v>
      </c>
      <c r="B702" s="10">
        <f t="shared" si="43"/>
        <v>0.5</v>
      </c>
      <c r="C702" s="12">
        <f t="shared" si="44"/>
        <v>4</v>
      </c>
      <c r="D702" s="12">
        <f t="shared" si="45"/>
        <v>10</v>
      </c>
      <c r="E702" s="20" t="s">
        <v>574</v>
      </c>
      <c r="F702" s="20" t="s">
        <v>1318</v>
      </c>
      <c r="G702" s="20" t="s">
        <v>1310</v>
      </c>
      <c r="H702" s="20" t="s">
        <v>1319</v>
      </c>
      <c r="I702" s="20">
        <v>2</v>
      </c>
      <c r="J702" s="20" t="s">
        <v>1320</v>
      </c>
      <c r="K702" s="20" t="s">
        <v>1321</v>
      </c>
      <c r="L702" s="20" t="s">
        <v>1322</v>
      </c>
      <c r="M702" s="20" t="s">
        <v>671</v>
      </c>
      <c r="N702" s="20" t="s">
        <v>702</v>
      </c>
      <c r="P702" s="20" t="s">
        <v>671</v>
      </c>
      <c r="Q702" s="20" t="s">
        <v>673</v>
      </c>
      <c r="R702" s="20" t="s">
        <v>84</v>
      </c>
      <c r="S702" s="20">
        <v>5</v>
      </c>
      <c r="T702" s="20" t="s">
        <v>588</v>
      </c>
      <c r="U702" s="20" t="s">
        <v>589</v>
      </c>
      <c r="V702" s="20" t="s">
        <v>87</v>
      </c>
      <c r="W702" s="20">
        <v>522</v>
      </c>
      <c r="X702" s="20">
        <v>522</v>
      </c>
      <c r="Y702" s="20" t="s">
        <v>1323</v>
      </c>
      <c r="Z702" s="20">
        <v>0.5</v>
      </c>
      <c r="AA702" s="20" t="s">
        <v>1324</v>
      </c>
      <c r="AB702" s="20" t="s">
        <v>279</v>
      </c>
      <c r="AC702" s="20" t="s">
        <v>280</v>
      </c>
      <c r="AD702" s="20" t="s">
        <v>1325</v>
      </c>
      <c r="AE702" s="20" t="s">
        <v>91</v>
      </c>
      <c r="AF702" s="20">
        <v>0.5</v>
      </c>
      <c r="AG702" s="20" t="s">
        <v>2442</v>
      </c>
      <c r="AH702" s="20">
        <v>1</v>
      </c>
      <c r="AI702" s="4" t="s">
        <v>97</v>
      </c>
      <c r="AJ702" s="20">
        <v>80</v>
      </c>
      <c r="AK702" s="4" t="s">
        <v>179</v>
      </c>
      <c r="AL702" s="4">
        <v>11</v>
      </c>
      <c r="AM702" s="4">
        <v>11</v>
      </c>
      <c r="AN702" s="4" t="s">
        <v>95</v>
      </c>
      <c r="AO702" s="4" t="s">
        <v>96</v>
      </c>
      <c r="AP702" s="4">
        <v>1</v>
      </c>
      <c r="AQ702" s="20">
        <v>45000</v>
      </c>
      <c r="AR702" s="4">
        <v>41801</v>
      </c>
      <c r="AS702" s="20">
        <v>6818.1818181818171</v>
      </c>
      <c r="AT702" s="20">
        <v>9139.5400000000009</v>
      </c>
      <c r="AU702" s="20">
        <v>2321.3581818181838</v>
      </c>
      <c r="AV702" s="20">
        <v>263</v>
      </c>
      <c r="AW702" s="20">
        <v>0</v>
      </c>
      <c r="AX702" s="20">
        <v>20</v>
      </c>
      <c r="AY702" s="20">
        <v>283</v>
      </c>
      <c r="AZ702" s="20">
        <v>7.1</v>
      </c>
      <c r="BA702" s="20">
        <v>0</v>
      </c>
      <c r="BB702" s="6">
        <v>41750</v>
      </c>
      <c r="BC702" s="6">
        <v>41897</v>
      </c>
      <c r="BD702" s="6">
        <v>41907</v>
      </c>
      <c r="BE702" s="6">
        <v>41905</v>
      </c>
      <c r="BF702" s="6">
        <v>41913</v>
      </c>
      <c r="BG702" s="6">
        <v>0</v>
      </c>
      <c r="BH702" s="6">
        <v>0</v>
      </c>
      <c r="BI702" s="6">
        <v>0</v>
      </c>
      <c r="BJ702" s="6">
        <v>0</v>
      </c>
      <c r="BK702" s="4" t="s">
        <v>401</v>
      </c>
      <c r="BL702" s="4" t="s">
        <v>401</v>
      </c>
      <c r="BM702" s="20">
        <v>80</v>
      </c>
      <c r="BN702" s="20">
        <v>0</v>
      </c>
      <c r="BO702" s="20">
        <v>0</v>
      </c>
      <c r="BP702" s="20">
        <v>0</v>
      </c>
      <c r="BQ702" s="20">
        <v>0</v>
      </c>
      <c r="BR702" s="20">
        <v>0</v>
      </c>
      <c r="BS702" s="20">
        <v>80</v>
      </c>
      <c r="BT702" s="20">
        <v>731163.20000000007</v>
      </c>
      <c r="BU702" s="20">
        <v>3600000</v>
      </c>
      <c r="BV702" s="20">
        <v>4.4760557871721005</v>
      </c>
    </row>
    <row r="703" spans="1:74">
      <c r="A703" s="10">
        <f t="shared" si="42"/>
        <v>0</v>
      </c>
      <c r="B703" s="10">
        <f t="shared" si="43"/>
        <v>0.5</v>
      </c>
      <c r="C703" s="12">
        <f t="shared" si="44"/>
        <v>4</v>
      </c>
      <c r="D703" s="12">
        <f t="shared" si="45"/>
        <v>10</v>
      </c>
      <c r="E703" s="20" t="s">
        <v>574</v>
      </c>
      <c r="F703" s="20" t="s">
        <v>1318</v>
      </c>
      <c r="G703" s="20" t="s">
        <v>1310</v>
      </c>
      <c r="H703" s="20" t="s">
        <v>1319</v>
      </c>
      <c r="I703" s="20">
        <v>2</v>
      </c>
      <c r="J703" s="20" t="s">
        <v>1320</v>
      </c>
      <c r="K703" s="20" t="s">
        <v>1326</v>
      </c>
      <c r="L703" s="20" t="s">
        <v>1322</v>
      </c>
      <c r="M703" s="20" t="s">
        <v>671</v>
      </c>
      <c r="N703" s="20" t="s">
        <v>702</v>
      </c>
      <c r="P703" s="20" t="s">
        <v>671</v>
      </c>
      <c r="Q703" s="20" t="s">
        <v>673</v>
      </c>
      <c r="R703" s="20" t="s">
        <v>84</v>
      </c>
      <c r="S703" s="20">
        <v>5</v>
      </c>
      <c r="T703" s="20" t="s">
        <v>588</v>
      </c>
      <c r="U703" s="20" t="s">
        <v>589</v>
      </c>
      <c r="V703" s="20" t="s">
        <v>87</v>
      </c>
      <c r="W703" s="20">
        <v>522</v>
      </c>
      <c r="X703" s="20">
        <v>522</v>
      </c>
      <c r="Y703" s="20" t="s">
        <v>1323</v>
      </c>
      <c r="Z703" s="20">
        <v>0.5</v>
      </c>
      <c r="AA703" s="20" t="s">
        <v>1324</v>
      </c>
      <c r="AB703" s="20" t="s">
        <v>279</v>
      </c>
      <c r="AC703" s="20" t="s">
        <v>280</v>
      </c>
      <c r="AD703" s="20" t="s">
        <v>1325</v>
      </c>
      <c r="AE703" s="20" t="s">
        <v>91</v>
      </c>
      <c r="AF703" s="20">
        <v>0.5</v>
      </c>
      <c r="AG703" s="20" t="s">
        <v>2442</v>
      </c>
      <c r="AH703" s="20">
        <v>1</v>
      </c>
      <c r="AI703" s="4" t="s">
        <v>98</v>
      </c>
      <c r="AJ703" s="20">
        <v>80</v>
      </c>
      <c r="AK703" s="4" t="s">
        <v>179</v>
      </c>
      <c r="AL703" s="4">
        <v>11</v>
      </c>
      <c r="AM703" s="4">
        <v>11</v>
      </c>
      <c r="AN703" s="4" t="s">
        <v>95</v>
      </c>
      <c r="AO703" s="4" t="s">
        <v>96</v>
      </c>
      <c r="AP703" s="4">
        <v>1</v>
      </c>
      <c r="AQ703" s="20">
        <v>45000</v>
      </c>
      <c r="AR703" s="4">
        <v>41801</v>
      </c>
      <c r="AS703" s="20">
        <v>6818.1818181818171</v>
      </c>
      <c r="AT703" s="20">
        <v>9138.5400000000009</v>
      </c>
      <c r="AU703" s="20">
        <v>2320.3581818181838</v>
      </c>
      <c r="AV703" s="20">
        <v>262</v>
      </c>
      <c r="AW703" s="20">
        <v>0</v>
      </c>
      <c r="AX703" s="20">
        <v>20</v>
      </c>
      <c r="AY703" s="20">
        <v>282</v>
      </c>
      <c r="AZ703" s="20">
        <v>7.1</v>
      </c>
      <c r="BA703" s="20">
        <v>0</v>
      </c>
      <c r="BB703" s="6">
        <v>41750</v>
      </c>
      <c r="BC703" s="6">
        <v>41897</v>
      </c>
      <c r="BD703" s="6">
        <v>41907</v>
      </c>
      <c r="BE703" s="6">
        <v>41905</v>
      </c>
      <c r="BF703" s="6">
        <v>41913</v>
      </c>
      <c r="BG703" s="6">
        <v>0</v>
      </c>
      <c r="BH703" s="6">
        <v>0</v>
      </c>
      <c r="BI703" s="6">
        <v>0</v>
      </c>
      <c r="BJ703" s="6">
        <v>0</v>
      </c>
      <c r="BK703" s="4" t="s">
        <v>401</v>
      </c>
      <c r="BL703" s="4" t="s">
        <v>401</v>
      </c>
      <c r="BM703" s="20">
        <v>80</v>
      </c>
      <c r="BN703" s="20">
        <v>0</v>
      </c>
      <c r="BO703" s="20">
        <v>0</v>
      </c>
      <c r="BP703" s="20">
        <v>0</v>
      </c>
      <c r="BQ703" s="20">
        <v>0</v>
      </c>
      <c r="BR703" s="20">
        <v>0</v>
      </c>
      <c r="BS703" s="20">
        <v>80</v>
      </c>
      <c r="BT703" s="20">
        <v>731083.20000000007</v>
      </c>
      <c r="BU703" s="20">
        <v>3600000</v>
      </c>
      <c r="BV703" s="20">
        <v>4.476545587051203</v>
      </c>
    </row>
    <row r="704" spans="1:74">
      <c r="A704" s="10">
        <f t="shared" si="42"/>
        <v>0</v>
      </c>
      <c r="B704" s="10">
        <f t="shared" si="43"/>
        <v>0</v>
      </c>
      <c r="C704" s="12">
        <f t="shared" si="44"/>
        <v>4</v>
      </c>
      <c r="D704" s="12">
        <f t="shared" si="45"/>
        <v>10</v>
      </c>
      <c r="E704" s="20" t="s">
        <v>574</v>
      </c>
      <c r="F704" s="20" t="s">
        <v>1318</v>
      </c>
      <c r="G704" s="20" t="s">
        <v>1310</v>
      </c>
      <c r="H704" s="20" t="s">
        <v>1327</v>
      </c>
      <c r="I704" s="20">
        <v>3</v>
      </c>
      <c r="J704" s="20" t="s">
        <v>1328</v>
      </c>
      <c r="K704" s="20" t="s">
        <v>1329</v>
      </c>
      <c r="L704" s="20" t="s">
        <v>1330</v>
      </c>
      <c r="M704" s="20" t="s">
        <v>671</v>
      </c>
      <c r="N704" s="20" t="s">
        <v>702</v>
      </c>
      <c r="P704" s="20" t="s">
        <v>671</v>
      </c>
      <c r="Q704" s="20" t="s">
        <v>673</v>
      </c>
      <c r="R704" s="20" t="s">
        <v>84</v>
      </c>
      <c r="S704" s="20">
        <v>5</v>
      </c>
      <c r="T704" s="20" t="s">
        <v>588</v>
      </c>
      <c r="U704" s="20" t="s">
        <v>589</v>
      </c>
      <c r="V704" s="20" t="s">
        <v>87</v>
      </c>
      <c r="W704" s="20">
        <v>523</v>
      </c>
      <c r="X704" s="20">
        <v>523</v>
      </c>
      <c r="Y704" s="20" t="s">
        <v>1331</v>
      </c>
      <c r="Z704" s="20">
        <v>0.5</v>
      </c>
      <c r="AA704" s="20" t="s">
        <v>1332</v>
      </c>
      <c r="AB704" s="20" t="s">
        <v>248</v>
      </c>
      <c r="AC704" s="20" t="s">
        <v>249</v>
      </c>
      <c r="AD704" s="20" t="s">
        <v>1333</v>
      </c>
      <c r="AE704" s="20" t="s">
        <v>91</v>
      </c>
      <c r="AF704" s="20">
        <v>0.5</v>
      </c>
      <c r="AG704" s="20" t="s">
        <v>2442</v>
      </c>
      <c r="AH704" s="20">
        <v>1</v>
      </c>
      <c r="AI704" s="4" t="s">
        <v>97</v>
      </c>
      <c r="AJ704" s="20">
        <v>80</v>
      </c>
      <c r="AK704" s="4" t="s">
        <v>179</v>
      </c>
      <c r="AL704" s="4">
        <v>11</v>
      </c>
      <c r="AM704" s="4">
        <v>11</v>
      </c>
      <c r="AN704" s="4" t="s">
        <v>95</v>
      </c>
      <c r="AO704" s="4" t="s">
        <v>96</v>
      </c>
      <c r="AP704" s="4">
        <v>1</v>
      </c>
      <c r="AQ704" s="20">
        <v>45000</v>
      </c>
      <c r="AR704" s="4">
        <v>41801</v>
      </c>
      <c r="AS704" s="20">
        <v>6818.1818181818171</v>
      </c>
      <c r="AT704" s="20">
        <v>9126.02</v>
      </c>
      <c r="AU704" s="20">
        <v>2307.8381818181833</v>
      </c>
      <c r="AV704" s="20">
        <v>0</v>
      </c>
      <c r="AW704" s="20">
        <v>0</v>
      </c>
      <c r="AX704" s="20">
        <v>20</v>
      </c>
      <c r="AY704" s="20">
        <v>20</v>
      </c>
      <c r="AZ704" s="20">
        <v>7.3</v>
      </c>
      <c r="BA704" s="20">
        <v>0</v>
      </c>
      <c r="BB704" s="6">
        <v>41750</v>
      </c>
      <c r="BC704" s="6">
        <v>41897</v>
      </c>
      <c r="BD704" s="6">
        <v>41907</v>
      </c>
      <c r="BE704" s="6">
        <v>41905</v>
      </c>
      <c r="BF704" s="6">
        <v>41913</v>
      </c>
      <c r="BG704" s="6">
        <v>0</v>
      </c>
      <c r="BH704" s="6">
        <v>0</v>
      </c>
      <c r="BI704" s="6">
        <v>0</v>
      </c>
      <c r="BJ704" s="6">
        <v>0</v>
      </c>
      <c r="BK704" s="4" t="s">
        <v>401</v>
      </c>
      <c r="BL704" s="4" t="s">
        <v>401</v>
      </c>
      <c r="BM704" s="20">
        <v>79</v>
      </c>
      <c r="BN704" s="20">
        <v>0</v>
      </c>
      <c r="BO704" s="20">
        <v>0</v>
      </c>
      <c r="BP704" s="20">
        <v>0</v>
      </c>
      <c r="BQ704" s="20">
        <v>0</v>
      </c>
      <c r="BR704" s="20">
        <v>0</v>
      </c>
      <c r="BS704" s="20">
        <v>80</v>
      </c>
      <c r="BT704" s="20">
        <v>730081.60000000009</v>
      </c>
      <c r="BU704" s="20">
        <v>3600000</v>
      </c>
      <c r="BV704" s="20">
        <v>4.4826869663983757</v>
      </c>
    </row>
    <row r="705" spans="1:74">
      <c r="A705" s="10">
        <f t="shared" si="42"/>
        <v>0</v>
      </c>
      <c r="B705" s="10">
        <f t="shared" si="43"/>
        <v>0</v>
      </c>
      <c r="C705" s="12">
        <f t="shared" si="44"/>
        <v>4</v>
      </c>
      <c r="D705" s="12">
        <f t="shared" si="45"/>
        <v>10</v>
      </c>
      <c r="E705" s="20" t="s">
        <v>574</v>
      </c>
      <c r="F705" s="20" t="s">
        <v>1318</v>
      </c>
      <c r="G705" s="20" t="s">
        <v>1310</v>
      </c>
      <c r="H705" s="20" t="s">
        <v>1327</v>
      </c>
      <c r="I705" s="20">
        <v>3</v>
      </c>
      <c r="J705" s="20" t="s">
        <v>1328</v>
      </c>
      <c r="K705" s="20" t="s">
        <v>1334</v>
      </c>
      <c r="L705" s="20" t="s">
        <v>1330</v>
      </c>
      <c r="M705" s="20" t="s">
        <v>671</v>
      </c>
      <c r="N705" s="20" t="s">
        <v>702</v>
      </c>
      <c r="P705" s="20" t="s">
        <v>671</v>
      </c>
      <c r="Q705" s="20" t="s">
        <v>673</v>
      </c>
      <c r="R705" s="20" t="s">
        <v>84</v>
      </c>
      <c r="S705" s="20">
        <v>5</v>
      </c>
      <c r="T705" s="20" t="s">
        <v>588</v>
      </c>
      <c r="U705" s="20" t="s">
        <v>589</v>
      </c>
      <c r="V705" s="20" t="s">
        <v>87</v>
      </c>
      <c r="W705" s="20">
        <v>523</v>
      </c>
      <c r="X705" s="20">
        <v>523</v>
      </c>
      <c r="Y705" s="20" t="s">
        <v>1331</v>
      </c>
      <c r="Z705" s="20">
        <v>0.5</v>
      </c>
      <c r="AA705" s="20" t="s">
        <v>1332</v>
      </c>
      <c r="AB705" s="20" t="s">
        <v>248</v>
      </c>
      <c r="AC705" s="20" t="s">
        <v>249</v>
      </c>
      <c r="AD705" s="20" t="s">
        <v>1333</v>
      </c>
      <c r="AE705" s="20" t="s">
        <v>91</v>
      </c>
      <c r="AF705" s="20">
        <v>0.5</v>
      </c>
      <c r="AG705" s="20" t="s">
        <v>2442</v>
      </c>
      <c r="AH705" s="20">
        <v>1</v>
      </c>
      <c r="AI705" s="4" t="s">
        <v>98</v>
      </c>
      <c r="AJ705" s="20">
        <v>80</v>
      </c>
      <c r="AK705" s="4" t="s">
        <v>179</v>
      </c>
      <c r="AL705" s="4">
        <v>11</v>
      </c>
      <c r="AM705" s="4">
        <v>11</v>
      </c>
      <c r="AN705" s="4" t="s">
        <v>95</v>
      </c>
      <c r="AO705" s="4" t="s">
        <v>96</v>
      </c>
      <c r="AP705" s="4">
        <v>1</v>
      </c>
      <c r="AQ705" s="20">
        <v>45000</v>
      </c>
      <c r="AR705" s="4">
        <v>41801</v>
      </c>
      <c r="AS705" s="20">
        <v>6818.1818181818171</v>
      </c>
      <c r="AT705" s="20">
        <v>9126.02</v>
      </c>
      <c r="AU705" s="20">
        <v>2307.8381818181833</v>
      </c>
      <c r="AV705" s="20">
        <v>0</v>
      </c>
      <c r="AW705" s="20">
        <v>0</v>
      </c>
      <c r="AX705" s="20">
        <v>20</v>
      </c>
      <c r="AY705" s="20">
        <v>20</v>
      </c>
      <c r="AZ705" s="20">
        <v>7.3</v>
      </c>
      <c r="BA705" s="20">
        <v>0</v>
      </c>
      <c r="BB705" s="6">
        <v>41750</v>
      </c>
      <c r="BC705" s="6">
        <v>41897</v>
      </c>
      <c r="BD705" s="6">
        <v>41907</v>
      </c>
      <c r="BE705" s="6">
        <v>41905</v>
      </c>
      <c r="BF705" s="6">
        <v>41913</v>
      </c>
      <c r="BG705" s="6">
        <v>0</v>
      </c>
      <c r="BH705" s="6">
        <v>0</v>
      </c>
      <c r="BI705" s="6">
        <v>0</v>
      </c>
      <c r="BJ705" s="6">
        <v>0</v>
      </c>
      <c r="BK705" s="4" t="s">
        <v>401</v>
      </c>
      <c r="BL705" s="4" t="s">
        <v>401</v>
      </c>
      <c r="BM705" s="20">
        <v>80</v>
      </c>
      <c r="BN705" s="20">
        <v>0</v>
      </c>
      <c r="BO705" s="20">
        <v>0</v>
      </c>
      <c r="BP705" s="20">
        <v>0</v>
      </c>
      <c r="BQ705" s="20">
        <v>0</v>
      </c>
      <c r="BR705" s="20">
        <v>0</v>
      </c>
      <c r="BS705" s="20">
        <v>80</v>
      </c>
      <c r="BT705" s="20">
        <v>730081.60000000009</v>
      </c>
      <c r="BU705" s="20">
        <v>3600000</v>
      </c>
      <c r="BV705" s="20">
        <v>4.4826869663983757</v>
      </c>
    </row>
    <row r="706" spans="1:74">
      <c r="A706" s="10">
        <f t="shared" si="42"/>
        <v>0</v>
      </c>
      <c r="B706" s="10">
        <f t="shared" si="43"/>
        <v>0.5</v>
      </c>
      <c r="C706" s="12">
        <f t="shared" si="44"/>
        <v>4</v>
      </c>
      <c r="D706" s="12">
        <f t="shared" si="45"/>
        <v>10</v>
      </c>
      <c r="E706" s="20" t="s">
        <v>574</v>
      </c>
      <c r="F706" s="20" t="s">
        <v>1318</v>
      </c>
      <c r="G706" s="20" t="s">
        <v>1310</v>
      </c>
      <c r="H706" s="20" t="s">
        <v>1335</v>
      </c>
      <c r="I706" s="20">
        <v>4</v>
      </c>
      <c r="J706" s="20" t="s">
        <v>1336</v>
      </c>
      <c r="K706" s="20" t="s">
        <v>1337</v>
      </c>
      <c r="L706" s="20" t="s">
        <v>1338</v>
      </c>
      <c r="M706" s="20" t="s">
        <v>671</v>
      </c>
      <c r="N706" s="20" t="s">
        <v>702</v>
      </c>
      <c r="P706" s="20" t="s">
        <v>671</v>
      </c>
      <c r="Q706" s="20" t="s">
        <v>673</v>
      </c>
      <c r="R706" s="20" t="s">
        <v>84</v>
      </c>
      <c r="S706" s="20">
        <v>5</v>
      </c>
      <c r="T706" s="20" t="s">
        <v>588</v>
      </c>
      <c r="U706" s="20" t="s">
        <v>589</v>
      </c>
      <c r="V706" s="20" t="s">
        <v>87</v>
      </c>
      <c r="W706" s="20">
        <v>524</v>
      </c>
      <c r="X706" s="20">
        <v>524</v>
      </c>
      <c r="Y706" s="20" t="s">
        <v>1339</v>
      </c>
      <c r="Z706" s="20">
        <v>0.5</v>
      </c>
      <c r="AA706" s="20" t="s">
        <v>1340</v>
      </c>
      <c r="AB706" s="20" t="s">
        <v>101</v>
      </c>
      <c r="AC706" s="20" t="s">
        <v>102</v>
      </c>
      <c r="AD706" s="20" t="s">
        <v>1341</v>
      </c>
      <c r="AE706" s="20" t="s">
        <v>91</v>
      </c>
      <c r="AF706" s="20">
        <v>0.5</v>
      </c>
      <c r="AG706" s="20" t="s">
        <v>2442</v>
      </c>
      <c r="AH706" s="20">
        <v>1</v>
      </c>
      <c r="AI706" s="4" t="s">
        <v>97</v>
      </c>
      <c r="AJ706" s="20">
        <v>80</v>
      </c>
      <c r="AK706" s="4" t="s">
        <v>179</v>
      </c>
      <c r="AL706" s="4">
        <v>11</v>
      </c>
      <c r="AM706" s="4">
        <v>11</v>
      </c>
      <c r="AN706" s="4" t="s">
        <v>95</v>
      </c>
      <c r="AO706" s="4" t="s">
        <v>96</v>
      </c>
      <c r="AP706" s="4">
        <v>1</v>
      </c>
      <c r="AQ706" s="20">
        <v>45000</v>
      </c>
      <c r="AR706" s="4">
        <v>41801</v>
      </c>
      <c r="AS706" s="20">
        <v>6818.1818181818171</v>
      </c>
      <c r="AT706" s="20">
        <v>9067.2800000000007</v>
      </c>
      <c r="AU706" s="20">
        <v>2249.0981818181835</v>
      </c>
      <c r="AV706" s="20">
        <v>66</v>
      </c>
      <c r="AW706" s="20">
        <v>0</v>
      </c>
      <c r="AX706" s="20">
        <v>20</v>
      </c>
      <c r="AY706" s="20">
        <v>86</v>
      </c>
      <c r="AZ706" s="20">
        <v>7.2</v>
      </c>
      <c r="BA706" s="20">
        <v>0</v>
      </c>
      <c r="BB706" s="6">
        <v>41750</v>
      </c>
      <c r="BC706" s="6">
        <v>41897</v>
      </c>
      <c r="BD706" s="6">
        <v>41907</v>
      </c>
      <c r="BE706" s="6">
        <v>41905</v>
      </c>
      <c r="BF706" s="6">
        <v>41913</v>
      </c>
      <c r="BG706" s="6">
        <v>0</v>
      </c>
      <c r="BH706" s="6">
        <v>0</v>
      </c>
      <c r="BI706" s="6">
        <v>0</v>
      </c>
      <c r="BJ706" s="6">
        <v>0</v>
      </c>
      <c r="BK706" s="4" t="s">
        <v>401</v>
      </c>
      <c r="BL706" s="4" t="s">
        <v>401</v>
      </c>
      <c r="BM706" s="20">
        <v>80</v>
      </c>
      <c r="BN706" s="20">
        <v>0</v>
      </c>
      <c r="BO706" s="20">
        <v>0</v>
      </c>
      <c r="BP706" s="20">
        <v>0</v>
      </c>
      <c r="BQ706" s="20">
        <v>0</v>
      </c>
      <c r="BR706" s="20">
        <v>0</v>
      </c>
      <c r="BS706" s="20">
        <v>80</v>
      </c>
      <c r="BT706" s="20">
        <v>725382.4</v>
      </c>
      <c r="BU706" s="20">
        <v>3600000</v>
      </c>
      <c r="BV706" s="20">
        <v>4.5117268805078155</v>
      </c>
    </row>
    <row r="707" spans="1:74">
      <c r="A707" s="10">
        <f t="shared" ref="A707:A770" si="46">IF($BL707="공급",$Z707,0)</f>
        <v>0</v>
      </c>
      <c r="B707" s="10">
        <f t="shared" ref="B707:B770" si="47">IF($AV707&gt;0,$Z707,0)</f>
        <v>0.5</v>
      </c>
      <c r="C707" s="12">
        <f t="shared" si="44"/>
        <v>4</v>
      </c>
      <c r="D707" s="12">
        <f t="shared" si="45"/>
        <v>10</v>
      </c>
      <c r="E707" s="20" t="s">
        <v>574</v>
      </c>
      <c r="F707" s="20" t="s">
        <v>1318</v>
      </c>
      <c r="G707" s="20" t="s">
        <v>1310</v>
      </c>
      <c r="H707" s="20" t="s">
        <v>1335</v>
      </c>
      <c r="I707" s="20">
        <v>4</v>
      </c>
      <c r="J707" s="20" t="s">
        <v>1336</v>
      </c>
      <c r="K707" s="20" t="s">
        <v>1342</v>
      </c>
      <c r="L707" s="20" t="s">
        <v>1338</v>
      </c>
      <c r="M707" s="20" t="s">
        <v>671</v>
      </c>
      <c r="N707" s="20" t="s">
        <v>702</v>
      </c>
      <c r="P707" s="20" t="s">
        <v>671</v>
      </c>
      <c r="Q707" s="20" t="s">
        <v>673</v>
      </c>
      <c r="R707" s="20" t="s">
        <v>84</v>
      </c>
      <c r="S707" s="20">
        <v>5</v>
      </c>
      <c r="T707" s="20" t="s">
        <v>588</v>
      </c>
      <c r="U707" s="20" t="s">
        <v>589</v>
      </c>
      <c r="V707" s="20" t="s">
        <v>87</v>
      </c>
      <c r="W707" s="20">
        <v>524</v>
      </c>
      <c r="X707" s="20">
        <v>524</v>
      </c>
      <c r="Y707" s="20" t="s">
        <v>1339</v>
      </c>
      <c r="Z707" s="20">
        <v>0.5</v>
      </c>
      <c r="AA707" s="20" t="s">
        <v>1340</v>
      </c>
      <c r="AB707" s="20" t="s">
        <v>101</v>
      </c>
      <c r="AC707" s="20" t="s">
        <v>102</v>
      </c>
      <c r="AD707" s="20" t="s">
        <v>1341</v>
      </c>
      <c r="AE707" s="20" t="s">
        <v>91</v>
      </c>
      <c r="AF707" s="20">
        <v>0.5</v>
      </c>
      <c r="AG707" s="20" t="s">
        <v>2442</v>
      </c>
      <c r="AH707" s="20">
        <v>1</v>
      </c>
      <c r="AI707" s="4" t="s">
        <v>98</v>
      </c>
      <c r="AJ707" s="20">
        <v>80</v>
      </c>
      <c r="AK707" s="4" t="s">
        <v>179</v>
      </c>
      <c r="AL707" s="4">
        <v>11</v>
      </c>
      <c r="AM707" s="4">
        <v>11</v>
      </c>
      <c r="AN707" s="4" t="s">
        <v>95</v>
      </c>
      <c r="AO707" s="4" t="s">
        <v>96</v>
      </c>
      <c r="AP707" s="4">
        <v>1</v>
      </c>
      <c r="AQ707" s="20">
        <v>45000</v>
      </c>
      <c r="AR707" s="4">
        <v>41801</v>
      </c>
      <c r="AS707" s="20">
        <v>6818.1818181818171</v>
      </c>
      <c r="AT707" s="20">
        <v>9066.2800000000007</v>
      </c>
      <c r="AU707" s="20">
        <v>2248.0981818181835</v>
      </c>
      <c r="AV707" s="20">
        <v>65</v>
      </c>
      <c r="AW707" s="20">
        <v>0</v>
      </c>
      <c r="AX707" s="20">
        <v>20</v>
      </c>
      <c r="AY707" s="20">
        <v>85</v>
      </c>
      <c r="AZ707" s="20">
        <v>7.2</v>
      </c>
      <c r="BA707" s="20">
        <v>0</v>
      </c>
      <c r="BB707" s="6">
        <v>41750</v>
      </c>
      <c r="BC707" s="6">
        <v>41897</v>
      </c>
      <c r="BD707" s="6">
        <v>41907</v>
      </c>
      <c r="BE707" s="6">
        <v>41905</v>
      </c>
      <c r="BF707" s="6">
        <v>41913</v>
      </c>
      <c r="BG707" s="6">
        <v>0</v>
      </c>
      <c r="BH707" s="6">
        <v>0</v>
      </c>
      <c r="BI707" s="6">
        <v>0</v>
      </c>
      <c r="BJ707" s="6">
        <v>0</v>
      </c>
      <c r="BK707" s="4" t="s">
        <v>401</v>
      </c>
      <c r="BL707" s="4" t="s">
        <v>401</v>
      </c>
      <c r="BM707" s="20">
        <v>80</v>
      </c>
      <c r="BN707" s="20">
        <v>0</v>
      </c>
      <c r="BO707" s="20">
        <v>0</v>
      </c>
      <c r="BP707" s="20">
        <v>0</v>
      </c>
      <c r="BQ707" s="20">
        <v>0</v>
      </c>
      <c r="BR707" s="20">
        <v>0</v>
      </c>
      <c r="BS707" s="20">
        <v>80</v>
      </c>
      <c r="BT707" s="20">
        <v>725302.4</v>
      </c>
      <c r="BU707" s="20">
        <v>3600000</v>
      </c>
      <c r="BV707" s="20">
        <v>4.5122245186659695</v>
      </c>
    </row>
    <row r="708" spans="1:74">
      <c r="A708" s="10">
        <f t="shared" si="46"/>
        <v>0</v>
      </c>
      <c r="B708" s="10">
        <f t="shared" si="47"/>
        <v>0</v>
      </c>
      <c r="C708" s="12" t="str">
        <f t="shared" ref="C708:C771" si="48">IF($BB708=0,"",MONTH($BB708))</f>
        <v/>
      </c>
      <c r="D708" s="12" t="str">
        <f t="shared" si="45"/>
        <v/>
      </c>
      <c r="E708" s="20" t="s">
        <v>91</v>
      </c>
      <c r="F708" s="20" t="s">
        <v>91</v>
      </c>
      <c r="G708" s="20" t="s">
        <v>91</v>
      </c>
      <c r="H708" s="20" t="s">
        <v>91</v>
      </c>
      <c r="I708" s="20">
        <v>0</v>
      </c>
      <c r="J708" s="20" t="s">
        <v>103</v>
      </c>
      <c r="K708" s="20" t="s">
        <v>104</v>
      </c>
      <c r="L708" s="20">
        <v>0</v>
      </c>
      <c r="M708" s="20" t="s">
        <v>105</v>
      </c>
      <c r="N708" s="20" t="s">
        <v>91</v>
      </c>
      <c r="O708" s="20" t="s">
        <v>1343</v>
      </c>
      <c r="Q708" s="20" t="s">
        <v>91</v>
      </c>
      <c r="R708" s="20" t="s">
        <v>91</v>
      </c>
      <c r="S708" s="20" t="s">
        <v>91</v>
      </c>
      <c r="U708" s="20" t="s">
        <v>91</v>
      </c>
      <c r="V708" s="20" t="s">
        <v>87</v>
      </c>
      <c r="X708" s="20" t="s">
        <v>91</v>
      </c>
      <c r="Y708" s="20" t="s">
        <v>91</v>
      </c>
      <c r="Z708" s="20">
        <v>4</v>
      </c>
      <c r="AB708" s="20" t="s">
        <v>91</v>
      </c>
      <c r="AD708" s="20" t="s">
        <v>91</v>
      </c>
      <c r="AE708" s="20" t="s">
        <v>91</v>
      </c>
      <c r="AF708" s="20">
        <v>4</v>
      </c>
      <c r="AG708" s="20">
        <v>0</v>
      </c>
      <c r="AH708" s="20">
        <v>1</v>
      </c>
      <c r="AM708" s="4" t="s">
        <v>91</v>
      </c>
      <c r="AP708" s="4" t="s">
        <v>91</v>
      </c>
      <c r="AQ708" s="20">
        <v>0</v>
      </c>
      <c r="AR708" s="4">
        <v>0</v>
      </c>
      <c r="AS708" s="20">
        <v>0</v>
      </c>
      <c r="AT708" s="20">
        <v>0</v>
      </c>
      <c r="AU708" s="20">
        <v>0</v>
      </c>
      <c r="AV708" s="20">
        <v>0</v>
      </c>
      <c r="AW708" s="20">
        <v>0</v>
      </c>
      <c r="AY708" s="20">
        <v>0</v>
      </c>
      <c r="AZ708" s="20">
        <v>0</v>
      </c>
      <c r="BA708" s="20">
        <v>0</v>
      </c>
      <c r="BB708" s="6">
        <v>0</v>
      </c>
      <c r="BC708" s="6">
        <v>0</v>
      </c>
      <c r="BD708" s="6">
        <v>0</v>
      </c>
      <c r="BE708" s="6">
        <v>0</v>
      </c>
      <c r="BF708" s="6">
        <v>0</v>
      </c>
      <c r="BG708" s="6">
        <v>0</v>
      </c>
      <c r="BH708" s="6">
        <v>0</v>
      </c>
      <c r="BI708" s="6">
        <v>0</v>
      </c>
      <c r="BJ708" s="6">
        <v>0</v>
      </c>
      <c r="BK708" s="4">
        <v>0</v>
      </c>
      <c r="BL708" s="4">
        <v>0</v>
      </c>
      <c r="BM708" s="20">
        <v>629</v>
      </c>
      <c r="BN708" s="20">
        <v>0</v>
      </c>
      <c r="BO708" s="20">
        <v>0</v>
      </c>
      <c r="BP708" s="20">
        <v>0</v>
      </c>
      <c r="BQ708" s="20">
        <v>0</v>
      </c>
      <c r="BR708" s="20">
        <v>0</v>
      </c>
      <c r="BS708" s="20">
        <v>630</v>
      </c>
      <c r="BT708" s="20">
        <v>6109224.4000000013</v>
      </c>
      <c r="BU708" s="20">
        <v>30450000</v>
      </c>
      <c r="BV708" s="20">
        <v>4.5311509889566626</v>
      </c>
    </row>
    <row r="709" spans="1:74">
      <c r="A709" s="10">
        <f t="shared" si="46"/>
        <v>0</v>
      </c>
      <c r="B709" s="10">
        <f t="shared" si="47"/>
        <v>0.5</v>
      </c>
      <c r="C709" s="12">
        <f t="shared" si="48"/>
        <v>4</v>
      </c>
      <c r="D709" s="12">
        <f t="shared" ref="D709:D772" si="49">IF(AND(BD709=0,BF709=0),"",MONTH(IF($BF709=0,$BD709,$BF709)))</f>
        <v>9</v>
      </c>
      <c r="E709" s="20" t="s">
        <v>114</v>
      </c>
      <c r="F709" s="20" t="s">
        <v>671</v>
      </c>
      <c r="G709" s="20" t="s">
        <v>1344</v>
      </c>
      <c r="H709" s="20" t="s">
        <v>1345</v>
      </c>
      <c r="I709" s="20">
        <v>1</v>
      </c>
      <c r="J709" s="20" t="s">
        <v>1346</v>
      </c>
      <c r="K709" s="20" t="s">
        <v>1347</v>
      </c>
      <c r="L709" s="20" t="s">
        <v>1348</v>
      </c>
      <c r="M709" s="20" t="s">
        <v>671</v>
      </c>
      <c r="N709" s="20" t="s">
        <v>702</v>
      </c>
      <c r="P709" s="20" t="s">
        <v>671</v>
      </c>
      <c r="Q709" s="20" t="s">
        <v>673</v>
      </c>
      <c r="R709" s="20" t="s">
        <v>84</v>
      </c>
      <c r="S709" s="20">
        <v>5</v>
      </c>
      <c r="T709" s="20" t="s">
        <v>172</v>
      </c>
      <c r="U709" s="20" t="s">
        <v>173</v>
      </c>
      <c r="V709" s="20" t="s">
        <v>87</v>
      </c>
      <c r="W709" s="20">
        <v>518</v>
      </c>
      <c r="X709" s="20">
        <v>518</v>
      </c>
      <c r="Y709" s="20" t="s">
        <v>1349</v>
      </c>
      <c r="Z709" s="20">
        <v>0.5</v>
      </c>
      <c r="AA709" s="20" t="s">
        <v>1350</v>
      </c>
      <c r="AB709" s="20" t="s">
        <v>149</v>
      </c>
      <c r="AC709" s="20" t="s">
        <v>150</v>
      </c>
      <c r="AD709" s="20" t="s">
        <v>1351</v>
      </c>
      <c r="AE709" s="20" t="s">
        <v>91</v>
      </c>
      <c r="AF709" s="20">
        <v>0.5</v>
      </c>
      <c r="AG709" s="20" t="s">
        <v>2582</v>
      </c>
      <c r="AH709" s="20">
        <v>1</v>
      </c>
      <c r="AI709" s="4" t="s">
        <v>97</v>
      </c>
      <c r="AJ709" s="20">
        <v>120</v>
      </c>
      <c r="AK709" s="4" t="s">
        <v>111</v>
      </c>
      <c r="AL709" s="4">
        <v>11</v>
      </c>
      <c r="AM709" s="4">
        <v>11</v>
      </c>
      <c r="AN709" s="4" t="s">
        <v>95</v>
      </c>
      <c r="AO709" s="4" t="s">
        <v>96</v>
      </c>
      <c r="AP709" s="4">
        <v>1</v>
      </c>
      <c r="AQ709" s="20">
        <v>55000</v>
      </c>
      <c r="AR709" s="4">
        <v>41801</v>
      </c>
      <c r="AS709" s="20">
        <v>8333.3333333333321</v>
      </c>
      <c r="AT709" s="20">
        <v>10144.870000000001</v>
      </c>
      <c r="AU709" s="20">
        <v>1811.5366666666687</v>
      </c>
      <c r="AV709" s="20">
        <v>707</v>
      </c>
      <c r="AW709" s="20">
        <v>0</v>
      </c>
      <c r="AX709" s="20">
        <v>20</v>
      </c>
      <c r="AY709" s="20">
        <v>727</v>
      </c>
      <c r="AZ709" s="20">
        <v>7.55</v>
      </c>
      <c r="BA709" s="20">
        <v>0</v>
      </c>
      <c r="BB709" s="6">
        <v>41750</v>
      </c>
      <c r="BC709" s="6">
        <v>41876</v>
      </c>
      <c r="BD709" s="6">
        <v>41879</v>
      </c>
      <c r="BE709" s="6">
        <v>41879</v>
      </c>
      <c r="BF709" s="6">
        <v>41912</v>
      </c>
      <c r="BG709" s="6">
        <v>0</v>
      </c>
      <c r="BH709" s="6">
        <v>0</v>
      </c>
      <c r="BI709" s="6">
        <v>0</v>
      </c>
      <c r="BJ709" s="6">
        <v>0</v>
      </c>
      <c r="BK709" s="4" t="s">
        <v>401</v>
      </c>
      <c r="BL709" s="4" t="s">
        <v>401</v>
      </c>
      <c r="BM709" s="20">
        <v>119</v>
      </c>
      <c r="BN709" s="20">
        <v>0</v>
      </c>
      <c r="BO709" s="20">
        <v>0</v>
      </c>
      <c r="BP709" s="20">
        <v>0</v>
      </c>
      <c r="BQ709" s="20">
        <v>0</v>
      </c>
      <c r="BR709" s="20">
        <v>0</v>
      </c>
      <c r="BS709" s="20">
        <v>120</v>
      </c>
      <c r="BT709" s="20">
        <v>1217384.4000000001</v>
      </c>
      <c r="BU709" s="20">
        <v>6600000</v>
      </c>
      <c r="BV709" s="20">
        <v>4.9285993807707724</v>
      </c>
    </row>
    <row r="710" spans="1:74">
      <c r="A710" s="10">
        <f t="shared" si="46"/>
        <v>0</v>
      </c>
      <c r="B710" s="10">
        <f t="shared" si="47"/>
        <v>0.5</v>
      </c>
      <c r="C710" s="12">
        <f t="shared" si="48"/>
        <v>4</v>
      </c>
      <c r="D710" s="12">
        <f t="shared" si="49"/>
        <v>9</v>
      </c>
      <c r="E710" s="20" t="s">
        <v>114</v>
      </c>
      <c r="F710" s="20" t="s">
        <v>671</v>
      </c>
      <c r="G710" s="20" t="s">
        <v>1344</v>
      </c>
      <c r="H710" s="20" t="s">
        <v>1345</v>
      </c>
      <c r="I710" s="20">
        <v>1</v>
      </c>
      <c r="J710" s="20" t="s">
        <v>1346</v>
      </c>
      <c r="K710" s="20" t="s">
        <v>1352</v>
      </c>
      <c r="L710" s="20" t="s">
        <v>1348</v>
      </c>
      <c r="M710" s="20" t="s">
        <v>671</v>
      </c>
      <c r="N710" s="20" t="s">
        <v>702</v>
      </c>
      <c r="P710" s="20" t="s">
        <v>671</v>
      </c>
      <c r="Q710" s="20" t="s">
        <v>673</v>
      </c>
      <c r="R710" s="20" t="s">
        <v>84</v>
      </c>
      <c r="S710" s="20">
        <v>5</v>
      </c>
      <c r="T710" s="20" t="s">
        <v>172</v>
      </c>
      <c r="U710" s="20" t="s">
        <v>173</v>
      </c>
      <c r="V710" s="20" t="s">
        <v>87</v>
      </c>
      <c r="W710" s="20">
        <v>518</v>
      </c>
      <c r="X710" s="20">
        <v>518</v>
      </c>
      <c r="Y710" s="20" t="s">
        <v>1349</v>
      </c>
      <c r="Z710" s="20">
        <v>0.5</v>
      </c>
      <c r="AA710" s="20" t="s">
        <v>1350</v>
      </c>
      <c r="AB710" s="20" t="s">
        <v>149</v>
      </c>
      <c r="AC710" s="20" t="s">
        <v>150</v>
      </c>
      <c r="AD710" s="20" t="s">
        <v>1351</v>
      </c>
      <c r="AE710" s="20" t="s">
        <v>91</v>
      </c>
      <c r="AF710" s="20">
        <v>0.5</v>
      </c>
      <c r="AG710" s="20" t="s">
        <v>2582</v>
      </c>
      <c r="AH710" s="20">
        <v>1</v>
      </c>
      <c r="AI710" s="4" t="s">
        <v>98</v>
      </c>
      <c r="AJ710" s="20">
        <v>60</v>
      </c>
      <c r="AK710" s="4" t="s">
        <v>111</v>
      </c>
      <c r="AL710" s="4">
        <v>11</v>
      </c>
      <c r="AM710" s="4">
        <v>11</v>
      </c>
      <c r="AN710" s="4" t="s">
        <v>95</v>
      </c>
      <c r="AO710" s="4" t="s">
        <v>96</v>
      </c>
      <c r="AP710" s="4">
        <v>1</v>
      </c>
      <c r="AQ710" s="20">
        <v>55000</v>
      </c>
      <c r="AR710" s="4">
        <v>41801</v>
      </c>
      <c r="AS710" s="20">
        <v>8333.3333333333321</v>
      </c>
      <c r="AT710" s="20">
        <v>9791.8700000000008</v>
      </c>
      <c r="AU710" s="20">
        <v>1458.5366666666687</v>
      </c>
      <c r="AV710" s="20">
        <v>354</v>
      </c>
      <c r="AW710" s="20">
        <v>0</v>
      </c>
      <c r="AX710" s="20">
        <v>20</v>
      </c>
      <c r="AY710" s="20">
        <v>374</v>
      </c>
      <c r="AZ710" s="20">
        <v>7.55</v>
      </c>
      <c r="BA710" s="20">
        <v>0</v>
      </c>
      <c r="BB710" s="6">
        <v>41750</v>
      </c>
      <c r="BC710" s="6">
        <v>41876</v>
      </c>
      <c r="BD710" s="6">
        <v>41879</v>
      </c>
      <c r="BE710" s="6">
        <v>41879</v>
      </c>
      <c r="BF710" s="6">
        <v>41912</v>
      </c>
      <c r="BG710" s="6">
        <v>0</v>
      </c>
      <c r="BH710" s="6">
        <v>0</v>
      </c>
      <c r="BI710" s="6">
        <v>0</v>
      </c>
      <c r="BJ710" s="6">
        <v>0</v>
      </c>
      <c r="BK710" s="4" t="s">
        <v>401</v>
      </c>
      <c r="BL710" s="4" t="s">
        <v>401</v>
      </c>
      <c r="BM710" s="20">
        <v>59</v>
      </c>
      <c r="BN710" s="20">
        <v>0</v>
      </c>
      <c r="BO710" s="20">
        <v>0</v>
      </c>
      <c r="BP710" s="20">
        <v>0</v>
      </c>
      <c r="BQ710" s="20">
        <v>0</v>
      </c>
      <c r="BR710" s="20">
        <v>0</v>
      </c>
      <c r="BS710" s="20">
        <v>60</v>
      </c>
      <c r="BT710" s="20">
        <v>587512.20000000007</v>
      </c>
      <c r="BU710" s="20">
        <v>3300000</v>
      </c>
      <c r="BV710" s="20">
        <v>5.1062769419937135</v>
      </c>
    </row>
    <row r="711" spans="1:74">
      <c r="A711" s="10">
        <f t="shared" si="46"/>
        <v>0</v>
      </c>
      <c r="B711" s="10">
        <f t="shared" si="47"/>
        <v>0.33333333333333331</v>
      </c>
      <c r="C711" s="12">
        <f t="shared" si="48"/>
        <v>4</v>
      </c>
      <c r="D711" s="12">
        <f t="shared" si="49"/>
        <v>9</v>
      </c>
      <c r="E711" s="20" t="s">
        <v>114</v>
      </c>
      <c r="F711" s="20" t="s">
        <v>671</v>
      </c>
      <c r="G711" s="20" t="s">
        <v>1344</v>
      </c>
      <c r="H711" s="20" t="s">
        <v>1353</v>
      </c>
      <c r="I711" s="20">
        <v>2</v>
      </c>
      <c r="J711" s="20" t="s">
        <v>1354</v>
      </c>
      <c r="K711" s="20" t="s">
        <v>1355</v>
      </c>
      <c r="L711" s="20" t="s">
        <v>1356</v>
      </c>
      <c r="M711" s="20" t="s">
        <v>671</v>
      </c>
      <c r="N711" s="20" t="s">
        <v>702</v>
      </c>
      <c r="P711" s="20" t="s">
        <v>671</v>
      </c>
      <c r="Q711" s="20" t="s">
        <v>673</v>
      </c>
      <c r="R711" s="20" t="s">
        <v>84</v>
      </c>
      <c r="S711" s="20">
        <v>5</v>
      </c>
      <c r="T711" s="20" t="s">
        <v>106</v>
      </c>
      <c r="U711" s="20" t="s">
        <v>107</v>
      </c>
      <c r="V711" s="20" t="s">
        <v>87</v>
      </c>
      <c r="W711" s="20">
        <v>519</v>
      </c>
      <c r="X711" s="20">
        <v>519</v>
      </c>
      <c r="Y711" s="20" t="s">
        <v>1357</v>
      </c>
      <c r="Z711" s="20">
        <v>0.33333333333333331</v>
      </c>
      <c r="AA711" s="20" t="s">
        <v>1358</v>
      </c>
      <c r="AB711" s="20" t="s">
        <v>89</v>
      </c>
      <c r="AC711" s="20" t="s">
        <v>90</v>
      </c>
      <c r="AD711" s="20" t="s">
        <v>1359</v>
      </c>
      <c r="AE711" s="20" t="s">
        <v>91</v>
      </c>
      <c r="AF711" s="20">
        <v>0.33333333333333331</v>
      </c>
      <c r="AG711" s="20" t="s">
        <v>2583</v>
      </c>
      <c r="AH711" s="20">
        <v>1</v>
      </c>
      <c r="AI711" s="4" t="s">
        <v>92</v>
      </c>
      <c r="AJ711" s="20">
        <v>400</v>
      </c>
      <c r="AK711" s="4" t="s">
        <v>111</v>
      </c>
      <c r="AL711" s="4">
        <v>11</v>
      </c>
      <c r="AM711" s="4">
        <v>11</v>
      </c>
      <c r="AN711" s="4" t="s">
        <v>95</v>
      </c>
      <c r="AO711" s="4" t="s">
        <v>96</v>
      </c>
      <c r="AP711" s="4">
        <v>1</v>
      </c>
      <c r="AQ711" s="20">
        <v>55000</v>
      </c>
      <c r="AR711" s="4">
        <v>41801</v>
      </c>
      <c r="AS711" s="20">
        <v>8333.3333333333321</v>
      </c>
      <c r="AT711" s="20">
        <v>9001.1</v>
      </c>
      <c r="AU711" s="20">
        <v>667.76666666666824</v>
      </c>
      <c r="AV711" s="20">
        <v>873</v>
      </c>
      <c r="AW711" s="20">
        <v>0</v>
      </c>
      <c r="AX711" s="20">
        <v>20</v>
      </c>
      <c r="AY711" s="20">
        <v>893</v>
      </c>
      <c r="AZ711" s="20">
        <v>6.5</v>
      </c>
      <c r="BA711" s="20">
        <v>0</v>
      </c>
      <c r="BB711" s="6">
        <v>41750</v>
      </c>
      <c r="BC711" s="6">
        <v>41876</v>
      </c>
      <c r="BD711" s="6">
        <v>41879</v>
      </c>
      <c r="BE711" s="6">
        <v>41879</v>
      </c>
      <c r="BF711" s="6">
        <v>41912</v>
      </c>
      <c r="BG711" s="6">
        <v>41940</v>
      </c>
      <c r="BH711" s="6">
        <v>0</v>
      </c>
      <c r="BI711" s="6">
        <v>0</v>
      </c>
      <c r="BJ711" s="6">
        <v>0</v>
      </c>
      <c r="BK711" s="4" t="s">
        <v>401</v>
      </c>
      <c r="BL711" s="4" t="s">
        <v>401</v>
      </c>
      <c r="BM711" s="20">
        <v>0</v>
      </c>
      <c r="BN711" s="20">
        <v>404</v>
      </c>
      <c r="BO711" s="20">
        <v>0</v>
      </c>
      <c r="BP711" s="20">
        <v>0</v>
      </c>
      <c r="BQ711" s="20">
        <v>0</v>
      </c>
      <c r="BR711" s="20">
        <v>0</v>
      </c>
      <c r="BS711" s="20">
        <v>400</v>
      </c>
      <c r="BT711" s="20">
        <v>3600440</v>
      </c>
      <c r="BU711" s="20">
        <v>22000000</v>
      </c>
      <c r="BV711" s="20">
        <v>5.5548766261901319</v>
      </c>
    </row>
    <row r="712" spans="1:74">
      <c r="A712" s="10">
        <f t="shared" si="46"/>
        <v>0</v>
      </c>
      <c r="B712" s="10">
        <f t="shared" si="47"/>
        <v>0.33333333333333331</v>
      </c>
      <c r="C712" s="12">
        <f t="shared" si="48"/>
        <v>4</v>
      </c>
      <c r="D712" s="12">
        <f t="shared" si="49"/>
        <v>9</v>
      </c>
      <c r="E712" s="20" t="s">
        <v>114</v>
      </c>
      <c r="F712" s="20" t="s">
        <v>671</v>
      </c>
      <c r="G712" s="20" t="s">
        <v>1344</v>
      </c>
      <c r="H712" s="20" t="s">
        <v>1353</v>
      </c>
      <c r="I712" s="20">
        <v>2</v>
      </c>
      <c r="J712" s="20" t="s">
        <v>1354</v>
      </c>
      <c r="K712" s="20" t="s">
        <v>1360</v>
      </c>
      <c r="L712" s="20" t="s">
        <v>1356</v>
      </c>
      <c r="M712" s="20" t="s">
        <v>671</v>
      </c>
      <c r="N712" s="20" t="s">
        <v>702</v>
      </c>
      <c r="P712" s="20" t="s">
        <v>671</v>
      </c>
      <c r="Q712" s="20" t="s">
        <v>673</v>
      </c>
      <c r="R712" s="20" t="s">
        <v>84</v>
      </c>
      <c r="S712" s="20">
        <v>5</v>
      </c>
      <c r="T712" s="20" t="s">
        <v>106</v>
      </c>
      <c r="U712" s="20" t="s">
        <v>107</v>
      </c>
      <c r="V712" s="20" t="s">
        <v>87</v>
      </c>
      <c r="W712" s="20">
        <v>519</v>
      </c>
      <c r="X712" s="20">
        <v>519</v>
      </c>
      <c r="Y712" s="20" t="s">
        <v>1357</v>
      </c>
      <c r="Z712" s="20">
        <v>0.33333333333333331</v>
      </c>
      <c r="AA712" s="20" t="s">
        <v>1358</v>
      </c>
      <c r="AB712" s="20" t="s">
        <v>89</v>
      </c>
      <c r="AC712" s="20" t="s">
        <v>90</v>
      </c>
      <c r="AD712" s="20" t="s">
        <v>1359</v>
      </c>
      <c r="AE712" s="20" t="s">
        <v>91</v>
      </c>
      <c r="AF712" s="20">
        <v>0.33333333333333331</v>
      </c>
      <c r="AG712" s="20" t="s">
        <v>2583</v>
      </c>
      <c r="AH712" s="20">
        <v>1</v>
      </c>
      <c r="AI712" s="4" t="s">
        <v>97</v>
      </c>
      <c r="AJ712" s="20">
        <v>100</v>
      </c>
      <c r="AK712" s="4" t="s">
        <v>111</v>
      </c>
      <c r="AL712" s="4">
        <v>11</v>
      </c>
      <c r="AM712" s="4">
        <v>11</v>
      </c>
      <c r="AN712" s="4" t="s">
        <v>95</v>
      </c>
      <c r="AO712" s="4" t="s">
        <v>96</v>
      </c>
      <c r="AP712" s="4">
        <v>1</v>
      </c>
      <c r="AQ712" s="20">
        <v>55000</v>
      </c>
      <c r="AR712" s="4">
        <v>41801</v>
      </c>
      <c r="AS712" s="20">
        <v>8333.3333333333321</v>
      </c>
      <c r="AT712" s="20">
        <v>8346.1</v>
      </c>
      <c r="AU712" s="20">
        <v>12.766666666668243</v>
      </c>
      <c r="AV712" s="20">
        <v>218</v>
      </c>
      <c r="AW712" s="20">
        <v>0</v>
      </c>
      <c r="AX712" s="20">
        <v>20</v>
      </c>
      <c r="AY712" s="20">
        <v>238</v>
      </c>
      <c r="AZ712" s="20">
        <v>6.5</v>
      </c>
      <c r="BA712" s="20">
        <v>0</v>
      </c>
      <c r="BB712" s="6">
        <v>41750</v>
      </c>
      <c r="BC712" s="6">
        <v>41876</v>
      </c>
      <c r="BD712" s="6">
        <v>41879</v>
      </c>
      <c r="BE712" s="6">
        <v>41879</v>
      </c>
      <c r="BF712" s="6">
        <v>41912</v>
      </c>
      <c r="BG712" s="6">
        <v>41940</v>
      </c>
      <c r="BH712" s="6">
        <v>0</v>
      </c>
      <c r="BI712" s="6">
        <v>0</v>
      </c>
      <c r="BJ712" s="6">
        <v>0</v>
      </c>
      <c r="BK712" s="4" t="s">
        <v>401</v>
      </c>
      <c r="BL712" s="4" t="s">
        <v>401</v>
      </c>
      <c r="BM712" s="20">
        <v>99</v>
      </c>
      <c r="BN712" s="20">
        <v>0</v>
      </c>
      <c r="BO712" s="20">
        <v>0</v>
      </c>
      <c r="BP712" s="20">
        <v>0</v>
      </c>
      <c r="BQ712" s="20">
        <v>0</v>
      </c>
      <c r="BR712" s="20">
        <v>0</v>
      </c>
      <c r="BS712" s="20">
        <v>100</v>
      </c>
      <c r="BT712" s="20">
        <v>834610</v>
      </c>
      <c r="BU712" s="20">
        <v>5500000</v>
      </c>
      <c r="BV712" s="20">
        <v>5.990822060603155</v>
      </c>
    </row>
    <row r="713" spans="1:74">
      <c r="A713" s="10">
        <f t="shared" si="46"/>
        <v>0</v>
      </c>
      <c r="B713" s="10">
        <f t="shared" si="47"/>
        <v>0.33333333333333331</v>
      </c>
      <c r="C713" s="12">
        <f t="shared" si="48"/>
        <v>4</v>
      </c>
      <c r="D713" s="12">
        <f t="shared" si="49"/>
        <v>9</v>
      </c>
      <c r="E713" s="20" t="s">
        <v>114</v>
      </c>
      <c r="F713" s="20" t="s">
        <v>671</v>
      </c>
      <c r="G713" s="20" t="s">
        <v>1344</v>
      </c>
      <c r="H713" s="20" t="s">
        <v>1353</v>
      </c>
      <c r="I713" s="20">
        <v>2</v>
      </c>
      <c r="J713" s="20" t="s">
        <v>1354</v>
      </c>
      <c r="K713" s="20" t="s">
        <v>1361</v>
      </c>
      <c r="L713" s="20" t="s">
        <v>1356</v>
      </c>
      <c r="M713" s="20" t="s">
        <v>671</v>
      </c>
      <c r="N713" s="20" t="s">
        <v>702</v>
      </c>
      <c r="P713" s="20" t="s">
        <v>671</v>
      </c>
      <c r="Q713" s="20" t="s">
        <v>673</v>
      </c>
      <c r="R713" s="20" t="s">
        <v>84</v>
      </c>
      <c r="S713" s="20">
        <v>5</v>
      </c>
      <c r="T713" s="20" t="s">
        <v>106</v>
      </c>
      <c r="U713" s="20" t="s">
        <v>107</v>
      </c>
      <c r="V713" s="20" t="s">
        <v>87</v>
      </c>
      <c r="W713" s="20">
        <v>519</v>
      </c>
      <c r="X713" s="20">
        <v>519</v>
      </c>
      <c r="Y713" s="20" t="s">
        <v>1357</v>
      </c>
      <c r="Z713" s="20">
        <v>0.33333333333333331</v>
      </c>
      <c r="AA713" s="20" t="s">
        <v>1358</v>
      </c>
      <c r="AB713" s="20" t="s">
        <v>89</v>
      </c>
      <c r="AC713" s="20" t="s">
        <v>90</v>
      </c>
      <c r="AD713" s="20" t="s">
        <v>1359</v>
      </c>
      <c r="AE713" s="20" t="s">
        <v>91</v>
      </c>
      <c r="AF713" s="20">
        <v>0.33333333333333331</v>
      </c>
      <c r="AG713" s="20" t="s">
        <v>2583</v>
      </c>
      <c r="AH713" s="20">
        <v>1</v>
      </c>
      <c r="AI713" s="4" t="s">
        <v>98</v>
      </c>
      <c r="AJ713" s="20">
        <v>50</v>
      </c>
      <c r="AK713" s="4" t="s">
        <v>111</v>
      </c>
      <c r="AL713" s="4">
        <v>11</v>
      </c>
      <c r="AM713" s="4">
        <v>11</v>
      </c>
      <c r="AN713" s="4" t="s">
        <v>95</v>
      </c>
      <c r="AO713" s="4" t="s">
        <v>96</v>
      </c>
      <c r="AP713" s="4">
        <v>1</v>
      </c>
      <c r="AQ713" s="20">
        <v>55000</v>
      </c>
      <c r="AR713" s="4">
        <v>41801</v>
      </c>
      <c r="AS713" s="20">
        <v>8333.3333333333321</v>
      </c>
      <c r="AT713" s="20">
        <v>8237.1</v>
      </c>
      <c r="AU713" s="20">
        <v>-96.233333333331757</v>
      </c>
      <c r="AV713" s="20">
        <v>109</v>
      </c>
      <c r="AW713" s="20">
        <v>0</v>
      </c>
      <c r="AX713" s="20">
        <v>20</v>
      </c>
      <c r="AY713" s="20">
        <v>129</v>
      </c>
      <c r="AZ713" s="20">
        <v>6.5</v>
      </c>
      <c r="BA713" s="20">
        <v>0</v>
      </c>
      <c r="BB713" s="6">
        <v>41750</v>
      </c>
      <c r="BC713" s="6">
        <v>41876</v>
      </c>
      <c r="BD713" s="6">
        <v>41879</v>
      </c>
      <c r="BE713" s="6">
        <v>41879</v>
      </c>
      <c r="BF713" s="6">
        <v>41912</v>
      </c>
      <c r="BG713" s="6">
        <v>41940</v>
      </c>
      <c r="BH713" s="6">
        <v>0</v>
      </c>
      <c r="BI713" s="6">
        <v>0</v>
      </c>
      <c r="BJ713" s="6">
        <v>0</v>
      </c>
      <c r="BK713" s="4" t="s">
        <v>401</v>
      </c>
      <c r="BL713" s="4" t="s">
        <v>401</v>
      </c>
      <c r="BM713" s="20">
        <v>50</v>
      </c>
      <c r="BN713" s="20">
        <v>0</v>
      </c>
      <c r="BO713" s="20">
        <v>0</v>
      </c>
      <c r="BP713" s="20">
        <v>0</v>
      </c>
      <c r="BQ713" s="20">
        <v>0</v>
      </c>
      <c r="BR713" s="20">
        <v>0</v>
      </c>
      <c r="BS713" s="20">
        <v>50</v>
      </c>
      <c r="BT713" s="20">
        <v>411855</v>
      </c>
      <c r="BU713" s="20">
        <v>2750000</v>
      </c>
      <c r="BV713" s="20">
        <v>6.0700974857656202</v>
      </c>
    </row>
    <row r="714" spans="1:74">
      <c r="A714" s="10">
        <f t="shared" si="46"/>
        <v>0</v>
      </c>
      <c r="B714" s="10">
        <f t="shared" si="47"/>
        <v>0.5</v>
      </c>
      <c r="C714" s="12">
        <f t="shared" si="48"/>
        <v>4</v>
      </c>
      <c r="D714" s="12">
        <f t="shared" si="49"/>
        <v>11</v>
      </c>
      <c r="E714" s="20" t="s">
        <v>114</v>
      </c>
      <c r="F714" s="20" t="s">
        <v>671</v>
      </c>
      <c r="G714" s="20" t="s">
        <v>1344</v>
      </c>
      <c r="H714" s="20" t="s">
        <v>1362</v>
      </c>
      <c r="I714" s="20">
        <v>3</v>
      </c>
      <c r="J714" s="20" t="s">
        <v>1363</v>
      </c>
      <c r="K714" s="20" t="s">
        <v>1364</v>
      </c>
      <c r="L714" s="20" t="s">
        <v>1365</v>
      </c>
      <c r="M714" s="20" t="s">
        <v>671</v>
      </c>
      <c r="N714" s="20" t="s">
        <v>702</v>
      </c>
      <c r="P714" s="20" t="s">
        <v>671</v>
      </c>
      <c r="Q714" s="20" t="s">
        <v>673</v>
      </c>
      <c r="R714" s="20" t="s">
        <v>84</v>
      </c>
      <c r="S714" s="20">
        <v>5</v>
      </c>
      <c r="T714" s="20" t="s">
        <v>106</v>
      </c>
      <c r="U714" s="20" t="s">
        <v>107</v>
      </c>
      <c r="V714" s="20" t="s">
        <v>87</v>
      </c>
      <c r="W714" s="20">
        <v>520</v>
      </c>
      <c r="X714" s="20">
        <v>520</v>
      </c>
      <c r="Y714" s="20" t="s">
        <v>1366</v>
      </c>
      <c r="Z714" s="20">
        <v>0.5</v>
      </c>
      <c r="AA714" s="20" t="s">
        <v>1367</v>
      </c>
      <c r="AB714" s="20" t="s">
        <v>139</v>
      </c>
      <c r="AC714" s="20" t="s">
        <v>140</v>
      </c>
      <c r="AD714" s="20" t="s">
        <v>1368</v>
      </c>
      <c r="AE714" s="20" t="s">
        <v>91</v>
      </c>
      <c r="AF714" s="20">
        <v>0.5</v>
      </c>
      <c r="AG714" s="20" t="s">
        <v>2584</v>
      </c>
      <c r="AH714" s="20">
        <v>1</v>
      </c>
      <c r="AI714" s="4" t="s">
        <v>97</v>
      </c>
      <c r="AJ714" s="20">
        <v>120</v>
      </c>
      <c r="AK714" s="4" t="s">
        <v>111</v>
      </c>
      <c r="AL714" s="4">
        <v>11</v>
      </c>
      <c r="AM714" s="4">
        <v>11</v>
      </c>
      <c r="AN714" s="4" t="s">
        <v>95</v>
      </c>
      <c r="AO714" s="4" t="s">
        <v>96</v>
      </c>
      <c r="AP714" s="4">
        <v>1</v>
      </c>
      <c r="AQ714" s="20">
        <v>55000</v>
      </c>
      <c r="AR714" s="4">
        <v>41801</v>
      </c>
      <c r="AS714" s="20">
        <v>8333.3333333333321</v>
      </c>
      <c r="AT714" s="20">
        <v>8443.1</v>
      </c>
      <c r="AU714" s="20">
        <v>109.76666666666824</v>
      </c>
      <c r="AV714" s="20">
        <v>315</v>
      </c>
      <c r="AW714" s="20">
        <v>0</v>
      </c>
      <c r="AX714" s="20">
        <v>20</v>
      </c>
      <c r="AY714" s="20">
        <v>335</v>
      </c>
      <c r="AZ714" s="20">
        <v>6.5</v>
      </c>
      <c r="BA714" s="20">
        <v>0</v>
      </c>
      <c r="BB714" s="6">
        <v>41750</v>
      </c>
      <c r="BC714" s="6">
        <v>41876</v>
      </c>
      <c r="BD714" s="6">
        <v>41879</v>
      </c>
      <c r="BE714" s="6">
        <v>41879</v>
      </c>
      <c r="BF714" s="6">
        <v>41950</v>
      </c>
      <c r="BG714" s="6">
        <v>0</v>
      </c>
      <c r="BH714" s="6">
        <v>0</v>
      </c>
      <c r="BI714" s="6">
        <v>0</v>
      </c>
      <c r="BJ714" s="6">
        <v>0</v>
      </c>
      <c r="BK714" s="4" t="s">
        <v>401</v>
      </c>
      <c r="BL714" s="4" t="s">
        <v>401</v>
      </c>
      <c r="BM714" s="20">
        <v>115</v>
      </c>
      <c r="BN714" s="20">
        <v>0</v>
      </c>
      <c r="BO714" s="20">
        <v>0</v>
      </c>
      <c r="BP714" s="20">
        <v>0</v>
      </c>
      <c r="BQ714" s="20">
        <v>0</v>
      </c>
      <c r="BR714" s="20">
        <v>0</v>
      </c>
      <c r="BS714" s="20">
        <v>120</v>
      </c>
      <c r="BT714" s="20">
        <v>1013172</v>
      </c>
      <c r="BU714" s="20">
        <v>6600000</v>
      </c>
      <c r="BV714" s="20">
        <v>5.9219954755954554</v>
      </c>
    </row>
    <row r="715" spans="1:74">
      <c r="A715" s="10">
        <f t="shared" si="46"/>
        <v>0</v>
      </c>
      <c r="B715" s="10">
        <f t="shared" si="47"/>
        <v>0.5</v>
      </c>
      <c r="C715" s="12">
        <f t="shared" si="48"/>
        <v>4</v>
      </c>
      <c r="D715" s="12">
        <f t="shared" si="49"/>
        <v>11</v>
      </c>
      <c r="E715" s="20" t="s">
        <v>114</v>
      </c>
      <c r="F715" s="20" t="s">
        <v>671</v>
      </c>
      <c r="G715" s="20" t="s">
        <v>1344</v>
      </c>
      <c r="H715" s="20" t="s">
        <v>1362</v>
      </c>
      <c r="I715" s="20">
        <v>3</v>
      </c>
      <c r="J715" s="20" t="s">
        <v>1363</v>
      </c>
      <c r="K715" s="20" t="s">
        <v>1369</v>
      </c>
      <c r="L715" s="20" t="s">
        <v>1365</v>
      </c>
      <c r="M715" s="20" t="s">
        <v>671</v>
      </c>
      <c r="N715" s="20" t="s">
        <v>702</v>
      </c>
      <c r="P715" s="20" t="s">
        <v>671</v>
      </c>
      <c r="Q715" s="20" t="s">
        <v>673</v>
      </c>
      <c r="R715" s="20" t="s">
        <v>84</v>
      </c>
      <c r="S715" s="20">
        <v>5</v>
      </c>
      <c r="T715" s="20" t="s">
        <v>106</v>
      </c>
      <c r="U715" s="20" t="s">
        <v>107</v>
      </c>
      <c r="V715" s="20" t="s">
        <v>87</v>
      </c>
      <c r="W715" s="20">
        <v>520</v>
      </c>
      <c r="X715" s="20">
        <v>520</v>
      </c>
      <c r="Y715" s="20" t="s">
        <v>1366</v>
      </c>
      <c r="Z715" s="20">
        <v>0.5</v>
      </c>
      <c r="AA715" s="20" t="s">
        <v>1367</v>
      </c>
      <c r="AB715" s="20" t="s">
        <v>139</v>
      </c>
      <c r="AC715" s="20" t="s">
        <v>140</v>
      </c>
      <c r="AD715" s="20" t="s">
        <v>1368</v>
      </c>
      <c r="AE715" s="20" t="s">
        <v>91</v>
      </c>
      <c r="AF715" s="20">
        <v>0.5</v>
      </c>
      <c r="AG715" s="20" t="s">
        <v>2584</v>
      </c>
      <c r="AH715" s="20">
        <v>1</v>
      </c>
      <c r="AI715" s="4" t="s">
        <v>98</v>
      </c>
      <c r="AJ715" s="20">
        <v>60</v>
      </c>
      <c r="AK715" s="4" t="s">
        <v>111</v>
      </c>
      <c r="AL715" s="4">
        <v>11</v>
      </c>
      <c r="AM715" s="4">
        <v>11</v>
      </c>
      <c r="AN715" s="4" t="s">
        <v>95</v>
      </c>
      <c r="AO715" s="4" t="s">
        <v>96</v>
      </c>
      <c r="AP715" s="4">
        <v>1</v>
      </c>
      <c r="AQ715" s="20">
        <v>55000</v>
      </c>
      <c r="AR715" s="4">
        <v>41801</v>
      </c>
      <c r="AS715" s="20">
        <v>8333.3333333333321</v>
      </c>
      <c r="AT715" s="20">
        <v>8285.1</v>
      </c>
      <c r="AU715" s="20">
        <v>-48.233333333331757</v>
      </c>
      <c r="AV715" s="20">
        <v>157</v>
      </c>
      <c r="AW715" s="20">
        <v>0</v>
      </c>
      <c r="AX715" s="20">
        <v>20</v>
      </c>
      <c r="AY715" s="20">
        <v>177</v>
      </c>
      <c r="AZ715" s="20">
        <v>6.5</v>
      </c>
      <c r="BA715" s="20">
        <v>0</v>
      </c>
      <c r="BB715" s="6">
        <v>41750</v>
      </c>
      <c r="BC715" s="6">
        <v>41876</v>
      </c>
      <c r="BD715" s="6">
        <v>41879</v>
      </c>
      <c r="BE715" s="6">
        <v>41879</v>
      </c>
      <c r="BF715" s="6">
        <v>41950</v>
      </c>
      <c r="BG715" s="6">
        <v>0</v>
      </c>
      <c r="BH715" s="6">
        <v>0</v>
      </c>
      <c r="BI715" s="6">
        <v>0</v>
      </c>
      <c r="BJ715" s="6">
        <v>0</v>
      </c>
      <c r="BK715" s="4" t="s">
        <v>401</v>
      </c>
      <c r="BL715" s="4" t="s">
        <v>401</v>
      </c>
      <c r="BM715" s="20">
        <v>60</v>
      </c>
      <c r="BN715" s="20">
        <v>0</v>
      </c>
      <c r="BO715" s="20">
        <v>0</v>
      </c>
      <c r="BP715" s="20">
        <v>0</v>
      </c>
      <c r="BQ715" s="20">
        <v>0</v>
      </c>
      <c r="BR715" s="20">
        <v>0</v>
      </c>
      <c r="BS715" s="20">
        <v>60</v>
      </c>
      <c r="BT715" s="20">
        <v>497106</v>
      </c>
      <c r="BU715" s="20">
        <v>3300000</v>
      </c>
      <c r="BV715" s="20">
        <v>6.0349301758578644</v>
      </c>
    </row>
    <row r="716" spans="1:74">
      <c r="A716" s="10">
        <f t="shared" si="46"/>
        <v>0</v>
      </c>
      <c r="B716" s="10">
        <f t="shared" si="47"/>
        <v>0.5</v>
      </c>
      <c r="C716" s="12">
        <f t="shared" si="48"/>
        <v>4</v>
      </c>
      <c r="D716" s="12">
        <f t="shared" si="49"/>
        <v>11</v>
      </c>
      <c r="E716" s="20" t="s">
        <v>114</v>
      </c>
      <c r="F716" s="20" t="s">
        <v>671</v>
      </c>
      <c r="G716" s="20" t="s">
        <v>1344</v>
      </c>
      <c r="H716" s="20" t="s">
        <v>1370</v>
      </c>
      <c r="I716" s="20">
        <v>4</v>
      </c>
      <c r="J716" s="20" t="s">
        <v>1371</v>
      </c>
      <c r="K716" s="20" t="s">
        <v>1372</v>
      </c>
      <c r="L716" s="20" t="s">
        <v>1373</v>
      </c>
      <c r="M716" s="20" t="s">
        <v>671</v>
      </c>
      <c r="N716" s="20" t="s">
        <v>702</v>
      </c>
      <c r="P716" s="20" t="s">
        <v>671</v>
      </c>
      <c r="Q716" s="20" t="s">
        <v>673</v>
      </c>
      <c r="R716" s="20" t="s">
        <v>84</v>
      </c>
      <c r="S716" s="20">
        <v>5</v>
      </c>
      <c r="T716" s="20" t="s">
        <v>106</v>
      </c>
      <c r="U716" s="20" t="s">
        <v>107</v>
      </c>
      <c r="V716" s="20" t="s">
        <v>87</v>
      </c>
      <c r="W716" s="20">
        <v>521</v>
      </c>
      <c r="X716" s="20">
        <v>521</v>
      </c>
      <c r="Y716" s="20" t="s">
        <v>1374</v>
      </c>
      <c r="Z716" s="20">
        <v>0.5</v>
      </c>
      <c r="AA716" s="20" t="s">
        <v>1375</v>
      </c>
      <c r="AB716" s="20" t="s">
        <v>176</v>
      </c>
      <c r="AC716" s="20" t="s">
        <v>177</v>
      </c>
      <c r="AD716" s="20" t="s">
        <v>1376</v>
      </c>
      <c r="AE716" s="20" t="s">
        <v>91</v>
      </c>
      <c r="AF716" s="20">
        <v>0.5</v>
      </c>
      <c r="AG716" s="20" t="s">
        <v>2585</v>
      </c>
      <c r="AH716" s="20">
        <v>1</v>
      </c>
      <c r="AI716" s="4" t="s">
        <v>97</v>
      </c>
      <c r="AJ716" s="20">
        <v>120</v>
      </c>
      <c r="AK716" s="4" t="s">
        <v>111</v>
      </c>
      <c r="AL716" s="4">
        <v>11</v>
      </c>
      <c r="AM716" s="4">
        <v>11</v>
      </c>
      <c r="AN716" s="4" t="s">
        <v>95</v>
      </c>
      <c r="AO716" s="4" t="s">
        <v>96</v>
      </c>
      <c r="AP716" s="4">
        <v>1</v>
      </c>
      <c r="AQ716" s="20">
        <v>55000</v>
      </c>
      <c r="AR716" s="4">
        <v>41801</v>
      </c>
      <c r="AS716" s="20">
        <v>8333.3333333333321</v>
      </c>
      <c r="AT716" s="20">
        <v>9682.61</v>
      </c>
      <c r="AU716" s="20">
        <v>1349.2766666666685</v>
      </c>
      <c r="AV716" s="20">
        <v>120</v>
      </c>
      <c r="AW716" s="20">
        <v>0</v>
      </c>
      <c r="AX716" s="20">
        <v>20</v>
      </c>
      <c r="AY716" s="20">
        <v>140</v>
      </c>
      <c r="AZ716" s="20">
        <v>7.65</v>
      </c>
      <c r="BA716" s="20">
        <v>0</v>
      </c>
      <c r="BB716" s="6">
        <v>41750</v>
      </c>
      <c r="BC716" s="6">
        <v>41876</v>
      </c>
      <c r="BD716" s="6">
        <v>41879</v>
      </c>
      <c r="BE716" s="6">
        <v>41879</v>
      </c>
      <c r="BF716" s="6">
        <v>41950</v>
      </c>
      <c r="BG716" s="6">
        <v>0</v>
      </c>
      <c r="BH716" s="6">
        <v>0</v>
      </c>
      <c r="BI716" s="6">
        <v>0</v>
      </c>
      <c r="BJ716" s="6">
        <v>0</v>
      </c>
      <c r="BK716" s="4" t="s">
        <v>401</v>
      </c>
      <c r="BL716" s="4" t="s">
        <v>401</v>
      </c>
      <c r="BM716" s="20">
        <v>120</v>
      </c>
      <c r="BN716" s="20">
        <v>0</v>
      </c>
      <c r="BO716" s="20">
        <v>0</v>
      </c>
      <c r="BP716" s="20">
        <v>0</v>
      </c>
      <c r="BQ716" s="20">
        <v>0</v>
      </c>
      <c r="BR716" s="20">
        <v>0</v>
      </c>
      <c r="BS716" s="20">
        <v>120</v>
      </c>
      <c r="BT716" s="20">
        <v>1161913.2000000002</v>
      </c>
      <c r="BU716" s="20">
        <v>6600000</v>
      </c>
      <c r="BV716" s="20">
        <v>5.1638969244862691</v>
      </c>
    </row>
    <row r="717" spans="1:74">
      <c r="A717" s="10">
        <f t="shared" si="46"/>
        <v>0</v>
      </c>
      <c r="B717" s="10">
        <f t="shared" si="47"/>
        <v>0.5</v>
      </c>
      <c r="C717" s="12">
        <f t="shared" si="48"/>
        <v>4</v>
      </c>
      <c r="D717" s="12">
        <f t="shared" si="49"/>
        <v>11</v>
      </c>
      <c r="E717" s="20" t="s">
        <v>114</v>
      </c>
      <c r="F717" s="20" t="s">
        <v>671</v>
      </c>
      <c r="G717" s="20" t="s">
        <v>1344</v>
      </c>
      <c r="H717" s="20" t="s">
        <v>1370</v>
      </c>
      <c r="I717" s="20">
        <v>4</v>
      </c>
      <c r="J717" s="20" t="s">
        <v>1371</v>
      </c>
      <c r="K717" s="20" t="s">
        <v>1377</v>
      </c>
      <c r="L717" s="20" t="s">
        <v>1373</v>
      </c>
      <c r="M717" s="20" t="s">
        <v>671</v>
      </c>
      <c r="N717" s="20" t="s">
        <v>702</v>
      </c>
      <c r="P717" s="20" t="s">
        <v>671</v>
      </c>
      <c r="Q717" s="20" t="s">
        <v>673</v>
      </c>
      <c r="R717" s="20" t="s">
        <v>84</v>
      </c>
      <c r="S717" s="20">
        <v>5</v>
      </c>
      <c r="T717" s="20" t="s">
        <v>106</v>
      </c>
      <c r="U717" s="20" t="s">
        <v>107</v>
      </c>
      <c r="V717" s="20" t="s">
        <v>87</v>
      </c>
      <c r="W717" s="20">
        <v>521</v>
      </c>
      <c r="X717" s="20">
        <v>521</v>
      </c>
      <c r="Y717" s="20" t="s">
        <v>1374</v>
      </c>
      <c r="Z717" s="20">
        <v>0.5</v>
      </c>
      <c r="AA717" s="20" t="s">
        <v>1375</v>
      </c>
      <c r="AB717" s="20" t="s">
        <v>176</v>
      </c>
      <c r="AC717" s="20" t="s">
        <v>177</v>
      </c>
      <c r="AD717" s="20" t="s">
        <v>1376</v>
      </c>
      <c r="AE717" s="20" t="s">
        <v>91</v>
      </c>
      <c r="AF717" s="20">
        <v>0.5</v>
      </c>
      <c r="AG717" s="20" t="s">
        <v>2585</v>
      </c>
      <c r="AH717" s="20">
        <v>1</v>
      </c>
      <c r="AI717" s="4" t="s">
        <v>98</v>
      </c>
      <c r="AJ717" s="20">
        <v>60</v>
      </c>
      <c r="AK717" s="4" t="s">
        <v>111</v>
      </c>
      <c r="AL717" s="4">
        <v>11</v>
      </c>
      <c r="AM717" s="4">
        <v>11</v>
      </c>
      <c r="AN717" s="4" t="s">
        <v>95</v>
      </c>
      <c r="AO717" s="4" t="s">
        <v>96</v>
      </c>
      <c r="AP717" s="4">
        <v>1</v>
      </c>
      <c r="AQ717" s="20">
        <v>55000</v>
      </c>
      <c r="AR717" s="4">
        <v>41801</v>
      </c>
      <c r="AS717" s="20">
        <v>8333.3333333333321</v>
      </c>
      <c r="AT717" s="20">
        <v>9622.61</v>
      </c>
      <c r="AU717" s="20">
        <v>1289.2766666666685</v>
      </c>
      <c r="AV717" s="20">
        <v>60</v>
      </c>
      <c r="AW717" s="20">
        <v>0</v>
      </c>
      <c r="AX717" s="20">
        <v>20</v>
      </c>
      <c r="AY717" s="20">
        <v>80</v>
      </c>
      <c r="AZ717" s="20">
        <v>7.65</v>
      </c>
      <c r="BA717" s="20">
        <v>0</v>
      </c>
      <c r="BB717" s="6">
        <v>41750</v>
      </c>
      <c r="BC717" s="6">
        <v>41876</v>
      </c>
      <c r="BD717" s="6">
        <v>41879</v>
      </c>
      <c r="BE717" s="6">
        <v>41879</v>
      </c>
      <c r="BF717" s="6">
        <v>41950</v>
      </c>
      <c r="BG717" s="6">
        <v>0</v>
      </c>
      <c r="BH717" s="6">
        <v>0</v>
      </c>
      <c r="BI717" s="6">
        <v>0</v>
      </c>
      <c r="BJ717" s="6">
        <v>0</v>
      </c>
      <c r="BK717" s="4" t="s">
        <v>401</v>
      </c>
      <c r="BL717" s="4" t="s">
        <v>401</v>
      </c>
      <c r="BM717" s="20">
        <v>60</v>
      </c>
      <c r="BN717" s="20">
        <v>0</v>
      </c>
      <c r="BO717" s="20">
        <v>0</v>
      </c>
      <c r="BP717" s="20">
        <v>0</v>
      </c>
      <c r="BQ717" s="20">
        <v>0</v>
      </c>
      <c r="BR717" s="20">
        <v>0</v>
      </c>
      <c r="BS717" s="20">
        <v>60</v>
      </c>
      <c r="BT717" s="20">
        <v>577356.60000000009</v>
      </c>
      <c r="BU717" s="20">
        <v>3300000</v>
      </c>
      <c r="BV717" s="20">
        <v>5.1960954460380284</v>
      </c>
    </row>
    <row r="718" spans="1:74">
      <c r="A718" s="10">
        <f t="shared" si="46"/>
        <v>0</v>
      </c>
      <c r="B718" s="10">
        <f t="shared" si="47"/>
        <v>0</v>
      </c>
      <c r="C718" s="12" t="str">
        <f t="shared" si="48"/>
        <v/>
      </c>
      <c r="D718" s="12" t="str">
        <f t="shared" si="49"/>
        <v/>
      </c>
      <c r="E718" s="20" t="s">
        <v>91</v>
      </c>
      <c r="F718" s="20" t="s">
        <v>91</v>
      </c>
      <c r="G718" s="20" t="s">
        <v>91</v>
      </c>
      <c r="H718" s="20" t="s">
        <v>91</v>
      </c>
      <c r="I718" s="20">
        <v>0</v>
      </c>
      <c r="J718" s="20" t="s">
        <v>103</v>
      </c>
      <c r="K718" s="20" t="s">
        <v>104</v>
      </c>
      <c r="L718" s="20">
        <v>0</v>
      </c>
      <c r="M718" s="20" t="s">
        <v>105</v>
      </c>
      <c r="N718" s="20" t="s">
        <v>91</v>
      </c>
      <c r="O718" s="20" t="s">
        <v>1378</v>
      </c>
      <c r="Q718" s="20" t="s">
        <v>91</v>
      </c>
      <c r="R718" s="20" t="s">
        <v>91</v>
      </c>
      <c r="S718" s="20" t="s">
        <v>91</v>
      </c>
      <c r="U718" s="20" t="s">
        <v>91</v>
      </c>
      <c r="V718" s="20" t="s">
        <v>87</v>
      </c>
      <c r="X718" s="20" t="s">
        <v>91</v>
      </c>
      <c r="Y718" s="20" t="s">
        <v>91</v>
      </c>
      <c r="Z718" s="20">
        <v>4</v>
      </c>
      <c r="AB718" s="20" t="s">
        <v>91</v>
      </c>
      <c r="AD718" s="20" t="s">
        <v>91</v>
      </c>
      <c r="AE718" s="20" t="s">
        <v>91</v>
      </c>
      <c r="AF718" s="20">
        <v>4</v>
      </c>
      <c r="AG718" s="20">
        <v>0</v>
      </c>
      <c r="AH718" s="20">
        <v>1</v>
      </c>
      <c r="AM718" s="4" t="s">
        <v>91</v>
      </c>
      <c r="AP718" s="4" t="s">
        <v>91</v>
      </c>
      <c r="AQ718" s="20">
        <v>0</v>
      </c>
      <c r="AR718" s="4">
        <v>0</v>
      </c>
      <c r="AS718" s="20">
        <v>0</v>
      </c>
      <c r="AT718" s="20">
        <v>0</v>
      </c>
      <c r="AU718" s="20">
        <v>0</v>
      </c>
      <c r="AV718" s="20">
        <v>0</v>
      </c>
      <c r="AW718" s="20">
        <v>0</v>
      </c>
      <c r="AY718" s="20">
        <v>0</v>
      </c>
      <c r="AZ718" s="20">
        <v>7.95</v>
      </c>
      <c r="BA718" s="20">
        <v>0</v>
      </c>
      <c r="BB718" s="6">
        <v>0</v>
      </c>
      <c r="BC718" s="6">
        <v>0</v>
      </c>
      <c r="BD718" s="6">
        <v>0</v>
      </c>
      <c r="BE718" s="6">
        <v>0</v>
      </c>
      <c r="BF718" s="6">
        <v>0</v>
      </c>
      <c r="BG718" s="6">
        <v>0</v>
      </c>
      <c r="BH718" s="6">
        <v>0</v>
      </c>
      <c r="BI718" s="6">
        <v>0</v>
      </c>
      <c r="BJ718" s="6">
        <v>0</v>
      </c>
      <c r="BK718" s="4">
        <v>0</v>
      </c>
      <c r="BL718" s="4">
        <v>0</v>
      </c>
      <c r="BM718" s="20">
        <v>682</v>
      </c>
      <c r="BN718" s="20">
        <v>404</v>
      </c>
      <c r="BO718" s="20">
        <v>0</v>
      </c>
      <c r="BP718" s="20">
        <v>0</v>
      </c>
      <c r="BQ718" s="20">
        <v>0</v>
      </c>
      <c r="BR718" s="20">
        <v>0</v>
      </c>
      <c r="BS718" s="20">
        <v>1090</v>
      </c>
      <c r="BT718" s="20">
        <v>9901349.4000000004</v>
      </c>
      <c r="BU718" s="20">
        <v>59950000</v>
      </c>
      <c r="BV718" s="20">
        <v>5.5043002522464253</v>
      </c>
    </row>
    <row r="719" spans="1:74">
      <c r="A719" s="10">
        <f t="shared" si="46"/>
        <v>0</v>
      </c>
      <c r="B719" s="10">
        <f t="shared" si="47"/>
        <v>0.5</v>
      </c>
      <c r="C719" s="12">
        <f t="shared" si="48"/>
        <v>4</v>
      </c>
      <c r="D719" s="12">
        <f t="shared" si="49"/>
        <v>11</v>
      </c>
      <c r="E719" s="20" t="s">
        <v>114</v>
      </c>
      <c r="F719" s="20" t="s">
        <v>671</v>
      </c>
      <c r="G719" s="20" t="s">
        <v>1379</v>
      </c>
      <c r="H719" s="20" t="s">
        <v>1380</v>
      </c>
      <c r="I719" s="20">
        <v>1</v>
      </c>
      <c r="J719" s="20" t="s">
        <v>1381</v>
      </c>
      <c r="K719" s="20" t="s">
        <v>1382</v>
      </c>
      <c r="L719" s="20" t="s">
        <v>1383</v>
      </c>
      <c r="M719" s="20" t="s">
        <v>671</v>
      </c>
      <c r="N719" s="20" t="s">
        <v>702</v>
      </c>
      <c r="P719" s="20" t="s">
        <v>671</v>
      </c>
      <c r="Q719" s="20" t="s">
        <v>673</v>
      </c>
      <c r="R719" s="20" t="s">
        <v>84</v>
      </c>
      <c r="S719" s="20">
        <v>5</v>
      </c>
      <c r="T719" s="20" t="s">
        <v>480</v>
      </c>
      <c r="U719" s="20" t="s">
        <v>481</v>
      </c>
      <c r="V719" s="20" t="s">
        <v>87</v>
      </c>
      <c r="W719" s="20">
        <v>514</v>
      </c>
      <c r="X719" s="20">
        <v>514</v>
      </c>
      <c r="Y719" s="20" t="s">
        <v>1384</v>
      </c>
      <c r="Z719" s="20">
        <v>0.5</v>
      </c>
      <c r="AA719" s="20" t="s">
        <v>1385</v>
      </c>
      <c r="AB719" s="20" t="s">
        <v>159</v>
      </c>
      <c r="AC719" s="20" t="s">
        <v>160</v>
      </c>
      <c r="AD719" s="20" t="s">
        <v>1386</v>
      </c>
      <c r="AE719" s="20" t="s">
        <v>91</v>
      </c>
      <c r="AF719" s="20">
        <v>1</v>
      </c>
      <c r="AG719" s="20" t="s">
        <v>2586</v>
      </c>
      <c r="AH719" s="20">
        <v>1</v>
      </c>
      <c r="AI719" s="4" t="s">
        <v>251</v>
      </c>
      <c r="AJ719" s="20">
        <v>120</v>
      </c>
      <c r="AK719" s="4" t="s">
        <v>111</v>
      </c>
      <c r="AL719" s="4">
        <v>14</v>
      </c>
      <c r="AM719" s="4">
        <v>14</v>
      </c>
      <c r="AN719" s="4" t="s">
        <v>95</v>
      </c>
      <c r="AO719" s="4" t="s">
        <v>96</v>
      </c>
      <c r="AP719" s="4">
        <v>1</v>
      </c>
      <c r="AQ719" s="20">
        <v>59000</v>
      </c>
      <c r="AR719" s="4">
        <v>41801</v>
      </c>
      <c r="AS719" s="20">
        <v>8939.3939393939381</v>
      </c>
      <c r="AT719" s="20">
        <v>11330.83</v>
      </c>
      <c r="AU719" s="20">
        <v>2391.4360606060618</v>
      </c>
      <c r="AV719" s="20">
        <v>1304</v>
      </c>
      <c r="AW719" s="20">
        <v>90</v>
      </c>
      <c r="AX719" s="20">
        <v>20</v>
      </c>
      <c r="AY719" s="20">
        <v>1414</v>
      </c>
      <c r="AZ719" s="20">
        <v>7.95</v>
      </c>
      <c r="BA719" s="20">
        <v>0</v>
      </c>
      <c r="BB719" s="6">
        <v>41750</v>
      </c>
      <c r="BC719" s="6">
        <v>41904</v>
      </c>
      <c r="BD719" s="6">
        <v>41907</v>
      </c>
      <c r="BE719" s="6">
        <v>41907</v>
      </c>
      <c r="BF719" s="6">
        <v>41950</v>
      </c>
      <c r="BG719" s="6">
        <v>0</v>
      </c>
      <c r="BH719" s="6">
        <v>0</v>
      </c>
      <c r="BI719" s="6">
        <v>0</v>
      </c>
      <c r="BJ719" s="6">
        <v>0</v>
      </c>
      <c r="BK719" s="4" t="s">
        <v>401</v>
      </c>
      <c r="BL719" s="4" t="s">
        <v>401</v>
      </c>
      <c r="BM719" s="20">
        <v>120</v>
      </c>
      <c r="BN719" s="20">
        <v>0</v>
      </c>
      <c r="BO719" s="20">
        <v>0</v>
      </c>
      <c r="BP719" s="20">
        <v>0</v>
      </c>
      <c r="BQ719" s="20">
        <v>0</v>
      </c>
      <c r="BR719" s="20">
        <v>0</v>
      </c>
      <c r="BS719" s="20">
        <v>120</v>
      </c>
      <c r="BT719" s="20">
        <v>1359699.6</v>
      </c>
      <c r="BU719" s="20">
        <v>7080000</v>
      </c>
      <c r="BV719" s="20">
        <v>4.7336659041185536</v>
      </c>
    </row>
    <row r="720" spans="1:74">
      <c r="A720" s="10">
        <f t="shared" si="46"/>
        <v>0</v>
      </c>
      <c r="B720" s="10">
        <f t="shared" si="47"/>
        <v>0.5</v>
      </c>
      <c r="C720" s="12">
        <f t="shared" si="48"/>
        <v>4</v>
      </c>
      <c r="D720" s="12">
        <f t="shared" si="49"/>
        <v>11</v>
      </c>
      <c r="E720" s="20" t="s">
        <v>114</v>
      </c>
      <c r="F720" s="20" t="s">
        <v>671</v>
      </c>
      <c r="G720" s="20" t="s">
        <v>1379</v>
      </c>
      <c r="H720" s="20" t="s">
        <v>1387</v>
      </c>
      <c r="I720" s="20">
        <v>2</v>
      </c>
      <c r="J720" s="20" t="s">
        <v>1388</v>
      </c>
      <c r="K720" s="20" t="s">
        <v>1389</v>
      </c>
      <c r="L720" s="20" t="s">
        <v>1383</v>
      </c>
      <c r="M720" s="20" t="s">
        <v>671</v>
      </c>
      <c r="N720" s="20" t="s">
        <v>702</v>
      </c>
      <c r="P720" s="20" t="s">
        <v>671</v>
      </c>
      <c r="Q720" s="20" t="s">
        <v>673</v>
      </c>
      <c r="R720" s="20" t="s">
        <v>84</v>
      </c>
      <c r="S720" s="20">
        <v>5</v>
      </c>
      <c r="T720" s="20" t="s">
        <v>480</v>
      </c>
      <c r="U720" s="20" t="s">
        <v>481</v>
      </c>
      <c r="V720" s="20" t="s">
        <v>87</v>
      </c>
      <c r="W720" s="20">
        <v>514</v>
      </c>
      <c r="X720" s="20">
        <v>514</v>
      </c>
      <c r="Y720" s="20" t="s">
        <v>1384</v>
      </c>
      <c r="Z720" s="20">
        <v>0.5</v>
      </c>
      <c r="AA720" s="20" t="s">
        <v>1390</v>
      </c>
      <c r="AB720" s="20" t="s">
        <v>718</v>
      </c>
      <c r="AC720" s="20" t="s">
        <v>719</v>
      </c>
      <c r="AD720" s="20" t="s">
        <v>1391</v>
      </c>
      <c r="AE720" s="20" t="s">
        <v>91</v>
      </c>
      <c r="AF720" s="20">
        <v>1</v>
      </c>
      <c r="AG720" s="20" t="s">
        <v>2586</v>
      </c>
      <c r="AH720" s="20">
        <v>1</v>
      </c>
      <c r="AI720" s="4" t="s">
        <v>251</v>
      </c>
      <c r="AJ720" s="20">
        <v>120</v>
      </c>
      <c r="AK720" s="4" t="s">
        <v>111</v>
      </c>
      <c r="AL720" s="4">
        <v>14</v>
      </c>
      <c r="AM720" s="4">
        <v>14</v>
      </c>
      <c r="AN720" s="4" t="s">
        <v>95</v>
      </c>
      <c r="AO720" s="4" t="s">
        <v>96</v>
      </c>
      <c r="AP720" s="4">
        <v>1</v>
      </c>
      <c r="AQ720" s="20">
        <v>59000</v>
      </c>
      <c r="AR720" s="4">
        <v>41801</v>
      </c>
      <c r="AS720" s="20">
        <v>8939.3939393939381</v>
      </c>
      <c r="AT720" s="20">
        <v>11330.83</v>
      </c>
      <c r="AU720" s="20">
        <v>2391.4360606060618</v>
      </c>
      <c r="AV720" s="20">
        <v>1304</v>
      </c>
      <c r="AW720" s="20">
        <v>90</v>
      </c>
      <c r="AX720" s="20">
        <v>20</v>
      </c>
      <c r="AY720" s="20">
        <v>1414</v>
      </c>
      <c r="AZ720" s="20">
        <v>7.95</v>
      </c>
      <c r="BA720" s="20">
        <v>0</v>
      </c>
      <c r="BB720" s="6">
        <v>41750</v>
      </c>
      <c r="BC720" s="6">
        <v>41904</v>
      </c>
      <c r="BD720" s="6">
        <v>41907</v>
      </c>
      <c r="BE720" s="6">
        <v>41907</v>
      </c>
      <c r="BF720" s="6">
        <v>41950</v>
      </c>
      <c r="BG720" s="6">
        <v>0</v>
      </c>
      <c r="BH720" s="6">
        <v>0</v>
      </c>
      <c r="BI720" s="6">
        <v>0</v>
      </c>
      <c r="BJ720" s="6">
        <v>0</v>
      </c>
      <c r="BK720" s="4" t="s">
        <v>401</v>
      </c>
      <c r="BL720" s="4" t="s">
        <v>401</v>
      </c>
      <c r="BM720" s="20">
        <v>120</v>
      </c>
      <c r="BN720" s="20">
        <v>0</v>
      </c>
      <c r="BO720" s="20">
        <v>0</v>
      </c>
      <c r="BP720" s="20">
        <v>0</v>
      </c>
      <c r="BQ720" s="20">
        <v>0</v>
      </c>
      <c r="BR720" s="20">
        <v>0</v>
      </c>
      <c r="BS720" s="20">
        <v>120</v>
      </c>
      <c r="BT720" s="20">
        <v>1359699.6</v>
      </c>
      <c r="BU720" s="20">
        <v>7080000</v>
      </c>
      <c r="BV720" s="20">
        <v>4.7336659041185536</v>
      </c>
    </row>
    <row r="721" spans="1:74">
      <c r="A721" s="10">
        <f t="shared" si="46"/>
        <v>0</v>
      </c>
      <c r="B721" s="10">
        <f t="shared" si="47"/>
        <v>0</v>
      </c>
      <c r="C721" s="12" t="str">
        <f t="shared" si="48"/>
        <v/>
      </c>
      <c r="D721" s="12" t="str">
        <f t="shared" si="49"/>
        <v/>
      </c>
      <c r="E721" s="20" t="s">
        <v>91</v>
      </c>
      <c r="F721" s="20" t="s">
        <v>91</v>
      </c>
      <c r="G721" s="20" t="s">
        <v>91</v>
      </c>
      <c r="H721" s="20" t="s">
        <v>91</v>
      </c>
      <c r="I721" s="20">
        <v>0</v>
      </c>
      <c r="J721" s="20" t="s">
        <v>103</v>
      </c>
      <c r="K721" s="20" t="s">
        <v>104</v>
      </c>
      <c r="L721" s="20">
        <v>0</v>
      </c>
      <c r="M721" s="20" t="s">
        <v>105</v>
      </c>
      <c r="N721" s="20" t="s">
        <v>91</v>
      </c>
      <c r="O721" s="20" t="s">
        <v>1392</v>
      </c>
      <c r="Q721" s="20" t="s">
        <v>91</v>
      </c>
      <c r="R721" s="20" t="s">
        <v>91</v>
      </c>
      <c r="S721" s="20" t="s">
        <v>91</v>
      </c>
      <c r="U721" s="20" t="s">
        <v>91</v>
      </c>
      <c r="V721" s="20" t="s">
        <v>87</v>
      </c>
      <c r="X721" s="20" t="s">
        <v>91</v>
      </c>
      <c r="Y721" s="20" t="s">
        <v>91</v>
      </c>
      <c r="Z721" s="20">
        <v>1</v>
      </c>
      <c r="AB721" s="20" t="s">
        <v>91</v>
      </c>
      <c r="AD721" s="20" t="s">
        <v>91</v>
      </c>
      <c r="AE721" s="20" t="s">
        <v>91</v>
      </c>
      <c r="AF721" s="20">
        <v>2</v>
      </c>
      <c r="AG721" s="20">
        <v>0</v>
      </c>
      <c r="AH721" s="20">
        <v>1</v>
      </c>
      <c r="AM721" s="4" t="s">
        <v>91</v>
      </c>
      <c r="AP721" s="4" t="s">
        <v>91</v>
      </c>
      <c r="AQ721" s="20">
        <v>0</v>
      </c>
      <c r="AR721" s="4">
        <v>0</v>
      </c>
      <c r="AS721" s="20">
        <v>0</v>
      </c>
      <c r="AT721" s="20">
        <v>0</v>
      </c>
      <c r="AU721" s="20">
        <v>0</v>
      </c>
      <c r="AV721" s="20">
        <v>0</v>
      </c>
      <c r="AW721" s="20">
        <v>0</v>
      </c>
      <c r="AY721" s="20">
        <v>0</v>
      </c>
      <c r="AZ721" s="20">
        <v>0</v>
      </c>
      <c r="BA721" s="20">
        <v>0</v>
      </c>
      <c r="BB721" s="6">
        <v>0</v>
      </c>
      <c r="BC721" s="6">
        <v>0</v>
      </c>
      <c r="BD721" s="6">
        <v>0</v>
      </c>
      <c r="BE721" s="6">
        <v>0</v>
      </c>
      <c r="BF721" s="6">
        <v>0</v>
      </c>
      <c r="BG721" s="6">
        <v>0</v>
      </c>
      <c r="BH721" s="6">
        <v>0</v>
      </c>
      <c r="BI721" s="6">
        <v>0</v>
      </c>
      <c r="BJ721" s="6">
        <v>0</v>
      </c>
      <c r="BK721" s="4">
        <v>0</v>
      </c>
      <c r="BL721" s="4">
        <v>0</v>
      </c>
      <c r="BM721" s="20">
        <v>240</v>
      </c>
      <c r="BN721" s="20">
        <v>0</v>
      </c>
      <c r="BO721" s="20">
        <v>0</v>
      </c>
      <c r="BP721" s="20">
        <v>0</v>
      </c>
      <c r="BQ721" s="20">
        <v>0</v>
      </c>
      <c r="BR721" s="20">
        <v>0</v>
      </c>
      <c r="BS721" s="20">
        <v>240</v>
      </c>
      <c r="BT721" s="20">
        <v>2719399.2</v>
      </c>
      <c r="BU721" s="20">
        <v>14160000</v>
      </c>
      <c r="BV721" s="20">
        <v>4.7336659041185536</v>
      </c>
    </row>
    <row r="722" spans="1:74">
      <c r="A722" s="10">
        <f t="shared" si="46"/>
        <v>0</v>
      </c>
      <c r="B722" s="10">
        <f t="shared" si="47"/>
        <v>0</v>
      </c>
      <c r="C722" s="12">
        <f t="shared" si="48"/>
        <v>5</v>
      </c>
      <c r="D722" s="12">
        <f t="shared" si="49"/>
        <v>7</v>
      </c>
      <c r="E722" s="20" t="s">
        <v>574</v>
      </c>
      <c r="F722" s="20" t="s">
        <v>1841</v>
      </c>
      <c r="G722" s="20" t="s">
        <v>1842</v>
      </c>
      <c r="H722" s="20" t="s">
        <v>2122</v>
      </c>
      <c r="I722" s="20">
        <v>1</v>
      </c>
      <c r="J722" s="20" t="s">
        <v>1843</v>
      </c>
      <c r="K722" s="20" t="s">
        <v>2123</v>
      </c>
      <c r="L722" s="20" t="s">
        <v>2124</v>
      </c>
      <c r="M722" s="20" t="s">
        <v>671</v>
      </c>
      <c r="N722" s="20" t="s">
        <v>702</v>
      </c>
      <c r="P722" s="20" t="s">
        <v>671</v>
      </c>
      <c r="Q722" s="20" t="s">
        <v>673</v>
      </c>
      <c r="R722" s="20" t="s">
        <v>84</v>
      </c>
      <c r="S722" s="20" t="s">
        <v>123</v>
      </c>
      <c r="T722" s="20" t="s">
        <v>1844</v>
      </c>
      <c r="U722" s="20" t="s">
        <v>1845</v>
      </c>
      <c r="V722" s="20" t="s">
        <v>87</v>
      </c>
      <c r="W722" s="20">
        <v>501</v>
      </c>
      <c r="X722" s="20">
        <v>501</v>
      </c>
      <c r="Y722" s="20" t="s">
        <v>2125</v>
      </c>
      <c r="Z722" s="20">
        <v>1</v>
      </c>
      <c r="AA722" s="20" t="s">
        <v>1847</v>
      </c>
      <c r="AB722" s="20" t="s">
        <v>139</v>
      </c>
      <c r="AC722" s="20" t="s">
        <v>140</v>
      </c>
      <c r="AD722" s="20" t="s">
        <v>2126</v>
      </c>
      <c r="AE722" s="20" t="s">
        <v>91</v>
      </c>
      <c r="AF722" s="20">
        <v>1</v>
      </c>
      <c r="AG722" s="20" t="s">
        <v>2442</v>
      </c>
      <c r="AH722" s="20">
        <v>1</v>
      </c>
      <c r="AI722" s="4" t="s">
        <v>645</v>
      </c>
      <c r="AJ722" s="20">
        <v>100</v>
      </c>
      <c r="AK722" s="4" t="s">
        <v>1848</v>
      </c>
      <c r="AL722" s="4">
        <v>1</v>
      </c>
      <c r="AM722" s="4" t="s">
        <v>130</v>
      </c>
      <c r="AN722" s="4" t="s">
        <v>95</v>
      </c>
      <c r="AO722" s="4" t="s">
        <v>96</v>
      </c>
      <c r="AP722" s="4">
        <v>1</v>
      </c>
      <c r="AQ722" s="20">
        <v>79000</v>
      </c>
      <c r="AR722" s="4">
        <v>41795</v>
      </c>
      <c r="AS722" s="20">
        <v>17954.545454545452</v>
      </c>
      <c r="AT722" s="20">
        <v>19020</v>
      </c>
      <c r="AU722" s="20">
        <v>1065.4545454545478</v>
      </c>
      <c r="AV722" s="20">
        <v>0</v>
      </c>
      <c r="AW722" s="20">
        <v>0</v>
      </c>
      <c r="AX722" s="20">
        <v>20</v>
      </c>
      <c r="AY722" s="20">
        <v>20</v>
      </c>
      <c r="AZ722" s="20">
        <v>0</v>
      </c>
      <c r="BA722" s="20">
        <v>19000</v>
      </c>
      <c r="BB722" s="6">
        <v>41773</v>
      </c>
      <c r="BC722" s="6">
        <v>0</v>
      </c>
      <c r="BD722" s="6">
        <v>41816</v>
      </c>
      <c r="BE722" s="6">
        <v>0</v>
      </c>
      <c r="BF722" s="6">
        <v>41835</v>
      </c>
      <c r="BG722" s="6">
        <v>0</v>
      </c>
      <c r="BH722" s="6">
        <v>0</v>
      </c>
      <c r="BI722" s="6">
        <v>0</v>
      </c>
      <c r="BJ722" s="6">
        <v>0</v>
      </c>
      <c r="BK722" s="4" t="s">
        <v>2173</v>
      </c>
      <c r="BL722" s="4" t="s">
        <v>2173</v>
      </c>
      <c r="BM722" s="20">
        <v>100</v>
      </c>
      <c r="BN722" s="20">
        <v>0</v>
      </c>
      <c r="BO722" s="20">
        <v>0</v>
      </c>
      <c r="BP722" s="20">
        <v>0</v>
      </c>
      <c r="BQ722" s="20">
        <v>0</v>
      </c>
      <c r="BR722" s="20">
        <v>0</v>
      </c>
      <c r="BS722" s="20">
        <v>100</v>
      </c>
      <c r="BT722" s="20">
        <v>1902000</v>
      </c>
      <c r="BU722" s="20">
        <v>7900000</v>
      </c>
      <c r="BV722" s="20">
        <v>3.7759296434375296</v>
      </c>
    </row>
    <row r="723" spans="1:74">
      <c r="A723" s="10">
        <f t="shared" si="46"/>
        <v>0</v>
      </c>
      <c r="B723" s="10">
        <f t="shared" si="47"/>
        <v>0</v>
      </c>
      <c r="C723" s="12">
        <f t="shared" si="48"/>
        <v>5</v>
      </c>
      <c r="D723" s="12">
        <f t="shared" si="49"/>
        <v>7</v>
      </c>
      <c r="E723" s="20" t="s">
        <v>574</v>
      </c>
      <c r="F723" s="20" t="s">
        <v>1841</v>
      </c>
      <c r="G723" s="20" t="s">
        <v>1842</v>
      </c>
      <c r="H723" s="20" t="s">
        <v>2127</v>
      </c>
      <c r="I723" s="20">
        <v>2</v>
      </c>
      <c r="J723" s="20" t="s">
        <v>2128</v>
      </c>
      <c r="K723" s="20" t="s">
        <v>2129</v>
      </c>
      <c r="L723" s="20" t="s">
        <v>2130</v>
      </c>
      <c r="M723" s="20" t="s">
        <v>671</v>
      </c>
      <c r="N723" s="20" t="s">
        <v>702</v>
      </c>
      <c r="P723" s="20" t="s">
        <v>671</v>
      </c>
      <c r="Q723" s="20" t="s">
        <v>673</v>
      </c>
      <c r="R723" s="20" t="s">
        <v>84</v>
      </c>
      <c r="S723" s="20" t="s">
        <v>123</v>
      </c>
      <c r="T723" s="20" t="s">
        <v>1844</v>
      </c>
      <c r="U723" s="20" t="s">
        <v>1845</v>
      </c>
      <c r="V723" s="20" t="s">
        <v>87</v>
      </c>
      <c r="W723" s="20">
        <v>502</v>
      </c>
      <c r="X723" s="20">
        <v>502</v>
      </c>
      <c r="Y723" s="20" t="s">
        <v>2131</v>
      </c>
      <c r="Z723" s="20">
        <v>1</v>
      </c>
      <c r="AA723" s="20" t="s">
        <v>2132</v>
      </c>
      <c r="AB723" s="20" t="s">
        <v>101</v>
      </c>
      <c r="AC723" s="20" t="s">
        <v>102</v>
      </c>
      <c r="AD723" s="20" t="s">
        <v>2133</v>
      </c>
      <c r="AE723" s="20" t="s">
        <v>91</v>
      </c>
      <c r="AF723" s="20">
        <v>1</v>
      </c>
      <c r="AG723" s="20" t="s">
        <v>2442</v>
      </c>
      <c r="AH723" s="20">
        <v>1</v>
      </c>
      <c r="AI723" s="4" t="s">
        <v>645</v>
      </c>
      <c r="AJ723" s="20">
        <v>100</v>
      </c>
      <c r="AK723" s="4" t="s">
        <v>1848</v>
      </c>
      <c r="AL723" s="4">
        <v>1</v>
      </c>
      <c r="AM723" s="4" t="s">
        <v>130</v>
      </c>
      <c r="AN723" s="4" t="s">
        <v>95</v>
      </c>
      <c r="AO723" s="4" t="s">
        <v>96</v>
      </c>
      <c r="AP723" s="4">
        <v>1</v>
      </c>
      <c r="AQ723" s="20">
        <v>79000</v>
      </c>
      <c r="AR723" s="4">
        <v>41795</v>
      </c>
      <c r="AS723" s="20">
        <v>17954.545454545452</v>
      </c>
      <c r="AT723" s="20">
        <v>19020</v>
      </c>
      <c r="AU723" s="20">
        <v>1065.4545454545478</v>
      </c>
      <c r="AV723" s="20">
        <v>0</v>
      </c>
      <c r="AW723" s="20">
        <v>0</v>
      </c>
      <c r="AX723" s="20">
        <v>20</v>
      </c>
      <c r="AY723" s="20">
        <v>20</v>
      </c>
      <c r="AZ723" s="20">
        <v>0</v>
      </c>
      <c r="BA723" s="20">
        <v>19000</v>
      </c>
      <c r="BB723" s="6">
        <v>41773</v>
      </c>
      <c r="BC723" s="6">
        <v>0</v>
      </c>
      <c r="BD723" s="6">
        <v>41816</v>
      </c>
      <c r="BE723" s="6">
        <v>0</v>
      </c>
      <c r="BF723" s="6">
        <v>41835</v>
      </c>
      <c r="BG723" s="6">
        <v>0</v>
      </c>
      <c r="BH723" s="6">
        <v>0</v>
      </c>
      <c r="BI723" s="6">
        <v>0</v>
      </c>
      <c r="BJ723" s="6">
        <v>0</v>
      </c>
      <c r="BK723" s="4" t="s">
        <v>2173</v>
      </c>
      <c r="BL723" s="4" t="s">
        <v>2173</v>
      </c>
      <c r="BM723" s="20">
        <v>100</v>
      </c>
      <c r="BN723" s="20">
        <v>0</v>
      </c>
      <c r="BO723" s="20">
        <v>0</v>
      </c>
      <c r="BP723" s="20">
        <v>0</v>
      </c>
      <c r="BQ723" s="20">
        <v>0</v>
      </c>
      <c r="BR723" s="20">
        <v>0</v>
      </c>
      <c r="BS723" s="20">
        <v>100</v>
      </c>
      <c r="BT723" s="20">
        <v>1902000</v>
      </c>
      <c r="BU723" s="20">
        <v>7900000</v>
      </c>
      <c r="BV723" s="20">
        <v>3.7759296434375296</v>
      </c>
    </row>
    <row r="724" spans="1:74">
      <c r="A724" s="10">
        <f t="shared" si="46"/>
        <v>0</v>
      </c>
      <c r="B724" s="10">
        <f t="shared" si="47"/>
        <v>0</v>
      </c>
      <c r="C724" s="12">
        <f t="shared" si="48"/>
        <v>5</v>
      </c>
      <c r="D724" s="12">
        <f t="shared" si="49"/>
        <v>7</v>
      </c>
      <c r="E724" s="20" t="s">
        <v>574</v>
      </c>
      <c r="F724" s="20" t="s">
        <v>1841</v>
      </c>
      <c r="G724" s="20" t="s">
        <v>1842</v>
      </c>
      <c r="H724" s="20" t="s">
        <v>2134</v>
      </c>
      <c r="I724" s="20">
        <v>3</v>
      </c>
      <c r="J724" s="20" t="s">
        <v>2135</v>
      </c>
      <c r="K724" s="20" t="s">
        <v>2136</v>
      </c>
      <c r="L724" s="20" t="s">
        <v>1231</v>
      </c>
      <c r="M724" s="20" t="s">
        <v>671</v>
      </c>
      <c r="N724" s="20" t="s">
        <v>702</v>
      </c>
      <c r="P724" s="20" t="s">
        <v>671</v>
      </c>
      <c r="Q724" s="20" t="s">
        <v>673</v>
      </c>
      <c r="R724" s="20" t="s">
        <v>84</v>
      </c>
      <c r="S724" s="20" t="s">
        <v>123</v>
      </c>
      <c r="T724" s="20" t="s">
        <v>1844</v>
      </c>
      <c r="U724" s="20" t="s">
        <v>1845</v>
      </c>
      <c r="V724" s="20" t="s">
        <v>87</v>
      </c>
      <c r="W724" s="20">
        <v>503</v>
      </c>
      <c r="X724" s="20">
        <v>503</v>
      </c>
      <c r="Y724" s="20" t="s">
        <v>1846</v>
      </c>
      <c r="Z724" s="20">
        <v>1</v>
      </c>
      <c r="AA724" s="20" t="s">
        <v>2137</v>
      </c>
      <c r="AB724" s="20" t="s">
        <v>149</v>
      </c>
      <c r="AC724" s="20" t="s">
        <v>150</v>
      </c>
      <c r="AD724" s="20" t="s">
        <v>2138</v>
      </c>
      <c r="AE724" s="20" t="s">
        <v>91</v>
      </c>
      <c r="AF724" s="20">
        <v>1</v>
      </c>
      <c r="AG724" s="20" t="s">
        <v>2442</v>
      </c>
      <c r="AH724" s="20">
        <v>1</v>
      </c>
      <c r="AI724" s="4" t="s">
        <v>647</v>
      </c>
      <c r="AJ724" s="20">
        <v>100</v>
      </c>
      <c r="AK724" s="4" t="s">
        <v>1848</v>
      </c>
      <c r="AL724" s="4">
        <v>1</v>
      </c>
      <c r="AM724" s="4" t="s">
        <v>130</v>
      </c>
      <c r="AN724" s="4" t="s">
        <v>95</v>
      </c>
      <c r="AO724" s="4" t="s">
        <v>96</v>
      </c>
      <c r="AP724" s="4">
        <v>1</v>
      </c>
      <c r="AQ724" s="20">
        <v>99000</v>
      </c>
      <c r="AR724" s="4">
        <v>41795</v>
      </c>
      <c r="AS724" s="20">
        <v>22500</v>
      </c>
      <c r="AT724" s="20">
        <v>21520</v>
      </c>
      <c r="AU724" s="20">
        <v>-980</v>
      </c>
      <c r="AV724" s="20">
        <v>0</v>
      </c>
      <c r="AW724" s="20">
        <v>0</v>
      </c>
      <c r="AX724" s="20">
        <v>20</v>
      </c>
      <c r="AY724" s="20">
        <v>20</v>
      </c>
      <c r="AZ724" s="20">
        <v>0</v>
      </c>
      <c r="BA724" s="20">
        <v>21500</v>
      </c>
      <c r="BB724" s="6">
        <v>41773</v>
      </c>
      <c r="BC724" s="6">
        <v>0</v>
      </c>
      <c r="BD724" s="6">
        <v>41816</v>
      </c>
      <c r="BE724" s="6">
        <v>0</v>
      </c>
      <c r="BF724" s="6">
        <v>41835</v>
      </c>
      <c r="BG724" s="6">
        <v>0</v>
      </c>
      <c r="BH724" s="6">
        <v>0</v>
      </c>
      <c r="BI724" s="6">
        <v>0</v>
      </c>
      <c r="BJ724" s="6">
        <v>0</v>
      </c>
      <c r="BK724" s="4" t="s">
        <v>2173</v>
      </c>
      <c r="BL724" s="4" t="s">
        <v>2173</v>
      </c>
      <c r="BM724" s="20">
        <v>100</v>
      </c>
      <c r="BN724" s="20">
        <v>0</v>
      </c>
      <c r="BO724" s="20">
        <v>0</v>
      </c>
      <c r="BP724" s="20">
        <v>0</v>
      </c>
      <c r="BQ724" s="20">
        <v>0</v>
      </c>
      <c r="BR724" s="20">
        <v>0</v>
      </c>
      <c r="BS724" s="20">
        <v>100</v>
      </c>
      <c r="BT724" s="20">
        <v>2152000</v>
      </c>
      <c r="BU724" s="20">
        <v>9900000</v>
      </c>
      <c r="BV724" s="20">
        <v>4.1821561338289959</v>
      </c>
    </row>
    <row r="725" spans="1:74">
      <c r="A725" s="10">
        <f t="shared" si="46"/>
        <v>0</v>
      </c>
      <c r="B725" s="10">
        <f t="shared" si="47"/>
        <v>0</v>
      </c>
      <c r="C725" s="12" t="str">
        <f t="shared" si="48"/>
        <v/>
      </c>
      <c r="D725" s="12" t="str">
        <f t="shared" si="49"/>
        <v/>
      </c>
      <c r="E725" s="20" t="s">
        <v>91</v>
      </c>
      <c r="F725" s="20" t="s">
        <v>91</v>
      </c>
      <c r="G725" s="20" t="s">
        <v>91</v>
      </c>
      <c r="H725" s="20" t="s">
        <v>91</v>
      </c>
      <c r="I725" s="20">
        <v>0</v>
      </c>
      <c r="J725" s="20" t="s">
        <v>103</v>
      </c>
      <c r="K725" s="20" t="s">
        <v>104</v>
      </c>
      <c r="L725" s="20">
        <v>0</v>
      </c>
      <c r="M725" s="20" t="s">
        <v>105</v>
      </c>
      <c r="N725" s="20" t="s">
        <v>91</v>
      </c>
      <c r="O725" s="20" t="s">
        <v>1849</v>
      </c>
      <c r="Q725" s="20" t="s">
        <v>91</v>
      </c>
      <c r="R725" s="20" t="s">
        <v>91</v>
      </c>
      <c r="S725" s="20" t="s">
        <v>91</v>
      </c>
      <c r="U725" s="20" t="s">
        <v>91</v>
      </c>
      <c r="V725" s="20" t="s">
        <v>87</v>
      </c>
      <c r="X725" s="20" t="s">
        <v>91</v>
      </c>
      <c r="Y725" s="20" t="s">
        <v>91</v>
      </c>
      <c r="Z725" s="20">
        <v>3</v>
      </c>
      <c r="AB725" s="20" t="s">
        <v>91</v>
      </c>
      <c r="AD725" s="20" t="s">
        <v>91</v>
      </c>
      <c r="AE725" s="20" t="s">
        <v>91</v>
      </c>
      <c r="AF725" s="20">
        <v>3</v>
      </c>
      <c r="AG725" s="20">
        <v>0</v>
      </c>
      <c r="AH725" s="20">
        <v>1</v>
      </c>
      <c r="AM725" s="4" t="s">
        <v>91</v>
      </c>
      <c r="AP725" s="4" t="s">
        <v>91</v>
      </c>
      <c r="AQ725" s="20">
        <v>0</v>
      </c>
      <c r="AR725" s="4">
        <v>0</v>
      </c>
      <c r="AS725" s="20">
        <v>0</v>
      </c>
      <c r="AT725" s="20">
        <v>0</v>
      </c>
      <c r="AU725" s="20">
        <v>0</v>
      </c>
      <c r="AV725" s="20">
        <v>0</v>
      </c>
      <c r="AW725" s="20">
        <v>0</v>
      </c>
      <c r="AY725" s="20">
        <v>0</v>
      </c>
      <c r="AZ725" s="20">
        <v>0</v>
      </c>
      <c r="BA725" s="20">
        <v>0</v>
      </c>
      <c r="BB725" s="6">
        <v>0</v>
      </c>
      <c r="BC725" s="6">
        <v>0</v>
      </c>
      <c r="BD725" s="6">
        <v>0</v>
      </c>
      <c r="BE725" s="6">
        <v>0</v>
      </c>
      <c r="BF725" s="6">
        <v>0</v>
      </c>
      <c r="BG725" s="6">
        <v>0</v>
      </c>
      <c r="BH725" s="6">
        <v>0</v>
      </c>
      <c r="BI725" s="6">
        <v>0</v>
      </c>
      <c r="BJ725" s="6">
        <v>0</v>
      </c>
      <c r="BK725" s="4">
        <v>0</v>
      </c>
      <c r="BL725" s="4">
        <v>0</v>
      </c>
      <c r="BM725" s="20">
        <v>300</v>
      </c>
      <c r="BN725" s="20">
        <v>0</v>
      </c>
      <c r="BO725" s="20">
        <v>0</v>
      </c>
      <c r="BP725" s="20">
        <v>0</v>
      </c>
      <c r="BQ725" s="20">
        <v>0</v>
      </c>
      <c r="BR725" s="20">
        <v>0</v>
      </c>
      <c r="BS725" s="20">
        <v>300</v>
      </c>
      <c r="BT725" s="20">
        <v>5956000</v>
      </c>
      <c r="BU725" s="20">
        <v>25700000</v>
      </c>
      <c r="BV725" s="20">
        <v>3.9227059039013366</v>
      </c>
    </row>
    <row r="726" spans="1:74">
      <c r="A726" s="10">
        <f t="shared" si="46"/>
        <v>0</v>
      </c>
      <c r="B726" s="10">
        <f t="shared" si="47"/>
        <v>0</v>
      </c>
      <c r="C726" s="12">
        <f t="shared" si="48"/>
        <v>5</v>
      </c>
      <c r="D726" s="12">
        <f t="shared" si="49"/>
        <v>8</v>
      </c>
      <c r="E726" s="20" t="s">
        <v>114</v>
      </c>
      <c r="F726" s="20" t="s">
        <v>671</v>
      </c>
      <c r="G726" s="20" t="s">
        <v>2139</v>
      </c>
      <c r="H726" s="20" t="s">
        <v>2140</v>
      </c>
      <c r="I726" s="20">
        <v>1</v>
      </c>
      <c r="J726" s="20" t="s">
        <v>2141</v>
      </c>
      <c r="K726" s="20" t="s">
        <v>2142</v>
      </c>
      <c r="L726" s="20" t="s">
        <v>2143</v>
      </c>
      <c r="M726" s="20" t="s">
        <v>671</v>
      </c>
      <c r="N726" s="20" t="s">
        <v>1215</v>
      </c>
      <c r="P726" s="20" t="s">
        <v>671</v>
      </c>
      <c r="Q726" s="20" t="s">
        <v>673</v>
      </c>
      <c r="R726" s="20" t="s">
        <v>84</v>
      </c>
      <c r="S726" s="20" t="s">
        <v>123</v>
      </c>
      <c r="T726" s="20" t="s">
        <v>172</v>
      </c>
      <c r="U726" s="20" t="s">
        <v>173</v>
      </c>
      <c r="V726" s="20" t="s">
        <v>87</v>
      </c>
      <c r="W726" s="20">
        <v>841</v>
      </c>
      <c r="X726" s="20">
        <v>841</v>
      </c>
      <c r="Y726" s="20" t="s">
        <v>2144</v>
      </c>
      <c r="Z726" s="20">
        <v>0.25</v>
      </c>
      <c r="AA726" s="20" t="s">
        <v>2145</v>
      </c>
      <c r="AB726" s="20" t="s">
        <v>248</v>
      </c>
      <c r="AC726" s="20" t="s">
        <v>249</v>
      </c>
      <c r="AD726" s="20" t="s">
        <v>2146</v>
      </c>
      <c r="AE726" s="20" t="s">
        <v>400</v>
      </c>
      <c r="AF726" s="20">
        <v>0.5</v>
      </c>
      <c r="AG726" s="20" t="s">
        <v>2587</v>
      </c>
      <c r="AH726" s="20">
        <v>1</v>
      </c>
      <c r="AI726" s="4" t="s">
        <v>97</v>
      </c>
      <c r="AJ726" s="20">
        <v>200</v>
      </c>
      <c r="AK726" s="4" t="s">
        <v>111</v>
      </c>
      <c r="AL726" s="4">
        <v>20</v>
      </c>
      <c r="AM726" s="4">
        <v>20</v>
      </c>
      <c r="AN726" s="4" t="s">
        <v>95</v>
      </c>
      <c r="AO726" s="4" t="s">
        <v>96</v>
      </c>
      <c r="AP726" s="4">
        <v>1</v>
      </c>
      <c r="AQ726" s="20">
        <v>53000</v>
      </c>
      <c r="AR726" s="4">
        <v>41772</v>
      </c>
      <c r="AS726" s="20">
        <v>8030.3030303030291</v>
      </c>
      <c r="AT726" s="20">
        <v>7130.1800000000012</v>
      </c>
      <c r="AU726" s="20">
        <v>-900.12303030302792</v>
      </c>
      <c r="AV726" s="20">
        <v>0</v>
      </c>
      <c r="AW726" s="20">
        <v>0</v>
      </c>
      <c r="AX726" s="20">
        <v>20</v>
      </c>
      <c r="AY726" s="20">
        <v>20</v>
      </c>
      <c r="AZ726" s="20">
        <v>5.7</v>
      </c>
      <c r="BA726" s="20">
        <v>0</v>
      </c>
      <c r="BB726" s="6">
        <v>41772</v>
      </c>
      <c r="BC726" s="6">
        <v>41851</v>
      </c>
      <c r="BD726" s="6">
        <v>41848</v>
      </c>
      <c r="BE726" s="6">
        <v>41855</v>
      </c>
      <c r="BF726" s="6">
        <v>41864</v>
      </c>
      <c r="BG726" s="6">
        <v>0</v>
      </c>
      <c r="BH726" s="6">
        <v>0</v>
      </c>
      <c r="BI726" s="6">
        <v>0</v>
      </c>
      <c r="BJ726" s="6">
        <v>0</v>
      </c>
      <c r="BK726" s="4" t="s">
        <v>401</v>
      </c>
      <c r="BL726" s="4" t="s">
        <v>401</v>
      </c>
      <c r="BM726" s="20">
        <v>210</v>
      </c>
      <c r="BN726" s="20">
        <v>0</v>
      </c>
      <c r="BO726" s="20">
        <v>0</v>
      </c>
      <c r="BP726" s="20">
        <v>0</v>
      </c>
      <c r="BQ726" s="20">
        <v>0</v>
      </c>
      <c r="BR726" s="20">
        <v>0</v>
      </c>
      <c r="BS726" s="20">
        <v>200</v>
      </c>
      <c r="BT726" s="20">
        <v>1426036.0000000002</v>
      </c>
      <c r="BU726" s="20">
        <v>10600000</v>
      </c>
      <c r="BV726" s="20">
        <v>6.7574476635678442</v>
      </c>
    </row>
    <row r="727" spans="1:74">
      <c r="A727" s="10">
        <f t="shared" si="46"/>
        <v>0</v>
      </c>
      <c r="B727" s="10">
        <f t="shared" si="47"/>
        <v>0</v>
      </c>
      <c r="C727" s="12">
        <f t="shared" si="48"/>
        <v>5</v>
      </c>
      <c r="D727" s="12">
        <f t="shared" si="49"/>
        <v>8</v>
      </c>
      <c r="E727" s="20" t="s">
        <v>114</v>
      </c>
      <c r="F727" s="20" t="s">
        <v>671</v>
      </c>
      <c r="G727" s="20" t="s">
        <v>2139</v>
      </c>
      <c r="H727" s="20" t="s">
        <v>2140</v>
      </c>
      <c r="I727" s="20">
        <v>1</v>
      </c>
      <c r="J727" s="20" t="s">
        <v>2141</v>
      </c>
      <c r="K727" s="20" t="s">
        <v>2147</v>
      </c>
      <c r="L727" s="20" t="s">
        <v>2143</v>
      </c>
      <c r="M727" s="20" t="s">
        <v>671</v>
      </c>
      <c r="N727" s="20" t="s">
        <v>1215</v>
      </c>
      <c r="P727" s="20" t="s">
        <v>671</v>
      </c>
      <c r="Q727" s="20" t="s">
        <v>673</v>
      </c>
      <c r="R727" s="20" t="s">
        <v>84</v>
      </c>
      <c r="S727" s="20" t="s">
        <v>123</v>
      </c>
      <c r="T727" s="20" t="s">
        <v>172</v>
      </c>
      <c r="U727" s="20" t="s">
        <v>173</v>
      </c>
      <c r="V727" s="20" t="s">
        <v>87</v>
      </c>
      <c r="W727" s="20">
        <v>841</v>
      </c>
      <c r="X727" s="20">
        <v>841</v>
      </c>
      <c r="Y727" s="20" t="s">
        <v>2144</v>
      </c>
      <c r="Z727" s="20">
        <v>0.25</v>
      </c>
      <c r="AA727" s="20" t="s">
        <v>2145</v>
      </c>
      <c r="AB727" s="20" t="s">
        <v>248</v>
      </c>
      <c r="AC727" s="20" t="s">
        <v>249</v>
      </c>
      <c r="AD727" s="20" t="s">
        <v>2146</v>
      </c>
      <c r="AE727" s="20" t="s">
        <v>400</v>
      </c>
      <c r="AF727" s="20">
        <v>0.5</v>
      </c>
      <c r="AG727" s="20" t="s">
        <v>2587</v>
      </c>
      <c r="AH727" s="20">
        <v>1</v>
      </c>
      <c r="AI727" s="4" t="s">
        <v>98</v>
      </c>
      <c r="AJ727" s="20">
        <v>200</v>
      </c>
      <c r="AK727" s="4" t="s">
        <v>111</v>
      </c>
      <c r="AL727" s="4">
        <v>20</v>
      </c>
      <c r="AM727" s="4">
        <v>20</v>
      </c>
      <c r="AN727" s="4" t="s">
        <v>95</v>
      </c>
      <c r="AO727" s="4" t="s">
        <v>96</v>
      </c>
      <c r="AP727" s="4">
        <v>1</v>
      </c>
      <c r="AQ727" s="20">
        <v>53000</v>
      </c>
      <c r="AR727" s="4">
        <v>41772</v>
      </c>
      <c r="AS727" s="20">
        <v>8030.3030303030291</v>
      </c>
      <c r="AT727" s="20">
        <v>7130.1800000000012</v>
      </c>
      <c r="AU727" s="20">
        <v>-900.12303030302792</v>
      </c>
      <c r="AV727" s="20">
        <v>0</v>
      </c>
      <c r="AW727" s="20">
        <v>0</v>
      </c>
      <c r="AX727" s="20">
        <v>20</v>
      </c>
      <c r="AY727" s="20">
        <v>20</v>
      </c>
      <c r="AZ727" s="20">
        <v>5.7</v>
      </c>
      <c r="BA727" s="20">
        <v>0</v>
      </c>
      <c r="BB727" s="6">
        <v>41772</v>
      </c>
      <c r="BC727" s="6">
        <v>41851</v>
      </c>
      <c r="BD727" s="6">
        <v>41848</v>
      </c>
      <c r="BE727" s="6">
        <v>41855</v>
      </c>
      <c r="BF727" s="6">
        <v>41864</v>
      </c>
      <c r="BG727" s="6">
        <v>0</v>
      </c>
      <c r="BH727" s="6">
        <v>0</v>
      </c>
      <c r="BI727" s="6">
        <v>0</v>
      </c>
      <c r="BJ727" s="6">
        <v>0</v>
      </c>
      <c r="BK727" s="4" t="s">
        <v>401</v>
      </c>
      <c r="BL727" s="4" t="s">
        <v>401</v>
      </c>
      <c r="BM727" s="20">
        <v>200</v>
      </c>
      <c r="BN727" s="20">
        <v>0</v>
      </c>
      <c r="BO727" s="20">
        <v>0</v>
      </c>
      <c r="BP727" s="20">
        <v>0</v>
      </c>
      <c r="BQ727" s="20">
        <v>0</v>
      </c>
      <c r="BR727" s="20">
        <v>0</v>
      </c>
      <c r="BS727" s="20">
        <v>200</v>
      </c>
      <c r="BT727" s="20">
        <v>1426036.0000000002</v>
      </c>
      <c r="BU727" s="20">
        <v>10600000</v>
      </c>
      <c r="BV727" s="20">
        <v>6.7574476635678442</v>
      </c>
    </row>
    <row r="728" spans="1:74">
      <c r="A728" s="10">
        <f t="shared" si="46"/>
        <v>0</v>
      </c>
      <c r="B728" s="10">
        <f t="shared" si="47"/>
        <v>0</v>
      </c>
      <c r="C728" s="12">
        <f t="shared" si="48"/>
        <v>5</v>
      </c>
      <c r="D728" s="12">
        <f t="shared" si="49"/>
        <v>8</v>
      </c>
      <c r="E728" s="20" t="s">
        <v>114</v>
      </c>
      <c r="F728" s="20" t="s">
        <v>671</v>
      </c>
      <c r="G728" s="20" t="s">
        <v>2139</v>
      </c>
      <c r="H728" s="20" t="s">
        <v>2148</v>
      </c>
      <c r="I728" s="20">
        <v>2</v>
      </c>
      <c r="J728" s="20" t="s">
        <v>2149</v>
      </c>
      <c r="K728" s="20" t="s">
        <v>2150</v>
      </c>
      <c r="L728" s="20" t="s">
        <v>2143</v>
      </c>
      <c r="M728" s="20" t="s">
        <v>671</v>
      </c>
      <c r="N728" s="20" t="s">
        <v>1215</v>
      </c>
      <c r="P728" s="20" t="s">
        <v>671</v>
      </c>
      <c r="Q728" s="20" t="s">
        <v>673</v>
      </c>
      <c r="R728" s="20" t="s">
        <v>84</v>
      </c>
      <c r="S728" s="20" t="s">
        <v>123</v>
      </c>
      <c r="T728" s="20" t="s">
        <v>172</v>
      </c>
      <c r="U728" s="20" t="s">
        <v>173</v>
      </c>
      <c r="V728" s="20" t="s">
        <v>87</v>
      </c>
      <c r="W728" s="20">
        <v>841</v>
      </c>
      <c r="X728" s="20">
        <v>841</v>
      </c>
      <c r="Y728" s="20" t="s">
        <v>2144</v>
      </c>
      <c r="Z728" s="20">
        <v>0.25</v>
      </c>
      <c r="AA728" s="20" t="s">
        <v>2151</v>
      </c>
      <c r="AB728" s="20" t="s">
        <v>89</v>
      </c>
      <c r="AC728" s="20" t="s">
        <v>90</v>
      </c>
      <c r="AD728" s="20" t="s">
        <v>2152</v>
      </c>
      <c r="AE728" s="20" t="s">
        <v>400</v>
      </c>
      <c r="AF728" s="20">
        <v>0.5</v>
      </c>
      <c r="AG728" s="20" t="s">
        <v>2587</v>
      </c>
      <c r="AH728" s="20">
        <v>1</v>
      </c>
      <c r="AI728" s="4" t="s">
        <v>97</v>
      </c>
      <c r="AJ728" s="20">
        <v>400</v>
      </c>
      <c r="AK728" s="4" t="s">
        <v>111</v>
      </c>
      <c r="AL728" s="4">
        <v>20</v>
      </c>
      <c r="AM728" s="4">
        <v>20</v>
      </c>
      <c r="AN728" s="4" t="s">
        <v>95</v>
      </c>
      <c r="AO728" s="4" t="s">
        <v>96</v>
      </c>
      <c r="AP728" s="4">
        <v>1</v>
      </c>
      <c r="AQ728" s="20">
        <v>53000</v>
      </c>
      <c r="AR728" s="4">
        <v>41772</v>
      </c>
      <c r="AS728" s="20">
        <v>8030.3030303030291</v>
      </c>
      <c r="AT728" s="20">
        <v>7130.1800000000012</v>
      </c>
      <c r="AU728" s="20">
        <v>-900.12303030302792</v>
      </c>
      <c r="AV728" s="20">
        <v>0</v>
      </c>
      <c r="AW728" s="20">
        <v>0</v>
      </c>
      <c r="AX728" s="20">
        <v>20</v>
      </c>
      <c r="AY728" s="20">
        <v>20</v>
      </c>
      <c r="AZ728" s="20">
        <v>5.7</v>
      </c>
      <c r="BA728" s="20">
        <v>0</v>
      </c>
      <c r="BB728" s="6">
        <v>41772</v>
      </c>
      <c r="BC728" s="6">
        <v>41851</v>
      </c>
      <c r="BD728" s="6">
        <v>41848</v>
      </c>
      <c r="BE728" s="6">
        <v>41855</v>
      </c>
      <c r="BF728" s="6">
        <v>41864</v>
      </c>
      <c r="BG728" s="6">
        <v>0</v>
      </c>
      <c r="BH728" s="6">
        <v>0</v>
      </c>
      <c r="BI728" s="6">
        <v>0</v>
      </c>
      <c r="BJ728" s="6">
        <v>0</v>
      </c>
      <c r="BK728" s="4" t="s">
        <v>401</v>
      </c>
      <c r="BL728" s="4" t="s">
        <v>401</v>
      </c>
      <c r="BM728" s="20">
        <v>392</v>
      </c>
      <c r="BN728" s="20">
        <v>0</v>
      </c>
      <c r="BO728" s="20">
        <v>0</v>
      </c>
      <c r="BP728" s="20">
        <v>0</v>
      </c>
      <c r="BQ728" s="20">
        <v>0</v>
      </c>
      <c r="BR728" s="20">
        <v>0</v>
      </c>
      <c r="BS728" s="20">
        <v>400</v>
      </c>
      <c r="BT728" s="20">
        <v>2852072.0000000005</v>
      </c>
      <c r="BU728" s="20">
        <v>21200000</v>
      </c>
      <c r="BV728" s="20">
        <v>6.7574476635678442</v>
      </c>
    </row>
    <row r="729" spans="1:74">
      <c r="A729" s="10">
        <f t="shared" si="46"/>
        <v>0</v>
      </c>
      <c r="B729" s="10">
        <f t="shared" si="47"/>
        <v>0</v>
      </c>
      <c r="C729" s="12">
        <f t="shared" si="48"/>
        <v>5</v>
      </c>
      <c r="D729" s="12">
        <f t="shared" si="49"/>
        <v>8</v>
      </c>
      <c r="E729" s="20" t="s">
        <v>114</v>
      </c>
      <c r="F729" s="20" t="s">
        <v>671</v>
      </c>
      <c r="G729" s="20" t="s">
        <v>2139</v>
      </c>
      <c r="H729" s="20" t="s">
        <v>2148</v>
      </c>
      <c r="I729" s="20">
        <v>2</v>
      </c>
      <c r="J729" s="20" t="s">
        <v>2149</v>
      </c>
      <c r="K729" s="20" t="s">
        <v>2153</v>
      </c>
      <c r="L729" s="20" t="s">
        <v>2143</v>
      </c>
      <c r="M729" s="20" t="s">
        <v>671</v>
      </c>
      <c r="N729" s="20" t="s">
        <v>1215</v>
      </c>
      <c r="P729" s="20" t="s">
        <v>671</v>
      </c>
      <c r="Q729" s="20" t="s">
        <v>673</v>
      </c>
      <c r="R729" s="20" t="s">
        <v>84</v>
      </c>
      <c r="S729" s="20" t="s">
        <v>123</v>
      </c>
      <c r="T729" s="20" t="s">
        <v>172</v>
      </c>
      <c r="U729" s="20" t="s">
        <v>173</v>
      </c>
      <c r="V729" s="20" t="s">
        <v>87</v>
      </c>
      <c r="W729" s="20">
        <v>841</v>
      </c>
      <c r="X729" s="20">
        <v>841</v>
      </c>
      <c r="Y729" s="20" t="s">
        <v>2144</v>
      </c>
      <c r="Z729" s="20">
        <v>0.25</v>
      </c>
      <c r="AA729" s="20" t="s">
        <v>2151</v>
      </c>
      <c r="AB729" s="20" t="s">
        <v>89</v>
      </c>
      <c r="AC729" s="20" t="s">
        <v>90</v>
      </c>
      <c r="AD729" s="20" t="s">
        <v>2152</v>
      </c>
      <c r="AE729" s="20" t="s">
        <v>400</v>
      </c>
      <c r="AF729" s="20">
        <v>0.5</v>
      </c>
      <c r="AG729" s="20" t="s">
        <v>2587</v>
      </c>
      <c r="AH729" s="20">
        <v>1</v>
      </c>
      <c r="AI729" s="4" t="s">
        <v>98</v>
      </c>
      <c r="AJ729" s="20">
        <v>400</v>
      </c>
      <c r="AK729" s="4" t="s">
        <v>111</v>
      </c>
      <c r="AL729" s="4">
        <v>20</v>
      </c>
      <c r="AM729" s="4">
        <v>20</v>
      </c>
      <c r="AN729" s="4" t="s">
        <v>95</v>
      </c>
      <c r="AO729" s="4" t="s">
        <v>96</v>
      </c>
      <c r="AP729" s="4">
        <v>1</v>
      </c>
      <c r="AQ729" s="20">
        <v>53000</v>
      </c>
      <c r="AR729" s="4">
        <v>41772</v>
      </c>
      <c r="AS729" s="20">
        <v>8030.3030303030291</v>
      </c>
      <c r="AT729" s="20">
        <v>7130.1800000000012</v>
      </c>
      <c r="AU729" s="20">
        <v>-900.12303030302792</v>
      </c>
      <c r="AV729" s="20">
        <v>0</v>
      </c>
      <c r="AW729" s="20">
        <v>0</v>
      </c>
      <c r="AX729" s="20">
        <v>20</v>
      </c>
      <c r="AY729" s="20">
        <v>20</v>
      </c>
      <c r="AZ729" s="20">
        <v>5.7</v>
      </c>
      <c r="BA729" s="20">
        <v>0</v>
      </c>
      <c r="BB729" s="6">
        <v>41772</v>
      </c>
      <c r="BC729" s="6">
        <v>41851</v>
      </c>
      <c r="BD729" s="6">
        <v>41848</v>
      </c>
      <c r="BE729" s="6">
        <v>41855</v>
      </c>
      <c r="BF729" s="6">
        <v>41864</v>
      </c>
      <c r="BG729" s="6">
        <v>0</v>
      </c>
      <c r="BH729" s="6">
        <v>0</v>
      </c>
      <c r="BI729" s="6">
        <v>0</v>
      </c>
      <c r="BJ729" s="6">
        <v>0</v>
      </c>
      <c r="BK729" s="4" t="s">
        <v>401</v>
      </c>
      <c r="BL729" s="4" t="s">
        <v>401</v>
      </c>
      <c r="BM729" s="20">
        <v>399</v>
      </c>
      <c r="BN729" s="20">
        <v>0</v>
      </c>
      <c r="BO729" s="20">
        <v>0</v>
      </c>
      <c r="BP729" s="20">
        <v>0</v>
      </c>
      <c r="BQ729" s="20">
        <v>0</v>
      </c>
      <c r="BR729" s="20">
        <v>0</v>
      </c>
      <c r="BS729" s="20">
        <v>400</v>
      </c>
      <c r="BT729" s="20">
        <v>2852072.0000000005</v>
      </c>
      <c r="BU729" s="20">
        <v>21200000</v>
      </c>
      <c r="BV729" s="20">
        <v>6.7574476635678442</v>
      </c>
    </row>
    <row r="730" spans="1:74">
      <c r="A730" s="10">
        <f t="shared" si="46"/>
        <v>0</v>
      </c>
      <c r="B730" s="10">
        <f t="shared" si="47"/>
        <v>0</v>
      </c>
      <c r="C730" s="12" t="str">
        <f t="shared" si="48"/>
        <v/>
      </c>
      <c r="D730" s="12" t="str">
        <f t="shared" si="49"/>
        <v/>
      </c>
      <c r="E730" s="20" t="s">
        <v>91</v>
      </c>
      <c r="F730" s="20" t="s">
        <v>91</v>
      </c>
      <c r="G730" s="20" t="s">
        <v>91</v>
      </c>
      <c r="H730" s="20" t="s">
        <v>91</v>
      </c>
      <c r="I730" s="20">
        <v>0</v>
      </c>
      <c r="J730" s="20" t="s">
        <v>103</v>
      </c>
      <c r="K730" s="20" t="s">
        <v>104</v>
      </c>
      <c r="L730" s="20">
        <v>0</v>
      </c>
      <c r="M730" s="20" t="s">
        <v>105</v>
      </c>
      <c r="N730" s="20" t="s">
        <v>91</v>
      </c>
      <c r="O730" s="20" t="s">
        <v>2154</v>
      </c>
      <c r="Q730" s="20" t="s">
        <v>91</v>
      </c>
      <c r="R730" s="20" t="s">
        <v>91</v>
      </c>
      <c r="S730" s="20" t="s">
        <v>91</v>
      </c>
      <c r="U730" s="20" t="s">
        <v>91</v>
      </c>
      <c r="V730" s="20" t="s">
        <v>87</v>
      </c>
      <c r="X730" s="20" t="s">
        <v>91</v>
      </c>
      <c r="Y730" s="20" t="s">
        <v>91</v>
      </c>
      <c r="Z730" s="20">
        <v>1</v>
      </c>
      <c r="AB730" s="20" t="s">
        <v>91</v>
      </c>
      <c r="AD730" s="20" t="s">
        <v>91</v>
      </c>
      <c r="AE730" s="20" t="s">
        <v>91</v>
      </c>
      <c r="AF730" s="20">
        <v>2</v>
      </c>
      <c r="AG730" s="20">
        <v>0</v>
      </c>
      <c r="AH730" s="20">
        <v>1</v>
      </c>
      <c r="AM730" s="4" t="s">
        <v>91</v>
      </c>
      <c r="AP730" s="4" t="s">
        <v>91</v>
      </c>
      <c r="AQ730" s="20">
        <v>0</v>
      </c>
      <c r="AR730" s="4">
        <v>0</v>
      </c>
      <c r="AS730" s="20">
        <v>0</v>
      </c>
      <c r="AT730" s="20">
        <v>0</v>
      </c>
      <c r="AU730" s="20">
        <v>0</v>
      </c>
      <c r="AV730" s="20">
        <v>0</v>
      </c>
      <c r="AW730" s="20">
        <v>0</v>
      </c>
      <c r="AY730" s="20">
        <v>0</v>
      </c>
      <c r="AZ730" s="20">
        <v>0</v>
      </c>
      <c r="BA730" s="20">
        <v>0</v>
      </c>
      <c r="BB730" s="6">
        <v>0</v>
      </c>
      <c r="BC730" s="6">
        <v>0</v>
      </c>
      <c r="BD730" s="6">
        <v>0</v>
      </c>
      <c r="BE730" s="6">
        <v>0</v>
      </c>
      <c r="BF730" s="6">
        <v>0</v>
      </c>
      <c r="BG730" s="6">
        <v>0</v>
      </c>
      <c r="BH730" s="6">
        <v>0</v>
      </c>
      <c r="BI730" s="6">
        <v>0</v>
      </c>
      <c r="BJ730" s="6">
        <v>0</v>
      </c>
      <c r="BK730" s="4">
        <v>0</v>
      </c>
      <c r="BL730" s="4">
        <v>0</v>
      </c>
      <c r="BM730" s="20">
        <v>1201</v>
      </c>
      <c r="BN730" s="20">
        <v>0</v>
      </c>
      <c r="BO730" s="20">
        <v>0</v>
      </c>
      <c r="BP730" s="20">
        <v>0</v>
      </c>
      <c r="BQ730" s="20">
        <v>0</v>
      </c>
      <c r="BR730" s="20">
        <v>0</v>
      </c>
      <c r="BS730" s="20">
        <v>1200</v>
      </c>
      <c r="BT730" s="20">
        <v>8556216.0000000019</v>
      </c>
      <c r="BU730" s="20">
        <v>63600000</v>
      </c>
      <c r="BV730" s="20">
        <v>6.7574476635678433</v>
      </c>
    </row>
    <row r="731" spans="1:74">
      <c r="A731" s="10">
        <f t="shared" si="46"/>
        <v>0</v>
      </c>
      <c r="B731" s="10">
        <f t="shared" si="47"/>
        <v>0.5</v>
      </c>
      <c r="C731" s="12">
        <f t="shared" si="48"/>
        <v>5</v>
      </c>
      <c r="D731" s="12">
        <f t="shared" si="49"/>
        <v>8</v>
      </c>
      <c r="E731" s="20" t="s">
        <v>114</v>
      </c>
      <c r="F731" s="20" t="s">
        <v>671</v>
      </c>
      <c r="G731" s="20" t="s">
        <v>2155</v>
      </c>
      <c r="H731" s="20" t="s">
        <v>2156</v>
      </c>
      <c r="I731" s="20">
        <v>1</v>
      </c>
      <c r="J731" s="20" t="s">
        <v>2157</v>
      </c>
      <c r="K731" s="20" t="s">
        <v>2158</v>
      </c>
      <c r="L731" s="20" t="s">
        <v>2159</v>
      </c>
      <c r="M731" s="20" t="s">
        <v>671</v>
      </c>
      <c r="N731" s="20" t="s">
        <v>702</v>
      </c>
      <c r="P731" s="20" t="s">
        <v>671</v>
      </c>
      <c r="Q731" s="20" t="s">
        <v>673</v>
      </c>
      <c r="R731" s="20" t="s">
        <v>84</v>
      </c>
      <c r="S731" s="20" t="s">
        <v>123</v>
      </c>
      <c r="T731" s="20" t="s">
        <v>172</v>
      </c>
      <c r="U731" s="20" t="s">
        <v>173</v>
      </c>
      <c r="V731" s="20" t="s">
        <v>87</v>
      </c>
      <c r="W731" s="20">
        <v>531</v>
      </c>
      <c r="X731" s="20">
        <v>531</v>
      </c>
      <c r="Y731" s="20" t="s">
        <v>2160</v>
      </c>
      <c r="Z731" s="20">
        <v>0.5</v>
      </c>
      <c r="AA731" s="20" t="s">
        <v>2161</v>
      </c>
      <c r="AB731" s="20" t="s">
        <v>176</v>
      </c>
      <c r="AC731" s="20" t="s">
        <v>177</v>
      </c>
      <c r="AD731" s="20" t="s">
        <v>2162</v>
      </c>
      <c r="AE731" s="20" t="s">
        <v>91</v>
      </c>
      <c r="AF731" s="20">
        <v>0.5</v>
      </c>
      <c r="AG731" s="20" t="s">
        <v>2588</v>
      </c>
      <c r="AH731" s="20">
        <v>1</v>
      </c>
      <c r="AI731" s="4" t="s">
        <v>97</v>
      </c>
      <c r="AJ731" s="20">
        <v>150</v>
      </c>
      <c r="AK731" s="4" t="s">
        <v>111</v>
      </c>
      <c r="AL731" s="4">
        <v>21</v>
      </c>
      <c r="AM731" s="4">
        <v>21</v>
      </c>
      <c r="AN731" s="4" t="s">
        <v>95</v>
      </c>
      <c r="AO731" s="4" t="s">
        <v>96</v>
      </c>
      <c r="AP731" s="4">
        <v>1</v>
      </c>
      <c r="AQ731" s="20">
        <v>49000</v>
      </c>
      <c r="AR731" s="4">
        <v>41801</v>
      </c>
      <c r="AS731" s="20">
        <v>7424.242424242424</v>
      </c>
      <c r="AT731" s="20">
        <v>8561.99</v>
      </c>
      <c r="AU731" s="20">
        <v>1137.7475757575758</v>
      </c>
      <c r="AV731" s="20">
        <v>621</v>
      </c>
      <c r="AW731" s="20">
        <v>0</v>
      </c>
      <c r="AX731" s="20">
        <v>20</v>
      </c>
      <c r="AY731" s="20">
        <v>641</v>
      </c>
      <c r="AZ731" s="20">
        <v>6.35</v>
      </c>
      <c r="BA731" s="20">
        <v>0</v>
      </c>
      <c r="BB731" s="6">
        <v>41773</v>
      </c>
      <c r="BC731" s="6">
        <v>41876</v>
      </c>
      <c r="BD731" s="6">
        <v>41844</v>
      </c>
      <c r="BE731" s="6">
        <v>41879</v>
      </c>
      <c r="BF731" s="6">
        <v>41873</v>
      </c>
      <c r="BG731" s="6">
        <v>41887</v>
      </c>
      <c r="BH731" s="6">
        <v>0</v>
      </c>
      <c r="BI731" s="6">
        <v>0</v>
      </c>
      <c r="BJ731" s="6">
        <v>0</v>
      </c>
      <c r="BK731" s="4" t="s">
        <v>401</v>
      </c>
      <c r="BL731" s="4" t="s">
        <v>401</v>
      </c>
      <c r="BM731" s="20">
        <v>20</v>
      </c>
      <c r="BN731" s="20">
        <v>126</v>
      </c>
      <c r="BO731" s="20">
        <v>0</v>
      </c>
      <c r="BP731" s="20">
        <v>0</v>
      </c>
      <c r="BQ731" s="20">
        <v>0</v>
      </c>
      <c r="BR731" s="20">
        <v>0</v>
      </c>
      <c r="BS731" s="20">
        <v>150</v>
      </c>
      <c r="BT731" s="20">
        <v>1284298.5</v>
      </c>
      <c r="BU731" s="20">
        <v>7350000</v>
      </c>
      <c r="BV731" s="20">
        <v>5.2026987353938212</v>
      </c>
    </row>
    <row r="732" spans="1:74">
      <c r="A732" s="10">
        <f t="shared" si="46"/>
        <v>0</v>
      </c>
      <c r="B732" s="10">
        <f t="shared" si="47"/>
        <v>0.5</v>
      </c>
      <c r="C732" s="12">
        <f t="shared" si="48"/>
        <v>5</v>
      </c>
      <c r="D732" s="12">
        <f t="shared" si="49"/>
        <v>8</v>
      </c>
      <c r="E732" s="20" t="s">
        <v>114</v>
      </c>
      <c r="F732" s="20" t="s">
        <v>671</v>
      </c>
      <c r="G732" s="20" t="s">
        <v>2155</v>
      </c>
      <c r="H732" s="20" t="s">
        <v>2156</v>
      </c>
      <c r="I732" s="20">
        <v>1</v>
      </c>
      <c r="J732" s="20" t="s">
        <v>2157</v>
      </c>
      <c r="K732" s="20" t="s">
        <v>2163</v>
      </c>
      <c r="L732" s="20" t="s">
        <v>2159</v>
      </c>
      <c r="M732" s="20" t="s">
        <v>671</v>
      </c>
      <c r="N732" s="20" t="s">
        <v>702</v>
      </c>
      <c r="P732" s="20" t="s">
        <v>671</v>
      </c>
      <c r="Q732" s="20" t="s">
        <v>673</v>
      </c>
      <c r="R732" s="20" t="s">
        <v>84</v>
      </c>
      <c r="S732" s="20" t="s">
        <v>123</v>
      </c>
      <c r="T732" s="20" t="s">
        <v>172</v>
      </c>
      <c r="U732" s="20" t="s">
        <v>173</v>
      </c>
      <c r="V732" s="20" t="s">
        <v>87</v>
      </c>
      <c r="W732" s="20">
        <v>531</v>
      </c>
      <c r="X732" s="20">
        <v>531</v>
      </c>
      <c r="Y732" s="20" t="s">
        <v>2160</v>
      </c>
      <c r="Z732" s="20">
        <v>0.5</v>
      </c>
      <c r="AA732" s="20" t="s">
        <v>2161</v>
      </c>
      <c r="AB732" s="20" t="s">
        <v>176</v>
      </c>
      <c r="AC732" s="20" t="s">
        <v>177</v>
      </c>
      <c r="AD732" s="20" t="s">
        <v>2162</v>
      </c>
      <c r="AE732" s="20" t="s">
        <v>91</v>
      </c>
      <c r="AF732" s="20">
        <v>0.5</v>
      </c>
      <c r="AG732" s="20" t="s">
        <v>2588</v>
      </c>
      <c r="AH732" s="20">
        <v>1</v>
      </c>
      <c r="AI732" s="4" t="s">
        <v>98</v>
      </c>
      <c r="AJ732" s="20">
        <v>80</v>
      </c>
      <c r="AK732" s="4" t="s">
        <v>111</v>
      </c>
      <c r="AL732" s="4">
        <v>21</v>
      </c>
      <c r="AM732" s="4">
        <v>21</v>
      </c>
      <c r="AN732" s="4" t="s">
        <v>95</v>
      </c>
      <c r="AO732" s="4" t="s">
        <v>96</v>
      </c>
      <c r="AP732" s="4">
        <v>1</v>
      </c>
      <c r="AQ732" s="20">
        <v>49000</v>
      </c>
      <c r="AR732" s="4">
        <v>41801</v>
      </c>
      <c r="AS732" s="20">
        <v>7424.242424242424</v>
      </c>
      <c r="AT732" s="20">
        <v>8271.99</v>
      </c>
      <c r="AU732" s="20">
        <v>847.74757575757576</v>
      </c>
      <c r="AV732" s="20">
        <v>331</v>
      </c>
      <c r="AW732" s="20">
        <v>0</v>
      </c>
      <c r="AX732" s="20">
        <v>20</v>
      </c>
      <c r="AY732" s="20">
        <v>351</v>
      </c>
      <c r="AZ732" s="20">
        <v>6.35</v>
      </c>
      <c r="BA732" s="20">
        <v>0</v>
      </c>
      <c r="BB732" s="6">
        <v>41773</v>
      </c>
      <c r="BC732" s="6">
        <v>41876</v>
      </c>
      <c r="BD732" s="6">
        <v>41844</v>
      </c>
      <c r="BE732" s="6">
        <v>41879</v>
      </c>
      <c r="BF732" s="6">
        <v>41873</v>
      </c>
      <c r="BG732" s="6">
        <v>41887</v>
      </c>
      <c r="BH732" s="6">
        <v>0</v>
      </c>
      <c r="BI732" s="6">
        <v>0</v>
      </c>
      <c r="BJ732" s="6">
        <v>0</v>
      </c>
      <c r="BK732" s="4" t="s">
        <v>401</v>
      </c>
      <c r="BL732" s="4" t="s">
        <v>401</v>
      </c>
      <c r="BM732" s="20">
        <v>20</v>
      </c>
      <c r="BN732" s="20">
        <v>3</v>
      </c>
      <c r="BO732" s="20">
        <v>0</v>
      </c>
      <c r="BP732" s="20">
        <v>0</v>
      </c>
      <c r="BQ732" s="20">
        <v>0</v>
      </c>
      <c r="BS732" s="20">
        <v>80</v>
      </c>
      <c r="BT732" s="20">
        <v>661759.19999999995</v>
      </c>
      <c r="BU732" s="20">
        <v>3920000</v>
      </c>
      <c r="BV732" s="20">
        <v>5.3850953090434759</v>
      </c>
    </row>
    <row r="733" spans="1:74">
      <c r="A733" s="10">
        <f t="shared" si="46"/>
        <v>0</v>
      </c>
      <c r="B733" s="10">
        <f t="shared" si="47"/>
        <v>0.5</v>
      </c>
      <c r="C733" s="12">
        <f t="shared" si="48"/>
        <v>5</v>
      </c>
      <c r="D733" s="12">
        <f t="shared" si="49"/>
        <v>10</v>
      </c>
      <c r="E733" s="20" t="s">
        <v>114</v>
      </c>
      <c r="F733" s="20" t="s">
        <v>671</v>
      </c>
      <c r="G733" s="20" t="s">
        <v>2155</v>
      </c>
      <c r="H733" s="20" t="s">
        <v>2164</v>
      </c>
      <c r="I733" s="20">
        <v>2</v>
      </c>
      <c r="J733" s="20" t="s">
        <v>2165</v>
      </c>
      <c r="K733" s="20" t="s">
        <v>2166</v>
      </c>
      <c r="L733" s="20" t="s">
        <v>2167</v>
      </c>
      <c r="M733" s="20" t="s">
        <v>671</v>
      </c>
      <c r="N733" s="20" t="s">
        <v>702</v>
      </c>
      <c r="P733" s="20" t="s">
        <v>671</v>
      </c>
      <c r="Q733" s="20" t="s">
        <v>673</v>
      </c>
      <c r="R733" s="20" t="s">
        <v>84</v>
      </c>
      <c r="S733" s="20">
        <v>5</v>
      </c>
      <c r="T733" s="20" t="s">
        <v>106</v>
      </c>
      <c r="U733" s="20" t="s">
        <v>107</v>
      </c>
      <c r="V733" s="20" t="s">
        <v>87</v>
      </c>
      <c r="W733" s="20">
        <v>532</v>
      </c>
      <c r="X733" s="20">
        <v>532</v>
      </c>
      <c r="Y733" s="20" t="s">
        <v>2168</v>
      </c>
      <c r="Z733" s="20">
        <v>0.5</v>
      </c>
      <c r="AA733" s="20" t="s">
        <v>2169</v>
      </c>
      <c r="AB733" s="20" t="s">
        <v>101</v>
      </c>
      <c r="AC733" s="20" t="s">
        <v>102</v>
      </c>
      <c r="AD733" s="20" t="s">
        <v>2170</v>
      </c>
      <c r="AE733" s="20" t="s">
        <v>91</v>
      </c>
      <c r="AF733" s="20">
        <v>0.5</v>
      </c>
      <c r="AG733" s="20" t="s">
        <v>2589</v>
      </c>
      <c r="AH733" s="20">
        <v>1</v>
      </c>
      <c r="AI733" s="4" t="s">
        <v>97</v>
      </c>
      <c r="AJ733" s="20">
        <v>120</v>
      </c>
      <c r="AK733" s="4" t="s">
        <v>111</v>
      </c>
      <c r="AL733" s="4">
        <v>21</v>
      </c>
      <c r="AM733" s="4">
        <v>21</v>
      </c>
      <c r="AN733" s="4" t="s">
        <v>95</v>
      </c>
      <c r="AO733" s="4" t="s">
        <v>96</v>
      </c>
      <c r="AP733" s="4">
        <v>1</v>
      </c>
      <c r="AQ733" s="20">
        <v>55000</v>
      </c>
      <c r="AR733" s="4">
        <v>41801</v>
      </c>
      <c r="AS733" s="20">
        <v>8333.3333333333321</v>
      </c>
      <c r="AT733" s="20">
        <v>9042.2800000000007</v>
      </c>
      <c r="AU733" s="20">
        <v>708.94666666666853</v>
      </c>
      <c r="AV733" s="20">
        <v>41</v>
      </c>
      <c r="AW733" s="20">
        <v>0</v>
      </c>
      <c r="AX733" s="20">
        <v>20</v>
      </c>
      <c r="AY733" s="20">
        <v>61</v>
      </c>
      <c r="AZ733" s="20">
        <v>7.2</v>
      </c>
      <c r="BA733" s="20">
        <v>0</v>
      </c>
      <c r="BB733" s="6">
        <v>41773</v>
      </c>
      <c r="BC733" s="6">
        <v>41876</v>
      </c>
      <c r="BD733" s="6">
        <v>41844</v>
      </c>
      <c r="BE733" s="6">
        <v>41879</v>
      </c>
      <c r="BF733" s="6">
        <v>41914</v>
      </c>
      <c r="BG733" s="6">
        <v>0</v>
      </c>
      <c r="BH733" s="6">
        <v>0</v>
      </c>
      <c r="BI733" s="6">
        <v>0</v>
      </c>
      <c r="BJ733" s="6">
        <v>0</v>
      </c>
      <c r="BK733" s="4" t="s">
        <v>401</v>
      </c>
      <c r="BL733" s="4" t="s">
        <v>401</v>
      </c>
      <c r="BM733" s="20">
        <v>119</v>
      </c>
      <c r="BN733" s="20">
        <v>0</v>
      </c>
      <c r="BO733" s="20">
        <v>0</v>
      </c>
      <c r="BP733" s="20">
        <v>0</v>
      </c>
      <c r="BQ733" s="20">
        <v>0</v>
      </c>
      <c r="BR733" s="20">
        <v>0</v>
      </c>
      <c r="BS733" s="20">
        <v>120</v>
      </c>
      <c r="BT733" s="20">
        <v>1085073.6000000001</v>
      </c>
      <c r="BU733" s="20">
        <v>6600000</v>
      </c>
      <c r="BV733" s="20">
        <v>5.5295788230402056</v>
      </c>
    </row>
    <row r="734" spans="1:74">
      <c r="A734" s="10">
        <f t="shared" si="46"/>
        <v>0</v>
      </c>
      <c r="B734" s="10">
        <f t="shared" si="47"/>
        <v>0.5</v>
      </c>
      <c r="C734" s="12">
        <f t="shared" si="48"/>
        <v>5</v>
      </c>
      <c r="D734" s="12">
        <f t="shared" si="49"/>
        <v>10</v>
      </c>
      <c r="E734" s="20" t="s">
        <v>114</v>
      </c>
      <c r="F734" s="20" t="s">
        <v>671</v>
      </c>
      <c r="G734" s="20" t="s">
        <v>2155</v>
      </c>
      <c r="H734" s="20" t="s">
        <v>2164</v>
      </c>
      <c r="I734" s="20">
        <v>2</v>
      </c>
      <c r="J734" s="20" t="s">
        <v>2165</v>
      </c>
      <c r="K734" s="20" t="s">
        <v>2171</v>
      </c>
      <c r="L734" s="20" t="s">
        <v>2167</v>
      </c>
      <c r="M734" s="20" t="s">
        <v>671</v>
      </c>
      <c r="N734" s="20" t="s">
        <v>702</v>
      </c>
      <c r="P734" s="20" t="s">
        <v>671</v>
      </c>
      <c r="Q734" s="20" t="s">
        <v>673</v>
      </c>
      <c r="R734" s="20" t="s">
        <v>84</v>
      </c>
      <c r="S734" s="20">
        <v>5</v>
      </c>
      <c r="T734" s="20" t="s">
        <v>106</v>
      </c>
      <c r="U734" s="20" t="s">
        <v>107</v>
      </c>
      <c r="V734" s="20" t="s">
        <v>87</v>
      </c>
      <c r="W734" s="20">
        <v>532</v>
      </c>
      <c r="X734" s="20">
        <v>532</v>
      </c>
      <c r="Y734" s="20" t="s">
        <v>2168</v>
      </c>
      <c r="Z734" s="20">
        <v>0.5</v>
      </c>
      <c r="AA734" s="20" t="s">
        <v>2169</v>
      </c>
      <c r="AB734" s="20" t="s">
        <v>101</v>
      </c>
      <c r="AC734" s="20" t="s">
        <v>102</v>
      </c>
      <c r="AD734" s="20" t="s">
        <v>2170</v>
      </c>
      <c r="AE734" s="20" t="s">
        <v>91</v>
      </c>
      <c r="AF734" s="20">
        <v>0.5</v>
      </c>
      <c r="AG734" s="20" t="s">
        <v>2589</v>
      </c>
      <c r="AH734" s="20">
        <v>1</v>
      </c>
      <c r="AI734" s="4" t="s">
        <v>98</v>
      </c>
      <c r="AJ734" s="20">
        <v>60</v>
      </c>
      <c r="AK734" s="4" t="s">
        <v>111</v>
      </c>
      <c r="AL734" s="4">
        <v>21</v>
      </c>
      <c r="AM734" s="4">
        <v>21</v>
      </c>
      <c r="AN734" s="4" t="s">
        <v>95</v>
      </c>
      <c r="AO734" s="4" t="s">
        <v>96</v>
      </c>
      <c r="AP734" s="4">
        <v>1</v>
      </c>
      <c r="AQ734" s="20">
        <v>55000</v>
      </c>
      <c r="AR734" s="4">
        <v>41801</v>
      </c>
      <c r="AS734" s="20">
        <v>8333.3333333333321</v>
      </c>
      <c r="AT734" s="20">
        <v>9021.2800000000007</v>
      </c>
      <c r="AU734" s="20">
        <v>687.94666666666853</v>
      </c>
      <c r="AV734" s="20">
        <v>20</v>
      </c>
      <c r="AW734" s="20">
        <v>0</v>
      </c>
      <c r="AX734" s="20">
        <v>20</v>
      </c>
      <c r="AY734" s="20">
        <v>40</v>
      </c>
      <c r="AZ734" s="20">
        <v>7.2</v>
      </c>
      <c r="BA734" s="20">
        <v>0</v>
      </c>
      <c r="BB734" s="6">
        <v>41773</v>
      </c>
      <c r="BC734" s="6">
        <v>41876</v>
      </c>
      <c r="BD734" s="6">
        <v>41844</v>
      </c>
      <c r="BE734" s="6">
        <v>41879</v>
      </c>
      <c r="BF734" s="6">
        <v>41914</v>
      </c>
      <c r="BG734" s="6">
        <v>0</v>
      </c>
      <c r="BH734" s="6">
        <v>0</v>
      </c>
      <c r="BI734" s="6">
        <v>0</v>
      </c>
      <c r="BJ734" s="6">
        <v>0</v>
      </c>
      <c r="BK734" s="4" t="s">
        <v>401</v>
      </c>
      <c r="BL734" s="4" t="s">
        <v>401</v>
      </c>
      <c r="BM734" s="20">
        <v>59</v>
      </c>
      <c r="BN734" s="20">
        <v>0</v>
      </c>
      <c r="BO734" s="20">
        <v>0</v>
      </c>
      <c r="BP734" s="20">
        <v>0</v>
      </c>
      <c r="BQ734" s="20">
        <v>0</v>
      </c>
      <c r="BR734" s="20">
        <v>0</v>
      </c>
      <c r="BS734" s="20">
        <v>60</v>
      </c>
      <c r="BT734" s="20">
        <v>541276.80000000005</v>
      </c>
      <c r="BU734" s="20">
        <v>3300000</v>
      </c>
      <c r="BV734" s="20">
        <v>5.5424507386978332</v>
      </c>
    </row>
    <row r="735" spans="1:74">
      <c r="A735" s="10">
        <f t="shared" si="46"/>
        <v>0</v>
      </c>
      <c r="B735" s="10">
        <f t="shared" si="47"/>
        <v>0</v>
      </c>
      <c r="C735" s="12" t="str">
        <f t="shared" si="48"/>
        <v/>
      </c>
      <c r="D735" s="12" t="str">
        <f t="shared" si="49"/>
        <v/>
      </c>
      <c r="E735" s="20" t="s">
        <v>91</v>
      </c>
      <c r="F735" s="20" t="s">
        <v>91</v>
      </c>
      <c r="G735" s="20" t="s">
        <v>91</v>
      </c>
      <c r="H735" s="20" t="s">
        <v>91</v>
      </c>
      <c r="I735" s="20">
        <v>0</v>
      </c>
      <c r="J735" s="20" t="s">
        <v>103</v>
      </c>
      <c r="K735" s="20" t="s">
        <v>104</v>
      </c>
      <c r="L735" s="20">
        <v>0</v>
      </c>
      <c r="M735" s="20" t="s">
        <v>105</v>
      </c>
      <c r="N735" s="20" t="s">
        <v>91</v>
      </c>
      <c r="O735" s="20" t="s">
        <v>2172</v>
      </c>
      <c r="Q735" s="20" t="s">
        <v>91</v>
      </c>
      <c r="R735" s="20" t="s">
        <v>91</v>
      </c>
      <c r="S735" s="20" t="s">
        <v>91</v>
      </c>
      <c r="U735" s="20" t="s">
        <v>91</v>
      </c>
      <c r="V735" s="20" t="s">
        <v>87</v>
      </c>
      <c r="X735" s="20" t="s">
        <v>91</v>
      </c>
      <c r="Y735" s="20" t="s">
        <v>91</v>
      </c>
      <c r="Z735" s="20">
        <v>2</v>
      </c>
      <c r="AB735" s="20" t="s">
        <v>91</v>
      </c>
      <c r="AD735" s="20" t="s">
        <v>91</v>
      </c>
      <c r="AE735" s="20" t="s">
        <v>91</v>
      </c>
      <c r="AF735" s="20">
        <v>2</v>
      </c>
      <c r="AG735" s="20">
        <v>0</v>
      </c>
      <c r="AH735" s="20">
        <v>1</v>
      </c>
      <c r="AM735" s="4" t="s">
        <v>91</v>
      </c>
      <c r="AP735" s="4" t="s">
        <v>91</v>
      </c>
      <c r="AQ735" s="20">
        <v>0</v>
      </c>
      <c r="AR735" s="4">
        <v>0</v>
      </c>
      <c r="AS735" s="20">
        <v>0</v>
      </c>
      <c r="AT735" s="20">
        <v>0</v>
      </c>
      <c r="AU735" s="20">
        <v>0</v>
      </c>
      <c r="AV735" s="20">
        <v>0</v>
      </c>
      <c r="AW735" s="20">
        <v>0</v>
      </c>
      <c r="AY735" s="20">
        <v>0</v>
      </c>
      <c r="AZ735" s="20">
        <v>0</v>
      </c>
      <c r="BA735" s="20">
        <v>0</v>
      </c>
      <c r="BB735" s="6">
        <v>0</v>
      </c>
      <c r="BC735" s="6">
        <v>0</v>
      </c>
      <c r="BD735" s="6">
        <v>0</v>
      </c>
      <c r="BE735" s="6">
        <v>0</v>
      </c>
      <c r="BF735" s="6">
        <v>0</v>
      </c>
      <c r="BG735" s="6">
        <v>0</v>
      </c>
      <c r="BH735" s="6">
        <v>0</v>
      </c>
      <c r="BI735" s="6">
        <v>0</v>
      </c>
      <c r="BJ735" s="6">
        <v>0</v>
      </c>
      <c r="BK735" s="4">
        <v>0</v>
      </c>
      <c r="BL735" s="4">
        <v>0</v>
      </c>
      <c r="BM735" s="20">
        <v>218</v>
      </c>
      <c r="BN735" s="20">
        <v>129</v>
      </c>
      <c r="BO735" s="20">
        <v>0</v>
      </c>
      <c r="BP735" s="20">
        <v>0</v>
      </c>
      <c r="BQ735" s="20">
        <v>0</v>
      </c>
      <c r="BR735" s="20">
        <v>0</v>
      </c>
      <c r="BS735" s="20">
        <v>410</v>
      </c>
      <c r="BT735" s="20">
        <v>3572408.0999999996</v>
      </c>
      <c r="BU735" s="20">
        <v>21170000</v>
      </c>
      <c r="BV735" s="20">
        <v>5.3872497225203766</v>
      </c>
    </row>
    <row r="736" spans="1:74">
      <c r="A736" s="10">
        <f t="shared" si="46"/>
        <v>0</v>
      </c>
      <c r="B736" s="10">
        <f t="shared" si="47"/>
        <v>0</v>
      </c>
      <c r="C736" s="12">
        <f t="shared" si="48"/>
        <v>7</v>
      </c>
      <c r="D736" s="12">
        <f t="shared" si="49"/>
        <v>8</v>
      </c>
      <c r="E736" s="20" t="s">
        <v>574</v>
      </c>
      <c r="F736" s="20" t="s">
        <v>1841</v>
      </c>
      <c r="G736" s="20" t="s">
        <v>2590</v>
      </c>
      <c r="H736" s="20" t="s">
        <v>2591</v>
      </c>
      <c r="I736" s="20">
        <v>1</v>
      </c>
      <c r="J736" s="20" t="s">
        <v>2592</v>
      </c>
      <c r="K736" s="20" t="s">
        <v>2593</v>
      </c>
      <c r="L736" s="20" t="s">
        <v>1222</v>
      </c>
      <c r="M736" s="20" t="s">
        <v>671</v>
      </c>
      <c r="N736" s="20" t="s">
        <v>1215</v>
      </c>
      <c r="P736" s="20" t="s">
        <v>671</v>
      </c>
      <c r="Q736" s="20" t="s">
        <v>673</v>
      </c>
      <c r="R736" s="20" t="s">
        <v>84</v>
      </c>
      <c r="S736" s="20" t="s">
        <v>123</v>
      </c>
      <c r="T736" s="20" t="s">
        <v>2594</v>
      </c>
      <c r="U736" s="20" t="s">
        <v>2595</v>
      </c>
      <c r="V736" s="20" t="s">
        <v>87</v>
      </c>
      <c r="W736" s="20">
        <v>801</v>
      </c>
      <c r="X736" s="20">
        <v>801</v>
      </c>
      <c r="Y736" s="20" t="s">
        <v>2596</v>
      </c>
      <c r="Z736" s="20">
        <v>1</v>
      </c>
      <c r="AA736" s="20" t="s">
        <v>2597</v>
      </c>
      <c r="AB736" s="20" t="s">
        <v>248</v>
      </c>
      <c r="AC736" s="20" t="s">
        <v>249</v>
      </c>
      <c r="AD736" s="20" t="s">
        <v>2598</v>
      </c>
      <c r="AE736" s="20" t="s">
        <v>400</v>
      </c>
      <c r="AF736" s="20">
        <v>1</v>
      </c>
      <c r="AG736" s="20" t="s">
        <v>2442</v>
      </c>
      <c r="AH736" s="20">
        <v>1</v>
      </c>
      <c r="AI736" s="4" t="s">
        <v>251</v>
      </c>
      <c r="AJ736" s="20">
        <v>100</v>
      </c>
      <c r="AK736" s="4" t="s">
        <v>1848</v>
      </c>
      <c r="AL736" s="4">
        <v>3</v>
      </c>
      <c r="AM736" s="4" t="s">
        <v>438</v>
      </c>
      <c r="AN736" s="4" t="s">
        <v>95</v>
      </c>
      <c r="AO736" s="4" t="s">
        <v>96</v>
      </c>
      <c r="AP736" s="4">
        <v>1</v>
      </c>
      <c r="AQ736" s="20">
        <v>45000</v>
      </c>
      <c r="AR736" s="4">
        <v>41822</v>
      </c>
      <c r="AS736" s="20">
        <v>10227.272727272726</v>
      </c>
      <c r="AT736" s="20">
        <v>9820</v>
      </c>
      <c r="AU736" s="20">
        <v>-407.27272727272612</v>
      </c>
      <c r="AV736" s="20">
        <v>0</v>
      </c>
      <c r="AW736" s="20">
        <v>0</v>
      </c>
      <c r="AX736" s="20">
        <v>20</v>
      </c>
      <c r="AY736" s="20">
        <v>20</v>
      </c>
      <c r="AZ736" s="20">
        <v>0</v>
      </c>
      <c r="BA736" s="20">
        <v>9800</v>
      </c>
      <c r="BB736" s="6">
        <v>41822</v>
      </c>
      <c r="BC736" s="6">
        <v>0</v>
      </c>
      <c r="BD736" s="6">
        <v>41879</v>
      </c>
      <c r="BE736" s="6">
        <v>0</v>
      </c>
      <c r="BF736" s="6">
        <v>41869</v>
      </c>
      <c r="BG736" s="6">
        <v>0</v>
      </c>
      <c r="BH736" s="6">
        <v>0</v>
      </c>
      <c r="BI736" s="6">
        <v>0</v>
      </c>
      <c r="BJ736" s="6">
        <v>0</v>
      </c>
      <c r="BK736" s="4" t="s">
        <v>401</v>
      </c>
      <c r="BL736" s="4" t="s">
        <v>401</v>
      </c>
      <c r="BM736" s="20">
        <v>100</v>
      </c>
      <c r="BN736" s="20">
        <v>0</v>
      </c>
      <c r="BO736" s="20">
        <v>0</v>
      </c>
      <c r="BP736" s="20">
        <v>0</v>
      </c>
      <c r="BQ736" s="20">
        <v>0</v>
      </c>
      <c r="BR736" s="20">
        <v>0</v>
      </c>
      <c r="BS736" s="20">
        <v>100</v>
      </c>
      <c r="BT736" s="20">
        <v>982000</v>
      </c>
      <c r="BU736" s="20">
        <v>4500000</v>
      </c>
      <c r="BV736" s="20">
        <v>4.1658952045917426</v>
      </c>
    </row>
    <row r="737" spans="1:74">
      <c r="A737" s="10">
        <f t="shared" si="46"/>
        <v>0</v>
      </c>
      <c r="B737" s="10">
        <f t="shared" si="47"/>
        <v>0</v>
      </c>
      <c r="C737" s="12" t="str">
        <f t="shared" si="48"/>
        <v/>
      </c>
      <c r="D737" s="12" t="str">
        <f t="shared" si="49"/>
        <v/>
      </c>
      <c r="E737" s="20" t="s">
        <v>91</v>
      </c>
      <c r="F737" s="20" t="s">
        <v>91</v>
      </c>
      <c r="G737" s="20" t="s">
        <v>91</v>
      </c>
      <c r="H737" s="20" t="s">
        <v>91</v>
      </c>
      <c r="I737" s="20">
        <v>0</v>
      </c>
      <c r="J737" s="20" t="s">
        <v>103</v>
      </c>
      <c r="K737" s="20" t="s">
        <v>104</v>
      </c>
      <c r="L737" s="20">
        <v>0</v>
      </c>
      <c r="M737" s="20" t="s">
        <v>105</v>
      </c>
      <c r="N737" s="20" t="s">
        <v>91</v>
      </c>
      <c r="O737" s="20" t="s">
        <v>2599</v>
      </c>
      <c r="Q737" s="20" t="s">
        <v>91</v>
      </c>
      <c r="R737" s="20" t="s">
        <v>91</v>
      </c>
      <c r="S737" s="20" t="s">
        <v>91</v>
      </c>
      <c r="U737" s="20" t="s">
        <v>91</v>
      </c>
      <c r="V737" s="20" t="s">
        <v>87</v>
      </c>
      <c r="X737" s="20" t="s">
        <v>91</v>
      </c>
      <c r="Y737" s="20" t="s">
        <v>91</v>
      </c>
      <c r="Z737" s="20">
        <v>1</v>
      </c>
      <c r="AB737" s="20" t="s">
        <v>91</v>
      </c>
      <c r="AD737" s="20" t="s">
        <v>91</v>
      </c>
      <c r="AE737" s="20" t="s">
        <v>91</v>
      </c>
      <c r="AF737" s="20">
        <v>1</v>
      </c>
      <c r="AG737" s="20">
        <v>0</v>
      </c>
      <c r="AH737" s="20">
        <v>1</v>
      </c>
      <c r="AM737" s="4" t="s">
        <v>91</v>
      </c>
      <c r="AP737" s="4" t="s">
        <v>91</v>
      </c>
      <c r="AQ737" s="20">
        <v>0</v>
      </c>
      <c r="AR737" s="4">
        <v>0</v>
      </c>
      <c r="AS737" s="20">
        <v>0</v>
      </c>
      <c r="AT737" s="20">
        <v>0</v>
      </c>
      <c r="AU737" s="20">
        <v>0</v>
      </c>
      <c r="AV737" s="20">
        <v>0</v>
      </c>
      <c r="AW737" s="20">
        <v>0</v>
      </c>
      <c r="AY737" s="20">
        <v>0</v>
      </c>
      <c r="AZ737" s="20">
        <v>0</v>
      </c>
      <c r="BA737" s="20">
        <v>0</v>
      </c>
      <c r="BB737" s="6">
        <v>0</v>
      </c>
      <c r="BC737" s="6">
        <v>0</v>
      </c>
      <c r="BD737" s="6">
        <v>0</v>
      </c>
      <c r="BE737" s="6">
        <v>0</v>
      </c>
      <c r="BF737" s="6">
        <v>0</v>
      </c>
      <c r="BG737" s="6">
        <v>0</v>
      </c>
      <c r="BH737" s="6">
        <v>0</v>
      </c>
      <c r="BI737" s="6">
        <v>0</v>
      </c>
      <c r="BJ737" s="6">
        <v>0</v>
      </c>
      <c r="BK737" s="4">
        <v>0</v>
      </c>
      <c r="BL737" s="4">
        <v>0</v>
      </c>
      <c r="BM737" s="20">
        <v>100</v>
      </c>
      <c r="BN737" s="20">
        <v>0</v>
      </c>
      <c r="BO737" s="20">
        <v>0</v>
      </c>
      <c r="BP737" s="20">
        <v>0</v>
      </c>
      <c r="BQ737" s="20">
        <v>0</v>
      </c>
      <c r="BR737" s="20">
        <v>0</v>
      </c>
      <c r="BS737" s="20">
        <v>100</v>
      </c>
      <c r="BT737" s="20">
        <v>982000</v>
      </c>
      <c r="BU737" s="20">
        <v>4500000</v>
      </c>
      <c r="BV737" s="20">
        <v>4.1658952045917426</v>
      </c>
    </row>
    <row r="738" spans="1:74">
      <c r="A738" s="10">
        <f t="shared" si="46"/>
        <v>0</v>
      </c>
      <c r="B738" s="10">
        <f t="shared" si="47"/>
        <v>0</v>
      </c>
      <c r="C738" s="12">
        <f t="shared" si="48"/>
        <v>7</v>
      </c>
      <c r="D738" s="12">
        <f t="shared" si="49"/>
        <v>9</v>
      </c>
      <c r="E738" s="20" t="s">
        <v>574</v>
      </c>
      <c r="F738" s="20" t="s">
        <v>1841</v>
      </c>
      <c r="G738" s="20" t="s">
        <v>2600</v>
      </c>
      <c r="H738" s="20" t="s">
        <v>2601</v>
      </c>
      <c r="I738" s="20">
        <v>1</v>
      </c>
      <c r="J738" s="20" t="s">
        <v>2602</v>
      </c>
      <c r="K738" s="20" t="s">
        <v>2603</v>
      </c>
      <c r="L738" s="20" t="s">
        <v>2604</v>
      </c>
      <c r="M738" s="20" t="s">
        <v>671</v>
      </c>
      <c r="N738" s="20" t="s">
        <v>702</v>
      </c>
      <c r="P738" s="20" t="s">
        <v>671</v>
      </c>
      <c r="Q738" s="20" t="s">
        <v>673</v>
      </c>
      <c r="R738" s="20" t="s">
        <v>84</v>
      </c>
      <c r="S738" s="20" t="s">
        <v>123</v>
      </c>
      <c r="T738" s="20" t="s">
        <v>1844</v>
      </c>
      <c r="U738" s="20" t="s">
        <v>1845</v>
      </c>
      <c r="V738" s="20" t="s">
        <v>87</v>
      </c>
      <c r="W738" s="20">
        <v>505</v>
      </c>
      <c r="X738" s="20">
        <v>505</v>
      </c>
      <c r="Y738" s="20" t="s">
        <v>2605</v>
      </c>
      <c r="Z738" s="20">
        <v>1</v>
      </c>
      <c r="AA738" s="20" t="s">
        <v>2606</v>
      </c>
      <c r="AB738" s="20" t="s">
        <v>248</v>
      </c>
      <c r="AC738" s="20" t="s">
        <v>249</v>
      </c>
      <c r="AD738" s="20" t="s">
        <v>2607</v>
      </c>
      <c r="AE738" s="20" t="s">
        <v>91</v>
      </c>
      <c r="AF738" s="20">
        <v>1</v>
      </c>
      <c r="AG738" s="20" t="s">
        <v>2442</v>
      </c>
      <c r="AH738" s="20">
        <v>1</v>
      </c>
      <c r="AI738" s="4" t="s">
        <v>647</v>
      </c>
      <c r="AJ738" s="20">
        <v>150</v>
      </c>
      <c r="AK738" s="4" t="s">
        <v>1848</v>
      </c>
      <c r="AL738" s="4">
        <v>4</v>
      </c>
      <c r="AM738" s="4" t="s">
        <v>470</v>
      </c>
      <c r="AN738" s="4" t="s">
        <v>95</v>
      </c>
      <c r="AO738" s="4" t="s">
        <v>96</v>
      </c>
      <c r="AP738" s="4">
        <v>1</v>
      </c>
      <c r="AQ738" s="20">
        <v>109000</v>
      </c>
      <c r="AR738" s="4">
        <v>41841</v>
      </c>
      <c r="AS738" s="20">
        <v>24772.727272727272</v>
      </c>
      <c r="AT738" s="20">
        <v>23520</v>
      </c>
      <c r="AU738" s="20">
        <v>-1252.7272727272721</v>
      </c>
      <c r="AV738" s="20">
        <v>0</v>
      </c>
      <c r="AW738" s="20">
        <v>0</v>
      </c>
      <c r="AX738" s="20">
        <v>20</v>
      </c>
      <c r="AY738" s="20">
        <v>20</v>
      </c>
      <c r="AZ738" s="20">
        <v>0</v>
      </c>
      <c r="BA738" s="20">
        <v>23500</v>
      </c>
      <c r="BB738" s="6">
        <v>41824</v>
      </c>
      <c r="BC738" s="6">
        <v>0</v>
      </c>
      <c r="BD738" s="6">
        <v>41879</v>
      </c>
      <c r="BE738" s="6">
        <v>0</v>
      </c>
      <c r="BF738" s="6">
        <v>41886</v>
      </c>
      <c r="BG738" s="6">
        <v>0</v>
      </c>
      <c r="BH738" s="6">
        <v>0</v>
      </c>
      <c r="BI738" s="6">
        <v>0</v>
      </c>
      <c r="BJ738" s="6">
        <v>0</v>
      </c>
      <c r="BK738" s="4" t="s">
        <v>401</v>
      </c>
      <c r="BL738" s="4" t="s">
        <v>401</v>
      </c>
      <c r="BM738" s="20">
        <v>150</v>
      </c>
      <c r="BN738" s="20">
        <v>0</v>
      </c>
      <c r="BO738" s="20">
        <v>0</v>
      </c>
      <c r="BP738" s="20">
        <v>0</v>
      </c>
      <c r="BQ738" s="20">
        <v>0</v>
      </c>
      <c r="BR738" s="20">
        <v>0</v>
      </c>
      <c r="BS738" s="20">
        <v>150</v>
      </c>
      <c r="BT738" s="20">
        <v>3528000</v>
      </c>
      <c r="BU738" s="20">
        <v>16350000</v>
      </c>
      <c r="BV738" s="20">
        <v>4.2130488559059982</v>
      </c>
    </row>
    <row r="739" spans="1:74">
      <c r="A739" s="10">
        <f t="shared" si="46"/>
        <v>0</v>
      </c>
      <c r="B739" s="10">
        <f t="shared" si="47"/>
        <v>0</v>
      </c>
      <c r="C739" s="12" t="str">
        <f t="shared" si="48"/>
        <v/>
      </c>
      <c r="D739" s="12" t="str">
        <f t="shared" si="49"/>
        <v/>
      </c>
      <c r="E739" s="20" t="s">
        <v>91</v>
      </c>
      <c r="F739" s="20" t="s">
        <v>91</v>
      </c>
      <c r="G739" s="20" t="s">
        <v>91</v>
      </c>
      <c r="H739" s="20" t="s">
        <v>91</v>
      </c>
      <c r="I739" s="20">
        <v>0</v>
      </c>
      <c r="J739" s="20" t="s">
        <v>103</v>
      </c>
      <c r="K739" s="20" t="s">
        <v>104</v>
      </c>
      <c r="L739" s="20">
        <v>0</v>
      </c>
      <c r="M739" s="20" t="s">
        <v>105</v>
      </c>
      <c r="N739" s="20" t="s">
        <v>91</v>
      </c>
      <c r="O739" s="20" t="s">
        <v>2608</v>
      </c>
      <c r="Q739" s="20" t="s">
        <v>91</v>
      </c>
      <c r="R739" s="20" t="s">
        <v>91</v>
      </c>
      <c r="S739" s="20" t="s">
        <v>91</v>
      </c>
      <c r="U739" s="20" t="s">
        <v>91</v>
      </c>
      <c r="V739" s="20" t="s">
        <v>87</v>
      </c>
      <c r="X739" s="20" t="s">
        <v>91</v>
      </c>
      <c r="Y739" s="20" t="s">
        <v>91</v>
      </c>
      <c r="Z739" s="20">
        <v>1</v>
      </c>
      <c r="AB739" s="20" t="s">
        <v>91</v>
      </c>
      <c r="AD739" s="20" t="s">
        <v>91</v>
      </c>
      <c r="AE739" s="20" t="s">
        <v>91</v>
      </c>
      <c r="AF739" s="20">
        <v>1</v>
      </c>
      <c r="AG739" s="20">
        <v>0</v>
      </c>
      <c r="AH739" s="20">
        <v>1</v>
      </c>
      <c r="AM739" s="4" t="s">
        <v>91</v>
      </c>
      <c r="AP739" s="4" t="s">
        <v>91</v>
      </c>
      <c r="AQ739" s="20">
        <v>0</v>
      </c>
      <c r="AR739" s="4">
        <v>0</v>
      </c>
      <c r="AS739" s="20">
        <v>0</v>
      </c>
      <c r="AT739" s="20">
        <v>0</v>
      </c>
      <c r="AU739" s="20">
        <v>0</v>
      </c>
      <c r="AV739" s="20">
        <v>0</v>
      </c>
      <c r="AW739" s="20">
        <v>0</v>
      </c>
      <c r="AY739" s="20">
        <v>0</v>
      </c>
      <c r="AZ739" s="20">
        <v>0</v>
      </c>
      <c r="BA739" s="20">
        <v>0</v>
      </c>
      <c r="BB739" s="6">
        <v>0</v>
      </c>
      <c r="BC739" s="6">
        <v>0</v>
      </c>
      <c r="BD739" s="6">
        <v>0</v>
      </c>
      <c r="BE739" s="6">
        <v>0</v>
      </c>
      <c r="BF739" s="6">
        <v>0</v>
      </c>
      <c r="BG739" s="6">
        <v>0</v>
      </c>
      <c r="BH739" s="6">
        <v>0</v>
      </c>
      <c r="BI739" s="6">
        <v>0</v>
      </c>
      <c r="BJ739" s="6">
        <v>0</v>
      </c>
      <c r="BK739" s="4">
        <v>0</v>
      </c>
      <c r="BL739" s="4">
        <v>0</v>
      </c>
      <c r="BM739" s="20">
        <v>150</v>
      </c>
      <c r="BN739" s="20">
        <v>0</v>
      </c>
      <c r="BO739" s="20">
        <v>0</v>
      </c>
      <c r="BP739" s="20">
        <v>0</v>
      </c>
      <c r="BQ739" s="20">
        <v>0</v>
      </c>
      <c r="BR739" s="20">
        <v>0</v>
      </c>
      <c r="BS739" s="20">
        <v>150</v>
      </c>
      <c r="BT739" s="20">
        <v>3528000</v>
      </c>
      <c r="BU739" s="20">
        <v>16350000</v>
      </c>
      <c r="BV739" s="20">
        <v>4.2130488559059982</v>
      </c>
    </row>
    <row r="740" spans="1:74">
      <c r="A740" s="10">
        <f t="shared" si="46"/>
        <v>0</v>
      </c>
      <c r="B740" s="10">
        <f t="shared" si="47"/>
        <v>0</v>
      </c>
      <c r="C740" s="12">
        <f t="shared" si="48"/>
        <v>11</v>
      </c>
      <c r="D740" s="12">
        <f t="shared" si="49"/>
        <v>12</v>
      </c>
      <c r="E740" s="20" t="s">
        <v>114</v>
      </c>
      <c r="F740" s="20" t="s">
        <v>671</v>
      </c>
      <c r="G740" s="20" t="s">
        <v>5388</v>
      </c>
      <c r="H740" s="20" t="s">
        <v>5389</v>
      </c>
      <c r="I740" s="20">
        <v>1</v>
      </c>
      <c r="J740" s="20" t="s">
        <v>5390</v>
      </c>
      <c r="K740" s="20" t="s">
        <v>5391</v>
      </c>
      <c r="L740" s="20" t="s">
        <v>1270</v>
      </c>
      <c r="M740" s="20" t="s">
        <v>671</v>
      </c>
      <c r="N740" s="20" t="s">
        <v>702</v>
      </c>
      <c r="P740" s="20" t="s">
        <v>671</v>
      </c>
      <c r="Q740" s="20" t="s">
        <v>673</v>
      </c>
      <c r="R740" s="20" t="s">
        <v>84</v>
      </c>
      <c r="S740" s="20">
        <v>5</v>
      </c>
      <c r="T740" s="20" t="s">
        <v>106</v>
      </c>
      <c r="U740" s="20" t="s">
        <v>107</v>
      </c>
      <c r="V740" s="20" t="s">
        <v>87</v>
      </c>
      <c r="W740" s="20">
        <v>511</v>
      </c>
      <c r="X740" s="20">
        <v>511</v>
      </c>
      <c r="Y740" s="20" t="s">
        <v>1271</v>
      </c>
      <c r="Z740" s="20">
        <v>0</v>
      </c>
      <c r="AA740" s="20" t="s">
        <v>1272</v>
      </c>
      <c r="AB740" s="20" t="s">
        <v>296</v>
      </c>
      <c r="AC740" s="20" t="s">
        <v>297</v>
      </c>
      <c r="AD740" s="20" t="s">
        <v>1273</v>
      </c>
      <c r="AE740" s="20" t="s">
        <v>400</v>
      </c>
      <c r="AF740" s="20">
        <v>0</v>
      </c>
      <c r="AG740" s="20" t="s">
        <v>2580</v>
      </c>
      <c r="AH740" s="20">
        <v>1</v>
      </c>
      <c r="AI740" s="4" t="s">
        <v>97</v>
      </c>
      <c r="AJ740" s="20">
        <v>250</v>
      </c>
      <c r="AK740" s="4" t="s">
        <v>111</v>
      </c>
      <c r="AL740" s="4">
        <v>29</v>
      </c>
      <c r="AM740" s="4">
        <v>29</v>
      </c>
      <c r="AN740" s="4" t="s">
        <v>95</v>
      </c>
      <c r="AO740" s="4" t="s">
        <v>96</v>
      </c>
      <c r="AP740" s="4">
        <v>1</v>
      </c>
      <c r="AQ740" s="20">
        <v>55000</v>
      </c>
      <c r="AR740" s="4">
        <v>41801</v>
      </c>
      <c r="AS740" s="20">
        <v>8333.3333333333321</v>
      </c>
      <c r="AT740" s="20">
        <v>9248.0600000000013</v>
      </c>
      <c r="AU740" s="20">
        <v>914.72666666666919</v>
      </c>
      <c r="AV740" s="20">
        <v>621</v>
      </c>
      <c r="AW740" s="20">
        <v>0</v>
      </c>
      <c r="AX740" s="20">
        <v>20</v>
      </c>
      <c r="AY740" s="20">
        <v>641</v>
      </c>
      <c r="AZ740" s="20">
        <v>6.9</v>
      </c>
      <c r="BA740" s="20">
        <v>0</v>
      </c>
      <c r="BB740" s="6">
        <v>41961</v>
      </c>
      <c r="BC740" s="6">
        <v>41990</v>
      </c>
      <c r="BD740" s="6">
        <v>41991</v>
      </c>
      <c r="BE740" s="6">
        <v>41992</v>
      </c>
      <c r="BF740" s="6">
        <v>41992</v>
      </c>
      <c r="BG740" s="6">
        <v>0</v>
      </c>
      <c r="BH740" s="6">
        <v>0</v>
      </c>
      <c r="BI740" s="6">
        <v>0</v>
      </c>
      <c r="BJ740" s="6">
        <v>0</v>
      </c>
      <c r="BK740" s="4" t="s">
        <v>401</v>
      </c>
      <c r="BL740" s="4" t="s">
        <v>401</v>
      </c>
      <c r="BM740" s="20">
        <v>251</v>
      </c>
      <c r="BN740" s="20">
        <v>0</v>
      </c>
      <c r="BO740" s="20">
        <v>0</v>
      </c>
      <c r="BP740" s="20">
        <v>0</v>
      </c>
      <c r="BQ740" s="20">
        <v>0</v>
      </c>
      <c r="BR740" s="20">
        <v>0</v>
      </c>
      <c r="BS740" s="20">
        <v>250</v>
      </c>
      <c r="BT740" s="20">
        <v>2312015.0000000005</v>
      </c>
      <c r="BU740" s="20">
        <v>13750000</v>
      </c>
      <c r="BV740" s="20">
        <v>5.4065393174352225</v>
      </c>
    </row>
    <row r="741" spans="1:74">
      <c r="A741" s="10">
        <f t="shared" si="46"/>
        <v>0</v>
      </c>
      <c r="B741" s="10">
        <f t="shared" si="47"/>
        <v>0</v>
      </c>
      <c r="C741" s="12">
        <f t="shared" si="48"/>
        <v>11</v>
      </c>
      <c r="D741" s="12">
        <f t="shared" si="49"/>
        <v>12</v>
      </c>
      <c r="E741" s="20" t="s">
        <v>114</v>
      </c>
      <c r="F741" s="20" t="s">
        <v>671</v>
      </c>
      <c r="G741" s="20" t="s">
        <v>5388</v>
      </c>
      <c r="H741" s="20" t="s">
        <v>5389</v>
      </c>
      <c r="I741" s="20">
        <v>1</v>
      </c>
      <c r="J741" s="20" t="s">
        <v>5390</v>
      </c>
      <c r="K741" s="20" t="s">
        <v>5392</v>
      </c>
      <c r="L741" s="20" t="s">
        <v>1270</v>
      </c>
      <c r="M741" s="20" t="s">
        <v>671</v>
      </c>
      <c r="N741" s="20" t="s">
        <v>702</v>
      </c>
      <c r="P741" s="20" t="s">
        <v>671</v>
      </c>
      <c r="Q741" s="20" t="s">
        <v>673</v>
      </c>
      <c r="R741" s="20" t="s">
        <v>84</v>
      </c>
      <c r="S741" s="20">
        <v>5</v>
      </c>
      <c r="T741" s="20" t="s">
        <v>106</v>
      </c>
      <c r="U741" s="20" t="s">
        <v>107</v>
      </c>
      <c r="V741" s="20" t="s">
        <v>87</v>
      </c>
      <c r="W741" s="20">
        <v>511</v>
      </c>
      <c r="X741" s="20">
        <v>511</v>
      </c>
      <c r="Y741" s="20" t="s">
        <v>1271</v>
      </c>
      <c r="Z741" s="20">
        <v>0</v>
      </c>
      <c r="AA741" s="20" t="s">
        <v>1272</v>
      </c>
      <c r="AB741" s="20" t="s">
        <v>296</v>
      </c>
      <c r="AC741" s="20" t="s">
        <v>297</v>
      </c>
      <c r="AD741" s="20" t="s">
        <v>1273</v>
      </c>
      <c r="AE741" s="20" t="s">
        <v>400</v>
      </c>
      <c r="AF741" s="20">
        <v>0</v>
      </c>
      <c r="AG741" s="20" t="s">
        <v>2580</v>
      </c>
      <c r="AH741" s="20">
        <v>1</v>
      </c>
      <c r="AI741" s="4" t="s">
        <v>98</v>
      </c>
      <c r="AJ741" s="20">
        <v>50</v>
      </c>
      <c r="AK741" s="4" t="s">
        <v>111</v>
      </c>
      <c r="AL741" s="4">
        <v>29</v>
      </c>
      <c r="AM741" s="4">
        <v>29</v>
      </c>
      <c r="AN741" s="4" t="s">
        <v>95</v>
      </c>
      <c r="AO741" s="4" t="s">
        <v>96</v>
      </c>
      <c r="AP741" s="4">
        <v>1</v>
      </c>
      <c r="AQ741" s="20">
        <v>55000</v>
      </c>
      <c r="AR741" s="4">
        <v>41801</v>
      </c>
      <c r="AS741" s="20">
        <v>8333.3333333333321</v>
      </c>
      <c r="AT741" s="20">
        <v>9248.0600000000013</v>
      </c>
      <c r="AU741" s="20">
        <v>914.72666666666919</v>
      </c>
      <c r="AV741" s="20">
        <v>621</v>
      </c>
      <c r="AW741" s="20">
        <v>0</v>
      </c>
      <c r="AX741" s="20">
        <v>20</v>
      </c>
      <c r="AY741" s="20">
        <v>641</v>
      </c>
      <c r="AZ741" s="20">
        <v>6.9</v>
      </c>
      <c r="BA741" s="20">
        <v>0</v>
      </c>
      <c r="BB741" s="6">
        <v>41961</v>
      </c>
      <c r="BC741" s="6">
        <v>41990</v>
      </c>
      <c r="BD741" s="6">
        <v>41991</v>
      </c>
      <c r="BE741" s="6">
        <v>41992</v>
      </c>
      <c r="BF741" s="6">
        <v>41992</v>
      </c>
      <c r="BG741" s="6">
        <v>0</v>
      </c>
      <c r="BH741" s="6">
        <v>0</v>
      </c>
      <c r="BI741" s="6">
        <v>0</v>
      </c>
      <c r="BJ741" s="6">
        <v>0</v>
      </c>
      <c r="BK741" s="4" t="s">
        <v>401</v>
      </c>
      <c r="BL741" s="4" t="s">
        <v>401</v>
      </c>
      <c r="BM741" s="20">
        <v>48</v>
      </c>
      <c r="BN741" s="20">
        <v>0</v>
      </c>
      <c r="BO741" s="20">
        <v>0</v>
      </c>
      <c r="BP741" s="20">
        <v>0</v>
      </c>
      <c r="BQ741" s="20">
        <v>0</v>
      </c>
      <c r="BR741" s="20">
        <v>0</v>
      </c>
      <c r="BS741" s="20">
        <v>50</v>
      </c>
      <c r="BT741" s="20">
        <v>462403.00000000006</v>
      </c>
      <c r="BU741" s="20">
        <v>2750000</v>
      </c>
      <c r="BV741" s="20">
        <v>5.4065393174352234</v>
      </c>
    </row>
    <row r="742" spans="1:74">
      <c r="A742" s="10">
        <f t="shared" si="46"/>
        <v>0</v>
      </c>
      <c r="B742" s="10">
        <f t="shared" si="47"/>
        <v>0</v>
      </c>
      <c r="C742" s="12">
        <f t="shared" si="48"/>
        <v>11</v>
      </c>
      <c r="D742" s="12">
        <f t="shared" si="49"/>
        <v>12</v>
      </c>
      <c r="E742" s="20" t="s">
        <v>114</v>
      </c>
      <c r="F742" s="20" t="s">
        <v>671</v>
      </c>
      <c r="G742" s="20" t="s">
        <v>5388</v>
      </c>
      <c r="H742" s="20" t="s">
        <v>5393</v>
      </c>
      <c r="I742" s="20">
        <v>2</v>
      </c>
      <c r="J742" s="20" t="s">
        <v>5394</v>
      </c>
      <c r="K742" s="20" t="s">
        <v>5395</v>
      </c>
      <c r="L742" s="20" t="s">
        <v>1278</v>
      </c>
      <c r="M742" s="20" t="s">
        <v>671</v>
      </c>
      <c r="N742" s="20" t="s">
        <v>702</v>
      </c>
      <c r="P742" s="20" t="s">
        <v>671</v>
      </c>
      <c r="Q742" s="20" t="s">
        <v>673</v>
      </c>
      <c r="R742" s="20" t="s">
        <v>84</v>
      </c>
      <c r="S742" s="20">
        <v>5</v>
      </c>
      <c r="T742" s="20" t="s">
        <v>106</v>
      </c>
      <c r="U742" s="20" t="s">
        <v>107</v>
      </c>
      <c r="V742" s="20" t="s">
        <v>87</v>
      </c>
      <c r="W742" s="20">
        <v>512</v>
      </c>
      <c r="X742" s="20">
        <v>512</v>
      </c>
      <c r="Y742" s="20" t="s">
        <v>1279</v>
      </c>
      <c r="Z742" s="20">
        <v>0</v>
      </c>
      <c r="AA742" s="20" t="s">
        <v>1280</v>
      </c>
      <c r="AB742" s="20" t="s">
        <v>89</v>
      </c>
      <c r="AC742" s="20" t="s">
        <v>90</v>
      </c>
      <c r="AD742" s="20" t="s">
        <v>1281</v>
      </c>
      <c r="AE742" s="20" t="s">
        <v>400</v>
      </c>
      <c r="AF742" s="20">
        <v>0</v>
      </c>
      <c r="AG742" s="20" t="s">
        <v>2581</v>
      </c>
      <c r="AH742" s="20">
        <v>1</v>
      </c>
      <c r="AI742" s="4" t="s">
        <v>97</v>
      </c>
      <c r="AJ742" s="20">
        <v>250</v>
      </c>
      <c r="AK742" s="4" t="s">
        <v>111</v>
      </c>
      <c r="AL742" s="4">
        <v>29</v>
      </c>
      <c r="AM742" s="4">
        <v>29</v>
      </c>
      <c r="AN742" s="4" t="s">
        <v>95</v>
      </c>
      <c r="AO742" s="4" t="s">
        <v>96</v>
      </c>
      <c r="AP742" s="4">
        <v>1</v>
      </c>
      <c r="AQ742" s="20">
        <v>55000</v>
      </c>
      <c r="AR742" s="4">
        <v>41801</v>
      </c>
      <c r="AS742" s="20">
        <v>8333.3333333333321</v>
      </c>
      <c r="AT742" s="20">
        <v>9418.8000000000011</v>
      </c>
      <c r="AU742" s="20">
        <v>1085.466666666669</v>
      </c>
      <c r="AV742" s="20">
        <v>667</v>
      </c>
      <c r="AW742" s="20">
        <v>0</v>
      </c>
      <c r="AX742" s="20">
        <v>20</v>
      </c>
      <c r="AY742" s="20">
        <v>687</v>
      </c>
      <c r="AZ742" s="20">
        <v>7</v>
      </c>
      <c r="BA742" s="20">
        <v>0</v>
      </c>
      <c r="BB742" s="6">
        <v>41961</v>
      </c>
      <c r="BC742" s="6">
        <v>41990</v>
      </c>
      <c r="BD742" s="6">
        <v>41991</v>
      </c>
      <c r="BE742" s="6">
        <v>41992</v>
      </c>
      <c r="BF742" s="6">
        <v>41992</v>
      </c>
      <c r="BG742" s="6">
        <v>0</v>
      </c>
      <c r="BH742" s="6">
        <v>0</v>
      </c>
      <c r="BI742" s="6">
        <v>0</v>
      </c>
      <c r="BJ742" s="6">
        <v>0</v>
      </c>
      <c r="BK742" s="4" t="s">
        <v>401</v>
      </c>
      <c r="BL742" s="4" t="s">
        <v>401</v>
      </c>
      <c r="BM742" s="20">
        <v>247</v>
      </c>
      <c r="BN742" s="20">
        <v>0</v>
      </c>
      <c r="BO742" s="20">
        <v>0</v>
      </c>
      <c r="BP742" s="20">
        <v>0</v>
      </c>
      <c r="BQ742" s="20">
        <v>0</v>
      </c>
      <c r="BR742" s="20">
        <v>0</v>
      </c>
      <c r="BS742" s="20">
        <v>250</v>
      </c>
      <c r="BT742" s="20">
        <v>2354700.0000000005</v>
      </c>
      <c r="BU742" s="20">
        <v>13750000</v>
      </c>
      <c r="BV742" s="20">
        <v>5.3085318724253598</v>
      </c>
    </row>
    <row r="743" spans="1:74">
      <c r="A743" s="10">
        <f t="shared" si="46"/>
        <v>0</v>
      </c>
      <c r="B743" s="10">
        <f t="shared" si="47"/>
        <v>0</v>
      </c>
      <c r="C743" s="12">
        <f t="shared" si="48"/>
        <v>11</v>
      </c>
      <c r="D743" s="12">
        <f t="shared" si="49"/>
        <v>12</v>
      </c>
      <c r="E743" s="20" t="s">
        <v>114</v>
      </c>
      <c r="F743" s="20" t="s">
        <v>671</v>
      </c>
      <c r="G743" s="20" t="s">
        <v>5388</v>
      </c>
      <c r="H743" s="20" t="s">
        <v>5393</v>
      </c>
      <c r="I743" s="20">
        <v>2</v>
      </c>
      <c r="J743" s="20" t="s">
        <v>5394</v>
      </c>
      <c r="K743" s="20" t="s">
        <v>5396</v>
      </c>
      <c r="L743" s="20" t="s">
        <v>1278</v>
      </c>
      <c r="M743" s="20" t="s">
        <v>671</v>
      </c>
      <c r="N743" s="20" t="s">
        <v>702</v>
      </c>
      <c r="P743" s="20" t="s">
        <v>671</v>
      </c>
      <c r="Q743" s="20" t="s">
        <v>673</v>
      </c>
      <c r="R743" s="20" t="s">
        <v>84</v>
      </c>
      <c r="S743" s="20">
        <v>5</v>
      </c>
      <c r="T743" s="20" t="s">
        <v>106</v>
      </c>
      <c r="U743" s="20" t="s">
        <v>107</v>
      </c>
      <c r="V743" s="20" t="s">
        <v>87</v>
      </c>
      <c r="W743" s="20">
        <v>512</v>
      </c>
      <c r="X743" s="20">
        <v>512</v>
      </c>
      <c r="Y743" s="20" t="s">
        <v>1279</v>
      </c>
      <c r="Z743" s="20">
        <v>0</v>
      </c>
      <c r="AA743" s="20" t="s">
        <v>1280</v>
      </c>
      <c r="AB743" s="20" t="s">
        <v>89</v>
      </c>
      <c r="AC743" s="20" t="s">
        <v>90</v>
      </c>
      <c r="AD743" s="20" t="s">
        <v>1281</v>
      </c>
      <c r="AE743" s="20" t="s">
        <v>400</v>
      </c>
      <c r="AF743" s="20">
        <v>0</v>
      </c>
      <c r="AG743" s="20" t="s">
        <v>2581</v>
      </c>
      <c r="AH743" s="20">
        <v>1</v>
      </c>
      <c r="AI743" s="4" t="s">
        <v>98</v>
      </c>
      <c r="AJ743" s="20">
        <v>50</v>
      </c>
      <c r="AK743" s="4" t="s">
        <v>111</v>
      </c>
      <c r="AL743" s="4">
        <v>29</v>
      </c>
      <c r="AM743" s="4">
        <v>29</v>
      </c>
      <c r="AN743" s="4" t="s">
        <v>95</v>
      </c>
      <c r="AO743" s="4" t="s">
        <v>96</v>
      </c>
      <c r="AP743" s="4">
        <v>1</v>
      </c>
      <c r="AQ743" s="20">
        <v>55000</v>
      </c>
      <c r="AR743" s="4">
        <v>41801</v>
      </c>
      <c r="AS743" s="20">
        <v>8333.3333333333321</v>
      </c>
      <c r="AT743" s="20">
        <v>9418.8000000000011</v>
      </c>
      <c r="AU743" s="20">
        <v>1085.466666666669</v>
      </c>
      <c r="AV743" s="20">
        <v>667</v>
      </c>
      <c r="AW743" s="20">
        <v>0</v>
      </c>
      <c r="AX743" s="20">
        <v>20</v>
      </c>
      <c r="AY743" s="20">
        <v>687</v>
      </c>
      <c r="AZ743" s="20">
        <v>7</v>
      </c>
      <c r="BA743" s="20">
        <v>0</v>
      </c>
      <c r="BB743" s="6">
        <v>41961</v>
      </c>
      <c r="BC743" s="6">
        <v>41990</v>
      </c>
      <c r="BD743" s="6">
        <v>41991</v>
      </c>
      <c r="BE743" s="6">
        <v>41992</v>
      </c>
      <c r="BF743" s="6">
        <v>41992</v>
      </c>
      <c r="BG743" s="6">
        <v>0</v>
      </c>
      <c r="BH743" s="6">
        <v>0</v>
      </c>
      <c r="BI743" s="6">
        <v>0</v>
      </c>
      <c r="BJ743" s="6">
        <v>0</v>
      </c>
      <c r="BK743" s="4" t="s">
        <v>401</v>
      </c>
      <c r="BL743" s="4" t="s">
        <v>401</v>
      </c>
      <c r="BM743" s="20">
        <v>49</v>
      </c>
      <c r="BN743" s="20">
        <v>0</v>
      </c>
      <c r="BO743" s="20">
        <v>0</v>
      </c>
      <c r="BP743" s="20">
        <v>0</v>
      </c>
      <c r="BQ743" s="20">
        <v>0</v>
      </c>
      <c r="BR743" s="20">
        <v>0</v>
      </c>
      <c r="BS743" s="20">
        <v>50</v>
      </c>
      <c r="BT743" s="20">
        <v>470940.00000000006</v>
      </c>
      <c r="BU743" s="20">
        <v>2750000</v>
      </c>
      <c r="BV743" s="20">
        <v>5.3085318724253607</v>
      </c>
    </row>
    <row r="744" spans="1:74">
      <c r="A744" s="10">
        <f t="shared" si="46"/>
        <v>0</v>
      </c>
      <c r="B744" s="10">
        <f t="shared" si="47"/>
        <v>0</v>
      </c>
      <c r="C744" s="12" t="str">
        <f t="shared" si="48"/>
        <v/>
      </c>
      <c r="D744" s="12" t="str">
        <f t="shared" si="49"/>
        <v/>
      </c>
      <c r="E744" s="20" t="s">
        <v>91</v>
      </c>
      <c r="F744" s="20" t="s">
        <v>91</v>
      </c>
      <c r="G744" s="20" t="s">
        <v>91</v>
      </c>
      <c r="H744" s="20" t="s">
        <v>91</v>
      </c>
      <c r="I744" s="20">
        <v>0</v>
      </c>
      <c r="J744" s="20" t="s">
        <v>103</v>
      </c>
      <c r="K744" s="20" t="s">
        <v>104</v>
      </c>
      <c r="L744" s="20">
        <v>0</v>
      </c>
      <c r="M744" s="20" t="s">
        <v>105</v>
      </c>
      <c r="N744" s="20" t="s">
        <v>91</v>
      </c>
      <c r="O744" s="20" t="s">
        <v>5397</v>
      </c>
      <c r="Q744" s="20" t="s">
        <v>91</v>
      </c>
      <c r="R744" s="20" t="s">
        <v>91</v>
      </c>
      <c r="S744" s="20" t="s">
        <v>91</v>
      </c>
      <c r="U744" s="20" t="s">
        <v>91</v>
      </c>
      <c r="V744" s="20" t="s">
        <v>87</v>
      </c>
      <c r="X744" s="20" t="s">
        <v>91</v>
      </c>
      <c r="Y744" s="20" t="s">
        <v>91</v>
      </c>
      <c r="Z744" s="20">
        <v>0</v>
      </c>
      <c r="AB744" s="20" t="s">
        <v>91</v>
      </c>
      <c r="AD744" s="20" t="s">
        <v>91</v>
      </c>
      <c r="AE744" s="20" t="s">
        <v>91</v>
      </c>
      <c r="AF744" s="20">
        <v>0</v>
      </c>
      <c r="AG744" s="20">
        <v>0</v>
      </c>
      <c r="AH744" s="20">
        <v>1</v>
      </c>
      <c r="AM744" s="4" t="s">
        <v>91</v>
      </c>
      <c r="AP744" s="4" t="s">
        <v>91</v>
      </c>
      <c r="AQ744" s="20">
        <v>0</v>
      </c>
      <c r="AR744" s="4">
        <v>0</v>
      </c>
      <c r="AS744" s="20">
        <v>0</v>
      </c>
      <c r="AT744" s="20">
        <v>0</v>
      </c>
      <c r="AU744" s="20">
        <v>0</v>
      </c>
      <c r="AV744" s="20">
        <v>0</v>
      </c>
      <c r="AW744" s="20">
        <v>0</v>
      </c>
      <c r="AY744" s="20">
        <v>0</v>
      </c>
      <c r="AZ744" s="20">
        <v>0</v>
      </c>
      <c r="BA744" s="20">
        <v>0</v>
      </c>
      <c r="BB744" s="6">
        <v>0</v>
      </c>
      <c r="BC744" s="6">
        <v>0</v>
      </c>
      <c r="BD744" s="6">
        <v>0</v>
      </c>
      <c r="BE744" s="6">
        <v>0</v>
      </c>
      <c r="BF744" s="6">
        <v>0</v>
      </c>
      <c r="BG744" s="6">
        <v>0</v>
      </c>
      <c r="BH744" s="6">
        <v>0</v>
      </c>
      <c r="BI744" s="6">
        <v>0</v>
      </c>
      <c r="BJ744" s="6">
        <v>0</v>
      </c>
      <c r="BK744" s="4">
        <v>0</v>
      </c>
      <c r="BL744" s="4">
        <v>0</v>
      </c>
      <c r="BM744" s="20">
        <v>595</v>
      </c>
      <c r="BN744" s="20">
        <v>0</v>
      </c>
      <c r="BO744" s="20">
        <v>0</v>
      </c>
      <c r="BP744" s="20">
        <v>0</v>
      </c>
      <c r="BQ744" s="20">
        <v>0</v>
      </c>
      <c r="BR744" s="20">
        <v>0</v>
      </c>
      <c r="BS744" s="20">
        <v>600</v>
      </c>
      <c r="BT744" s="20">
        <v>5600058.0000000009</v>
      </c>
      <c r="BU744" s="20">
        <v>33000000</v>
      </c>
      <c r="BV744" s="20">
        <v>5.357087373023635</v>
      </c>
    </row>
    <row r="745" spans="1:74">
      <c r="A745" s="10">
        <f t="shared" si="46"/>
        <v>0</v>
      </c>
      <c r="B745" s="10">
        <f t="shared" si="47"/>
        <v>0</v>
      </c>
      <c r="C745" s="12">
        <f t="shared" si="48"/>
        <v>8</v>
      </c>
      <c r="D745" s="12">
        <f t="shared" si="49"/>
        <v>8</v>
      </c>
      <c r="E745" s="20" t="s">
        <v>114</v>
      </c>
      <c r="F745" s="20" t="s">
        <v>2667</v>
      </c>
      <c r="G745" s="20" t="s">
        <v>2668</v>
      </c>
      <c r="H745" s="20" t="s">
        <v>2669</v>
      </c>
      <c r="I745" s="20">
        <v>1</v>
      </c>
      <c r="J745" s="20" t="s">
        <v>2670</v>
      </c>
      <c r="K745" s="20" t="s">
        <v>2671</v>
      </c>
      <c r="L745" s="20" t="s">
        <v>2672</v>
      </c>
      <c r="M745" s="20" t="s">
        <v>2667</v>
      </c>
      <c r="N745" s="20" t="s">
        <v>2673</v>
      </c>
      <c r="P745" s="20" t="s">
        <v>2667</v>
      </c>
      <c r="Q745" s="20" t="s">
        <v>2674</v>
      </c>
      <c r="R745" s="20" t="s">
        <v>84</v>
      </c>
      <c r="S745" s="20" t="s">
        <v>123</v>
      </c>
      <c r="T745" s="20" t="s">
        <v>172</v>
      </c>
      <c r="U745" s="20" t="s">
        <v>173</v>
      </c>
      <c r="V745" s="20" t="s">
        <v>87</v>
      </c>
      <c r="W745" s="20">
        <v>649</v>
      </c>
      <c r="X745" s="20">
        <v>649</v>
      </c>
      <c r="Y745" s="20" t="s">
        <v>2675</v>
      </c>
      <c r="Z745" s="20">
        <v>0.5</v>
      </c>
      <c r="AA745" s="20" t="s">
        <v>2676</v>
      </c>
      <c r="AB745" s="20" t="s">
        <v>221</v>
      </c>
      <c r="AC745" s="20" t="s">
        <v>222</v>
      </c>
      <c r="AD745" s="20" t="s">
        <v>2677</v>
      </c>
      <c r="AE745" s="20" t="s">
        <v>400</v>
      </c>
      <c r="AF745" s="20">
        <v>1</v>
      </c>
      <c r="AG745" s="20">
        <v>0</v>
      </c>
      <c r="AH745" s="20">
        <v>1</v>
      </c>
      <c r="AI745" s="4" t="s">
        <v>251</v>
      </c>
      <c r="AJ745" s="20">
        <v>128</v>
      </c>
      <c r="AK745" s="4" t="s">
        <v>2678</v>
      </c>
      <c r="AL745" s="4">
        <v>1</v>
      </c>
      <c r="AM745" s="4" t="s">
        <v>130</v>
      </c>
      <c r="AN745" s="4" t="s">
        <v>95</v>
      </c>
      <c r="AO745" s="4" t="s">
        <v>131</v>
      </c>
      <c r="AP745" s="4">
        <v>2</v>
      </c>
      <c r="AQ745" s="20">
        <v>43000</v>
      </c>
      <c r="AR745" s="4">
        <v>41855</v>
      </c>
      <c r="AS745" s="20">
        <v>9772.7272727272721</v>
      </c>
      <c r="AT745" s="20">
        <v>8000</v>
      </c>
      <c r="AU745" s="20">
        <v>-1772.7272727272721</v>
      </c>
      <c r="AY745" s="20">
        <v>0</v>
      </c>
      <c r="BA745" s="20">
        <v>8000</v>
      </c>
      <c r="BB745" s="6">
        <v>41855</v>
      </c>
      <c r="BC745" s="6">
        <v>0</v>
      </c>
      <c r="BD745" s="6">
        <v>41862</v>
      </c>
      <c r="BF745" s="6">
        <v>41862</v>
      </c>
      <c r="BG745" s="6">
        <v>0</v>
      </c>
      <c r="BH745" s="6">
        <v>0</v>
      </c>
      <c r="BI745" s="6">
        <v>0</v>
      </c>
      <c r="BJ745" s="6">
        <v>0</v>
      </c>
      <c r="BL745" s="4">
        <v>0</v>
      </c>
      <c r="BM745" s="20">
        <v>117</v>
      </c>
      <c r="BN745" s="20">
        <v>0</v>
      </c>
      <c r="BO745" s="20">
        <v>0</v>
      </c>
      <c r="BP745" s="20">
        <v>0</v>
      </c>
      <c r="BQ745" s="20">
        <v>0</v>
      </c>
      <c r="BR745" s="20">
        <v>0</v>
      </c>
      <c r="BS745" s="20">
        <v>128</v>
      </c>
      <c r="BT745" s="20">
        <v>1024000</v>
      </c>
      <c r="BU745" s="20">
        <v>5504000</v>
      </c>
      <c r="BV745" s="20">
        <v>4.8863636363636367</v>
      </c>
    </row>
    <row r="746" spans="1:74">
      <c r="A746" s="10">
        <f t="shared" si="46"/>
        <v>0</v>
      </c>
      <c r="B746" s="10">
        <f t="shared" si="47"/>
        <v>0</v>
      </c>
      <c r="C746" s="12" t="str">
        <f t="shared" si="48"/>
        <v/>
      </c>
      <c r="D746" s="12" t="str">
        <f t="shared" si="49"/>
        <v/>
      </c>
      <c r="E746" s="20" t="s">
        <v>91</v>
      </c>
      <c r="F746" s="20" t="s">
        <v>91</v>
      </c>
      <c r="G746" s="20" t="s">
        <v>91</v>
      </c>
      <c r="H746" s="20" t="s">
        <v>91</v>
      </c>
      <c r="I746" s="20">
        <v>0</v>
      </c>
      <c r="J746" s="20" t="s">
        <v>103</v>
      </c>
      <c r="K746" s="20" t="s">
        <v>104</v>
      </c>
      <c r="L746" s="20">
        <v>0</v>
      </c>
      <c r="M746" s="20" t="s">
        <v>105</v>
      </c>
      <c r="N746" s="20" t="s">
        <v>91</v>
      </c>
      <c r="O746" s="20" t="s">
        <v>2683</v>
      </c>
      <c r="Q746" s="20" t="s">
        <v>91</v>
      </c>
      <c r="R746" s="20" t="s">
        <v>91</v>
      </c>
      <c r="U746" s="20" t="s">
        <v>91</v>
      </c>
      <c r="X746" s="20" t="s">
        <v>91</v>
      </c>
      <c r="Y746" s="20" t="s">
        <v>91</v>
      </c>
      <c r="Z746" s="20">
        <v>0.5</v>
      </c>
      <c r="AB746" s="20" t="s">
        <v>91</v>
      </c>
      <c r="AD746" s="20" t="s">
        <v>91</v>
      </c>
      <c r="AE746" s="20" t="s">
        <v>91</v>
      </c>
      <c r="AF746" s="20">
        <v>1</v>
      </c>
      <c r="AG746" s="20">
        <v>0</v>
      </c>
      <c r="AM746" s="4" t="s">
        <v>91</v>
      </c>
      <c r="AP746" s="4" t="s">
        <v>91</v>
      </c>
      <c r="AQ746" s="20">
        <v>0</v>
      </c>
      <c r="AR746" s="4">
        <v>0</v>
      </c>
      <c r="AS746" s="20">
        <v>0</v>
      </c>
      <c r="AT746" s="20">
        <v>0</v>
      </c>
      <c r="AU746" s="20">
        <v>0</v>
      </c>
      <c r="AY746" s="20">
        <v>0</v>
      </c>
      <c r="BB746" s="6">
        <v>0</v>
      </c>
      <c r="BD746" s="6">
        <v>0</v>
      </c>
      <c r="BM746" s="20">
        <v>117</v>
      </c>
      <c r="BN746" s="20">
        <v>0</v>
      </c>
      <c r="BO746" s="20">
        <v>0</v>
      </c>
      <c r="BP746" s="20">
        <v>0</v>
      </c>
      <c r="BQ746" s="20">
        <v>0</v>
      </c>
      <c r="BR746" s="20">
        <v>0</v>
      </c>
      <c r="BS746" s="20">
        <v>128</v>
      </c>
      <c r="BT746" s="20">
        <v>1024000</v>
      </c>
      <c r="BU746" s="20">
        <v>5504000</v>
      </c>
      <c r="BV746" s="20">
        <v>4.8863636363636367</v>
      </c>
    </row>
    <row r="747" spans="1:74">
      <c r="A747" s="10">
        <f t="shared" si="46"/>
        <v>0</v>
      </c>
      <c r="B747" s="10">
        <f t="shared" si="47"/>
        <v>0.5</v>
      </c>
      <c r="C747" s="12">
        <f t="shared" si="48"/>
        <v>8</v>
      </c>
      <c r="D747" s="12">
        <f t="shared" si="49"/>
        <v>8</v>
      </c>
      <c r="E747" s="20" t="s">
        <v>114</v>
      </c>
      <c r="F747" s="20" t="s">
        <v>2667</v>
      </c>
      <c r="G747" s="20" t="s">
        <v>2684</v>
      </c>
      <c r="H747" s="20" t="s">
        <v>2686</v>
      </c>
      <c r="I747" s="20">
        <v>1</v>
      </c>
      <c r="J747" s="20" t="s">
        <v>2685</v>
      </c>
      <c r="K747" s="20" t="s">
        <v>3814</v>
      </c>
      <c r="L747" s="20" t="s">
        <v>2672</v>
      </c>
      <c r="M747" s="20" t="s">
        <v>2667</v>
      </c>
      <c r="N747" s="20" t="s">
        <v>2687</v>
      </c>
      <c r="P747" s="20" t="s">
        <v>2667</v>
      </c>
      <c r="Q747" s="20" t="s">
        <v>2674</v>
      </c>
      <c r="R747" s="20" t="s">
        <v>84</v>
      </c>
      <c r="S747" s="20" t="s">
        <v>123</v>
      </c>
      <c r="T747" s="20" t="s">
        <v>172</v>
      </c>
      <c r="U747" s="20" t="s">
        <v>173</v>
      </c>
      <c r="V747" s="20" t="s">
        <v>87</v>
      </c>
      <c r="W747" s="20">
        <v>649</v>
      </c>
      <c r="X747" s="20">
        <v>649</v>
      </c>
      <c r="Y747" s="20" t="s">
        <v>2675</v>
      </c>
      <c r="Z747" s="20">
        <v>0.5</v>
      </c>
      <c r="AA747" s="20" t="s">
        <v>2688</v>
      </c>
      <c r="AB747" s="20" t="s">
        <v>101</v>
      </c>
      <c r="AC747" s="20" t="s">
        <v>102</v>
      </c>
      <c r="AD747" s="20" t="s">
        <v>2679</v>
      </c>
      <c r="AE747" s="20" t="s">
        <v>400</v>
      </c>
      <c r="AF747" s="20">
        <v>1</v>
      </c>
      <c r="AG747" s="20">
        <v>0</v>
      </c>
      <c r="AH747" s="20">
        <v>1</v>
      </c>
      <c r="AI747" s="4" t="s">
        <v>251</v>
      </c>
      <c r="AJ747" s="20">
        <v>500</v>
      </c>
      <c r="AK747" s="4" t="s">
        <v>111</v>
      </c>
      <c r="AL747" s="4">
        <v>23</v>
      </c>
      <c r="AM747" s="4">
        <v>23</v>
      </c>
      <c r="AN747" s="4" t="s">
        <v>95</v>
      </c>
      <c r="AO747" s="4" t="s">
        <v>96</v>
      </c>
      <c r="AP747" s="4">
        <v>1</v>
      </c>
      <c r="AQ747" s="20">
        <v>43000</v>
      </c>
      <c r="AR747" s="4">
        <v>41855</v>
      </c>
      <c r="AS747" s="20">
        <v>6515.151515151515</v>
      </c>
      <c r="AT747" s="20">
        <v>6074.4500000000007</v>
      </c>
      <c r="AU747" s="20">
        <v>-440.70151515151429</v>
      </c>
      <c r="AV747" s="20">
        <v>693</v>
      </c>
      <c r="AX747" s="20">
        <v>80</v>
      </c>
      <c r="AY747" s="20">
        <v>773</v>
      </c>
      <c r="AZ747" s="20">
        <v>4.25</v>
      </c>
      <c r="BB747" s="6">
        <v>41855</v>
      </c>
      <c r="BC747" s="6">
        <v>0</v>
      </c>
      <c r="BD747" s="6">
        <v>41862</v>
      </c>
      <c r="BE747" s="6">
        <v>0</v>
      </c>
      <c r="BF747" s="6">
        <v>41862</v>
      </c>
      <c r="BG747" s="6">
        <v>0</v>
      </c>
      <c r="BH747" s="6">
        <v>0</v>
      </c>
      <c r="BI747" s="6">
        <v>0</v>
      </c>
      <c r="BJ747" s="6">
        <v>0</v>
      </c>
      <c r="BK747" s="4">
        <v>0</v>
      </c>
      <c r="BL747" s="4">
        <v>0</v>
      </c>
      <c r="BM747" s="20">
        <v>500</v>
      </c>
      <c r="BN747" s="20">
        <v>0</v>
      </c>
      <c r="BO747" s="20">
        <v>0</v>
      </c>
      <c r="BP747" s="20">
        <v>0</v>
      </c>
      <c r="BQ747" s="20">
        <v>0</v>
      </c>
      <c r="BR747" s="20">
        <v>0</v>
      </c>
      <c r="BS747" s="20">
        <v>500</v>
      </c>
      <c r="BT747" s="20">
        <v>3037225.0000000005</v>
      </c>
      <c r="BU747" s="20">
        <v>21500000</v>
      </c>
      <c r="BV747" s="20">
        <v>6.4353001655967335</v>
      </c>
    </row>
    <row r="748" spans="1:74">
      <c r="A748" s="10">
        <f t="shared" si="46"/>
        <v>0</v>
      </c>
      <c r="B748" s="10">
        <f t="shared" si="47"/>
        <v>0</v>
      </c>
      <c r="C748" s="12" t="str">
        <f t="shared" si="48"/>
        <v/>
      </c>
      <c r="D748" s="12" t="str">
        <f t="shared" si="49"/>
        <v/>
      </c>
      <c r="E748" s="20" t="s">
        <v>91</v>
      </c>
      <c r="F748" s="20" t="s">
        <v>91</v>
      </c>
      <c r="G748" s="20" t="s">
        <v>91</v>
      </c>
      <c r="H748" s="20" t="s">
        <v>91</v>
      </c>
      <c r="I748" s="20">
        <v>0</v>
      </c>
      <c r="J748" s="20" t="s">
        <v>103</v>
      </c>
      <c r="K748" s="20" t="s">
        <v>104</v>
      </c>
      <c r="L748" s="20">
        <v>0</v>
      </c>
      <c r="M748" s="20" t="s">
        <v>105</v>
      </c>
      <c r="N748" s="20" t="s">
        <v>91</v>
      </c>
      <c r="O748" s="20" t="s">
        <v>2689</v>
      </c>
      <c r="Q748" s="20" t="s">
        <v>91</v>
      </c>
      <c r="R748" s="20" t="s">
        <v>91</v>
      </c>
      <c r="U748" s="20" t="s">
        <v>91</v>
      </c>
      <c r="X748" s="20" t="s">
        <v>91</v>
      </c>
      <c r="Y748" s="20" t="s">
        <v>91</v>
      </c>
      <c r="Z748" s="20">
        <v>0.5</v>
      </c>
      <c r="AB748" s="20" t="s">
        <v>91</v>
      </c>
      <c r="AD748" s="20" t="s">
        <v>91</v>
      </c>
      <c r="AE748" s="20" t="s">
        <v>91</v>
      </c>
      <c r="AF748" s="20">
        <v>1</v>
      </c>
      <c r="AG748" s="20">
        <v>0</v>
      </c>
      <c r="AM748" s="4" t="s">
        <v>91</v>
      </c>
      <c r="AP748" s="4" t="s">
        <v>91</v>
      </c>
      <c r="AQ748" s="20">
        <v>0</v>
      </c>
      <c r="AR748" s="4">
        <v>0</v>
      </c>
      <c r="AS748" s="20">
        <v>0</v>
      </c>
      <c r="AT748" s="20">
        <v>0</v>
      </c>
      <c r="AU748" s="20">
        <v>0</v>
      </c>
      <c r="AY748" s="20">
        <v>0</v>
      </c>
      <c r="BB748" s="6">
        <v>0</v>
      </c>
      <c r="BD748" s="6">
        <v>0</v>
      </c>
      <c r="BM748" s="20">
        <v>500</v>
      </c>
      <c r="BN748" s="20">
        <v>0</v>
      </c>
      <c r="BO748" s="20">
        <v>0</v>
      </c>
      <c r="BP748" s="20">
        <v>0</v>
      </c>
      <c r="BQ748" s="20">
        <v>0</v>
      </c>
      <c r="BR748" s="20">
        <v>0</v>
      </c>
      <c r="BS748" s="20">
        <v>500</v>
      </c>
      <c r="BT748" s="20">
        <v>3037225.0000000005</v>
      </c>
      <c r="BU748" s="20">
        <v>21500000</v>
      </c>
      <c r="BV748" s="20">
        <v>6.4353001655967335</v>
      </c>
    </row>
    <row r="749" spans="1:74">
      <c r="A749" s="10">
        <f t="shared" si="46"/>
        <v>0</v>
      </c>
      <c r="B749" s="10">
        <f t="shared" si="47"/>
        <v>1</v>
      </c>
      <c r="C749" s="12">
        <f t="shared" si="48"/>
        <v>8</v>
      </c>
      <c r="D749" s="12">
        <f t="shared" si="49"/>
        <v>8</v>
      </c>
      <c r="E749" s="20" t="s">
        <v>114</v>
      </c>
      <c r="F749" s="20" t="s">
        <v>2667</v>
      </c>
      <c r="G749" s="20" t="s">
        <v>2690</v>
      </c>
      <c r="H749" s="20" t="s">
        <v>2691</v>
      </c>
      <c r="I749" s="20">
        <v>1</v>
      </c>
      <c r="J749" s="20" t="s">
        <v>2692</v>
      </c>
      <c r="K749" s="20" t="s">
        <v>2693</v>
      </c>
      <c r="L749" s="20" t="s">
        <v>2694</v>
      </c>
      <c r="M749" s="20" t="s">
        <v>2667</v>
      </c>
      <c r="N749" s="20" t="s">
        <v>2695</v>
      </c>
      <c r="P749" s="20" t="s">
        <v>2667</v>
      </c>
      <c r="Q749" s="20" t="s">
        <v>2674</v>
      </c>
      <c r="R749" s="20" t="s">
        <v>84</v>
      </c>
      <c r="S749" s="20" t="s">
        <v>123</v>
      </c>
      <c r="T749" s="20" t="s">
        <v>453</v>
      </c>
      <c r="U749" s="20" t="s">
        <v>454</v>
      </c>
      <c r="V749" s="20" t="s">
        <v>87</v>
      </c>
      <c r="W749" s="20">
        <v>818</v>
      </c>
      <c r="X749" s="20">
        <v>818</v>
      </c>
      <c r="Y749" s="20" t="s">
        <v>2696</v>
      </c>
      <c r="Z749" s="20">
        <v>1</v>
      </c>
      <c r="AA749" s="20" t="s">
        <v>2697</v>
      </c>
      <c r="AB749" s="20" t="s">
        <v>139</v>
      </c>
      <c r="AC749" s="20" t="s">
        <v>140</v>
      </c>
      <c r="AD749" s="20" t="s">
        <v>2698</v>
      </c>
      <c r="AE749" s="20" t="s">
        <v>400</v>
      </c>
      <c r="AF749" s="20">
        <v>1</v>
      </c>
      <c r="AG749" s="20">
        <v>0</v>
      </c>
      <c r="AH749" s="20">
        <v>1</v>
      </c>
      <c r="AI749" s="4" t="s">
        <v>251</v>
      </c>
      <c r="AJ749" s="20">
        <v>100</v>
      </c>
      <c r="AK749" s="4" t="s">
        <v>179</v>
      </c>
      <c r="AL749" s="4">
        <v>23</v>
      </c>
      <c r="AM749" s="4">
        <v>23</v>
      </c>
      <c r="AN749" s="4" t="s">
        <v>95</v>
      </c>
      <c r="AO749" s="4" t="s">
        <v>96</v>
      </c>
      <c r="AP749" s="4">
        <v>1</v>
      </c>
      <c r="AQ749" s="20">
        <v>59000</v>
      </c>
      <c r="AR749" s="4">
        <v>41855</v>
      </c>
      <c r="AS749" s="20">
        <v>8939.3939393939381</v>
      </c>
      <c r="AT749" s="20">
        <v>10020.99</v>
      </c>
      <c r="AU749" s="20">
        <v>1081.5960606060617</v>
      </c>
      <c r="AV749" s="20">
        <v>2040</v>
      </c>
      <c r="AX749" s="20">
        <v>60</v>
      </c>
      <c r="AY749" s="20">
        <v>2100</v>
      </c>
      <c r="AZ749" s="20">
        <v>6.35</v>
      </c>
      <c r="BB749" s="6">
        <v>41855</v>
      </c>
      <c r="BC749" s="6">
        <v>0</v>
      </c>
      <c r="BD749" s="6">
        <v>41862</v>
      </c>
      <c r="BE749" s="6">
        <v>0</v>
      </c>
      <c r="BF749" s="6">
        <v>41862</v>
      </c>
      <c r="BG749" s="6">
        <v>0</v>
      </c>
      <c r="BH749" s="6">
        <v>0</v>
      </c>
      <c r="BI749" s="6">
        <v>0</v>
      </c>
      <c r="BJ749" s="6">
        <v>0</v>
      </c>
      <c r="BK749" s="4">
        <v>0</v>
      </c>
      <c r="BL749" s="4">
        <v>0</v>
      </c>
      <c r="BM749" s="20">
        <v>100</v>
      </c>
      <c r="BN749" s="20">
        <v>0</v>
      </c>
      <c r="BO749" s="20">
        <v>0</v>
      </c>
      <c r="BP749" s="20">
        <v>0</v>
      </c>
      <c r="BQ749" s="20">
        <v>0</v>
      </c>
      <c r="BR749" s="20">
        <v>0</v>
      </c>
      <c r="BS749" s="20">
        <v>100</v>
      </c>
      <c r="BT749" s="20">
        <v>1002099</v>
      </c>
      <c r="BU749" s="20">
        <v>5900000</v>
      </c>
      <c r="BV749" s="20">
        <v>5.3524016725257315</v>
      </c>
    </row>
    <row r="750" spans="1:74">
      <c r="A750" s="10">
        <f t="shared" si="46"/>
        <v>0</v>
      </c>
      <c r="B750" s="10">
        <f t="shared" si="47"/>
        <v>0</v>
      </c>
      <c r="C750" s="12" t="str">
        <f t="shared" si="48"/>
        <v/>
      </c>
      <c r="D750" s="12" t="str">
        <f t="shared" si="49"/>
        <v/>
      </c>
      <c r="E750" s="20" t="s">
        <v>91</v>
      </c>
      <c r="F750" s="20" t="s">
        <v>91</v>
      </c>
      <c r="G750" s="20" t="s">
        <v>91</v>
      </c>
      <c r="H750" s="20" t="s">
        <v>91</v>
      </c>
      <c r="I750" s="20">
        <v>0</v>
      </c>
      <c r="J750" s="20" t="s">
        <v>103</v>
      </c>
      <c r="K750" s="20" t="s">
        <v>104</v>
      </c>
      <c r="L750" s="20">
        <v>0</v>
      </c>
      <c r="M750" s="20" t="s">
        <v>105</v>
      </c>
      <c r="N750" s="20" t="s">
        <v>91</v>
      </c>
      <c r="O750" s="20" t="s">
        <v>2699</v>
      </c>
      <c r="Q750" s="20" t="s">
        <v>91</v>
      </c>
      <c r="R750" s="20" t="s">
        <v>91</v>
      </c>
      <c r="U750" s="20" t="s">
        <v>91</v>
      </c>
      <c r="X750" s="20" t="s">
        <v>91</v>
      </c>
      <c r="Y750" s="20" t="s">
        <v>91</v>
      </c>
      <c r="Z750" s="20">
        <v>1</v>
      </c>
      <c r="AB750" s="20" t="s">
        <v>91</v>
      </c>
      <c r="AD750" s="20" t="s">
        <v>91</v>
      </c>
      <c r="AE750" s="20" t="s">
        <v>91</v>
      </c>
      <c r="AF750" s="20">
        <v>1</v>
      </c>
      <c r="AG750" s="20">
        <v>0</v>
      </c>
      <c r="AM750" s="4" t="s">
        <v>91</v>
      </c>
      <c r="AP750" s="4" t="s">
        <v>91</v>
      </c>
      <c r="AQ750" s="20">
        <v>0</v>
      </c>
      <c r="AR750" s="4">
        <v>0</v>
      </c>
      <c r="AS750" s="20">
        <v>0</v>
      </c>
      <c r="AT750" s="20">
        <v>0</v>
      </c>
      <c r="AU750" s="20">
        <v>0</v>
      </c>
      <c r="AY750" s="20">
        <v>0</v>
      </c>
      <c r="BB750" s="6">
        <v>0</v>
      </c>
      <c r="BD750" s="6">
        <v>0</v>
      </c>
      <c r="BM750" s="20">
        <v>100</v>
      </c>
      <c r="BN750" s="20">
        <v>0</v>
      </c>
      <c r="BO750" s="20">
        <v>0</v>
      </c>
      <c r="BP750" s="20">
        <v>0</v>
      </c>
      <c r="BQ750" s="20">
        <v>0</v>
      </c>
      <c r="BR750" s="20">
        <v>0</v>
      </c>
      <c r="BS750" s="20">
        <v>100</v>
      </c>
      <c r="BT750" s="20">
        <v>1002099</v>
      </c>
      <c r="BU750" s="20">
        <v>5900000</v>
      </c>
      <c r="BV750" s="20">
        <v>5.3524016725257315</v>
      </c>
    </row>
    <row r="751" spans="1:74">
      <c r="A751" s="10">
        <f t="shared" si="46"/>
        <v>0</v>
      </c>
      <c r="B751" s="10">
        <f t="shared" si="47"/>
        <v>0</v>
      </c>
      <c r="C751" s="12">
        <f t="shared" si="48"/>
        <v>8</v>
      </c>
      <c r="D751" s="12">
        <f t="shared" si="49"/>
        <v>8</v>
      </c>
      <c r="E751" s="20" t="s">
        <v>114</v>
      </c>
      <c r="F751" s="20" t="s">
        <v>2667</v>
      </c>
      <c r="G751" s="20" t="s">
        <v>2700</v>
      </c>
      <c r="H751" s="20" t="s">
        <v>2701</v>
      </c>
      <c r="I751" s="20">
        <v>1</v>
      </c>
      <c r="J751" s="20" t="s">
        <v>2702</v>
      </c>
      <c r="K751" s="20" t="s">
        <v>2703</v>
      </c>
      <c r="L751" s="20" t="s">
        <v>2704</v>
      </c>
      <c r="M751" s="20" t="s">
        <v>2667</v>
      </c>
      <c r="N751" s="20" t="s">
        <v>2687</v>
      </c>
      <c r="P751" s="20" t="s">
        <v>2667</v>
      </c>
      <c r="Q751" s="20" t="s">
        <v>2674</v>
      </c>
      <c r="R751" s="20" t="s">
        <v>84</v>
      </c>
      <c r="S751" s="20" t="s">
        <v>123</v>
      </c>
      <c r="T751" s="20" t="s">
        <v>172</v>
      </c>
      <c r="U751" s="20" t="s">
        <v>173</v>
      </c>
      <c r="V751" s="20" t="s">
        <v>87</v>
      </c>
      <c r="W751" s="20">
        <v>811</v>
      </c>
      <c r="X751" s="20">
        <v>811</v>
      </c>
      <c r="Y751" s="20" t="s">
        <v>2705</v>
      </c>
      <c r="Z751" s="20">
        <v>0.5</v>
      </c>
      <c r="AA751" s="20" t="s">
        <v>2706</v>
      </c>
      <c r="AB751" s="20" t="s">
        <v>2707</v>
      </c>
      <c r="AC751" s="20" t="s">
        <v>2708</v>
      </c>
      <c r="AD751" s="20" t="s">
        <v>2709</v>
      </c>
      <c r="AE751" s="20" t="s">
        <v>400</v>
      </c>
      <c r="AF751" s="20">
        <v>1</v>
      </c>
      <c r="AG751" s="20">
        <v>0</v>
      </c>
      <c r="AH751" s="20">
        <v>1</v>
      </c>
      <c r="AI751" s="4" t="s">
        <v>251</v>
      </c>
      <c r="AJ751" s="20">
        <v>300</v>
      </c>
      <c r="AK751" s="4" t="s">
        <v>93</v>
      </c>
      <c r="AL751" s="4">
        <v>10</v>
      </c>
      <c r="AM751" s="4">
        <v>10</v>
      </c>
      <c r="AN751" s="4" t="s">
        <v>95</v>
      </c>
      <c r="AO751" s="4" t="s">
        <v>96</v>
      </c>
      <c r="AP751" s="4">
        <v>1</v>
      </c>
      <c r="AQ751" s="20">
        <v>43000</v>
      </c>
      <c r="AR751" s="4">
        <v>41855</v>
      </c>
      <c r="AS751" s="20">
        <v>6515.151515151515</v>
      </c>
      <c r="AT751" s="20">
        <v>7504.4000000000015</v>
      </c>
      <c r="AU751" s="20">
        <v>989.24848484848644</v>
      </c>
      <c r="AX751" s="20">
        <v>20</v>
      </c>
      <c r="AY751" s="20">
        <v>20</v>
      </c>
      <c r="AZ751" s="20">
        <v>6</v>
      </c>
      <c r="BB751" s="6">
        <v>41855</v>
      </c>
      <c r="BC751" s="6">
        <v>0</v>
      </c>
      <c r="BD751" s="6">
        <v>41862</v>
      </c>
      <c r="BE751" s="6">
        <v>0</v>
      </c>
      <c r="BF751" s="6">
        <v>41862</v>
      </c>
      <c r="BG751" s="6">
        <v>0</v>
      </c>
      <c r="BH751" s="6">
        <v>0</v>
      </c>
      <c r="BI751" s="6">
        <v>0</v>
      </c>
      <c r="BJ751" s="6">
        <v>0</v>
      </c>
      <c r="BK751" s="4">
        <v>0</v>
      </c>
      <c r="BL751" s="4">
        <v>0</v>
      </c>
      <c r="BM751" s="20">
        <v>300</v>
      </c>
      <c r="BN751" s="20">
        <v>0</v>
      </c>
      <c r="BO751" s="20">
        <v>0</v>
      </c>
      <c r="BP751" s="20">
        <v>0</v>
      </c>
      <c r="BQ751" s="20">
        <v>0</v>
      </c>
      <c r="BR751" s="20">
        <v>0</v>
      </c>
      <c r="BS751" s="20">
        <v>300</v>
      </c>
      <c r="BT751" s="20">
        <v>2251320.0000000005</v>
      </c>
      <c r="BU751" s="20">
        <v>12900000</v>
      </c>
      <c r="BV751" s="20">
        <v>5.209065227187927</v>
      </c>
    </row>
    <row r="752" spans="1:74">
      <c r="A752" s="10">
        <f t="shared" si="46"/>
        <v>0</v>
      </c>
      <c r="B752" s="10">
        <f t="shared" si="47"/>
        <v>0</v>
      </c>
      <c r="C752" s="12">
        <f t="shared" si="48"/>
        <v>8</v>
      </c>
      <c r="D752" s="12">
        <f t="shared" si="49"/>
        <v>8</v>
      </c>
      <c r="E752" s="20" t="s">
        <v>114</v>
      </c>
      <c r="F752" s="20" t="s">
        <v>2667</v>
      </c>
      <c r="G752" s="20" t="s">
        <v>2700</v>
      </c>
      <c r="H752" s="20" t="s">
        <v>2710</v>
      </c>
      <c r="I752" s="20">
        <v>2</v>
      </c>
      <c r="J752" s="20" t="s">
        <v>2711</v>
      </c>
      <c r="K752" s="20" t="s">
        <v>2712</v>
      </c>
      <c r="L752" s="20" t="s">
        <v>2704</v>
      </c>
      <c r="M752" s="20" t="s">
        <v>2667</v>
      </c>
      <c r="N752" s="20" t="s">
        <v>2687</v>
      </c>
      <c r="P752" s="20" t="s">
        <v>2667</v>
      </c>
      <c r="Q752" s="20" t="s">
        <v>2674</v>
      </c>
      <c r="R752" s="20" t="s">
        <v>84</v>
      </c>
      <c r="S752" s="20" t="s">
        <v>123</v>
      </c>
      <c r="T752" s="20" t="s">
        <v>172</v>
      </c>
      <c r="U752" s="20" t="s">
        <v>173</v>
      </c>
      <c r="V752" s="20" t="s">
        <v>87</v>
      </c>
      <c r="W752" s="20">
        <v>811</v>
      </c>
      <c r="X752" s="20">
        <v>811</v>
      </c>
      <c r="Y752" s="20" t="s">
        <v>2705</v>
      </c>
      <c r="Z752" s="20">
        <v>0.5</v>
      </c>
      <c r="AA752" s="20" t="s">
        <v>2713</v>
      </c>
      <c r="AB752" s="20" t="s">
        <v>101</v>
      </c>
      <c r="AC752" s="20" t="s">
        <v>102</v>
      </c>
      <c r="AD752" s="20" t="s">
        <v>2714</v>
      </c>
      <c r="AE752" s="20" t="s">
        <v>400</v>
      </c>
      <c r="AF752" s="20">
        <v>1</v>
      </c>
      <c r="AG752" s="20">
        <v>0</v>
      </c>
      <c r="AH752" s="20">
        <v>1</v>
      </c>
      <c r="AI752" s="4" t="s">
        <v>251</v>
      </c>
      <c r="AJ752" s="20">
        <v>500</v>
      </c>
      <c r="AK752" s="4" t="s">
        <v>93</v>
      </c>
      <c r="AL752" s="4">
        <v>10</v>
      </c>
      <c r="AM752" s="4">
        <v>10</v>
      </c>
      <c r="AN752" s="4" t="s">
        <v>95</v>
      </c>
      <c r="AO752" s="4" t="s">
        <v>96</v>
      </c>
      <c r="AP752" s="4">
        <v>1</v>
      </c>
      <c r="AQ752" s="20">
        <v>43000</v>
      </c>
      <c r="AR752" s="4">
        <v>41855</v>
      </c>
      <c r="AS752" s="20">
        <v>6515.151515151515</v>
      </c>
      <c r="AT752" s="20">
        <v>7504.4000000000015</v>
      </c>
      <c r="AU752" s="20">
        <v>989.24848484848644</v>
      </c>
      <c r="AX752" s="20">
        <v>20</v>
      </c>
      <c r="AY752" s="20">
        <v>20</v>
      </c>
      <c r="AZ752" s="20">
        <v>6</v>
      </c>
      <c r="BB752" s="6">
        <v>41855</v>
      </c>
      <c r="BC752" s="6">
        <v>0</v>
      </c>
      <c r="BD752" s="6">
        <v>41862</v>
      </c>
      <c r="BE752" s="6">
        <v>0</v>
      </c>
      <c r="BF752" s="6">
        <v>41862</v>
      </c>
      <c r="BG752" s="6">
        <v>0</v>
      </c>
      <c r="BH752" s="6">
        <v>0</v>
      </c>
      <c r="BI752" s="6">
        <v>0</v>
      </c>
      <c r="BJ752" s="6">
        <v>0</v>
      </c>
      <c r="BK752" s="4">
        <v>0</v>
      </c>
      <c r="BL752" s="4">
        <v>0</v>
      </c>
      <c r="BM752" s="20">
        <v>500</v>
      </c>
      <c r="BN752" s="20">
        <v>0</v>
      </c>
      <c r="BO752" s="20">
        <v>0</v>
      </c>
      <c r="BP752" s="20">
        <v>0</v>
      </c>
      <c r="BQ752" s="20">
        <v>0</v>
      </c>
      <c r="BR752" s="20">
        <v>0</v>
      </c>
      <c r="BS752" s="20">
        <v>500</v>
      </c>
      <c r="BT752" s="20">
        <v>3752200.0000000009</v>
      </c>
      <c r="BU752" s="20">
        <v>21500000</v>
      </c>
      <c r="BV752" s="20">
        <v>5.209065227187927</v>
      </c>
    </row>
    <row r="753" spans="1:74">
      <c r="A753" s="10">
        <f t="shared" si="46"/>
        <v>0</v>
      </c>
      <c r="B753" s="10">
        <f t="shared" si="47"/>
        <v>0</v>
      </c>
      <c r="C753" s="12">
        <f t="shared" si="48"/>
        <v>8</v>
      </c>
      <c r="D753" s="12">
        <f t="shared" si="49"/>
        <v>8</v>
      </c>
      <c r="E753" s="20" t="s">
        <v>114</v>
      </c>
      <c r="F753" s="20" t="s">
        <v>2667</v>
      </c>
      <c r="G753" s="20" t="s">
        <v>2700</v>
      </c>
      <c r="H753" s="20" t="s">
        <v>2715</v>
      </c>
      <c r="I753" s="20">
        <v>3</v>
      </c>
      <c r="J753" s="20" t="s">
        <v>2716</v>
      </c>
      <c r="K753" s="20" t="s">
        <v>2717</v>
      </c>
      <c r="L753" s="20" t="s">
        <v>2718</v>
      </c>
      <c r="M753" s="20" t="s">
        <v>2667</v>
      </c>
      <c r="N753" s="20" t="s">
        <v>2687</v>
      </c>
      <c r="P753" s="20" t="s">
        <v>2667</v>
      </c>
      <c r="Q753" s="20" t="s">
        <v>2674</v>
      </c>
      <c r="R753" s="20" t="s">
        <v>84</v>
      </c>
      <c r="S753" s="20" t="s">
        <v>123</v>
      </c>
      <c r="T753" s="20" t="s">
        <v>172</v>
      </c>
      <c r="U753" s="20" t="s">
        <v>173</v>
      </c>
      <c r="V753" s="20" t="s">
        <v>87</v>
      </c>
      <c r="W753" s="20">
        <v>812</v>
      </c>
      <c r="X753" s="20">
        <v>812</v>
      </c>
      <c r="Y753" s="20" t="s">
        <v>2719</v>
      </c>
      <c r="Z753" s="20">
        <v>1</v>
      </c>
      <c r="AA753" s="20" t="s">
        <v>2720</v>
      </c>
      <c r="AB753" s="20" t="s">
        <v>109</v>
      </c>
      <c r="AC753" s="20" t="s">
        <v>110</v>
      </c>
      <c r="AD753" s="20" t="s">
        <v>2721</v>
      </c>
      <c r="AE753" s="20" t="s">
        <v>400</v>
      </c>
      <c r="AF753" s="20">
        <v>1</v>
      </c>
      <c r="AG753" s="20">
        <v>0</v>
      </c>
      <c r="AH753" s="20">
        <v>1</v>
      </c>
      <c r="AI753" s="4" t="s">
        <v>251</v>
      </c>
      <c r="AJ753" s="20">
        <v>300</v>
      </c>
      <c r="AK753" s="4" t="s">
        <v>93</v>
      </c>
      <c r="AL753" s="4">
        <v>10</v>
      </c>
      <c r="AM753" s="4">
        <v>10</v>
      </c>
      <c r="AN753" s="4" t="s">
        <v>95</v>
      </c>
      <c r="AO753" s="4" t="s">
        <v>96</v>
      </c>
      <c r="AP753" s="4">
        <v>1</v>
      </c>
      <c r="AQ753" s="20">
        <v>43000</v>
      </c>
      <c r="AR753" s="4">
        <v>41855</v>
      </c>
      <c r="AS753" s="20">
        <v>6515.151515151515</v>
      </c>
      <c r="AT753" s="20">
        <v>7753.880000000001</v>
      </c>
      <c r="AU753" s="20">
        <v>1238.728484848486</v>
      </c>
      <c r="AX753" s="20">
        <v>20</v>
      </c>
      <c r="AY753" s="20">
        <v>20</v>
      </c>
      <c r="AZ753" s="20">
        <v>6.2</v>
      </c>
      <c r="BB753" s="6">
        <v>41855</v>
      </c>
      <c r="BC753" s="6">
        <v>0</v>
      </c>
      <c r="BD753" s="6">
        <v>41862</v>
      </c>
      <c r="BE753" s="6">
        <v>0</v>
      </c>
      <c r="BF753" s="6">
        <v>41862</v>
      </c>
      <c r="BG753" s="6">
        <v>0</v>
      </c>
      <c r="BH753" s="6">
        <v>0</v>
      </c>
      <c r="BI753" s="6">
        <v>0</v>
      </c>
      <c r="BJ753" s="6">
        <v>0</v>
      </c>
      <c r="BK753" s="4">
        <v>0</v>
      </c>
      <c r="BL753" s="4">
        <v>0</v>
      </c>
      <c r="BM753" s="20">
        <v>300</v>
      </c>
      <c r="BN753" s="20">
        <v>0</v>
      </c>
      <c r="BO753" s="20">
        <v>0</v>
      </c>
      <c r="BP753" s="20">
        <v>0</v>
      </c>
      <c r="BQ753" s="20">
        <v>0</v>
      </c>
      <c r="BR753" s="20">
        <v>0</v>
      </c>
      <c r="BS753" s="20">
        <v>300</v>
      </c>
      <c r="BT753" s="20">
        <v>2326164.0000000005</v>
      </c>
      <c r="BU753" s="20">
        <v>12900000</v>
      </c>
      <c r="BV753" s="20">
        <v>5.0414642850945688</v>
      </c>
    </row>
    <row r="754" spans="1:74">
      <c r="A754" s="10">
        <f t="shared" si="46"/>
        <v>0</v>
      </c>
      <c r="B754" s="10">
        <f t="shared" si="47"/>
        <v>0</v>
      </c>
      <c r="C754" s="12">
        <f t="shared" si="48"/>
        <v>8</v>
      </c>
      <c r="D754" s="12">
        <f t="shared" si="49"/>
        <v>8</v>
      </c>
      <c r="E754" s="20" t="s">
        <v>114</v>
      </c>
      <c r="F754" s="20" t="s">
        <v>2667</v>
      </c>
      <c r="G754" s="20" t="s">
        <v>2700</v>
      </c>
      <c r="H754" s="20" t="s">
        <v>2736</v>
      </c>
      <c r="I754" s="20">
        <v>4</v>
      </c>
      <c r="J754" s="20" t="s">
        <v>2723</v>
      </c>
      <c r="K754" s="20" t="s">
        <v>3815</v>
      </c>
      <c r="L754" s="20" t="s">
        <v>2680</v>
      </c>
      <c r="M754" s="20" t="s">
        <v>2667</v>
      </c>
      <c r="N754" s="20" t="s">
        <v>2738</v>
      </c>
      <c r="P754" s="20" t="s">
        <v>2667</v>
      </c>
      <c r="Q754" s="20" t="s">
        <v>2674</v>
      </c>
      <c r="R754" s="20" t="s">
        <v>84</v>
      </c>
      <c r="S754" s="20" t="s">
        <v>123</v>
      </c>
      <c r="T754" s="20" t="s">
        <v>1401</v>
      </c>
      <c r="U754" s="20" t="s">
        <v>1402</v>
      </c>
      <c r="V754" s="20" t="s">
        <v>87</v>
      </c>
      <c r="W754" s="20">
        <v>640</v>
      </c>
      <c r="X754" s="20">
        <v>640</v>
      </c>
      <c r="Y754" s="20" t="s">
        <v>2681</v>
      </c>
      <c r="Z754" s="20">
        <v>1</v>
      </c>
      <c r="AA754" s="20" t="s">
        <v>2739</v>
      </c>
      <c r="AB754" s="20" t="s">
        <v>296</v>
      </c>
      <c r="AC754" s="20" t="s">
        <v>297</v>
      </c>
      <c r="AD754" s="20" t="s">
        <v>2682</v>
      </c>
      <c r="AE754" s="20" t="s">
        <v>400</v>
      </c>
      <c r="AF754" s="20">
        <v>1</v>
      </c>
      <c r="AG754" s="20">
        <v>0</v>
      </c>
      <c r="AH754" s="20">
        <v>1</v>
      </c>
      <c r="AI754" s="4" t="s">
        <v>251</v>
      </c>
      <c r="AJ754" s="20">
        <v>500</v>
      </c>
      <c r="AK754" s="4" t="s">
        <v>93</v>
      </c>
      <c r="AL754" s="4">
        <v>10</v>
      </c>
      <c r="AM754" s="4">
        <v>10</v>
      </c>
      <c r="AN754" s="4" t="s">
        <v>95</v>
      </c>
      <c r="AO754" s="4" t="s">
        <v>189</v>
      </c>
      <c r="AP754" s="4">
        <v>1</v>
      </c>
      <c r="AQ754" s="20">
        <v>43000</v>
      </c>
      <c r="AR754" s="4">
        <v>41855</v>
      </c>
      <c r="AS754" s="20">
        <v>6515.151515151515</v>
      </c>
      <c r="AT754" s="20">
        <v>5506.25</v>
      </c>
      <c r="AU754" s="20">
        <v>-1008.901515151515</v>
      </c>
      <c r="AX754" s="20">
        <v>20</v>
      </c>
      <c r="AY754" s="20">
        <v>20</v>
      </c>
      <c r="AZ754" s="20">
        <v>4.75</v>
      </c>
      <c r="BB754" s="6">
        <v>41855</v>
      </c>
      <c r="BC754" s="6">
        <v>0</v>
      </c>
      <c r="BD754" s="6">
        <v>41862</v>
      </c>
      <c r="BE754" s="6">
        <v>0</v>
      </c>
      <c r="BF754" s="6">
        <v>41862</v>
      </c>
      <c r="BG754" s="6">
        <v>0</v>
      </c>
      <c r="BH754" s="6">
        <v>0</v>
      </c>
      <c r="BI754" s="6">
        <v>0</v>
      </c>
      <c r="BJ754" s="6">
        <v>0</v>
      </c>
      <c r="BK754" s="4">
        <v>0</v>
      </c>
      <c r="BL754" s="4">
        <v>0</v>
      </c>
      <c r="BM754" s="20">
        <v>500</v>
      </c>
      <c r="BN754" s="20">
        <v>0</v>
      </c>
      <c r="BO754" s="20">
        <v>0</v>
      </c>
      <c r="BP754" s="20">
        <v>0</v>
      </c>
      <c r="BQ754" s="20">
        <v>0</v>
      </c>
      <c r="BR754" s="20">
        <v>0</v>
      </c>
      <c r="BS754" s="20">
        <v>500</v>
      </c>
      <c r="BT754" s="20">
        <v>2753125</v>
      </c>
      <c r="BU754" s="20">
        <v>21500000</v>
      </c>
      <c r="BV754" s="20">
        <v>7.0993705499948394</v>
      </c>
    </row>
    <row r="755" spans="1:74">
      <c r="A755" s="10">
        <f t="shared" si="46"/>
        <v>0</v>
      </c>
      <c r="B755" s="10">
        <f t="shared" si="47"/>
        <v>0</v>
      </c>
      <c r="C755" s="12">
        <f t="shared" si="48"/>
        <v>8</v>
      </c>
      <c r="D755" s="12">
        <f t="shared" si="49"/>
        <v>8</v>
      </c>
      <c r="E755" s="20" t="s">
        <v>114</v>
      </c>
      <c r="F755" s="20" t="s">
        <v>2667</v>
      </c>
      <c r="G755" s="20" t="s">
        <v>2700</v>
      </c>
      <c r="H755" s="20" t="s">
        <v>2722</v>
      </c>
      <c r="I755" s="20">
        <v>5</v>
      </c>
      <c r="J755" s="20" t="s">
        <v>2729</v>
      </c>
      <c r="K755" s="20" t="s">
        <v>3816</v>
      </c>
      <c r="L755" s="20" t="s">
        <v>2724</v>
      </c>
      <c r="M755" s="20" t="s">
        <v>2667</v>
      </c>
      <c r="N755" s="20" t="s">
        <v>2738</v>
      </c>
      <c r="P755" s="20" t="s">
        <v>2667</v>
      </c>
      <c r="Q755" s="20" t="s">
        <v>2674</v>
      </c>
      <c r="R755" s="20" t="s">
        <v>84</v>
      </c>
      <c r="S755" s="20" t="s">
        <v>123</v>
      </c>
      <c r="T755" s="20" t="s">
        <v>1401</v>
      </c>
      <c r="U755" s="20" t="s">
        <v>1402</v>
      </c>
      <c r="V755" s="20" t="s">
        <v>87</v>
      </c>
      <c r="W755" s="20">
        <v>642</v>
      </c>
      <c r="X755" s="20">
        <v>642</v>
      </c>
      <c r="Y755" s="20" t="s">
        <v>2726</v>
      </c>
      <c r="Z755" s="20">
        <v>1</v>
      </c>
      <c r="AA755" s="20" t="s">
        <v>2741</v>
      </c>
      <c r="AB755" s="20" t="s">
        <v>139</v>
      </c>
      <c r="AC755" s="20" t="s">
        <v>140</v>
      </c>
      <c r="AD755" s="20" t="s">
        <v>2727</v>
      </c>
      <c r="AE755" s="20" t="s">
        <v>400</v>
      </c>
      <c r="AF755" s="20">
        <v>1</v>
      </c>
      <c r="AG755" s="20">
        <v>0</v>
      </c>
      <c r="AH755" s="20">
        <v>1</v>
      </c>
      <c r="AI755" s="4" t="s">
        <v>251</v>
      </c>
      <c r="AJ755" s="20">
        <v>300</v>
      </c>
      <c r="AK755" s="4" t="s">
        <v>93</v>
      </c>
      <c r="AL755" s="4">
        <v>10</v>
      </c>
      <c r="AM755" s="4">
        <v>10</v>
      </c>
      <c r="AN755" s="4" t="s">
        <v>95</v>
      </c>
      <c r="AO755" s="4" t="s">
        <v>96</v>
      </c>
      <c r="AP755" s="4">
        <v>1</v>
      </c>
      <c r="AQ755" s="20">
        <v>43000</v>
      </c>
      <c r="AR755" s="4">
        <v>41855</v>
      </c>
      <c r="AS755" s="20">
        <v>6515.151515151515</v>
      </c>
      <c r="AT755" s="20">
        <v>6943.0700000000006</v>
      </c>
      <c r="AU755" s="20">
        <v>427.9184848484856</v>
      </c>
      <c r="AX755" s="20">
        <v>20</v>
      </c>
      <c r="AY755" s="20">
        <v>20</v>
      </c>
      <c r="AZ755" s="20">
        <v>5.55</v>
      </c>
      <c r="BB755" s="6">
        <v>41855</v>
      </c>
      <c r="BC755" s="6">
        <v>0</v>
      </c>
      <c r="BD755" s="6">
        <v>41862</v>
      </c>
      <c r="BE755" s="6">
        <v>0</v>
      </c>
      <c r="BF755" s="6">
        <v>41862</v>
      </c>
      <c r="BG755" s="6">
        <v>0</v>
      </c>
      <c r="BH755" s="6">
        <v>0</v>
      </c>
      <c r="BI755" s="6">
        <v>0</v>
      </c>
      <c r="BJ755" s="6">
        <v>0</v>
      </c>
      <c r="BK755" s="4">
        <v>0</v>
      </c>
      <c r="BL755" s="4">
        <v>0</v>
      </c>
      <c r="BM755" s="20">
        <v>300</v>
      </c>
      <c r="BN755" s="20">
        <v>0</v>
      </c>
      <c r="BO755" s="20">
        <v>0</v>
      </c>
      <c r="BP755" s="20">
        <v>0</v>
      </c>
      <c r="BQ755" s="20">
        <v>0</v>
      </c>
      <c r="BR755" s="20">
        <v>0</v>
      </c>
      <c r="BS755" s="20">
        <v>300</v>
      </c>
      <c r="BT755" s="20">
        <v>2082921.0000000002</v>
      </c>
      <c r="BU755" s="20">
        <v>12900000</v>
      </c>
      <c r="BV755" s="20">
        <v>5.6302052393118727</v>
      </c>
    </row>
    <row r="756" spans="1:74">
      <c r="A756" s="10">
        <f t="shared" si="46"/>
        <v>0</v>
      </c>
      <c r="B756" s="10">
        <f t="shared" si="47"/>
        <v>0</v>
      </c>
      <c r="C756" s="12">
        <f t="shared" si="48"/>
        <v>8</v>
      </c>
      <c r="D756" s="12">
        <f t="shared" si="49"/>
        <v>8</v>
      </c>
      <c r="E756" s="20" t="s">
        <v>114</v>
      </c>
      <c r="F756" s="20" t="s">
        <v>2667</v>
      </c>
      <c r="G756" s="20" t="s">
        <v>2700</v>
      </c>
      <c r="H756" s="20" t="s">
        <v>2742</v>
      </c>
      <c r="I756" s="20">
        <v>6</v>
      </c>
      <c r="J756" s="20" t="s">
        <v>2734</v>
      </c>
      <c r="K756" s="20" t="s">
        <v>3817</v>
      </c>
      <c r="L756" s="20" t="s">
        <v>2744</v>
      </c>
      <c r="M756" s="20" t="s">
        <v>2667</v>
      </c>
      <c r="N756" s="20" t="s">
        <v>2738</v>
      </c>
      <c r="P756" s="20" t="s">
        <v>2667</v>
      </c>
      <c r="Q756" s="20" t="s">
        <v>2674</v>
      </c>
      <c r="R756" s="20" t="s">
        <v>84</v>
      </c>
      <c r="S756" s="20" t="s">
        <v>123</v>
      </c>
      <c r="T756" s="20" t="s">
        <v>1401</v>
      </c>
      <c r="U756" s="20" t="s">
        <v>1402</v>
      </c>
      <c r="V756" s="20" t="s">
        <v>87</v>
      </c>
      <c r="W756" s="20">
        <v>712</v>
      </c>
      <c r="X756" s="20">
        <v>712</v>
      </c>
      <c r="Y756" s="20" t="s">
        <v>2745</v>
      </c>
      <c r="Z756" s="20">
        <v>1</v>
      </c>
      <c r="AA756" s="20" t="s">
        <v>2746</v>
      </c>
      <c r="AB756" s="20" t="s">
        <v>139</v>
      </c>
      <c r="AC756" s="20" t="s">
        <v>140</v>
      </c>
      <c r="AD756" s="20" t="s">
        <v>2747</v>
      </c>
      <c r="AE756" s="20" t="s">
        <v>400</v>
      </c>
      <c r="AF756" s="20">
        <v>1</v>
      </c>
      <c r="AG756" s="20">
        <v>0</v>
      </c>
      <c r="AH756" s="20">
        <v>1</v>
      </c>
      <c r="AI756" s="4" t="s">
        <v>251</v>
      </c>
      <c r="AJ756" s="20">
        <v>300</v>
      </c>
      <c r="AK756" s="4" t="s">
        <v>93</v>
      </c>
      <c r="AL756" s="4">
        <v>10</v>
      </c>
      <c r="AM756" s="4">
        <v>10</v>
      </c>
      <c r="AN756" s="4" t="s">
        <v>95</v>
      </c>
      <c r="AO756" s="4" t="s">
        <v>96</v>
      </c>
      <c r="AP756" s="4">
        <v>1</v>
      </c>
      <c r="AQ756" s="20">
        <v>49000</v>
      </c>
      <c r="AR756" s="4">
        <v>41855</v>
      </c>
      <c r="AS756" s="20">
        <v>7424.242424242424</v>
      </c>
      <c r="AT756" s="20">
        <v>6693.59</v>
      </c>
      <c r="AU756" s="20">
        <v>-730.65242424242388</v>
      </c>
      <c r="AX756" s="20">
        <v>20</v>
      </c>
      <c r="AY756" s="20">
        <v>20</v>
      </c>
      <c r="AZ756" s="20">
        <v>5.35</v>
      </c>
      <c r="BB756" s="6">
        <v>41855</v>
      </c>
      <c r="BC756" s="6">
        <v>0</v>
      </c>
      <c r="BD756" s="6">
        <v>41862</v>
      </c>
      <c r="BE756" s="6">
        <v>0</v>
      </c>
      <c r="BF756" s="6">
        <v>41862</v>
      </c>
      <c r="BG756" s="6">
        <v>0</v>
      </c>
      <c r="BH756" s="6">
        <v>0</v>
      </c>
      <c r="BI756" s="6">
        <v>0</v>
      </c>
      <c r="BJ756" s="6">
        <v>0</v>
      </c>
      <c r="BK756" s="4">
        <v>0</v>
      </c>
      <c r="BL756" s="4">
        <v>0</v>
      </c>
      <c r="BM756" s="20">
        <v>300</v>
      </c>
      <c r="BN756" s="20">
        <v>0</v>
      </c>
      <c r="BO756" s="20">
        <v>0</v>
      </c>
      <c r="BP756" s="20">
        <v>0</v>
      </c>
      <c r="BQ756" s="20">
        <v>0</v>
      </c>
      <c r="BR756" s="20">
        <v>0</v>
      </c>
      <c r="BS756" s="20">
        <v>300</v>
      </c>
      <c r="BT756" s="20">
        <v>2008077</v>
      </c>
      <c r="BU756" s="20">
        <v>14700000</v>
      </c>
      <c r="BV756" s="20">
        <v>6.6549421977525576</v>
      </c>
    </row>
    <row r="757" spans="1:74">
      <c r="A757" s="10">
        <f t="shared" si="46"/>
        <v>0</v>
      </c>
      <c r="B757" s="10">
        <f t="shared" si="47"/>
        <v>0</v>
      </c>
      <c r="C757" s="12">
        <f t="shared" si="48"/>
        <v>8</v>
      </c>
      <c r="D757" s="12">
        <f t="shared" si="49"/>
        <v>8</v>
      </c>
      <c r="E757" s="20" t="s">
        <v>114</v>
      </c>
      <c r="F757" s="20" t="s">
        <v>2667</v>
      </c>
      <c r="G757" s="20" t="s">
        <v>2700</v>
      </c>
      <c r="H757" s="20" t="s">
        <v>2748</v>
      </c>
      <c r="I757" s="20">
        <v>7</v>
      </c>
      <c r="J757" s="20" t="s">
        <v>2737</v>
      </c>
      <c r="K757" s="20" t="s">
        <v>3818</v>
      </c>
      <c r="L757" s="20" t="s">
        <v>2750</v>
      </c>
      <c r="M757" s="20" t="s">
        <v>2667</v>
      </c>
      <c r="N757" s="20" t="s">
        <v>2738</v>
      </c>
      <c r="P757" s="20" t="s">
        <v>2667</v>
      </c>
      <c r="Q757" s="20" t="s">
        <v>2674</v>
      </c>
      <c r="R757" s="20" t="s">
        <v>84</v>
      </c>
      <c r="S757" s="20" t="s">
        <v>123</v>
      </c>
      <c r="T757" s="20" t="s">
        <v>1401</v>
      </c>
      <c r="U757" s="20" t="s">
        <v>1402</v>
      </c>
      <c r="V757" s="20" t="s">
        <v>87</v>
      </c>
      <c r="W757" s="20">
        <v>714</v>
      </c>
      <c r="X757" s="20">
        <v>714</v>
      </c>
      <c r="Y757" s="20" t="s">
        <v>2751</v>
      </c>
      <c r="Z757" s="20">
        <v>1</v>
      </c>
      <c r="AA757" s="20" t="s">
        <v>2752</v>
      </c>
      <c r="AB757" s="20" t="s">
        <v>296</v>
      </c>
      <c r="AC757" s="20" t="s">
        <v>297</v>
      </c>
      <c r="AD757" s="20" t="s">
        <v>2753</v>
      </c>
      <c r="AE757" s="20" t="s">
        <v>400</v>
      </c>
      <c r="AF757" s="20">
        <v>1</v>
      </c>
      <c r="AG757" s="20">
        <v>0</v>
      </c>
      <c r="AH757" s="20">
        <v>1</v>
      </c>
      <c r="AI757" s="4" t="s">
        <v>251</v>
      </c>
      <c r="AJ757" s="20">
        <v>500</v>
      </c>
      <c r="AK757" s="4" t="s">
        <v>93</v>
      </c>
      <c r="AL757" s="4">
        <v>10</v>
      </c>
      <c r="AM757" s="4">
        <v>10</v>
      </c>
      <c r="AN757" s="4" t="s">
        <v>95</v>
      </c>
      <c r="AO757" s="4" t="s">
        <v>189</v>
      </c>
      <c r="AP757" s="4">
        <v>1</v>
      </c>
      <c r="AQ757" s="20">
        <v>43000</v>
      </c>
      <c r="AR757" s="4">
        <v>41855</v>
      </c>
      <c r="AS757" s="20">
        <v>6515.151515151515</v>
      </c>
      <c r="AT757" s="20">
        <v>5506.25</v>
      </c>
      <c r="AU757" s="20">
        <v>-1008.901515151515</v>
      </c>
      <c r="AX757" s="20">
        <v>20</v>
      </c>
      <c r="AY757" s="20">
        <v>20</v>
      </c>
      <c r="AZ757" s="20">
        <v>4.75</v>
      </c>
      <c r="BB757" s="6">
        <v>41855</v>
      </c>
      <c r="BC757" s="6">
        <v>0</v>
      </c>
      <c r="BD757" s="6">
        <v>41862</v>
      </c>
      <c r="BE757" s="6">
        <v>0</v>
      </c>
      <c r="BF757" s="6">
        <v>41862</v>
      </c>
      <c r="BG757" s="6">
        <v>0</v>
      </c>
      <c r="BH757" s="6">
        <v>0</v>
      </c>
      <c r="BI757" s="6">
        <v>0</v>
      </c>
      <c r="BJ757" s="6">
        <v>0</v>
      </c>
      <c r="BK757" s="4">
        <v>0</v>
      </c>
      <c r="BL757" s="4">
        <v>0</v>
      </c>
      <c r="BM757" s="20">
        <v>500</v>
      </c>
      <c r="BN757" s="20">
        <v>0</v>
      </c>
      <c r="BO757" s="20">
        <v>0</v>
      </c>
      <c r="BP757" s="20">
        <v>0</v>
      </c>
      <c r="BQ757" s="20">
        <v>0</v>
      </c>
      <c r="BR757" s="20">
        <v>0</v>
      </c>
      <c r="BS757" s="20">
        <v>500</v>
      </c>
      <c r="BT757" s="20">
        <v>2753125</v>
      </c>
      <c r="BU757" s="20">
        <v>21500000</v>
      </c>
      <c r="BV757" s="20">
        <v>7.0993705499948394</v>
      </c>
    </row>
    <row r="758" spans="1:74">
      <c r="A758" s="10">
        <f t="shared" si="46"/>
        <v>0</v>
      </c>
      <c r="B758" s="10">
        <f t="shared" si="47"/>
        <v>0</v>
      </c>
      <c r="C758" s="12">
        <f t="shared" si="48"/>
        <v>8</v>
      </c>
      <c r="D758" s="12">
        <f t="shared" si="49"/>
        <v>8</v>
      </c>
      <c r="E758" s="20" t="s">
        <v>114</v>
      </c>
      <c r="F758" s="20" t="s">
        <v>2667</v>
      </c>
      <c r="G758" s="20" t="s">
        <v>2700</v>
      </c>
      <c r="H758" s="20" t="s">
        <v>2728</v>
      </c>
      <c r="I758" s="20">
        <v>8</v>
      </c>
      <c r="J758" s="20" t="s">
        <v>2740</v>
      </c>
      <c r="K758" s="20" t="s">
        <v>3819</v>
      </c>
      <c r="L758" s="20" t="s">
        <v>2730</v>
      </c>
      <c r="M758" s="20" t="s">
        <v>2667</v>
      </c>
      <c r="N758" s="20" t="s">
        <v>2738</v>
      </c>
      <c r="P758" s="20" t="s">
        <v>2667</v>
      </c>
      <c r="Q758" s="20" t="s">
        <v>2674</v>
      </c>
      <c r="R758" s="20" t="s">
        <v>84</v>
      </c>
      <c r="S758" s="20" t="s">
        <v>123</v>
      </c>
      <c r="T758" s="20" t="s">
        <v>1401</v>
      </c>
      <c r="U758" s="20" t="s">
        <v>1402</v>
      </c>
      <c r="V758" s="20" t="s">
        <v>87</v>
      </c>
      <c r="W758" s="20">
        <v>720</v>
      </c>
      <c r="X758" s="20">
        <v>720</v>
      </c>
      <c r="Y758" s="20" t="s">
        <v>2731</v>
      </c>
      <c r="Z758" s="20">
        <v>0.5</v>
      </c>
      <c r="AA758" s="20" t="s">
        <v>2755</v>
      </c>
      <c r="AB758" s="20" t="s">
        <v>176</v>
      </c>
      <c r="AC758" s="20" t="s">
        <v>177</v>
      </c>
      <c r="AD758" s="20" t="s">
        <v>2732</v>
      </c>
      <c r="AE758" s="20" t="s">
        <v>400</v>
      </c>
      <c r="AF758" s="20">
        <v>1</v>
      </c>
      <c r="AG758" s="20">
        <v>0</v>
      </c>
      <c r="AH758" s="20">
        <v>1</v>
      </c>
      <c r="AI758" s="4" t="s">
        <v>251</v>
      </c>
      <c r="AJ758" s="20">
        <v>300</v>
      </c>
      <c r="AK758" s="4" t="s">
        <v>93</v>
      </c>
      <c r="AL758" s="4">
        <v>10</v>
      </c>
      <c r="AM758" s="4">
        <v>10</v>
      </c>
      <c r="AN758" s="4" t="s">
        <v>95</v>
      </c>
      <c r="AO758" s="4" t="s">
        <v>96</v>
      </c>
      <c r="AP758" s="4">
        <v>1</v>
      </c>
      <c r="AQ758" s="20">
        <v>55000</v>
      </c>
      <c r="AR758" s="4">
        <v>41855</v>
      </c>
      <c r="AS758" s="20">
        <v>8333.3333333333321</v>
      </c>
      <c r="AT758" s="20">
        <v>8627.0600000000013</v>
      </c>
      <c r="AU758" s="20">
        <v>293.72666666666919</v>
      </c>
      <c r="AX758" s="20">
        <v>20</v>
      </c>
      <c r="AY758" s="20">
        <v>20</v>
      </c>
      <c r="AZ758" s="20">
        <v>6.9</v>
      </c>
      <c r="BB758" s="6">
        <v>41855</v>
      </c>
      <c r="BC758" s="6">
        <v>0</v>
      </c>
      <c r="BD758" s="6">
        <v>41862</v>
      </c>
      <c r="BE758" s="6">
        <v>0</v>
      </c>
      <c r="BF758" s="6">
        <v>41862</v>
      </c>
      <c r="BG758" s="6">
        <v>0</v>
      </c>
      <c r="BH758" s="6">
        <v>0</v>
      </c>
      <c r="BI758" s="6">
        <v>0</v>
      </c>
      <c r="BJ758" s="6">
        <v>0</v>
      </c>
      <c r="BK758" s="4">
        <v>0</v>
      </c>
      <c r="BL758" s="4">
        <v>0</v>
      </c>
      <c r="BM758" s="20">
        <v>300</v>
      </c>
      <c r="BN758" s="20">
        <v>0</v>
      </c>
      <c r="BO758" s="20">
        <v>0</v>
      </c>
      <c r="BP758" s="20">
        <v>0</v>
      </c>
      <c r="BQ758" s="20">
        <v>0</v>
      </c>
      <c r="BR758" s="20">
        <v>0</v>
      </c>
      <c r="BS758" s="20">
        <v>300</v>
      </c>
      <c r="BT758" s="20">
        <v>2588118.0000000005</v>
      </c>
      <c r="BU758" s="20">
        <v>16500000</v>
      </c>
      <c r="BV758" s="20">
        <v>5.7957171968202363</v>
      </c>
    </row>
    <row r="759" spans="1:74">
      <c r="A759" s="10">
        <f t="shared" si="46"/>
        <v>0</v>
      </c>
      <c r="B759" s="10">
        <f t="shared" si="47"/>
        <v>0</v>
      </c>
      <c r="C759" s="12">
        <f t="shared" si="48"/>
        <v>8</v>
      </c>
      <c r="D759" s="12">
        <f t="shared" si="49"/>
        <v>8</v>
      </c>
      <c r="E759" s="20" t="s">
        <v>114</v>
      </c>
      <c r="F759" s="20" t="s">
        <v>2667</v>
      </c>
      <c r="G759" s="20" t="s">
        <v>2700</v>
      </c>
      <c r="H759" s="20" t="s">
        <v>2733</v>
      </c>
      <c r="I759" s="20">
        <v>9</v>
      </c>
      <c r="J759" s="20" t="s">
        <v>2743</v>
      </c>
      <c r="K759" s="20" t="s">
        <v>3820</v>
      </c>
      <c r="L759" s="20" t="s">
        <v>2730</v>
      </c>
      <c r="M759" s="20" t="s">
        <v>2667</v>
      </c>
      <c r="N759" s="20" t="s">
        <v>2738</v>
      </c>
      <c r="P759" s="20" t="s">
        <v>2667</v>
      </c>
      <c r="Q759" s="20" t="s">
        <v>2674</v>
      </c>
      <c r="R759" s="20" t="s">
        <v>84</v>
      </c>
      <c r="S759" s="20" t="s">
        <v>123</v>
      </c>
      <c r="T759" s="20" t="s">
        <v>1401</v>
      </c>
      <c r="U759" s="20" t="s">
        <v>1402</v>
      </c>
      <c r="V759" s="20" t="s">
        <v>87</v>
      </c>
      <c r="W759" s="20">
        <v>720</v>
      </c>
      <c r="X759" s="20">
        <v>720</v>
      </c>
      <c r="Y759" s="20" t="s">
        <v>2731</v>
      </c>
      <c r="Z759" s="20">
        <v>0.5</v>
      </c>
      <c r="AA759" s="20" t="s">
        <v>2756</v>
      </c>
      <c r="AB759" s="20" t="s">
        <v>101</v>
      </c>
      <c r="AC759" s="20" t="s">
        <v>102</v>
      </c>
      <c r="AD759" s="20" t="s">
        <v>2735</v>
      </c>
      <c r="AE759" s="20" t="s">
        <v>400</v>
      </c>
      <c r="AF759" s="20">
        <v>1</v>
      </c>
      <c r="AG759" s="20">
        <v>0</v>
      </c>
      <c r="AH759" s="20">
        <v>1</v>
      </c>
      <c r="AI759" s="4" t="s">
        <v>251</v>
      </c>
      <c r="AJ759" s="20">
        <v>300</v>
      </c>
      <c r="AK759" s="4" t="s">
        <v>93</v>
      </c>
      <c r="AL759" s="4">
        <v>10</v>
      </c>
      <c r="AM759" s="4">
        <v>10</v>
      </c>
      <c r="AN759" s="4" t="s">
        <v>95</v>
      </c>
      <c r="AO759" s="4" t="s">
        <v>96</v>
      </c>
      <c r="AP759" s="4">
        <v>1</v>
      </c>
      <c r="AQ759" s="20">
        <v>55000</v>
      </c>
      <c r="AR759" s="4">
        <v>41855</v>
      </c>
      <c r="AS759" s="20">
        <v>8333.3333333333321</v>
      </c>
      <c r="AT759" s="20">
        <v>8627.0600000000013</v>
      </c>
      <c r="AU759" s="20">
        <v>293.72666666666919</v>
      </c>
      <c r="AX759" s="20">
        <v>20</v>
      </c>
      <c r="AY759" s="20">
        <v>20</v>
      </c>
      <c r="AZ759" s="20">
        <v>6.9</v>
      </c>
      <c r="BB759" s="6">
        <v>41855</v>
      </c>
      <c r="BC759" s="6">
        <v>0</v>
      </c>
      <c r="BD759" s="6">
        <v>41862</v>
      </c>
      <c r="BE759" s="6">
        <v>0</v>
      </c>
      <c r="BF759" s="6">
        <v>41862</v>
      </c>
      <c r="BG759" s="6">
        <v>0</v>
      </c>
      <c r="BH759" s="6">
        <v>0</v>
      </c>
      <c r="BI759" s="6">
        <v>0</v>
      </c>
      <c r="BJ759" s="6">
        <v>0</v>
      </c>
      <c r="BK759" s="4">
        <v>0</v>
      </c>
      <c r="BL759" s="4">
        <v>0</v>
      </c>
      <c r="BM759" s="20">
        <v>300</v>
      </c>
      <c r="BN759" s="20">
        <v>0</v>
      </c>
      <c r="BO759" s="20">
        <v>0</v>
      </c>
      <c r="BP759" s="20">
        <v>0</v>
      </c>
      <c r="BQ759" s="20">
        <v>0</v>
      </c>
      <c r="BR759" s="20">
        <v>0</v>
      </c>
      <c r="BS759" s="20">
        <v>300</v>
      </c>
      <c r="BT759" s="20">
        <v>2588118.0000000005</v>
      </c>
      <c r="BU759" s="20">
        <v>16500000</v>
      </c>
      <c r="BV759" s="20">
        <v>5.7957171968202363</v>
      </c>
    </row>
    <row r="760" spans="1:74">
      <c r="A760" s="10">
        <f t="shared" si="46"/>
        <v>0</v>
      </c>
      <c r="B760" s="10">
        <f t="shared" si="47"/>
        <v>0</v>
      </c>
      <c r="C760" s="12">
        <f t="shared" si="48"/>
        <v>8</v>
      </c>
      <c r="D760" s="12">
        <f t="shared" si="49"/>
        <v>8</v>
      </c>
      <c r="E760" s="20" t="s">
        <v>114</v>
      </c>
      <c r="F760" s="20" t="s">
        <v>2667</v>
      </c>
      <c r="G760" s="20" t="s">
        <v>2700</v>
      </c>
      <c r="H760" s="20" t="s">
        <v>2757</v>
      </c>
      <c r="I760" s="20">
        <v>10</v>
      </c>
      <c r="J760" s="20" t="s">
        <v>2749</v>
      </c>
      <c r="K760" s="20" t="s">
        <v>3821</v>
      </c>
      <c r="L760" s="20" t="s">
        <v>2758</v>
      </c>
      <c r="M760" s="20" t="s">
        <v>2667</v>
      </c>
      <c r="N760" s="20" t="s">
        <v>2738</v>
      </c>
      <c r="P760" s="20" t="s">
        <v>2667</v>
      </c>
      <c r="Q760" s="20" t="s">
        <v>2674</v>
      </c>
      <c r="R760" s="20" t="s">
        <v>84</v>
      </c>
      <c r="S760" s="20" t="s">
        <v>123</v>
      </c>
      <c r="T760" s="20" t="s">
        <v>1401</v>
      </c>
      <c r="U760" s="20" t="s">
        <v>1402</v>
      </c>
      <c r="V760" s="20" t="s">
        <v>87</v>
      </c>
      <c r="W760" s="20">
        <v>826</v>
      </c>
      <c r="X760" s="20">
        <v>826</v>
      </c>
      <c r="Y760" s="20" t="s">
        <v>2759</v>
      </c>
      <c r="Z760" s="20">
        <v>0.5</v>
      </c>
      <c r="AA760" s="20" t="s">
        <v>2760</v>
      </c>
      <c r="AB760" s="20" t="s">
        <v>221</v>
      </c>
      <c r="AC760" s="20" t="s">
        <v>222</v>
      </c>
      <c r="AD760" s="20" t="s">
        <v>2761</v>
      </c>
      <c r="AE760" s="20" t="s">
        <v>400</v>
      </c>
      <c r="AF760" s="20">
        <v>1</v>
      </c>
      <c r="AG760" s="20">
        <v>0</v>
      </c>
      <c r="AH760" s="20">
        <v>1</v>
      </c>
      <c r="AI760" s="4" t="s">
        <v>251</v>
      </c>
      <c r="AJ760" s="20">
        <v>500</v>
      </c>
      <c r="AK760" s="4" t="s">
        <v>93</v>
      </c>
      <c r="AL760" s="4">
        <v>10</v>
      </c>
      <c r="AM760" s="4">
        <v>10</v>
      </c>
      <c r="AN760" s="4" t="s">
        <v>95</v>
      </c>
      <c r="AO760" s="4" t="s">
        <v>189</v>
      </c>
      <c r="AP760" s="4">
        <v>1</v>
      </c>
      <c r="AQ760" s="20">
        <v>43000</v>
      </c>
      <c r="AR760" s="4">
        <v>41855</v>
      </c>
      <c r="AS760" s="20">
        <v>6515.151515151515</v>
      </c>
      <c r="AT760" s="20">
        <v>5795</v>
      </c>
      <c r="AU760" s="20">
        <v>-720.15151515151501</v>
      </c>
      <c r="AX760" s="20">
        <v>20</v>
      </c>
      <c r="AY760" s="20">
        <v>20</v>
      </c>
      <c r="AZ760" s="20">
        <v>5</v>
      </c>
      <c r="BB760" s="6">
        <v>41855</v>
      </c>
      <c r="BC760" s="6">
        <v>0</v>
      </c>
      <c r="BD760" s="6">
        <v>41862</v>
      </c>
      <c r="BE760" s="6">
        <v>0</v>
      </c>
      <c r="BF760" s="6">
        <v>41862</v>
      </c>
      <c r="BG760" s="6">
        <v>0</v>
      </c>
      <c r="BH760" s="6">
        <v>0</v>
      </c>
      <c r="BI760" s="6">
        <v>0</v>
      </c>
      <c r="BJ760" s="6">
        <v>0</v>
      </c>
      <c r="BK760" s="4">
        <v>0</v>
      </c>
      <c r="BL760" s="4">
        <v>0</v>
      </c>
      <c r="BM760" s="20">
        <v>500</v>
      </c>
      <c r="BN760" s="20">
        <v>0</v>
      </c>
      <c r="BO760" s="20">
        <v>0</v>
      </c>
      <c r="BP760" s="20">
        <v>0</v>
      </c>
      <c r="BQ760" s="20">
        <v>0</v>
      </c>
      <c r="BR760" s="20">
        <v>0</v>
      </c>
      <c r="BS760" s="20">
        <v>500</v>
      </c>
      <c r="BT760" s="20">
        <v>2897500</v>
      </c>
      <c r="BU760" s="20">
        <v>21500000</v>
      </c>
      <c r="BV760" s="20">
        <v>6.7456271080084704</v>
      </c>
    </row>
    <row r="761" spans="1:74">
      <c r="A761" s="10">
        <f t="shared" si="46"/>
        <v>0</v>
      </c>
      <c r="B761" s="10">
        <f t="shared" si="47"/>
        <v>0</v>
      </c>
      <c r="C761" s="12">
        <f t="shared" si="48"/>
        <v>8</v>
      </c>
      <c r="D761" s="12">
        <f t="shared" si="49"/>
        <v>8</v>
      </c>
      <c r="E761" s="20" t="s">
        <v>114</v>
      </c>
      <c r="F761" s="20" t="s">
        <v>2667</v>
      </c>
      <c r="G761" s="20" t="s">
        <v>2700</v>
      </c>
      <c r="H761" s="20" t="s">
        <v>2762</v>
      </c>
      <c r="I761" s="20">
        <v>11</v>
      </c>
      <c r="J761" s="20" t="s">
        <v>2754</v>
      </c>
      <c r="K761" s="20" t="s">
        <v>3822</v>
      </c>
      <c r="L761" s="20" t="s">
        <v>2758</v>
      </c>
      <c r="M761" s="20" t="s">
        <v>2667</v>
      </c>
      <c r="N761" s="20" t="s">
        <v>2738</v>
      </c>
      <c r="P761" s="20" t="s">
        <v>2667</v>
      </c>
      <c r="Q761" s="20" t="s">
        <v>2674</v>
      </c>
      <c r="R761" s="20" t="s">
        <v>84</v>
      </c>
      <c r="S761" s="20" t="s">
        <v>123</v>
      </c>
      <c r="T761" s="20" t="s">
        <v>1401</v>
      </c>
      <c r="U761" s="20" t="s">
        <v>1402</v>
      </c>
      <c r="V761" s="20" t="s">
        <v>87</v>
      </c>
      <c r="W761" s="20">
        <v>826</v>
      </c>
      <c r="X761" s="20">
        <v>826</v>
      </c>
      <c r="Y761" s="20" t="s">
        <v>2759</v>
      </c>
      <c r="Z761" s="20">
        <v>0.5</v>
      </c>
      <c r="AA761" s="20" t="s">
        <v>2763</v>
      </c>
      <c r="AB761" s="20" t="s">
        <v>89</v>
      </c>
      <c r="AC761" s="20" t="s">
        <v>90</v>
      </c>
      <c r="AD761" s="20" t="s">
        <v>2764</v>
      </c>
      <c r="AE761" s="20" t="s">
        <v>400</v>
      </c>
      <c r="AF761" s="20">
        <v>1</v>
      </c>
      <c r="AG761" s="20">
        <v>0</v>
      </c>
      <c r="AH761" s="20">
        <v>1</v>
      </c>
      <c r="AI761" s="4" t="s">
        <v>251</v>
      </c>
      <c r="AJ761" s="20">
        <v>500</v>
      </c>
      <c r="AK761" s="4" t="s">
        <v>93</v>
      </c>
      <c r="AL761" s="4">
        <v>10</v>
      </c>
      <c r="AM761" s="4">
        <v>10</v>
      </c>
      <c r="AN761" s="4" t="s">
        <v>95</v>
      </c>
      <c r="AO761" s="4" t="s">
        <v>189</v>
      </c>
      <c r="AP761" s="4">
        <v>1</v>
      </c>
      <c r="AQ761" s="20">
        <v>43000</v>
      </c>
      <c r="AR761" s="4">
        <v>41855</v>
      </c>
      <c r="AS761" s="20">
        <v>6515.151515151515</v>
      </c>
      <c r="AT761" s="20">
        <v>5795</v>
      </c>
      <c r="AU761" s="20">
        <v>-720.15151515151501</v>
      </c>
      <c r="AX761" s="20">
        <v>20</v>
      </c>
      <c r="AY761" s="20">
        <v>20</v>
      </c>
      <c r="AZ761" s="20">
        <v>5</v>
      </c>
      <c r="BB761" s="6">
        <v>41855</v>
      </c>
      <c r="BC761" s="6">
        <v>0</v>
      </c>
      <c r="BD761" s="6">
        <v>41862</v>
      </c>
      <c r="BE761" s="6">
        <v>0</v>
      </c>
      <c r="BF761" s="6">
        <v>41862</v>
      </c>
      <c r="BG761" s="6">
        <v>0</v>
      </c>
      <c r="BH761" s="6">
        <v>0</v>
      </c>
      <c r="BI761" s="6">
        <v>0</v>
      </c>
      <c r="BJ761" s="6">
        <v>0</v>
      </c>
      <c r="BK761" s="4">
        <v>0</v>
      </c>
      <c r="BL761" s="4">
        <v>0</v>
      </c>
      <c r="BM761" s="20">
        <v>500</v>
      </c>
      <c r="BN761" s="20">
        <v>0</v>
      </c>
      <c r="BO761" s="20">
        <v>0</v>
      </c>
      <c r="BP761" s="20">
        <v>0</v>
      </c>
      <c r="BQ761" s="20">
        <v>0</v>
      </c>
      <c r="BR761" s="20">
        <v>0</v>
      </c>
      <c r="BS761" s="20">
        <v>500</v>
      </c>
      <c r="BT761" s="20">
        <v>2897500</v>
      </c>
      <c r="BU761" s="20">
        <v>21500000</v>
      </c>
      <c r="BV761" s="20">
        <v>6.7456271080084704</v>
      </c>
    </row>
    <row r="762" spans="1:74">
      <c r="A762" s="10">
        <f t="shared" si="46"/>
        <v>0</v>
      </c>
      <c r="B762" s="10">
        <f t="shared" si="47"/>
        <v>0</v>
      </c>
      <c r="C762" s="12" t="str">
        <f t="shared" si="48"/>
        <v/>
      </c>
      <c r="D762" s="12" t="str">
        <f t="shared" si="49"/>
        <v/>
      </c>
      <c r="E762" s="20" t="s">
        <v>91</v>
      </c>
      <c r="F762" s="20" t="s">
        <v>91</v>
      </c>
      <c r="G762" s="20" t="s">
        <v>91</v>
      </c>
      <c r="H762" s="20" t="s">
        <v>91</v>
      </c>
      <c r="I762" s="20">
        <v>0</v>
      </c>
      <c r="J762" s="20" t="s">
        <v>103</v>
      </c>
      <c r="K762" s="20" t="s">
        <v>104</v>
      </c>
      <c r="L762" s="20">
        <v>0</v>
      </c>
      <c r="M762" s="20" t="s">
        <v>105</v>
      </c>
      <c r="N762" s="20" t="s">
        <v>91</v>
      </c>
      <c r="O762" s="20" t="s">
        <v>2765</v>
      </c>
      <c r="Q762" s="20" t="s">
        <v>91</v>
      </c>
      <c r="R762" s="20" t="s">
        <v>91</v>
      </c>
      <c r="U762" s="20" t="s">
        <v>91</v>
      </c>
      <c r="X762" s="20" t="s">
        <v>91</v>
      </c>
      <c r="Y762" s="20" t="s">
        <v>91</v>
      </c>
      <c r="Z762" s="20">
        <v>8</v>
      </c>
      <c r="AB762" s="20" t="s">
        <v>91</v>
      </c>
      <c r="AD762" s="20" t="s">
        <v>91</v>
      </c>
      <c r="AE762" s="20" t="s">
        <v>91</v>
      </c>
      <c r="AF762" s="20">
        <v>11</v>
      </c>
      <c r="AG762" s="20">
        <v>0</v>
      </c>
      <c r="AM762" s="4" t="s">
        <v>91</v>
      </c>
      <c r="AP762" s="4" t="s">
        <v>91</v>
      </c>
      <c r="AQ762" s="20">
        <v>0</v>
      </c>
      <c r="AR762" s="4">
        <v>0</v>
      </c>
      <c r="AS762" s="20">
        <v>0</v>
      </c>
      <c r="AT762" s="20">
        <v>0</v>
      </c>
      <c r="AU762" s="20">
        <v>0</v>
      </c>
      <c r="AY762" s="20">
        <v>0</v>
      </c>
      <c r="BB762" s="6">
        <v>0</v>
      </c>
      <c r="BD762" s="6">
        <v>0</v>
      </c>
      <c r="BM762" s="20">
        <v>4300</v>
      </c>
      <c r="BN762" s="20">
        <v>0</v>
      </c>
      <c r="BO762" s="20">
        <v>0</v>
      </c>
      <c r="BP762" s="20">
        <v>0</v>
      </c>
      <c r="BQ762" s="20">
        <v>0</v>
      </c>
      <c r="BR762" s="20">
        <v>0</v>
      </c>
      <c r="BS762" s="20">
        <v>4300</v>
      </c>
      <c r="BT762" s="20">
        <v>28898168</v>
      </c>
      <c r="BU762" s="20">
        <v>193900000</v>
      </c>
      <c r="BV762" s="20">
        <v>6.0997889995216052</v>
      </c>
    </row>
    <row r="763" spans="1:74">
      <c r="A763" s="10">
        <f t="shared" si="46"/>
        <v>0</v>
      </c>
      <c r="B763" s="10">
        <f t="shared" si="47"/>
        <v>0</v>
      </c>
      <c r="C763" s="12">
        <f t="shared" si="48"/>
        <v>8</v>
      </c>
      <c r="D763" s="12">
        <f t="shared" si="49"/>
        <v>8</v>
      </c>
      <c r="E763" s="20" t="s">
        <v>114</v>
      </c>
      <c r="F763" s="20" t="s">
        <v>2667</v>
      </c>
      <c r="G763" s="20" t="s">
        <v>2766</v>
      </c>
      <c r="H763" s="20" t="s">
        <v>2771</v>
      </c>
      <c r="I763" s="20">
        <v>1</v>
      </c>
      <c r="J763" s="20" t="s">
        <v>2767</v>
      </c>
      <c r="K763" s="20" t="s">
        <v>3823</v>
      </c>
      <c r="L763" s="20" t="s">
        <v>2773</v>
      </c>
      <c r="M763" s="20" t="s">
        <v>2667</v>
      </c>
      <c r="N763" s="20" t="s">
        <v>2738</v>
      </c>
      <c r="P763" s="20" t="s">
        <v>2667</v>
      </c>
      <c r="Q763" s="20" t="s">
        <v>2674</v>
      </c>
      <c r="R763" s="20" t="s">
        <v>84</v>
      </c>
      <c r="S763" s="20" t="s">
        <v>123</v>
      </c>
      <c r="T763" s="20" t="s">
        <v>1401</v>
      </c>
      <c r="U763" s="20" t="s">
        <v>1402</v>
      </c>
      <c r="V763" s="20" t="s">
        <v>87</v>
      </c>
      <c r="W763" s="20">
        <v>721</v>
      </c>
      <c r="X763" s="20">
        <v>721</v>
      </c>
      <c r="Y763" s="20" t="s">
        <v>2774</v>
      </c>
      <c r="Z763" s="20">
        <v>0.5</v>
      </c>
      <c r="AA763" s="20" t="s">
        <v>2775</v>
      </c>
      <c r="AB763" s="20" t="s">
        <v>159</v>
      </c>
      <c r="AC763" s="20" t="s">
        <v>160</v>
      </c>
      <c r="AD763" s="20" t="s">
        <v>2776</v>
      </c>
      <c r="AE763" s="20" t="s">
        <v>400</v>
      </c>
      <c r="AF763" s="20">
        <v>1</v>
      </c>
      <c r="AG763" s="20">
        <v>0</v>
      </c>
      <c r="AH763" s="20">
        <v>1</v>
      </c>
      <c r="AI763" s="4" t="s">
        <v>251</v>
      </c>
      <c r="AJ763" s="20">
        <v>500</v>
      </c>
      <c r="AK763" s="4" t="s">
        <v>129</v>
      </c>
      <c r="AL763" s="4">
        <v>3</v>
      </c>
      <c r="AM763" s="4" t="s">
        <v>438</v>
      </c>
      <c r="AN763" s="4" t="s">
        <v>95</v>
      </c>
      <c r="AO763" s="4" t="s">
        <v>131</v>
      </c>
      <c r="AP763" s="4">
        <v>2</v>
      </c>
      <c r="AQ763" s="20">
        <v>55000</v>
      </c>
      <c r="AR763" s="4">
        <v>41855</v>
      </c>
      <c r="AS763" s="20">
        <v>12499.999999999998</v>
      </c>
      <c r="AT763" s="20">
        <v>12500</v>
      </c>
      <c r="AU763" s="20">
        <v>0</v>
      </c>
      <c r="AY763" s="20">
        <v>0</v>
      </c>
      <c r="BA763" s="20">
        <v>12500</v>
      </c>
      <c r="BB763" s="6">
        <v>41855</v>
      </c>
      <c r="BC763" s="6">
        <v>0</v>
      </c>
      <c r="BD763" s="6">
        <v>41862</v>
      </c>
      <c r="BE763" s="6">
        <v>0</v>
      </c>
      <c r="BF763" s="6">
        <v>41862</v>
      </c>
      <c r="BG763" s="6">
        <v>0</v>
      </c>
      <c r="BH763" s="6">
        <v>0</v>
      </c>
      <c r="BI763" s="6">
        <v>0</v>
      </c>
      <c r="BJ763" s="6">
        <v>0</v>
      </c>
      <c r="BK763" s="4">
        <v>0</v>
      </c>
      <c r="BL763" s="4">
        <v>0</v>
      </c>
      <c r="BM763" s="20">
        <v>500</v>
      </c>
      <c r="BN763" s="20">
        <v>0</v>
      </c>
      <c r="BO763" s="20">
        <v>0</v>
      </c>
      <c r="BP763" s="20">
        <v>0</v>
      </c>
      <c r="BQ763" s="20">
        <v>0</v>
      </c>
      <c r="BR763" s="20">
        <v>0</v>
      </c>
      <c r="BS763" s="20">
        <v>500</v>
      </c>
      <c r="BT763" s="20">
        <v>6250000</v>
      </c>
      <c r="BU763" s="20">
        <v>27500000</v>
      </c>
      <c r="BV763" s="20">
        <v>3.9999999999999996</v>
      </c>
    </row>
    <row r="764" spans="1:74">
      <c r="A764" s="10">
        <f t="shared" si="46"/>
        <v>0</v>
      </c>
      <c r="B764" s="10">
        <f t="shared" si="47"/>
        <v>0</v>
      </c>
      <c r="C764" s="12">
        <f t="shared" si="48"/>
        <v>8</v>
      </c>
      <c r="D764" s="12">
        <f t="shared" si="49"/>
        <v>8</v>
      </c>
      <c r="E764" s="20" t="s">
        <v>114</v>
      </c>
      <c r="F764" s="20" t="s">
        <v>2667</v>
      </c>
      <c r="G764" s="20" t="s">
        <v>2766</v>
      </c>
      <c r="H764" s="20" t="s">
        <v>2777</v>
      </c>
      <c r="I764" s="20">
        <v>2</v>
      </c>
      <c r="J764" s="20" t="s">
        <v>2770</v>
      </c>
      <c r="K764" s="20" t="s">
        <v>3824</v>
      </c>
      <c r="L764" s="20" t="s">
        <v>2773</v>
      </c>
      <c r="M764" s="20" t="s">
        <v>2667</v>
      </c>
      <c r="N764" s="20" t="s">
        <v>2738</v>
      </c>
      <c r="P764" s="20" t="s">
        <v>2667</v>
      </c>
      <c r="Q764" s="20" t="s">
        <v>2674</v>
      </c>
      <c r="R764" s="20" t="s">
        <v>84</v>
      </c>
      <c r="S764" s="20" t="s">
        <v>123</v>
      </c>
      <c r="T764" s="20" t="s">
        <v>1401</v>
      </c>
      <c r="U764" s="20" t="s">
        <v>1402</v>
      </c>
      <c r="V764" s="20" t="s">
        <v>87</v>
      </c>
      <c r="W764" s="20">
        <v>721</v>
      </c>
      <c r="X764" s="20">
        <v>721</v>
      </c>
      <c r="Y764" s="20" t="s">
        <v>2774</v>
      </c>
      <c r="Z764" s="20">
        <v>0.5</v>
      </c>
      <c r="AA764" s="20" t="s">
        <v>2779</v>
      </c>
      <c r="AB764" s="20" t="s">
        <v>718</v>
      </c>
      <c r="AC764" s="20" t="s">
        <v>719</v>
      </c>
      <c r="AD764" s="20" t="s">
        <v>2780</v>
      </c>
      <c r="AE764" s="20" t="s">
        <v>400</v>
      </c>
      <c r="AF764" s="20">
        <v>1</v>
      </c>
      <c r="AG764" s="20">
        <v>0</v>
      </c>
      <c r="AH764" s="20">
        <v>1</v>
      </c>
      <c r="AI764" s="4" t="s">
        <v>251</v>
      </c>
      <c r="AJ764" s="20">
        <v>500</v>
      </c>
      <c r="AK764" s="4" t="s">
        <v>129</v>
      </c>
      <c r="AL764" s="4">
        <v>3</v>
      </c>
      <c r="AM764" s="4" t="s">
        <v>438</v>
      </c>
      <c r="AN764" s="4" t="s">
        <v>95</v>
      </c>
      <c r="AO764" s="4" t="s">
        <v>131</v>
      </c>
      <c r="AP764" s="4">
        <v>2</v>
      </c>
      <c r="AQ764" s="20">
        <v>55000</v>
      </c>
      <c r="AR764" s="4">
        <v>41855</v>
      </c>
      <c r="AS764" s="20">
        <v>12499.999999999998</v>
      </c>
      <c r="AT764" s="20">
        <v>12500</v>
      </c>
      <c r="AU764" s="20">
        <v>0</v>
      </c>
      <c r="AY764" s="20">
        <v>0</v>
      </c>
      <c r="BA764" s="20">
        <v>12500</v>
      </c>
      <c r="BB764" s="6">
        <v>41855</v>
      </c>
      <c r="BC764" s="6">
        <v>0</v>
      </c>
      <c r="BD764" s="6">
        <v>41862</v>
      </c>
      <c r="BE764" s="6">
        <v>0</v>
      </c>
      <c r="BF764" s="6">
        <v>41862</v>
      </c>
      <c r="BG764" s="6">
        <v>0</v>
      </c>
      <c r="BH764" s="6">
        <v>0</v>
      </c>
      <c r="BI764" s="6">
        <v>0</v>
      </c>
      <c r="BJ764" s="6">
        <v>0</v>
      </c>
      <c r="BK764" s="4">
        <v>0</v>
      </c>
      <c r="BL764" s="4">
        <v>0</v>
      </c>
      <c r="BM764" s="20">
        <v>500</v>
      </c>
      <c r="BN764" s="20">
        <v>0</v>
      </c>
      <c r="BO764" s="20">
        <v>0</v>
      </c>
      <c r="BP764" s="20">
        <v>0</v>
      </c>
      <c r="BQ764" s="20">
        <v>0</v>
      </c>
      <c r="BR764" s="20">
        <v>0</v>
      </c>
      <c r="BS764" s="20">
        <v>500</v>
      </c>
      <c r="BT764" s="20">
        <v>6250000</v>
      </c>
      <c r="BU764" s="20">
        <v>27500000</v>
      </c>
      <c r="BV764" s="20">
        <v>3.9999999999999996</v>
      </c>
    </row>
    <row r="765" spans="1:74">
      <c r="A765" s="10">
        <f t="shared" si="46"/>
        <v>0</v>
      </c>
      <c r="B765" s="10">
        <f t="shared" si="47"/>
        <v>0</v>
      </c>
      <c r="C765" s="12">
        <f t="shared" si="48"/>
        <v>8</v>
      </c>
      <c r="D765" s="12">
        <f t="shared" si="49"/>
        <v>8</v>
      </c>
      <c r="E765" s="20" t="s">
        <v>114</v>
      </c>
      <c r="F765" s="20" t="s">
        <v>2667</v>
      </c>
      <c r="G765" s="20" t="s">
        <v>2766</v>
      </c>
      <c r="H765" s="20" t="s">
        <v>2781</v>
      </c>
      <c r="I765" s="20">
        <v>3</v>
      </c>
      <c r="J765" s="20" t="s">
        <v>2772</v>
      </c>
      <c r="K765" s="20" t="s">
        <v>3825</v>
      </c>
      <c r="L765" s="20" t="s">
        <v>2768</v>
      </c>
      <c r="M765" s="20" t="s">
        <v>2667</v>
      </c>
      <c r="N765" s="20" t="s">
        <v>2738</v>
      </c>
      <c r="P765" s="20" t="s">
        <v>2667</v>
      </c>
      <c r="Q765" s="20" t="s">
        <v>2674</v>
      </c>
      <c r="R765" s="20" t="s">
        <v>84</v>
      </c>
      <c r="S765" s="20" t="s">
        <v>123</v>
      </c>
      <c r="T765" s="20" t="s">
        <v>1401</v>
      </c>
      <c r="U765" s="20" t="s">
        <v>1402</v>
      </c>
      <c r="V765" s="20" t="s">
        <v>87</v>
      </c>
      <c r="W765" s="20">
        <v>726</v>
      </c>
      <c r="X765" s="20">
        <v>726</v>
      </c>
      <c r="Y765" s="20" t="s">
        <v>2769</v>
      </c>
      <c r="Z765" s="20">
        <v>1</v>
      </c>
      <c r="AA765" s="20" t="s">
        <v>2782</v>
      </c>
      <c r="AB765" s="20" t="s">
        <v>139</v>
      </c>
      <c r="AC765" s="20" t="s">
        <v>140</v>
      </c>
      <c r="AD765" s="20" t="s">
        <v>2783</v>
      </c>
      <c r="AE765" s="20" t="s">
        <v>400</v>
      </c>
      <c r="AF765" s="20">
        <v>1</v>
      </c>
      <c r="AG765" s="20">
        <v>0</v>
      </c>
      <c r="AH765" s="20">
        <v>1</v>
      </c>
      <c r="AI765" s="4" t="s">
        <v>251</v>
      </c>
      <c r="AJ765" s="20">
        <v>500</v>
      </c>
      <c r="AK765" s="4" t="s">
        <v>129</v>
      </c>
      <c r="AL765" s="4">
        <v>3</v>
      </c>
      <c r="AM765" s="4" t="s">
        <v>438</v>
      </c>
      <c r="AN765" s="4" t="s">
        <v>95</v>
      </c>
      <c r="AO765" s="4" t="s">
        <v>131</v>
      </c>
      <c r="AP765" s="4">
        <v>2</v>
      </c>
      <c r="AQ765" s="20">
        <v>55000</v>
      </c>
      <c r="AR765" s="4">
        <v>41855</v>
      </c>
      <c r="AS765" s="20">
        <v>12499.999999999998</v>
      </c>
      <c r="AT765" s="20">
        <v>13000</v>
      </c>
      <c r="AU765" s="20">
        <v>500.00000000000182</v>
      </c>
      <c r="AY765" s="20">
        <v>0</v>
      </c>
      <c r="BA765" s="20">
        <v>13000</v>
      </c>
      <c r="BB765" s="6">
        <v>41855</v>
      </c>
      <c r="BC765" s="6">
        <v>0</v>
      </c>
      <c r="BD765" s="6">
        <v>41862</v>
      </c>
      <c r="BE765" s="6">
        <v>0</v>
      </c>
      <c r="BF765" s="6">
        <v>41862</v>
      </c>
      <c r="BG765" s="6">
        <v>0</v>
      </c>
      <c r="BH765" s="6">
        <v>0</v>
      </c>
      <c r="BI765" s="6">
        <v>0</v>
      </c>
      <c r="BJ765" s="6">
        <v>0</v>
      </c>
      <c r="BK765" s="4">
        <v>0</v>
      </c>
      <c r="BL765" s="4">
        <v>0</v>
      </c>
      <c r="BM765" s="20">
        <v>500</v>
      </c>
      <c r="BN765" s="20">
        <v>0</v>
      </c>
      <c r="BO765" s="20">
        <v>0</v>
      </c>
      <c r="BP765" s="20">
        <v>0</v>
      </c>
      <c r="BQ765" s="20">
        <v>0</v>
      </c>
      <c r="BR765" s="20">
        <v>0</v>
      </c>
      <c r="BS765" s="20">
        <v>500</v>
      </c>
      <c r="BT765" s="20">
        <v>6500000</v>
      </c>
      <c r="BU765" s="20">
        <v>27500000</v>
      </c>
      <c r="BV765" s="20">
        <v>3.8461538461538458</v>
      </c>
    </row>
    <row r="766" spans="1:74">
      <c r="A766" s="10">
        <f t="shared" si="46"/>
        <v>0</v>
      </c>
      <c r="B766" s="10">
        <f t="shared" si="47"/>
        <v>0</v>
      </c>
      <c r="C766" s="12">
        <f t="shared" si="48"/>
        <v>8</v>
      </c>
      <c r="D766" s="12">
        <f t="shared" si="49"/>
        <v>8</v>
      </c>
      <c r="E766" s="20" t="s">
        <v>114</v>
      </c>
      <c r="F766" s="20" t="s">
        <v>2667</v>
      </c>
      <c r="G766" s="20" t="s">
        <v>2766</v>
      </c>
      <c r="H766" s="20" t="s">
        <v>2784</v>
      </c>
      <c r="I766" s="20">
        <v>4</v>
      </c>
      <c r="J766" s="20" t="s">
        <v>2778</v>
      </c>
      <c r="K766" s="20" t="s">
        <v>3826</v>
      </c>
      <c r="L766" s="20" t="s">
        <v>2785</v>
      </c>
      <c r="M766" s="20" t="s">
        <v>2667</v>
      </c>
      <c r="N766" s="20" t="s">
        <v>2738</v>
      </c>
      <c r="P766" s="20" t="s">
        <v>2667</v>
      </c>
      <c r="Q766" s="20" t="s">
        <v>2674</v>
      </c>
      <c r="R766" s="20" t="s">
        <v>84</v>
      </c>
      <c r="S766" s="20" t="s">
        <v>123</v>
      </c>
      <c r="T766" s="20" t="s">
        <v>1401</v>
      </c>
      <c r="U766" s="20" t="s">
        <v>1402</v>
      </c>
      <c r="V766" s="20" t="s">
        <v>87</v>
      </c>
      <c r="W766" s="20">
        <v>727</v>
      </c>
      <c r="X766" s="20">
        <v>727</v>
      </c>
      <c r="Y766" s="20" t="s">
        <v>2786</v>
      </c>
      <c r="Z766" s="20">
        <v>1</v>
      </c>
      <c r="AA766" s="20" t="s">
        <v>2787</v>
      </c>
      <c r="AB766" s="20" t="s">
        <v>718</v>
      </c>
      <c r="AC766" s="20" t="s">
        <v>719</v>
      </c>
      <c r="AD766" s="20" t="s">
        <v>2788</v>
      </c>
      <c r="AE766" s="20" t="s">
        <v>400</v>
      </c>
      <c r="AF766" s="20">
        <v>1</v>
      </c>
      <c r="AG766" s="20">
        <v>0</v>
      </c>
      <c r="AH766" s="20">
        <v>1</v>
      </c>
      <c r="AI766" s="4" t="s">
        <v>251</v>
      </c>
      <c r="AJ766" s="20">
        <v>300</v>
      </c>
      <c r="AK766" s="4" t="s">
        <v>129</v>
      </c>
      <c r="AL766" s="4">
        <v>3</v>
      </c>
      <c r="AM766" s="4" t="s">
        <v>438</v>
      </c>
      <c r="AN766" s="4" t="s">
        <v>95</v>
      </c>
      <c r="AO766" s="4" t="s">
        <v>131</v>
      </c>
      <c r="AP766" s="4">
        <v>2</v>
      </c>
      <c r="AQ766" s="20">
        <v>55000</v>
      </c>
      <c r="AR766" s="4">
        <v>41855</v>
      </c>
      <c r="AS766" s="20">
        <v>12499.999999999998</v>
      </c>
      <c r="AT766" s="20">
        <v>12020</v>
      </c>
      <c r="AU766" s="20">
        <v>-479.99999999999818</v>
      </c>
      <c r="AX766" s="20">
        <v>20</v>
      </c>
      <c r="AY766" s="20">
        <v>20</v>
      </c>
      <c r="BA766" s="20">
        <v>12000</v>
      </c>
      <c r="BB766" s="6">
        <v>41855</v>
      </c>
      <c r="BC766" s="6">
        <v>0</v>
      </c>
      <c r="BD766" s="6">
        <v>41862</v>
      </c>
      <c r="BE766" s="6">
        <v>0</v>
      </c>
      <c r="BF766" s="6">
        <v>41862</v>
      </c>
      <c r="BG766" s="6">
        <v>0</v>
      </c>
      <c r="BH766" s="6">
        <v>0</v>
      </c>
      <c r="BI766" s="6">
        <v>0</v>
      </c>
      <c r="BJ766" s="6">
        <v>0</v>
      </c>
      <c r="BK766" s="4">
        <v>0</v>
      </c>
      <c r="BL766" s="4">
        <v>0</v>
      </c>
      <c r="BM766" s="20">
        <v>300</v>
      </c>
      <c r="BN766" s="20">
        <v>0</v>
      </c>
      <c r="BO766" s="20">
        <v>0</v>
      </c>
      <c r="BP766" s="20">
        <v>0</v>
      </c>
      <c r="BQ766" s="20">
        <v>0</v>
      </c>
      <c r="BR766" s="20">
        <v>0</v>
      </c>
      <c r="BS766" s="20">
        <v>300</v>
      </c>
      <c r="BT766" s="20">
        <v>3606000</v>
      </c>
      <c r="BU766" s="20">
        <v>16500000</v>
      </c>
      <c r="BV766" s="20">
        <v>4.1597337770382694</v>
      </c>
    </row>
    <row r="767" spans="1:74">
      <c r="A767" s="10">
        <f t="shared" si="46"/>
        <v>0</v>
      </c>
      <c r="B767" s="10">
        <f t="shared" si="47"/>
        <v>0</v>
      </c>
      <c r="C767" s="12" t="str">
        <f t="shared" si="48"/>
        <v/>
      </c>
      <c r="D767" s="12" t="str">
        <f t="shared" si="49"/>
        <v/>
      </c>
      <c r="E767" s="20" t="s">
        <v>91</v>
      </c>
      <c r="F767" s="20" t="s">
        <v>91</v>
      </c>
      <c r="G767" s="20" t="s">
        <v>91</v>
      </c>
      <c r="H767" s="20" t="s">
        <v>91</v>
      </c>
      <c r="I767" s="20">
        <v>0</v>
      </c>
      <c r="J767" s="20" t="s">
        <v>103</v>
      </c>
      <c r="K767" s="20" t="s">
        <v>104</v>
      </c>
      <c r="L767" s="20">
        <v>0</v>
      </c>
      <c r="M767" s="20" t="s">
        <v>105</v>
      </c>
      <c r="N767" s="20" t="s">
        <v>91</v>
      </c>
      <c r="O767" s="20" t="s">
        <v>2789</v>
      </c>
      <c r="Q767" s="20" t="s">
        <v>91</v>
      </c>
      <c r="R767" s="20" t="s">
        <v>91</v>
      </c>
      <c r="S767" s="20" t="s">
        <v>91</v>
      </c>
      <c r="U767" s="20" t="s">
        <v>91</v>
      </c>
      <c r="V767" s="20" t="s">
        <v>87</v>
      </c>
      <c r="X767" s="20" t="s">
        <v>91</v>
      </c>
      <c r="Y767" s="20" t="s">
        <v>91</v>
      </c>
      <c r="Z767" s="20">
        <v>3</v>
      </c>
      <c r="AB767" s="20" t="s">
        <v>91</v>
      </c>
      <c r="AD767" s="20" t="s">
        <v>91</v>
      </c>
      <c r="AE767" s="20" t="s">
        <v>91</v>
      </c>
      <c r="AF767" s="20">
        <v>4</v>
      </c>
      <c r="AG767" s="20">
        <v>0</v>
      </c>
      <c r="AH767" s="20">
        <v>1</v>
      </c>
      <c r="AM767" s="4" t="s">
        <v>91</v>
      </c>
      <c r="AP767" s="4" t="s">
        <v>91</v>
      </c>
      <c r="AQ767" s="20">
        <v>0</v>
      </c>
      <c r="AR767" s="4">
        <v>0</v>
      </c>
      <c r="AS767" s="20">
        <v>0</v>
      </c>
      <c r="AT767" s="20">
        <v>0</v>
      </c>
      <c r="AU767" s="20">
        <v>0</v>
      </c>
      <c r="AV767" s="20">
        <v>0</v>
      </c>
      <c r="AW767" s="20">
        <v>0</v>
      </c>
      <c r="AX767" s="20" t="s">
        <v>91</v>
      </c>
      <c r="AY767" s="20">
        <v>0</v>
      </c>
      <c r="AZ767" s="20">
        <v>0</v>
      </c>
      <c r="BA767" s="20">
        <v>0</v>
      </c>
      <c r="BB767" s="6">
        <v>0</v>
      </c>
      <c r="BC767" s="6">
        <v>0</v>
      </c>
      <c r="BD767" s="6">
        <v>0</v>
      </c>
      <c r="BE767" s="6">
        <v>0</v>
      </c>
      <c r="BF767" s="6">
        <v>0</v>
      </c>
      <c r="BG767" s="6">
        <v>0</v>
      </c>
      <c r="BH767" s="6">
        <v>0</v>
      </c>
      <c r="BI767" s="6">
        <v>0</v>
      </c>
      <c r="BJ767" s="6">
        <v>0</v>
      </c>
      <c r="BK767" s="4">
        <v>0</v>
      </c>
      <c r="BL767" s="4">
        <v>0</v>
      </c>
      <c r="BM767" s="20">
        <v>1800</v>
      </c>
      <c r="BN767" s="20">
        <v>0</v>
      </c>
      <c r="BO767" s="20">
        <v>0</v>
      </c>
      <c r="BP767" s="20">
        <v>0</v>
      </c>
      <c r="BQ767" s="20">
        <v>0</v>
      </c>
      <c r="BR767" s="20">
        <v>0</v>
      </c>
      <c r="BS767" s="20">
        <v>1800</v>
      </c>
      <c r="BT767" s="20">
        <v>22606000</v>
      </c>
      <c r="BU767" s="20">
        <v>99000000</v>
      </c>
      <c r="BV767" s="20">
        <v>3.9812439175440142</v>
      </c>
    </row>
    <row r="768" spans="1:74">
      <c r="A768" s="10">
        <f t="shared" si="46"/>
        <v>0</v>
      </c>
      <c r="B768" s="10">
        <f t="shared" si="47"/>
        <v>1</v>
      </c>
      <c r="C768" s="12">
        <f t="shared" si="48"/>
        <v>8</v>
      </c>
      <c r="D768" s="12">
        <f t="shared" si="49"/>
        <v>8</v>
      </c>
      <c r="E768" s="20" t="s">
        <v>424</v>
      </c>
      <c r="F768" s="20" t="s">
        <v>2790</v>
      </c>
      <c r="G768" s="20" t="s">
        <v>2791</v>
      </c>
      <c r="H768" s="20" t="s">
        <v>2792</v>
      </c>
      <c r="I768" s="20">
        <v>1</v>
      </c>
      <c r="J768" s="20" t="s">
        <v>2793</v>
      </c>
      <c r="K768" s="20" t="s">
        <v>2794</v>
      </c>
      <c r="L768" s="20" t="s">
        <v>2795</v>
      </c>
      <c r="M768" s="20" t="s">
        <v>2790</v>
      </c>
      <c r="N768" s="20" t="s">
        <v>2796</v>
      </c>
      <c r="P768" s="20" t="s">
        <v>2790</v>
      </c>
      <c r="Q768" s="20" t="s">
        <v>2797</v>
      </c>
      <c r="R768" s="20" t="s">
        <v>84</v>
      </c>
      <c r="S768" s="20" t="s">
        <v>123</v>
      </c>
      <c r="T768" s="20" t="s">
        <v>453</v>
      </c>
      <c r="U768" s="20" t="s">
        <v>454</v>
      </c>
      <c r="V768" s="20" t="s">
        <v>87</v>
      </c>
      <c r="W768" s="20">
        <v>605</v>
      </c>
      <c r="X768" s="20">
        <v>605</v>
      </c>
      <c r="Y768" s="20" t="s">
        <v>2798</v>
      </c>
      <c r="Z768" s="20">
        <v>1</v>
      </c>
      <c r="AA768" s="20" t="s">
        <v>2799</v>
      </c>
      <c r="AB768" s="20" t="s">
        <v>189</v>
      </c>
      <c r="AC768" s="20" t="s">
        <v>190</v>
      </c>
      <c r="AD768" s="20" t="s">
        <v>2800</v>
      </c>
      <c r="AE768" s="20" t="s">
        <v>400</v>
      </c>
      <c r="AF768" s="20">
        <v>1</v>
      </c>
      <c r="AG768" s="20">
        <v>0</v>
      </c>
      <c r="AH768" s="20">
        <v>1</v>
      </c>
      <c r="AI768" s="4" t="s">
        <v>251</v>
      </c>
      <c r="AJ768" s="20">
        <v>100</v>
      </c>
      <c r="AK768" s="4" t="s">
        <v>179</v>
      </c>
      <c r="AL768" s="4">
        <v>24</v>
      </c>
      <c r="AM768" s="4">
        <v>24</v>
      </c>
      <c r="AN768" s="4" t="s">
        <v>95</v>
      </c>
      <c r="AO768" s="4" t="s">
        <v>96</v>
      </c>
      <c r="AP768" s="4">
        <v>1</v>
      </c>
      <c r="AQ768" s="20">
        <v>55000</v>
      </c>
      <c r="AR768" s="4">
        <v>41855</v>
      </c>
      <c r="AS768" s="20">
        <v>8333.3333333333321</v>
      </c>
      <c r="AT768" s="20">
        <v>6595.7100000000009</v>
      </c>
      <c r="AU768" s="20">
        <v>-1737.6233333333312</v>
      </c>
      <c r="AV768" s="20">
        <v>1399</v>
      </c>
      <c r="AX768" s="20">
        <v>20</v>
      </c>
      <c r="AY768" s="20">
        <v>1419</v>
      </c>
      <c r="AZ768" s="20">
        <v>4.1500000000000004</v>
      </c>
      <c r="BB768" s="6">
        <v>41855</v>
      </c>
      <c r="BC768" s="6">
        <v>0</v>
      </c>
      <c r="BD768" s="6">
        <v>41862</v>
      </c>
      <c r="BE768" s="6">
        <v>0</v>
      </c>
      <c r="BF768" s="6">
        <v>41862</v>
      </c>
      <c r="BG768" s="6">
        <v>41961</v>
      </c>
      <c r="BH768" s="6">
        <v>0</v>
      </c>
      <c r="BI768" s="6">
        <v>0</v>
      </c>
      <c r="BJ768" s="6">
        <v>0</v>
      </c>
      <c r="BK768" s="4">
        <v>0</v>
      </c>
      <c r="BL768" s="4">
        <v>0</v>
      </c>
      <c r="BM768" s="20">
        <v>100</v>
      </c>
      <c r="BN768" s="20">
        <v>1</v>
      </c>
      <c r="BO768" s="20">
        <v>0</v>
      </c>
      <c r="BP768" s="20">
        <v>0</v>
      </c>
      <c r="BQ768" s="20">
        <v>0</v>
      </c>
      <c r="BR768" s="20">
        <v>0</v>
      </c>
      <c r="BS768" s="20">
        <v>100</v>
      </c>
      <c r="BT768" s="20">
        <v>659571.00000000012</v>
      </c>
      <c r="BU768" s="20">
        <v>5500000</v>
      </c>
      <c r="BV768" s="20">
        <v>7.5806850210212371</v>
      </c>
    </row>
    <row r="769" spans="1:74">
      <c r="A769" s="10">
        <f t="shared" si="46"/>
        <v>0</v>
      </c>
      <c r="B769" s="10">
        <f t="shared" si="47"/>
        <v>0</v>
      </c>
      <c r="C769" s="12">
        <f t="shared" si="48"/>
        <v>8</v>
      </c>
      <c r="D769" s="12">
        <f t="shared" si="49"/>
        <v>8</v>
      </c>
      <c r="E769" s="20" t="s">
        <v>424</v>
      </c>
      <c r="F769" s="20" t="s">
        <v>2790</v>
      </c>
      <c r="G769" s="20" t="s">
        <v>2791</v>
      </c>
      <c r="H769" s="20" t="s">
        <v>2801</v>
      </c>
      <c r="I769" s="20">
        <v>2</v>
      </c>
      <c r="J769" s="20" t="s">
        <v>2802</v>
      </c>
      <c r="K769" s="20" t="s">
        <v>2806</v>
      </c>
      <c r="L769" s="20" t="s">
        <v>2803</v>
      </c>
      <c r="M769" s="20" t="s">
        <v>2790</v>
      </c>
      <c r="N769" s="20" t="s">
        <v>2807</v>
      </c>
      <c r="P769" s="20" t="s">
        <v>2790</v>
      </c>
      <c r="Q769" s="20" t="s">
        <v>2797</v>
      </c>
      <c r="R769" s="20" t="s">
        <v>84</v>
      </c>
      <c r="S769" s="20" t="s">
        <v>123</v>
      </c>
      <c r="T769" s="20" t="s">
        <v>198</v>
      </c>
      <c r="U769" s="20" t="s">
        <v>199</v>
      </c>
      <c r="V769" s="20" t="s">
        <v>87</v>
      </c>
      <c r="W769" s="20">
        <v>602</v>
      </c>
      <c r="X769" s="20">
        <v>602</v>
      </c>
      <c r="Y769" s="20" t="s">
        <v>2804</v>
      </c>
      <c r="Z769" s="20">
        <v>1</v>
      </c>
      <c r="AA769" s="20" t="s">
        <v>2808</v>
      </c>
      <c r="AB769" s="20" t="s">
        <v>89</v>
      </c>
      <c r="AC769" s="20" t="s">
        <v>90</v>
      </c>
      <c r="AD769" s="20" t="s">
        <v>2805</v>
      </c>
      <c r="AE769" s="20" t="s">
        <v>400</v>
      </c>
      <c r="AF769" s="20">
        <v>1</v>
      </c>
      <c r="AG769" s="20">
        <v>0</v>
      </c>
      <c r="AH769" s="20">
        <v>1</v>
      </c>
      <c r="AI769" s="4" t="s">
        <v>251</v>
      </c>
      <c r="AJ769" s="20">
        <v>224</v>
      </c>
      <c r="AK769" s="4" t="s">
        <v>179</v>
      </c>
      <c r="AL769" s="4">
        <v>24</v>
      </c>
      <c r="AM769" s="4">
        <v>24</v>
      </c>
      <c r="AN769" s="4" t="s">
        <v>95</v>
      </c>
      <c r="AO769" s="4" t="s">
        <v>96</v>
      </c>
      <c r="AP769" s="4">
        <v>1</v>
      </c>
      <c r="AQ769" s="20">
        <v>45000</v>
      </c>
      <c r="AR769" s="4">
        <v>41855</v>
      </c>
      <c r="AS769" s="20">
        <v>6818.1818181818171</v>
      </c>
      <c r="AT769" s="20">
        <v>6755.9600000000019</v>
      </c>
      <c r="AU769" s="20">
        <v>-62.221818181815252</v>
      </c>
      <c r="AV769" s="20">
        <v>0</v>
      </c>
      <c r="AW769" s="20">
        <v>0</v>
      </c>
      <c r="AX769" s="20">
        <v>20</v>
      </c>
      <c r="AY769" s="20">
        <v>20</v>
      </c>
      <c r="AZ769" s="20">
        <v>5.4</v>
      </c>
      <c r="BA769" s="20">
        <v>0</v>
      </c>
      <c r="BB769" s="6">
        <v>41855</v>
      </c>
      <c r="BC769" s="6">
        <v>0</v>
      </c>
      <c r="BD769" s="6">
        <v>41862</v>
      </c>
      <c r="BE769" s="6">
        <v>0</v>
      </c>
      <c r="BF769" s="6">
        <v>41862</v>
      </c>
      <c r="BG769" s="6">
        <v>0</v>
      </c>
      <c r="BH769" s="6">
        <v>0</v>
      </c>
      <c r="BI769" s="6">
        <v>0</v>
      </c>
      <c r="BJ769" s="6">
        <v>0</v>
      </c>
      <c r="BK769" s="4">
        <v>0</v>
      </c>
      <c r="BL769" s="4">
        <v>0</v>
      </c>
      <c r="BM769" s="20">
        <v>210</v>
      </c>
      <c r="BN769" s="20">
        <v>0</v>
      </c>
      <c r="BO769" s="20">
        <v>0</v>
      </c>
      <c r="BP769" s="20">
        <v>0</v>
      </c>
      <c r="BQ769" s="20">
        <v>0</v>
      </c>
      <c r="BR769" s="20">
        <v>0</v>
      </c>
      <c r="BS769" s="20">
        <v>224</v>
      </c>
      <c r="BT769" s="20">
        <v>1513335.0400000005</v>
      </c>
      <c r="BU769" s="20">
        <v>10080000</v>
      </c>
      <c r="BV769" s="20">
        <v>6.0552594907446009</v>
      </c>
    </row>
    <row r="770" spans="1:74">
      <c r="A770" s="10">
        <f t="shared" si="46"/>
        <v>0</v>
      </c>
      <c r="B770" s="10">
        <f t="shared" si="47"/>
        <v>0</v>
      </c>
      <c r="C770" s="12" t="str">
        <f t="shared" si="48"/>
        <v/>
      </c>
      <c r="D770" s="12" t="str">
        <f t="shared" si="49"/>
        <v/>
      </c>
      <c r="E770" s="20" t="s">
        <v>91</v>
      </c>
      <c r="F770" s="20" t="s">
        <v>91</v>
      </c>
      <c r="G770" s="20" t="s">
        <v>91</v>
      </c>
      <c r="H770" s="20" t="s">
        <v>91</v>
      </c>
      <c r="I770" s="20">
        <v>0</v>
      </c>
      <c r="J770" s="20" t="s">
        <v>103</v>
      </c>
      <c r="K770" s="20" t="s">
        <v>104</v>
      </c>
      <c r="L770" s="20">
        <v>0</v>
      </c>
      <c r="M770" s="20" t="s">
        <v>105</v>
      </c>
      <c r="N770" s="20" t="s">
        <v>91</v>
      </c>
      <c r="O770" s="20" t="s">
        <v>2809</v>
      </c>
      <c r="Q770" s="20" t="s">
        <v>91</v>
      </c>
      <c r="R770" s="20" t="s">
        <v>91</v>
      </c>
      <c r="S770" s="20" t="s">
        <v>91</v>
      </c>
      <c r="U770" s="20" t="s">
        <v>91</v>
      </c>
      <c r="V770" s="20" t="s">
        <v>87</v>
      </c>
      <c r="X770" s="20" t="s">
        <v>91</v>
      </c>
      <c r="Y770" s="20" t="s">
        <v>91</v>
      </c>
      <c r="Z770" s="20">
        <v>2</v>
      </c>
      <c r="AB770" s="20" t="s">
        <v>91</v>
      </c>
      <c r="AD770" s="20" t="s">
        <v>91</v>
      </c>
      <c r="AE770" s="20" t="s">
        <v>91</v>
      </c>
      <c r="AF770" s="20">
        <v>2</v>
      </c>
      <c r="AG770" s="20">
        <v>0</v>
      </c>
      <c r="AH770" s="20">
        <v>1</v>
      </c>
      <c r="AM770" s="4" t="s">
        <v>91</v>
      </c>
      <c r="AP770" s="4" t="s">
        <v>91</v>
      </c>
      <c r="AQ770" s="20">
        <v>0</v>
      </c>
      <c r="AR770" s="4">
        <v>0</v>
      </c>
      <c r="AS770" s="20">
        <v>0</v>
      </c>
      <c r="AT770" s="20">
        <v>0</v>
      </c>
      <c r="AU770" s="20">
        <v>0</v>
      </c>
      <c r="AV770" s="20">
        <v>0</v>
      </c>
      <c r="AW770" s="20">
        <v>0</v>
      </c>
      <c r="AX770" s="20" t="s">
        <v>91</v>
      </c>
      <c r="AY770" s="20">
        <v>0</v>
      </c>
      <c r="AZ770" s="20">
        <v>0</v>
      </c>
      <c r="BA770" s="20">
        <v>0</v>
      </c>
      <c r="BB770" s="6">
        <v>0</v>
      </c>
      <c r="BC770" s="6">
        <v>0</v>
      </c>
      <c r="BD770" s="6">
        <v>0</v>
      </c>
      <c r="BE770" s="6">
        <v>0</v>
      </c>
      <c r="BF770" s="6">
        <v>0</v>
      </c>
      <c r="BG770" s="6">
        <v>0</v>
      </c>
      <c r="BH770" s="6">
        <v>0</v>
      </c>
      <c r="BI770" s="6">
        <v>0</v>
      </c>
      <c r="BJ770" s="6">
        <v>0</v>
      </c>
      <c r="BK770" s="4">
        <v>0</v>
      </c>
      <c r="BL770" s="4">
        <v>0</v>
      </c>
      <c r="BM770" s="20">
        <v>310</v>
      </c>
      <c r="BN770" s="20">
        <v>1</v>
      </c>
      <c r="BO770" s="20">
        <v>0</v>
      </c>
      <c r="BP770" s="20">
        <v>0</v>
      </c>
      <c r="BQ770" s="20">
        <v>0</v>
      </c>
      <c r="BR770" s="20">
        <v>0</v>
      </c>
      <c r="BS770" s="20">
        <v>324</v>
      </c>
      <c r="BT770" s="20">
        <v>2172906.0400000005</v>
      </c>
      <c r="BU770" s="20">
        <v>15580000</v>
      </c>
      <c r="BV770" s="20">
        <v>6.5182921409875405</v>
      </c>
    </row>
    <row r="771" spans="1:74">
      <c r="A771" s="10">
        <f t="shared" ref="A771:A834" si="50">IF($BL771="공급",$Z771,0)</f>
        <v>0</v>
      </c>
      <c r="B771" s="10">
        <f t="shared" ref="B771:B834" si="51">IF($AV771&gt;0,$Z771,0)</f>
        <v>0</v>
      </c>
      <c r="C771" s="12">
        <f t="shared" si="48"/>
        <v>8</v>
      </c>
      <c r="D771" s="12">
        <f t="shared" si="49"/>
        <v>8</v>
      </c>
      <c r="E771" s="20" t="s">
        <v>424</v>
      </c>
      <c r="F771" s="20" t="s">
        <v>2810</v>
      </c>
      <c r="G771" s="20" t="s">
        <v>2811</v>
      </c>
      <c r="H771" s="20" t="s">
        <v>2812</v>
      </c>
      <c r="I771" s="20">
        <v>1</v>
      </c>
      <c r="J771" s="20" t="s">
        <v>2813</v>
      </c>
      <c r="K771" s="20" t="s">
        <v>2814</v>
      </c>
      <c r="L771" s="20" t="s">
        <v>2815</v>
      </c>
      <c r="M771" s="20" t="s">
        <v>2810</v>
      </c>
      <c r="N771" s="20" t="s">
        <v>2816</v>
      </c>
      <c r="P771" s="20" t="s">
        <v>2810</v>
      </c>
      <c r="Q771" s="20" t="s">
        <v>2817</v>
      </c>
      <c r="R771" s="20" t="s">
        <v>84</v>
      </c>
      <c r="S771" s="20" t="s">
        <v>123</v>
      </c>
      <c r="T771" s="20" t="s">
        <v>1401</v>
      </c>
      <c r="U771" s="20" t="s">
        <v>1402</v>
      </c>
      <c r="V771" s="20" t="s">
        <v>87</v>
      </c>
      <c r="W771" s="20">
        <v>702</v>
      </c>
      <c r="X771" s="20">
        <v>702</v>
      </c>
      <c r="Y771" s="20" t="s">
        <v>2818</v>
      </c>
      <c r="Z771" s="20">
        <v>1</v>
      </c>
      <c r="AA771" s="20" t="s">
        <v>2819</v>
      </c>
      <c r="AB771" s="20" t="s">
        <v>89</v>
      </c>
      <c r="AC771" s="20" t="s">
        <v>90</v>
      </c>
      <c r="AD771" s="20" t="s">
        <v>2820</v>
      </c>
      <c r="AE771" s="20" t="s">
        <v>400</v>
      </c>
      <c r="AF771" s="20">
        <v>1</v>
      </c>
      <c r="AG771" s="20">
        <v>0</v>
      </c>
      <c r="AH771" s="20">
        <v>1</v>
      </c>
      <c r="AI771" s="4" t="s">
        <v>251</v>
      </c>
      <c r="AJ771" s="20">
        <v>300</v>
      </c>
      <c r="AK771" s="4" t="s">
        <v>93</v>
      </c>
      <c r="AL771" s="4">
        <v>11</v>
      </c>
      <c r="AM771" s="4">
        <v>11</v>
      </c>
      <c r="AN771" s="4" t="s">
        <v>95</v>
      </c>
      <c r="AO771" s="4" t="s">
        <v>189</v>
      </c>
      <c r="AP771" s="4">
        <v>1</v>
      </c>
      <c r="AQ771" s="20">
        <v>43000</v>
      </c>
      <c r="AR771" s="4">
        <v>41855</v>
      </c>
      <c r="AS771" s="20">
        <v>6515.151515151515</v>
      </c>
      <c r="AT771" s="20">
        <v>6832.75</v>
      </c>
      <c r="AU771" s="20">
        <v>317.59848484848499</v>
      </c>
      <c r="AV771" s="20">
        <v>0</v>
      </c>
      <c r="AW771" s="20">
        <v>980</v>
      </c>
      <c r="AX771" s="20">
        <v>20</v>
      </c>
      <c r="AY771" s="20">
        <v>1000</v>
      </c>
      <c r="AZ771" s="20">
        <v>5.05</v>
      </c>
      <c r="BA771" s="20">
        <v>0</v>
      </c>
      <c r="BB771" s="6">
        <v>41855</v>
      </c>
      <c r="BC771" s="6">
        <v>0</v>
      </c>
      <c r="BD771" s="6">
        <v>41862</v>
      </c>
      <c r="BE771" s="6">
        <v>0</v>
      </c>
      <c r="BF771" s="6">
        <v>41862</v>
      </c>
      <c r="BG771" s="6">
        <v>0</v>
      </c>
      <c r="BH771" s="6">
        <v>0</v>
      </c>
      <c r="BI771" s="6">
        <v>0</v>
      </c>
      <c r="BJ771" s="6">
        <v>0</v>
      </c>
      <c r="BK771" s="4">
        <v>0</v>
      </c>
      <c r="BL771" s="4">
        <v>0</v>
      </c>
      <c r="BM771" s="20">
        <v>300</v>
      </c>
      <c r="BN771" s="20">
        <v>0</v>
      </c>
      <c r="BO771" s="20">
        <v>0</v>
      </c>
      <c r="BP771" s="20">
        <v>0</v>
      </c>
      <c r="BQ771" s="20">
        <v>0</v>
      </c>
      <c r="BR771" s="20">
        <v>0</v>
      </c>
      <c r="BS771" s="20">
        <v>300</v>
      </c>
      <c r="BT771" s="20">
        <v>2049825</v>
      </c>
      <c r="BU771" s="20">
        <v>12900000</v>
      </c>
      <c r="BV771" s="20">
        <v>5.7211092299453501</v>
      </c>
    </row>
    <row r="772" spans="1:74">
      <c r="A772" s="10">
        <f t="shared" si="50"/>
        <v>0</v>
      </c>
      <c r="B772" s="10">
        <f t="shared" si="51"/>
        <v>0</v>
      </c>
      <c r="C772" s="12">
        <f t="shared" ref="C772:C835" si="52">IF($BB772=0,"",MONTH($BB772))</f>
        <v>8</v>
      </c>
      <c r="D772" s="12">
        <f t="shared" si="49"/>
        <v>8</v>
      </c>
      <c r="E772" s="20" t="s">
        <v>424</v>
      </c>
      <c r="F772" s="20" t="s">
        <v>2810</v>
      </c>
      <c r="G772" s="20" t="s">
        <v>2811</v>
      </c>
      <c r="H772" s="20" t="s">
        <v>2821</v>
      </c>
      <c r="I772" s="20">
        <v>2</v>
      </c>
      <c r="J772" s="20" t="s">
        <v>2822</v>
      </c>
      <c r="K772" s="20" t="s">
        <v>2823</v>
      </c>
      <c r="L772" s="20" t="s">
        <v>2824</v>
      </c>
      <c r="M772" s="20" t="s">
        <v>2810</v>
      </c>
      <c r="N772" s="20" t="s">
        <v>2825</v>
      </c>
      <c r="P772" s="20" t="s">
        <v>2810</v>
      </c>
      <c r="Q772" s="20" t="s">
        <v>2817</v>
      </c>
      <c r="R772" s="20" t="s">
        <v>84</v>
      </c>
      <c r="S772" s="20" t="s">
        <v>123</v>
      </c>
      <c r="T772" s="20" t="s">
        <v>1414</v>
      </c>
      <c r="U772" s="20" t="s">
        <v>1415</v>
      </c>
      <c r="V772" s="20" t="s">
        <v>87</v>
      </c>
      <c r="W772" s="20">
        <v>740</v>
      </c>
      <c r="X772" s="20">
        <v>740</v>
      </c>
      <c r="Y772" s="20" t="s">
        <v>2826</v>
      </c>
      <c r="Z772" s="20">
        <v>1</v>
      </c>
      <c r="AA772" s="20" t="s">
        <v>2827</v>
      </c>
      <c r="AB772" s="20" t="s">
        <v>221</v>
      </c>
      <c r="AC772" s="20" t="s">
        <v>222</v>
      </c>
      <c r="AD772" s="20" t="s">
        <v>2828</v>
      </c>
      <c r="AE772" s="20" t="s">
        <v>400</v>
      </c>
      <c r="AF772" s="20">
        <v>1</v>
      </c>
      <c r="AG772" s="20">
        <v>0</v>
      </c>
      <c r="AH772" s="20">
        <v>1</v>
      </c>
      <c r="AI772" s="4" t="s">
        <v>251</v>
      </c>
      <c r="AJ772" s="20">
        <v>183</v>
      </c>
      <c r="AK772" s="4" t="s">
        <v>93</v>
      </c>
      <c r="AL772" s="4">
        <v>11</v>
      </c>
      <c r="AM772" s="4">
        <v>11</v>
      </c>
      <c r="AN772" s="4" t="s">
        <v>95</v>
      </c>
      <c r="AO772" s="4" t="s">
        <v>189</v>
      </c>
      <c r="AP772" s="4">
        <v>1</v>
      </c>
      <c r="AQ772" s="20">
        <v>43000</v>
      </c>
      <c r="AR772" s="4">
        <v>41855</v>
      </c>
      <c r="AS772" s="20">
        <v>6515.151515151515</v>
      </c>
      <c r="AT772" s="20">
        <v>6448.5000000000009</v>
      </c>
      <c r="AU772" s="20">
        <v>-66.651515151514104</v>
      </c>
      <c r="AV772" s="20">
        <v>0</v>
      </c>
      <c r="AW772" s="20">
        <v>1000</v>
      </c>
      <c r="AX772" s="20">
        <v>20</v>
      </c>
      <c r="AY772" s="20">
        <v>1020</v>
      </c>
      <c r="AZ772" s="20">
        <v>4.7</v>
      </c>
      <c r="BA772" s="20">
        <v>0</v>
      </c>
      <c r="BB772" s="6">
        <v>41855</v>
      </c>
      <c r="BC772" s="6">
        <v>0</v>
      </c>
      <c r="BD772" s="6">
        <v>41862</v>
      </c>
      <c r="BE772" s="6">
        <v>0</v>
      </c>
      <c r="BF772" s="6">
        <v>41862</v>
      </c>
      <c r="BG772" s="6">
        <v>0</v>
      </c>
      <c r="BH772" s="6">
        <v>0</v>
      </c>
      <c r="BI772" s="6">
        <v>0</v>
      </c>
      <c r="BJ772" s="6">
        <v>0</v>
      </c>
      <c r="BK772" s="4">
        <v>0</v>
      </c>
      <c r="BL772" s="4">
        <v>0</v>
      </c>
      <c r="BM772" s="20">
        <v>176</v>
      </c>
      <c r="BN772" s="20">
        <v>0</v>
      </c>
      <c r="BO772" s="20">
        <v>0</v>
      </c>
      <c r="BP772" s="20">
        <v>0</v>
      </c>
      <c r="BQ772" s="20">
        <v>0</v>
      </c>
      <c r="BR772" s="20">
        <v>0</v>
      </c>
      <c r="BS772" s="20">
        <v>183</v>
      </c>
      <c r="BT772" s="20">
        <v>1180075.5000000002</v>
      </c>
      <c r="BU772" s="20">
        <v>7869000</v>
      </c>
      <c r="BV772" s="20">
        <v>6.0620158317297177</v>
      </c>
    </row>
    <row r="773" spans="1:74">
      <c r="A773" s="10">
        <f t="shared" si="50"/>
        <v>0</v>
      </c>
      <c r="B773" s="10">
        <f t="shared" si="51"/>
        <v>0</v>
      </c>
      <c r="C773" s="12">
        <f t="shared" si="52"/>
        <v>8</v>
      </c>
      <c r="D773" s="12">
        <f t="shared" ref="D773:D836" si="53">IF(AND(BD773=0,BF773=0),"",MONTH(IF($BF773=0,$BD773,$BF773)))</f>
        <v>8</v>
      </c>
      <c r="E773" s="20" t="s">
        <v>424</v>
      </c>
      <c r="F773" s="20" t="s">
        <v>2810</v>
      </c>
      <c r="G773" s="20" t="s">
        <v>2811</v>
      </c>
      <c r="H773" s="20" t="s">
        <v>2829</v>
      </c>
      <c r="I773" s="20">
        <v>3</v>
      </c>
      <c r="J773" s="20" t="s">
        <v>2830</v>
      </c>
      <c r="K773" s="20" t="s">
        <v>2831</v>
      </c>
      <c r="L773" s="20" t="s">
        <v>2832</v>
      </c>
      <c r="M773" s="20" t="s">
        <v>2810</v>
      </c>
      <c r="N773" s="20" t="s">
        <v>2825</v>
      </c>
      <c r="P773" s="20" t="s">
        <v>2810</v>
      </c>
      <c r="Q773" s="20" t="s">
        <v>2817</v>
      </c>
      <c r="R773" s="20" t="s">
        <v>84</v>
      </c>
      <c r="S773" s="20" t="s">
        <v>123</v>
      </c>
      <c r="T773" s="20" t="s">
        <v>1414</v>
      </c>
      <c r="U773" s="20" t="s">
        <v>1415</v>
      </c>
      <c r="V773" s="20" t="s">
        <v>87</v>
      </c>
      <c r="W773" s="20">
        <v>744</v>
      </c>
      <c r="X773" s="20">
        <v>744</v>
      </c>
      <c r="Y773" s="20" t="s">
        <v>2833</v>
      </c>
      <c r="Z773" s="20">
        <v>0.5</v>
      </c>
      <c r="AA773" s="20" t="s">
        <v>2834</v>
      </c>
      <c r="AB773" s="20" t="s">
        <v>296</v>
      </c>
      <c r="AC773" s="20" t="s">
        <v>297</v>
      </c>
      <c r="AD773" s="20" t="s">
        <v>2835</v>
      </c>
      <c r="AE773" s="20" t="s">
        <v>400</v>
      </c>
      <c r="AF773" s="20">
        <v>1</v>
      </c>
      <c r="AG773" s="20">
        <v>0</v>
      </c>
      <c r="AH773" s="20">
        <v>1</v>
      </c>
      <c r="AI773" s="4" t="s">
        <v>251</v>
      </c>
      <c r="AJ773" s="20">
        <v>100</v>
      </c>
      <c r="AK773" s="4" t="s">
        <v>93</v>
      </c>
      <c r="AL773" s="4">
        <v>11</v>
      </c>
      <c r="AM773" s="4">
        <v>11</v>
      </c>
      <c r="AN773" s="4" t="s">
        <v>95</v>
      </c>
      <c r="AO773" s="4" t="s">
        <v>189</v>
      </c>
      <c r="AP773" s="4">
        <v>1</v>
      </c>
      <c r="AQ773" s="20">
        <v>43000</v>
      </c>
      <c r="AR773" s="4">
        <v>41855</v>
      </c>
      <c r="AS773" s="20">
        <v>6515.151515151515</v>
      </c>
      <c r="AT773" s="20">
        <v>6564</v>
      </c>
      <c r="AU773" s="20">
        <v>48.848484848484986</v>
      </c>
      <c r="AV773" s="20">
        <v>0</v>
      </c>
      <c r="AW773" s="20">
        <v>1000</v>
      </c>
      <c r="AX773" s="20">
        <v>20</v>
      </c>
      <c r="AY773" s="20">
        <v>1020</v>
      </c>
      <c r="AZ773" s="20">
        <v>4.8</v>
      </c>
      <c r="BA773" s="20">
        <v>0</v>
      </c>
      <c r="BB773" s="6">
        <v>41855</v>
      </c>
      <c r="BC773" s="6">
        <v>0</v>
      </c>
      <c r="BD773" s="6">
        <v>41862</v>
      </c>
      <c r="BE773" s="6">
        <v>0</v>
      </c>
      <c r="BF773" s="6">
        <v>41862</v>
      </c>
      <c r="BG773" s="6">
        <v>0</v>
      </c>
      <c r="BH773" s="6">
        <v>0</v>
      </c>
      <c r="BI773" s="6">
        <v>0</v>
      </c>
      <c r="BJ773" s="6">
        <v>0</v>
      </c>
      <c r="BK773" s="4">
        <v>0</v>
      </c>
      <c r="BL773" s="4">
        <v>0</v>
      </c>
      <c r="BM773" s="20">
        <v>100</v>
      </c>
      <c r="BN773" s="20">
        <v>0</v>
      </c>
      <c r="BO773" s="20">
        <v>0</v>
      </c>
      <c r="BP773" s="20">
        <v>0</v>
      </c>
      <c r="BQ773" s="20">
        <v>0</v>
      </c>
      <c r="BR773" s="20">
        <v>0</v>
      </c>
      <c r="BS773" s="20">
        <v>100</v>
      </c>
      <c r="BT773" s="20">
        <v>656400</v>
      </c>
      <c r="BU773" s="20">
        <v>4300000</v>
      </c>
      <c r="BV773" s="20">
        <v>5.9553487341421523</v>
      </c>
    </row>
    <row r="774" spans="1:74">
      <c r="A774" s="10">
        <f t="shared" si="50"/>
        <v>0</v>
      </c>
      <c r="B774" s="10">
        <f t="shared" si="51"/>
        <v>0</v>
      </c>
      <c r="C774" s="12">
        <f t="shared" si="52"/>
        <v>8</v>
      </c>
      <c r="D774" s="12">
        <f t="shared" si="53"/>
        <v>8</v>
      </c>
      <c r="E774" s="20" t="s">
        <v>424</v>
      </c>
      <c r="F774" s="20" t="s">
        <v>2810</v>
      </c>
      <c r="G774" s="20" t="s">
        <v>2811</v>
      </c>
      <c r="H774" s="20" t="s">
        <v>2836</v>
      </c>
      <c r="I774" s="20">
        <v>4</v>
      </c>
      <c r="J774" s="20" t="s">
        <v>2837</v>
      </c>
      <c r="K774" s="20" t="s">
        <v>2838</v>
      </c>
      <c r="L774" s="20" t="s">
        <v>2832</v>
      </c>
      <c r="M774" s="20" t="s">
        <v>2810</v>
      </c>
      <c r="N774" s="20" t="s">
        <v>2825</v>
      </c>
      <c r="P774" s="20" t="s">
        <v>2810</v>
      </c>
      <c r="Q774" s="20" t="s">
        <v>2817</v>
      </c>
      <c r="R774" s="20" t="s">
        <v>84</v>
      </c>
      <c r="S774" s="20" t="s">
        <v>123</v>
      </c>
      <c r="T774" s="20" t="s">
        <v>1414</v>
      </c>
      <c r="U774" s="20" t="s">
        <v>1415</v>
      </c>
      <c r="V774" s="20" t="s">
        <v>87</v>
      </c>
      <c r="W774" s="20">
        <v>744</v>
      </c>
      <c r="X774" s="20">
        <v>744</v>
      </c>
      <c r="Y774" s="20" t="s">
        <v>2833</v>
      </c>
      <c r="Z774" s="20">
        <v>0.5</v>
      </c>
      <c r="AA774" s="20" t="s">
        <v>2839</v>
      </c>
      <c r="AB774" s="20" t="s">
        <v>89</v>
      </c>
      <c r="AC774" s="20" t="s">
        <v>90</v>
      </c>
      <c r="AD774" s="20" t="s">
        <v>2840</v>
      </c>
      <c r="AE774" s="20" t="s">
        <v>400</v>
      </c>
      <c r="AF774" s="20">
        <v>1</v>
      </c>
      <c r="AG774" s="20">
        <v>0</v>
      </c>
      <c r="AH774" s="20">
        <v>1</v>
      </c>
      <c r="AI774" s="4" t="s">
        <v>251</v>
      </c>
      <c r="AJ774" s="20">
        <v>194</v>
      </c>
      <c r="AK774" s="4" t="s">
        <v>93</v>
      </c>
      <c r="AL774" s="4">
        <v>11</v>
      </c>
      <c r="AM774" s="4">
        <v>11</v>
      </c>
      <c r="AN774" s="4" t="s">
        <v>95</v>
      </c>
      <c r="AO774" s="4" t="s">
        <v>189</v>
      </c>
      <c r="AP774" s="4">
        <v>1</v>
      </c>
      <c r="AQ774" s="20">
        <v>43000</v>
      </c>
      <c r="AR774" s="4">
        <v>41855</v>
      </c>
      <c r="AS774" s="20">
        <v>6515.151515151515</v>
      </c>
      <c r="AT774" s="20">
        <v>6543.9999999999991</v>
      </c>
      <c r="AU774" s="20">
        <v>28.848484848484077</v>
      </c>
      <c r="AV774" s="20">
        <v>0</v>
      </c>
      <c r="AW774" s="20">
        <v>980</v>
      </c>
      <c r="AX774" s="20">
        <v>20</v>
      </c>
      <c r="AY774" s="20">
        <v>1000</v>
      </c>
      <c r="AZ774" s="20">
        <v>4.7999999999999989</v>
      </c>
      <c r="BA774" s="20">
        <v>0</v>
      </c>
      <c r="BB774" s="6">
        <v>41855</v>
      </c>
      <c r="BC774" s="6">
        <v>0</v>
      </c>
      <c r="BD774" s="6">
        <v>41862</v>
      </c>
      <c r="BE774" s="6">
        <v>0</v>
      </c>
      <c r="BF774" s="6">
        <v>41862</v>
      </c>
      <c r="BG774" s="6">
        <v>0</v>
      </c>
      <c r="BH774" s="6">
        <v>0</v>
      </c>
      <c r="BI774" s="6">
        <v>0</v>
      </c>
      <c r="BJ774" s="6">
        <v>0</v>
      </c>
      <c r="BK774" s="4">
        <v>0</v>
      </c>
      <c r="BL774" s="4">
        <v>0</v>
      </c>
      <c r="BM774" s="20">
        <v>187</v>
      </c>
      <c r="BN774" s="20">
        <v>0</v>
      </c>
      <c r="BO774" s="20">
        <v>0</v>
      </c>
      <c r="BP774" s="20">
        <v>0</v>
      </c>
      <c r="BQ774" s="20">
        <v>0</v>
      </c>
      <c r="BR774" s="20">
        <v>0</v>
      </c>
      <c r="BS774" s="20">
        <v>194</v>
      </c>
      <c r="BT774" s="20">
        <v>1269535.9999999998</v>
      </c>
      <c r="BU774" s="20">
        <v>8342000</v>
      </c>
      <c r="BV774" s="20">
        <v>5.9735496777061572</v>
      </c>
    </row>
    <row r="775" spans="1:74">
      <c r="A775" s="10">
        <f t="shared" si="50"/>
        <v>0</v>
      </c>
      <c r="B775" s="10">
        <f t="shared" si="51"/>
        <v>0</v>
      </c>
      <c r="C775" s="12">
        <f t="shared" si="52"/>
        <v>8</v>
      </c>
      <c r="D775" s="12">
        <f t="shared" si="53"/>
        <v>8</v>
      </c>
      <c r="E775" s="20" t="s">
        <v>424</v>
      </c>
      <c r="F775" s="20" t="s">
        <v>2810</v>
      </c>
      <c r="G775" s="20" t="s">
        <v>2811</v>
      </c>
      <c r="H775" s="20" t="s">
        <v>2841</v>
      </c>
      <c r="I775" s="20">
        <v>5</v>
      </c>
      <c r="J775" s="20" t="s">
        <v>2842</v>
      </c>
      <c r="K775" s="20" t="s">
        <v>2843</v>
      </c>
      <c r="L775" s="20" t="s">
        <v>2844</v>
      </c>
      <c r="M775" s="20" t="s">
        <v>2810</v>
      </c>
      <c r="N775" s="20" t="s">
        <v>2825</v>
      </c>
      <c r="P775" s="20" t="s">
        <v>2810</v>
      </c>
      <c r="Q775" s="20" t="s">
        <v>2817</v>
      </c>
      <c r="R775" s="20" t="s">
        <v>84</v>
      </c>
      <c r="S775" s="20" t="s">
        <v>123</v>
      </c>
      <c r="T775" s="20" t="s">
        <v>1414</v>
      </c>
      <c r="U775" s="20" t="s">
        <v>1415</v>
      </c>
      <c r="V775" s="20" t="s">
        <v>87</v>
      </c>
      <c r="W775" s="20">
        <v>814</v>
      </c>
      <c r="X775" s="20">
        <v>814</v>
      </c>
      <c r="Y775" s="20" t="s">
        <v>2845</v>
      </c>
      <c r="Z775" s="20">
        <v>1</v>
      </c>
      <c r="AA775" s="20" t="s">
        <v>2846</v>
      </c>
      <c r="AB775" s="20" t="s">
        <v>656</v>
      </c>
      <c r="AC775" s="20" t="s">
        <v>657</v>
      </c>
      <c r="AD775" s="20" t="s">
        <v>2847</v>
      </c>
      <c r="AE775" s="20" t="s">
        <v>400</v>
      </c>
      <c r="AF775" s="20">
        <v>1</v>
      </c>
      <c r="AG775" s="20">
        <v>0</v>
      </c>
      <c r="AH775" s="20">
        <v>1</v>
      </c>
      <c r="AI775" s="4" t="s">
        <v>251</v>
      </c>
      <c r="AJ775" s="20">
        <v>100</v>
      </c>
      <c r="AK775" s="4" t="s">
        <v>93</v>
      </c>
      <c r="AL775" s="4">
        <v>11</v>
      </c>
      <c r="AM775" s="4">
        <v>11</v>
      </c>
      <c r="AN775" s="4" t="s">
        <v>95</v>
      </c>
      <c r="AO775" s="4" t="s">
        <v>189</v>
      </c>
      <c r="AP775" s="4">
        <v>1</v>
      </c>
      <c r="AQ775" s="20">
        <v>35000</v>
      </c>
      <c r="AR775" s="4">
        <v>41855</v>
      </c>
      <c r="AS775" s="20">
        <v>5303.030303030303</v>
      </c>
      <c r="AT775" s="20">
        <v>6719</v>
      </c>
      <c r="AU775" s="20">
        <v>1415.969696969697</v>
      </c>
      <c r="AV775" s="20">
        <v>0</v>
      </c>
      <c r="AW775" s="20">
        <v>0</v>
      </c>
      <c r="AX775" s="20">
        <v>20</v>
      </c>
      <c r="AY775" s="20">
        <v>20</v>
      </c>
      <c r="AZ775" s="20">
        <v>5.8</v>
      </c>
      <c r="BA775" s="20">
        <v>0</v>
      </c>
      <c r="BB775" s="6">
        <v>41855</v>
      </c>
      <c r="BC775" s="6">
        <v>0</v>
      </c>
      <c r="BD775" s="6">
        <v>41862</v>
      </c>
      <c r="BE775" s="6">
        <v>0</v>
      </c>
      <c r="BF775" s="6">
        <v>41862</v>
      </c>
      <c r="BG775" s="6">
        <v>0</v>
      </c>
      <c r="BH775" s="6">
        <v>0</v>
      </c>
      <c r="BI775" s="6">
        <v>0</v>
      </c>
      <c r="BJ775" s="6">
        <v>0</v>
      </c>
      <c r="BK775" s="4">
        <v>0</v>
      </c>
      <c r="BL775" s="4">
        <v>0</v>
      </c>
      <c r="BM775" s="20">
        <v>100</v>
      </c>
      <c r="BN775" s="20">
        <v>0</v>
      </c>
      <c r="BO775" s="20">
        <v>0</v>
      </c>
      <c r="BP775" s="20">
        <v>0</v>
      </c>
      <c r="BQ775" s="20">
        <v>0</v>
      </c>
      <c r="BR775" s="20">
        <v>0</v>
      </c>
      <c r="BS775" s="20">
        <v>100</v>
      </c>
      <c r="BT775" s="20">
        <v>671900</v>
      </c>
      <c r="BU775" s="20">
        <v>3500000</v>
      </c>
      <c r="BV775" s="20">
        <v>4.7355531802622135</v>
      </c>
    </row>
    <row r="776" spans="1:74">
      <c r="A776" s="10">
        <f t="shared" si="50"/>
        <v>0</v>
      </c>
      <c r="B776" s="10">
        <f t="shared" si="51"/>
        <v>0</v>
      </c>
      <c r="C776" s="12">
        <f t="shared" si="52"/>
        <v>8</v>
      </c>
      <c r="D776" s="12">
        <f t="shared" si="53"/>
        <v>8</v>
      </c>
      <c r="E776" s="20" t="s">
        <v>424</v>
      </c>
      <c r="F776" s="20" t="s">
        <v>2810</v>
      </c>
      <c r="G776" s="20" t="s">
        <v>2811</v>
      </c>
      <c r="H776" s="20" t="s">
        <v>2848</v>
      </c>
      <c r="I776" s="20">
        <v>6</v>
      </c>
      <c r="J776" s="20" t="s">
        <v>2849</v>
      </c>
      <c r="K776" s="20" t="s">
        <v>2850</v>
      </c>
      <c r="L776" s="20" t="s">
        <v>2851</v>
      </c>
      <c r="M776" s="20" t="s">
        <v>2810</v>
      </c>
      <c r="N776" s="20" t="s">
        <v>2825</v>
      </c>
      <c r="P776" s="20" t="s">
        <v>2810</v>
      </c>
      <c r="Q776" s="20" t="s">
        <v>2817</v>
      </c>
      <c r="R776" s="20" t="s">
        <v>84</v>
      </c>
      <c r="S776" s="20" t="s">
        <v>123</v>
      </c>
      <c r="T776" s="20" t="s">
        <v>1414</v>
      </c>
      <c r="U776" s="20" t="s">
        <v>1415</v>
      </c>
      <c r="V776" s="20" t="s">
        <v>87</v>
      </c>
      <c r="W776" s="20">
        <v>816</v>
      </c>
      <c r="X776" s="20">
        <v>816</v>
      </c>
      <c r="Y776" s="20" t="s">
        <v>2852</v>
      </c>
      <c r="Z776" s="20">
        <v>1</v>
      </c>
      <c r="AA776" s="20" t="s">
        <v>2853</v>
      </c>
      <c r="AB776" s="20" t="s">
        <v>656</v>
      </c>
      <c r="AC776" s="20" t="s">
        <v>657</v>
      </c>
      <c r="AD776" s="20" t="s">
        <v>2854</v>
      </c>
      <c r="AE776" s="20" t="s">
        <v>400</v>
      </c>
      <c r="AF776" s="20">
        <v>1</v>
      </c>
      <c r="AG776" s="20">
        <v>0</v>
      </c>
      <c r="AH776" s="20">
        <v>1</v>
      </c>
      <c r="AI776" s="4" t="s">
        <v>251</v>
      </c>
      <c r="AJ776" s="20">
        <v>100</v>
      </c>
      <c r="AK776" s="4" t="s">
        <v>93</v>
      </c>
      <c r="AL776" s="4">
        <v>11</v>
      </c>
      <c r="AM776" s="4">
        <v>11</v>
      </c>
      <c r="AN776" s="4" t="s">
        <v>95</v>
      </c>
      <c r="AO776" s="4" t="s">
        <v>189</v>
      </c>
      <c r="AP776" s="4">
        <v>1</v>
      </c>
      <c r="AQ776" s="20">
        <v>35000</v>
      </c>
      <c r="AR776" s="4">
        <v>41855</v>
      </c>
      <c r="AS776" s="20">
        <v>5303.030303030303</v>
      </c>
      <c r="AT776" s="20">
        <v>6372.5</v>
      </c>
      <c r="AU776" s="20">
        <v>1069.469696969697</v>
      </c>
      <c r="AV776" s="20">
        <v>0</v>
      </c>
      <c r="AW776" s="20">
        <v>0</v>
      </c>
      <c r="AX776" s="20">
        <v>20</v>
      </c>
      <c r="AY776" s="20">
        <v>20</v>
      </c>
      <c r="AZ776" s="20">
        <v>5.5</v>
      </c>
      <c r="BA776" s="20">
        <v>0</v>
      </c>
      <c r="BB776" s="6">
        <v>41855</v>
      </c>
      <c r="BC776" s="6">
        <v>0</v>
      </c>
      <c r="BD776" s="6">
        <v>41862</v>
      </c>
      <c r="BE776" s="6">
        <v>0</v>
      </c>
      <c r="BF776" s="6">
        <v>41862</v>
      </c>
      <c r="BG776" s="6">
        <v>0</v>
      </c>
      <c r="BH776" s="6">
        <v>0</v>
      </c>
      <c r="BI776" s="6">
        <v>0</v>
      </c>
      <c r="BJ776" s="6">
        <v>0</v>
      </c>
      <c r="BK776" s="4">
        <v>0</v>
      </c>
      <c r="BL776" s="4">
        <v>0</v>
      </c>
      <c r="BM776" s="20">
        <v>100</v>
      </c>
      <c r="BN776" s="20">
        <v>0</v>
      </c>
      <c r="BO776" s="20">
        <v>0</v>
      </c>
      <c r="BP776" s="20">
        <v>0</v>
      </c>
      <c r="BQ776" s="20">
        <v>0</v>
      </c>
      <c r="BR776" s="20">
        <v>0</v>
      </c>
      <c r="BS776" s="20">
        <v>100</v>
      </c>
      <c r="BT776" s="20">
        <v>637250</v>
      </c>
      <c r="BU776" s="20">
        <v>3500000</v>
      </c>
      <c r="BV776" s="20">
        <v>4.9930454010485397</v>
      </c>
    </row>
    <row r="777" spans="1:74">
      <c r="A777" s="10">
        <f t="shared" si="50"/>
        <v>0</v>
      </c>
      <c r="B777" s="10">
        <f t="shared" si="51"/>
        <v>0</v>
      </c>
      <c r="C777" s="12">
        <f t="shared" si="52"/>
        <v>8</v>
      </c>
      <c r="D777" s="12">
        <f t="shared" si="53"/>
        <v>8</v>
      </c>
      <c r="E777" s="20" t="s">
        <v>424</v>
      </c>
      <c r="F777" s="20" t="s">
        <v>2810</v>
      </c>
      <c r="G777" s="20" t="s">
        <v>2811</v>
      </c>
      <c r="H777" s="20" t="s">
        <v>2855</v>
      </c>
      <c r="I777" s="20">
        <v>7</v>
      </c>
      <c r="J777" s="20" t="s">
        <v>2856</v>
      </c>
      <c r="K777" s="20" t="s">
        <v>2857</v>
      </c>
      <c r="L777" s="20" t="s">
        <v>2858</v>
      </c>
      <c r="M777" s="20" t="s">
        <v>2810</v>
      </c>
      <c r="N777" s="20" t="s">
        <v>2825</v>
      </c>
      <c r="P777" s="20" t="s">
        <v>2810</v>
      </c>
      <c r="Q777" s="20" t="s">
        <v>2817</v>
      </c>
      <c r="R777" s="20" t="s">
        <v>84</v>
      </c>
      <c r="S777" s="20" t="s">
        <v>123</v>
      </c>
      <c r="T777" s="20" t="s">
        <v>1414</v>
      </c>
      <c r="U777" s="20" t="s">
        <v>1415</v>
      </c>
      <c r="V777" s="20" t="s">
        <v>87</v>
      </c>
      <c r="W777" s="20">
        <v>819</v>
      </c>
      <c r="X777" s="20">
        <v>819</v>
      </c>
      <c r="Y777" s="20" t="s">
        <v>2859</v>
      </c>
      <c r="Z777" s="20">
        <v>1</v>
      </c>
      <c r="AA777" s="20" t="s">
        <v>2860</v>
      </c>
      <c r="AB777" s="20" t="s">
        <v>109</v>
      </c>
      <c r="AC777" s="20" t="s">
        <v>110</v>
      </c>
      <c r="AD777" s="20" t="s">
        <v>2861</v>
      </c>
      <c r="AE777" s="20" t="s">
        <v>400</v>
      </c>
      <c r="AF777" s="20">
        <v>1</v>
      </c>
      <c r="AG777" s="20">
        <v>0</v>
      </c>
      <c r="AH777" s="20">
        <v>1</v>
      </c>
      <c r="AI777" s="4" t="s">
        <v>251</v>
      </c>
      <c r="AJ777" s="20">
        <v>100</v>
      </c>
      <c r="AK777" s="4" t="s">
        <v>93</v>
      </c>
      <c r="AL777" s="4">
        <v>11</v>
      </c>
      <c r="AM777" s="4">
        <v>11</v>
      </c>
      <c r="AN777" s="4" t="s">
        <v>95</v>
      </c>
      <c r="AO777" s="4" t="s">
        <v>189</v>
      </c>
      <c r="AP777" s="4">
        <v>1</v>
      </c>
      <c r="AQ777" s="20">
        <v>35000</v>
      </c>
      <c r="AR777" s="4">
        <v>41855</v>
      </c>
      <c r="AS777" s="20">
        <v>5303.030303030303</v>
      </c>
      <c r="AT777" s="20">
        <v>7181.0000000000009</v>
      </c>
      <c r="AU777" s="20">
        <v>1877.9696969696979</v>
      </c>
      <c r="AV777" s="20">
        <v>0</v>
      </c>
      <c r="AW777" s="20">
        <v>0</v>
      </c>
      <c r="AX777" s="20">
        <v>20</v>
      </c>
      <c r="AY777" s="20">
        <v>20</v>
      </c>
      <c r="AZ777" s="20">
        <v>6.2</v>
      </c>
      <c r="BA777" s="20">
        <v>0</v>
      </c>
      <c r="BB777" s="6">
        <v>41855</v>
      </c>
      <c r="BC777" s="6">
        <v>0</v>
      </c>
      <c r="BD777" s="6">
        <v>41862</v>
      </c>
      <c r="BE777" s="6">
        <v>0</v>
      </c>
      <c r="BF777" s="6">
        <v>41862</v>
      </c>
      <c r="BG777" s="6">
        <v>0</v>
      </c>
      <c r="BH777" s="6">
        <v>0</v>
      </c>
      <c r="BI777" s="6">
        <v>0</v>
      </c>
      <c r="BJ777" s="6">
        <v>0</v>
      </c>
      <c r="BK777" s="4">
        <v>0</v>
      </c>
      <c r="BL777" s="4">
        <v>0</v>
      </c>
      <c r="BM777" s="20">
        <v>100</v>
      </c>
      <c r="BN777" s="20">
        <v>0</v>
      </c>
      <c r="BO777" s="20">
        <v>0</v>
      </c>
      <c r="BP777" s="20">
        <v>0</v>
      </c>
      <c r="BQ777" s="20">
        <v>0</v>
      </c>
      <c r="BR777" s="20">
        <v>0</v>
      </c>
      <c r="BS777" s="20">
        <v>100</v>
      </c>
      <c r="BT777" s="20">
        <v>718100.00000000012</v>
      </c>
      <c r="BU777" s="20">
        <v>3500000</v>
      </c>
      <c r="BV777" s="20">
        <v>4.4308845311491165</v>
      </c>
    </row>
    <row r="778" spans="1:74">
      <c r="A778" s="10">
        <f t="shared" si="50"/>
        <v>0</v>
      </c>
      <c r="B778" s="10">
        <f t="shared" si="51"/>
        <v>0</v>
      </c>
      <c r="C778" s="12">
        <f t="shared" si="52"/>
        <v>8</v>
      </c>
      <c r="D778" s="12">
        <f t="shared" si="53"/>
        <v>8</v>
      </c>
      <c r="E778" s="20" t="s">
        <v>424</v>
      </c>
      <c r="F778" s="20" t="s">
        <v>2810</v>
      </c>
      <c r="G778" s="20" t="s">
        <v>2811</v>
      </c>
      <c r="H778" s="20" t="s">
        <v>2862</v>
      </c>
      <c r="I778" s="20">
        <v>8</v>
      </c>
      <c r="J778" s="20" t="s">
        <v>2863</v>
      </c>
      <c r="K778" s="20" t="s">
        <v>2864</v>
      </c>
      <c r="L778" s="20" t="s">
        <v>2865</v>
      </c>
      <c r="M778" s="20" t="s">
        <v>2810</v>
      </c>
      <c r="N778" s="20" t="s">
        <v>2825</v>
      </c>
      <c r="P778" s="20" t="s">
        <v>2810</v>
      </c>
      <c r="Q778" s="20" t="s">
        <v>2817</v>
      </c>
      <c r="R778" s="20" t="s">
        <v>84</v>
      </c>
      <c r="S778" s="20" t="s">
        <v>123</v>
      </c>
      <c r="T778" s="20" t="s">
        <v>1414</v>
      </c>
      <c r="U778" s="20" t="s">
        <v>1415</v>
      </c>
      <c r="V778" s="20" t="s">
        <v>87</v>
      </c>
      <c r="W778" s="20">
        <v>872</v>
      </c>
      <c r="X778" s="20">
        <v>872</v>
      </c>
      <c r="Y778" s="20" t="s">
        <v>2866</v>
      </c>
      <c r="Z778" s="20">
        <v>1</v>
      </c>
      <c r="AA778" s="20" t="s">
        <v>2867</v>
      </c>
      <c r="AB778" s="20" t="s">
        <v>248</v>
      </c>
      <c r="AC778" s="20" t="s">
        <v>249</v>
      </c>
      <c r="AD778" s="20" t="s">
        <v>2868</v>
      </c>
      <c r="AE778" s="20" t="s">
        <v>400</v>
      </c>
      <c r="AF778" s="20">
        <v>1</v>
      </c>
      <c r="AG778" s="20">
        <v>0</v>
      </c>
      <c r="AH778" s="20">
        <v>1</v>
      </c>
      <c r="AI778" s="4" t="s">
        <v>251</v>
      </c>
      <c r="AJ778" s="20">
        <v>100</v>
      </c>
      <c r="AK778" s="4" t="s">
        <v>93</v>
      </c>
      <c r="AL778" s="4">
        <v>11</v>
      </c>
      <c r="AM778" s="4">
        <v>11</v>
      </c>
      <c r="AN778" s="4" t="s">
        <v>95</v>
      </c>
      <c r="AO778" s="4" t="s">
        <v>189</v>
      </c>
      <c r="AP778" s="4">
        <v>1</v>
      </c>
      <c r="AQ778" s="20">
        <v>39000</v>
      </c>
      <c r="AR778" s="4">
        <v>41855</v>
      </c>
      <c r="AS778" s="20">
        <v>5909.0909090909081</v>
      </c>
      <c r="AT778" s="20">
        <v>7583.5</v>
      </c>
      <c r="AU778" s="20">
        <v>1674.4090909090919</v>
      </c>
      <c r="AV778" s="20">
        <v>0</v>
      </c>
      <c r="AW778" s="20">
        <v>980</v>
      </c>
      <c r="AX778" s="20">
        <v>20</v>
      </c>
      <c r="AY778" s="20">
        <v>1000</v>
      </c>
      <c r="AZ778" s="20">
        <v>5.7</v>
      </c>
      <c r="BA778" s="20">
        <v>0</v>
      </c>
      <c r="BB778" s="6">
        <v>41855</v>
      </c>
      <c r="BC778" s="6">
        <v>0</v>
      </c>
      <c r="BD778" s="6">
        <v>41862</v>
      </c>
      <c r="BE778" s="6">
        <v>0</v>
      </c>
      <c r="BF778" s="6">
        <v>41862</v>
      </c>
      <c r="BG778" s="6">
        <v>0</v>
      </c>
      <c r="BH778" s="6">
        <v>0</v>
      </c>
      <c r="BI778" s="6">
        <v>0</v>
      </c>
      <c r="BJ778" s="6">
        <v>0</v>
      </c>
      <c r="BK778" s="4">
        <v>0</v>
      </c>
      <c r="BL778" s="4">
        <v>0</v>
      </c>
      <c r="BM778" s="20">
        <v>100</v>
      </c>
      <c r="BN778" s="20">
        <v>0</v>
      </c>
      <c r="BO778" s="20">
        <v>0</v>
      </c>
      <c r="BP778" s="20">
        <v>0</v>
      </c>
      <c r="BQ778" s="20">
        <v>0</v>
      </c>
      <c r="BR778" s="20">
        <v>0</v>
      </c>
      <c r="BS778" s="20">
        <v>100</v>
      </c>
      <c r="BT778" s="20">
        <v>758350</v>
      </c>
      <c r="BU778" s="20">
        <v>3900000</v>
      </c>
      <c r="BV778" s="20">
        <v>4.6752219231944947</v>
      </c>
    </row>
    <row r="779" spans="1:74">
      <c r="A779" s="10">
        <f t="shared" si="50"/>
        <v>0</v>
      </c>
      <c r="B779" s="10">
        <f t="shared" si="51"/>
        <v>0</v>
      </c>
      <c r="C779" s="12" t="str">
        <f t="shared" si="52"/>
        <v/>
      </c>
      <c r="D779" s="12" t="str">
        <f t="shared" si="53"/>
        <v/>
      </c>
      <c r="E779" s="20" t="s">
        <v>91</v>
      </c>
      <c r="F779" s="20" t="s">
        <v>91</v>
      </c>
      <c r="G779" s="20" t="s">
        <v>91</v>
      </c>
      <c r="H779" s="20" t="s">
        <v>91</v>
      </c>
      <c r="I779" s="20">
        <v>0</v>
      </c>
      <c r="J779" s="20" t="s">
        <v>103</v>
      </c>
      <c r="K779" s="20" t="s">
        <v>104</v>
      </c>
      <c r="L779" s="20">
        <v>0</v>
      </c>
      <c r="M779" s="20" t="s">
        <v>105</v>
      </c>
      <c r="N779" s="20" t="s">
        <v>91</v>
      </c>
      <c r="O779" s="20" t="s">
        <v>2869</v>
      </c>
      <c r="Q779" s="20" t="s">
        <v>91</v>
      </c>
      <c r="R779" s="20" t="s">
        <v>91</v>
      </c>
      <c r="S779" s="20" t="s">
        <v>91</v>
      </c>
      <c r="U779" s="20" t="s">
        <v>91</v>
      </c>
      <c r="V779" s="20" t="s">
        <v>87</v>
      </c>
      <c r="X779" s="20" t="s">
        <v>91</v>
      </c>
      <c r="Y779" s="20" t="s">
        <v>91</v>
      </c>
      <c r="Z779" s="20">
        <v>7</v>
      </c>
      <c r="AB779" s="20" t="s">
        <v>91</v>
      </c>
      <c r="AD779" s="20" t="s">
        <v>91</v>
      </c>
      <c r="AE779" s="20" t="s">
        <v>91</v>
      </c>
      <c r="AF779" s="20">
        <v>8</v>
      </c>
      <c r="AG779" s="20">
        <v>0</v>
      </c>
      <c r="AH779" s="20">
        <v>1</v>
      </c>
      <c r="AM779" s="4" t="s">
        <v>91</v>
      </c>
      <c r="AP779" s="4" t="s">
        <v>91</v>
      </c>
      <c r="AQ779" s="20">
        <v>0</v>
      </c>
      <c r="AR779" s="4">
        <v>0</v>
      </c>
      <c r="AS779" s="20">
        <v>0</v>
      </c>
      <c r="AT779" s="20">
        <v>0</v>
      </c>
      <c r="AU779" s="20">
        <v>0</v>
      </c>
      <c r="AV779" s="20">
        <v>0</v>
      </c>
      <c r="AW779" s="20">
        <v>0</v>
      </c>
      <c r="AX779" s="20" t="s">
        <v>91</v>
      </c>
      <c r="AY779" s="20">
        <v>0</v>
      </c>
      <c r="AZ779" s="20">
        <v>0</v>
      </c>
      <c r="BA779" s="20">
        <v>0</v>
      </c>
      <c r="BB779" s="6">
        <v>0</v>
      </c>
      <c r="BC779" s="6">
        <v>0</v>
      </c>
      <c r="BD779" s="6">
        <v>0</v>
      </c>
      <c r="BE779" s="6">
        <v>0</v>
      </c>
      <c r="BF779" s="6">
        <v>0</v>
      </c>
      <c r="BG779" s="6">
        <v>0</v>
      </c>
      <c r="BH779" s="6">
        <v>0</v>
      </c>
      <c r="BI779" s="6">
        <v>0</v>
      </c>
      <c r="BJ779" s="6">
        <v>0</v>
      </c>
      <c r="BK779" s="4">
        <v>0</v>
      </c>
      <c r="BL779" s="4">
        <v>0</v>
      </c>
      <c r="BM779" s="20">
        <v>1163</v>
      </c>
      <c r="BN779" s="20">
        <v>0</v>
      </c>
      <c r="BO779" s="20">
        <v>0</v>
      </c>
      <c r="BP779" s="20">
        <v>0</v>
      </c>
      <c r="BQ779" s="20">
        <v>0</v>
      </c>
      <c r="BR779" s="20">
        <v>0</v>
      </c>
      <c r="BS779" s="20">
        <v>1177</v>
      </c>
      <c r="BT779" s="20">
        <v>7941436.5</v>
      </c>
      <c r="BU779" s="20">
        <v>47811000</v>
      </c>
      <c r="BV779" s="20">
        <v>5.4731339165836621</v>
      </c>
    </row>
    <row r="780" spans="1:74">
      <c r="A780" s="10">
        <f t="shared" si="50"/>
        <v>0</v>
      </c>
      <c r="B780" s="10">
        <f t="shared" si="51"/>
        <v>0</v>
      </c>
      <c r="C780" s="12">
        <f t="shared" si="52"/>
        <v>8</v>
      </c>
      <c r="D780" s="12">
        <f t="shared" si="53"/>
        <v>8</v>
      </c>
      <c r="E780" s="20" t="s">
        <v>424</v>
      </c>
      <c r="F780" s="20" t="s">
        <v>2870</v>
      </c>
      <c r="G780" s="20" t="s">
        <v>2871</v>
      </c>
      <c r="H780" s="20" t="s">
        <v>2872</v>
      </c>
      <c r="I780" s="20">
        <v>1</v>
      </c>
      <c r="J780" s="20" t="s">
        <v>2873</v>
      </c>
      <c r="K780" s="20" t="s">
        <v>2874</v>
      </c>
      <c r="L780" s="20" t="s">
        <v>2875</v>
      </c>
      <c r="M780" s="20" t="s">
        <v>2870</v>
      </c>
      <c r="N780" s="20" t="s">
        <v>2876</v>
      </c>
      <c r="P780" s="20" t="s">
        <v>2870</v>
      </c>
      <c r="Q780" s="20" t="s">
        <v>2877</v>
      </c>
      <c r="R780" s="20" t="s">
        <v>84</v>
      </c>
      <c r="S780" s="20" t="s">
        <v>123</v>
      </c>
      <c r="T780" s="20" t="s">
        <v>172</v>
      </c>
      <c r="U780" s="20" t="s">
        <v>173</v>
      </c>
      <c r="V780" s="20" t="s">
        <v>87</v>
      </c>
      <c r="W780" s="20">
        <v>811</v>
      </c>
      <c r="X780" s="20">
        <v>811</v>
      </c>
      <c r="Y780" s="20" t="s">
        <v>2878</v>
      </c>
      <c r="Z780" s="20">
        <v>1</v>
      </c>
      <c r="AA780" s="20" t="s">
        <v>2879</v>
      </c>
      <c r="AB780" s="20" t="s">
        <v>109</v>
      </c>
      <c r="AC780" s="20" t="s">
        <v>110</v>
      </c>
      <c r="AD780" s="20" t="s">
        <v>2880</v>
      </c>
      <c r="AE780" s="20" t="s">
        <v>400</v>
      </c>
      <c r="AF780" s="20">
        <v>1</v>
      </c>
      <c r="AG780" s="20">
        <v>0</v>
      </c>
      <c r="AH780" s="20">
        <v>1</v>
      </c>
      <c r="AI780" s="4" t="s">
        <v>251</v>
      </c>
      <c r="AJ780" s="20">
        <v>100</v>
      </c>
      <c r="AK780" s="4" t="s">
        <v>179</v>
      </c>
      <c r="AL780" s="4">
        <v>25</v>
      </c>
      <c r="AM780" s="4">
        <v>25</v>
      </c>
      <c r="AN780" s="4" t="s">
        <v>95</v>
      </c>
      <c r="AO780" s="4" t="s">
        <v>96</v>
      </c>
      <c r="AP780" s="4">
        <v>1</v>
      </c>
      <c r="AQ780" s="20">
        <v>45000</v>
      </c>
      <c r="AR780" s="4">
        <v>41855</v>
      </c>
      <c r="AS780" s="20">
        <v>6818.1818181818171</v>
      </c>
      <c r="AT780" s="20">
        <v>3699.8300000000004</v>
      </c>
      <c r="AU780" s="20">
        <v>-3118.3518181818167</v>
      </c>
      <c r="AV780" s="20">
        <v>0</v>
      </c>
      <c r="AW780" s="20">
        <v>0</v>
      </c>
      <c r="AX780" s="20">
        <v>20</v>
      </c>
      <c r="AY780" s="20">
        <v>20</v>
      </c>
      <c r="AZ780" s="20">
        <v>2.95</v>
      </c>
      <c r="BA780" s="20">
        <v>0</v>
      </c>
      <c r="BB780" s="6">
        <v>41855</v>
      </c>
      <c r="BC780" s="6">
        <v>0</v>
      </c>
      <c r="BD780" s="6">
        <v>41862</v>
      </c>
      <c r="BE780" s="6">
        <v>0</v>
      </c>
      <c r="BF780" s="6">
        <v>41862</v>
      </c>
      <c r="BG780" s="6">
        <v>0</v>
      </c>
      <c r="BH780" s="6">
        <v>0</v>
      </c>
      <c r="BI780" s="6">
        <v>0</v>
      </c>
      <c r="BJ780" s="6">
        <v>0</v>
      </c>
      <c r="BK780" s="4">
        <v>0</v>
      </c>
      <c r="BL780" s="4">
        <v>0</v>
      </c>
      <c r="BM780" s="20">
        <v>100</v>
      </c>
      <c r="BN780" s="20">
        <v>0</v>
      </c>
      <c r="BO780" s="20">
        <v>0</v>
      </c>
      <c r="BP780" s="20">
        <v>0</v>
      </c>
      <c r="BQ780" s="20">
        <v>0</v>
      </c>
      <c r="BR780" s="20">
        <v>0</v>
      </c>
      <c r="BS780" s="20">
        <v>100</v>
      </c>
      <c r="BT780" s="20">
        <v>369983.00000000006</v>
      </c>
      <c r="BU780" s="20">
        <v>4500000</v>
      </c>
      <c r="BV780" s="20">
        <v>11.057019081712106</v>
      </c>
    </row>
    <row r="781" spans="1:74">
      <c r="A781" s="10">
        <f t="shared" si="50"/>
        <v>0</v>
      </c>
      <c r="B781" s="10">
        <f t="shared" si="51"/>
        <v>1</v>
      </c>
      <c r="C781" s="12">
        <f t="shared" si="52"/>
        <v>8</v>
      </c>
      <c r="D781" s="12">
        <f t="shared" si="53"/>
        <v>8</v>
      </c>
      <c r="E781" s="20" t="s">
        <v>424</v>
      </c>
      <c r="F781" s="20" t="s">
        <v>2870</v>
      </c>
      <c r="G781" s="20" t="s">
        <v>2871</v>
      </c>
      <c r="H781" s="20" t="s">
        <v>2881</v>
      </c>
      <c r="I781" s="20">
        <v>2</v>
      </c>
      <c r="J781" s="20" t="s">
        <v>2882</v>
      </c>
      <c r="K781" s="20" t="s">
        <v>2883</v>
      </c>
      <c r="L781" s="20" t="s">
        <v>2884</v>
      </c>
      <c r="M781" s="20" t="s">
        <v>2870</v>
      </c>
      <c r="N781" s="20" t="s">
        <v>2876</v>
      </c>
      <c r="P781" s="20" t="s">
        <v>2870</v>
      </c>
      <c r="Q781" s="20" t="s">
        <v>2877</v>
      </c>
      <c r="R781" s="20" t="s">
        <v>84</v>
      </c>
      <c r="S781" s="20" t="s">
        <v>123</v>
      </c>
      <c r="T781" s="20" t="s">
        <v>172</v>
      </c>
      <c r="U781" s="20" t="s">
        <v>173</v>
      </c>
      <c r="V781" s="20" t="s">
        <v>87</v>
      </c>
      <c r="W781" s="20">
        <v>812</v>
      </c>
      <c r="X781" s="20">
        <v>812</v>
      </c>
      <c r="Y781" s="20" t="s">
        <v>2885</v>
      </c>
      <c r="Z781" s="20">
        <v>1</v>
      </c>
      <c r="AA781" s="20" t="s">
        <v>2886</v>
      </c>
      <c r="AB781" s="20" t="s">
        <v>248</v>
      </c>
      <c r="AC781" s="20" t="s">
        <v>249</v>
      </c>
      <c r="AD781" s="20" t="s">
        <v>2887</v>
      </c>
      <c r="AE781" s="20" t="s">
        <v>400</v>
      </c>
      <c r="AF781" s="20">
        <v>1</v>
      </c>
      <c r="AG781" s="20">
        <v>0</v>
      </c>
      <c r="AH781" s="20">
        <v>1</v>
      </c>
      <c r="AI781" s="4" t="s">
        <v>251</v>
      </c>
      <c r="AJ781" s="20">
        <v>206</v>
      </c>
      <c r="AK781" s="4" t="s">
        <v>179</v>
      </c>
      <c r="AL781" s="4">
        <v>25</v>
      </c>
      <c r="AM781" s="4">
        <v>25</v>
      </c>
      <c r="AN781" s="4" t="s">
        <v>95</v>
      </c>
      <c r="AO781" s="4" t="s">
        <v>96</v>
      </c>
      <c r="AP781" s="4">
        <v>1</v>
      </c>
      <c r="AQ781" s="20">
        <v>53000</v>
      </c>
      <c r="AR781" s="4">
        <v>41855</v>
      </c>
      <c r="AS781" s="20">
        <v>8030.3030303030291</v>
      </c>
      <c r="AT781" s="20">
        <v>5137.2800000000007</v>
      </c>
      <c r="AU781" s="20">
        <v>-2893.0230303030285</v>
      </c>
      <c r="AV781" s="20">
        <v>1125.5999999999999</v>
      </c>
      <c r="AW781" s="20">
        <v>0</v>
      </c>
      <c r="AX781" s="20">
        <v>20</v>
      </c>
      <c r="AY781" s="20">
        <v>1145.5999999999999</v>
      </c>
      <c r="AZ781" s="20">
        <v>3.2</v>
      </c>
      <c r="BA781" s="20">
        <v>0</v>
      </c>
      <c r="BB781" s="6">
        <v>41855</v>
      </c>
      <c r="BC781" s="6">
        <v>0</v>
      </c>
      <c r="BD781" s="6">
        <v>41862</v>
      </c>
      <c r="BE781" s="6">
        <v>0</v>
      </c>
      <c r="BF781" s="6">
        <v>41862</v>
      </c>
      <c r="BG781" s="6">
        <v>0</v>
      </c>
      <c r="BH781" s="6">
        <v>0</v>
      </c>
      <c r="BI781" s="6">
        <v>0</v>
      </c>
      <c r="BJ781" s="6">
        <v>0</v>
      </c>
      <c r="BK781" s="4">
        <v>0</v>
      </c>
      <c r="BL781" s="4">
        <v>0</v>
      </c>
      <c r="BM781" s="20">
        <v>206</v>
      </c>
      <c r="BN781" s="20">
        <v>0</v>
      </c>
      <c r="BO781" s="20">
        <v>0</v>
      </c>
      <c r="BP781" s="20">
        <v>0</v>
      </c>
      <c r="BQ781" s="20">
        <v>0</v>
      </c>
      <c r="BR781" s="20">
        <v>0</v>
      </c>
      <c r="BS781" s="20">
        <v>206</v>
      </c>
      <c r="BT781" s="20">
        <v>1058279.6800000002</v>
      </c>
      <c r="BU781" s="20">
        <v>10918000</v>
      </c>
      <c r="BV781" s="20">
        <v>9.3788577188352917</v>
      </c>
    </row>
    <row r="782" spans="1:74">
      <c r="A782" s="10">
        <f t="shared" si="50"/>
        <v>0</v>
      </c>
      <c r="B782" s="10">
        <f t="shared" si="51"/>
        <v>1</v>
      </c>
      <c r="C782" s="12">
        <f t="shared" si="52"/>
        <v>8</v>
      </c>
      <c r="D782" s="12">
        <f t="shared" si="53"/>
        <v>8</v>
      </c>
      <c r="E782" s="20" t="s">
        <v>424</v>
      </c>
      <c r="F782" s="20" t="s">
        <v>2870</v>
      </c>
      <c r="G782" s="20" t="s">
        <v>2871</v>
      </c>
      <c r="H782" s="20" t="s">
        <v>2888</v>
      </c>
      <c r="I782" s="20">
        <v>3</v>
      </c>
      <c r="J782" s="20" t="s">
        <v>2889</v>
      </c>
      <c r="K782" s="20" t="s">
        <v>2890</v>
      </c>
      <c r="L782" s="20" t="s">
        <v>2891</v>
      </c>
      <c r="M782" s="20" t="s">
        <v>2870</v>
      </c>
      <c r="N782" s="20" t="s">
        <v>2876</v>
      </c>
      <c r="P782" s="20" t="s">
        <v>2870</v>
      </c>
      <c r="Q782" s="20" t="s">
        <v>2877</v>
      </c>
      <c r="R782" s="20" t="s">
        <v>84</v>
      </c>
      <c r="S782" s="20" t="s">
        <v>123</v>
      </c>
      <c r="T782" s="20" t="s">
        <v>172</v>
      </c>
      <c r="U782" s="20" t="s">
        <v>173</v>
      </c>
      <c r="V782" s="20" t="s">
        <v>87</v>
      </c>
      <c r="W782" s="20">
        <v>813</v>
      </c>
      <c r="X782" s="20">
        <v>813</v>
      </c>
      <c r="Y782" s="20" t="s">
        <v>2892</v>
      </c>
      <c r="Z782" s="20">
        <v>1</v>
      </c>
      <c r="AA782" s="20" t="s">
        <v>2893</v>
      </c>
      <c r="AB782" s="20" t="s">
        <v>139</v>
      </c>
      <c r="AC782" s="20" t="s">
        <v>140</v>
      </c>
      <c r="AD782" s="20" t="s">
        <v>2894</v>
      </c>
      <c r="AE782" s="20" t="s">
        <v>400</v>
      </c>
      <c r="AF782" s="20">
        <v>1</v>
      </c>
      <c r="AG782" s="20">
        <v>0</v>
      </c>
      <c r="AH782" s="20">
        <v>1</v>
      </c>
      <c r="AI782" s="4" t="s">
        <v>251</v>
      </c>
      <c r="AJ782" s="20">
        <v>327</v>
      </c>
      <c r="AK782" s="4" t="s">
        <v>179</v>
      </c>
      <c r="AL782" s="4">
        <v>25</v>
      </c>
      <c r="AM782" s="4">
        <v>25</v>
      </c>
      <c r="AN782" s="4" t="s">
        <v>95</v>
      </c>
      <c r="AO782" s="4" t="s">
        <v>96</v>
      </c>
      <c r="AP782" s="4">
        <v>1</v>
      </c>
      <c r="AQ782" s="20">
        <v>53000</v>
      </c>
      <c r="AR782" s="4">
        <v>41855</v>
      </c>
      <c r="AS782" s="20">
        <v>8030.3030303030291</v>
      </c>
      <c r="AT782" s="20">
        <v>5494.7300000000005</v>
      </c>
      <c r="AU782" s="20">
        <v>-2535.5730303030286</v>
      </c>
      <c r="AV782" s="20">
        <v>1171.2</v>
      </c>
      <c r="AW782" s="20">
        <v>0</v>
      </c>
      <c r="AX782" s="20">
        <v>20</v>
      </c>
      <c r="AY782" s="20">
        <v>1191.2</v>
      </c>
      <c r="AZ782" s="20">
        <v>3.45</v>
      </c>
      <c r="BA782" s="20">
        <v>0</v>
      </c>
      <c r="BB782" s="6">
        <v>41855</v>
      </c>
      <c r="BC782" s="6">
        <v>0</v>
      </c>
      <c r="BD782" s="6">
        <v>41862</v>
      </c>
      <c r="BE782" s="6">
        <v>0</v>
      </c>
      <c r="BF782" s="6">
        <v>41862</v>
      </c>
      <c r="BG782" s="6">
        <v>41961</v>
      </c>
      <c r="BH782" s="6">
        <v>0</v>
      </c>
      <c r="BI782" s="6">
        <v>0</v>
      </c>
      <c r="BJ782" s="6">
        <v>0</v>
      </c>
      <c r="BK782" s="4">
        <v>0</v>
      </c>
      <c r="BL782" s="4">
        <v>0</v>
      </c>
      <c r="BM782" s="20">
        <v>327</v>
      </c>
      <c r="BN782" s="20">
        <v>1</v>
      </c>
      <c r="BO782" s="20">
        <v>0</v>
      </c>
      <c r="BP782" s="20">
        <v>0</v>
      </c>
      <c r="BQ782" s="20">
        <v>0</v>
      </c>
      <c r="BR782" s="20">
        <v>0</v>
      </c>
      <c r="BS782" s="20">
        <v>327</v>
      </c>
      <c r="BT782" s="20">
        <v>1796776.7100000002</v>
      </c>
      <c r="BU782" s="20">
        <v>17331000</v>
      </c>
      <c r="BV782" s="20">
        <v>8.7687326186761094</v>
      </c>
    </row>
    <row r="783" spans="1:74">
      <c r="A783" s="10">
        <f t="shared" si="50"/>
        <v>0</v>
      </c>
      <c r="B783" s="10">
        <f t="shared" si="51"/>
        <v>0</v>
      </c>
      <c r="C783" s="12" t="str">
        <f t="shared" si="52"/>
        <v/>
      </c>
      <c r="D783" s="12" t="str">
        <f t="shared" si="53"/>
        <v/>
      </c>
      <c r="E783" s="20" t="s">
        <v>91</v>
      </c>
      <c r="F783" s="20" t="s">
        <v>91</v>
      </c>
      <c r="G783" s="20" t="s">
        <v>91</v>
      </c>
      <c r="H783" s="20" t="s">
        <v>91</v>
      </c>
      <c r="I783" s="20">
        <v>0</v>
      </c>
      <c r="J783" s="20" t="s">
        <v>103</v>
      </c>
      <c r="K783" s="20" t="s">
        <v>104</v>
      </c>
      <c r="L783" s="20">
        <v>0</v>
      </c>
      <c r="M783" s="20" t="s">
        <v>105</v>
      </c>
      <c r="N783" s="20" t="s">
        <v>91</v>
      </c>
      <c r="O783" s="20" t="s">
        <v>2895</v>
      </c>
      <c r="Q783" s="20" t="s">
        <v>91</v>
      </c>
      <c r="R783" s="20" t="s">
        <v>91</v>
      </c>
      <c r="S783" s="20" t="s">
        <v>91</v>
      </c>
      <c r="U783" s="20" t="s">
        <v>91</v>
      </c>
      <c r="V783" s="20" t="s">
        <v>87</v>
      </c>
      <c r="X783" s="20" t="s">
        <v>91</v>
      </c>
      <c r="Y783" s="20" t="s">
        <v>91</v>
      </c>
      <c r="Z783" s="20">
        <v>3</v>
      </c>
      <c r="AB783" s="20" t="s">
        <v>91</v>
      </c>
      <c r="AD783" s="20" t="s">
        <v>91</v>
      </c>
      <c r="AE783" s="20" t="s">
        <v>91</v>
      </c>
      <c r="AF783" s="20">
        <v>3</v>
      </c>
      <c r="AG783" s="20">
        <v>0</v>
      </c>
      <c r="AH783" s="20">
        <v>1</v>
      </c>
      <c r="AM783" s="4" t="s">
        <v>91</v>
      </c>
      <c r="AP783" s="4" t="s">
        <v>91</v>
      </c>
      <c r="AQ783" s="20">
        <v>0</v>
      </c>
      <c r="AR783" s="4">
        <v>0</v>
      </c>
      <c r="AS783" s="20">
        <v>0</v>
      </c>
      <c r="AT783" s="20">
        <v>0</v>
      </c>
      <c r="AU783" s="20">
        <v>0</v>
      </c>
      <c r="AV783" s="20">
        <v>0</v>
      </c>
      <c r="AW783" s="20">
        <v>0</v>
      </c>
      <c r="AX783" s="20" t="s">
        <v>91</v>
      </c>
      <c r="AY783" s="20">
        <v>0</v>
      </c>
      <c r="AZ783" s="20">
        <v>0</v>
      </c>
      <c r="BA783" s="20">
        <v>0</v>
      </c>
      <c r="BB783" s="6">
        <v>0</v>
      </c>
      <c r="BC783" s="6">
        <v>0</v>
      </c>
      <c r="BD783" s="6">
        <v>0</v>
      </c>
      <c r="BE783" s="6">
        <v>0</v>
      </c>
      <c r="BF783" s="6">
        <v>0</v>
      </c>
      <c r="BG783" s="6">
        <v>0</v>
      </c>
      <c r="BH783" s="6">
        <v>0</v>
      </c>
      <c r="BI783" s="6">
        <v>0</v>
      </c>
      <c r="BJ783" s="6">
        <v>0</v>
      </c>
      <c r="BK783" s="4">
        <v>0</v>
      </c>
      <c r="BL783" s="4">
        <v>0</v>
      </c>
      <c r="BM783" s="20">
        <v>633</v>
      </c>
      <c r="BN783" s="20">
        <v>1</v>
      </c>
      <c r="BO783" s="20">
        <v>0</v>
      </c>
      <c r="BP783" s="20">
        <v>0</v>
      </c>
      <c r="BQ783" s="20">
        <v>0</v>
      </c>
      <c r="BR783" s="20">
        <v>0</v>
      </c>
      <c r="BS783" s="20">
        <v>633</v>
      </c>
      <c r="BT783" s="20">
        <v>3225039.3900000006</v>
      </c>
      <c r="BU783" s="20">
        <v>32749000</v>
      </c>
      <c r="BV783" s="20">
        <v>9.2314587766378171</v>
      </c>
    </row>
    <row r="784" spans="1:74">
      <c r="A784" s="10">
        <f t="shared" si="50"/>
        <v>0</v>
      </c>
      <c r="B784" s="10">
        <f t="shared" si="51"/>
        <v>0</v>
      </c>
      <c r="C784" s="12">
        <f t="shared" si="52"/>
        <v>8</v>
      </c>
      <c r="D784" s="12">
        <f t="shared" si="53"/>
        <v>8</v>
      </c>
      <c r="E784" s="20" t="s">
        <v>114</v>
      </c>
      <c r="F784" s="20" t="s">
        <v>2667</v>
      </c>
      <c r="G784" s="20" t="s">
        <v>2896</v>
      </c>
      <c r="H784" s="20" t="s">
        <v>2897</v>
      </c>
      <c r="I784" s="20">
        <v>1</v>
      </c>
      <c r="J784" s="20" t="s">
        <v>2898</v>
      </c>
      <c r="K784" s="20" t="s">
        <v>2899</v>
      </c>
      <c r="L784" s="20" t="s">
        <v>2900</v>
      </c>
      <c r="M784" s="20" t="s">
        <v>2667</v>
      </c>
      <c r="N784" s="20" t="s">
        <v>2725</v>
      </c>
      <c r="P784" s="20" t="s">
        <v>2667</v>
      </c>
      <c r="Q784" s="20" t="s">
        <v>2674</v>
      </c>
      <c r="R784" s="20" t="s">
        <v>84</v>
      </c>
      <c r="S784" s="20" t="s">
        <v>123</v>
      </c>
      <c r="T784" s="20" t="s">
        <v>1401</v>
      </c>
      <c r="U784" s="20" t="s">
        <v>1402</v>
      </c>
      <c r="V784" s="20" t="s">
        <v>87</v>
      </c>
      <c r="W784" s="20">
        <v>620</v>
      </c>
      <c r="X784" s="20">
        <v>620</v>
      </c>
      <c r="Y784" s="20" t="s">
        <v>2901</v>
      </c>
      <c r="Z784" s="20">
        <v>0.25</v>
      </c>
      <c r="AA784" s="20" t="s">
        <v>2902</v>
      </c>
      <c r="AB784" s="20" t="s">
        <v>248</v>
      </c>
      <c r="AC784" s="20" t="s">
        <v>249</v>
      </c>
      <c r="AD784" s="20" t="s">
        <v>2903</v>
      </c>
      <c r="AE784" s="20" t="s">
        <v>400</v>
      </c>
      <c r="AF784" s="20">
        <v>1</v>
      </c>
      <c r="AG784" s="20">
        <v>0</v>
      </c>
      <c r="AH784" s="20">
        <v>1</v>
      </c>
      <c r="AI784" s="4" t="s">
        <v>97</v>
      </c>
      <c r="AJ784" s="20">
        <v>20</v>
      </c>
      <c r="AK784" s="4" t="s">
        <v>93</v>
      </c>
      <c r="AL784" s="4">
        <v>12</v>
      </c>
      <c r="AM784" s="4">
        <v>12</v>
      </c>
      <c r="AN784" s="4" t="s">
        <v>95</v>
      </c>
      <c r="AO784" s="4" t="s">
        <v>189</v>
      </c>
      <c r="AP784" s="4">
        <v>1</v>
      </c>
      <c r="AQ784" s="20">
        <v>43000</v>
      </c>
      <c r="AR784" s="4">
        <v>41855</v>
      </c>
      <c r="AS784" s="20">
        <v>6515.151515151515</v>
      </c>
      <c r="AT784" s="20">
        <v>4524.5</v>
      </c>
      <c r="AU784" s="20">
        <v>-1990.651515151515</v>
      </c>
      <c r="AV784" s="20">
        <v>0</v>
      </c>
      <c r="AW784" s="20">
        <v>0</v>
      </c>
      <c r="AX784" s="20">
        <v>20</v>
      </c>
      <c r="AY784" s="20">
        <v>20</v>
      </c>
      <c r="AZ784" s="20">
        <v>3.9</v>
      </c>
      <c r="BA784" s="20">
        <v>0</v>
      </c>
      <c r="BB784" s="6">
        <v>41855</v>
      </c>
      <c r="BC784" s="6">
        <v>0</v>
      </c>
      <c r="BD784" s="6">
        <v>41862</v>
      </c>
      <c r="BE784" s="6">
        <v>0</v>
      </c>
      <c r="BF784" s="6">
        <v>41862</v>
      </c>
      <c r="BG784" s="6">
        <v>0</v>
      </c>
      <c r="BH784" s="6">
        <v>0</v>
      </c>
      <c r="BI784" s="6">
        <v>0</v>
      </c>
      <c r="BJ784" s="6">
        <v>0</v>
      </c>
      <c r="BK784" s="4">
        <v>0</v>
      </c>
      <c r="BL784" s="4">
        <v>0</v>
      </c>
      <c r="BM784" s="20">
        <v>20</v>
      </c>
      <c r="BN784" s="20">
        <v>0</v>
      </c>
      <c r="BO784" s="20">
        <v>0</v>
      </c>
      <c r="BP784" s="20">
        <v>0</v>
      </c>
      <c r="BQ784" s="20">
        <v>0</v>
      </c>
      <c r="BR784" s="20">
        <v>0</v>
      </c>
      <c r="BS784" s="20">
        <v>20</v>
      </c>
      <c r="BT784" s="20">
        <v>90490</v>
      </c>
      <c r="BU784" s="20">
        <v>860000</v>
      </c>
      <c r="BV784" s="20">
        <v>8.6398296145229487</v>
      </c>
    </row>
    <row r="785" spans="1:74">
      <c r="A785" s="10">
        <f t="shared" si="50"/>
        <v>0</v>
      </c>
      <c r="B785" s="10">
        <f t="shared" si="51"/>
        <v>0</v>
      </c>
      <c r="C785" s="12">
        <f t="shared" si="52"/>
        <v>8</v>
      </c>
      <c r="D785" s="12">
        <f t="shared" si="53"/>
        <v>8</v>
      </c>
      <c r="E785" s="20" t="s">
        <v>114</v>
      </c>
      <c r="F785" s="20" t="s">
        <v>2667</v>
      </c>
      <c r="G785" s="20" t="s">
        <v>2896</v>
      </c>
      <c r="H785" s="20" t="s">
        <v>2904</v>
      </c>
      <c r="I785" s="20">
        <v>2</v>
      </c>
      <c r="J785" s="20" t="s">
        <v>2905</v>
      </c>
      <c r="K785" s="20" t="s">
        <v>2906</v>
      </c>
      <c r="L785" s="20" t="s">
        <v>2900</v>
      </c>
      <c r="M785" s="20" t="s">
        <v>2667</v>
      </c>
      <c r="N785" s="20" t="s">
        <v>2725</v>
      </c>
      <c r="P785" s="20" t="s">
        <v>2667</v>
      </c>
      <c r="Q785" s="20" t="s">
        <v>2674</v>
      </c>
      <c r="R785" s="20" t="s">
        <v>84</v>
      </c>
      <c r="S785" s="20" t="s">
        <v>123</v>
      </c>
      <c r="T785" s="20" t="s">
        <v>1401</v>
      </c>
      <c r="U785" s="20" t="s">
        <v>1402</v>
      </c>
      <c r="V785" s="20" t="s">
        <v>87</v>
      </c>
      <c r="W785" s="20">
        <v>620</v>
      </c>
      <c r="X785" s="20">
        <v>620</v>
      </c>
      <c r="Y785" s="20" t="s">
        <v>2901</v>
      </c>
      <c r="Z785" s="20">
        <v>0.25</v>
      </c>
      <c r="AA785" s="20" t="s">
        <v>2907</v>
      </c>
      <c r="AB785" s="20" t="s">
        <v>89</v>
      </c>
      <c r="AC785" s="20" t="s">
        <v>90</v>
      </c>
      <c r="AD785" s="20" t="s">
        <v>2908</v>
      </c>
      <c r="AE785" s="20" t="s">
        <v>400</v>
      </c>
      <c r="AF785" s="20">
        <v>0.5</v>
      </c>
      <c r="AG785" s="20">
        <v>0</v>
      </c>
      <c r="AH785" s="20">
        <v>1</v>
      </c>
      <c r="AI785" s="4" t="s">
        <v>97</v>
      </c>
      <c r="AJ785" s="20">
        <v>30</v>
      </c>
      <c r="AK785" s="4" t="s">
        <v>93</v>
      </c>
      <c r="AL785" s="4">
        <v>12</v>
      </c>
      <c r="AM785" s="4">
        <v>12</v>
      </c>
      <c r="AN785" s="4" t="s">
        <v>95</v>
      </c>
      <c r="AO785" s="4" t="s">
        <v>189</v>
      </c>
      <c r="AP785" s="4">
        <v>1</v>
      </c>
      <c r="AQ785" s="20">
        <v>43000</v>
      </c>
      <c r="AR785" s="4">
        <v>41855</v>
      </c>
      <c r="AS785" s="20">
        <v>6515.151515151515</v>
      </c>
      <c r="AT785" s="20">
        <v>4524.5</v>
      </c>
      <c r="AU785" s="20">
        <v>-1990.651515151515</v>
      </c>
      <c r="AV785" s="20">
        <v>0</v>
      </c>
      <c r="AW785" s="20">
        <v>0</v>
      </c>
      <c r="AX785" s="20">
        <v>20</v>
      </c>
      <c r="AY785" s="20">
        <v>20</v>
      </c>
      <c r="AZ785" s="20">
        <v>3.9</v>
      </c>
      <c r="BA785" s="20">
        <v>0</v>
      </c>
      <c r="BB785" s="6">
        <v>41855</v>
      </c>
      <c r="BC785" s="6">
        <v>0</v>
      </c>
      <c r="BD785" s="6">
        <v>41862</v>
      </c>
      <c r="BE785" s="6">
        <v>0</v>
      </c>
      <c r="BF785" s="6">
        <v>41862</v>
      </c>
      <c r="BG785" s="6">
        <v>0</v>
      </c>
      <c r="BH785" s="6">
        <v>0</v>
      </c>
      <c r="BI785" s="6">
        <v>0</v>
      </c>
      <c r="BJ785" s="6">
        <v>0</v>
      </c>
      <c r="BK785" s="4">
        <v>0</v>
      </c>
      <c r="BL785" s="4">
        <v>0</v>
      </c>
      <c r="BM785" s="20">
        <v>30</v>
      </c>
      <c r="BN785" s="20">
        <v>0</v>
      </c>
      <c r="BO785" s="20">
        <v>0</v>
      </c>
      <c r="BP785" s="20">
        <v>0</v>
      </c>
      <c r="BQ785" s="20">
        <v>0</v>
      </c>
      <c r="BR785" s="20">
        <v>0</v>
      </c>
      <c r="BS785" s="20">
        <v>30</v>
      </c>
      <c r="BT785" s="20">
        <v>135735</v>
      </c>
      <c r="BU785" s="20">
        <v>1290000</v>
      </c>
      <c r="BV785" s="20">
        <v>8.6398296145229505</v>
      </c>
    </row>
    <row r="786" spans="1:74">
      <c r="A786" s="10">
        <f t="shared" si="50"/>
        <v>0</v>
      </c>
      <c r="B786" s="10">
        <f t="shared" si="51"/>
        <v>0</v>
      </c>
      <c r="C786" s="12">
        <f t="shared" si="52"/>
        <v>8</v>
      </c>
      <c r="D786" s="12">
        <f t="shared" si="53"/>
        <v>8</v>
      </c>
      <c r="E786" s="20" t="s">
        <v>114</v>
      </c>
      <c r="F786" s="20" t="s">
        <v>2667</v>
      </c>
      <c r="G786" s="20" t="s">
        <v>2896</v>
      </c>
      <c r="H786" s="20" t="s">
        <v>2904</v>
      </c>
      <c r="I786" s="20">
        <v>2</v>
      </c>
      <c r="J786" s="20" t="s">
        <v>2905</v>
      </c>
      <c r="K786" s="20" t="s">
        <v>2909</v>
      </c>
      <c r="L786" s="20" t="s">
        <v>2900</v>
      </c>
      <c r="M786" s="20" t="s">
        <v>2667</v>
      </c>
      <c r="N786" s="20" t="s">
        <v>2725</v>
      </c>
      <c r="P786" s="20" t="s">
        <v>2667</v>
      </c>
      <c r="Q786" s="20" t="s">
        <v>2674</v>
      </c>
      <c r="R786" s="20" t="s">
        <v>84</v>
      </c>
      <c r="S786" s="20" t="s">
        <v>123</v>
      </c>
      <c r="T786" s="20" t="s">
        <v>1401</v>
      </c>
      <c r="U786" s="20" t="s">
        <v>1402</v>
      </c>
      <c r="V786" s="20" t="s">
        <v>87</v>
      </c>
      <c r="W786" s="20">
        <v>620</v>
      </c>
      <c r="X786" s="20">
        <v>620</v>
      </c>
      <c r="Y786" s="20" t="s">
        <v>2901</v>
      </c>
      <c r="Z786" s="20">
        <v>0.25</v>
      </c>
      <c r="AA786" s="20" t="s">
        <v>2910</v>
      </c>
      <c r="AB786" s="20" t="s">
        <v>89</v>
      </c>
      <c r="AC786" s="20" t="s">
        <v>90</v>
      </c>
      <c r="AD786" s="20" t="s">
        <v>2908</v>
      </c>
      <c r="AE786" s="20" t="s">
        <v>400</v>
      </c>
      <c r="AF786" s="20">
        <v>0.5</v>
      </c>
      <c r="AG786" s="20">
        <v>0</v>
      </c>
      <c r="AH786" s="20">
        <v>1</v>
      </c>
      <c r="AI786" s="4" t="s">
        <v>98</v>
      </c>
      <c r="AJ786" s="20">
        <v>50</v>
      </c>
      <c r="AK786" s="4" t="s">
        <v>93</v>
      </c>
      <c r="AL786" s="4">
        <v>12</v>
      </c>
      <c r="AM786" s="4">
        <v>12</v>
      </c>
      <c r="AN786" s="4" t="s">
        <v>95</v>
      </c>
      <c r="AO786" s="4" t="s">
        <v>189</v>
      </c>
      <c r="AP786" s="4">
        <v>1</v>
      </c>
      <c r="AQ786" s="20">
        <v>43000</v>
      </c>
      <c r="AR786" s="4">
        <v>41855</v>
      </c>
      <c r="AS786" s="20">
        <v>6515.151515151515</v>
      </c>
      <c r="AT786" s="20">
        <v>4524.5</v>
      </c>
      <c r="AU786" s="20">
        <v>-1990.651515151515</v>
      </c>
      <c r="AV786" s="20">
        <v>0</v>
      </c>
      <c r="AW786" s="20">
        <v>0</v>
      </c>
      <c r="AX786" s="20">
        <v>20</v>
      </c>
      <c r="AY786" s="20">
        <v>20</v>
      </c>
      <c r="AZ786" s="20">
        <v>3.9</v>
      </c>
      <c r="BA786" s="20">
        <v>0</v>
      </c>
      <c r="BB786" s="6">
        <v>41855</v>
      </c>
      <c r="BC786" s="6">
        <v>0</v>
      </c>
      <c r="BD786" s="6">
        <v>41862</v>
      </c>
      <c r="BE786" s="6">
        <v>0</v>
      </c>
      <c r="BF786" s="6">
        <v>41862</v>
      </c>
      <c r="BG786" s="6">
        <v>0</v>
      </c>
      <c r="BH786" s="6">
        <v>0</v>
      </c>
      <c r="BI786" s="6">
        <v>0</v>
      </c>
      <c r="BJ786" s="6">
        <v>0</v>
      </c>
      <c r="BK786" s="4">
        <v>0</v>
      </c>
      <c r="BL786" s="4">
        <v>0</v>
      </c>
      <c r="BM786" s="20">
        <v>50</v>
      </c>
      <c r="BN786" s="20">
        <v>0</v>
      </c>
      <c r="BO786" s="20">
        <v>0</v>
      </c>
      <c r="BP786" s="20">
        <v>0</v>
      </c>
      <c r="BQ786" s="20">
        <v>0</v>
      </c>
      <c r="BR786" s="20">
        <v>0</v>
      </c>
      <c r="BS786" s="20">
        <v>50</v>
      </c>
      <c r="BT786" s="20">
        <v>226225</v>
      </c>
      <c r="BU786" s="20">
        <v>2150000</v>
      </c>
      <c r="BV786" s="20">
        <v>8.6398296145229505</v>
      </c>
    </row>
    <row r="787" spans="1:74">
      <c r="A787" s="10">
        <f t="shared" si="50"/>
        <v>0</v>
      </c>
      <c r="B787" s="10">
        <f t="shared" si="51"/>
        <v>0</v>
      </c>
      <c r="C787" s="12">
        <f t="shared" si="52"/>
        <v>8</v>
      </c>
      <c r="D787" s="12">
        <f t="shared" si="53"/>
        <v>8</v>
      </c>
      <c r="E787" s="20" t="s">
        <v>114</v>
      </c>
      <c r="F787" s="20" t="s">
        <v>2667</v>
      </c>
      <c r="G787" s="20" t="s">
        <v>2896</v>
      </c>
      <c r="H787" s="20" t="s">
        <v>2911</v>
      </c>
      <c r="I787" s="20">
        <v>3</v>
      </c>
      <c r="J787" s="20" t="s">
        <v>2912</v>
      </c>
      <c r="K787" s="20" t="s">
        <v>2913</v>
      </c>
      <c r="L787" s="20" t="s">
        <v>2900</v>
      </c>
      <c r="M787" s="20" t="s">
        <v>2667</v>
      </c>
      <c r="N787" s="20" t="s">
        <v>2725</v>
      </c>
      <c r="P787" s="20" t="s">
        <v>2667</v>
      </c>
      <c r="Q787" s="20" t="s">
        <v>2674</v>
      </c>
      <c r="R787" s="20" t="s">
        <v>84</v>
      </c>
      <c r="S787" s="20" t="s">
        <v>123</v>
      </c>
      <c r="T787" s="20" t="s">
        <v>1401</v>
      </c>
      <c r="U787" s="20" t="s">
        <v>1402</v>
      </c>
      <c r="V787" s="20" t="s">
        <v>87</v>
      </c>
      <c r="W787" s="20">
        <v>620</v>
      </c>
      <c r="X787" s="20">
        <v>620</v>
      </c>
      <c r="Y787" s="20" t="s">
        <v>2901</v>
      </c>
      <c r="Z787" s="20">
        <v>0.25</v>
      </c>
      <c r="AA787" s="20" t="s">
        <v>2914</v>
      </c>
      <c r="AB787" s="20" t="s">
        <v>279</v>
      </c>
      <c r="AC787" s="20" t="s">
        <v>280</v>
      </c>
      <c r="AD787" s="20" t="s">
        <v>2915</v>
      </c>
      <c r="AE787" s="20" t="s">
        <v>400</v>
      </c>
      <c r="AF787" s="20">
        <v>1</v>
      </c>
      <c r="AG787" s="20">
        <v>0</v>
      </c>
      <c r="AH787" s="20">
        <v>1</v>
      </c>
      <c r="AI787" s="4" t="s">
        <v>97</v>
      </c>
      <c r="AJ787" s="20">
        <v>20</v>
      </c>
      <c r="AK787" s="4" t="s">
        <v>93</v>
      </c>
      <c r="AL787" s="4">
        <v>12</v>
      </c>
      <c r="AM787" s="4">
        <v>12</v>
      </c>
      <c r="AN787" s="4" t="s">
        <v>95</v>
      </c>
      <c r="AO787" s="4" t="s">
        <v>189</v>
      </c>
      <c r="AP787" s="4">
        <v>1</v>
      </c>
      <c r="AQ787" s="20">
        <v>43000</v>
      </c>
      <c r="AR787" s="4">
        <v>41855</v>
      </c>
      <c r="AS787" s="20">
        <v>6515.151515151515</v>
      </c>
      <c r="AT787" s="20">
        <v>4524.5</v>
      </c>
      <c r="AU787" s="20">
        <v>-1990.651515151515</v>
      </c>
      <c r="AV787" s="20">
        <v>0</v>
      </c>
      <c r="AW787" s="20">
        <v>0</v>
      </c>
      <c r="AX787" s="20">
        <v>20</v>
      </c>
      <c r="AY787" s="20">
        <v>20</v>
      </c>
      <c r="AZ787" s="20">
        <v>3.9</v>
      </c>
      <c r="BA787" s="20">
        <v>0</v>
      </c>
      <c r="BB787" s="6">
        <v>41855</v>
      </c>
      <c r="BC787" s="6">
        <v>0</v>
      </c>
      <c r="BD787" s="6">
        <v>41862</v>
      </c>
      <c r="BE787" s="6">
        <v>0</v>
      </c>
      <c r="BF787" s="6">
        <v>41862</v>
      </c>
      <c r="BG787" s="6">
        <v>0</v>
      </c>
      <c r="BH787" s="6">
        <v>0</v>
      </c>
      <c r="BI787" s="6">
        <v>0</v>
      </c>
      <c r="BJ787" s="6">
        <v>0</v>
      </c>
      <c r="BK787" s="4">
        <v>0</v>
      </c>
      <c r="BL787" s="4">
        <v>0</v>
      </c>
      <c r="BM787" s="20">
        <v>20</v>
      </c>
      <c r="BN787" s="20">
        <v>0</v>
      </c>
      <c r="BO787" s="20">
        <v>0</v>
      </c>
      <c r="BP787" s="20">
        <v>0</v>
      </c>
      <c r="BQ787" s="20">
        <v>0</v>
      </c>
      <c r="BR787" s="20">
        <v>0</v>
      </c>
      <c r="BS787" s="20">
        <v>20</v>
      </c>
      <c r="BT787" s="20">
        <v>90490</v>
      </c>
      <c r="BU787" s="20">
        <v>860000</v>
      </c>
      <c r="BV787" s="20">
        <v>8.6398296145229487</v>
      </c>
    </row>
    <row r="788" spans="1:74">
      <c r="A788" s="10">
        <f t="shared" si="50"/>
        <v>0</v>
      </c>
      <c r="B788" s="10">
        <f t="shared" si="51"/>
        <v>0</v>
      </c>
      <c r="C788" s="12">
        <f t="shared" si="52"/>
        <v>8</v>
      </c>
      <c r="D788" s="12">
        <f t="shared" si="53"/>
        <v>8</v>
      </c>
      <c r="E788" s="20" t="s">
        <v>114</v>
      </c>
      <c r="F788" s="20" t="s">
        <v>2667</v>
      </c>
      <c r="G788" s="20" t="s">
        <v>2896</v>
      </c>
      <c r="H788" s="20" t="s">
        <v>2916</v>
      </c>
      <c r="I788" s="20">
        <v>4</v>
      </c>
      <c r="J788" s="20" t="s">
        <v>2917</v>
      </c>
      <c r="K788" s="20" t="s">
        <v>2918</v>
      </c>
      <c r="L788" s="20" t="s">
        <v>2919</v>
      </c>
      <c r="M788" s="20" t="s">
        <v>2667</v>
      </c>
      <c r="N788" s="20" t="s">
        <v>2725</v>
      </c>
      <c r="P788" s="20" t="s">
        <v>2667</v>
      </c>
      <c r="Q788" s="20" t="s">
        <v>2674</v>
      </c>
      <c r="R788" s="20" t="s">
        <v>84</v>
      </c>
      <c r="S788" s="20" t="s">
        <v>123</v>
      </c>
      <c r="T788" s="20" t="s">
        <v>1401</v>
      </c>
      <c r="U788" s="20" t="s">
        <v>1402</v>
      </c>
      <c r="V788" s="20" t="s">
        <v>87</v>
      </c>
      <c r="W788" s="20">
        <v>643</v>
      </c>
      <c r="X788" s="20">
        <v>643</v>
      </c>
      <c r="Y788" s="20" t="s">
        <v>2920</v>
      </c>
      <c r="Z788" s="20">
        <v>0.5</v>
      </c>
      <c r="AA788" s="20" t="s">
        <v>2921</v>
      </c>
      <c r="AB788" s="20" t="s">
        <v>101</v>
      </c>
      <c r="AC788" s="20" t="s">
        <v>102</v>
      </c>
      <c r="AD788" s="20" t="s">
        <v>2922</v>
      </c>
      <c r="AE788" s="20" t="s">
        <v>400</v>
      </c>
      <c r="AF788" s="20">
        <v>0.5</v>
      </c>
      <c r="AG788" s="20">
        <v>0</v>
      </c>
      <c r="AH788" s="20">
        <v>1</v>
      </c>
      <c r="AI788" s="4" t="s">
        <v>97</v>
      </c>
      <c r="AJ788" s="20">
        <v>50</v>
      </c>
      <c r="AK788" s="4" t="s">
        <v>93</v>
      </c>
      <c r="AL788" s="4">
        <v>12</v>
      </c>
      <c r="AM788" s="4">
        <v>12</v>
      </c>
      <c r="AN788" s="4" t="s">
        <v>95</v>
      </c>
      <c r="AO788" s="4" t="s">
        <v>96</v>
      </c>
      <c r="AP788" s="4">
        <v>1</v>
      </c>
      <c r="AQ788" s="20">
        <v>43000</v>
      </c>
      <c r="AR788" s="4">
        <v>41855</v>
      </c>
      <c r="AS788" s="20">
        <v>6515.151515151515</v>
      </c>
      <c r="AT788" s="20">
        <v>6755.9600000000019</v>
      </c>
      <c r="AU788" s="20">
        <v>240.80848484848684</v>
      </c>
      <c r="AV788" s="20">
        <v>0</v>
      </c>
      <c r="AW788" s="20">
        <v>0</v>
      </c>
      <c r="AX788" s="20">
        <v>20</v>
      </c>
      <c r="AY788" s="20">
        <v>20</v>
      </c>
      <c r="AZ788" s="20">
        <v>5.4</v>
      </c>
      <c r="BA788" s="20">
        <v>0</v>
      </c>
      <c r="BB788" s="6">
        <v>41855</v>
      </c>
      <c r="BC788" s="6">
        <v>0</v>
      </c>
      <c r="BD788" s="6">
        <v>41862</v>
      </c>
      <c r="BE788" s="6">
        <v>0</v>
      </c>
      <c r="BF788" s="6">
        <v>41862</v>
      </c>
      <c r="BG788" s="6">
        <v>0</v>
      </c>
      <c r="BH788" s="6">
        <v>0</v>
      </c>
      <c r="BI788" s="6">
        <v>0</v>
      </c>
      <c r="BJ788" s="6">
        <v>0</v>
      </c>
      <c r="BK788" s="4">
        <v>0</v>
      </c>
      <c r="BL788" s="4">
        <v>0</v>
      </c>
      <c r="BM788" s="20">
        <v>50</v>
      </c>
      <c r="BN788" s="20">
        <v>0</v>
      </c>
      <c r="BO788" s="20">
        <v>0</v>
      </c>
      <c r="BP788" s="20">
        <v>0</v>
      </c>
      <c r="BQ788" s="20">
        <v>0</v>
      </c>
      <c r="BR788" s="20">
        <v>0</v>
      </c>
      <c r="BS788" s="20">
        <v>50</v>
      </c>
      <c r="BT788" s="20">
        <v>337798.00000000012</v>
      </c>
      <c r="BU788" s="20">
        <v>2150000</v>
      </c>
      <c r="BV788" s="20">
        <v>5.7861368467115071</v>
      </c>
    </row>
    <row r="789" spans="1:74">
      <c r="A789" s="10">
        <f t="shared" si="50"/>
        <v>0</v>
      </c>
      <c r="B789" s="10">
        <f t="shared" si="51"/>
        <v>0</v>
      </c>
      <c r="C789" s="12">
        <f t="shared" si="52"/>
        <v>8</v>
      </c>
      <c r="D789" s="12">
        <f t="shared" si="53"/>
        <v>8</v>
      </c>
      <c r="E789" s="20" t="s">
        <v>114</v>
      </c>
      <c r="F789" s="20" t="s">
        <v>2667</v>
      </c>
      <c r="G789" s="20" t="s">
        <v>2896</v>
      </c>
      <c r="H789" s="20" t="s">
        <v>2916</v>
      </c>
      <c r="I789" s="20">
        <v>4</v>
      </c>
      <c r="J789" s="20" t="s">
        <v>2917</v>
      </c>
      <c r="K789" s="20" t="s">
        <v>2923</v>
      </c>
      <c r="L789" s="20" t="s">
        <v>2919</v>
      </c>
      <c r="M789" s="20" t="s">
        <v>2667</v>
      </c>
      <c r="N789" s="20" t="s">
        <v>2725</v>
      </c>
      <c r="P789" s="20" t="s">
        <v>2667</v>
      </c>
      <c r="Q789" s="20" t="s">
        <v>2674</v>
      </c>
      <c r="R789" s="20" t="s">
        <v>84</v>
      </c>
      <c r="S789" s="20" t="s">
        <v>123</v>
      </c>
      <c r="T789" s="20" t="s">
        <v>1401</v>
      </c>
      <c r="U789" s="20" t="s">
        <v>1402</v>
      </c>
      <c r="V789" s="20" t="s">
        <v>87</v>
      </c>
      <c r="W789" s="20">
        <v>643</v>
      </c>
      <c r="X789" s="20">
        <v>643</v>
      </c>
      <c r="Y789" s="20" t="s">
        <v>2920</v>
      </c>
      <c r="Z789" s="20">
        <v>0.5</v>
      </c>
      <c r="AA789" s="20" t="s">
        <v>2924</v>
      </c>
      <c r="AB789" s="20" t="s">
        <v>101</v>
      </c>
      <c r="AC789" s="20" t="s">
        <v>102</v>
      </c>
      <c r="AD789" s="20" t="s">
        <v>2922</v>
      </c>
      <c r="AE789" s="20" t="s">
        <v>400</v>
      </c>
      <c r="AF789" s="20">
        <v>0.5</v>
      </c>
      <c r="AG789" s="20">
        <v>0</v>
      </c>
      <c r="AH789" s="20">
        <v>1</v>
      </c>
      <c r="AI789" s="4" t="s">
        <v>98</v>
      </c>
      <c r="AJ789" s="20">
        <v>30</v>
      </c>
      <c r="AK789" s="4" t="s">
        <v>93</v>
      </c>
      <c r="AL789" s="4">
        <v>12</v>
      </c>
      <c r="AM789" s="4">
        <v>12</v>
      </c>
      <c r="AN789" s="4" t="s">
        <v>95</v>
      </c>
      <c r="AO789" s="4" t="s">
        <v>96</v>
      </c>
      <c r="AP789" s="4">
        <v>1</v>
      </c>
      <c r="AQ789" s="20">
        <v>43000</v>
      </c>
      <c r="AR789" s="4">
        <v>41855</v>
      </c>
      <c r="AS789" s="20">
        <v>6515.151515151515</v>
      </c>
      <c r="AT789" s="20">
        <v>6755.9600000000019</v>
      </c>
      <c r="AU789" s="20">
        <v>240.80848484848684</v>
      </c>
      <c r="AV789" s="20">
        <v>0</v>
      </c>
      <c r="AW789" s="20">
        <v>0</v>
      </c>
      <c r="AX789" s="20">
        <v>20</v>
      </c>
      <c r="AY789" s="20">
        <v>20</v>
      </c>
      <c r="AZ789" s="20">
        <v>5.4</v>
      </c>
      <c r="BA789" s="20">
        <v>0</v>
      </c>
      <c r="BB789" s="6">
        <v>41855</v>
      </c>
      <c r="BC789" s="6">
        <v>0</v>
      </c>
      <c r="BD789" s="6">
        <v>41862</v>
      </c>
      <c r="BE789" s="6">
        <v>0</v>
      </c>
      <c r="BF789" s="6">
        <v>41862</v>
      </c>
      <c r="BG789" s="6">
        <v>0</v>
      </c>
      <c r="BH789" s="6">
        <v>0</v>
      </c>
      <c r="BI789" s="6">
        <v>0</v>
      </c>
      <c r="BJ789" s="6">
        <v>0</v>
      </c>
      <c r="BK789" s="4">
        <v>0</v>
      </c>
      <c r="BL789" s="4">
        <v>0</v>
      </c>
      <c r="BM789" s="20">
        <v>30</v>
      </c>
      <c r="BN789" s="20">
        <v>0</v>
      </c>
      <c r="BO789" s="20">
        <v>0</v>
      </c>
      <c r="BP789" s="20">
        <v>0</v>
      </c>
      <c r="BQ789" s="20">
        <v>0</v>
      </c>
      <c r="BR789" s="20">
        <v>0</v>
      </c>
      <c r="BS789" s="20">
        <v>30</v>
      </c>
      <c r="BT789" s="20">
        <v>202678.80000000005</v>
      </c>
      <c r="BU789" s="20">
        <v>1290000</v>
      </c>
      <c r="BV789" s="20">
        <v>5.786136846711508</v>
      </c>
    </row>
    <row r="790" spans="1:74">
      <c r="A790" s="10">
        <f t="shared" si="50"/>
        <v>0</v>
      </c>
      <c r="B790" s="10">
        <f t="shared" si="51"/>
        <v>0</v>
      </c>
      <c r="C790" s="12">
        <f t="shared" si="52"/>
        <v>8</v>
      </c>
      <c r="D790" s="12">
        <f t="shared" si="53"/>
        <v>8</v>
      </c>
      <c r="E790" s="20" t="s">
        <v>114</v>
      </c>
      <c r="F790" s="20" t="s">
        <v>2667</v>
      </c>
      <c r="G790" s="20" t="s">
        <v>2896</v>
      </c>
      <c r="H790" s="20" t="s">
        <v>2925</v>
      </c>
      <c r="I790" s="20">
        <v>5</v>
      </c>
      <c r="J790" s="20" t="s">
        <v>2926</v>
      </c>
      <c r="K790" s="20" t="s">
        <v>2927</v>
      </c>
      <c r="L790" s="20" t="s">
        <v>2928</v>
      </c>
      <c r="M790" s="20" t="s">
        <v>2667</v>
      </c>
      <c r="N790" s="20" t="s">
        <v>2725</v>
      </c>
      <c r="P790" s="20" t="s">
        <v>2667</v>
      </c>
      <c r="Q790" s="20" t="s">
        <v>2674</v>
      </c>
      <c r="R790" s="20" t="s">
        <v>84</v>
      </c>
      <c r="S790" s="20" t="s">
        <v>123</v>
      </c>
      <c r="T790" s="20" t="s">
        <v>1401</v>
      </c>
      <c r="U790" s="20" t="s">
        <v>1402</v>
      </c>
      <c r="V790" s="20" t="s">
        <v>87</v>
      </c>
      <c r="W790" s="20">
        <v>710</v>
      </c>
      <c r="X790" s="20">
        <v>710</v>
      </c>
      <c r="Y790" s="20" t="s">
        <v>2929</v>
      </c>
      <c r="Z790" s="20">
        <v>0.5</v>
      </c>
      <c r="AA790" s="20" t="s">
        <v>2930</v>
      </c>
      <c r="AB790" s="20" t="s">
        <v>176</v>
      </c>
      <c r="AC790" s="20" t="s">
        <v>177</v>
      </c>
      <c r="AD790" s="20" t="s">
        <v>2931</v>
      </c>
      <c r="AE790" s="20" t="s">
        <v>400</v>
      </c>
      <c r="AF790" s="20">
        <v>0.5</v>
      </c>
      <c r="AG790" s="20">
        <v>0</v>
      </c>
      <c r="AH790" s="20">
        <v>1</v>
      </c>
      <c r="AI790" s="4" t="s">
        <v>97</v>
      </c>
      <c r="AJ790" s="20">
        <v>70</v>
      </c>
      <c r="AK790" s="4" t="s">
        <v>93</v>
      </c>
      <c r="AL790" s="4">
        <v>12</v>
      </c>
      <c r="AM790" s="4">
        <v>12</v>
      </c>
      <c r="AN790" s="4" t="s">
        <v>95</v>
      </c>
      <c r="AO790" s="4" t="s">
        <v>189</v>
      </c>
      <c r="AP790" s="4">
        <v>1</v>
      </c>
      <c r="AQ790" s="20">
        <v>43000</v>
      </c>
      <c r="AR790" s="4">
        <v>41855</v>
      </c>
      <c r="AS790" s="20">
        <v>6515.151515151515</v>
      </c>
      <c r="AT790" s="20">
        <v>6199.25</v>
      </c>
      <c r="AU790" s="20">
        <v>-315.90151515151501</v>
      </c>
      <c r="AV790" s="20">
        <v>0</v>
      </c>
      <c r="AW790" s="20">
        <v>0</v>
      </c>
      <c r="AX790" s="20">
        <v>20</v>
      </c>
      <c r="AY790" s="20">
        <v>20</v>
      </c>
      <c r="AZ790" s="20">
        <v>5.35</v>
      </c>
      <c r="BA790" s="20">
        <v>0</v>
      </c>
      <c r="BB790" s="6">
        <v>41855</v>
      </c>
      <c r="BC790" s="6">
        <v>0</v>
      </c>
      <c r="BD790" s="6">
        <v>41862</v>
      </c>
      <c r="BE790" s="6">
        <v>0</v>
      </c>
      <c r="BF790" s="6">
        <v>41862</v>
      </c>
      <c r="BG790" s="6">
        <v>0</v>
      </c>
      <c r="BH790" s="6">
        <v>0</v>
      </c>
      <c r="BI790" s="6">
        <v>0</v>
      </c>
      <c r="BJ790" s="6">
        <v>0</v>
      </c>
      <c r="BK790" s="4">
        <v>0</v>
      </c>
      <c r="BL790" s="4">
        <v>0</v>
      </c>
      <c r="BM790" s="20">
        <v>70</v>
      </c>
      <c r="BN790" s="20">
        <v>0</v>
      </c>
      <c r="BO790" s="20">
        <v>0</v>
      </c>
      <c r="BP790" s="20">
        <v>0</v>
      </c>
      <c r="BQ790" s="20">
        <v>0</v>
      </c>
      <c r="BR790" s="20">
        <v>0</v>
      </c>
      <c r="BS790" s="20">
        <v>70</v>
      </c>
      <c r="BT790" s="20">
        <v>433947.5</v>
      </c>
      <c r="BU790" s="20">
        <v>3010000</v>
      </c>
      <c r="BV790" s="20">
        <v>6.3057481293558233</v>
      </c>
    </row>
    <row r="791" spans="1:74">
      <c r="A791" s="10">
        <f t="shared" si="50"/>
        <v>0</v>
      </c>
      <c r="B791" s="10">
        <f t="shared" si="51"/>
        <v>0</v>
      </c>
      <c r="C791" s="12">
        <f t="shared" si="52"/>
        <v>8</v>
      </c>
      <c r="D791" s="12">
        <f t="shared" si="53"/>
        <v>8</v>
      </c>
      <c r="E791" s="20" t="s">
        <v>114</v>
      </c>
      <c r="F791" s="20" t="s">
        <v>2667</v>
      </c>
      <c r="G791" s="20" t="s">
        <v>2896</v>
      </c>
      <c r="H791" s="20" t="s">
        <v>2925</v>
      </c>
      <c r="I791" s="20">
        <v>5</v>
      </c>
      <c r="J791" s="20" t="s">
        <v>2926</v>
      </c>
      <c r="K791" s="20" t="s">
        <v>2932</v>
      </c>
      <c r="L791" s="20" t="s">
        <v>2928</v>
      </c>
      <c r="M791" s="20" t="s">
        <v>2667</v>
      </c>
      <c r="N791" s="20" t="s">
        <v>2725</v>
      </c>
      <c r="P791" s="20" t="s">
        <v>2667</v>
      </c>
      <c r="Q791" s="20" t="s">
        <v>2674</v>
      </c>
      <c r="R791" s="20" t="s">
        <v>84</v>
      </c>
      <c r="S791" s="20" t="s">
        <v>123</v>
      </c>
      <c r="T791" s="20" t="s">
        <v>1401</v>
      </c>
      <c r="U791" s="20" t="s">
        <v>1402</v>
      </c>
      <c r="V791" s="20" t="s">
        <v>87</v>
      </c>
      <c r="W791" s="20">
        <v>710</v>
      </c>
      <c r="X791" s="20">
        <v>710</v>
      </c>
      <c r="Y791" s="20" t="s">
        <v>2929</v>
      </c>
      <c r="Z791" s="20">
        <v>0.5</v>
      </c>
      <c r="AA791" s="20" t="s">
        <v>2933</v>
      </c>
      <c r="AB791" s="20" t="s">
        <v>176</v>
      </c>
      <c r="AC791" s="20" t="s">
        <v>177</v>
      </c>
      <c r="AD791" s="20" t="s">
        <v>2931</v>
      </c>
      <c r="AE791" s="20" t="s">
        <v>400</v>
      </c>
      <c r="AF791" s="20">
        <v>0.5</v>
      </c>
      <c r="AG791" s="20">
        <v>0</v>
      </c>
      <c r="AH791" s="20">
        <v>1</v>
      </c>
      <c r="AI791" s="4" t="s">
        <v>98</v>
      </c>
      <c r="AJ791" s="20">
        <v>50</v>
      </c>
      <c r="AK791" s="4" t="s">
        <v>93</v>
      </c>
      <c r="AL791" s="4">
        <v>12</v>
      </c>
      <c r="AM791" s="4">
        <v>12</v>
      </c>
      <c r="AN791" s="4" t="s">
        <v>95</v>
      </c>
      <c r="AO791" s="4" t="s">
        <v>189</v>
      </c>
      <c r="AP791" s="4">
        <v>1</v>
      </c>
      <c r="AQ791" s="20">
        <v>43000</v>
      </c>
      <c r="AR791" s="4">
        <v>41855</v>
      </c>
      <c r="AS791" s="20">
        <v>6515.151515151515</v>
      </c>
      <c r="AT791" s="20">
        <v>6199.25</v>
      </c>
      <c r="AU791" s="20">
        <v>-315.90151515151501</v>
      </c>
      <c r="AV791" s="20">
        <v>0</v>
      </c>
      <c r="AW791" s="20">
        <v>0</v>
      </c>
      <c r="AX791" s="20">
        <v>20</v>
      </c>
      <c r="AY791" s="20">
        <v>20</v>
      </c>
      <c r="AZ791" s="20">
        <v>5.35</v>
      </c>
      <c r="BA791" s="20">
        <v>0</v>
      </c>
      <c r="BB791" s="6">
        <v>41855</v>
      </c>
      <c r="BC791" s="6">
        <v>0</v>
      </c>
      <c r="BD791" s="6">
        <v>41862</v>
      </c>
      <c r="BE791" s="6">
        <v>0</v>
      </c>
      <c r="BF791" s="6">
        <v>41862</v>
      </c>
      <c r="BG791" s="6">
        <v>0</v>
      </c>
      <c r="BH791" s="6">
        <v>0</v>
      </c>
      <c r="BI791" s="6">
        <v>0</v>
      </c>
      <c r="BJ791" s="6">
        <v>0</v>
      </c>
      <c r="BK791" s="4">
        <v>0</v>
      </c>
      <c r="BL791" s="4">
        <v>0</v>
      </c>
      <c r="BM791" s="20">
        <v>50</v>
      </c>
      <c r="BN791" s="20">
        <v>0</v>
      </c>
      <c r="BO791" s="20">
        <v>0</v>
      </c>
      <c r="BP791" s="20">
        <v>0</v>
      </c>
      <c r="BQ791" s="20">
        <v>0</v>
      </c>
      <c r="BR791" s="20">
        <v>0</v>
      </c>
      <c r="BS791" s="20">
        <v>50</v>
      </c>
      <c r="BT791" s="20">
        <v>309962.5</v>
      </c>
      <c r="BU791" s="20">
        <v>2150000</v>
      </c>
      <c r="BV791" s="20">
        <v>6.3057481293558242</v>
      </c>
    </row>
    <row r="792" spans="1:74">
      <c r="A792" s="10">
        <f t="shared" si="50"/>
        <v>0</v>
      </c>
      <c r="B792" s="10">
        <f t="shared" si="51"/>
        <v>0</v>
      </c>
      <c r="C792" s="12">
        <f t="shared" si="52"/>
        <v>8</v>
      </c>
      <c r="D792" s="12">
        <f t="shared" si="53"/>
        <v>8</v>
      </c>
      <c r="E792" s="20" t="s">
        <v>114</v>
      </c>
      <c r="F792" s="20" t="s">
        <v>2667</v>
      </c>
      <c r="G792" s="20" t="s">
        <v>2896</v>
      </c>
      <c r="H792" s="20" t="s">
        <v>2934</v>
      </c>
      <c r="I792" s="20">
        <v>6</v>
      </c>
      <c r="J792" s="20" t="s">
        <v>2935</v>
      </c>
      <c r="K792" s="20" t="s">
        <v>2936</v>
      </c>
      <c r="L792" s="20" t="s">
        <v>2937</v>
      </c>
      <c r="M792" s="20" t="s">
        <v>2667</v>
      </c>
      <c r="N792" s="20" t="s">
        <v>2725</v>
      </c>
      <c r="P792" s="20" t="s">
        <v>2667</v>
      </c>
      <c r="Q792" s="20" t="s">
        <v>2674</v>
      </c>
      <c r="R792" s="20" t="s">
        <v>84</v>
      </c>
      <c r="S792" s="20" t="s">
        <v>123</v>
      </c>
      <c r="T792" s="20" t="s">
        <v>1401</v>
      </c>
      <c r="U792" s="20" t="s">
        <v>1402</v>
      </c>
      <c r="V792" s="20" t="s">
        <v>87</v>
      </c>
      <c r="W792" s="20">
        <v>911</v>
      </c>
      <c r="X792" s="20">
        <v>911</v>
      </c>
      <c r="Y792" s="20" t="s">
        <v>2938</v>
      </c>
      <c r="Z792" s="20">
        <v>0.5</v>
      </c>
      <c r="AA792" s="20" t="s">
        <v>2939</v>
      </c>
      <c r="AB792" s="20" t="s">
        <v>279</v>
      </c>
      <c r="AC792" s="20" t="s">
        <v>280</v>
      </c>
      <c r="AD792" s="20" t="s">
        <v>2940</v>
      </c>
      <c r="AE792" s="20" t="s">
        <v>400</v>
      </c>
      <c r="AF792" s="20">
        <v>0.5</v>
      </c>
      <c r="AG792" s="20">
        <v>0</v>
      </c>
      <c r="AH792" s="20">
        <v>1</v>
      </c>
      <c r="AI792" s="4" t="s">
        <v>97</v>
      </c>
      <c r="AJ792" s="20">
        <v>30</v>
      </c>
      <c r="AK792" s="4" t="s">
        <v>93</v>
      </c>
      <c r="AL792" s="4">
        <v>12</v>
      </c>
      <c r="AM792" s="4">
        <v>12</v>
      </c>
      <c r="AN792" s="4" t="s">
        <v>95</v>
      </c>
      <c r="AO792" s="4" t="s">
        <v>189</v>
      </c>
      <c r="AP792" s="4">
        <v>1</v>
      </c>
      <c r="AQ792" s="20">
        <v>53000</v>
      </c>
      <c r="AR792" s="4">
        <v>41855</v>
      </c>
      <c r="AS792" s="20">
        <v>8030.3030303030291</v>
      </c>
      <c r="AT792" s="20">
        <v>9144.5</v>
      </c>
      <c r="AU792" s="20">
        <v>1114.1969696969709</v>
      </c>
      <c r="AV792" s="20">
        <v>0</v>
      </c>
      <c r="AW792" s="20">
        <v>0</v>
      </c>
      <c r="AX792" s="20">
        <v>20</v>
      </c>
      <c r="AY792" s="20">
        <v>20</v>
      </c>
      <c r="AZ792" s="20">
        <v>7.9</v>
      </c>
      <c r="BA792" s="20">
        <v>0</v>
      </c>
      <c r="BB792" s="6">
        <v>41855</v>
      </c>
      <c r="BC792" s="6">
        <v>0</v>
      </c>
      <c r="BD792" s="6">
        <v>41862</v>
      </c>
      <c r="BE792" s="6">
        <v>0</v>
      </c>
      <c r="BF792" s="6">
        <v>41862</v>
      </c>
      <c r="BG792" s="6">
        <v>0</v>
      </c>
      <c r="BH792" s="6">
        <v>0</v>
      </c>
      <c r="BI792" s="6">
        <v>0</v>
      </c>
      <c r="BJ792" s="6">
        <v>0</v>
      </c>
      <c r="BK792" s="4">
        <v>0</v>
      </c>
      <c r="BL792" s="4">
        <v>0</v>
      </c>
      <c r="BM792" s="20">
        <v>30</v>
      </c>
      <c r="BN792" s="20">
        <v>0</v>
      </c>
      <c r="BO792" s="20">
        <v>0</v>
      </c>
      <c r="BP792" s="20">
        <v>0</v>
      </c>
      <c r="BQ792" s="20">
        <v>0</v>
      </c>
      <c r="BR792" s="20">
        <v>0</v>
      </c>
      <c r="BS792" s="20">
        <v>30</v>
      </c>
      <c r="BT792" s="20">
        <v>274335</v>
      </c>
      <c r="BU792" s="20">
        <v>1590000</v>
      </c>
      <c r="BV792" s="20">
        <v>5.2689396010517999</v>
      </c>
    </row>
    <row r="793" spans="1:74">
      <c r="A793" s="10">
        <f t="shared" si="50"/>
        <v>0</v>
      </c>
      <c r="B793" s="10">
        <f t="shared" si="51"/>
        <v>0.5</v>
      </c>
      <c r="C793" s="12">
        <f t="shared" si="52"/>
        <v>8</v>
      </c>
      <c r="D793" s="12">
        <f t="shared" si="53"/>
        <v>8</v>
      </c>
      <c r="E793" s="20" t="s">
        <v>114</v>
      </c>
      <c r="F793" s="20" t="s">
        <v>2667</v>
      </c>
      <c r="G793" s="20" t="s">
        <v>2896</v>
      </c>
      <c r="H793" s="20" t="s">
        <v>2934</v>
      </c>
      <c r="I793" s="20">
        <v>6</v>
      </c>
      <c r="J793" s="20" t="s">
        <v>2935</v>
      </c>
      <c r="K793" s="20" t="s">
        <v>2941</v>
      </c>
      <c r="L793" s="20" t="s">
        <v>2937</v>
      </c>
      <c r="M793" s="20" t="s">
        <v>2667</v>
      </c>
      <c r="N793" s="20" t="s">
        <v>2725</v>
      </c>
      <c r="P793" s="20" t="s">
        <v>2667</v>
      </c>
      <c r="Q793" s="20" t="s">
        <v>2674</v>
      </c>
      <c r="R793" s="20" t="s">
        <v>84</v>
      </c>
      <c r="S793" s="20" t="s">
        <v>123</v>
      </c>
      <c r="T793" s="20" t="s">
        <v>1401</v>
      </c>
      <c r="U793" s="20" t="s">
        <v>1402</v>
      </c>
      <c r="V793" s="20" t="s">
        <v>87</v>
      </c>
      <c r="W793" s="20">
        <v>911</v>
      </c>
      <c r="X793" s="20">
        <v>911</v>
      </c>
      <c r="Y793" s="20" t="s">
        <v>2938</v>
      </c>
      <c r="Z793" s="20">
        <v>0.5</v>
      </c>
      <c r="AA793" s="20" t="s">
        <v>2942</v>
      </c>
      <c r="AB793" s="20" t="s">
        <v>279</v>
      </c>
      <c r="AC793" s="20" t="s">
        <v>280</v>
      </c>
      <c r="AD793" s="20" t="s">
        <v>2940</v>
      </c>
      <c r="AE793" s="20" t="s">
        <v>400</v>
      </c>
      <c r="AF793" s="20">
        <v>0.5</v>
      </c>
      <c r="AG793" s="20">
        <v>0</v>
      </c>
      <c r="AH793" s="20">
        <v>1</v>
      </c>
      <c r="AI793" s="4" t="s">
        <v>98</v>
      </c>
      <c r="AJ793" s="20">
        <v>20</v>
      </c>
      <c r="AK793" s="4" t="s">
        <v>93</v>
      </c>
      <c r="AL793" s="4">
        <v>12</v>
      </c>
      <c r="AM793" s="4">
        <v>12</v>
      </c>
      <c r="AN793" s="4" t="s">
        <v>95</v>
      </c>
      <c r="AO793" s="4" t="s">
        <v>189</v>
      </c>
      <c r="AP793" s="4">
        <v>1</v>
      </c>
      <c r="AQ793" s="20">
        <v>53000</v>
      </c>
      <c r="AR793" s="4">
        <v>41855</v>
      </c>
      <c r="AS793" s="20">
        <v>8030.3030303030291</v>
      </c>
      <c r="AT793" s="20">
        <v>9144.5</v>
      </c>
      <c r="AU793" s="20">
        <v>1114.1969696969709</v>
      </c>
      <c r="AV793" s="20" t="s">
        <v>2666</v>
      </c>
      <c r="AW793" s="20">
        <v>0</v>
      </c>
      <c r="AX793" s="20">
        <v>20</v>
      </c>
      <c r="AY793" s="20">
        <v>20</v>
      </c>
      <c r="AZ793" s="20">
        <v>7.9</v>
      </c>
      <c r="BA793" s="20">
        <v>0</v>
      </c>
      <c r="BB793" s="6">
        <v>41855</v>
      </c>
      <c r="BC793" s="6">
        <v>0</v>
      </c>
      <c r="BD793" s="6">
        <v>41862</v>
      </c>
      <c r="BE793" s="6">
        <v>0</v>
      </c>
      <c r="BF793" s="6">
        <v>41862</v>
      </c>
      <c r="BG793" s="6">
        <v>0</v>
      </c>
      <c r="BH793" s="6">
        <v>0</v>
      </c>
      <c r="BI793" s="6">
        <v>0</v>
      </c>
      <c r="BJ793" s="6">
        <v>0</v>
      </c>
      <c r="BK793" s="4">
        <v>0</v>
      </c>
      <c r="BL793" s="4">
        <v>0</v>
      </c>
      <c r="BM793" s="20">
        <v>20</v>
      </c>
      <c r="BN793" s="20">
        <v>0</v>
      </c>
      <c r="BO793" s="20">
        <v>0</v>
      </c>
      <c r="BP793" s="20">
        <v>0</v>
      </c>
      <c r="BQ793" s="20">
        <v>0</v>
      </c>
      <c r="BR793" s="20">
        <v>0</v>
      </c>
      <c r="BS793" s="20">
        <v>20</v>
      </c>
      <c r="BT793" s="20">
        <v>182890</v>
      </c>
      <c r="BU793" s="20">
        <v>1060000</v>
      </c>
      <c r="BV793" s="20">
        <v>5.268939601051799</v>
      </c>
    </row>
    <row r="794" spans="1:74">
      <c r="A794" s="10">
        <f t="shared" si="50"/>
        <v>0</v>
      </c>
      <c r="B794" s="10">
        <f t="shared" si="51"/>
        <v>0</v>
      </c>
      <c r="C794" s="12">
        <f t="shared" si="52"/>
        <v>8</v>
      </c>
      <c r="D794" s="12">
        <f t="shared" si="53"/>
        <v>8</v>
      </c>
      <c r="E794" s="20" t="s">
        <v>114</v>
      </c>
      <c r="F794" s="20" t="s">
        <v>2667</v>
      </c>
      <c r="G794" s="20" t="s">
        <v>2896</v>
      </c>
      <c r="H794" s="20" t="s">
        <v>2943</v>
      </c>
      <c r="I794" s="20">
        <v>7</v>
      </c>
      <c r="J794" s="20" t="s">
        <v>2944</v>
      </c>
      <c r="K794" s="20" t="s">
        <v>2945</v>
      </c>
      <c r="L794" s="20" t="s">
        <v>2946</v>
      </c>
      <c r="M794" s="20" t="s">
        <v>2667</v>
      </c>
      <c r="N794" s="20" t="s">
        <v>2725</v>
      </c>
      <c r="P794" s="20" t="s">
        <v>2667</v>
      </c>
      <c r="Q794" s="20" t="s">
        <v>2674</v>
      </c>
      <c r="R794" s="20" t="s">
        <v>84</v>
      </c>
      <c r="S794" s="20" t="s">
        <v>123</v>
      </c>
      <c r="T794" s="20" t="s">
        <v>1401</v>
      </c>
      <c r="U794" s="20" t="s">
        <v>1402</v>
      </c>
      <c r="V794" s="20" t="s">
        <v>87</v>
      </c>
      <c r="W794" s="20">
        <v>922</v>
      </c>
      <c r="X794" s="20">
        <v>922</v>
      </c>
      <c r="Y794" s="20" t="s">
        <v>2947</v>
      </c>
      <c r="Z794" s="20">
        <v>0.5</v>
      </c>
      <c r="AA794" s="20" t="s">
        <v>2948</v>
      </c>
      <c r="AB794" s="20" t="s">
        <v>159</v>
      </c>
      <c r="AC794" s="20" t="s">
        <v>160</v>
      </c>
      <c r="AD794" s="20" t="s">
        <v>2949</v>
      </c>
      <c r="AE794" s="20" t="s">
        <v>400</v>
      </c>
      <c r="AF794" s="20">
        <v>0.5</v>
      </c>
      <c r="AG794" s="20">
        <v>0</v>
      </c>
      <c r="AH794" s="20">
        <v>1</v>
      </c>
      <c r="AI794" s="4" t="s">
        <v>97</v>
      </c>
      <c r="AJ794" s="20">
        <v>30</v>
      </c>
      <c r="AK794" s="4" t="s">
        <v>93</v>
      </c>
      <c r="AL794" s="4">
        <v>12</v>
      </c>
      <c r="AM794" s="4">
        <v>12</v>
      </c>
      <c r="AN794" s="4" t="s">
        <v>95</v>
      </c>
      <c r="AO794" s="4" t="s">
        <v>96</v>
      </c>
      <c r="AP794" s="4">
        <v>1</v>
      </c>
      <c r="AQ794" s="20">
        <v>45000</v>
      </c>
      <c r="AR794" s="4">
        <v>41855</v>
      </c>
      <c r="AS794" s="20">
        <v>6818.1818181818171</v>
      </c>
      <c r="AT794" s="20">
        <v>8128.1</v>
      </c>
      <c r="AU794" s="20">
        <v>1309.9181818181833</v>
      </c>
      <c r="AV794" s="20">
        <v>0</v>
      </c>
      <c r="AW794" s="20">
        <v>0</v>
      </c>
      <c r="AX794" s="20">
        <v>20</v>
      </c>
      <c r="AY794" s="20">
        <v>20</v>
      </c>
      <c r="AZ794" s="20">
        <v>6.5</v>
      </c>
      <c r="BA794" s="20">
        <v>0</v>
      </c>
      <c r="BB794" s="6">
        <v>41855</v>
      </c>
      <c r="BC794" s="6">
        <v>0</v>
      </c>
      <c r="BD794" s="6">
        <v>41862</v>
      </c>
      <c r="BE794" s="6">
        <v>0</v>
      </c>
      <c r="BF794" s="6">
        <v>41862</v>
      </c>
      <c r="BG794" s="6">
        <v>0</v>
      </c>
      <c r="BH794" s="6">
        <v>0</v>
      </c>
      <c r="BI794" s="6">
        <v>0</v>
      </c>
      <c r="BJ794" s="6">
        <v>0</v>
      </c>
      <c r="BK794" s="4">
        <v>0</v>
      </c>
      <c r="BL794" s="4">
        <v>0</v>
      </c>
      <c r="BM794" s="20">
        <v>30</v>
      </c>
      <c r="BN794" s="20">
        <v>0</v>
      </c>
      <c r="BO794" s="20">
        <v>0</v>
      </c>
      <c r="BP794" s="20">
        <v>0</v>
      </c>
      <c r="BQ794" s="20">
        <v>0</v>
      </c>
      <c r="BR794" s="20">
        <v>0</v>
      </c>
      <c r="BS794" s="20">
        <v>30</v>
      </c>
      <c r="BT794" s="20">
        <v>243843</v>
      </c>
      <c r="BU794" s="20">
        <v>1350000</v>
      </c>
      <c r="BV794" s="20">
        <v>5.0330447348200567</v>
      </c>
    </row>
    <row r="795" spans="1:74">
      <c r="A795" s="10">
        <f t="shared" si="50"/>
        <v>0</v>
      </c>
      <c r="B795" s="10">
        <f t="shared" si="51"/>
        <v>0</v>
      </c>
      <c r="C795" s="12">
        <f t="shared" si="52"/>
        <v>8</v>
      </c>
      <c r="D795" s="12">
        <f t="shared" si="53"/>
        <v>8</v>
      </c>
      <c r="E795" s="20" t="s">
        <v>114</v>
      </c>
      <c r="F795" s="20" t="s">
        <v>2667</v>
      </c>
      <c r="G795" s="20" t="s">
        <v>2896</v>
      </c>
      <c r="H795" s="20" t="s">
        <v>2943</v>
      </c>
      <c r="I795" s="20">
        <v>7</v>
      </c>
      <c r="J795" s="20" t="s">
        <v>2944</v>
      </c>
      <c r="K795" s="20" t="s">
        <v>2950</v>
      </c>
      <c r="L795" s="20" t="s">
        <v>2946</v>
      </c>
      <c r="M795" s="20" t="s">
        <v>2667</v>
      </c>
      <c r="N795" s="20" t="s">
        <v>2725</v>
      </c>
      <c r="P795" s="20" t="s">
        <v>2667</v>
      </c>
      <c r="Q795" s="20" t="s">
        <v>2674</v>
      </c>
      <c r="R795" s="20" t="s">
        <v>84</v>
      </c>
      <c r="S795" s="20" t="s">
        <v>123</v>
      </c>
      <c r="T795" s="20" t="s">
        <v>1401</v>
      </c>
      <c r="U795" s="20" t="s">
        <v>1402</v>
      </c>
      <c r="V795" s="20" t="s">
        <v>87</v>
      </c>
      <c r="W795" s="20">
        <v>922</v>
      </c>
      <c r="X795" s="20">
        <v>922</v>
      </c>
      <c r="Y795" s="20" t="s">
        <v>2947</v>
      </c>
      <c r="Z795" s="20">
        <v>0.5</v>
      </c>
      <c r="AA795" s="20" t="s">
        <v>2951</v>
      </c>
      <c r="AB795" s="20" t="s">
        <v>159</v>
      </c>
      <c r="AC795" s="20" t="s">
        <v>160</v>
      </c>
      <c r="AD795" s="20" t="s">
        <v>2949</v>
      </c>
      <c r="AE795" s="20" t="s">
        <v>400</v>
      </c>
      <c r="AF795" s="20">
        <v>0.5</v>
      </c>
      <c r="AG795" s="20">
        <v>0</v>
      </c>
      <c r="AH795" s="20">
        <v>1</v>
      </c>
      <c r="AI795" s="4" t="s">
        <v>98</v>
      </c>
      <c r="AJ795" s="20">
        <v>20</v>
      </c>
      <c r="AK795" s="4" t="s">
        <v>93</v>
      </c>
      <c r="AL795" s="4">
        <v>12</v>
      </c>
      <c r="AM795" s="4">
        <v>12</v>
      </c>
      <c r="AN795" s="4" t="s">
        <v>95</v>
      </c>
      <c r="AO795" s="4" t="s">
        <v>96</v>
      </c>
      <c r="AP795" s="4">
        <v>1</v>
      </c>
      <c r="AQ795" s="20">
        <v>45000</v>
      </c>
      <c r="AR795" s="4">
        <v>41855</v>
      </c>
      <c r="AS795" s="20">
        <v>6818.1818181818171</v>
      </c>
      <c r="AT795" s="20">
        <v>8128.1</v>
      </c>
      <c r="AU795" s="20">
        <v>1309.9181818181833</v>
      </c>
      <c r="AV795" s="20">
        <v>0</v>
      </c>
      <c r="AW795" s="20">
        <v>0</v>
      </c>
      <c r="AX795" s="20">
        <v>20</v>
      </c>
      <c r="AY795" s="20">
        <v>20</v>
      </c>
      <c r="AZ795" s="20">
        <v>6.5</v>
      </c>
      <c r="BA795" s="20">
        <v>0</v>
      </c>
      <c r="BB795" s="6">
        <v>41855</v>
      </c>
      <c r="BC795" s="6">
        <v>0</v>
      </c>
      <c r="BD795" s="6">
        <v>41862</v>
      </c>
      <c r="BE795" s="6">
        <v>0</v>
      </c>
      <c r="BF795" s="6">
        <v>41862</v>
      </c>
      <c r="BG795" s="6">
        <v>0</v>
      </c>
      <c r="BH795" s="6">
        <v>0</v>
      </c>
      <c r="BI795" s="6">
        <v>0</v>
      </c>
      <c r="BJ795" s="6">
        <v>0</v>
      </c>
      <c r="BK795" s="4">
        <v>0</v>
      </c>
      <c r="BL795" s="4">
        <v>0</v>
      </c>
      <c r="BM795" s="20">
        <v>20</v>
      </c>
      <c r="BN795" s="20">
        <v>0</v>
      </c>
      <c r="BO795" s="20">
        <v>0</v>
      </c>
      <c r="BP795" s="20">
        <v>0</v>
      </c>
      <c r="BQ795" s="20">
        <v>0</v>
      </c>
      <c r="BR795" s="20">
        <v>0</v>
      </c>
      <c r="BS795" s="20">
        <v>20</v>
      </c>
      <c r="BT795" s="20">
        <v>162562</v>
      </c>
      <c r="BU795" s="20">
        <v>900000</v>
      </c>
      <c r="BV795" s="20">
        <v>5.0330447348200575</v>
      </c>
    </row>
    <row r="796" spans="1:74">
      <c r="A796" s="10">
        <f t="shared" si="50"/>
        <v>0</v>
      </c>
      <c r="B796" s="10">
        <f t="shared" si="51"/>
        <v>0</v>
      </c>
      <c r="C796" s="12">
        <f t="shared" si="52"/>
        <v>8</v>
      </c>
      <c r="D796" s="12">
        <f t="shared" si="53"/>
        <v>8</v>
      </c>
      <c r="E796" s="20" t="s">
        <v>114</v>
      </c>
      <c r="F796" s="20" t="s">
        <v>2667</v>
      </c>
      <c r="G796" s="20" t="s">
        <v>2896</v>
      </c>
      <c r="H796" s="20" t="s">
        <v>2952</v>
      </c>
      <c r="I796" s="20">
        <v>8</v>
      </c>
      <c r="J796" s="20" t="s">
        <v>2953</v>
      </c>
      <c r="K796" s="20" t="s">
        <v>2954</v>
      </c>
      <c r="L796" s="20" t="s">
        <v>2955</v>
      </c>
      <c r="M796" s="20" t="s">
        <v>2667</v>
      </c>
      <c r="N796" s="20" t="s">
        <v>2725</v>
      </c>
      <c r="P796" s="20" t="s">
        <v>2667</v>
      </c>
      <c r="Q796" s="20" t="s">
        <v>2674</v>
      </c>
      <c r="R796" s="20" t="s">
        <v>84</v>
      </c>
      <c r="S796" s="20" t="s">
        <v>123</v>
      </c>
      <c r="T796" s="20" t="s">
        <v>1401</v>
      </c>
      <c r="U796" s="20" t="s">
        <v>1402</v>
      </c>
      <c r="V796" s="20" t="s">
        <v>87</v>
      </c>
      <c r="W796" s="20">
        <v>923</v>
      </c>
      <c r="X796" s="20">
        <v>923</v>
      </c>
      <c r="Y796" s="20" t="s">
        <v>2956</v>
      </c>
      <c r="Z796" s="20">
        <v>1</v>
      </c>
      <c r="AA796" s="20" t="s">
        <v>2957</v>
      </c>
      <c r="AB796" s="20" t="s">
        <v>101</v>
      </c>
      <c r="AC796" s="20" t="s">
        <v>102</v>
      </c>
      <c r="AD796" s="20" t="s">
        <v>2958</v>
      </c>
      <c r="AE796" s="20" t="s">
        <v>400</v>
      </c>
      <c r="AF796" s="20">
        <v>1</v>
      </c>
      <c r="AG796" s="20">
        <v>0</v>
      </c>
      <c r="AH796" s="20">
        <v>1</v>
      </c>
      <c r="AI796" s="4" t="s">
        <v>97</v>
      </c>
      <c r="AJ796" s="20">
        <v>20</v>
      </c>
      <c r="AK796" s="4" t="s">
        <v>93</v>
      </c>
      <c r="AL796" s="4">
        <v>12</v>
      </c>
      <c r="AM796" s="4">
        <v>12</v>
      </c>
      <c r="AN796" s="4" t="s">
        <v>95</v>
      </c>
      <c r="AO796" s="4" t="s">
        <v>96</v>
      </c>
      <c r="AP796" s="4">
        <v>1</v>
      </c>
      <c r="AQ796" s="20">
        <v>45000</v>
      </c>
      <c r="AR796" s="4">
        <v>41855</v>
      </c>
      <c r="AS796" s="20">
        <v>6818.1818181818171</v>
      </c>
      <c r="AT796" s="20">
        <v>7878.6200000000008</v>
      </c>
      <c r="AU796" s="20">
        <v>1060.4381818181837</v>
      </c>
      <c r="AV796" s="20">
        <v>0</v>
      </c>
      <c r="AW796" s="20">
        <v>0</v>
      </c>
      <c r="AX796" s="20">
        <v>20</v>
      </c>
      <c r="AY796" s="20">
        <v>20</v>
      </c>
      <c r="AZ796" s="20">
        <v>6.3</v>
      </c>
      <c r="BA796" s="20">
        <v>0</v>
      </c>
      <c r="BB796" s="6">
        <v>41855</v>
      </c>
      <c r="BC796" s="6">
        <v>0</v>
      </c>
      <c r="BD796" s="6">
        <v>41862</v>
      </c>
      <c r="BE796" s="6">
        <v>0</v>
      </c>
      <c r="BF796" s="6">
        <v>41862</v>
      </c>
      <c r="BG796" s="6">
        <v>0</v>
      </c>
      <c r="BH796" s="6">
        <v>0</v>
      </c>
      <c r="BI796" s="6">
        <v>0</v>
      </c>
      <c r="BJ796" s="6">
        <v>0</v>
      </c>
      <c r="BK796" s="4">
        <v>0</v>
      </c>
      <c r="BL796" s="4">
        <v>0</v>
      </c>
      <c r="BM796" s="20">
        <v>20</v>
      </c>
      <c r="BN796" s="20">
        <v>0</v>
      </c>
      <c r="BO796" s="20">
        <v>0</v>
      </c>
      <c r="BP796" s="20">
        <v>0</v>
      </c>
      <c r="BQ796" s="20">
        <v>0</v>
      </c>
      <c r="BR796" s="20">
        <v>0</v>
      </c>
      <c r="BS796" s="20">
        <v>20</v>
      </c>
      <c r="BT796" s="20">
        <v>157572.40000000002</v>
      </c>
      <c r="BU796" s="20">
        <v>900000</v>
      </c>
      <c r="BV796" s="20">
        <v>5.192418330759816</v>
      </c>
    </row>
    <row r="797" spans="1:74">
      <c r="A797" s="10">
        <f t="shared" si="50"/>
        <v>0</v>
      </c>
      <c r="B797" s="10">
        <f t="shared" si="51"/>
        <v>0</v>
      </c>
      <c r="C797" s="12" t="str">
        <f t="shared" si="52"/>
        <v/>
      </c>
      <c r="D797" s="12" t="str">
        <f t="shared" si="53"/>
        <v/>
      </c>
      <c r="E797" s="20" t="s">
        <v>91</v>
      </c>
      <c r="F797" s="20" t="s">
        <v>91</v>
      </c>
      <c r="G797" s="20" t="s">
        <v>91</v>
      </c>
      <c r="H797" s="20" t="s">
        <v>91</v>
      </c>
      <c r="I797" s="20">
        <v>0</v>
      </c>
      <c r="J797" s="20" t="s">
        <v>103</v>
      </c>
      <c r="K797" s="20" t="s">
        <v>104</v>
      </c>
      <c r="L797" s="20">
        <v>0</v>
      </c>
      <c r="M797" s="20" t="s">
        <v>105</v>
      </c>
      <c r="N797" s="20" t="s">
        <v>91</v>
      </c>
      <c r="O797" s="20" t="s">
        <v>2959</v>
      </c>
      <c r="Q797" s="20" t="s">
        <v>91</v>
      </c>
      <c r="R797" s="20" t="s">
        <v>91</v>
      </c>
      <c r="S797" s="20" t="s">
        <v>91</v>
      </c>
      <c r="U797" s="20" t="s">
        <v>91</v>
      </c>
      <c r="V797" s="20" t="s">
        <v>87</v>
      </c>
      <c r="X797" s="20" t="s">
        <v>91</v>
      </c>
      <c r="Y797" s="20" t="s">
        <v>91</v>
      </c>
      <c r="Z797" s="20">
        <v>6</v>
      </c>
      <c r="AB797" s="20" t="s">
        <v>91</v>
      </c>
      <c r="AD797" s="20" t="s">
        <v>91</v>
      </c>
      <c r="AE797" s="20" t="s">
        <v>91</v>
      </c>
      <c r="AF797" s="20">
        <v>8</v>
      </c>
      <c r="AG797" s="20">
        <v>0</v>
      </c>
      <c r="AH797" s="20">
        <v>1</v>
      </c>
      <c r="AM797" s="4" t="s">
        <v>91</v>
      </c>
      <c r="AP797" s="4" t="s">
        <v>91</v>
      </c>
      <c r="AQ797" s="20">
        <v>0</v>
      </c>
      <c r="AR797" s="4">
        <v>0</v>
      </c>
      <c r="AS797" s="20">
        <v>0</v>
      </c>
      <c r="AT797" s="20">
        <v>0</v>
      </c>
      <c r="AU797" s="20">
        <v>0</v>
      </c>
      <c r="AV797" s="20">
        <v>0</v>
      </c>
      <c r="AW797" s="20">
        <v>0</v>
      </c>
      <c r="AX797" s="20" t="s">
        <v>91</v>
      </c>
      <c r="AY797" s="20">
        <v>0</v>
      </c>
      <c r="AZ797" s="20">
        <v>0</v>
      </c>
      <c r="BA797" s="20">
        <v>0</v>
      </c>
      <c r="BB797" s="6">
        <v>0</v>
      </c>
      <c r="BC797" s="6">
        <v>0</v>
      </c>
      <c r="BD797" s="6">
        <v>0</v>
      </c>
      <c r="BE797" s="6">
        <v>0</v>
      </c>
      <c r="BF797" s="6">
        <v>0</v>
      </c>
      <c r="BG797" s="6">
        <v>0</v>
      </c>
      <c r="BH797" s="6">
        <v>0</v>
      </c>
      <c r="BI797" s="6">
        <v>0</v>
      </c>
      <c r="BJ797" s="6">
        <v>0</v>
      </c>
      <c r="BK797" s="4">
        <v>0</v>
      </c>
      <c r="BL797" s="4">
        <v>0</v>
      </c>
      <c r="BM797" s="20">
        <v>440</v>
      </c>
      <c r="BN797" s="20">
        <v>0</v>
      </c>
      <c r="BO797" s="20">
        <v>0</v>
      </c>
      <c r="BP797" s="20">
        <v>0</v>
      </c>
      <c r="BQ797" s="20">
        <v>0</v>
      </c>
      <c r="BR797" s="20">
        <v>0</v>
      </c>
      <c r="BS797" s="20">
        <v>440</v>
      </c>
      <c r="BT797" s="20">
        <v>2848529.2</v>
      </c>
      <c r="BU797" s="20">
        <v>19560000</v>
      </c>
      <c r="BV797" s="20">
        <v>6.2424559951213343</v>
      </c>
    </row>
    <row r="798" spans="1:74">
      <c r="A798" s="10">
        <f t="shared" si="50"/>
        <v>0</v>
      </c>
      <c r="B798" s="10">
        <f t="shared" si="51"/>
        <v>0.5</v>
      </c>
      <c r="C798" s="12">
        <f t="shared" si="52"/>
        <v>8</v>
      </c>
      <c r="D798" s="12">
        <f t="shared" si="53"/>
        <v>8</v>
      </c>
      <c r="E798" s="20" t="s">
        <v>386</v>
      </c>
      <c r="F798" s="20" t="s">
        <v>2960</v>
      </c>
      <c r="G798" s="20" t="s">
        <v>2961</v>
      </c>
      <c r="H798" s="20" t="s">
        <v>2962</v>
      </c>
      <c r="I798" s="20">
        <v>1</v>
      </c>
      <c r="J798" s="20" t="s">
        <v>2963</v>
      </c>
      <c r="K798" s="20" t="s">
        <v>2964</v>
      </c>
      <c r="L798" s="20" t="s">
        <v>2965</v>
      </c>
      <c r="M798" s="20" t="s">
        <v>2960</v>
      </c>
      <c r="N798" s="20" t="s">
        <v>2966</v>
      </c>
      <c r="P798" s="20" t="s">
        <v>2960</v>
      </c>
      <c r="Q798" s="20" t="s">
        <v>2967</v>
      </c>
      <c r="R798" s="20" t="s">
        <v>84</v>
      </c>
      <c r="S798" s="20" t="s">
        <v>123</v>
      </c>
      <c r="T798" s="20" t="s">
        <v>1401</v>
      </c>
      <c r="U798" s="20" t="s">
        <v>1402</v>
      </c>
      <c r="V798" s="20" t="s">
        <v>87</v>
      </c>
      <c r="W798" s="20">
        <v>925</v>
      </c>
      <c r="X798" s="20">
        <v>925</v>
      </c>
      <c r="Y798" s="20" t="s">
        <v>2968</v>
      </c>
      <c r="Z798" s="20">
        <v>0.5</v>
      </c>
      <c r="AA798" s="20" t="s">
        <v>2969</v>
      </c>
      <c r="AB798" s="20" t="s">
        <v>109</v>
      </c>
      <c r="AC798" s="20" t="s">
        <v>110</v>
      </c>
      <c r="AD798" s="20" t="s">
        <v>2970</v>
      </c>
      <c r="AE798" s="20" t="s">
        <v>400</v>
      </c>
      <c r="AF798" s="20">
        <v>0.5</v>
      </c>
      <c r="AG798" s="20">
        <v>0</v>
      </c>
      <c r="AH798" s="20">
        <v>1</v>
      </c>
      <c r="AI798" s="4" t="s">
        <v>97</v>
      </c>
      <c r="AJ798" s="20">
        <v>30</v>
      </c>
      <c r="AK798" s="4" t="s">
        <v>1047</v>
      </c>
      <c r="AL798" s="4">
        <v>8</v>
      </c>
      <c r="AM798" s="4" t="s">
        <v>180</v>
      </c>
      <c r="AN798" s="4" t="s">
        <v>95</v>
      </c>
      <c r="AO798" s="4" t="s">
        <v>96</v>
      </c>
      <c r="AP798" s="4">
        <v>1</v>
      </c>
      <c r="AQ798" s="20">
        <v>43000</v>
      </c>
      <c r="AR798" s="4">
        <v>41855</v>
      </c>
      <c r="AS798" s="20">
        <v>4343.4343434343427</v>
      </c>
      <c r="AT798" s="20">
        <v>3912.43</v>
      </c>
      <c r="AU798" s="20">
        <v>-431.0043434343429</v>
      </c>
      <c r="AV798" s="20">
        <v>1460</v>
      </c>
      <c r="AW798" s="20">
        <v>20</v>
      </c>
      <c r="AX798" s="20" t="s">
        <v>91</v>
      </c>
      <c r="AY798" s="20">
        <v>1480</v>
      </c>
      <c r="AZ798" s="20">
        <v>1.95</v>
      </c>
      <c r="BA798" s="20">
        <v>0</v>
      </c>
      <c r="BB798" s="6">
        <v>41855</v>
      </c>
      <c r="BC798" s="6">
        <v>0</v>
      </c>
      <c r="BD798" s="6">
        <v>41862</v>
      </c>
      <c r="BE798" s="6">
        <v>0</v>
      </c>
      <c r="BF798" s="6">
        <v>41862</v>
      </c>
      <c r="BG798" s="6">
        <v>0</v>
      </c>
      <c r="BH798" s="6">
        <v>0</v>
      </c>
      <c r="BI798" s="6">
        <v>0</v>
      </c>
      <c r="BJ798" s="6">
        <v>0</v>
      </c>
      <c r="BK798" s="4">
        <v>0</v>
      </c>
      <c r="BL798" s="4">
        <v>0</v>
      </c>
      <c r="BM798" s="20">
        <v>30</v>
      </c>
      <c r="BN798" s="20">
        <v>0</v>
      </c>
      <c r="BO798" s="20">
        <v>0</v>
      </c>
      <c r="BP798" s="20">
        <v>0</v>
      </c>
      <c r="BQ798" s="20">
        <v>0</v>
      </c>
      <c r="BR798" s="20">
        <v>0</v>
      </c>
      <c r="BS798" s="20">
        <v>30</v>
      </c>
      <c r="BT798" s="20">
        <v>117372.9</v>
      </c>
      <c r="BU798" s="20">
        <v>1290000</v>
      </c>
      <c r="BV798" s="20">
        <v>9.9914654296457925</v>
      </c>
    </row>
    <row r="799" spans="1:74">
      <c r="A799" s="10">
        <f t="shared" si="50"/>
        <v>0</v>
      </c>
      <c r="B799" s="10">
        <f t="shared" si="51"/>
        <v>0.5</v>
      </c>
      <c r="C799" s="12">
        <f t="shared" si="52"/>
        <v>8</v>
      </c>
      <c r="D799" s="12">
        <f t="shared" si="53"/>
        <v>8</v>
      </c>
      <c r="E799" s="20" t="s">
        <v>386</v>
      </c>
      <c r="F799" s="20" t="s">
        <v>2960</v>
      </c>
      <c r="G799" s="20" t="s">
        <v>2961</v>
      </c>
      <c r="H799" s="20" t="s">
        <v>2962</v>
      </c>
      <c r="I799" s="20">
        <v>1</v>
      </c>
      <c r="J799" s="20" t="s">
        <v>2963</v>
      </c>
      <c r="K799" s="20" t="s">
        <v>2971</v>
      </c>
      <c r="L799" s="20" t="s">
        <v>2965</v>
      </c>
      <c r="M799" s="20" t="s">
        <v>2960</v>
      </c>
      <c r="N799" s="20" t="s">
        <v>2966</v>
      </c>
      <c r="P799" s="20" t="s">
        <v>2960</v>
      </c>
      <c r="Q799" s="20" t="s">
        <v>2967</v>
      </c>
      <c r="R799" s="20" t="s">
        <v>84</v>
      </c>
      <c r="S799" s="20" t="s">
        <v>123</v>
      </c>
      <c r="T799" s="20" t="s">
        <v>1401</v>
      </c>
      <c r="U799" s="20" t="s">
        <v>1402</v>
      </c>
      <c r="V799" s="20" t="s">
        <v>87</v>
      </c>
      <c r="W799" s="20">
        <v>925</v>
      </c>
      <c r="X799" s="20">
        <v>925</v>
      </c>
      <c r="Y799" s="20" t="s">
        <v>2968</v>
      </c>
      <c r="Z799" s="20">
        <v>0.5</v>
      </c>
      <c r="AA799" s="20" t="s">
        <v>2972</v>
      </c>
      <c r="AB799" s="20" t="s">
        <v>109</v>
      </c>
      <c r="AC799" s="20" t="s">
        <v>110</v>
      </c>
      <c r="AD799" s="20" t="s">
        <v>2970</v>
      </c>
      <c r="AE799" s="20" t="s">
        <v>400</v>
      </c>
      <c r="AF799" s="20">
        <v>0.5</v>
      </c>
      <c r="AG799" s="20">
        <v>0</v>
      </c>
      <c r="AH799" s="20">
        <v>1</v>
      </c>
      <c r="AI799" s="4" t="s">
        <v>98</v>
      </c>
      <c r="AJ799" s="20">
        <v>5</v>
      </c>
      <c r="AK799" s="4" t="s">
        <v>1047</v>
      </c>
      <c r="AL799" s="4">
        <v>8</v>
      </c>
      <c r="AM799" s="4" t="s">
        <v>180</v>
      </c>
      <c r="AN799" s="4" t="s">
        <v>95</v>
      </c>
      <c r="AO799" s="4" t="s">
        <v>96</v>
      </c>
      <c r="AP799" s="4">
        <v>1</v>
      </c>
      <c r="AQ799" s="20">
        <v>43000</v>
      </c>
      <c r="AR799" s="4">
        <v>41855</v>
      </c>
      <c r="AS799" s="20">
        <v>4343.4343434343427</v>
      </c>
      <c r="AT799" s="20">
        <v>3912.43</v>
      </c>
      <c r="AU799" s="20">
        <v>-431.0043434343429</v>
      </c>
      <c r="AV799" s="20">
        <v>1460</v>
      </c>
      <c r="AW799" s="20">
        <v>20</v>
      </c>
      <c r="AX799" s="20" t="s">
        <v>91</v>
      </c>
      <c r="AY799" s="20">
        <v>1480</v>
      </c>
      <c r="AZ799" s="20">
        <v>1.95</v>
      </c>
      <c r="BA799" s="20">
        <v>0</v>
      </c>
      <c r="BB799" s="6">
        <v>41855</v>
      </c>
      <c r="BC799" s="6">
        <v>0</v>
      </c>
      <c r="BD799" s="6">
        <v>41862</v>
      </c>
      <c r="BE799" s="6">
        <v>0</v>
      </c>
      <c r="BF799" s="6">
        <v>41862</v>
      </c>
      <c r="BG799" s="6">
        <v>0</v>
      </c>
      <c r="BH799" s="6">
        <v>0</v>
      </c>
      <c r="BI799" s="6">
        <v>0</v>
      </c>
      <c r="BJ799" s="6">
        <v>0</v>
      </c>
      <c r="BK799" s="4">
        <v>0</v>
      </c>
      <c r="BL799" s="4">
        <v>0</v>
      </c>
      <c r="BM799" s="20">
        <v>5</v>
      </c>
      <c r="BN799" s="20">
        <v>0</v>
      </c>
      <c r="BO799" s="20">
        <v>0</v>
      </c>
      <c r="BP799" s="20">
        <v>0</v>
      </c>
      <c r="BQ799" s="20">
        <v>0</v>
      </c>
      <c r="BR799" s="20">
        <v>0</v>
      </c>
      <c r="BS799" s="20">
        <v>5</v>
      </c>
      <c r="BT799" s="20">
        <v>19562.149999999998</v>
      </c>
      <c r="BU799" s="20">
        <v>215000</v>
      </c>
      <c r="BV799" s="20">
        <v>9.9914654296457943</v>
      </c>
    </row>
    <row r="800" spans="1:74">
      <c r="A800" s="10">
        <f t="shared" si="50"/>
        <v>0</v>
      </c>
      <c r="B800" s="10">
        <f t="shared" si="51"/>
        <v>0.5</v>
      </c>
      <c r="C800" s="12">
        <f t="shared" si="52"/>
        <v>8</v>
      </c>
      <c r="D800" s="12">
        <f t="shared" si="53"/>
        <v>8</v>
      </c>
      <c r="E800" s="20" t="s">
        <v>386</v>
      </c>
      <c r="F800" s="20" t="s">
        <v>2960</v>
      </c>
      <c r="G800" s="20" t="s">
        <v>2961</v>
      </c>
      <c r="H800" s="20" t="s">
        <v>2973</v>
      </c>
      <c r="I800" s="20">
        <v>2</v>
      </c>
      <c r="J800" s="20" t="s">
        <v>2974</v>
      </c>
      <c r="K800" s="20" t="s">
        <v>2975</v>
      </c>
      <c r="L800" s="20" t="s">
        <v>2976</v>
      </c>
      <c r="M800" s="20" t="s">
        <v>2960</v>
      </c>
      <c r="N800" s="20" t="s">
        <v>2966</v>
      </c>
      <c r="P800" s="20" t="s">
        <v>2960</v>
      </c>
      <c r="Q800" s="20" t="s">
        <v>2967</v>
      </c>
      <c r="R800" s="20" t="s">
        <v>84</v>
      </c>
      <c r="S800" s="20" t="s">
        <v>123</v>
      </c>
      <c r="T800" s="20" t="s">
        <v>1401</v>
      </c>
      <c r="U800" s="20" t="s">
        <v>1402</v>
      </c>
      <c r="V800" s="20" t="s">
        <v>87</v>
      </c>
      <c r="W800" s="20">
        <v>926</v>
      </c>
      <c r="X800" s="20">
        <v>926</v>
      </c>
      <c r="Y800" s="20" t="s">
        <v>2977</v>
      </c>
      <c r="Z800" s="20">
        <v>0.5</v>
      </c>
      <c r="AA800" s="20" t="s">
        <v>2978</v>
      </c>
      <c r="AB800" s="20" t="s">
        <v>718</v>
      </c>
      <c r="AC800" s="20" t="s">
        <v>719</v>
      </c>
      <c r="AD800" s="20" t="s">
        <v>2979</v>
      </c>
      <c r="AE800" s="20" t="s">
        <v>400</v>
      </c>
      <c r="AF800" s="20">
        <v>0.5</v>
      </c>
      <c r="AG800" s="20">
        <v>0</v>
      </c>
      <c r="AH800" s="20">
        <v>1</v>
      </c>
      <c r="AI800" s="4" t="s">
        <v>97</v>
      </c>
      <c r="AJ800" s="20">
        <v>30</v>
      </c>
      <c r="AK800" s="4" t="s">
        <v>1047</v>
      </c>
      <c r="AL800" s="4">
        <v>8</v>
      </c>
      <c r="AM800" s="4" t="s">
        <v>180</v>
      </c>
      <c r="AN800" s="4" t="s">
        <v>95</v>
      </c>
      <c r="AO800" s="4" t="s">
        <v>96</v>
      </c>
      <c r="AP800" s="4">
        <v>1</v>
      </c>
      <c r="AQ800" s="20">
        <v>43000</v>
      </c>
      <c r="AR800" s="4">
        <v>41855</v>
      </c>
      <c r="AS800" s="20">
        <v>4343.4343434343427</v>
      </c>
      <c r="AT800" s="20">
        <v>3851.5400000000004</v>
      </c>
      <c r="AU800" s="20">
        <v>-491.89434343434232</v>
      </c>
      <c r="AV800" s="20">
        <v>1212</v>
      </c>
      <c r="AW800" s="20">
        <v>20</v>
      </c>
      <c r="AX800" s="20" t="s">
        <v>91</v>
      </c>
      <c r="AY800" s="20">
        <v>1232</v>
      </c>
      <c r="AZ800" s="20">
        <v>2.1</v>
      </c>
      <c r="BA800" s="20">
        <v>0</v>
      </c>
      <c r="BB800" s="6">
        <v>41855</v>
      </c>
      <c r="BC800" s="6">
        <v>0</v>
      </c>
      <c r="BD800" s="6">
        <v>41862</v>
      </c>
      <c r="BE800" s="6">
        <v>0</v>
      </c>
      <c r="BF800" s="6">
        <v>41862</v>
      </c>
      <c r="BG800" s="6">
        <v>0</v>
      </c>
      <c r="BH800" s="6">
        <v>0</v>
      </c>
      <c r="BI800" s="6">
        <v>0</v>
      </c>
      <c r="BJ800" s="6">
        <v>0</v>
      </c>
      <c r="BK800" s="4">
        <v>0</v>
      </c>
      <c r="BL800" s="4">
        <v>0</v>
      </c>
      <c r="BM800" s="20">
        <v>30</v>
      </c>
      <c r="BN800" s="20">
        <v>0</v>
      </c>
      <c r="BO800" s="20">
        <v>0</v>
      </c>
      <c r="BP800" s="20">
        <v>0</v>
      </c>
      <c r="BQ800" s="20">
        <v>0</v>
      </c>
      <c r="BR800" s="20">
        <v>0</v>
      </c>
      <c r="BS800" s="20">
        <v>30</v>
      </c>
      <c r="BT800" s="20">
        <v>115546.20000000001</v>
      </c>
      <c r="BU800" s="20">
        <v>1290000</v>
      </c>
      <c r="BV800" s="20">
        <v>10.149423111511002</v>
      </c>
    </row>
    <row r="801" spans="1:74">
      <c r="A801" s="10">
        <f t="shared" si="50"/>
        <v>0</v>
      </c>
      <c r="B801" s="10">
        <f t="shared" si="51"/>
        <v>0.5</v>
      </c>
      <c r="C801" s="12">
        <f t="shared" si="52"/>
        <v>8</v>
      </c>
      <c r="D801" s="12">
        <f t="shared" si="53"/>
        <v>8</v>
      </c>
      <c r="E801" s="20" t="s">
        <v>386</v>
      </c>
      <c r="F801" s="20" t="s">
        <v>2960</v>
      </c>
      <c r="G801" s="20" t="s">
        <v>2961</v>
      </c>
      <c r="H801" s="20" t="s">
        <v>2973</v>
      </c>
      <c r="I801" s="20">
        <v>2</v>
      </c>
      <c r="J801" s="20" t="s">
        <v>2974</v>
      </c>
      <c r="K801" s="20" t="s">
        <v>2980</v>
      </c>
      <c r="L801" s="20" t="s">
        <v>2976</v>
      </c>
      <c r="M801" s="20" t="s">
        <v>2960</v>
      </c>
      <c r="N801" s="20" t="s">
        <v>2966</v>
      </c>
      <c r="P801" s="20" t="s">
        <v>2960</v>
      </c>
      <c r="Q801" s="20" t="s">
        <v>2967</v>
      </c>
      <c r="R801" s="20" t="s">
        <v>84</v>
      </c>
      <c r="S801" s="20" t="s">
        <v>123</v>
      </c>
      <c r="T801" s="20" t="s">
        <v>1401</v>
      </c>
      <c r="U801" s="20" t="s">
        <v>1402</v>
      </c>
      <c r="V801" s="20" t="s">
        <v>87</v>
      </c>
      <c r="W801" s="20">
        <v>926</v>
      </c>
      <c r="X801" s="20">
        <v>926</v>
      </c>
      <c r="Y801" s="20" t="s">
        <v>2977</v>
      </c>
      <c r="Z801" s="20">
        <v>0.5</v>
      </c>
      <c r="AA801" s="20" t="s">
        <v>2981</v>
      </c>
      <c r="AB801" s="20" t="s">
        <v>718</v>
      </c>
      <c r="AC801" s="20" t="s">
        <v>719</v>
      </c>
      <c r="AD801" s="20" t="s">
        <v>2979</v>
      </c>
      <c r="AE801" s="20" t="s">
        <v>400</v>
      </c>
      <c r="AF801" s="20">
        <v>0.5</v>
      </c>
      <c r="AG801" s="20">
        <v>0</v>
      </c>
      <c r="AH801" s="20">
        <v>1</v>
      </c>
      <c r="AI801" s="4" t="s">
        <v>98</v>
      </c>
      <c r="AJ801" s="20">
        <v>11</v>
      </c>
      <c r="AK801" s="4" t="s">
        <v>1047</v>
      </c>
      <c r="AL801" s="4">
        <v>8</v>
      </c>
      <c r="AM801" s="4" t="s">
        <v>180</v>
      </c>
      <c r="AN801" s="4" t="s">
        <v>95</v>
      </c>
      <c r="AO801" s="4" t="s">
        <v>96</v>
      </c>
      <c r="AP801" s="4">
        <v>1</v>
      </c>
      <c r="AQ801" s="20">
        <v>43000</v>
      </c>
      <c r="AR801" s="4">
        <v>41855</v>
      </c>
      <c r="AS801" s="20">
        <v>4343.4343434343427</v>
      </c>
      <c r="AT801" s="20">
        <v>3851.5400000000004</v>
      </c>
      <c r="AU801" s="20">
        <v>-491.89434343434232</v>
      </c>
      <c r="AV801" s="20">
        <v>1212</v>
      </c>
      <c r="AW801" s="20">
        <v>20</v>
      </c>
      <c r="AX801" s="20" t="s">
        <v>91</v>
      </c>
      <c r="AY801" s="20">
        <v>1232</v>
      </c>
      <c r="AZ801" s="20">
        <v>2.1</v>
      </c>
      <c r="BA801" s="20">
        <v>0</v>
      </c>
      <c r="BB801" s="6">
        <v>41855</v>
      </c>
      <c r="BC801" s="6">
        <v>0</v>
      </c>
      <c r="BD801" s="6">
        <v>41862</v>
      </c>
      <c r="BE801" s="6">
        <v>0</v>
      </c>
      <c r="BF801" s="6">
        <v>41862</v>
      </c>
      <c r="BG801" s="6">
        <v>0</v>
      </c>
      <c r="BH801" s="6">
        <v>0</v>
      </c>
      <c r="BI801" s="6">
        <v>0</v>
      </c>
      <c r="BJ801" s="6">
        <v>0</v>
      </c>
      <c r="BK801" s="4">
        <v>0</v>
      </c>
      <c r="BL801" s="4">
        <v>0</v>
      </c>
      <c r="BM801" s="20">
        <v>11</v>
      </c>
      <c r="BN801" s="20">
        <v>0</v>
      </c>
      <c r="BO801" s="20">
        <v>0</v>
      </c>
      <c r="BP801" s="20">
        <v>0</v>
      </c>
      <c r="BQ801" s="20">
        <v>0</v>
      </c>
      <c r="BR801" s="20">
        <v>0</v>
      </c>
      <c r="BS801" s="20">
        <v>11</v>
      </c>
      <c r="BT801" s="20">
        <v>42366.94</v>
      </c>
      <c r="BU801" s="20">
        <v>473000</v>
      </c>
      <c r="BV801" s="20">
        <v>10.149423111511002</v>
      </c>
    </row>
    <row r="802" spans="1:74">
      <c r="A802" s="10">
        <f t="shared" si="50"/>
        <v>0</v>
      </c>
      <c r="B802" s="10">
        <f t="shared" si="51"/>
        <v>0</v>
      </c>
      <c r="C802" s="12" t="str">
        <f t="shared" si="52"/>
        <v/>
      </c>
      <c r="D802" s="12" t="str">
        <f t="shared" si="53"/>
        <v/>
      </c>
      <c r="E802" s="20" t="s">
        <v>91</v>
      </c>
      <c r="F802" s="20" t="s">
        <v>91</v>
      </c>
      <c r="G802" s="20" t="s">
        <v>91</v>
      </c>
      <c r="H802" s="20" t="s">
        <v>91</v>
      </c>
      <c r="I802" s="20">
        <v>0</v>
      </c>
      <c r="J802" s="20" t="s">
        <v>103</v>
      </c>
      <c r="K802" s="20" t="s">
        <v>104</v>
      </c>
      <c r="L802" s="20">
        <v>0</v>
      </c>
      <c r="M802" s="20" t="s">
        <v>105</v>
      </c>
      <c r="N802" s="20" t="s">
        <v>91</v>
      </c>
      <c r="O802" s="20" t="s">
        <v>2982</v>
      </c>
      <c r="Q802" s="20" t="s">
        <v>91</v>
      </c>
      <c r="R802" s="20" t="s">
        <v>91</v>
      </c>
      <c r="S802" s="20" t="s">
        <v>91</v>
      </c>
      <c r="U802" s="20" t="s">
        <v>91</v>
      </c>
      <c r="V802" s="20" t="s">
        <v>87</v>
      </c>
      <c r="X802" s="20" t="s">
        <v>91</v>
      </c>
      <c r="Y802" s="20" t="s">
        <v>91</v>
      </c>
      <c r="Z802" s="20">
        <v>2</v>
      </c>
      <c r="AB802" s="20" t="s">
        <v>91</v>
      </c>
      <c r="AD802" s="20" t="s">
        <v>91</v>
      </c>
      <c r="AE802" s="20" t="s">
        <v>91</v>
      </c>
      <c r="AF802" s="20">
        <v>2</v>
      </c>
      <c r="AG802" s="20">
        <v>0</v>
      </c>
      <c r="AH802" s="20">
        <v>1</v>
      </c>
      <c r="AM802" s="4" t="s">
        <v>91</v>
      </c>
      <c r="AP802" s="4" t="s">
        <v>91</v>
      </c>
      <c r="AQ802" s="20">
        <v>0</v>
      </c>
      <c r="AR802" s="4">
        <v>0</v>
      </c>
      <c r="AS802" s="20">
        <v>0</v>
      </c>
      <c r="AT802" s="20">
        <v>0</v>
      </c>
      <c r="AU802" s="20">
        <v>0</v>
      </c>
      <c r="AV802" s="20">
        <v>0</v>
      </c>
      <c r="AW802" s="20">
        <v>0</v>
      </c>
      <c r="AX802" s="20" t="s">
        <v>91</v>
      </c>
      <c r="AY802" s="20">
        <v>0</v>
      </c>
      <c r="AZ802" s="20">
        <v>0</v>
      </c>
      <c r="BA802" s="20">
        <v>0</v>
      </c>
      <c r="BB802" s="6">
        <v>0</v>
      </c>
      <c r="BC802" s="6">
        <v>0</v>
      </c>
      <c r="BD802" s="6">
        <v>0</v>
      </c>
      <c r="BE802" s="6">
        <v>0</v>
      </c>
      <c r="BF802" s="6">
        <v>0</v>
      </c>
      <c r="BG802" s="6">
        <v>0</v>
      </c>
      <c r="BH802" s="6">
        <v>0</v>
      </c>
      <c r="BI802" s="6">
        <v>0</v>
      </c>
      <c r="BJ802" s="6">
        <v>0</v>
      </c>
      <c r="BK802" s="4">
        <v>0</v>
      </c>
      <c r="BL802" s="4">
        <v>0</v>
      </c>
      <c r="BM802" s="20">
        <v>76</v>
      </c>
      <c r="BN802" s="20">
        <v>0</v>
      </c>
      <c r="BO802" s="20">
        <v>0</v>
      </c>
      <c r="BP802" s="20">
        <v>0</v>
      </c>
      <c r="BQ802" s="20">
        <v>0</v>
      </c>
      <c r="BR802" s="20">
        <v>0</v>
      </c>
      <c r="BS802" s="20">
        <v>76</v>
      </c>
      <c r="BT802" s="20">
        <v>294848.19</v>
      </c>
      <c r="BU802" s="20">
        <v>3268000</v>
      </c>
      <c r="BV802" s="20">
        <v>10.076063519023435</v>
      </c>
    </row>
    <row r="803" spans="1:74">
      <c r="A803" s="10">
        <f t="shared" si="50"/>
        <v>0</v>
      </c>
      <c r="B803" s="10">
        <f t="shared" si="51"/>
        <v>0</v>
      </c>
      <c r="C803" s="12">
        <f t="shared" si="52"/>
        <v>8</v>
      </c>
      <c r="D803" s="12">
        <f t="shared" si="53"/>
        <v>8</v>
      </c>
      <c r="E803" s="20" t="s">
        <v>386</v>
      </c>
      <c r="F803" s="20" t="s">
        <v>2960</v>
      </c>
      <c r="G803" s="20" t="s">
        <v>2983</v>
      </c>
      <c r="H803" s="20" t="s">
        <v>2984</v>
      </c>
      <c r="I803" s="20">
        <v>1</v>
      </c>
      <c r="J803" s="20" t="s">
        <v>2985</v>
      </c>
      <c r="K803" s="20" t="s">
        <v>2986</v>
      </c>
      <c r="L803" s="20" t="s">
        <v>2987</v>
      </c>
      <c r="M803" s="20" t="s">
        <v>2960</v>
      </c>
      <c r="N803" s="20" t="s">
        <v>2966</v>
      </c>
      <c r="P803" s="20" t="s">
        <v>2960</v>
      </c>
      <c r="Q803" s="20" t="s">
        <v>2967</v>
      </c>
      <c r="R803" s="20" t="s">
        <v>84</v>
      </c>
      <c r="S803" s="20" t="s">
        <v>123</v>
      </c>
      <c r="T803" s="20" t="s">
        <v>1401</v>
      </c>
      <c r="U803" s="20" t="s">
        <v>1402</v>
      </c>
      <c r="V803" s="20" t="s">
        <v>87</v>
      </c>
      <c r="W803" s="20">
        <v>928</v>
      </c>
      <c r="X803" s="20">
        <v>928</v>
      </c>
      <c r="Y803" s="20" t="s">
        <v>2988</v>
      </c>
      <c r="Z803" s="20">
        <v>1</v>
      </c>
      <c r="AA803" s="20" t="s">
        <v>2989</v>
      </c>
      <c r="AB803" s="20" t="s">
        <v>532</v>
      </c>
      <c r="AC803" s="20" t="s">
        <v>533</v>
      </c>
      <c r="AD803" s="20" t="s">
        <v>2990</v>
      </c>
      <c r="AE803" s="20" t="s">
        <v>400</v>
      </c>
      <c r="AF803" s="20">
        <v>1</v>
      </c>
      <c r="AG803" s="20">
        <v>0</v>
      </c>
      <c r="AH803" s="20">
        <v>1</v>
      </c>
      <c r="AI803" s="4" t="s">
        <v>97</v>
      </c>
      <c r="AJ803" s="20">
        <v>30</v>
      </c>
      <c r="AK803" s="4" t="s">
        <v>93</v>
      </c>
      <c r="AL803" s="4">
        <v>13</v>
      </c>
      <c r="AM803" s="4">
        <v>13</v>
      </c>
      <c r="AN803" s="4" t="s">
        <v>95</v>
      </c>
      <c r="AO803" s="4" t="s">
        <v>96</v>
      </c>
      <c r="AP803" s="4">
        <v>1</v>
      </c>
      <c r="AQ803" s="20">
        <v>43000</v>
      </c>
      <c r="AR803" s="4">
        <v>41855</v>
      </c>
      <c r="AS803" s="20">
        <v>6515.151515151515</v>
      </c>
      <c r="AT803" s="20">
        <v>6194.6300000000019</v>
      </c>
      <c r="AU803" s="20">
        <v>-320.52151515151309</v>
      </c>
      <c r="AV803" s="20">
        <v>0</v>
      </c>
      <c r="AW803" s="20">
        <v>20</v>
      </c>
      <c r="AX803" s="20" t="s">
        <v>91</v>
      </c>
      <c r="AY803" s="20">
        <v>20</v>
      </c>
      <c r="AZ803" s="20">
        <v>4.95</v>
      </c>
      <c r="BA803" s="20">
        <v>0</v>
      </c>
      <c r="BB803" s="6">
        <v>41855</v>
      </c>
      <c r="BC803" s="6">
        <v>0</v>
      </c>
      <c r="BD803" s="6">
        <v>41862</v>
      </c>
      <c r="BE803" s="6">
        <v>0</v>
      </c>
      <c r="BF803" s="6">
        <v>41862</v>
      </c>
      <c r="BG803" s="6">
        <v>0</v>
      </c>
      <c r="BH803" s="6">
        <v>0</v>
      </c>
      <c r="BI803" s="6">
        <v>0</v>
      </c>
      <c r="BJ803" s="6">
        <v>0</v>
      </c>
      <c r="BK803" s="4">
        <v>0</v>
      </c>
      <c r="BL803" s="4">
        <v>0</v>
      </c>
      <c r="BM803" s="20">
        <v>30</v>
      </c>
      <c r="BN803" s="20">
        <v>0</v>
      </c>
      <c r="BO803" s="20">
        <v>0</v>
      </c>
      <c r="BP803" s="20">
        <v>0</v>
      </c>
      <c r="BQ803" s="20">
        <v>0</v>
      </c>
      <c r="BR803" s="20">
        <v>0</v>
      </c>
      <c r="BS803" s="20">
        <v>30</v>
      </c>
      <c r="BT803" s="20">
        <v>185838.90000000005</v>
      </c>
      <c r="BU803" s="20">
        <v>1290000</v>
      </c>
      <c r="BV803" s="20">
        <v>6.3104510020629281</v>
      </c>
    </row>
    <row r="804" spans="1:74">
      <c r="A804" s="10">
        <f t="shared" si="50"/>
        <v>0</v>
      </c>
      <c r="B804" s="10">
        <f t="shared" si="51"/>
        <v>0</v>
      </c>
      <c r="C804" s="12">
        <f t="shared" si="52"/>
        <v>8</v>
      </c>
      <c r="D804" s="12">
        <f t="shared" si="53"/>
        <v>8</v>
      </c>
      <c r="E804" s="20" t="s">
        <v>386</v>
      </c>
      <c r="F804" s="20" t="s">
        <v>2960</v>
      </c>
      <c r="G804" s="20" t="s">
        <v>2983</v>
      </c>
      <c r="H804" s="20" t="s">
        <v>2991</v>
      </c>
      <c r="I804" s="20">
        <v>2</v>
      </c>
      <c r="J804" s="20" t="s">
        <v>2992</v>
      </c>
      <c r="K804" s="20" t="s">
        <v>2993</v>
      </c>
      <c r="L804" s="20" t="s">
        <v>2994</v>
      </c>
      <c r="M804" s="20" t="s">
        <v>2960</v>
      </c>
      <c r="N804" s="20" t="s">
        <v>2966</v>
      </c>
      <c r="P804" s="20" t="s">
        <v>2960</v>
      </c>
      <c r="Q804" s="20" t="s">
        <v>2967</v>
      </c>
      <c r="R804" s="20" t="s">
        <v>84</v>
      </c>
      <c r="S804" s="20" t="s">
        <v>123</v>
      </c>
      <c r="T804" s="20" t="s">
        <v>1401</v>
      </c>
      <c r="U804" s="20" t="s">
        <v>1402</v>
      </c>
      <c r="V804" s="20" t="s">
        <v>87</v>
      </c>
      <c r="W804" s="20">
        <v>929</v>
      </c>
      <c r="X804" s="20">
        <v>929</v>
      </c>
      <c r="Y804" s="20" t="s">
        <v>2995</v>
      </c>
      <c r="Z804" s="20">
        <v>1</v>
      </c>
      <c r="AA804" s="20" t="s">
        <v>2996</v>
      </c>
      <c r="AB804" s="20" t="s">
        <v>279</v>
      </c>
      <c r="AC804" s="20" t="s">
        <v>280</v>
      </c>
      <c r="AD804" s="20" t="s">
        <v>2997</v>
      </c>
      <c r="AE804" s="20" t="s">
        <v>400</v>
      </c>
      <c r="AF804" s="20">
        <v>1</v>
      </c>
      <c r="AG804" s="20">
        <v>0</v>
      </c>
      <c r="AH804" s="20">
        <v>1</v>
      </c>
      <c r="AI804" s="4" t="s">
        <v>97</v>
      </c>
      <c r="AJ804" s="20">
        <v>30</v>
      </c>
      <c r="AK804" s="4" t="s">
        <v>93</v>
      </c>
      <c r="AL804" s="4">
        <v>13</v>
      </c>
      <c r="AM804" s="4">
        <v>13</v>
      </c>
      <c r="AN804" s="4" t="s">
        <v>95</v>
      </c>
      <c r="AO804" s="4" t="s">
        <v>96</v>
      </c>
      <c r="AP804" s="4">
        <v>1</v>
      </c>
      <c r="AQ804" s="20">
        <v>43000</v>
      </c>
      <c r="AR804" s="4">
        <v>41855</v>
      </c>
      <c r="AS804" s="20">
        <v>6515.151515151515</v>
      </c>
      <c r="AT804" s="20">
        <v>6880.7000000000007</v>
      </c>
      <c r="AU804" s="20">
        <v>365.54848484848571</v>
      </c>
      <c r="AV804" s="20">
        <v>0</v>
      </c>
      <c r="AW804" s="20">
        <v>20</v>
      </c>
      <c r="AX804" s="20" t="s">
        <v>91</v>
      </c>
      <c r="AY804" s="20">
        <v>20</v>
      </c>
      <c r="AZ804" s="20">
        <v>5.5</v>
      </c>
      <c r="BA804" s="20">
        <v>0</v>
      </c>
      <c r="BB804" s="6">
        <v>41855</v>
      </c>
      <c r="BC804" s="6">
        <v>0</v>
      </c>
      <c r="BD804" s="6">
        <v>41862</v>
      </c>
      <c r="BE804" s="6">
        <v>0</v>
      </c>
      <c r="BF804" s="6">
        <v>41862</v>
      </c>
      <c r="BG804" s="6">
        <v>0</v>
      </c>
      <c r="BH804" s="6">
        <v>0</v>
      </c>
      <c r="BI804" s="6">
        <v>0</v>
      </c>
      <c r="BJ804" s="6">
        <v>0</v>
      </c>
      <c r="BK804" s="4">
        <v>0</v>
      </c>
      <c r="BL804" s="4">
        <v>0</v>
      </c>
      <c r="BM804" s="20">
        <v>30</v>
      </c>
      <c r="BN804" s="20">
        <v>0</v>
      </c>
      <c r="BO804" s="20">
        <v>0</v>
      </c>
      <c r="BP804" s="20">
        <v>0</v>
      </c>
      <c r="BQ804" s="20">
        <v>0</v>
      </c>
      <c r="BR804" s="20">
        <v>0</v>
      </c>
      <c r="BS804" s="20">
        <v>30</v>
      </c>
      <c r="BT804" s="20">
        <v>206421.00000000003</v>
      </c>
      <c r="BU804" s="20">
        <v>1290000</v>
      </c>
      <c r="BV804" s="20">
        <v>5.6812401486635196</v>
      </c>
    </row>
    <row r="805" spans="1:74">
      <c r="A805" s="10">
        <f t="shared" si="50"/>
        <v>0</v>
      </c>
      <c r="B805" s="10">
        <f t="shared" si="51"/>
        <v>0</v>
      </c>
      <c r="C805" s="12" t="str">
        <f t="shared" si="52"/>
        <v/>
      </c>
      <c r="D805" s="12" t="str">
        <f t="shared" si="53"/>
        <v/>
      </c>
      <c r="E805" s="20" t="s">
        <v>91</v>
      </c>
      <c r="F805" s="20" t="s">
        <v>91</v>
      </c>
      <c r="G805" s="20" t="s">
        <v>91</v>
      </c>
      <c r="H805" s="20" t="s">
        <v>91</v>
      </c>
      <c r="I805" s="20">
        <v>0</v>
      </c>
      <c r="J805" s="20" t="s">
        <v>103</v>
      </c>
      <c r="K805" s="20" t="s">
        <v>104</v>
      </c>
      <c r="L805" s="20">
        <v>0</v>
      </c>
      <c r="M805" s="20" t="s">
        <v>105</v>
      </c>
      <c r="N805" s="20" t="s">
        <v>91</v>
      </c>
      <c r="O805" s="20" t="s">
        <v>2998</v>
      </c>
      <c r="Q805" s="20" t="s">
        <v>91</v>
      </c>
      <c r="R805" s="20" t="s">
        <v>91</v>
      </c>
      <c r="S805" s="20" t="s">
        <v>91</v>
      </c>
      <c r="U805" s="20" t="s">
        <v>91</v>
      </c>
      <c r="V805" s="20" t="s">
        <v>87</v>
      </c>
      <c r="X805" s="20" t="s">
        <v>91</v>
      </c>
      <c r="Y805" s="20" t="s">
        <v>91</v>
      </c>
      <c r="Z805" s="20">
        <v>2</v>
      </c>
      <c r="AB805" s="20" t="s">
        <v>91</v>
      </c>
      <c r="AD805" s="20" t="s">
        <v>91</v>
      </c>
      <c r="AE805" s="20" t="s">
        <v>91</v>
      </c>
      <c r="AF805" s="20">
        <v>2</v>
      </c>
      <c r="AG805" s="20">
        <v>0</v>
      </c>
      <c r="AH805" s="20">
        <v>1</v>
      </c>
      <c r="AM805" s="4" t="s">
        <v>91</v>
      </c>
      <c r="AP805" s="4" t="s">
        <v>91</v>
      </c>
      <c r="AQ805" s="20">
        <v>0</v>
      </c>
      <c r="AR805" s="4">
        <v>0</v>
      </c>
      <c r="AS805" s="20">
        <v>0</v>
      </c>
      <c r="AT805" s="20">
        <v>0</v>
      </c>
      <c r="AU805" s="20">
        <v>0</v>
      </c>
      <c r="AV805" s="20">
        <v>0</v>
      </c>
      <c r="AW805" s="20">
        <v>0</v>
      </c>
      <c r="AX805" s="20" t="s">
        <v>91</v>
      </c>
      <c r="AY805" s="20">
        <v>0</v>
      </c>
      <c r="AZ805" s="20">
        <v>0</v>
      </c>
      <c r="BA805" s="20">
        <v>0</v>
      </c>
      <c r="BB805" s="6">
        <v>0</v>
      </c>
      <c r="BC805" s="6">
        <v>0</v>
      </c>
      <c r="BD805" s="6">
        <v>0</v>
      </c>
      <c r="BE805" s="6">
        <v>0</v>
      </c>
      <c r="BF805" s="6">
        <v>0</v>
      </c>
      <c r="BG805" s="6">
        <v>0</v>
      </c>
      <c r="BH805" s="6">
        <v>0</v>
      </c>
      <c r="BI805" s="6">
        <v>0</v>
      </c>
      <c r="BJ805" s="6">
        <v>0</v>
      </c>
      <c r="BK805" s="4">
        <v>0</v>
      </c>
      <c r="BL805" s="4">
        <v>0</v>
      </c>
      <c r="BM805" s="20">
        <v>60</v>
      </c>
      <c r="BN805" s="20">
        <v>0</v>
      </c>
      <c r="BO805" s="20">
        <v>0</v>
      </c>
      <c r="BP805" s="20">
        <v>0</v>
      </c>
      <c r="BQ805" s="20">
        <v>0</v>
      </c>
      <c r="BR805" s="20">
        <v>0</v>
      </c>
      <c r="BS805" s="20">
        <v>60</v>
      </c>
      <c r="BT805" s="20">
        <v>392259.90000000008</v>
      </c>
      <c r="BU805" s="20">
        <v>2580000</v>
      </c>
      <c r="BV805" s="20">
        <v>5.9793380497332116</v>
      </c>
    </row>
    <row r="806" spans="1:74">
      <c r="A806" s="10">
        <f t="shared" si="50"/>
        <v>0</v>
      </c>
      <c r="B806" s="10">
        <f t="shared" si="51"/>
        <v>1</v>
      </c>
      <c r="C806" s="12">
        <f t="shared" si="52"/>
        <v>8</v>
      </c>
      <c r="D806" s="12">
        <f t="shared" si="53"/>
        <v>8</v>
      </c>
      <c r="E806" s="20" t="s">
        <v>386</v>
      </c>
      <c r="F806" s="20" t="s">
        <v>2999</v>
      </c>
      <c r="G806" s="20" t="s">
        <v>3000</v>
      </c>
      <c r="H806" s="20" t="s">
        <v>3001</v>
      </c>
      <c r="I806" s="20">
        <v>1</v>
      </c>
      <c r="J806" s="20" t="s">
        <v>3002</v>
      </c>
      <c r="K806" s="20" t="s">
        <v>3003</v>
      </c>
      <c r="L806" s="20" t="s">
        <v>3004</v>
      </c>
      <c r="M806" s="20" t="s">
        <v>2999</v>
      </c>
      <c r="N806" s="20" t="s">
        <v>3005</v>
      </c>
      <c r="P806" s="20" t="s">
        <v>2999</v>
      </c>
      <c r="Q806" s="20" t="s">
        <v>3006</v>
      </c>
      <c r="R806" s="20" t="s">
        <v>84</v>
      </c>
      <c r="S806" s="20" t="s">
        <v>123</v>
      </c>
      <c r="T806" s="20" t="s">
        <v>172</v>
      </c>
      <c r="U806" s="20" t="s">
        <v>173</v>
      </c>
      <c r="V806" s="20" t="s">
        <v>87</v>
      </c>
      <c r="W806" s="20">
        <v>901</v>
      </c>
      <c r="X806" s="20">
        <v>901</v>
      </c>
      <c r="Y806" s="20" t="s">
        <v>3007</v>
      </c>
      <c r="Z806" s="20">
        <v>1</v>
      </c>
      <c r="AA806" s="20" t="s">
        <v>3008</v>
      </c>
      <c r="AB806" s="20" t="s">
        <v>279</v>
      </c>
      <c r="AC806" s="20" t="s">
        <v>280</v>
      </c>
      <c r="AD806" s="20" t="s">
        <v>3009</v>
      </c>
      <c r="AE806" s="20" t="s">
        <v>400</v>
      </c>
      <c r="AF806" s="20">
        <v>1</v>
      </c>
      <c r="AG806" s="20">
        <v>0</v>
      </c>
      <c r="AH806" s="20">
        <v>1</v>
      </c>
      <c r="AI806" s="4" t="s">
        <v>251</v>
      </c>
      <c r="AJ806" s="20">
        <v>50</v>
      </c>
      <c r="AK806" s="4" t="s">
        <v>111</v>
      </c>
      <c r="AL806" s="4">
        <v>24</v>
      </c>
      <c r="AM806" s="4">
        <v>24</v>
      </c>
      <c r="AN806" s="4" t="s">
        <v>95</v>
      </c>
      <c r="AO806" s="4" t="s">
        <v>96</v>
      </c>
      <c r="AP806" s="4">
        <v>1</v>
      </c>
      <c r="AQ806" s="20">
        <v>45000</v>
      </c>
      <c r="AR806" s="4">
        <v>41855</v>
      </c>
      <c r="AS806" s="20">
        <v>6818.1818181818171</v>
      </c>
      <c r="AT806" s="20">
        <v>6639.4100000000008</v>
      </c>
      <c r="AU806" s="20">
        <v>-178.77181818181634</v>
      </c>
      <c r="AV806" s="20">
        <v>819</v>
      </c>
      <c r="AX806" s="20">
        <v>20</v>
      </c>
      <c r="AY806" s="20">
        <v>839</v>
      </c>
      <c r="AZ806" s="20">
        <v>4.6500000000000004</v>
      </c>
      <c r="BA806" s="20">
        <v>0</v>
      </c>
      <c r="BB806" s="6">
        <v>41855</v>
      </c>
      <c r="BC806" s="6">
        <v>0</v>
      </c>
      <c r="BD806" s="6">
        <v>41862</v>
      </c>
      <c r="BE806" s="6">
        <v>0</v>
      </c>
      <c r="BF806" s="6">
        <v>41862</v>
      </c>
      <c r="BG806" s="6">
        <v>0</v>
      </c>
      <c r="BH806" s="6">
        <v>0</v>
      </c>
      <c r="BI806" s="6">
        <v>0</v>
      </c>
      <c r="BJ806" s="6">
        <v>0</v>
      </c>
      <c r="BK806" s="4">
        <v>0</v>
      </c>
      <c r="BL806" s="4">
        <v>0</v>
      </c>
      <c r="BM806" s="20">
        <v>50</v>
      </c>
      <c r="BN806" s="20">
        <v>0</v>
      </c>
      <c r="BO806" s="20">
        <v>0</v>
      </c>
      <c r="BP806" s="20">
        <v>0</v>
      </c>
      <c r="BQ806" s="20">
        <v>0</v>
      </c>
      <c r="BR806" s="20">
        <v>0</v>
      </c>
      <c r="BS806" s="20">
        <v>50</v>
      </c>
      <c r="BT806" s="20">
        <v>331970.50000000006</v>
      </c>
      <c r="BU806" s="20">
        <v>2250000</v>
      </c>
      <c r="BV806" s="20">
        <v>6.1615551546132705</v>
      </c>
    </row>
    <row r="807" spans="1:74">
      <c r="A807" s="10">
        <f t="shared" si="50"/>
        <v>0</v>
      </c>
      <c r="B807" s="10">
        <f t="shared" si="51"/>
        <v>0</v>
      </c>
      <c r="C807" s="12" t="str">
        <f t="shared" si="52"/>
        <v/>
      </c>
      <c r="D807" s="12" t="str">
        <f t="shared" si="53"/>
        <v/>
      </c>
      <c r="E807" s="20" t="s">
        <v>91</v>
      </c>
      <c r="F807" s="20" t="s">
        <v>91</v>
      </c>
      <c r="G807" s="20" t="s">
        <v>91</v>
      </c>
      <c r="H807" s="20" t="s">
        <v>91</v>
      </c>
      <c r="I807" s="20">
        <v>0</v>
      </c>
      <c r="J807" s="20" t="s">
        <v>103</v>
      </c>
      <c r="K807" s="20" t="s">
        <v>104</v>
      </c>
      <c r="L807" s="20">
        <v>0</v>
      </c>
      <c r="M807" s="20" t="s">
        <v>105</v>
      </c>
      <c r="N807" s="20" t="s">
        <v>91</v>
      </c>
      <c r="O807" s="20" t="s">
        <v>3010</v>
      </c>
      <c r="Q807" s="20" t="s">
        <v>91</v>
      </c>
      <c r="R807" s="20" t="s">
        <v>91</v>
      </c>
      <c r="S807" s="20" t="s">
        <v>91</v>
      </c>
      <c r="U807" s="20" t="s">
        <v>91</v>
      </c>
      <c r="V807" s="20" t="s">
        <v>87</v>
      </c>
      <c r="X807" s="20" t="s">
        <v>91</v>
      </c>
      <c r="Y807" s="20" t="s">
        <v>91</v>
      </c>
      <c r="Z807" s="20">
        <v>1</v>
      </c>
      <c r="AB807" s="20" t="s">
        <v>91</v>
      </c>
      <c r="AD807" s="20" t="s">
        <v>91</v>
      </c>
      <c r="AE807" s="20" t="s">
        <v>91</v>
      </c>
      <c r="AF807" s="20">
        <v>1</v>
      </c>
      <c r="AG807" s="20">
        <v>0</v>
      </c>
      <c r="AH807" s="20">
        <v>1</v>
      </c>
      <c r="AM807" s="4" t="s">
        <v>91</v>
      </c>
      <c r="AP807" s="4" t="s">
        <v>91</v>
      </c>
      <c r="AQ807" s="20">
        <v>0</v>
      </c>
      <c r="AR807" s="4">
        <v>0</v>
      </c>
      <c r="AS807" s="20">
        <v>0</v>
      </c>
      <c r="AT807" s="20">
        <v>0</v>
      </c>
      <c r="AU807" s="20">
        <v>0</v>
      </c>
      <c r="AV807" s="20">
        <v>0</v>
      </c>
      <c r="AW807" s="20">
        <v>0</v>
      </c>
      <c r="AX807" s="20" t="s">
        <v>91</v>
      </c>
      <c r="AY807" s="20">
        <v>0</v>
      </c>
      <c r="AZ807" s="20">
        <v>0</v>
      </c>
      <c r="BA807" s="20">
        <v>0</v>
      </c>
      <c r="BB807" s="6">
        <v>0</v>
      </c>
      <c r="BC807" s="6">
        <v>0</v>
      </c>
      <c r="BD807" s="6">
        <v>0</v>
      </c>
      <c r="BE807" s="6">
        <v>0</v>
      </c>
      <c r="BF807" s="6">
        <v>0</v>
      </c>
      <c r="BG807" s="6">
        <v>0</v>
      </c>
      <c r="BH807" s="6">
        <v>0</v>
      </c>
      <c r="BI807" s="6">
        <v>0</v>
      </c>
      <c r="BJ807" s="6">
        <v>0</v>
      </c>
      <c r="BK807" s="4">
        <v>0</v>
      </c>
      <c r="BL807" s="4">
        <v>0</v>
      </c>
      <c r="BM807" s="20">
        <v>50</v>
      </c>
      <c r="BN807" s="20">
        <v>0</v>
      </c>
      <c r="BO807" s="20">
        <v>0</v>
      </c>
      <c r="BP807" s="20">
        <v>0</v>
      </c>
      <c r="BQ807" s="20">
        <v>0</v>
      </c>
      <c r="BR807" s="20">
        <v>0</v>
      </c>
      <c r="BS807" s="20">
        <v>50</v>
      </c>
      <c r="BT807" s="20">
        <v>331970.50000000006</v>
      </c>
      <c r="BU807" s="20">
        <v>2250000</v>
      </c>
      <c r="BV807" s="20">
        <v>6.1615551546132705</v>
      </c>
    </row>
    <row r="808" spans="1:74">
      <c r="A808" s="10">
        <f t="shared" si="50"/>
        <v>0</v>
      </c>
      <c r="B808" s="10">
        <f t="shared" si="51"/>
        <v>0</v>
      </c>
      <c r="C808" s="12">
        <f t="shared" si="52"/>
        <v>8</v>
      </c>
      <c r="D808" s="12">
        <f t="shared" si="53"/>
        <v>8</v>
      </c>
      <c r="E808" s="20" t="s">
        <v>424</v>
      </c>
      <c r="F808" s="20" t="s">
        <v>2810</v>
      </c>
      <c r="G808" s="20" t="s">
        <v>3011</v>
      </c>
      <c r="H808" s="20" t="s">
        <v>3012</v>
      </c>
      <c r="I808" s="20">
        <v>1</v>
      </c>
      <c r="J808" s="20" t="s">
        <v>3013</v>
      </c>
      <c r="K808" s="20" t="s">
        <v>3014</v>
      </c>
      <c r="L808" s="20" t="s">
        <v>3015</v>
      </c>
      <c r="M808" s="20" t="s">
        <v>2810</v>
      </c>
      <c r="N808" s="20" t="s">
        <v>3016</v>
      </c>
      <c r="P808" s="20" t="s">
        <v>2810</v>
      </c>
      <c r="Q808" s="20" t="s">
        <v>2817</v>
      </c>
      <c r="R808" s="20" t="s">
        <v>84</v>
      </c>
      <c r="S808" s="20" t="s">
        <v>123</v>
      </c>
      <c r="T808" s="20" t="s">
        <v>172</v>
      </c>
      <c r="U808" s="20" t="s">
        <v>173</v>
      </c>
      <c r="V808" s="20" t="s">
        <v>87</v>
      </c>
      <c r="W808" s="20">
        <v>729</v>
      </c>
      <c r="X808" s="20">
        <v>729</v>
      </c>
      <c r="Y808" s="20" t="s">
        <v>3017</v>
      </c>
      <c r="Z808" s="20">
        <v>1</v>
      </c>
      <c r="AA808" s="20" t="s">
        <v>3018</v>
      </c>
      <c r="AB808" s="20" t="s">
        <v>109</v>
      </c>
      <c r="AC808" s="20" t="s">
        <v>110</v>
      </c>
      <c r="AD808" s="20" t="s">
        <v>3019</v>
      </c>
      <c r="AE808" s="20" t="s">
        <v>400</v>
      </c>
      <c r="AF808" s="20">
        <v>1</v>
      </c>
      <c r="AG808" s="20">
        <v>0</v>
      </c>
      <c r="AH808" s="20">
        <v>1</v>
      </c>
      <c r="AI808" s="4" t="s">
        <v>97</v>
      </c>
      <c r="AJ808" s="20">
        <v>30</v>
      </c>
      <c r="AK808" s="4" t="s">
        <v>93</v>
      </c>
      <c r="AL808" s="4">
        <v>14</v>
      </c>
      <c r="AM808" s="4">
        <v>14</v>
      </c>
      <c r="AN808" s="4" t="s">
        <v>95</v>
      </c>
      <c r="AO808" s="4" t="s">
        <v>189</v>
      </c>
      <c r="AP808" s="4">
        <v>1</v>
      </c>
      <c r="AQ808" s="20">
        <v>45000</v>
      </c>
      <c r="AR808" s="4">
        <v>41855</v>
      </c>
      <c r="AS808" s="20">
        <v>6818.1818181818171</v>
      </c>
      <c r="AT808" s="20">
        <v>6428.5000000000009</v>
      </c>
      <c r="AU808" s="20">
        <v>-389.6818181818162</v>
      </c>
      <c r="AV808" s="20">
        <v>0</v>
      </c>
      <c r="AW808" s="20">
        <v>980</v>
      </c>
      <c r="AX808" s="20">
        <v>20</v>
      </c>
      <c r="AY808" s="20">
        <v>1000</v>
      </c>
      <c r="AZ808" s="20">
        <v>4.7</v>
      </c>
      <c r="BA808" s="20">
        <v>0</v>
      </c>
      <c r="BB808" s="6">
        <v>41855</v>
      </c>
      <c r="BC808" s="6">
        <v>0</v>
      </c>
      <c r="BD808" s="6">
        <v>41862</v>
      </c>
      <c r="BE808" s="6">
        <v>0</v>
      </c>
      <c r="BF808" s="6">
        <v>41862</v>
      </c>
      <c r="BG808" s="6">
        <v>0</v>
      </c>
      <c r="BH808" s="6">
        <v>0</v>
      </c>
      <c r="BI808" s="6">
        <v>0</v>
      </c>
      <c r="BJ808" s="6">
        <v>0</v>
      </c>
      <c r="BK808" s="4">
        <v>0</v>
      </c>
      <c r="BL808" s="4">
        <v>0</v>
      </c>
      <c r="BM808" s="20">
        <v>30</v>
      </c>
      <c r="BN808" s="20">
        <v>0</v>
      </c>
      <c r="BO808" s="20">
        <v>0</v>
      </c>
      <c r="BP808" s="20">
        <v>0</v>
      </c>
      <c r="BQ808" s="20">
        <v>0</v>
      </c>
      <c r="BR808" s="20">
        <v>0</v>
      </c>
      <c r="BS808" s="20">
        <v>30</v>
      </c>
      <c r="BT808" s="20">
        <v>192855.00000000003</v>
      </c>
      <c r="BU808" s="20">
        <v>1350000</v>
      </c>
      <c r="BV808" s="20">
        <v>6.363707071492712</v>
      </c>
    </row>
    <row r="809" spans="1:74">
      <c r="A809" s="10">
        <f t="shared" si="50"/>
        <v>0</v>
      </c>
      <c r="B809" s="10">
        <f t="shared" si="51"/>
        <v>0</v>
      </c>
      <c r="C809" s="12" t="str">
        <f t="shared" si="52"/>
        <v/>
      </c>
      <c r="D809" s="12" t="str">
        <f t="shared" si="53"/>
        <v/>
      </c>
      <c r="E809" s="20" t="s">
        <v>91</v>
      </c>
      <c r="F809" s="20" t="s">
        <v>91</v>
      </c>
      <c r="G809" s="20" t="s">
        <v>91</v>
      </c>
      <c r="H809" s="20" t="s">
        <v>91</v>
      </c>
      <c r="I809" s="20">
        <v>0</v>
      </c>
      <c r="J809" s="20" t="s">
        <v>103</v>
      </c>
      <c r="K809" s="20" t="s">
        <v>104</v>
      </c>
      <c r="L809" s="20">
        <v>0</v>
      </c>
      <c r="M809" s="20" t="s">
        <v>105</v>
      </c>
      <c r="N809" s="20" t="s">
        <v>91</v>
      </c>
      <c r="O809" s="20" t="s">
        <v>3020</v>
      </c>
      <c r="Q809" s="20" t="s">
        <v>91</v>
      </c>
      <c r="R809" s="20" t="s">
        <v>91</v>
      </c>
      <c r="U809" s="20" t="s">
        <v>91</v>
      </c>
      <c r="X809" s="20" t="s">
        <v>91</v>
      </c>
      <c r="Y809" s="20" t="s">
        <v>91</v>
      </c>
      <c r="Z809" s="20">
        <v>1</v>
      </c>
      <c r="AB809" s="20" t="s">
        <v>91</v>
      </c>
      <c r="AD809" s="20" t="s">
        <v>91</v>
      </c>
      <c r="AE809" s="20" t="s">
        <v>91</v>
      </c>
      <c r="AF809" s="20">
        <v>1</v>
      </c>
      <c r="AG809" s="20">
        <v>0</v>
      </c>
      <c r="AM809" s="4" t="s">
        <v>91</v>
      </c>
      <c r="AP809" s="4" t="s">
        <v>91</v>
      </c>
      <c r="AQ809" s="20">
        <v>0</v>
      </c>
      <c r="AR809" s="4">
        <v>0</v>
      </c>
      <c r="AS809" s="20">
        <v>0</v>
      </c>
      <c r="AT809" s="20">
        <v>0</v>
      </c>
      <c r="AU809" s="20">
        <v>0</v>
      </c>
      <c r="AY809" s="20">
        <v>0</v>
      </c>
      <c r="BB809" s="6">
        <v>0</v>
      </c>
      <c r="BD809" s="6">
        <v>0</v>
      </c>
      <c r="BM809" s="20">
        <v>30</v>
      </c>
      <c r="BN809" s="20">
        <v>0</v>
      </c>
      <c r="BO809" s="20">
        <v>0</v>
      </c>
      <c r="BP809" s="20">
        <v>0</v>
      </c>
      <c r="BQ809" s="20">
        <v>0</v>
      </c>
      <c r="BR809" s="20">
        <v>0</v>
      </c>
      <c r="BS809" s="20">
        <v>30</v>
      </c>
      <c r="BT809" s="20">
        <v>192855.00000000003</v>
      </c>
      <c r="BU809" s="20">
        <v>1350000</v>
      </c>
      <c r="BV809" s="20">
        <v>6.363707071492712</v>
      </c>
    </row>
    <row r="810" spans="1:74">
      <c r="A810" s="10">
        <f t="shared" si="50"/>
        <v>0</v>
      </c>
      <c r="B810" s="10">
        <f t="shared" si="51"/>
        <v>0.5</v>
      </c>
      <c r="C810" s="12">
        <f t="shared" si="52"/>
        <v>8</v>
      </c>
      <c r="D810" s="12">
        <f t="shared" si="53"/>
        <v>8</v>
      </c>
      <c r="E810" s="20" t="s">
        <v>424</v>
      </c>
      <c r="F810" s="20" t="s">
        <v>2810</v>
      </c>
      <c r="G810" s="20" t="s">
        <v>3021</v>
      </c>
      <c r="H810" s="20" t="s">
        <v>3022</v>
      </c>
      <c r="I810" s="20">
        <v>1</v>
      </c>
      <c r="J810" s="20" t="s">
        <v>3023</v>
      </c>
      <c r="K810" s="20" t="s">
        <v>3024</v>
      </c>
      <c r="L810" s="20" t="s">
        <v>3025</v>
      </c>
      <c r="M810" s="20" t="s">
        <v>2810</v>
      </c>
      <c r="N810" s="20" t="s">
        <v>3026</v>
      </c>
      <c r="P810" s="20" t="s">
        <v>2810</v>
      </c>
      <c r="Q810" s="20" t="s">
        <v>2817</v>
      </c>
      <c r="R810" s="20" t="s">
        <v>84</v>
      </c>
      <c r="S810" s="20" t="s">
        <v>123</v>
      </c>
      <c r="T810" s="20" t="s">
        <v>1401</v>
      </c>
      <c r="U810" s="20" t="s">
        <v>1402</v>
      </c>
      <c r="V810" s="20" t="s">
        <v>87</v>
      </c>
      <c r="W810" s="20">
        <v>957</v>
      </c>
      <c r="X810" s="20">
        <v>957</v>
      </c>
      <c r="Y810" s="20" t="s">
        <v>3027</v>
      </c>
      <c r="Z810" s="20">
        <v>0.5</v>
      </c>
      <c r="AA810" s="20" t="s">
        <v>3028</v>
      </c>
      <c r="AB810" s="20" t="s">
        <v>109</v>
      </c>
      <c r="AC810" s="20" t="s">
        <v>110</v>
      </c>
      <c r="AD810" s="20" t="s">
        <v>3029</v>
      </c>
      <c r="AE810" s="20" t="s">
        <v>400</v>
      </c>
      <c r="AF810" s="20">
        <v>0.5</v>
      </c>
      <c r="AG810" s="20">
        <v>0</v>
      </c>
      <c r="AH810" s="20">
        <v>1</v>
      </c>
      <c r="AI810" s="4" t="s">
        <v>97</v>
      </c>
      <c r="AJ810" s="20">
        <v>30</v>
      </c>
      <c r="AK810" s="4" t="s">
        <v>1047</v>
      </c>
      <c r="AL810" s="4">
        <v>9</v>
      </c>
      <c r="AM810" s="4" t="s">
        <v>235</v>
      </c>
      <c r="AN810" s="4" t="s">
        <v>95</v>
      </c>
      <c r="AO810" s="4" t="s">
        <v>96</v>
      </c>
      <c r="AP810" s="4">
        <v>1</v>
      </c>
      <c r="AQ810" s="20">
        <v>43000</v>
      </c>
      <c r="AR810" s="4">
        <v>41855</v>
      </c>
      <c r="AS810" s="20">
        <v>4343.4343434343427</v>
      </c>
      <c r="AT810" s="20">
        <v>5339.9800000000014</v>
      </c>
      <c r="AU810" s="20">
        <v>996.54565656565865</v>
      </c>
      <c r="AV810" s="20">
        <v>972</v>
      </c>
      <c r="AW810" s="20">
        <v>980</v>
      </c>
      <c r="AX810" s="20">
        <v>20</v>
      </c>
      <c r="AY810" s="20">
        <v>1972</v>
      </c>
      <c r="AZ810" s="20">
        <v>2.7</v>
      </c>
      <c r="BA810" s="20">
        <v>0</v>
      </c>
      <c r="BB810" s="6">
        <v>41855</v>
      </c>
      <c r="BC810" s="6">
        <v>0</v>
      </c>
      <c r="BD810" s="6">
        <v>41862</v>
      </c>
      <c r="BE810" s="6">
        <v>0</v>
      </c>
      <c r="BF810" s="6">
        <v>41862</v>
      </c>
      <c r="BG810" s="6">
        <v>0</v>
      </c>
      <c r="BH810" s="6">
        <v>0</v>
      </c>
      <c r="BI810" s="6">
        <v>0</v>
      </c>
      <c r="BJ810" s="6">
        <v>0</v>
      </c>
      <c r="BK810" s="4">
        <v>0</v>
      </c>
      <c r="BL810" s="4">
        <v>0</v>
      </c>
      <c r="BM810" s="20">
        <v>30</v>
      </c>
      <c r="BN810" s="20">
        <v>0</v>
      </c>
      <c r="BO810" s="20">
        <v>0</v>
      </c>
      <c r="BP810" s="20">
        <v>0</v>
      </c>
      <c r="BQ810" s="20">
        <v>0</v>
      </c>
      <c r="BR810" s="20">
        <v>0</v>
      </c>
      <c r="BS810" s="20">
        <v>30</v>
      </c>
      <c r="BT810" s="20">
        <v>160199.40000000005</v>
      </c>
      <c r="BU810" s="20">
        <v>1290000</v>
      </c>
      <c r="BV810" s="20">
        <v>7.3204223781566737</v>
      </c>
    </row>
    <row r="811" spans="1:74">
      <c r="A811" s="10">
        <f t="shared" si="50"/>
        <v>0</v>
      </c>
      <c r="B811" s="10">
        <f t="shared" si="51"/>
        <v>0.5</v>
      </c>
      <c r="C811" s="12">
        <f t="shared" si="52"/>
        <v>8</v>
      </c>
      <c r="D811" s="12">
        <f t="shared" si="53"/>
        <v>8</v>
      </c>
      <c r="E811" s="20" t="s">
        <v>424</v>
      </c>
      <c r="F811" s="20" t="s">
        <v>2810</v>
      </c>
      <c r="G811" s="20" t="s">
        <v>3021</v>
      </c>
      <c r="H811" s="20" t="s">
        <v>3022</v>
      </c>
      <c r="I811" s="20">
        <v>1</v>
      </c>
      <c r="J811" s="20" t="s">
        <v>3023</v>
      </c>
      <c r="K811" s="20" t="s">
        <v>3030</v>
      </c>
      <c r="L811" s="20" t="s">
        <v>3025</v>
      </c>
      <c r="M811" s="20" t="s">
        <v>2810</v>
      </c>
      <c r="N811" s="20" t="s">
        <v>3026</v>
      </c>
      <c r="P811" s="20" t="s">
        <v>2810</v>
      </c>
      <c r="Q811" s="20" t="s">
        <v>2817</v>
      </c>
      <c r="R811" s="20" t="s">
        <v>84</v>
      </c>
      <c r="S811" s="20" t="s">
        <v>123</v>
      </c>
      <c r="T811" s="20" t="s">
        <v>1401</v>
      </c>
      <c r="U811" s="20" t="s">
        <v>1402</v>
      </c>
      <c r="V811" s="20" t="s">
        <v>87</v>
      </c>
      <c r="W811" s="20">
        <v>957</v>
      </c>
      <c r="X811" s="20">
        <v>957</v>
      </c>
      <c r="Y811" s="20" t="s">
        <v>3027</v>
      </c>
      <c r="Z811" s="20">
        <v>0.5</v>
      </c>
      <c r="AA811" s="20" t="s">
        <v>3031</v>
      </c>
      <c r="AB811" s="20" t="s">
        <v>109</v>
      </c>
      <c r="AC811" s="20" t="s">
        <v>110</v>
      </c>
      <c r="AD811" s="20" t="s">
        <v>3029</v>
      </c>
      <c r="AE811" s="20" t="s">
        <v>400</v>
      </c>
      <c r="AF811" s="20">
        <v>0.5</v>
      </c>
      <c r="AG811" s="20">
        <v>0</v>
      </c>
      <c r="AH811" s="20">
        <v>1</v>
      </c>
      <c r="AI811" s="4" t="s">
        <v>98</v>
      </c>
      <c r="AJ811" s="20">
        <v>20</v>
      </c>
      <c r="AK811" s="4" t="s">
        <v>1047</v>
      </c>
      <c r="AL811" s="4">
        <v>9</v>
      </c>
      <c r="AM811" s="4" t="s">
        <v>235</v>
      </c>
      <c r="AN811" s="4" t="s">
        <v>95</v>
      </c>
      <c r="AO811" s="4" t="s">
        <v>96</v>
      </c>
      <c r="AP811" s="4">
        <v>1</v>
      </c>
      <c r="AQ811" s="20">
        <v>43000</v>
      </c>
      <c r="AR811" s="4">
        <v>41855</v>
      </c>
      <c r="AS811" s="20">
        <v>4343.4343434343427</v>
      </c>
      <c r="AT811" s="20">
        <v>5339.9800000000014</v>
      </c>
      <c r="AU811" s="20">
        <v>996.54565656565865</v>
      </c>
      <c r="AV811" s="20">
        <v>972</v>
      </c>
      <c r="AW811" s="20">
        <v>980</v>
      </c>
      <c r="AX811" s="20">
        <v>20</v>
      </c>
      <c r="AY811" s="20">
        <v>1972</v>
      </c>
      <c r="AZ811" s="20">
        <v>2.7</v>
      </c>
      <c r="BA811" s="20">
        <v>0</v>
      </c>
      <c r="BB811" s="6">
        <v>41855</v>
      </c>
      <c r="BC811" s="6">
        <v>0</v>
      </c>
      <c r="BD811" s="6">
        <v>41862</v>
      </c>
      <c r="BE811" s="6">
        <v>0</v>
      </c>
      <c r="BF811" s="6">
        <v>41862</v>
      </c>
      <c r="BG811" s="6">
        <v>0</v>
      </c>
      <c r="BH811" s="6">
        <v>0</v>
      </c>
      <c r="BI811" s="6">
        <v>0</v>
      </c>
      <c r="BJ811" s="6">
        <v>0</v>
      </c>
      <c r="BK811" s="4">
        <v>0</v>
      </c>
      <c r="BL811" s="4">
        <v>0</v>
      </c>
      <c r="BM811" s="20">
        <v>20</v>
      </c>
      <c r="BN811" s="20">
        <v>0</v>
      </c>
      <c r="BO811" s="20">
        <v>0</v>
      </c>
      <c r="BP811" s="20">
        <v>0</v>
      </c>
      <c r="BQ811" s="20">
        <v>0</v>
      </c>
      <c r="BR811" s="20">
        <v>0</v>
      </c>
      <c r="BS811" s="20">
        <v>20</v>
      </c>
      <c r="BT811" s="20">
        <v>106799.60000000003</v>
      </c>
      <c r="BU811" s="20">
        <v>860000</v>
      </c>
      <c r="BV811" s="20">
        <v>7.3204223781566746</v>
      </c>
    </row>
    <row r="812" spans="1:74">
      <c r="A812" s="10">
        <f t="shared" si="50"/>
        <v>0</v>
      </c>
      <c r="B812" s="10">
        <f t="shared" si="51"/>
        <v>1</v>
      </c>
      <c r="C812" s="12">
        <f t="shared" si="52"/>
        <v>8</v>
      </c>
      <c r="D812" s="12">
        <f t="shared" si="53"/>
        <v>8</v>
      </c>
      <c r="E812" s="20" t="s">
        <v>424</v>
      </c>
      <c r="F812" s="20" t="s">
        <v>2810</v>
      </c>
      <c r="G812" s="20" t="s">
        <v>3021</v>
      </c>
      <c r="H812" s="20" t="s">
        <v>3032</v>
      </c>
      <c r="I812" s="20">
        <v>2</v>
      </c>
      <c r="J812" s="20" t="s">
        <v>3033</v>
      </c>
      <c r="K812" s="20" t="s">
        <v>3034</v>
      </c>
      <c r="L812" s="20" t="s">
        <v>3035</v>
      </c>
      <c r="M812" s="20" t="s">
        <v>2810</v>
      </c>
      <c r="N812" s="20" t="s">
        <v>3026</v>
      </c>
      <c r="P812" s="20" t="s">
        <v>2810</v>
      </c>
      <c r="Q812" s="20" t="s">
        <v>2817</v>
      </c>
      <c r="R812" s="20" t="s">
        <v>84</v>
      </c>
      <c r="S812" s="20" t="s">
        <v>123</v>
      </c>
      <c r="T812" s="20" t="s">
        <v>1401</v>
      </c>
      <c r="U812" s="20" t="s">
        <v>1402</v>
      </c>
      <c r="V812" s="20" t="s">
        <v>87</v>
      </c>
      <c r="W812" s="20">
        <v>958</v>
      </c>
      <c r="X812" s="20">
        <v>958</v>
      </c>
      <c r="Y812" s="20" t="s">
        <v>3036</v>
      </c>
      <c r="Z812" s="20">
        <v>1</v>
      </c>
      <c r="AA812" s="20" t="s">
        <v>3037</v>
      </c>
      <c r="AB812" s="20" t="s">
        <v>101</v>
      </c>
      <c r="AC812" s="20" t="s">
        <v>102</v>
      </c>
      <c r="AD812" s="20" t="s">
        <v>3038</v>
      </c>
      <c r="AE812" s="20" t="s">
        <v>400</v>
      </c>
      <c r="AF812" s="20">
        <v>1</v>
      </c>
      <c r="AG812" s="20">
        <v>0</v>
      </c>
      <c r="AH812" s="20">
        <v>1</v>
      </c>
      <c r="AI812" s="4" t="s">
        <v>97</v>
      </c>
      <c r="AJ812" s="20">
        <v>18</v>
      </c>
      <c r="AK812" s="4" t="s">
        <v>1047</v>
      </c>
      <c r="AL812" s="4">
        <v>9</v>
      </c>
      <c r="AM812" s="4" t="s">
        <v>235</v>
      </c>
      <c r="AN812" s="4" t="s">
        <v>95</v>
      </c>
      <c r="AO812" s="4" t="s">
        <v>96</v>
      </c>
      <c r="AP812" s="4">
        <v>1</v>
      </c>
      <c r="AQ812" s="20">
        <v>43000</v>
      </c>
      <c r="AR812" s="4">
        <v>41855</v>
      </c>
      <c r="AS812" s="20">
        <v>4343.4343434343427</v>
      </c>
      <c r="AT812" s="20">
        <v>5509.5800000000008</v>
      </c>
      <c r="AU812" s="20">
        <v>1166.1456565656581</v>
      </c>
      <c r="AV812" s="20">
        <v>1141.5999999999999</v>
      </c>
      <c r="AW812" s="20">
        <v>980</v>
      </c>
      <c r="AX812" s="20">
        <v>20</v>
      </c>
      <c r="AY812" s="20">
        <v>2141.6</v>
      </c>
      <c r="AZ812" s="20">
        <v>2.7</v>
      </c>
      <c r="BA812" s="20">
        <v>0</v>
      </c>
      <c r="BB812" s="6">
        <v>41855</v>
      </c>
      <c r="BC812" s="6">
        <v>0</v>
      </c>
      <c r="BD812" s="6">
        <v>41862</v>
      </c>
      <c r="BE812" s="6">
        <v>0</v>
      </c>
      <c r="BF812" s="6">
        <v>41862</v>
      </c>
      <c r="BG812" s="6">
        <v>0</v>
      </c>
      <c r="BH812" s="6">
        <v>0</v>
      </c>
      <c r="BI812" s="6">
        <v>0</v>
      </c>
      <c r="BJ812" s="6">
        <v>0</v>
      </c>
      <c r="BK812" s="4">
        <v>0</v>
      </c>
      <c r="BL812" s="4">
        <v>0</v>
      </c>
      <c r="BM812" s="20">
        <v>18</v>
      </c>
      <c r="BN812" s="20">
        <v>0</v>
      </c>
      <c r="BO812" s="20">
        <v>0</v>
      </c>
      <c r="BP812" s="20">
        <v>0</v>
      </c>
      <c r="BQ812" s="20">
        <v>0</v>
      </c>
      <c r="BR812" s="20">
        <v>0</v>
      </c>
      <c r="BS812" s="20">
        <v>18</v>
      </c>
      <c r="BT812" s="20">
        <v>99172.440000000017</v>
      </c>
      <c r="BU812" s="20">
        <v>774000</v>
      </c>
      <c r="BV812" s="20">
        <v>7.0950796777447795</v>
      </c>
    </row>
    <row r="813" spans="1:74">
      <c r="A813" s="10">
        <f t="shared" si="50"/>
        <v>0</v>
      </c>
      <c r="B813" s="10">
        <f t="shared" si="51"/>
        <v>0</v>
      </c>
      <c r="C813" s="12" t="str">
        <f t="shared" si="52"/>
        <v/>
      </c>
      <c r="D813" s="12" t="str">
        <f t="shared" si="53"/>
        <v/>
      </c>
      <c r="E813" s="20" t="s">
        <v>91</v>
      </c>
      <c r="F813" s="20" t="s">
        <v>91</v>
      </c>
      <c r="G813" s="20" t="s">
        <v>91</v>
      </c>
      <c r="H813" s="20" t="s">
        <v>91</v>
      </c>
      <c r="I813" s="20">
        <v>0</v>
      </c>
      <c r="J813" s="20" t="s">
        <v>103</v>
      </c>
      <c r="K813" s="20" t="s">
        <v>104</v>
      </c>
      <c r="L813" s="20">
        <v>0</v>
      </c>
      <c r="M813" s="20" t="s">
        <v>105</v>
      </c>
      <c r="N813" s="20" t="s">
        <v>91</v>
      </c>
      <c r="O813" s="20" t="s">
        <v>3039</v>
      </c>
      <c r="Q813" s="20" t="s">
        <v>91</v>
      </c>
      <c r="R813" s="20" t="s">
        <v>91</v>
      </c>
      <c r="S813" s="20" t="s">
        <v>91</v>
      </c>
      <c r="U813" s="20" t="s">
        <v>91</v>
      </c>
      <c r="V813" s="20" t="s">
        <v>87</v>
      </c>
      <c r="X813" s="20" t="s">
        <v>91</v>
      </c>
      <c r="Y813" s="20" t="s">
        <v>91</v>
      </c>
      <c r="Z813" s="20">
        <v>2</v>
      </c>
      <c r="AB813" s="20" t="s">
        <v>91</v>
      </c>
      <c r="AD813" s="20" t="s">
        <v>91</v>
      </c>
      <c r="AE813" s="20" t="s">
        <v>91</v>
      </c>
      <c r="AF813" s="20">
        <v>2</v>
      </c>
      <c r="AG813" s="20">
        <v>0</v>
      </c>
      <c r="AH813" s="20">
        <v>1</v>
      </c>
      <c r="AM813" s="4" t="s">
        <v>91</v>
      </c>
      <c r="AP813" s="4" t="s">
        <v>91</v>
      </c>
      <c r="AQ813" s="20">
        <v>0</v>
      </c>
      <c r="AR813" s="4">
        <v>0</v>
      </c>
      <c r="AS813" s="20">
        <v>0</v>
      </c>
      <c r="AT813" s="20">
        <v>0</v>
      </c>
      <c r="AU813" s="20">
        <v>0</v>
      </c>
      <c r="AV813" s="20">
        <v>0</v>
      </c>
      <c r="AW813" s="20">
        <v>0</v>
      </c>
      <c r="AX813" s="20" t="s">
        <v>91</v>
      </c>
      <c r="AY813" s="20">
        <v>0</v>
      </c>
      <c r="AZ813" s="20">
        <v>0</v>
      </c>
      <c r="BA813" s="20">
        <v>0</v>
      </c>
      <c r="BB813" s="6">
        <v>0</v>
      </c>
      <c r="BC813" s="6">
        <v>0</v>
      </c>
      <c r="BD813" s="6">
        <v>0</v>
      </c>
      <c r="BE813" s="6">
        <v>0</v>
      </c>
      <c r="BF813" s="6">
        <v>0</v>
      </c>
      <c r="BG813" s="6">
        <v>0</v>
      </c>
      <c r="BH813" s="6">
        <v>0</v>
      </c>
      <c r="BI813" s="6">
        <v>0</v>
      </c>
      <c r="BJ813" s="6">
        <v>0</v>
      </c>
      <c r="BK813" s="4">
        <v>0</v>
      </c>
      <c r="BL813" s="4">
        <v>0</v>
      </c>
      <c r="BM813" s="20">
        <v>68</v>
      </c>
      <c r="BN813" s="20">
        <v>0</v>
      </c>
      <c r="BO813" s="20">
        <v>0</v>
      </c>
      <c r="BP813" s="20">
        <v>0</v>
      </c>
      <c r="BQ813" s="20">
        <v>0</v>
      </c>
      <c r="BR813" s="20">
        <v>0</v>
      </c>
      <c r="BS813" s="20">
        <v>68</v>
      </c>
      <c r="BT813" s="20">
        <v>366171.44000000012</v>
      </c>
      <c r="BU813" s="20">
        <v>2924000</v>
      </c>
      <c r="BV813" s="20">
        <v>7.2593914429312596</v>
      </c>
    </row>
    <row r="814" spans="1:74">
      <c r="A814" s="10">
        <f t="shared" si="50"/>
        <v>0</v>
      </c>
      <c r="B814" s="10">
        <f t="shared" si="51"/>
        <v>0.5</v>
      </c>
      <c r="C814" s="12">
        <f t="shared" si="52"/>
        <v>8</v>
      </c>
      <c r="D814" s="12">
        <f t="shared" si="53"/>
        <v>8</v>
      </c>
      <c r="E814" s="20" t="s">
        <v>114</v>
      </c>
      <c r="F814" s="20" t="s">
        <v>3040</v>
      </c>
      <c r="G814" s="20" t="s">
        <v>3041</v>
      </c>
      <c r="H814" s="20" t="s">
        <v>3042</v>
      </c>
      <c r="I814" s="20">
        <v>1</v>
      </c>
      <c r="J814" s="20" t="s">
        <v>3043</v>
      </c>
      <c r="K814" s="20" t="s">
        <v>3044</v>
      </c>
      <c r="L814" s="20" t="s">
        <v>3045</v>
      </c>
      <c r="M814" s="20" t="s">
        <v>3040</v>
      </c>
      <c r="N814" s="20" t="s">
        <v>3046</v>
      </c>
      <c r="P814" s="20" t="s">
        <v>3040</v>
      </c>
      <c r="Q814" s="20" t="s">
        <v>3047</v>
      </c>
      <c r="R814" s="20" t="s">
        <v>84</v>
      </c>
      <c r="S814" s="20" t="s">
        <v>123</v>
      </c>
      <c r="T814" s="20" t="s">
        <v>1401</v>
      </c>
      <c r="U814" s="20" t="s">
        <v>1402</v>
      </c>
      <c r="V814" s="20" t="s">
        <v>87</v>
      </c>
      <c r="W814" s="20">
        <v>909</v>
      </c>
      <c r="X814" s="20">
        <v>909</v>
      </c>
      <c r="Y814" s="20" t="s">
        <v>3048</v>
      </c>
      <c r="Z814" s="20">
        <v>0.5</v>
      </c>
      <c r="AA814" s="20" t="s">
        <v>3049</v>
      </c>
      <c r="AB814" s="20" t="s">
        <v>139</v>
      </c>
      <c r="AC814" s="20" t="s">
        <v>140</v>
      </c>
      <c r="AD814" s="20" t="s">
        <v>3050</v>
      </c>
      <c r="AE814" s="20" t="s">
        <v>400</v>
      </c>
      <c r="AF814" s="20">
        <v>0.5</v>
      </c>
      <c r="AG814" s="20">
        <v>0</v>
      </c>
      <c r="AH814" s="20">
        <v>1</v>
      </c>
      <c r="AI814" s="4" t="s">
        <v>97</v>
      </c>
      <c r="AJ814" s="20">
        <v>30</v>
      </c>
      <c r="AK814" s="4" t="s">
        <v>1047</v>
      </c>
      <c r="AL814" s="4">
        <v>10</v>
      </c>
      <c r="AM814" s="4">
        <v>10</v>
      </c>
      <c r="AN814" s="4" t="s">
        <v>95</v>
      </c>
      <c r="AO814" s="4" t="s">
        <v>96</v>
      </c>
      <c r="AP814" s="4">
        <v>1</v>
      </c>
      <c r="AQ814" s="20">
        <v>35000</v>
      </c>
      <c r="AR814" s="4">
        <v>41855</v>
      </c>
      <c r="AS814" s="20">
        <v>3535.3535353535353</v>
      </c>
      <c r="AT814" s="20">
        <v>4943.2000000000007</v>
      </c>
      <c r="AU814" s="20">
        <v>1407.8464646464654</v>
      </c>
      <c r="AV814" s="20">
        <v>411</v>
      </c>
      <c r="AW814" s="20">
        <v>770</v>
      </c>
      <c r="AX814" s="20">
        <v>20</v>
      </c>
      <c r="AY814" s="20">
        <v>1201</v>
      </c>
      <c r="AZ814" s="20">
        <v>3</v>
      </c>
      <c r="BA814" s="20">
        <v>0</v>
      </c>
      <c r="BB814" s="6">
        <v>41855</v>
      </c>
      <c r="BC814" s="6">
        <v>0</v>
      </c>
      <c r="BD814" s="6">
        <v>41862</v>
      </c>
      <c r="BE814" s="6">
        <v>0</v>
      </c>
      <c r="BF814" s="6">
        <v>41862</v>
      </c>
      <c r="BG814" s="6">
        <v>0</v>
      </c>
      <c r="BH814" s="6">
        <v>0</v>
      </c>
      <c r="BI814" s="6">
        <v>0</v>
      </c>
      <c r="BJ814" s="6">
        <v>0</v>
      </c>
      <c r="BK814" s="4">
        <v>0</v>
      </c>
      <c r="BL814" s="4">
        <v>0</v>
      </c>
      <c r="BM814" s="20">
        <v>30</v>
      </c>
      <c r="BN814" s="20">
        <v>0</v>
      </c>
      <c r="BO814" s="20">
        <v>0</v>
      </c>
      <c r="BP814" s="20">
        <v>0</v>
      </c>
      <c r="BQ814" s="20">
        <v>0</v>
      </c>
      <c r="BR814" s="20">
        <v>0</v>
      </c>
      <c r="BS814" s="20">
        <v>30</v>
      </c>
      <c r="BT814" s="20">
        <v>148296.00000000003</v>
      </c>
      <c r="BU814" s="20">
        <v>1050000</v>
      </c>
      <c r="BV814" s="20">
        <v>6.4367579337639205</v>
      </c>
    </row>
    <row r="815" spans="1:74">
      <c r="A815" s="10">
        <f t="shared" si="50"/>
        <v>0</v>
      </c>
      <c r="B815" s="10">
        <f t="shared" si="51"/>
        <v>0.5</v>
      </c>
      <c r="C815" s="12">
        <f t="shared" si="52"/>
        <v>8</v>
      </c>
      <c r="D815" s="12">
        <f t="shared" si="53"/>
        <v>8</v>
      </c>
      <c r="E815" s="20" t="s">
        <v>114</v>
      </c>
      <c r="F815" s="20" t="s">
        <v>3040</v>
      </c>
      <c r="G815" s="20" t="s">
        <v>3041</v>
      </c>
      <c r="H815" s="20" t="s">
        <v>3042</v>
      </c>
      <c r="I815" s="20">
        <v>1</v>
      </c>
      <c r="J815" s="20" t="s">
        <v>3043</v>
      </c>
      <c r="K815" s="20" t="s">
        <v>3051</v>
      </c>
      <c r="L815" s="20" t="s">
        <v>3045</v>
      </c>
      <c r="M815" s="20" t="s">
        <v>3040</v>
      </c>
      <c r="N815" s="20" t="s">
        <v>3046</v>
      </c>
      <c r="P815" s="20" t="s">
        <v>3040</v>
      </c>
      <c r="Q815" s="20" t="s">
        <v>3047</v>
      </c>
      <c r="R815" s="20" t="s">
        <v>84</v>
      </c>
      <c r="S815" s="20" t="s">
        <v>123</v>
      </c>
      <c r="T815" s="20" t="s">
        <v>1401</v>
      </c>
      <c r="U815" s="20" t="s">
        <v>1402</v>
      </c>
      <c r="V815" s="20" t="s">
        <v>87</v>
      </c>
      <c r="W815" s="20">
        <v>909</v>
      </c>
      <c r="X815" s="20">
        <v>909</v>
      </c>
      <c r="Y815" s="20" t="s">
        <v>3048</v>
      </c>
      <c r="Z815" s="20">
        <v>0.5</v>
      </c>
      <c r="AA815" s="20" t="s">
        <v>3052</v>
      </c>
      <c r="AB815" s="20" t="s">
        <v>139</v>
      </c>
      <c r="AC815" s="20" t="s">
        <v>140</v>
      </c>
      <c r="AD815" s="20" t="s">
        <v>3050</v>
      </c>
      <c r="AE815" s="20" t="s">
        <v>400</v>
      </c>
      <c r="AF815" s="20">
        <v>0.5</v>
      </c>
      <c r="AG815" s="20">
        <v>0</v>
      </c>
      <c r="AH815" s="20">
        <v>1</v>
      </c>
      <c r="AI815" s="4" t="s">
        <v>98</v>
      </c>
      <c r="AJ815" s="20">
        <v>20</v>
      </c>
      <c r="AK815" s="4" t="s">
        <v>1047</v>
      </c>
      <c r="AL815" s="4">
        <v>10</v>
      </c>
      <c r="AM815" s="4">
        <v>10</v>
      </c>
      <c r="AN815" s="4" t="s">
        <v>95</v>
      </c>
      <c r="AO815" s="4" t="s">
        <v>96</v>
      </c>
      <c r="AP815" s="4">
        <v>1</v>
      </c>
      <c r="AQ815" s="20">
        <v>35000</v>
      </c>
      <c r="AR815" s="4">
        <v>41855</v>
      </c>
      <c r="AS815" s="20">
        <v>3535.3535353535353</v>
      </c>
      <c r="AT815" s="20">
        <v>4943.2000000000007</v>
      </c>
      <c r="AU815" s="20">
        <v>1407.8464646464654</v>
      </c>
      <c r="AV815" s="20">
        <v>411</v>
      </c>
      <c r="AW815" s="20">
        <v>770</v>
      </c>
      <c r="AX815" s="20">
        <v>20</v>
      </c>
      <c r="AY815" s="20">
        <v>1201</v>
      </c>
      <c r="AZ815" s="20">
        <v>3</v>
      </c>
      <c r="BA815" s="20">
        <v>0</v>
      </c>
      <c r="BB815" s="6">
        <v>41855</v>
      </c>
      <c r="BC815" s="6">
        <v>0</v>
      </c>
      <c r="BD815" s="6">
        <v>41862</v>
      </c>
      <c r="BE815" s="6">
        <v>0</v>
      </c>
      <c r="BF815" s="6">
        <v>41862</v>
      </c>
      <c r="BG815" s="6">
        <v>0</v>
      </c>
      <c r="BH815" s="6">
        <v>0</v>
      </c>
      <c r="BI815" s="6">
        <v>0</v>
      </c>
      <c r="BJ815" s="6">
        <v>0</v>
      </c>
      <c r="BK815" s="4">
        <v>0</v>
      </c>
      <c r="BL815" s="4">
        <v>0</v>
      </c>
      <c r="BM815" s="20">
        <v>20</v>
      </c>
      <c r="BN815" s="20">
        <v>0</v>
      </c>
      <c r="BO815" s="20">
        <v>0</v>
      </c>
      <c r="BP815" s="20">
        <v>0</v>
      </c>
      <c r="BQ815" s="20">
        <v>0</v>
      </c>
      <c r="BR815" s="20">
        <v>0</v>
      </c>
      <c r="BS815" s="20">
        <v>20</v>
      </c>
      <c r="BT815" s="20">
        <v>98864.000000000015</v>
      </c>
      <c r="BU815" s="20">
        <v>700000</v>
      </c>
      <c r="BV815" s="20">
        <v>6.4367579337639205</v>
      </c>
    </row>
    <row r="816" spans="1:74">
      <c r="A816" s="10">
        <f t="shared" si="50"/>
        <v>0</v>
      </c>
      <c r="B816" s="10">
        <f t="shared" si="51"/>
        <v>0</v>
      </c>
      <c r="C816" s="12" t="str">
        <f t="shared" si="52"/>
        <v/>
      </c>
      <c r="D816" s="12" t="str">
        <f t="shared" si="53"/>
        <v/>
      </c>
      <c r="E816" s="20" t="s">
        <v>91</v>
      </c>
      <c r="F816" s="20" t="s">
        <v>91</v>
      </c>
      <c r="G816" s="20" t="s">
        <v>91</v>
      </c>
      <c r="H816" s="20" t="s">
        <v>91</v>
      </c>
      <c r="I816" s="20">
        <v>0</v>
      </c>
      <c r="J816" s="20" t="s">
        <v>103</v>
      </c>
      <c r="K816" s="20" t="s">
        <v>104</v>
      </c>
      <c r="L816" s="20">
        <v>0</v>
      </c>
      <c r="M816" s="20" t="s">
        <v>105</v>
      </c>
      <c r="N816" s="20" t="s">
        <v>91</v>
      </c>
      <c r="O816" s="20" t="s">
        <v>3053</v>
      </c>
      <c r="Q816" s="20" t="s">
        <v>91</v>
      </c>
      <c r="R816" s="20" t="s">
        <v>91</v>
      </c>
      <c r="S816" s="20" t="s">
        <v>91</v>
      </c>
      <c r="U816" s="20" t="s">
        <v>91</v>
      </c>
      <c r="V816" s="20" t="s">
        <v>87</v>
      </c>
      <c r="X816" s="20" t="s">
        <v>91</v>
      </c>
      <c r="Y816" s="20" t="s">
        <v>91</v>
      </c>
      <c r="Z816" s="20">
        <v>1</v>
      </c>
      <c r="AB816" s="20" t="s">
        <v>91</v>
      </c>
      <c r="AD816" s="20" t="s">
        <v>91</v>
      </c>
      <c r="AE816" s="20" t="s">
        <v>91</v>
      </c>
      <c r="AF816" s="20">
        <v>1</v>
      </c>
      <c r="AG816" s="20">
        <v>0</v>
      </c>
      <c r="AH816" s="20">
        <v>1</v>
      </c>
      <c r="AM816" s="4" t="s">
        <v>91</v>
      </c>
      <c r="AP816" s="4" t="s">
        <v>91</v>
      </c>
      <c r="AQ816" s="20">
        <v>0</v>
      </c>
      <c r="AR816" s="4">
        <v>0</v>
      </c>
      <c r="AS816" s="20">
        <v>0</v>
      </c>
      <c r="AT816" s="20">
        <v>0</v>
      </c>
      <c r="AU816" s="20">
        <v>0</v>
      </c>
      <c r="AV816" s="20">
        <v>0</v>
      </c>
      <c r="AW816" s="20">
        <v>0</v>
      </c>
      <c r="AX816" s="20" t="s">
        <v>91</v>
      </c>
      <c r="AY816" s="20">
        <v>0</v>
      </c>
      <c r="AZ816" s="20">
        <v>0</v>
      </c>
      <c r="BA816" s="20">
        <v>0</v>
      </c>
      <c r="BB816" s="6">
        <v>0</v>
      </c>
      <c r="BC816" s="6">
        <v>0</v>
      </c>
      <c r="BD816" s="6">
        <v>0</v>
      </c>
      <c r="BE816" s="6">
        <v>0</v>
      </c>
      <c r="BF816" s="6">
        <v>0</v>
      </c>
      <c r="BG816" s="6">
        <v>0</v>
      </c>
      <c r="BH816" s="6">
        <v>0</v>
      </c>
      <c r="BI816" s="6">
        <v>0</v>
      </c>
      <c r="BJ816" s="6">
        <v>0</v>
      </c>
      <c r="BK816" s="4">
        <v>0</v>
      </c>
      <c r="BL816" s="4">
        <v>0</v>
      </c>
      <c r="BM816" s="20">
        <v>50</v>
      </c>
      <c r="BN816" s="20">
        <v>0</v>
      </c>
      <c r="BO816" s="20">
        <v>0</v>
      </c>
      <c r="BP816" s="20">
        <v>0</v>
      </c>
      <c r="BQ816" s="20">
        <v>0</v>
      </c>
      <c r="BR816" s="20">
        <v>0</v>
      </c>
      <c r="BS816" s="20">
        <v>50</v>
      </c>
      <c r="BT816" s="20">
        <v>247160.00000000006</v>
      </c>
      <c r="BU816" s="20">
        <v>1750000</v>
      </c>
      <c r="BV816" s="20">
        <v>6.4367579337639205</v>
      </c>
    </row>
    <row r="817" spans="1:74">
      <c r="A817" s="10">
        <f t="shared" si="50"/>
        <v>0</v>
      </c>
      <c r="B817" s="10">
        <f t="shared" si="51"/>
        <v>0.5</v>
      </c>
      <c r="C817" s="12">
        <f t="shared" si="52"/>
        <v>8</v>
      </c>
      <c r="D817" s="12">
        <f t="shared" si="53"/>
        <v>8</v>
      </c>
      <c r="E817" s="20" t="s">
        <v>424</v>
      </c>
      <c r="F817" s="20" t="s">
        <v>2870</v>
      </c>
      <c r="G817" s="20" t="s">
        <v>3054</v>
      </c>
      <c r="H817" s="20" t="s">
        <v>3055</v>
      </c>
      <c r="I817" s="20">
        <v>1</v>
      </c>
      <c r="J817" s="20" t="s">
        <v>3056</v>
      </c>
      <c r="K817" s="20" t="s">
        <v>3057</v>
      </c>
      <c r="L817" s="20" t="s">
        <v>3058</v>
      </c>
      <c r="M817" s="20" t="s">
        <v>2870</v>
      </c>
      <c r="N817" s="20" t="s">
        <v>3059</v>
      </c>
      <c r="P817" s="20" t="s">
        <v>2870</v>
      </c>
      <c r="Q817" s="20" t="s">
        <v>2877</v>
      </c>
      <c r="R817" s="20" t="s">
        <v>84</v>
      </c>
      <c r="S817" s="20" t="s">
        <v>123</v>
      </c>
      <c r="T817" s="20" t="s">
        <v>172</v>
      </c>
      <c r="U817" s="20" t="s">
        <v>173</v>
      </c>
      <c r="V817" s="20" t="s">
        <v>87</v>
      </c>
      <c r="W817" s="20">
        <v>907</v>
      </c>
      <c r="X817" s="20">
        <v>907</v>
      </c>
      <c r="Y817" s="20" t="s">
        <v>3060</v>
      </c>
      <c r="Z817" s="20">
        <v>0.5</v>
      </c>
      <c r="AA817" s="20" t="s">
        <v>3061</v>
      </c>
      <c r="AB817" s="20" t="s">
        <v>718</v>
      </c>
      <c r="AC817" s="20" t="s">
        <v>719</v>
      </c>
      <c r="AD817" s="20" t="s">
        <v>3062</v>
      </c>
      <c r="AE817" s="20" t="s">
        <v>400</v>
      </c>
      <c r="AF817" s="20">
        <v>0.5</v>
      </c>
      <c r="AG817" s="20">
        <v>0</v>
      </c>
      <c r="AH817" s="20">
        <v>1</v>
      </c>
      <c r="AI817" s="4" t="s">
        <v>97</v>
      </c>
      <c r="AJ817" s="20">
        <v>30</v>
      </c>
      <c r="AK817" s="4" t="s">
        <v>179</v>
      </c>
      <c r="AL817" s="4">
        <v>26</v>
      </c>
      <c r="AM817" s="4">
        <v>26</v>
      </c>
      <c r="AN817" s="4" t="s">
        <v>95</v>
      </c>
      <c r="AO817" s="4" t="s">
        <v>96</v>
      </c>
      <c r="AP817" s="4">
        <v>1</v>
      </c>
      <c r="AQ817" s="20">
        <v>43000</v>
      </c>
      <c r="AR817" s="4">
        <v>41855</v>
      </c>
      <c r="AS817" s="20">
        <v>6515.151515151515</v>
      </c>
      <c r="AT817" s="20">
        <v>5263.35</v>
      </c>
      <c r="AU817" s="20">
        <v>-1251.8015151515146</v>
      </c>
      <c r="AV817" s="20">
        <v>863</v>
      </c>
      <c r="AW817" s="20">
        <v>950</v>
      </c>
      <c r="AX817" s="20">
        <v>20</v>
      </c>
      <c r="AY817" s="20">
        <v>1833</v>
      </c>
      <c r="AZ817" s="20">
        <v>2.75</v>
      </c>
      <c r="BA817" s="20">
        <v>0</v>
      </c>
      <c r="BB817" s="6">
        <v>41855</v>
      </c>
      <c r="BC817" s="6">
        <v>0</v>
      </c>
      <c r="BD817" s="6">
        <v>41862</v>
      </c>
      <c r="BE817" s="6">
        <v>0</v>
      </c>
      <c r="BF817" s="6">
        <v>41862</v>
      </c>
      <c r="BG817" s="6">
        <v>0</v>
      </c>
      <c r="BH817" s="6">
        <v>0</v>
      </c>
      <c r="BI817" s="6">
        <v>0</v>
      </c>
      <c r="BJ817" s="6">
        <v>0</v>
      </c>
      <c r="BK817" s="4">
        <v>0</v>
      </c>
      <c r="BL817" s="4">
        <v>0</v>
      </c>
      <c r="BM817" s="20">
        <v>30</v>
      </c>
      <c r="BN817" s="20">
        <v>0</v>
      </c>
      <c r="BO817" s="20">
        <v>0</v>
      </c>
      <c r="BP817" s="20">
        <v>0</v>
      </c>
      <c r="BQ817" s="20">
        <v>0</v>
      </c>
      <c r="BR817" s="20">
        <v>0</v>
      </c>
      <c r="BS817" s="20">
        <v>30</v>
      </c>
      <c r="BT817" s="20">
        <v>157900.5</v>
      </c>
      <c r="BU817" s="20">
        <v>1290000</v>
      </c>
      <c r="BV817" s="20">
        <v>7.4270016417128044</v>
      </c>
    </row>
    <row r="818" spans="1:74">
      <c r="A818" s="10">
        <f t="shared" si="50"/>
        <v>0</v>
      </c>
      <c r="B818" s="10">
        <f t="shared" si="51"/>
        <v>0.5</v>
      </c>
      <c r="C818" s="12">
        <f t="shared" si="52"/>
        <v>8</v>
      </c>
      <c r="D818" s="12">
        <f t="shared" si="53"/>
        <v>8</v>
      </c>
      <c r="E818" s="20" t="s">
        <v>424</v>
      </c>
      <c r="F818" s="20" t="s">
        <v>2870</v>
      </c>
      <c r="G818" s="20" t="s">
        <v>3054</v>
      </c>
      <c r="H818" s="20" t="s">
        <v>3055</v>
      </c>
      <c r="I818" s="20">
        <v>1</v>
      </c>
      <c r="J818" s="20" t="s">
        <v>3056</v>
      </c>
      <c r="K818" s="20" t="s">
        <v>3063</v>
      </c>
      <c r="L818" s="20" t="s">
        <v>3058</v>
      </c>
      <c r="M818" s="20" t="s">
        <v>2870</v>
      </c>
      <c r="N818" s="20" t="s">
        <v>3059</v>
      </c>
      <c r="P818" s="20" t="s">
        <v>2870</v>
      </c>
      <c r="Q818" s="20" t="s">
        <v>2877</v>
      </c>
      <c r="R818" s="20" t="s">
        <v>84</v>
      </c>
      <c r="S818" s="20" t="s">
        <v>123</v>
      </c>
      <c r="T818" s="20" t="s">
        <v>172</v>
      </c>
      <c r="U818" s="20" t="s">
        <v>173</v>
      </c>
      <c r="V818" s="20" t="s">
        <v>87</v>
      </c>
      <c r="W818" s="20">
        <v>907</v>
      </c>
      <c r="X818" s="20">
        <v>907</v>
      </c>
      <c r="Y818" s="20" t="s">
        <v>3060</v>
      </c>
      <c r="Z818" s="20">
        <v>0.5</v>
      </c>
      <c r="AA818" s="20" t="s">
        <v>3064</v>
      </c>
      <c r="AB818" s="20" t="s">
        <v>718</v>
      </c>
      <c r="AC818" s="20" t="s">
        <v>719</v>
      </c>
      <c r="AD818" s="20" t="s">
        <v>3062</v>
      </c>
      <c r="AE818" s="20" t="s">
        <v>400</v>
      </c>
      <c r="AF818" s="20">
        <v>0.5</v>
      </c>
      <c r="AG818" s="20">
        <v>0</v>
      </c>
      <c r="AH818" s="20">
        <v>1</v>
      </c>
      <c r="AI818" s="4" t="s">
        <v>98</v>
      </c>
      <c r="AJ818" s="20">
        <v>20</v>
      </c>
      <c r="AK818" s="4" t="s">
        <v>179</v>
      </c>
      <c r="AL818" s="4">
        <v>26</v>
      </c>
      <c r="AM818" s="4">
        <v>26</v>
      </c>
      <c r="AN818" s="4" t="s">
        <v>95</v>
      </c>
      <c r="AO818" s="4" t="s">
        <v>96</v>
      </c>
      <c r="AP818" s="4">
        <v>1</v>
      </c>
      <c r="AQ818" s="20">
        <v>43000</v>
      </c>
      <c r="AR818" s="4">
        <v>41855</v>
      </c>
      <c r="AS818" s="20">
        <v>6515.151515151515</v>
      </c>
      <c r="AT818" s="20">
        <v>5263.35</v>
      </c>
      <c r="AU818" s="20">
        <v>-1251.8015151515146</v>
      </c>
      <c r="AV818" s="20">
        <v>863</v>
      </c>
      <c r="AW818" s="20">
        <v>950</v>
      </c>
      <c r="AX818" s="20">
        <v>20</v>
      </c>
      <c r="AY818" s="20">
        <v>1833</v>
      </c>
      <c r="AZ818" s="20">
        <v>2.75</v>
      </c>
      <c r="BA818" s="20">
        <v>0</v>
      </c>
      <c r="BB818" s="6">
        <v>41855</v>
      </c>
      <c r="BC818" s="6">
        <v>0</v>
      </c>
      <c r="BD818" s="6">
        <v>41862</v>
      </c>
      <c r="BE818" s="6">
        <v>0</v>
      </c>
      <c r="BF818" s="6">
        <v>41862</v>
      </c>
      <c r="BG818" s="6">
        <v>0</v>
      </c>
      <c r="BH818" s="6">
        <v>0</v>
      </c>
      <c r="BI818" s="6">
        <v>0</v>
      </c>
      <c r="BJ818" s="6">
        <v>0</v>
      </c>
      <c r="BK818" s="4">
        <v>0</v>
      </c>
      <c r="BL818" s="4">
        <v>0</v>
      </c>
      <c r="BM818" s="20">
        <v>20</v>
      </c>
      <c r="BN818" s="20">
        <v>0</v>
      </c>
      <c r="BO818" s="20">
        <v>0</v>
      </c>
      <c r="BP818" s="20">
        <v>0</v>
      </c>
      <c r="BQ818" s="20">
        <v>0</v>
      </c>
      <c r="BR818" s="20">
        <v>0</v>
      </c>
      <c r="BS818" s="20">
        <v>20</v>
      </c>
      <c r="BT818" s="20">
        <v>105267</v>
      </c>
      <c r="BU818" s="20">
        <v>860000</v>
      </c>
      <c r="BV818" s="20">
        <v>7.4270016417128044</v>
      </c>
    </row>
    <row r="819" spans="1:74">
      <c r="A819" s="10">
        <f t="shared" si="50"/>
        <v>0</v>
      </c>
      <c r="B819" s="10">
        <f t="shared" si="51"/>
        <v>0.16666666666666666</v>
      </c>
      <c r="C819" s="12">
        <f t="shared" si="52"/>
        <v>8</v>
      </c>
      <c r="D819" s="12">
        <f t="shared" si="53"/>
        <v>8</v>
      </c>
      <c r="E819" s="20" t="s">
        <v>424</v>
      </c>
      <c r="F819" s="20" t="s">
        <v>2870</v>
      </c>
      <c r="G819" s="20" t="s">
        <v>3054</v>
      </c>
      <c r="H819" s="20" t="s">
        <v>3065</v>
      </c>
      <c r="I819" s="20">
        <v>2</v>
      </c>
      <c r="J819" s="20" t="s">
        <v>3066</v>
      </c>
      <c r="K819" s="20" t="s">
        <v>3067</v>
      </c>
      <c r="L819" s="20" t="s">
        <v>3068</v>
      </c>
      <c r="M819" s="20" t="s">
        <v>2870</v>
      </c>
      <c r="N819" s="20" t="s">
        <v>3059</v>
      </c>
      <c r="P819" s="20" t="s">
        <v>2870</v>
      </c>
      <c r="Q819" s="20" t="s">
        <v>2877</v>
      </c>
      <c r="R819" s="20" t="s">
        <v>84</v>
      </c>
      <c r="S819" s="20" t="s">
        <v>123</v>
      </c>
      <c r="T819" s="20" t="s">
        <v>172</v>
      </c>
      <c r="U819" s="20" t="s">
        <v>173</v>
      </c>
      <c r="V819" s="20" t="s">
        <v>87</v>
      </c>
      <c r="W819" s="20">
        <v>919</v>
      </c>
      <c r="X819" s="20">
        <v>919</v>
      </c>
      <c r="Y819" s="20" t="s">
        <v>3069</v>
      </c>
      <c r="Z819" s="20">
        <v>0.16666666666666666</v>
      </c>
      <c r="AA819" s="20" t="s">
        <v>3070</v>
      </c>
      <c r="AB819" s="20" t="s">
        <v>2707</v>
      </c>
      <c r="AC819" s="20" t="s">
        <v>2708</v>
      </c>
      <c r="AD819" s="20" t="s">
        <v>3071</v>
      </c>
      <c r="AE819" s="20" t="s">
        <v>400</v>
      </c>
      <c r="AF819" s="20">
        <v>0.5</v>
      </c>
      <c r="AG819" s="20">
        <v>0</v>
      </c>
      <c r="AH819" s="20">
        <v>1</v>
      </c>
      <c r="AI819" s="4" t="s">
        <v>97</v>
      </c>
      <c r="AJ819" s="20">
        <v>30</v>
      </c>
      <c r="AK819" s="4" t="s">
        <v>179</v>
      </c>
      <c r="AL819" s="4">
        <v>26</v>
      </c>
      <c r="AM819" s="4">
        <v>26</v>
      </c>
      <c r="AN819" s="4" t="s">
        <v>95</v>
      </c>
      <c r="AO819" s="4" t="s">
        <v>96</v>
      </c>
      <c r="AP819" s="4">
        <v>1</v>
      </c>
      <c r="AQ819" s="20">
        <v>39000</v>
      </c>
      <c r="AR819" s="4">
        <v>41855</v>
      </c>
      <c r="AS819" s="20">
        <v>5909.0909090909081</v>
      </c>
      <c r="AT819" s="20">
        <v>4151.3500000000004</v>
      </c>
      <c r="AU819" s="20">
        <v>-1757.7409090909077</v>
      </c>
      <c r="AV819" s="20">
        <v>701</v>
      </c>
      <c r="AW819" s="20">
        <v>0</v>
      </c>
      <c r="AX819" s="20">
        <v>20</v>
      </c>
      <c r="AY819" s="20">
        <v>721</v>
      </c>
      <c r="AZ819" s="20">
        <v>2.75</v>
      </c>
      <c r="BA819" s="20">
        <v>0</v>
      </c>
      <c r="BB819" s="6">
        <v>41855</v>
      </c>
      <c r="BC819" s="6">
        <v>0</v>
      </c>
      <c r="BD819" s="6">
        <v>41862</v>
      </c>
      <c r="BE819" s="6">
        <v>0</v>
      </c>
      <c r="BF819" s="6">
        <v>41862</v>
      </c>
      <c r="BG819" s="6">
        <v>0</v>
      </c>
      <c r="BH819" s="6">
        <v>0</v>
      </c>
      <c r="BI819" s="6">
        <v>0</v>
      </c>
      <c r="BJ819" s="6">
        <v>0</v>
      </c>
      <c r="BK819" s="4">
        <v>0</v>
      </c>
      <c r="BL819" s="4">
        <v>0</v>
      </c>
      <c r="BM819" s="20">
        <v>30</v>
      </c>
      <c r="BN819" s="20">
        <v>0</v>
      </c>
      <c r="BO819" s="20">
        <v>0</v>
      </c>
      <c r="BP819" s="20">
        <v>0</v>
      </c>
      <c r="BQ819" s="20">
        <v>0</v>
      </c>
      <c r="BR819" s="20">
        <v>0</v>
      </c>
      <c r="BS819" s="20">
        <v>30</v>
      </c>
      <c r="BT819" s="20">
        <v>124540.50000000001</v>
      </c>
      <c r="BU819" s="20">
        <v>1170000</v>
      </c>
      <c r="BV819" s="20">
        <v>8.5404857346514866</v>
      </c>
    </row>
    <row r="820" spans="1:74">
      <c r="A820" s="10">
        <f t="shared" si="50"/>
        <v>0</v>
      </c>
      <c r="B820" s="10">
        <f t="shared" si="51"/>
        <v>0.16666666666666666</v>
      </c>
      <c r="C820" s="12">
        <f t="shared" si="52"/>
        <v>8</v>
      </c>
      <c r="D820" s="12">
        <f t="shared" si="53"/>
        <v>8</v>
      </c>
      <c r="E820" s="20" t="s">
        <v>424</v>
      </c>
      <c r="F820" s="20" t="s">
        <v>2870</v>
      </c>
      <c r="G820" s="20" t="s">
        <v>3054</v>
      </c>
      <c r="H820" s="20" t="s">
        <v>3065</v>
      </c>
      <c r="I820" s="20">
        <v>2</v>
      </c>
      <c r="J820" s="20" t="s">
        <v>3066</v>
      </c>
      <c r="K820" s="20" t="s">
        <v>3072</v>
      </c>
      <c r="L820" s="20" t="s">
        <v>3068</v>
      </c>
      <c r="M820" s="20" t="s">
        <v>2870</v>
      </c>
      <c r="N820" s="20" t="s">
        <v>3059</v>
      </c>
      <c r="P820" s="20" t="s">
        <v>2870</v>
      </c>
      <c r="Q820" s="20" t="s">
        <v>2877</v>
      </c>
      <c r="R820" s="20" t="s">
        <v>84</v>
      </c>
      <c r="S820" s="20" t="s">
        <v>123</v>
      </c>
      <c r="T820" s="20" t="s">
        <v>172</v>
      </c>
      <c r="U820" s="20" t="s">
        <v>173</v>
      </c>
      <c r="V820" s="20" t="s">
        <v>87</v>
      </c>
      <c r="W820" s="20">
        <v>919</v>
      </c>
      <c r="X820" s="20">
        <v>919</v>
      </c>
      <c r="Y820" s="20" t="s">
        <v>3069</v>
      </c>
      <c r="Z820" s="20">
        <v>0.16666666666666666</v>
      </c>
      <c r="AA820" s="20" t="s">
        <v>3073</v>
      </c>
      <c r="AB820" s="20" t="s">
        <v>2707</v>
      </c>
      <c r="AC820" s="20" t="s">
        <v>2708</v>
      </c>
      <c r="AD820" s="20" t="s">
        <v>3071</v>
      </c>
      <c r="AE820" s="20" t="s">
        <v>400</v>
      </c>
      <c r="AF820" s="20">
        <v>0.5</v>
      </c>
      <c r="AG820" s="20">
        <v>0</v>
      </c>
      <c r="AH820" s="20">
        <v>1</v>
      </c>
      <c r="AI820" s="4" t="s">
        <v>98</v>
      </c>
      <c r="AJ820" s="20">
        <v>20</v>
      </c>
      <c r="AK820" s="4" t="s">
        <v>179</v>
      </c>
      <c r="AL820" s="4">
        <v>26</v>
      </c>
      <c r="AM820" s="4">
        <v>26</v>
      </c>
      <c r="AN820" s="4" t="s">
        <v>95</v>
      </c>
      <c r="AO820" s="4" t="s">
        <v>96</v>
      </c>
      <c r="AP820" s="4">
        <v>1</v>
      </c>
      <c r="AQ820" s="20">
        <v>39000</v>
      </c>
      <c r="AR820" s="4">
        <v>41855</v>
      </c>
      <c r="AS820" s="20">
        <v>5909.0909090909081</v>
      </c>
      <c r="AT820" s="20">
        <v>4151.3500000000004</v>
      </c>
      <c r="AU820" s="20">
        <v>-1757.7409090909077</v>
      </c>
      <c r="AV820" s="20">
        <v>701</v>
      </c>
      <c r="AW820" s="20">
        <v>0</v>
      </c>
      <c r="AX820" s="20">
        <v>20</v>
      </c>
      <c r="AY820" s="20">
        <v>721</v>
      </c>
      <c r="AZ820" s="20">
        <v>2.75</v>
      </c>
      <c r="BA820" s="20">
        <v>0</v>
      </c>
      <c r="BB820" s="6">
        <v>41855</v>
      </c>
      <c r="BC820" s="6">
        <v>0</v>
      </c>
      <c r="BD820" s="6">
        <v>41862</v>
      </c>
      <c r="BE820" s="6">
        <v>0</v>
      </c>
      <c r="BF820" s="6">
        <v>41862</v>
      </c>
      <c r="BG820" s="6">
        <v>0</v>
      </c>
      <c r="BH820" s="6">
        <v>0</v>
      </c>
      <c r="BI820" s="6">
        <v>0</v>
      </c>
      <c r="BJ820" s="6">
        <v>0</v>
      </c>
      <c r="BK820" s="4">
        <v>0</v>
      </c>
      <c r="BL820" s="4">
        <v>0</v>
      </c>
      <c r="BM820" s="20">
        <v>20</v>
      </c>
      <c r="BN820" s="20">
        <v>0</v>
      </c>
      <c r="BO820" s="20">
        <v>0</v>
      </c>
      <c r="BP820" s="20">
        <v>0</v>
      </c>
      <c r="BQ820" s="20">
        <v>0</v>
      </c>
      <c r="BR820" s="20">
        <v>0</v>
      </c>
      <c r="BS820" s="20">
        <v>20</v>
      </c>
      <c r="BT820" s="20">
        <v>83027</v>
      </c>
      <c r="BU820" s="20">
        <v>780000</v>
      </c>
      <c r="BV820" s="20">
        <v>8.5404857346514866</v>
      </c>
    </row>
    <row r="821" spans="1:74">
      <c r="A821" s="10">
        <f t="shared" si="50"/>
        <v>0</v>
      </c>
      <c r="B821" s="10">
        <f t="shared" si="51"/>
        <v>0.16666666666666666</v>
      </c>
      <c r="C821" s="12">
        <f t="shared" si="52"/>
        <v>8</v>
      </c>
      <c r="D821" s="12">
        <f t="shared" si="53"/>
        <v>8</v>
      </c>
      <c r="E821" s="20" t="s">
        <v>424</v>
      </c>
      <c r="F821" s="20" t="s">
        <v>2870</v>
      </c>
      <c r="G821" s="20" t="s">
        <v>3054</v>
      </c>
      <c r="H821" s="20" t="s">
        <v>3074</v>
      </c>
      <c r="I821" s="20">
        <v>3</v>
      </c>
      <c r="J821" s="20" t="s">
        <v>3075</v>
      </c>
      <c r="K821" s="20" t="s">
        <v>3076</v>
      </c>
      <c r="L821" s="20" t="s">
        <v>3068</v>
      </c>
      <c r="M821" s="20" t="s">
        <v>2870</v>
      </c>
      <c r="N821" s="20" t="s">
        <v>3059</v>
      </c>
      <c r="P821" s="20" t="s">
        <v>2870</v>
      </c>
      <c r="Q821" s="20" t="s">
        <v>2877</v>
      </c>
      <c r="R821" s="20" t="s">
        <v>84</v>
      </c>
      <c r="S821" s="20" t="s">
        <v>123</v>
      </c>
      <c r="T821" s="20" t="s">
        <v>172</v>
      </c>
      <c r="U821" s="20" t="s">
        <v>173</v>
      </c>
      <c r="V821" s="20" t="s">
        <v>87</v>
      </c>
      <c r="W821" s="20">
        <v>919</v>
      </c>
      <c r="X821" s="20">
        <v>919</v>
      </c>
      <c r="Y821" s="20" t="s">
        <v>3069</v>
      </c>
      <c r="Z821" s="20">
        <v>0.16666666666666666</v>
      </c>
      <c r="AA821" s="20" t="s">
        <v>3077</v>
      </c>
      <c r="AB821" s="20" t="s">
        <v>718</v>
      </c>
      <c r="AC821" s="20" t="s">
        <v>719</v>
      </c>
      <c r="AD821" s="20" t="s">
        <v>3078</v>
      </c>
      <c r="AE821" s="20" t="s">
        <v>400</v>
      </c>
      <c r="AF821" s="20">
        <v>0.5</v>
      </c>
      <c r="AG821" s="20">
        <v>0</v>
      </c>
      <c r="AH821" s="20">
        <v>1</v>
      </c>
      <c r="AI821" s="4" t="s">
        <v>97</v>
      </c>
      <c r="AJ821" s="20">
        <v>20</v>
      </c>
      <c r="AK821" s="4" t="s">
        <v>179</v>
      </c>
      <c r="AL821" s="4">
        <v>26</v>
      </c>
      <c r="AM821" s="4">
        <v>26</v>
      </c>
      <c r="AN821" s="4" t="s">
        <v>95</v>
      </c>
      <c r="AO821" s="4" t="s">
        <v>96</v>
      </c>
      <c r="AP821" s="4">
        <v>1</v>
      </c>
      <c r="AQ821" s="20">
        <v>39000</v>
      </c>
      <c r="AR821" s="4">
        <v>41855</v>
      </c>
      <c r="AS821" s="20">
        <v>5909.0909090909081</v>
      </c>
      <c r="AT821" s="20">
        <v>4151.3500000000004</v>
      </c>
      <c r="AU821" s="20">
        <v>-1757.7409090909077</v>
      </c>
      <c r="AV821" s="20">
        <v>701</v>
      </c>
      <c r="AW821" s="20">
        <v>0</v>
      </c>
      <c r="AX821" s="20">
        <v>20</v>
      </c>
      <c r="AY821" s="20">
        <v>721</v>
      </c>
      <c r="AZ821" s="20">
        <v>2.75</v>
      </c>
      <c r="BA821" s="20">
        <v>0</v>
      </c>
      <c r="BB821" s="6">
        <v>41855</v>
      </c>
      <c r="BC821" s="6">
        <v>0</v>
      </c>
      <c r="BD821" s="6">
        <v>41862</v>
      </c>
      <c r="BE821" s="6">
        <v>0</v>
      </c>
      <c r="BF821" s="6">
        <v>41862</v>
      </c>
      <c r="BG821" s="6">
        <v>0</v>
      </c>
      <c r="BH821" s="6">
        <v>0</v>
      </c>
      <c r="BI821" s="6">
        <v>0</v>
      </c>
      <c r="BJ821" s="6">
        <v>0</v>
      </c>
      <c r="BK821" s="4">
        <v>0</v>
      </c>
      <c r="BL821" s="4">
        <v>0</v>
      </c>
      <c r="BM821" s="20">
        <v>20</v>
      </c>
      <c r="BN821" s="20">
        <v>0</v>
      </c>
      <c r="BO821" s="20">
        <v>0</v>
      </c>
      <c r="BP821" s="20">
        <v>0</v>
      </c>
      <c r="BQ821" s="20">
        <v>0</v>
      </c>
      <c r="BR821" s="20">
        <v>0</v>
      </c>
      <c r="BS821" s="20">
        <v>20</v>
      </c>
      <c r="BT821" s="20">
        <v>83027</v>
      </c>
      <c r="BU821" s="20">
        <v>780000</v>
      </c>
      <c r="BV821" s="20">
        <v>8.5404857346514866</v>
      </c>
    </row>
    <row r="822" spans="1:74">
      <c r="A822" s="10">
        <f t="shared" si="50"/>
        <v>0</v>
      </c>
      <c r="B822" s="10">
        <f t="shared" si="51"/>
        <v>0.16666666666666666</v>
      </c>
      <c r="C822" s="12">
        <f t="shared" si="52"/>
        <v>8</v>
      </c>
      <c r="D822" s="12">
        <f t="shared" si="53"/>
        <v>8</v>
      </c>
      <c r="E822" s="20" t="s">
        <v>424</v>
      </c>
      <c r="F822" s="20" t="s">
        <v>2870</v>
      </c>
      <c r="G822" s="20" t="s">
        <v>3054</v>
      </c>
      <c r="H822" s="20" t="s">
        <v>3074</v>
      </c>
      <c r="I822" s="20">
        <v>3</v>
      </c>
      <c r="J822" s="20" t="s">
        <v>3075</v>
      </c>
      <c r="K822" s="20" t="s">
        <v>3079</v>
      </c>
      <c r="L822" s="20" t="s">
        <v>3068</v>
      </c>
      <c r="M822" s="20" t="s">
        <v>2870</v>
      </c>
      <c r="N822" s="20" t="s">
        <v>3059</v>
      </c>
      <c r="P822" s="20" t="s">
        <v>2870</v>
      </c>
      <c r="Q822" s="20" t="s">
        <v>2877</v>
      </c>
      <c r="R822" s="20" t="s">
        <v>84</v>
      </c>
      <c r="S822" s="20" t="s">
        <v>123</v>
      </c>
      <c r="T822" s="20" t="s">
        <v>172</v>
      </c>
      <c r="U822" s="20" t="s">
        <v>173</v>
      </c>
      <c r="V822" s="20" t="s">
        <v>87</v>
      </c>
      <c r="W822" s="20">
        <v>919</v>
      </c>
      <c r="X822" s="20">
        <v>919</v>
      </c>
      <c r="Y822" s="20" t="s">
        <v>3069</v>
      </c>
      <c r="Z822" s="20">
        <v>0.16666666666666666</v>
      </c>
      <c r="AA822" s="20" t="s">
        <v>3080</v>
      </c>
      <c r="AB822" s="20" t="s">
        <v>718</v>
      </c>
      <c r="AC822" s="20" t="s">
        <v>719</v>
      </c>
      <c r="AD822" s="20" t="s">
        <v>3078</v>
      </c>
      <c r="AE822" s="20" t="s">
        <v>400</v>
      </c>
      <c r="AF822" s="20">
        <v>0.5</v>
      </c>
      <c r="AG822" s="20">
        <v>0</v>
      </c>
      <c r="AH822" s="20">
        <v>1</v>
      </c>
      <c r="AI822" s="4" t="s">
        <v>98</v>
      </c>
      <c r="AJ822" s="20">
        <v>10</v>
      </c>
      <c r="AK822" s="4" t="s">
        <v>179</v>
      </c>
      <c r="AL822" s="4">
        <v>26</v>
      </c>
      <c r="AM822" s="4">
        <v>26</v>
      </c>
      <c r="AN822" s="4" t="s">
        <v>95</v>
      </c>
      <c r="AO822" s="4" t="s">
        <v>96</v>
      </c>
      <c r="AP822" s="4">
        <v>1</v>
      </c>
      <c r="AQ822" s="20">
        <v>39000</v>
      </c>
      <c r="AR822" s="4">
        <v>41855</v>
      </c>
      <c r="AS822" s="20">
        <v>5909.0909090909081</v>
      </c>
      <c r="AT822" s="20">
        <v>4151.3500000000004</v>
      </c>
      <c r="AU822" s="20">
        <v>-1757.7409090909077</v>
      </c>
      <c r="AV822" s="20">
        <v>701</v>
      </c>
      <c r="AW822" s="20">
        <v>0</v>
      </c>
      <c r="AX822" s="20">
        <v>20</v>
      </c>
      <c r="AY822" s="20">
        <v>721</v>
      </c>
      <c r="AZ822" s="20">
        <v>2.75</v>
      </c>
      <c r="BA822" s="20">
        <v>0</v>
      </c>
      <c r="BB822" s="6">
        <v>41855</v>
      </c>
      <c r="BC822" s="6">
        <v>0</v>
      </c>
      <c r="BD822" s="6">
        <v>41862</v>
      </c>
      <c r="BE822" s="6">
        <v>0</v>
      </c>
      <c r="BF822" s="6">
        <v>41862</v>
      </c>
      <c r="BG822" s="6">
        <v>0</v>
      </c>
      <c r="BH822" s="6">
        <v>0</v>
      </c>
      <c r="BI822" s="6">
        <v>0</v>
      </c>
      <c r="BJ822" s="6">
        <v>0</v>
      </c>
      <c r="BK822" s="4">
        <v>0</v>
      </c>
      <c r="BL822" s="4">
        <v>0</v>
      </c>
      <c r="BM822" s="20">
        <v>10</v>
      </c>
      <c r="BN822" s="20">
        <v>0</v>
      </c>
      <c r="BO822" s="20">
        <v>0</v>
      </c>
      <c r="BP822" s="20">
        <v>0</v>
      </c>
      <c r="BQ822" s="20">
        <v>0</v>
      </c>
      <c r="BR822" s="20">
        <v>0</v>
      </c>
      <c r="BS822" s="20">
        <v>10</v>
      </c>
      <c r="BT822" s="20">
        <v>41513.5</v>
      </c>
      <c r="BU822" s="20">
        <v>390000</v>
      </c>
      <c r="BV822" s="20">
        <v>8.5404857346514866</v>
      </c>
    </row>
    <row r="823" spans="1:74">
      <c r="A823" s="10">
        <f t="shared" si="50"/>
        <v>0</v>
      </c>
      <c r="B823" s="10">
        <f t="shared" si="51"/>
        <v>0.16666666666666666</v>
      </c>
      <c r="C823" s="12">
        <f t="shared" si="52"/>
        <v>8</v>
      </c>
      <c r="D823" s="12">
        <f t="shared" si="53"/>
        <v>8</v>
      </c>
      <c r="E823" s="20" t="s">
        <v>424</v>
      </c>
      <c r="F823" s="20" t="s">
        <v>2870</v>
      </c>
      <c r="G823" s="20" t="s">
        <v>3054</v>
      </c>
      <c r="H823" s="20" t="s">
        <v>3081</v>
      </c>
      <c r="I823" s="20">
        <v>4</v>
      </c>
      <c r="J823" s="20" t="s">
        <v>3082</v>
      </c>
      <c r="K823" s="20" t="s">
        <v>3083</v>
      </c>
      <c r="L823" s="20" t="s">
        <v>3068</v>
      </c>
      <c r="M823" s="20" t="s">
        <v>2870</v>
      </c>
      <c r="N823" s="20" t="s">
        <v>3059</v>
      </c>
      <c r="P823" s="20" t="s">
        <v>2870</v>
      </c>
      <c r="Q823" s="20" t="s">
        <v>2877</v>
      </c>
      <c r="R823" s="20" t="s">
        <v>84</v>
      </c>
      <c r="S823" s="20" t="s">
        <v>123</v>
      </c>
      <c r="T823" s="20" t="s">
        <v>172</v>
      </c>
      <c r="U823" s="20" t="s">
        <v>173</v>
      </c>
      <c r="V823" s="20" t="s">
        <v>87</v>
      </c>
      <c r="W823" s="20">
        <v>919</v>
      </c>
      <c r="X823" s="20">
        <v>919</v>
      </c>
      <c r="Y823" s="20" t="s">
        <v>3069</v>
      </c>
      <c r="Z823" s="20">
        <v>0.16666666666666666</v>
      </c>
      <c r="AA823" s="20" t="s">
        <v>3084</v>
      </c>
      <c r="AB823" s="20" t="s">
        <v>101</v>
      </c>
      <c r="AC823" s="20" t="s">
        <v>102</v>
      </c>
      <c r="AD823" s="20" t="s">
        <v>3085</v>
      </c>
      <c r="AE823" s="20" t="s">
        <v>400</v>
      </c>
      <c r="AF823" s="20">
        <v>0.5</v>
      </c>
      <c r="AG823" s="20">
        <v>0</v>
      </c>
      <c r="AH823" s="20">
        <v>1</v>
      </c>
      <c r="AI823" s="4" t="s">
        <v>97</v>
      </c>
      <c r="AJ823" s="20">
        <v>20</v>
      </c>
      <c r="AK823" s="4" t="s">
        <v>179</v>
      </c>
      <c r="AL823" s="4">
        <v>26</v>
      </c>
      <c r="AM823" s="4">
        <v>26</v>
      </c>
      <c r="AN823" s="4" t="s">
        <v>95</v>
      </c>
      <c r="AO823" s="4" t="s">
        <v>96</v>
      </c>
      <c r="AP823" s="4">
        <v>1</v>
      </c>
      <c r="AQ823" s="20">
        <v>39000</v>
      </c>
      <c r="AR823" s="4">
        <v>41855</v>
      </c>
      <c r="AS823" s="20">
        <v>5909.0909090909081</v>
      </c>
      <c r="AT823" s="20">
        <v>4151.3500000000004</v>
      </c>
      <c r="AU823" s="20">
        <v>-1757.7409090909077</v>
      </c>
      <c r="AV823" s="20">
        <v>701</v>
      </c>
      <c r="AW823" s="20">
        <v>0</v>
      </c>
      <c r="AX823" s="20">
        <v>20</v>
      </c>
      <c r="AY823" s="20">
        <v>721</v>
      </c>
      <c r="AZ823" s="20">
        <v>2.75</v>
      </c>
      <c r="BA823" s="20">
        <v>0</v>
      </c>
      <c r="BB823" s="6">
        <v>41855</v>
      </c>
      <c r="BC823" s="6">
        <v>0</v>
      </c>
      <c r="BD823" s="6">
        <v>41862</v>
      </c>
      <c r="BE823" s="6">
        <v>0</v>
      </c>
      <c r="BF823" s="6">
        <v>41862</v>
      </c>
      <c r="BG823" s="6">
        <v>0</v>
      </c>
      <c r="BH823" s="6">
        <v>0</v>
      </c>
      <c r="BI823" s="6">
        <v>0</v>
      </c>
      <c r="BJ823" s="6">
        <v>0</v>
      </c>
      <c r="BK823" s="4">
        <v>0</v>
      </c>
      <c r="BL823" s="4">
        <v>0</v>
      </c>
      <c r="BM823" s="20">
        <v>20</v>
      </c>
      <c r="BN823" s="20">
        <v>0</v>
      </c>
      <c r="BO823" s="20">
        <v>0</v>
      </c>
      <c r="BP823" s="20">
        <v>0</v>
      </c>
      <c r="BQ823" s="20">
        <v>0</v>
      </c>
      <c r="BR823" s="20">
        <v>0</v>
      </c>
      <c r="BS823" s="20">
        <v>20</v>
      </c>
      <c r="BT823" s="20">
        <v>83027</v>
      </c>
      <c r="BU823" s="20">
        <v>780000</v>
      </c>
      <c r="BV823" s="20">
        <v>8.5404857346514866</v>
      </c>
    </row>
    <row r="824" spans="1:74">
      <c r="A824" s="10">
        <f t="shared" si="50"/>
        <v>0</v>
      </c>
      <c r="B824" s="10">
        <f t="shared" si="51"/>
        <v>0.16666666666666666</v>
      </c>
      <c r="C824" s="12">
        <f t="shared" si="52"/>
        <v>8</v>
      </c>
      <c r="D824" s="12">
        <f t="shared" si="53"/>
        <v>8</v>
      </c>
      <c r="E824" s="20" t="s">
        <v>424</v>
      </c>
      <c r="F824" s="20" t="s">
        <v>2870</v>
      </c>
      <c r="G824" s="20" t="s">
        <v>3054</v>
      </c>
      <c r="H824" s="20" t="s">
        <v>3081</v>
      </c>
      <c r="I824" s="20">
        <v>4</v>
      </c>
      <c r="J824" s="20" t="s">
        <v>3082</v>
      </c>
      <c r="K824" s="20" t="s">
        <v>3086</v>
      </c>
      <c r="L824" s="20" t="s">
        <v>3068</v>
      </c>
      <c r="M824" s="20" t="s">
        <v>2870</v>
      </c>
      <c r="N824" s="20" t="s">
        <v>3059</v>
      </c>
      <c r="P824" s="20" t="s">
        <v>2870</v>
      </c>
      <c r="Q824" s="20" t="s">
        <v>2877</v>
      </c>
      <c r="R824" s="20" t="s">
        <v>84</v>
      </c>
      <c r="S824" s="20" t="s">
        <v>123</v>
      </c>
      <c r="T824" s="20" t="s">
        <v>172</v>
      </c>
      <c r="U824" s="20" t="s">
        <v>173</v>
      </c>
      <c r="V824" s="20" t="s">
        <v>87</v>
      </c>
      <c r="W824" s="20">
        <v>919</v>
      </c>
      <c r="X824" s="20">
        <v>919</v>
      </c>
      <c r="Y824" s="20" t="s">
        <v>3069</v>
      </c>
      <c r="Z824" s="20">
        <v>0.16666666666666666</v>
      </c>
      <c r="AA824" s="20" t="s">
        <v>3087</v>
      </c>
      <c r="AB824" s="20" t="s">
        <v>101</v>
      </c>
      <c r="AC824" s="20" t="s">
        <v>102</v>
      </c>
      <c r="AD824" s="20" t="s">
        <v>3085</v>
      </c>
      <c r="AE824" s="20" t="s">
        <v>400</v>
      </c>
      <c r="AF824" s="20">
        <v>0.5</v>
      </c>
      <c r="AG824" s="20">
        <v>0</v>
      </c>
      <c r="AH824" s="20">
        <v>1</v>
      </c>
      <c r="AI824" s="4" t="s">
        <v>98</v>
      </c>
      <c r="AJ824" s="20">
        <v>10</v>
      </c>
      <c r="AK824" s="4" t="s">
        <v>179</v>
      </c>
      <c r="AL824" s="4">
        <v>26</v>
      </c>
      <c r="AM824" s="4">
        <v>26</v>
      </c>
      <c r="AN824" s="4" t="s">
        <v>95</v>
      </c>
      <c r="AO824" s="4" t="s">
        <v>96</v>
      </c>
      <c r="AP824" s="4">
        <v>1</v>
      </c>
      <c r="AQ824" s="20">
        <v>39000</v>
      </c>
      <c r="AR824" s="4">
        <v>41855</v>
      </c>
      <c r="AS824" s="20">
        <v>5909.0909090909081</v>
      </c>
      <c r="AT824" s="20">
        <v>4151.3500000000004</v>
      </c>
      <c r="AU824" s="20">
        <v>-1757.7409090909077</v>
      </c>
      <c r="AV824" s="20">
        <v>701</v>
      </c>
      <c r="AW824" s="20">
        <v>0</v>
      </c>
      <c r="AX824" s="20">
        <v>20</v>
      </c>
      <c r="AY824" s="20">
        <v>721</v>
      </c>
      <c r="AZ824" s="20">
        <v>2.75</v>
      </c>
      <c r="BA824" s="20">
        <v>0</v>
      </c>
      <c r="BB824" s="6">
        <v>41855</v>
      </c>
      <c r="BC824" s="6">
        <v>0</v>
      </c>
      <c r="BD824" s="6">
        <v>41862</v>
      </c>
      <c r="BE824" s="6">
        <v>0</v>
      </c>
      <c r="BF824" s="6">
        <v>41862</v>
      </c>
      <c r="BG824" s="6">
        <v>0</v>
      </c>
      <c r="BH824" s="6">
        <v>0</v>
      </c>
      <c r="BI824" s="6">
        <v>0</v>
      </c>
      <c r="BJ824" s="6">
        <v>0</v>
      </c>
      <c r="BK824" s="4">
        <v>0</v>
      </c>
      <c r="BL824" s="4">
        <v>0</v>
      </c>
      <c r="BM824" s="20">
        <v>10</v>
      </c>
      <c r="BN824" s="20">
        <v>0</v>
      </c>
      <c r="BO824" s="20">
        <v>0</v>
      </c>
      <c r="BP824" s="20">
        <v>0</v>
      </c>
      <c r="BQ824" s="20">
        <v>0</v>
      </c>
      <c r="BR824" s="20">
        <v>0</v>
      </c>
      <c r="BS824" s="20">
        <v>10</v>
      </c>
      <c r="BT824" s="20">
        <v>41513.5</v>
      </c>
      <c r="BU824" s="20">
        <v>390000</v>
      </c>
      <c r="BV824" s="20">
        <v>8.5404857346514866</v>
      </c>
    </row>
    <row r="825" spans="1:74">
      <c r="A825" s="10">
        <f t="shared" si="50"/>
        <v>0</v>
      </c>
      <c r="B825" s="10">
        <f t="shared" si="51"/>
        <v>0</v>
      </c>
      <c r="C825" s="12" t="str">
        <f t="shared" si="52"/>
        <v/>
      </c>
      <c r="D825" s="12" t="str">
        <f t="shared" si="53"/>
        <v/>
      </c>
      <c r="E825" s="20" t="s">
        <v>91</v>
      </c>
      <c r="F825" s="20" t="s">
        <v>91</v>
      </c>
      <c r="G825" s="20" t="s">
        <v>91</v>
      </c>
      <c r="H825" s="20" t="s">
        <v>91</v>
      </c>
      <c r="I825" s="20">
        <v>0</v>
      </c>
      <c r="J825" s="20" t="s">
        <v>103</v>
      </c>
      <c r="K825" s="20" t="s">
        <v>104</v>
      </c>
      <c r="L825" s="20">
        <v>0</v>
      </c>
      <c r="M825" s="20" t="s">
        <v>105</v>
      </c>
      <c r="N825" s="20" t="s">
        <v>91</v>
      </c>
      <c r="O825" s="20" t="s">
        <v>3088</v>
      </c>
      <c r="Q825" s="20" t="s">
        <v>91</v>
      </c>
      <c r="R825" s="20" t="s">
        <v>91</v>
      </c>
      <c r="S825" s="20" t="s">
        <v>91</v>
      </c>
      <c r="U825" s="20" t="s">
        <v>91</v>
      </c>
      <c r="V825" s="20" t="s">
        <v>87</v>
      </c>
      <c r="X825" s="20" t="s">
        <v>91</v>
      </c>
      <c r="Y825" s="20" t="s">
        <v>91</v>
      </c>
      <c r="Z825" s="20">
        <v>2.0000000000000004</v>
      </c>
      <c r="AB825" s="20" t="s">
        <v>91</v>
      </c>
      <c r="AD825" s="20" t="s">
        <v>91</v>
      </c>
      <c r="AE825" s="20" t="s">
        <v>91</v>
      </c>
      <c r="AF825" s="20">
        <v>4</v>
      </c>
      <c r="AG825" s="20">
        <v>0</v>
      </c>
      <c r="AH825" s="20">
        <v>1</v>
      </c>
      <c r="AM825" s="4" t="s">
        <v>91</v>
      </c>
      <c r="AP825" s="4" t="s">
        <v>91</v>
      </c>
      <c r="AQ825" s="20">
        <v>0</v>
      </c>
      <c r="AR825" s="4">
        <v>0</v>
      </c>
      <c r="AS825" s="20">
        <v>0</v>
      </c>
      <c r="AT825" s="20">
        <v>0</v>
      </c>
      <c r="AU825" s="20">
        <v>0</v>
      </c>
      <c r="AV825" s="20">
        <v>0</v>
      </c>
      <c r="AW825" s="20">
        <v>0</v>
      </c>
      <c r="AX825" s="20" t="s">
        <v>91</v>
      </c>
      <c r="AY825" s="20">
        <v>0</v>
      </c>
      <c r="AZ825" s="20">
        <v>0</v>
      </c>
      <c r="BA825" s="20">
        <v>0</v>
      </c>
      <c r="BB825" s="6">
        <v>0</v>
      </c>
      <c r="BC825" s="6">
        <v>0</v>
      </c>
      <c r="BD825" s="6">
        <v>0</v>
      </c>
      <c r="BE825" s="6">
        <v>0</v>
      </c>
      <c r="BF825" s="6">
        <v>0</v>
      </c>
      <c r="BG825" s="6">
        <v>0</v>
      </c>
      <c r="BH825" s="6">
        <v>0</v>
      </c>
      <c r="BI825" s="6">
        <v>0</v>
      </c>
      <c r="BJ825" s="6">
        <v>0</v>
      </c>
      <c r="BK825" s="4">
        <v>0</v>
      </c>
      <c r="BL825" s="4">
        <v>0</v>
      </c>
      <c r="BM825" s="20">
        <v>160</v>
      </c>
      <c r="BN825" s="20">
        <v>0</v>
      </c>
      <c r="BO825" s="20">
        <v>0</v>
      </c>
      <c r="BP825" s="20">
        <v>0</v>
      </c>
      <c r="BQ825" s="20">
        <v>0</v>
      </c>
      <c r="BR825" s="20">
        <v>0</v>
      </c>
      <c r="BS825" s="20">
        <v>160</v>
      </c>
      <c r="BT825" s="20">
        <v>719816</v>
      </c>
      <c r="BU825" s="20">
        <v>6440000</v>
      </c>
      <c r="BV825" s="20">
        <v>8.1333916647385642</v>
      </c>
    </row>
    <row r="826" spans="1:74">
      <c r="A826" s="10">
        <f t="shared" si="50"/>
        <v>0</v>
      </c>
      <c r="B826" s="10">
        <f t="shared" si="51"/>
        <v>0</v>
      </c>
      <c r="C826" s="12">
        <f t="shared" si="52"/>
        <v>8</v>
      </c>
      <c r="D826" s="12">
        <f t="shared" si="53"/>
        <v>8</v>
      </c>
      <c r="E826" s="20" t="s">
        <v>574</v>
      </c>
      <c r="F826" s="20" t="s">
        <v>3089</v>
      </c>
      <c r="G826" s="20" t="s">
        <v>3090</v>
      </c>
      <c r="H826" s="20" t="s">
        <v>3091</v>
      </c>
      <c r="I826" s="20">
        <v>1</v>
      </c>
      <c r="J826" s="20" t="s">
        <v>3092</v>
      </c>
      <c r="K826" s="20" t="s">
        <v>3093</v>
      </c>
      <c r="L826" s="20" t="s">
        <v>3094</v>
      </c>
      <c r="M826" s="20" t="s">
        <v>2667</v>
      </c>
      <c r="N826" s="20" t="s">
        <v>3095</v>
      </c>
      <c r="P826" s="20" t="s">
        <v>2667</v>
      </c>
      <c r="Q826" s="20" t="s">
        <v>2674</v>
      </c>
      <c r="R826" s="20" t="s">
        <v>84</v>
      </c>
      <c r="S826" s="20">
        <v>4</v>
      </c>
      <c r="T826" s="20" t="s">
        <v>860</v>
      </c>
      <c r="U826" s="20" t="s">
        <v>861</v>
      </c>
      <c r="V826" s="20" t="s">
        <v>87</v>
      </c>
      <c r="W826" s="20">
        <v>704</v>
      </c>
      <c r="X826" s="20">
        <v>704</v>
      </c>
      <c r="Y826" s="20" t="s">
        <v>3096</v>
      </c>
      <c r="Z826" s="20">
        <v>0.125</v>
      </c>
      <c r="AA826" s="20" t="s">
        <v>3097</v>
      </c>
      <c r="AB826" s="20" t="s">
        <v>109</v>
      </c>
      <c r="AC826" s="20" t="s">
        <v>110</v>
      </c>
      <c r="AD826" s="20" t="s">
        <v>3098</v>
      </c>
      <c r="AE826" s="20" t="s">
        <v>400</v>
      </c>
      <c r="AF826" s="20">
        <v>0.25</v>
      </c>
      <c r="AG826" s="20">
        <v>0</v>
      </c>
      <c r="AH826" s="20">
        <v>1</v>
      </c>
      <c r="AI826" s="4" t="s">
        <v>645</v>
      </c>
      <c r="AJ826" s="20">
        <v>100</v>
      </c>
      <c r="AK826" s="4" t="s">
        <v>679</v>
      </c>
      <c r="AL826" s="4">
        <v>5</v>
      </c>
      <c r="AM826" s="4" t="s">
        <v>485</v>
      </c>
      <c r="AN826" s="4" t="s">
        <v>95</v>
      </c>
      <c r="AO826" s="4" t="s">
        <v>680</v>
      </c>
      <c r="AP826" s="4">
        <v>1</v>
      </c>
      <c r="AQ826" s="20">
        <v>119000</v>
      </c>
      <c r="AR826" s="4">
        <v>41855</v>
      </c>
      <c r="AS826" s="20">
        <v>24040.404040404039</v>
      </c>
      <c r="AT826" s="20">
        <v>21302</v>
      </c>
      <c r="AU826" s="20">
        <v>-2738.4040404040388</v>
      </c>
      <c r="AW826" s="20">
        <v>50</v>
      </c>
      <c r="AY826" s="20">
        <v>50</v>
      </c>
      <c r="AZ826" s="20">
        <v>18.399999999999999</v>
      </c>
      <c r="BB826" s="6">
        <v>41855</v>
      </c>
      <c r="BC826" s="6">
        <v>0</v>
      </c>
      <c r="BD826" s="6">
        <v>41862</v>
      </c>
      <c r="BE826" s="6">
        <v>0</v>
      </c>
      <c r="BF826" s="6">
        <v>41862</v>
      </c>
      <c r="BG826" s="6">
        <v>41961</v>
      </c>
      <c r="BH826" s="6">
        <v>0</v>
      </c>
      <c r="BI826" s="6">
        <v>0</v>
      </c>
      <c r="BJ826" s="6">
        <v>0</v>
      </c>
      <c r="BK826" s="4">
        <v>0</v>
      </c>
      <c r="BL826" s="4">
        <v>0</v>
      </c>
      <c r="BM826" s="20">
        <v>100</v>
      </c>
      <c r="BN826" s="20">
        <v>3</v>
      </c>
      <c r="BO826" s="20">
        <v>0</v>
      </c>
      <c r="BP826" s="20">
        <v>0</v>
      </c>
      <c r="BQ826" s="20">
        <v>0</v>
      </c>
      <c r="BR826" s="20">
        <v>0</v>
      </c>
      <c r="BS826" s="20">
        <v>100</v>
      </c>
      <c r="BT826" s="20">
        <v>2130200</v>
      </c>
      <c r="BU826" s="20">
        <v>11900000</v>
      </c>
      <c r="BV826" s="20">
        <v>5.0784817473391319</v>
      </c>
    </row>
    <row r="827" spans="1:74">
      <c r="A827" s="10">
        <f t="shared" si="50"/>
        <v>0</v>
      </c>
      <c r="B827" s="10">
        <f t="shared" si="51"/>
        <v>0</v>
      </c>
      <c r="C827" s="12">
        <f t="shared" si="52"/>
        <v>8</v>
      </c>
      <c r="D827" s="12">
        <f t="shared" si="53"/>
        <v>8</v>
      </c>
      <c r="E827" s="20" t="s">
        <v>574</v>
      </c>
      <c r="F827" s="20" t="s">
        <v>3089</v>
      </c>
      <c r="G827" s="20" t="s">
        <v>3090</v>
      </c>
      <c r="H827" s="20" t="s">
        <v>3091</v>
      </c>
      <c r="I827" s="20">
        <v>1</v>
      </c>
      <c r="J827" s="20" t="s">
        <v>3092</v>
      </c>
      <c r="K827" s="20" t="s">
        <v>3099</v>
      </c>
      <c r="L827" s="20" t="s">
        <v>3094</v>
      </c>
      <c r="M827" s="20" t="s">
        <v>2667</v>
      </c>
      <c r="N827" s="20" t="s">
        <v>3095</v>
      </c>
      <c r="P827" s="20" t="s">
        <v>2667</v>
      </c>
      <c r="Q827" s="20" t="s">
        <v>2674</v>
      </c>
      <c r="R827" s="20" t="s">
        <v>84</v>
      </c>
      <c r="S827" s="20">
        <v>4</v>
      </c>
      <c r="T827" s="20" t="s">
        <v>860</v>
      </c>
      <c r="U827" s="20" t="s">
        <v>861</v>
      </c>
      <c r="V827" s="20" t="s">
        <v>87</v>
      </c>
      <c r="W827" s="20">
        <v>704</v>
      </c>
      <c r="X827" s="20">
        <v>704</v>
      </c>
      <c r="Y827" s="20" t="s">
        <v>3096</v>
      </c>
      <c r="Z827" s="20">
        <v>0.125</v>
      </c>
      <c r="AA827" s="20" t="s">
        <v>3100</v>
      </c>
      <c r="AB827" s="20" t="s">
        <v>109</v>
      </c>
      <c r="AC827" s="20" t="s">
        <v>110</v>
      </c>
      <c r="AD827" s="20" t="s">
        <v>3098</v>
      </c>
      <c r="AE827" s="20" t="s">
        <v>400</v>
      </c>
      <c r="AF827" s="20">
        <v>0.25</v>
      </c>
      <c r="AG827" s="20">
        <v>0</v>
      </c>
      <c r="AH827" s="20">
        <v>1</v>
      </c>
      <c r="AI827" s="4" t="s">
        <v>647</v>
      </c>
      <c r="AJ827" s="20">
        <v>100</v>
      </c>
      <c r="AK827" s="4" t="s">
        <v>679</v>
      </c>
      <c r="AL827" s="4">
        <v>5</v>
      </c>
      <c r="AM827" s="4" t="s">
        <v>485</v>
      </c>
      <c r="AN827" s="4" t="s">
        <v>95</v>
      </c>
      <c r="AO827" s="4" t="s">
        <v>680</v>
      </c>
      <c r="AP827" s="4">
        <v>1</v>
      </c>
      <c r="AQ827" s="20">
        <v>119000</v>
      </c>
      <c r="AR827" s="4">
        <v>41855</v>
      </c>
      <c r="AS827" s="20">
        <v>24040.404040404039</v>
      </c>
      <c r="AT827" s="20">
        <v>21302</v>
      </c>
      <c r="AU827" s="20">
        <v>-2738.4040404040388</v>
      </c>
      <c r="AW827" s="20">
        <v>50</v>
      </c>
      <c r="AY827" s="20">
        <v>50</v>
      </c>
      <c r="AZ827" s="20">
        <v>18.399999999999999</v>
      </c>
      <c r="BB827" s="6">
        <v>41855</v>
      </c>
      <c r="BC827" s="6">
        <v>0</v>
      </c>
      <c r="BD827" s="6">
        <v>41862</v>
      </c>
      <c r="BE827" s="6">
        <v>0</v>
      </c>
      <c r="BF827" s="6">
        <v>41862</v>
      </c>
      <c r="BG827" s="6">
        <v>41961</v>
      </c>
      <c r="BH827" s="6">
        <v>0</v>
      </c>
      <c r="BI827" s="6">
        <v>0</v>
      </c>
      <c r="BJ827" s="6">
        <v>0</v>
      </c>
      <c r="BK827" s="4">
        <v>0</v>
      </c>
      <c r="BL827" s="4">
        <v>0</v>
      </c>
      <c r="BM827" s="20">
        <v>100</v>
      </c>
      <c r="BN827" s="20">
        <v>0</v>
      </c>
      <c r="BO827" s="20">
        <v>0</v>
      </c>
      <c r="BP827" s="20">
        <v>0</v>
      </c>
      <c r="BQ827" s="20">
        <v>0</v>
      </c>
      <c r="BR827" s="20">
        <v>0</v>
      </c>
      <c r="BS827" s="20">
        <v>100</v>
      </c>
      <c r="BT827" s="20">
        <v>2130200</v>
      </c>
      <c r="BU827" s="20">
        <v>11900000</v>
      </c>
      <c r="BV827" s="20">
        <v>5.0784817473391319</v>
      </c>
    </row>
    <row r="828" spans="1:74">
      <c r="A828" s="10">
        <f t="shared" si="50"/>
        <v>0</v>
      </c>
      <c r="B828" s="10">
        <f t="shared" si="51"/>
        <v>0</v>
      </c>
      <c r="C828" s="12">
        <f t="shared" si="52"/>
        <v>8</v>
      </c>
      <c r="D828" s="12">
        <f t="shared" si="53"/>
        <v>8</v>
      </c>
      <c r="E828" s="20" t="s">
        <v>574</v>
      </c>
      <c r="F828" s="20" t="s">
        <v>3089</v>
      </c>
      <c r="G828" s="20" t="s">
        <v>3090</v>
      </c>
      <c r="H828" s="20" t="s">
        <v>3091</v>
      </c>
      <c r="I828" s="20">
        <v>1</v>
      </c>
      <c r="J828" s="20" t="s">
        <v>3092</v>
      </c>
      <c r="K828" s="20" t="s">
        <v>3101</v>
      </c>
      <c r="L828" s="20" t="s">
        <v>3094</v>
      </c>
      <c r="M828" s="20" t="s">
        <v>2667</v>
      </c>
      <c r="N828" s="20" t="s">
        <v>3095</v>
      </c>
      <c r="P828" s="20" t="s">
        <v>2667</v>
      </c>
      <c r="Q828" s="20" t="s">
        <v>2674</v>
      </c>
      <c r="R828" s="20" t="s">
        <v>84</v>
      </c>
      <c r="S828" s="20">
        <v>4</v>
      </c>
      <c r="T828" s="20" t="s">
        <v>860</v>
      </c>
      <c r="U828" s="20" t="s">
        <v>861</v>
      </c>
      <c r="V828" s="20" t="s">
        <v>87</v>
      </c>
      <c r="W828" s="20">
        <v>704</v>
      </c>
      <c r="X828" s="20">
        <v>704</v>
      </c>
      <c r="Y828" s="20" t="s">
        <v>3096</v>
      </c>
      <c r="Z828" s="20">
        <v>0.125</v>
      </c>
      <c r="AA828" s="20" t="s">
        <v>3102</v>
      </c>
      <c r="AB828" s="20" t="s">
        <v>109</v>
      </c>
      <c r="AC828" s="20" t="s">
        <v>110</v>
      </c>
      <c r="AD828" s="20" t="s">
        <v>3098</v>
      </c>
      <c r="AE828" s="20" t="s">
        <v>400</v>
      </c>
      <c r="AF828" s="20">
        <v>0.25</v>
      </c>
      <c r="AG828" s="20">
        <v>0</v>
      </c>
      <c r="AH828" s="20">
        <v>1</v>
      </c>
      <c r="AI828" s="4" t="s">
        <v>649</v>
      </c>
      <c r="AJ828" s="20">
        <v>100</v>
      </c>
      <c r="AK828" s="4" t="s">
        <v>679</v>
      </c>
      <c r="AL828" s="4">
        <v>5</v>
      </c>
      <c r="AM828" s="4" t="s">
        <v>485</v>
      </c>
      <c r="AN828" s="4" t="s">
        <v>95</v>
      </c>
      <c r="AO828" s="4" t="s">
        <v>680</v>
      </c>
      <c r="AP828" s="4">
        <v>1</v>
      </c>
      <c r="AQ828" s="20">
        <v>119000</v>
      </c>
      <c r="AR828" s="4">
        <v>41855</v>
      </c>
      <c r="AS828" s="20">
        <v>24040.404040404039</v>
      </c>
      <c r="AT828" s="20">
        <v>21302</v>
      </c>
      <c r="AU828" s="20">
        <v>-2738.4040404040388</v>
      </c>
      <c r="AW828" s="20">
        <v>50</v>
      </c>
      <c r="AY828" s="20">
        <v>50</v>
      </c>
      <c r="AZ828" s="20">
        <v>18.399999999999999</v>
      </c>
      <c r="BB828" s="6">
        <v>41855</v>
      </c>
      <c r="BC828" s="6">
        <v>0</v>
      </c>
      <c r="BD828" s="6">
        <v>41862</v>
      </c>
      <c r="BE828" s="6">
        <v>0</v>
      </c>
      <c r="BF828" s="6">
        <v>41862</v>
      </c>
      <c r="BG828" s="6">
        <v>41961</v>
      </c>
      <c r="BH828" s="6">
        <v>0</v>
      </c>
      <c r="BI828" s="6">
        <v>0</v>
      </c>
      <c r="BJ828" s="6">
        <v>0</v>
      </c>
      <c r="BK828" s="4">
        <v>0</v>
      </c>
      <c r="BL828" s="4">
        <v>0</v>
      </c>
      <c r="BM828" s="20">
        <v>100</v>
      </c>
      <c r="BN828" s="20">
        <v>0</v>
      </c>
      <c r="BO828" s="20">
        <v>0</v>
      </c>
      <c r="BP828" s="20">
        <v>0</v>
      </c>
      <c r="BQ828" s="20">
        <v>0</v>
      </c>
      <c r="BR828" s="20">
        <v>0</v>
      </c>
      <c r="BS828" s="20">
        <v>100</v>
      </c>
      <c r="BT828" s="20">
        <v>2130200</v>
      </c>
      <c r="BU828" s="20">
        <v>11900000</v>
      </c>
      <c r="BV828" s="20">
        <v>5.0784817473391319</v>
      </c>
    </row>
    <row r="829" spans="1:74">
      <c r="A829" s="10">
        <f t="shared" si="50"/>
        <v>0</v>
      </c>
      <c r="B829" s="10">
        <f t="shared" si="51"/>
        <v>0</v>
      </c>
      <c r="C829" s="12">
        <f t="shared" si="52"/>
        <v>8</v>
      </c>
      <c r="D829" s="12">
        <f t="shared" si="53"/>
        <v>8</v>
      </c>
      <c r="E829" s="20" t="s">
        <v>574</v>
      </c>
      <c r="F829" s="20" t="s">
        <v>3089</v>
      </c>
      <c r="G829" s="20" t="s">
        <v>3090</v>
      </c>
      <c r="H829" s="20" t="s">
        <v>3091</v>
      </c>
      <c r="I829" s="20">
        <v>1</v>
      </c>
      <c r="J829" s="20" t="s">
        <v>3092</v>
      </c>
      <c r="K829" s="20" t="s">
        <v>3103</v>
      </c>
      <c r="L829" s="20" t="s">
        <v>3094</v>
      </c>
      <c r="M829" s="20" t="s">
        <v>2667</v>
      </c>
      <c r="N829" s="20" t="s">
        <v>3095</v>
      </c>
      <c r="P829" s="20" t="s">
        <v>2667</v>
      </c>
      <c r="Q829" s="20" t="s">
        <v>2674</v>
      </c>
      <c r="R829" s="20" t="s">
        <v>84</v>
      </c>
      <c r="S829" s="20">
        <v>4</v>
      </c>
      <c r="T829" s="20" t="s">
        <v>860</v>
      </c>
      <c r="U829" s="20" t="s">
        <v>861</v>
      </c>
      <c r="V829" s="20" t="s">
        <v>87</v>
      </c>
      <c r="W829" s="20">
        <v>704</v>
      </c>
      <c r="X829" s="20">
        <v>704</v>
      </c>
      <c r="Y829" s="20" t="s">
        <v>3096</v>
      </c>
      <c r="Z829" s="20">
        <v>0.125</v>
      </c>
      <c r="AA829" s="20" t="s">
        <v>3104</v>
      </c>
      <c r="AB829" s="20" t="s">
        <v>109</v>
      </c>
      <c r="AC829" s="20" t="s">
        <v>110</v>
      </c>
      <c r="AD829" s="20" t="s">
        <v>3098</v>
      </c>
      <c r="AE829" s="20" t="s">
        <v>400</v>
      </c>
      <c r="AF829" s="20">
        <v>0.25</v>
      </c>
      <c r="AG829" s="20">
        <v>0</v>
      </c>
      <c r="AH829" s="20">
        <v>1</v>
      </c>
      <c r="AI829" s="4" t="s">
        <v>651</v>
      </c>
      <c r="AJ829" s="20">
        <v>50</v>
      </c>
      <c r="AK829" s="4" t="s">
        <v>679</v>
      </c>
      <c r="AL829" s="4">
        <v>5</v>
      </c>
      <c r="AM829" s="4" t="s">
        <v>485</v>
      </c>
      <c r="AN829" s="4" t="s">
        <v>95</v>
      </c>
      <c r="AO829" s="4" t="s">
        <v>680</v>
      </c>
      <c r="AP829" s="4">
        <v>1</v>
      </c>
      <c r="AQ829" s="20">
        <v>119000</v>
      </c>
      <c r="AR829" s="4">
        <v>41855</v>
      </c>
      <c r="AS829" s="20">
        <v>24040.404040404039</v>
      </c>
      <c r="AT829" s="20">
        <v>21302</v>
      </c>
      <c r="AU829" s="20">
        <v>-2738.4040404040388</v>
      </c>
      <c r="AW829" s="20">
        <v>50</v>
      </c>
      <c r="AY829" s="20">
        <v>50</v>
      </c>
      <c r="AZ829" s="20">
        <v>18.399999999999999</v>
      </c>
      <c r="BB829" s="6">
        <v>41855</v>
      </c>
      <c r="BC829" s="6">
        <v>0</v>
      </c>
      <c r="BD829" s="6">
        <v>41862</v>
      </c>
      <c r="BE829" s="6">
        <v>0</v>
      </c>
      <c r="BF829" s="6">
        <v>41862</v>
      </c>
      <c r="BG829" s="6">
        <v>41961</v>
      </c>
      <c r="BH829" s="6">
        <v>0</v>
      </c>
      <c r="BI829" s="6">
        <v>0</v>
      </c>
      <c r="BJ829" s="6">
        <v>0</v>
      </c>
      <c r="BK829" s="4">
        <v>0</v>
      </c>
      <c r="BL829" s="4">
        <v>0</v>
      </c>
      <c r="BM829" s="20">
        <v>50</v>
      </c>
      <c r="BN829" s="20">
        <v>0</v>
      </c>
      <c r="BO829" s="20">
        <v>0</v>
      </c>
      <c r="BP829" s="20">
        <v>0</v>
      </c>
      <c r="BQ829" s="20">
        <v>0</v>
      </c>
      <c r="BR829" s="20">
        <v>0</v>
      </c>
      <c r="BS829" s="20">
        <v>50</v>
      </c>
      <c r="BT829" s="20">
        <v>1065100</v>
      </c>
      <c r="BU829" s="20">
        <v>5950000</v>
      </c>
      <c r="BV829" s="20">
        <v>5.0784817473391319</v>
      </c>
    </row>
    <row r="830" spans="1:74">
      <c r="A830" s="10">
        <f t="shared" si="50"/>
        <v>0</v>
      </c>
      <c r="B830" s="10">
        <f t="shared" si="51"/>
        <v>0</v>
      </c>
      <c r="C830" s="12">
        <f t="shared" si="52"/>
        <v>8</v>
      </c>
      <c r="D830" s="12">
        <f t="shared" si="53"/>
        <v>8</v>
      </c>
      <c r="E830" s="20" t="s">
        <v>574</v>
      </c>
      <c r="F830" s="20" t="s">
        <v>3089</v>
      </c>
      <c r="G830" s="20" t="s">
        <v>3090</v>
      </c>
      <c r="H830" s="20" t="s">
        <v>3105</v>
      </c>
      <c r="I830" s="20">
        <v>2</v>
      </c>
      <c r="J830" s="20" t="s">
        <v>3106</v>
      </c>
      <c r="K830" s="20" t="s">
        <v>3107</v>
      </c>
      <c r="L830" s="20" t="s">
        <v>3094</v>
      </c>
      <c r="M830" s="20" t="s">
        <v>2667</v>
      </c>
      <c r="N830" s="20" t="s">
        <v>3095</v>
      </c>
      <c r="P830" s="20" t="s">
        <v>2667</v>
      </c>
      <c r="Q830" s="20" t="s">
        <v>2674</v>
      </c>
      <c r="R830" s="20" t="s">
        <v>84</v>
      </c>
      <c r="S830" s="20">
        <v>4</v>
      </c>
      <c r="T830" s="20" t="s">
        <v>860</v>
      </c>
      <c r="U830" s="20" t="s">
        <v>861</v>
      </c>
      <c r="V830" s="20" t="s">
        <v>87</v>
      </c>
      <c r="W830" s="20">
        <v>704</v>
      </c>
      <c r="X830" s="20">
        <v>704</v>
      </c>
      <c r="Y830" s="20" t="s">
        <v>3096</v>
      </c>
      <c r="Z830" s="20">
        <v>0.125</v>
      </c>
      <c r="AA830" s="20" t="s">
        <v>3108</v>
      </c>
      <c r="AB830" s="20" t="s">
        <v>718</v>
      </c>
      <c r="AC830" s="20" t="s">
        <v>719</v>
      </c>
      <c r="AD830" s="20" t="s">
        <v>3109</v>
      </c>
      <c r="AE830" s="20" t="s">
        <v>400</v>
      </c>
      <c r="AF830" s="20">
        <v>0.25</v>
      </c>
      <c r="AG830" s="20">
        <v>0</v>
      </c>
      <c r="AH830" s="20">
        <v>1</v>
      </c>
      <c r="AI830" s="4" t="s">
        <v>645</v>
      </c>
      <c r="AJ830" s="20">
        <v>50</v>
      </c>
      <c r="AK830" s="4" t="s">
        <v>679</v>
      </c>
      <c r="AL830" s="4">
        <v>5</v>
      </c>
      <c r="AM830" s="4" t="s">
        <v>485</v>
      </c>
      <c r="AN830" s="4" t="s">
        <v>95</v>
      </c>
      <c r="AO830" s="4" t="s">
        <v>680</v>
      </c>
      <c r="AP830" s="4">
        <v>1</v>
      </c>
      <c r="AQ830" s="20">
        <v>119000</v>
      </c>
      <c r="AR830" s="4">
        <v>41855</v>
      </c>
      <c r="AS830" s="20">
        <v>24040.404040404039</v>
      </c>
      <c r="AT830" s="20">
        <v>21302</v>
      </c>
      <c r="AU830" s="20">
        <v>-2738.4040404040388</v>
      </c>
      <c r="AW830" s="20">
        <v>50</v>
      </c>
      <c r="AY830" s="20">
        <v>50</v>
      </c>
      <c r="AZ830" s="20">
        <v>18.399999999999999</v>
      </c>
      <c r="BB830" s="6">
        <v>41855</v>
      </c>
      <c r="BC830" s="6">
        <v>0</v>
      </c>
      <c r="BD830" s="6">
        <v>41862</v>
      </c>
      <c r="BE830" s="6">
        <v>0</v>
      </c>
      <c r="BF830" s="6">
        <v>41862</v>
      </c>
      <c r="BG830" s="6">
        <v>0</v>
      </c>
      <c r="BH830" s="6">
        <v>0</v>
      </c>
      <c r="BI830" s="6">
        <v>0</v>
      </c>
      <c r="BJ830" s="6">
        <v>0</v>
      </c>
      <c r="BK830" s="4">
        <v>0</v>
      </c>
      <c r="BL830" s="4">
        <v>0</v>
      </c>
      <c r="BM830" s="20">
        <v>50</v>
      </c>
      <c r="BN830" s="20">
        <v>0</v>
      </c>
      <c r="BO830" s="20">
        <v>0</v>
      </c>
      <c r="BP830" s="20">
        <v>0</v>
      </c>
      <c r="BQ830" s="20">
        <v>0</v>
      </c>
      <c r="BR830" s="20">
        <v>0</v>
      </c>
      <c r="BS830" s="20">
        <v>50</v>
      </c>
      <c r="BT830" s="20">
        <v>1065100</v>
      </c>
      <c r="BU830" s="20">
        <v>5950000</v>
      </c>
      <c r="BV830" s="20">
        <v>5.0784817473391319</v>
      </c>
    </row>
    <row r="831" spans="1:74">
      <c r="A831" s="10">
        <f t="shared" si="50"/>
        <v>0</v>
      </c>
      <c r="B831" s="10">
        <f t="shared" si="51"/>
        <v>0</v>
      </c>
      <c r="C831" s="12">
        <f t="shared" si="52"/>
        <v>8</v>
      </c>
      <c r="D831" s="12">
        <f t="shared" si="53"/>
        <v>8</v>
      </c>
      <c r="E831" s="20" t="s">
        <v>574</v>
      </c>
      <c r="F831" s="20" t="s">
        <v>3089</v>
      </c>
      <c r="G831" s="20" t="s">
        <v>3090</v>
      </c>
      <c r="H831" s="20" t="s">
        <v>3105</v>
      </c>
      <c r="I831" s="20">
        <v>2</v>
      </c>
      <c r="J831" s="20" t="s">
        <v>3106</v>
      </c>
      <c r="K831" s="20" t="s">
        <v>3110</v>
      </c>
      <c r="L831" s="20" t="s">
        <v>3094</v>
      </c>
      <c r="M831" s="20" t="s">
        <v>2667</v>
      </c>
      <c r="N831" s="20" t="s">
        <v>3095</v>
      </c>
      <c r="P831" s="20" t="s">
        <v>2667</v>
      </c>
      <c r="Q831" s="20" t="s">
        <v>2674</v>
      </c>
      <c r="R831" s="20" t="s">
        <v>84</v>
      </c>
      <c r="S831" s="20">
        <v>4</v>
      </c>
      <c r="T831" s="20" t="s">
        <v>860</v>
      </c>
      <c r="U831" s="20" t="s">
        <v>861</v>
      </c>
      <c r="V831" s="20" t="s">
        <v>87</v>
      </c>
      <c r="W831" s="20">
        <v>704</v>
      </c>
      <c r="X831" s="20">
        <v>704</v>
      </c>
      <c r="Y831" s="20" t="s">
        <v>3096</v>
      </c>
      <c r="Z831" s="20">
        <v>0.125</v>
      </c>
      <c r="AA831" s="20" t="s">
        <v>3111</v>
      </c>
      <c r="AB831" s="20" t="s">
        <v>718</v>
      </c>
      <c r="AC831" s="20" t="s">
        <v>719</v>
      </c>
      <c r="AD831" s="20" t="s">
        <v>3109</v>
      </c>
      <c r="AE831" s="20" t="s">
        <v>400</v>
      </c>
      <c r="AF831" s="20">
        <v>0.25</v>
      </c>
      <c r="AG831" s="20">
        <v>0</v>
      </c>
      <c r="AH831" s="20">
        <v>1</v>
      </c>
      <c r="AI831" s="4" t="s">
        <v>647</v>
      </c>
      <c r="AJ831" s="20">
        <v>50</v>
      </c>
      <c r="AK831" s="4" t="s">
        <v>679</v>
      </c>
      <c r="AL831" s="4">
        <v>5</v>
      </c>
      <c r="AM831" s="4" t="s">
        <v>485</v>
      </c>
      <c r="AN831" s="4" t="s">
        <v>95</v>
      </c>
      <c r="AO831" s="4" t="s">
        <v>680</v>
      </c>
      <c r="AP831" s="4">
        <v>1</v>
      </c>
      <c r="AQ831" s="20">
        <v>119000</v>
      </c>
      <c r="AR831" s="4">
        <v>41855</v>
      </c>
      <c r="AS831" s="20">
        <v>24040.404040404039</v>
      </c>
      <c r="AT831" s="20">
        <v>21302</v>
      </c>
      <c r="AU831" s="20">
        <v>-2738.4040404040388</v>
      </c>
      <c r="AW831" s="20">
        <v>50</v>
      </c>
      <c r="AY831" s="20">
        <v>50</v>
      </c>
      <c r="AZ831" s="20">
        <v>18.399999999999999</v>
      </c>
      <c r="BB831" s="6">
        <v>41855</v>
      </c>
      <c r="BC831" s="6">
        <v>0</v>
      </c>
      <c r="BD831" s="6">
        <v>41862</v>
      </c>
      <c r="BE831" s="6">
        <v>0</v>
      </c>
      <c r="BF831" s="6">
        <v>41862</v>
      </c>
      <c r="BG831" s="6">
        <v>0</v>
      </c>
      <c r="BH831" s="6">
        <v>0</v>
      </c>
      <c r="BI831" s="6">
        <v>0</v>
      </c>
      <c r="BJ831" s="6">
        <v>0</v>
      </c>
      <c r="BK831" s="4">
        <v>0</v>
      </c>
      <c r="BL831" s="4">
        <v>0</v>
      </c>
      <c r="BM831" s="20">
        <v>50</v>
      </c>
      <c r="BN831" s="20">
        <v>0</v>
      </c>
      <c r="BO831" s="20">
        <v>0</v>
      </c>
      <c r="BP831" s="20">
        <v>0</v>
      </c>
      <c r="BQ831" s="20">
        <v>0</v>
      </c>
      <c r="BR831" s="20">
        <v>0</v>
      </c>
      <c r="BS831" s="20">
        <v>50</v>
      </c>
      <c r="BT831" s="20">
        <v>1065100</v>
      </c>
      <c r="BU831" s="20">
        <v>5950000</v>
      </c>
      <c r="BV831" s="20">
        <v>5.0784817473391319</v>
      </c>
    </row>
    <row r="832" spans="1:74">
      <c r="A832" s="10">
        <f t="shared" si="50"/>
        <v>0</v>
      </c>
      <c r="B832" s="10">
        <f t="shared" si="51"/>
        <v>0</v>
      </c>
      <c r="C832" s="12">
        <f t="shared" si="52"/>
        <v>8</v>
      </c>
      <c r="D832" s="12">
        <f t="shared" si="53"/>
        <v>8</v>
      </c>
      <c r="E832" s="20" t="s">
        <v>574</v>
      </c>
      <c r="F832" s="20" t="s">
        <v>3089</v>
      </c>
      <c r="G832" s="20" t="s">
        <v>3090</v>
      </c>
      <c r="H832" s="20" t="s">
        <v>3105</v>
      </c>
      <c r="I832" s="20">
        <v>2</v>
      </c>
      <c r="J832" s="20" t="s">
        <v>3106</v>
      </c>
      <c r="K832" s="20" t="s">
        <v>3112</v>
      </c>
      <c r="L832" s="20" t="s">
        <v>3094</v>
      </c>
      <c r="M832" s="20" t="s">
        <v>2667</v>
      </c>
      <c r="N832" s="20" t="s">
        <v>3095</v>
      </c>
      <c r="P832" s="20" t="s">
        <v>2667</v>
      </c>
      <c r="Q832" s="20" t="s">
        <v>2674</v>
      </c>
      <c r="R832" s="20" t="s">
        <v>84</v>
      </c>
      <c r="S832" s="20">
        <v>4</v>
      </c>
      <c r="T832" s="20" t="s">
        <v>860</v>
      </c>
      <c r="U832" s="20" t="s">
        <v>861</v>
      </c>
      <c r="V832" s="20" t="s">
        <v>87</v>
      </c>
      <c r="W832" s="20">
        <v>704</v>
      </c>
      <c r="X832" s="20">
        <v>704</v>
      </c>
      <c r="Y832" s="20" t="s">
        <v>3096</v>
      </c>
      <c r="Z832" s="20">
        <v>0.125</v>
      </c>
      <c r="AA832" s="20" t="s">
        <v>3113</v>
      </c>
      <c r="AB832" s="20" t="s">
        <v>718</v>
      </c>
      <c r="AC832" s="20" t="s">
        <v>719</v>
      </c>
      <c r="AD832" s="20" t="s">
        <v>3109</v>
      </c>
      <c r="AE832" s="20" t="s">
        <v>400</v>
      </c>
      <c r="AF832" s="20">
        <v>0.25</v>
      </c>
      <c r="AG832" s="20">
        <v>0</v>
      </c>
      <c r="AH832" s="20">
        <v>1</v>
      </c>
      <c r="AI832" s="4" t="s">
        <v>649</v>
      </c>
      <c r="AJ832" s="20">
        <v>50</v>
      </c>
      <c r="AK832" s="4" t="s">
        <v>679</v>
      </c>
      <c r="AL832" s="4">
        <v>5</v>
      </c>
      <c r="AM832" s="4" t="s">
        <v>485</v>
      </c>
      <c r="AN832" s="4" t="s">
        <v>95</v>
      </c>
      <c r="AO832" s="4" t="s">
        <v>680</v>
      </c>
      <c r="AP832" s="4">
        <v>1</v>
      </c>
      <c r="AQ832" s="20">
        <v>119000</v>
      </c>
      <c r="AR832" s="4">
        <v>41855</v>
      </c>
      <c r="AS832" s="20">
        <v>24040.404040404039</v>
      </c>
      <c r="AT832" s="20">
        <v>21302</v>
      </c>
      <c r="AU832" s="20">
        <v>-2738.4040404040388</v>
      </c>
      <c r="AW832" s="20">
        <v>50</v>
      </c>
      <c r="AY832" s="20">
        <v>50</v>
      </c>
      <c r="AZ832" s="20">
        <v>18.399999999999999</v>
      </c>
      <c r="BB832" s="6">
        <v>41855</v>
      </c>
      <c r="BC832" s="6">
        <v>0</v>
      </c>
      <c r="BD832" s="6">
        <v>41862</v>
      </c>
      <c r="BE832" s="6">
        <v>0</v>
      </c>
      <c r="BF832" s="6">
        <v>41862</v>
      </c>
      <c r="BG832" s="6">
        <v>0</v>
      </c>
      <c r="BH832" s="6">
        <v>0</v>
      </c>
      <c r="BI832" s="6">
        <v>0</v>
      </c>
      <c r="BJ832" s="6">
        <v>0</v>
      </c>
      <c r="BK832" s="4">
        <v>0</v>
      </c>
      <c r="BL832" s="4">
        <v>0</v>
      </c>
      <c r="BM832" s="20">
        <v>50</v>
      </c>
      <c r="BN832" s="20">
        <v>0</v>
      </c>
      <c r="BO832" s="20">
        <v>0</v>
      </c>
      <c r="BP832" s="20">
        <v>0</v>
      </c>
      <c r="BQ832" s="20">
        <v>0</v>
      </c>
      <c r="BR832" s="20">
        <v>0</v>
      </c>
      <c r="BS832" s="20">
        <v>50</v>
      </c>
      <c r="BT832" s="20">
        <v>1065100</v>
      </c>
      <c r="BU832" s="20">
        <v>5950000</v>
      </c>
      <c r="BV832" s="20">
        <v>5.0784817473391319</v>
      </c>
    </row>
    <row r="833" spans="1:74">
      <c r="A833" s="10">
        <f t="shared" si="50"/>
        <v>0</v>
      </c>
      <c r="B833" s="10">
        <f t="shared" si="51"/>
        <v>0</v>
      </c>
      <c r="C833" s="12">
        <f t="shared" si="52"/>
        <v>8</v>
      </c>
      <c r="D833" s="12">
        <f t="shared" si="53"/>
        <v>8</v>
      </c>
      <c r="E833" s="20" t="s">
        <v>574</v>
      </c>
      <c r="F833" s="20" t="s">
        <v>3089</v>
      </c>
      <c r="G833" s="20" t="s">
        <v>3090</v>
      </c>
      <c r="H833" s="20" t="s">
        <v>3105</v>
      </c>
      <c r="I833" s="20">
        <v>2</v>
      </c>
      <c r="J833" s="20" t="s">
        <v>3106</v>
      </c>
      <c r="K833" s="20" t="s">
        <v>3114</v>
      </c>
      <c r="L833" s="20" t="s">
        <v>3094</v>
      </c>
      <c r="M833" s="20" t="s">
        <v>2667</v>
      </c>
      <c r="N833" s="20" t="s">
        <v>3095</v>
      </c>
      <c r="P833" s="20" t="s">
        <v>2667</v>
      </c>
      <c r="Q833" s="20" t="s">
        <v>2674</v>
      </c>
      <c r="R833" s="20" t="s">
        <v>84</v>
      </c>
      <c r="S833" s="20">
        <v>4</v>
      </c>
      <c r="T833" s="20" t="s">
        <v>860</v>
      </c>
      <c r="U833" s="20" t="s">
        <v>861</v>
      </c>
      <c r="V833" s="20" t="s">
        <v>87</v>
      </c>
      <c r="W833" s="20">
        <v>704</v>
      </c>
      <c r="X833" s="20">
        <v>704</v>
      </c>
      <c r="Y833" s="20" t="s">
        <v>3096</v>
      </c>
      <c r="Z833" s="20">
        <v>0.125</v>
      </c>
      <c r="AA833" s="20" t="s">
        <v>3115</v>
      </c>
      <c r="AB833" s="20" t="s">
        <v>718</v>
      </c>
      <c r="AC833" s="20" t="s">
        <v>719</v>
      </c>
      <c r="AD833" s="20" t="s">
        <v>3109</v>
      </c>
      <c r="AE833" s="20" t="s">
        <v>400</v>
      </c>
      <c r="AF833" s="20">
        <v>0.25</v>
      </c>
      <c r="AG833" s="20">
        <v>0</v>
      </c>
      <c r="AH833" s="20">
        <v>1</v>
      </c>
      <c r="AI833" s="4" t="s">
        <v>651</v>
      </c>
      <c r="AJ833" s="20">
        <v>50</v>
      </c>
      <c r="AK833" s="4" t="s">
        <v>679</v>
      </c>
      <c r="AL833" s="4">
        <v>5</v>
      </c>
      <c r="AM833" s="4" t="s">
        <v>485</v>
      </c>
      <c r="AN833" s="4" t="s">
        <v>95</v>
      </c>
      <c r="AO833" s="4" t="s">
        <v>680</v>
      </c>
      <c r="AP833" s="4">
        <v>1</v>
      </c>
      <c r="AQ833" s="20">
        <v>119000</v>
      </c>
      <c r="AR833" s="4">
        <v>41855</v>
      </c>
      <c r="AS833" s="20">
        <v>24040.404040404039</v>
      </c>
      <c r="AT833" s="20">
        <v>21302</v>
      </c>
      <c r="AU833" s="20">
        <v>-2738.4040404040388</v>
      </c>
      <c r="AW833" s="20">
        <v>50</v>
      </c>
      <c r="AY833" s="20">
        <v>50</v>
      </c>
      <c r="AZ833" s="20">
        <v>18.399999999999999</v>
      </c>
      <c r="BB833" s="6">
        <v>41855</v>
      </c>
      <c r="BC833" s="6">
        <v>0</v>
      </c>
      <c r="BD833" s="6">
        <v>41862</v>
      </c>
      <c r="BE833" s="6">
        <v>0</v>
      </c>
      <c r="BF833" s="6">
        <v>41862</v>
      </c>
      <c r="BG833" s="6">
        <v>0</v>
      </c>
      <c r="BH833" s="6">
        <v>0</v>
      </c>
      <c r="BI833" s="6">
        <v>0</v>
      </c>
      <c r="BJ833" s="6">
        <v>0</v>
      </c>
      <c r="BK833" s="4">
        <v>0</v>
      </c>
      <c r="BL833" s="4">
        <v>0</v>
      </c>
      <c r="BM833" s="20">
        <v>50</v>
      </c>
      <c r="BN833" s="20">
        <v>0</v>
      </c>
      <c r="BO833" s="20">
        <v>0</v>
      </c>
      <c r="BP833" s="20">
        <v>0</v>
      </c>
      <c r="BQ833" s="20">
        <v>0</v>
      </c>
      <c r="BR833" s="20">
        <v>0</v>
      </c>
      <c r="BS833" s="20">
        <v>50</v>
      </c>
      <c r="BT833" s="20">
        <v>1065100</v>
      </c>
      <c r="BU833" s="20">
        <v>5950000</v>
      </c>
      <c r="BV833" s="20">
        <v>5.0784817473391319</v>
      </c>
    </row>
    <row r="834" spans="1:74">
      <c r="A834" s="10">
        <f t="shared" si="50"/>
        <v>0</v>
      </c>
      <c r="B834" s="10">
        <f t="shared" si="51"/>
        <v>0</v>
      </c>
      <c r="C834" s="12">
        <f t="shared" si="52"/>
        <v>8</v>
      </c>
      <c r="D834" s="12">
        <f t="shared" si="53"/>
        <v>8</v>
      </c>
      <c r="E834" s="20" t="s">
        <v>574</v>
      </c>
      <c r="F834" s="20" t="s">
        <v>3089</v>
      </c>
      <c r="G834" s="20" t="s">
        <v>3090</v>
      </c>
      <c r="H834" s="20" t="s">
        <v>3116</v>
      </c>
      <c r="I834" s="20">
        <v>3</v>
      </c>
      <c r="J834" s="20" t="s">
        <v>3117</v>
      </c>
      <c r="K834" s="20" t="s">
        <v>3118</v>
      </c>
      <c r="L834" s="20" t="s">
        <v>3119</v>
      </c>
      <c r="M834" s="20" t="s">
        <v>2667</v>
      </c>
      <c r="N834" s="20" t="s">
        <v>3095</v>
      </c>
      <c r="P834" s="20" t="s">
        <v>2667</v>
      </c>
      <c r="Q834" s="20" t="s">
        <v>2674</v>
      </c>
      <c r="R834" s="20" t="s">
        <v>84</v>
      </c>
      <c r="S834" s="20">
        <v>4</v>
      </c>
      <c r="T834" s="20" t="s">
        <v>860</v>
      </c>
      <c r="U834" s="20" t="s">
        <v>861</v>
      </c>
      <c r="V834" s="20" t="s">
        <v>87</v>
      </c>
      <c r="W834" s="20">
        <v>705</v>
      </c>
      <c r="X834" s="20">
        <v>705</v>
      </c>
      <c r="Y834" s="20" t="s">
        <v>3120</v>
      </c>
      <c r="Z834" s="20">
        <v>0.25</v>
      </c>
      <c r="AA834" s="20" t="s">
        <v>3121</v>
      </c>
      <c r="AB834" s="20" t="s">
        <v>221</v>
      </c>
      <c r="AC834" s="20" t="s">
        <v>222</v>
      </c>
      <c r="AD834" s="20" t="s">
        <v>3122</v>
      </c>
      <c r="AE834" s="20" t="s">
        <v>400</v>
      </c>
      <c r="AF834" s="20">
        <v>0.25</v>
      </c>
      <c r="AG834" s="20">
        <v>0</v>
      </c>
      <c r="AH834" s="20">
        <v>1</v>
      </c>
      <c r="AI834" s="4" t="s">
        <v>645</v>
      </c>
      <c r="AJ834" s="20">
        <v>50</v>
      </c>
      <c r="AK834" s="4" t="s">
        <v>679</v>
      </c>
      <c r="AL834" s="4">
        <v>5</v>
      </c>
      <c r="AM834" s="4" t="s">
        <v>485</v>
      </c>
      <c r="AN834" s="4" t="s">
        <v>95</v>
      </c>
      <c r="AO834" s="4" t="s">
        <v>680</v>
      </c>
      <c r="AP834" s="4">
        <v>1</v>
      </c>
      <c r="AQ834" s="20">
        <v>129000</v>
      </c>
      <c r="AR834" s="4">
        <v>41855</v>
      </c>
      <c r="AS834" s="20">
        <v>26060.60606060606</v>
      </c>
      <c r="AT834" s="20">
        <v>22919.000000000004</v>
      </c>
      <c r="AU834" s="20">
        <v>-3141.6060606060564</v>
      </c>
      <c r="AW834" s="20">
        <v>50</v>
      </c>
      <c r="AY834" s="20">
        <v>50</v>
      </c>
      <c r="AZ834" s="20">
        <v>19.8</v>
      </c>
      <c r="BB834" s="6">
        <v>41855</v>
      </c>
      <c r="BC834" s="6">
        <v>0</v>
      </c>
      <c r="BD834" s="6">
        <v>41862</v>
      </c>
      <c r="BE834" s="6">
        <v>0</v>
      </c>
      <c r="BF834" s="6">
        <v>41862</v>
      </c>
      <c r="BG834" s="6">
        <v>0</v>
      </c>
      <c r="BH834" s="6">
        <v>0</v>
      </c>
      <c r="BI834" s="6">
        <v>0</v>
      </c>
      <c r="BJ834" s="6">
        <v>0</v>
      </c>
      <c r="BK834" s="4">
        <v>0</v>
      </c>
      <c r="BL834" s="4">
        <v>0</v>
      </c>
      <c r="BM834" s="20">
        <v>50</v>
      </c>
      <c r="BN834" s="20">
        <v>0</v>
      </c>
      <c r="BO834" s="20">
        <v>0</v>
      </c>
      <c r="BP834" s="20">
        <v>0</v>
      </c>
      <c r="BQ834" s="20">
        <v>0</v>
      </c>
      <c r="BR834" s="20">
        <v>0</v>
      </c>
      <c r="BS834" s="20">
        <v>50</v>
      </c>
      <c r="BT834" s="20">
        <v>1145950.0000000002</v>
      </c>
      <c r="BU834" s="20">
        <v>6450000</v>
      </c>
      <c r="BV834" s="20">
        <v>5.1168343851270661</v>
      </c>
    </row>
    <row r="835" spans="1:74">
      <c r="A835" s="10">
        <f t="shared" ref="A835:A898" si="54">IF($BL835="공급",$Z835,0)</f>
        <v>0</v>
      </c>
      <c r="B835" s="10">
        <f t="shared" ref="B835:B898" si="55">IF($AV835&gt;0,$Z835,0)</f>
        <v>0</v>
      </c>
      <c r="C835" s="12">
        <f t="shared" si="52"/>
        <v>8</v>
      </c>
      <c r="D835" s="12">
        <f t="shared" si="53"/>
        <v>8</v>
      </c>
      <c r="E835" s="20" t="s">
        <v>574</v>
      </c>
      <c r="F835" s="20" t="s">
        <v>3089</v>
      </c>
      <c r="G835" s="20" t="s">
        <v>3090</v>
      </c>
      <c r="H835" s="20" t="s">
        <v>3116</v>
      </c>
      <c r="I835" s="20">
        <v>3</v>
      </c>
      <c r="J835" s="20" t="s">
        <v>3117</v>
      </c>
      <c r="K835" s="20" t="s">
        <v>3123</v>
      </c>
      <c r="L835" s="20" t="s">
        <v>3119</v>
      </c>
      <c r="M835" s="20" t="s">
        <v>2667</v>
      </c>
      <c r="N835" s="20" t="s">
        <v>3095</v>
      </c>
      <c r="P835" s="20" t="s">
        <v>2667</v>
      </c>
      <c r="Q835" s="20" t="s">
        <v>2674</v>
      </c>
      <c r="R835" s="20" t="s">
        <v>84</v>
      </c>
      <c r="S835" s="20">
        <v>4</v>
      </c>
      <c r="T835" s="20" t="s">
        <v>860</v>
      </c>
      <c r="U835" s="20" t="s">
        <v>861</v>
      </c>
      <c r="V835" s="20" t="s">
        <v>87</v>
      </c>
      <c r="W835" s="20">
        <v>705</v>
      </c>
      <c r="X835" s="20">
        <v>705</v>
      </c>
      <c r="Y835" s="20" t="s">
        <v>3120</v>
      </c>
      <c r="Z835" s="20">
        <v>0.25</v>
      </c>
      <c r="AA835" s="20" t="s">
        <v>3124</v>
      </c>
      <c r="AB835" s="20" t="s">
        <v>221</v>
      </c>
      <c r="AC835" s="20" t="s">
        <v>222</v>
      </c>
      <c r="AD835" s="20" t="s">
        <v>3122</v>
      </c>
      <c r="AE835" s="20" t="s">
        <v>400</v>
      </c>
      <c r="AF835" s="20">
        <v>0.25</v>
      </c>
      <c r="AG835" s="20">
        <v>0</v>
      </c>
      <c r="AH835" s="20">
        <v>1</v>
      </c>
      <c r="AI835" s="4" t="s">
        <v>647</v>
      </c>
      <c r="AJ835" s="20">
        <v>50</v>
      </c>
      <c r="AK835" s="4" t="s">
        <v>679</v>
      </c>
      <c r="AL835" s="4">
        <v>5</v>
      </c>
      <c r="AM835" s="4" t="s">
        <v>485</v>
      </c>
      <c r="AN835" s="4" t="s">
        <v>95</v>
      </c>
      <c r="AO835" s="4" t="s">
        <v>680</v>
      </c>
      <c r="AP835" s="4">
        <v>1</v>
      </c>
      <c r="AQ835" s="20">
        <v>129000</v>
      </c>
      <c r="AR835" s="4">
        <v>41855</v>
      </c>
      <c r="AS835" s="20">
        <v>26060.60606060606</v>
      </c>
      <c r="AT835" s="20">
        <v>22919.000000000004</v>
      </c>
      <c r="AU835" s="20">
        <v>-3141.6060606060564</v>
      </c>
      <c r="AW835" s="20">
        <v>50</v>
      </c>
      <c r="AY835" s="20">
        <v>50</v>
      </c>
      <c r="AZ835" s="20">
        <v>19.8</v>
      </c>
      <c r="BB835" s="6">
        <v>41855</v>
      </c>
      <c r="BC835" s="6">
        <v>0</v>
      </c>
      <c r="BD835" s="6">
        <v>41862</v>
      </c>
      <c r="BE835" s="6">
        <v>0</v>
      </c>
      <c r="BF835" s="6">
        <v>41862</v>
      </c>
      <c r="BG835" s="6">
        <v>0</v>
      </c>
      <c r="BH835" s="6">
        <v>0</v>
      </c>
      <c r="BI835" s="6">
        <v>0</v>
      </c>
      <c r="BJ835" s="6">
        <v>0</v>
      </c>
      <c r="BK835" s="4">
        <v>0</v>
      </c>
      <c r="BL835" s="4">
        <v>0</v>
      </c>
      <c r="BM835" s="20">
        <v>50</v>
      </c>
      <c r="BN835" s="20">
        <v>0</v>
      </c>
      <c r="BO835" s="20">
        <v>0</v>
      </c>
      <c r="BP835" s="20">
        <v>0</v>
      </c>
      <c r="BQ835" s="20">
        <v>0</v>
      </c>
      <c r="BR835" s="20">
        <v>0</v>
      </c>
      <c r="BS835" s="20">
        <v>50</v>
      </c>
      <c r="BT835" s="20">
        <v>1145950.0000000002</v>
      </c>
      <c r="BU835" s="20">
        <v>6450000</v>
      </c>
      <c r="BV835" s="20">
        <v>5.1168343851270661</v>
      </c>
    </row>
    <row r="836" spans="1:74">
      <c r="A836" s="10">
        <f t="shared" si="54"/>
        <v>0</v>
      </c>
      <c r="B836" s="10">
        <f t="shared" si="55"/>
        <v>0</v>
      </c>
      <c r="C836" s="12">
        <f t="shared" ref="C836:C899" si="56">IF($BB836=0,"",MONTH($BB836))</f>
        <v>8</v>
      </c>
      <c r="D836" s="12">
        <f t="shared" si="53"/>
        <v>8</v>
      </c>
      <c r="E836" s="20" t="s">
        <v>574</v>
      </c>
      <c r="F836" s="20" t="s">
        <v>3089</v>
      </c>
      <c r="G836" s="20" t="s">
        <v>3090</v>
      </c>
      <c r="H836" s="20" t="s">
        <v>3116</v>
      </c>
      <c r="I836" s="20">
        <v>3</v>
      </c>
      <c r="J836" s="20" t="s">
        <v>3117</v>
      </c>
      <c r="K836" s="20" t="s">
        <v>3125</v>
      </c>
      <c r="L836" s="20" t="s">
        <v>3119</v>
      </c>
      <c r="M836" s="20" t="s">
        <v>2667</v>
      </c>
      <c r="N836" s="20" t="s">
        <v>3095</v>
      </c>
      <c r="P836" s="20" t="s">
        <v>2667</v>
      </c>
      <c r="Q836" s="20" t="s">
        <v>2674</v>
      </c>
      <c r="R836" s="20" t="s">
        <v>84</v>
      </c>
      <c r="S836" s="20">
        <v>4</v>
      </c>
      <c r="T836" s="20" t="s">
        <v>860</v>
      </c>
      <c r="U836" s="20" t="s">
        <v>861</v>
      </c>
      <c r="V836" s="20" t="s">
        <v>87</v>
      </c>
      <c r="W836" s="20">
        <v>705</v>
      </c>
      <c r="X836" s="20">
        <v>705</v>
      </c>
      <c r="Y836" s="20" t="s">
        <v>3120</v>
      </c>
      <c r="Z836" s="20">
        <v>0.25</v>
      </c>
      <c r="AA836" s="20" t="s">
        <v>3126</v>
      </c>
      <c r="AB836" s="20" t="s">
        <v>221</v>
      </c>
      <c r="AC836" s="20" t="s">
        <v>222</v>
      </c>
      <c r="AD836" s="20" t="s">
        <v>3122</v>
      </c>
      <c r="AE836" s="20" t="s">
        <v>400</v>
      </c>
      <c r="AF836" s="20">
        <v>0.25</v>
      </c>
      <c r="AG836" s="20">
        <v>0</v>
      </c>
      <c r="AH836" s="20">
        <v>1</v>
      </c>
      <c r="AI836" s="4" t="s">
        <v>649</v>
      </c>
      <c r="AJ836" s="20">
        <v>50</v>
      </c>
      <c r="AK836" s="4" t="s">
        <v>679</v>
      </c>
      <c r="AL836" s="4">
        <v>5</v>
      </c>
      <c r="AM836" s="4" t="s">
        <v>485</v>
      </c>
      <c r="AN836" s="4" t="s">
        <v>95</v>
      </c>
      <c r="AO836" s="4" t="s">
        <v>680</v>
      </c>
      <c r="AP836" s="4">
        <v>1</v>
      </c>
      <c r="AQ836" s="20">
        <v>129000</v>
      </c>
      <c r="AR836" s="4">
        <v>41855</v>
      </c>
      <c r="AS836" s="20">
        <v>26060.60606060606</v>
      </c>
      <c r="AT836" s="20">
        <v>22919.000000000004</v>
      </c>
      <c r="AU836" s="20">
        <v>-3141.6060606060564</v>
      </c>
      <c r="AW836" s="20">
        <v>50</v>
      </c>
      <c r="AY836" s="20">
        <v>50</v>
      </c>
      <c r="AZ836" s="20">
        <v>19.8</v>
      </c>
      <c r="BB836" s="6">
        <v>41855</v>
      </c>
      <c r="BC836" s="6">
        <v>0</v>
      </c>
      <c r="BD836" s="6">
        <v>41862</v>
      </c>
      <c r="BE836" s="6">
        <v>0</v>
      </c>
      <c r="BF836" s="6">
        <v>41862</v>
      </c>
      <c r="BG836" s="6">
        <v>0</v>
      </c>
      <c r="BH836" s="6">
        <v>0</v>
      </c>
      <c r="BI836" s="6">
        <v>0</v>
      </c>
      <c r="BJ836" s="6">
        <v>0</v>
      </c>
      <c r="BK836" s="4">
        <v>0</v>
      </c>
      <c r="BL836" s="4">
        <v>0</v>
      </c>
      <c r="BM836" s="20">
        <v>50</v>
      </c>
      <c r="BN836" s="20">
        <v>0</v>
      </c>
      <c r="BO836" s="20">
        <v>0</v>
      </c>
      <c r="BP836" s="20">
        <v>0</v>
      </c>
      <c r="BQ836" s="20">
        <v>0</v>
      </c>
      <c r="BR836" s="20">
        <v>0</v>
      </c>
      <c r="BS836" s="20">
        <v>50</v>
      </c>
      <c r="BT836" s="20">
        <v>1145950.0000000002</v>
      </c>
      <c r="BU836" s="20">
        <v>6450000</v>
      </c>
      <c r="BV836" s="20">
        <v>5.1168343851270661</v>
      </c>
    </row>
    <row r="837" spans="1:74">
      <c r="A837" s="10">
        <f t="shared" si="54"/>
        <v>0</v>
      </c>
      <c r="B837" s="10">
        <f t="shared" si="55"/>
        <v>0</v>
      </c>
      <c r="C837" s="12">
        <f t="shared" si="56"/>
        <v>8</v>
      </c>
      <c r="D837" s="12">
        <f t="shared" ref="D837:D900" si="57">IF(AND(BD837=0,BF837=0),"",MONTH(IF($BF837=0,$BD837,$BF837)))</f>
        <v>8</v>
      </c>
      <c r="E837" s="20" t="s">
        <v>574</v>
      </c>
      <c r="F837" s="20" t="s">
        <v>3089</v>
      </c>
      <c r="G837" s="20" t="s">
        <v>3090</v>
      </c>
      <c r="H837" s="20" t="s">
        <v>3116</v>
      </c>
      <c r="I837" s="20">
        <v>3</v>
      </c>
      <c r="J837" s="20" t="s">
        <v>3117</v>
      </c>
      <c r="K837" s="20" t="s">
        <v>3127</v>
      </c>
      <c r="L837" s="20" t="s">
        <v>3119</v>
      </c>
      <c r="M837" s="20" t="s">
        <v>2667</v>
      </c>
      <c r="N837" s="20" t="s">
        <v>3095</v>
      </c>
      <c r="P837" s="20" t="s">
        <v>2667</v>
      </c>
      <c r="Q837" s="20" t="s">
        <v>2674</v>
      </c>
      <c r="R837" s="20" t="s">
        <v>84</v>
      </c>
      <c r="S837" s="20">
        <v>4</v>
      </c>
      <c r="T837" s="20" t="s">
        <v>860</v>
      </c>
      <c r="U837" s="20" t="s">
        <v>861</v>
      </c>
      <c r="V837" s="20" t="s">
        <v>87</v>
      </c>
      <c r="W837" s="20">
        <v>705</v>
      </c>
      <c r="X837" s="20">
        <v>705</v>
      </c>
      <c r="Y837" s="20" t="s">
        <v>3120</v>
      </c>
      <c r="Z837" s="20">
        <v>0.25</v>
      </c>
      <c r="AA837" s="20" t="s">
        <v>3128</v>
      </c>
      <c r="AB837" s="20" t="s">
        <v>221</v>
      </c>
      <c r="AC837" s="20" t="s">
        <v>222</v>
      </c>
      <c r="AD837" s="20" t="s">
        <v>3122</v>
      </c>
      <c r="AE837" s="20" t="s">
        <v>400</v>
      </c>
      <c r="AF837" s="20">
        <v>0.25</v>
      </c>
      <c r="AG837" s="20">
        <v>0</v>
      </c>
      <c r="AH837" s="20">
        <v>1</v>
      </c>
      <c r="AI837" s="4" t="s">
        <v>651</v>
      </c>
      <c r="AJ837" s="20">
        <v>50</v>
      </c>
      <c r="AK837" s="4" t="s">
        <v>679</v>
      </c>
      <c r="AL837" s="4">
        <v>5</v>
      </c>
      <c r="AM837" s="4" t="s">
        <v>485</v>
      </c>
      <c r="AN837" s="4" t="s">
        <v>95</v>
      </c>
      <c r="AO837" s="4" t="s">
        <v>680</v>
      </c>
      <c r="AP837" s="4">
        <v>1</v>
      </c>
      <c r="AQ837" s="20">
        <v>129000</v>
      </c>
      <c r="AR837" s="4">
        <v>41855</v>
      </c>
      <c r="AS837" s="20">
        <v>26060.60606060606</v>
      </c>
      <c r="AT837" s="20">
        <v>22919.000000000004</v>
      </c>
      <c r="AU837" s="20">
        <v>-3141.6060606060564</v>
      </c>
      <c r="AW837" s="20">
        <v>50</v>
      </c>
      <c r="AY837" s="20">
        <v>50</v>
      </c>
      <c r="AZ837" s="20">
        <v>19.8</v>
      </c>
      <c r="BB837" s="6">
        <v>41855</v>
      </c>
      <c r="BC837" s="6">
        <v>0</v>
      </c>
      <c r="BD837" s="6">
        <v>41862</v>
      </c>
      <c r="BE837" s="6">
        <v>0</v>
      </c>
      <c r="BF837" s="6">
        <v>41862</v>
      </c>
      <c r="BG837" s="6">
        <v>0</v>
      </c>
      <c r="BH837" s="6">
        <v>0</v>
      </c>
      <c r="BI837" s="6">
        <v>0</v>
      </c>
      <c r="BJ837" s="6">
        <v>0</v>
      </c>
      <c r="BK837" s="4">
        <v>0</v>
      </c>
      <c r="BL837" s="4">
        <v>0</v>
      </c>
      <c r="BM837" s="20">
        <v>50</v>
      </c>
      <c r="BN837" s="20">
        <v>0</v>
      </c>
      <c r="BO837" s="20">
        <v>0</v>
      </c>
      <c r="BP837" s="20">
        <v>0</v>
      </c>
      <c r="BQ837" s="20">
        <v>0</v>
      </c>
      <c r="BR837" s="20">
        <v>0</v>
      </c>
      <c r="BS837" s="20">
        <v>50</v>
      </c>
      <c r="BT837" s="20">
        <v>1145950.0000000002</v>
      </c>
      <c r="BU837" s="20">
        <v>6450000</v>
      </c>
      <c r="BV837" s="20">
        <v>5.1168343851270661</v>
      </c>
    </row>
    <row r="838" spans="1:74">
      <c r="A838" s="10">
        <f t="shared" si="54"/>
        <v>0</v>
      </c>
      <c r="B838" s="10">
        <f t="shared" si="55"/>
        <v>0</v>
      </c>
      <c r="C838" s="12">
        <f t="shared" si="56"/>
        <v>8</v>
      </c>
      <c r="D838" s="12">
        <f t="shared" si="57"/>
        <v>8</v>
      </c>
      <c r="E838" s="20" t="s">
        <v>574</v>
      </c>
      <c r="F838" s="20" t="s">
        <v>3089</v>
      </c>
      <c r="G838" s="20" t="s">
        <v>3090</v>
      </c>
      <c r="H838" s="20" t="s">
        <v>3129</v>
      </c>
      <c r="I838" s="20">
        <v>4</v>
      </c>
      <c r="J838" s="20" t="s">
        <v>3130</v>
      </c>
      <c r="K838" s="20" t="s">
        <v>3131</v>
      </c>
      <c r="L838" s="20" t="s">
        <v>3132</v>
      </c>
      <c r="M838" s="20" t="s">
        <v>2667</v>
      </c>
      <c r="N838" s="20" t="s">
        <v>3095</v>
      </c>
      <c r="P838" s="20" t="s">
        <v>2667</v>
      </c>
      <c r="Q838" s="20" t="s">
        <v>2674</v>
      </c>
      <c r="R838" s="20" t="s">
        <v>84</v>
      </c>
      <c r="S838" s="20">
        <v>4</v>
      </c>
      <c r="T838" s="20" t="s">
        <v>860</v>
      </c>
      <c r="U838" s="20" t="s">
        <v>861</v>
      </c>
      <c r="V838" s="20" t="s">
        <v>87</v>
      </c>
      <c r="W838" s="20">
        <v>719</v>
      </c>
      <c r="X838" s="20">
        <v>719</v>
      </c>
      <c r="Y838" s="20" t="s">
        <v>3133</v>
      </c>
      <c r="Z838" s="20">
        <v>0.25</v>
      </c>
      <c r="AA838" s="20" t="s">
        <v>3134</v>
      </c>
      <c r="AB838" s="20" t="s">
        <v>718</v>
      </c>
      <c r="AC838" s="20" t="s">
        <v>719</v>
      </c>
      <c r="AD838" s="20" t="s">
        <v>3135</v>
      </c>
      <c r="AE838" s="20" t="s">
        <v>400</v>
      </c>
      <c r="AF838" s="20">
        <v>0.25</v>
      </c>
      <c r="AG838" s="20">
        <v>0</v>
      </c>
      <c r="AH838" s="20">
        <v>1</v>
      </c>
      <c r="AI838" s="4" t="s">
        <v>645</v>
      </c>
      <c r="AJ838" s="20">
        <v>92</v>
      </c>
      <c r="AK838" s="4" t="s">
        <v>679</v>
      </c>
      <c r="AL838" s="4">
        <v>5</v>
      </c>
      <c r="AM838" s="4" t="s">
        <v>485</v>
      </c>
      <c r="AN838" s="4" t="s">
        <v>95</v>
      </c>
      <c r="AO838" s="4" t="s">
        <v>680</v>
      </c>
      <c r="AP838" s="4">
        <v>1</v>
      </c>
      <c r="AQ838" s="20">
        <v>119000</v>
      </c>
      <c r="AR838" s="4">
        <v>41855</v>
      </c>
      <c r="AS838" s="20">
        <v>24040.404040404039</v>
      </c>
      <c r="AT838" s="20">
        <v>21879.5</v>
      </c>
      <c r="AU838" s="20">
        <v>-2160.9040404040388</v>
      </c>
      <c r="AW838" s="20">
        <v>50</v>
      </c>
      <c r="AY838" s="20">
        <v>50</v>
      </c>
      <c r="AZ838" s="20">
        <v>18.899999999999999</v>
      </c>
      <c r="BB838" s="6">
        <v>41855</v>
      </c>
      <c r="BC838" s="6">
        <v>0</v>
      </c>
      <c r="BD838" s="6">
        <v>41862</v>
      </c>
      <c r="BE838" s="6">
        <v>0</v>
      </c>
      <c r="BF838" s="6">
        <v>41862</v>
      </c>
      <c r="BG838" s="6">
        <v>41961</v>
      </c>
      <c r="BH838" s="6">
        <v>0</v>
      </c>
      <c r="BI838" s="6">
        <v>0</v>
      </c>
      <c r="BJ838" s="6">
        <v>0</v>
      </c>
      <c r="BK838" s="4">
        <v>0</v>
      </c>
      <c r="BL838" s="4">
        <v>0</v>
      </c>
      <c r="BM838" s="20">
        <v>92</v>
      </c>
      <c r="BN838" s="20">
        <v>0</v>
      </c>
      <c r="BO838" s="20">
        <v>0</v>
      </c>
      <c r="BP838" s="20">
        <v>0</v>
      </c>
      <c r="BQ838" s="20">
        <v>0</v>
      </c>
      <c r="BR838" s="20">
        <v>0</v>
      </c>
      <c r="BS838" s="20">
        <v>92</v>
      </c>
      <c r="BT838" s="20">
        <v>2012914</v>
      </c>
      <c r="BU838" s="20">
        <v>10948000</v>
      </c>
      <c r="BV838" s="20">
        <v>4.9444374040457122</v>
      </c>
    </row>
    <row r="839" spans="1:74">
      <c r="A839" s="10">
        <f t="shared" si="54"/>
        <v>0</v>
      </c>
      <c r="B839" s="10">
        <f t="shared" si="55"/>
        <v>0</v>
      </c>
      <c r="C839" s="12">
        <f t="shared" si="56"/>
        <v>8</v>
      </c>
      <c r="D839" s="12">
        <f t="shared" si="57"/>
        <v>8</v>
      </c>
      <c r="E839" s="20" t="s">
        <v>574</v>
      </c>
      <c r="F839" s="20" t="s">
        <v>3089</v>
      </c>
      <c r="G839" s="20" t="s">
        <v>3090</v>
      </c>
      <c r="H839" s="20" t="s">
        <v>3129</v>
      </c>
      <c r="I839" s="20">
        <v>4</v>
      </c>
      <c r="J839" s="20" t="s">
        <v>3130</v>
      </c>
      <c r="K839" s="20" t="s">
        <v>3136</v>
      </c>
      <c r="L839" s="20" t="s">
        <v>3132</v>
      </c>
      <c r="M839" s="20" t="s">
        <v>2667</v>
      </c>
      <c r="N839" s="20" t="s">
        <v>3095</v>
      </c>
      <c r="P839" s="20" t="s">
        <v>2667</v>
      </c>
      <c r="Q839" s="20" t="s">
        <v>2674</v>
      </c>
      <c r="R839" s="20" t="s">
        <v>84</v>
      </c>
      <c r="S839" s="20">
        <v>4</v>
      </c>
      <c r="T839" s="20" t="s">
        <v>860</v>
      </c>
      <c r="U839" s="20" t="s">
        <v>861</v>
      </c>
      <c r="V839" s="20" t="s">
        <v>87</v>
      </c>
      <c r="W839" s="20">
        <v>719</v>
      </c>
      <c r="X839" s="20">
        <v>719</v>
      </c>
      <c r="Y839" s="20" t="s">
        <v>3133</v>
      </c>
      <c r="Z839" s="20">
        <v>0.25</v>
      </c>
      <c r="AA839" s="20" t="s">
        <v>3137</v>
      </c>
      <c r="AB839" s="20" t="s">
        <v>718</v>
      </c>
      <c r="AC839" s="20" t="s">
        <v>719</v>
      </c>
      <c r="AD839" s="20" t="s">
        <v>3135</v>
      </c>
      <c r="AE839" s="20" t="s">
        <v>400</v>
      </c>
      <c r="AF839" s="20">
        <v>0.25</v>
      </c>
      <c r="AG839" s="20">
        <v>0</v>
      </c>
      <c r="AH839" s="20">
        <v>1</v>
      </c>
      <c r="AI839" s="4" t="s">
        <v>647</v>
      </c>
      <c r="AJ839" s="20">
        <v>75</v>
      </c>
      <c r="AK839" s="4" t="s">
        <v>679</v>
      </c>
      <c r="AL839" s="4">
        <v>5</v>
      </c>
      <c r="AM839" s="4" t="s">
        <v>485</v>
      </c>
      <c r="AN839" s="4" t="s">
        <v>95</v>
      </c>
      <c r="AO839" s="4" t="s">
        <v>680</v>
      </c>
      <c r="AP839" s="4">
        <v>1</v>
      </c>
      <c r="AQ839" s="20">
        <v>119000</v>
      </c>
      <c r="AR839" s="4">
        <v>41855</v>
      </c>
      <c r="AS839" s="20">
        <v>24040.404040404039</v>
      </c>
      <c r="AT839" s="20">
        <v>21879.5</v>
      </c>
      <c r="AU839" s="20">
        <v>-2160.9040404040388</v>
      </c>
      <c r="AW839" s="20">
        <v>50</v>
      </c>
      <c r="AY839" s="20">
        <v>50</v>
      </c>
      <c r="AZ839" s="20">
        <v>18.899999999999999</v>
      </c>
      <c r="BB839" s="6">
        <v>41855</v>
      </c>
      <c r="BC839" s="6">
        <v>0</v>
      </c>
      <c r="BD839" s="6">
        <v>41862</v>
      </c>
      <c r="BE839" s="6">
        <v>0</v>
      </c>
      <c r="BF839" s="6">
        <v>41862</v>
      </c>
      <c r="BG839" s="6">
        <v>41961</v>
      </c>
      <c r="BH839" s="6">
        <v>0</v>
      </c>
      <c r="BI839" s="6">
        <v>0</v>
      </c>
      <c r="BJ839" s="6">
        <v>0</v>
      </c>
      <c r="BK839" s="4">
        <v>0</v>
      </c>
      <c r="BL839" s="4">
        <v>0</v>
      </c>
      <c r="BM839" s="20">
        <v>75</v>
      </c>
      <c r="BN839" s="20">
        <v>0</v>
      </c>
      <c r="BO839" s="20">
        <v>0</v>
      </c>
      <c r="BP839" s="20">
        <v>0</v>
      </c>
      <c r="BQ839" s="20">
        <v>0</v>
      </c>
      <c r="BR839" s="20">
        <v>0</v>
      </c>
      <c r="BS839" s="20">
        <v>75</v>
      </c>
      <c r="BT839" s="20">
        <v>1640962.5</v>
      </c>
      <c r="BU839" s="20">
        <v>8925000</v>
      </c>
      <c r="BV839" s="20">
        <v>4.9444374040457122</v>
      </c>
    </row>
    <row r="840" spans="1:74">
      <c r="A840" s="10">
        <f t="shared" si="54"/>
        <v>0</v>
      </c>
      <c r="B840" s="10">
        <f t="shared" si="55"/>
        <v>0</v>
      </c>
      <c r="C840" s="12">
        <f t="shared" si="56"/>
        <v>8</v>
      </c>
      <c r="D840" s="12">
        <f t="shared" si="57"/>
        <v>8</v>
      </c>
      <c r="E840" s="20" t="s">
        <v>574</v>
      </c>
      <c r="F840" s="20" t="s">
        <v>3089</v>
      </c>
      <c r="G840" s="20" t="s">
        <v>3090</v>
      </c>
      <c r="H840" s="20" t="s">
        <v>3129</v>
      </c>
      <c r="I840" s="20">
        <v>4</v>
      </c>
      <c r="J840" s="20" t="s">
        <v>3130</v>
      </c>
      <c r="K840" s="20" t="s">
        <v>3138</v>
      </c>
      <c r="L840" s="20" t="s">
        <v>3132</v>
      </c>
      <c r="M840" s="20" t="s">
        <v>2667</v>
      </c>
      <c r="N840" s="20" t="s">
        <v>3095</v>
      </c>
      <c r="P840" s="20" t="s">
        <v>2667</v>
      </c>
      <c r="Q840" s="20" t="s">
        <v>2674</v>
      </c>
      <c r="R840" s="20" t="s">
        <v>84</v>
      </c>
      <c r="S840" s="20">
        <v>4</v>
      </c>
      <c r="T840" s="20" t="s">
        <v>860</v>
      </c>
      <c r="U840" s="20" t="s">
        <v>861</v>
      </c>
      <c r="V840" s="20" t="s">
        <v>87</v>
      </c>
      <c r="W840" s="20">
        <v>719</v>
      </c>
      <c r="X840" s="20">
        <v>719</v>
      </c>
      <c r="Y840" s="20" t="s">
        <v>3133</v>
      </c>
      <c r="Z840" s="20">
        <v>0.25</v>
      </c>
      <c r="AA840" s="20" t="s">
        <v>3139</v>
      </c>
      <c r="AB840" s="20" t="s">
        <v>718</v>
      </c>
      <c r="AC840" s="20" t="s">
        <v>719</v>
      </c>
      <c r="AD840" s="20" t="s">
        <v>3135</v>
      </c>
      <c r="AE840" s="20" t="s">
        <v>400</v>
      </c>
      <c r="AF840" s="20">
        <v>0.25</v>
      </c>
      <c r="AG840" s="20">
        <v>0</v>
      </c>
      <c r="AH840" s="20">
        <v>1</v>
      </c>
      <c r="AI840" s="4" t="s">
        <v>649</v>
      </c>
      <c r="AJ840" s="20">
        <v>21</v>
      </c>
      <c r="AK840" s="4" t="s">
        <v>679</v>
      </c>
      <c r="AL840" s="4">
        <v>5</v>
      </c>
      <c r="AM840" s="4" t="s">
        <v>485</v>
      </c>
      <c r="AN840" s="4" t="s">
        <v>95</v>
      </c>
      <c r="AO840" s="4" t="s">
        <v>680</v>
      </c>
      <c r="AP840" s="4">
        <v>1</v>
      </c>
      <c r="AQ840" s="20">
        <v>119000</v>
      </c>
      <c r="AR840" s="4">
        <v>41855</v>
      </c>
      <c r="AS840" s="20">
        <v>24040.404040404039</v>
      </c>
      <c r="AT840" s="20">
        <v>21879.5</v>
      </c>
      <c r="AU840" s="20">
        <v>-2160.9040404040388</v>
      </c>
      <c r="AW840" s="20">
        <v>50</v>
      </c>
      <c r="AY840" s="20">
        <v>50</v>
      </c>
      <c r="AZ840" s="20">
        <v>18.899999999999999</v>
      </c>
      <c r="BB840" s="6">
        <v>41855</v>
      </c>
      <c r="BC840" s="6">
        <v>0</v>
      </c>
      <c r="BD840" s="6">
        <v>41862</v>
      </c>
      <c r="BE840" s="6">
        <v>0</v>
      </c>
      <c r="BF840" s="6">
        <v>41862</v>
      </c>
      <c r="BG840" s="6">
        <v>41961</v>
      </c>
      <c r="BH840" s="6">
        <v>0</v>
      </c>
      <c r="BI840" s="6">
        <v>0</v>
      </c>
      <c r="BJ840" s="6">
        <v>0</v>
      </c>
      <c r="BK840" s="4">
        <v>0</v>
      </c>
      <c r="BL840" s="4">
        <v>0</v>
      </c>
      <c r="BM840" s="20">
        <v>21</v>
      </c>
      <c r="BN840" s="20">
        <v>1</v>
      </c>
      <c r="BO840" s="20">
        <v>0</v>
      </c>
      <c r="BP840" s="20">
        <v>0</v>
      </c>
      <c r="BQ840" s="20">
        <v>0</v>
      </c>
      <c r="BR840" s="20">
        <v>0</v>
      </c>
      <c r="BS840" s="20">
        <v>21</v>
      </c>
      <c r="BT840" s="20">
        <v>459469.5</v>
      </c>
      <c r="BU840" s="20">
        <v>2499000</v>
      </c>
      <c r="BV840" s="20">
        <v>4.9444374040457122</v>
      </c>
    </row>
    <row r="841" spans="1:74">
      <c r="A841" s="10">
        <f t="shared" si="54"/>
        <v>0</v>
      </c>
      <c r="B841" s="10">
        <f t="shared" si="55"/>
        <v>0</v>
      </c>
      <c r="C841" s="12">
        <f t="shared" si="56"/>
        <v>8</v>
      </c>
      <c r="D841" s="12">
        <f t="shared" si="57"/>
        <v>8</v>
      </c>
      <c r="E841" s="20" t="s">
        <v>574</v>
      </c>
      <c r="F841" s="20" t="s">
        <v>3089</v>
      </c>
      <c r="G841" s="20" t="s">
        <v>3090</v>
      </c>
      <c r="H841" s="20" t="s">
        <v>3129</v>
      </c>
      <c r="I841" s="20">
        <v>4</v>
      </c>
      <c r="J841" s="20" t="s">
        <v>3130</v>
      </c>
      <c r="K841" s="20" t="s">
        <v>3140</v>
      </c>
      <c r="L841" s="20" t="s">
        <v>3132</v>
      </c>
      <c r="M841" s="20" t="s">
        <v>2667</v>
      </c>
      <c r="N841" s="20" t="s">
        <v>3095</v>
      </c>
      <c r="P841" s="20" t="s">
        <v>2667</v>
      </c>
      <c r="Q841" s="20" t="s">
        <v>2674</v>
      </c>
      <c r="R841" s="20" t="s">
        <v>84</v>
      </c>
      <c r="S841" s="20">
        <v>4</v>
      </c>
      <c r="T841" s="20" t="s">
        <v>860</v>
      </c>
      <c r="U841" s="20" t="s">
        <v>861</v>
      </c>
      <c r="V841" s="20" t="s">
        <v>87</v>
      </c>
      <c r="W841" s="20">
        <v>719</v>
      </c>
      <c r="X841" s="20">
        <v>719</v>
      </c>
      <c r="Y841" s="20" t="s">
        <v>3133</v>
      </c>
      <c r="Z841" s="20">
        <v>0.25</v>
      </c>
      <c r="AA841" s="20" t="s">
        <v>3141</v>
      </c>
      <c r="AB841" s="20" t="s">
        <v>718</v>
      </c>
      <c r="AC841" s="20" t="s">
        <v>719</v>
      </c>
      <c r="AD841" s="20" t="s">
        <v>3135</v>
      </c>
      <c r="AE841" s="20" t="s">
        <v>400</v>
      </c>
      <c r="AF841" s="20">
        <v>0.25</v>
      </c>
      <c r="AG841" s="20">
        <v>0</v>
      </c>
      <c r="AH841" s="20">
        <v>1</v>
      </c>
      <c r="AI841" s="4" t="s">
        <v>651</v>
      </c>
      <c r="AJ841" s="20">
        <v>63</v>
      </c>
      <c r="AK841" s="4" t="s">
        <v>679</v>
      </c>
      <c r="AL841" s="4">
        <v>5</v>
      </c>
      <c r="AM841" s="4" t="s">
        <v>485</v>
      </c>
      <c r="AN841" s="4" t="s">
        <v>95</v>
      </c>
      <c r="AO841" s="4" t="s">
        <v>680</v>
      </c>
      <c r="AP841" s="4">
        <v>1</v>
      </c>
      <c r="AQ841" s="20">
        <v>119000</v>
      </c>
      <c r="AR841" s="4">
        <v>41855</v>
      </c>
      <c r="AS841" s="20">
        <v>24040.404040404039</v>
      </c>
      <c r="AT841" s="20">
        <v>21879.5</v>
      </c>
      <c r="AU841" s="20">
        <v>-2160.9040404040388</v>
      </c>
      <c r="AW841" s="20">
        <v>50</v>
      </c>
      <c r="AY841" s="20">
        <v>50</v>
      </c>
      <c r="AZ841" s="20">
        <v>18.899999999999999</v>
      </c>
      <c r="BB841" s="6">
        <v>41855</v>
      </c>
      <c r="BC841" s="6">
        <v>0</v>
      </c>
      <c r="BD841" s="6">
        <v>41862</v>
      </c>
      <c r="BE841" s="6">
        <v>0</v>
      </c>
      <c r="BF841" s="6">
        <v>41862</v>
      </c>
      <c r="BG841" s="6">
        <v>41961</v>
      </c>
      <c r="BH841" s="6">
        <v>0</v>
      </c>
      <c r="BI841" s="6">
        <v>0</v>
      </c>
      <c r="BJ841" s="6">
        <v>0</v>
      </c>
      <c r="BK841" s="4">
        <v>0</v>
      </c>
      <c r="BL841" s="4">
        <v>0</v>
      </c>
      <c r="BM841" s="20">
        <v>63</v>
      </c>
      <c r="BN841" s="20">
        <v>0</v>
      </c>
      <c r="BO841" s="20">
        <v>0</v>
      </c>
      <c r="BP841" s="20">
        <v>0</v>
      </c>
      <c r="BQ841" s="20">
        <v>0</v>
      </c>
      <c r="BR841" s="20">
        <v>0</v>
      </c>
      <c r="BS841" s="20">
        <v>63</v>
      </c>
      <c r="BT841" s="20">
        <v>1378408.5</v>
      </c>
      <c r="BU841" s="20">
        <v>7497000</v>
      </c>
      <c r="BV841" s="20">
        <v>4.9444374040457131</v>
      </c>
    </row>
    <row r="842" spans="1:74">
      <c r="A842" s="10">
        <f t="shared" si="54"/>
        <v>0</v>
      </c>
      <c r="B842" s="10">
        <f t="shared" si="55"/>
        <v>0</v>
      </c>
      <c r="C842" s="12">
        <f t="shared" si="56"/>
        <v>8</v>
      </c>
      <c r="D842" s="12">
        <f t="shared" si="57"/>
        <v>8</v>
      </c>
      <c r="E842" s="20" t="s">
        <v>574</v>
      </c>
      <c r="F842" s="20" t="s">
        <v>3089</v>
      </c>
      <c r="G842" s="20" t="s">
        <v>3090</v>
      </c>
      <c r="H842" s="20" t="s">
        <v>3142</v>
      </c>
      <c r="I842" s="20">
        <v>5</v>
      </c>
      <c r="J842" s="20" t="s">
        <v>3143</v>
      </c>
      <c r="K842" s="20" t="s">
        <v>3144</v>
      </c>
      <c r="L842" s="20" t="s">
        <v>3145</v>
      </c>
      <c r="M842" s="20" t="s">
        <v>2667</v>
      </c>
      <c r="N842" s="20" t="s">
        <v>3095</v>
      </c>
      <c r="P842" s="20" t="s">
        <v>2667</v>
      </c>
      <c r="Q842" s="20" t="s">
        <v>2674</v>
      </c>
      <c r="R842" s="20" t="s">
        <v>84</v>
      </c>
      <c r="S842" s="20">
        <v>4</v>
      </c>
      <c r="T842" s="20" t="s">
        <v>860</v>
      </c>
      <c r="U842" s="20" t="s">
        <v>861</v>
      </c>
      <c r="V842" s="20" t="s">
        <v>87</v>
      </c>
      <c r="W842" s="20">
        <v>720</v>
      </c>
      <c r="X842" s="20">
        <v>720</v>
      </c>
      <c r="Y842" s="20" t="s">
        <v>3146</v>
      </c>
      <c r="Z842" s="20">
        <v>0.25</v>
      </c>
      <c r="AA842" s="20" t="s">
        <v>3147</v>
      </c>
      <c r="AB842" s="20" t="s">
        <v>139</v>
      </c>
      <c r="AC842" s="20" t="s">
        <v>140</v>
      </c>
      <c r="AD842" s="20" t="s">
        <v>3148</v>
      </c>
      <c r="AE842" s="20" t="s">
        <v>400</v>
      </c>
      <c r="AF842" s="20">
        <v>0.25</v>
      </c>
      <c r="AG842" s="20">
        <v>0</v>
      </c>
      <c r="AH842" s="20">
        <v>1</v>
      </c>
      <c r="AI842" s="4" t="s">
        <v>645</v>
      </c>
      <c r="AJ842" s="20">
        <v>113</v>
      </c>
      <c r="AK842" s="4" t="s">
        <v>679</v>
      </c>
      <c r="AL842" s="4">
        <v>5</v>
      </c>
      <c r="AM842" s="4" t="s">
        <v>485</v>
      </c>
      <c r="AN842" s="4" t="s">
        <v>95</v>
      </c>
      <c r="AO842" s="4" t="s">
        <v>680</v>
      </c>
      <c r="AP842" s="4">
        <v>1</v>
      </c>
      <c r="AQ842" s="20">
        <v>119000</v>
      </c>
      <c r="AR842" s="4">
        <v>41855</v>
      </c>
      <c r="AS842" s="20">
        <v>24040.404040404039</v>
      </c>
      <c r="AT842" s="20">
        <v>21879.5</v>
      </c>
      <c r="AU842" s="20">
        <v>-2160.9040404040388</v>
      </c>
      <c r="AW842" s="20">
        <v>50</v>
      </c>
      <c r="AY842" s="20">
        <v>50</v>
      </c>
      <c r="AZ842" s="20">
        <v>18.899999999999999</v>
      </c>
      <c r="BB842" s="6">
        <v>41855</v>
      </c>
      <c r="BC842" s="6">
        <v>0</v>
      </c>
      <c r="BD842" s="6">
        <v>41862</v>
      </c>
      <c r="BE842" s="6">
        <v>0</v>
      </c>
      <c r="BF842" s="6">
        <v>41862</v>
      </c>
      <c r="BG842" s="6">
        <v>41961</v>
      </c>
      <c r="BH842" s="6">
        <v>0</v>
      </c>
      <c r="BI842" s="6">
        <v>0</v>
      </c>
      <c r="BJ842" s="6">
        <v>0</v>
      </c>
      <c r="BK842" s="4">
        <v>0</v>
      </c>
      <c r="BL842" s="4">
        <v>0</v>
      </c>
      <c r="BM842" s="20">
        <v>113</v>
      </c>
      <c r="BN842" s="20">
        <v>1</v>
      </c>
      <c r="BO842" s="20">
        <v>0</v>
      </c>
      <c r="BP842" s="20">
        <v>0</v>
      </c>
      <c r="BQ842" s="20">
        <v>0</v>
      </c>
      <c r="BR842" s="20">
        <v>0</v>
      </c>
      <c r="BS842" s="20">
        <v>113</v>
      </c>
      <c r="BT842" s="20">
        <v>2472383.5</v>
      </c>
      <c r="BU842" s="20">
        <v>13447000</v>
      </c>
      <c r="BV842" s="20">
        <v>4.9444374040457131</v>
      </c>
    </row>
    <row r="843" spans="1:74">
      <c r="A843" s="10">
        <f t="shared" si="54"/>
        <v>0</v>
      </c>
      <c r="B843" s="10">
        <f t="shared" si="55"/>
        <v>0</v>
      </c>
      <c r="C843" s="12">
        <f t="shared" si="56"/>
        <v>8</v>
      </c>
      <c r="D843" s="12">
        <f t="shared" si="57"/>
        <v>8</v>
      </c>
      <c r="E843" s="20" t="s">
        <v>574</v>
      </c>
      <c r="F843" s="20" t="s">
        <v>3089</v>
      </c>
      <c r="G843" s="20" t="s">
        <v>3090</v>
      </c>
      <c r="H843" s="20" t="s">
        <v>3142</v>
      </c>
      <c r="I843" s="20">
        <v>5</v>
      </c>
      <c r="J843" s="20" t="s">
        <v>3143</v>
      </c>
      <c r="K843" s="20" t="s">
        <v>3149</v>
      </c>
      <c r="L843" s="20" t="s">
        <v>3145</v>
      </c>
      <c r="M843" s="20" t="s">
        <v>2667</v>
      </c>
      <c r="N843" s="20" t="s">
        <v>3095</v>
      </c>
      <c r="P843" s="20" t="s">
        <v>2667</v>
      </c>
      <c r="Q843" s="20" t="s">
        <v>2674</v>
      </c>
      <c r="R843" s="20" t="s">
        <v>84</v>
      </c>
      <c r="S843" s="20">
        <v>4</v>
      </c>
      <c r="T843" s="20" t="s">
        <v>860</v>
      </c>
      <c r="U843" s="20" t="s">
        <v>861</v>
      </c>
      <c r="V843" s="20" t="s">
        <v>87</v>
      </c>
      <c r="W843" s="20">
        <v>720</v>
      </c>
      <c r="X843" s="20">
        <v>720</v>
      </c>
      <c r="Y843" s="20" t="s">
        <v>3146</v>
      </c>
      <c r="Z843" s="20">
        <v>0.25</v>
      </c>
      <c r="AA843" s="20" t="s">
        <v>3150</v>
      </c>
      <c r="AB843" s="20" t="s">
        <v>139</v>
      </c>
      <c r="AC843" s="20" t="s">
        <v>140</v>
      </c>
      <c r="AD843" s="20" t="s">
        <v>3148</v>
      </c>
      <c r="AE843" s="20" t="s">
        <v>400</v>
      </c>
      <c r="AF843" s="20">
        <v>0.25</v>
      </c>
      <c r="AG843" s="20">
        <v>0</v>
      </c>
      <c r="AH843" s="20">
        <v>1</v>
      </c>
      <c r="AI843" s="4" t="s">
        <v>647</v>
      </c>
      <c r="AJ843" s="20">
        <v>99</v>
      </c>
      <c r="AK843" s="4" t="s">
        <v>679</v>
      </c>
      <c r="AL843" s="4">
        <v>5</v>
      </c>
      <c r="AM843" s="4" t="s">
        <v>485</v>
      </c>
      <c r="AN843" s="4" t="s">
        <v>95</v>
      </c>
      <c r="AO843" s="4" t="s">
        <v>680</v>
      </c>
      <c r="AP843" s="4">
        <v>1</v>
      </c>
      <c r="AQ843" s="20">
        <v>119000</v>
      </c>
      <c r="AR843" s="4">
        <v>41855</v>
      </c>
      <c r="AS843" s="20">
        <v>24040.404040404039</v>
      </c>
      <c r="AT843" s="20">
        <v>21879.5</v>
      </c>
      <c r="AU843" s="20">
        <v>-2160.9040404040388</v>
      </c>
      <c r="AW843" s="20">
        <v>50</v>
      </c>
      <c r="AY843" s="20">
        <v>50</v>
      </c>
      <c r="AZ843" s="20">
        <v>18.899999999999999</v>
      </c>
      <c r="BB843" s="6">
        <v>41855</v>
      </c>
      <c r="BC843" s="6">
        <v>0</v>
      </c>
      <c r="BD843" s="6">
        <v>41862</v>
      </c>
      <c r="BE843" s="6">
        <v>0</v>
      </c>
      <c r="BF843" s="6">
        <v>41862</v>
      </c>
      <c r="BG843" s="6">
        <v>41961</v>
      </c>
      <c r="BH843" s="6">
        <v>0</v>
      </c>
      <c r="BI843" s="6">
        <v>0</v>
      </c>
      <c r="BJ843" s="6">
        <v>0</v>
      </c>
      <c r="BK843" s="4">
        <v>0</v>
      </c>
      <c r="BL843" s="4">
        <v>0</v>
      </c>
      <c r="BM843" s="20">
        <v>99</v>
      </c>
      <c r="BN843" s="20">
        <v>0</v>
      </c>
      <c r="BO843" s="20">
        <v>0</v>
      </c>
      <c r="BP843" s="20">
        <v>0</v>
      </c>
      <c r="BQ843" s="20">
        <v>0</v>
      </c>
      <c r="BR843" s="20">
        <v>0</v>
      </c>
      <c r="BS843" s="20">
        <v>99</v>
      </c>
      <c r="BT843" s="20">
        <v>2166070.5</v>
      </c>
      <c r="BU843" s="20">
        <v>11781000</v>
      </c>
      <c r="BV843" s="20">
        <v>4.9444374040457122</v>
      </c>
    </row>
    <row r="844" spans="1:74">
      <c r="A844" s="10">
        <f t="shared" si="54"/>
        <v>0</v>
      </c>
      <c r="B844" s="10">
        <f t="shared" si="55"/>
        <v>0</v>
      </c>
      <c r="C844" s="12">
        <f t="shared" si="56"/>
        <v>8</v>
      </c>
      <c r="D844" s="12">
        <f t="shared" si="57"/>
        <v>8</v>
      </c>
      <c r="E844" s="20" t="s">
        <v>574</v>
      </c>
      <c r="F844" s="20" t="s">
        <v>3089</v>
      </c>
      <c r="G844" s="20" t="s">
        <v>3090</v>
      </c>
      <c r="H844" s="20" t="s">
        <v>3142</v>
      </c>
      <c r="I844" s="20">
        <v>5</v>
      </c>
      <c r="J844" s="20" t="s">
        <v>3143</v>
      </c>
      <c r="K844" s="20" t="s">
        <v>3151</v>
      </c>
      <c r="L844" s="20" t="s">
        <v>3145</v>
      </c>
      <c r="M844" s="20" t="s">
        <v>2667</v>
      </c>
      <c r="N844" s="20" t="s">
        <v>3095</v>
      </c>
      <c r="P844" s="20" t="s">
        <v>2667</v>
      </c>
      <c r="Q844" s="20" t="s">
        <v>2674</v>
      </c>
      <c r="R844" s="20" t="s">
        <v>84</v>
      </c>
      <c r="S844" s="20">
        <v>4</v>
      </c>
      <c r="T844" s="20" t="s">
        <v>860</v>
      </c>
      <c r="U844" s="20" t="s">
        <v>861</v>
      </c>
      <c r="V844" s="20" t="s">
        <v>87</v>
      </c>
      <c r="W844" s="20">
        <v>720</v>
      </c>
      <c r="X844" s="20">
        <v>720</v>
      </c>
      <c r="Y844" s="20" t="s">
        <v>3146</v>
      </c>
      <c r="Z844" s="20">
        <v>0.25</v>
      </c>
      <c r="AA844" s="20" t="s">
        <v>3152</v>
      </c>
      <c r="AB844" s="20" t="s">
        <v>139</v>
      </c>
      <c r="AC844" s="20" t="s">
        <v>140</v>
      </c>
      <c r="AD844" s="20" t="s">
        <v>3148</v>
      </c>
      <c r="AE844" s="20" t="s">
        <v>400</v>
      </c>
      <c r="AF844" s="20">
        <v>0.25</v>
      </c>
      <c r="AG844" s="20">
        <v>0</v>
      </c>
      <c r="AH844" s="20">
        <v>1</v>
      </c>
      <c r="AI844" s="4" t="s">
        <v>649</v>
      </c>
      <c r="AJ844" s="20">
        <v>38</v>
      </c>
      <c r="AK844" s="4" t="s">
        <v>679</v>
      </c>
      <c r="AL844" s="4">
        <v>5</v>
      </c>
      <c r="AM844" s="4" t="s">
        <v>485</v>
      </c>
      <c r="AN844" s="4" t="s">
        <v>95</v>
      </c>
      <c r="AO844" s="4" t="s">
        <v>680</v>
      </c>
      <c r="AP844" s="4">
        <v>1</v>
      </c>
      <c r="AQ844" s="20">
        <v>119000</v>
      </c>
      <c r="AR844" s="4">
        <v>41855</v>
      </c>
      <c r="AS844" s="20">
        <v>24040.404040404039</v>
      </c>
      <c r="AT844" s="20">
        <v>21879.5</v>
      </c>
      <c r="AU844" s="20">
        <v>-2160.9040404040388</v>
      </c>
      <c r="AW844" s="20">
        <v>50</v>
      </c>
      <c r="AY844" s="20">
        <v>50</v>
      </c>
      <c r="AZ844" s="20">
        <v>18.899999999999999</v>
      </c>
      <c r="BB844" s="6">
        <v>41855</v>
      </c>
      <c r="BC844" s="6">
        <v>0</v>
      </c>
      <c r="BD844" s="6">
        <v>41862</v>
      </c>
      <c r="BE844" s="6">
        <v>0</v>
      </c>
      <c r="BF844" s="6">
        <v>41862</v>
      </c>
      <c r="BG844" s="6">
        <v>41961</v>
      </c>
      <c r="BH844" s="6">
        <v>0</v>
      </c>
      <c r="BI844" s="6">
        <v>0</v>
      </c>
      <c r="BJ844" s="6">
        <v>0</v>
      </c>
      <c r="BK844" s="4">
        <v>0</v>
      </c>
      <c r="BL844" s="4">
        <v>0</v>
      </c>
      <c r="BM844" s="20">
        <v>38</v>
      </c>
      <c r="BN844" s="20">
        <v>0</v>
      </c>
      <c r="BO844" s="20">
        <v>0</v>
      </c>
      <c r="BP844" s="20">
        <v>0</v>
      </c>
      <c r="BQ844" s="20">
        <v>0</v>
      </c>
      <c r="BR844" s="20">
        <v>0</v>
      </c>
      <c r="BS844" s="20">
        <v>38</v>
      </c>
      <c r="BT844" s="20">
        <v>831421</v>
      </c>
      <c r="BU844" s="20">
        <v>4522000</v>
      </c>
      <c r="BV844" s="20">
        <v>4.9444374040457131</v>
      </c>
    </row>
    <row r="845" spans="1:74">
      <c r="A845" s="10">
        <f t="shared" si="54"/>
        <v>0</v>
      </c>
      <c r="B845" s="10">
        <f t="shared" si="55"/>
        <v>0</v>
      </c>
      <c r="C845" s="12">
        <f t="shared" si="56"/>
        <v>8</v>
      </c>
      <c r="D845" s="12">
        <f t="shared" si="57"/>
        <v>8</v>
      </c>
      <c r="E845" s="20" t="s">
        <v>574</v>
      </c>
      <c r="F845" s="20" t="s">
        <v>3089</v>
      </c>
      <c r="G845" s="20" t="s">
        <v>3090</v>
      </c>
      <c r="H845" s="20" t="s">
        <v>3142</v>
      </c>
      <c r="I845" s="20">
        <v>5</v>
      </c>
      <c r="J845" s="20" t="s">
        <v>3143</v>
      </c>
      <c r="K845" s="20" t="s">
        <v>3153</v>
      </c>
      <c r="L845" s="20" t="s">
        <v>3145</v>
      </c>
      <c r="M845" s="20" t="s">
        <v>2667</v>
      </c>
      <c r="N845" s="20" t="s">
        <v>3095</v>
      </c>
      <c r="P845" s="20" t="s">
        <v>2667</v>
      </c>
      <c r="Q845" s="20" t="s">
        <v>2674</v>
      </c>
      <c r="R845" s="20" t="s">
        <v>84</v>
      </c>
      <c r="S845" s="20">
        <v>4</v>
      </c>
      <c r="T845" s="20" t="s">
        <v>860</v>
      </c>
      <c r="U845" s="20" t="s">
        <v>861</v>
      </c>
      <c r="V845" s="20" t="s">
        <v>87</v>
      </c>
      <c r="W845" s="20">
        <v>720</v>
      </c>
      <c r="X845" s="20">
        <v>720</v>
      </c>
      <c r="Y845" s="20" t="s">
        <v>3146</v>
      </c>
      <c r="Z845" s="20">
        <v>0.25</v>
      </c>
      <c r="AA845" s="20" t="s">
        <v>3154</v>
      </c>
      <c r="AB845" s="20" t="s">
        <v>139</v>
      </c>
      <c r="AC845" s="20" t="s">
        <v>140</v>
      </c>
      <c r="AD845" s="20" t="s">
        <v>3148</v>
      </c>
      <c r="AE845" s="20" t="s">
        <v>400</v>
      </c>
      <c r="AF845" s="20">
        <v>0.25</v>
      </c>
      <c r="AG845" s="20">
        <v>0</v>
      </c>
      <c r="AH845" s="20">
        <v>1</v>
      </c>
      <c r="AI845" s="4" t="s">
        <v>651</v>
      </c>
      <c r="AJ845" s="20">
        <v>68</v>
      </c>
      <c r="AK845" s="4" t="s">
        <v>679</v>
      </c>
      <c r="AL845" s="4">
        <v>5</v>
      </c>
      <c r="AM845" s="4" t="s">
        <v>485</v>
      </c>
      <c r="AN845" s="4" t="s">
        <v>95</v>
      </c>
      <c r="AO845" s="4" t="s">
        <v>680</v>
      </c>
      <c r="AP845" s="4">
        <v>1</v>
      </c>
      <c r="AQ845" s="20">
        <v>119000</v>
      </c>
      <c r="AR845" s="4">
        <v>41855</v>
      </c>
      <c r="AS845" s="20">
        <v>24040.404040404039</v>
      </c>
      <c r="AT845" s="20">
        <v>21879.5</v>
      </c>
      <c r="AU845" s="20">
        <v>-2160.9040404040388</v>
      </c>
      <c r="AW845" s="20">
        <v>50</v>
      </c>
      <c r="AY845" s="20">
        <v>50</v>
      </c>
      <c r="AZ845" s="20">
        <v>18.899999999999999</v>
      </c>
      <c r="BB845" s="6">
        <v>41855</v>
      </c>
      <c r="BC845" s="6">
        <v>0</v>
      </c>
      <c r="BD845" s="6">
        <v>41862</v>
      </c>
      <c r="BE845" s="6">
        <v>0</v>
      </c>
      <c r="BF845" s="6">
        <v>41862</v>
      </c>
      <c r="BG845" s="6">
        <v>41961</v>
      </c>
      <c r="BH845" s="6">
        <v>0</v>
      </c>
      <c r="BI845" s="6">
        <v>0</v>
      </c>
      <c r="BJ845" s="6">
        <v>0</v>
      </c>
      <c r="BK845" s="4">
        <v>0</v>
      </c>
      <c r="BL845" s="4">
        <v>0</v>
      </c>
      <c r="BM845" s="20">
        <v>68</v>
      </c>
      <c r="BN845" s="20">
        <v>0</v>
      </c>
      <c r="BO845" s="20">
        <v>0</v>
      </c>
      <c r="BP845" s="20">
        <v>0</v>
      </c>
      <c r="BQ845" s="20">
        <v>0</v>
      </c>
      <c r="BR845" s="20">
        <v>0</v>
      </c>
      <c r="BS845" s="20">
        <v>68</v>
      </c>
      <c r="BT845" s="20">
        <v>1487806</v>
      </c>
      <c r="BU845" s="20">
        <v>8092000</v>
      </c>
      <c r="BV845" s="20">
        <v>4.9444374040457131</v>
      </c>
    </row>
    <row r="846" spans="1:74">
      <c r="A846" s="10">
        <f t="shared" si="54"/>
        <v>0</v>
      </c>
      <c r="B846" s="10">
        <f t="shared" si="55"/>
        <v>0</v>
      </c>
      <c r="C846" s="12">
        <f t="shared" si="56"/>
        <v>8</v>
      </c>
      <c r="D846" s="12">
        <f t="shared" si="57"/>
        <v>8</v>
      </c>
      <c r="E846" s="20" t="s">
        <v>574</v>
      </c>
      <c r="F846" s="20" t="s">
        <v>3089</v>
      </c>
      <c r="G846" s="20" t="s">
        <v>3090</v>
      </c>
      <c r="H846" s="20" t="s">
        <v>3155</v>
      </c>
      <c r="I846" s="20">
        <v>6</v>
      </c>
      <c r="J846" s="20" t="s">
        <v>3156</v>
      </c>
      <c r="K846" s="20" t="s">
        <v>3157</v>
      </c>
      <c r="L846" s="20" t="s">
        <v>3158</v>
      </c>
      <c r="M846" s="20" t="s">
        <v>2667</v>
      </c>
      <c r="N846" s="20" t="s">
        <v>3159</v>
      </c>
      <c r="P846" s="20" t="s">
        <v>2667</v>
      </c>
      <c r="Q846" s="20" t="s">
        <v>2674</v>
      </c>
      <c r="R846" s="20" t="s">
        <v>84</v>
      </c>
      <c r="S846" s="20">
        <v>4</v>
      </c>
      <c r="T846" s="20" t="s">
        <v>3160</v>
      </c>
      <c r="U846" s="20" t="s">
        <v>3161</v>
      </c>
      <c r="V846" s="20" t="s">
        <v>87</v>
      </c>
      <c r="W846" s="20">
        <v>638</v>
      </c>
      <c r="X846" s="20">
        <v>638</v>
      </c>
      <c r="Y846" s="20" t="s">
        <v>3162</v>
      </c>
      <c r="Z846" s="20">
        <v>0.16666666666666666</v>
      </c>
      <c r="AA846" s="20" t="s">
        <v>3163</v>
      </c>
      <c r="AB846" s="20" t="s">
        <v>248</v>
      </c>
      <c r="AC846" s="20" t="s">
        <v>249</v>
      </c>
      <c r="AD846" s="20" t="s">
        <v>3164</v>
      </c>
      <c r="AE846" s="20" t="s">
        <v>400</v>
      </c>
      <c r="AF846" s="20">
        <v>0.33333333333333331</v>
      </c>
      <c r="AG846" s="20">
        <v>0</v>
      </c>
      <c r="AH846" s="20">
        <v>1</v>
      </c>
      <c r="AI846" s="4" t="s">
        <v>645</v>
      </c>
      <c r="AJ846" s="20">
        <v>84</v>
      </c>
      <c r="AK846" s="4" t="s">
        <v>679</v>
      </c>
      <c r="AL846" s="4">
        <v>5</v>
      </c>
      <c r="AM846" s="4" t="s">
        <v>485</v>
      </c>
      <c r="AN846" s="4" t="s">
        <v>95</v>
      </c>
      <c r="AO846" s="4" t="s">
        <v>680</v>
      </c>
      <c r="AP846" s="4">
        <v>1</v>
      </c>
      <c r="AQ846" s="20">
        <v>139000</v>
      </c>
      <c r="AR846" s="4">
        <v>41855</v>
      </c>
      <c r="AS846" s="20">
        <v>28080.808080808078</v>
      </c>
      <c r="AT846" s="20">
        <v>27192.5</v>
      </c>
      <c r="AU846" s="20">
        <v>-888.30808080807765</v>
      </c>
      <c r="AW846" s="20">
        <v>50</v>
      </c>
      <c r="AY846" s="20">
        <v>50</v>
      </c>
      <c r="AZ846" s="20">
        <v>23.5</v>
      </c>
      <c r="BB846" s="6">
        <v>41855</v>
      </c>
      <c r="BC846" s="6">
        <v>0</v>
      </c>
      <c r="BD846" s="6">
        <v>41862</v>
      </c>
      <c r="BE846" s="6">
        <v>0</v>
      </c>
      <c r="BF846" s="6">
        <v>41862</v>
      </c>
      <c r="BG846" s="6">
        <v>41961</v>
      </c>
      <c r="BH846" s="6">
        <v>0</v>
      </c>
      <c r="BI846" s="6">
        <v>0</v>
      </c>
      <c r="BJ846" s="6">
        <v>0</v>
      </c>
      <c r="BK846" s="4">
        <v>0</v>
      </c>
      <c r="BL846" s="4">
        <v>0</v>
      </c>
      <c r="BM846" s="20">
        <v>84</v>
      </c>
      <c r="BN846" s="20">
        <v>0</v>
      </c>
      <c r="BO846" s="20">
        <v>0</v>
      </c>
      <c r="BP846" s="20">
        <v>0</v>
      </c>
      <c r="BQ846" s="20">
        <v>0</v>
      </c>
      <c r="BR846" s="20">
        <v>0</v>
      </c>
      <c r="BS846" s="20">
        <v>84</v>
      </c>
      <c r="BT846" s="20">
        <v>2284170</v>
      </c>
      <c r="BU846" s="20">
        <v>11676000</v>
      </c>
      <c r="BV846" s="20">
        <v>4.6470032679465429</v>
      </c>
    </row>
    <row r="847" spans="1:74">
      <c r="A847" s="10">
        <f t="shared" si="54"/>
        <v>0</v>
      </c>
      <c r="B847" s="10">
        <f t="shared" si="55"/>
        <v>0</v>
      </c>
      <c r="C847" s="12">
        <f t="shared" si="56"/>
        <v>8</v>
      </c>
      <c r="D847" s="12">
        <f t="shared" si="57"/>
        <v>8</v>
      </c>
      <c r="E847" s="20" t="s">
        <v>574</v>
      </c>
      <c r="F847" s="20" t="s">
        <v>3089</v>
      </c>
      <c r="G847" s="20" t="s">
        <v>3090</v>
      </c>
      <c r="H847" s="20" t="s">
        <v>3155</v>
      </c>
      <c r="I847" s="20">
        <v>6</v>
      </c>
      <c r="J847" s="20" t="s">
        <v>3156</v>
      </c>
      <c r="K847" s="20" t="s">
        <v>3165</v>
      </c>
      <c r="L847" s="20" t="s">
        <v>3158</v>
      </c>
      <c r="M847" s="20" t="s">
        <v>2667</v>
      </c>
      <c r="N847" s="20" t="s">
        <v>3159</v>
      </c>
      <c r="P847" s="20" t="s">
        <v>2667</v>
      </c>
      <c r="Q847" s="20" t="s">
        <v>2674</v>
      </c>
      <c r="R847" s="20" t="s">
        <v>84</v>
      </c>
      <c r="S847" s="20">
        <v>4</v>
      </c>
      <c r="T847" s="20" t="s">
        <v>3160</v>
      </c>
      <c r="U847" s="20" t="s">
        <v>3161</v>
      </c>
      <c r="V847" s="20" t="s">
        <v>87</v>
      </c>
      <c r="W847" s="20">
        <v>638</v>
      </c>
      <c r="X847" s="20">
        <v>638</v>
      </c>
      <c r="Y847" s="20" t="s">
        <v>3162</v>
      </c>
      <c r="Z847" s="20">
        <v>0.16666666666666666</v>
      </c>
      <c r="AA847" s="20" t="s">
        <v>3166</v>
      </c>
      <c r="AB847" s="20" t="s">
        <v>248</v>
      </c>
      <c r="AC847" s="20" t="s">
        <v>249</v>
      </c>
      <c r="AD847" s="20" t="s">
        <v>3164</v>
      </c>
      <c r="AE847" s="20" t="s">
        <v>400</v>
      </c>
      <c r="AF847" s="20">
        <v>0.33333333333333331</v>
      </c>
      <c r="AG847" s="20">
        <v>0</v>
      </c>
      <c r="AH847" s="20">
        <v>1</v>
      </c>
      <c r="AI847" s="4" t="s">
        <v>647</v>
      </c>
      <c r="AJ847" s="20">
        <v>73</v>
      </c>
      <c r="AK847" s="4" t="s">
        <v>679</v>
      </c>
      <c r="AL847" s="4">
        <v>5</v>
      </c>
      <c r="AM847" s="4" t="s">
        <v>485</v>
      </c>
      <c r="AN847" s="4" t="s">
        <v>95</v>
      </c>
      <c r="AO847" s="4" t="s">
        <v>680</v>
      </c>
      <c r="AP847" s="4">
        <v>1</v>
      </c>
      <c r="AQ847" s="20">
        <v>139000</v>
      </c>
      <c r="AR847" s="4">
        <v>41855</v>
      </c>
      <c r="AS847" s="20">
        <v>28080.808080808078</v>
      </c>
      <c r="AT847" s="20">
        <v>27192.5</v>
      </c>
      <c r="AU847" s="20">
        <v>-888.30808080807765</v>
      </c>
      <c r="AW847" s="20">
        <v>50</v>
      </c>
      <c r="AY847" s="20">
        <v>50</v>
      </c>
      <c r="AZ847" s="20">
        <v>23.5</v>
      </c>
      <c r="BB847" s="6">
        <v>41855</v>
      </c>
      <c r="BC847" s="6">
        <v>0</v>
      </c>
      <c r="BD847" s="6">
        <v>41862</v>
      </c>
      <c r="BE847" s="6">
        <v>0</v>
      </c>
      <c r="BF847" s="6">
        <v>41862</v>
      </c>
      <c r="BG847" s="6">
        <v>41961</v>
      </c>
      <c r="BH847" s="6">
        <v>0</v>
      </c>
      <c r="BI847" s="6">
        <v>0</v>
      </c>
      <c r="BJ847" s="6">
        <v>0</v>
      </c>
      <c r="BK847" s="4">
        <v>0</v>
      </c>
      <c r="BL847" s="4">
        <v>0</v>
      </c>
      <c r="BM847" s="20">
        <v>73</v>
      </c>
      <c r="BN847" s="20">
        <v>0</v>
      </c>
      <c r="BO847" s="20">
        <v>0</v>
      </c>
      <c r="BP847" s="20">
        <v>0</v>
      </c>
      <c r="BQ847" s="20">
        <v>0</v>
      </c>
      <c r="BR847" s="20">
        <v>0</v>
      </c>
      <c r="BS847" s="20">
        <v>73</v>
      </c>
      <c r="BT847" s="20">
        <v>1985052.5</v>
      </c>
      <c r="BU847" s="20">
        <v>10147000</v>
      </c>
      <c r="BV847" s="20">
        <v>4.6470032679465429</v>
      </c>
    </row>
    <row r="848" spans="1:74">
      <c r="A848" s="10">
        <f t="shared" si="54"/>
        <v>0</v>
      </c>
      <c r="B848" s="10">
        <f t="shared" si="55"/>
        <v>0</v>
      </c>
      <c r="C848" s="12">
        <f t="shared" si="56"/>
        <v>8</v>
      </c>
      <c r="D848" s="12">
        <f t="shared" si="57"/>
        <v>8</v>
      </c>
      <c r="E848" s="20" t="s">
        <v>574</v>
      </c>
      <c r="F848" s="20" t="s">
        <v>3089</v>
      </c>
      <c r="G848" s="20" t="s">
        <v>3090</v>
      </c>
      <c r="H848" s="20" t="s">
        <v>3155</v>
      </c>
      <c r="I848" s="20">
        <v>6</v>
      </c>
      <c r="J848" s="20" t="s">
        <v>3156</v>
      </c>
      <c r="K848" s="20" t="s">
        <v>3167</v>
      </c>
      <c r="L848" s="20" t="s">
        <v>3158</v>
      </c>
      <c r="M848" s="20" t="s">
        <v>2667</v>
      </c>
      <c r="N848" s="20" t="s">
        <v>3159</v>
      </c>
      <c r="P848" s="20" t="s">
        <v>2667</v>
      </c>
      <c r="Q848" s="20" t="s">
        <v>2674</v>
      </c>
      <c r="R848" s="20" t="s">
        <v>84</v>
      </c>
      <c r="S848" s="20">
        <v>4</v>
      </c>
      <c r="T848" s="20" t="s">
        <v>3160</v>
      </c>
      <c r="U848" s="20" t="s">
        <v>3161</v>
      </c>
      <c r="V848" s="20" t="s">
        <v>87</v>
      </c>
      <c r="W848" s="20">
        <v>638</v>
      </c>
      <c r="X848" s="20">
        <v>638</v>
      </c>
      <c r="Y848" s="20" t="s">
        <v>3162</v>
      </c>
      <c r="Z848" s="20">
        <v>0.16666666666666666</v>
      </c>
      <c r="AA848" s="20" t="s">
        <v>3168</v>
      </c>
      <c r="AB848" s="20" t="s">
        <v>248</v>
      </c>
      <c r="AC848" s="20" t="s">
        <v>249</v>
      </c>
      <c r="AD848" s="20" t="s">
        <v>3164</v>
      </c>
      <c r="AE848" s="20" t="s">
        <v>400</v>
      </c>
      <c r="AF848" s="20">
        <v>0.33333333333333331</v>
      </c>
      <c r="AG848" s="20">
        <v>0</v>
      </c>
      <c r="AH848" s="20">
        <v>1</v>
      </c>
      <c r="AI848" s="4" t="s">
        <v>649</v>
      </c>
      <c r="AJ848" s="20">
        <v>15</v>
      </c>
      <c r="AK848" s="4" t="s">
        <v>679</v>
      </c>
      <c r="AL848" s="4">
        <v>5</v>
      </c>
      <c r="AM848" s="4" t="s">
        <v>485</v>
      </c>
      <c r="AN848" s="4" t="s">
        <v>95</v>
      </c>
      <c r="AO848" s="4" t="s">
        <v>680</v>
      </c>
      <c r="AP848" s="4">
        <v>1</v>
      </c>
      <c r="AQ848" s="20">
        <v>139000</v>
      </c>
      <c r="AR848" s="4">
        <v>41855</v>
      </c>
      <c r="AS848" s="20">
        <v>28080.808080808078</v>
      </c>
      <c r="AT848" s="20">
        <v>27192.5</v>
      </c>
      <c r="AU848" s="20">
        <v>-888.30808080807765</v>
      </c>
      <c r="AW848" s="20">
        <v>50</v>
      </c>
      <c r="AY848" s="20">
        <v>50</v>
      </c>
      <c r="AZ848" s="20">
        <v>23.5</v>
      </c>
      <c r="BB848" s="6">
        <v>41855</v>
      </c>
      <c r="BC848" s="6">
        <v>0</v>
      </c>
      <c r="BD848" s="6">
        <v>41862</v>
      </c>
      <c r="BE848" s="6">
        <v>0</v>
      </c>
      <c r="BF848" s="6">
        <v>41862</v>
      </c>
      <c r="BG848" s="6">
        <v>41961</v>
      </c>
      <c r="BH848" s="6">
        <v>0</v>
      </c>
      <c r="BI848" s="6">
        <v>0</v>
      </c>
      <c r="BJ848" s="6">
        <v>0</v>
      </c>
      <c r="BK848" s="4">
        <v>0</v>
      </c>
      <c r="BL848" s="4">
        <v>0</v>
      </c>
      <c r="BM848" s="20">
        <v>15</v>
      </c>
      <c r="BN848" s="20">
        <v>0</v>
      </c>
      <c r="BO848" s="20">
        <v>0</v>
      </c>
      <c r="BP848" s="20">
        <v>0</v>
      </c>
      <c r="BQ848" s="20">
        <v>0</v>
      </c>
      <c r="BR848" s="20">
        <v>0</v>
      </c>
      <c r="BS848" s="20">
        <v>15</v>
      </c>
      <c r="BT848" s="20">
        <v>407887.5</v>
      </c>
      <c r="BU848" s="20">
        <v>2085000</v>
      </c>
      <c r="BV848" s="20">
        <v>4.6470032679465421</v>
      </c>
    </row>
    <row r="849" spans="1:74">
      <c r="A849" s="10">
        <f t="shared" si="54"/>
        <v>0</v>
      </c>
      <c r="B849" s="10">
        <f t="shared" si="55"/>
        <v>0</v>
      </c>
      <c r="C849" s="12">
        <f t="shared" si="56"/>
        <v>8</v>
      </c>
      <c r="D849" s="12">
        <f t="shared" si="57"/>
        <v>8</v>
      </c>
      <c r="E849" s="20" t="s">
        <v>574</v>
      </c>
      <c r="F849" s="20" t="s">
        <v>3089</v>
      </c>
      <c r="G849" s="20" t="s">
        <v>3090</v>
      </c>
      <c r="H849" s="20" t="s">
        <v>3169</v>
      </c>
      <c r="I849" s="20">
        <v>7</v>
      </c>
      <c r="J849" s="20" t="s">
        <v>3170</v>
      </c>
      <c r="K849" s="20" t="s">
        <v>3171</v>
      </c>
      <c r="L849" s="20" t="s">
        <v>3158</v>
      </c>
      <c r="M849" s="20" t="s">
        <v>2667</v>
      </c>
      <c r="N849" s="20" t="s">
        <v>3159</v>
      </c>
      <c r="P849" s="20" t="s">
        <v>2667</v>
      </c>
      <c r="Q849" s="20" t="s">
        <v>2674</v>
      </c>
      <c r="R849" s="20" t="s">
        <v>84</v>
      </c>
      <c r="S849" s="20">
        <v>4</v>
      </c>
      <c r="T849" s="20" t="s">
        <v>3160</v>
      </c>
      <c r="U849" s="20" t="s">
        <v>3161</v>
      </c>
      <c r="V849" s="20" t="s">
        <v>87</v>
      </c>
      <c r="W849" s="20">
        <v>638</v>
      </c>
      <c r="X849" s="20">
        <v>638</v>
      </c>
      <c r="Y849" s="20" t="s">
        <v>3162</v>
      </c>
      <c r="Z849" s="20">
        <v>0.16666666666666666</v>
      </c>
      <c r="AA849" s="20" t="s">
        <v>3172</v>
      </c>
      <c r="AB849" s="20" t="s">
        <v>101</v>
      </c>
      <c r="AC849" s="20" t="s">
        <v>102</v>
      </c>
      <c r="AD849" s="20" t="s">
        <v>3173</v>
      </c>
      <c r="AE849" s="20" t="s">
        <v>400</v>
      </c>
      <c r="AF849" s="20">
        <v>0.33333333333333331</v>
      </c>
      <c r="AG849" s="20">
        <v>0</v>
      </c>
      <c r="AH849" s="20">
        <v>1</v>
      </c>
      <c r="AI849" s="4" t="s">
        <v>645</v>
      </c>
      <c r="AJ849" s="20">
        <v>91</v>
      </c>
      <c r="AK849" s="4" t="s">
        <v>679</v>
      </c>
      <c r="AL849" s="4">
        <v>5</v>
      </c>
      <c r="AM849" s="4" t="s">
        <v>485</v>
      </c>
      <c r="AN849" s="4" t="s">
        <v>95</v>
      </c>
      <c r="AO849" s="4" t="s">
        <v>680</v>
      </c>
      <c r="AP849" s="4">
        <v>1</v>
      </c>
      <c r="AQ849" s="20">
        <v>139000</v>
      </c>
      <c r="AR849" s="4">
        <v>41855</v>
      </c>
      <c r="AS849" s="20">
        <v>28080.808080808078</v>
      </c>
      <c r="AT849" s="20">
        <v>27192.5</v>
      </c>
      <c r="AU849" s="20">
        <v>-888.30808080807765</v>
      </c>
      <c r="AW849" s="20">
        <v>50</v>
      </c>
      <c r="AY849" s="20">
        <v>50</v>
      </c>
      <c r="AZ849" s="20">
        <v>23.5</v>
      </c>
      <c r="BB849" s="6">
        <v>41855</v>
      </c>
      <c r="BC849" s="6">
        <v>0</v>
      </c>
      <c r="BD849" s="6">
        <v>41862</v>
      </c>
      <c r="BE849" s="6">
        <v>0</v>
      </c>
      <c r="BF849" s="6">
        <v>41862</v>
      </c>
      <c r="BG849" s="6">
        <v>41961</v>
      </c>
      <c r="BH849" s="6">
        <v>0</v>
      </c>
      <c r="BI849" s="6">
        <v>0</v>
      </c>
      <c r="BJ849" s="6">
        <v>0</v>
      </c>
      <c r="BK849" s="4">
        <v>0</v>
      </c>
      <c r="BL849" s="4">
        <v>0</v>
      </c>
      <c r="BM849" s="20">
        <v>91</v>
      </c>
      <c r="BN849" s="20">
        <v>-4</v>
      </c>
      <c r="BO849" s="20">
        <v>0</v>
      </c>
      <c r="BP849" s="20">
        <v>0</v>
      </c>
      <c r="BQ849" s="20">
        <v>0</v>
      </c>
      <c r="BR849" s="20">
        <v>0</v>
      </c>
      <c r="BS849" s="20">
        <v>91</v>
      </c>
      <c r="BT849" s="20">
        <v>2474517.5</v>
      </c>
      <c r="BU849" s="20">
        <v>12649000</v>
      </c>
      <c r="BV849" s="20">
        <v>4.6470032679465429</v>
      </c>
    </row>
    <row r="850" spans="1:74">
      <c r="A850" s="10">
        <f t="shared" si="54"/>
        <v>0</v>
      </c>
      <c r="B850" s="10">
        <f t="shared" si="55"/>
        <v>0</v>
      </c>
      <c r="C850" s="12">
        <f t="shared" si="56"/>
        <v>8</v>
      </c>
      <c r="D850" s="12">
        <f t="shared" si="57"/>
        <v>8</v>
      </c>
      <c r="E850" s="20" t="s">
        <v>574</v>
      </c>
      <c r="F850" s="20" t="s">
        <v>3089</v>
      </c>
      <c r="G850" s="20" t="s">
        <v>3090</v>
      </c>
      <c r="H850" s="20" t="s">
        <v>3169</v>
      </c>
      <c r="I850" s="20">
        <v>7</v>
      </c>
      <c r="J850" s="20" t="s">
        <v>3170</v>
      </c>
      <c r="K850" s="20" t="s">
        <v>3174</v>
      </c>
      <c r="L850" s="20" t="s">
        <v>3158</v>
      </c>
      <c r="M850" s="20" t="s">
        <v>2667</v>
      </c>
      <c r="N850" s="20" t="s">
        <v>3159</v>
      </c>
      <c r="P850" s="20" t="s">
        <v>2667</v>
      </c>
      <c r="Q850" s="20" t="s">
        <v>2674</v>
      </c>
      <c r="R850" s="20" t="s">
        <v>84</v>
      </c>
      <c r="S850" s="20">
        <v>4</v>
      </c>
      <c r="T850" s="20" t="s">
        <v>3160</v>
      </c>
      <c r="U850" s="20" t="s">
        <v>3161</v>
      </c>
      <c r="V850" s="20" t="s">
        <v>87</v>
      </c>
      <c r="W850" s="20">
        <v>638</v>
      </c>
      <c r="X850" s="20">
        <v>638</v>
      </c>
      <c r="Y850" s="20" t="s">
        <v>3162</v>
      </c>
      <c r="Z850" s="20">
        <v>0.16666666666666666</v>
      </c>
      <c r="AA850" s="20" t="s">
        <v>3175</v>
      </c>
      <c r="AB850" s="20" t="s">
        <v>101</v>
      </c>
      <c r="AC850" s="20" t="s">
        <v>102</v>
      </c>
      <c r="AD850" s="20" t="s">
        <v>3173</v>
      </c>
      <c r="AE850" s="20" t="s">
        <v>400</v>
      </c>
      <c r="AF850" s="20">
        <v>0.33333333333333331</v>
      </c>
      <c r="AG850" s="20">
        <v>0</v>
      </c>
      <c r="AH850" s="20">
        <v>1</v>
      </c>
      <c r="AI850" s="4" t="s">
        <v>647</v>
      </c>
      <c r="AJ850" s="20">
        <v>92</v>
      </c>
      <c r="AK850" s="4" t="s">
        <v>679</v>
      </c>
      <c r="AL850" s="4">
        <v>5</v>
      </c>
      <c r="AM850" s="4" t="s">
        <v>485</v>
      </c>
      <c r="AN850" s="4" t="s">
        <v>95</v>
      </c>
      <c r="AO850" s="4" t="s">
        <v>680</v>
      </c>
      <c r="AP850" s="4">
        <v>1</v>
      </c>
      <c r="AQ850" s="20">
        <v>139000</v>
      </c>
      <c r="AR850" s="4">
        <v>41855</v>
      </c>
      <c r="AS850" s="20">
        <v>28080.808080808078</v>
      </c>
      <c r="AT850" s="20">
        <v>27192.5</v>
      </c>
      <c r="AU850" s="20">
        <v>-888.30808080807765</v>
      </c>
      <c r="AW850" s="20">
        <v>50</v>
      </c>
      <c r="AY850" s="20">
        <v>50</v>
      </c>
      <c r="AZ850" s="20">
        <v>23.5</v>
      </c>
      <c r="BB850" s="6">
        <v>41855</v>
      </c>
      <c r="BC850" s="6">
        <v>0</v>
      </c>
      <c r="BD850" s="6">
        <v>41862</v>
      </c>
      <c r="BE850" s="6">
        <v>0</v>
      </c>
      <c r="BF850" s="6">
        <v>41862</v>
      </c>
      <c r="BG850" s="6">
        <v>41961</v>
      </c>
      <c r="BH850" s="6">
        <v>0</v>
      </c>
      <c r="BI850" s="6">
        <v>0</v>
      </c>
      <c r="BJ850" s="6">
        <v>0</v>
      </c>
      <c r="BK850" s="4">
        <v>0</v>
      </c>
      <c r="BL850" s="4">
        <v>0</v>
      </c>
      <c r="BM850" s="20">
        <v>92</v>
      </c>
      <c r="BN850" s="20">
        <v>0</v>
      </c>
      <c r="BO850" s="20">
        <v>0</v>
      </c>
      <c r="BP850" s="20">
        <v>0</v>
      </c>
      <c r="BQ850" s="20">
        <v>0</v>
      </c>
      <c r="BR850" s="20">
        <v>0</v>
      </c>
      <c r="BS850" s="20">
        <v>92</v>
      </c>
      <c r="BT850" s="20">
        <v>2501710</v>
      </c>
      <c r="BU850" s="20">
        <v>12788000</v>
      </c>
      <c r="BV850" s="20">
        <v>4.6470032679465429</v>
      </c>
    </row>
    <row r="851" spans="1:74">
      <c r="A851" s="10">
        <f t="shared" si="54"/>
        <v>0</v>
      </c>
      <c r="B851" s="10">
        <f t="shared" si="55"/>
        <v>0</v>
      </c>
      <c r="C851" s="12">
        <f t="shared" si="56"/>
        <v>8</v>
      </c>
      <c r="D851" s="12">
        <f t="shared" si="57"/>
        <v>8</v>
      </c>
      <c r="E851" s="20" t="s">
        <v>574</v>
      </c>
      <c r="F851" s="20" t="s">
        <v>3089</v>
      </c>
      <c r="G851" s="20" t="s">
        <v>3090</v>
      </c>
      <c r="H851" s="20" t="s">
        <v>3169</v>
      </c>
      <c r="I851" s="20">
        <v>7</v>
      </c>
      <c r="J851" s="20" t="s">
        <v>3170</v>
      </c>
      <c r="K851" s="20" t="s">
        <v>3176</v>
      </c>
      <c r="L851" s="20" t="s">
        <v>3158</v>
      </c>
      <c r="M851" s="20" t="s">
        <v>2667</v>
      </c>
      <c r="N851" s="20" t="s">
        <v>3159</v>
      </c>
      <c r="P851" s="20" t="s">
        <v>2667</v>
      </c>
      <c r="Q851" s="20" t="s">
        <v>2674</v>
      </c>
      <c r="R851" s="20" t="s">
        <v>84</v>
      </c>
      <c r="S851" s="20">
        <v>4</v>
      </c>
      <c r="T851" s="20" t="s">
        <v>3160</v>
      </c>
      <c r="U851" s="20" t="s">
        <v>3161</v>
      </c>
      <c r="V851" s="20" t="s">
        <v>87</v>
      </c>
      <c r="W851" s="20">
        <v>638</v>
      </c>
      <c r="X851" s="20">
        <v>638</v>
      </c>
      <c r="Y851" s="20" t="s">
        <v>3162</v>
      </c>
      <c r="Z851" s="20">
        <v>0.16666666666666666</v>
      </c>
      <c r="AA851" s="20" t="s">
        <v>3177</v>
      </c>
      <c r="AB851" s="20" t="s">
        <v>101</v>
      </c>
      <c r="AC851" s="20" t="s">
        <v>102</v>
      </c>
      <c r="AD851" s="20" t="s">
        <v>3173</v>
      </c>
      <c r="AE851" s="20" t="s">
        <v>400</v>
      </c>
      <c r="AF851" s="20">
        <v>0.33333333333333331</v>
      </c>
      <c r="AG851" s="20">
        <v>0</v>
      </c>
      <c r="AH851" s="20">
        <v>1</v>
      </c>
      <c r="AI851" s="4" t="s">
        <v>649</v>
      </c>
      <c r="AJ851" s="20">
        <v>33</v>
      </c>
      <c r="AK851" s="4" t="s">
        <v>679</v>
      </c>
      <c r="AL851" s="4">
        <v>5</v>
      </c>
      <c r="AM851" s="4" t="s">
        <v>485</v>
      </c>
      <c r="AN851" s="4" t="s">
        <v>95</v>
      </c>
      <c r="AO851" s="4" t="s">
        <v>680</v>
      </c>
      <c r="AP851" s="4">
        <v>1</v>
      </c>
      <c r="AQ851" s="20">
        <v>139000</v>
      </c>
      <c r="AR851" s="4">
        <v>41855</v>
      </c>
      <c r="AS851" s="20">
        <v>28080.808080808078</v>
      </c>
      <c r="AT851" s="20">
        <v>27192.5</v>
      </c>
      <c r="AU851" s="20">
        <v>-888.30808080807765</v>
      </c>
      <c r="AW851" s="20">
        <v>50</v>
      </c>
      <c r="AY851" s="20">
        <v>50</v>
      </c>
      <c r="AZ851" s="20">
        <v>23.5</v>
      </c>
      <c r="BB851" s="6">
        <v>41855</v>
      </c>
      <c r="BC851" s="6">
        <v>0</v>
      </c>
      <c r="BD851" s="6">
        <v>41862</v>
      </c>
      <c r="BE851" s="6">
        <v>0</v>
      </c>
      <c r="BF851" s="6">
        <v>41862</v>
      </c>
      <c r="BG851" s="6">
        <v>41961</v>
      </c>
      <c r="BH851" s="6">
        <v>0</v>
      </c>
      <c r="BI851" s="6">
        <v>0</v>
      </c>
      <c r="BJ851" s="6">
        <v>0</v>
      </c>
      <c r="BK851" s="4">
        <v>0</v>
      </c>
      <c r="BL851" s="4">
        <v>0</v>
      </c>
      <c r="BM851" s="20">
        <v>33</v>
      </c>
      <c r="BN851" s="20">
        <v>0</v>
      </c>
      <c r="BO851" s="20">
        <v>0</v>
      </c>
      <c r="BP851" s="20">
        <v>0</v>
      </c>
      <c r="BQ851" s="20">
        <v>0</v>
      </c>
      <c r="BR851" s="20">
        <v>0</v>
      </c>
      <c r="BS851" s="20">
        <v>33</v>
      </c>
      <c r="BT851" s="20">
        <v>897352.5</v>
      </c>
      <c r="BU851" s="20">
        <v>4587000</v>
      </c>
      <c r="BV851" s="20">
        <v>4.6470032679465421</v>
      </c>
    </row>
    <row r="852" spans="1:74">
      <c r="A852" s="10">
        <f t="shared" si="54"/>
        <v>0</v>
      </c>
      <c r="B852" s="10">
        <f t="shared" si="55"/>
        <v>0</v>
      </c>
      <c r="C852" s="12">
        <f t="shared" si="56"/>
        <v>8</v>
      </c>
      <c r="D852" s="12">
        <f t="shared" si="57"/>
        <v>8</v>
      </c>
      <c r="E852" s="20" t="s">
        <v>574</v>
      </c>
      <c r="F852" s="20" t="s">
        <v>3089</v>
      </c>
      <c r="G852" s="20" t="s">
        <v>3090</v>
      </c>
      <c r="H852" s="20" t="s">
        <v>3178</v>
      </c>
      <c r="I852" s="20">
        <v>8</v>
      </c>
      <c r="J852" s="20" t="s">
        <v>3179</v>
      </c>
      <c r="K852" s="20" t="s">
        <v>3180</v>
      </c>
      <c r="L852" s="20" t="s">
        <v>3181</v>
      </c>
      <c r="M852" s="20" t="s">
        <v>2667</v>
      </c>
      <c r="N852" s="20" t="s">
        <v>3159</v>
      </c>
      <c r="P852" s="20" t="s">
        <v>2667</v>
      </c>
      <c r="Q852" s="20" t="s">
        <v>2674</v>
      </c>
      <c r="R852" s="20" t="s">
        <v>84</v>
      </c>
      <c r="S852" s="20">
        <v>4</v>
      </c>
      <c r="T852" s="20" t="s">
        <v>3160</v>
      </c>
      <c r="U852" s="20" t="s">
        <v>3161</v>
      </c>
      <c r="V852" s="20" t="s">
        <v>87</v>
      </c>
      <c r="W852" s="20">
        <v>728</v>
      </c>
      <c r="X852" s="20">
        <v>728</v>
      </c>
      <c r="Y852" s="20" t="s">
        <v>3182</v>
      </c>
      <c r="Z852" s="20">
        <v>0.16666666666666666</v>
      </c>
      <c r="AA852" s="20" t="s">
        <v>3183</v>
      </c>
      <c r="AB852" s="20" t="s">
        <v>101</v>
      </c>
      <c r="AC852" s="20" t="s">
        <v>102</v>
      </c>
      <c r="AD852" s="20" t="s">
        <v>3184</v>
      </c>
      <c r="AE852" s="20" t="s">
        <v>400</v>
      </c>
      <c r="AF852" s="20">
        <v>0.33333333333333331</v>
      </c>
      <c r="AG852" s="20">
        <v>0</v>
      </c>
      <c r="AH852" s="20">
        <v>1</v>
      </c>
      <c r="AI852" s="4" t="s">
        <v>645</v>
      </c>
      <c r="AJ852" s="20">
        <v>85</v>
      </c>
      <c r="AK852" s="4" t="s">
        <v>679</v>
      </c>
      <c r="AL852" s="4">
        <v>5</v>
      </c>
      <c r="AM852" s="4" t="s">
        <v>485</v>
      </c>
      <c r="AN852" s="4" t="s">
        <v>95</v>
      </c>
      <c r="AO852" s="4" t="s">
        <v>680</v>
      </c>
      <c r="AP852" s="4">
        <v>1</v>
      </c>
      <c r="AQ852" s="20">
        <v>139000</v>
      </c>
      <c r="AR852" s="4">
        <v>41855</v>
      </c>
      <c r="AS852" s="20">
        <v>28080.808080808078</v>
      </c>
      <c r="AT852" s="20">
        <v>27192.5</v>
      </c>
      <c r="AU852" s="20">
        <v>-888.30808080807765</v>
      </c>
      <c r="AW852" s="20">
        <v>50</v>
      </c>
      <c r="AY852" s="20">
        <v>50</v>
      </c>
      <c r="AZ852" s="20">
        <v>23.5</v>
      </c>
      <c r="BB852" s="6">
        <v>41855</v>
      </c>
      <c r="BC852" s="6">
        <v>0</v>
      </c>
      <c r="BD852" s="6">
        <v>41862</v>
      </c>
      <c r="BE852" s="6">
        <v>0</v>
      </c>
      <c r="BF852" s="6">
        <v>41862</v>
      </c>
      <c r="BG852" s="6">
        <v>0</v>
      </c>
      <c r="BH852" s="6">
        <v>0</v>
      </c>
      <c r="BI852" s="6">
        <v>0</v>
      </c>
      <c r="BJ852" s="6">
        <v>0</v>
      </c>
      <c r="BK852" s="4">
        <v>0</v>
      </c>
      <c r="BL852" s="4">
        <v>0</v>
      </c>
      <c r="BM852" s="20">
        <v>85</v>
      </c>
      <c r="BN852" s="20">
        <v>0</v>
      </c>
      <c r="BO852" s="20">
        <v>0</v>
      </c>
      <c r="BP852" s="20">
        <v>0</v>
      </c>
      <c r="BQ852" s="20">
        <v>0</v>
      </c>
      <c r="BR852" s="20">
        <v>0</v>
      </c>
      <c r="BS852" s="20">
        <v>85</v>
      </c>
      <c r="BT852" s="20">
        <v>2311362.5</v>
      </c>
      <c r="BU852" s="20">
        <v>11815000</v>
      </c>
      <c r="BV852" s="20">
        <v>4.6470032679465429</v>
      </c>
    </row>
    <row r="853" spans="1:74">
      <c r="A853" s="10">
        <f t="shared" si="54"/>
        <v>0</v>
      </c>
      <c r="B853" s="10">
        <f t="shared" si="55"/>
        <v>0</v>
      </c>
      <c r="C853" s="12">
        <f t="shared" si="56"/>
        <v>8</v>
      </c>
      <c r="D853" s="12">
        <f t="shared" si="57"/>
        <v>8</v>
      </c>
      <c r="E853" s="20" t="s">
        <v>574</v>
      </c>
      <c r="F853" s="20" t="s">
        <v>3089</v>
      </c>
      <c r="G853" s="20" t="s">
        <v>3090</v>
      </c>
      <c r="H853" s="20" t="s">
        <v>3178</v>
      </c>
      <c r="I853" s="20">
        <v>8</v>
      </c>
      <c r="J853" s="20" t="s">
        <v>3179</v>
      </c>
      <c r="K853" s="20" t="s">
        <v>3185</v>
      </c>
      <c r="L853" s="20" t="s">
        <v>3181</v>
      </c>
      <c r="M853" s="20" t="s">
        <v>2667</v>
      </c>
      <c r="N853" s="20" t="s">
        <v>3159</v>
      </c>
      <c r="P853" s="20" t="s">
        <v>2667</v>
      </c>
      <c r="Q853" s="20" t="s">
        <v>2674</v>
      </c>
      <c r="R853" s="20" t="s">
        <v>84</v>
      </c>
      <c r="S853" s="20">
        <v>4</v>
      </c>
      <c r="T853" s="20" t="s">
        <v>3160</v>
      </c>
      <c r="U853" s="20" t="s">
        <v>3161</v>
      </c>
      <c r="V853" s="20" t="s">
        <v>87</v>
      </c>
      <c r="W853" s="20">
        <v>728</v>
      </c>
      <c r="X853" s="20">
        <v>728</v>
      </c>
      <c r="Y853" s="20" t="s">
        <v>3182</v>
      </c>
      <c r="Z853" s="20">
        <v>0.16666666666666666</v>
      </c>
      <c r="AA853" s="20" t="s">
        <v>3186</v>
      </c>
      <c r="AB853" s="20" t="s">
        <v>101</v>
      </c>
      <c r="AC853" s="20" t="s">
        <v>102</v>
      </c>
      <c r="AD853" s="20" t="s">
        <v>3184</v>
      </c>
      <c r="AE853" s="20" t="s">
        <v>400</v>
      </c>
      <c r="AF853" s="20">
        <v>0.33333333333333331</v>
      </c>
      <c r="AG853" s="20">
        <v>0</v>
      </c>
      <c r="AH853" s="20">
        <v>1</v>
      </c>
      <c r="AI853" s="4" t="s">
        <v>647</v>
      </c>
      <c r="AJ853" s="20">
        <v>90</v>
      </c>
      <c r="AK853" s="4" t="s">
        <v>679</v>
      </c>
      <c r="AL853" s="4">
        <v>5</v>
      </c>
      <c r="AM853" s="4" t="s">
        <v>485</v>
      </c>
      <c r="AN853" s="4" t="s">
        <v>95</v>
      </c>
      <c r="AO853" s="4" t="s">
        <v>680</v>
      </c>
      <c r="AP853" s="4">
        <v>1</v>
      </c>
      <c r="AQ853" s="20">
        <v>139000</v>
      </c>
      <c r="AR853" s="4">
        <v>41855</v>
      </c>
      <c r="AS853" s="20">
        <v>28080.808080808078</v>
      </c>
      <c r="AT853" s="20">
        <v>27192.5</v>
      </c>
      <c r="AU853" s="20">
        <v>-888.30808080807765</v>
      </c>
      <c r="AW853" s="20">
        <v>50</v>
      </c>
      <c r="AY853" s="20">
        <v>50</v>
      </c>
      <c r="AZ853" s="20">
        <v>23.5</v>
      </c>
      <c r="BB853" s="6">
        <v>41855</v>
      </c>
      <c r="BC853" s="6">
        <v>0</v>
      </c>
      <c r="BD853" s="6">
        <v>41862</v>
      </c>
      <c r="BE853" s="6">
        <v>0</v>
      </c>
      <c r="BF853" s="6">
        <v>41862</v>
      </c>
      <c r="BG853" s="6">
        <v>0</v>
      </c>
      <c r="BH853" s="6">
        <v>0</v>
      </c>
      <c r="BI853" s="6">
        <v>0</v>
      </c>
      <c r="BJ853" s="6">
        <v>0</v>
      </c>
      <c r="BK853" s="4">
        <v>0</v>
      </c>
      <c r="BL853" s="4">
        <v>0</v>
      </c>
      <c r="BM853" s="20">
        <v>90</v>
      </c>
      <c r="BN853" s="20">
        <v>0</v>
      </c>
      <c r="BO853" s="20">
        <v>0</v>
      </c>
      <c r="BP853" s="20">
        <v>0</v>
      </c>
      <c r="BQ853" s="20">
        <v>0</v>
      </c>
      <c r="BR853" s="20">
        <v>0</v>
      </c>
      <c r="BS853" s="20">
        <v>90</v>
      </c>
      <c r="BT853" s="20">
        <v>2447325</v>
      </c>
      <c r="BU853" s="20">
        <v>12510000</v>
      </c>
      <c r="BV853" s="20">
        <v>4.6470032679465429</v>
      </c>
    </row>
    <row r="854" spans="1:74">
      <c r="A854" s="10">
        <f t="shared" si="54"/>
        <v>0</v>
      </c>
      <c r="B854" s="10">
        <f t="shared" si="55"/>
        <v>0</v>
      </c>
      <c r="C854" s="12">
        <f t="shared" si="56"/>
        <v>8</v>
      </c>
      <c r="D854" s="12">
        <f t="shared" si="57"/>
        <v>8</v>
      </c>
      <c r="E854" s="20" t="s">
        <v>574</v>
      </c>
      <c r="F854" s="20" t="s">
        <v>3089</v>
      </c>
      <c r="G854" s="20" t="s">
        <v>3090</v>
      </c>
      <c r="H854" s="20" t="s">
        <v>3178</v>
      </c>
      <c r="I854" s="20">
        <v>8</v>
      </c>
      <c r="J854" s="20" t="s">
        <v>3179</v>
      </c>
      <c r="K854" s="20" t="s">
        <v>3187</v>
      </c>
      <c r="L854" s="20" t="s">
        <v>3181</v>
      </c>
      <c r="M854" s="20" t="s">
        <v>2667</v>
      </c>
      <c r="N854" s="20" t="s">
        <v>3159</v>
      </c>
      <c r="P854" s="20" t="s">
        <v>2667</v>
      </c>
      <c r="Q854" s="20" t="s">
        <v>2674</v>
      </c>
      <c r="R854" s="20" t="s">
        <v>84</v>
      </c>
      <c r="S854" s="20">
        <v>4</v>
      </c>
      <c r="T854" s="20" t="s">
        <v>3160</v>
      </c>
      <c r="U854" s="20" t="s">
        <v>3161</v>
      </c>
      <c r="V854" s="20" t="s">
        <v>87</v>
      </c>
      <c r="W854" s="20">
        <v>728</v>
      </c>
      <c r="X854" s="20">
        <v>728</v>
      </c>
      <c r="Y854" s="20" t="s">
        <v>3182</v>
      </c>
      <c r="Z854" s="20">
        <v>0.16666666666666666</v>
      </c>
      <c r="AA854" s="20" t="s">
        <v>3188</v>
      </c>
      <c r="AB854" s="20" t="s">
        <v>101</v>
      </c>
      <c r="AC854" s="20" t="s">
        <v>102</v>
      </c>
      <c r="AD854" s="20" t="s">
        <v>3184</v>
      </c>
      <c r="AE854" s="20" t="s">
        <v>400</v>
      </c>
      <c r="AF854" s="20">
        <v>0.33333333333333331</v>
      </c>
      <c r="AG854" s="20">
        <v>0</v>
      </c>
      <c r="AH854" s="20">
        <v>1</v>
      </c>
      <c r="AI854" s="4" t="s">
        <v>649</v>
      </c>
      <c r="AJ854" s="20">
        <v>71</v>
      </c>
      <c r="AK854" s="4" t="s">
        <v>679</v>
      </c>
      <c r="AL854" s="4">
        <v>5</v>
      </c>
      <c r="AM854" s="4" t="s">
        <v>485</v>
      </c>
      <c r="AN854" s="4" t="s">
        <v>95</v>
      </c>
      <c r="AO854" s="4" t="s">
        <v>680</v>
      </c>
      <c r="AP854" s="4">
        <v>1</v>
      </c>
      <c r="AQ854" s="20">
        <v>139000</v>
      </c>
      <c r="AR854" s="4">
        <v>41855</v>
      </c>
      <c r="AS854" s="20">
        <v>28080.808080808078</v>
      </c>
      <c r="AT854" s="20">
        <v>27192.5</v>
      </c>
      <c r="AU854" s="20">
        <v>-888.30808080807765</v>
      </c>
      <c r="AW854" s="20">
        <v>50</v>
      </c>
      <c r="AY854" s="20">
        <v>50</v>
      </c>
      <c r="AZ854" s="20">
        <v>23.5</v>
      </c>
      <c r="BB854" s="6">
        <v>41855</v>
      </c>
      <c r="BC854" s="6">
        <v>0</v>
      </c>
      <c r="BD854" s="6">
        <v>41862</v>
      </c>
      <c r="BE854" s="6">
        <v>0</v>
      </c>
      <c r="BF854" s="6">
        <v>41862</v>
      </c>
      <c r="BG854" s="6">
        <v>0</v>
      </c>
      <c r="BH854" s="6">
        <v>0</v>
      </c>
      <c r="BI854" s="6">
        <v>0</v>
      </c>
      <c r="BJ854" s="6">
        <v>0</v>
      </c>
      <c r="BK854" s="4">
        <v>0</v>
      </c>
      <c r="BL854" s="4">
        <v>0</v>
      </c>
      <c r="BM854" s="20">
        <v>71</v>
      </c>
      <c r="BN854" s="20">
        <v>0</v>
      </c>
      <c r="BO854" s="20">
        <v>0</v>
      </c>
      <c r="BP854" s="20">
        <v>0</v>
      </c>
      <c r="BQ854" s="20">
        <v>0</v>
      </c>
      <c r="BR854" s="20">
        <v>0</v>
      </c>
      <c r="BS854" s="20">
        <v>71</v>
      </c>
      <c r="BT854" s="20">
        <v>1930667.5</v>
      </c>
      <c r="BU854" s="20">
        <v>9869000</v>
      </c>
      <c r="BV854" s="20">
        <v>4.6470032679465429</v>
      </c>
    </row>
    <row r="855" spans="1:74">
      <c r="A855" s="10">
        <f t="shared" si="54"/>
        <v>0</v>
      </c>
      <c r="B855" s="10">
        <f t="shared" si="55"/>
        <v>0</v>
      </c>
      <c r="C855" s="12">
        <f t="shared" si="56"/>
        <v>8</v>
      </c>
      <c r="D855" s="12">
        <f t="shared" si="57"/>
        <v>8</v>
      </c>
      <c r="E855" s="20" t="s">
        <v>574</v>
      </c>
      <c r="F855" s="20" t="s">
        <v>3089</v>
      </c>
      <c r="G855" s="20" t="s">
        <v>3090</v>
      </c>
      <c r="H855" s="20" t="s">
        <v>3189</v>
      </c>
      <c r="I855" s="20">
        <v>9</v>
      </c>
      <c r="J855" s="20" t="s">
        <v>3190</v>
      </c>
      <c r="K855" s="20" t="s">
        <v>3191</v>
      </c>
      <c r="L855" s="20" t="s">
        <v>3181</v>
      </c>
      <c r="M855" s="20" t="s">
        <v>2667</v>
      </c>
      <c r="N855" s="20" t="s">
        <v>3159</v>
      </c>
      <c r="P855" s="20" t="s">
        <v>2667</v>
      </c>
      <c r="Q855" s="20" t="s">
        <v>2674</v>
      </c>
      <c r="R855" s="20" t="s">
        <v>84</v>
      </c>
      <c r="S855" s="20">
        <v>4</v>
      </c>
      <c r="T855" s="20" t="s">
        <v>3160</v>
      </c>
      <c r="U855" s="20" t="s">
        <v>3161</v>
      </c>
      <c r="V855" s="20" t="s">
        <v>87</v>
      </c>
      <c r="W855" s="20">
        <v>728</v>
      </c>
      <c r="X855" s="20">
        <v>728</v>
      </c>
      <c r="Y855" s="20" t="s">
        <v>3182</v>
      </c>
      <c r="Z855" s="20">
        <v>0.16666666666666666</v>
      </c>
      <c r="AA855" s="20" t="s">
        <v>3192</v>
      </c>
      <c r="AB855" s="20" t="s">
        <v>279</v>
      </c>
      <c r="AC855" s="20" t="s">
        <v>280</v>
      </c>
      <c r="AD855" s="20" t="s">
        <v>3193</v>
      </c>
      <c r="AE855" s="20" t="s">
        <v>400</v>
      </c>
      <c r="AF855" s="20">
        <v>0.33333333333333331</v>
      </c>
      <c r="AG855" s="20">
        <v>0</v>
      </c>
      <c r="AH855" s="20">
        <v>1</v>
      </c>
      <c r="AI855" s="4" t="s">
        <v>645</v>
      </c>
      <c r="AJ855" s="20">
        <v>89</v>
      </c>
      <c r="AK855" s="4" t="s">
        <v>679</v>
      </c>
      <c r="AL855" s="4">
        <v>5</v>
      </c>
      <c r="AM855" s="4" t="s">
        <v>485</v>
      </c>
      <c r="AN855" s="4" t="s">
        <v>95</v>
      </c>
      <c r="AO855" s="4" t="s">
        <v>680</v>
      </c>
      <c r="AP855" s="4">
        <v>1</v>
      </c>
      <c r="AQ855" s="20">
        <v>139000</v>
      </c>
      <c r="AR855" s="4">
        <v>41855</v>
      </c>
      <c r="AS855" s="20">
        <v>28080.808080808078</v>
      </c>
      <c r="AT855" s="20">
        <v>27192.5</v>
      </c>
      <c r="AU855" s="20">
        <v>-888.30808080807765</v>
      </c>
      <c r="AW855" s="20">
        <v>50</v>
      </c>
      <c r="AY855" s="20">
        <v>50</v>
      </c>
      <c r="AZ855" s="20">
        <v>23.5</v>
      </c>
      <c r="BB855" s="6">
        <v>41855</v>
      </c>
      <c r="BC855" s="6">
        <v>0</v>
      </c>
      <c r="BD855" s="6">
        <v>41862</v>
      </c>
      <c r="BE855" s="6">
        <v>0</v>
      </c>
      <c r="BF855" s="6">
        <v>41862</v>
      </c>
      <c r="BG855" s="6">
        <v>0</v>
      </c>
      <c r="BH855" s="6">
        <v>0</v>
      </c>
      <c r="BI855" s="6">
        <v>0</v>
      </c>
      <c r="BJ855" s="6">
        <v>0</v>
      </c>
      <c r="BK855" s="4">
        <v>0</v>
      </c>
      <c r="BL855" s="4">
        <v>0</v>
      </c>
      <c r="BM855" s="20">
        <v>89</v>
      </c>
      <c r="BN855" s="20">
        <v>0</v>
      </c>
      <c r="BO855" s="20">
        <v>0</v>
      </c>
      <c r="BP855" s="20">
        <v>0</v>
      </c>
      <c r="BQ855" s="20">
        <v>0</v>
      </c>
      <c r="BR855" s="20">
        <v>0</v>
      </c>
      <c r="BS855" s="20">
        <v>89</v>
      </c>
      <c r="BT855" s="20">
        <v>2420132.5</v>
      </c>
      <c r="BU855" s="20">
        <v>12371000</v>
      </c>
      <c r="BV855" s="20">
        <v>4.6470032679465429</v>
      </c>
    </row>
    <row r="856" spans="1:74">
      <c r="A856" s="10">
        <f t="shared" si="54"/>
        <v>0</v>
      </c>
      <c r="B856" s="10">
        <f t="shared" si="55"/>
        <v>0</v>
      </c>
      <c r="C856" s="12">
        <f t="shared" si="56"/>
        <v>8</v>
      </c>
      <c r="D856" s="12">
        <f t="shared" si="57"/>
        <v>8</v>
      </c>
      <c r="E856" s="20" t="s">
        <v>574</v>
      </c>
      <c r="F856" s="20" t="s">
        <v>3089</v>
      </c>
      <c r="G856" s="20" t="s">
        <v>3090</v>
      </c>
      <c r="H856" s="20" t="s">
        <v>3189</v>
      </c>
      <c r="I856" s="20">
        <v>9</v>
      </c>
      <c r="J856" s="20" t="s">
        <v>3190</v>
      </c>
      <c r="K856" s="20" t="s">
        <v>3194</v>
      </c>
      <c r="L856" s="20" t="s">
        <v>3181</v>
      </c>
      <c r="M856" s="20" t="s">
        <v>2667</v>
      </c>
      <c r="N856" s="20" t="s">
        <v>3159</v>
      </c>
      <c r="P856" s="20" t="s">
        <v>2667</v>
      </c>
      <c r="Q856" s="20" t="s">
        <v>2674</v>
      </c>
      <c r="R856" s="20" t="s">
        <v>84</v>
      </c>
      <c r="S856" s="20">
        <v>4</v>
      </c>
      <c r="T856" s="20" t="s">
        <v>3160</v>
      </c>
      <c r="U856" s="20" t="s">
        <v>3161</v>
      </c>
      <c r="V856" s="20" t="s">
        <v>87</v>
      </c>
      <c r="W856" s="20">
        <v>728</v>
      </c>
      <c r="X856" s="20">
        <v>728</v>
      </c>
      <c r="Y856" s="20" t="s">
        <v>3182</v>
      </c>
      <c r="Z856" s="20">
        <v>0.16666666666666666</v>
      </c>
      <c r="AA856" s="20" t="s">
        <v>3195</v>
      </c>
      <c r="AB856" s="20" t="s">
        <v>279</v>
      </c>
      <c r="AC856" s="20" t="s">
        <v>280</v>
      </c>
      <c r="AD856" s="20" t="s">
        <v>3193</v>
      </c>
      <c r="AE856" s="20" t="s">
        <v>400</v>
      </c>
      <c r="AF856" s="20">
        <v>0.33333333333333331</v>
      </c>
      <c r="AG856" s="20">
        <v>0</v>
      </c>
      <c r="AH856" s="20">
        <v>1</v>
      </c>
      <c r="AI856" s="4" t="s">
        <v>647</v>
      </c>
      <c r="AJ856" s="20">
        <v>121</v>
      </c>
      <c r="AK856" s="4" t="s">
        <v>679</v>
      </c>
      <c r="AL856" s="4">
        <v>5</v>
      </c>
      <c r="AM856" s="4" t="s">
        <v>485</v>
      </c>
      <c r="AN856" s="4" t="s">
        <v>95</v>
      </c>
      <c r="AO856" s="4" t="s">
        <v>680</v>
      </c>
      <c r="AP856" s="4">
        <v>1</v>
      </c>
      <c r="AQ856" s="20">
        <v>139000</v>
      </c>
      <c r="AR856" s="4">
        <v>41855</v>
      </c>
      <c r="AS856" s="20">
        <v>28080.808080808078</v>
      </c>
      <c r="AT856" s="20">
        <v>27192.5</v>
      </c>
      <c r="AU856" s="20">
        <v>-888.30808080807765</v>
      </c>
      <c r="AW856" s="20">
        <v>50</v>
      </c>
      <c r="AY856" s="20">
        <v>50</v>
      </c>
      <c r="AZ856" s="20">
        <v>23.5</v>
      </c>
      <c r="BB856" s="6">
        <v>41855</v>
      </c>
      <c r="BC856" s="6">
        <v>0</v>
      </c>
      <c r="BD856" s="6">
        <v>41862</v>
      </c>
      <c r="BE856" s="6">
        <v>0</v>
      </c>
      <c r="BF856" s="6">
        <v>41862</v>
      </c>
      <c r="BG856" s="6">
        <v>0</v>
      </c>
      <c r="BH856" s="6">
        <v>0</v>
      </c>
      <c r="BI856" s="6">
        <v>0</v>
      </c>
      <c r="BJ856" s="6">
        <v>0</v>
      </c>
      <c r="BK856" s="4">
        <v>0</v>
      </c>
      <c r="BL856" s="4">
        <v>0</v>
      </c>
      <c r="BM856" s="20">
        <v>121</v>
      </c>
      <c r="BN856" s="20">
        <v>0</v>
      </c>
      <c r="BO856" s="20">
        <v>0</v>
      </c>
      <c r="BP856" s="20">
        <v>0</v>
      </c>
      <c r="BQ856" s="20">
        <v>0</v>
      </c>
      <c r="BR856" s="20">
        <v>0</v>
      </c>
      <c r="BS856" s="20">
        <v>121</v>
      </c>
      <c r="BT856" s="20">
        <v>3290292.5</v>
      </c>
      <c r="BU856" s="20">
        <v>16819000</v>
      </c>
      <c r="BV856" s="20">
        <v>4.6470032679465421</v>
      </c>
    </row>
    <row r="857" spans="1:74">
      <c r="A857" s="10">
        <f t="shared" si="54"/>
        <v>0</v>
      </c>
      <c r="B857" s="10">
        <f t="shared" si="55"/>
        <v>0</v>
      </c>
      <c r="C857" s="12">
        <f t="shared" si="56"/>
        <v>8</v>
      </c>
      <c r="D857" s="12">
        <f t="shared" si="57"/>
        <v>8</v>
      </c>
      <c r="E857" s="20" t="s">
        <v>574</v>
      </c>
      <c r="F857" s="20" t="s">
        <v>3089</v>
      </c>
      <c r="G857" s="20" t="s">
        <v>3090</v>
      </c>
      <c r="H857" s="20" t="s">
        <v>3189</v>
      </c>
      <c r="I857" s="20">
        <v>9</v>
      </c>
      <c r="J857" s="20" t="s">
        <v>3190</v>
      </c>
      <c r="K857" s="20" t="s">
        <v>3196</v>
      </c>
      <c r="L857" s="20" t="s">
        <v>3181</v>
      </c>
      <c r="M857" s="20" t="s">
        <v>2667</v>
      </c>
      <c r="N857" s="20" t="s">
        <v>3159</v>
      </c>
      <c r="P857" s="20" t="s">
        <v>2667</v>
      </c>
      <c r="Q857" s="20" t="s">
        <v>2674</v>
      </c>
      <c r="R857" s="20" t="s">
        <v>84</v>
      </c>
      <c r="S857" s="20">
        <v>4</v>
      </c>
      <c r="T857" s="20" t="s">
        <v>3160</v>
      </c>
      <c r="U857" s="20" t="s">
        <v>3161</v>
      </c>
      <c r="V857" s="20" t="s">
        <v>87</v>
      </c>
      <c r="W857" s="20">
        <v>728</v>
      </c>
      <c r="X857" s="20">
        <v>728</v>
      </c>
      <c r="Y857" s="20" t="s">
        <v>3182</v>
      </c>
      <c r="Z857" s="20">
        <v>0.16666666666666666</v>
      </c>
      <c r="AA857" s="20" t="s">
        <v>3197</v>
      </c>
      <c r="AB857" s="20" t="s">
        <v>279</v>
      </c>
      <c r="AC857" s="20" t="s">
        <v>280</v>
      </c>
      <c r="AD857" s="20" t="s">
        <v>3193</v>
      </c>
      <c r="AE857" s="20" t="s">
        <v>400</v>
      </c>
      <c r="AF857" s="20">
        <v>0.33333333333333331</v>
      </c>
      <c r="AG857" s="20">
        <v>0</v>
      </c>
      <c r="AH857" s="20">
        <v>1</v>
      </c>
      <c r="AI857" s="4" t="s">
        <v>649</v>
      </c>
      <c r="AJ857" s="20">
        <v>90</v>
      </c>
      <c r="AK857" s="4" t="s">
        <v>679</v>
      </c>
      <c r="AL857" s="4">
        <v>5</v>
      </c>
      <c r="AM857" s="4" t="s">
        <v>485</v>
      </c>
      <c r="AN857" s="4" t="s">
        <v>95</v>
      </c>
      <c r="AO857" s="4" t="s">
        <v>680</v>
      </c>
      <c r="AP857" s="4">
        <v>1</v>
      </c>
      <c r="AQ857" s="20">
        <v>139000</v>
      </c>
      <c r="AR857" s="4">
        <v>41855</v>
      </c>
      <c r="AS857" s="20">
        <v>28080.808080808078</v>
      </c>
      <c r="AT857" s="20">
        <v>27192.5</v>
      </c>
      <c r="AU857" s="20">
        <v>-888.30808080807765</v>
      </c>
      <c r="AW857" s="20">
        <v>50</v>
      </c>
      <c r="AY857" s="20">
        <v>50</v>
      </c>
      <c r="AZ857" s="20">
        <v>23.5</v>
      </c>
      <c r="BB857" s="6">
        <v>41855</v>
      </c>
      <c r="BC857" s="6">
        <v>0</v>
      </c>
      <c r="BD857" s="6">
        <v>41862</v>
      </c>
      <c r="BE857" s="6">
        <v>0</v>
      </c>
      <c r="BF857" s="6">
        <v>41862</v>
      </c>
      <c r="BG857" s="6">
        <v>0</v>
      </c>
      <c r="BH857" s="6">
        <v>0</v>
      </c>
      <c r="BI857" s="6">
        <v>0</v>
      </c>
      <c r="BJ857" s="6">
        <v>0</v>
      </c>
      <c r="BK857" s="4">
        <v>0</v>
      </c>
      <c r="BL857" s="4">
        <v>0</v>
      </c>
      <c r="BM857" s="20">
        <v>90</v>
      </c>
      <c r="BN857" s="20">
        <v>0</v>
      </c>
      <c r="BO857" s="20">
        <v>0</v>
      </c>
      <c r="BP857" s="20">
        <v>0</v>
      </c>
      <c r="BQ857" s="20">
        <v>0</v>
      </c>
      <c r="BR857" s="20">
        <v>0</v>
      </c>
      <c r="BS857" s="20">
        <v>90</v>
      </c>
      <c r="BT857" s="20">
        <v>2447325</v>
      </c>
      <c r="BU857" s="20">
        <v>12510000</v>
      </c>
      <c r="BV857" s="20">
        <v>4.6470032679465429</v>
      </c>
    </row>
    <row r="858" spans="1:74">
      <c r="A858" s="10">
        <f t="shared" si="54"/>
        <v>0</v>
      </c>
      <c r="B858" s="10">
        <f t="shared" si="55"/>
        <v>0</v>
      </c>
      <c r="C858" s="12">
        <f t="shared" si="56"/>
        <v>8</v>
      </c>
      <c r="D858" s="12">
        <f t="shared" si="57"/>
        <v>8</v>
      </c>
      <c r="E858" s="20" t="s">
        <v>574</v>
      </c>
      <c r="F858" s="20" t="s">
        <v>3089</v>
      </c>
      <c r="G858" s="20" t="s">
        <v>3090</v>
      </c>
      <c r="H858" s="20" t="s">
        <v>3198</v>
      </c>
      <c r="I858" s="20">
        <v>10</v>
      </c>
      <c r="J858" s="20" t="s">
        <v>3199</v>
      </c>
      <c r="K858" s="20" t="s">
        <v>3200</v>
      </c>
      <c r="L858" s="20" t="s">
        <v>3201</v>
      </c>
      <c r="M858" s="20" t="s">
        <v>2667</v>
      </c>
      <c r="N858" s="20" t="s">
        <v>3202</v>
      </c>
      <c r="P858" s="20" t="s">
        <v>2667</v>
      </c>
      <c r="Q858" s="20" t="s">
        <v>2674</v>
      </c>
      <c r="R858" s="20" t="s">
        <v>84</v>
      </c>
      <c r="S858" s="20">
        <v>4</v>
      </c>
      <c r="T858" s="20" t="s">
        <v>762</v>
      </c>
      <c r="U858" s="20" t="s">
        <v>763</v>
      </c>
      <c r="V858" s="20" t="s">
        <v>87</v>
      </c>
      <c r="W858" s="20">
        <v>729</v>
      </c>
      <c r="X858" s="20">
        <v>729</v>
      </c>
      <c r="Y858" s="20" t="s">
        <v>3203</v>
      </c>
      <c r="Z858" s="20">
        <v>0.25</v>
      </c>
      <c r="AA858" s="20" t="s">
        <v>3204</v>
      </c>
      <c r="AB858" s="20" t="s">
        <v>221</v>
      </c>
      <c r="AC858" s="20" t="s">
        <v>222</v>
      </c>
      <c r="AD858" s="20" t="s">
        <v>3205</v>
      </c>
      <c r="AE858" s="20" t="s">
        <v>400</v>
      </c>
      <c r="AF858" s="20">
        <v>0.25</v>
      </c>
      <c r="AG858" s="20">
        <v>0</v>
      </c>
      <c r="AH858" s="20">
        <v>1</v>
      </c>
      <c r="AI858" s="4" t="s">
        <v>645</v>
      </c>
      <c r="AJ858" s="20">
        <v>109</v>
      </c>
      <c r="AK858" s="4" t="s">
        <v>679</v>
      </c>
      <c r="AL858" s="4">
        <v>5</v>
      </c>
      <c r="AM858" s="4" t="s">
        <v>485</v>
      </c>
      <c r="AN858" s="4" t="s">
        <v>95</v>
      </c>
      <c r="AO858" s="4" t="s">
        <v>680</v>
      </c>
      <c r="AP858" s="4">
        <v>1</v>
      </c>
      <c r="AQ858" s="20">
        <v>69000</v>
      </c>
      <c r="AR858" s="4">
        <v>41855</v>
      </c>
      <c r="AS858" s="20">
        <v>13939.393939393938</v>
      </c>
      <c r="AT858" s="20">
        <v>13563.5</v>
      </c>
      <c r="AU858" s="20">
        <v>-375.89393939393813</v>
      </c>
      <c r="AW858" s="20">
        <v>50</v>
      </c>
      <c r="AY858" s="20">
        <v>50</v>
      </c>
      <c r="AZ858" s="20">
        <v>11.7</v>
      </c>
      <c r="BB858" s="6">
        <v>41855</v>
      </c>
      <c r="BC858" s="6">
        <v>0</v>
      </c>
      <c r="BD858" s="6">
        <v>41862</v>
      </c>
      <c r="BE858" s="6">
        <v>0</v>
      </c>
      <c r="BF858" s="6">
        <v>41862</v>
      </c>
      <c r="BG858" s="6">
        <v>0</v>
      </c>
      <c r="BH858" s="6">
        <v>0</v>
      </c>
      <c r="BI858" s="6">
        <v>0</v>
      </c>
      <c r="BJ858" s="6">
        <v>0</v>
      </c>
      <c r="BK858" s="4">
        <v>0</v>
      </c>
      <c r="BL858" s="4">
        <v>0</v>
      </c>
      <c r="BM858" s="20">
        <v>109</v>
      </c>
      <c r="BN858" s="20">
        <v>0</v>
      </c>
      <c r="BO858" s="20">
        <v>0</v>
      </c>
      <c r="BP858" s="20">
        <v>0</v>
      </c>
      <c r="BQ858" s="20">
        <v>0</v>
      </c>
      <c r="BR858" s="20">
        <v>0</v>
      </c>
      <c r="BS858" s="20">
        <v>109</v>
      </c>
      <c r="BT858" s="20">
        <v>1478421.5</v>
      </c>
      <c r="BU858" s="20">
        <v>7521000</v>
      </c>
      <c r="BV858" s="20">
        <v>4.6247113744441126</v>
      </c>
    </row>
    <row r="859" spans="1:74">
      <c r="A859" s="10">
        <f t="shared" si="54"/>
        <v>0</v>
      </c>
      <c r="B859" s="10">
        <f t="shared" si="55"/>
        <v>0</v>
      </c>
      <c r="C859" s="12">
        <f t="shared" si="56"/>
        <v>8</v>
      </c>
      <c r="D859" s="12">
        <f t="shared" si="57"/>
        <v>8</v>
      </c>
      <c r="E859" s="20" t="s">
        <v>574</v>
      </c>
      <c r="F859" s="20" t="s">
        <v>3089</v>
      </c>
      <c r="G859" s="20" t="s">
        <v>3090</v>
      </c>
      <c r="H859" s="20" t="s">
        <v>3198</v>
      </c>
      <c r="I859" s="20">
        <v>10</v>
      </c>
      <c r="J859" s="20" t="s">
        <v>3199</v>
      </c>
      <c r="K859" s="20" t="s">
        <v>3206</v>
      </c>
      <c r="L859" s="20" t="s">
        <v>3201</v>
      </c>
      <c r="M859" s="20" t="s">
        <v>2667</v>
      </c>
      <c r="N859" s="20" t="s">
        <v>3202</v>
      </c>
      <c r="P859" s="20" t="s">
        <v>2667</v>
      </c>
      <c r="Q859" s="20" t="s">
        <v>2674</v>
      </c>
      <c r="R859" s="20" t="s">
        <v>84</v>
      </c>
      <c r="S859" s="20">
        <v>4</v>
      </c>
      <c r="T859" s="20" t="s">
        <v>762</v>
      </c>
      <c r="U859" s="20" t="s">
        <v>763</v>
      </c>
      <c r="V859" s="20" t="s">
        <v>87</v>
      </c>
      <c r="W859" s="20">
        <v>729</v>
      </c>
      <c r="X859" s="20">
        <v>729</v>
      </c>
      <c r="Y859" s="20" t="s">
        <v>3203</v>
      </c>
      <c r="Z859" s="20">
        <v>0.25</v>
      </c>
      <c r="AA859" s="20" t="s">
        <v>3207</v>
      </c>
      <c r="AB859" s="20" t="s">
        <v>221</v>
      </c>
      <c r="AC859" s="20" t="s">
        <v>222</v>
      </c>
      <c r="AD859" s="20" t="s">
        <v>3205</v>
      </c>
      <c r="AE859" s="20" t="s">
        <v>400</v>
      </c>
      <c r="AF859" s="20">
        <v>0.25</v>
      </c>
      <c r="AG859" s="20">
        <v>0</v>
      </c>
      <c r="AH859" s="20">
        <v>1</v>
      </c>
      <c r="AI859" s="4" t="s">
        <v>647</v>
      </c>
      <c r="AJ859" s="20">
        <v>26</v>
      </c>
      <c r="AK859" s="4" t="s">
        <v>679</v>
      </c>
      <c r="AL859" s="4">
        <v>5</v>
      </c>
      <c r="AM859" s="4" t="s">
        <v>485</v>
      </c>
      <c r="AN859" s="4" t="s">
        <v>95</v>
      </c>
      <c r="AO859" s="4" t="s">
        <v>680</v>
      </c>
      <c r="AP859" s="4">
        <v>1</v>
      </c>
      <c r="AQ859" s="20">
        <v>69000</v>
      </c>
      <c r="AR859" s="4">
        <v>41855</v>
      </c>
      <c r="AS859" s="20">
        <v>13939.393939393938</v>
      </c>
      <c r="AT859" s="20">
        <v>13563.5</v>
      </c>
      <c r="AU859" s="20">
        <v>-375.89393939393813</v>
      </c>
      <c r="AW859" s="20">
        <v>50</v>
      </c>
      <c r="AY859" s="20">
        <v>50</v>
      </c>
      <c r="AZ859" s="20">
        <v>11.7</v>
      </c>
      <c r="BB859" s="6">
        <v>41855</v>
      </c>
      <c r="BC859" s="6">
        <v>0</v>
      </c>
      <c r="BD859" s="6">
        <v>41862</v>
      </c>
      <c r="BE859" s="6">
        <v>0</v>
      </c>
      <c r="BF859" s="6">
        <v>41862</v>
      </c>
      <c r="BG859" s="6">
        <v>0</v>
      </c>
      <c r="BH859" s="6">
        <v>0</v>
      </c>
      <c r="BI859" s="6">
        <v>0</v>
      </c>
      <c r="BJ859" s="6">
        <v>0</v>
      </c>
      <c r="BK859" s="4">
        <v>0</v>
      </c>
      <c r="BL859" s="4">
        <v>0</v>
      </c>
      <c r="BM859" s="20">
        <v>26</v>
      </c>
      <c r="BN859" s="20">
        <v>0</v>
      </c>
      <c r="BO859" s="20">
        <v>0</v>
      </c>
      <c r="BP859" s="20">
        <v>0</v>
      </c>
      <c r="BQ859" s="20">
        <v>0</v>
      </c>
      <c r="BR859" s="20">
        <v>0</v>
      </c>
      <c r="BS859" s="20">
        <v>26</v>
      </c>
      <c r="BT859" s="20">
        <v>352651</v>
      </c>
      <c r="BU859" s="20">
        <v>1794000</v>
      </c>
      <c r="BV859" s="20">
        <v>4.6247113744441126</v>
      </c>
    </row>
    <row r="860" spans="1:74">
      <c r="A860" s="10">
        <f t="shared" si="54"/>
        <v>0</v>
      </c>
      <c r="B860" s="10">
        <f t="shared" si="55"/>
        <v>0</v>
      </c>
      <c r="C860" s="12">
        <f t="shared" si="56"/>
        <v>8</v>
      </c>
      <c r="D860" s="12">
        <f t="shared" si="57"/>
        <v>8</v>
      </c>
      <c r="E860" s="20" t="s">
        <v>574</v>
      </c>
      <c r="F860" s="20" t="s">
        <v>3089</v>
      </c>
      <c r="G860" s="20" t="s">
        <v>3090</v>
      </c>
      <c r="H860" s="20" t="s">
        <v>3198</v>
      </c>
      <c r="I860" s="20">
        <v>10</v>
      </c>
      <c r="J860" s="20" t="s">
        <v>3199</v>
      </c>
      <c r="K860" s="20" t="s">
        <v>3208</v>
      </c>
      <c r="L860" s="20" t="s">
        <v>3201</v>
      </c>
      <c r="M860" s="20" t="s">
        <v>2667</v>
      </c>
      <c r="N860" s="20" t="s">
        <v>3202</v>
      </c>
      <c r="P860" s="20" t="s">
        <v>2667</v>
      </c>
      <c r="Q860" s="20" t="s">
        <v>2674</v>
      </c>
      <c r="R860" s="20" t="s">
        <v>84</v>
      </c>
      <c r="S860" s="20">
        <v>4</v>
      </c>
      <c r="T860" s="20" t="s">
        <v>762</v>
      </c>
      <c r="U860" s="20" t="s">
        <v>763</v>
      </c>
      <c r="V860" s="20" t="s">
        <v>87</v>
      </c>
      <c r="W860" s="20">
        <v>729</v>
      </c>
      <c r="X860" s="20">
        <v>729</v>
      </c>
      <c r="Y860" s="20" t="s">
        <v>3203</v>
      </c>
      <c r="Z860" s="20">
        <v>0.25</v>
      </c>
      <c r="AA860" s="20" t="s">
        <v>3209</v>
      </c>
      <c r="AB860" s="20" t="s">
        <v>221</v>
      </c>
      <c r="AC860" s="20" t="s">
        <v>222</v>
      </c>
      <c r="AD860" s="20" t="s">
        <v>3205</v>
      </c>
      <c r="AE860" s="20" t="s">
        <v>400</v>
      </c>
      <c r="AF860" s="20">
        <v>0.25</v>
      </c>
      <c r="AG860" s="20">
        <v>0</v>
      </c>
      <c r="AH860" s="20">
        <v>1</v>
      </c>
      <c r="AI860" s="4" t="s">
        <v>649</v>
      </c>
      <c r="AJ860" s="20">
        <v>20</v>
      </c>
      <c r="AK860" s="4" t="s">
        <v>679</v>
      </c>
      <c r="AL860" s="4">
        <v>5</v>
      </c>
      <c r="AM860" s="4" t="s">
        <v>485</v>
      </c>
      <c r="AN860" s="4" t="s">
        <v>95</v>
      </c>
      <c r="AO860" s="4" t="s">
        <v>680</v>
      </c>
      <c r="AP860" s="4">
        <v>1</v>
      </c>
      <c r="AQ860" s="20">
        <v>69000</v>
      </c>
      <c r="AR860" s="4">
        <v>41855</v>
      </c>
      <c r="AS860" s="20">
        <v>13939.393939393938</v>
      </c>
      <c r="AT860" s="20">
        <v>13563.5</v>
      </c>
      <c r="AU860" s="20">
        <v>-375.89393939393813</v>
      </c>
      <c r="AW860" s="20">
        <v>50</v>
      </c>
      <c r="AY860" s="20">
        <v>50</v>
      </c>
      <c r="AZ860" s="20">
        <v>11.7</v>
      </c>
      <c r="BB860" s="6">
        <v>41855</v>
      </c>
      <c r="BC860" s="6">
        <v>0</v>
      </c>
      <c r="BD860" s="6">
        <v>41862</v>
      </c>
      <c r="BE860" s="6">
        <v>0</v>
      </c>
      <c r="BF860" s="6">
        <v>41862</v>
      </c>
      <c r="BG860" s="6">
        <v>0</v>
      </c>
      <c r="BH860" s="6">
        <v>0</v>
      </c>
      <c r="BI860" s="6">
        <v>0</v>
      </c>
      <c r="BJ860" s="6">
        <v>0</v>
      </c>
      <c r="BK860" s="4">
        <v>0</v>
      </c>
      <c r="BL860" s="4">
        <v>0</v>
      </c>
      <c r="BM860" s="20">
        <v>20</v>
      </c>
      <c r="BN860" s="20">
        <v>0</v>
      </c>
      <c r="BO860" s="20">
        <v>0</v>
      </c>
      <c r="BP860" s="20">
        <v>0</v>
      </c>
      <c r="BQ860" s="20">
        <v>0</v>
      </c>
      <c r="BR860" s="20">
        <v>0</v>
      </c>
      <c r="BS860" s="20">
        <v>20</v>
      </c>
      <c r="BT860" s="20">
        <v>271270</v>
      </c>
      <c r="BU860" s="20">
        <v>1380000</v>
      </c>
      <c r="BV860" s="20">
        <v>4.6247113744441126</v>
      </c>
    </row>
    <row r="861" spans="1:74">
      <c r="A861" s="10">
        <f t="shared" si="54"/>
        <v>0</v>
      </c>
      <c r="B861" s="10">
        <f t="shared" si="55"/>
        <v>0</v>
      </c>
      <c r="C861" s="12">
        <f t="shared" si="56"/>
        <v>8</v>
      </c>
      <c r="D861" s="12">
        <f t="shared" si="57"/>
        <v>8</v>
      </c>
      <c r="E861" s="20" t="s">
        <v>574</v>
      </c>
      <c r="F861" s="20" t="s">
        <v>3089</v>
      </c>
      <c r="G861" s="20" t="s">
        <v>3090</v>
      </c>
      <c r="H861" s="20" t="s">
        <v>3198</v>
      </c>
      <c r="I861" s="20">
        <v>10</v>
      </c>
      <c r="J861" s="20" t="s">
        <v>3199</v>
      </c>
      <c r="K861" s="20" t="s">
        <v>3210</v>
      </c>
      <c r="L861" s="20" t="s">
        <v>3201</v>
      </c>
      <c r="M861" s="20" t="s">
        <v>2667</v>
      </c>
      <c r="N861" s="20" t="s">
        <v>3202</v>
      </c>
      <c r="P861" s="20" t="s">
        <v>2667</v>
      </c>
      <c r="Q861" s="20" t="s">
        <v>2674</v>
      </c>
      <c r="R861" s="20" t="s">
        <v>84</v>
      </c>
      <c r="S861" s="20">
        <v>4</v>
      </c>
      <c r="T861" s="20" t="s">
        <v>762</v>
      </c>
      <c r="U861" s="20" t="s">
        <v>763</v>
      </c>
      <c r="V861" s="20" t="s">
        <v>87</v>
      </c>
      <c r="W861" s="20">
        <v>729</v>
      </c>
      <c r="X861" s="20">
        <v>729</v>
      </c>
      <c r="Y861" s="20" t="s">
        <v>3203</v>
      </c>
      <c r="Z861" s="20">
        <v>0.25</v>
      </c>
      <c r="AA861" s="20" t="s">
        <v>3211</v>
      </c>
      <c r="AB861" s="20" t="s">
        <v>221</v>
      </c>
      <c r="AC861" s="20" t="s">
        <v>222</v>
      </c>
      <c r="AD861" s="20" t="s">
        <v>3205</v>
      </c>
      <c r="AE861" s="20" t="s">
        <v>400</v>
      </c>
      <c r="AF861" s="20">
        <v>0.25</v>
      </c>
      <c r="AG861" s="20">
        <v>0</v>
      </c>
      <c r="AH861" s="20">
        <v>1</v>
      </c>
      <c r="AI861" s="4" t="s">
        <v>651</v>
      </c>
      <c r="AJ861" s="20">
        <v>5</v>
      </c>
      <c r="AK861" s="4" t="s">
        <v>679</v>
      </c>
      <c r="AL861" s="4">
        <v>5</v>
      </c>
      <c r="AM861" s="4" t="s">
        <v>485</v>
      </c>
      <c r="AN861" s="4" t="s">
        <v>95</v>
      </c>
      <c r="AO861" s="4" t="s">
        <v>680</v>
      </c>
      <c r="AP861" s="4">
        <v>1</v>
      </c>
      <c r="AQ861" s="20">
        <v>69000</v>
      </c>
      <c r="AR861" s="4">
        <v>41855</v>
      </c>
      <c r="AS861" s="20">
        <v>13939.393939393938</v>
      </c>
      <c r="AT861" s="20">
        <v>13563.5</v>
      </c>
      <c r="AU861" s="20">
        <v>-375.89393939393813</v>
      </c>
      <c r="AW861" s="20">
        <v>50</v>
      </c>
      <c r="AY861" s="20">
        <v>50</v>
      </c>
      <c r="AZ861" s="20">
        <v>11.7</v>
      </c>
      <c r="BB861" s="6">
        <v>41855</v>
      </c>
      <c r="BC861" s="6">
        <v>0</v>
      </c>
      <c r="BD861" s="6">
        <v>41862</v>
      </c>
      <c r="BE861" s="6">
        <v>0</v>
      </c>
      <c r="BF861" s="6">
        <v>41862</v>
      </c>
      <c r="BG861" s="6">
        <v>0</v>
      </c>
      <c r="BH861" s="6">
        <v>0</v>
      </c>
      <c r="BI861" s="6">
        <v>0</v>
      </c>
      <c r="BJ861" s="6">
        <v>0</v>
      </c>
      <c r="BK861" s="4">
        <v>0</v>
      </c>
      <c r="BL861" s="4">
        <v>0</v>
      </c>
      <c r="BM861" s="20">
        <v>5</v>
      </c>
      <c r="BN861" s="20">
        <v>0</v>
      </c>
      <c r="BO861" s="20">
        <v>0</v>
      </c>
      <c r="BP861" s="20">
        <v>0</v>
      </c>
      <c r="BQ861" s="20">
        <v>0</v>
      </c>
      <c r="BR861" s="20">
        <v>0</v>
      </c>
      <c r="BS861" s="20">
        <v>5</v>
      </c>
      <c r="BT861" s="20">
        <v>67817.5</v>
      </c>
      <c r="BU861" s="20">
        <v>345000</v>
      </c>
      <c r="BV861" s="20">
        <v>4.6247113744441126</v>
      </c>
    </row>
    <row r="862" spans="1:74">
      <c r="A862" s="10">
        <f t="shared" si="54"/>
        <v>0</v>
      </c>
      <c r="B862" s="10">
        <f t="shared" si="55"/>
        <v>0</v>
      </c>
      <c r="C862" s="12">
        <f t="shared" si="56"/>
        <v>8</v>
      </c>
      <c r="D862" s="12">
        <f t="shared" si="57"/>
        <v>8</v>
      </c>
      <c r="E862" s="20" t="s">
        <v>574</v>
      </c>
      <c r="F862" s="20" t="s">
        <v>3089</v>
      </c>
      <c r="G862" s="20" t="s">
        <v>3090</v>
      </c>
      <c r="H862" s="20" t="s">
        <v>3212</v>
      </c>
      <c r="I862" s="20">
        <v>11</v>
      </c>
      <c r="J862" s="20" t="s">
        <v>3213</v>
      </c>
      <c r="K862" s="20" t="s">
        <v>3214</v>
      </c>
      <c r="L862" s="20" t="s">
        <v>3215</v>
      </c>
      <c r="M862" s="20" t="s">
        <v>2667</v>
      </c>
      <c r="N862" s="20" t="s">
        <v>3216</v>
      </c>
      <c r="P862" s="20" t="s">
        <v>2667</v>
      </c>
      <c r="Q862" s="20" t="s">
        <v>2674</v>
      </c>
      <c r="R862" s="20" t="s">
        <v>84</v>
      </c>
      <c r="S862" s="20">
        <v>4</v>
      </c>
      <c r="T862" s="20" t="s">
        <v>922</v>
      </c>
      <c r="U862" s="20" t="s">
        <v>923</v>
      </c>
      <c r="V862" s="20" t="s">
        <v>87</v>
      </c>
      <c r="W862" s="20">
        <v>701</v>
      </c>
      <c r="X862" s="20">
        <v>701</v>
      </c>
      <c r="Y862" s="20" t="s">
        <v>3217</v>
      </c>
      <c r="Z862" s="20">
        <v>0.33333333333333331</v>
      </c>
      <c r="AA862" s="20" t="s">
        <v>3218</v>
      </c>
      <c r="AB862" s="20" t="s">
        <v>101</v>
      </c>
      <c r="AC862" s="20" t="s">
        <v>102</v>
      </c>
      <c r="AD862" s="20" t="s">
        <v>3219</v>
      </c>
      <c r="AE862" s="20" t="s">
        <v>400</v>
      </c>
      <c r="AF862" s="20">
        <v>0.33333333333333331</v>
      </c>
      <c r="AG862" s="20">
        <v>0</v>
      </c>
      <c r="AH862" s="20">
        <v>1</v>
      </c>
      <c r="AI862" s="4" t="s">
        <v>645</v>
      </c>
      <c r="AJ862" s="20">
        <v>100</v>
      </c>
      <c r="AK862" s="4" t="s">
        <v>679</v>
      </c>
      <c r="AL862" s="4">
        <v>5</v>
      </c>
      <c r="AM862" s="4" t="s">
        <v>485</v>
      </c>
      <c r="AN862" s="4" t="s">
        <v>95</v>
      </c>
      <c r="AO862" s="4" t="s">
        <v>680</v>
      </c>
      <c r="AP862" s="4">
        <v>1</v>
      </c>
      <c r="AQ862" s="20">
        <v>89000</v>
      </c>
      <c r="AR862" s="4">
        <v>41855</v>
      </c>
      <c r="AS862" s="20">
        <v>17979.797979797979</v>
      </c>
      <c r="AT862" s="20">
        <v>18934.250000000004</v>
      </c>
      <c r="AU862" s="20">
        <v>954.45202020202487</v>
      </c>
      <c r="AW862" s="20">
        <v>50</v>
      </c>
      <c r="AY862" s="20">
        <v>50</v>
      </c>
      <c r="AZ862" s="20">
        <v>16.350000000000001</v>
      </c>
      <c r="BB862" s="6">
        <v>41855</v>
      </c>
      <c r="BC862" s="6">
        <v>0</v>
      </c>
      <c r="BD862" s="6">
        <v>41862</v>
      </c>
      <c r="BE862" s="6">
        <v>0</v>
      </c>
      <c r="BF862" s="6">
        <v>41862</v>
      </c>
      <c r="BG862" s="6">
        <v>0</v>
      </c>
      <c r="BH862" s="6">
        <v>0</v>
      </c>
      <c r="BI862" s="6">
        <v>0</v>
      </c>
      <c r="BJ862" s="6">
        <v>0</v>
      </c>
      <c r="BK862" s="4">
        <v>0</v>
      </c>
      <c r="BL862" s="4">
        <v>0</v>
      </c>
      <c r="BM862" s="20">
        <v>100</v>
      </c>
      <c r="BN862" s="20">
        <v>0</v>
      </c>
      <c r="BO862" s="20">
        <v>0</v>
      </c>
      <c r="BP862" s="20">
        <v>0</v>
      </c>
      <c r="BQ862" s="20">
        <v>0</v>
      </c>
      <c r="BR862" s="20">
        <v>0</v>
      </c>
      <c r="BS862" s="20">
        <v>100</v>
      </c>
      <c r="BT862" s="20">
        <v>1893425.0000000005</v>
      </c>
      <c r="BU862" s="20">
        <v>8900000</v>
      </c>
      <c r="BV862" s="20">
        <v>4.2731605904163557</v>
      </c>
    </row>
    <row r="863" spans="1:74">
      <c r="A863" s="10">
        <f t="shared" si="54"/>
        <v>0</v>
      </c>
      <c r="B863" s="10">
        <f t="shared" si="55"/>
        <v>0</v>
      </c>
      <c r="C863" s="12">
        <f t="shared" si="56"/>
        <v>8</v>
      </c>
      <c r="D863" s="12">
        <f t="shared" si="57"/>
        <v>8</v>
      </c>
      <c r="E863" s="20" t="s">
        <v>574</v>
      </c>
      <c r="F863" s="20" t="s">
        <v>3089</v>
      </c>
      <c r="G863" s="20" t="s">
        <v>3090</v>
      </c>
      <c r="H863" s="20" t="s">
        <v>3212</v>
      </c>
      <c r="I863" s="20">
        <v>11</v>
      </c>
      <c r="J863" s="20" t="s">
        <v>3213</v>
      </c>
      <c r="K863" s="20" t="s">
        <v>3220</v>
      </c>
      <c r="L863" s="20" t="s">
        <v>3215</v>
      </c>
      <c r="M863" s="20" t="s">
        <v>2667</v>
      </c>
      <c r="N863" s="20" t="s">
        <v>3216</v>
      </c>
      <c r="P863" s="20" t="s">
        <v>2667</v>
      </c>
      <c r="Q863" s="20" t="s">
        <v>2674</v>
      </c>
      <c r="R863" s="20" t="s">
        <v>84</v>
      </c>
      <c r="S863" s="20">
        <v>4</v>
      </c>
      <c r="T863" s="20" t="s">
        <v>922</v>
      </c>
      <c r="U863" s="20" t="s">
        <v>923</v>
      </c>
      <c r="V863" s="20" t="s">
        <v>87</v>
      </c>
      <c r="W863" s="20">
        <v>701</v>
      </c>
      <c r="X863" s="20">
        <v>701</v>
      </c>
      <c r="Y863" s="20" t="s">
        <v>3217</v>
      </c>
      <c r="Z863" s="20">
        <v>0.33333333333333331</v>
      </c>
      <c r="AA863" s="20" t="s">
        <v>3221</v>
      </c>
      <c r="AB863" s="20" t="s">
        <v>101</v>
      </c>
      <c r="AC863" s="20" t="s">
        <v>102</v>
      </c>
      <c r="AD863" s="20" t="s">
        <v>3219</v>
      </c>
      <c r="AE863" s="20" t="s">
        <v>400</v>
      </c>
      <c r="AF863" s="20">
        <v>0.33333333333333331</v>
      </c>
      <c r="AG863" s="20">
        <v>0</v>
      </c>
      <c r="AH863" s="20">
        <v>1</v>
      </c>
      <c r="AI863" s="4" t="s">
        <v>647</v>
      </c>
      <c r="AJ863" s="20">
        <v>100</v>
      </c>
      <c r="AK863" s="4" t="s">
        <v>679</v>
      </c>
      <c r="AL863" s="4">
        <v>5</v>
      </c>
      <c r="AM863" s="4" t="s">
        <v>485</v>
      </c>
      <c r="AN863" s="4" t="s">
        <v>95</v>
      </c>
      <c r="AO863" s="4" t="s">
        <v>680</v>
      </c>
      <c r="AP863" s="4">
        <v>1</v>
      </c>
      <c r="AQ863" s="20">
        <v>89000</v>
      </c>
      <c r="AR863" s="4">
        <v>41855</v>
      </c>
      <c r="AS863" s="20">
        <v>17979.797979797979</v>
      </c>
      <c r="AT863" s="20">
        <v>18934.250000000004</v>
      </c>
      <c r="AU863" s="20">
        <v>954.45202020202487</v>
      </c>
      <c r="AW863" s="20">
        <v>50</v>
      </c>
      <c r="AY863" s="20">
        <v>50</v>
      </c>
      <c r="AZ863" s="20">
        <v>16.350000000000001</v>
      </c>
      <c r="BB863" s="6">
        <v>41855</v>
      </c>
      <c r="BC863" s="6">
        <v>0</v>
      </c>
      <c r="BD863" s="6">
        <v>41862</v>
      </c>
      <c r="BE863" s="6">
        <v>0</v>
      </c>
      <c r="BF863" s="6">
        <v>41862</v>
      </c>
      <c r="BG863" s="6">
        <v>0</v>
      </c>
      <c r="BH863" s="6">
        <v>0</v>
      </c>
      <c r="BI863" s="6">
        <v>0</v>
      </c>
      <c r="BJ863" s="6">
        <v>0</v>
      </c>
      <c r="BK863" s="4">
        <v>0</v>
      </c>
      <c r="BL863" s="4">
        <v>0</v>
      </c>
      <c r="BM863" s="20">
        <v>100</v>
      </c>
      <c r="BN863" s="20">
        <v>0</v>
      </c>
      <c r="BO863" s="20">
        <v>0</v>
      </c>
      <c r="BP863" s="20">
        <v>0</v>
      </c>
      <c r="BQ863" s="20">
        <v>0</v>
      </c>
      <c r="BR863" s="20">
        <v>0</v>
      </c>
      <c r="BS863" s="20">
        <v>100</v>
      </c>
      <c r="BT863" s="20">
        <v>1893425.0000000005</v>
      </c>
      <c r="BU863" s="20">
        <v>8900000</v>
      </c>
      <c r="BV863" s="20">
        <v>4.2731605904163557</v>
      </c>
    </row>
    <row r="864" spans="1:74">
      <c r="A864" s="10">
        <f t="shared" si="54"/>
        <v>0</v>
      </c>
      <c r="B864" s="10">
        <f t="shared" si="55"/>
        <v>0</v>
      </c>
      <c r="C864" s="12">
        <f t="shared" si="56"/>
        <v>8</v>
      </c>
      <c r="D864" s="12">
        <f t="shared" si="57"/>
        <v>8</v>
      </c>
      <c r="E864" s="20" t="s">
        <v>574</v>
      </c>
      <c r="F864" s="20" t="s">
        <v>3089</v>
      </c>
      <c r="G864" s="20" t="s">
        <v>3090</v>
      </c>
      <c r="H864" s="20" t="s">
        <v>3212</v>
      </c>
      <c r="I864" s="20">
        <v>11</v>
      </c>
      <c r="J864" s="20" t="s">
        <v>3213</v>
      </c>
      <c r="K864" s="20" t="s">
        <v>3222</v>
      </c>
      <c r="L864" s="20" t="s">
        <v>3215</v>
      </c>
      <c r="M864" s="20" t="s">
        <v>2667</v>
      </c>
      <c r="N864" s="20" t="s">
        <v>3216</v>
      </c>
      <c r="P864" s="20" t="s">
        <v>2667</v>
      </c>
      <c r="Q864" s="20" t="s">
        <v>2674</v>
      </c>
      <c r="R864" s="20" t="s">
        <v>84</v>
      </c>
      <c r="S864" s="20">
        <v>4</v>
      </c>
      <c r="T864" s="20" t="s">
        <v>922</v>
      </c>
      <c r="U864" s="20" t="s">
        <v>923</v>
      </c>
      <c r="V864" s="20" t="s">
        <v>87</v>
      </c>
      <c r="W864" s="20">
        <v>701</v>
      </c>
      <c r="X864" s="20">
        <v>701</v>
      </c>
      <c r="Y864" s="20" t="s">
        <v>3217</v>
      </c>
      <c r="Z864" s="20">
        <v>0.33333333333333331</v>
      </c>
      <c r="AA864" s="20" t="s">
        <v>3223</v>
      </c>
      <c r="AB864" s="20" t="s">
        <v>101</v>
      </c>
      <c r="AC864" s="20" t="s">
        <v>102</v>
      </c>
      <c r="AD864" s="20" t="s">
        <v>3219</v>
      </c>
      <c r="AE864" s="20" t="s">
        <v>400</v>
      </c>
      <c r="AF864" s="20">
        <v>0.33333333333333331</v>
      </c>
      <c r="AG864" s="20">
        <v>0</v>
      </c>
      <c r="AH864" s="20">
        <v>1</v>
      </c>
      <c r="AI864" s="4" t="s">
        <v>649</v>
      </c>
      <c r="AJ864" s="20">
        <v>50</v>
      </c>
      <c r="AK864" s="4" t="s">
        <v>679</v>
      </c>
      <c r="AL864" s="4">
        <v>5</v>
      </c>
      <c r="AM864" s="4" t="s">
        <v>485</v>
      </c>
      <c r="AN864" s="4" t="s">
        <v>95</v>
      </c>
      <c r="AO864" s="4" t="s">
        <v>680</v>
      </c>
      <c r="AP864" s="4">
        <v>1</v>
      </c>
      <c r="AQ864" s="20">
        <v>89000</v>
      </c>
      <c r="AR864" s="4">
        <v>41855</v>
      </c>
      <c r="AS864" s="20">
        <v>17979.797979797979</v>
      </c>
      <c r="AT864" s="20">
        <v>18934.250000000004</v>
      </c>
      <c r="AU864" s="20">
        <v>954.45202020202487</v>
      </c>
      <c r="AW864" s="20">
        <v>50</v>
      </c>
      <c r="AY864" s="20">
        <v>50</v>
      </c>
      <c r="AZ864" s="20">
        <v>16.350000000000001</v>
      </c>
      <c r="BB864" s="6">
        <v>41855</v>
      </c>
      <c r="BC864" s="6">
        <v>0</v>
      </c>
      <c r="BD864" s="6">
        <v>41862</v>
      </c>
      <c r="BE864" s="6">
        <v>0</v>
      </c>
      <c r="BF864" s="6">
        <v>41862</v>
      </c>
      <c r="BG864" s="6">
        <v>0</v>
      </c>
      <c r="BH864" s="6">
        <v>0</v>
      </c>
      <c r="BI864" s="6">
        <v>0</v>
      </c>
      <c r="BJ864" s="6">
        <v>0</v>
      </c>
      <c r="BK864" s="4">
        <v>0</v>
      </c>
      <c r="BL864" s="4">
        <v>0</v>
      </c>
      <c r="BM864" s="20">
        <v>50</v>
      </c>
      <c r="BN864" s="20">
        <v>0</v>
      </c>
      <c r="BO864" s="20">
        <v>0</v>
      </c>
      <c r="BP864" s="20">
        <v>0</v>
      </c>
      <c r="BQ864" s="20">
        <v>0</v>
      </c>
      <c r="BR864" s="20">
        <v>0</v>
      </c>
      <c r="BS864" s="20">
        <v>50</v>
      </c>
      <c r="BT864" s="20">
        <v>946712.50000000023</v>
      </c>
      <c r="BU864" s="20">
        <v>4450000</v>
      </c>
      <c r="BV864" s="20">
        <v>4.2731605904163557</v>
      </c>
    </row>
    <row r="865" spans="1:74">
      <c r="A865" s="10">
        <f t="shared" si="54"/>
        <v>0</v>
      </c>
      <c r="B865" s="10">
        <f t="shared" si="55"/>
        <v>0</v>
      </c>
      <c r="C865" s="12">
        <f t="shared" si="56"/>
        <v>8</v>
      </c>
      <c r="D865" s="12">
        <f t="shared" si="57"/>
        <v>8</v>
      </c>
      <c r="E865" s="20" t="s">
        <v>574</v>
      </c>
      <c r="F865" s="20" t="s">
        <v>3089</v>
      </c>
      <c r="G865" s="20" t="s">
        <v>3090</v>
      </c>
      <c r="H865" s="20" t="s">
        <v>3224</v>
      </c>
      <c r="I865" s="20">
        <v>12</v>
      </c>
      <c r="J865" s="20" t="s">
        <v>3225</v>
      </c>
      <c r="K865" s="20" t="s">
        <v>3226</v>
      </c>
      <c r="L865" s="20" t="s">
        <v>3227</v>
      </c>
      <c r="M865" s="20" t="s">
        <v>2667</v>
      </c>
      <c r="N865" s="20" t="s">
        <v>3216</v>
      </c>
      <c r="P865" s="20" t="s">
        <v>2667</v>
      </c>
      <c r="Q865" s="20" t="s">
        <v>2674</v>
      </c>
      <c r="R865" s="20" t="s">
        <v>84</v>
      </c>
      <c r="S865" s="20">
        <v>4</v>
      </c>
      <c r="T865" s="20" t="s">
        <v>922</v>
      </c>
      <c r="U865" s="20" t="s">
        <v>923</v>
      </c>
      <c r="V865" s="20" t="s">
        <v>87</v>
      </c>
      <c r="W865" s="20">
        <v>702</v>
      </c>
      <c r="X865" s="20">
        <v>702</v>
      </c>
      <c r="Y865" s="20" t="s">
        <v>3228</v>
      </c>
      <c r="Z865" s="20">
        <v>0.33333333333333331</v>
      </c>
      <c r="AA865" s="20" t="s">
        <v>3229</v>
      </c>
      <c r="AB865" s="20" t="s">
        <v>101</v>
      </c>
      <c r="AC865" s="20" t="s">
        <v>102</v>
      </c>
      <c r="AD865" s="20" t="s">
        <v>3230</v>
      </c>
      <c r="AE865" s="20" t="s">
        <v>400</v>
      </c>
      <c r="AF865" s="20">
        <v>0.33333333333333331</v>
      </c>
      <c r="AG865" s="20">
        <v>0</v>
      </c>
      <c r="AH865" s="20">
        <v>1</v>
      </c>
      <c r="AI865" s="4" t="s">
        <v>645</v>
      </c>
      <c r="AJ865" s="20">
        <v>151</v>
      </c>
      <c r="AK865" s="4" t="s">
        <v>679</v>
      </c>
      <c r="AL865" s="4">
        <v>5</v>
      </c>
      <c r="AM865" s="4" t="s">
        <v>485</v>
      </c>
      <c r="AN865" s="4" t="s">
        <v>95</v>
      </c>
      <c r="AO865" s="4" t="s">
        <v>680</v>
      </c>
      <c r="AP865" s="4">
        <v>1</v>
      </c>
      <c r="AQ865" s="20">
        <v>89000</v>
      </c>
      <c r="AR865" s="4">
        <v>41855</v>
      </c>
      <c r="AS865" s="20">
        <v>17979.797979797979</v>
      </c>
      <c r="AT865" s="20">
        <v>17375</v>
      </c>
      <c r="AU865" s="20">
        <v>-604.79797979797877</v>
      </c>
      <c r="AW865" s="20">
        <v>50</v>
      </c>
      <c r="AY865" s="20">
        <v>50</v>
      </c>
      <c r="AZ865" s="20">
        <v>15</v>
      </c>
      <c r="BB865" s="6">
        <v>41855</v>
      </c>
      <c r="BC865" s="6">
        <v>0</v>
      </c>
      <c r="BD865" s="6">
        <v>41862</v>
      </c>
      <c r="BE865" s="6">
        <v>0</v>
      </c>
      <c r="BF865" s="6">
        <v>41862</v>
      </c>
      <c r="BG865" s="6">
        <v>41961</v>
      </c>
      <c r="BH865" s="6">
        <v>0</v>
      </c>
      <c r="BI865" s="6">
        <v>0</v>
      </c>
      <c r="BJ865" s="6">
        <v>0</v>
      </c>
      <c r="BK865" s="4">
        <v>0</v>
      </c>
      <c r="BL865" s="4">
        <v>0</v>
      </c>
      <c r="BM865" s="20">
        <v>151</v>
      </c>
      <c r="BN865" s="20">
        <v>1</v>
      </c>
      <c r="BO865" s="20">
        <v>0</v>
      </c>
      <c r="BP865" s="20">
        <v>0</v>
      </c>
      <c r="BQ865" s="20">
        <v>0</v>
      </c>
      <c r="BR865" s="20">
        <v>0</v>
      </c>
      <c r="BS865" s="20">
        <v>151</v>
      </c>
      <c r="BT865" s="20">
        <v>2623625</v>
      </c>
      <c r="BU865" s="20">
        <v>13439000</v>
      </c>
      <c r="BV865" s="20">
        <v>4.6566383257030735</v>
      </c>
    </row>
    <row r="866" spans="1:74">
      <c r="A866" s="10">
        <f t="shared" si="54"/>
        <v>0</v>
      </c>
      <c r="B866" s="10">
        <f t="shared" si="55"/>
        <v>0</v>
      </c>
      <c r="C866" s="12">
        <f t="shared" si="56"/>
        <v>8</v>
      </c>
      <c r="D866" s="12">
        <f t="shared" si="57"/>
        <v>8</v>
      </c>
      <c r="E866" s="20" t="s">
        <v>574</v>
      </c>
      <c r="F866" s="20" t="s">
        <v>3089</v>
      </c>
      <c r="G866" s="20" t="s">
        <v>3090</v>
      </c>
      <c r="H866" s="20" t="s">
        <v>3224</v>
      </c>
      <c r="I866" s="20">
        <v>12</v>
      </c>
      <c r="J866" s="20" t="s">
        <v>3225</v>
      </c>
      <c r="K866" s="20" t="s">
        <v>3231</v>
      </c>
      <c r="L866" s="20" t="s">
        <v>3227</v>
      </c>
      <c r="M866" s="20" t="s">
        <v>2667</v>
      </c>
      <c r="N866" s="20" t="s">
        <v>3216</v>
      </c>
      <c r="P866" s="20" t="s">
        <v>2667</v>
      </c>
      <c r="Q866" s="20" t="s">
        <v>2674</v>
      </c>
      <c r="R866" s="20" t="s">
        <v>84</v>
      </c>
      <c r="S866" s="20">
        <v>4</v>
      </c>
      <c r="T866" s="20" t="s">
        <v>922</v>
      </c>
      <c r="U866" s="20" t="s">
        <v>923</v>
      </c>
      <c r="V866" s="20" t="s">
        <v>87</v>
      </c>
      <c r="W866" s="20">
        <v>702</v>
      </c>
      <c r="X866" s="20">
        <v>702</v>
      </c>
      <c r="Y866" s="20" t="s">
        <v>3228</v>
      </c>
      <c r="Z866" s="20">
        <v>0.33333333333333331</v>
      </c>
      <c r="AA866" s="20" t="s">
        <v>3232</v>
      </c>
      <c r="AB866" s="20" t="s">
        <v>101</v>
      </c>
      <c r="AC866" s="20" t="s">
        <v>102</v>
      </c>
      <c r="AD866" s="20" t="s">
        <v>3230</v>
      </c>
      <c r="AE866" s="20" t="s">
        <v>400</v>
      </c>
      <c r="AF866" s="20">
        <v>0.33333333333333331</v>
      </c>
      <c r="AG866" s="20">
        <v>0</v>
      </c>
      <c r="AH866" s="20">
        <v>1</v>
      </c>
      <c r="AI866" s="4" t="s">
        <v>647</v>
      </c>
      <c r="AJ866" s="20">
        <v>35</v>
      </c>
      <c r="AK866" s="4" t="s">
        <v>679</v>
      </c>
      <c r="AL866" s="4">
        <v>5</v>
      </c>
      <c r="AM866" s="4" t="s">
        <v>485</v>
      </c>
      <c r="AN866" s="4" t="s">
        <v>95</v>
      </c>
      <c r="AO866" s="4" t="s">
        <v>680</v>
      </c>
      <c r="AP866" s="4">
        <v>1</v>
      </c>
      <c r="AQ866" s="20">
        <v>89000</v>
      </c>
      <c r="AR866" s="4">
        <v>41855</v>
      </c>
      <c r="AS866" s="20">
        <v>17979.797979797979</v>
      </c>
      <c r="AT866" s="20">
        <v>17375</v>
      </c>
      <c r="AU866" s="20">
        <v>-604.79797979797877</v>
      </c>
      <c r="AW866" s="20">
        <v>50</v>
      </c>
      <c r="AY866" s="20">
        <v>50</v>
      </c>
      <c r="AZ866" s="20">
        <v>15</v>
      </c>
      <c r="BB866" s="6">
        <v>41855</v>
      </c>
      <c r="BC866" s="6">
        <v>0</v>
      </c>
      <c r="BD866" s="6">
        <v>41862</v>
      </c>
      <c r="BE866" s="6">
        <v>0</v>
      </c>
      <c r="BF866" s="6">
        <v>41862</v>
      </c>
      <c r="BG866" s="6">
        <v>41961</v>
      </c>
      <c r="BH866" s="6">
        <v>0</v>
      </c>
      <c r="BI866" s="6">
        <v>0</v>
      </c>
      <c r="BJ866" s="6">
        <v>0</v>
      </c>
      <c r="BK866" s="4">
        <v>0</v>
      </c>
      <c r="BL866" s="4">
        <v>0</v>
      </c>
      <c r="BM866" s="20">
        <v>35</v>
      </c>
      <c r="BN866" s="20">
        <v>0</v>
      </c>
      <c r="BO866" s="20">
        <v>0</v>
      </c>
      <c r="BP866" s="20">
        <v>0</v>
      </c>
      <c r="BQ866" s="20">
        <v>0</v>
      </c>
      <c r="BR866" s="20">
        <v>0</v>
      </c>
      <c r="BS866" s="20">
        <v>35</v>
      </c>
      <c r="BT866" s="20">
        <v>608125</v>
      </c>
      <c r="BU866" s="20">
        <v>3115000</v>
      </c>
      <c r="BV866" s="20">
        <v>4.6566383257030743</v>
      </c>
    </row>
    <row r="867" spans="1:74">
      <c r="A867" s="10">
        <f t="shared" si="54"/>
        <v>0</v>
      </c>
      <c r="B867" s="10">
        <f t="shared" si="55"/>
        <v>0</v>
      </c>
      <c r="C867" s="12">
        <f t="shared" si="56"/>
        <v>8</v>
      </c>
      <c r="D867" s="12">
        <f t="shared" si="57"/>
        <v>8</v>
      </c>
      <c r="E867" s="20" t="s">
        <v>574</v>
      </c>
      <c r="F867" s="20" t="s">
        <v>3089</v>
      </c>
      <c r="G867" s="20" t="s">
        <v>3090</v>
      </c>
      <c r="H867" s="20" t="s">
        <v>3224</v>
      </c>
      <c r="I867" s="20">
        <v>12</v>
      </c>
      <c r="J867" s="20" t="s">
        <v>3225</v>
      </c>
      <c r="K867" s="20" t="s">
        <v>3233</v>
      </c>
      <c r="L867" s="20" t="s">
        <v>3227</v>
      </c>
      <c r="M867" s="20" t="s">
        <v>2667</v>
      </c>
      <c r="N867" s="20" t="s">
        <v>3216</v>
      </c>
      <c r="P867" s="20" t="s">
        <v>2667</v>
      </c>
      <c r="Q867" s="20" t="s">
        <v>2674</v>
      </c>
      <c r="R867" s="20" t="s">
        <v>84</v>
      </c>
      <c r="S867" s="20">
        <v>4</v>
      </c>
      <c r="T867" s="20" t="s">
        <v>922</v>
      </c>
      <c r="U867" s="20" t="s">
        <v>923</v>
      </c>
      <c r="V867" s="20" t="s">
        <v>87</v>
      </c>
      <c r="W867" s="20">
        <v>702</v>
      </c>
      <c r="X867" s="20">
        <v>702</v>
      </c>
      <c r="Y867" s="20" t="s">
        <v>3228</v>
      </c>
      <c r="Z867" s="20">
        <v>0.33333333333333331</v>
      </c>
      <c r="AA867" s="20" t="s">
        <v>3234</v>
      </c>
      <c r="AB867" s="20" t="s">
        <v>101</v>
      </c>
      <c r="AC867" s="20" t="s">
        <v>102</v>
      </c>
      <c r="AD867" s="20" t="s">
        <v>3230</v>
      </c>
      <c r="AE867" s="20" t="s">
        <v>400</v>
      </c>
      <c r="AF867" s="20">
        <v>0.33333333333333331</v>
      </c>
      <c r="AG867" s="20">
        <v>0</v>
      </c>
      <c r="AH867" s="20">
        <v>1</v>
      </c>
      <c r="AI867" s="4" t="s">
        <v>649</v>
      </c>
      <c r="AJ867" s="20">
        <v>7</v>
      </c>
      <c r="AK867" s="4" t="s">
        <v>679</v>
      </c>
      <c r="AL867" s="4">
        <v>5</v>
      </c>
      <c r="AM867" s="4" t="s">
        <v>485</v>
      </c>
      <c r="AN867" s="4" t="s">
        <v>95</v>
      </c>
      <c r="AO867" s="4" t="s">
        <v>680</v>
      </c>
      <c r="AP867" s="4">
        <v>1</v>
      </c>
      <c r="AQ867" s="20">
        <v>89000</v>
      </c>
      <c r="AR867" s="4">
        <v>41855</v>
      </c>
      <c r="AS867" s="20">
        <v>17979.797979797979</v>
      </c>
      <c r="AT867" s="20">
        <v>17375</v>
      </c>
      <c r="AU867" s="20">
        <v>-604.79797979797877</v>
      </c>
      <c r="AW867" s="20">
        <v>50</v>
      </c>
      <c r="AY867" s="20">
        <v>50</v>
      </c>
      <c r="AZ867" s="20">
        <v>15</v>
      </c>
      <c r="BB867" s="6">
        <v>41855</v>
      </c>
      <c r="BC867" s="6">
        <v>0</v>
      </c>
      <c r="BD867" s="6">
        <v>41862</v>
      </c>
      <c r="BE867" s="6">
        <v>0</v>
      </c>
      <c r="BF867" s="6">
        <v>41862</v>
      </c>
      <c r="BG867" s="6">
        <v>41961</v>
      </c>
      <c r="BH867" s="6">
        <v>0</v>
      </c>
      <c r="BI867" s="6">
        <v>0</v>
      </c>
      <c r="BJ867" s="6">
        <v>0</v>
      </c>
      <c r="BK867" s="4">
        <v>0</v>
      </c>
      <c r="BL867" s="4">
        <v>0</v>
      </c>
      <c r="BM867" s="20">
        <v>7</v>
      </c>
      <c r="BN867" s="20">
        <v>0</v>
      </c>
      <c r="BO867" s="20">
        <v>0</v>
      </c>
      <c r="BP867" s="20">
        <v>0</v>
      </c>
      <c r="BQ867" s="20">
        <v>0</v>
      </c>
      <c r="BR867" s="20">
        <v>0</v>
      </c>
      <c r="BS867" s="20">
        <v>7</v>
      </c>
      <c r="BT867" s="20">
        <v>121625</v>
      </c>
      <c r="BU867" s="20">
        <v>623000</v>
      </c>
      <c r="BV867" s="20">
        <v>4.6566383257030743</v>
      </c>
    </row>
    <row r="868" spans="1:74">
      <c r="A868" s="10">
        <f t="shared" si="54"/>
        <v>0</v>
      </c>
      <c r="B868" s="10">
        <f t="shared" si="55"/>
        <v>0</v>
      </c>
      <c r="C868" s="12">
        <f t="shared" si="56"/>
        <v>8</v>
      </c>
      <c r="D868" s="12">
        <f t="shared" si="57"/>
        <v>8</v>
      </c>
      <c r="E868" s="20" t="s">
        <v>574</v>
      </c>
      <c r="F868" s="20" t="s">
        <v>3089</v>
      </c>
      <c r="G868" s="20" t="s">
        <v>3090</v>
      </c>
      <c r="H868" s="20" t="s">
        <v>3235</v>
      </c>
      <c r="I868" s="20">
        <v>13</v>
      </c>
      <c r="J868" s="20" t="s">
        <v>3236</v>
      </c>
      <c r="K868" s="20" t="s">
        <v>3237</v>
      </c>
      <c r="L868" s="20" t="s">
        <v>3238</v>
      </c>
      <c r="M868" s="20" t="s">
        <v>2667</v>
      </c>
      <c r="N868" s="20" t="s">
        <v>3216</v>
      </c>
      <c r="P868" s="20" t="s">
        <v>2667</v>
      </c>
      <c r="Q868" s="20" t="s">
        <v>2674</v>
      </c>
      <c r="R868" s="20" t="s">
        <v>84</v>
      </c>
      <c r="S868" s="20">
        <v>4</v>
      </c>
      <c r="T868" s="20" t="s">
        <v>922</v>
      </c>
      <c r="U868" s="20" t="s">
        <v>923</v>
      </c>
      <c r="V868" s="20" t="s">
        <v>87</v>
      </c>
      <c r="W868" s="20">
        <v>703</v>
      </c>
      <c r="X868" s="20">
        <v>703</v>
      </c>
      <c r="Y868" s="20" t="s">
        <v>3239</v>
      </c>
      <c r="Z868" s="20">
        <v>0.25</v>
      </c>
      <c r="AA868" s="20" t="s">
        <v>3240</v>
      </c>
      <c r="AB868" s="20" t="s">
        <v>139</v>
      </c>
      <c r="AC868" s="20" t="s">
        <v>140</v>
      </c>
      <c r="AD868" s="20" t="s">
        <v>3241</v>
      </c>
      <c r="AE868" s="20" t="s">
        <v>400</v>
      </c>
      <c r="AF868" s="20">
        <v>0.25</v>
      </c>
      <c r="AG868" s="20">
        <v>0</v>
      </c>
      <c r="AH868" s="20">
        <v>1</v>
      </c>
      <c r="AI868" s="4" t="s">
        <v>645</v>
      </c>
      <c r="AJ868" s="20">
        <v>139</v>
      </c>
      <c r="AK868" s="4" t="s">
        <v>679</v>
      </c>
      <c r="AL868" s="4">
        <v>5</v>
      </c>
      <c r="AM868" s="4" t="s">
        <v>485</v>
      </c>
      <c r="AN868" s="4" t="s">
        <v>95</v>
      </c>
      <c r="AO868" s="4" t="s">
        <v>680</v>
      </c>
      <c r="AP868" s="4">
        <v>1</v>
      </c>
      <c r="AQ868" s="20">
        <v>89000</v>
      </c>
      <c r="AR868" s="4">
        <v>41855</v>
      </c>
      <c r="AS868" s="20">
        <v>17979.797979797979</v>
      </c>
      <c r="AT868" s="20">
        <v>17952.500000000004</v>
      </c>
      <c r="AU868" s="20">
        <v>-27.297979797975131</v>
      </c>
      <c r="AW868" s="20">
        <v>50</v>
      </c>
      <c r="AY868" s="20">
        <v>50</v>
      </c>
      <c r="AZ868" s="20">
        <v>15.5</v>
      </c>
      <c r="BB868" s="6">
        <v>41855</v>
      </c>
      <c r="BC868" s="6">
        <v>0</v>
      </c>
      <c r="BD868" s="6">
        <v>41862</v>
      </c>
      <c r="BE868" s="6">
        <v>0</v>
      </c>
      <c r="BF868" s="6">
        <v>41862</v>
      </c>
      <c r="BG868" s="6">
        <v>0</v>
      </c>
      <c r="BH868" s="6">
        <v>0</v>
      </c>
      <c r="BI868" s="6">
        <v>0</v>
      </c>
      <c r="BJ868" s="6">
        <v>0</v>
      </c>
      <c r="BK868" s="4">
        <v>0</v>
      </c>
      <c r="BL868" s="4">
        <v>0</v>
      </c>
      <c r="BM868" s="20">
        <v>139</v>
      </c>
      <c r="BN868" s="20">
        <v>0</v>
      </c>
      <c r="BO868" s="20">
        <v>0</v>
      </c>
      <c r="BP868" s="20">
        <v>0</v>
      </c>
      <c r="BQ868" s="20">
        <v>0</v>
      </c>
      <c r="BR868" s="20">
        <v>0</v>
      </c>
      <c r="BS868" s="20">
        <v>139</v>
      </c>
      <c r="BT868" s="20">
        <v>2495397.5000000005</v>
      </c>
      <c r="BU868" s="20">
        <v>12371000</v>
      </c>
      <c r="BV868" s="20">
        <v>4.5068425516831017</v>
      </c>
    </row>
    <row r="869" spans="1:74">
      <c r="A869" s="10">
        <f t="shared" si="54"/>
        <v>0</v>
      </c>
      <c r="B869" s="10">
        <f t="shared" si="55"/>
        <v>0</v>
      </c>
      <c r="C869" s="12">
        <f t="shared" si="56"/>
        <v>8</v>
      </c>
      <c r="D869" s="12">
        <f t="shared" si="57"/>
        <v>8</v>
      </c>
      <c r="E869" s="20" t="s">
        <v>574</v>
      </c>
      <c r="F869" s="20" t="s">
        <v>3089</v>
      </c>
      <c r="G869" s="20" t="s">
        <v>3090</v>
      </c>
      <c r="H869" s="20" t="s">
        <v>3235</v>
      </c>
      <c r="I869" s="20">
        <v>13</v>
      </c>
      <c r="J869" s="20" t="s">
        <v>3236</v>
      </c>
      <c r="K869" s="20" t="s">
        <v>3242</v>
      </c>
      <c r="L869" s="20" t="s">
        <v>3238</v>
      </c>
      <c r="M869" s="20" t="s">
        <v>2667</v>
      </c>
      <c r="N869" s="20" t="s">
        <v>3216</v>
      </c>
      <c r="P869" s="20" t="s">
        <v>2667</v>
      </c>
      <c r="Q869" s="20" t="s">
        <v>2674</v>
      </c>
      <c r="R869" s="20" t="s">
        <v>84</v>
      </c>
      <c r="S869" s="20">
        <v>4</v>
      </c>
      <c r="T869" s="20" t="s">
        <v>922</v>
      </c>
      <c r="U869" s="20" t="s">
        <v>923</v>
      </c>
      <c r="V869" s="20" t="s">
        <v>87</v>
      </c>
      <c r="W869" s="20">
        <v>703</v>
      </c>
      <c r="X869" s="20">
        <v>703</v>
      </c>
      <c r="Y869" s="20" t="s">
        <v>3239</v>
      </c>
      <c r="Z869" s="20">
        <v>0.25</v>
      </c>
      <c r="AA869" s="20" t="s">
        <v>3243</v>
      </c>
      <c r="AB869" s="20" t="s">
        <v>139</v>
      </c>
      <c r="AC869" s="20" t="s">
        <v>140</v>
      </c>
      <c r="AD869" s="20" t="s">
        <v>3241</v>
      </c>
      <c r="AE869" s="20" t="s">
        <v>400</v>
      </c>
      <c r="AF869" s="20">
        <v>0.25</v>
      </c>
      <c r="AG869" s="20">
        <v>0</v>
      </c>
      <c r="AH869" s="20">
        <v>1</v>
      </c>
      <c r="AI869" s="4" t="s">
        <v>647</v>
      </c>
      <c r="AJ869" s="20">
        <v>97</v>
      </c>
      <c r="AK869" s="4" t="s">
        <v>679</v>
      </c>
      <c r="AL869" s="4">
        <v>5</v>
      </c>
      <c r="AM869" s="4" t="s">
        <v>485</v>
      </c>
      <c r="AN869" s="4" t="s">
        <v>95</v>
      </c>
      <c r="AO869" s="4" t="s">
        <v>680</v>
      </c>
      <c r="AP869" s="4">
        <v>1</v>
      </c>
      <c r="AQ869" s="20">
        <v>89000</v>
      </c>
      <c r="AR869" s="4">
        <v>41855</v>
      </c>
      <c r="AS869" s="20">
        <v>17979.797979797979</v>
      </c>
      <c r="AT869" s="20">
        <v>17952.500000000004</v>
      </c>
      <c r="AU869" s="20">
        <v>-27.297979797975131</v>
      </c>
      <c r="AW869" s="20">
        <v>50</v>
      </c>
      <c r="AY869" s="20">
        <v>50</v>
      </c>
      <c r="AZ869" s="20">
        <v>15.5</v>
      </c>
      <c r="BB869" s="6">
        <v>41855</v>
      </c>
      <c r="BC869" s="6">
        <v>0</v>
      </c>
      <c r="BD869" s="6">
        <v>41862</v>
      </c>
      <c r="BE869" s="6">
        <v>0</v>
      </c>
      <c r="BF869" s="6">
        <v>41862</v>
      </c>
      <c r="BG869" s="6">
        <v>0</v>
      </c>
      <c r="BH869" s="6">
        <v>0</v>
      </c>
      <c r="BI869" s="6">
        <v>0</v>
      </c>
      <c r="BJ869" s="6">
        <v>0</v>
      </c>
      <c r="BK869" s="4">
        <v>0</v>
      </c>
      <c r="BL869" s="4">
        <v>0</v>
      </c>
      <c r="BM869" s="20">
        <v>97</v>
      </c>
      <c r="BN869" s="20">
        <v>0</v>
      </c>
      <c r="BO869" s="20">
        <v>0</v>
      </c>
      <c r="BP869" s="20">
        <v>0</v>
      </c>
      <c r="BQ869" s="20">
        <v>0</v>
      </c>
      <c r="BR869" s="20">
        <v>0</v>
      </c>
      <c r="BS869" s="20">
        <v>97</v>
      </c>
      <c r="BT869" s="20">
        <v>1741392.5000000005</v>
      </c>
      <c r="BU869" s="20">
        <v>8633000</v>
      </c>
      <c r="BV869" s="20">
        <v>4.5068425516831017</v>
      </c>
    </row>
    <row r="870" spans="1:74">
      <c r="A870" s="10">
        <f t="shared" si="54"/>
        <v>0</v>
      </c>
      <c r="B870" s="10">
        <f t="shared" si="55"/>
        <v>0</v>
      </c>
      <c r="C870" s="12">
        <f t="shared" si="56"/>
        <v>8</v>
      </c>
      <c r="D870" s="12">
        <f t="shared" si="57"/>
        <v>8</v>
      </c>
      <c r="E870" s="20" t="s">
        <v>574</v>
      </c>
      <c r="F870" s="20" t="s">
        <v>3089</v>
      </c>
      <c r="G870" s="20" t="s">
        <v>3090</v>
      </c>
      <c r="H870" s="20" t="s">
        <v>3235</v>
      </c>
      <c r="I870" s="20">
        <v>13</v>
      </c>
      <c r="J870" s="20" t="s">
        <v>3236</v>
      </c>
      <c r="K870" s="20" t="s">
        <v>3244</v>
      </c>
      <c r="L870" s="20" t="s">
        <v>3238</v>
      </c>
      <c r="M870" s="20" t="s">
        <v>2667</v>
      </c>
      <c r="N870" s="20" t="s">
        <v>3216</v>
      </c>
      <c r="P870" s="20" t="s">
        <v>2667</v>
      </c>
      <c r="Q870" s="20" t="s">
        <v>2674</v>
      </c>
      <c r="R870" s="20" t="s">
        <v>84</v>
      </c>
      <c r="S870" s="20">
        <v>4</v>
      </c>
      <c r="T870" s="20" t="s">
        <v>922</v>
      </c>
      <c r="U870" s="20" t="s">
        <v>923</v>
      </c>
      <c r="V870" s="20" t="s">
        <v>87</v>
      </c>
      <c r="W870" s="20">
        <v>703</v>
      </c>
      <c r="X870" s="20">
        <v>703</v>
      </c>
      <c r="Y870" s="20" t="s">
        <v>3239</v>
      </c>
      <c r="Z870" s="20">
        <v>0.25</v>
      </c>
      <c r="AA870" s="20" t="s">
        <v>3245</v>
      </c>
      <c r="AB870" s="20" t="s">
        <v>139</v>
      </c>
      <c r="AC870" s="20" t="s">
        <v>140</v>
      </c>
      <c r="AD870" s="20" t="s">
        <v>3241</v>
      </c>
      <c r="AE870" s="20" t="s">
        <v>400</v>
      </c>
      <c r="AF870" s="20">
        <v>0.25</v>
      </c>
      <c r="AG870" s="20">
        <v>0</v>
      </c>
      <c r="AH870" s="20">
        <v>1</v>
      </c>
      <c r="AI870" s="4" t="s">
        <v>649</v>
      </c>
      <c r="AJ870" s="20">
        <v>15</v>
      </c>
      <c r="AK870" s="4" t="s">
        <v>679</v>
      </c>
      <c r="AL870" s="4">
        <v>5</v>
      </c>
      <c r="AM870" s="4" t="s">
        <v>485</v>
      </c>
      <c r="AN870" s="4" t="s">
        <v>95</v>
      </c>
      <c r="AO870" s="4" t="s">
        <v>680</v>
      </c>
      <c r="AP870" s="4">
        <v>1</v>
      </c>
      <c r="AQ870" s="20">
        <v>89000</v>
      </c>
      <c r="AR870" s="4">
        <v>41855</v>
      </c>
      <c r="AS870" s="20">
        <v>17979.797979797979</v>
      </c>
      <c r="AT870" s="20">
        <v>17952.500000000004</v>
      </c>
      <c r="AU870" s="20">
        <v>-27.297979797975131</v>
      </c>
      <c r="AW870" s="20">
        <v>50</v>
      </c>
      <c r="AY870" s="20">
        <v>50</v>
      </c>
      <c r="AZ870" s="20">
        <v>15.5</v>
      </c>
      <c r="BB870" s="6">
        <v>41855</v>
      </c>
      <c r="BC870" s="6">
        <v>0</v>
      </c>
      <c r="BD870" s="6">
        <v>41862</v>
      </c>
      <c r="BE870" s="6">
        <v>0</v>
      </c>
      <c r="BF870" s="6">
        <v>41862</v>
      </c>
      <c r="BG870" s="6">
        <v>0</v>
      </c>
      <c r="BH870" s="6">
        <v>0</v>
      </c>
      <c r="BI870" s="6">
        <v>0</v>
      </c>
      <c r="BJ870" s="6">
        <v>0</v>
      </c>
      <c r="BK870" s="4">
        <v>0</v>
      </c>
      <c r="BL870" s="4">
        <v>0</v>
      </c>
      <c r="BM870" s="20">
        <v>15</v>
      </c>
      <c r="BN870" s="20">
        <v>0</v>
      </c>
      <c r="BO870" s="20">
        <v>0</v>
      </c>
      <c r="BP870" s="20">
        <v>0</v>
      </c>
      <c r="BQ870" s="20">
        <v>0</v>
      </c>
      <c r="BR870" s="20">
        <v>0</v>
      </c>
      <c r="BS870" s="20">
        <v>15</v>
      </c>
      <c r="BT870" s="20">
        <v>269287.50000000006</v>
      </c>
      <c r="BU870" s="20">
        <v>1335000</v>
      </c>
      <c r="BV870" s="20">
        <v>4.5068425516831017</v>
      </c>
    </row>
    <row r="871" spans="1:74">
      <c r="A871" s="10">
        <f t="shared" si="54"/>
        <v>0</v>
      </c>
      <c r="B871" s="10">
        <f t="shared" si="55"/>
        <v>0</v>
      </c>
      <c r="C871" s="12">
        <f t="shared" si="56"/>
        <v>8</v>
      </c>
      <c r="D871" s="12">
        <f t="shared" si="57"/>
        <v>8</v>
      </c>
      <c r="E871" s="20" t="s">
        <v>574</v>
      </c>
      <c r="F871" s="20" t="s">
        <v>3089</v>
      </c>
      <c r="G871" s="20" t="s">
        <v>3090</v>
      </c>
      <c r="H871" s="20" t="s">
        <v>3235</v>
      </c>
      <c r="I871" s="20">
        <v>13</v>
      </c>
      <c r="J871" s="20" t="s">
        <v>3236</v>
      </c>
      <c r="K871" s="20" t="s">
        <v>3246</v>
      </c>
      <c r="L871" s="20" t="s">
        <v>3238</v>
      </c>
      <c r="M871" s="20" t="s">
        <v>2667</v>
      </c>
      <c r="N871" s="20" t="s">
        <v>3216</v>
      </c>
      <c r="P871" s="20" t="s">
        <v>2667</v>
      </c>
      <c r="Q871" s="20" t="s">
        <v>2674</v>
      </c>
      <c r="R871" s="20" t="s">
        <v>84</v>
      </c>
      <c r="S871" s="20">
        <v>4</v>
      </c>
      <c r="T871" s="20" t="s">
        <v>922</v>
      </c>
      <c r="U871" s="20" t="s">
        <v>923</v>
      </c>
      <c r="V871" s="20" t="s">
        <v>87</v>
      </c>
      <c r="W871" s="20">
        <v>703</v>
      </c>
      <c r="X871" s="20">
        <v>703</v>
      </c>
      <c r="Y871" s="20" t="s">
        <v>3239</v>
      </c>
      <c r="Z871" s="20">
        <v>0.25</v>
      </c>
      <c r="AA871" s="20" t="s">
        <v>3247</v>
      </c>
      <c r="AB871" s="20" t="s">
        <v>139</v>
      </c>
      <c r="AC871" s="20" t="s">
        <v>140</v>
      </c>
      <c r="AD871" s="20" t="s">
        <v>3241</v>
      </c>
      <c r="AE871" s="20" t="s">
        <v>400</v>
      </c>
      <c r="AF871" s="20">
        <v>0.25</v>
      </c>
      <c r="AG871" s="20">
        <v>0</v>
      </c>
      <c r="AH871" s="20">
        <v>1</v>
      </c>
      <c r="AI871" s="4" t="s">
        <v>651</v>
      </c>
      <c r="AJ871" s="20">
        <v>44</v>
      </c>
      <c r="AK871" s="4" t="s">
        <v>679</v>
      </c>
      <c r="AL871" s="4">
        <v>5</v>
      </c>
      <c r="AM871" s="4" t="s">
        <v>485</v>
      </c>
      <c r="AN871" s="4" t="s">
        <v>95</v>
      </c>
      <c r="AO871" s="4" t="s">
        <v>680</v>
      </c>
      <c r="AP871" s="4">
        <v>1</v>
      </c>
      <c r="AQ871" s="20">
        <v>89000</v>
      </c>
      <c r="AR871" s="4">
        <v>41855</v>
      </c>
      <c r="AS871" s="20">
        <v>17979.797979797979</v>
      </c>
      <c r="AT871" s="20">
        <v>17952.500000000004</v>
      </c>
      <c r="AU871" s="20">
        <v>-27.297979797975131</v>
      </c>
      <c r="AW871" s="20">
        <v>50</v>
      </c>
      <c r="AY871" s="20">
        <v>50</v>
      </c>
      <c r="AZ871" s="20">
        <v>15.5</v>
      </c>
      <c r="BB871" s="6">
        <v>41855</v>
      </c>
      <c r="BC871" s="6">
        <v>0</v>
      </c>
      <c r="BD871" s="6">
        <v>41862</v>
      </c>
      <c r="BE871" s="6">
        <v>0</v>
      </c>
      <c r="BF871" s="6">
        <v>41862</v>
      </c>
      <c r="BG871" s="6">
        <v>0</v>
      </c>
      <c r="BH871" s="6">
        <v>0</v>
      </c>
      <c r="BI871" s="6">
        <v>0</v>
      </c>
      <c r="BJ871" s="6">
        <v>0</v>
      </c>
      <c r="BK871" s="4">
        <v>0</v>
      </c>
      <c r="BL871" s="4">
        <v>0</v>
      </c>
      <c r="BM871" s="20">
        <v>44</v>
      </c>
      <c r="BN871" s="20">
        <v>0</v>
      </c>
      <c r="BO871" s="20">
        <v>0</v>
      </c>
      <c r="BP871" s="20">
        <v>0</v>
      </c>
      <c r="BQ871" s="20">
        <v>0</v>
      </c>
      <c r="BR871" s="20">
        <v>0</v>
      </c>
      <c r="BS871" s="20">
        <v>44</v>
      </c>
      <c r="BT871" s="20">
        <v>789910.00000000012</v>
      </c>
      <c r="BU871" s="20">
        <v>3916000</v>
      </c>
      <c r="BV871" s="20">
        <v>4.5068425516831017</v>
      </c>
    </row>
    <row r="872" spans="1:74">
      <c r="A872" s="10">
        <f t="shared" si="54"/>
        <v>0</v>
      </c>
      <c r="B872" s="10">
        <f t="shared" si="55"/>
        <v>0</v>
      </c>
      <c r="C872" s="12">
        <f t="shared" si="56"/>
        <v>8</v>
      </c>
      <c r="D872" s="12">
        <f t="shared" si="57"/>
        <v>8</v>
      </c>
      <c r="E872" s="20" t="s">
        <v>574</v>
      </c>
      <c r="F872" s="20" t="s">
        <v>3089</v>
      </c>
      <c r="G872" s="20" t="s">
        <v>3090</v>
      </c>
      <c r="H872" s="20" t="s">
        <v>3248</v>
      </c>
      <c r="I872" s="20">
        <v>14</v>
      </c>
      <c r="J872" s="20" t="s">
        <v>3249</v>
      </c>
      <c r="K872" s="20" t="s">
        <v>3250</v>
      </c>
      <c r="L872" s="20" t="s">
        <v>3251</v>
      </c>
      <c r="M872" s="20" t="s">
        <v>2667</v>
      </c>
      <c r="N872" s="20" t="s">
        <v>3216</v>
      </c>
      <c r="P872" s="20" t="s">
        <v>2667</v>
      </c>
      <c r="Q872" s="20" t="s">
        <v>2674</v>
      </c>
      <c r="R872" s="20" t="s">
        <v>84</v>
      </c>
      <c r="S872" s="20">
        <v>4</v>
      </c>
      <c r="T872" s="20" t="s">
        <v>922</v>
      </c>
      <c r="U872" s="20" t="s">
        <v>923</v>
      </c>
      <c r="V872" s="20" t="s">
        <v>87</v>
      </c>
      <c r="W872" s="20">
        <v>721</v>
      </c>
      <c r="X872" s="20">
        <v>721</v>
      </c>
      <c r="Y872" s="20" t="s">
        <v>3252</v>
      </c>
      <c r="Z872" s="20">
        <v>0.25</v>
      </c>
      <c r="AA872" s="20" t="s">
        <v>3253</v>
      </c>
      <c r="AB872" s="20" t="s">
        <v>248</v>
      </c>
      <c r="AC872" s="20" t="s">
        <v>249</v>
      </c>
      <c r="AD872" s="20" t="s">
        <v>3254</v>
      </c>
      <c r="AE872" s="20" t="s">
        <v>400</v>
      </c>
      <c r="AF872" s="20">
        <v>0.25</v>
      </c>
      <c r="AG872" s="20">
        <v>0</v>
      </c>
      <c r="AH872" s="20">
        <v>1</v>
      </c>
      <c r="AI872" s="4" t="s">
        <v>645</v>
      </c>
      <c r="AJ872" s="20">
        <v>149</v>
      </c>
      <c r="AK872" s="4" t="s">
        <v>679</v>
      </c>
      <c r="AL872" s="4">
        <v>5</v>
      </c>
      <c r="AM872" s="4" t="s">
        <v>485</v>
      </c>
      <c r="AN872" s="4" t="s">
        <v>95</v>
      </c>
      <c r="AO872" s="4" t="s">
        <v>680</v>
      </c>
      <c r="AP872" s="4">
        <v>1</v>
      </c>
      <c r="AQ872" s="20">
        <v>89000</v>
      </c>
      <c r="AR872" s="4">
        <v>41855</v>
      </c>
      <c r="AS872" s="20">
        <v>17979.797979797979</v>
      </c>
      <c r="AT872" s="20">
        <v>20262.5</v>
      </c>
      <c r="AU872" s="20">
        <v>2282.7020202020212</v>
      </c>
      <c r="AW872" s="20">
        <v>50</v>
      </c>
      <c r="AY872" s="20">
        <v>50</v>
      </c>
      <c r="AZ872" s="20">
        <v>17.5</v>
      </c>
      <c r="BB872" s="6">
        <v>41855</v>
      </c>
      <c r="BC872" s="6">
        <v>0</v>
      </c>
      <c r="BD872" s="6">
        <v>41862</v>
      </c>
      <c r="BE872" s="6">
        <v>0</v>
      </c>
      <c r="BF872" s="6">
        <v>41862</v>
      </c>
      <c r="BG872" s="6">
        <v>0</v>
      </c>
      <c r="BH872" s="6">
        <v>0</v>
      </c>
      <c r="BI872" s="6">
        <v>0</v>
      </c>
      <c r="BJ872" s="6">
        <v>0</v>
      </c>
      <c r="BK872" s="4">
        <v>0</v>
      </c>
      <c r="BL872" s="4">
        <v>0</v>
      </c>
      <c r="BM872" s="20">
        <v>149</v>
      </c>
      <c r="BN872" s="20">
        <v>0</v>
      </c>
      <c r="BO872" s="20">
        <v>0</v>
      </c>
      <c r="BP872" s="20">
        <v>0</v>
      </c>
      <c r="BQ872" s="20">
        <v>0</v>
      </c>
      <c r="BR872" s="20">
        <v>0</v>
      </c>
      <c r="BS872" s="20">
        <v>149</v>
      </c>
      <c r="BT872" s="20">
        <v>3019112.5</v>
      </c>
      <c r="BU872" s="20">
        <v>13261000</v>
      </c>
      <c r="BV872" s="20">
        <v>3.9930458190791311</v>
      </c>
    </row>
    <row r="873" spans="1:74">
      <c r="A873" s="10">
        <f t="shared" si="54"/>
        <v>0</v>
      </c>
      <c r="B873" s="10">
        <f t="shared" si="55"/>
        <v>0</v>
      </c>
      <c r="C873" s="12">
        <f t="shared" si="56"/>
        <v>8</v>
      </c>
      <c r="D873" s="12">
        <f t="shared" si="57"/>
        <v>8</v>
      </c>
      <c r="E873" s="20" t="s">
        <v>574</v>
      </c>
      <c r="F873" s="20" t="s">
        <v>3089</v>
      </c>
      <c r="G873" s="20" t="s">
        <v>3090</v>
      </c>
      <c r="H873" s="20" t="s">
        <v>3248</v>
      </c>
      <c r="I873" s="20">
        <v>14</v>
      </c>
      <c r="J873" s="20" t="s">
        <v>3249</v>
      </c>
      <c r="K873" s="20" t="s">
        <v>3255</v>
      </c>
      <c r="L873" s="20" t="s">
        <v>3251</v>
      </c>
      <c r="M873" s="20" t="s">
        <v>2667</v>
      </c>
      <c r="N873" s="20" t="s">
        <v>3216</v>
      </c>
      <c r="P873" s="20" t="s">
        <v>2667</v>
      </c>
      <c r="Q873" s="20" t="s">
        <v>2674</v>
      </c>
      <c r="R873" s="20" t="s">
        <v>84</v>
      </c>
      <c r="S873" s="20">
        <v>4</v>
      </c>
      <c r="T873" s="20" t="s">
        <v>922</v>
      </c>
      <c r="U873" s="20" t="s">
        <v>923</v>
      </c>
      <c r="V873" s="20" t="s">
        <v>87</v>
      </c>
      <c r="W873" s="20">
        <v>721</v>
      </c>
      <c r="X873" s="20">
        <v>721</v>
      </c>
      <c r="Y873" s="20" t="s">
        <v>3252</v>
      </c>
      <c r="Z873" s="20">
        <v>0.25</v>
      </c>
      <c r="AA873" s="20" t="s">
        <v>3256</v>
      </c>
      <c r="AB873" s="20" t="s">
        <v>248</v>
      </c>
      <c r="AC873" s="20" t="s">
        <v>249</v>
      </c>
      <c r="AD873" s="20" t="s">
        <v>3254</v>
      </c>
      <c r="AE873" s="20" t="s">
        <v>400</v>
      </c>
      <c r="AF873" s="20">
        <v>0.25</v>
      </c>
      <c r="AG873" s="20">
        <v>0</v>
      </c>
      <c r="AH873" s="20">
        <v>1</v>
      </c>
      <c r="AI873" s="4" t="s">
        <v>647</v>
      </c>
      <c r="AJ873" s="20">
        <v>93</v>
      </c>
      <c r="AK873" s="4" t="s">
        <v>679</v>
      </c>
      <c r="AL873" s="4">
        <v>5</v>
      </c>
      <c r="AM873" s="4" t="s">
        <v>485</v>
      </c>
      <c r="AN873" s="4" t="s">
        <v>95</v>
      </c>
      <c r="AO873" s="4" t="s">
        <v>680</v>
      </c>
      <c r="AP873" s="4">
        <v>1</v>
      </c>
      <c r="AQ873" s="20">
        <v>89000</v>
      </c>
      <c r="AR873" s="4">
        <v>41855</v>
      </c>
      <c r="AS873" s="20">
        <v>17979.797979797979</v>
      </c>
      <c r="AT873" s="20">
        <v>20262.5</v>
      </c>
      <c r="AU873" s="20">
        <v>2282.7020202020212</v>
      </c>
      <c r="AW873" s="20">
        <v>50</v>
      </c>
      <c r="AY873" s="20">
        <v>50</v>
      </c>
      <c r="AZ873" s="20">
        <v>17.5</v>
      </c>
      <c r="BB873" s="6">
        <v>41855</v>
      </c>
      <c r="BC873" s="6">
        <v>0</v>
      </c>
      <c r="BD873" s="6">
        <v>41862</v>
      </c>
      <c r="BE873" s="6">
        <v>0</v>
      </c>
      <c r="BF873" s="6">
        <v>41862</v>
      </c>
      <c r="BG873" s="6">
        <v>0</v>
      </c>
      <c r="BH873" s="6">
        <v>0</v>
      </c>
      <c r="BI873" s="6">
        <v>0</v>
      </c>
      <c r="BJ873" s="6">
        <v>0</v>
      </c>
      <c r="BK873" s="4">
        <v>0</v>
      </c>
      <c r="BL873" s="4">
        <v>0</v>
      </c>
      <c r="BM873" s="20">
        <v>93</v>
      </c>
      <c r="BN873" s="20">
        <v>0</v>
      </c>
      <c r="BO873" s="20">
        <v>0</v>
      </c>
      <c r="BP873" s="20">
        <v>0</v>
      </c>
      <c r="BQ873" s="20">
        <v>0</v>
      </c>
      <c r="BR873" s="20">
        <v>0</v>
      </c>
      <c r="BS873" s="20">
        <v>93</v>
      </c>
      <c r="BT873" s="20">
        <v>1884412.5</v>
      </c>
      <c r="BU873" s="20">
        <v>8277000</v>
      </c>
      <c r="BV873" s="20">
        <v>3.9930458190791316</v>
      </c>
    </row>
    <row r="874" spans="1:74">
      <c r="A874" s="10">
        <f t="shared" si="54"/>
        <v>0</v>
      </c>
      <c r="B874" s="10">
        <f t="shared" si="55"/>
        <v>0</v>
      </c>
      <c r="C874" s="12">
        <f t="shared" si="56"/>
        <v>8</v>
      </c>
      <c r="D874" s="12">
        <f t="shared" si="57"/>
        <v>8</v>
      </c>
      <c r="E874" s="20" t="s">
        <v>574</v>
      </c>
      <c r="F874" s="20" t="s">
        <v>3089</v>
      </c>
      <c r="G874" s="20" t="s">
        <v>3090</v>
      </c>
      <c r="H874" s="20" t="s">
        <v>3248</v>
      </c>
      <c r="I874" s="20">
        <v>14</v>
      </c>
      <c r="J874" s="20" t="s">
        <v>3249</v>
      </c>
      <c r="K874" s="20" t="s">
        <v>3257</v>
      </c>
      <c r="L874" s="20" t="s">
        <v>3251</v>
      </c>
      <c r="M874" s="20" t="s">
        <v>2667</v>
      </c>
      <c r="N874" s="20" t="s">
        <v>3216</v>
      </c>
      <c r="P874" s="20" t="s">
        <v>2667</v>
      </c>
      <c r="Q874" s="20" t="s">
        <v>2674</v>
      </c>
      <c r="R874" s="20" t="s">
        <v>84</v>
      </c>
      <c r="S874" s="20">
        <v>4</v>
      </c>
      <c r="T874" s="20" t="s">
        <v>922</v>
      </c>
      <c r="U874" s="20" t="s">
        <v>923</v>
      </c>
      <c r="V874" s="20" t="s">
        <v>87</v>
      </c>
      <c r="W874" s="20">
        <v>721</v>
      </c>
      <c r="X874" s="20">
        <v>721</v>
      </c>
      <c r="Y874" s="20" t="s">
        <v>3252</v>
      </c>
      <c r="Z874" s="20">
        <v>0.25</v>
      </c>
      <c r="AA874" s="20" t="s">
        <v>3258</v>
      </c>
      <c r="AB874" s="20" t="s">
        <v>248</v>
      </c>
      <c r="AC874" s="20" t="s">
        <v>249</v>
      </c>
      <c r="AD874" s="20" t="s">
        <v>3254</v>
      </c>
      <c r="AE874" s="20" t="s">
        <v>400</v>
      </c>
      <c r="AF874" s="20">
        <v>0.25</v>
      </c>
      <c r="AG874" s="20">
        <v>0</v>
      </c>
      <c r="AH874" s="20">
        <v>1</v>
      </c>
      <c r="AI874" s="4" t="s">
        <v>649</v>
      </c>
      <c r="AJ874" s="20">
        <v>18</v>
      </c>
      <c r="AK874" s="4" t="s">
        <v>679</v>
      </c>
      <c r="AL874" s="4">
        <v>5</v>
      </c>
      <c r="AM874" s="4" t="s">
        <v>485</v>
      </c>
      <c r="AN874" s="4" t="s">
        <v>95</v>
      </c>
      <c r="AO874" s="4" t="s">
        <v>680</v>
      </c>
      <c r="AP874" s="4">
        <v>1</v>
      </c>
      <c r="AQ874" s="20">
        <v>89000</v>
      </c>
      <c r="AR874" s="4">
        <v>41855</v>
      </c>
      <c r="AS874" s="20">
        <v>17979.797979797979</v>
      </c>
      <c r="AT874" s="20">
        <v>20262.5</v>
      </c>
      <c r="AU874" s="20">
        <v>2282.7020202020212</v>
      </c>
      <c r="AW874" s="20">
        <v>50</v>
      </c>
      <c r="AY874" s="20">
        <v>50</v>
      </c>
      <c r="AZ874" s="20">
        <v>17.5</v>
      </c>
      <c r="BB874" s="6">
        <v>41855</v>
      </c>
      <c r="BC874" s="6">
        <v>0</v>
      </c>
      <c r="BD874" s="6">
        <v>41862</v>
      </c>
      <c r="BE874" s="6">
        <v>0</v>
      </c>
      <c r="BF874" s="6">
        <v>41862</v>
      </c>
      <c r="BG874" s="6">
        <v>0</v>
      </c>
      <c r="BH874" s="6">
        <v>0</v>
      </c>
      <c r="BI874" s="6">
        <v>0</v>
      </c>
      <c r="BJ874" s="6">
        <v>0</v>
      </c>
      <c r="BK874" s="4">
        <v>0</v>
      </c>
      <c r="BL874" s="4">
        <v>0</v>
      </c>
      <c r="BM874" s="20">
        <v>18</v>
      </c>
      <c r="BN874" s="20">
        <v>0</v>
      </c>
      <c r="BO874" s="20">
        <v>0</v>
      </c>
      <c r="BP874" s="20">
        <v>0</v>
      </c>
      <c r="BQ874" s="20">
        <v>0</v>
      </c>
      <c r="BR874" s="20">
        <v>0</v>
      </c>
      <c r="BS874" s="20">
        <v>18</v>
      </c>
      <c r="BT874" s="20">
        <v>364725</v>
      </c>
      <c r="BU874" s="20">
        <v>1602000</v>
      </c>
      <c r="BV874" s="20">
        <v>3.9930458190791311</v>
      </c>
    </row>
    <row r="875" spans="1:74">
      <c r="A875" s="10">
        <f t="shared" si="54"/>
        <v>0</v>
      </c>
      <c r="B875" s="10">
        <f t="shared" si="55"/>
        <v>0</v>
      </c>
      <c r="C875" s="12">
        <f t="shared" si="56"/>
        <v>8</v>
      </c>
      <c r="D875" s="12">
        <f t="shared" si="57"/>
        <v>8</v>
      </c>
      <c r="E875" s="20" t="s">
        <v>574</v>
      </c>
      <c r="F875" s="20" t="s">
        <v>3089</v>
      </c>
      <c r="G875" s="20" t="s">
        <v>3090</v>
      </c>
      <c r="H875" s="20" t="s">
        <v>3248</v>
      </c>
      <c r="I875" s="20">
        <v>14</v>
      </c>
      <c r="J875" s="20" t="s">
        <v>3249</v>
      </c>
      <c r="K875" s="20" t="s">
        <v>3259</v>
      </c>
      <c r="L875" s="20" t="s">
        <v>3251</v>
      </c>
      <c r="M875" s="20" t="s">
        <v>2667</v>
      </c>
      <c r="N875" s="20" t="s">
        <v>3216</v>
      </c>
      <c r="P875" s="20" t="s">
        <v>2667</v>
      </c>
      <c r="Q875" s="20" t="s">
        <v>2674</v>
      </c>
      <c r="R875" s="20" t="s">
        <v>84</v>
      </c>
      <c r="S875" s="20">
        <v>4</v>
      </c>
      <c r="T875" s="20" t="s">
        <v>922</v>
      </c>
      <c r="U875" s="20" t="s">
        <v>923</v>
      </c>
      <c r="V875" s="20" t="s">
        <v>87</v>
      </c>
      <c r="W875" s="20">
        <v>721</v>
      </c>
      <c r="X875" s="20">
        <v>721</v>
      </c>
      <c r="Y875" s="20" t="s">
        <v>3252</v>
      </c>
      <c r="Z875" s="20">
        <v>0.25</v>
      </c>
      <c r="AA875" s="20" t="s">
        <v>3260</v>
      </c>
      <c r="AB875" s="20" t="s">
        <v>248</v>
      </c>
      <c r="AC875" s="20" t="s">
        <v>249</v>
      </c>
      <c r="AD875" s="20" t="s">
        <v>3254</v>
      </c>
      <c r="AE875" s="20" t="s">
        <v>400</v>
      </c>
      <c r="AF875" s="20">
        <v>0.25</v>
      </c>
      <c r="AG875" s="20">
        <v>0</v>
      </c>
      <c r="AH875" s="20">
        <v>1</v>
      </c>
      <c r="AI875" s="4" t="s">
        <v>651</v>
      </c>
      <c r="AJ875" s="20">
        <v>61</v>
      </c>
      <c r="AK875" s="4" t="s">
        <v>679</v>
      </c>
      <c r="AL875" s="4">
        <v>5</v>
      </c>
      <c r="AM875" s="4" t="s">
        <v>485</v>
      </c>
      <c r="AN875" s="4" t="s">
        <v>95</v>
      </c>
      <c r="AO875" s="4" t="s">
        <v>680</v>
      </c>
      <c r="AP875" s="4">
        <v>1</v>
      </c>
      <c r="AQ875" s="20">
        <v>89000</v>
      </c>
      <c r="AR875" s="4">
        <v>41855</v>
      </c>
      <c r="AS875" s="20">
        <v>17979.797979797979</v>
      </c>
      <c r="AT875" s="20">
        <v>20262.5</v>
      </c>
      <c r="AU875" s="20">
        <v>2282.7020202020212</v>
      </c>
      <c r="AW875" s="20">
        <v>50</v>
      </c>
      <c r="AY875" s="20">
        <v>50</v>
      </c>
      <c r="AZ875" s="20">
        <v>17.5</v>
      </c>
      <c r="BB875" s="6">
        <v>41855</v>
      </c>
      <c r="BC875" s="6">
        <v>0</v>
      </c>
      <c r="BD875" s="6">
        <v>41862</v>
      </c>
      <c r="BE875" s="6">
        <v>0</v>
      </c>
      <c r="BF875" s="6">
        <v>41862</v>
      </c>
      <c r="BG875" s="6">
        <v>0</v>
      </c>
      <c r="BH875" s="6">
        <v>0</v>
      </c>
      <c r="BI875" s="6">
        <v>0</v>
      </c>
      <c r="BJ875" s="6">
        <v>0</v>
      </c>
      <c r="BK875" s="4">
        <v>0</v>
      </c>
      <c r="BL875" s="4">
        <v>0</v>
      </c>
      <c r="BM875" s="20">
        <v>61</v>
      </c>
      <c r="BN875" s="20">
        <v>0</v>
      </c>
      <c r="BO875" s="20">
        <v>0</v>
      </c>
      <c r="BP875" s="20">
        <v>0</v>
      </c>
      <c r="BQ875" s="20">
        <v>0</v>
      </c>
      <c r="BR875" s="20">
        <v>0</v>
      </c>
      <c r="BS875" s="20">
        <v>61</v>
      </c>
      <c r="BT875" s="20">
        <v>1236012.5</v>
      </c>
      <c r="BU875" s="20">
        <v>5429000</v>
      </c>
      <c r="BV875" s="20">
        <v>3.993045819079132</v>
      </c>
    </row>
    <row r="876" spans="1:74">
      <c r="A876" s="10">
        <f t="shared" si="54"/>
        <v>0</v>
      </c>
      <c r="B876" s="10">
        <f t="shared" si="55"/>
        <v>0</v>
      </c>
      <c r="C876" s="12">
        <f t="shared" si="56"/>
        <v>8</v>
      </c>
      <c r="D876" s="12">
        <f t="shared" si="57"/>
        <v>8</v>
      </c>
      <c r="E876" s="20" t="s">
        <v>574</v>
      </c>
      <c r="F876" s="20" t="s">
        <v>3089</v>
      </c>
      <c r="G876" s="20" t="s">
        <v>3090</v>
      </c>
      <c r="H876" s="20" t="s">
        <v>3261</v>
      </c>
      <c r="I876" s="20">
        <v>15</v>
      </c>
      <c r="J876" s="20" t="s">
        <v>3262</v>
      </c>
      <c r="K876" s="20" t="s">
        <v>3263</v>
      </c>
      <c r="L876" s="20" t="s">
        <v>3264</v>
      </c>
      <c r="M876" s="20" t="s">
        <v>2667</v>
      </c>
      <c r="N876" s="20" t="s">
        <v>3216</v>
      </c>
      <c r="P876" s="20" t="s">
        <v>2667</v>
      </c>
      <c r="Q876" s="20" t="s">
        <v>2674</v>
      </c>
      <c r="R876" s="20" t="s">
        <v>84</v>
      </c>
      <c r="S876" s="20">
        <v>4</v>
      </c>
      <c r="T876" s="20" t="s">
        <v>922</v>
      </c>
      <c r="U876" s="20" t="s">
        <v>923</v>
      </c>
      <c r="V876" s="20" t="s">
        <v>87</v>
      </c>
      <c r="W876" s="20">
        <v>725</v>
      </c>
      <c r="X876" s="20">
        <v>725</v>
      </c>
      <c r="Y876" s="20" t="s">
        <v>3265</v>
      </c>
      <c r="Z876" s="20">
        <v>9.0909090909090912E-2</v>
      </c>
      <c r="AA876" s="20" t="s">
        <v>3266</v>
      </c>
      <c r="AB876" s="20" t="s">
        <v>176</v>
      </c>
      <c r="AC876" s="20" t="s">
        <v>177</v>
      </c>
      <c r="AD876" s="20" t="s">
        <v>3267</v>
      </c>
      <c r="AE876" s="20" t="s">
        <v>400</v>
      </c>
      <c r="AF876" s="20">
        <v>0.25</v>
      </c>
      <c r="AG876" s="20">
        <v>0</v>
      </c>
      <c r="AH876" s="20">
        <v>1</v>
      </c>
      <c r="AI876" s="4" t="s">
        <v>645</v>
      </c>
      <c r="AJ876" s="20">
        <v>149</v>
      </c>
      <c r="AK876" s="4" t="s">
        <v>679</v>
      </c>
      <c r="AL876" s="4">
        <v>5</v>
      </c>
      <c r="AM876" s="4" t="s">
        <v>485</v>
      </c>
      <c r="AN876" s="4" t="s">
        <v>95</v>
      </c>
      <c r="AO876" s="4" t="s">
        <v>680</v>
      </c>
      <c r="AP876" s="4">
        <v>1</v>
      </c>
      <c r="AQ876" s="20">
        <v>79000</v>
      </c>
      <c r="AR876" s="4">
        <v>41855</v>
      </c>
      <c r="AS876" s="20">
        <v>15959.595959595958</v>
      </c>
      <c r="AT876" s="20">
        <v>16162.249999999998</v>
      </c>
      <c r="AU876" s="20">
        <v>202.65404040404064</v>
      </c>
      <c r="AW876" s="20">
        <v>50</v>
      </c>
      <c r="AY876" s="20">
        <v>50</v>
      </c>
      <c r="AZ876" s="20">
        <v>13.95</v>
      </c>
      <c r="BB876" s="6">
        <v>41855</v>
      </c>
      <c r="BC876" s="6">
        <v>0</v>
      </c>
      <c r="BD876" s="6">
        <v>41862</v>
      </c>
      <c r="BE876" s="6">
        <v>0</v>
      </c>
      <c r="BF876" s="6">
        <v>41862</v>
      </c>
      <c r="BG876" s="6">
        <v>0</v>
      </c>
      <c r="BH876" s="6">
        <v>0</v>
      </c>
      <c r="BI876" s="6">
        <v>0</v>
      </c>
      <c r="BJ876" s="6">
        <v>0</v>
      </c>
      <c r="BK876" s="4">
        <v>0</v>
      </c>
      <c r="BL876" s="4">
        <v>0</v>
      </c>
      <c r="BM876" s="20">
        <v>149</v>
      </c>
      <c r="BN876" s="20">
        <v>0</v>
      </c>
      <c r="BO876" s="20">
        <v>0</v>
      </c>
      <c r="BP876" s="20">
        <v>0</v>
      </c>
      <c r="BQ876" s="20">
        <v>0</v>
      </c>
      <c r="BR876" s="20">
        <v>0</v>
      </c>
      <c r="BS876" s="20">
        <v>149</v>
      </c>
      <c r="BT876" s="20">
        <v>2408175.2499999995</v>
      </c>
      <c r="BU876" s="20">
        <v>11771000</v>
      </c>
      <c r="BV876" s="20">
        <v>4.4435757285143973</v>
      </c>
    </row>
    <row r="877" spans="1:74">
      <c r="A877" s="10">
        <f t="shared" si="54"/>
        <v>0</v>
      </c>
      <c r="B877" s="10">
        <f t="shared" si="55"/>
        <v>0</v>
      </c>
      <c r="C877" s="12">
        <f t="shared" si="56"/>
        <v>8</v>
      </c>
      <c r="D877" s="12">
        <f t="shared" si="57"/>
        <v>8</v>
      </c>
      <c r="E877" s="20" t="s">
        <v>574</v>
      </c>
      <c r="F877" s="20" t="s">
        <v>3089</v>
      </c>
      <c r="G877" s="20" t="s">
        <v>3090</v>
      </c>
      <c r="H877" s="20" t="s">
        <v>3261</v>
      </c>
      <c r="I877" s="20">
        <v>15</v>
      </c>
      <c r="J877" s="20" t="s">
        <v>3262</v>
      </c>
      <c r="K877" s="20" t="s">
        <v>3268</v>
      </c>
      <c r="L877" s="20" t="s">
        <v>3264</v>
      </c>
      <c r="M877" s="20" t="s">
        <v>2667</v>
      </c>
      <c r="N877" s="20" t="s">
        <v>3216</v>
      </c>
      <c r="P877" s="20" t="s">
        <v>2667</v>
      </c>
      <c r="Q877" s="20" t="s">
        <v>2674</v>
      </c>
      <c r="R877" s="20" t="s">
        <v>84</v>
      </c>
      <c r="S877" s="20">
        <v>4</v>
      </c>
      <c r="T877" s="20" t="s">
        <v>922</v>
      </c>
      <c r="U877" s="20" t="s">
        <v>923</v>
      </c>
      <c r="V877" s="20" t="s">
        <v>87</v>
      </c>
      <c r="W877" s="20">
        <v>725</v>
      </c>
      <c r="X877" s="20">
        <v>725</v>
      </c>
      <c r="Y877" s="20" t="s">
        <v>3265</v>
      </c>
      <c r="Z877" s="20">
        <v>9.0909090909090912E-2</v>
      </c>
      <c r="AA877" s="20" t="s">
        <v>3269</v>
      </c>
      <c r="AB877" s="20" t="s">
        <v>176</v>
      </c>
      <c r="AC877" s="20" t="s">
        <v>177</v>
      </c>
      <c r="AD877" s="20" t="s">
        <v>3267</v>
      </c>
      <c r="AE877" s="20" t="s">
        <v>400</v>
      </c>
      <c r="AF877" s="20">
        <v>0.25</v>
      </c>
      <c r="AG877" s="20">
        <v>0</v>
      </c>
      <c r="AH877" s="20">
        <v>1</v>
      </c>
      <c r="AI877" s="4" t="s">
        <v>647</v>
      </c>
      <c r="AJ877" s="20">
        <v>141</v>
      </c>
      <c r="AK877" s="4" t="s">
        <v>679</v>
      </c>
      <c r="AL877" s="4">
        <v>5</v>
      </c>
      <c r="AM877" s="4" t="s">
        <v>485</v>
      </c>
      <c r="AN877" s="4" t="s">
        <v>95</v>
      </c>
      <c r="AO877" s="4" t="s">
        <v>680</v>
      </c>
      <c r="AP877" s="4">
        <v>1</v>
      </c>
      <c r="AQ877" s="20">
        <v>79000</v>
      </c>
      <c r="AR877" s="4">
        <v>41855</v>
      </c>
      <c r="AS877" s="20">
        <v>15959.595959595958</v>
      </c>
      <c r="AT877" s="20">
        <v>16162.249999999998</v>
      </c>
      <c r="AU877" s="20">
        <v>202.65404040404064</v>
      </c>
      <c r="AW877" s="20">
        <v>50</v>
      </c>
      <c r="AY877" s="20">
        <v>50</v>
      </c>
      <c r="AZ877" s="20">
        <v>13.95</v>
      </c>
      <c r="BB877" s="6">
        <v>41855</v>
      </c>
      <c r="BC877" s="6">
        <v>0</v>
      </c>
      <c r="BD877" s="6">
        <v>41862</v>
      </c>
      <c r="BE877" s="6">
        <v>0</v>
      </c>
      <c r="BF877" s="6">
        <v>41862</v>
      </c>
      <c r="BG877" s="6">
        <v>0</v>
      </c>
      <c r="BH877" s="6">
        <v>0</v>
      </c>
      <c r="BI877" s="6">
        <v>0</v>
      </c>
      <c r="BJ877" s="6">
        <v>0</v>
      </c>
      <c r="BK877" s="4">
        <v>0</v>
      </c>
      <c r="BL877" s="4">
        <v>0</v>
      </c>
      <c r="BM877" s="20">
        <v>141</v>
      </c>
      <c r="BN877" s="20">
        <v>0</v>
      </c>
      <c r="BO877" s="20">
        <v>0</v>
      </c>
      <c r="BP877" s="20">
        <v>0</v>
      </c>
      <c r="BQ877" s="20">
        <v>0</v>
      </c>
      <c r="BR877" s="20">
        <v>0</v>
      </c>
      <c r="BS877" s="20">
        <v>141</v>
      </c>
      <c r="BT877" s="20">
        <v>2278877.2499999995</v>
      </c>
      <c r="BU877" s="20">
        <v>11139000</v>
      </c>
      <c r="BV877" s="20">
        <v>4.4435757285143982</v>
      </c>
    </row>
    <row r="878" spans="1:74">
      <c r="A878" s="10">
        <f t="shared" si="54"/>
        <v>0</v>
      </c>
      <c r="B878" s="10">
        <f t="shared" si="55"/>
        <v>0</v>
      </c>
      <c r="C878" s="12">
        <f t="shared" si="56"/>
        <v>8</v>
      </c>
      <c r="D878" s="12">
        <f t="shared" si="57"/>
        <v>8</v>
      </c>
      <c r="E878" s="20" t="s">
        <v>574</v>
      </c>
      <c r="F878" s="20" t="s">
        <v>3089</v>
      </c>
      <c r="G878" s="20" t="s">
        <v>3090</v>
      </c>
      <c r="H878" s="20" t="s">
        <v>3261</v>
      </c>
      <c r="I878" s="20">
        <v>15</v>
      </c>
      <c r="J878" s="20" t="s">
        <v>3262</v>
      </c>
      <c r="K878" s="20" t="s">
        <v>3270</v>
      </c>
      <c r="L878" s="20" t="s">
        <v>3264</v>
      </c>
      <c r="M878" s="20" t="s">
        <v>2667</v>
      </c>
      <c r="N878" s="20" t="s">
        <v>3216</v>
      </c>
      <c r="P878" s="20" t="s">
        <v>2667</v>
      </c>
      <c r="Q878" s="20" t="s">
        <v>2674</v>
      </c>
      <c r="R878" s="20" t="s">
        <v>84</v>
      </c>
      <c r="S878" s="20">
        <v>4</v>
      </c>
      <c r="T878" s="20" t="s">
        <v>922</v>
      </c>
      <c r="U878" s="20" t="s">
        <v>923</v>
      </c>
      <c r="V878" s="20" t="s">
        <v>87</v>
      </c>
      <c r="W878" s="20">
        <v>725</v>
      </c>
      <c r="X878" s="20">
        <v>725</v>
      </c>
      <c r="Y878" s="20" t="s">
        <v>3265</v>
      </c>
      <c r="Z878" s="20">
        <v>9.0909090909090912E-2</v>
      </c>
      <c r="AA878" s="20" t="s">
        <v>3271</v>
      </c>
      <c r="AB878" s="20" t="s">
        <v>176</v>
      </c>
      <c r="AC878" s="20" t="s">
        <v>177</v>
      </c>
      <c r="AD878" s="20" t="s">
        <v>3267</v>
      </c>
      <c r="AE878" s="20" t="s">
        <v>400</v>
      </c>
      <c r="AF878" s="20">
        <v>0.25</v>
      </c>
      <c r="AG878" s="20">
        <v>0</v>
      </c>
      <c r="AH878" s="20">
        <v>1</v>
      </c>
      <c r="AI878" s="4" t="s">
        <v>649</v>
      </c>
      <c r="AJ878" s="20">
        <v>34</v>
      </c>
      <c r="AK878" s="4" t="s">
        <v>679</v>
      </c>
      <c r="AL878" s="4">
        <v>5</v>
      </c>
      <c r="AM878" s="4" t="s">
        <v>485</v>
      </c>
      <c r="AN878" s="4" t="s">
        <v>95</v>
      </c>
      <c r="AO878" s="4" t="s">
        <v>680</v>
      </c>
      <c r="AP878" s="4">
        <v>1</v>
      </c>
      <c r="AQ878" s="20">
        <v>79000</v>
      </c>
      <c r="AR878" s="4">
        <v>41855</v>
      </c>
      <c r="AS878" s="20">
        <v>15959.595959595958</v>
      </c>
      <c r="AT878" s="20">
        <v>16162.249999999998</v>
      </c>
      <c r="AU878" s="20">
        <v>202.65404040404064</v>
      </c>
      <c r="AW878" s="20">
        <v>50</v>
      </c>
      <c r="AY878" s="20">
        <v>50</v>
      </c>
      <c r="AZ878" s="20">
        <v>13.95</v>
      </c>
      <c r="BB878" s="6">
        <v>41855</v>
      </c>
      <c r="BC878" s="6">
        <v>0</v>
      </c>
      <c r="BD878" s="6">
        <v>41862</v>
      </c>
      <c r="BE878" s="6">
        <v>0</v>
      </c>
      <c r="BF878" s="6">
        <v>41862</v>
      </c>
      <c r="BG878" s="6">
        <v>0</v>
      </c>
      <c r="BH878" s="6">
        <v>0</v>
      </c>
      <c r="BI878" s="6">
        <v>0</v>
      </c>
      <c r="BJ878" s="6">
        <v>0</v>
      </c>
      <c r="BK878" s="4">
        <v>0</v>
      </c>
      <c r="BL878" s="4">
        <v>0</v>
      </c>
      <c r="BM878" s="20">
        <v>34</v>
      </c>
      <c r="BN878" s="20">
        <v>0</v>
      </c>
      <c r="BO878" s="20">
        <v>0</v>
      </c>
      <c r="BP878" s="20">
        <v>0</v>
      </c>
      <c r="BQ878" s="20">
        <v>0</v>
      </c>
      <c r="BR878" s="20">
        <v>0</v>
      </c>
      <c r="BS878" s="20">
        <v>34</v>
      </c>
      <c r="BT878" s="20">
        <v>549516.49999999988</v>
      </c>
      <c r="BU878" s="20">
        <v>2686000</v>
      </c>
      <c r="BV878" s="20">
        <v>4.4435757285143982</v>
      </c>
    </row>
    <row r="879" spans="1:74">
      <c r="A879" s="10">
        <f t="shared" si="54"/>
        <v>0</v>
      </c>
      <c r="B879" s="10">
        <f t="shared" si="55"/>
        <v>0</v>
      </c>
      <c r="C879" s="12">
        <f t="shared" si="56"/>
        <v>8</v>
      </c>
      <c r="D879" s="12">
        <f t="shared" si="57"/>
        <v>8</v>
      </c>
      <c r="E879" s="20" t="s">
        <v>574</v>
      </c>
      <c r="F879" s="20" t="s">
        <v>3089</v>
      </c>
      <c r="G879" s="20" t="s">
        <v>3090</v>
      </c>
      <c r="H879" s="20" t="s">
        <v>3261</v>
      </c>
      <c r="I879" s="20">
        <v>15</v>
      </c>
      <c r="J879" s="20" t="s">
        <v>3262</v>
      </c>
      <c r="K879" s="20" t="s">
        <v>3272</v>
      </c>
      <c r="L879" s="20" t="s">
        <v>3264</v>
      </c>
      <c r="M879" s="20" t="s">
        <v>2667</v>
      </c>
      <c r="N879" s="20" t="s">
        <v>3216</v>
      </c>
      <c r="P879" s="20" t="s">
        <v>2667</v>
      </c>
      <c r="Q879" s="20" t="s">
        <v>2674</v>
      </c>
      <c r="R879" s="20" t="s">
        <v>84</v>
      </c>
      <c r="S879" s="20">
        <v>4</v>
      </c>
      <c r="T879" s="20" t="s">
        <v>922</v>
      </c>
      <c r="U879" s="20" t="s">
        <v>923</v>
      </c>
      <c r="V879" s="20" t="s">
        <v>87</v>
      </c>
      <c r="W879" s="20">
        <v>725</v>
      </c>
      <c r="X879" s="20">
        <v>725</v>
      </c>
      <c r="Y879" s="20" t="s">
        <v>3265</v>
      </c>
      <c r="Z879" s="20">
        <v>9.0909090909090912E-2</v>
      </c>
      <c r="AA879" s="20" t="s">
        <v>3273</v>
      </c>
      <c r="AB879" s="20" t="s">
        <v>176</v>
      </c>
      <c r="AC879" s="20" t="s">
        <v>177</v>
      </c>
      <c r="AD879" s="20" t="s">
        <v>3267</v>
      </c>
      <c r="AE879" s="20" t="s">
        <v>400</v>
      </c>
      <c r="AF879" s="20">
        <v>0.25</v>
      </c>
      <c r="AG879" s="20">
        <v>0</v>
      </c>
      <c r="AH879" s="20">
        <v>1</v>
      </c>
      <c r="AI879" s="4" t="s">
        <v>651</v>
      </c>
      <c r="AJ879" s="20">
        <v>70</v>
      </c>
      <c r="AK879" s="4" t="s">
        <v>679</v>
      </c>
      <c r="AL879" s="4">
        <v>5</v>
      </c>
      <c r="AM879" s="4" t="s">
        <v>485</v>
      </c>
      <c r="AN879" s="4" t="s">
        <v>95</v>
      </c>
      <c r="AO879" s="4" t="s">
        <v>680</v>
      </c>
      <c r="AP879" s="4">
        <v>1</v>
      </c>
      <c r="AQ879" s="20">
        <v>79000</v>
      </c>
      <c r="AR879" s="4">
        <v>41855</v>
      </c>
      <c r="AS879" s="20">
        <v>15959.595959595958</v>
      </c>
      <c r="AT879" s="20">
        <v>16162.249999999998</v>
      </c>
      <c r="AU879" s="20">
        <v>202.65404040404064</v>
      </c>
      <c r="AW879" s="20">
        <v>50</v>
      </c>
      <c r="AY879" s="20">
        <v>50</v>
      </c>
      <c r="AZ879" s="20">
        <v>13.95</v>
      </c>
      <c r="BB879" s="6">
        <v>41855</v>
      </c>
      <c r="BC879" s="6">
        <v>0</v>
      </c>
      <c r="BD879" s="6">
        <v>41862</v>
      </c>
      <c r="BE879" s="6">
        <v>0</v>
      </c>
      <c r="BF879" s="6">
        <v>41862</v>
      </c>
      <c r="BG879" s="6">
        <v>0</v>
      </c>
      <c r="BH879" s="6">
        <v>0</v>
      </c>
      <c r="BI879" s="6">
        <v>0</v>
      </c>
      <c r="BJ879" s="6">
        <v>0</v>
      </c>
      <c r="BK879" s="4">
        <v>0</v>
      </c>
      <c r="BL879" s="4">
        <v>0</v>
      </c>
      <c r="BM879" s="20">
        <v>70</v>
      </c>
      <c r="BN879" s="20">
        <v>0</v>
      </c>
      <c r="BO879" s="20">
        <v>0</v>
      </c>
      <c r="BP879" s="20">
        <v>0</v>
      </c>
      <c r="BQ879" s="20">
        <v>0</v>
      </c>
      <c r="BR879" s="20">
        <v>0</v>
      </c>
      <c r="BS879" s="20">
        <v>70</v>
      </c>
      <c r="BT879" s="20">
        <v>1131357.4999999998</v>
      </c>
      <c r="BU879" s="20">
        <v>5530000</v>
      </c>
      <c r="BV879" s="20">
        <v>4.4435757285143982</v>
      </c>
    </row>
    <row r="880" spans="1:74">
      <c r="A880" s="10">
        <f t="shared" si="54"/>
        <v>0</v>
      </c>
      <c r="B880" s="10">
        <f t="shared" si="55"/>
        <v>0</v>
      </c>
      <c r="C880" s="12">
        <f t="shared" si="56"/>
        <v>8</v>
      </c>
      <c r="D880" s="12">
        <f t="shared" si="57"/>
        <v>8</v>
      </c>
      <c r="E880" s="20" t="s">
        <v>574</v>
      </c>
      <c r="F880" s="20" t="s">
        <v>3089</v>
      </c>
      <c r="G880" s="20" t="s">
        <v>3090</v>
      </c>
      <c r="H880" s="20" t="s">
        <v>3274</v>
      </c>
      <c r="I880" s="20">
        <v>16</v>
      </c>
      <c r="J880" s="20" t="s">
        <v>3275</v>
      </c>
      <c r="K880" s="20" t="s">
        <v>3276</v>
      </c>
      <c r="L880" s="20" t="s">
        <v>3264</v>
      </c>
      <c r="M880" s="20" t="s">
        <v>2667</v>
      </c>
      <c r="N880" s="20" t="s">
        <v>3216</v>
      </c>
      <c r="P880" s="20" t="s">
        <v>2667</v>
      </c>
      <c r="Q880" s="20" t="s">
        <v>2674</v>
      </c>
      <c r="R880" s="20" t="s">
        <v>84</v>
      </c>
      <c r="S880" s="20">
        <v>4</v>
      </c>
      <c r="T880" s="20" t="s">
        <v>922</v>
      </c>
      <c r="U880" s="20" t="s">
        <v>923</v>
      </c>
      <c r="V880" s="20" t="s">
        <v>87</v>
      </c>
      <c r="W880" s="20">
        <v>725</v>
      </c>
      <c r="X880" s="20">
        <v>725</v>
      </c>
      <c r="Y880" s="20" t="s">
        <v>3265</v>
      </c>
      <c r="Z880" s="20">
        <v>9.0909090909090912E-2</v>
      </c>
      <c r="AA880" s="20" t="s">
        <v>3277</v>
      </c>
      <c r="AB880" s="20" t="s">
        <v>159</v>
      </c>
      <c r="AC880" s="20" t="s">
        <v>160</v>
      </c>
      <c r="AD880" s="20" t="s">
        <v>3278</v>
      </c>
      <c r="AE880" s="20" t="s">
        <v>400</v>
      </c>
      <c r="AF880" s="20">
        <v>0.25</v>
      </c>
      <c r="AG880" s="20">
        <v>0</v>
      </c>
      <c r="AH880" s="20">
        <v>1</v>
      </c>
      <c r="AI880" s="4" t="s">
        <v>645</v>
      </c>
      <c r="AJ880" s="20">
        <v>63</v>
      </c>
      <c r="AK880" s="4" t="s">
        <v>679</v>
      </c>
      <c r="AL880" s="4">
        <v>5</v>
      </c>
      <c r="AM880" s="4" t="s">
        <v>485</v>
      </c>
      <c r="AN880" s="4" t="s">
        <v>95</v>
      </c>
      <c r="AO880" s="4" t="s">
        <v>680</v>
      </c>
      <c r="AP880" s="4">
        <v>1</v>
      </c>
      <c r="AQ880" s="20">
        <v>79000</v>
      </c>
      <c r="AR880" s="4">
        <v>41855</v>
      </c>
      <c r="AS880" s="20">
        <v>15959.595959595958</v>
      </c>
      <c r="AT880" s="20">
        <v>16162.249999999998</v>
      </c>
      <c r="AU880" s="20">
        <v>202.65404040404064</v>
      </c>
      <c r="AW880" s="20">
        <v>50</v>
      </c>
      <c r="AY880" s="20">
        <v>50</v>
      </c>
      <c r="AZ880" s="20">
        <v>13.95</v>
      </c>
      <c r="BB880" s="6">
        <v>41855</v>
      </c>
      <c r="BC880" s="6">
        <v>0</v>
      </c>
      <c r="BD880" s="6">
        <v>41862</v>
      </c>
      <c r="BE880" s="6">
        <v>0</v>
      </c>
      <c r="BF880" s="6">
        <v>41862</v>
      </c>
      <c r="BG880" s="6">
        <v>0</v>
      </c>
      <c r="BH880" s="6">
        <v>0</v>
      </c>
      <c r="BI880" s="6">
        <v>0</v>
      </c>
      <c r="BJ880" s="6">
        <v>0</v>
      </c>
      <c r="BK880" s="4">
        <v>0</v>
      </c>
      <c r="BL880" s="4">
        <v>0</v>
      </c>
      <c r="BM880" s="20">
        <v>63</v>
      </c>
      <c r="BN880" s="20">
        <v>0</v>
      </c>
      <c r="BO880" s="20">
        <v>0</v>
      </c>
      <c r="BP880" s="20">
        <v>0</v>
      </c>
      <c r="BQ880" s="20">
        <v>0</v>
      </c>
      <c r="BR880" s="20">
        <v>0</v>
      </c>
      <c r="BS880" s="20">
        <v>63</v>
      </c>
      <c r="BT880" s="20">
        <v>1018221.7499999999</v>
      </c>
      <c r="BU880" s="20">
        <v>4977000</v>
      </c>
      <c r="BV880" s="20">
        <v>4.4435757285143973</v>
      </c>
    </row>
    <row r="881" spans="1:74">
      <c r="A881" s="10">
        <f t="shared" si="54"/>
        <v>0</v>
      </c>
      <c r="B881" s="10">
        <f t="shared" si="55"/>
        <v>0</v>
      </c>
      <c r="C881" s="12">
        <f t="shared" si="56"/>
        <v>8</v>
      </c>
      <c r="D881" s="12">
        <f t="shared" si="57"/>
        <v>8</v>
      </c>
      <c r="E881" s="20" t="s">
        <v>574</v>
      </c>
      <c r="F881" s="20" t="s">
        <v>3089</v>
      </c>
      <c r="G881" s="20" t="s">
        <v>3090</v>
      </c>
      <c r="H881" s="20" t="s">
        <v>3274</v>
      </c>
      <c r="I881" s="20">
        <v>16</v>
      </c>
      <c r="J881" s="20" t="s">
        <v>3275</v>
      </c>
      <c r="K881" s="20" t="s">
        <v>3279</v>
      </c>
      <c r="L881" s="20" t="s">
        <v>3264</v>
      </c>
      <c r="M881" s="20" t="s">
        <v>2667</v>
      </c>
      <c r="N881" s="20" t="s">
        <v>3216</v>
      </c>
      <c r="P881" s="20" t="s">
        <v>2667</v>
      </c>
      <c r="Q881" s="20" t="s">
        <v>2674</v>
      </c>
      <c r="R881" s="20" t="s">
        <v>84</v>
      </c>
      <c r="S881" s="20">
        <v>4</v>
      </c>
      <c r="T881" s="20" t="s">
        <v>922</v>
      </c>
      <c r="U881" s="20" t="s">
        <v>923</v>
      </c>
      <c r="V881" s="20" t="s">
        <v>87</v>
      </c>
      <c r="W881" s="20">
        <v>725</v>
      </c>
      <c r="X881" s="20">
        <v>725</v>
      </c>
      <c r="Y881" s="20" t="s">
        <v>3265</v>
      </c>
      <c r="Z881" s="20">
        <v>9.0909090909090912E-2</v>
      </c>
      <c r="AA881" s="20" t="s">
        <v>3280</v>
      </c>
      <c r="AB881" s="20" t="s">
        <v>159</v>
      </c>
      <c r="AC881" s="20" t="s">
        <v>160</v>
      </c>
      <c r="AD881" s="20" t="s">
        <v>3278</v>
      </c>
      <c r="AE881" s="20" t="s">
        <v>400</v>
      </c>
      <c r="AF881" s="20">
        <v>0.25</v>
      </c>
      <c r="AG881" s="20">
        <v>0</v>
      </c>
      <c r="AH881" s="20">
        <v>1</v>
      </c>
      <c r="AI881" s="4" t="s">
        <v>647</v>
      </c>
      <c r="AJ881" s="20">
        <v>71</v>
      </c>
      <c r="AK881" s="4" t="s">
        <v>679</v>
      </c>
      <c r="AL881" s="4">
        <v>5</v>
      </c>
      <c r="AM881" s="4" t="s">
        <v>485</v>
      </c>
      <c r="AN881" s="4" t="s">
        <v>95</v>
      </c>
      <c r="AO881" s="4" t="s">
        <v>680</v>
      </c>
      <c r="AP881" s="4">
        <v>1</v>
      </c>
      <c r="AQ881" s="20">
        <v>79000</v>
      </c>
      <c r="AR881" s="4">
        <v>41855</v>
      </c>
      <c r="AS881" s="20">
        <v>15959.595959595958</v>
      </c>
      <c r="AT881" s="20">
        <v>16162.249999999998</v>
      </c>
      <c r="AU881" s="20">
        <v>202.65404040404064</v>
      </c>
      <c r="AW881" s="20">
        <v>50</v>
      </c>
      <c r="AY881" s="20">
        <v>50</v>
      </c>
      <c r="AZ881" s="20">
        <v>13.95</v>
      </c>
      <c r="BB881" s="6">
        <v>41855</v>
      </c>
      <c r="BC881" s="6">
        <v>0</v>
      </c>
      <c r="BD881" s="6">
        <v>41862</v>
      </c>
      <c r="BE881" s="6">
        <v>0</v>
      </c>
      <c r="BF881" s="6">
        <v>41862</v>
      </c>
      <c r="BG881" s="6">
        <v>0</v>
      </c>
      <c r="BH881" s="6">
        <v>0</v>
      </c>
      <c r="BI881" s="6">
        <v>0</v>
      </c>
      <c r="BJ881" s="6">
        <v>0</v>
      </c>
      <c r="BK881" s="4">
        <v>0</v>
      </c>
      <c r="BL881" s="4">
        <v>0</v>
      </c>
      <c r="BM881" s="20">
        <v>71</v>
      </c>
      <c r="BN881" s="20">
        <v>0</v>
      </c>
      <c r="BO881" s="20">
        <v>0</v>
      </c>
      <c r="BP881" s="20">
        <v>0</v>
      </c>
      <c r="BQ881" s="20">
        <v>0</v>
      </c>
      <c r="BR881" s="20">
        <v>0</v>
      </c>
      <c r="BS881" s="20">
        <v>71</v>
      </c>
      <c r="BT881" s="20">
        <v>1147519.7499999998</v>
      </c>
      <c r="BU881" s="20">
        <v>5609000</v>
      </c>
      <c r="BV881" s="20">
        <v>4.4435757285143982</v>
      </c>
    </row>
    <row r="882" spans="1:74">
      <c r="A882" s="10">
        <f t="shared" si="54"/>
        <v>0</v>
      </c>
      <c r="B882" s="10">
        <f t="shared" si="55"/>
        <v>0</v>
      </c>
      <c r="C882" s="12">
        <f t="shared" si="56"/>
        <v>8</v>
      </c>
      <c r="D882" s="12">
        <f t="shared" si="57"/>
        <v>8</v>
      </c>
      <c r="E882" s="20" t="s">
        <v>574</v>
      </c>
      <c r="F882" s="20" t="s">
        <v>3089</v>
      </c>
      <c r="G882" s="20" t="s">
        <v>3090</v>
      </c>
      <c r="H882" s="20" t="s">
        <v>3274</v>
      </c>
      <c r="I882" s="20">
        <v>16</v>
      </c>
      <c r="J882" s="20" t="s">
        <v>3275</v>
      </c>
      <c r="K882" s="20" t="s">
        <v>3281</v>
      </c>
      <c r="L882" s="20" t="s">
        <v>3264</v>
      </c>
      <c r="M882" s="20" t="s">
        <v>2667</v>
      </c>
      <c r="N882" s="20" t="s">
        <v>3216</v>
      </c>
      <c r="P882" s="20" t="s">
        <v>2667</v>
      </c>
      <c r="Q882" s="20" t="s">
        <v>2674</v>
      </c>
      <c r="R882" s="20" t="s">
        <v>84</v>
      </c>
      <c r="S882" s="20">
        <v>4</v>
      </c>
      <c r="T882" s="20" t="s">
        <v>922</v>
      </c>
      <c r="U882" s="20" t="s">
        <v>923</v>
      </c>
      <c r="V882" s="20" t="s">
        <v>87</v>
      </c>
      <c r="W882" s="20">
        <v>725</v>
      </c>
      <c r="X882" s="20">
        <v>725</v>
      </c>
      <c r="Y882" s="20" t="s">
        <v>3265</v>
      </c>
      <c r="Z882" s="20">
        <v>9.0909090909090912E-2</v>
      </c>
      <c r="AA882" s="20" t="s">
        <v>3282</v>
      </c>
      <c r="AB882" s="20" t="s">
        <v>159</v>
      </c>
      <c r="AC882" s="20" t="s">
        <v>160</v>
      </c>
      <c r="AD882" s="20" t="s">
        <v>3278</v>
      </c>
      <c r="AE882" s="20" t="s">
        <v>400</v>
      </c>
      <c r="AF882" s="20">
        <v>0.25</v>
      </c>
      <c r="AG882" s="20">
        <v>0</v>
      </c>
      <c r="AH882" s="20">
        <v>1</v>
      </c>
      <c r="AI882" s="4" t="s">
        <v>649</v>
      </c>
      <c r="AJ882" s="20">
        <v>5</v>
      </c>
      <c r="AK882" s="4" t="s">
        <v>679</v>
      </c>
      <c r="AL882" s="4">
        <v>5</v>
      </c>
      <c r="AM882" s="4" t="s">
        <v>485</v>
      </c>
      <c r="AN882" s="4" t="s">
        <v>95</v>
      </c>
      <c r="AO882" s="4" t="s">
        <v>680</v>
      </c>
      <c r="AP882" s="4">
        <v>1</v>
      </c>
      <c r="AQ882" s="20">
        <v>79000</v>
      </c>
      <c r="AR882" s="4">
        <v>41855</v>
      </c>
      <c r="AS882" s="20">
        <v>15959.595959595958</v>
      </c>
      <c r="AT882" s="20">
        <v>16162.249999999998</v>
      </c>
      <c r="AU882" s="20">
        <v>202.65404040404064</v>
      </c>
      <c r="AW882" s="20">
        <v>50</v>
      </c>
      <c r="AY882" s="20">
        <v>50</v>
      </c>
      <c r="AZ882" s="20">
        <v>13.95</v>
      </c>
      <c r="BB882" s="6">
        <v>41855</v>
      </c>
      <c r="BC882" s="6">
        <v>0</v>
      </c>
      <c r="BD882" s="6">
        <v>41862</v>
      </c>
      <c r="BE882" s="6">
        <v>0</v>
      </c>
      <c r="BF882" s="6">
        <v>41862</v>
      </c>
      <c r="BG882" s="6">
        <v>0</v>
      </c>
      <c r="BH882" s="6">
        <v>0</v>
      </c>
      <c r="BI882" s="6">
        <v>0</v>
      </c>
      <c r="BJ882" s="6">
        <v>0</v>
      </c>
      <c r="BK882" s="4">
        <v>0</v>
      </c>
      <c r="BL882" s="4">
        <v>0</v>
      </c>
      <c r="BM882" s="20">
        <v>5</v>
      </c>
      <c r="BN882" s="20">
        <v>0</v>
      </c>
      <c r="BO882" s="20">
        <v>0</v>
      </c>
      <c r="BP882" s="20">
        <v>0</v>
      </c>
      <c r="BQ882" s="20">
        <v>0</v>
      </c>
      <c r="BR882" s="20">
        <v>0</v>
      </c>
      <c r="BS882" s="20">
        <v>5</v>
      </c>
      <c r="BT882" s="20">
        <v>80811.249999999985</v>
      </c>
      <c r="BU882" s="20">
        <v>395000</v>
      </c>
      <c r="BV882" s="20">
        <v>4.4435757285143982</v>
      </c>
    </row>
    <row r="883" spans="1:74">
      <c r="A883" s="10">
        <f t="shared" si="54"/>
        <v>0</v>
      </c>
      <c r="B883" s="10">
        <f t="shared" si="55"/>
        <v>0</v>
      </c>
      <c r="C883" s="12">
        <f t="shared" si="56"/>
        <v>8</v>
      </c>
      <c r="D883" s="12">
        <f t="shared" si="57"/>
        <v>8</v>
      </c>
      <c r="E883" s="20" t="s">
        <v>574</v>
      </c>
      <c r="F883" s="20" t="s">
        <v>3089</v>
      </c>
      <c r="G883" s="20" t="s">
        <v>3090</v>
      </c>
      <c r="H883" s="20" t="s">
        <v>3274</v>
      </c>
      <c r="I883" s="20">
        <v>16</v>
      </c>
      <c r="J883" s="20" t="s">
        <v>3275</v>
      </c>
      <c r="K883" s="20" t="s">
        <v>3283</v>
      </c>
      <c r="L883" s="20" t="s">
        <v>3264</v>
      </c>
      <c r="M883" s="20" t="s">
        <v>2667</v>
      </c>
      <c r="N883" s="20" t="s">
        <v>3216</v>
      </c>
      <c r="P883" s="20" t="s">
        <v>2667</v>
      </c>
      <c r="Q883" s="20" t="s">
        <v>2674</v>
      </c>
      <c r="R883" s="20" t="s">
        <v>84</v>
      </c>
      <c r="S883" s="20">
        <v>4</v>
      </c>
      <c r="T883" s="20" t="s">
        <v>922</v>
      </c>
      <c r="U883" s="20" t="s">
        <v>923</v>
      </c>
      <c r="V883" s="20" t="s">
        <v>87</v>
      </c>
      <c r="W883" s="20">
        <v>725</v>
      </c>
      <c r="X883" s="20">
        <v>725</v>
      </c>
      <c r="Y883" s="20" t="s">
        <v>3265</v>
      </c>
      <c r="Z883" s="20">
        <v>9.0909090909090912E-2</v>
      </c>
      <c r="AA883" s="20" t="s">
        <v>3284</v>
      </c>
      <c r="AB883" s="20" t="s">
        <v>159</v>
      </c>
      <c r="AC883" s="20" t="s">
        <v>160</v>
      </c>
      <c r="AD883" s="20" t="s">
        <v>3278</v>
      </c>
      <c r="AE883" s="20" t="s">
        <v>400</v>
      </c>
      <c r="AF883" s="20">
        <v>0.25</v>
      </c>
      <c r="AG883" s="20">
        <v>0</v>
      </c>
      <c r="AH883" s="20">
        <v>1</v>
      </c>
      <c r="AI883" s="4" t="s">
        <v>651</v>
      </c>
      <c r="AJ883" s="20">
        <v>30</v>
      </c>
      <c r="AK883" s="4" t="s">
        <v>679</v>
      </c>
      <c r="AL883" s="4">
        <v>5</v>
      </c>
      <c r="AM883" s="4" t="s">
        <v>485</v>
      </c>
      <c r="AN883" s="4" t="s">
        <v>95</v>
      </c>
      <c r="AO883" s="4" t="s">
        <v>680</v>
      </c>
      <c r="AP883" s="4">
        <v>1</v>
      </c>
      <c r="AQ883" s="20">
        <v>79000</v>
      </c>
      <c r="AR883" s="4">
        <v>41855</v>
      </c>
      <c r="AS883" s="20">
        <v>15959.595959595958</v>
      </c>
      <c r="AT883" s="20">
        <v>16162.249999999998</v>
      </c>
      <c r="AU883" s="20">
        <v>202.65404040404064</v>
      </c>
      <c r="AW883" s="20">
        <v>50</v>
      </c>
      <c r="AY883" s="20">
        <v>50</v>
      </c>
      <c r="AZ883" s="20">
        <v>13.95</v>
      </c>
      <c r="BB883" s="6">
        <v>41855</v>
      </c>
      <c r="BC883" s="6">
        <v>0</v>
      </c>
      <c r="BD883" s="6">
        <v>41862</v>
      </c>
      <c r="BE883" s="6">
        <v>0</v>
      </c>
      <c r="BF883" s="6">
        <v>41862</v>
      </c>
      <c r="BG883" s="6">
        <v>0</v>
      </c>
      <c r="BH883" s="6">
        <v>0</v>
      </c>
      <c r="BI883" s="6">
        <v>0</v>
      </c>
      <c r="BJ883" s="6">
        <v>0</v>
      </c>
      <c r="BK883" s="4">
        <v>0</v>
      </c>
      <c r="BL883" s="4">
        <v>0</v>
      </c>
      <c r="BM883" s="20">
        <v>30</v>
      </c>
      <c r="BN883" s="20">
        <v>0</v>
      </c>
      <c r="BO883" s="20">
        <v>0</v>
      </c>
      <c r="BP883" s="20">
        <v>0</v>
      </c>
      <c r="BQ883" s="20">
        <v>0</v>
      </c>
      <c r="BR883" s="20">
        <v>0</v>
      </c>
      <c r="BS883" s="20">
        <v>30</v>
      </c>
      <c r="BT883" s="20">
        <v>484867.49999999994</v>
      </c>
      <c r="BU883" s="20">
        <v>2370000</v>
      </c>
      <c r="BV883" s="20">
        <v>4.4435757285143973</v>
      </c>
    </row>
    <row r="884" spans="1:74">
      <c r="A884" s="10">
        <f t="shared" si="54"/>
        <v>0</v>
      </c>
      <c r="B884" s="10">
        <f t="shared" si="55"/>
        <v>0</v>
      </c>
      <c r="C884" s="12">
        <f t="shared" si="56"/>
        <v>8</v>
      </c>
      <c r="D884" s="12">
        <f t="shared" si="57"/>
        <v>8</v>
      </c>
      <c r="E884" s="20" t="s">
        <v>574</v>
      </c>
      <c r="F884" s="20" t="s">
        <v>3089</v>
      </c>
      <c r="G884" s="20" t="s">
        <v>3090</v>
      </c>
      <c r="H884" s="20" t="s">
        <v>3285</v>
      </c>
      <c r="I884" s="20">
        <v>17</v>
      </c>
      <c r="J884" s="20" t="s">
        <v>3286</v>
      </c>
      <c r="K884" s="20" t="s">
        <v>3287</v>
      </c>
      <c r="L884" s="20" t="s">
        <v>3264</v>
      </c>
      <c r="M884" s="20" t="s">
        <v>2667</v>
      </c>
      <c r="N884" s="20" t="s">
        <v>3216</v>
      </c>
      <c r="P884" s="20" t="s">
        <v>2667</v>
      </c>
      <c r="Q884" s="20" t="s">
        <v>2674</v>
      </c>
      <c r="R884" s="20" t="s">
        <v>84</v>
      </c>
      <c r="S884" s="20">
        <v>4</v>
      </c>
      <c r="T884" s="20" t="s">
        <v>922</v>
      </c>
      <c r="U884" s="20" t="s">
        <v>923</v>
      </c>
      <c r="V884" s="20" t="s">
        <v>87</v>
      </c>
      <c r="W884" s="20">
        <v>725</v>
      </c>
      <c r="X884" s="20">
        <v>725</v>
      </c>
      <c r="Y884" s="20" t="s">
        <v>3265</v>
      </c>
      <c r="Z884" s="20">
        <v>9.0909090909090912E-2</v>
      </c>
      <c r="AA884" s="20" t="s">
        <v>3288</v>
      </c>
      <c r="AB884" s="20" t="s">
        <v>101</v>
      </c>
      <c r="AC884" s="20" t="s">
        <v>102</v>
      </c>
      <c r="AD884" s="20" t="s">
        <v>3289</v>
      </c>
      <c r="AE884" s="20" t="s">
        <v>400</v>
      </c>
      <c r="AF884" s="20">
        <v>0.33333333333333331</v>
      </c>
      <c r="AG884" s="20">
        <v>0</v>
      </c>
      <c r="AH884" s="20">
        <v>1</v>
      </c>
      <c r="AI884" s="4" t="s">
        <v>645</v>
      </c>
      <c r="AJ884" s="20">
        <v>28</v>
      </c>
      <c r="AK884" s="4" t="s">
        <v>679</v>
      </c>
      <c r="AL884" s="4">
        <v>5</v>
      </c>
      <c r="AM884" s="4" t="s">
        <v>485</v>
      </c>
      <c r="AN884" s="4" t="s">
        <v>95</v>
      </c>
      <c r="AO884" s="4" t="s">
        <v>680</v>
      </c>
      <c r="AP884" s="4">
        <v>1</v>
      </c>
      <c r="AQ884" s="20">
        <v>79000</v>
      </c>
      <c r="AR884" s="4">
        <v>41855</v>
      </c>
      <c r="AS884" s="20">
        <v>15959.595959595958</v>
      </c>
      <c r="AT884" s="20">
        <v>16162.249999999998</v>
      </c>
      <c r="AU884" s="20">
        <v>202.65404040404064</v>
      </c>
      <c r="AW884" s="20">
        <v>50</v>
      </c>
      <c r="AY884" s="20">
        <v>50</v>
      </c>
      <c r="AZ884" s="20">
        <v>13.95</v>
      </c>
      <c r="BB884" s="6">
        <v>41855</v>
      </c>
      <c r="BC884" s="6">
        <v>0</v>
      </c>
      <c r="BD884" s="6">
        <v>41862</v>
      </c>
      <c r="BE884" s="6">
        <v>0</v>
      </c>
      <c r="BF884" s="6">
        <v>41862</v>
      </c>
      <c r="BG884" s="6">
        <v>0</v>
      </c>
      <c r="BH884" s="6">
        <v>0</v>
      </c>
      <c r="BI884" s="6">
        <v>0</v>
      </c>
      <c r="BJ884" s="6">
        <v>0</v>
      </c>
      <c r="BK884" s="4">
        <v>0</v>
      </c>
      <c r="BL884" s="4">
        <v>0</v>
      </c>
      <c r="BM884" s="20">
        <v>28</v>
      </c>
      <c r="BN884" s="20">
        <v>0</v>
      </c>
      <c r="BO884" s="20">
        <v>0</v>
      </c>
      <c r="BP884" s="20">
        <v>0</v>
      </c>
      <c r="BQ884" s="20">
        <v>0</v>
      </c>
      <c r="BR884" s="20">
        <v>0</v>
      </c>
      <c r="BS884" s="20">
        <v>28</v>
      </c>
      <c r="BT884" s="20">
        <v>452542.99999999994</v>
      </c>
      <c r="BU884" s="20">
        <v>2212000</v>
      </c>
      <c r="BV884" s="20">
        <v>4.4435757285143973</v>
      </c>
    </row>
    <row r="885" spans="1:74">
      <c r="A885" s="10">
        <f t="shared" si="54"/>
        <v>0</v>
      </c>
      <c r="B885" s="10">
        <f t="shared" si="55"/>
        <v>0</v>
      </c>
      <c r="C885" s="12">
        <f t="shared" si="56"/>
        <v>8</v>
      </c>
      <c r="D885" s="12">
        <f t="shared" si="57"/>
        <v>8</v>
      </c>
      <c r="E885" s="20" t="s">
        <v>574</v>
      </c>
      <c r="F885" s="20" t="s">
        <v>3089</v>
      </c>
      <c r="G885" s="20" t="s">
        <v>3090</v>
      </c>
      <c r="H885" s="20" t="s">
        <v>3285</v>
      </c>
      <c r="I885" s="20">
        <v>17</v>
      </c>
      <c r="J885" s="20" t="s">
        <v>3286</v>
      </c>
      <c r="K885" s="20" t="s">
        <v>3290</v>
      </c>
      <c r="L885" s="20" t="s">
        <v>3264</v>
      </c>
      <c r="M885" s="20" t="s">
        <v>2667</v>
      </c>
      <c r="N885" s="20" t="s">
        <v>3216</v>
      </c>
      <c r="P885" s="20" t="s">
        <v>2667</v>
      </c>
      <c r="Q885" s="20" t="s">
        <v>2674</v>
      </c>
      <c r="R885" s="20" t="s">
        <v>84</v>
      </c>
      <c r="S885" s="20">
        <v>4</v>
      </c>
      <c r="T885" s="20" t="s">
        <v>922</v>
      </c>
      <c r="U885" s="20" t="s">
        <v>923</v>
      </c>
      <c r="V885" s="20" t="s">
        <v>87</v>
      </c>
      <c r="W885" s="20">
        <v>725</v>
      </c>
      <c r="X885" s="20">
        <v>725</v>
      </c>
      <c r="Y885" s="20" t="s">
        <v>3265</v>
      </c>
      <c r="Z885" s="20">
        <v>9.0909090909090912E-2</v>
      </c>
      <c r="AA885" s="20" t="s">
        <v>3291</v>
      </c>
      <c r="AB885" s="20" t="s">
        <v>101</v>
      </c>
      <c r="AC885" s="20" t="s">
        <v>102</v>
      </c>
      <c r="AD885" s="20" t="s">
        <v>3289</v>
      </c>
      <c r="AE885" s="20" t="s">
        <v>400</v>
      </c>
      <c r="AF885" s="20">
        <v>0.33333333333333331</v>
      </c>
      <c r="AG885" s="20">
        <v>0</v>
      </c>
      <c r="AH885" s="20">
        <v>1</v>
      </c>
      <c r="AI885" s="4" t="s">
        <v>647</v>
      </c>
      <c r="AJ885" s="20">
        <v>16</v>
      </c>
      <c r="AK885" s="4" t="s">
        <v>679</v>
      </c>
      <c r="AL885" s="4">
        <v>5</v>
      </c>
      <c r="AM885" s="4" t="s">
        <v>485</v>
      </c>
      <c r="AN885" s="4" t="s">
        <v>95</v>
      </c>
      <c r="AO885" s="4" t="s">
        <v>680</v>
      </c>
      <c r="AP885" s="4">
        <v>1</v>
      </c>
      <c r="AQ885" s="20">
        <v>79000</v>
      </c>
      <c r="AR885" s="4">
        <v>41855</v>
      </c>
      <c r="AS885" s="20">
        <v>15959.595959595958</v>
      </c>
      <c r="AT885" s="20">
        <v>16162.249999999998</v>
      </c>
      <c r="AU885" s="20">
        <v>202.65404040404064</v>
      </c>
      <c r="AW885" s="20">
        <v>50</v>
      </c>
      <c r="AY885" s="20">
        <v>50</v>
      </c>
      <c r="AZ885" s="20">
        <v>13.95</v>
      </c>
      <c r="BB885" s="6">
        <v>41855</v>
      </c>
      <c r="BC885" s="6">
        <v>0</v>
      </c>
      <c r="BD885" s="6">
        <v>41862</v>
      </c>
      <c r="BE885" s="6">
        <v>0</v>
      </c>
      <c r="BF885" s="6">
        <v>41862</v>
      </c>
      <c r="BG885" s="6">
        <v>0</v>
      </c>
      <c r="BH885" s="6">
        <v>0</v>
      </c>
      <c r="BI885" s="6">
        <v>0</v>
      </c>
      <c r="BJ885" s="6">
        <v>0</v>
      </c>
      <c r="BK885" s="4">
        <v>0</v>
      </c>
      <c r="BL885" s="4">
        <v>0</v>
      </c>
      <c r="BM885" s="20">
        <v>16</v>
      </c>
      <c r="BN885" s="20">
        <v>0</v>
      </c>
      <c r="BO885" s="20">
        <v>0</v>
      </c>
      <c r="BP885" s="20">
        <v>0</v>
      </c>
      <c r="BQ885" s="20">
        <v>0</v>
      </c>
      <c r="BR885" s="20">
        <v>0</v>
      </c>
      <c r="BS885" s="20">
        <v>16</v>
      </c>
      <c r="BT885" s="20">
        <v>258595.99999999997</v>
      </c>
      <c r="BU885" s="20">
        <v>1264000</v>
      </c>
      <c r="BV885" s="20">
        <v>4.4435757285143973</v>
      </c>
    </row>
    <row r="886" spans="1:74">
      <c r="A886" s="10">
        <f t="shared" si="54"/>
        <v>0</v>
      </c>
      <c r="B886" s="10">
        <f t="shared" si="55"/>
        <v>0</v>
      </c>
      <c r="C886" s="12">
        <f t="shared" si="56"/>
        <v>8</v>
      </c>
      <c r="D886" s="12">
        <f t="shared" si="57"/>
        <v>8</v>
      </c>
      <c r="E886" s="20" t="s">
        <v>574</v>
      </c>
      <c r="F886" s="20" t="s">
        <v>3089</v>
      </c>
      <c r="G886" s="20" t="s">
        <v>3090</v>
      </c>
      <c r="H886" s="20" t="s">
        <v>3285</v>
      </c>
      <c r="I886" s="20">
        <v>17</v>
      </c>
      <c r="J886" s="20" t="s">
        <v>3286</v>
      </c>
      <c r="K886" s="20" t="s">
        <v>3292</v>
      </c>
      <c r="L886" s="20" t="s">
        <v>3264</v>
      </c>
      <c r="M886" s="20" t="s">
        <v>2667</v>
      </c>
      <c r="N886" s="20" t="s">
        <v>3216</v>
      </c>
      <c r="P886" s="20" t="s">
        <v>2667</v>
      </c>
      <c r="Q886" s="20" t="s">
        <v>2674</v>
      </c>
      <c r="R886" s="20" t="s">
        <v>84</v>
      </c>
      <c r="S886" s="20">
        <v>4</v>
      </c>
      <c r="T886" s="20" t="s">
        <v>922</v>
      </c>
      <c r="U886" s="20" t="s">
        <v>923</v>
      </c>
      <c r="V886" s="20" t="s">
        <v>87</v>
      </c>
      <c r="W886" s="20">
        <v>725</v>
      </c>
      <c r="X886" s="20">
        <v>725</v>
      </c>
      <c r="Y886" s="20" t="s">
        <v>3265</v>
      </c>
      <c r="Z886" s="20">
        <v>9.0909090909090912E-2</v>
      </c>
      <c r="AA886" s="20" t="s">
        <v>3293</v>
      </c>
      <c r="AB886" s="20" t="s">
        <v>101</v>
      </c>
      <c r="AC886" s="20" t="s">
        <v>102</v>
      </c>
      <c r="AD886" s="20" t="s">
        <v>3289</v>
      </c>
      <c r="AE886" s="20" t="s">
        <v>400</v>
      </c>
      <c r="AF886" s="20">
        <v>0.33333333333333331</v>
      </c>
      <c r="AG886" s="20">
        <v>0</v>
      </c>
      <c r="AH886" s="20">
        <v>1</v>
      </c>
      <c r="AI886" s="4" t="s">
        <v>649</v>
      </c>
      <c r="AJ886" s="20">
        <v>1</v>
      </c>
      <c r="AK886" s="4" t="s">
        <v>679</v>
      </c>
      <c r="AL886" s="4">
        <v>5</v>
      </c>
      <c r="AM886" s="4" t="s">
        <v>485</v>
      </c>
      <c r="AN886" s="4" t="s">
        <v>95</v>
      </c>
      <c r="AO886" s="4" t="s">
        <v>680</v>
      </c>
      <c r="AP886" s="4">
        <v>1</v>
      </c>
      <c r="AQ886" s="20">
        <v>79000</v>
      </c>
      <c r="AR886" s="4">
        <v>41855</v>
      </c>
      <c r="AS886" s="20">
        <v>15959.595959595958</v>
      </c>
      <c r="AT886" s="20">
        <v>16162.249999999998</v>
      </c>
      <c r="AU886" s="20">
        <v>202.65404040404064</v>
      </c>
      <c r="AW886" s="20">
        <v>50</v>
      </c>
      <c r="AY886" s="20">
        <v>50</v>
      </c>
      <c r="AZ886" s="20">
        <v>13.95</v>
      </c>
      <c r="BB886" s="6">
        <v>41855</v>
      </c>
      <c r="BC886" s="6">
        <v>0</v>
      </c>
      <c r="BD886" s="6">
        <v>41862</v>
      </c>
      <c r="BE886" s="6">
        <v>0</v>
      </c>
      <c r="BF886" s="6">
        <v>41862</v>
      </c>
      <c r="BG886" s="6">
        <v>0</v>
      </c>
      <c r="BH886" s="6">
        <v>0</v>
      </c>
      <c r="BI886" s="6">
        <v>0</v>
      </c>
      <c r="BJ886" s="6">
        <v>0</v>
      </c>
      <c r="BK886" s="4">
        <v>0</v>
      </c>
      <c r="BL886" s="4">
        <v>0</v>
      </c>
      <c r="BM886" s="20">
        <v>1</v>
      </c>
      <c r="BN886" s="20">
        <v>0</v>
      </c>
      <c r="BO886" s="20">
        <v>0</v>
      </c>
      <c r="BP886" s="20">
        <v>0</v>
      </c>
      <c r="BQ886" s="20">
        <v>0</v>
      </c>
      <c r="BR886" s="20">
        <v>0</v>
      </c>
      <c r="BS886" s="20">
        <v>1</v>
      </c>
      <c r="BT886" s="20">
        <v>16162.249999999998</v>
      </c>
      <c r="BU886" s="20">
        <v>79000</v>
      </c>
      <c r="BV886" s="20">
        <v>4.4435757285143973</v>
      </c>
    </row>
    <row r="887" spans="1:74">
      <c r="A887" s="10">
        <f t="shared" si="54"/>
        <v>0</v>
      </c>
      <c r="B887" s="10">
        <f t="shared" si="55"/>
        <v>0</v>
      </c>
      <c r="C887" s="12">
        <f t="shared" si="56"/>
        <v>8</v>
      </c>
      <c r="D887" s="12">
        <f t="shared" si="57"/>
        <v>8</v>
      </c>
      <c r="E887" s="20" t="s">
        <v>574</v>
      </c>
      <c r="F887" s="20" t="s">
        <v>3089</v>
      </c>
      <c r="G887" s="20" t="s">
        <v>3090</v>
      </c>
      <c r="H887" s="20" t="s">
        <v>3294</v>
      </c>
      <c r="I887" s="20">
        <v>18</v>
      </c>
      <c r="J887" s="20" t="s">
        <v>3295</v>
      </c>
      <c r="K887" s="20" t="s">
        <v>3296</v>
      </c>
      <c r="L887" s="20" t="s">
        <v>3297</v>
      </c>
      <c r="M887" s="20" t="s">
        <v>2667</v>
      </c>
      <c r="N887" s="20" t="s">
        <v>3216</v>
      </c>
      <c r="P887" s="20" t="s">
        <v>2667</v>
      </c>
      <c r="Q887" s="20" t="s">
        <v>2674</v>
      </c>
      <c r="R887" s="20" t="s">
        <v>84</v>
      </c>
      <c r="S887" s="20">
        <v>4</v>
      </c>
      <c r="T887" s="20" t="s">
        <v>922</v>
      </c>
      <c r="U887" s="20" t="s">
        <v>923</v>
      </c>
      <c r="V887" s="20" t="s">
        <v>87</v>
      </c>
      <c r="W887" s="20">
        <v>726</v>
      </c>
      <c r="X887" s="20">
        <v>726</v>
      </c>
      <c r="Y887" s="20" t="s">
        <v>3298</v>
      </c>
      <c r="Z887" s="20">
        <v>8.3333333333333329E-2</v>
      </c>
      <c r="AA887" s="20" t="s">
        <v>3299</v>
      </c>
      <c r="AB887" s="20" t="s">
        <v>109</v>
      </c>
      <c r="AC887" s="20" t="s">
        <v>110</v>
      </c>
      <c r="AD887" s="20" t="s">
        <v>3300</v>
      </c>
      <c r="AE887" s="20" t="s">
        <v>400</v>
      </c>
      <c r="AF887" s="20">
        <v>0.25</v>
      </c>
      <c r="AG887" s="20">
        <v>0</v>
      </c>
      <c r="AH887" s="20">
        <v>1</v>
      </c>
      <c r="AI887" s="4" t="s">
        <v>645</v>
      </c>
      <c r="AJ887" s="20">
        <v>133</v>
      </c>
      <c r="AK887" s="4" t="s">
        <v>679</v>
      </c>
      <c r="AL887" s="4">
        <v>5</v>
      </c>
      <c r="AM887" s="4" t="s">
        <v>485</v>
      </c>
      <c r="AN887" s="4" t="s">
        <v>95</v>
      </c>
      <c r="AO887" s="4" t="s">
        <v>680</v>
      </c>
      <c r="AP887" s="4">
        <v>1</v>
      </c>
      <c r="AQ887" s="20">
        <v>79000</v>
      </c>
      <c r="AR887" s="4">
        <v>41855</v>
      </c>
      <c r="AS887" s="20">
        <v>15959.595959595958</v>
      </c>
      <c r="AT887" s="20">
        <v>16162.249999999998</v>
      </c>
      <c r="AU887" s="20">
        <v>202.65404040404064</v>
      </c>
      <c r="AW887" s="20">
        <v>50</v>
      </c>
      <c r="AY887" s="20">
        <v>50</v>
      </c>
      <c r="AZ887" s="20">
        <v>13.95</v>
      </c>
      <c r="BB887" s="6">
        <v>41855</v>
      </c>
      <c r="BC887" s="6">
        <v>0</v>
      </c>
      <c r="BD887" s="6">
        <v>41862</v>
      </c>
      <c r="BE887" s="6">
        <v>0</v>
      </c>
      <c r="BF887" s="6">
        <v>41862</v>
      </c>
      <c r="BG887" s="6">
        <v>41961</v>
      </c>
      <c r="BH887" s="6">
        <v>0</v>
      </c>
      <c r="BI887" s="6">
        <v>0</v>
      </c>
      <c r="BJ887" s="6">
        <v>0</v>
      </c>
      <c r="BK887" s="4">
        <v>0</v>
      </c>
      <c r="BL887" s="4">
        <v>0</v>
      </c>
      <c r="BM887" s="20">
        <v>133</v>
      </c>
      <c r="BN887" s="20">
        <v>-1</v>
      </c>
      <c r="BO887" s="20">
        <v>0</v>
      </c>
      <c r="BP887" s="20">
        <v>0</v>
      </c>
      <c r="BQ887" s="20">
        <v>0</v>
      </c>
      <c r="BR887" s="20">
        <v>0</v>
      </c>
      <c r="BS887" s="20">
        <v>133</v>
      </c>
      <c r="BT887" s="20">
        <v>2149579.2499999995</v>
      </c>
      <c r="BU887" s="20">
        <v>10507000</v>
      </c>
      <c r="BV887" s="20">
        <v>4.4435757285143973</v>
      </c>
    </row>
    <row r="888" spans="1:74">
      <c r="A888" s="10">
        <f t="shared" si="54"/>
        <v>0</v>
      </c>
      <c r="B888" s="10">
        <f t="shared" si="55"/>
        <v>0</v>
      </c>
      <c r="C888" s="12">
        <f t="shared" si="56"/>
        <v>8</v>
      </c>
      <c r="D888" s="12">
        <f t="shared" si="57"/>
        <v>8</v>
      </c>
      <c r="E888" s="20" t="s">
        <v>574</v>
      </c>
      <c r="F888" s="20" t="s">
        <v>3089</v>
      </c>
      <c r="G888" s="20" t="s">
        <v>3090</v>
      </c>
      <c r="H888" s="20" t="s">
        <v>3294</v>
      </c>
      <c r="I888" s="20">
        <v>18</v>
      </c>
      <c r="J888" s="20" t="s">
        <v>3295</v>
      </c>
      <c r="K888" s="20" t="s">
        <v>3301</v>
      </c>
      <c r="L888" s="20" t="s">
        <v>3297</v>
      </c>
      <c r="M888" s="20" t="s">
        <v>2667</v>
      </c>
      <c r="N888" s="20" t="s">
        <v>3216</v>
      </c>
      <c r="P888" s="20" t="s">
        <v>2667</v>
      </c>
      <c r="Q888" s="20" t="s">
        <v>2674</v>
      </c>
      <c r="R888" s="20" t="s">
        <v>84</v>
      </c>
      <c r="S888" s="20">
        <v>4</v>
      </c>
      <c r="T888" s="20" t="s">
        <v>922</v>
      </c>
      <c r="U888" s="20" t="s">
        <v>923</v>
      </c>
      <c r="V888" s="20" t="s">
        <v>87</v>
      </c>
      <c r="W888" s="20">
        <v>726</v>
      </c>
      <c r="X888" s="20">
        <v>726</v>
      </c>
      <c r="Y888" s="20" t="s">
        <v>3298</v>
      </c>
      <c r="Z888" s="20">
        <v>8.3333333333333329E-2</v>
      </c>
      <c r="AA888" s="20" t="s">
        <v>3302</v>
      </c>
      <c r="AB888" s="20" t="s">
        <v>109</v>
      </c>
      <c r="AC888" s="20" t="s">
        <v>110</v>
      </c>
      <c r="AD888" s="20" t="s">
        <v>3300</v>
      </c>
      <c r="AE888" s="20" t="s">
        <v>400</v>
      </c>
      <c r="AF888" s="20">
        <v>0.25</v>
      </c>
      <c r="AG888" s="20">
        <v>0</v>
      </c>
      <c r="AH888" s="20">
        <v>1</v>
      </c>
      <c r="AI888" s="4" t="s">
        <v>647</v>
      </c>
      <c r="AJ888" s="20">
        <v>150</v>
      </c>
      <c r="AK888" s="4" t="s">
        <v>679</v>
      </c>
      <c r="AL888" s="4">
        <v>5</v>
      </c>
      <c r="AM888" s="4" t="s">
        <v>485</v>
      </c>
      <c r="AN888" s="4" t="s">
        <v>95</v>
      </c>
      <c r="AO888" s="4" t="s">
        <v>680</v>
      </c>
      <c r="AP888" s="4">
        <v>1</v>
      </c>
      <c r="AQ888" s="20">
        <v>79000</v>
      </c>
      <c r="AR888" s="4">
        <v>41855</v>
      </c>
      <c r="AS888" s="20">
        <v>15959.595959595958</v>
      </c>
      <c r="AT888" s="20">
        <v>16162.249999999998</v>
      </c>
      <c r="AU888" s="20">
        <v>202.65404040404064</v>
      </c>
      <c r="AW888" s="20">
        <v>50</v>
      </c>
      <c r="AY888" s="20">
        <v>50</v>
      </c>
      <c r="AZ888" s="20">
        <v>13.95</v>
      </c>
      <c r="BB888" s="6">
        <v>41855</v>
      </c>
      <c r="BC888" s="6">
        <v>0</v>
      </c>
      <c r="BD888" s="6">
        <v>41862</v>
      </c>
      <c r="BE888" s="6">
        <v>0</v>
      </c>
      <c r="BF888" s="6">
        <v>41862</v>
      </c>
      <c r="BG888" s="6">
        <v>41961</v>
      </c>
      <c r="BH888" s="6">
        <v>0</v>
      </c>
      <c r="BI888" s="6">
        <v>0</v>
      </c>
      <c r="BJ888" s="6">
        <v>0</v>
      </c>
      <c r="BK888" s="4">
        <v>0</v>
      </c>
      <c r="BL888" s="4">
        <v>0</v>
      </c>
      <c r="BM888" s="20">
        <v>150</v>
      </c>
      <c r="BN888" s="20">
        <v>0</v>
      </c>
      <c r="BO888" s="20">
        <v>0</v>
      </c>
      <c r="BP888" s="20">
        <v>0</v>
      </c>
      <c r="BQ888" s="20">
        <v>0</v>
      </c>
      <c r="BR888" s="20">
        <v>0</v>
      </c>
      <c r="BS888" s="20">
        <v>150</v>
      </c>
      <c r="BT888" s="20">
        <v>2424337.4999999995</v>
      </c>
      <c r="BU888" s="20">
        <v>11850000</v>
      </c>
      <c r="BV888" s="20">
        <v>4.4435757285143982</v>
      </c>
    </row>
    <row r="889" spans="1:74">
      <c r="A889" s="10">
        <f t="shared" si="54"/>
        <v>0</v>
      </c>
      <c r="B889" s="10">
        <f t="shared" si="55"/>
        <v>0</v>
      </c>
      <c r="C889" s="12">
        <f t="shared" si="56"/>
        <v>8</v>
      </c>
      <c r="D889" s="12">
        <f t="shared" si="57"/>
        <v>8</v>
      </c>
      <c r="E889" s="20" t="s">
        <v>574</v>
      </c>
      <c r="F889" s="20" t="s">
        <v>3089</v>
      </c>
      <c r="G889" s="20" t="s">
        <v>3090</v>
      </c>
      <c r="H889" s="20" t="s">
        <v>3294</v>
      </c>
      <c r="I889" s="20">
        <v>18</v>
      </c>
      <c r="J889" s="20" t="s">
        <v>3295</v>
      </c>
      <c r="K889" s="20" t="s">
        <v>3303</v>
      </c>
      <c r="L889" s="20" t="s">
        <v>3297</v>
      </c>
      <c r="M889" s="20" t="s">
        <v>2667</v>
      </c>
      <c r="N889" s="20" t="s">
        <v>3216</v>
      </c>
      <c r="P889" s="20" t="s">
        <v>2667</v>
      </c>
      <c r="Q889" s="20" t="s">
        <v>2674</v>
      </c>
      <c r="R889" s="20" t="s">
        <v>84</v>
      </c>
      <c r="S889" s="20">
        <v>4</v>
      </c>
      <c r="T889" s="20" t="s">
        <v>922</v>
      </c>
      <c r="U889" s="20" t="s">
        <v>923</v>
      </c>
      <c r="V889" s="20" t="s">
        <v>87</v>
      </c>
      <c r="W889" s="20">
        <v>726</v>
      </c>
      <c r="X889" s="20">
        <v>726</v>
      </c>
      <c r="Y889" s="20" t="s">
        <v>3298</v>
      </c>
      <c r="Z889" s="20">
        <v>8.3333333333333329E-2</v>
      </c>
      <c r="AA889" s="20" t="s">
        <v>3304</v>
      </c>
      <c r="AB889" s="20" t="s">
        <v>109</v>
      </c>
      <c r="AC889" s="20" t="s">
        <v>110</v>
      </c>
      <c r="AD889" s="20" t="s">
        <v>3300</v>
      </c>
      <c r="AE889" s="20" t="s">
        <v>400</v>
      </c>
      <c r="AF889" s="20">
        <v>0.25</v>
      </c>
      <c r="AG889" s="20">
        <v>0</v>
      </c>
      <c r="AH889" s="20">
        <v>1</v>
      </c>
      <c r="AI889" s="4" t="s">
        <v>649</v>
      </c>
      <c r="AJ889" s="20">
        <v>85</v>
      </c>
      <c r="AK889" s="4" t="s">
        <v>679</v>
      </c>
      <c r="AL889" s="4">
        <v>5</v>
      </c>
      <c r="AM889" s="4" t="s">
        <v>485</v>
      </c>
      <c r="AN889" s="4" t="s">
        <v>95</v>
      </c>
      <c r="AO889" s="4" t="s">
        <v>680</v>
      </c>
      <c r="AP889" s="4">
        <v>1</v>
      </c>
      <c r="AQ889" s="20">
        <v>79000</v>
      </c>
      <c r="AR889" s="4">
        <v>41855</v>
      </c>
      <c r="AS889" s="20">
        <v>15959.595959595958</v>
      </c>
      <c r="AT889" s="20">
        <v>16162.249999999998</v>
      </c>
      <c r="AU889" s="20">
        <v>202.65404040404064</v>
      </c>
      <c r="AW889" s="20">
        <v>50</v>
      </c>
      <c r="AY889" s="20">
        <v>50</v>
      </c>
      <c r="AZ889" s="20">
        <v>13.95</v>
      </c>
      <c r="BB889" s="6">
        <v>41855</v>
      </c>
      <c r="BC889" s="6">
        <v>0</v>
      </c>
      <c r="BD889" s="6">
        <v>41862</v>
      </c>
      <c r="BE889" s="6">
        <v>0</v>
      </c>
      <c r="BF889" s="6">
        <v>41862</v>
      </c>
      <c r="BG889" s="6">
        <v>41961</v>
      </c>
      <c r="BH889" s="6">
        <v>0</v>
      </c>
      <c r="BI889" s="6">
        <v>0</v>
      </c>
      <c r="BJ889" s="6">
        <v>0</v>
      </c>
      <c r="BK889" s="4">
        <v>0</v>
      </c>
      <c r="BL889" s="4">
        <v>0</v>
      </c>
      <c r="BM889" s="20">
        <v>85</v>
      </c>
      <c r="BN889" s="20">
        <v>0</v>
      </c>
      <c r="BO889" s="20">
        <v>0</v>
      </c>
      <c r="BP889" s="20">
        <v>0</v>
      </c>
      <c r="BQ889" s="20">
        <v>0</v>
      </c>
      <c r="BR889" s="20">
        <v>0</v>
      </c>
      <c r="BS889" s="20">
        <v>85</v>
      </c>
      <c r="BT889" s="20">
        <v>1373791.2499999998</v>
      </c>
      <c r="BU889" s="20">
        <v>6715000</v>
      </c>
      <c r="BV889" s="20">
        <v>4.4435757285143982</v>
      </c>
    </row>
    <row r="890" spans="1:74">
      <c r="A890" s="10">
        <f t="shared" si="54"/>
        <v>0</v>
      </c>
      <c r="B890" s="10">
        <f t="shared" si="55"/>
        <v>0</v>
      </c>
      <c r="C890" s="12">
        <f t="shared" si="56"/>
        <v>8</v>
      </c>
      <c r="D890" s="12">
        <f t="shared" si="57"/>
        <v>8</v>
      </c>
      <c r="E890" s="20" t="s">
        <v>574</v>
      </c>
      <c r="F890" s="20" t="s">
        <v>3089</v>
      </c>
      <c r="G890" s="20" t="s">
        <v>3090</v>
      </c>
      <c r="H890" s="20" t="s">
        <v>3294</v>
      </c>
      <c r="I890" s="20">
        <v>18</v>
      </c>
      <c r="J890" s="20" t="s">
        <v>3295</v>
      </c>
      <c r="K890" s="20" t="s">
        <v>3305</v>
      </c>
      <c r="L890" s="20" t="s">
        <v>3297</v>
      </c>
      <c r="M890" s="20" t="s">
        <v>2667</v>
      </c>
      <c r="N890" s="20" t="s">
        <v>3216</v>
      </c>
      <c r="P890" s="20" t="s">
        <v>2667</v>
      </c>
      <c r="Q890" s="20" t="s">
        <v>2674</v>
      </c>
      <c r="R890" s="20" t="s">
        <v>84</v>
      </c>
      <c r="S890" s="20">
        <v>4</v>
      </c>
      <c r="T890" s="20" t="s">
        <v>922</v>
      </c>
      <c r="U890" s="20" t="s">
        <v>923</v>
      </c>
      <c r="V890" s="20" t="s">
        <v>87</v>
      </c>
      <c r="W890" s="20">
        <v>726</v>
      </c>
      <c r="X890" s="20">
        <v>726</v>
      </c>
      <c r="Y890" s="20" t="s">
        <v>3298</v>
      </c>
      <c r="Z890" s="20">
        <v>8.3333333333333329E-2</v>
      </c>
      <c r="AA890" s="20" t="s">
        <v>3306</v>
      </c>
      <c r="AB890" s="20" t="s">
        <v>109</v>
      </c>
      <c r="AC890" s="20" t="s">
        <v>110</v>
      </c>
      <c r="AD890" s="20" t="s">
        <v>3300</v>
      </c>
      <c r="AE890" s="20" t="s">
        <v>400</v>
      </c>
      <c r="AF890" s="20">
        <v>0.25</v>
      </c>
      <c r="AG890" s="20">
        <v>0</v>
      </c>
      <c r="AH890" s="20">
        <v>1</v>
      </c>
      <c r="AI890" s="4" t="s">
        <v>651</v>
      </c>
      <c r="AJ890" s="20">
        <v>38</v>
      </c>
      <c r="AK890" s="4" t="s">
        <v>679</v>
      </c>
      <c r="AL890" s="4">
        <v>5</v>
      </c>
      <c r="AM890" s="4" t="s">
        <v>485</v>
      </c>
      <c r="AN890" s="4" t="s">
        <v>95</v>
      </c>
      <c r="AO890" s="4" t="s">
        <v>680</v>
      </c>
      <c r="AP890" s="4">
        <v>1</v>
      </c>
      <c r="AQ890" s="20">
        <v>79000</v>
      </c>
      <c r="AR890" s="4">
        <v>41855</v>
      </c>
      <c r="AS890" s="20">
        <v>15959.595959595958</v>
      </c>
      <c r="AT890" s="20">
        <v>16162.249999999998</v>
      </c>
      <c r="AU890" s="20">
        <v>202.65404040404064</v>
      </c>
      <c r="AW890" s="20">
        <v>50</v>
      </c>
      <c r="AY890" s="20">
        <v>50</v>
      </c>
      <c r="AZ890" s="20">
        <v>13.95</v>
      </c>
      <c r="BB890" s="6">
        <v>41855</v>
      </c>
      <c r="BC890" s="6">
        <v>0</v>
      </c>
      <c r="BD890" s="6">
        <v>41862</v>
      </c>
      <c r="BE890" s="6">
        <v>0</v>
      </c>
      <c r="BF890" s="6">
        <v>41862</v>
      </c>
      <c r="BG890" s="6">
        <v>41961</v>
      </c>
      <c r="BH890" s="6">
        <v>0</v>
      </c>
      <c r="BI890" s="6">
        <v>0</v>
      </c>
      <c r="BJ890" s="6">
        <v>0</v>
      </c>
      <c r="BK890" s="4">
        <v>0</v>
      </c>
      <c r="BL890" s="4">
        <v>0</v>
      </c>
      <c r="BM890" s="20">
        <v>38</v>
      </c>
      <c r="BN890" s="20">
        <v>0</v>
      </c>
      <c r="BO890" s="20">
        <v>0</v>
      </c>
      <c r="BP890" s="20">
        <v>0</v>
      </c>
      <c r="BQ890" s="20">
        <v>0</v>
      </c>
      <c r="BR890" s="20">
        <v>0</v>
      </c>
      <c r="BS890" s="20">
        <v>38</v>
      </c>
      <c r="BT890" s="20">
        <v>614165.49999999988</v>
      </c>
      <c r="BU890" s="20">
        <v>3002000</v>
      </c>
      <c r="BV890" s="20">
        <v>4.4435757285143982</v>
      </c>
    </row>
    <row r="891" spans="1:74">
      <c r="A891" s="10">
        <f t="shared" si="54"/>
        <v>0</v>
      </c>
      <c r="B891" s="10">
        <f t="shared" si="55"/>
        <v>0</v>
      </c>
      <c r="C891" s="12">
        <f t="shared" si="56"/>
        <v>8</v>
      </c>
      <c r="D891" s="12">
        <f t="shared" si="57"/>
        <v>8</v>
      </c>
      <c r="E891" s="20" t="s">
        <v>574</v>
      </c>
      <c r="F891" s="20" t="s">
        <v>3089</v>
      </c>
      <c r="G891" s="20" t="s">
        <v>3090</v>
      </c>
      <c r="H891" s="20" t="s">
        <v>3307</v>
      </c>
      <c r="I891" s="20">
        <v>19</v>
      </c>
      <c r="J891" s="20" t="s">
        <v>3308</v>
      </c>
      <c r="K891" s="20" t="s">
        <v>3309</v>
      </c>
      <c r="L891" s="20" t="s">
        <v>3297</v>
      </c>
      <c r="M891" s="20" t="s">
        <v>2667</v>
      </c>
      <c r="N891" s="20" t="s">
        <v>3216</v>
      </c>
      <c r="P891" s="20" t="s">
        <v>2667</v>
      </c>
      <c r="Q891" s="20" t="s">
        <v>2674</v>
      </c>
      <c r="R891" s="20" t="s">
        <v>84</v>
      </c>
      <c r="S891" s="20">
        <v>4</v>
      </c>
      <c r="T891" s="20" t="s">
        <v>922</v>
      </c>
      <c r="U891" s="20" t="s">
        <v>923</v>
      </c>
      <c r="V891" s="20" t="s">
        <v>87</v>
      </c>
      <c r="W891" s="20">
        <v>726</v>
      </c>
      <c r="X891" s="20">
        <v>726</v>
      </c>
      <c r="Y891" s="20" t="s">
        <v>3298</v>
      </c>
      <c r="Z891" s="20">
        <v>8.3333333333333329E-2</v>
      </c>
      <c r="AA891" s="20" t="s">
        <v>3310</v>
      </c>
      <c r="AB891" s="20" t="s">
        <v>89</v>
      </c>
      <c r="AC891" s="20" t="s">
        <v>90</v>
      </c>
      <c r="AD891" s="20" t="s">
        <v>3311</v>
      </c>
      <c r="AE891" s="20" t="s">
        <v>400</v>
      </c>
      <c r="AF891" s="20">
        <v>0.25</v>
      </c>
      <c r="AG891" s="20">
        <v>0</v>
      </c>
      <c r="AH891" s="20">
        <v>1</v>
      </c>
      <c r="AI891" s="4" t="s">
        <v>645</v>
      </c>
      <c r="AJ891" s="20">
        <v>155</v>
      </c>
      <c r="AK891" s="4" t="s">
        <v>679</v>
      </c>
      <c r="AL891" s="4">
        <v>5</v>
      </c>
      <c r="AM891" s="4" t="s">
        <v>485</v>
      </c>
      <c r="AN891" s="4" t="s">
        <v>95</v>
      </c>
      <c r="AO891" s="4" t="s">
        <v>680</v>
      </c>
      <c r="AP891" s="4">
        <v>1</v>
      </c>
      <c r="AQ891" s="20">
        <v>79000</v>
      </c>
      <c r="AR891" s="4">
        <v>41855</v>
      </c>
      <c r="AS891" s="20">
        <v>15959.595959595958</v>
      </c>
      <c r="AT891" s="20">
        <v>16162.249999999998</v>
      </c>
      <c r="AU891" s="20">
        <v>202.65404040404064</v>
      </c>
      <c r="AW891" s="20">
        <v>50</v>
      </c>
      <c r="AY891" s="20">
        <v>50</v>
      </c>
      <c r="AZ891" s="20">
        <v>13.95</v>
      </c>
      <c r="BB891" s="6">
        <v>41855</v>
      </c>
      <c r="BC891" s="6">
        <v>0</v>
      </c>
      <c r="BD891" s="6">
        <v>41862</v>
      </c>
      <c r="BE891" s="6">
        <v>0</v>
      </c>
      <c r="BF891" s="6">
        <v>41862</v>
      </c>
      <c r="BG891" s="6">
        <v>0</v>
      </c>
      <c r="BH891" s="6">
        <v>0</v>
      </c>
      <c r="BI891" s="6">
        <v>0</v>
      </c>
      <c r="BJ891" s="6">
        <v>0</v>
      </c>
      <c r="BK891" s="4">
        <v>0</v>
      </c>
      <c r="BL891" s="4">
        <v>0</v>
      </c>
      <c r="BM891" s="20">
        <v>155</v>
      </c>
      <c r="BN891" s="20">
        <v>0</v>
      </c>
      <c r="BO891" s="20">
        <v>0</v>
      </c>
      <c r="BP891" s="20">
        <v>0</v>
      </c>
      <c r="BQ891" s="20">
        <v>0</v>
      </c>
      <c r="BR891" s="20">
        <v>0</v>
      </c>
      <c r="BS891" s="20">
        <v>155</v>
      </c>
      <c r="BT891" s="20">
        <v>2505148.7499999995</v>
      </c>
      <c r="BU891" s="20">
        <v>12245000</v>
      </c>
      <c r="BV891" s="20">
        <v>4.4435757285143982</v>
      </c>
    </row>
    <row r="892" spans="1:74">
      <c r="A892" s="10">
        <f t="shared" si="54"/>
        <v>0</v>
      </c>
      <c r="B892" s="10">
        <f t="shared" si="55"/>
        <v>0</v>
      </c>
      <c r="C892" s="12">
        <f t="shared" si="56"/>
        <v>8</v>
      </c>
      <c r="D892" s="12">
        <f t="shared" si="57"/>
        <v>8</v>
      </c>
      <c r="E892" s="20" t="s">
        <v>574</v>
      </c>
      <c r="F892" s="20" t="s">
        <v>3089</v>
      </c>
      <c r="G892" s="20" t="s">
        <v>3090</v>
      </c>
      <c r="H892" s="20" t="s">
        <v>3307</v>
      </c>
      <c r="I892" s="20">
        <v>19</v>
      </c>
      <c r="J892" s="20" t="s">
        <v>3308</v>
      </c>
      <c r="K892" s="20" t="s">
        <v>3312</v>
      </c>
      <c r="L892" s="20" t="s">
        <v>3297</v>
      </c>
      <c r="M892" s="20" t="s">
        <v>2667</v>
      </c>
      <c r="N892" s="20" t="s">
        <v>3216</v>
      </c>
      <c r="P892" s="20" t="s">
        <v>2667</v>
      </c>
      <c r="Q892" s="20" t="s">
        <v>2674</v>
      </c>
      <c r="R892" s="20" t="s">
        <v>84</v>
      </c>
      <c r="S892" s="20">
        <v>4</v>
      </c>
      <c r="T892" s="20" t="s">
        <v>922</v>
      </c>
      <c r="U892" s="20" t="s">
        <v>923</v>
      </c>
      <c r="V892" s="20" t="s">
        <v>87</v>
      </c>
      <c r="W892" s="20">
        <v>726</v>
      </c>
      <c r="X892" s="20">
        <v>726</v>
      </c>
      <c r="Y892" s="20" t="s">
        <v>3298</v>
      </c>
      <c r="Z892" s="20">
        <v>8.3333333333333329E-2</v>
      </c>
      <c r="AA892" s="20" t="s">
        <v>3313</v>
      </c>
      <c r="AB892" s="20" t="s">
        <v>89</v>
      </c>
      <c r="AC892" s="20" t="s">
        <v>90</v>
      </c>
      <c r="AD892" s="20" t="s">
        <v>3311</v>
      </c>
      <c r="AE892" s="20" t="s">
        <v>400</v>
      </c>
      <c r="AF892" s="20">
        <v>0.25</v>
      </c>
      <c r="AG892" s="20">
        <v>0</v>
      </c>
      <c r="AH892" s="20">
        <v>1</v>
      </c>
      <c r="AI892" s="4" t="s">
        <v>647</v>
      </c>
      <c r="AJ892" s="20">
        <v>37</v>
      </c>
      <c r="AK892" s="4" t="s">
        <v>679</v>
      </c>
      <c r="AL892" s="4">
        <v>5</v>
      </c>
      <c r="AM892" s="4" t="s">
        <v>485</v>
      </c>
      <c r="AN892" s="4" t="s">
        <v>95</v>
      </c>
      <c r="AO892" s="4" t="s">
        <v>680</v>
      </c>
      <c r="AP892" s="4">
        <v>1</v>
      </c>
      <c r="AQ892" s="20">
        <v>79000</v>
      </c>
      <c r="AR892" s="4">
        <v>41855</v>
      </c>
      <c r="AS892" s="20">
        <v>15959.595959595958</v>
      </c>
      <c r="AT892" s="20">
        <v>16162.249999999998</v>
      </c>
      <c r="AU892" s="20">
        <v>202.65404040404064</v>
      </c>
      <c r="AW892" s="20">
        <v>50</v>
      </c>
      <c r="AY892" s="20">
        <v>50</v>
      </c>
      <c r="AZ892" s="20">
        <v>13.95</v>
      </c>
      <c r="BB892" s="6">
        <v>41855</v>
      </c>
      <c r="BC892" s="6">
        <v>0</v>
      </c>
      <c r="BD892" s="6">
        <v>41862</v>
      </c>
      <c r="BE892" s="6">
        <v>0</v>
      </c>
      <c r="BF892" s="6">
        <v>41862</v>
      </c>
      <c r="BG892" s="6">
        <v>0</v>
      </c>
      <c r="BH892" s="6">
        <v>0</v>
      </c>
      <c r="BI892" s="6">
        <v>0</v>
      </c>
      <c r="BJ892" s="6">
        <v>0</v>
      </c>
      <c r="BK892" s="4">
        <v>0</v>
      </c>
      <c r="BL892" s="4">
        <v>0</v>
      </c>
      <c r="BM892" s="20">
        <v>37</v>
      </c>
      <c r="BN892" s="20">
        <v>0</v>
      </c>
      <c r="BO892" s="20">
        <v>0</v>
      </c>
      <c r="BP892" s="20">
        <v>0</v>
      </c>
      <c r="BQ892" s="20">
        <v>0</v>
      </c>
      <c r="BR892" s="20">
        <v>0</v>
      </c>
      <c r="BS892" s="20">
        <v>37</v>
      </c>
      <c r="BT892" s="20">
        <v>598003.24999999988</v>
      </c>
      <c r="BU892" s="20">
        <v>2923000</v>
      </c>
      <c r="BV892" s="20">
        <v>4.4435757285143973</v>
      </c>
    </row>
    <row r="893" spans="1:74">
      <c r="A893" s="10">
        <f t="shared" si="54"/>
        <v>0</v>
      </c>
      <c r="B893" s="10">
        <f t="shared" si="55"/>
        <v>0</v>
      </c>
      <c r="C893" s="12">
        <f t="shared" si="56"/>
        <v>8</v>
      </c>
      <c r="D893" s="12">
        <f t="shared" si="57"/>
        <v>8</v>
      </c>
      <c r="E893" s="20" t="s">
        <v>574</v>
      </c>
      <c r="F893" s="20" t="s">
        <v>3089</v>
      </c>
      <c r="G893" s="20" t="s">
        <v>3090</v>
      </c>
      <c r="H893" s="20" t="s">
        <v>3307</v>
      </c>
      <c r="I893" s="20">
        <v>19</v>
      </c>
      <c r="J893" s="20" t="s">
        <v>3308</v>
      </c>
      <c r="K893" s="20" t="s">
        <v>3314</v>
      </c>
      <c r="L893" s="20" t="s">
        <v>3297</v>
      </c>
      <c r="M893" s="20" t="s">
        <v>2667</v>
      </c>
      <c r="N893" s="20" t="s">
        <v>3216</v>
      </c>
      <c r="P893" s="20" t="s">
        <v>2667</v>
      </c>
      <c r="Q893" s="20" t="s">
        <v>2674</v>
      </c>
      <c r="R893" s="20" t="s">
        <v>84</v>
      </c>
      <c r="S893" s="20">
        <v>4</v>
      </c>
      <c r="T893" s="20" t="s">
        <v>922</v>
      </c>
      <c r="U893" s="20" t="s">
        <v>923</v>
      </c>
      <c r="V893" s="20" t="s">
        <v>87</v>
      </c>
      <c r="W893" s="20">
        <v>726</v>
      </c>
      <c r="X893" s="20">
        <v>726</v>
      </c>
      <c r="Y893" s="20" t="s">
        <v>3298</v>
      </c>
      <c r="Z893" s="20">
        <v>8.3333333333333329E-2</v>
      </c>
      <c r="AA893" s="20" t="s">
        <v>3315</v>
      </c>
      <c r="AB893" s="20" t="s">
        <v>89</v>
      </c>
      <c r="AC893" s="20" t="s">
        <v>90</v>
      </c>
      <c r="AD893" s="20" t="s">
        <v>3311</v>
      </c>
      <c r="AE893" s="20" t="s">
        <v>400</v>
      </c>
      <c r="AF893" s="20">
        <v>0.25</v>
      </c>
      <c r="AG893" s="20">
        <v>0</v>
      </c>
      <c r="AH893" s="20">
        <v>1</v>
      </c>
      <c r="AI893" s="4" t="s">
        <v>649</v>
      </c>
      <c r="AJ893" s="20">
        <v>29</v>
      </c>
      <c r="AK893" s="4" t="s">
        <v>679</v>
      </c>
      <c r="AL893" s="4">
        <v>5</v>
      </c>
      <c r="AM893" s="4" t="s">
        <v>485</v>
      </c>
      <c r="AN893" s="4" t="s">
        <v>95</v>
      </c>
      <c r="AO893" s="4" t="s">
        <v>680</v>
      </c>
      <c r="AP893" s="4">
        <v>1</v>
      </c>
      <c r="AQ893" s="20">
        <v>79000</v>
      </c>
      <c r="AR893" s="4">
        <v>41855</v>
      </c>
      <c r="AS893" s="20">
        <v>15959.595959595958</v>
      </c>
      <c r="AT893" s="20">
        <v>16162.249999999998</v>
      </c>
      <c r="AU893" s="20">
        <v>202.65404040404064</v>
      </c>
      <c r="AW893" s="20">
        <v>50</v>
      </c>
      <c r="AY893" s="20">
        <v>50</v>
      </c>
      <c r="AZ893" s="20">
        <v>13.95</v>
      </c>
      <c r="BB893" s="6">
        <v>41855</v>
      </c>
      <c r="BC893" s="6">
        <v>0</v>
      </c>
      <c r="BD893" s="6">
        <v>41862</v>
      </c>
      <c r="BE893" s="6">
        <v>0</v>
      </c>
      <c r="BF893" s="6">
        <v>41862</v>
      </c>
      <c r="BG893" s="6">
        <v>0</v>
      </c>
      <c r="BH893" s="6">
        <v>0</v>
      </c>
      <c r="BI893" s="6">
        <v>0</v>
      </c>
      <c r="BJ893" s="6">
        <v>0</v>
      </c>
      <c r="BK893" s="4">
        <v>0</v>
      </c>
      <c r="BL893" s="4">
        <v>0</v>
      </c>
      <c r="BM893" s="20">
        <v>29</v>
      </c>
      <c r="BN893" s="20">
        <v>0</v>
      </c>
      <c r="BO893" s="20">
        <v>0</v>
      </c>
      <c r="BP893" s="20">
        <v>0</v>
      </c>
      <c r="BQ893" s="20">
        <v>0</v>
      </c>
      <c r="BR893" s="20">
        <v>0</v>
      </c>
      <c r="BS893" s="20">
        <v>29</v>
      </c>
      <c r="BT893" s="20">
        <v>468705.24999999994</v>
      </c>
      <c r="BU893" s="20">
        <v>2291000</v>
      </c>
      <c r="BV893" s="20">
        <v>4.4435757285143973</v>
      </c>
    </row>
    <row r="894" spans="1:74">
      <c r="A894" s="10">
        <f t="shared" si="54"/>
        <v>0</v>
      </c>
      <c r="B894" s="10">
        <f t="shared" si="55"/>
        <v>0</v>
      </c>
      <c r="C894" s="12">
        <f t="shared" si="56"/>
        <v>8</v>
      </c>
      <c r="D894" s="12">
        <f t="shared" si="57"/>
        <v>8</v>
      </c>
      <c r="E894" s="20" t="s">
        <v>574</v>
      </c>
      <c r="F894" s="20" t="s">
        <v>3089</v>
      </c>
      <c r="G894" s="20" t="s">
        <v>3090</v>
      </c>
      <c r="H894" s="20" t="s">
        <v>3307</v>
      </c>
      <c r="I894" s="20">
        <v>19</v>
      </c>
      <c r="J894" s="20" t="s">
        <v>3308</v>
      </c>
      <c r="K894" s="20" t="s">
        <v>3316</v>
      </c>
      <c r="L894" s="20" t="s">
        <v>3297</v>
      </c>
      <c r="M894" s="20" t="s">
        <v>2667</v>
      </c>
      <c r="N894" s="20" t="s">
        <v>3216</v>
      </c>
      <c r="P894" s="20" t="s">
        <v>2667</v>
      </c>
      <c r="Q894" s="20" t="s">
        <v>2674</v>
      </c>
      <c r="R894" s="20" t="s">
        <v>84</v>
      </c>
      <c r="S894" s="20">
        <v>4</v>
      </c>
      <c r="T894" s="20" t="s">
        <v>922</v>
      </c>
      <c r="U894" s="20" t="s">
        <v>923</v>
      </c>
      <c r="V894" s="20" t="s">
        <v>87</v>
      </c>
      <c r="W894" s="20">
        <v>726</v>
      </c>
      <c r="X894" s="20">
        <v>726</v>
      </c>
      <c r="Y894" s="20" t="s">
        <v>3298</v>
      </c>
      <c r="Z894" s="20">
        <v>8.3333333333333329E-2</v>
      </c>
      <c r="AA894" s="20" t="s">
        <v>3317</v>
      </c>
      <c r="AB894" s="20" t="s">
        <v>89</v>
      </c>
      <c r="AC894" s="20" t="s">
        <v>90</v>
      </c>
      <c r="AD894" s="20" t="s">
        <v>3311</v>
      </c>
      <c r="AE894" s="20" t="s">
        <v>400</v>
      </c>
      <c r="AF894" s="20">
        <v>0.25</v>
      </c>
      <c r="AG894" s="20">
        <v>0</v>
      </c>
      <c r="AH894" s="20">
        <v>1</v>
      </c>
      <c r="AI894" s="4" t="s">
        <v>651</v>
      </c>
      <c r="AJ894" s="20">
        <v>15</v>
      </c>
      <c r="AK894" s="4" t="s">
        <v>679</v>
      </c>
      <c r="AL894" s="4">
        <v>5</v>
      </c>
      <c r="AM894" s="4" t="s">
        <v>485</v>
      </c>
      <c r="AN894" s="4" t="s">
        <v>95</v>
      </c>
      <c r="AO894" s="4" t="s">
        <v>680</v>
      </c>
      <c r="AP894" s="4">
        <v>1</v>
      </c>
      <c r="AQ894" s="20">
        <v>79000</v>
      </c>
      <c r="AR894" s="4">
        <v>41855</v>
      </c>
      <c r="AS894" s="20">
        <v>15959.595959595958</v>
      </c>
      <c r="AT894" s="20">
        <v>16162.249999999998</v>
      </c>
      <c r="AU894" s="20">
        <v>202.65404040404064</v>
      </c>
      <c r="AW894" s="20">
        <v>50</v>
      </c>
      <c r="AY894" s="20">
        <v>50</v>
      </c>
      <c r="AZ894" s="20">
        <v>13.95</v>
      </c>
      <c r="BB894" s="6">
        <v>41855</v>
      </c>
      <c r="BC894" s="6">
        <v>0</v>
      </c>
      <c r="BD894" s="6">
        <v>41862</v>
      </c>
      <c r="BE894" s="6">
        <v>0</v>
      </c>
      <c r="BF894" s="6">
        <v>41862</v>
      </c>
      <c r="BG894" s="6">
        <v>0</v>
      </c>
      <c r="BH894" s="6">
        <v>0</v>
      </c>
      <c r="BI894" s="6">
        <v>0</v>
      </c>
      <c r="BJ894" s="6">
        <v>0</v>
      </c>
      <c r="BK894" s="4">
        <v>0</v>
      </c>
      <c r="BL894" s="4">
        <v>0</v>
      </c>
      <c r="BM894" s="20">
        <v>15</v>
      </c>
      <c r="BN894" s="20">
        <v>0</v>
      </c>
      <c r="BO894" s="20">
        <v>0</v>
      </c>
      <c r="BP894" s="20">
        <v>0</v>
      </c>
      <c r="BQ894" s="20">
        <v>0</v>
      </c>
      <c r="BR894" s="20">
        <v>0</v>
      </c>
      <c r="BS894" s="20">
        <v>15</v>
      </c>
      <c r="BT894" s="20">
        <v>242433.74999999997</v>
      </c>
      <c r="BU894" s="20">
        <v>1185000</v>
      </c>
      <c r="BV894" s="20">
        <v>4.4435757285143973</v>
      </c>
    </row>
    <row r="895" spans="1:74">
      <c r="A895" s="10">
        <f t="shared" si="54"/>
        <v>0</v>
      </c>
      <c r="B895" s="10">
        <f t="shared" si="55"/>
        <v>0</v>
      </c>
      <c r="C895" s="12">
        <f t="shared" si="56"/>
        <v>8</v>
      </c>
      <c r="D895" s="12">
        <f t="shared" si="57"/>
        <v>8</v>
      </c>
      <c r="E895" s="20" t="s">
        <v>574</v>
      </c>
      <c r="F895" s="20" t="s">
        <v>3089</v>
      </c>
      <c r="G895" s="20" t="s">
        <v>3090</v>
      </c>
      <c r="H895" s="20" t="s">
        <v>3318</v>
      </c>
      <c r="I895" s="20">
        <v>20</v>
      </c>
      <c r="J895" s="20" t="s">
        <v>3319</v>
      </c>
      <c r="K895" s="20" t="s">
        <v>3320</v>
      </c>
      <c r="L895" s="20" t="s">
        <v>3297</v>
      </c>
      <c r="M895" s="20" t="s">
        <v>2667</v>
      </c>
      <c r="N895" s="20" t="s">
        <v>3216</v>
      </c>
      <c r="P895" s="20" t="s">
        <v>2667</v>
      </c>
      <c r="Q895" s="20" t="s">
        <v>2674</v>
      </c>
      <c r="R895" s="20" t="s">
        <v>84</v>
      </c>
      <c r="S895" s="20">
        <v>4</v>
      </c>
      <c r="T895" s="20" t="s">
        <v>922</v>
      </c>
      <c r="U895" s="20" t="s">
        <v>923</v>
      </c>
      <c r="V895" s="20" t="s">
        <v>87</v>
      </c>
      <c r="W895" s="20">
        <v>726</v>
      </c>
      <c r="X895" s="20">
        <v>726</v>
      </c>
      <c r="Y895" s="20" t="s">
        <v>3298</v>
      </c>
      <c r="Z895" s="20">
        <v>8.3333333333333329E-2</v>
      </c>
      <c r="AA895" s="20" t="s">
        <v>3321</v>
      </c>
      <c r="AB895" s="20" t="s">
        <v>279</v>
      </c>
      <c r="AC895" s="20" t="s">
        <v>280</v>
      </c>
      <c r="AD895" s="20" t="s">
        <v>3322</v>
      </c>
      <c r="AE895" s="20" t="s">
        <v>400</v>
      </c>
      <c r="AF895" s="20">
        <v>0.25</v>
      </c>
      <c r="AG895" s="20">
        <v>0</v>
      </c>
      <c r="AH895" s="20">
        <v>1</v>
      </c>
      <c r="AI895" s="4" t="s">
        <v>645</v>
      </c>
      <c r="AJ895" s="20">
        <v>115</v>
      </c>
      <c r="AK895" s="4" t="s">
        <v>679</v>
      </c>
      <c r="AL895" s="4">
        <v>5</v>
      </c>
      <c r="AM895" s="4" t="s">
        <v>485</v>
      </c>
      <c r="AN895" s="4" t="s">
        <v>95</v>
      </c>
      <c r="AO895" s="4" t="s">
        <v>680</v>
      </c>
      <c r="AP895" s="4">
        <v>1</v>
      </c>
      <c r="AQ895" s="20">
        <v>79000</v>
      </c>
      <c r="AR895" s="4">
        <v>41855</v>
      </c>
      <c r="AS895" s="20">
        <v>15959.595959595958</v>
      </c>
      <c r="AT895" s="20">
        <v>16162.249999999998</v>
      </c>
      <c r="AU895" s="20">
        <v>202.65404040404064</v>
      </c>
      <c r="AW895" s="20">
        <v>50</v>
      </c>
      <c r="AY895" s="20">
        <v>50</v>
      </c>
      <c r="AZ895" s="20">
        <v>13.95</v>
      </c>
      <c r="BB895" s="6">
        <v>41855</v>
      </c>
      <c r="BC895" s="6">
        <v>0</v>
      </c>
      <c r="BD895" s="6">
        <v>41862</v>
      </c>
      <c r="BE895" s="6">
        <v>0</v>
      </c>
      <c r="BF895" s="6">
        <v>41862</v>
      </c>
      <c r="BG895" s="6">
        <v>0</v>
      </c>
      <c r="BH895" s="6">
        <v>0</v>
      </c>
      <c r="BI895" s="6">
        <v>0</v>
      </c>
      <c r="BJ895" s="6">
        <v>0</v>
      </c>
      <c r="BK895" s="4">
        <v>0</v>
      </c>
      <c r="BL895" s="4">
        <v>0</v>
      </c>
      <c r="BM895" s="20">
        <v>115</v>
      </c>
      <c r="BN895" s="20">
        <v>0</v>
      </c>
      <c r="BO895" s="20">
        <v>0</v>
      </c>
      <c r="BP895" s="20">
        <v>0</v>
      </c>
      <c r="BQ895" s="20">
        <v>0</v>
      </c>
      <c r="BR895" s="20">
        <v>0</v>
      </c>
      <c r="BS895" s="20">
        <v>115</v>
      </c>
      <c r="BT895" s="20">
        <v>1858658.7499999998</v>
      </c>
      <c r="BU895" s="20">
        <v>9085000</v>
      </c>
      <c r="BV895" s="20">
        <v>4.4435757285143973</v>
      </c>
    </row>
    <row r="896" spans="1:74">
      <c r="A896" s="10">
        <f t="shared" si="54"/>
        <v>0</v>
      </c>
      <c r="B896" s="10">
        <f t="shared" si="55"/>
        <v>0</v>
      </c>
      <c r="C896" s="12">
        <f t="shared" si="56"/>
        <v>8</v>
      </c>
      <c r="D896" s="12">
        <f t="shared" si="57"/>
        <v>8</v>
      </c>
      <c r="E896" s="20" t="s">
        <v>574</v>
      </c>
      <c r="F896" s="20" t="s">
        <v>3089</v>
      </c>
      <c r="G896" s="20" t="s">
        <v>3090</v>
      </c>
      <c r="H896" s="20" t="s">
        <v>3318</v>
      </c>
      <c r="I896" s="20">
        <v>20</v>
      </c>
      <c r="J896" s="20" t="s">
        <v>3319</v>
      </c>
      <c r="K896" s="20" t="s">
        <v>3323</v>
      </c>
      <c r="L896" s="20" t="s">
        <v>3297</v>
      </c>
      <c r="M896" s="20" t="s">
        <v>2667</v>
      </c>
      <c r="N896" s="20" t="s">
        <v>3216</v>
      </c>
      <c r="P896" s="20" t="s">
        <v>2667</v>
      </c>
      <c r="Q896" s="20" t="s">
        <v>2674</v>
      </c>
      <c r="R896" s="20" t="s">
        <v>84</v>
      </c>
      <c r="S896" s="20">
        <v>4</v>
      </c>
      <c r="T896" s="20" t="s">
        <v>922</v>
      </c>
      <c r="U896" s="20" t="s">
        <v>923</v>
      </c>
      <c r="V896" s="20" t="s">
        <v>87</v>
      </c>
      <c r="W896" s="20">
        <v>726</v>
      </c>
      <c r="X896" s="20">
        <v>726</v>
      </c>
      <c r="Y896" s="20" t="s">
        <v>3298</v>
      </c>
      <c r="Z896" s="20">
        <v>8.3333333333333329E-2</v>
      </c>
      <c r="AA896" s="20" t="s">
        <v>3324</v>
      </c>
      <c r="AB896" s="20" t="s">
        <v>279</v>
      </c>
      <c r="AC896" s="20" t="s">
        <v>280</v>
      </c>
      <c r="AD896" s="20" t="s">
        <v>3322</v>
      </c>
      <c r="AE896" s="20" t="s">
        <v>400</v>
      </c>
      <c r="AF896" s="20">
        <v>0.25</v>
      </c>
      <c r="AG896" s="20">
        <v>0</v>
      </c>
      <c r="AH896" s="20">
        <v>1</v>
      </c>
      <c r="AI896" s="4" t="s">
        <v>647</v>
      </c>
      <c r="AJ896" s="20">
        <v>43</v>
      </c>
      <c r="AK896" s="4" t="s">
        <v>679</v>
      </c>
      <c r="AL896" s="4">
        <v>5</v>
      </c>
      <c r="AM896" s="4" t="s">
        <v>485</v>
      </c>
      <c r="AN896" s="4" t="s">
        <v>95</v>
      </c>
      <c r="AO896" s="4" t="s">
        <v>680</v>
      </c>
      <c r="AP896" s="4">
        <v>1</v>
      </c>
      <c r="AQ896" s="20">
        <v>79000</v>
      </c>
      <c r="AR896" s="4">
        <v>41855</v>
      </c>
      <c r="AS896" s="20">
        <v>15959.595959595958</v>
      </c>
      <c r="AT896" s="20">
        <v>16162.249999999998</v>
      </c>
      <c r="AU896" s="20">
        <v>202.65404040404064</v>
      </c>
      <c r="AW896" s="20">
        <v>50</v>
      </c>
      <c r="AY896" s="20">
        <v>50</v>
      </c>
      <c r="AZ896" s="20">
        <v>13.95</v>
      </c>
      <c r="BB896" s="6">
        <v>41855</v>
      </c>
      <c r="BC896" s="6">
        <v>0</v>
      </c>
      <c r="BD896" s="6">
        <v>41862</v>
      </c>
      <c r="BE896" s="6">
        <v>0</v>
      </c>
      <c r="BF896" s="6">
        <v>41862</v>
      </c>
      <c r="BG896" s="6">
        <v>0</v>
      </c>
      <c r="BH896" s="6">
        <v>0</v>
      </c>
      <c r="BI896" s="6">
        <v>0</v>
      </c>
      <c r="BJ896" s="6">
        <v>0</v>
      </c>
      <c r="BK896" s="4">
        <v>0</v>
      </c>
      <c r="BL896" s="4">
        <v>0</v>
      </c>
      <c r="BM896" s="20">
        <v>43</v>
      </c>
      <c r="BN896" s="20">
        <v>0</v>
      </c>
      <c r="BO896" s="20">
        <v>0</v>
      </c>
      <c r="BP896" s="20">
        <v>0</v>
      </c>
      <c r="BQ896" s="20">
        <v>0</v>
      </c>
      <c r="BR896" s="20">
        <v>0</v>
      </c>
      <c r="BS896" s="20">
        <v>43</v>
      </c>
      <c r="BT896" s="20">
        <v>694976.74999999988</v>
      </c>
      <c r="BU896" s="20">
        <v>3397000</v>
      </c>
      <c r="BV896" s="20">
        <v>4.4435757285143973</v>
      </c>
    </row>
    <row r="897" spans="1:74">
      <c r="A897" s="10">
        <f t="shared" si="54"/>
        <v>0</v>
      </c>
      <c r="B897" s="10">
        <f t="shared" si="55"/>
        <v>0</v>
      </c>
      <c r="C897" s="12">
        <f t="shared" si="56"/>
        <v>8</v>
      </c>
      <c r="D897" s="12">
        <f t="shared" si="57"/>
        <v>8</v>
      </c>
      <c r="E897" s="20" t="s">
        <v>574</v>
      </c>
      <c r="F897" s="20" t="s">
        <v>3089</v>
      </c>
      <c r="G897" s="20" t="s">
        <v>3090</v>
      </c>
      <c r="H897" s="20" t="s">
        <v>3318</v>
      </c>
      <c r="I897" s="20">
        <v>20</v>
      </c>
      <c r="J897" s="20" t="s">
        <v>3319</v>
      </c>
      <c r="K897" s="20" t="s">
        <v>3325</v>
      </c>
      <c r="L897" s="20" t="s">
        <v>3297</v>
      </c>
      <c r="M897" s="20" t="s">
        <v>2667</v>
      </c>
      <c r="N897" s="20" t="s">
        <v>3216</v>
      </c>
      <c r="P897" s="20" t="s">
        <v>2667</v>
      </c>
      <c r="Q897" s="20" t="s">
        <v>2674</v>
      </c>
      <c r="R897" s="20" t="s">
        <v>84</v>
      </c>
      <c r="S897" s="20">
        <v>4</v>
      </c>
      <c r="T897" s="20" t="s">
        <v>922</v>
      </c>
      <c r="U897" s="20" t="s">
        <v>923</v>
      </c>
      <c r="V897" s="20" t="s">
        <v>87</v>
      </c>
      <c r="W897" s="20">
        <v>726</v>
      </c>
      <c r="X897" s="20">
        <v>726</v>
      </c>
      <c r="Y897" s="20" t="s">
        <v>3298</v>
      </c>
      <c r="Z897" s="20">
        <v>8.3333333333333329E-2</v>
      </c>
      <c r="AA897" s="20" t="s">
        <v>3326</v>
      </c>
      <c r="AB897" s="20" t="s">
        <v>279</v>
      </c>
      <c r="AC897" s="20" t="s">
        <v>280</v>
      </c>
      <c r="AD897" s="20" t="s">
        <v>3322</v>
      </c>
      <c r="AE897" s="20" t="s">
        <v>400</v>
      </c>
      <c r="AF897" s="20">
        <v>0.25</v>
      </c>
      <c r="AG897" s="20">
        <v>0</v>
      </c>
      <c r="AH897" s="20">
        <v>1</v>
      </c>
      <c r="AI897" s="4" t="s">
        <v>649</v>
      </c>
      <c r="AJ897" s="20">
        <v>82</v>
      </c>
      <c r="AK897" s="4" t="s">
        <v>679</v>
      </c>
      <c r="AL897" s="4">
        <v>5</v>
      </c>
      <c r="AM897" s="4" t="s">
        <v>485</v>
      </c>
      <c r="AN897" s="4" t="s">
        <v>95</v>
      </c>
      <c r="AO897" s="4" t="s">
        <v>680</v>
      </c>
      <c r="AP897" s="4">
        <v>1</v>
      </c>
      <c r="AQ897" s="20">
        <v>79000</v>
      </c>
      <c r="AR897" s="4">
        <v>41855</v>
      </c>
      <c r="AS897" s="20">
        <v>15959.595959595958</v>
      </c>
      <c r="AT897" s="20">
        <v>16162.249999999998</v>
      </c>
      <c r="AU897" s="20">
        <v>202.65404040404064</v>
      </c>
      <c r="AW897" s="20">
        <v>50</v>
      </c>
      <c r="AY897" s="20">
        <v>50</v>
      </c>
      <c r="AZ897" s="20">
        <v>13.95</v>
      </c>
      <c r="BB897" s="6">
        <v>41855</v>
      </c>
      <c r="BC897" s="6">
        <v>0</v>
      </c>
      <c r="BD897" s="6">
        <v>41862</v>
      </c>
      <c r="BE897" s="6">
        <v>0</v>
      </c>
      <c r="BF897" s="6">
        <v>41862</v>
      </c>
      <c r="BG897" s="6">
        <v>0</v>
      </c>
      <c r="BH897" s="6">
        <v>0</v>
      </c>
      <c r="BI897" s="6">
        <v>0</v>
      </c>
      <c r="BJ897" s="6">
        <v>0</v>
      </c>
      <c r="BK897" s="4">
        <v>0</v>
      </c>
      <c r="BL897" s="4">
        <v>0</v>
      </c>
      <c r="BM897" s="20">
        <v>82</v>
      </c>
      <c r="BN897" s="20">
        <v>0</v>
      </c>
      <c r="BO897" s="20">
        <v>0</v>
      </c>
      <c r="BP897" s="20">
        <v>0</v>
      </c>
      <c r="BQ897" s="20">
        <v>0</v>
      </c>
      <c r="BR897" s="20">
        <v>0</v>
      </c>
      <c r="BS897" s="20">
        <v>82</v>
      </c>
      <c r="BT897" s="20">
        <v>1325304.4999999998</v>
      </c>
      <c r="BU897" s="20">
        <v>6478000</v>
      </c>
      <c r="BV897" s="20">
        <v>4.4435757285143973</v>
      </c>
    </row>
    <row r="898" spans="1:74">
      <c r="A898" s="10">
        <f t="shared" si="54"/>
        <v>0</v>
      </c>
      <c r="B898" s="10">
        <f t="shared" si="55"/>
        <v>0</v>
      </c>
      <c r="C898" s="12">
        <f t="shared" si="56"/>
        <v>8</v>
      </c>
      <c r="D898" s="12">
        <f t="shared" si="57"/>
        <v>8</v>
      </c>
      <c r="E898" s="20" t="s">
        <v>574</v>
      </c>
      <c r="F898" s="20" t="s">
        <v>3089</v>
      </c>
      <c r="G898" s="20" t="s">
        <v>3090</v>
      </c>
      <c r="H898" s="20" t="s">
        <v>3318</v>
      </c>
      <c r="I898" s="20">
        <v>20</v>
      </c>
      <c r="J898" s="20" t="s">
        <v>3319</v>
      </c>
      <c r="K898" s="20" t="s">
        <v>3327</v>
      </c>
      <c r="L898" s="20" t="s">
        <v>3297</v>
      </c>
      <c r="M898" s="20" t="s">
        <v>2667</v>
      </c>
      <c r="N898" s="20" t="s">
        <v>3216</v>
      </c>
      <c r="P898" s="20" t="s">
        <v>2667</v>
      </c>
      <c r="Q898" s="20" t="s">
        <v>2674</v>
      </c>
      <c r="R898" s="20" t="s">
        <v>84</v>
      </c>
      <c r="S898" s="20">
        <v>4</v>
      </c>
      <c r="T898" s="20" t="s">
        <v>922</v>
      </c>
      <c r="U898" s="20" t="s">
        <v>923</v>
      </c>
      <c r="V898" s="20" t="s">
        <v>87</v>
      </c>
      <c r="W898" s="20">
        <v>726</v>
      </c>
      <c r="X898" s="20">
        <v>726</v>
      </c>
      <c r="Y898" s="20" t="s">
        <v>3298</v>
      </c>
      <c r="Z898" s="20">
        <v>8.3333333333333329E-2</v>
      </c>
      <c r="AA898" s="20" t="s">
        <v>3328</v>
      </c>
      <c r="AB898" s="20" t="s">
        <v>279</v>
      </c>
      <c r="AC898" s="20" t="s">
        <v>280</v>
      </c>
      <c r="AD898" s="20" t="s">
        <v>3322</v>
      </c>
      <c r="AE898" s="20" t="s">
        <v>400</v>
      </c>
      <c r="AF898" s="20">
        <v>0.25</v>
      </c>
      <c r="AG898" s="20">
        <v>0</v>
      </c>
      <c r="AH898" s="20">
        <v>1</v>
      </c>
      <c r="AI898" s="4" t="s">
        <v>651</v>
      </c>
      <c r="AJ898" s="20">
        <v>44</v>
      </c>
      <c r="AK898" s="4" t="s">
        <v>679</v>
      </c>
      <c r="AL898" s="4">
        <v>5</v>
      </c>
      <c r="AM898" s="4" t="s">
        <v>485</v>
      </c>
      <c r="AN898" s="4" t="s">
        <v>95</v>
      </c>
      <c r="AO898" s="4" t="s">
        <v>680</v>
      </c>
      <c r="AP898" s="4">
        <v>1</v>
      </c>
      <c r="AQ898" s="20">
        <v>79000</v>
      </c>
      <c r="AR898" s="4">
        <v>41855</v>
      </c>
      <c r="AS898" s="20">
        <v>15959.595959595958</v>
      </c>
      <c r="AT898" s="20">
        <v>16162.249999999998</v>
      </c>
      <c r="AU898" s="20">
        <v>202.65404040404064</v>
      </c>
      <c r="AW898" s="20">
        <v>50</v>
      </c>
      <c r="AY898" s="20">
        <v>50</v>
      </c>
      <c r="AZ898" s="20">
        <v>13.95</v>
      </c>
      <c r="BB898" s="6">
        <v>41855</v>
      </c>
      <c r="BC898" s="6">
        <v>0</v>
      </c>
      <c r="BD898" s="6">
        <v>41862</v>
      </c>
      <c r="BE898" s="6">
        <v>0</v>
      </c>
      <c r="BF898" s="6">
        <v>41862</v>
      </c>
      <c r="BG898" s="6">
        <v>0</v>
      </c>
      <c r="BH898" s="6">
        <v>0</v>
      </c>
      <c r="BI898" s="6">
        <v>0</v>
      </c>
      <c r="BJ898" s="6">
        <v>0</v>
      </c>
      <c r="BK898" s="4">
        <v>0</v>
      </c>
      <c r="BL898" s="4">
        <v>0</v>
      </c>
      <c r="BM898" s="20">
        <v>44</v>
      </c>
      <c r="BN898" s="20">
        <v>0</v>
      </c>
      <c r="BO898" s="20">
        <v>0</v>
      </c>
      <c r="BP898" s="20">
        <v>0</v>
      </c>
      <c r="BQ898" s="20">
        <v>0</v>
      </c>
      <c r="BR898" s="20">
        <v>0</v>
      </c>
      <c r="BS898" s="20">
        <v>44</v>
      </c>
      <c r="BT898" s="20">
        <v>711138.99999999988</v>
      </c>
      <c r="BU898" s="20">
        <v>3476000</v>
      </c>
      <c r="BV898" s="20">
        <v>4.4435757285143982</v>
      </c>
    </row>
    <row r="899" spans="1:74">
      <c r="A899" s="10">
        <f t="shared" ref="A899:A962" si="58">IF($BL899="공급",$Z899,0)</f>
        <v>0</v>
      </c>
      <c r="B899" s="10">
        <f t="shared" ref="B899:B962" si="59">IF($AV899&gt;0,$Z899,0)</f>
        <v>0</v>
      </c>
      <c r="C899" s="12">
        <f t="shared" si="56"/>
        <v>8</v>
      </c>
      <c r="D899" s="12">
        <f t="shared" si="57"/>
        <v>8</v>
      </c>
      <c r="E899" s="20" t="s">
        <v>574</v>
      </c>
      <c r="F899" s="20" t="s">
        <v>3089</v>
      </c>
      <c r="G899" s="20" t="s">
        <v>3090</v>
      </c>
      <c r="H899" s="20" t="s">
        <v>3329</v>
      </c>
      <c r="I899" s="20">
        <v>21</v>
      </c>
      <c r="J899" s="20" t="s">
        <v>3330</v>
      </c>
      <c r="K899" s="20" t="s">
        <v>3331</v>
      </c>
      <c r="L899" s="20" t="s">
        <v>3332</v>
      </c>
      <c r="M899" s="20" t="s">
        <v>2667</v>
      </c>
      <c r="N899" s="20" t="s">
        <v>3216</v>
      </c>
      <c r="P899" s="20" t="s">
        <v>2667</v>
      </c>
      <c r="Q899" s="20" t="s">
        <v>2674</v>
      </c>
      <c r="R899" s="20" t="s">
        <v>84</v>
      </c>
      <c r="S899" s="20">
        <v>4</v>
      </c>
      <c r="T899" s="20" t="s">
        <v>922</v>
      </c>
      <c r="U899" s="20" t="s">
        <v>923</v>
      </c>
      <c r="V899" s="20" t="s">
        <v>87</v>
      </c>
      <c r="W899" s="20">
        <v>727</v>
      </c>
      <c r="X899" s="20">
        <v>727</v>
      </c>
      <c r="Y899" s="20" t="s">
        <v>3333</v>
      </c>
      <c r="Z899" s="20">
        <v>0.25</v>
      </c>
      <c r="AA899" s="20" t="s">
        <v>3334</v>
      </c>
      <c r="AB899" s="20" t="s">
        <v>248</v>
      </c>
      <c r="AC899" s="20" t="s">
        <v>249</v>
      </c>
      <c r="AD899" s="20" t="s">
        <v>3335</v>
      </c>
      <c r="AE899" s="20" t="s">
        <v>400</v>
      </c>
      <c r="AF899" s="20">
        <v>0.25</v>
      </c>
      <c r="AG899" s="20">
        <v>0</v>
      </c>
      <c r="AH899" s="20">
        <v>1</v>
      </c>
      <c r="AI899" s="4" t="s">
        <v>645</v>
      </c>
      <c r="AJ899" s="20">
        <v>107</v>
      </c>
      <c r="AK899" s="4" t="s">
        <v>679</v>
      </c>
      <c r="AL899" s="4">
        <v>5</v>
      </c>
      <c r="AM899" s="4" t="s">
        <v>485</v>
      </c>
      <c r="AN899" s="4" t="s">
        <v>95</v>
      </c>
      <c r="AO899" s="4" t="s">
        <v>680</v>
      </c>
      <c r="AP899" s="4">
        <v>1</v>
      </c>
      <c r="AQ899" s="20">
        <v>79000</v>
      </c>
      <c r="AR899" s="4">
        <v>41855</v>
      </c>
      <c r="AS899" s="20">
        <v>15959.595959595958</v>
      </c>
      <c r="AT899" s="20">
        <v>16162.249999999998</v>
      </c>
      <c r="AU899" s="20">
        <v>202.65404040404064</v>
      </c>
      <c r="AW899" s="20">
        <v>50</v>
      </c>
      <c r="AY899" s="20">
        <v>50</v>
      </c>
      <c r="AZ899" s="20">
        <v>13.95</v>
      </c>
      <c r="BB899" s="6">
        <v>41855</v>
      </c>
      <c r="BC899" s="6">
        <v>0</v>
      </c>
      <c r="BD899" s="6">
        <v>41862</v>
      </c>
      <c r="BE899" s="6">
        <v>0</v>
      </c>
      <c r="BF899" s="6">
        <v>41862</v>
      </c>
      <c r="BG899" s="6">
        <v>0</v>
      </c>
      <c r="BH899" s="6">
        <v>0</v>
      </c>
      <c r="BI899" s="6">
        <v>0</v>
      </c>
      <c r="BJ899" s="6">
        <v>0</v>
      </c>
      <c r="BK899" s="4">
        <v>0</v>
      </c>
      <c r="BL899" s="4">
        <v>0</v>
      </c>
      <c r="BM899" s="20">
        <v>107</v>
      </c>
      <c r="BN899" s="20">
        <v>0</v>
      </c>
      <c r="BO899" s="20">
        <v>0</v>
      </c>
      <c r="BP899" s="20">
        <v>0</v>
      </c>
      <c r="BQ899" s="20">
        <v>0</v>
      </c>
      <c r="BR899" s="20">
        <v>0</v>
      </c>
      <c r="BS899" s="20">
        <v>107</v>
      </c>
      <c r="BT899" s="20">
        <v>1729360.7499999998</v>
      </c>
      <c r="BU899" s="20">
        <v>8453000</v>
      </c>
      <c r="BV899" s="20">
        <v>4.4435757285143973</v>
      </c>
    </row>
    <row r="900" spans="1:74">
      <c r="A900" s="10">
        <f t="shared" si="58"/>
        <v>0</v>
      </c>
      <c r="B900" s="10">
        <f t="shared" si="59"/>
        <v>0</v>
      </c>
      <c r="C900" s="12">
        <f t="shared" ref="C900:C963" si="60">IF($BB900=0,"",MONTH($BB900))</f>
        <v>8</v>
      </c>
      <c r="D900" s="12">
        <f t="shared" si="57"/>
        <v>8</v>
      </c>
      <c r="E900" s="20" t="s">
        <v>574</v>
      </c>
      <c r="F900" s="20" t="s">
        <v>3089</v>
      </c>
      <c r="G900" s="20" t="s">
        <v>3090</v>
      </c>
      <c r="H900" s="20" t="s">
        <v>3329</v>
      </c>
      <c r="I900" s="20">
        <v>21</v>
      </c>
      <c r="J900" s="20" t="s">
        <v>3330</v>
      </c>
      <c r="K900" s="20" t="s">
        <v>3336</v>
      </c>
      <c r="L900" s="20" t="s">
        <v>3332</v>
      </c>
      <c r="M900" s="20" t="s">
        <v>2667</v>
      </c>
      <c r="N900" s="20" t="s">
        <v>3216</v>
      </c>
      <c r="P900" s="20" t="s">
        <v>2667</v>
      </c>
      <c r="Q900" s="20" t="s">
        <v>2674</v>
      </c>
      <c r="R900" s="20" t="s">
        <v>84</v>
      </c>
      <c r="S900" s="20">
        <v>4</v>
      </c>
      <c r="T900" s="20" t="s">
        <v>922</v>
      </c>
      <c r="U900" s="20" t="s">
        <v>923</v>
      </c>
      <c r="V900" s="20" t="s">
        <v>87</v>
      </c>
      <c r="W900" s="20">
        <v>727</v>
      </c>
      <c r="X900" s="20">
        <v>727</v>
      </c>
      <c r="Y900" s="20" t="s">
        <v>3333</v>
      </c>
      <c r="Z900" s="20">
        <v>0.25</v>
      </c>
      <c r="AA900" s="20" t="s">
        <v>3337</v>
      </c>
      <c r="AB900" s="20" t="s">
        <v>248</v>
      </c>
      <c r="AC900" s="20" t="s">
        <v>249</v>
      </c>
      <c r="AD900" s="20" t="s">
        <v>3335</v>
      </c>
      <c r="AE900" s="20" t="s">
        <v>400</v>
      </c>
      <c r="AF900" s="20">
        <v>0.25</v>
      </c>
      <c r="AG900" s="20">
        <v>0</v>
      </c>
      <c r="AH900" s="20">
        <v>1</v>
      </c>
      <c r="AI900" s="4" t="s">
        <v>647</v>
      </c>
      <c r="AJ900" s="20">
        <v>87</v>
      </c>
      <c r="AK900" s="4" t="s">
        <v>679</v>
      </c>
      <c r="AL900" s="4">
        <v>5</v>
      </c>
      <c r="AM900" s="4" t="s">
        <v>485</v>
      </c>
      <c r="AN900" s="4" t="s">
        <v>95</v>
      </c>
      <c r="AO900" s="4" t="s">
        <v>680</v>
      </c>
      <c r="AP900" s="4">
        <v>1</v>
      </c>
      <c r="AQ900" s="20">
        <v>79000</v>
      </c>
      <c r="AR900" s="4">
        <v>41855</v>
      </c>
      <c r="AS900" s="20">
        <v>15959.595959595958</v>
      </c>
      <c r="AT900" s="20">
        <v>16162.249999999998</v>
      </c>
      <c r="AU900" s="20">
        <v>202.65404040404064</v>
      </c>
      <c r="AW900" s="20">
        <v>50</v>
      </c>
      <c r="AY900" s="20">
        <v>50</v>
      </c>
      <c r="AZ900" s="20">
        <v>13.95</v>
      </c>
      <c r="BB900" s="6">
        <v>41855</v>
      </c>
      <c r="BC900" s="6">
        <v>0</v>
      </c>
      <c r="BD900" s="6">
        <v>41862</v>
      </c>
      <c r="BE900" s="6">
        <v>0</v>
      </c>
      <c r="BF900" s="6">
        <v>41862</v>
      </c>
      <c r="BG900" s="6">
        <v>0</v>
      </c>
      <c r="BH900" s="6">
        <v>0</v>
      </c>
      <c r="BI900" s="6">
        <v>0</v>
      </c>
      <c r="BJ900" s="6">
        <v>0</v>
      </c>
      <c r="BK900" s="4">
        <v>0</v>
      </c>
      <c r="BL900" s="4">
        <v>0</v>
      </c>
      <c r="BM900" s="20">
        <v>87</v>
      </c>
      <c r="BN900" s="20">
        <v>0</v>
      </c>
      <c r="BO900" s="20">
        <v>0</v>
      </c>
      <c r="BP900" s="20">
        <v>0</v>
      </c>
      <c r="BQ900" s="20">
        <v>0</v>
      </c>
      <c r="BR900" s="20">
        <v>0</v>
      </c>
      <c r="BS900" s="20">
        <v>87</v>
      </c>
      <c r="BT900" s="20">
        <v>1406115.7499999998</v>
      </c>
      <c r="BU900" s="20">
        <v>6873000</v>
      </c>
      <c r="BV900" s="20">
        <v>4.4435757285143973</v>
      </c>
    </row>
    <row r="901" spans="1:74">
      <c r="A901" s="10">
        <f t="shared" si="58"/>
        <v>0</v>
      </c>
      <c r="B901" s="10">
        <f t="shared" si="59"/>
        <v>0</v>
      </c>
      <c r="C901" s="12">
        <f t="shared" si="60"/>
        <v>8</v>
      </c>
      <c r="D901" s="12">
        <f t="shared" ref="D901:D964" si="61">IF(AND(BD901=0,BF901=0),"",MONTH(IF($BF901=0,$BD901,$BF901)))</f>
        <v>8</v>
      </c>
      <c r="E901" s="20" t="s">
        <v>574</v>
      </c>
      <c r="F901" s="20" t="s">
        <v>3089</v>
      </c>
      <c r="G901" s="20" t="s">
        <v>3090</v>
      </c>
      <c r="H901" s="20" t="s">
        <v>3329</v>
      </c>
      <c r="I901" s="20">
        <v>21</v>
      </c>
      <c r="J901" s="20" t="s">
        <v>3330</v>
      </c>
      <c r="K901" s="20" t="s">
        <v>3338</v>
      </c>
      <c r="L901" s="20" t="s">
        <v>3332</v>
      </c>
      <c r="M901" s="20" t="s">
        <v>2667</v>
      </c>
      <c r="N901" s="20" t="s">
        <v>3216</v>
      </c>
      <c r="P901" s="20" t="s">
        <v>2667</v>
      </c>
      <c r="Q901" s="20" t="s">
        <v>2674</v>
      </c>
      <c r="R901" s="20" t="s">
        <v>84</v>
      </c>
      <c r="S901" s="20">
        <v>4</v>
      </c>
      <c r="T901" s="20" t="s">
        <v>922</v>
      </c>
      <c r="U901" s="20" t="s">
        <v>923</v>
      </c>
      <c r="V901" s="20" t="s">
        <v>87</v>
      </c>
      <c r="W901" s="20">
        <v>727</v>
      </c>
      <c r="X901" s="20">
        <v>727</v>
      </c>
      <c r="Y901" s="20" t="s">
        <v>3333</v>
      </c>
      <c r="Z901" s="20">
        <v>0.25</v>
      </c>
      <c r="AA901" s="20" t="s">
        <v>3339</v>
      </c>
      <c r="AB901" s="20" t="s">
        <v>248</v>
      </c>
      <c r="AC901" s="20" t="s">
        <v>249</v>
      </c>
      <c r="AD901" s="20" t="s">
        <v>3335</v>
      </c>
      <c r="AE901" s="20" t="s">
        <v>400</v>
      </c>
      <c r="AF901" s="20">
        <v>0.25</v>
      </c>
      <c r="AG901" s="20">
        <v>0</v>
      </c>
      <c r="AH901" s="20">
        <v>1</v>
      </c>
      <c r="AI901" s="4" t="s">
        <v>649</v>
      </c>
      <c r="AJ901" s="20">
        <v>22</v>
      </c>
      <c r="AK901" s="4" t="s">
        <v>679</v>
      </c>
      <c r="AL901" s="4">
        <v>5</v>
      </c>
      <c r="AM901" s="4" t="s">
        <v>485</v>
      </c>
      <c r="AN901" s="4" t="s">
        <v>95</v>
      </c>
      <c r="AO901" s="4" t="s">
        <v>680</v>
      </c>
      <c r="AP901" s="4">
        <v>1</v>
      </c>
      <c r="AQ901" s="20">
        <v>79000</v>
      </c>
      <c r="AR901" s="4">
        <v>41855</v>
      </c>
      <c r="AS901" s="20">
        <v>15959.595959595958</v>
      </c>
      <c r="AT901" s="20">
        <v>16162.249999999998</v>
      </c>
      <c r="AU901" s="20">
        <v>202.65404040404064</v>
      </c>
      <c r="AW901" s="20">
        <v>50</v>
      </c>
      <c r="AY901" s="20">
        <v>50</v>
      </c>
      <c r="AZ901" s="20">
        <v>13.95</v>
      </c>
      <c r="BB901" s="6">
        <v>41855</v>
      </c>
      <c r="BC901" s="6">
        <v>0</v>
      </c>
      <c r="BD901" s="6">
        <v>41862</v>
      </c>
      <c r="BE901" s="6">
        <v>0</v>
      </c>
      <c r="BF901" s="6">
        <v>41862</v>
      </c>
      <c r="BG901" s="6">
        <v>0</v>
      </c>
      <c r="BH901" s="6">
        <v>0</v>
      </c>
      <c r="BI901" s="6">
        <v>0</v>
      </c>
      <c r="BJ901" s="6">
        <v>0</v>
      </c>
      <c r="BK901" s="4">
        <v>0</v>
      </c>
      <c r="BL901" s="4">
        <v>0</v>
      </c>
      <c r="BM901" s="20">
        <v>22</v>
      </c>
      <c r="BN901" s="20">
        <v>0</v>
      </c>
      <c r="BO901" s="20">
        <v>0</v>
      </c>
      <c r="BP901" s="20">
        <v>0</v>
      </c>
      <c r="BQ901" s="20">
        <v>0</v>
      </c>
      <c r="BR901" s="20">
        <v>0</v>
      </c>
      <c r="BS901" s="20">
        <v>22</v>
      </c>
      <c r="BT901" s="20">
        <v>355569.49999999994</v>
      </c>
      <c r="BU901" s="20">
        <v>1738000</v>
      </c>
      <c r="BV901" s="20">
        <v>4.4435757285143982</v>
      </c>
    </row>
    <row r="902" spans="1:74">
      <c r="A902" s="10">
        <f t="shared" si="58"/>
        <v>0</v>
      </c>
      <c r="B902" s="10">
        <f t="shared" si="59"/>
        <v>0</v>
      </c>
      <c r="C902" s="12">
        <f t="shared" si="60"/>
        <v>8</v>
      </c>
      <c r="D902" s="12">
        <f t="shared" si="61"/>
        <v>8</v>
      </c>
      <c r="E902" s="20" t="s">
        <v>574</v>
      </c>
      <c r="F902" s="20" t="s">
        <v>3089</v>
      </c>
      <c r="G902" s="20" t="s">
        <v>3090</v>
      </c>
      <c r="H902" s="20" t="s">
        <v>3329</v>
      </c>
      <c r="I902" s="20">
        <v>21</v>
      </c>
      <c r="J902" s="20" t="s">
        <v>3330</v>
      </c>
      <c r="K902" s="20" t="s">
        <v>3340</v>
      </c>
      <c r="L902" s="20" t="s">
        <v>3332</v>
      </c>
      <c r="M902" s="20" t="s">
        <v>2667</v>
      </c>
      <c r="N902" s="20" t="s">
        <v>3216</v>
      </c>
      <c r="P902" s="20" t="s">
        <v>2667</v>
      </c>
      <c r="Q902" s="20" t="s">
        <v>2674</v>
      </c>
      <c r="R902" s="20" t="s">
        <v>84</v>
      </c>
      <c r="S902" s="20">
        <v>4</v>
      </c>
      <c r="T902" s="20" t="s">
        <v>922</v>
      </c>
      <c r="U902" s="20" t="s">
        <v>923</v>
      </c>
      <c r="V902" s="20" t="s">
        <v>87</v>
      </c>
      <c r="W902" s="20">
        <v>727</v>
      </c>
      <c r="X902" s="20">
        <v>727</v>
      </c>
      <c r="Y902" s="20" t="s">
        <v>3333</v>
      </c>
      <c r="Z902" s="20">
        <v>0.25</v>
      </c>
      <c r="AA902" s="20" t="s">
        <v>3341</v>
      </c>
      <c r="AB902" s="20" t="s">
        <v>248</v>
      </c>
      <c r="AC902" s="20" t="s">
        <v>249</v>
      </c>
      <c r="AD902" s="20" t="s">
        <v>3335</v>
      </c>
      <c r="AE902" s="20" t="s">
        <v>400</v>
      </c>
      <c r="AF902" s="20">
        <v>0.25</v>
      </c>
      <c r="AG902" s="20">
        <v>0</v>
      </c>
      <c r="AH902" s="20">
        <v>1</v>
      </c>
      <c r="AI902" s="4" t="s">
        <v>651</v>
      </c>
      <c r="AJ902" s="20">
        <v>11</v>
      </c>
      <c r="AK902" s="4" t="s">
        <v>679</v>
      </c>
      <c r="AL902" s="4">
        <v>5</v>
      </c>
      <c r="AM902" s="4" t="s">
        <v>485</v>
      </c>
      <c r="AN902" s="4" t="s">
        <v>95</v>
      </c>
      <c r="AO902" s="4" t="s">
        <v>680</v>
      </c>
      <c r="AP902" s="4">
        <v>1</v>
      </c>
      <c r="AQ902" s="20">
        <v>79000</v>
      </c>
      <c r="AR902" s="4">
        <v>41855</v>
      </c>
      <c r="AS902" s="20">
        <v>15959.595959595958</v>
      </c>
      <c r="AT902" s="20">
        <v>16162.249999999998</v>
      </c>
      <c r="AU902" s="20">
        <v>202.65404040404064</v>
      </c>
      <c r="AW902" s="20">
        <v>50</v>
      </c>
      <c r="AY902" s="20">
        <v>50</v>
      </c>
      <c r="AZ902" s="20">
        <v>13.95</v>
      </c>
      <c r="BB902" s="6">
        <v>41855</v>
      </c>
      <c r="BC902" s="6">
        <v>0</v>
      </c>
      <c r="BD902" s="6">
        <v>41862</v>
      </c>
      <c r="BE902" s="6">
        <v>0</v>
      </c>
      <c r="BF902" s="6">
        <v>41862</v>
      </c>
      <c r="BG902" s="6">
        <v>0</v>
      </c>
      <c r="BH902" s="6">
        <v>0</v>
      </c>
      <c r="BI902" s="6">
        <v>0</v>
      </c>
      <c r="BJ902" s="6">
        <v>0</v>
      </c>
      <c r="BK902" s="4">
        <v>0</v>
      </c>
      <c r="BL902" s="4">
        <v>0</v>
      </c>
      <c r="BM902" s="20">
        <v>11</v>
      </c>
      <c r="BN902" s="20">
        <v>0</v>
      </c>
      <c r="BO902" s="20">
        <v>0</v>
      </c>
      <c r="BP902" s="20">
        <v>0</v>
      </c>
      <c r="BQ902" s="20">
        <v>0</v>
      </c>
      <c r="BR902" s="20">
        <v>0</v>
      </c>
      <c r="BS902" s="20">
        <v>11</v>
      </c>
      <c r="BT902" s="20">
        <v>177784.74999999997</v>
      </c>
      <c r="BU902" s="20">
        <v>869000</v>
      </c>
      <c r="BV902" s="20">
        <v>4.4435757285143982</v>
      </c>
    </row>
    <row r="903" spans="1:74">
      <c r="A903" s="10">
        <f t="shared" si="58"/>
        <v>0</v>
      </c>
      <c r="B903" s="10">
        <f t="shared" si="59"/>
        <v>0</v>
      </c>
      <c r="C903" s="12">
        <f t="shared" si="60"/>
        <v>8</v>
      </c>
      <c r="D903" s="12">
        <f t="shared" si="61"/>
        <v>8</v>
      </c>
      <c r="E903" s="20" t="s">
        <v>574</v>
      </c>
      <c r="F903" s="20" t="s">
        <v>3089</v>
      </c>
      <c r="G903" s="20" t="s">
        <v>3090</v>
      </c>
      <c r="H903" s="20" t="s">
        <v>3342</v>
      </c>
      <c r="I903" s="20">
        <v>22</v>
      </c>
      <c r="J903" s="20" t="s">
        <v>3343</v>
      </c>
      <c r="K903" s="20" t="s">
        <v>3344</v>
      </c>
      <c r="L903" s="20" t="s">
        <v>3345</v>
      </c>
      <c r="M903" s="20" t="s">
        <v>2667</v>
      </c>
      <c r="N903" s="20" t="s">
        <v>3346</v>
      </c>
      <c r="P903" s="20" t="s">
        <v>2667</v>
      </c>
      <c r="Q903" s="20" t="s">
        <v>2674</v>
      </c>
      <c r="R903" s="20" t="s">
        <v>84</v>
      </c>
      <c r="S903" s="20">
        <v>4</v>
      </c>
      <c r="T903" s="20" t="s">
        <v>635</v>
      </c>
      <c r="U903" s="20" t="s">
        <v>636</v>
      </c>
      <c r="V903" s="20" t="s">
        <v>87</v>
      </c>
      <c r="W903" s="20">
        <v>706</v>
      </c>
      <c r="X903" s="20">
        <v>706</v>
      </c>
      <c r="Y903" s="20" t="s">
        <v>3347</v>
      </c>
      <c r="Z903" s="20">
        <v>0.33333333333333331</v>
      </c>
      <c r="AA903" s="20" t="s">
        <v>3348</v>
      </c>
      <c r="AB903" s="20" t="s">
        <v>89</v>
      </c>
      <c r="AC903" s="20" t="s">
        <v>90</v>
      </c>
      <c r="AD903" s="20" t="s">
        <v>3349</v>
      </c>
      <c r="AE903" s="20" t="s">
        <v>400</v>
      </c>
      <c r="AF903" s="20">
        <v>0.33333333333333331</v>
      </c>
      <c r="AG903" s="20">
        <v>0</v>
      </c>
      <c r="AH903" s="20">
        <v>1</v>
      </c>
      <c r="AI903" s="4" t="s">
        <v>645</v>
      </c>
      <c r="AJ903" s="20">
        <v>50</v>
      </c>
      <c r="AK903" s="4" t="s">
        <v>679</v>
      </c>
      <c r="AL903" s="4">
        <v>5</v>
      </c>
      <c r="AM903" s="4" t="s">
        <v>485</v>
      </c>
      <c r="AN903" s="4" t="s">
        <v>95</v>
      </c>
      <c r="AO903" s="4" t="s">
        <v>680</v>
      </c>
      <c r="AP903" s="4">
        <v>1</v>
      </c>
      <c r="AQ903" s="20">
        <v>69000</v>
      </c>
      <c r="AR903" s="4">
        <v>41855</v>
      </c>
      <c r="AS903" s="20">
        <v>13939.393939393938</v>
      </c>
      <c r="AT903" s="20">
        <v>15584.75</v>
      </c>
      <c r="AU903" s="20">
        <v>1645.3560606060619</v>
      </c>
      <c r="AW903" s="20">
        <v>50</v>
      </c>
      <c r="AY903" s="20">
        <v>50</v>
      </c>
      <c r="AZ903" s="20">
        <v>13.45</v>
      </c>
      <c r="BB903" s="6">
        <v>41855</v>
      </c>
      <c r="BC903" s="6">
        <v>0</v>
      </c>
      <c r="BD903" s="6">
        <v>41862</v>
      </c>
      <c r="BE903" s="6">
        <v>0</v>
      </c>
      <c r="BF903" s="6">
        <v>41862</v>
      </c>
      <c r="BG903" s="6">
        <v>0</v>
      </c>
      <c r="BH903" s="6">
        <v>0</v>
      </c>
      <c r="BI903" s="6">
        <v>0</v>
      </c>
      <c r="BJ903" s="6">
        <v>0</v>
      </c>
      <c r="BK903" s="4">
        <v>0</v>
      </c>
      <c r="BL903" s="4">
        <v>0</v>
      </c>
      <c r="BM903" s="20">
        <v>50</v>
      </c>
      <c r="BN903" s="20">
        <v>0</v>
      </c>
      <c r="BO903" s="20">
        <v>0</v>
      </c>
      <c r="BP903" s="20">
        <v>0</v>
      </c>
      <c r="BQ903" s="20">
        <v>0</v>
      </c>
      <c r="BR903" s="20">
        <v>0</v>
      </c>
      <c r="BS903" s="20">
        <v>50</v>
      </c>
      <c r="BT903" s="20">
        <v>779237.5</v>
      </c>
      <c r="BU903" s="20">
        <v>3450000</v>
      </c>
      <c r="BV903" s="20">
        <v>4.0249136320616445</v>
      </c>
    </row>
    <row r="904" spans="1:74">
      <c r="A904" s="10">
        <f t="shared" si="58"/>
        <v>0</v>
      </c>
      <c r="B904" s="10">
        <f t="shared" si="59"/>
        <v>0</v>
      </c>
      <c r="C904" s="12">
        <f t="shared" si="60"/>
        <v>8</v>
      </c>
      <c r="D904" s="12">
        <f t="shared" si="61"/>
        <v>8</v>
      </c>
      <c r="E904" s="20" t="s">
        <v>574</v>
      </c>
      <c r="F904" s="20" t="s">
        <v>3089</v>
      </c>
      <c r="G904" s="20" t="s">
        <v>3090</v>
      </c>
      <c r="H904" s="20" t="s">
        <v>3342</v>
      </c>
      <c r="I904" s="20">
        <v>22</v>
      </c>
      <c r="J904" s="20" t="s">
        <v>3343</v>
      </c>
      <c r="K904" s="20" t="s">
        <v>3350</v>
      </c>
      <c r="L904" s="20" t="s">
        <v>3345</v>
      </c>
      <c r="M904" s="20" t="s">
        <v>2667</v>
      </c>
      <c r="N904" s="20" t="s">
        <v>3346</v>
      </c>
      <c r="P904" s="20" t="s">
        <v>2667</v>
      </c>
      <c r="Q904" s="20" t="s">
        <v>2674</v>
      </c>
      <c r="R904" s="20" t="s">
        <v>84</v>
      </c>
      <c r="S904" s="20">
        <v>4</v>
      </c>
      <c r="T904" s="20" t="s">
        <v>635</v>
      </c>
      <c r="U904" s="20" t="s">
        <v>636</v>
      </c>
      <c r="V904" s="20" t="s">
        <v>87</v>
      </c>
      <c r="W904" s="20">
        <v>706</v>
      </c>
      <c r="X904" s="20">
        <v>706</v>
      </c>
      <c r="Y904" s="20" t="s">
        <v>3347</v>
      </c>
      <c r="Z904" s="20">
        <v>0.33333333333333331</v>
      </c>
      <c r="AA904" s="20" t="s">
        <v>3351</v>
      </c>
      <c r="AB904" s="20" t="s">
        <v>89</v>
      </c>
      <c r="AC904" s="20" t="s">
        <v>90</v>
      </c>
      <c r="AD904" s="20" t="s">
        <v>3349</v>
      </c>
      <c r="AE904" s="20" t="s">
        <v>400</v>
      </c>
      <c r="AF904" s="20">
        <v>0.33333333333333331</v>
      </c>
      <c r="AG904" s="20">
        <v>0</v>
      </c>
      <c r="AH904" s="20">
        <v>1</v>
      </c>
      <c r="AI904" s="4" t="s">
        <v>647</v>
      </c>
      <c r="AJ904" s="20">
        <v>49</v>
      </c>
      <c r="AK904" s="4" t="s">
        <v>679</v>
      </c>
      <c r="AL904" s="4">
        <v>5</v>
      </c>
      <c r="AM904" s="4" t="s">
        <v>485</v>
      </c>
      <c r="AN904" s="4" t="s">
        <v>95</v>
      </c>
      <c r="AO904" s="4" t="s">
        <v>680</v>
      </c>
      <c r="AP904" s="4">
        <v>1</v>
      </c>
      <c r="AQ904" s="20">
        <v>69000</v>
      </c>
      <c r="AR904" s="4">
        <v>41855</v>
      </c>
      <c r="AS904" s="20">
        <v>13939.393939393938</v>
      </c>
      <c r="AT904" s="20">
        <v>15584.75</v>
      </c>
      <c r="AU904" s="20">
        <v>1645.3560606060619</v>
      </c>
      <c r="AW904" s="20">
        <v>50</v>
      </c>
      <c r="AY904" s="20">
        <v>50</v>
      </c>
      <c r="AZ904" s="20">
        <v>13.45</v>
      </c>
      <c r="BB904" s="6">
        <v>41855</v>
      </c>
      <c r="BC904" s="6">
        <v>0</v>
      </c>
      <c r="BD904" s="6">
        <v>41862</v>
      </c>
      <c r="BE904" s="6">
        <v>0</v>
      </c>
      <c r="BF904" s="6">
        <v>41862</v>
      </c>
      <c r="BG904" s="6">
        <v>0</v>
      </c>
      <c r="BH904" s="6">
        <v>0</v>
      </c>
      <c r="BI904" s="6">
        <v>0</v>
      </c>
      <c r="BJ904" s="6">
        <v>0</v>
      </c>
      <c r="BK904" s="4">
        <v>0</v>
      </c>
      <c r="BL904" s="4">
        <v>0</v>
      </c>
      <c r="BM904" s="20">
        <v>49</v>
      </c>
      <c r="BN904" s="20">
        <v>0</v>
      </c>
      <c r="BO904" s="20">
        <v>0</v>
      </c>
      <c r="BP904" s="20">
        <v>0</v>
      </c>
      <c r="BQ904" s="20">
        <v>0</v>
      </c>
      <c r="BR904" s="20">
        <v>0</v>
      </c>
      <c r="BS904" s="20">
        <v>49</v>
      </c>
      <c r="BT904" s="20">
        <v>763652.75</v>
      </c>
      <c r="BU904" s="20">
        <v>3381000</v>
      </c>
      <c r="BV904" s="20">
        <v>4.0249136320616454</v>
      </c>
    </row>
    <row r="905" spans="1:74">
      <c r="A905" s="10">
        <f t="shared" si="58"/>
        <v>0</v>
      </c>
      <c r="B905" s="10">
        <f t="shared" si="59"/>
        <v>0</v>
      </c>
      <c r="C905" s="12">
        <f t="shared" si="60"/>
        <v>8</v>
      </c>
      <c r="D905" s="12">
        <f t="shared" si="61"/>
        <v>8</v>
      </c>
      <c r="E905" s="20" t="s">
        <v>574</v>
      </c>
      <c r="F905" s="20" t="s">
        <v>3089</v>
      </c>
      <c r="G905" s="20" t="s">
        <v>3090</v>
      </c>
      <c r="H905" s="20" t="s">
        <v>3342</v>
      </c>
      <c r="I905" s="20">
        <v>22</v>
      </c>
      <c r="J905" s="20" t="s">
        <v>3343</v>
      </c>
      <c r="K905" s="20" t="s">
        <v>3352</v>
      </c>
      <c r="L905" s="20" t="s">
        <v>3345</v>
      </c>
      <c r="M905" s="20" t="s">
        <v>2667</v>
      </c>
      <c r="N905" s="20" t="s">
        <v>3346</v>
      </c>
      <c r="P905" s="20" t="s">
        <v>2667</v>
      </c>
      <c r="Q905" s="20" t="s">
        <v>2674</v>
      </c>
      <c r="R905" s="20" t="s">
        <v>84</v>
      </c>
      <c r="S905" s="20">
        <v>4</v>
      </c>
      <c r="T905" s="20" t="s">
        <v>635</v>
      </c>
      <c r="U905" s="20" t="s">
        <v>636</v>
      </c>
      <c r="V905" s="20" t="s">
        <v>87</v>
      </c>
      <c r="W905" s="20">
        <v>706</v>
      </c>
      <c r="X905" s="20">
        <v>706</v>
      </c>
      <c r="Y905" s="20" t="s">
        <v>3347</v>
      </c>
      <c r="Z905" s="20">
        <v>0.33333333333333331</v>
      </c>
      <c r="AA905" s="20" t="s">
        <v>3353</v>
      </c>
      <c r="AB905" s="20" t="s">
        <v>89</v>
      </c>
      <c r="AC905" s="20" t="s">
        <v>90</v>
      </c>
      <c r="AD905" s="20" t="s">
        <v>3349</v>
      </c>
      <c r="AE905" s="20" t="s">
        <v>400</v>
      </c>
      <c r="AF905" s="20">
        <v>0.33333333333333331</v>
      </c>
      <c r="AG905" s="20">
        <v>0</v>
      </c>
      <c r="AH905" s="20">
        <v>1</v>
      </c>
      <c r="AI905" s="4" t="s">
        <v>649</v>
      </c>
      <c r="AJ905" s="20">
        <v>7</v>
      </c>
      <c r="AK905" s="4" t="s">
        <v>679</v>
      </c>
      <c r="AL905" s="4">
        <v>5</v>
      </c>
      <c r="AM905" s="4" t="s">
        <v>485</v>
      </c>
      <c r="AN905" s="4" t="s">
        <v>95</v>
      </c>
      <c r="AO905" s="4" t="s">
        <v>680</v>
      </c>
      <c r="AP905" s="4">
        <v>1</v>
      </c>
      <c r="AQ905" s="20">
        <v>69000</v>
      </c>
      <c r="AR905" s="4">
        <v>41855</v>
      </c>
      <c r="AS905" s="20">
        <v>13939.393939393938</v>
      </c>
      <c r="AT905" s="20">
        <v>15584.75</v>
      </c>
      <c r="AU905" s="20">
        <v>1645.3560606060619</v>
      </c>
      <c r="AW905" s="20">
        <v>50</v>
      </c>
      <c r="AY905" s="20">
        <v>50</v>
      </c>
      <c r="AZ905" s="20">
        <v>13.45</v>
      </c>
      <c r="BB905" s="6">
        <v>41855</v>
      </c>
      <c r="BC905" s="6">
        <v>0</v>
      </c>
      <c r="BD905" s="6">
        <v>41862</v>
      </c>
      <c r="BE905" s="6">
        <v>0</v>
      </c>
      <c r="BF905" s="6">
        <v>41862</v>
      </c>
      <c r="BG905" s="6">
        <v>0</v>
      </c>
      <c r="BH905" s="6">
        <v>0</v>
      </c>
      <c r="BI905" s="6">
        <v>0</v>
      </c>
      <c r="BJ905" s="6">
        <v>0</v>
      </c>
      <c r="BK905" s="4">
        <v>0</v>
      </c>
      <c r="BL905" s="4">
        <v>0</v>
      </c>
      <c r="BM905" s="20">
        <v>7</v>
      </c>
      <c r="BN905" s="20">
        <v>0</v>
      </c>
      <c r="BO905" s="20">
        <v>0</v>
      </c>
      <c r="BP905" s="20">
        <v>0</v>
      </c>
      <c r="BQ905" s="20">
        <v>0</v>
      </c>
      <c r="BR905" s="20">
        <v>0</v>
      </c>
      <c r="BS905" s="20">
        <v>7</v>
      </c>
      <c r="BT905" s="20">
        <v>109093.25</v>
      </c>
      <c r="BU905" s="20">
        <v>483000</v>
      </c>
      <c r="BV905" s="20">
        <v>4.0249136320616445</v>
      </c>
    </row>
    <row r="906" spans="1:74">
      <c r="A906" s="10">
        <f t="shared" si="58"/>
        <v>0</v>
      </c>
      <c r="B906" s="10">
        <f t="shared" si="59"/>
        <v>0</v>
      </c>
      <c r="C906" s="12">
        <f t="shared" si="60"/>
        <v>8</v>
      </c>
      <c r="D906" s="12">
        <f t="shared" si="61"/>
        <v>8</v>
      </c>
      <c r="E906" s="20" t="s">
        <v>574</v>
      </c>
      <c r="F906" s="20" t="s">
        <v>3089</v>
      </c>
      <c r="G906" s="20" t="s">
        <v>3090</v>
      </c>
      <c r="H906" s="20" t="s">
        <v>3354</v>
      </c>
      <c r="I906" s="20">
        <v>23</v>
      </c>
      <c r="J906" s="20" t="s">
        <v>3355</v>
      </c>
      <c r="K906" s="20" t="s">
        <v>3356</v>
      </c>
      <c r="L906" s="20" t="s">
        <v>3357</v>
      </c>
      <c r="M906" s="20" t="s">
        <v>2667</v>
      </c>
      <c r="N906" s="20" t="s">
        <v>3346</v>
      </c>
      <c r="P906" s="20" t="s">
        <v>2667</v>
      </c>
      <c r="Q906" s="20" t="s">
        <v>2674</v>
      </c>
      <c r="R906" s="20" t="s">
        <v>84</v>
      </c>
      <c r="S906" s="20">
        <v>4</v>
      </c>
      <c r="T906" s="20" t="s">
        <v>635</v>
      </c>
      <c r="U906" s="20" t="s">
        <v>636</v>
      </c>
      <c r="V906" s="20" t="s">
        <v>87</v>
      </c>
      <c r="W906" s="20">
        <v>707</v>
      </c>
      <c r="X906" s="20">
        <v>707</v>
      </c>
      <c r="Y906" s="20" t="s">
        <v>3358</v>
      </c>
      <c r="Z906" s="20">
        <v>0.33333333333333331</v>
      </c>
      <c r="AA906" s="20" t="s">
        <v>3359</v>
      </c>
      <c r="AB906" s="20" t="s">
        <v>101</v>
      </c>
      <c r="AC906" s="20" t="s">
        <v>102</v>
      </c>
      <c r="AD906" s="20" t="s">
        <v>3360</v>
      </c>
      <c r="AE906" s="20" t="s">
        <v>400</v>
      </c>
      <c r="AF906" s="20">
        <v>0.33333333333333331</v>
      </c>
      <c r="AG906" s="20">
        <v>0</v>
      </c>
      <c r="AH906" s="20">
        <v>1</v>
      </c>
      <c r="AI906" s="4" t="s">
        <v>645</v>
      </c>
      <c r="AJ906" s="20">
        <v>50</v>
      </c>
      <c r="AK906" s="4" t="s">
        <v>679</v>
      </c>
      <c r="AL906" s="4">
        <v>5</v>
      </c>
      <c r="AM906" s="4" t="s">
        <v>485</v>
      </c>
      <c r="AN906" s="4" t="s">
        <v>95</v>
      </c>
      <c r="AO906" s="4" t="s">
        <v>680</v>
      </c>
      <c r="AP906" s="4">
        <v>1</v>
      </c>
      <c r="AQ906" s="20">
        <v>69000</v>
      </c>
      <c r="AR906" s="4">
        <v>41855</v>
      </c>
      <c r="AS906" s="20">
        <v>13939.393939393938</v>
      </c>
      <c r="AT906" s="20">
        <v>15584.75</v>
      </c>
      <c r="AU906" s="20">
        <v>1645.3560606060619</v>
      </c>
      <c r="AW906" s="20">
        <v>50</v>
      </c>
      <c r="AY906" s="20">
        <v>50</v>
      </c>
      <c r="AZ906" s="20">
        <v>13.45</v>
      </c>
      <c r="BB906" s="6">
        <v>41855</v>
      </c>
      <c r="BC906" s="6">
        <v>0</v>
      </c>
      <c r="BD906" s="6">
        <v>41862</v>
      </c>
      <c r="BE906" s="6">
        <v>0</v>
      </c>
      <c r="BF906" s="6">
        <v>41862</v>
      </c>
      <c r="BG906" s="6">
        <v>0</v>
      </c>
      <c r="BH906" s="6">
        <v>0</v>
      </c>
      <c r="BI906" s="6">
        <v>0</v>
      </c>
      <c r="BJ906" s="6">
        <v>0</v>
      </c>
      <c r="BK906" s="4">
        <v>0</v>
      </c>
      <c r="BL906" s="4">
        <v>0</v>
      </c>
      <c r="BM906" s="20">
        <v>50</v>
      </c>
      <c r="BN906" s="20">
        <v>0</v>
      </c>
      <c r="BO906" s="20">
        <v>0</v>
      </c>
      <c r="BP906" s="20">
        <v>0</v>
      </c>
      <c r="BQ906" s="20">
        <v>0</v>
      </c>
      <c r="BR906" s="20">
        <v>0</v>
      </c>
      <c r="BS906" s="20">
        <v>50</v>
      </c>
      <c r="BT906" s="20">
        <v>779237.5</v>
      </c>
      <c r="BU906" s="20">
        <v>3450000</v>
      </c>
      <c r="BV906" s="20">
        <v>4.0249136320616445</v>
      </c>
    </row>
    <row r="907" spans="1:74">
      <c r="A907" s="10">
        <f t="shared" si="58"/>
        <v>0</v>
      </c>
      <c r="B907" s="10">
        <f t="shared" si="59"/>
        <v>0</v>
      </c>
      <c r="C907" s="12">
        <f t="shared" si="60"/>
        <v>8</v>
      </c>
      <c r="D907" s="12">
        <f t="shared" si="61"/>
        <v>8</v>
      </c>
      <c r="E907" s="20" t="s">
        <v>574</v>
      </c>
      <c r="F907" s="20" t="s">
        <v>3089</v>
      </c>
      <c r="G907" s="20" t="s">
        <v>3090</v>
      </c>
      <c r="H907" s="20" t="s">
        <v>3354</v>
      </c>
      <c r="I907" s="20">
        <v>23</v>
      </c>
      <c r="J907" s="20" t="s">
        <v>3355</v>
      </c>
      <c r="K907" s="20" t="s">
        <v>3361</v>
      </c>
      <c r="L907" s="20" t="s">
        <v>3357</v>
      </c>
      <c r="M907" s="20" t="s">
        <v>2667</v>
      </c>
      <c r="N907" s="20" t="s">
        <v>3346</v>
      </c>
      <c r="P907" s="20" t="s">
        <v>2667</v>
      </c>
      <c r="Q907" s="20" t="s">
        <v>2674</v>
      </c>
      <c r="R907" s="20" t="s">
        <v>84</v>
      </c>
      <c r="S907" s="20">
        <v>4</v>
      </c>
      <c r="T907" s="20" t="s">
        <v>635</v>
      </c>
      <c r="U907" s="20" t="s">
        <v>636</v>
      </c>
      <c r="V907" s="20" t="s">
        <v>87</v>
      </c>
      <c r="W907" s="20">
        <v>707</v>
      </c>
      <c r="X907" s="20">
        <v>707</v>
      </c>
      <c r="Y907" s="20" t="s">
        <v>3358</v>
      </c>
      <c r="Z907" s="20">
        <v>0.33333333333333331</v>
      </c>
      <c r="AA907" s="20" t="s">
        <v>3362</v>
      </c>
      <c r="AB907" s="20" t="s">
        <v>101</v>
      </c>
      <c r="AC907" s="20" t="s">
        <v>102</v>
      </c>
      <c r="AD907" s="20" t="s">
        <v>3360</v>
      </c>
      <c r="AE907" s="20" t="s">
        <v>400</v>
      </c>
      <c r="AF907" s="20">
        <v>0.33333333333333331</v>
      </c>
      <c r="AG907" s="20">
        <v>0</v>
      </c>
      <c r="AH907" s="20">
        <v>1</v>
      </c>
      <c r="AI907" s="4" t="s">
        <v>647</v>
      </c>
      <c r="AJ907" s="20">
        <v>50</v>
      </c>
      <c r="AK907" s="4" t="s">
        <v>679</v>
      </c>
      <c r="AL907" s="4">
        <v>5</v>
      </c>
      <c r="AM907" s="4" t="s">
        <v>485</v>
      </c>
      <c r="AN907" s="4" t="s">
        <v>95</v>
      </c>
      <c r="AO907" s="4" t="s">
        <v>680</v>
      </c>
      <c r="AP907" s="4">
        <v>1</v>
      </c>
      <c r="AQ907" s="20">
        <v>69000</v>
      </c>
      <c r="AR907" s="4">
        <v>41855</v>
      </c>
      <c r="AS907" s="20">
        <v>13939.393939393938</v>
      </c>
      <c r="AT907" s="20">
        <v>15584.75</v>
      </c>
      <c r="AU907" s="20">
        <v>1645.3560606060619</v>
      </c>
      <c r="AW907" s="20">
        <v>50</v>
      </c>
      <c r="AY907" s="20">
        <v>50</v>
      </c>
      <c r="AZ907" s="20">
        <v>13.45</v>
      </c>
      <c r="BB907" s="6">
        <v>41855</v>
      </c>
      <c r="BC907" s="6">
        <v>0</v>
      </c>
      <c r="BD907" s="6">
        <v>41862</v>
      </c>
      <c r="BE907" s="6">
        <v>0</v>
      </c>
      <c r="BF907" s="6">
        <v>41862</v>
      </c>
      <c r="BG907" s="6">
        <v>0</v>
      </c>
      <c r="BH907" s="6">
        <v>0</v>
      </c>
      <c r="BI907" s="6">
        <v>0</v>
      </c>
      <c r="BJ907" s="6">
        <v>0</v>
      </c>
      <c r="BK907" s="4">
        <v>0</v>
      </c>
      <c r="BL907" s="4">
        <v>0</v>
      </c>
      <c r="BM907" s="20">
        <v>50</v>
      </c>
      <c r="BN907" s="20">
        <v>0</v>
      </c>
      <c r="BO907" s="20">
        <v>0</v>
      </c>
      <c r="BP907" s="20">
        <v>0</v>
      </c>
      <c r="BQ907" s="20">
        <v>0</v>
      </c>
      <c r="BR907" s="20">
        <v>0</v>
      </c>
      <c r="BS907" s="20">
        <v>50</v>
      </c>
      <c r="BT907" s="20">
        <v>779237.5</v>
      </c>
      <c r="BU907" s="20">
        <v>3450000</v>
      </c>
      <c r="BV907" s="20">
        <v>4.0249136320616445</v>
      </c>
    </row>
    <row r="908" spans="1:74">
      <c r="A908" s="10">
        <f t="shared" si="58"/>
        <v>0</v>
      </c>
      <c r="B908" s="10">
        <f t="shared" si="59"/>
        <v>0</v>
      </c>
      <c r="C908" s="12">
        <f t="shared" si="60"/>
        <v>8</v>
      </c>
      <c r="D908" s="12">
        <f t="shared" si="61"/>
        <v>8</v>
      </c>
      <c r="E908" s="20" t="s">
        <v>574</v>
      </c>
      <c r="F908" s="20" t="s">
        <v>3089</v>
      </c>
      <c r="G908" s="20" t="s">
        <v>3090</v>
      </c>
      <c r="H908" s="20" t="s">
        <v>3354</v>
      </c>
      <c r="I908" s="20">
        <v>23</v>
      </c>
      <c r="J908" s="20" t="s">
        <v>3355</v>
      </c>
      <c r="K908" s="20" t="s">
        <v>3363</v>
      </c>
      <c r="L908" s="20" t="s">
        <v>3357</v>
      </c>
      <c r="M908" s="20" t="s">
        <v>2667</v>
      </c>
      <c r="N908" s="20" t="s">
        <v>3346</v>
      </c>
      <c r="P908" s="20" t="s">
        <v>2667</v>
      </c>
      <c r="Q908" s="20" t="s">
        <v>2674</v>
      </c>
      <c r="R908" s="20" t="s">
        <v>84</v>
      </c>
      <c r="S908" s="20">
        <v>4</v>
      </c>
      <c r="T908" s="20" t="s">
        <v>635</v>
      </c>
      <c r="U908" s="20" t="s">
        <v>636</v>
      </c>
      <c r="V908" s="20" t="s">
        <v>87</v>
      </c>
      <c r="W908" s="20">
        <v>707</v>
      </c>
      <c r="X908" s="20">
        <v>707</v>
      </c>
      <c r="Y908" s="20" t="s">
        <v>3358</v>
      </c>
      <c r="Z908" s="20">
        <v>0.33333333333333331</v>
      </c>
      <c r="AA908" s="20" t="s">
        <v>3364</v>
      </c>
      <c r="AB908" s="20" t="s">
        <v>101</v>
      </c>
      <c r="AC908" s="20" t="s">
        <v>102</v>
      </c>
      <c r="AD908" s="20" t="s">
        <v>3360</v>
      </c>
      <c r="AE908" s="20" t="s">
        <v>400</v>
      </c>
      <c r="AF908" s="20">
        <v>0.33333333333333331</v>
      </c>
      <c r="AG908" s="20">
        <v>0</v>
      </c>
      <c r="AH908" s="20">
        <v>1</v>
      </c>
      <c r="AI908" s="4" t="s">
        <v>649</v>
      </c>
      <c r="AJ908" s="20">
        <v>26</v>
      </c>
      <c r="AK908" s="4" t="s">
        <v>679</v>
      </c>
      <c r="AL908" s="4">
        <v>5</v>
      </c>
      <c r="AM908" s="4" t="s">
        <v>485</v>
      </c>
      <c r="AN908" s="4" t="s">
        <v>95</v>
      </c>
      <c r="AO908" s="4" t="s">
        <v>680</v>
      </c>
      <c r="AP908" s="4">
        <v>1</v>
      </c>
      <c r="AQ908" s="20">
        <v>69000</v>
      </c>
      <c r="AR908" s="4">
        <v>41855</v>
      </c>
      <c r="AS908" s="20">
        <v>13939.393939393938</v>
      </c>
      <c r="AT908" s="20">
        <v>15584.75</v>
      </c>
      <c r="AU908" s="20">
        <v>1645.3560606060619</v>
      </c>
      <c r="AW908" s="20">
        <v>50</v>
      </c>
      <c r="AY908" s="20">
        <v>50</v>
      </c>
      <c r="AZ908" s="20">
        <v>13.45</v>
      </c>
      <c r="BB908" s="6">
        <v>41855</v>
      </c>
      <c r="BC908" s="6">
        <v>0</v>
      </c>
      <c r="BD908" s="6">
        <v>41862</v>
      </c>
      <c r="BE908" s="6">
        <v>0</v>
      </c>
      <c r="BF908" s="6">
        <v>41862</v>
      </c>
      <c r="BG908" s="6">
        <v>0</v>
      </c>
      <c r="BH908" s="6">
        <v>0</v>
      </c>
      <c r="BI908" s="6">
        <v>0</v>
      </c>
      <c r="BJ908" s="6">
        <v>0</v>
      </c>
      <c r="BK908" s="4">
        <v>0</v>
      </c>
      <c r="BL908" s="4">
        <v>0</v>
      </c>
      <c r="BM908" s="20">
        <v>26</v>
      </c>
      <c r="BN908" s="20">
        <v>0</v>
      </c>
      <c r="BO908" s="20">
        <v>0</v>
      </c>
      <c r="BP908" s="20">
        <v>0</v>
      </c>
      <c r="BQ908" s="20">
        <v>0</v>
      </c>
      <c r="BR908" s="20">
        <v>0</v>
      </c>
      <c r="BS908" s="20">
        <v>26</v>
      </c>
      <c r="BT908" s="20">
        <v>405203.5</v>
      </c>
      <c r="BU908" s="20">
        <v>1794000</v>
      </c>
      <c r="BV908" s="20">
        <v>4.0249136320616454</v>
      </c>
    </row>
    <row r="909" spans="1:74">
      <c r="A909" s="10">
        <f t="shared" si="58"/>
        <v>0</v>
      </c>
      <c r="B909" s="10">
        <f t="shared" si="59"/>
        <v>0</v>
      </c>
      <c r="C909" s="12">
        <f t="shared" si="60"/>
        <v>8</v>
      </c>
      <c r="D909" s="12">
        <f t="shared" si="61"/>
        <v>8</v>
      </c>
      <c r="E909" s="20" t="s">
        <v>574</v>
      </c>
      <c r="F909" s="20" t="s">
        <v>3089</v>
      </c>
      <c r="G909" s="20" t="s">
        <v>3090</v>
      </c>
      <c r="H909" s="20" t="s">
        <v>3365</v>
      </c>
      <c r="I909" s="20">
        <v>24</v>
      </c>
      <c r="J909" s="20" t="s">
        <v>3366</v>
      </c>
      <c r="K909" s="20" t="s">
        <v>3367</v>
      </c>
      <c r="L909" s="20" t="s">
        <v>3368</v>
      </c>
      <c r="M909" s="20" t="s">
        <v>2667</v>
      </c>
      <c r="N909" s="20" t="s">
        <v>3346</v>
      </c>
      <c r="P909" s="20" t="s">
        <v>2667</v>
      </c>
      <c r="Q909" s="20" t="s">
        <v>2674</v>
      </c>
      <c r="R909" s="20" t="s">
        <v>84</v>
      </c>
      <c r="S909" s="20">
        <v>4</v>
      </c>
      <c r="T909" s="20" t="s">
        <v>635</v>
      </c>
      <c r="U909" s="20" t="s">
        <v>636</v>
      </c>
      <c r="V909" s="20" t="s">
        <v>87</v>
      </c>
      <c r="W909" s="20">
        <v>708</v>
      </c>
      <c r="X909" s="20">
        <v>708</v>
      </c>
      <c r="Y909" s="20" t="s">
        <v>3369</v>
      </c>
      <c r="Z909" s="20">
        <v>0.33333333333333331</v>
      </c>
      <c r="AA909" s="20" t="s">
        <v>3370</v>
      </c>
      <c r="AB909" s="20" t="s">
        <v>718</v>
      </c>
      <c r="AC909" s="20" t="s">
        <v>719</v>
      </c>
      <c r="AD909" s="20" t="s">
        <v>3371</v>
      </c>
      <c r="AE909" s="20" t="s">
        <v>400</v>
      </c>
      <c r="AF909" s="20">
        <v>0.33333333333333331</v>
      </c>
      <c r="AG909" s="20">
        <v>0</v>
      </c>
      <c r="AH909" s="20">
        <v>1</v>
      </c>
      <c r="AI909" s="4" t="s">
        <v>645</v>
      </c>
      <c r="AJ909" s="20">
        <v>50</v>
      </c>
      <c r="AK909" s="4" t="s">
        <v>679</v>
      </c>
      <c r="AL909" s="4">
        <v>5</v>
      </c>
      <c r="AM909" s="4" t="s">
        <v>485</v>
      </c>
      <c r="AN909" s="4" t="s">
        <v>95</v>
      </c>
      <c r="AO909" s="4" t="s">
        <v>680</v>
      </c>
      <c r="AP909" s="4">
        <v>1</v>
      </c>
      <c r="AQ909" s="20">
        <v>69000</v>
      </c>
      <c r="AR909" s="4">
        <v>41855</v>
      </c>
      <c r="AS909" s="20">
        <v>13939.393939393938</v>
      </c>
      <c r="AT909" s="20">
        <v>16566.5</v>
      </c>
      <c r="AU909" s="20">
        <v>2627.1060606060619</v>
      </c>
      <c r="AW909" s="20">
        <v>50</v>
      </c>
      <c r="AY909" s="20">
        <v>50</v>
      </c>
      <c r="AZ909" s="20">
        <v>14.3</v>
      </c>
      <c r="BB909" s="6">
        <v>41855</v>
      </c>
      <c r="BC909" s="6">
        <v>0</v>
      </c>
      <c r="BD909" s="6">
        <v>41862</v>
      </c>
      <c r="BE909" s="6">
        <v>0</v>
      </c>
      <c r="BF909" s="6">
        <v>41862</v>
      </c>
      <c r="BG909" s="6">
        <v>0</v>
      </c>
      <c r="BH909" s="6">
        <v>0</v>
      </c>
      <c r="BI909" s="6">
        <v>0</v>
      </c>
      <c r="BJ909" s="6">
        <v>0</v>
      </c>
      <c r="BK909" s="4">
        <v>0</v>
      </c>
      <c r="BL909" s="4">
        <v>0</v>
      </c>
      <c r="BM909" s="20">
        <v>50</v>
      </c>
      <c r="BN909" s="20">
        <v>0</v>
      </c>
      <c r="BO909" s="20">
        <v>0</v>
      </c>
      <c r="BP909" s="20">
        <v>0</v>
      </c>
      <c r="BQ909" s="20">
        <v>0</v>
      </c>
      <c r="BR909" s="20">
        <v>0</v>
      </c>
      <c r="BS909" s="20">
        <v>50</v>
      </c>
      <c r="BT909" s="20">
        <v>828325</v>
      </c>
      <c r="BU909" s="20">
        <v>3450000</v>
      </c>
      <c r="BV909" s="20">
        <v>3.7863925830605569</v>
      </c>
    </row>
    <row r="910" spans="1:74">
      <c r="A910" s="10">
        <f t="shared" si="58"/>
        <v>0</v>
      </c>
      <c r="B910" s="10">
        <f t="shared" si="59"/>
        <v>0</v>
      </c>
      <c r="C910" s="12">
        <f t="shared" si="60"/>
        <v>8</v>
      </c>
      <c r="D910" s="12">
        <f t="shared" si="61"/>
        <v>8</v>
      </c>
      <c r="E910" s="20" t="s">
        <v>574</v>
      </c>
      <c r="F910" s="20" t="s">
        <v>3089</v>
      </c>
      <c r="G910" s="20" t="s">
        <v>3090</v>
      </c>
      <c r="H910" s="20" t="s">
        <v>3365</v>
      </c>
      <c r="I910" s="20">
        <v>24</v>
      </c>
      <c r="J910" s="20" t="s">
        <v>3366</v>
      </c>
      <c r="K910" s="20" t="s">
        <v>3372</v>
      </c>
      <c r="L910" s="20" t="s">
        <v>3368</v>
      </c>
      <c r="M910" s="20" t="s">
        <v>2667</v>
      </c>
      <c r="N910" s="20" t="s">
        <v>3346</v>
      </c>
      <c r="P910" s="20" t="s">
        <v>2667</v>
      </c>
      <c r="Q910" s="20" t="s">
        <v>2674</v>
      </c>
      <c r="R910" s="20" t="s">
        <v>84</v>
      </c>
      <c r="S910" s="20">
        <v>4</v>
      </c>
      <c r="T910" s="20" t="s">
        <v>635</v>
      </c>
      <c r="U910" s="20" t="s">
        <v>636</v>
      </c>
      <c r="V910" s="20" t="s">
        <v>87</v>
      </c>
      <c r="W910" s="20">
        <v>708</v>
      </c>
      <c r="X910" s="20">
        <v>708</v>
      </c>
      <c r="Y910" s="20" t="s">
        <v>3369</v>
      </c>
      <c r="Z910" s="20">
        <v>0.33333333333333331</v>
      </c>
      <c r="AA910" s="20" t="s">
        <v>3373</v>
      </c>
      <c r="AB910" s="20" t="s">
        <v>718</v>
      </c>
      <c r="AC910" s="20" t="s">
        <v>719</v>
      </c>
      <c r="AD910" s="20" t="s">
        <v>3371</v>
      </c>
      <c r="AE910" s="20" t="s">
        <v>400</v>
      </c>
      <c r="AF910" s="20">
        <v>0.33333333333333331</v>
      </c>
      <c r="AG910" s="20">
        <v>0</v>
      </c>
      <c r="AH910" s="20">
        <v>1</v>
      </c>
      <c r="AI910" s="4" t="s">
        <v>647</v>
      </c>
      <c r="AJ910" s="20">
        <v>50</v>
      </c>
      <c r="AK910" s="4" t="s">
        <v>679</v>
      </c>
      <c r="AL910" s="4">
        <v>5</v>
      </c>
      <c r="AM910" s="4" t="s">
        <v>485</v>
      </c>
      <c r="AN910" s="4" t="s">
        <v>95</v>
      </c>
      <c r="AO910" s="4" t="s">
        <v>680</v>
      </c>
      <c r="AP910" s="4">
        <v>1</v>
      </c>
      <c r="AQ910" s="20">
        <v>69000</v>
      </c>
      <c r="AR910" s="4">
        <v>41855</v>
      </c>
      <c r="AS910" s="20">
        <v>13939.393939393938</v>
      </c>
      <c r="AT910" s="20">
        <v>16566.5</v>
      </c>
      <c r="AU910" s="20">
        <v>2627.1060606060619</v>
      </c>
      <c r="AW910" s="20">
        <v>50</v>
      </c>
      <c r="AY910" s="20">
        <v>50</v>
      </c>
      <c r="AZ910" s="20">
        <v>14.3</v>
      </c>
      <c r="BB910" s="6">
        <v>41855</v>
      </c>
      <c r="BC910" s="6">
        <v>0</v>
      </c>
      <c r="BD910" s="6">
        <v>41862</v>
      </c>
      <c r="BE910" s="6">
        <v>0</v>
      </c>
      <c r="BF910" s="6">
        <v>41862</v>
      </c>
      <c r="BG910" s="6">
        <v>0</v>
      </c>
      <c r="BH910" s="6">
        <v>0</v>
      </c>
      <c r="BI910" s="6">
        <v>0</v>
      </c>
      <c r="BJ910" s="6">
        <v>0</v>
      </c>
      <c r="BK910" s="4">
        <v>0</v>
      </c>
      <c r="BL910" s="4">
        <v>0</v>
      </c>
      <c r="BM910" s="20">
        <v>50</v>
      </c>
      <c r="BN910" s="20">
        <v>0</v>
      </c>
      <c r="BO910" s="20">
        <v>0</v>
      </c>
      <c r="BP910" s="20">
        <v>0</v>
      </c>
      <c r="BQ910" s="20">
        <v>0</v>
      </c>
      <c r="BR910" s="20">
        <v>0</v>
      </c>
      <c r="BS910" s="20">
        <v>50</v>
      </c>
      <c r="BT910" s="20">
        <v>828325</v>
      </c>
      <c r="BU910" s="20">
        <v>3450000</v>
      </c>
      <c r="BV910" s="20">
        <v>3.7863925830605569</v>
      </c>
    </row>
    <row r="911" spans="1:74">
      <c r="A911" s="10">
        <f t="shared" si="58"/>
        <v>0</v>
      </c>
      <c r="B911" s="10">
        <f t="shared" si="59"/>
        <v>0</v>
      </c>
      <c r="C911" s="12">
        <f t="shared" si="60"/>
        <v>8</v>
      </c>
      <c r="D911" s="12">
        <f t="shared" si="61"/>
        <v>8</v>
      </c>
      <c r="E911" s="20" t="s">
        <v>574</v>
      </c>
      <c r="F911" s="20" t="s">
        <v>3089</v>
      </c>
      <c r="G911" s="20" t="s">
        <v>3090</v>
      </c>
      <c r="H911" s="20" t="s">
        <v>3365</v>
      </c>
      <c r="I911" s="20">
        <v>24</v>
      </c>
      <c r="J911" s="20" t="s">
        <v>3366</v>
      </c>
      <c r="K911" s="20" t="s">
        <v>3374</v>
      </c>
      <c r="L911" s="20" t="s">
        <v>3368</v>
      </c>
      <c r="M911" s="20" t="s">
        <v>2667</v>
      </c>
      <c r="N911" s="20" t="s">
        <v>3346</v>
      </c>
      <c r="P911" s="20" t="s">
        <v>2667</v>
      </c>
      <c r="Q911" s="20" t="s">
        <v>2674</v>
      </c>
      <c r="R911" s="20" t="s">
        <v>84</v>
      </c>
      <c r="S911" s="20">
        <v>4</v>
      </c>
      <c r="T911" s="20" t="s">
        <v>635</v>
      </c>
      <c r="U911" s="20" t="s">
        <v>636</v>
      </c>
      <c r="V911" s="20" t="s">
        <v>87</v>
      </c>
      <c r="W911" s="20">
        <v>708</v>
      </c>
      <c r="X911" s="20">
        <v>708</v>
      </c>
      <c r="Y911" s="20" t="s">
        <v>3369</v>
      </c>
      <c r="Z911" s="20">
        <v>0.33333333333333331</v>
      </c>
      <c r="AA911" s="20" t="s">
        <v>3375</v>
      </c>
      <c r="AB911" s="20" t="s">
        <v>718</v>
      </c>
      <c r="AC911" s="20" t="s">
        <v>719</v>
      </c>
      <c r="AD911" s="20" t="s">
        <v>3371</v>
      </c>
      <c r="AE911" s="20" t="s">
        <v>400</v>
      </c>
      <c r="AF911" s="20">
        <v>0.33333333333333331</v>
      </c>
      <c r="AG911" s="20">
        <v>0</v>
      </c>
      <c r="AH911" s="20">
        <v>1</v>
      </c>
      <c r="AI911" s="4" t="s">
        <v>649</v>
      </c>
      <c r="AJ911" s="20">
        <v>7</v>
      </c>
      <c r="AK911" s="4" t="s">
        <v>679</v>
      </c>
      <c r="AL911" s="4">
        <v>5</v>
      </c>
      <c r="AM911" s="4" t="s">
        <v>485</v>
      </c>
      <c r="AN911" s="4" t="s">
        <v>95</v>
      </c>
      <c r="AO911" s="4" t="s">
        <v>680</v>
      </c>
      <c r="AP911" s="4">
        <v>1</v>
      </c>
      <c r="AQ911" s="20">
        <v>69000</v>
      </c>
      <c r="AR911" s="4">
        <v>41855</v>
      </c>
      <c r="AS911" s="20">
        <v>13939.393939393938</v>
      </c>
      <c r="AT911" s="20">
        <v>16566.5</v>
      </c>
      <c r="AU911" s="20">
        <v>2627.1060606060619</v>
      </c>
      <c r="AW911" s="20">
        <v>50</v>
      </c>
      <c r="AY911" s="20">
        <v>50</v>
      </c>
      <c r="AZ911" s="20">
        <v>14.3</v>
      </c>
      <c r="BB911" s="6">
        <v>41855</v>
      </c>
      <c r="BC911" s="6">
        <v>0</v>
      </c>
      <c r="BD911" s="6">
        <v>41862</v>
      </c>
      <c r="BE911" s="6">
        <v>0</v>
      </c>
      <c r="BF911" s="6">
        <v>41862</v>
      </c>
      <c r="BG911" s="6">
        <v>0</v>
      </c>
      <c r="BH911" s="6">
        <v>0</v>
      </c>
      <c r="BI911" s="6">
        <v>0</v>
      </c>
      <c r="BJ911" s="6">
        <v>0</v>
      </c>
      <c r="BK911" s="4">
        <v>0</v>
      </c>
      <c r="BL911" s="4">
        <v>0</v>
      </c>
      <c r="BM911" s="20">
        <v>7</v>
      </c>
      <c r="BN911" s="20">
        <v>0</v>
      </c>
      <c r="BO911" s="20">
        <v>0</v>
      </c>
      <c r="BP911" s="20">
        <v>0</v>
      </c>
      <c r="BQ911" s="20">
        <v>0</v>
      </c>
      <c r="BR911" s="20">
        <v>0</v>
      </c>
      <c r="BS911" s="20">
        <v>7</v>
      </c>
      <c r="BT911" s="20">
        <v>115965.5</v>
      </c>
      <c r="BU911" s="20">
        <v>483000</v>
      </c>
      <c r="BV911" s="20">
        <v>3.7863925830605569</v>
      </c>
    </row>
    <row r="912" spans="1:74">
      <c r="A912" s="10">
        <f t="shared" si="58"/>
        <v>0</v>
      </c>
      <c r="B912" s="10">
        <f t="shared" si="59"/>
        <v>0</v>
      </c>
      <c r="C912" s="12">
        <f t="shared" si="60"/>
        <v>8</v>
      </c>
      <c r="D912" s="12">
        <f t="shared" si="61"/>
        <v>8</v>
      </c>
      <c r="E912" s="20" t="s">
        <v>574</v>
      </c>
      <c r="F912" s="20" t="s">
        <v>3089</v>
      </c>
      <c r="G912" s="20" t="s">
        <v>3090</v>
      </c>
      <c r="H912" s="20" t="s">
        <v>3376</v>
      </c>
      <c r="I912" s="20">
        <v>25</v>
      </c>
      <c r="J912" s="20" t="s">
        <v>3377</v>
      </c>
      <c r="K912" s="20" t="s">
        <v>3378</v>
      </c>
      <c r="L912" s="20" t="s">
        <v>3379</v>
      </c>
      <c r="M912" s="20" t="s">
        <v>2667</v>
      </c>
      <c r="N912" s="20" t="s">
        <v>3346</v>
      </c>
      <c r="P912" s="20" t="s">
        <v>2667</v>
      </c>
      <c r="Q912" s="20" t="s">
        <v>2674</v>
      </c>
      <c r="R912" s="20" t="s">
        <v>84</v>
      </c>
      <c r="S912" s="20">
        <v>4</v>
      </c>
      <c r="T912" s="20" t="s">
        <v>635</v>
      </c>
      <c r="U912" s="20" t="s">
        <v>636</v>
      </c>
      <c r="V912" s="20" t="s">
        <v>87</v>
      </c>
      <c r="W912" s="20">
        <v>722</v>
      </c>
      <c r="X912" s="20">
        <v>722</v>
      </c>
      <c r="Y912" s="20" t="s">
        <v>3380</v>
      </c>
      <c r="Z912" s="20">
        <v>0.33333333333333331</v>
      </c>
      <c r="AA912" s="20" t="s">
        <v>3381</v>
      </c>
      <c r="AB912" s="20" t="s">
        <v>457</v>
      </c>
      <c r="AC912" s="20" t="s">
        <v>458</v>
      </c>
      <c r="AD912" s="20" t="s">
        <v>3382</v>
      </c>
      <c r="AE912" s="20" t="s">
        <v>400</v>
      </c>
      <c r="AF912" s="20">
        <v>0.33333333333333331</v>
      </c>
      <c r="AG912" s="20">
        <v>0</v>
      </c>
      <c r="AH912" s="20">
        <v>1</v>
      </c>
      <c r="AI912" s="4" t="s">
        <v>645</v>
      </c>
      <c r="AJ912" s="20">
        <v>9</v>
      </c>
      <c r="AK912" s="4" t="s">
        <v>679</v>
      </c>
      <c r="AL912" s="4">
        <v>5</v>
      </c>
      <c r="AM912" s="4" t="s">
        <v>485</v>
      </c>
      <c r="AN912" s="4" t="s">
        <v>95</v>
      </c>
      <c r="AO912" s="4" t="s">
        <v>680</v>
      </c>
      <c r="AP912" s="4">
        <v>1</v>
      </c>
      <c r="AQ912" s="20">
        <v>79000</v>
      </c>
      <c r="AR912" s="4">
        <v>41855</v>
      </c>
      <c r="AS912" s="20">
        <v>15959.595959595958</v>
      </c>
      <c r="AT912" s="20">
        <v>18356.750000000004</v>
      </c>
      <c r="AU912" s="20">
        <v>2397.1540404040461</v>
      </c>
      <c r="AW912" s="20">
        <v>50</v>
      </c>
      <c r="AY912" s="20">
        <v>50</v>
      </c>
      <c r="AZ912" s="20">
        <v>15.85</v>
      </c>
      <c r="BB912" s="6">
        <v>41855</v>
      </c>
      <c r="BC912" s="6">
        <v>0</v>
      </c>
      <c r="BD912" s="6">
        <v>41862</v>
      </c>
      <c r="BE912" s="6">
        <v>0</v>
      </c>
      <c r="BF912" s="6">
        <v>41862</v>
      </c>
      <c r="BG912" s="6">
        <v>0</v>
      </c>
      <c r="BH912" s="6">
        <v>0</v>
      </c>
      <c r="BI912" s="6">
        <v>0</v>
      </c>
      <c r="BJ912" s="6">
        <v>0</v>
      </c>
      <c r="BK912" s="4">
        <v>0</v>
      </c>
      <c r="BL912" s="4">
        <v>0</v>
      </c>
      <c r="BM912" s="20">
        <v>9</v>
      </c>
      <c r="BN912" s="20">
        <v>0</v>
      </c>
      <c r="BO912" s="20">
        <v>0</v>
      </c>
      <c r="BP912" s="20">
        <v>0</v>
      </c>
      <c r="BQ912" s="20">
        <v>0</v>
      </c>
      <c r="BR912" s="20">
        <v>0</v>
      </c>
      <c r="BS912" s="20">
        <v>9</v>
      </c>
      <c r="BT912" s="20">
        <v>165210.75000000003</v>
      </c>
      <c r="BU912" s="20">
        <v>711000</v>
      </c>
      <c r="BV912" s="20">
        <v>3.912358223442701</v>
      </c>
    </row>
    <row r="913" spans="1:74">
      <c r="A913" s="10">
        <f t="shared" si="58"/>
        <v>0</v>
      </c>
      <c r="B913" s="10">
        <f t="shared" si="59"/>
        <v>0</v>
      </c>
      <c r="C913" s="12">
        <f t="shared" si="60"/>
        <v>8</v>
      </c>
      <c r="D913" s="12">
        <f t="shared" si="61"/>
        <v>8</v>
      </c>
      <c r="E913" s="20" t="s">
        <v>574</v>
      </c>
      <c r="F913" s="20" t="s">
        <v>3089</v>
      </c>
      <c r="G913" s="20" t="s">
        <v>3090</v>
      </c>
      <c r="H913" s="20" t="s">
        <v>3376</v>
      </c>
      <c r="I913" s="20">
        <v>25</v>
      </c>
      <c r="J913" s="20" t="s">
        <v>3377</v>
      </c>
      <c r="K913" s="20" t="s">
        <v>3383</v>
      </c>
      <c r="L913" s="20" t="s">
        <v>3379</v>
      </c>
      <c r="M913" s="20" t="s">
        <v>2667</v>
      </c>
      <c r="N913" s="20" t="s">
        <v>3346</v>
      </c>
      <c r="P913" s="20" t="s">
        <v>2667</v>
      </c>
      <c r="Q913" s="20" t="s">
        <v>2674</v>
      </c>
      <c r="R913" s="20" t="s">
        <v>84</v>
      </c>
      <c r="S913" s="20">
        <v>4</v>
      </c>
      <c r="T913" s="20" t="s">
        <v>635</v>
      </c>
      <c r="U913" s="20" t="s">
        <v>636</v>
      </c>
      <c r="V913" s="20" t="s">
        <v>87</v>
      </c>
      <c r="W913" s="20">
        <v>722</v>
      </c>
      <c r="X913" s="20">
        <v>722</v>
      </c>
      <c r="Y913" s="20" t="s">
        <v>3380</v>
      </c>
      <c r="Z913" s="20">
        <v>0.33333333333333331</v>
      </c>
      <c r="AA913" s="20" t="s">
        <v>3384</v>
      </c>
      <c r="AB913" s="20" t="s">
        <v>457</v>
      </c>
      <c r="AC913" s="20" t="s">
        <v>458</v>
      </c>
      <c r="AD913" s="20" t="s">
        <v>3382</v>
      </c>
      <c r="AE913" s="20" t="s">
        <v>400</v>
      </c>
      <c r="AF913" s="20">
        <v>0.33333333333333331</v>
      </c>
      <c r="AG913" s="20">
        <v>0</v>
      </c>
      <c r="AH913" s="20">
        <v>1</v>
      </c>
      <c r="AI913" s="4" t="s">
        <v>647</v>
      </c>
      <c r="AJ913" s="20">
        <v>14</v>
      </c>
      <c r="AK913" s="4" t="s">
        <v>679</v>
      </c>
      <c r="AL913" s="4">
        <v>5</v>
      </c>
      <c r="AM913" s="4" t="s">
        <v>485</v>
      </c>
      <c r="AN913" s="4" t="s">
        <v>95</v>
      </c>
      <c r="AO913" s="4" t="s">
        <v>680</v>
      </c>
      <c r="AP913" s="4">
        <v>1</v>
      </c>
      <c r="AQ913" s="20">
        <v>79000</v>
      </c>
      <c r="AR913" s="4">
        <v>41855</v>
      </c>
      <c r="AS913" s="20">
        <v>15959.595959595958</v>
      </c>
      <c r="AT913" s="20">
        <v>18356.750000000004</v>
      </c>
      <c r="AU913" s="20">
        <v>2397.1540404040461</v>
      </c>
      <c r="AW913" s="20">
        <v>50</v>
      </c>
      <c r="AY913" s="20">
        <v>50</v>
      </c>
      <c r="AZ913" s="20">
        <v>15.85</v>
      </c>
      <c r="BB913" s="6">
        <v>41855</v>
      </c>
      <c r="BC913" s="6">
        <v>0</v>
      </c>
      <c r="BD913" s="6">
        <v>41862</v>
      </c>
      <c r="BE913" s="6">
        <v>0</v>
      </c>
      <c r="BF913" s="6">
        <v>41862</v>
      </c>
      <c r="BG913" s="6">
        <v>0</v>
      </c>
      <c r="BH913" s="6">
        <v>0</v>
      </c>
      <c r="BI913" s="6">
        <v>0</v>
      </c>
      <c r="BJ913" s="6">
        <v>0</v>
      </c>
      <c r="BK913" s="4">
        <v>0</v>
      </c>
      <c r="BL913" s="4">
        <v>0</v>
      </c>
      <c r="BM913" s="20">
        <v>14</v>
      </c>
      <c r="BN913" s="20">
        <v>0</v>
      </c>
      <c r="BO913" s="20">
        <v>0</v>
      </c>
      <c r="BP913" s="20">
        <v>0</v>
      </c>
      <c r="BQ913" s="20">
        <v>0</v>
      </c>
      <c r="BR913" s="20">
        <v>0</v>
      </c>
      <c r="BS913" s="20">
        <v>14</v>
      </c>
      <c r="BT913" s="20">
        <v>256994.50000000006</v>
      </c>
      <c r="BU913" s="20">
        <v>1106000</v>
      </c>
      <c r="BV913" s="20">
        <v>3.912358223442701</v>
      </c>
    </row>
    <row r="914" spans="1:74">
      <c r="A914" s="10">
        <f t="shared" si="58"/>
        <v>0</v>
      </c>
      <c r="B914" s="10">
        <f t="shared" si="59"/>
        <v>0</v>
      </c>
      <c r="C914" s="12">
        <f t="shared" si="60"/>
        <v>8</v>
      </c>
      <c r="D914" s="12">
        <f t="shared" si="61"/>
        <v>8</v>
      </c>
      <c r="E914" s="20" t="s">
        <v>574</v>
      </c>
      <c r="F914" s="20" t="s">
        <v>3089</v>
      </c>
      <c r="G914" s="20" t="s">
        <v>3090</v>
      </c>
      <c r="H914" s="20" t="s">
        <v>3376</v>
      </c>
      <c r="I914" s="20">
        <v>25</v>
      </c>
      <c r="J914" s="20" t="s">
        <v>3377</v>
      </c>
      <c r="K914" s="20" t="s">
        <v>3385</v>
      </c>
      <c r="L914" s="20" t="s">
        <v>3379</v>
      </c>
      <c r="M914" s="20" t="s">
        <v>2667</v>
      </c>
      <c r="N914" s="20" t="s">
        <v>3346</v>
      </c>
      <c r="P914" s="20" t="s">
        <v>2667</v>
      </c>
      <c r="Q914" s="20" t="s">
        <v>2674</v>
      </c>
      <c r="R914" s="20" t="s">
        <v>84</v>
      </c>
      <c r="S914" s="20">
        <v>4</v>
      </c>
      <c r="T914" s="20" t="s">
        <v>635</v>
      </c>
      <c r="U914" s="20" t="s">
        <v>636</v>
      </c>
      <c r="V914" s="20" t="s">
        <v>87</v>
      </c>
      <c r="W914" s="20">
        <v>722</v>
      </c>
      <c r="X914" s="20">
        <v>722</v>
      </c>
      <c r="Y914" s="20" t="s">
        <v>3380</v>
      </c>
      <c r="Z914" s="20">
        <v>0.33333333333333331</v>
      </c>
      <c r="AA914" s="20" t="s">
        <v>3386</v>
      </c>
      <c r="AB914" s="20" t="s">
        <v>457</v>
      </c>
      <c r="AC914" s="20" t="s">
        <v>458</v>
      </c>
      <c r="AD914" s="20" t="s">
        <v>3382</v>
      </c>
      <c r="AE914" s="20" t="s">
        <v>400</v>
      </c>
      <c r="AF914" s="20">
        <v>0.33333333333333331</v>
      </c>
      <c r="AG914" s="20">
        <v>0</v>
      </c>
      <c r="AH914" s="20">
        <v>1</v>
      </c>
      <c r="AI914" s="4" t="s">
        <v>649</v>
      </c>
      <c r="AJ914" s="20">
        <v>5</v>
      </c>
      <c r="AK914" s="4" t="s">
        <v>679</v>
      </c>
      <c r="AL914" s="4">
        <v>5</v>
      </c>
      <c r="AM914" s="4" t="s">
        <v>485</v>
      </c>
      <c r="AN914" s="4" t="s">
        <v>95</v>
      </c>
      <c r="AO914" s="4" t="s">
        <v>680</v>
      </c>
      <c r="AP914" s="4">
        <v>1</v>
      </c>
      <c r="AQ914" s="20">
        <v>79000</v>
      </c>
      <c r="AR914" s="4">
        <v>41855</v>
      </c>
      <c r="AS914" s="20">
        <v>15959.595959595958</v>
      </c>
      <c r="AT914" s="20">
        <v>18356.750000000004</v>
      </c>
      <c r="AU914" s="20">
        <v>2397.1540404040461</v>
      </c>
      <c r="AW914" s="20">
        <v>50</v>
      </c>
      <c r="AY914" s="20">
        <v>50</v>
      </c>
      <c r="AZ914" s="20">
        <v>15.85</v>
      </c>
      <c r="BB914" s="6">
        <v>41855</v>
      </c>
      <c r="BC914" s="6">
        <v>0</v>
      </c>
      <c r="BD914" s="6">
        <v>41862</v>
      </c>
      <c r="BE914" s="6">
        <v>0</v>
      </c>
      <c r="BF914" s="6">
        <v>41862</v>
      </c>
      <c r="BG914" s="6">
        <v>0</v>
      </c>
      <c r="BH914" s="6">
        <v>0</v>
      </c>
      <c r="BI914" s="6">
        <v>0</v>
      </c>
      <c r="BJ914" s="6">
        <v>0</v>
      </c>
      <c r="BK914" s="4">
        <v>0</v>
      </c>
      <c r="BL914" s="4">
        <v>0</v>
      </c>
      <c r="BM914" s="20">
        <v>5</v>
      </c>
      <c r="BN914" s="20">
        <v>0</v>
      </c>
      <c r="BO914" s="20">
        <v>0</v>
      </c>
      <c r="BP914" s="20">
        <v>0</v>
      </c>
      <c r="BQ914" s="20">
        <v>0</v>
      </c>
      <c r="BR914" s="20">
        <v>0</v>
      </c>
      <c r="BS914" s="20">
        <v>5</v>
      </c>
      <c r="BT914" s="20">
        <v>91783.750000000015</v>
      </c>
      <c r="BU914" s="20">
        <v>395000</v>
      </c>
      <c r="BV914" s="20">
        <v>3.9123582234427006</v>
      </c>
    </row>
    <row r="915" spans="1:74">
      <c r="A915" s="10">
        <f t="shared" si="58"/>
        <v>0</v>
      </c>
      <c r="B915" s="10">
        <f t="shared" si="59"/>
        <v>0</v>
      </c>
      <c r="C915" s="12">
        <f t="shared" si="60"/>
        <v>8</v>
      </c>
      <c r="D915" s="12">
        <f t="shared" si="61"/>
        <v>8</v>
      </c>
      <c r="E915" s="20" t="s">
        <v>574</v>
      </c>
      <c r="F915" s="20" t="s">
        <v>3089</v>
      </c>
      <c r="G915" s="20" t="s">
        <v>3090</v>
      </c>
      <c r="H915" s="20" t="s">
        <v>3387</v>
      </c>
      <c r="I915" s="20">
        <v>26</v>
      </c>
      <c r="J915" s="20" t="s">
        <v>3388</v>
      </c>
      <c r="K915" s="20" t="s">
        <v>3389</v>
      </c>
      <c r="L915" s="20" t="s">
        <v>3390</v>
      </c>
      <c r="M915" s="20" t="s">
        <v>2667</v>
      </c>
      <c r="N915" s="20" t="s">
        <v>3346</v>
      </c>
      <c r="P915" s="20" t="s">
        <v>2667</v>
      </c>
      <c r="Q915" s="20" t="s">
        <v>2674</v>
      </c>
      <c r="R915" s="20" t="s">
        <v>84</v>
      </c>
      <c r="S915" s="20">
        <v>4</v>
      </c>
      <c r="T915" s="20" t="s">
        <v>635</v>
      </c>
      <c r="U915" s="20" t="s">
        <v>636</v>
      </c>
      <c r="V915" s="20" t="s">
        <v>87</v>
      </c>
      <c r="W915" s="20">
        <v>723</v>
      </c>
      <c r="X915" s="20">
        <v>723</v>
      </c>
      <c r="Y915" s="20" t="s">
        <v>3391</v>
      </c>
      <c r="Z915" s="20">
        <v>0.33333333333333331</v>
      </c>
      <c r="AA915" s="20" t="s">
        <v>3392</v>
      </c>
      <c r="AB915" s="20" t="s">
        <v>248</v>
      </c>
      <c r="AC915" s="20" t="s">
        <v>249</v>
      </c>
      <c r="AD915" s="20" t="s">
        <v>3393</v>
      </c>
      <c r="AE915" s="20" t="s">
        <v>400</v>
      </c>
      <c r="AF915" s="20">
        <v>0.33333333333333331</v>
      </c>
      <c r="AG915" s="20">
        <v>0</v>
      </c>
      <c r="AH915" s="20">
        <v>1</v>
      </c>
      <c r="AI915" s="4" t="s">
        <v>645</v>
      </c>
      <c r="AJ915" s="20">
        <v>49</v>
      </c>
      <c r="AK915" s="4" t="s">
        <v>679</v>
      </c>
      <c r="AL915" s="4">
        <v>5</v>
      </c>
      <c r="AM915" s="4" t="s">
        <v>485</v>
      </c>
      <c r="AN915" s="4" t="s">
        <v>95</v>
      </c>
      <c r="AO915" s="4" t="s">
        <v>680</v>
      </c>
      <c r="AP915" s="4">
        <v>1</v>
      </c>
      <c r="AQ915" s="20">
        <v>79000</v>
      </c>
      <c r="AR915" s="4">
        <v>41855</v>
      </c>
      <c r="AS915" s="20">
        <v>15959.595959595958</v>
      </c>
      <c r="AT915" s="20">
        <v>18356.750000000004</v>
      </c>
      <c r="AU915" s="20">
        <v>2397.1540404040461</v>
      </c>
      <c r="AW915" s="20">
        <v>50</v>
      </c>
      <c r="AY915" s="20">
        <v>50</v>
      </c>
      <c r="AZ915" s="20">
        <v>15.85</v>
      </c>
      <c r="BB915" s="6">
        <v>41855</v>
      </c>
      <c r="BC915" s="6">
        <v>0</v>
      </c>
      <c r="BD915" s="6">
        <v>41862</v>
      </c>
      <c r="BE915" s="6">
        <v>0</v>
      </c>
      <c r="BF915" s="6">
        <v>41862</v>
      </c>
      <c r="BG915" s="6">
        <v>41961</v>
      </c>
      <c r="BH915" s="6">
        <v>0</v>
      </c>
      <c r="BI915" s="6">
        <v>0</v>
      </c>
      <c r="BJ915" s="6">
        <v>0</v>
      </c>
      <c r="BK915" s="4">
        <v>0</v>
      </c>
      <c r="BL915" s="4">
        <v>0</v>
      </c>
      <c r="BM915" s="20">
        <v>49</v>
      </c>
      <c r="BN915" s="20">
        <v>1</v>
      </c>
      <c r="BO915" s="20">
        <v>0</v>
      </c>
      <c r="BP915" s="20">
        <v>0</v>
      </c>
      <c r="BQ915" s="20">
        <v>0</v>
      </c>
      <c r="BR915" s="20">
        <v>0</v>
      </c>
      <c r="BS915" s="20">
        <v>49</v>
      </c>
      <c r="BT915" s="20">
        <v>899480.75000000023</v>
      </c>
      <c r="BU915" s="20">
        <v>3871000</v>
      </c>
      <c r="BV915" s="20">
        <v>3.9123582234427006</v>
      </c>
    </row>
    <row r="916" spans="1:74">
      <c r="A916" s="10">
        <f t="shared" si="58"/>
        <v>0</v>
      </c>
      <c r="B916" s="10">
        <f t="shared" si="59"/>
        <v>0</v>
      </c>
      <c r="C916" s="12">
        <f t="shared" si="60"/>
        <v>8</v>
      </c>
      <c r="D916" s="12">
        <f t="shared" si="61"/>
        <v>8</v>
      </c>
      <c r="E916" s="20" t="s">
        <v>574</v>
      </c>
      <c r="F916" s="20" t="s">
        <v>3089</v>
      </c>
      <c r="G916" s="20" t="s">
        <v>3090</v>
      </c>
      <c r="H916" s="20" t="s">
        <v>3387</v>
      </c>
      <c r="I916" s="20">
        <v>26</v>
      </c>
      <c r="J916" s="20" t="s">
        <v>3388</v>
      </c>
      <c r="K916" s="20" t="s">
        <v>3394</v>
      </c>
      <c r="L916" s="20" t="s">
        <v>3390</v>
      </c>
      <c r="M916" s="20" t="s">
        <v>2667</v>
      </c>
      <c r="N916" s="20" t="s">
        <v>3346</v>
      </c>
      <c r="P916" s="20" t="s">
        <v>2667</v>
      </c>
      <c r="Q916" s="20" t="s">
        <v>2674</v>
      </c>
      <c r="R916" s="20" t="s">
        <v>84</v>
      </c>
      <c r="S916" s="20">
        <v>4</v>
      </c>
      <c r="T916" s="20" t="s">
        <v>635</v>
      </c>
      <c r="U916" s="20" t="s">
        <v>636</v>
      </c>
      <c r="V916" s="20" t="s">
        <v>87</v>
      </c>
      <c r="W916" s="20">
        <v>723</v>
      </c>
      <c r="X916" s="20">
        <v>723</v>
      </c>
      <c r="Y916" s="20" t="s">
        <v>3391</v>
      </c>
      <c r="Z916" s="20">
        <v>0.33333333333333331</v>
      </c>
      <c r="AA916" s="20" t="s">
        <v>3395</v>
      </c>
      <c r="AB916" s="20" t="s">
        <v>248</v>
      </c>
      <c r="AC916" s="20" t="s">
        <v>249</v>
      </c>
      <c r="AD916" s="20" t="s">
        <v>3393</v>
      </c>
      <c r="AE916" s="20" t="s">
        <v>400</v>
      </c>
      <c r="AF916" s="20">
        <v>0.33333333333333331</v>
      </c>
      <c r="AG916" s="20">
        <v>0</v>
      </c>
      <c r="AH916" s="20">
        <v>1</v>
      </c>
      <c r="AI916" s="4" t="s">
        <v>647</v>
      </c>
      <c r="AJ916" s="20">
        <v>50</v>
      </c>
      <c r="AK916" s="4" t="s">
        <v>679</v>
      </c>
      <c r="AL916" s="4">
        <v>5</v>
      </c>
      <c r="AM916" s="4" t="s">
        <v>485</v>
      </c>
      <c r="AN916" s="4" t="s">
        <v>95</v>
      </c>
      <c r="AO916" s="4" t="s">
        <v>680</v>
      </c>
      <c r="AP916" s="4">
        <v>1</v>
      </c>
      <c r="AQ916" s="20">
        <v>79000</v>
      </c>
      <c r="AR916" s="4">
        <v>41855</v>
      </c>
      <c r="AS916" s="20">
        <v>15959.595959595958</v>
      </c>
      <c r="AT916" s="20">
        <v>18356.750000000004</v>
      </c>
      <c r="AU916" s="20">
        <v>2397.1540404040461</v>
      </c>
      <c r="AW916" s="20">
        <v>50</v>
      </c>
      <c r="AY916" s="20">
        <v>50</v>
      </c>
      <c r="AZ916" s="20">
        <v>15.85</v>
      </c>
      <c r="BB916" s="6">
        <v>41855</v>
      </c>
      <c r="BC916" s="6">
        <v>0</v>
      </c>
      <c r="BD916" s="6">
        <v>41862</v>
      </c>
      <c r="BE916" s="6">
        <v>0</v>
      </c>
      <c r="BF916" s="6">
        <v>41862</v>
      </c>
      <c r="BG916" s="6">
        <v>41961</v>
      </c>
      <c r="BH916" s="6">
        <v>0</v>
      </c>
      <c r="BI916" s="6">
        <v>0</v>
      </c>
      <c r="BJ916" s="6">
        <v>0</v>
      </c>
      <c r="BK916" s="4">
        <v>0</v>
      </c>
      <c r="BL916" s="4">
        <v>0</v>
      </c>
      <c r="BM916" s="20">
        <v>50</v>
      </c>
      <c r="BN916" s="20">
        <v>0</v>
      </c>
      <c r="BO916" s="20">
        <v>0</v>
      </c>
      <c r="BP916" s="20">
        <v>0</v>
      </c>
      <c r="BQ916" s="20">
        <v>0</v>
      </c>
      <c r="BR916" s="20">
        <v>0</v>
      </c>
      <c r="BS916" s="20">
        <v>50</v>
      </c>
      <c r="BT916" s="20">
        <v>917837.50000000023</v>
      </c>
      <c r="BU916" s="20">
        <v>3950000</v>
      </c>
      <c r="BV916" s="20">
        <v>3.9123582234427006</v>
      </c>
    </row>
    <row r="917" spans="1:74">
      <c r="A917" s="10">
        <f t="shared" si="58"/>
        <v>0</v>
      </c>
      <c r="B917" s="10">
        <f t="shared" si="59"/>
        <v>0</v>
      </c>
      <c r="C917" s="12">
        <f t="shared" si="60"/>
        <v>8</v>
      </c>
      <c r="D917" s="12">
        <f t="shared" si="61"/>
        <v>8</v>
      </c>
      <c r="E917" s="20" t="s">
        <v>574</v>
      </c>
      <c r="F917" s="20" t="s">
        <v>3089</v>
      </c>
      <c r="G917" s="20" t="s">
        <v>3090</v>
      </c>
      <c r="H917" s="20" t="s">
        <v>3387</v>
      </c>
      <c r="I917" s="20">
        <v>26</v>
      </c>
      <c r="J917" s="20" t="s">
        <v>3388</v>
      </c>
      <c r="K917" s="20" t="s">
        <v>3396</v>
      </c>
      <c r="L917" s="20" t="s">
        <v>3390</v>
      </c>
      <c r="M917" s="20" t="s">
        <v>2667</v>
      </c>
      <c r="N917" s="20" t="s">
        <v>3346</v>
      </c>
      <c r="P917" s="20" t="s">
        <v>2667</v>
      </c>
      <c r="Q917" s="20" t="s">
        <v>2674</v>
      </c>
      <c r="R917" s="20" t="s">
        <v>84</v>
      </c>
      <c r="S917" s="20">
        <v>4</v>
      </c>
      <c r="T917" s="20" t="s">
        <v>635</v>
      </c>
      <c r="U917" s="20" t="s">
        <v>636</v>
      </c>
      <c r="V917" s="20" t="s">
        <v>87</v>
      </c>
      <c r="W917" s="20">
        <v>723</v>
      </c>
      <c r="X917" s="20">
        <v>723</v>
      </c>
      <c r="Y917" s="20" t="s">
        <v>3391</v>
      </c>
      <c r="Z917" s="20">
        <v>0.33333333333333331</v>
      </c>
      <c r="AA917" s="20" t="s">
        <v>3397</v>
      </c>
      <c r="AB917" s="20" t="s">
        <v>248</v>
      </c>
      <c r="AC917" s="20" t="s">
        <v>249</v>
      </c>
      <c r="AD917" s="20" t="s">
        <v>3393</v>
      </c>
      <c r="AE917" s="20" t="s">
        <v>400</v>
      </c>
      <c r="AF917" s="20">
        <v>0.33333333333333331</v>
      </c>
      <c r="AG917" s="20">
        <v>0</v>
      </c>
      <c r="AH917" s="20">
        <v>1</v>
      </c>
      <c r="AI917" s="4" t="s">
        <v>649</v>
      </c>
      <c r="AJ917" s="20">
        <v>6</v>
      </c>
      <c r="AK917" s="4" t="s">
        <v>679</v>
      </c>
      <c r="AL917" s="4">
        <v>5</v>
      </c>
      <c r="AM917" s="4" t="s">
        <v>485</v>
      </c>
      <c r="AN917" s="4" t="s">
        <v>95</v>
      </c>
      <c r="AO917" s="4" t="s">
        <v>680</v>
      </c>
      <c r="AP917" s="4">
        <v>1</v>
      </c>
      <c r="AQ917" s="20">
        <v>79000</v>
      </c>
      <c r="AR917" s="4">
        <v>41855</v>
      </c>
      <c r="AS917" s="20">
        <v>15959.595959595958</v>
      </c>
      <c r="AT917" s="20">
        <v>18356.750000000004</v>
      </c>
      <c r="AU917" s="20">
        <v>2397.1540404040461</v>
      </c>
      <c r="AW917" s="20">
        <v>50</v>
      </c>
      <c r="AY917" s="20">
        <v>50</v>
      </c>
      <c r="AZ917" s="20">
        <v>15.85</v>
      </c>
      <c r="BB917" s="6">
        <v>41855</v>
      </c>
      <c r="BC917" s="6">
        <v>0</v>
      </c>
      <c r="BD917" s="6">
        <v>41862</v>
      </c>
      <c r="BE917" s="6">
        <v>0</v>
      </c>
      <c r="BF917" s="6">
        <v>41862</v>
      </c>
      <c r="BG917" s="6">
        <v>41961</v>
      </c>
      <c r="BH917" s="6">
        <v>0</v>
      </c>
      <c r="BI917" s="6">
        <v>0</v>
      </c>
      <c r="BJ917" s="6">
        <v>0</v>
      </c>
      <c r="BK917" s="4">
        <v>0</v>
      </c>
      <c r="BL917" s="4">
        <v>0</v>
      </c>
      <c r="BM917" s="20">
        <v>6</v>
      </c>
      <c r="BN917" s="20">
        <v>0</v>
      </c>
      <c r="BO917" s="20">
        <v>0</v>
      </c>
      <c r="BP917" s="20">
        <v>0</v>
      </c>
      <c r="BQ917" s="20">
        <v>0</v>
      </c>
      <c r="BR917" s="20">
        <v>0</v>
      </c>
      <c r="BS917" s="20">
        <v>6</v>
      </c>
      <c r="BT917" s="20">
        <v>110140.50000000003</v>
      </c>
      <c r="BU917" s="20">
        <v>474000</v>
      </c>
      <c r="BV917" s="20">
        <v>3.9123582234427006</v>
      </c>
    </row>
    <row r="918" spans="1:74">
      <c r="A918" s="10">
        <f t="shared" si="58"/>
        <v>0</v>
      </c>
      <c r="B918" s="10">
        <f t="shared" si="59"/>
        <v>0</v>
      </c>
      <c r="C918" s="12" t="str">
        <f t="shared" si="60"/>
        <v/>
      </c>
      <c r="D918" s="12">
        <f t="shared" si="61"/>
        <v>8</v>
      </c>
      <c r="E918" s="20" t="s">
        <v>91</v>
      </c>
      <c r="F918" s="20" t="s">
        <v>91</v>
      </c>
      <c r="G918" s="20" t="s">
        <v>91</v>
      </c>
      <c r="H918" s="20" t="s">
        <v>91</v>
      </c>
      <c r="I918" s="20">
        <v>0</v>
      </c>
      <c r="J918" s="20" t="s">
        <v>103</v>
      </c>
      <c r="K918" s="20" t="s">
        <v>104</v>
      </c>
      <c r="L918" s="20">
        <v>0</v>
      </c>
      <c r="M918" s="20" t="s">
        <v>105</v>
      </c>
      <c r="N918" s="20" t="s">
        <v>91</v>
      </c>
      <c r="O918" s="20" t="s">
        <v>3398</v>
      </c>
      <c r="Q918" s="20" t="s">
        <v>91</v>
      </c>
      <c r="R918" s="20" t="s">
        <v>91</v>
      </c>
      <c r="U918" s="20" t="s">
        <v>91</v>
      </c>
      <c r="X918" s="20" t="s">
        <v>91</v>
      </c>
      <c r="Y918" s="20" t="s">
        <v>91</v>
      </c>
      <c r="Z918" s="20">
        <v>19.000000000000014</v>
      </c>
      <c r="AB918" s="20" t="s">
        <v>91</v>
      </c>
      <c r="AD918" s="20" t="s">
        <v>91</v>
      </c>
      <c r="AE918" s="20" t="s">
        <v>91</v>
      </c>
      <c r="AF918" s="20">
        <v>25.999999999999979</v>
      </c>
      <c r="AG918" s="20">
        <v>0</v>
      </c>
      <c r="AM918" s="4" t="s">
        <v>91</v>
      </c>
      <c r="AP918" s="4" t="s">
        <v>91</v>
      </c>
      <c r="AQ918" s="20">
        <v>0</v>
      </c>
      <c r="AR918" s="4">
        <v>0</v>
      </c>
      <c r="AS918" s="20">
        <v>0</v>
      </c>
      <c r="AT918" s="20">
        <v>0</v>
      </c>
      <c r="AU918" s="20">
        <v>0</v>
      </c>
      <c r="AY918" s="20">
        <v>0</v>
      </c>
      <c r="BB918" s="6">
        <v>0</v>
      </c>
      <c r="BD918" s="6">
        <v>0</v>
      </c>
      <c r="BF918" s="6">
        <v>41862</v>
      </c>
      <c r="BM918" s="20">
        <v>5705</v>
      </c>
      <c r="BN918" s="20">
        <v>2</v>
      </c>
      <c r="BO918" s="20">
        <v>0</v>
      </c>
      <c r="BP918" s="20">
        <v>0</v>
      </c>
      <c r="BQ918" s="20">
        <v>0</v>
      </c>
      <c r="BR918" s="20">
        <v>0</v>
      </c>
      <c r="BS918" s="20">
        <v>5705</v>
      </c>
      <c r="BT918" s="20">
        <v>112495925.5</v>
      </c>
      <c r="BU918" s="20">
        <v>567095000</v>
      </c>
      <c r="BV918" s="20">
        <v>4.5827518356734531</v>
      </c>
    </row>
    <row r="919" spans="1:74">
      <c r="A919" s="10">
        <f t="shared" si="58"/>
        <v>0</v>
      </c>
      <c r="B919" s="10">
        <f t="shared" si="59"/>
        <v>0</v>
      </c>
      <c r="C919" s="12">
        <f t="shared" si="60"/>
        <v>8</v>
      </c>
      <c r="D919" s="12">
        <f t="shared" si="61"/>
        <v>8</v>
      </c>
      <c r="E919" s="20" t="s">
        <v>574</v>
      </c>
      <c r="F919" s="20" t="s">
        <v>3089</v>
      </c>
      <c r="G919" s="20" t="s">
        <v>3399</v>
      </c>
      <c r="H919" s="20" t="s">
        <v>3400</v>
      </c>
      <c r="I919" s="20">
        <v>1</v>
      </c>
      <c r="J919" s="20" t="s">
        <v>3401</v>
      </c>
      <c r="K919" s="20" t="s">
        <v>3402</v>
      </c>
      <c r="L919" s="20" t="s">
        <v>3403</v>
      </c>
      <c r="M919" s="20" t="s">
        <v>2667</v>
      </c>
      <c r="N919" s="20" t="s">
        <v>3202</v>
      </c>
      <c r="P919" s="20" t="s">
        <v>2667</v>
      </c>
      <c r="Q919" s="20" t="s">
        <v>2674</v>
      </c>
      <c r="R919" s="20" t="s">
        <v>84</v>
      </c>
      <c r="S919" s="20">
        <v>4</v>
      </c>
      <c r="T919" s="20" t="s">
        <v>762</v>
      </c>
      <c r="U919" s="20" t="s">
        <v>763</v>
      </c>
      <c r="V919" s="20" t="s">
        <v>87</v>
      </c>
      <c r="W919" s="20">
        <v>755</v>
      </c>
      <c r="X919" s="20">
        <v>755</v>
      </c>
      <c r="Y919" s="20" t="s">
        <v>3404</v>
      </c>
      <c r="Z919" s="20">
        <v>0.5</v>
      </c>
      <c r="AA919" s="20" t="s">
        <v>3405</v>
      </c>
      <c r="AB919" s="20" t="s">
        <v>279</v>
      </c>
      <c r="AC919" s="20" t="s">
        <v>280</v>
      </c>
      <c r="AD919" s="20" t="s">
        <v>3406</v>
      </c>
      <c r="AE919" s="20" t="s">
        <v>400</v>
      </c>
      <c r="AF919" s="20">
        <v>0.5</v>
      </c>
      <c r="AG919" s="20">
        <v>0</v>
      </c>
      <c r="AH919" s="20">
        <v>1</v>
      </c>
      <c r="AI919" s="4" t="s">
        <v>645</v>
      </c>
      <c r="AJ919" s="20">
        <v>50</v>
      </c>
      <c r="AK919" s="4" t="s">
        <v>641</v>
      </c>
      <c r="AL919" s="4">
        <v>5</v>
      </c>
      <c r="AM919" s="4" t="s">
        <v>485</v>
      </c>
      <c r="AN919" s="4" t="s">
        <v>95</v>
      </c>
      <c r="AO919" s="4" t="s">
        <v>96</v>
      </c>
      <c r="AP919" s="4">
        <v>1</v>
      </c>
      <c r="AQ919" s="20">
        <v>65000</v>
      </c>
      <c r="AR919" s="4">
        <v>41855</v>
      </c>
      <c r="AS919" s="20">
        <v>11818.181818181818</v>
      </c>
      <c r="AT919" s="20">
        <v>11535.320000000002</v>
      </c>
      <c r="AU919" s="20">
        <v>-282.86181818181649</v>
      </c>
      <c r="AW919" s="20">
        <v>50</v>
      </c>
      <c r="AY919" s="20">
        <v>50</v>
      </c>
      <c r="AZ919" s="20">
        <v>8.8000000000000007</v>
      </c>
      <c r="BB919" s="6">
        <v>41855</v>
      </c>
      <c r="BC919" s="6">
        <v>0</v>
      </c>
      <c r="BD919" s="6">
        <v>41862</v>
      </c>
      <c r="BE919" s="6">
        <v>0</v>
      </c>
      <c r="BF919" s="6">
        <v>41862</v>
      </c>
      <c r="BG919" s="6">
        <v>0</v>
      </c>
      <c r="BH919" s="6">
        <v>0</v>
      </c>
      <c r="BI919" s="6">
        <v>0</v>
      </c>
      <c r="BJ919" s="6">
        <v>0</v>
      </c>
      <c r="BK919" s="4">
        <v>0</v>
      </c>
      <c r="BL919" s="4">
        <v>0</v>
      </c>
      <c r="BM919" s="20">
        <v>48</v>
      </c>
      <c r="BN919" s="20">
        <v>0</v>
      </c>
      <c r="BO919" s="20">
        <v>0</v>
      </c>
      <c r="BP919" s="20">
        <v>0</v>
      </c>
      <c r="BQ919" s="20">
        <v>0</v>
      </c>
      <c r="BR919" s="20">
        <v>0</v>
      </c>
      <c r="BS919" s="20">
        <v>50</v>
      </c>
      <c r="BT919" s="20">
        <v>576766.00000000012</v>
      </c>
      <c r="BU919" s="20">
        <v>3250000</v>
      </c>
      <c r="BV919" s="20">
        <v>5.1226068363000827</v>
      </c>
    </row>
    <row r="920" spans="1:74">
      <c r="A920" s="10">
        <f t="shared" si="58"/>
        <v>0</v>
      </c>
      <c r="B920" s="10">
        <f t="shared" si="59"/>
        <v>0</v>
      </c>
      <c r="C920" s="12">
        <f t="shared" si="60"/>
        <v>8</v>
      </c>
      <c r="D920" s="12">
        <f t="shared" si="61"/>
        <v>8</v>
      </c>
      <c r="E920" s="20" t="s">
        <v>574</v>
      </c>
      <c r="F920" s="20" t="s">
        <v>3089</v>
      </c>
      <c r="G920" s="20" t="s">
        <v>3399</v>
      </c>
      <c r="H920" s="20" t="s">
        <v>3400</v>
      </c>
      <c r="I920" s="20">
        <v>1</v>
      </c>
      <c r="J920" s="20" t="s">
        <v>3401</v>
      </c>
      <c r="K920" s="20" t="s">
        <v>3407</v>
      </c>
      <c r="L920" s="20" t="s">
        <v>3403</v>
      </c>
      <c r="M920" s="20" t="s">
        <v>2667</v>
      </c>
      <c r="N920" s="20" t="s">
        <v>3202</v>
      </c>
      <c r="P920" s="20" t="s">
        <v>2667</v>
      </c>
      <c r="Q920" s="20" t="s">
        <v>2674</v>
      </c>
      <c r="R920" s="20" t="s">
        <v>84</v>
      </c>
      <c r="S920" s="20">
        <v>4</v>
      </c>
      <c r="T920" s="20" t="s">
        <v>762</v>
      </c>
      <c r="U920" s="20" t="s">
        <v>763</v>
      </c>
      <c r="V920" s="20" t="s">
        <v>87</v>
      </c>
      <c r="W920" s="20">
        <v>755</v>
      </c>
      <c r="X920" s="20">
        <v>755</v>
      </c>
      <c r="Y920" s="20" t="s">
        <v>3404</v>
      </c>
      <c r="Z920" s="20">
        <v>0.5</v>
      </c>
      <c r="AA920" s="20" t="s">
        <v>3408</v>
      </c>
      <c r="AB920" s="20" t="s">
        <v>279</v>
      </c>
      <c r="AC920" s="20" t="s">
        <v>280</v>
      </c>
      <c r="AD920" s="20" t="s">
        <v>3406</v>
      </c>
      <c r="AE920" s="20" t="s">
        <v>400</v>
      </c>
      <c r="AF920" s="20">
        <v>0.5</v>
      </c>
      <c r="AG920" s="20">
        <v>0</v>
      </c>
      <c r="AH920" s="20">
        <v>1</v>
      </c>
      <c r="AI920" s="4" t="s">
        <v>647</v>
      </c>
      <c r="AJ920" s="20">
        <v>19</v>
      </c>
      <c r="AK920" s="4" t="s">
        <v>641</v>
      </c>
      <c r="AL920" s="4">
        <v>5</v>
      </c>
      <c r="AM920" s="4" t="s">
        <v>485</v>
      </c>
      <c r="AN920" s="4" t="s">
        <v>95</v>
      </c>
      <c r="AO920" s="4" t="s">
        <v>96</v>
      </c>
      <c r="AP920" s="4">
        <v>1</v>
      </c>
      <c r="AQ920" s="20">
        <v>65000</v>
      </c>
      <c r="AR920" s="4">
        <v>41855</v>
      </c>
      <c r="AS920" s="20">
        <v>11818.181818181818</v>
      </c>
      <c r="AT920" s="20">
        <v>11535.320000000002</v>
      </c>
      <c r="AU920" s="20">
        <v>-282.86181818181649</v>
      </c>
      <c r="AW920" s="20">
        <v>50</v>
      </c>
      <c r="AY920" s="20">
        <v>50</v>
      </c>
      <c r="AZ920" s="20">
        <v>8.8000000000000007</v>
      </c>
      <c r="BB920" s="6">
        <v>41855</v>
      </c>
      <c r="BC920" s="6">
        <v>0</v>
      </c>
      <c r="BD920" s="6">
        <v>41862</v>
      </c>
      <c r="BE920" s="6">
        <v>0</v>
      </c>
      <c r="BF920" s="6">
        <v>41862</v>
      </c>
      <c r="BG920" s="6">
        <v>0</v>
      </c>
      <c r="BH920" s="6">
        <v>0</v>
      </c>
      <c r="BI920" s="6">
        <v>0</v>
      </c>
      <c r="BJ920" s="6">
        <v>0</v>
      </c>
      <c r="BK920" s="4">
        <v>0</v>
      </c>
      <c r="BL920" s="4">
        <v>0</v>
      </c>
      <c r="BM920" s="20">
        <v>18</v>
      </c>
      <c r="BN920" s="20">
        <v>0</v>
      </c>
      <c r="BO920" s="20">
        <v>0</v>
      </c>
      <c r="BP920" s="20">
        <v>0</v>
      </c>
      <c r="BQ920" s="20">
        <v>0</v>
      </c>
      <c r="BR920" s="20">
        <v>0</v>
      </c>
      <c r="BS920" s="20">
        <v>19</v>
      </c>
      <c r="BT920" s="20">
        <v>219171.08000000002</v>
      </c>
      <c r="BU920" s="20">
        <v>1235000</v>
      </c>
      <c r="BV920" s="20">
        <v>5.1226068363000836</v>
      </c>
    </row>
    <row r="921" spans="1:74">
      <c r="A921" s="10">
        <f t="shared" si="58"/>
        <v>0</v>
      </c>
      <c r="B921" s="10">
        <f t="shared" si="59"/>
        <v>0</v>
      </c>
      <c r="C921" s="12" t="str">
        <f t="shared" si="60"/>
        <v/>
      </c>
      <c r="D921" s="12" t="str">
        <f t="shared" si="61"/>
        <v/>
      </c>
      <c r="E921" s="20" t="s">
        <v>91</v>
      </c>
      <c r="F921" s="20" t="s">
        <v>91</v>
      </c>
      <c r="G921" s="20" t="s">
        <v>91</v>
      </c>
      <c r="H921" s="20" t="s">
        <v>91</v>
      </c>
      <c r="I921" s="20">
        <v>0</v>
      </c>
      <c r="J921" s="20" t="s">
        <v>103</v>
      </c>
      <c r="K921" s="20" t="s">
        <v>104</v>
      </c>
      <c r="L921" s="20">
        <v>0</v>
      </c>
      <c r="M921" s="20" t="s">
        <v>105</v>
      </c>
      <c r="N921" s="20" t="s">
        <v>91</v>
      </c>
      <c r="O921" s="20" t="s">
        <v>3409</v>
      </c>
      <c r="Q921" s="20" t="s">
        <v>91</v>
      </c>
      <c r="R921" s="20" t="s">
        <v>91</v>
      </c>
      <c r="U921" s="20" t="s">
        <v>91</v>
      </c>
      <c r="X921" s="20" t="s">
        <v>91</v>
      </c>
      <c r="Y921" s="20" t="s">
        <v>91</v>
      </c>
      <c r="Z921" s="20">
        <v>1</v>
      </c>
      <c r="AB921" s="20" t="s">
        <v>91</v>
      </c>
      <c r="AD921" s="20" t="s">
        <v>91</v>
      </c>
      <c r="AE921" s="20" t="s">
        <v>91</v>
      </c>
      <c r="AF921" s="20">
        <v>1</v>
      </c>
      <c r="AG921" s="20">
        <v>0</v>
      </c>
      <c r="AM921" s="4" t="s">
        <v>91</v>
      </c>
      <c r="AP921" s="4" t="s">
        <v>91</v>
      </c>
      <c r="AQ921" s="20">
        <v>0</v>
      </c>
      <c r="AR921" s="4">
        <v>0</v>
      </c>
      <c r="AS921" s="20">
        <v>0</v>
      </c>
      <c r="AT921" s="20">
        <v>0</v>
      </c>
      <c r="AU921" s="20">
        <v>0</v>
      </c>
      <c r="AY921" s="20">
        <v>0</v>
      </c>
      <c r="BB921" s="6">
        <v>0</v>
      </c>
      <c r="BD921" s="6">
        <v>0</v>
      </c>
      <c r="BM921" s="20">
        <v>66</v>
      </c>
      <c r="BN921" s="20">
        <v>0</v>
      </c>
      <c r="BO921" s="20">
        <v>0</v>
      </c>
      <c r="BP921" s="20">
        <v>0</v>
      </c>
      <c r="BQ921" s="20">
        <v>0</v>
      </c>
      <c r="BR921" s="20">
        <v>0</v>
      </c>
      <c r="BS921" s="20">
        <v>69</v>
      </c>
      <c r="BT921" s="20">
        <v>795937.08000000007</v>
      </c>
      <c r="BU921" s="20">
        <v>4485000</v>
      </c>
      <c r="BV921" s="20">
        <v>5.1226068363000836</v>
      </c>
    </row>
    <row r="922" spans="1:74">
      <c r="A922" s="10">
        <f t="shared" si="58"/>
        <v>0</v>
      </c>
      <c r="B922" s="10">
        <f t="shared" si="59"/>
        <v>0</v>
      </c>
      <c r="C922" s="12">
        <f t="shared" si="60"/>
        <v>8</v>
      </c>
      <c r="D922" s="12">
        <f t="shared" si="61"/>
        <v>8</v>
      </c>
      <c r="E922" s="20" t="s">
        <v>574</v>
      </c>
      <c r="F922" s="20" t="s">
        <v>3089</v>
      </c>
      <c r="G922" s="20" t="s">
        <v>3410</v>
      </c>
      <c r="H922" s="20" t="s">
        <v>3411</v>
      </c>
      <c r="I922" s="20">
        <v>1</v>
      </c>
      <c r="J922" s="20" t="s">
        <v>3412</v>
      </c>
      <c r="K922" s="20" t="s">
        <v>3413</v>
      </c>
      <c r="L922" s="20" t="s">
        <v>3414</v>
      </c>
      <c r="M922" s="20" t="s">
        <v>2667</v>
      </c>
      <c r="N922" s="20" t="s">
        <v>3202</v>
      </c>
      <c r="P922" s="20" t="s">
        <v>2667</v>
      </c>
      <c r="Q922" s="20" t="s">
        <v>2674</v>
      </c>
      <c r="R922" s="20" t="s">
        <v>84</v>
      </c>
      <c r="S922" s="20">
        <v>4</v>
      </c>
      <c r="T922" s="20" t="s">
        <v>762</v>
      </c>
      <c r="U922" s="20" t="s">
        <v>763</v>
      </c>
      <c r="V922" s="20" t="s">
        <v>87</v>
      </c>
      <c r="W922" s="20">
        <v>757</v>
      </c>
      <c r="X922" s="20">
        <v>757</v>
      </c>
      <c r="Y922" s="20" t="s">
        <v>3415</v>
      </c>
      <c r="Z922" s="20">
        <v>0.5</v>
      </c>
      <c r="AA922" s="20" t="s">
        <v>3416</v>
      </c>
      <c r="AB922" s="20" t="s">
        <v>176</v>
      </c>
      <c r="AC922" s="20" t="s">
        <v>177</v>
      </c>
      <c r="AD922" s="20" t="s">
        <v>3417</v>
      </c>
      <c r="AE922" s="20" t="s">
        <v>400</v>
      </c>
      <c r="AF922" s="20">
        <v>0.5</v>
      </c>
      <c r="AG922" s="20">
        <v>0</v>
      </c>
      <c r="AH922" s="20">
        <v>1</v>
      </c>
      <c r="AI922" s="4" t="s">
        <v>645</v>
      </c>
      <c r="AJ922" s="20">
        <v>43</v>
      </c>
      <c r="AK922" s="4" t="s">
        <v>780</v>
      </c>
      <c r="AL922" s="4">
        <v>8</v>
      </c>
      <c r="AM922" s="4" t="s">
        <v>180</v>
      </c>
      <c r="AN922" s="4" t="s">
        <v>95</v>
      </c>
      <c r="AO922" s="4" t="s">
        <v>131</v>
      </c>
      <c r="AP922" s="4">
        <v>2</v>
      </c>
      <c r="AQ922" s="20">
        <v>85000</v>
      </c>
      <c r="AR922" s="4">
        <v>41855</v>
      </c>
      <c r="AS922" s="20">
        <v>21464.646464646463</v>
      </c>
      <c r="AT922" s="20">
        <v>21120</v>
      </c>
      <c r="AU922" s="20">
        <v>-344.64646464646285</v>
      </c>
      <c r="AW922" s="20">
        <v>20</v>
      </c>
      <c r="AY922" s="20">
        <v>20</v>
      </c>
      <c r="BA922" s="20">
        <v>21100</v>
      </c>
      <c r="BB922" s="6">
        <v>41855</v>
      </c>
      <c r="BC922" s="6">
        <v>0</v>
      </c>
      <c r="BD922" s="6">
        <v>41862</v>
      </c>
      <c r="BE922" s="6">
        <v>0</v>
      </c>
      <c r="BF922" s="6">
        <v>41862</v>
      </c>
      <c r="BG922" s="6">
        <v>0</v>
      </c>
      <c r="BH922" s="6">
        <v>0</v>
      </c>
      <c r="BI922" s="6">
        <v>0</v>
      </c>
      <c r="BJ922" s="6">
        <v>0</v>
      </c>
      <c r="BK922" s="4">
        <v>0</v>
      </c>
      <c r="BL922" s="4">
        <v>0</v>
      </c>
      <c r="BM922" s="20">
        <v>39</v>
      </c>
      <c r="BN922" s="20">
        <v>0</v>
      </c>
      <c r="BO922" s="20">
        <v>0</v>
      </c>
      <c r="BP922" s="20">
        <v>0</v>
      </c>
      <c r="BQ922" s="20">
        <v>0</v>
      </c>
      <c r="BR922" s="20">
        <v>0</v>
      </c>
      <c r="BS922" s="20">
        <v>43</v>
      </c>
      <c r="BT922" s="20">
        <v>908160</v>
      </c>
      <c r="BU922" s="20">
        <v>3655000</v>
      </c>
      <c r="BV922" s="20">
        <v>3.6587465564738286</v>
      </c>
    </row>
    <row r="923" spans="1:74">
      <c r="A923" s="10">
        <f t="shared" si="58"/>
        <v>0</v>
      </c>
      <c r="B923" s="10">
        <f t="shared" si="59"/>
        <v>0</v>
      </c>
      <c r="C923" s="12">
        <f t="shared" si="60"/>
        <v>8</v>
      </c>
      <c r="D923" s="12">
        <f t="shared" si="61"/>
        <v>8</v>
      </c>
      <c r="E923" s="20" t="s">
        <v>574</v>
      </c>
      <c r="F923" s="20" t="s">
        <v>3089</v>
      </c>
      <c r="G923" s="20" t="s">
        <v>3410</v>
      </c>
      <c r="H923" s="20" t="s">
        <v>3411</v>
      </c>
      <c r="I923" s="20">
        <v>1</v>
      </c>
      <c r="J923" s="20" t="s">
        <v>3412</v>
      </c>
      <c r="K923" s="20" t="s">
        <v>3418</v>
      </c>
      <c r="L923" s="20" t="s">
        <v>3414</v>
      </c>
      <c r="M923" s="20" t="s">
        <v>2667</v>
      </c>
      <c r="N923" s="20" t="s">
        <v>3202</v>
      </c>
      <c r="P923" s="20" t="s">
        <v>2667</v>
      </c>
      <c r="Q923" s="20" t="s">
        <v>2674</v>
      </c>
      <c r="R923" s="20" t="s">
        <v>84</v>
      </c>
      <c r="S923" s="20">
        <v>4</v>
      </c>
      <c r="T923" s="20" t="s">
        <v>762</v>
      </c>
      <c r="U923" s="20" t="s">
        <v>763</v>
      </c>
      <c r="V923" s="20" t="s">
        <v>87</v>
      </c>
      <c r="W923" s="20">
        <v>757</v>
      </c>
      <c r="X923" s="20">
        <v>757</v>
      </c>
      <c r="Y923" s="20" t="s">
        <v>3415</v>
      </c>
      <c r="Z923" s="20">
        <v>0.5</v>
      </c>
      <c r="AA923" s="20" t="s">
        <v>3419</v>
      </c>
      <c r="AB923" s="20" t="s">
        <v>176</v>
      </c>
      <c r="AC923" s="20" t="s">
        <v>177</v>
      </c>
      <c r="AD923" s="20" t="s">
        <v>3417</v>
      </c>
      <c r="AE923" s="20" t="s">
        <v>400</v>
      </c>
      <c r="AF923" s="20">
        <v>0.5</v>
      </c>
      <c r="AG923" s="20">
        <v>0</v>
      </c>
      <c r="AH923" s="20">
        <v>1</v>
      </c>
      <c r="AI923" s="4" t="s">
        <v>647</v>
      </c>
      <c r="AJ923" s="20">
        <v>20</v>
      </c>
      <c r="AK923" s="4" t="s">
        <v>780</v>
      </c>
      <c r="AL923" s="4">
        <v>8</v>
      </c>
      <c r="AM923" s="4" t="s">
        <v>180</v>
      </c>
      <c r="AN923" s="4" t="s">
        <v>95</v>
      </c>
      <c r="AO923" s="4" t="s">
        <v>131</v>
      </c>
      <c r="AP923" s="4">
        <v>2</v>
      </c>
      <c r="AQ923" s="20">
        <v>85000</v>
      </c>
      <c r="AR923" s="4">
        <v>41855</v>
      </c>
      <c r="AS923" s="20">
        <v>21464.646464646463</v>
      </c>
      <c r="AT923" s="20">
        <v>21120</v>
      </c>
      <c r="AU923" s="20">
        <v>-344.64646464646285</v>
      </c>
      <c r="AW923" s="20">
        <v>20</v>
      </c>
      <c r="AY923" s="20">
        <v>20</v>
      </c>
      <c r="BA923" s="20">
        <v>21100</v>
      </c>
      <c r="BB923" s="6">
        <v>41855</v>
      </c>
      <c r="BC923" s="6">
        <v>0</v>
      </c>
      <c r="BD923" s="6">
        <v>41862</v>
      </c>
      <c r="BE923" s="6">
        <v>0</v>
      </c>
      <c r="BF923" s="6">
        <v>41862</v>
      </c>
      <c r="BG923" s="6">
        <v>0</v>
      </c>
      <c r="BH923" s="6">
        <v>0</v>
      </c>
      <c r="BI923" s="6">
        <v>0</v>
      </c>
      <c r="BJ923" s="6">
        <v>0</v>
      </c>
      <c r="BK923" s="4">
        <v>0</v>
      </c>
      <c r="BL923" s="4">
        <v>0</v>
      </c>
      <c r="BM923" s="20">
        <v>22</v>
      </c>
      <c r="BN923" s="20">
        <v>0</v>
      </c>
      <c r="BO923" s="20">
        <v>0</v>
      </c>
      <c r="BP923" s="20">
        <v>0</v>
      </c>
      <c r="BQ923" s="20">
        <v>0</v>
      </c>
      <c r="BR923" s="20">
        <v>0</v>
      </c>
      <c r="BS923" s="20">
        <v>20</v>
      </c>
      <c r="BT923" s="20">
        <v>422400</v>
      </c>
      <c r="BU923" s="20">
        <v>1700000</v>
      </c>
      <c r="BV923" s="20">
        <v>3.6587465564738286</v>
      </c>
    </row>
    <row r="924" spans="1:74">
      <c r="A924" s="10">
        <f t="shared" si="58"/>
        <v>0</v>
      </c>
      <c r="B924" s="10">
        <f t="shared" si="59"/>
        <v>0</v>
      </c>
      <c r="C924" s="12" t="str">
        <f t="shared" si="60"/>
        <v/>
      </c>
      <c r="D924" s="12" t="str">
        <f t="shared" si="61"/>
        <v/>
      </c>
      <c r="E924" s="20" t="s">
        <v>91</v>
      </c>
      <c r="F924" s="20" t="s">
        <v>91</v>
      </c>
      <c r="G924" s="20" t="s">
        <v>91</v>
      </c>
      <c r="H924" s="20" t="s">
        <v>91</v>
      </c>
      <c r="I924" s="20">
        <v>0</v>
      </c>
      <c r="J924" s="20" t="s">
        <v>103</v>
      </c>
      <c r="K924" s="20" t="s">
        <v>104</v>
      </c>
      <c r="L924" s="20">
        <v>0</v>
      </c>
      <c r="M924" s="20" t="s">
        <v>105</v>
      </c>
      <c r="N924" s="20" t="s">
        <v>91</v>
      </c>
      <c r="O924" s="20" t="s">
        <v>3420</v>
      </c>
      <c r="Q924" s="20" t="s">
        <v>91</v>
      </c>
      <c r="R924" s="20" t="s">
        <v>91</v>
      </c>
      <c r="S924" s="20" t="s">
        <v>91</v>
      </c>
      <c r="U924" s="20" t="s">
        <v>91</v>
      </c>
      <c r="V924" s="20" t="s">
        <v>87</v>
      </c>
      <c r="W924" s="20" t="s">
        <v>91</v>
      </c>
      <c r="X924" s="20" t="s">
        <v>91</v>
      </c>
      <c r="Y924" s="20" t="s">
        <v>91</v>
      </c>
      <c r="Z924" s="20">
        <v>1</v>
      </c>
      <c r="AB924" s="20" t="s">
        <v>91</v>
      </c>
      <c r="AD924" s="20" t="s">
        <v>91</v>
      </c>
      <c r="AE924" s="20" t="s">
        <v>91</v>
      </c>
      <c r="AF924" s="20">
        <v>1</v>
      </c>
      <c r="AG924" s="20">
        <v>0</v>
      </c>
      <c r="AH924" s="20">
        <v>1</v>
      </c>
      <c r="AM924" s="4" t="s">
        <v>91</v>
      </c>
      <c r="AP924" s="4" t="s">
        <v>91</v>
      </c>
      <c r="AQ924" s="20">
        <v>0</v>
      </c>
      <c r="AR924" s="4">
        <v>0</v>
      </c>
      <c r="AS924" s="20">
        <v>0</v>
      </c>
      <c r="AT924" s="20">
        <v>0</v>
      </c>
      <c r="AU924" s="20">
        <v>0</v>
      </c>
      <c r="AV924" s="20">
        <v>0</v>
      </c>
      <c r="AW924" s="20">
        <v>0</v>
      </c>
      <c r="AX924" s="20" t="s">
        <v>91</v>
      </c>
      <c r="AY924" s="20">
        <v>0</v>
      </c>
      <c r="AZ924" s="20">
        <v>0</v>
      </c>
      <c r="BA924" s="20">
        <v>0</v>
      </c>
      <c r="BB924" s="6">
        <v>0</v>
      </c>
      <c r="BC924" s="6">
        <v>0</v>
      </c>
      <c r="BD924" s="6">
        <v>0</v>
      </c>
      <c r="BE924" s="6">
        <v>0</v>
      </c>
      <c r="BF924" s="6">
        <v>0</v>
      </c>
      <c r="BG924" s="6">
        <v>0</v>
      </c>
      <c r="BH924" s="6">
        <v>0</v>
      </c>
      <c r="BI924" s="6">
        <v>0</v>
      </c>
      <c r="BJ924" s="6">
        <v>0</v>
      </c>
      <c r="BK924" s="4">
        <v>0</v>
      </c>
      <c r="BL924" s="4">
        <v>0</v>
      </c>
      <c r="BM924" s="20">
        <v>61</v>
      </c>
      <c r="BN924" s="20">
        <v>0</v>
      </c>
      <c r="BO924" s="20">
        <v>0</v>
      </c>
      <c r="BP924" s="20">
        <v>0</v>
      </c>
      <c r="BQ924" s="20">
        <v>0</v>
      </c>
      <c r="BR924" s="20">
        <v>0</v>
      </c>
      <c r="BS924" s="20">
        <v>63</v>
      </c>
      <c r="BT924" s="20">
        <v>1330560</v>
      </c>
      <c r="BU924" s="20">
        <v>5355000</v>
      </c>
      <c r="BV924" s="20">
        <v>3.6587465564738286</v>
      </c>
    </row>
    <row r="925" spans="1:74">
      <c r="A925" s="10">
        <f t="shared" si="58"/>
        <v>0</v>
      </c>
      <c r="B925" s="10">
        <f t="shared" si="59"/>
        <v>0</v>
      </c>
      <c r="C925" s="12">
        <f t="shared" si="60"/>
        <v>8</v>
      </c>
      <c r="D925" s="12">
        <f t="shared" si="61"/>
        <v>8</v>
      </c>
      <c r="E925" s="20" t="s">
        <v>574</v>
      </c>
      <c r="F925" s="20" t="s">
        <v>3089</v>
      </c>
      <c r="G925" s="20" t="s">
        <v>3421</v>
      </c>
      <c r="H925" s="20" t="s">
        <v>3422</v>
      </c>
      <c r="I925" s="20">
        <v>1</v>
      </c>
      <c r="J925" s="20" t="s">
        <v>3423</v>
      </c>
      <c r="K925" s="20" t="s">
        <v>3424</v>
      </c>
      <c r="L925" s="20" t="s">
        <v>3425</v>
      </c>
      <c r="M925" s="20" t="s">
        <v>2667</v>
      </c>
      <c r="N925" s="20" t="s">
        <v>3426</v>
      </c>
      <c r="P925" s="20" t="s">
        <v>2667</v>
      </c>
      <c r="Q925" s="20" t="s">
        <v>2674</v>
      </c>
      <c r="R925" s="20" t="s">
        <v>84</v>
      </c>
      <c r="S925" s="20">
        <v>4</v>
      </c>
      <c r="T925" s="20" t="s">
        <v>674</v>
      </c>
      <c r="U925" s="20" t="s">
        <v>675</v>
      </c>
      <c r="V925" s="20" t="s">
        <v>87</v>
      </c>
      <c r="W925" s="20">
        <v>832</v>
      </c>
      <c r="X925" s="20">
        <v>832</v>
      </c>
      <c r="Y925" s="20" t="s">
        <v>3427</v>
      </c>
      <c r="Z925" s="20">
        <v>0.1111111111111111</v>
      </c>
      <c r="AA925" s="20" t="s">
        <v>3428</v>
      </c>
      <c r="AB925" s="20" t="s">
        <v>248</v>
      </c>
      <c r="AC925" s="20" t="s">
        <v>249</v>
      </c>
      <c r="AD925" s="20" t="s">
        <v>3429</v>
      </c>
      <c r="AE925" s="20" t="s">
        <v>400</v>
      </c>
      <c r="AF925" s="20">
        <v>0.33333333333333331</v>
      </c>
      <c r="AG925" s="20">
        <v>0</v>
      </c>
      <c r="AH925" s="20">
        <v>1</v>
      </c>
      <c r="AI925" s="4" t="s">
        <v>643</v>
      </c>
      <c r="AJ925" s="20">
        <v>50</v>
      </c>
      <c r="AK925" s="4" t="s">
        <v>780</v>
      </c>
      <c r="AL925" s="4">
        <v>9</v>
      </c>
      <c r="AM925" s="4" t="s">
        <v>235</v>
      </c>
      <c r="AN925" s="4" t="s">
        <v>95</v>
      </c>
      <c r="AO925" s="4" t="s">
        <v>131</v>
      </c>
      <c r="AP925" s="4">
        <v>2</v>
      </c>
      <c r="AQ925" s="20">
        <v>89000</v>
      </c>
      <c r="AR925" s="4">
        <v>41855</v>
      </c>
      <c r="AS925" s="20">
        <v>22474.74747474747</v>
      </c>
      <c r="AT925" s="20">
        <v>21020</v>
      </c>
      <c r="AU925" s="20">
        <v>-1454.7474747474698</v>
      </c>
      <c r="AW925" s="20">
        <v>20</v>
      </c>
      <c r="AY925" s="20">
        <v>20</v>
      </c>
      <c r="BA925" s="20">
        <v>21000</v>
      </c>
      <c r="BB925" s="6">
        <v>41855</v>
      </c>
      <c r="BC925" s="6">
        <v>0</v>
      </c>
      <c r="BD925" s="6">
        <v>41862</v>
      </c>
      <c r="BE925" s="6">
        <v>0</v>
      </c>
      <c r="BF925" s="6">
        <v>41862</v>
      </c>
      <c r="BG925" s="6">
        <v>41961</v>
      </c>
      <c r="BH925" s="6">
        <v>0</v>
      </c>
      <c r="BI925" s="6">
        <v>0</v>
      </c>
      <c r="BJ925" s="6">
        <v>0</v>
      </c>
      <c r="BK925" s="4">
        <v>0</v>
      </c>
      <c r="BL925" s="4">
        <v>0</v>
      </c>
      <c r="BM925" s="20">
        <v>50</v>
      </c>
      <c r="BN925" s="20">
        <v>0</v>
      </c>
      <c r="BO925" s="20">
        <v>0</v>
      </c>
      <c r="BP925" s="20">
        <v>0</v>
      </c>
      <c r="BQ925" s="20">
        <v>0</v>
      </c>
      <c r="BR925" s="20">
        <v>0</v>
      </c>
      <c r="BS925" s="20">
        <v>50</v>
      </c>
      <c r="BT925" s="20">
        <v>1051000</v>
      </c>
      <c r="BU925" s="20">
        <v>4450000</v>
      </c>
      <c r="BV925" s="20">
        <v>3.849147997578064</v>
      </c>
    </row>
    <row r="926" spans="1:74">
      <c r="A926" s="10">
        <f t="shared" si="58"/>
        <v>0</v>
      </c>
      <c r="B926" s="10">
        <f t="shared" si="59"/>
        <v>0</v>
      </c>
      <c r="C926" s="12">
        <f t="shared" si="60"/>
        <v>8</v>
      </c>
      <c r="D926" s="12">
        <f t="shared" si="61"/>
        <v>8</v>
      </c>
      <c r="E926" s="20" t="s">
        <v>574</v>
      </c>
      <c r="F926" s="20" t="s">
        <v>3089</v>
      </c>
      <c r="G926" s="20" t="s">
        <v>3421</v>
      </c>
      <c r="H926" s="20" t="s">
        <v>3422</v>
      </c>
      <c r="I926" s="20">
        <v>1</v>
      </c>
      <c r="J926" s="20" t="s">
        <v>3423</v>
      </c>
      <c r="K926" s="20" t="s">
        <v>3430</v>
      </c>
      <c r="L926" s="20" t="s">
        <v>3425</v>
      </c>
      <c r="M926" s="20" t="s">
        <v>2667</v>
      </c>
      <c r="N926" s="20" t="s">
        <v>3426</v>
      </c>
      <c r="P926" s="20" t="s">
        <v>2667</v>
      </c>
      <c r="Q926" s="20" t="s">
        <v>2674</v>
      </c>
      <c r="R926" s="20" t="s">
        <v>84</v>
      </c>
      <c r="S926" s="20">
        <v>4</v>
      </c>
      <c r="T926" s="20" t="s">
        <v>674</v>
      </c>
      <c r="U926" s="20" t="s">
        <v>675</v>
      </c>
      <c r="V926" s="20" t="s">
        <v>87</v>
      </c>
      <c r="W926" s="20">
        <v>832</v>
      </c>
      <c r="X926" s="20">
        <v>832</v>
      </c>
      <c r="Y926" s="20" t="s">
        <v>3427</v>
      </c>
      <c r="Z926" s="20">
        <v>0.1111111111111111</v>
      </c>
      <c r="AA926" s="20" t="s">
        <v>3431</v>
      </c>
      <c r="AB926" s="20" t="s">
        <v>248</v>
      </c>
      <c r="AC926" s="20" t="s">
        <v>249</v>
      </c>
      <c r="AD926" s="20" t="s">
        <v>3429</v>
      </c>
      <c r="AE926" s="20" t="s">
        <v>400</v>
      </c>
      <c r="AF926" s="20">
        <v>0.33333333333333331</v>
      </c>
      <c r="AG926" s="20">
        <v>0</v>
      </c>
      <c r="AH926" s="20">
        <v>1</v>
      </c>
      <c r="AI926" s="4" t="s">
        <v>647</v>
      </c>
      <c r="AJ926" s="20">
        <v>50</v>
      </c>
      <c r="AK926" s="4" t="s">
        <v>780</v>
      </c>
      <c r="AL926" s="4">
        <v>9</v>
      </c>
      <c r="AM926" s="4" t="s">
        <v>235</v>
      </c>
      <c r="AN926" s="4" t="s">
        <v>95</v>
      </c>
      <c r="AO926" s="4" t="s">
        <v>131</v>
      </c>
      <c r="AP926" s="4">
        <v>2</v>
      </c>
      <c r="AQ926" s="20">
        <v>89000</v>
      </c>
      <c r="AR926" s="4">
        <v>41855</v>
      </c>
      <c r="AS926" s="20">
        <v>22474.74747474747</v>
      </c>
      <c r="AT926" s="20">
        <v>21020</v>
      </c>
      <c r="AU926" s="20">
        <v>-1454.7474747474698</v>
      </c>
      <c r="AW926" s="20">
        <v>20</v>
      </c>
      <c r="AY926" s="20">
        <v>20</v>
      </c>
      <c r="BA926" s="20">
        <v>21000</v>
      </c>
      <c r="BB926" s="6">
        <v>41855</v>
      </c>
      <c r="BC926" s="6">
        <v>0</v>
      </c>
      <c r="BD926" s="6">
        <v>41862</v>
      </c>
      <c r="BE926" s="6">
        <v>0</v>
      </c>
      <c r="BF926" s="6">
        <v>41862</v>
      </c>
      <c r="BG926" s="6">
        <v>41961</v>
      </c>
      <c r="BH926" s="6">
        <v>0</v>
      </c>
      <c r="BI926" s="6">
        <v>0</v>
      </c>
      <c r="BJ926" s="6">
        <v>0</v>
      </c>
      <c r="BK926" s="4">
        <v>0</v>
      </c>
      <c r="BL926" s="4">
        <v>0</v>
      </c>
      <c r="BM926" s="20">
        <v>50</v>
      </c>
      <c r="BN926" s="20">
        <v>0</v>
      </c>
      <c r="BO926" s="20">
        <v>0</v>
      </c>
      <c r="BP926" s="20">
        <v>0</v>
      </c>
      <c r="BQ926" s="20">
        <v>0</v>
      </c>
      <c r="BR926" s="20">
        <v>0</v>
      </c>
      <c r="BS926" s="20">
        <v>50</v>
      </c>
      <c r="BT926" s="20">
        <v>1051000</v>
      </c>
      <c r="BU926" s="20">
        <v>4450000</v>
      </c>
      <c r="BV926" s="20">
        <v>3.849147997578064</v>
      </c>
    </row>
    <row r="927" spans="1:74">
      <c r="A927" s="10">
        <f t="shared" si="58"/>
        <v>0</v>
      </c>
      <c r="B927" s="10">
        <f t="shared" si="59"/>
        <v>0</v>
      </c>
      <c r="C927" s="12">
        <f t="shared" si="60"/>
        <v>8</v>
      </c>
      <c r="D927" s="12">
        <f t="shared" si="61"/>
        <v>8</v>
      </c>
      <c r="E927" s="20" t="s">
        <v>574</v>
      </c>
      <c r="F927" s="20" t="s">
        <v>3089</v>
      </c>
      <c r="G927" s="20" t="s">
        <v>3421</v>
      </c>
      <c r="H927" s="20" t="s">
        <v>3422</v>
      </c>
      <c r="I927" s="20">
        <v>1</v>
      </c>
      <c r="J927" s="20" t="s">
        <v>3423</v>
      </c>
      <c r="K927" s="20" t="s">
        <v>3432</v>
      </c>
      <c r="L927" s="20" t="s">
        <v>3425</v>
      </c>
      <c r="M927" s="20" t="s">
        <v>2667</v>
      </c>
      <c r="N927" s="20" t="s">
        <v>3426</v>
      </c>
      <c r="P927" s="20" t="s">
        <v>2667</v>
      </c>
      <c r="Q927" s="20" t="s">
        <v>2674</v>
      </c>
      <c r="R927" s="20" t="s">
        <v>84</v>
      </c>
      <c r="S927" s="20">
        <v>4</v>
      </c>
      <c r="T927" s="20" t="s">
        <v>674</v>
      </c>
      <c r="U927" s="20" t="s">
        <v>675</v>
      </c>
      <c r="V927" s="20" t="s">
        <v>87</v>
      </c>
      <c r="W927" s="20">
        <v>832</v>
      </c>
      <c r="X927" s="20">
        <v>832</v>
      </c>
      <c r="Y927" s="20" t="s">
        <v>3427</v>
      </c>
      <c r="Z927" s="20">
        <v>0.1111111111111111</v>
      </c>
      <c r="AA927" s="20" t="s">
        <v>3433</v>
      </c>
      <c r="AB927" s="20" t="s">
        <v>248</v>
      </c>
      <c r="AC927" s="20" t="s">
        <v>249</v>
      </c>
      <c r="AD927" s="20" t="s">
        <v>3429</v>
      </c>
      <c r="AE927" s="20" t="s">
        <v>400</v>
      </c>
      <c r="AF927" s="20">
        <v>0.33333333333333331</v>
      </c>
      <c r="AG927" s="20">
        <v>0</v>
      </c>
      <c r="AH927" s="20">
        <v>1</v>
      </c>
      <c r="AI927" s="4" t="s">
        <v>651</v>
      </c>
      <c r="AJ927" s="20">
        <v>50</v>
      </c>
      <c r="AK927" s="4" t="s">
        <v>780</v>
      </c>
      <c r="AL927" s="4">
        <v>9</v>
      </c>
      <c r="AM927" s="4" t="s">
        <v>235</v>
      </c>
      <c r="AN927" s="4" t="s">
        <v>95</v>
      </c>
      <c r="AO927" s="4" t="s">
        <v>131</v>
      </c>
      <c r="AP927" s="4">
        <v>2</v>
      </c>
      <c r="AQ927" s="20">
        <v>89000</v>
      </c>
      <c r="AR927" s="4">
        <v>41855</v>
      </c>
      <c r="AS927" s="20">
        <v>22474.74747474747</v>
      </c>
      <c r="AT927" s="20">
        <v>21020</v>
      </c>
      <c r="AU927" s="20">
        <v>-1454.7474747474698</v>
      </c>
      <c r="AW927" s="20">
        <v>20</v>
      </c>
      <c r="AY927" s="20">
        <v>20</v>
      </c>
      <c r="BA927" s="20">
        <v>21000</v>
      </c>
      <c r="BB927" s="6">
        <v>41855</v>
      </c>
      <c r="BC927" s="6">
        <v>0</v>
      </c>
      <c r="BD927" s="6">
        <v>41862</v>
      </c>
      <c r="BE927" s="6">
        <v>0</v>
      </c>
      <c r="BF927" s="6">
        <v>41862</v>
      </c>
      <c r="BG927" s="6">
        <v>41961</v>
      </c>
      <c r="BH927" s="6">
        <v>0</v>
      </c>
      <c r="BI927" s="6">
        <v>0</v>
      </c>
      <c r="BJ927" s="6">
        <v>0</v>
      </c>
      <c r="BK927" s="4">
        <v>0</v>
      </c>
      <c r="BL927" s="4">
        <v>0</v>
      </c>
      <c r="BM927" s="20">
        <v>49</v>
      </c>
      <c r="BN927" s="20">
        <v>1</v>
      </c>
      <c r="BO927" s="20">
        <v>0</v>
      </c>
      <c r="BP927" s="20">
        <v>0</v>
      </c>
      <c r="BQ927" s="20">
        <v>0</v>
      </c>
      <c r="BR927" s="20">
        <v>0</v>
      </c>
      <c r="BS927" s="20">
        <v>50</v>
      </c>
      <c r="BT927" s="20">
        <v>1051000</v>
      </c>
      <c r="BU927" s="20">
        <v>4450000</v>
      </c>
      <c r="BV927" s="20">
        <v>3.849147997578064</v>
      </c>
    </row>
    <row r="928" spans="1:74">
      <c r="A928" s="10">
        <f t="shared" si="58"/>
        <v>0</v>
      </c>
      <c r="B928" s="10">
        <f t="shared" si="59"/>
        <v>0</v>
      </c>
      <c r="C928" s="12">
        <f t="shared" si="60"/>
        <v>8</v>
      </c>
      <c r="D928" s="12">
        <f t="shared" si="61"/>
        <v>8</v>
      </c>
      <c r="E928" s="20" t="s">
        <v>574</v>
      </c>
      <c r="F928" s="20" t="s">
        <v>3089</v>
      </c>
      <c r="G928" s="20" t="s">
        <v>3421</v>
      </c>
      <c r="H928" s="20" t="s">
        <v>3434</v>
      </c>
      <c r="I928" s="20">
        <v>2</v>
      </c>
      <c r="J928" s="20" t="s">
        <v>3435</v>
      </c>
      <c r="K928" s="20" t="s">
        <v>3436</v>
      </c>
      <c r="L928" s="20" t="s">
        <v>3425</v>
      </c>
      <c r="M928" s="20" t="s">
        <v>2667</v>
      </c>
      <c r="N928" s="20" t="s">
        <v>3426</v>
      </c>
      <c r="P928" s="20" t="s">
        <v>2667</v>
      </c>
      <c r="Q928" s="20" t="s">
        <v>2674</v>
      </c>
      <c r="R928" s="20" t="s">
        <v>84</v>
      </c>
      <c r="S928" s="20">
        <v>4</v>
      </c>
      <c r="T928" s="20" t="s">
        <v>674</v>
      </c>
      <c r="U928" s="20" t="s">
        <v>675</v>
      </c>
      <c r="V928" s="20" t="s">
        <v>87</v>
      </c>
      <c r="W928" s="20">
        <v>832</v>
      </c>
      <c r="X928" s="20">
        <v>832</v>
      </c>
      <c r="Y928" s="20" t="s">
        <v>3427</v>
      </c>
      <c r="Z928" s="20">
        <v>0.1111111111111111</v>
      </c>
      <c r="AA928" s="20" t="s">
        <v>3437</v>
      </c>
      <c r="AB928" s="20" t="s">
        <v>457</v>
      </c>
      <c r="AC928" s="20" t="s">
        <v>458</v>
      </c>
      <c r="AD928" s="20" t="s">
        <v>3438</v>
      </c>
      <c r="AE928" s="20" t="s">
        <v>400</v>
      </c>
      <c r="AF928" s="20">
        <v>0.33333333333333331</v>
      </c>
      <c r="AG928" s="20">
        <v>0</v>
      </c>
      <c r="AH928" s="20">
        <v>1</v>
      </c>
      <c r="AI928" s="4" t="s">
        <v>643</v>
      </c>
      <c r="AJ928" s="20">
        <v>50</v>
      </c>
      <c r="AK928" s="4" t="s">
        <v>780</v>
      </c>
      <c r="AL928" s="4">
        <v>9</v>
      </c>
      <c r="AM928" s="4" t="s">
        <v>235</v>
      </c>
      <c r="AN928" s="4" t="s">
        <v>95</v>
      </c>
      <c r="AO928" s="4" t="s">
        <v>131</v>
      </c>
      <c r="AP928" s="4">
        <v>2</v>
      </c>
      <c r="AQ928" s="20">
        <v>89000</v>
      </c>
      <c r="AR928" s="4">
        <v>41855</v>
      </c>
      <c r="AS928" s="20">
        <v>22474.74747474747</v>
      </c>
      <c r="AT928" s="20">
        <v>21020</v>
      </c>
      <c r="AU928" s="20">
        <v>-1454.7474747474698</v>
      </c>
      <c r="AW928" s="20">
        <v>20</v>
      </c>
      <c r="AY928" s="20">
        <v>20</v>
      </c>
      <c r="BA928" s="20">
        <v>21000</v>
      </c>
      <c r="BB928" s="6">
        <v>41855</v>
      </c>
      <c r="BC928" s="6">
        <v>0</v>
      </c>
      <c r="BD928" s="6">
        <v>41862</v>
      </c>
      <c r="BE928" s="6">
        <v>0</v>
      </c>
      <c r="BF928" s="6">
        <v>41862</v>
      </c>
      <c r="BG928" s="6">
        <v>0</v>
      </c>
      <c r="BH928" s="6">
        <v>0</v>
      </c>
      <c r="BI928" s="6">
        <v>0</v>
      </c>
      <c r="BJ928" s="6">
        <v>0</v>
      </c>
      <c r="BK928" s="4">
        <v>0</v>
      </c>
      <c r="BL928" s="4">
        <v>0</v>
      </c>
      <c r="BM928" s="20">
        <v>50</v>
      </c>
      <c r="BN928" s="20">
        <v>0</v>
      </c>
      <c r="BO928" s="20">
        <v>0</v>
      </c>
      <c r="BP928" s="20">
        <v>0</v>
      </c>
      <c r="BQ928" s="20">
        <v>0</v>
      </c>
      <c r="BR928" s="20">
        <v>0</v>
      </c>
      <c r="BS928" s="20">
        <v>50</v>
      </c>
      <c r="BT928" s="20">
        <v>1051000</v>
      </c>
      <c r="BU928" s="20">
        <v>4450000</v>
      </c>
      <c r="BV928" s="20">
        <v>3.849147997578064</v>
      </c>
    </row>
    <row r="929" spans="1:74">
      <c r="A929" s="10">
        <f t="shared" si="58"/>
        <v>0</v>
      </c>
      <c r="B929" s="10">
        <f t="shared" si="59"/>
        <v>0</v>
      </c>
      <c r="C929" s="12">
        <f t="shared" si="60"/>
        <v>8</v>
      </c>
      <c r="D929" s="12">
        <f t="shared" si="61"/>
        <v>8</v>
      </c>
      <c r="E929" s="20" t="s">
        <v>574</v>
      </c>
      <c r="F929" s="20" t="s">
        <v>3089</v>
      </c>
      <c r="G929" s="20" t="s">
        <v>3421</v>
      </c>
      <c r="H929" s="20" t="s">
        <v>3434</v>
      </c>
      <c r="I929" s="20">
        <v>2</v>
      </c>
      <c r="J929" s="20" t="s">
        <v>3435</v>
      </c>
      <c r="K929" s="20" t="s">
        <v>3439</v>
      </c>
      <c r="L929" s="20" t="s">
        <v>3425</v>
      </c>
      <c r="M929" s="20" t="s">
        <v>2667</v>
      </c>
      <c r="N929" s="20" t="s">
        <v>3426</v>
      </c>
      <c r="P929" s="20" t="s">
        <v>2667</v>
      </c>
      <c r="Q929" s="20" t="s">
        <v>2674</v>
      </c>
      <c r="R929" s="20" t="s">
        <v>84</v>
      </c>
      <c r="S929" s="20">
        <v>4</v>
      </c>
      <c r="T929" s="20" t="s">
        <v>674</v>
      </c>
      <c r="U929" s="20" t="s">
        <v>675</v>
      </c>
      <c r="V929" s="20" t="s">
        <v>87</v>
      </c>
      <c r="W929" s="20">
        <v>832</v>
      </c>
      <c r="X929" s="20">
        <v>832</v>
      </c>
      <c r="Y929" s="20" t="s">
        <v>3427</v>
      </c>
      <c r="Z929" s="20">
        <v>0.1111111111111111</v>
      </c>
      <c r="AA929" s="20" t="s">
        <v>3440</v>
      </c>
      <c r="AB929" s="20" t="s">
        <v>457</v>
      </c>
      <c r="AC929" s="20" t="s">
        <v>458</v>
      </c>
      <c r="AD929" s="20" t="s">
        <v>3438</v>
      </c>
      <c r="AE929" s="20" t="s">
        <v>400</v>
      </c>
      <c r="AF929" s="20">
        <v>0.33333333333333331</v>
      </c>
      <c r="AG929" s="20">
        <v>0</v>
      </c>
      <c r="AH929" s="20">
        <v>1</v>
      </c>
      <c r="AI929" s="4" t="s">
        <v>647</v>
      </c>
      <c r="AJ929" s="20">
        <v>50</v>
      </c>
      <c r="AK929" s="4" t="s">
        <v>780</v>
      </c>
      <c r="AL929" s="4">
        <v>9</v>
      </c>
      <c r="AM929" s="4" t="s">
        <v>235</v>
      </c>
      <c r="AN929" s="4" t="s">
        <v>95</v>
      </c>
      <c r="AO929" s="4" t="s">
        <v>131</v>
      </c>
      <c r="AP929" s="4">
        <v>2</v>
      </c>
      <c r="AQ929" s="20">
        <v>89000</v>
      </c>
      <c r="AR929" s="4">
        <v>41855</v>
      </c>
      <c r="AS929" s="20">
        <v>22474.74747474747</v>
      </c>
      <c r="AT929" s="20">
        <v>21020</v>
      </c>
      <c r="AU929" s="20">
        <v>-1454.7474747474698</v>
      </c>
      <c r="AW929" s="20">
        <v>20</v>
      </c>
      <c r="AY929" s="20">
        <v>20</v>
      </c>
      <c r="BA929" s="20">
        <v>21000</v>
      </c>
      <c r="BB929" s="6">
        <v>41855</v>
      </c>
      <c r="BC929" s="6">
        <v>0</v>
      </c>
      <c r="BD929" s="6">
        <v>41862</v>
      </c>
      <c r="BE929" s="6">
        <v>0</v>
      </c>
      <c r="BF929" s="6">
        <v>41862</v>
      </c>
      <c r="BG929" s="6">
        <v>0</v>
      </c>
      <c r="BH929" s="6">
        <v>0</v>
      </c>
      <c r="BI929" s="6">
        <v>0</v>
      </c>
      <c r="BJ929" s="6">
        <v>0</v>
      </c>
      <c r="BK929" s="4">
        <v>0</v>
      </c>
      <c r="BL929" s="4">
        <v>0</v>
      </c>
      <c r="BM929" s="20">
        <v>50</v>
      </c>
      <c r="BN929" s="20">
        <v>0</v>
      </c>
      <c r="BO929" s="20">
        <v>0</v>
      </c>
      <c r="BP929" s="20">
        <v>0</v>
      </c>
      <c r="BQ929" s="20">
        <v>0</v>
      </c>
      <c r="BR929" s="20">
        <v>0</v>
      </c>
      <c r="BS929" s="20">
        <v>50</v>
      </c>
      <c r="BT929" s="20">
        <v>1051000</v>
      </c>
      <c r="BU929" s="20">
        <v>4450000</v>
      </c>
      <c r="BV929" s="20">
        <v>3.849147997578064</v>
      </c>
    </row>
    <row r="930" spans="1:74">
      <c r="A930" s="10">
        <f t="shared" si="58"/>
        <v>0</v>
      </c>
      <c r="B930" s="10">
        <f t="shared" si="59"/>
        <v>0</v>
      </c>
      <c r="C930" s="12">
        <f t="shared" si="60"/>
        <v>8</v>
      </c>
      <c r="D930" s="12">
        <f t="shared" si="61"/>
        <v>8</v>
      </c>
      <c r="E930" s="20" t="s">
        <v>574</v>
      </c>
      <c r="F930" s="20" t="s">
        <v>3089</v>
      </c>
      <c r="G930" s="20" t="s">
        <v>3421</v>
      </c>
      <c r="H930" s="20" t="s">
        <v>3434</v>
      </c>
      <c r="I930" s="20">
        <v>2</v>
      </c>
      <c r="J930" s="20" t="s">
        <v>3435</v>
      </c>
      <c r="K930" s="20" t="s">
        <v>3441</v>
      </c>
      <c r="L930" s="20" t="s">
        <v>3425</v>
      </c>
      <c r="M930" s="20" t="s">
        <v>2667</v>
      </c>
      <c r="N930" s="20" t="s">
        <v>3426</v>
      </c>
      <c r="P930" s="20" t="s">
        <v>2667</v>
      </c>
      <c r="Q930" s="20" t="s">
        <v>2674</v>
      </c>
      <c r="R930" s="20" t="s">
        <v>84</v>
      </c>
      <c r="S930" s="20">
        <v>4</v>
      </c>
      <c r="T930" s="20" t="s">
        <v>674</v>
      </c>
      <c r="U930" s="20" t="s">
        <v>675</v>
      </c>
      <c r="V930" s="20" t="s">
        <v>87</v>
      </c>
      <c r="W930" s="20">
        <v>832</v>
      </c>
      <c r="X930" s="20">
        <v>832</v>
      </c>
      <c r="Y930" s="20" t="s">
        <v>3427</v>
      </c>
      <c r="Z930" s="20">
        <v>0.1111111111111111</v>
      </c>
      <c r="AA930" s="20" t="s">
        <v>3442</v>
      </c>
      <c r="AB930" s="20" t="s">
        <v>457</v>
      </c>
      <c r="AC930" s="20" t="s">
        <v>458</v>
      </c>
      <c r="AD930" s="20" t="s">
        <v>3438</v>
      </c>
      <c r="AE930" s="20" t="s">
        <v>400</v>
      </c>
      <c r="AF930" s="20">
        <v>0.33333333333333331</v>
      </c>
      <c r="AG930" s="20">
        <v>0</v>
      </c>
      <c r="AH930" s="20">
        <v>1</v>
      </c>
      <c r="AI930" s="4" t="s">
        <v>651</v>
      </c>
      <c r="AJ930" s="20">
        <v>50</v>
      </c>
      <c r="AK930" s="4" t="s">
        <v>780</v>
      </c>
      <c r="AL930" s="4">
        <v>9</v>
      </c>
      <c r="AM930" s="4" t="s">
        <v>235</v>
      </c>
      <c r="AN930" s="4" t="s">
        <v>95</v>
      </c>
      <c r="AO930" s="4" t="s">
        <v>131</v>
      </c>
      <c r="AP930" s="4">
        <v>2</v>
      </c>
      <c r="AQ930" s="20">
        <v>89000</v>
      </c>
      <c r="AR930" s="4">
        <v>41855</v>
      </c>
      <c r="AS930" s="20">
        <v>22474.74747474747</v>
      </c>
      <c r="AT930" s="20">
        <v>21020</v>
      </c>
      <c r="AU930" s="20">
        <v>-1454.7474747474698</v>
      </c>
      <c r="AW930" s="20">
        <v>20</v>
      </c>
      <c r="AY930" s="20">
        <v>20</v>
      </c>
      <c r="BA930" s="20">
        <v>21000</v>
      </c>
      <c r="BB930" s="6">
        <v>41855</v>
      </c>
      <c r="BC930" s="6">
        <v>0</v>
      </c>
      <c r="BD930" s="6">
        <v>41862</v>
      </c>
      <c r="BE930" s="6">
        <v>0</v>
      </c>
      <c r="BF930" s="6">
        <v>41862</v>
      </c>
      <c r="BG930" s="6">
        <v>0</v>
      </c>
      <c r="BH930" s="6">
        <v>0</v>
      </c>
      <c r="BI930" s="6">
        <v>0</v>
      </c>
      <c r="BJ930" s="6">
        <v>0</v>
      </c>
      <c r="BK930" s="4">
        <v>0</v>
      </c>
      <c r="BL930" s="4">
        <v>0</v>
      </c>
      <c r="BM930" s="20">
        <v>50</v>
      </c>
      <c r="BN930" s="20">
        <v>0</v>
      </c>
      <c r="BO930" s="20">
        <v>0</v>
      </c>
      <c r="BP930" s="20">
        <v>0</v>
      </c>
      <c r="BQ930" s="20">
        <v>0</v>
      </c>
      <c r="BR930" s="20">
        <v>0</v>
      </c>
      <c r="BS930" s="20">
        <v>50</v>
      </c>
      <c r="BT930" s="20">
        <v>1051000</v>
      </c>
      <c r="BU930" s="20">
        <v>4450000</v>
      </c>
      <c r="BV930" s="20">
        <v>3.849147997578064</v>
      </c>
    </row>
    <row r="931" spans="1:74">
      <c r="A931" s="10">
        <f t="shared" si="58"/>
        <v>0</v>
      </c>
      <c r="B931" s="10">
        <f t="shared" si="59"/>
        <v>0</v>
      </c>
      <c r="C931" s="12">
        <f t="shared" si="60"/>
        <v>8</v>
      </c>
      <c r="D931" s="12">
        <f t="shared" si="61"/>
        <v>8</v>
      </c>
      <c r="E931" s="20" t="s">
        <v>574</v>
      </c>
      <c r="F931" s="20" t="s">
        <v>3089</v>
      </c>
      <c r="G931" s="20" t="s">
        <v>3421</v>
      </c>
      <c r="H931" s="20" t="s">
        <v>3443</v>
      </c>
      <c r="I931" s="20">
        <v>3</v>
      </c>
      <c r="J931" s="20" t="s">
        <v>3444</v>
      </c>
      <c r="K931" s="20" t="s">
        <v>3445</v>
      </c>
      <c r="L931" s="20" t="s">
        <v>3425</v>
      </c>
      <c r="M931" s="20" t="s">
        <v>2667</v>
      </c>
      <c r="N931" s="20" t="s">
        <v>3426</v>
      </c>
      <c r="P931" s="20" t="s">
        <v>2667</v>
      </c>
      <c r="Q931" s="20" t="s">
        <v>2674</v>
      </c>
      <c r="R931" s="20" t="s">
        <v>84</v>
      </c>
      <c r="S931" s="20">
        <v>4</v>
      </c>
      <c r="T931" s="20" t="s">
        <v>674</v>
      </c>
      <c r="U931" s="20" t="s">
        <v>675</v>
      </c>
      <c r="V931" s="20" t="s">
        <v>87</v>
      </c>
      <c r="W931" s="20">
        <v>832</v>
      </c>
      <c r="X931" s="20">
        <v>832</v>
      </c>
      <c r="Y931" s="20" t="s">
        <v>3427</v>
      </c>
      <c r="Z931" s="20">
        <v>0.1111111111111111</v>
      </c>
      <c r="AA931" s="20" t="s">
        <v>3446</v>
      </c>
      <c r="AB931" s="20" t="s">
        <v>89</v>
      </c>
      <c r="AC931" s="20" t="s">
        <v>90</v>
      </c>
      <c r="AD931" s="20" t="s">
        <v>3447</v>
      </c>
      <c r="AE931" s="20" t="s">
        <v>400</v>
      </c>
      <c r="AF931" s="20">
        <v>0.33333333333333331</v>
      </c>
      <c r="AG931" s="20">
        <v>0</v>
      </c>
      <c r="AH931" s="20">
        <v>1</v>
      </c>
      <c r="AI931" s="4" t="s">
        <v>643</v>
      </c>
      <c r="AJ931" s="20">
        <v>50</v>
      </c>
      <c r="AK931" s="4" t="s">
        <v>780</v>
      </c>
      <c r="AL931" s="4">
        <v>9</v>
      </c>
      <c r="AM931" s="4" t="s">
        <v>235</v>
      </c>
      <c r="AN931" s="4" t="s">
        <v>95</v>
      </c>
      <c r="AO931" s="4" t="s">
        <v>131</v>
      </c>
      <c r="AP931" s="4">
        <v>2</v>
      </c>
      <c r="AQ931" s="20">
        <v>89000</v>
      </c>
      <c r="AR931" s="4">
        <v>41855</v>
      </c>
      <c r="AS931" s="20">
        <v>22474.74747474747</v>
      </c>
      <c r="AT931" s="20">
        <v>20020</v>
      </c>
      <c r="AU931" s="20">
        <v>-2454.7474747474698</v>
      </c>
      <c r="AW931" s="20">
        <v>20</v>
      </c>
      <c r="AY931" s="20">
        <v>20</v>
      </c>
      <c r="BA931" s="20">
        <v>20000</v>
      </c>
      <c r="BB931" s="6">
        <v>41855</v>
      </c>
      <c r="BC931" s="6">
        <v>0</v>
      </c>
      <c r="BD931" s="6">
        <v>41862</v>
      </c>
      <c r="BE931" s="6">
        <v>0</v>
      </c>
      <c r="BF931" s="6">
        <v>41862</v>
      </c>
      <c r="BG931" s="6">
        <v>0</v>
      </c>
      <c r="BH931" s="6">
        <v>0</v>
      </c>
      <c r="BI931" s="6">
        <v>0</v>
      </c>
      <c r="BJ931" s="6">
        <v>0</v>
      </c>
      <c r="BK931" s="4">
        <v>0</v>
      </c>
      <c r="BL931" s="4">
        <v>0</v>
      </c>
      <c r="BM931" s="20">
        <v>50</v>
      </c>
      <c r="BN931" s="20">
        <v>0</v>
      </c>
      <c r="BO931" s="20">
        <v>0</v>
      </c>
      <c r="BP931" s="20">
        <v>0</v>
      </c>
      <c r="BQ931" s="20">
        <v>0</v>
      </c>
      <c r="BR931" s="20">
        <v>0</v>
      </c>
      <c r="BS931" s="20">
        <v>50</v>
      </c>
      <c r="BT931" s="20">
        <v>1001000</v>
      </c>
      <c r="BU931" s="20">
        <v>4450000</v>
      </c>
      <c r="BV931" s="20">
        <v>4.0414131323222229</v>
      </c>
    </row>
    <row r="932" spans="1:74">
      <c r="A932" s="10">
        <f t="shared" si="58"/>
        <v>0</v>
      </c>
      <c r="B932" s="10">
        <f t="shared" si="59"/>
        <v>0</v>
      </c>
      <c r="C932" s="12">
        <f t="shared" si="60"/>
        <v>8</v>
      </c>
      <c r="D932" s="12">
        <f t="shared" si="61"/>
        <v>8</v>
      </c>
      <c r="E932" s="20" t="s">
        <v>574</v>
      </c>
      <c r="F932" s="20" t="s">
        <v>3089</v>
      </c>
      <c r="G932" s="20" t="s">
        <v>3421</v>
      </c>
      <c r="H932" s="20" t="s">
        <v>3443</v>
      </c>
      <c r="I932" s="20">
        <v>3</v>
      </c>
      <c r="J932" s="20" t="s">
        <v>3444</v>
      </c>
      <c r="K932" s="20" t="s">
        <v>3448</v>
      </c>
      <c r="L932" s="20" t="s">
        <v>3425</v>
      </c>
      <c r="M932" s="20" t="s">
        <v>2667</v>
      </c>
      <c r="N932" s="20" t="s">
        <v>3426</v>
      </c>
      <c r="P932" s="20" t="s">
        <v>2667</v>
      </c>
      <c r="Q932" s="20" t="s">
        <v>2674</v>
      </c>
      <c r="R932" s="20" t="s">
        <v>84</v>
      </c>
      <c r="S932" s="20">
        <v>4</v>
      </c>
      <c r="T932" s="20" t="s">
        <v>674</v>
      </c>
      <c r="U932" s="20" t="s">
        <v>675</v>
      </c>
      <c r="V932" s="20" t="s">
        <v>87</v>
      </c>
      <c r="W932" s="20">
        <v>832</v>
      </c>
      <c r="X932" s="20">
        <v>832</v>
      </c>
      <c r="Y932" s="20" t="s">
        <v>3427</v>
      </c>
      <c r="Z932" s="20">
        <v>0.1111111111111111</v>
      </c>
      <c r="AA932" s="20" t="s">
        <v>3449</v>
      </c>
      <c r="AB932" s="20" t="s">
        <v>89</v>
      </c>
      <c r="AC932" s="20" t="s">
        <v>90</v>
      </c>
      <c r="AD932" s="20" t="s">
        <v>3447</v>
      </c>
      <c r="AE932" s="20" t="s">
        <v>400</v>
      </c>
      <c r="AF932" s="20">
        <v>0.33333333333333331</v>
      </c>
      <c r="AG932" s="20">
        <v>0</v>
      </c>
      <c r="AH932" s="20">
        <v>1</v>
      </c>
      <c r="AI932" s="4" t="s">
        <v>647</v>
      </c>
      <c r="AJ932" s="20">
        <v>50</v>
      </c>
      <c r="AK932" s="4" t="s">
        <v>780</v>
      </c>
      <c r="AL932" s="4">
        <v>9</v>
      </c>
      <c r="AM932" s="4" t="s">
        <v>235</v>
      </c>
      <c r="AN932" s="4" t="s">
        <v>95</v>
      </c>
      <c r="AO932" s="4" t="s">
        <v>131</v>
      </c>
      <c r="AP932" s="4">
        <v>2</v>
      </c>
      <c r="AQ932" s="20">
        <v>89000</v>
      </c>
      <c r="AR932" s="4">
        <v>41855</v>
      </c>
      <c r="AS932" s="20">
        <v>22474.74747474747</v>
      </c>
      <c r="AT932" s="20">
        <v>20020</v>
      </c>
      <c r="AU932" s="20">
        <v>-2454.7474747474698</v>
      </c>
      <c r="AW932" s="20">
        <v>20</v>
      </c>
      <c r="AY932" s="20">
        <v>20</v>
      </c>
      <c r="BA932" s="20">
        <v>20000</v>
      </c>
      <c r="BB932" s="6">
        <v>41855</v>
      </c>
      <c r="BC932" s="6">
        <v>0</v>
      </c>
      <c r="BD932" s="6">
        <v>41862</v>
      </c>
      <c r="BE932" s="6">
        <v>0</v>
      </c>
      <c r="BF932" s="6">
        <v>41862</v>
      </c>
      <c r="BG932" s="6">
        <v>0</v>
      </c>
      <c r="BH932" s="6">
        <v>0</v>
      </c>
      <c r="BI932" s="6">
        <v>0</v>
      </c>
      <c r="BJ932" s="6">
        <v>0</v>
      </c>
      <c r="BK932" s="4">
        <v>0</v>
      </c>
      <c r="BL932" s="4">
        <v>0</v>
      </c>
      <c r="BM932" s="20">
        <v>50</v>
      </c>
      <c r="BN932" s="20">
        <v>0</v>
      </c>
      <c r="BO932" s="20">
        <v>0</v>
      </c>
      <c r="BP932" s="20">
        <v>0</v>
      </c>
      <c r="BQ932" s="20">
        <v>0</v>
      </c>
      <c r="BR932" s="20">
        <v>0</v>
      </c>
      <c r="BS932" s="20">
        <v>50</v>
      </c>
      <c r="BT932" s="20">
        <v>1001000</v>
      </c>
      <c r="BU932" s="20">
        <v>4450000</v>
      </c>
      <c r="BV932" s="20">
        <v>4.0414131323222229</v>
      </c>
    </row>
    <row r="933" spans="1:74">
      <c r="A933" s="10">
        <f t="shared" si="58"/>
        <v>0</v>
      </c>
      <c r="B933" s="10">
        <f t="shared" si="59"/>
        <v>0</v>
      </c>
      <c r="C933" s="12">
        <f t="shared" si="60"/>
        <v>8</v>
      </c>
      <c r="D933" s="12">
        <f t="shared" si="61"/>
        <v>8</v>
      </c>
      <c r="E933" s="20" t="s">
        <v>574</v>
      </c>
      <c r="F933" s="20" t="s">
        <v>3089</v>
      </c>
      <c r="G933" s="20" t="s">
        <v>3421</v>
      </c>
      <c r="H933" s="20" t="s">
        <v>3443</v>
      </c>
      <c r="I933" s="20">
        <v>3</v>
      </c>
      <c r="J933" s="20" t="s">
        <v>3444</v>
      </c>
      <c r="K933" s="20" t="s">
        <v>3450</v>
      </c>
      <c r="L933" s="20" t="s">
        <v>3425</v>
      </c>
      <c r="M933" s="20" t="s">
        <v>2667</v>
      </c>
      <c r="N933" s="20" t="s">
        <v>3426</v>
      </c>
      <c r="P933" s="20" t="s">
        <v>2667</v>
      </c>
      <c r="Q933" s="20" t="s">
        <v>2674</v>
      </c>
      <c r="R933" s="20" t="s">
        <v>84</v>
      </c>
      <c r="S933" s="20">
        <v>4</v>
      </c>
      <c r="T933" s="20" t="s">
        <v>674</v>
      </c>
      <c r="U933" s="20" t="s">
        <v>675</v>
      </c>
      <c r="V933" s="20" t="s">
        <v>87</v>
      </c>
      <c r="W933" s="20">
        <v>832</v>
      </c>
      <c r="X933" s="20">
        <v>832</v>
      </c>
      <c r="Y933" s="20" t="s">
        <v>3427</v>
      </c>
      <c r="Z933" s="20">
        <v>0.1111111111111111</v>
      </c>
      <c r="AA933" s="20" t="s">
        <v>3451</v>
      </c>
      <c r="AB933" s="20" t="s">
        <v>89</v>
      </c>
      <c r="AC933" s="20" t="s">
        <v>90</v>
      </c>
      <c r="AD933" s="20" t="s">
        <v>3447</v>
      </c>
      <c r="AE933" s="20" t="s">
        <v>400</v>
      </c>
      <c r="AF933" s="20">
        <v>0.33333333333333331</v>
      </c>
      <c r="AG933" s="20">
        <v>0</v>
      </c>
      <c r="AH933" s="20">
        <v>1</v>
      </c>
      <c r="AI933" s="4" t="s">
        <v>651</v>
      </c>
      <c r="AJ933" s="20">
        <v>50</v>
      </c>
      <c r="AK933" s="4" t="s">
        <v>780</v>
      </c>
      <c r="AL933" s="4">
        <v>9</v>
      </c>
      <c r="AM933" s="4" t="s">
        <v>235</v>
      </c>
      <c r="AN933" s="4" t="s">
        <v>95</v>
      </c>
      <c r="AO933" s="4" t="s">
        <v>131</v>
      </c>
      <c r="AP933" s="4">
        <v>2</v>
      </c>
      <c r="AQ933" s="20">
        <v>89000</v>
      </c>
      <c r="AR933" s="4">
        <v>41855</v>
      </c>
      <c r="AS933" s="20">
        <v>22474.74747474747</v>
      </c>
      <c r="AT933" s="20">
        <v>20020</v>
      </c>
      <c r="AU933" s="20">
        <v>-2454.7474747474698</v>
      </c>
      <c r="AW933" s="20">
        <v>20</v>
      </c>
      <c r="AY933" s="20">
        <v>20</v>
      </c>
      <c r="BA933" s="20">
        <v>20000</v>
      </c>
      <c r="BB933" s="6">
        <v>41855</v>
      </c>
      <c r="BC933" s="6">
        <v>0</v>
      </c>
      <c r="BD933" s="6">
        <v>41862</v>
      </c>
      <c r="BE933" s="6">
        <v>0</v>
      </c>
      <c r="BF933" s="6">
        <v>41862</v>
      </c>
      <c r="BG933" s="6">
        <v>0</v>
      </c>
      <c r="BH933" s="6">
        <v>0</v>
      </c>
      <c r="BI933" s="6">
        <v>0</v>
      </c>
      <c r="BJ933" s="6">
        <v>0</v>
      </c>
      <c r="BK933" s="4">
        <v>0</v>
      </c>
      <c r="BL933" s="4">
        <v>0</v>
      </c>
      <c r="BM933" s="20">
        <v>50</v>
      </c>
      <c r="BN933" s="20">
        <v>0</v>
      </c>
      <c r="BO933" s="20">
        <v>0</v>
      </c>
      <c r="BP933" s="20">
        <v>0</v>
      </c>
      <c r="BQ933" s="20">
        <v>0</v>
      </c>
      <c r="BR933" s="20">
        <v>0</v>
      </c>
      <c r="BS933" s="20">
        <v>50</v>
      </c>
      <c r="BT933" s="20">
        <v>1001000</v>
      </c>
      <c r="BU933" s="20">
        <v>4450000</v>
      </c>
      <c r="BV933" s="20">
        <v>4.0414131323222229</v>
      </c>
    </row>
    <row r="934" spans="1:74">
      <c r="A934" s="10">
        <f t="shared" si="58"/>
        <v>0</v>
      </c>
      <c r="B934" s="10">
        <f t="shared" si="59"/>
        <v>0</v>
      </c>
      <c r="C934" s="12">
        <f t="shared" si="60"/>
        <v>8</v>
      </c>
      <c r="D934" s="12">
        <f t="shared" si="61"/>
        <v>8</v>
      </c>
      <c r="E934" s="20" t="s">
        <v>574</v>
      </c>
      <c r="F934" s="20" t="s">
        <v>3089</v>
      </c>
      <c r="G934" s="20" t="s">
        <v>3421</v>
      </c>
      <c r="H934" s="20" t="s">
        <v>3452</v>
      </c>
      <c r="I934" s="20">
        <v>4</v>
      </c>
      <c r="J934" s="20" t="s">
        <v>3453</v>
      </c>
      <c r="K934" s="20" t="s">
        <v>3454</v>
      </c>
      <c r="L934" s="20" t="s">
        <v>3455</v>
      </c>
      <c r="M934" s="20" t="s">
        <v>2667</v>
      </c>
      <c r="N934" s="20" t="s">
        <v>3202</v>
      </c>
      <c r="P934" s="20" t="s">
        <v>2667</v>
      </c>
      <c r="Q934" s="20" t="s">
        <v>2674</v>
      </c>
      <c r="R934" s="20" t="s">
        <v>84</v>
      </c>
      <c r="S934" s="20">
        <v>4</v>
      </c>
      <c r="T934" s="20" t="s">
        <v>762</v>
      </c>
      <c r="U934" s="20" t="s">
        <v>763</v>
      </c>
      <c r="V934" s="20" t="s">
        <v>87</v>
      </c>
      <c r="W934" s="20">
        <v>833</v>
      </c>
      <c r="X934" s="20">
        <v>833</v>
      </c>
      <c r="Y934" s="20" t="s">
        <v>3456</v>
      </c>
      <c r="Z934" s="20">
        <v>0.1111111111111111</v>
      </c>
      <c r="AA934" s="20" t="s">
        <v>3457</v>
      </c>
      <c r="AB934" s="20" t="s">
        <v>248</v>
      </c>
      <c r="AC934" s="20" t="s">
        <v>249</v>
      </c>
      <c r="AD934" s="20" t="s">
        <v>3458</v>
      </c>
      <c r="AE934" s="20" t="s">
        <v>400</v>
      </c>
      <c r="AF934" s="20">
        <v>0.33333333333333331</v>
      </c>
      <c r="AG934" s="20">
        <v>0</v>
      </c>
      <c r="AH934" s="20">
        <v>1</v>
      </c>
      <c r="AI934" s="4" t="s">
        <v>643</v>
      </c>
      <c r="AJ934" s="20">
        <v>50</v>
      </c>
      <c r="AK934" s="4" t="s">
        <v>780</v>
      </c>
      <c r="AL934" s="4">
        <v>9</v>
      </c>
      <c r="AM934" s="4" t="s">
        <v>235</v>
      </c>
      <c r="AN934" s="4" t="s">
        <v>95</v>
      </c>
      <c r="AO934" s="4" t="s">
        <v>131</v>
      </c>
      <c r="AP934" s="4">
        <v>2</v>
      </c>
      <c r="AQ934" s="20">
        <v>59000</v>
      </c>
      <c r="AR934" s="4">
        <v>41855</v>
      </c>
      <c r="AS934" s="20">
        <v>14898.989898989897</v>
      </c>
      <c r="AT934" s="20">
        <v>12520</v>
      </c>
      <c r="AU934" s="20">
        <v>-2378.9898989898975</v>
      </c>
      <c r="AW934" s="20">
        <v>20</v>
      </c>
      <c r="AY934" s="20">
        <v>20</v>
      </c>
      <c r="BA934" s="20">
        <v>12500</v>
      </c>
      <c r="BB934" s="6">
        <v>41855</v>
      </c>
      <c r="BC934" s="6">
        <v>0</v>
      </c>
      <c r="BD934" s="6">
        <v>41862</v>
      </c>
      <c r="BE934" s="6">
        <v>0</v>
      </c>
      <c r="BF934" s="6">
        <v>41862</v>
      </c>
      <c r="BG934" s="6">
        <v>0</v>
      </c>
      <c r="BH934" s="6">
        <v>0</v>
      </c>
      <c r="BI934" s="6">
        <v>0</v>
      </c>
      <c r="BJ934" s="6">
        <v>0</v>
      </c>
      <c r="BK934" s="4">
        <v>0</v>
      </c>
      <c r="BL934" s="4">
        <v>0</v>
      </c>
      <c r="BM934" s="20">
        <v>50</v>
      </c>
      <c r="BN934" s="20">
        <v>0</v>
      </c>
      <c r="BO934" s="20">
        <v>0</v>
      </c>
      <c r="BP934" s="20">
        <v>0</v>
      </c>
      <c r="BQ934" s="20">
        <v>0</v>
      </c>
      <c r="BR934" s="20">
        <v>0</v>
      </c>
      <c r="BS934" s="20">
        <v>50</v>
      </c>
      <c r="BT934" s="20">
        <v>626000</v>
      </c>
      <c r="BU934" s="20">
        <v>2950000</v>
      </c>
      <c r="BV934" s="20">
        <v>4.2840546035434217</v>
      </c>
    </row>
    <row r="935" spans="1:74">
      <c r="A935" s="10">
        <f t="shared" si="58"/>
        <v>0</v>
      </c>
      <c r="B935" s="10">
        <f t="shared" si="59"/>
        <v>0</v>
      </c>
      <c r="C935" s="12">
        <f t="shared" si="60"/>
        <v>8</v>
      </c>
      <c r="D935" s="12">
        <f t="shared" si="61"/>
        <v>8</v>
      </c>
      <c r="E935" s="20" t="s">
        <v>574</v>
      </c>
      <c r="F935" s="20" t="s">
        <v>3089</v>
      </c>
      <c r="G935" s="20" t="s">
        <v>3421</v>
      </c>
      <c r="H935" s="20" t="s">
        <v>3452</v>
      </c>
      <c r="I935" s="20">
        <v>4</v>
      </c>
      <c r="J935" s="20" t="s">
        <v>3453</v>
      </c>
      <c r="K935" s="20" t="s">
        <v>3459</v>
      </c>
      <c r="L935" s="20" t="s">
        <v>3455</v>
      </c>
      <c r="M935" s="20" t="s">
        <v>2667</v>
      </c>
      <c r="N935" s="20" t="s">
        <v>3202</v>
      </c>
      <c r="P935" s="20" t="s">
        <v>2667</v>
      </c>
      <c r="Q935" s="20" t="s">
        <v>2674</v>
      </c>
      <c r="R935" s="20" t="s">
        <v>84</v>
      </c>
      <c r="S935" s="20">
        <v>4</v>
      </c>
      <c r="T935" s="20" t="s">
        <v>762</v>
      </c>
      <c r="U935" s="20" t="s">
        <v>763</v>
      </c>
      <c r="V935" s="20" t="s">
        <v>87</v>
      </c>
      <c r="W935" s="20">
        <v>833</v>
      </c>
      <c r="X935" s="20">
        <v>833</v>
      </c>
      <c r="Y935" s="20" t="s">
        <v>3456</v>
      </c>
      <c r="Z935" s="20">
        <v>0.1111111111111111</v>
      </c>
      <c r="AA935" s="20" t="s">
        <v>3460</v>
      </c>
      <c r="AB935" s="20" t="s">
        <v>248</v>
      </c>
      <c r="AC935" s="20" t="s">
        <v>249</v>
      </c>
      <c r="AD935" s="20" t="s">
        <v>3458</v>
      </c>
      <c r="AE935" s="20" t="s">
        <v>400</v>
      </c>
      <c r="AF935" s="20">
        <v>0.33333333333333331</v>
      </c>
      <c r="AG935" s="20">
        <v>0</v>
      </c>
      <c r="AH935" s="20">
        <v>1</v>
      </c>
      <c r="AI935" s="4" t="s">
        <v>647</v>
      </c>
      <c r="AJ935" s="20">
        <v>50</v>
      </c>
      <c r="AK935" s="4" t="s">
        <v>780</v>
      </c>
      <c r="AL935" s="4">
        <v>9</v>
      </c>
      <c r="AM935" s="4" t="s">
        <v>235</v>
      </c>
      <c r="AN935" s="4" t="s">
        <v>95</v>
      </c>
      <c r="AO935" s="4" t="s">
        <v>131</v>
      </c>
      <c r="AP935" s="4">
        <v>2</v>
      </c>
      <c r="AQ935" s="20">
        <v>59000</v>
      </c>
      <c r="AR935" s="4">
        <v>41855</v>
      </c>
      <c r="AS935" s="20">
        <v>14898.989898989897</v>
      </c>
      <c r="AT935" s="20">
        <v>12520</v>
      </c>
      <c r="AU935" s="20">
        <v>-2378.9898989898975</v>
      </c>
      <c r="AW935" s="20">
        <v>20</v>
      </c>
      <c r="AY935" s="20">
        <v>20</v>
      </c>
      <c r="BA935" s="20">
        <v>12500</v>
      </c>
      <c r="BB935" s="6">
        <v>41855</v>
      </c>
      <c r="BC935" s="6">
        <v>0</v>
      </c>
      <c r="BD935" s="6">
        <v>41862</v>
      </c>
      <c r="BE935" s="6">
        <v>0</v>
      </c>
      <c r="BF935" s="6">
        <v>41862</v>
      </c>
      <c r="BG935" s="6">
        <v>0</v>
      </c>
      <c r="BH935" s="6">
        <v>0</v>
      </c>
      <c r="BI935" s="6">
        <v>0</v>
      </c>
      <c r="BJ935" s="6">
        <v>0</v>
      </c>
      <c r="BK935" s="4">
        <v>0</v>
      </c>
      <c r="BL935" s="4">
        <v>0</v>
      </c>
      <c r="BM935" s="20">
        <v>50</v>
      </c>
      <c r="BN935" s="20">
        <v>0</v>
      </c>
      <c r="BO935" s="20">
        <v>0</v>
      </c>
      <c r="BP935" s="20">
        <v>0</v>
      </c>
      <c r="BQ935" s="20">
        <v>0</v>
      </c>
      <c r="BR935" s="20">
        <v>0</v>
      </c>
      <c r="BS935" s="20">
        <v>50</v>
      </c>
      <c r="BT935" s="20">
        <v>626000</v>
      </c>
      <c r="BU935" s="20">
        <v>2950000</v>
      </c>
      <c r="BV935" s="20">
        <v>4.2840546035434217</v>
      </c>
    </row>
    <row r="936" spans="1:74">
      <c r="A936" s="10">
        <f t="shared" si="58"/>
        <v>0</v>
      </c>
      <c r="B936" s="10">
        <f t="shared" si="59"/>
        <v>0</v>
      </c>
      <c r="C936" s="12">
        <f t="shared" si="60"/>
        <v>8</v>
      </c>
      <c r="D936" s="12">
        <f t="shared" si="61"/>
        <v>8</v>
      </c>
      <c r="E936" s="20" t="s">
        <v>574</v>
      </c>
      <c r="F936" s="20" t="s">
        <v>3089</v>
      </c>
      <c r="G936" s="20" t="s">
        <v>3421</v>
      </c>
      <c r="H936" s="20" t="s">
        <v>3452</v>
      </c>
      <c r="I936" s="20">
        <v>4</v>
      </c>
      <c r="J936" s="20" t="s">
        <v>3453</v>
      </c>
      <c r="K936" s="20" t="s">
        <v>3461</v>
      </c>
      <c r="L936" s="20" t="s">
        <v>3455</v>
      </c>
      <c r="M936" s="20" t="s">
        <v>2667</v>
      </c>
      <c r="N936" s="20" t="s">
        <v>3202</v>
      </c>
      <c r="P936" s="20" t="s">
        <v>2667</v>
      </c>
      <c r="Q936" s="20" t="s">
        <v>2674</v>
      </c>
      <c r="R936" s="20" t="s">
        <v>84</v>
      </c>
      <c r="S936" s="20">
        <v>4</v>
      </c>
      <c r="T936" s="20" t="s">
        <v>762</v>
      </c>
      <c r="U936" s="20" t="s">
        <v>763</v>
      </c>
      <c r="V936" s="20" t="s">
        <v>87</v>
      </c>
      <c r="W936" s="20">
        <v>833</v>
      </c>
      <c r="X936" s="20">
        <v>833</v>
      </c>
      <c r="Y936" s="20" t="s">
        <v>3456</v>
      </c>
      <c r="Z936" s="20">
        <v>0.1111111111111111</v>
      </c>
      <c r="AA936" s="20" t="s">
        <v>3462</v>
      </c>
      <c r="AB936" s="20" t="s">
        <v>248</v>
      </c>
      <c r="AC936" s="20" t="s">
        <v>249</v>
      </c>
      <c r="AD936" s="20" t="s">
        <v>3458</v>
      </c>
      <c r="AE936" s="20" t="s">
        <v>400</v>
      </c>
      <c r="AF936" s="20">
        <v>0.33333333333333331</v>
      </c>
      <c r="AG936" s="20">
        <v>0</v>
      </c>
      <c r="AH936" s="20">
        <v>1</v>
      </c>
      <c r="AI936" s="4" t="s">
        <v>651</v>
      </c>
      <c r="AJ936" s="20">
        <v>50</v>
      </c>
      <c r="AK936" s="4" t="s">
        <v>780</v>
      </c>
      <c r="AL936" s="4">
        <v>9</v>
      </c>
      <c r="AM936" s="4" t="s">
        <v>235</v>
      </c>
      <c r="AN936" s="4" t="s">
        <v>95</v>
      </c>
      <c r="AO936" s="4" t="s">
        <v>131</v>
      </c>
      <c r="AP936" s="4">
        <v>2</v>
      </c>
      <c r="AQ936" s="20">
        <v>59000</v>
      </c>
      <c r="AR936" s="4">
        <v>41855</v>
      </c>
      <c r="AS936" s="20">
        <v>14898.989898989897</v>
      </c>
      <c r="AT936" s="20">
        <v>12520</v>
      </c>
      <c r="AU936" s="20">
        <v>-2378.9898989898975</v>
      </c>
      <c r="AW936" s="20">
        <v>20</v>
      </c>
      <c r="AY936" s="20">
        <v>20</v>
      </c>
      <c r="BA936" s="20">
        <v>12500</v>
      </c>
      <c r="BB936" s="6">
        <v>41855</v>
      </c>
      <c r="BC936" s="6">
        <v>0</v>
      </c>
      <c r="BD936" s="6">
        <v>41862</v>
      </c>
      <c r="BE936" s="6">
        <v>0</v>
      </c>
      <c r="BF936" s="6">
        <v>41862</v>
      </c>
      <c r="BG936" s="6">
        <v>0</v>
      </c>
      <c r="BH936" s="6">
        <v>0</v>
      </c>
      <c r="BI936" s="6">
        <v>0</v>
      </c>
      <c r="BJ936" s="6">
        <v>0</v>
      </c>
      <c r="BK936" s="4">
        <v>0</v>
      </c>
      <c r="BL936" s="4">
        <v>0</v>
      </c>
      <c r="BM936" s="20">
        <v>50</v>
      </c>
      <c r="BN936" s="20">
        <v>0</v>
      </c>
      <c r="BO936" s="20">
        <v>0</v>
      </c>
      <c r="BP936" s="20">
        <v>0</v>
      </c>
      <c r="BQ936" s="20">
        <v>0</v>
      </c>
      <c r="BR936" s="20">
        <v>0</v>
      </c>
      <c r="BS936" s="20">
        <v>50</v>
      </c>
      <c r="BT936" s="20">
        <v>626000</v>
      </c>
      <c r="BU936" s="20">
        <v>2950000</v>
      </c>
      <c r="BV936" s="20">
        <v>4.2840546035434217</v>
      </c>
    </row>
    <row r="937" spans="1:74">
      <c r="A937" s="10">
        <f t="shared" si="58"/>
        <v>0</v>
      </c>
      <c r="B937" s="10">
        <f t="shared" si="59"/>
        <v>0</v>
      </c>
      <c r="C937" s="12">
        <f t="shared" si="60"/>
        <v>8</v>
      </c>
      <c r="D937" s="12">
        <f t="shared" si="61"/>
        <v>8</v>
      </c>
      <c r="E937" s="20" t="s">
        <v>574</v>
      </c>
      <c r="F937" s="20" t="s">
        <v>3089</v>
      </c>
      <c r="G937" s="20" t="s">
        <v>3421</v>
      </c>
      <c r="H937" s="20" t="s">
        <v>3463</v>
      </c>
      <c r="I937" s="20">
        <v>5</v>
      </c>
      <c r="J937" s="20" t="s">
        <v>3464</v>
      </c>
      <c r="K937" s="20" t="s">
        <v>3465</v>
      </c>
      <c r="L937" s="20" t="s">
        <v>3455</v>
      </c>
      <c r="M937" s="20" t="s">
        <v>2667</v>
      </c>
      <c r="N937" s="20" t="s">
        <v>3202</v>
      </c>
      <c r="P937" s="20" t="s">
        <v>2667</v>
      </c>
      <c r="Q937" s="20" t="s">
        <v>2674</v>
      </c>
      <c r="R937" s="20" t="s">
        <v>84</v>
      </c>
      <c r="S937" s="20">
        <v>4</v>
      </c>
      <c r="T937" s="20" t="s">
        <v>762</v>
      </c>
      <c r="U937" s="20" t="s">
        <v>763</v>
      </c>
      <c r="V937" s="20" t="s">
        <v>87</v>
      </c>
      <c r="W937" s="20">
        <v>833</v>
      </c>
      <c r="X937" s="20">
        <v>833</v>
      </c>
      <c r="Y937" s="20" t="s">
        <v>3456</v>
      </c>
      <c r="Z937" s="20">
        <v>0.1111111111111111</v>
      </c>
      <c r="AA937" s="20" t="s">
        <v>3466</v>
      </c>
      <c r="AB937" s="20" t="s">
        <v>457</v>
      </c>
      <c r="AC937" s="20" t="s">
        <v>458</v>
      </c>
      <c r="AD937" s="20" t="s">
        <v>3467</v>
      </c>
      <c r="AE937" s="20" t="s">
        <v>400</v>
      </c>
      <c r="AF937" s="20">
        <v>0.33333333333333331</v>
      </c>
      <c r="AG937" s="20">
        <v>0</v>
      </c>
      <c r="AH937" s="20">
        <v>1</v>
      </c>
      <c r="AI937" s="4" t="s">
        <v>643</v>
      </c>
      <c r="AJ937" s="20">
        <v>50</v>
      </c>
      <c r="AK937" s="4" t="s">
        <v>780</v>
      </c>
      <c r="AL937" s="4">
        <v>9</v>
      </c>
      <c r="AM937" s="4" t="s">
        <v>235</v>
      </c>
      <c r="AN937" s="4" t="s">
        <v>95</v>
      </c>
      <c r="AO937" s="4" t="s">
        <v>131</v>
      </c>
      <c r="AP937" s="4">
        <v>2</v>
      </c>
      <c r="AQ937" s="20">
        <v>59000</v>
      </c>
      <c r="AR937" s="4">
        <v>41855</v>
      </c>
      <c r="AS937" s="20">
        <v>14898.989898989897</v>
      </c>
      <c r="AT937" s="20">
        <v>12520</v>
      </c>
      <c r="AU937" s="20">
        <v>-2378.9898989898975</v>
      </c>
      <c r="AW937" s="20">
        <v>20</v>
      </c>
      <c r="AY937" s="20">
        <v>20</v>
      </c>
      <c r="BA937" s="20">
        <v>12500</v>
      </c>
      <c r="BB937" s="6">
        <v>41855</v>
      </c>
      <c r="BC937" s="6">
        <v>0</v>
      </c>
      <c r="BD937" s="6">
        <v>41862</v>
      </c>
      <c r="BE937" s="6">
        <v>0</v>
      </c>
      <c r="BF937" s="6">
        <v>41862</v>
      </c>
      <c r="BG937" s="6">
        <v>41961</v>
      </c>
      <c r="BH937" s="6">
        <v>0</v>
      </c>
      <c r="BI937" s="6">
        <v>0</v>
      </c>
      <c r="BJ937" s="6">
        <v>0</v>
      </c>
      <c r="BK937" s="4">
        <v>0</v>
      </c>
      <c r="BL937" s="4">
        <v>0</v>
      </c>
      <c r="BM937" s="20">
        <v>50</v>
      </c>
      <c r="BN937" s="20">
        <v>1</v>
      </c>
      <c r="BO937" s="20">
        <v>0</v>
      </c>
      <c r="BP937" s="20">
        <v>0</v>
      </c>
      <c r="BQ937" s="20">
        <v>0</v>
      </c>
      <c r="BR937" s="20">
        <v>0</v>
      </c>
      <c r="BS937" s="20">
        <v>50</v>
      </c>
      <c r="BT937" s="20">
        <v>626000</v>
      </c>
      <c r="BU937" s="20">
        <v>2950000</v>
      </c>
      <c r="BV937" s="20">
        <v>4.2840546035434217</v>
      </c>
    </row>
    <row r="938" spans="1:74">
      <c r="A938" s="10">
        <f t="shared" si="58"/>
        <v>0</v>
      </c>
      <c r="B938" s="10">
        <f t="shared" si="59"/>
        <v>0</v>
      </c>
      <c r="C938" s="12">
        <f t="shared" si="60"/>
        <v>8</v>
      </c>
      <c r="D938" s="12">
        <f t="shared" si="61"/>
        <v>8</v>
      </c>
      <c r="E938" s="20" t="s">
        <v>574</v>
      </c>
      <c r="F938" s="20" t="s">
        <v>3089</v>
      </c>
      <c r="G938" s="20" t="s">
        <v>3421</v>
      </c>
      <c r="H938" s="20" t="s">
        <v>3463</v>
      </c>
      <c r="I938" s="20">
        <v>5</v>
      </c>
      <c r="J938" s="20" t="s">
        <v>3464</v>
      </c>
      <c r="K938" s="20" t="s">
        <v>3468</v>
      </c>
      <c r="L938" s="20" t="s">
        <v>3455</v>
      </c>
      <c r="M938" s="20" t="s">
        <v>2667</v>
      </c>
      <c r="N938" s="20" t="s">
        <v>3202</v>
      </c>
      <c r="P938" s="20" t="s">
        <v>2667</v>
      </c>
      <c r="Q938" s="20" t="s">
        <v>2674</v>
      </c>
      <c r="R938" s="20" t="s">
        <v>84</v>
      </c>
      <c r="S938" s="20">
        <v>4</v>
      </c>
      <c r="T938" s="20" t="s">
        <v>762</v>
      </c>
      <c r="U938" s="20" t="s">
        <v>763</v>
      </c>
      <c r="V938" s="20" t="s">
        <v>87</v>
      </c>
      <c r="W938" s="20">
        <v>833</v>
      </c>
      <c r="X938" s="20">
        <v>833</v>
      </c>
      <c r="Y938" s="20" t="s">
        <v>3456</v>
      </c>
      <c r="Z938" s="20">
        <v>0.1111111111111111</v>
      </c>
      <c r="AA938" s="20" t="s">
        <v>3469</v>
      </c>
      <c r="AB938" s="20" t="s">
        <v>457</v>
      </c>
      <c r="AC938" s="20" t="s">
        <v>458</v>
      </c>
      <c r="AD938" s="20" t="s">
        <v>3467</v>
      </c>
      <c r="AE938" s="20" t="s">
        <v>400</v>
      </c>
      <c r="AF938" s="20">
        <v>0.33333333333333331</v>
      </c>
      <c r="AG938" s="20">
        <v>0</v>
      </c>
      <c r="AH938" s="20">
        <v>1</v>
      </c>
      <c r="AI938" s="4" t="s">
        <v>647</v>
      </c>
      <c r="AJ938" s="20">
        <v>50</v>
      </c>
      <c r="AK938" s="4" t="s">
        <v>780</v>
      </c>
      <c r="AL938" s="4">
        <v>9</v>
      </c>
      <c r="AM938" s="4" t="s">
        <v>235</v>
      </c>
      <c r="AN938" s="4" t="s">
        <v>95</v>
      </c>
      <c r="AO938" s="4" t="s">
        <v>131</v>
      </c>
      <c r="AP938" s="4">
        <v>2</v>
      </c>
      <c r="AQ938" s="20">
        <v>59000</v>
      </c>
      <c r="AR938" s="4">
        <v>41855</v>
      </c>
      <c r="AS938" s="20">
        <v>14898.989898989897</v>
      </c>
      <c r="AT938" s="20">
        <v>12520</v>
      </c>
      <c r="AU938" s="20">
        <v>-2378.9898989898975</v>
      </c>
      <c r="AW938" s="20">
        <v>20</v>
      </c>
      <c r="AY938" s="20">
        <v>20</v>
      </c>
      <c r="BA938" s="20">
        <v>12500</v>
      </c>
      <c r="BB938" s="6">
        <v>41855</v>
      </c>
      <c r="BC938" s="6">
        <v>0</v>
      </c>
      <c r="BD938" s="6">
        <v>41862</v>
      </c>
      <c r="BE938" s="6">
        <v>0</v>
      </c>
      <c r="BF938" s="6">
        <v>41862</v>
      </c>
      <c r="BG938" s="6">
        <v>41961</v>
      </c>
      <c r="BH938" s="6">
        <v>0</v>
      </c>
      <c r="BI938" s="6">
        <v>0</v>
      </c>
      <c r="BJ938" s="6">
        <v>0</v>
      </c>
      <c r="BK938" s="4">
        <v>0</v>
      </c>
      <c r="BL938" s="4">
        <v>0</v>
      </c>
      <c r="BM938" s="20">
        <v>50</v>
      </c>
      <c r="BN938" s="20">
        <v>0</v>
      </c>
      <c r="BO938" s="20">
        <v>0</v>
      </c>
      <c r="BP938" s="20">
        <v>0</v>
      </c>
      <c r="BQ938" s="20">
        <v>0</v>
      </c>
      <c r="BR938" s="20">
        <v>0</v>
      </c>
      <c r="BS938" s="20">
        <v>50</v>
      </c>
      <c r="BT938" s="20">
        <v>626000</v>
      </c>
      <c r="BU938" s="20">
        <v>2950000</v>
      </c>
      <c r="BV938" s="20">
        <v>4.2840546035434217</v>
      </c>
    </row>
    <row r="939" spans="1:74">
      <c r="A939" s="10">
        <f t="shared" si="58"/>
        <v>0</v>
      </c>
      <c r="B939" s="10">
        <f t="shared" si="59"/>
        <v>0</v>
      </c>
      <c r="C939" s="12">
        <f t="shared" si="60"/>
        <v>8</v>
      </c>
      <c r="D939" s="12">
        <f t="shared" si="61"/>
        <v>8</v>
      </c>
      <c r="E939" s="20" t="s">
        <v>574</v>
      </c>
      <c r="F939" s="20" t="s">
        <v>3089</v>
      </c>
      <c r="G939" s="20" t="s">
        <v>3421</v>
      </c>
      <c r="H939" s="20" t="s">
        <v>3463</v>
      </c>
      <c r="I939" s="20">
        <v>5</v>
      </c>
      <c r="J939" s="20" t="s">
        <v>3464</v>
      </c>
      <c r="K939" s="20" t="s">
        <v>3470</v>
      </c>
      <c r="L939" s="20" t="s">
        <v>3455</v>
      </c>
      <c r="M939" s="20" t="s">
        <v>2667</v>
      </c>
      <c r="N939" s="20" t="s">
        <v>3202</v>
      </c>
      <c r="P939" s="20" t="s">
        <v>2667</v>
      </c>
      <c r="Q939" s="20" t="s">
        <v>2674</v>
      </c>
      <c r="R939" s="20" t="s">
        <v>84</v>
      </c>
      <c r="S939" s="20">
        <v>4</v>
      </c>
      <c r="T939" s="20" t="s">
        <v>762</v>
      </c>
      <c r="U939" s="20" t="s">
        <v>763</v>
      </c>
      <c r="V939" s="20" t="s">
        <v>87</v>
      </c>
      <c r="W939" s="20">
        <v>833</v>
      </c>
      <c r="X939" s="20">
        <v>833</v>
      </c>
      <c r="Y939" s="20" t="s">
        <v>3456</v>
      </c>
      <c r="Z939" s="20">
        <v>0.1111111111111111</v>
      </c>
      <c r="AA939" s="20" t="s">
        <v>3471</v>
      </c>
      <c r="AB939" s="20" t="s">
        <v>457</v>
      </c>
      <c r="AC939" s="20" t="s">
        <v>458</v>
      </c>
      <c r="AD939" s="20" t="s">
        <v>3467</v>
      </c>
      <c r="AE939" s="20" t="s">
        <v>400</v>
      </c>
      <c r="AF939" s="20">
        <v>0.33333333333333331</v>
      </c>
      <c r="AG939" s="20">
        <v>0</v>
      </c>
      <c r="AH939" s="20">
        <v>1</v>
      </c>
      <c r="AI939" s="4" t="s">
        <v>651</v>
      </c>
      <c r="AJ939" s="20">
        <v>50</v>
      </c>
      <c r="AK939" s="4" t="s">
        <v>780</v>
      </c>
      <c r="AL939" s="4">
        <v>9</v>
      </c>
      <c r="AM939" s="4" t="s">
        <v>235</v>
      </c>
      <c r="AN939" s="4" t="s">
        <v>95</v>
      </c>
      <c r="AO939" s="4" t="s">
        <v>131</v>
      </c>
      <c r="AP939" s="4">
        <v>2</v>
      </c>
      <c r="AQ939" s="20">
        <v>59000</v>
      </c>
      <c r="AR939" s="4">
        <v>41855</v>
      </c>
      <c r="AS939" s="20">
        <v>14898.989898989897</v>
      </c>
      <c r="AT939" s="20">
        <v>12520</v>
      </c>
      <c r="AU939" s="20">
        <v>-2378.9898989898975</v>
      </c>
      <c r="AW939" s="20">
        <v>20</v>
      </c>
      <c r="AY939" s="20">
        <v>20</v>
      </c>
      <c r="BA939" s="20">
        <v>12500</v>
      </c>
      <c r="BB939" s="6">
        <v>41855</v>
      </c>
      <c r="BC939" s="6">
        <v>0</v>
      </c>
      <c r="BD939" s="6">
        <v>41862</v>
      </c>
      <c r="BE939" s="6">
        <v>0</v>
      </c>
      <c r="BF939" s="6">
        <v>41862</v>
      </c>
      <c r="BG939" s="6">
        <v>41961</v>
      </c>
      <c r="BH939" s="6">
        <v>0</v>
      </c>
      <c r="BI939" s="6">
        <v>0</v>
      </c>
      <c r="BJ939" s="6">
        <v>0</v>
      </c>
      <c r="BK939" s="4">
        <v>0</v>
      </c>
      <c r="BL939" s="4">
        <v>0</v>
      </c>
      <c r="BM939" s="20">
        <v>50</v>
      </c>
      <c r="BN939" s="20">
        <v>1</v>
      </c>
      <c r="BO939" s="20">
        <v>0</v>
      </c>
      <c r="BP939" s="20">
        <v>0</v>
      </c>
      <c r="BQ939" s="20">
        <v>0</v>
      </c>
      <c r="BR939" s="20">
        <v>0</v>
      </c>
      <c r="BS939" s="20">
        <v>50</v>
      </c>
      <c r="BT939" s="20">
        <v>626000</v>
      </c>
      <c r="BU939" s="20">
        <v>2950000</v>
      </c>
      <c r="BV939" s="20">
        <v>4.2840546035434217</v>
      </c>
    </row>
    <row r="940" spans="1:74">
      <c r="A940" s="10">
        <f t="shared" si="58"/>
        <v>0</v>
      </c>
      <c r="B940" s="10">
        <f t="shared" si="59"/>
        <v>0</v>
      </c>
      <c r="C940" s="12">
        <f t="shared" si="60"/>
        <v>8</v>
      </c>
      <c r="D940" s="12">
        <f t="shared" si="61"/>
        <v>8</v>
      </c>
      <c r="E940" s="20" t="s">
        <v>574</v>
      </c>
      <c r="F940" s="20" t="s">
        <v>3089</v>
      </c>
      <c r="G940" s="20" t="s">
        <v>3421</v>
      </c>
      <c r="H940" s="20" t="s">
        <v>3472</v>
      </c>
      <c r="I940" s="20">
        <v>6</v>
      </c>
      <c r="J940" s="20" t="s">
        <v>3473</v>
      </c>
      <c r="K940" s="20" t="s">
        <v>3474</v>
      </c>
      <c r="L940" s="20" t="s">
        <v>3455</v>
      </c>
      <c r="M940" s="20" t="s">
        <v>2667</v>
      </c>
      <c r="N940" s="20" t="s">
        <v>3202</v>
      </c>
      <c r="P940" s="20" t="s">
        <v>2667</v>
      </c>
      <c r="Q940" s="20" t="s">
        <v>2674</v>
      </c>
      <c r="R940" s="20" t="s">
        <v>84</v>
      </c>
      <c r="S940" s="20">
        <v>4</v>
      </c>
      <c r="T940" s="20" t="s">
        <v>762</v>
      </c>
      <c r="U940" s="20" t="s">
        <v>763</v>
      </c>
      <c r="V940" s="20" t="s">
        <v>87</v>
      </c>
      <c r="W940" s="20">
        <v>833</v>
      </c>
      <c r="X940" s="20">
        <v>833</v>
      </c>
      <c r="Y940" s="20" t="s">
        <v>3456</v>
      </c>
      <c r="Z940" s="20">
        <v>0.1111111111111111</v>
      </c>
      <c r="AA940" s="20" t="s">
        <v>3475</v>
      </c>
      <c r="AB940" s="20" t="s">
        <v>89</v>
      </c>
      <c r="AC940" s="20" t="s">
        <v>90</v>
      </c>
      <c r="AD940" s="20" t="s">
        <v>3476</v>
      </c>
      <c r="AE940" s="20" t="s">
        <v>400</v>
      </c>
      <c r="AF940" s="20">
        <v>0.33333333333333331</v>
      </c>
      <c r="AG940" s="20">
        <v>0</v>
      </c>
      <c r="AH940" s="20">
        <v>1</v>
      </c>
      <c r="AI940" s="4" t="s">
        <v>643</v>
      </c>
      <c r="AJ940" s="20">
        <v>50</v>
      </c>
      <c r="AK940" s="4" t="s">
        <v>780</v>
      </c>
      <c r="AL940" s="4">
        <v>9</v>
      </c>
      <c r="AM940" s="4" t="s">
        <v>235</v>
      </c>
      <c r="AN940" s="4" t="s">
        <v>95</v>
      </c>
      <c r="AO940" s="4" t="s">
        <v>131</v>
      </c>
      <c r="AP940" s="4">
        <v>2</v>
      </c>
      <c r="AQ940" s="20">
        <v>59000</v>
      </c>
      <c r="AR940" s="4">
        <v>41855</v>
      </c>
      <c r="AS940" s="20">
        <v>14898.989898989897</v>
      </c>
      <c r="AT940" s="20">
        <v>12220</v>
      </c>
      <c r="AU940" s="20">
        <v>-2678.9898989898975</v>
      </c>
      <c r="AW940" s="20">
        <v>20</v>
      </c>
      <c r="AY940" s="20">
        <v>20</v>
      </c>
      <c r="BA940" s="20">
        <v>12200</v>
      </c>
      <c r="BB940" s="6">
        <v>41855</v>
      </c>
      <c r="BC940" s="6">
        <v>0</v>
      </c>
      <c r="BD940" s="6">
        <v>41862</v>
      </c>
      <c r="BE940" s="6">
        <v>0</v>
      </c>
      <c r="BF940" s="6">
        <v>41862</v>
      </c>
      <c r="BG940" s="6">
        <v>0</v>
      </c>
      <c r="BH940" s="6">
        <v>0</v>
      </c>
      <c r="BI940" s="6">
        <v>0</v>
      </c>
      <c r="BJ940" s="6">
        <v>0</v>
      </c>
      <c r="BK940" s="4">
        <v>0</v>
      </c>
      <c r="BL940" s="4">
        <v>0</v>
      </c>
      <c r="BM940" s="20">
        <v>50</v>
      </c>
      <c r="BN940" s="20">
        <v>0</v>
      </c>
      <c r="BO940" s="20">
        <v>0</v>
      </c>
      <c r="BP940" s="20">
        <v>0</v>
      </c>
      <c r="BQ940" s="20">
        <v>0</v>
      </c>
      <c r="BR940" s="20">
        <v>0</v>
      </c>
      <c r="BS940" s="20">
        <v>50</v>
      </c>
      <c r="BT940" s="20">
        <v>611000</v>
      </c>
      <c r="BU940" s="20">
        <v>2950000</v>
      </c>
      <c r="BV940" s="20">
        <v>4.389227793483113</v>
      </c>
    </row>
    <row r="941" spans="1:74">
      <c r="A941" s="10">
        <f t="shared" si="58"/>
        <v>0</v>
      </c>
      <c r="B941" s="10">
        <f t="shared" si="59"/>
        <v>0</v>
      </c>
      <c r="C941" s="12">
        <f t="shared" si="60"/>
        <v>8</v>
      </c>
      <c r="D941" s="12">
        <f t="shared" si="61"/>
        <v>8</v>
      </c>
      <c r="E941" s="20" t="s">
        <v>574</v>
      </c>
      <c r="F941" s="20" t="s">
        <v>3089</v>
      </c>
      <c r="G941" s="20" t="s">
        <v>3421</v>
      </c>
      <c r="H941" s="20" t="s">
        <v>3472</v>
      </c>
      <c r="I941" s="20">
        <v>6</v>
      </c>
      <c r="J941" s="20" t="s">
        <v>3473</v>
      </c>
      <c r="K941" s="20" t="s">
        <v>3477</v>
      </c>
      <c r="L941" s="20" t="s">
        <v>3455</v>
      </c>
      <c r="M941" s="20" t="s">
        <v>2667</v>
      </c>
      <c r="N941" s="20" t="s">
        <v>3202</v>
      </c>
      <c r="P941" s="20" t="s">
        <v>2667</v>
      </c>
      <c r="Q941" s="20" t="s">
        <v>2674</v>
      </c>
      <c r="R941" s="20" t="s">
        <v>84</v>
      </c>
      <c r="S941" s="20">
        <v>4</v>
      </c>
      <c r="T941" s="20" t="s">
        <v>762</v>
      </c>
      <c r="U941" s="20" t="s">
        <v>763</v>
      </c>
      <c r="V941" s="20" t="s">
        <v>87</v>
      </c>
      <c r="W941" s="20">
        <v>833</v>
      </c>
      <c r="X941" s="20">
        <v>833</v>
      </c>
      <c r="Y941" s="20" t="s">
        <v>3456</v>
      </c>
      <c r="Z941" s="20">
        <v>0.1111111111111111</v>
      </c>
      <c r="AA941" s="20" t="s">
        <v>3478</v>
      </c>
      <c r="AB941" s="20" t="s">
        <v>89</v>
      </c>
      <c r="AC941" s="20" t="s">
        <v>90</v>
      </c>
      <c r="AD941" s="20" t="s">
        <v>3476</v>
      </c>
      <c r="AE941" s="20" t="s">
        <v>400</v>
      </c>
      <c r="AF941" s="20">
        <v>0.33333333333333331</v>
      </c>
      <c r="AG941" s="20">
        <v>0</v>
      </c>
      <c r="AH941" s="20">
        <v>1</v>
      </c>
      <c r="AI941" s="4" t="s">
        <v>647</v>
      </c>
      <c r="AJ941" s="20">
        <v>50</v>
      </c>
      <c r="AK941" s="4" t="s">
        <v>780</v>
      </c>
      <c r="AL941" s="4">
        <v>9</v>
      </c>
      <c r="AM941" s="4" t="s">
        <v>235</v>
      </c>
      <c r="AN941" s="4" t="s">
        <v>95</v>
      </c>
      <c r="AO941" s="4" t="s">
        <v>131</v>
      </c>
      <c r="AP941" s="4">
        <v>2</v>
      </c>
      <c r="AQ941" s="20">
        <v>59000</v>
      </c>
      <c r="AR941" s="4">
        <v>41855</v>
      </c>
      <c r="AS941" s="20">
        <v>14898.989898989897</v>
      </c>
      <c r="AT941" s="20">
        <v>12220</v>
      </c>
      <c r="AU941" s="20">
        <v>-2678.9898989898975</v>
      </c>
      <c r="AW941" s="20">
        <v>20</v>
      </c>
      <c r="AY941" s="20">
        <v>20</v>
      </c>
      <c r="BA941" s="20">
        <v>12200</v>
      </c>
      <c r="BB941" s="6">
        <v>41855</v>
      </c>
      <c r="BC941" s="6">
        <v>0</v>
      </c>
      <c r="BD941" s="6">
        <v>41862</v>
      </c>
      <c r="BE941" s="6">
        <v>0</v>
      </c>
      <c r="BF941" s="6">
        <v>41862</v>
      </c>
      <c r="BG941" s="6">
        <v>0</v>
      </c>
      <c r="BH941" s="6">
        <v>0</v>
      </c>
      <c r="BI941" s="6">
        <v>0</v>
      </c>
      <c r="BJ941" s="6">
        <v>0</v>
      </c>
      <c r="BK941" s="4">
        <v>0</v>
      </c>
      <c r="BL941" s="4">
        <v>0</v>
      </c>
      <c r="BM941" s="20">
        <v>50</v>
      </c>
      <c r="BN941" s="20">
        <v>0</v>
      </c>
      <c r="BO941" s="20">
        <v>0</v>
      </c>
      <c r="BP941" s="20">
        <v>0</v>
      </c>
      <c r="BQ941" s="20">
        <v>0</v>
      </c>
      <c r="BR941" s="20">
        <v>0</v>
      </c>
      <c r="BS941" s="20">
        <v>50</v>
      </c>
      <c r="BT941" s="20">
        <v>611000</v>
      </c>
      <c r="BU941" s="20">
        <v>2950000</v>
      </c>
      <c r="BV941" s="20">
        <v>4.389227793483113</v>
      </c>
    </row>
    <row r="942" spans="1:74">
      <c r="A942" s="10">
        <f t="shared" si="58"/>
        <v>0</v>
      </c>
      <c r="B942" s="10">
        <f t="shared" si="59"/>
        <v>0</v>
      </c>
      <c r="C942" s="12">
        <f t="shared" si="60"/>
        <v>8</v>
      </c>
      <c r="D942" s="12">
        <f t="shared" si="61"/>
        <v>8</v>
      </c>
      <c r="E942" s="20" t="s">
        <v>574</v>
      </c>
      <c r="F942" s="20" t="s">
        <v>3089</v>
      </c>
      <c r="G942" s="20" t="s">
        <v>3421</v>
      </c>
      <c r="H942" s="20" t="s">
        <v>3472</v>
      </c>
      <c r="I942" s="20">
        <v>6</v>
      </c>
      <c r="J942" s="20" t="s">
        <v>3473</v>
      </c>
      <c r="K942" s="20" t="s">
        <v>3479</v>
      </c>
      <c r="L942" s="20" t="s">
        <v>3455</v>
      </c>
      <c r="M942" s="20" t="s">
        <v>2667</v>
      </c>
      <c r="N942" s="20" t="s">
        <v>3202</v>
      </c>
      <c r="P942" s="20" t="s">
        <v>2667</v>
      </c>
      <c r="Q942" s="20" t="s">
        <v>2674</v>
      </c>
      <c r="R942" s="20" t="s">
        <v>84</v>
      </c>
      <c r="S942" s="20">
        <v>4</v>
      </c>
      <c r="T942" s="20" t="s">
        <v>762</v>
      </c>
      <c r="U942" s="20" t="s">
        <v>763</v>
      </c>
      <c r="V942" s="20" t="s">
        <v>87</v>
      </c>
      <c r="W942" s="20">
        <v>833</v>
      </c>
      <c r="X942" s="20">
        <v>833</v>
      </c>
      <c r="Y942" s="20" t="s">
        <v>3456</v>
      </c>
      <c r="Z942" s="20">
        <v>0.1111111111111111</v>
      </c>
      <c r="AA942" s="20" t="s">
        <v>3480</v>
      </c>
      <c r="AB942" s="20" t="s">
        <v>89</v>
      </c>
      <c r="AC942" s="20" t="s">
        <v>90</v>
      </c>
      <c r="AD942" s="20" t="s">
        <v>3476</v>
      </c>
      <c r="AE942" s="20" t="s">
        <v>400</v>
      </c>
      <c r="AF942" s="20">
        <v>0.33333333333333331</v>
      </c>
      <c r="AG942" s="20">
        <v>0</v>
      </c>
      <c r="AH942" s="20">
        <v>1</v>
      </c>
      <c r="AI942" s="4" t="s">
        <v>651</v>
      </c>
      <c r="AJ942" s="20">
        <v>50</v>
      </c>
      <c r="AK942" s="4" t="s">
        <v>780</v>
      </c>
      <c r="AL942" s="4">
        <v>9</v>
      </c>
      <c r="AM942" s="4" t="s">
        <v>235</v>
      </c>
      <c r="AN942" s="4" t="s">
        <v>95</v>
      </c>
      <c r="AO942" s="4" t="s">
        <v>131</v>
      </c>
      <c r="AP942" s="4">
        <v>2</v>
      </c>
      <c r="AQ942" s="20">
        <v>59000</v>
      </c>
      <c r="AR942" s="4">
        <v>41855</v>
      </c>
      <c r="AS942" s="20">
        <v>14898.989898989897</v>
      </c>
      <c r="AT942" s="20">
        <v>12220</v>
      </c>
      <c r="AU942" s="20">
        <v>-2678.9898989898975</v>
      </c>
      <c r="AW942" s="20">
        <v>20</v>
      </c>
      <c r="AY942" s="20">
        <v>20</v>
      </c>
      <c r="BA942" s="20">
        <v>12200</v>
      </c>
      <c r="BB942" s="6">
        <v>41855</v>
      </c>
      <c r="BC942" s="6">
        <v>0</v>
      </c>
      <c r="BD942" s="6">
        <v>41862</v>
      </c>
      <c r="BE942" s="6">
        <v>0</v>
      </c>
      <c r="BF942" s="6">
        <v>41862</v>
      </c>
      <c r="BG942" s="6">
        <v>0</v>
      </c>
      <c r="BH942" s="6">
        <v>0</v>
      </c>
      <c r="BI942" s="6">
        <v>0</v>
      </c>
      <c r="BJ942" s="6">
        <v>0</v>
      </c>
      <c r="BK942" s="4">
        <v>0</v>
      </c>
      <c r="BL942" s="4">
        <v>0</v>
      </c>
      <c r="BM942" s="20">
        <v>50</v>
      </c>
      <c r="BN942" s="20">
        <v>0</v>
      </c>
      <c r="BO942" s="20">
        <v>0</v>
      </c>
      <c r="BP942" s="20">
        <v>0</v>
      </c>
      <c r="BQ942" s="20">
        <v>0</v>
      </c>
      <c r="BR942" s="20">
        <v>0</v>
      </c>
      <c r="BS942" s="20">
        <v>50</v>
      </c>
      <c r="BT942" s="20">
        <v>611000</v>
      </c>
      <c r="BU942" s="20">
        <v>2950000</v>
      </c>
      <c r="BV942" s="20">
        <v>4.389227793483113</v>
      </c>
    </row>
    <row r="943" spans="1:74">
      <c r="A943" s="10">
        <f t="shared" si="58"/>
        <v>0</v>
      </c>
      <c r="B943" s="10">
        <f t="shared" si="59"/>
        <v>0</v>
      </c>
      <c r="C943" s="12" t="str">
        <f t="shared" si="60"/>
        <v/>
      </c>
      <c r="D943" s="12" t="str">
        <f t="shared" si="61"/>
        <v/>
      </c>
      <c r="E943" s="20" t="s">
        <v>91</v>
      </c>
      <c r="F943" s="20" t="s">
        <v>91</v>
      </c>
      <c r="G943" s="20" t="s">
        <v>91</v>
      </c>
      <c r="H943" s="20" t="s">
        <v>91</v>
      </c>
      <c r="I943" s="20">
        <v>0</v>
      </c>
      <c r="J943" s="20" t="s">
        <v>103</v>
      </c>
      <c r="K943" s="20" t="s">
        <v>104</v>
      </c>
      <c r="L943" s="20">
        <v>0</v>
      </c>
      <c r="M943" s="20" t="s">
        <v>105</v>
      </c>
      <c r="N943" s="20" t="s">
        <v>91</v>
      </c>
      <c r="O943" s="20" t="s">
        <v>3481</v>
      </c>
      <c r="Q943" s="20" t="s">
        <v>91</v>
      </c>
      <c r="R943" s="20" t="s">
        <v>91</v>
      </c>
      <c r="S943" s="20" t="s">
        <v>91</v>
      </c>
      <c r="T943" s="20" t="s">
        <v>91</v>
      </c>
      <c r="U943" s="20" t="s">
        <v>91</v>
      </c>
      <c r="V943" s="20" t="s">
        <v>87</v>
      </c>
      <c r="W943" s="20" t="s">
        <v>91</v>
      </c>
      <c r="X943" s="20" t="s">
        <v>91</v>
      </c>
      <c r="Y943" s="20" t="s">
        <v>91</v>
      </c>
      <c r="Z943" s="20">
        <v>2.0000000000000004</v>
      </c>
      <c r="AB943" s="20" t="s">
        <v>91</v>
      </c>
      <c r="AD943" s="20" t="s">
        <v>91</v>
      </c>
      <c r="AE943" s="20" t="s">
        <v>91</v>
      </c>
      <c r="AF943" s="20">
        <v>5.9999999999999982</v>
      </c>
      <c r="AG943" s="20">
        <v>0</v>
      </c>
      <c r="AH943" s="20">
        <v>1</v>
      </c>
      <c r="AM943" s="4" t="s">
        <v>91</v>
      </c>
      <c r="AP943" s="4" t="s">
        <v>91</v>
      </c>
      <c r="AQ943" s="20">
        <v>0</v>
      </c>
      <c r="AR943" s="4">
        <v>0</v>
      </c>
      <c r="AS943" s="20">
        <v>0</v>
      </c>
      <c r="AT943" s="20">
        <v>0</v>
      </c>
      <c r="AU943" s="20">
        <v>0</v>
      </c>
      <c r="AV943" s="20">
        <v>0</v>
      </c>
      <c r="AW943" s="20">
        <v>0</v>
      </c>
      <c r="AX943" s="20" t="s">
        <v>91</v>
      </c>
      <c r="AY943" s="20">
        <v>0</v>
      </c>
      <c r="AZ943" s="20">
        <v>0</v>
      </c>
      <c r="BA943" s="20">
        <v>0</v>
      </c>
      <c r="BB943" s="6">
        <v>0</v>
      </c>
      <c r="BC943" s="6">
        <v>0</v>
      </c>
      <c r="BD943" s="6">
        <v>0</v>
      </c>
      <c r="BE943" s="6">
        <v>0</v>
      </c>
      <c r="BF943" s="6">
        <v>0</v>
      </c>
      <c r="BG943" s="6">
        <v>0</v>
      </c>
      <c r="BH943" s="6">
        <v>0</v>
      </c>
      <c r="BI943" s="6">
        <v>0</v>
      </c>
      <c r="BJ943" s="6">
        <v>0</v>
      </c>
      <c r="BK943" s="4">
        <v>0</v>
      </c>
      <c r="BL943" s="4">
        <v>0</v>
      </c>
      <c r="BM943" s="20">
        <v>899</v>
      </c>
      <c r="BN943" s="20">
        <v>3</v>
      </c>
      <c r="BO943" s="20">
        <v>0</v>
      </c>
      <c r="BP943" s="20">
        <v>0</v>
      </c>
      <c r="BQ943" s="20">
        <v>0</v>
      </c>
      <c r="BR943" s="20">
        <v>0</v>
      </c>
      <c r="BS943" s="20">
        <v>900</v>
      </c>
      <c r="BT943" s="20">
        <v>14898000</v>
      </c>
      <c r="BU943" s="20">
        <v>66600000</v>
      </c>
      <c r="BV943" s="20">
        <v>4.0639988283967341</v>
      </c>
    </row>
    <row r="944" spans="1:74">
      <c r="A944" s="10">
        <f t="shared" si="58"/>
        <v>0</v>
      </c>
      <c r="B944" s="10">
        <f t="shared" si="59"/>
        <v>0</v>
      </c>
      <c r="C944" s="12">
        <f t="shared" si="60"/>
        <v>8</v>
      </c>
      <c r="D944" s="12">
        <f t="shared" si="61"/>
        <v>8</v>
      </c>
      <c r="E944" s="20" t="s">
        <v>574</v>
      </c>
      <c r="F944" s="20" t="s">
        <v>3089</v>
      </c>
      <c r="G944" s="20" t="s">
        <v>3482</v>
      </c>
      <c r="H944" s="20" t="s">
        <v>3483</v>
      </c>
      <c r="I944" s="20">
        <v>1</v>
      </c>
      <c r="J944" s="20" t="s">
        <v>3484</v>
      </c>
      <c r="K944" s="20" t="s">
        <v>3485</v>
      </c>
      <c r="L944" s="20" t="s">
        <v>3486</v>
      </c>
      <c r="M944" s="20" t="s">
        <v>2667</v>
      </c>
      <c r="N944" s="20" t="s">
        <v>3487</v>
      </c>
      <c r="P944" s="20" t="s">
        <v>2667</v>
      </c>
      <c r="Q944" s="20" t="s">
        <v>2674</v>
      </c>
      <c r="R944" s="20" t="s">
        <v>84</v>
      </c>
      <c r="S944" s="20">
        <v>4</v>
      </c>
      <c r="T944" s="20" t="s">
        <v>860</v>
      </c>
      <c r="U944" s="20" t="s">
        <v>861</v>
      </c>
      <c r="V944" s="20" t="s">
        <v>87</v>
      </c>
      <c r="W944" s="20">
        <v>923</v>
      </c>
      <c r="X944" s="20">
        <v>923</v>
      </c>
      <c r="Y944" s="20" t="s">
        <v>3488</v>
      </c>
      <c r="Z944" s="20">
        <v>0.16666666666666666</v>
      </c>
      <c r="AA944" s="20" t="s">
        <v>3489</v>
      </c>
      <c r="AB944" s="20" t="s">
        <v>89</v>
      </c>
      <c r="AC944" s="20" t="s">
        <v>90</v>
      </c>
      <c r="AD944" s="20" t="s">
        <v>3490</v>
      </c>
      <c r="AE944" s="20" t="s">
        <v>400</v>
      </c>
      <c r="AF944" s="20">
        <v>0.16666666666666666</v>
      </c>
      <c r="AG944" s="20">
        <v>0</v>
      </c>
      <c r="AH944" s="20">
        <v>1</v>
      </c>
      <c r="AI944" s="4" t="s">
        <v>643</v>
      </c>
      <c r="AJ944" s="20">
        <v>100</v>
      </c>
      <c r="AK944" s="4" t="s">
        <v>641</v>
      </c>
      <c r="AL944" s="4">
        <v>6</v>
      </c>
      <c r="AM944" s="4" t="s">
        <v>112</v>
      </c>
      <c r="AN944" s="4" t="s">
        <v>95</v>
      </c>
      <c r="AO944" s="4" t="s">
        <v>96</v>
      </c>
      <c r="AP944" s="4">
        <v>1</v>
      </c>
      <c r="AQ944" s="20">
        <v>79000</v>
      </c>
      <c r="AR944" s="4">
        <v>41855</v>
      </c>
      <c r="AS944" s="20">
        <v>14363.636363636362</v>
      </c>
      <c r="AT944" s="20">
        <v>15972.829999999998</v>
      </c>
      <c r="AU944" s="20">
        <v>1609.193636363636</v>
      </c>
      <c r="AV944" s="20">
        <v>0</v>
      </c>
      <c r="AW944" s="20">
        <v>50</v>
      </c>
      <c r="AX944" s="20" t="s">
        <v>91</v>
      </c>
      <c r="AY944" s="20">
        <v>50</v>
      </c>
      <c r="AZ944" s="20">
        <v>12.2</v>
      </c>
      <c r="BA944" s="20">
        <v>0</v>
      </c>
      <c r="BB944" s="6">
        <v>41855</v>
      </c>
      <c r="BC944" s="6">
        <v>0</v>
      </c>
      <c r="BD944" s="6">
        <v>41862</v>
      </c>
      <c r="BE944" s="6">
        <v>0</v>
      </c>
      <c r="BF944" s="6">
        <v>41862</v>
      </c>
      <c r="BG944" s="6">
        <v>0</v>
      </c>
      <c r="BH944" s="6">
        <v>0</v>
      </c>
      <c r="BI944" s="6">
        <v>0</v>
      </c>
      <c r="BJ944" s="6">
        <v>0</v>
      </c>
      <c r="BK944" s="4">
        <v>0</v>
      </c>
      <c r="BL944" s="4">
        <v>0</v>
      </c>
      <c r="BM944" s="20">
        <v>100</v>
      </c>
      <c r="BN944" s="20">
        <v>0</v>
      </c>
      <c r="BO944" s="20">
        <v>0</v>
      </c>
      <c r="BP944" s="20">
        <v>0</v>
      </c>
      <c r="BQ944" s="20">
        <v>0</v>
      </c>
      <c r="BR944" s="20">
        <v>0</v>
      </c>
      <c r="BS944" s="20">
        <v>100</v>
      </c>
      <c r="BT944" s="20">
        <v>1597282.9999999998</v>
      </c>
      <c r="BU944" s="20">
        <v>7900000</v>
      </c>
      <c r="BV944" s="20">
        <v>4.4962715948383494</v>
      </c>
    </row>
    <row r="945" spans="1:74">
      <c r="A945" s="10">
        <f t="shared" si="58"/>
        <v>0</v>
      </c>
      <c r="B945" s="10">
        <f t="shared" si="59"/>
        <v>0</v>
      </c>
      <c r="C945" s="12">
        <f t="shared" si="60"/>
        <v>8</v>
      </c>
      <c r="D945" s="12">
        <f t="shared" si="61"/>
        <v>8</v>
      </c>
      <c r="E945" s="20" t="s">
        <v>574</v>
      </c>
      <c r="F945" s="20" t="s">
        <v>3089</v>
      </c>
      <c r="G945" s="20" t="s">
        <v>3482</v>
      </c>
      <c r="H945" s="20" t="s">
        <v>3483</v>
      </c>
      <c r="I945" s="20">
        <v>1</v>
      </c>
      <c r="J945" s="20" t="s">
        <v>3484</v>
      </c>
      <c r="K945" s="20" t="s">
        <v>3491</v>
      </c>
      <c r="L945" s="20" t="s">
        <v>3486</v>
      </c>
      <c r="M945" s="20" t="s">
        <v>2667</v>
      </c>
      <c r="N945" s="20" t="s">
        <v>3487</v>
      </c>
      <c r="P945" s="20" t="s">
        <v>2667</v>
      </c>
      <c r="Q945" s="20" t="s">
        <v>2674</v>
      </c>
      <c r="R945" s="20" t="s">
        <v>84</v>
      </c>
      <c r="S945" s="20">
        <v>4</v>
      </c>
      <c r="T945" s="20" t="s">
        <v>860</v>
      </c>
      <c r="U945" s="20" t="s">
        <v>861</v>
      </c>
      <c r="V945" s="20" t="s">
        <v>87</v>
      </c>
      <c r="W945" s="20">
        <v>923</v>
      </c>
      <c r="X945" s="20">
        <v>923</v>
      </c>
      <c r="Y945" s="20" t="s">
        <v>3488</v>
      </c>
      <c r="Z945" s="20">
        <v>0.16666666666666666</v>
      </c>
      <c r="AA945" s="20" t="s">
        <v>3492</v>
      </c>
      <c r="AB945" s="20" t="s">
        <v>89</v>
      </c>
      <c r="AC945" s="20" t="s">
        <v>90</v>
      </c>
      <c r="AD945" s="20" t="s">
        <v>3490</v>
      </c>
      <c r="AE945" s="20" t="s">
        <v>400</v>
      </c>
      <c r="AF945" s="20">
        <v>0.16666666666666666</v>
      </c>
      <c r="AG945" s="20">
        <v>0</v>
      </c>
      <c r="AH945" s="20">
        <v>1</v>
      </c>
      <c r="AI945" s="4" t="s">
        <v>645</v>
      </c>
      <c r="AJ945" s="20">
        <v>100</v>
      </c>
      <c r="AK945" s="4" t="s">
        <v>641</v>
      </c>
      <c r="AL945" s="4">
        <v>6</v>
      </c>
      <c r="AM945" s="4" t="s">
        <v>112</v>
      </c>
      <c r="AN945" s="4" t="s">
        <v>95</v>
      </c>
      <c r="AO945" s="4" t="s">
        <v>96</v>
      </c>
      <c r="AP945" s="4">
        <v>1</v>
      </c>
      <c r="AQ945" s="20">
        <v>79000</v>
      </c>
      <c r="AR945" s="4">
        <v>41855</v>
      </c>
      <c r="AS945" s="20">
        <v>14363.636363636362</v>
      </c>
      <c r="AT945" s="20">
        <v>15972.829999999998</v>
      </c>
      <c r="AU945" s="20">
        <v>1609.193636363636</v>
      </c>
      <c r="AV945" s="20">
        <v>0</v>
      </c>
      <c r="AW945" s="20">
        <v>50</v>
      </c>
      <c r="AX945" s="20" t="s">
        <v>91</v>
      </c>
      <c r="AY945" s="20">
        <v>50</v>
      </c>
      <c r="AZ945" s="20">
        <v>12.2</v>
      </c>
      <c r="BA945" s="20">
        <v>0</v>
      </c>
      <c r="BB945" s="6">
        <v>41855</v>
      </c>
      <c r="BC945" s="6">
        <v>0</v>
      </c>
      <c r="BD945" s="6">
        <v>41862</v>
      </c>
      <c r="BE945" s="6">
        <v>0</v>
      </c>
      <c r="BF945" s="6">
        <v>41862</v>
      </c>
      <c r="BG945" s="6">
        <v>0</v>
      </c>
      <c r="BH945" s="6">
        <v>0</v>
      </c>
      <c r="BI945" s="6">
        <v>0</v>
      </c>
      <c r="BJ945" s="6">
        <v>0</v>
      </c>
      <c r="BK945" s="4">
        <v>0</v>
      </c>
      <c r="BL945" s="4">
        <v>0</v>
      </c>
      <c r="BM945" s="20">
        <v>100</v>
      </c>
      <c r="BN945" s="20">
        <v>0</v>
      </c>
      <c r="BO945" s="20">
        <v>0</v>
      </c>
      <c r="BP945" s="20">
        <v>0</v>
      </c>
      <c r="BQ945" s="20">
        <v>0</v>
      </c>
      <c r="BR945" s="20">
        <v>0</v>
      </c>
      <c r="BS945" s="20">
        <v>100</v>
      </c>
      <c r="BT945" s="20">
        <v>1597282.9999999998</v>
      </c>
      <c r="BU945" s="20">
        <v>7900000</v>
      </c>
      <c r="BV945" s="20">
        <v>4.4962715948383494</v>
      </c>
    </row>
    <row r="946" spans="1:74">
      <c r="A946" s="10">
        <f t="shared" si="58"/>
        <v>0</v>
      </c>
      <c r="B946" s="10">
        <f t="shared" si="59"/>
        <v>0</v>
      </c>
      <c r="C946" s="12">
        <f t="shared" si="60"/>
        <v>8</v>
      </c>
      <c r="D946" s="12">
        <f t="shared" si="61"/>
        <v>8</v>
      </c>
      <c r="E946" s="20" t="s">
        <v>574</v>
      </c>
      <c r="F946" s="20" t="s">
        <v>3089</v>
      </c>
      <c r="G946" s="20" t="s">
        <v>3482</v>
      </c>
      <c r="H946" s="20" t="s">
        <v>3483</v>
      </c>
      <c r="I946" s="20">
        <v>1</v>
      </c>
      <c r="J946" s="20" t="s">
        <v>3484</v>
      </c>
      <c r="K946" s="20" t="s">
        <v>3493</v>
      </c>
      <c r="L946" s="20" t="s">
        <v>3486</v>
      </c>
      <c r="M946" s="20" t="s">
        <v>2667</v>
      </c>
      <c r="N946" s="20" t="s">
        <v>3487</v>
      </c>
      <c r="P946" s="20" t="s">
        <v>2667</v>
      </c>
      <c r="Q946" s="20" t="s">
        <v>2674</v>
      </c>
      <c r="R946" s="20" t="s">
        <v>84</v>
      </c>
      <c r="S946" s="20">
        <v>4</v>
      </c>
      <c r="T946" s="20" t="s">
        <v>860</v>
      </c>
      <c r="U946" s="20" t="s">
        <v>861</v>
      </c>
      <c r="V946" s="20" t="s">
        <v>87</v>
      </c>
      <c r="W946" s="20">
        <v>923</v>
      </c>
      <c r="X946" s="20">
        <v>923</v>
      </c>
      <c r="Y946" s="20" t="s">
        <v>3488</v>
      </c>
      <c r="Z946" s="20">
        <v>0.16666666666666666</v>
      </c>
      <c r="AA946" s="20" t="s">
        <v>3494</v>
      </c>
      <c r="AB946" s="20" t="s">
        <v>89</v>
      </c>
      <c r="AC946" s="20" t="s">
        <v>90</v>
      </c>
      <c r="AD946" s="20" t="s">
        <v>3490</v>
      </c>
      <c r="AE946" s="20" t="s">
        <v>400</v>
      </c>
      <c r="AF946" s="20">
        <v>0.16666666666666666</v>
      </c>
      <c r="AG946" s="20">
        <v>0</v>
      </c>
      <c r="AH946" s="20">
        <v>1</v>
      </c>
      <c r="AI946" s="4" t="s">
        <v>647</v>
      </c>
      <c r="AJ946" s="20">
        <v>100</v>
      </c>
      <c r="AK946" s="4" t="s">
        <v>641</v>
      </c>
      <c r="AL946" s="4">
        <v>6</v>
      </c>
      <c r="AM946" s="4" t="s">
        <v>112</v>
      </c>
      <c r="AN946" s="4" t="s">
        <v>95</v>
      </c>
      <c r="AO946" s="4" t="s">
        <v>96</v>
      </c>
      <c r="AP946" s="4">
        <v>1</v>
      </c>
      <c r="AQ946" s="20">
        <v>79000</v>
      </c>
      <c r="AR946" s="4">
        <v>41855</v>
      </c>
      <c r="AS946" s="20">
        <v>14363.636363636362</v>
      </c>
      <c r="AT946" s="20">
        <v>15972.829999999998</v>
      </c>
      <c r="AU946" s="20">
        <v>1609.193636363636</v>
      </c>
      <c r="AV946" s="20">
        <v>0</v>
      </c>
      <c r="AW946" s="20">
        <v>50</v>
      </c>
      <c r="AX946" s="20" t="s">
        <v>91</v>
      </c>
      <c r="AY946" s="20">
        <v>50</v>
      </c>
      <c r="AZ946" s="20">
        <v>12.2</v>
      </c>
      <c r="BA946" s="20">
        <v>0</v>
      </c>
      <c r="BB946" s="6">
        <v>41855</v>
      </c>
      <c r="BC946" s="6">
        <v>0</v>
      </c>
      <c r="BD946" s="6">
        <v>41862</v>
      </c>
      <c r="BE946" s="6">
        <v>0</v>
      </c>
      <c r="BF946" s="6">
        <v>41862</v>
      </c>
      <c r="BG946" s="6">
        <v>0</v>
      </c>
      <c r="BH946" s="6">
        <v>0</v>
      </c>
      <c r="BI946" s="6">
        <v>0</v>
      </c>
      <c r="BJ946" s="6">
        <v>0</v>
      </c>
      <c r="BK946" s="4">
        <v>0</v>
      </c>
      <c r="BL946" s="4">
        <v>0</v>
      </c>
      <c r="BM946" s="20">
        <v>100</v>
      </c>
      <c r="BN946" s="20">
        <v>0</v>
      </c>
      <c r="BO946" s="20">
        <v>0</v>
      </c>
      <c r="BP946" s="20">
        <v>0</v>
      </c>
      <c r="BQ946" s="20">
        <v>0</v>
      </c>
      <c r="BR946" s="20">
        <v>0</v>
      </c>
      <c r="BS946" s="20">
        <v>100</v>
      </c>
      <c r="BT946" s="20">
        <v>1597282.9999999998</v>
      </c>
      <c r="BU946" s="20">
        <v>7900000</v>
      </c>
      <c r="BV946" s="20">
        <v>4.4962715948383494</v>
      </c>
    </row>
    <row r="947" spans="1:74">
      <c r="A947" s="10">
        <f t="shared" si="58"/>
        <v>0</v>
      </c>
      <c r="B947" s="10">
        <f t="shared" si="59"/>
        <v>0</v>
      </c>
      <c r="C947" s="12">
        <f t="shared" si="60"/>
        <v>8</v>
      </c>
      <c r="D947" s="12">
        <f t="shared" si="61"/>
        <v>8</v>
      </c>
      <c r="E947" s="20" t="s">
        <v>574</v>
      </c>
      <c r="F947" s="20" t="s">
        <v>3089</v>
      </c>
      <c r="G947" s="20" t="s">
        <v>3482</v>
      </c>
      <c r="H947" s="20" t="s">
        <v>3483</v>
      </c>
      <c r="I947" s="20">
        <v>1</v>
      </c>
      <c r="J947" s="20" t="s">
        <v>3484</v>
      </c>
      <c r="K947" s="20" t="s">
        <v>3495</v>
      </c>
      <c r="L947" s="20" t="s">
        <v>3486</v>
      </c>
      <c r="M947" s="20" t="s">
        <v>2667</v>
      </c>
      <c r="N947" s="20" t="s">
        <v>3487</v>
      </c>
      <c r="P947" s="20" t="s">
        <v>2667</v>
      </c>
      <c r="Q947" s="20" t="s">
        <v>2674</v>
      </c>
      <c r="R947" s="20" t="s">
        <v>84</v>
      </c>
      <c r="S947" s="20">
        <v>4</v>
      </c>
      <c r="T947" s="20" t="s">
        <v>860</v>
      </c>
      <c r="U947" s="20" t="s">
        <v>861</v>
      </c>
      <c r="V947" s="20" t="s">
        <v>87</v>
      </c>
      <c r="W947" s="20">
        <v>923</v>
      </c>
      <c r="X947" s="20">
        <v>923</v>
      </c>
      <c r="Y947" s="20" t="s">
        <v>3488</v>
      </c>
      <c r="Z947" s="20">
        <v>0.16666666666666666</v>
      </c>
      <c r="AA947" s="20" t="s">
        <v>3496</v>
      </c>
      <c r="AB947" s="20" t="s">
        <v>89</v>
      </c>
      <c r="AC947" s="20" t="s">
        <v>90</v>
      </c>
      <c r="AD947" s="20" t="s">
        <v>3490</v>
      </c>
      <c r="AE947" s="20" t="s">
        <v>400</v>
      </c>
      <c r="AF947" s="20">
        <v>0.16666666666666666</v>
      </c>
      <c r="AG947" s="20">
        <v>0</v>
      </c>
      <c r="AH947" s="20">
        <v>1</v>
      </c>
      <c r="AI947" s="4" t="s">
        <v>649</v>
      </c>
      <c r="AJ947" s="20">
        <v>50</v>
      </c>
      <c r="AK947" s="4" t="s">
        <v>641</v>
      </c>
      <c r="AL947" s="4">
        <v>6</v>
      </c>
      <c r="AM947" s="4" t="s">
        <v>112</v>
      </c>
      <c r="AN947" s="4" t="s">
        <v>95</v>
      </c>
      <c r="AO947" s="4" t="s">
        <v>96</v>
      </c>
      <c r="AP947" s="4">
        <v>1</v>
      </c>
      <c r="AQ947" s="20">
        <v>79000</v>
      </c>
      <c r="AR947" s="4">
        <v>41855</v>
      </c>
      <c r="AS947" s="20">
        <v>14363.636363636362</v>
      </c>
      <c r="AT947" s="20">
        <v>15972.829999999998</v>
      </c>
      <c r="AU947" s="20">
        <v>1609.193636363636</v>
      </c>
      <c r="AV947" s="20">
        <v>0</v>
      </c>
      <c r="AW947" s="20">
        <v>50</v>
      </c>
      <c r="AX947" s="20" t="s">
        <v>91</v>
      </c>
      <c r="AY947" s="20">
        <v>50</v>
      </c>
      <c r="AZ947" s="20">
        <v>12.2</v>
      </c>
      <c r="BA947" s="20">
        <v>0</v>
      </c>
      <c r="BB947" s="6">
        <v>41855</v>
      </c>
      <c r="BC947" s="6">
        <v>0</v>
      </c>
      <c r="BD947" s="6">
        <v>41862</v>
      </c>
      <c r="BE947" s="6">
        <v>0</v>
      </c>
      <c r="BF947" s="6">
        <v>41862</v>
      </c>
      <c r="BG947" s="6">
        <v>0</v>
      </c>
      <c r="BH947" s="6">
        <v>0</v>
      </c>
      <c r="BI947" s="6">
        <v>0</v>
      </c>
      <c r="BJ947" s="6">
        <v>0</v>
      </c>
      <c r="BK947" s="4">
        <v>0</v>
      </c>
      <c r="BL947" s="4">
        <v>0</v>
      </c>
      <c r="BM947" s="20">
        <v>50</v>
      </c>
      <c r="BN947" s="20">
        <v>0</v>
      </c>
      <c r="BO947" s="20">
        <v>0</v>
      </c>
      <c r="BP947" s="20">
        <v>0</v>
      </c>
      <c r="BQ947" s="20">
        <v>0</v>
      </c>
      <c r="BR947" s="20">
        <v>0</v>
      </c>
      <c r="BS947" s="20">
        <v>50</v>
      </c>
      <c r="BT947" s="20">
        <v>798641.49999999988</v>
      </c>
      <c r="BU947" s="20">
        <v>3950000</v>
      </c>
      <c r="BV947" s="20">
        <v>4.4962715948383494</v>
      </c>
    </row>
    <row r="948" spans="1:74">
      <c r="A948" s="10">
        <f t="shared" si="58"/>
        <v>0</v>
      </c>
      <c r="B948" s="10">
        <f t="shared" si="59"/>
        <v>0</v>
      </c>
      <c r="C948" s="12">
        <f t="shared" si="60"/>
        <v>8</v>
      </c>
      <c r="D948" s="12">
        <f t="shared" si="61"/>
        <v>8</v>
      </c>
      <c r="E948" s="20" t="s">
        <v>574</v>
      </c>
      <c r="F948" s="20" t="s">
        <v>3089</v>
      </c>
      <c r="G948" s="20" t="s">
        <v>3482</v>
      </c>
      <c r="H948" s="20" t="s">
        <v>3483</v>
      </c>
      <c r="I948" s="20">
        <v>1</v>
      </c>
      <c r="J948" s="20" t="s">
        <v>3484</v>
      </c>
      <c r="K948" s="20" t="s">
        <v>3497</v>
      </c>
      <c r="L948" s="20" t="s">
        <v>3486</v>
      </c>
      <c r="M948" s="20" t="s">
        <v>2667</v>
      </c>
      <c r="N948" s="20" t="s">
        <v>3487</v>
      </c>
      <c r="P948" s="20" t="s">
        <v>2667</v>
      </c>
      <c r="Q948" s="20" t="s">
        <v>2674</v>
      </c>
      <c r="R948" s="20" t="s">
        <v>84</v>
      </c>
      <c r="S948" s="20">
        <v>4</v>
      </c>
      <c r="T948" s="20" t="s">
        <v>860</v>
      </c>
      <c r="U948" s="20" t="s">
        <v>861</v>
      </c>
      <c r="V948" s="20" t="s">
        <v>87</v>
      </c>
      <c r="W948" s="20">
        <v>923</v>
      </c>
      <c r="X948" s="20">
        <v>923</v>
      </c>
      <c r="Y948" s="20" t="s">
        <v>3488</v>
      </c>
      <c r="Z948" s="20">
        <v>0.16666666666666666</v>
      </c>
      <c r="AA948" s="20" t="s">
        <v>3498</v>
      </c>
      <c r="AB948" s="20" t="s">
        <v>89</v>
      </c>
      <c r="AC948" s="20" t="s">
        <v>90</v>
      </c>
      <c r="AD948" s="20" t="s">
        <v>3490</v>
      </c>
      <c r="AE948" s="20" t="s">
        <v>400</v>
      </c>
      <c r="AF948" s="20">
        <v>0.16666666666666666</v>
      </c>
      <c r="AG948" s="20">
        <v>0</v>
      </c>
      <c r="AH948" s="20">
        <v>1</v>
      </c>
      <c r="AI948" s="4" t="s">
        <v>651</v>
      </c>
      <c r="AJ948" s="20">
        <v>50</v>
      </c>
      <c r="AK948" s="4" t="s">
        <v>641</v>
      </c>
      <c r="AL948" s="4">
        <v>6</v>
      </c>
      <c r="AM948" s="4" t="s">
        <v>112</v>
      </c>
      <c r="AN948" s="4" t="s">
        <v>95</v>
      </c>
      <c r="AO948" s="4" t="s">
        <v>96</v>
      </c>
      <c r="AP948" s="4">
        <v>1</v>
      </c>
      <c r="AQ948" s="20">
        <v>79000</v>
      </c>
      <c r="AR948" s="4">
        <v>41855</v>
      </c>
      <c r="AS948" s="20">
        <v>14363.636363636362</v>
      </c>
      <c r="AT948" s="20">
        <v>15972.829999999998</v>
      </c>
      <c r="AU948" s="20">
        <v>1609.193636363636</v>
      </c>
      <c r="AV948" s="20">
        <v>0</v>
      </c>
      <c r="AW948" s="20">
        <v>50</v>
      </c>
      <c r="AX948" s="20" t="s">
        <v>91</v>
      </c>
      <c r="AY948" s="20">
        <v>50</v>
      </c>
      <c r="AZ948" s="20">
        <v>12.2</v>
      </c>
      <c r="BA948" s="20">
        <v>0</v>
      </c>
      <c r="BB948" s="6">
        <v>41855</v>
      </c>
      <c r="BC948" s="6">
        <v>0</v>
      </c>
      <c r="BD948" s="6">
        <v>41862</v>
      </c>
      <c r="BE948" s="6">
        <v>0</v>
      </c>
      <c r="BF948" s="6">
        <v>41862</v>
      </c>
      <c r="BG948" s="6">
        <v>0</v>
      </c>
      <c r="BH948" s="6">
        <v>0</v>
      </c>
      <c r="BI948" s="6">
        <v>0</v>
      </c>
      <c r="BJ948" s="6">
        <v>0</v>
      </c>
      <c r="BK948" s="4">
        <v>0</v>
      </c>
      <c r="BL948" s="4">
        <v>0</v>
      </c>
      <c r="BM948" s="20">
        <v>50</v>
      </c>
      <c r="BN948" s="20">
        <v>0</v>
      </c>
      <c r="BO948" s="20">
        <v>0</v>
      </c>
      <c r="BP948" s="20">
        <v>0</v>
      </c>
      <c r="BQ948" s="20">
        <v>0</v>
      </c>
      <c r="BR948" s="20">
        <v>0</v>
      </c>
      <c r="BS948" s="20">
        <v>50</v>
      </c>
      <c r="BT948" s="20">
        <v>798641.49999999988</v>
      </c>
      <c r="BU948" s="20">
        <v>3950000</v>
      </c>
      <c r="BV948" s="20">
        <v>4.4962715948383494</v>
      </c>
    </row>
    <row r="949" spans="1:74">
      <c r="A949" s="10">
        <f t="shared" si="58"/>
        <v>0</v>
      </c>
      <c r="B949" s="10">
        <f t="shared" si="59"/>
        <v>0</v>
      </c>
      <c r="C949" s="12">
        <f t="shared" si="60"/>
        <v>8</v>
      </c>
      <c r="D949" s="12">
        <f t="shared" si="61"/>
        <v>8</v>
      </c>
      <c r="E949" s="20" t="s">
        <v>574</v>
      </c>
      <c r="F949" s="20" t="s">
        <v>3089</v>
      </c>
      <c r="G949" s="20" t="s">
        <v>3482</v>
      </c>
      <c r="H949" s="20" t="s">
        <v>3483</v>
      </c>
      <c r="I949" s="20">
        <v>1</v>
      </c>
      <c r="J949" s="20" t="s">
        <v>3484</v>
      </c>
      <c r="K949" s="20" t="s">
        <v>3499</v>
      </c>
      <c r="L949" s="20" t="s">
        <v>3486</v>
      </c>
      <c r="M949" s="20" t="s">
        <v>2667</v>
      </c>
      <c r="N949" s="20" t="s">
        <v>3487</v>
      </c>
      <c r="P949" s="20" t="s">
        <v>2667</v>
      </c>
      <c r="Q949" s="20" t="s">
        <v>2674</v>
      </c>
      <c r="R949" s="20" t="s">
        <v>84</v>
      </c>
      <c r="S949" s="20">
        <v>4</v>
      </c>
      <c r="T949" s="20" t="s">
        <v>860</v>
      </c>
      <c r="U949" s="20" t="s">
        <v>861</v>
      </c>
      <c r="V949" s="20" t="s">
        <v>87</v>
      </c>
      <c r="W949" s="20">
        <v>923</v>
      </c>
      <c r="X949" s="20">
        <v>923</v>
      </c>
      <c r="Y949" s="20" t="s">
        <v>3488</v>
      </c>
      <c r="Z949" s="20">
        <v>0.16666666666666666</v>
      </c>
      <c r="AA949" s="20" t="s">
        <v>3500</v>
      </c>
      <c r="AB949" s="20" t="s">
        <v>89</v>
      </c>
      <c r="AC949" s="20" t="s">
        <v>90</v>
      </c>
      <c r="AD949" s="20" t="s">
        <v>3490</v>
      </c>
      <c r="AE949" s="20" t="s">
        <v>400</v>
      </c>
      <c r="AF949" s="20">
        <v>0.16666666666666666</v>
      </c>
      <c r="AG949" s="20">
        <v>0</v>
      </c>
      <c r="AH949" s="20">
        <v>1</v>
      </c>
      <c r="AI949" s="4" t="s">
        <v>640</v>
      </c>
      <c r="AJ949" s="20">
        <v>100</v>
      </c>
      <c r="AK949" s="4" t="s">
        <v>641</v>
      </c>
      <c r="AL949" s="4">
        <v>6</v>
      </c>
      <c r="AM949" s="4" t="s">
        <v>112</v>
      </c>
      <c r="AN949" s="4" t="s">
        <v>95</v>
      </c>
      <c r="AO949" s="4" t="s">
        <v>96</v>
      </c>
      <c r="AP949" s="4">
        <v>1</v>
      </c>
      <c r="AQ949" s="20">
        <v>79000</v>
      </c>
      <c r="AR949" s="4">
        <v>41855</v>
      </c>
      <c r="AS949" s="20">
        <v>14363.636363636362</v>
      </c>
      <c r="AT949" s="20">
        <v>15972.829999999998</v>
      </c>
      <c r="AU949" s="20">
        <v>1609.193636363636</v>
      </c>
      <c r="AV949" s="20">
        <v>0</v>
      </c>
      <c r="AW949" s="20">
        <v>50</v>
      </c>
      <c r="AX949" s="20" t="s">
        <v>91</v>
      </c>
      <c r="AY949" s="20">
        <v>50</v>
      </c>
      <c r="AZ949" s="20">
        <v>12.2</v>
      </c>
      <c r="BA949" s="20">
        <v>0</v>
      </c>
      <c r="BB949" s="6">
        <v>41855</v>
      </c>
      <c r="BC949" s="6">
        <v>0</v>
      </c>
      <c r="BD949" s="6">
        <v>41862</v>
      </c>
      <c r="BE949" s="6">
        <v>0</v>
      </c>
      <c r="BF949" s="6">
        <v>41862</v>
      </c>
      <c r="BG949" s="6">
        <v>0</v>
      </c>
      <c r="BH949" s="6">
        <v>0</v>
      </c>
      <c r="BI949" s="6">
        <v>0</v>
      </c>
      <c r="BJ949" s="6">
        <v>0</v>
      </c>
      <c r="BK949" s="4">
        <v>0</v>
      </c>
      <c r="BL949" s="4">
        <v>0</v>
      </c>
      <c r="BM949" s="20">
        <v>100</v>
      </c>
      <c r="BN949" s="20">
        <v>0</v>
      </c>
      <c r="BO949" s="20">
        <v>0</v>
      </c>
      <c r="BP949" s="20">
        <v>0</v>
      </c>
      <c r="BQ949" s="20">
        <v>0</v>
      </c>
      <c r="BR949" s="20">
        <v>0</v>
      </c>
      <c r="BS949" s="20">
        <v>100</v>
      </c>
      <c r="BT949" s="20">
        <v>1597282.9999999998</v>
      </c>
      <c r="BU949" s="20">
        <v>7900000</v>
      </c>
      <c r="BV949" s="20">
        <v>4.4962715948383494</v>
      </c>
    </row>
    <row r="950" spans="1:74">
      <c r="A950" s="10">
        <f t="shared" si="58"/>
        <v>0</v>
      </c>
      <c r="B950" s="10">
        <f t="shared" si="59"/>
        <v>0</v>
      </c>
      <c r="C950" s="12">
        <f t="shared" si="60"/>
        <v>8</v>
      </c>
      <c r="D950" s="12">
        <f t="shared" si="61"/>
        <v>8</v>
      </c>
      <c r="E950" s="20" t="s">
        <v>574</v>
      </c>
      <c r="F950" s="20" t="s">
        <v>3089</v>
      </c>
      <c r="G950" s="20" t="s">
        <v>3482</v>
      </c>
      <c r="H950" s="20" t="s">
        <v>3501</v>
      </c>
      <c r="I950" s="20">
        <v>2</v>
      </c>
      <c r="J950" s="20" t="s">
        <v>3502</v>
      </c>
      <c r="K950" s="20" t="s">
        <v>3503</v>
      </c>
      <c r="L950" s="20" t="s">
        <v>3504</v>
      </c>
      <c r="M950" s="20" t="s">
        <v>2667</v>
      </c>
      <c r="N950" s="20" t="s">
        <v>3505</v>
      </c>
      <c r="P950" s="20" t="s">
        <v>2667</v>
      </c>
      <c r="Q950" s="20" t="s">
        <v>2674</v>
      </c>
      <c r="R950" s="20" t="s">
        <v>84</v>
      </c>
      <c r="S950" s="20">
        <v>4</v>
      </c>
      <c r="T950" s="20" t="s">
        <v>922</v>
      </c>
      <c r="U950" s="20" t="s">
        <v>923</v>
      </c>
      <c r="V950" s="20" t="s">
        <v>87</v>
      </c>
      <c r="W950" s="20">
        <v>930</v>
      </c>
      <c r="X950" s="20">
        <v>930</v>
      </c>
      <c r="Y950" s="20" t="s">
        <v>3506</v>
      </c>
      <c r="Z950" s="20">
        <v>0.16666666666666666</v>
      </c>
      <c r="AA950" s="20" t="s">
        <v>3507</v>
      </c>
      <c r="AB950" s="20" t="s">
        <v>279</v>
      </c>
      <c r="AC950" s="20" t="s">
        <v>280</v>
      </c>
      <c r="AD950" s="20" t="s">
        <v>3508</v>
      </c>
      <c r="AE950" s="20" t="s">
        <v>400</v>
      </c>
      <c r="AF950" s="20">
        <v>0.16666666666666666</v>
      </c>
      <c r="AG950" s="20">
        <v>0</v>
      </c>
      <c r="AH950" s="20">
        <v>1</v>
      </c>
      <c r="AI950" s="4" t="s">
        <v>643</v>
      </c>
      <c r="AJ950" s="20">
        <v>100</v>
      </c>
      <c r="AK950" s="4" t="s">
        <v>641</v>
      </c>
      <c r="AL950" s="4">
        <v>6</v>
      </c>
      <c r="AM950" s="4" t="s">
        <v>112</v>
      </c>
      <c r="AN950" s="4" t="s">
        <v>95</v>
      </c>
      <c r="AO950" s="4" t="s">
        <v>96</v>
      </c>
      <c r="AP950" s="4">
        <v>1</v>
      </c>
      <c r="AQ950" s="20">
        <v>69000</v>
      </c>
      <c r="AR950" s="4">
        <v>41855</v>
      </c>
      <c r="AS950" s="20">
        <v>12545.454545454544</v>
      </c>
      <c r="AT950" s="20">
        <v>15928.71</v>
      </c>
      <c r="AU950" s="20">
        <v>3383.255454545455</v>
      </c>
      <c r="AV950" s="20">
        <v>0</v>
      </c>
      <c r="AW950" s="20">
        <v>1050</v>
      </c>
      <c r="AX950" s="20" t="s">
        <v>91</v>
      </c>
      <c r="AY950" s="20">
        <v>1050</v>
      </c>
      <c r="AZ950" s="20">
        <v>11.4</v>
      </c>
      <c r="BA950" s="20">
        <v>0</v>
      </c>
      <c r="BB950" s="6">
        <v>41855</v>
      </c>
      <c r="BC950" s="6">
        <v>0</v>
      </c>
      <c r="BD950" s="6">
        <v>41862</v>
      </c>
      <c r="BE950" s="6">
        <v>0</v>
      </c>
      <c r="BF950" s="6">
        <v>41862</v>
      </c>
      <c r="BG950" s="6">
        <v>0</v>
      </c>
      <c r="BH950" s="6">
        <v>0</v>
      </c>
      <c r="BI950" s="6">
        <v>0</v>
      </c>
      <c r="BJ950" s="6">
        <v>0</v>
      </c>
      <c r="BK950" s="4">
        <v>0</v>
      </c>
      <c r="BL950" s="4">
        <v>0</v>
      </c>
      <c r="BM950" s="20">
        <v>100</v>
      </c>
      <c r="BN950" s="20">
        <v>0</v>
      </c>
      <c r="BO950" s="20">
        <v>0</v>
      </c>
      <c r="BP950" s="20">
        <v>0</v>
      </c>
      <c r="BQ950" s="20">
        <v>0</v>
      </c>
      <c r="BR950" s="20">
        <v>0</v>
      </c>
      <c r="BS950" s="20">
        <v>100</v>
      </c>
      <c r="BT950" s="20">
        <v>1592871</v>
      </c>
      <c r="BU950" s="20">
        <v>6900000</v>
      </c>
      <c r="BV950" s="20">
        <v>3.9380008002702493</v>
      </c>
    </row>
    <row r="951" spans="1:74">
      <c r="A951" s="10">
        <f t="shared" si="58"/>
        <v>0</v>
      </c>
      <c r="B951" s="10">
        <f t="shared" si="59"/>
        <v>0</v>
      </c>
      <c r="C951" s="12">
        <f t="shared" si="60"/>
        <v>8</v>
      </c>
      <c r="D951" s="12">
        <f t="shared" si="61"/>
        <v>8</v>
      </c>
      <c r="E951" s="20" t="s">
        <v>574</v>
      </c>
      <c r="F951" s="20" t="s">
        <v>3089</v>
      </c>
      <c r="G951" s="20" t="s">
        <v>3482</v>
      </c>
      <c r="H951" s="20" t="s">
        <v>3501</v>
      </c>
      <c r="I951" s="20">
        <v>2</v>
      </c>
      <c r="J951" s="20" t="s">
        <v>3502</v>
      </c>
      <c r="K951" s="20" t="s">
        <v>3509</v>
      </c>
      <c r="L951" s="20" t="s">
        <v>3504</v>
      </c>
      <c r="M951" s="20" t="s">
        <v>2667</v>
      </c>
      <c r="N951" s="20" t="s">
        <v>3505</v>
      </c>
      <c r="P951" s="20" t="s">
        <v>2667</v>
      </c>
      <c r="Q951" s="20" t="s">
        <v>2674</v>
      </c>
      <c r="R951" s="20" t="s">
        <v>84</v>
      </c>
      <c r="S951" s="20">
        <v>4</v>
      </c>
      <c r="T951" s="20" t="s">
        <v>922</v>
      </c>
      <c r="U951" s="20" t="s">
        <v>923</v>
      </c>
      <c r="V951" s="20" t="s">
        <v>87</v>
      </c>
      <c r="W951" s="20">
        <v>930</v>
      </c>
      <c r="X951" s="20">
        <v>930</v>
      </c>
      <c r="Y951" s="20" t="s">
        <v>3506</v>
      </c>
      <c r="Z951" s="20">
        <v>0.16666666666666666</v>
      </c>
      <c r="AA951" s="20" t="s">
        <v>3510</v>
      </c>
      <c r="AB951" s="20" t="s">
        <v>279</v>
      </c>
      <c r="AC951" s="20" t="s">
        <v>280</v>
      </c>
      <c r="AD951" s="20" t="s">
        <v>3508</v>
      </c>
      <c r="AE951" s="20" t="s">
        <v>400</v>
      </c>
      <c r="AF951" s="20">
        <v>0.16666666666666666</v>
      </c>
      <c r="AG951" s="20">
        <v>0</v>
      </c>
      <c r="AH951" s="20">
        <v>1</v>
      </c>
      <c r="AI951" s="4" t="s">
        <v>645</v>
      </c>
      <c r="AJ951" s="20">
        <v>100</v>
      </c>
      <c r="AK951" s="4" t="s">
        <v>641</v>
      </c>
      <c r="AL951" s="4">
        <v>6</v>
      </c>
      <c r="AM951" s="4" t="s">
        <v>112</v>
      </c>
      <c r="AN951" s="4" t="s">
        <v>95</v>
      </c>
      <c r="AO951" s="4" t="s">
        <v>96</v>
      </c>
      <c r="AP951" s="4">
        <v>1</v>
      </c>
      <c r="AQ951" s="20">
        <v>69000</v>
      </c>
      <c r="AR951" s="4">
        <v>41855</v>
      </c>
      <c r="AS951" s="20">
        <v>12545.454545454544</v>
      </c>
      <c r="AT951" s="20">
        <v>15928.71</v>
      </c>
      <c r="AU951" s="20">
        <v>3383.255454545455</v>
      </c>
      <c r="AV951" s="20">
        <v>0</v>
      </c>
      <c r="AW951" s="20">
        <v>1050</v>
      </c>
      <c r="AX951" s="20" t="s">
        <v>91</v>
      </c>
      <c r="AY951" s="20">
        <v>1050</v>
      </c>
      <c r="AZ951" s="20">
        <v>11.4</v>
      </c>
      <c r="BA951" s="20">
        <v>0</v>
      </c>
      <c r="BB951" s="6">
        <v>41855</v>
      </c>
      <c r="BC951" s="6">
        <v>0</v>
      </c>
      <c r="BD951" s="6">
        <v>41862</v>
      </c>
      <c r="BE951" s="6">
        <v>0</v>
      </c>
      <c r="BF951" s="6">
        <v>41862</v>
      </c>
      <c r="BG951" s="6">
        <v>0</v>
      </c>
      <c r="BH951" s="6">
        <v>0</v>
      </c>
      <c r="BI951" s="6">
        <v>0</v>
      </c>
      <c r="BJ951" s="6">
        <v>0</v>
      </c>
      <c r="BK951" s="4">
        <v>0</v>
      </c>
      <c r="BL951" s="4">
        <v>0</v>
      </c>
      <c r="BM951" s="20">
        <v>100</v>
      </c>
      <c r="BN951" s="20">
        <v>0</v>
      </c>
      <c r="BO951" s="20">
        <v>0</v>
      </c>
      <c r="BP951" s="20">
        <v>0</v>
      </c>
      <c r="BQ951" s="20">
        <v>0</v>
      </c>
      <c r="BR951" s="20">
        <v>0</v>
      </c>
      <c r="BS951" s="20">
        <v>100</v>
      </c>
      <c r="BT951" s="20">
        <v>1592871</v>
      </c>
      <c r="BU951" s="20">
        <v>6900000</v>
      </c>
      <c r="BV951" s="20">
        <v>3.9380008002702493</v>
      </c>
    </row>
    <row r="952" spans="1:74">
      <c r="A952" s="10">
        <f t="shared" si="58"/>
        <v>0</v>
      </c>
      <c r="B952" s="10">
        <f t="shared" si="59"/>
        <v>0</v>
      </c>
      <c r="C952" s="12">
        <f t="shared" si="60"/>
        <v>8</v>
      </c>
      <c r="D952" s="12">
        <f t="shared" si="61"/>
        <v>8</v>
      </c>
      <c r="E952" s="20" t="s">
        <v>574</v>
      </c>
      <c r="F952" s="20" t="s">
        <v>3089</v>
      </c>
      <c r="G952" s="20" t="s">
        <v>3482</v>
      </c>
      <c r="H952" s="20" t="s">
        <v>3501</v>
      </c>
      <c r="I952" s="20">
        <v>2</v>
      </c>
      <c r="J952" s="20" t="s">
        <v>3502</v>
      </c>
      <c r="K952" s="20" t="s">
        <v>3511</v>
      </c>
      <c r="L952" s="20" t="s">
        <v>3504</v>
      </c>
      <c r="M952" s="20" t="s">
        <v>2667</v>
      </c>
      <c r="N952" s="20" t="s">
        <v>3505</v>
      </c>
      <c r="P952" s="20" t="s">
        <v>2667</v>
      </c>
      <c r="Q952" s="20" t="s">
        <v>2674</v>
      </c>
      <c r="R952" s="20" t="s">
        <v>84</v>
      </c>
      <c r="S952" s="20">
        <v>4</v>
      </c>
      <c r="T952" s="20" t="s">
        <v>922</v>
      </c>
      <c r="U952" s="20" t="s">
        <v>923</v>
      </c>
      <c r="V952" s="20" t="s">
        <v>87</v>
      </c>
      <c r="W952" s="20">
        <v>930</v>
      </c>
      <c r="X952" s="20">
        <v>930</v>
      </c>
      <c r="Y952" s="20" t="s">
        <v>3506</v>
      </c>
      <c r="Z952" s="20">
        <v>0.16666666666666666</v>
      </c>
      <c r="AA952" s="20" t="s">
        <v>3512</v>
      </c>
      <c r="AB952" s="20" t="s">
        <v>279</v>
      </c>
      <c r="AC952" s="20" t="s">
        <v>280</v>
      </c>
      <c r="AD952" s="20" t="s">
        <v>3508</v>
      </c>
      <c r="AE952" s="20" t="s">
        <v>400</v>
      </c>
      <c r="AF952" s="20">
        <v>0.16666666666666666</v>
      </c>
      <c r="AG952" s="20">
        <v>0</v>
      </c>
      <c r="AH952" s="20">
        <v>1</v>
      </c>
      <c r="AI952" s="4" t="s">
        <v>647</v>
      </c>
      <c r="AJ952" s="20">
        <v>100</v>
      </c>
      <c r="AK952" s="4" t="s">
        <v>641</v>
      </c>
      <c r="AL952" s="4">
        <v>6</v>
      </c>
      <c r="AM952" s="4" t="s">
        <v>112</v>
      </c>
      <c r="AN952" s="4" t="s">
        <v>95</v>
      </c>
      <c r="AO952" s="4" t="s">
        <v>96</v>
      </c>
      <c r="AP952" s="4">
        <v>1</v>
      </c>
      <c r="AQ952" s="20">
        <v>69000</v>
      </c>
      <c r="AR952" s="4">
        <v>41855</v>
      </c>
      <c r="AS952" s="20">
        <v>12545.454545454544</v>
      </c>
      <c r="AT952" s="20">
        <v>15928.71</v>
      </c>
      <c r="AU952" s="20">
        <v>3383.255454545455</v>
      </c>
      <c r="AV952" s="20">
        <v>0</v>
      </c>
      <c r="AW952" s="20">
        <v>1050</v>
      </c>
      <c r="AX952" s="20" t="s">
        <v>91</v>
      </c>
      <c r="AY952" s="20">
        <v>1050</v>
      </c>
      <c r="AZ952" s="20">
        <v>11.4</v>
      </c>
      <c r="BA952" s="20">
        <v>0</v>
      </c>
      <c r="BB952" s="6">
        <v>41855</v>
      </c>
      <c r="BC952" s="6">
        <v>0</v>
      </c>
      <c r="BD952" s="6">
        <v>41862</v>
      </c>
      <c r="BE952" s="6">
        <v>0</v>
      </c>
      <c r="BF952" s="6">
        <v>41862</v>
      </c>
      <c r="BG952" s="6">
        <v>0</v>
      </c>
      <c r="BH952" s="6">
        <v>0</v>
      </c>
      <c r="BI952" s="6">
        <v>0</v>
      </c>
      <c r="BJ952" s="6">
        <v>0</v>
      </c>
      <c r="BK952" s="4">
        <v>0</v>
      </c>
      <c r="BL952" s="4">
        <v>0</v>
      </c>
      <c r="BM952" s="20">
        <v>100</v>
      </c>
      <c r="BN952" s="20">
        <v>0</v>
      </c>
      <c r="BO952" s="20">
        <v>0</v>
      </c>
      <c r="BP952" s="20">
        <v>0</v>
      </c>
      <c r="BQ952" s="20">
        <v>0</v>
      </c>
      <c r="BR952" s="20">
        <v>0</v>
      </c>
      <c r="BS952" s="20">
        <v>100</v>
      </c>
      <c r="BT952" s="20">
        <v>1592871</v>
      </c>
      <c r="BU952" s="20">
        <v>6900000</v>
      </c>
      <c r="BV952" s="20">
        <v>3.9380008002702493</v>
      </c>
    </row>
    <row r="953" spans="1:74">
      <c r="A953" s="10">
        <f t="shared" si="58"/>
        <v>0</v>
      </c>
      <c r="B953" s="10">
        <f t="shared" si="59"/>
        <v>0</v>
      </c>
      <c r="C953" s="12">
        <f t="shared" si="60"/>
        <v>8</v>
      </c>
      <c r="D953" s="12">
        <f t="shared" si="61"/>
        <v>8</v>
      </c>
      <c r="E953" s="20" t="s">
        <v>574</v>
      </c>
      <c r="F953" s="20" t="s">
        <v>3089</v>
      </c>
      <c r="G953" s="20" t="s">
        <v>3482</v>
      </c>
      <c r="H953" s="20" t="s">
        <v>3501</v>
      </c>
      <c r="I953" s="20">
        <v>2</v>
      </c>
      <c r="J953" s="20" t="s">
        <v>3502</v>
      </c>
      <c r="K953" s="20" t="s">
        <v>3513</v>
      </c>
      <c r="L953" s="20" t="s">
        <v>3504</v>
      </c>
      <c r="M953" s="20" t="s">
        <v>2667</v>
      </c>
      <c r="N953" s="20" t="s">
        <v>3505</v>
      </c>
      <c r="P953" s="20" t="s">
        <v>2667</v>
      </c>
      <c r="Q953" s="20" t="s">
        <v>2674</v>
      </c>
      <c r="R953" s="20" t="s">
        <v>84</v>
      </c>
      <c r="S953" s="20">
        <v>4</v>
      </c>
      <c r="T953" s="20" t="s">
        <v>922</v>
      </c>
      <c r="U953" s="20" t="s">
        <v>923</v>
      </c>
      <c r="V953" s="20" t="s">
        <v>87</v>
      </c>
      <c r="W953" s="20">
        <v>930</v>
      </c>
      <c r="X953" s="20">
        <v>930</v>
      </c>
      <c r="Y953" s="20" t="s">
        <v>3506</v>
      </c>
      <c r="Z953" s="20">
        <v>0.16666666666666666</v>
      </c>
      <c r="AA953" s="20" t="s">
        <v>3514</v>
      </c>
      <c r="AB953" s="20" t="s">
        <v>279</v>
      </c>
      <c r="AC953" s="20" t="s">
        <v>280</v>
      </c>
      <c r="AD953" s="20" t="s">
        <v>3508</v>
      </c>
      <c r="AE953" s="20" t="s">
        <v>400</v>
      </c>
      <c r="AF953" s="20">
        <v>0.16666666666666666</v>
      </c>
      <c r="AG953" s="20">
        <v>0</v>
      </c>
      <c r="AH953" s="20">
        <v>1</v>
      </c>
      <c r="AI953" s="4" t="s">
        <v>649</v>
      </c>
      <c r="AJ953" s="20">
        <v>50</v>
      </c>
      <c r="AK953" s="4" t="s">
        <v>641</v>
      </c>
      <c r="AL953" s="4">
        <v>6</v>
      </c>
      <c r="AM953" s="4" t="s">
        <v>112</v>
      </c>
      <c r="AN953" s="4" t="s">
        <v>95</v>
      </c>
      <c r="AO953" s="4" t="s">
        <v>96</v>
      </c>
      <c r="AP953" s="4">
        <v>1</v>
      </c>
      <c r="AQ953" s="20">
        <v>69000</v>
      </c>
      <c r="AR953" s="4">
        <v>41855</v>
      </c>
      <c r="AS953" s="20">
        <v>12545.454545454544</v>
      </c>
      <c r="AT953" s="20">
        <v>15928.71</v>
      </c>
      <c r="AU953" s="20">
        <v>3383.255454545455</v>
      </c>
      <c r="AV953" s="20">
        <v>0</v>
      </c>
      <c r="AW953" s="20">
        <v>1050</v>
      </c>
      <c r="AX953" s="20" t="s">
        <v>91</v>
      </c>
      <c r="AY953" s="20">
        <v>1050</v>
      </c>
      <c r="AZ953" s="20">
        <v>11.4</v>
      </c>
      <c r="BA953" s="20">
        <v>0</v>
      </c>
      <c r="BB953" s="6">
        <v>41855</v>
      </c>
      <c r="BC953" s="6">
        <v>0</v>
      </c>
      <c r="BD953" s="6">
        <v>41862</v>
      </c>
      <c r="BE953" s="6">
        <v>0</v>
      </c>
      <c r="BF953" s="6">
        <v>41862</v>
      </c>
      <c r="BG953" s="6">
        <v>0</v>
      </c>
      <c r="BH953" s="6">
        <v>0</v>
      </c>
      <c r="BI953" s="6">
        <v>0</v>
      </c>
      <c r="BJ953" s="6">
        <v>0</v>
      </c>
      <c r="BK953" s="4">
        <v>0</v>
      </c>
      <c r="BL953" s="4">
        <v>0</v>
      </c>
      <c r="BM953" s="20">
        <v>50</v>
      </c>
      <c r="BN953" s="20">
        <v>0</v>
      </c>
      <c r="BO953" s="20">
        <v>0</v>
      </c>
      <c r="BP953" s="20">
        <v>0</v>
      </c>
      <c r="BQ953" s="20">
        <v>0</v>
      </c>
      <c r="BR953" s="20">
        <v>0</v>
      </c>
      <c r="BS953" s="20">
        <v>50</v>
      </c>
      <c r="BT953" s="20">
        <v>796435.5</v>
      </c>
      <c r="BU953" s="20">
        <v>3450000</v>
      </c>
      <c r="BV953" s="20">
        <v>3.9380008002702493</v>
      </c>
    </row>
    <row r="954" spans="1:74">
      <c r="A954" s="10">
        <f t="shared" si="58"/>
        <v>0</v>
      </c>
      <c r="B954" s="10">
        <f t="shared" si="59"/>
        <v>0</v>
      </c>
      <c r="C954" s="12">
        <f t="shared" si="60"/>
        <v>8</v>
      </c>
      <c r="D954" s="12">
        <f t="shared" si="61"/>
        <v>8</v>
      </c>
      <c r="E954" s="20" t="s">
        <v>574</v>
      </c>
      <c r="F954" s="20" t="s">
        <v>3089</v>
      </c>
      <c r="G954" s="20" t="s">
        <v>3482</v>
      </c>
      <c r="H954" s="20" t="s">
        <v>3501</v>
      </c>
      <c r="I954" s="20">
        <v>2</v>
      </c>
      <c r="J954" s="20" t="s">
        <v>3502</v>
      </c>
      <c r="K954" s="20" t="s">
        <v>3515</v>
      </c>
      <c r="L954" s="20" t="s">
        <v>3504</v>
      </c>
      <c r="M954" s="20" t="s">
        <v>2667</v>
      </c>
      <c r="N954" s="20" t="s">
        <v>3505</v>
      </c>
      <c r="P954" s="20" t="s">
        <v>2667</v>
      </c>
      <c r="Q954" s="20" t="s">
        <v>2674</v>
      </c>
      <c r="R954" s="20" t="s">
        <v>84</v>
      </c>
      <c r="S954" s="20">
        <v>4</v>
      </c>
      <c r="T954" s="20" t="s">
        <v>922</v>
      </c>
      <c r="U954" s="20" t="s">
        <v>923</v>
      </c>
      <c r="V954" s="20" t="s">
        <v>87</v>
      </c>
      <c r="W954" s="20">
        <v>930</v>
      </c>
      <c r="X954" s="20">
        <v>930</v>
      </c>
      <c r="Y954" s="20" t="s">
        <v>3506</v>
      </c>
      <c r="Z954" s="20">
        <v>0.16666666666666666</v>
      </c>
      <c r="AA954" s="20" t="s">
        <v>3516</v>
      </c>
      <c r="AB954" s="20" t="s">
        <v>279</v>
      </c>
      <c r="AC954" s="20" t="s">
        <v>280</v>
      </c>
      <c r="AD954" s="20" t="s">
        <v>3508</v>
      </c>
      <c r="AE954" s="20" t="s">
        <v>400</v>
      </c>
      <c r="AF954" s="20">
        <v>0.16666666666666666</v>
      </c>
      <c r="AG954" s="20">
        <v>0</v>
      </c>
      <c r="AH954" s="20">
        <v>1</v>
      </c>
      <c r="AI954" s="4" t="s">
        <v>651</v>
      </c>
      <c r="AJ954" s="20">
        <v>50</v>
      </c>
      <c r="AK954" s="4" t="s">
        <v>641</v>
      </c>
      <c r="AL954" s="4">
        <v>6</v>
      </c>
      <c r="AM954" s="4" t="s">
        <v>112</v>
      </c>
      <c r="AN954" s="4" t="s">
        <v>95</v>
      </c>
      <c r="AO954" s="4" t="s">
        <v>96</v>
      </c>
      <c r="AP954" s="4">
        <v>1</v>
      </c>
      <c r="AQ954" s="20">
        <v>69000</v>
      </c>
      <c r="AR954" s="4">
        <v>41855</v>
      </c>
      <c r="AS954" s="20">
        <v>12545.454545454544</v>
      </c>
      <c r="AT954" s="20">
        <v>15928.71</v>
      </c>
      <c r="AU954" s="20">
        <v>3383.255454545455</v>
      </c>
      <c r="AV954" s="20">
        <v>0</v>
      </c>
      <c r="AW954" s="20">
        <v>1050</v>
      </c>
      <c r="AX954" s="20" t="s">
        <v>91</v>
      </c>
      <c r="AY954" s="20">
        <v>1050</v>
      </c>
      <c r="AZ954" s="20">
        <v>11.4</v>
      </c>
      <c r="BA954" s="20">
        <v>0</v>
      </c>
      <c r="BB954" s="6">
        <v>41855</v>
      </c>
      <c r="BC954" s="6">
        <v>0</v>
      </c>
      <c r="BD954" s="6">
        <v>41862</v>
      </c>
      <c r="BE954" s="6">
        <v>0</v>
      </c>
      <c r="BF954" s="6">
        <v>41862</v>
      </c>
      <c r="BG954" s="6">
        <v>0</v>
      </c>
      <c r="BH954" s="6">
        <v>0</v>
      </c>
      <c r="BI954" s="6">
        <v>0</v>
      </c>
      <c r="BJ954" s="6">
        <v>0</v>
      </c>
      <c r="BK954" s="4">
        <v>0</v>
      </c>
      <c r="BL954" s="4">
        <v>0</v>
      </c>
      <c r="BM954" s="20">
        <v>50</v>
      </c>
      <c r="BN954" s="20">
        <v>0</v>
      </c>
      <c r="BO954" s="20">
        <v>0</v>
      </c>
      <c r="BP954" s="20">
        <v>0</v>
      </c>
      <c r="BQ954" s="20">
        <v>0</v>
      </c>
      <c r="BR954" s="20">
        <v>0</v>
      </c>
      <c r="BS954" s="20">
        <v>50</v>
      </c>
      <c r="BT954" s="20">
        <v>796435.5</v>
      </c>
      <c r="BU954" s="20">
        <v>3450000</v>
      </c>
      <c r="BV954" s="20">
        <v>3.9380008002702493</v>
      </c>
    </row>
    <row r="955" spans="1:74">
      <c r="A955" s="10">
        <f t="shared" si="58"/>
        <v>0</v>
      </c>
      <c r="B955" s="10">
        <f t="shared" si="59"/>
        <v>0</v>
      </c>
      <c r="C955" s="12">
        <f t="shared" si="60"/>
        <v>8</v>
      </c>
      <c r="D955" s="12">
        <f t="shared" si="61"/>
        <v>8</v>
      </c>
      <c r="E955" s="20" t="s">
        <v>574</v>
      </c>
      <c r="F955" s="20" t="s">
        <v>3089</v>
      </c>
      <c r="G955" s="20" t="s">
        <v>3482</v>
      </c>
      <c r="H955" s="20" t="s">
        <v>3501</v>
      </c>
      <c r="I955" s="20">
        <v>2</v>
      </c>
      <c r="J955" s="20" t="s">
        <v>3502</v>
      </c>
      <c r="K955" s="20" t="s">
        <v>3517</v>
      </c>
      <c r="L955" s="20" t="s">
        <v>3504</v>
      </c>
      <c r="M955" s="20" t="s">
        <v>2667</v>
      </c>
      <c r="N955" s="20" t="s">
        <v>3505</v>
      </c>
      <c r="P955" s="20" t="s">
        <v>2667</v>
      </c>
      <c r="Q955" s="20" t="s">
        <v>2674</v>
      </c>
      <c r="R955" s="20" t="s">
        <v>84</v>
      </c>
      <c r="S955" s="20">
        <v>4</v>
      </c>
      <c r="T955" s="20" t="s">
        <v>922</v>
      </c>
      <c r="U955" s="20" t="s">
        <v>923</v>
      </c>
      <c r="V955" s="20" t="s">
        <v>87</v>
      </c>
      <c r="W955" s="20">
        <v>930</v>
      </c>
      <c r="X955" s="20">
        <v>930</v>
      </c>
      <c r="Y955" s="20" t="s">
        <v>3506</v>
      </c>
      <c r="Z955" s="20">
        <v>0.16666666666666666</v>
      </c>
      <c r="AA955" s="20" t="s">
        <v>3518</v>
      </c>
      <c r="AB955" s="20" t="s">
        <v>279</v>
      </c>
      <c r="AC955" s="20" t="s">
        <v>280</v>
      </c>
      <c r="AD955" s="20" t="s">
        <v>3508</v>
      </c>
      <c r="AE955" s="20" t="s">
        <v>400</v>
      </c>
      <c r="AF955" s="20">
        <v>0.16666666666666666</v>
      </c>
      <c r="AG955" s="20">
        <v>0</v>
      </c>
      <c r="AH955" s="20">
        <v>1</v>
      </c>
      <c r="AI955" s="4" t="s">
        <v>640</v>
      </c>
      <c r="AJ955" s="20">
        <v>100</v>
      </c>
      <c r="AK955" s="4" t="s">
        <v>641</v>
      </c>
      <c r="AL955" s="4">
        <v>6</v>
      </c>
      <c r="AM955" s="4" t="s">
        <v>112</v>
      </c>
      <c r="AN955" s="4" t="s">
        <v>95</v>
      </c>
      <c r="AO955" s="4" t="s">
        <v>96</v>
      </c>
      <c r="AP955" s="4">
        <v>1</v>
      </c>
      <c r="AQ955" s="20">
        <v>69000</v>
      </c>
      <c r="AR955" s="4">
        <v>41855</v>
      </c>
      <c r="AS955" s="20">
        <v>12545.454545454544</v>
      </c>
      <c r="AT955" s="20">
        <v>15928.71</v>
      </c>
      <c r="AU955" s="20">
        <v>3383.255454545455</v>
      </c>
      <c r="AV955" s="20">
        <v>0</v>
      </c>
      <c r="AW955" s="20">
        <v>1050</v>
      </c>
      <c r="AX955" s="20" t="s">
        <v>91</v>
      </c>
      <c r="AY955" s="20">
        <v>1050</v>
      </c>
      <c r="AZ955" s="20">
        <v>11.4</v>
      </c>
      <c r="BA955" s="20">
        <v>0</v>
      </c>
      <c r="BB955" s="6">
        <v>41855</v>
      </c>
      <c r="BC955" s="6">
        <v>0</v>
      </c>
      <c r="BD955" s="6">
        <v>41862</v>
      </c>
      <c r="BE955" s="6">
        <v>0</v>
      </c>
      <c r="BF955" s="6">
        <v>41862</v>
      </c>
      <c r="BG955" s="6">
        <v>0</v>
      </c>
      <c r="BH955" s="6">
        <v>0</v>
      </c>
      <c r="BI955" s="6">
        <v>0</v>
      </c>
      <c r="BJ955" s="6">
        <v>0</v>
      </c>
      <c r="BK955" s="4">
        <v>0</v>
      </c>
      <c r="BL955" s="4">
        <v>0</v>
      </c>
      <c r="BM955" s="20">
        <v>100</v>
      </c>
      <c r="BN955" s="20">
        <v>0</v>
      </c>
      <c r="BO955" s="20">
        <v>0</v>
      </c>
      <c r="BP955" s="20">
        <v>0</v>
      </c>
      <c r="BQ955" s="20">
        <v>0</v>
      </c>
      <c r="BR955" s="20">
        <v>0</v>
      </c>
      <c r="BS955" s="20">
        <v>100</v>
      </c>
      <c r="BT955" s="20">
        <v>1592871</v>
      </c>
      <c r="BU955" s="20">
        <v>6900000</v>
      </c>
      <c r="BV955" s="20">
        <v>3.9380008002702493</v>
      </c>
    </row>
    <row r="956" spans="1:74">
      <c r="A956" s="10">
        <f t="shared" si="58"/>
        <v>0</v>
      </c>
      <c r="B956" s="10">
        <f t="shared" si="59"/>
        <v>0</v>
      </c>
      <c r="C956" s="12" t="str">
        <f t="shared" si="60"/>
        <v/>
      </c>
      <c r="D956" s="12">
        <f t="shared" si="61"/>
        <v>8</v>
      </c>
      <c r="E956" s="20" t="s">
        <v>91</v>
      </c>
      <c r="F956" s="20" t="s">
        <v>91</v>
      </c>
      <c r="G956" s="20" t="s">
        <v>91</v>
      </c>
      <c r="H956" s="20" t="s">
        <v>91</v>
      </c>
      <c r="I956" s="20">
        <v>0</v>
      </c>
      <c r="J956" s="20" t="s">
        <v>103</v>
      </c>
      <c r="K956" s="20" t="s">
        <v>104</v>
      </c>
      <c r="L956" s="20">
        <v>0</v>
      </c>
      <c r="M956" s="20" t="s">
        <v>105</v>
      </c>
      <c r="N956" s="20" t="s">
        <v>91</v>
      </c>
      <c r="O956" s="20" t="s">
        <v>3519</v>
      </c>
      <c r="Q956" s="20" t="s">
        <v>91</v>
      </c>
      <c r="R956" s="20" t="s">
        <v>91</v>
      </c>
      <c r="U956" s="20" t="s">
        <v>91</v>
      </c>
      <c r="X956" s="20" t="s">
        <v>91</v>
      </c>
      <c r="Y956" s="20" t="s">
        <v>91</v>
      </c>
      <c r="Z956" s="20">
        <v>2</v>
      </c>
      <c r="AB956" s="20" t="s">
        <v>91</v>
      </c>
      <c r="AD956" s="20" t="s">
        <v>91</v>
      </c>
      <c r="AE956" s="20" t="s">
        <v>91</v>
      </c>
      <c r="AF956" s="20">
        <v>2</v>
      </c>
      <c r="AG956" s="20">
        <v>0</v>
      </c>
      <c r="AM956" s="4" t="s">
        <v>91</v>
      </c>
      <c r="AP956" s="4" t="s">
        <v>91</v>
      </c>
      <c r="AQ956" s="20">
        <v>0</v>
      </c>
      <c r="AR956" s="4">
        <v>0</v>
      </c>
      <c r="AS956" s="20">
        <v>0</v>
      </c>
      <c r="AT956" s="20">
        <v>0</v>
      </c>
      <c r="AU956" s="20">
        <v>0</v>
      </c>
      <c r="AY956" s="20">
        <v>0</v>
      </c>
      <c r="BB956" s="6">
        <v>0</v>
      </c>
      <c r="BD956" s="6">
        <v>0</v>
      </c>
      <c r="BF956" s="6">
        <v>41862</v>
      </c>
      <c r="BM956" s="20">
        <v>1000</v>
      </c>
      <c r="BN956" s="20">
        <v>0</v>
      </c>
      <c r="BO956" s="20">
        <v>0</v>
      </c>
      <c r="BP956" s="20">
        <v>0</v>
      </c>
      <c r="BQ956" s="20">
        <v>0</v>
      </c>
      <c r="BR956" s="20">
        <v>0</v>
      </c>
      <c r="BS956" s="20">
        <v>1000</v>
      </c>
      <c r="BT956" s="20">
        <v>15950770</v>
      </c>
      <c r="BU956" s="20">
        <v>74000000</v>
      </c>
      <c r="BV956" s="20">
        <v>4.2175222432978012</v>
      </c>
    </row>
    <row r="957" spans="1:74">
      <c r="A957" s="10">
        <f t="shared" si="58"/>
        <v>0</v>
      </c>
      <c r="B957" s="10">
        <f t="shared" si="59"/>
        <v>0</v>
      </c>
      <c r="C957" s="12">
        <f t="shared" si="60"/>
        <v>8</v>
      </c>
      <c r="D957" s="12">
        <f t="shared" si="61"/>
        <v>8</v>
      </c>
      <c r="E957" s="20" t="s">
        <v>574</v>
      </c>
      <c r="F957" s="20" t="s">
        <v>3089</v>
      </c>
      <c r="G957" s="20" t="s">
        <v>3520</v>
      </c>
      <c r="H957" s="20" t="s">
        <v>3521</v>
      </c>
      <c r="I957" s="20">
        <v>1</v>
      </c>
      <c r="J957" s="20" t="s">
        <v>3522</v>
      </c>
      <c r="K957" s="20" t="s">
        <v>3523</v>
      </c>
      <c r="L957" s="20" t="s">
        <v>3524</v>
      </c>
      <c r="M957" s="20" t="s">
        <v>2667</v>
      </c>
      <c r="N957" s="20" t="s">
        <v>3525</v>
      </c>
      <c r="P957" s="20" t="s">
        <v>2667</v>
      </c>
      <c r="Q957" s="20" t="s">
        <v>2674</v>
      </c>
      <c r="R957" s="20" t="s">
        <v>84</v>
      </c>
      <c r="S957" s="20">
        <v>4</v>
      </c>
      <c r="T957" s="20" t="s">
        <v>762</v>
      </c>
      <c r="U957" s="20" t="s">
        <v>763</v>
      </c>
      <c r="V957" s="20" t="s">
        <v>87</v>
      </c>
      <c r="W957" s="20">
        <v>986</v>
      </c>
      <c r="X957" s="20">
        <v>986</v>
      </c>
      <c r="Y957" s="20" t="s">
        <v>3526</v>
      </c>
      <c r="Z957" s="20">
        <v>0.33333333333333331</v>
      </c>
      <c r="AA957" s="20" t="s">
        <v>3527</v>
      </c>
      <c r="AB957" s="20" t="s">
        <v>248</v>
      </c>
      <c r="AC957" s="20" t="s">
        <v>249</v>
      </c>
      <c r="AD957" s="20" t="s">
        <v>3528</v>
      </c>
      <c r="AE957" s="20" t="s">
        <v>400</v>
      </c>
      <c r="AF957" s="20">
        <v>0.33333333333333331</v>
      </c>
      <c r="AG957" s="20">
        <v>0</v>
      </c>
      <c r="AH957" s="20">
        <v>1</v>
      </c>
      <c r="AI957" s="4" t="s">
        <v>643</v>
      </c>
      <c r="AJ957" s="20">
        <v>100</v>
      </c>
      <c r="AK957" s="4" t="s">
        <v>780</v>
      </c>
      <c r="AL957" s="4">
        <v>10</v>
      </c>
      <c r="AM957" s="4">
        <v>10</v>
      </c>
      <c r="AN957" s="4" t="s">
        <v>95</v>
      </c>
      <c r="AO957" s="4" t="s">
        <v>131</v>
      </c>
      <c r="AP957" s="4">
        <v>2</v>
      </c>
      <c r="AQ957" s="20">
        <v>69000</v>
      </c>
      <c r="AR957" s="4">
        <v>41855</v>
      </c>
      <c r="AS957" s="20">
        <v>17424.24242424242</v>
      </c>
      <c r="AT957" s="20">
        <v>17220</v>
      </c>
      <c r="AU957" s="20">
        <v>-204.24242424242038</v>
      </c>
      <c r="AV957" s="20">
        <v>0</v>
      </c>
      <c r="AW957" s="20">
        <v>20</v>
      </c>
      <c r="AX957" s="20" t="s">
        <v>91</v>
      </c>
      <c r="AY957" s="20">
        <v>20</v>
      </c>
      <c r="AZ957" s="20">
        <v>0</v>
      </c>
      <c r="BA957" s="20">
        <v>17200</v>
      </c>
      <c r="BB957" s="6">
        <v>41855</v>
      </c>
      <c r="BC957" s="6">
        <v>0</v>
      </c>
      <c r="BD957" s="6">
        <v>41862</v>
      </c>
      <c r="BE957" s="6">
        <v>0</v>
      </c>
      <c r="BF957" s="6">
        <v>41862</v>
      </c>
      <c r="BG957" s="6">
        <v>0</v>
      </c>
      <c r="BH957" s="6">
        <v>0</v>
      </c>
      <c r="BI957" s="6">
        <v>0</v>
      </c>
      <c r="BJ957" s="6">
        <v>0</v>
      </c>
      <c r="BK957" s="4">
        <v>0</v>
      </c>
      <c r="BL957" s="4">
        <v>0</v>
      </c>
      <c r="BM957" s="20">
        <v>100</v>
      </c>
      <c r="BN957" s="20">
        <v>0</v>
      </c>
      <c r="BO957" s="20">
        <v>0</v>
      </c>
      <c r="BP957" s="20">
        <v>0</v>
      </c>
      <c r="BQ957" s="20">
        <v>0</v>
      </c>
      <c r="BR957" s="20">
        <v>0</v>
      </c>
      <c r="BS957" s="20">
        <v>100</v>
      </c>
      <c r="BT957" s="20">
        <v>1722000</v>
      </c>
      <c r="BU957" s="20">
        <v>6900000</v>
      </c>
      <c r="BV957" s="20">
        <v>3.6426987646499835</v>
      </c>
    </row>
    <row r="958" spans="1:74">
      <c r="A958" s="10">
        <f t="shared" si="58"/>
        <v>0</v>
      </c>
      <c r="B958" s="10">
        <f t="shared" si="59"/>
        <v>0</v>
      </c>
      <c r="C958" s="12">
        <f t="shared" si="60"/>
        <v>8</v>
      </c>
      <c r="D958" s="12">
        <f t="shared" si="61"/>
        <v>8</v>
      </c>
      <c r="E958" s="20" t="s">
        <v>574</v>
      </c>
      <c r="F958" s="20" t="s">
        <v>3089</v>
      </c>
      <c r="G958" s="20" t="s">
        <v>3520</v>
      </c>
      <c r="H958" s="20" t="s">
        <v>3521</v>
      </c>
      <c r="I958" s="20">
        <v>1</v>
      </c>
      <c r="J958" s="20" t="s">
        <v>3522</v>
      </c>
      <c r="K958" s="20" t="s">
        <v>3529</v>
      </c>
      <c r="L958" s="20" t="s">
        <v>3524</v>
      </c>
      <c r="M958" s="20" t="s">
        <v>2667</v>
      </c>
      <c r="N958" s="20" t="s">
        <v>3525</v>
      </c>
      <c r="P958" s="20" t="s">
        <v>2667</v>
      </c>
      <c r="Q958" s="20" t="s">
        <v>2674</v>
      </c>
      <c r="R958" s="20" t="s">
        <v>84</v>
      </c>
      <c r="S958" s="20">
        <v>4</v>
      </c>
      <c r="T958" s="20" t="s">
        <v>762</v>
      </c>
      <c r="U958" s="20" t="s">
        <v>763</v>
      </c>
      <c r="V958" s="20" t="s">
        <v>87</v>
      </c>
      <c r="W958" s="20">
        <v>986</v>
      </c>
      <c r="X958" s="20">
        <v>986</v>
      </c>
      <c r="Y958" s="20" t="s">
        <v>3526</v>
      </c>
      <c r="Z958" s="20">
        <v>0.33333333333333331</v>
      </c>
      <c r="AA958" s="20" t="s">
        <v>3530</v>
      </c>
      <c r="AB958" s="20" t="s">
        <v>248</v>
      </c>
      <c r="AC958" s="20" t="s">
        <v>249</v>
      </c>
      <c r="AD958" s="20" t="s">
        <v>3528</v>
      </c>
      <c r="AE958" s="20" t="s">
        <v>400</v>
      </c>
      <c r="AF958" s="20">
        <v>0.33333333333333331</v>
      </c>
      <c r="AG958" s="20">
        <v>0</v>
      </c>
      <c r="AH958" s="20">
        <v>1</v>
      </c>
      <c r="AI958" s="4" t="s">
        <v>647</v>
      </c>
      <c r="AJ958" s="20">
        <v>100</v>
      </c>
      <c r="AK958" s="4" t="s">
        <v>780</v>
      </c>
      <c r="AL958" s="4">
        <v>10</v>
      </c>
      <c r="AM958" s="4">
        <v>10</v>
      </c>
      <c r="AN958" s="4" t="s">
        <v>95</v>
      </c>
      <c r="AO958" s="4" t="s">
        <v>131</v>
      </c>
      <c r="AP958" s="4">
        <v>2</v>
      </c>
      <c r="AQ958" s="20">
        <v>69000</v>
      </c>
      <c r="AR958" s="4">
        <v>41855</v>
      </c>
      <c r="AS958" s="20">
        <v>17424.24242424242</v>
      </c>
      <c r="AT958" s="20">
        <v>17220</v>
      </c>
      <c r="AU958" s="20">
        <v>-204.24242424242038</v>
      </c>
      <c r="AV958" s="20">
        <v>0</v>
      </c>
      <c r="AW958" s="20">
        <v>20</v>
      </c>
      <c r="AX958" s="20" t="s">
        <v>91</v>
      </c>
      <c r="AY958" s="20">
        <v>20</v>
      </c>
      <c r="AZ958" s="20">
        <v>0</v>
      </c>
      <c r="BA958" s="20">
        <v>17200</v>
      </c>
      <c r="BB958" s="6">
        <v>41855</v>
      </c>
      <c r="BC958" s="6">
        <v>0</v>
      </c>
      <c r="BD958" s="6">
        <v>41862</v>
      </c>
      <c r="BE958" s="6">
        <v>0</v>
      </c>
      <c r="BF958" s="6">
        <v>41862</v>
      </c>
      <c r="BG958" s="6">
        <v>0</v>
      </c>
      <c r="BH958" s="6">
        <v>0</v>
      </c>
      <c r="BI958" s="6">
        <v>0</v>
      </c>
      <c r="BJ958" s="6">
        <v>0</v>
      </c>
      <c r="BK958" s="4">
        <v>0</v>
      </c>
      <c r="BL958" s="4">
        <v>0</v>
      </c>
      <c r="BM958" s="20">
        <v>100</v>
      </c>
      <c r="BN958" s="20">
        <v>0</v>
      </c>
      <c r="BO958" s="20">
        <v>0</v>
      </c>
      <c r="BP958" s="20">
        <v>0</v>
      </c>
      <c r="BQ958" s="20">
        <v>0</v>
      </c>
      <c r="BR958" s="20">
        <v>0</v>
      </c>
      <c r="BS958" s="20">
        <v>100</v>
      </c>
      <c r="BT958" s="20">
        <v>1722000</v>
      </c>
      <c r="BU958" s="20">
        <v>6900000</v>
      </c>
      <c r="BV958" s="20">
        <v>3.6426987646499835</v>
      </c>
    </row>
    <row r="959" spans="1:74">
      <c r="A959" s="10">
        <f t="shared" si="58"/>
        <v>0</v>
      </c>
      <c r="B959" s="10">
        <f t="shared" si="59"/>
        <v>0</v>
      </c>
      <c r="C959" s="12">
        <f t="shared" si="60"/>
        <v>8</v>
      </c>
      <c r="D959" s="12">
        <f t="shared" si="61"/>
        <v>8</v>
      </c>
      <c r="E959" s="20" t="s">
        <v>574</v>
      </c>
      <c r="F959" s="20" t="s">
        <v>3089</v>
      </c>
      <c r="G959" s="20" t="s">
        <v>3520</v>
      </c>
      <c r="H959" s="20" t="s">
        <v>3521</v>
      </c>
      <c r="I959" s="20">
        <v>1</v>
      </c>
      <c r="J959" s="20" t="s">
        <v>3522</v>
      </c>
      <c r="K959" s="20" t="s">
        <v>3531</v>
      </c>
      <c r="L959" s="20" t="s">
        <v>3524</v>
      </c>
      <c r="M959" s="20" t="s">
        <v>2667</v>
      </c>
      <c r="N959" s="20" t="s">
        <v>3525</v>
      </c>
      <c r="P959" s="20" t="s">
        <v>2667</v>
      </c>
      <c r="Q959" s="20" t="s">
        <v>2674</v>
      </c>
      <c r="R959" s="20" t="s">
        <v>84</v>
      </c>
      <c r="S959" s="20">
        <v>4</v>
      </c>
      <c r="T959" s="20" t="s">
        <v>762</v>
      </c>
      <c r="U959" s="20" t="s">
        <v>763</v>
      </c>
      <c r="V959" s="20" t="s">
        <v>87</v>
      </c>
      <c r="W959" s="20">
        <v>986</v>
      </c>
      <c r="X959" s="20">
        <v>986</v>
      </c>
      <c r="Y959" s="20" t="s">
        <v>3526</v>
      </c>
      <c r="Z959" s="20">
        <v>0.33333333333333331</v>
      </c>
      <c r="AA959" s="20" t="s">
        <v>3532</v>
      </c>
      <c r="AB959" s="20" t="s">
        <v>248</v>
      </c>
      <c r="AC959" s="20" t="s">
        <v>249</v>
      </c>
      <c r="AD959" s="20" t="s">
        <v>3528</v>
      </c>
      <c r="AE959" s="20" t="s">
        <v>400</v>
      </c>
      <c r="AF959" s="20">
        <v>0.33333333333333331</v>
      </c>
      <c r="AG959" s="20">
        <v>0</v>
      </c>
      <c r="AH959" s="20">
        <v>1</v>
      </c>
      <c r="AI959" s="4" t="s">
        <v>651</v>
      </c>
      <c r="AJ959" s="20">
        <v>100</v>
      </c>
      <c r="AK959" s="4" t="s">
        <v>780</v>
      </c>
      <c r="AL959" s="4">
        <v>10</v>
      </c>
      <c r="AM959" s="4">
        <v>10</v>
      </c>
      <c r="AN959" s="4" t="s">
        <v>95</v>
      </c>
      <c r="AO959" s="4" t="s">
        <v>131</v>
      </c>
      <c r="AP959" s="4">
        <v>2</v>
      </c>
      <c r="AQ959" s="20">
        <v>69000</v>
      </c>
      <c r="AR959" s="4">
        <v>41855</v>
      </c>
      <c r="AS959" s="20">
        <v>17424.24242424242</v>
      </c>
      <c r="AT959" s="20">
        <v>17220</v>
      </c>
      <c r="AU959" s="20">
        <v>-204.24242424242038</v>
      </c>
      <c r="AV959" s="20">
        <v>0</v>
      </c>
      <c r="AW959" s="20">
        <v>20</v>
      </c>
      <c r="AX959" s="20" t="s">
        <v>91</v>
      </c>
      <c r="AY959" s="20">
        <v>20</v>
      </c>
      <c r="AZ959" s="20">
        <v>0</v>
      </c>
      <c r="BA959" s="20">
        <v>17200</v>
      </c>
      <c r="BB959" s="6">
        <v>41855</v>
      </c>
      <c r="BC959" s="6">
        <v>0</v>
      </c>
      <c r="BD959" s="6">
        <v>41862</v>
      </c>
      <c r="BE959" s="6">
        <v>0</v>
      </c>
      <c r="BF959" s="6">
        <v>41862</v>
      </c>
      <c r="BG959" s="6">
        <v>0</v>
      </c>
      <c r="BH959" s="6">
        <v>0</v>
      </c>
      <c r="BI959" s="6">
        <v>0</v>
      </c>
      <c r="BJ959" s="6">
        <v>0</v>
      </c>
      <c r="BK959" s="4">
        <v>0</v>
      </c>
      <c r="BL959" s="4">
        <v>0</v>
      </c>
      <c r="BM959" s="20">
        <v>100</v>
      </c>
      <c r="BN959" s="20">
        <v>0</v>
      </c>
      <c r="BO959" s="20">
        <v>0</v>
      </c>
      <c r="BP959" s="20">
        <v>0</v>
      </c>
      <c r="BQ959" s="20">
        <v>0</v>
      </c>
      <c r="BR959" s="20">
        <v>0</v>
      </c>
      <c r="BS959" s="20">
        <v>100</v>
      </c>
      <c r="BT959" s="20">
        <v>1722000</v>
      </c>
      <c r="BU959" s="20">
        <v>6900000</v>
      </c>
      <c r="BV959" s="20">
        <v>3.6426987646499835</v>
      </c>
    </row>
    <row r="960" spans="1:74">
      <c r="A960" s="10">
        <f t="shared" si="58"/>
        <v>0</v>
      </c>
      <c r="B960" s="10">
        <f t="shared" si="59"/>
        <v>0</v>
      </c>
      <c r="C960" s="12">
        <f t="shared" si="60"/>
        <v>8</v>
      </c>
      <c r="D960" s="12">
        <f t="shared" si="61"/>
        <v>8</v>
      </c>
      <c r="E960" s="20" t="s">
        <v>574</v>
      </c>
      <c r="F960" s="20" t="s">
        <v>3089</v>
      </c>
      <c r="G960" s="20" t="s">
        <v>3520</v>
      </c>
      <c r="H960" s="20" t="s">
        <v>3533</v>
      </c>
      <c r="I960" s="20">
        <v>2</v>
      </c>
      <c r="J960" s="20" t="s">
        <v>3534</v>
      </c>
      <c r="K960" s="20" t="s">
        <v>3535</v>
      </c>
      <c r="L960" s="20" t="s">
        <v>3536</v>
      </c>
      <c r="M960" s="20" t="s">
        <v>2667</v>
      </c>
      <c r="N960" s="20" t="s">
        <v>3525</v>
      </c>
      <c r="P960" s="20" t="s">
        <v>2667</v>
      </c>
      <c r="Q960" s="20" t="s">
        <v>2674</v>
      </c>
      <c r="R960" s="20" t="s">
        <v>84</v>
      </c>
      <c r="S960" s="20">
        <v>4</v>
      </c>
      <c r="T960" s="20" t="s">
        <v>762</v>
      </c>
      <c r="U960" s="20" t="s">
        <v>763</v>
      </c>
      <c r="V960" s="20" t="s">
        <v>87</v>
      </c>
      <c r="W960" s="20">
        <v>987</v>
      </c>
      <c r="X960" s="20">
        <v>987</v>
      </c>
      <c r="Y960" s="20" t="s">
        <v>3537</v>
      </c>
      <c r="Z960" s="20">
        <v>0.33333333333333331</v>
      </c>
      <c r="AA960" s="20" t="s">
        <v>3538</v>
      </c>
      <c r="AB960" s="20" t="s">
        <v>221</v>
      </c>
      <c r="AC960" s="20" t="s">
        <v>222</v>
      </c>
      <c r="AD960" s="20" t="s">
        <v>3539</v>
      </c>
      <c r="AE960" s="20" t="s">
        <v>400</v>
      </c>
      <c r="AF960" s="20">
        <v>0.33333333333333331</v>
      </c>
      <c r="AG960" s="20">
        <v>0</v>
      </c>
      <c r="AH960" s="20">
        <v>1</v>
      </c>
      <c r="AI960" s="4" t="s">
        <v>643</v>
      </c>
      <c r="AJ960" s="20">
        <v>100</v>
      </c>
      <c r="AK960" s="4" t="s">
        <v>780</v>
      </c>
      <c r="AL960" s="4">
        <v>10</v>
      </c>
      <c r="AM960" s="4">
        <v>10</v>
      </c>
      <c r="AN960" s="4" t="s">
        <v>95</v>
      </c>
      <c r="AO960" s="4" t="s">
        <v>131</v>
      </c>
      <c r="AP960" s="4">
        <v>2</v>
      </c>
      <c r="AQ960" s="20">
        <v>69000</v>
      </c>
      <c r="AR960" s="4">
        <v>41855</v>
      </c>
      <c r="AS960" s="20">
        <v>17424.24242424242</v>
      </c>
      <c r="AT960" s="20">
        <v>16520</v>
      </c>
      <c r="AU960" s="20">
        <v>-904.24242424242038</v>
      </c>
      <c r="AV960" s="20">
        <v>0</v>
      </c>
      <c r="AW960" s="20">
        <v>20</v>
      </c>
      <c r="AX960" s="20" t="s">
        <v>91</v>
      </c>
      <c r="AY960" s="20">
        <v>20</v>
      </c>
      <c r="AZ960" s="20">
        <v>0</v>
      </c>
      <c r="BA960" s="20">
        <v>16500</v>
      </c>
      <c r="BB960" s="6">
        <v>41855</v>
      </c>
      <c r="BC960" s="6">
        <v>0</v>
      </c>
      <c r="BD960" s="6">
        <v>41862</v>
      </c>
      <c r="BE960" s="6">
        <v>0</v>
      </c>
      <c r="BF960" s="6">
        <v>41862</v>
      </c>
      <c r="BG960" s="6">
        <v>0</v>
      </c>
      <c r="BH960" s="6">
        <v>0</v>
      </c>
      <c r="BI960" s="6">
        <v>0</v>
      </c>
      <c r="BJ960" s="6">
        <v>0</v>
      </c>
      <c r="BK960" s="4">
        <v>0</v>
      </c>
      <c r="BL960" s="4">
        <v>0</v>
      </c>
      <c r="BM960" s="20">
        <v>100</v>
      </c>
      <c r="BN960" s="20">
        <v>0</v>
      </c>
      <c r="BO960" s="20">
        <v>0</v>
      </c>
      <c r="BP960" s="20">
        <v>0</v>
      </c>
      <c r="BQ960" s="20">
        <v>0</v>
      </c>
      <c r="BR960" s="20">
        <v>0</v>
      </c>
      <c r="BS960" s="20">
        <v>100</v>
      </c>
      <c r="BT960" s="20">
        <v>1652000</v>
      </c>
      <c r="BU960" s="20">
        <v>6900000</v>
      </c>
      <c r="BV960" s="20">
        <v>3.7970504072198983</v>
      </c>
    </row>
    <row r="961" spans="1:74">
      <c r="A961" s="10">
        <f t="shared" si="58"/>
        <v>0</v>
      </c>
      <c r="B961" s="10">
        <f t="shared" si="59"/>
        <v>0</v>
      </c>
      <c r="C961" s="12">
        <f t="shared" si="60"/>
        <v>8</v>
      </c>
      <c r="D961" s="12">
        <f t="shared" si="61"/>
        <v>8</v>
      </c>
      <c r="E961" s="20" t="s">
        <v>574</v>
      </c>
      <c r="F961" s="20" t="s">
        <v>3089</v>
      </c>
      <c r="G961" s="20" t="s">
        <v>3520</v>
      </c>
      <c r="H961" s="20" t="s">
        <v>3533</v>
      </c>
      <c r="I961" s="20">
        <v>2</v>
      </c>
      <c r="J961" s="20" t="s">
        <v>3534</v>
      </c>
      <c r="K961" s="20" t="s">
        <v>3540</v>
      </c>
      <c r="L961" s="20" t="s">
        <v>3536</v>
      </c>
      <c r="M961" s="20" t="s">
        <v>2667</v>
      </c>
      <c r="N961" s="20" t="s">
        <v>3525</v>
      </c>
      <c r="P961" s="20" t="s">
        <v>2667</v>
      </c>
      <c r="Q961" s="20" t="s">
        <v>2674</v>
      </c>
      <c r="R961" s="20" t="s">
        <v>84</v>
      </c>
      <c r="S961" s="20">
        <v>4</v>
      </c>
      <c r="T961" s="20" t="s">
        <v>762</v>
      </c>
      <c r="U961" s="20" t="s">
        <v>763</v>
      </c>
      <c r="V961" s="20" t="s">
        <v>87</v>
      </c>
      <c r="W961" s="20">
        <v>987</v>
      </c>
      <c r="X961" s="20">
        <v>987</v>
      </c>
      <c r="Y961" s="20" t="s">
        <v>3537</v>
      </c>
      <c r="Z961" s="20">
        <v>0.33333333333333331</v>
      </c>
      <c r="AA961" s="20" t="s">
        <v>3541</v>
      </c>
      <c r="AB961" s="20" t="s">
        <v>221</v>
      </c>
      <c r="AC961" s="20" t="s">
        <v>222</v>
      </c>
      <c r="AD961" s="20" t="s">
        <v>3539</v>
      </c>
      <c r="AE961" s="20" t="s">
        <v>400</v>
      </c>
      <c r="AF961" s="20">
        <v>0.33333333333333331</v>
      </c>
      <c r="AG961" s="20">
        <v>0</v>
      </c>
      <c r="AH961" s="20">
        <v>1</v>
      </c>
      <c r="AI961" s="4" t="s">
        <v>647</v>
      </c>
      <c r="AJ961" s="20">
        <v>100</v>
      </c>
      <c r="AK961" s="4" t="s">
        <v>780</v>
      </c>
      <c r="AL961" s="4">
        <v>10</v>
      </c>
      <c r="AM961" s="4">
        <v>10</v>
      </c>
      <c r="AN961" s="4" t="s">
        <v>95</v>
      </c>
      <c r="AO961" s="4" t="s">
        <v>131</v>
      </c>
      <c r="AP961" s="4">
        <v>2</v>
      </c>
      <c r="AQ961" s="20">
        <v>69000</v>
      </c>
      <c r="AR961" s="4">
        <v>41855</v>
      </c>
      <c r="AS961" s="20">
        <v>17424.24242424242</v>
      </c>
      <c r="AT961" s="20">
        <v>16520</v>
      </c>
      <c r="AU961" s="20">
        <v>-904.24242424242038</v>
      </c>
      <c r="AV961" s="20">
        <v>0</v>
      </c>
      <c r="AW961" s="20">
        <v>20</v>
      </c>
      <c r="AX961" s="20" t="s">
        <v>91</v>
      </c>
      <c r="AY961" s="20">
        <v>20</v>
      </c>
      <c r="AZ961" s="20">
        <v>0</v>
      </c>
      <c r="BA961" s="20">
        <v>16500</v>
      </c>
      <c r="BB961" s="6">
        <v>41855</v>
      </c>
      <c r="BC961" s="6">
        <v>0</v>
      </c>
      <c r="BD961" s="6">
        <v>41862</v>
      </c>
      <c r="BE961" s="6">
        <v>0</v>
      </c>
      <c r="BF961" s="6">
        <v>41862</v>
      </c>
      <c r="BG961" s="6">
        <v>0</v>
      </c>
      <c r="BH961" s="6">
        <v>0</v>
      </c>
      <c r="BI961" s="6">
        <v>0</v>
      </c>
      <c r="BJ961" s="6">
        <v>0</v>
      </c>
      <c r="BK961" s="4">
        <v>0</v>
      </c>
      <c r="BL961" s="4">
        <v>0</v>
      </c>
      <c r="BM961" s="20">
        <v>100</v>
      </c>
      <c r="BN961" s="20">
        <v>0</v>
      </c>
      <c r="BO961" s="20">
        <v>0</v>
      </c>
      <c r="BP961" s="20">
        <v>0</v>
      </c>
      <c r="BQ961" s="20">
        <v>0</v>
      </c>
      <c r="BR961" s="20">
        <v>0</v>
      </c>
      <c r="BS961" s="20">
        <v>100</v>
      </c>
      <c r="BT961" s="20">
        <v>1652000</v>
      </c>
      <c r="BU961" s="20">
        <v>6900000</v>
      </c>
      <c r="BV961" s="20">
        <v>3.7970504072198983</v>
      </c>
    </row>
    <row r="962" spans="1:74">
      <c r="A962" s="10">
        <f t="shared" si="58"/>
        <v>0</v>
      </c>
      <c r="B962" s="10">
        <f t="shared" si="59"/>
        <v>0</v>
      </c>
      <c r="C962" s="12">
        <f t="shared" si="60"/>
        <v>8</v>
      </c>
      <c r="D962" s="12">
        <f t="shared" si="61"/>
        <v>8</v>
      </c>
      <c r="E962" s="20" t="s">
        <v>574</v>
      </c>
      <c r="F962" s="20" t="s">
        <v>3089</v>
      </c>
      <c r="G962" s="20" t="s">
        <v>3520</v>
      </c>
      <c r="H962" s="20" t="s">
        <v>3533</v>
      </c>
      <c r="I962" s="20">
        <v>2</v>
      </c>
      <c r="J962" s="20" t="s">
        <v>3534</v>
      </c>
      <c r="K962" s="20" t="s">
        <v>3542</v>
      </c>
      <c r="L962" s="20" t="s">
        <v>3536</v>
      </c>
      <c r="M962" s="20" t="s">
        <v>2667</v>
      </c>
      <c r="N962" s="20" t="s">
        <v>3525</v>
      </c>
      <c r="P962" s="20" t="s">
        <v>2667</v>
      </c>
      <c r="Q962" s="20" t="s">
        <v>2674</v>
      </c>
      <c r="R962" s="20" t="s">
        <v>84</v>
      </c>
      <c r="S962" s="20">
        <v>4</v>
      </c>
      <c r="T962" s="20" t="s">
        <v>762</v>
      </c>
      <c r="U962" s="20" t="s">
        <v>763</v>
      </c>
      <c r="V962" s="20" t="s">
        <v>87</v>
      </c>
      <c r="W962" s="20">
        <v>987</v>
      </c>
      <c r="X962" s="20">
        <v>987</v>
      </c>
      <c r="Y962" s="20" t="s">
        <v>3537</v>
      </c>
      <c r="Z962" s="20">
        <v>0.33333333333333331</v>
      </c>
      <c r="AA962" s="20" t="s">
        <v>3543</v>
      </c>
      <c r="AB962" s="20" t="s">
        <v>221</v>
      </c>
      <c r="AC962" s="20" t="s">
        <v>222</v>
      </c>
      <c r="AD962" s="20" t="s">
        <v>3539</v>
      </c>
      <c r="AE962" s="20" t="s">
        <v>400</v>
      </c>
      <c r="AF962" s="20">
        <v>0.33333333333333331</v>
      </c>
      <c r="AG962" s="20">
        <v>0</v>
      </c>
      <c r="AH962" s="20">
        <v>1</v>
      </c>
      <c r="AI962" s="4" t="s">
        <v>651</v>
      </c>
      <c r="AJ962" s="20">
        <v>100</v>
      </c>
      <c r="AK962" s="4" t="s">
        <v>780</v>
      </c>
      <c r="AL962" s="4">
        <v>10</v>
      </c>
      <c r="AM962" s="4">
        <v>10</v>
      </c>
      <c r="AN962" s="4" t="s">
        <v>95</v>
      </c>
      <c r="AO962" s="4" t="s">
        <v>131</v>
      </c>
      <c r="AP962" s="4">
        <v>2</v>
      </c>
      <c r="AQ962" s="20">
        <v>69000</v>
      </c>
      <c r="AR962" s="4">
        <v>41855</v>
      </c>
      <c r="AS962" s="20">
        <v>17424.24242424242</v>
      </c>
      <c r="AT962" s="20">
        <v>16520</v>
      </c>
      <c r="AU962" s="20">
        <v>-904.24242424242038</v>
      </c>
      <c r="AV962" s="20">
        <v>0</v>
      </c>
      <c r="AW962" s="20">
        <v>20</v>
      </c>
      <c r="AX962" s="20" t="s">
        <v>91</v>
      </c>
      <c r="AY962" s="20">
        <v>20</v>
      </c>
      <c r="AZ962" s="20">
        <v>0</v>
      </c>
      <c r="BA962" s="20">
        <v>16500</v>
      </c>
      <c r="BB962" s="6">
        <v>41855</v>
      </c>
      <c r="BC962" s="6">
        <v>0</v>
      </c>
      <c r="BD962" s="6">
        <v>41862</v>
      </c>
      <c r="BE962" s="6">
        <v>0</v>
      </c>
      <c r="BF962" s="6">
        <v>41862</v>
      </c>
      <c r="BG962" s="6">
        <v>0</v>
      </c>
      <c r="BH962" s="6">
        <v>0</v>
      </c>
      <c r="BI962" s="6">
        <v>0</v>
      </c>
      <c r="BJ962" s="6">
        <v>0</v>
      </c>
      <c r="BK962" s="4">
        <v>0</v>
      </c>
      <c r="BL962" s="4">
        <v>0</v>
      </c>
      <c r="BM962" s="20">
        <v>100</v>
      </c>
      <c r="BN962" s="20">
        <v>0</v>
      </c>
      <c r="BO962" s="20">
        <v>0</v>
      </c>
      <c r="BP962" s="20">
        <v>0</v>
      </c>
      <c r="BQ962" s="20">
        <v>0</v>
      </c>
      <c r="BR962" s="20">
        <v>0</v>
      </c>
      <c r="BS962" s="20">
        <v>100</v>
      </c>
      <c r="BT962" s="20">
        <v>1652000</v>
      </c>
      <c r="BU962" s="20">
        <v>6900000</v>
      </c>
      <c r="BV962" s="20">
        <v>3.7970504072198983</v>
      </c>
    </row>
    <row r="963" spans="1:74">
      <c r="A963" s="10">
        <f t="shared" ref="A963:A1026" si="62">IF($BL963="공급",$Z963,0)</f>
        <v>0</v>
      </c>
      <c r="B963" s="10">
        <f t="shared" ref="B963:B1026" si="63">IF($AV963&gt;0,$Z963,0)</f>
        <v>0</v>
      </c>
      <c r="C963" s="12" t="str">
        <f t="shared" si="60"/>
        <v/>
      </c>
      <c r="D963" s="12" t="str">
        <f t="shared" si="61"/>
        <v/>
      </c>
      <c r="E963" s="20" t="s">
        <v>91</v>
      </c>
      <c r="F963" s="20" t="s">
        <v>91</v>
      </c>
      <c r="G963" s="20" t="s">
        <v>91</v>
      </c>
      <c r="H963" s="20" t="s">
        <v>91</v>
      </c>
      <c r="I963" s="20">
        <v>0</v>
      </c>
      <c r="J963" s="20" t="s">
        <v>103</v>
      </c>
      <c r="K963" s="20" t="s">
        <v>104</v>
      </c>
      <c r="L963" s="20">
        <v>0</v>
      </c>
      <c r="M963" s="20" t="s">
        <v>105</v>
      </c>
      <c r="N963" s="20" t="s">
        <v>91</v>
      </c>
      <c r="O963" s="20" t="s">
        <v>3544</v>
      </c>
      <c r="Q963" s="20" t="s">
        <v>91</v>
      </c>
      <c r="R963" s="20" t="s">
        <v>91</v>
      </c>
      <c r="U963" s="20" t="s">
        <v>91</v>
      </c>
      <c r="X963" s="20" t="s">
        <v>91</v>
      </c>
      <c r="Y963" s="20" t="s">
        <v>91</v>
      </c>
      <c r="Z963" s="20">
        <v>1.9999999999999998</v>
      </c>
      <c r="AB963" s="20" t="s">
        <v>91</v>
      </c>
      <c r="AD963" s="20" t="s">
        <v>91</v>
      </c>
      <c r="AE963" s="20" t="s">
        <v>91</v>
      </c>
      <c r="AF963" s="20">
        <v>1.9999999999999998</v>
      </c>
      <c r="AG963" s="20">
        <v>0</v>
      </c>
      <c r="AM963" s="4" t="s">
        <v>91</v>
      </c>
      <c r="AP963" s="4" t="s">
        <v>91</v>
      </c>
      <c r="AQ963" s="20">
        <v>0</v>
      </c>
      <c r="AR963" s="4">
        <v>0</v>
      </c>
      <c r="AS963" s="20">
        <v>0</v>
      </c>
      <c r="AT963" s="20">
        <v>0</v>
      </c>
      <c r="AU963" s="20">
        <v>0</v>
      </c>
      <c r="AY963" s="20">
        <v>0</v>
      </c>
      <c r="BB963" s="6">
        <v>0</v>
      </c>
      <c r="BD963" s="6">
        <v>0</v>
      </c>
      <c r="BM963" s="20">
        <v>600</v>
      </c>
      <c r="BN963" s="20">
        <v>0</v>
      </c>
      <c r="BO963" s="20">
        <v>0</v>
      </c>
      <c r="BP963" s="20">
        <v>0</v>
      </c>
      <c r="BQ963" s="20">
        <v>0</v>
      </c>
      <c r="BR963" s="20">
        <v>0</v>
      </c>
      <c r="BS963" s="20">
        <v>600</v>
      </c>
      <c r="BT963" s="20">
        <v>10122000</v>
      </c>
      <c r="BU963" s="20">
        <v>41400000</v>
      </c>
      <c r="BV963" s="20">
        <v>3.7182734278169964</v>
      </c>
    </row>
    <row r="964" spans="1:74">
      <c r="A964" s="10">
        <f t="shared" si="62"/>
        <v>0</v>
      </c>
      <c r="B964" s="10">
        <f t="shared" si="63"/>
        <v>0</v>
      </c>
      <c r="C964" s="12">
        <f t="shared" ref="C964:C1027" si="64">IF($BB964=0,"",MONTH($BB964))</f>
        <v>8</v>
      </c>
      <c r="D964" s="12">
        <f t="shared" si="61"/>
        <v>8</v>
      </c>
      <c r="E964" s="20" t="s">
        <v>574</v>
      </c>
      <c r="F964" s="20" t="s">
        <v>3089</v>
      </c>
      <c r="G964" s="20" t="s">
        <v>3545</v>
      </c>
      <c r="H964" s="20" t="s">
        <v>3546</v>
      </c>
      <c r="I964" s="20">
        <v>1</v>
      </c>
      <c r="J964" s="20" t="s">
        <v>3547</v>
      </c>
      <c r="K964" s="20" t="s">
        <v>3548</v>
      </c>
      <c r="L964" s="20" t="s">
        <v>3549</v>
      </c>
      <c r="M964" s="20" t="s">
        <v>2667</v>
      </c>
      <c r="N964" s="20" t="s">
        <v>3487</v>
      </c>
      <c r="P964" s="20" t="s">
        <v>2667</v>
      </c>
      <c r="Q964" s="20" t="s">
        <v>2674</v>
      </c>
      <c r="R964" s="20" t="s">
        <v>84</v>
      </c>
      <c r="S964" s="20">
        <v>4</v>
      </c>
      <c r="T964" s="20" t="s">
        <v>860</v>
      </c>
      <c r="U964" s="20" t="s">
        <v>861</v>
      </c>
      <c r="V964" s="20" t="s">
        <v>87</v>
      </c>
      <c r="W964" s="20">
        <v>924</v>
      </c>
      <c r="X964" s="20">
        <v>924</v>
      </c>
      <c r="Y964" s="20" t="s">
        <v>3550</v>
      </c>
      <c r="Z964" s="20">
        <v>0.16666666666666666</v>
      </c>
      <c r="AA964" s="20" t="s">
        <v>3551</v>
      </c>
      <c r="AB964" s="20" t="s">
        <v>279</v>
      </c>
      <c r="AC964" s="20" t="s">
        <v>280</v>
      </c>
      <c r="AD964" s="20" t="s">
        <v>3552</v>
      </c>
      <c r="AE964" s="20" t="s">
        <v>400</v>
      </c>
      <c r="AF964" s="20">
        <v>0.16666666666666666</v>
      </c>
      <c r="AG964" s="20">
        <v>0</v>
      </c>
      <c r="AH964" s="20">
        <v>1</v>
      </c>
      <c r="AI964" s="4" t="s">
        <v>643</v>
      </c>
      <c r="AJ964" s="20">
        <v>100</v>
      </c>
      <c r="AK964" s="4" t="s">
        <v>679</v>
      </c>
      <c r="AL964" s="4">
        <v>6</v>
      </c>
      <c r="AM964" s="4" t="s">
        <v>112</v>
      </c>
      <c r="AN964" s="4" t="s">
        <v>95</v>
      </c>
      <c r="AO964" s="4" t="s">
        <v>680</v>
      </c>
      <c r="AP964" s="4">
        <v>1</v>
      </c>
      <c r="AQ964" s="20">
        <v>99000</v>
      </c>
      <c r="AR964" s="4">
        <v>41855</v>
      </c>
      <c r="AS964" s="20">
        <v>20000</v>
      </c>
      <c r="AT964" s="20">
        <v>21098.75</v>
      </c>
      <c r="AU964" s="20">
        <v>1098.75</v>
      </c>
      <c r="AV964" s="20">
        <v>0</v>
      </c>
      <c r="AW964" s="20">
        <v>20</v>
      </c>
      <c r="AX964" s="20" t="s">
        <v>91</v>
      </c>
      <c r="AY964" s="20">
        <v>20</v>
      </c>
      <c r="AZ964" s="20">
        <v>18.25</v>
      </c>
      <c r="BA964" s="20">
        <v>0</v>
      </c>
      <c r="BB964" s="6">
        <v>41855</v>
      </c>
      <c r="BC964" s="6">
        <v>0</v>
      </c>
      <c r="BD964" s="6">
        <v>41862</v>
      </c>
      <c r="BE964" s="6">
        <v>0</v>
      </c>
      <c r="BF964" s="6">
        <v>41862</v>
      </c>
      <c r="BG964" s="6">
        <v>0</v>
      </c>
      <c r="BH964" s="6">
        <v>0</v>
      </c>
      <c r="BI964" s="6">
        <v>0</v>
      </c>
      <c r="BJ964" s="6">
        <v>0</v>
      </c>
      <c r="BK964" s="4">
        <v>0</v>
      </c>
      <c r="BL964" s="4">
        <v>0</v>
      </c>
      <c r="BM964" s="20">
        <v>100</v>
      </c>
      <c r="BN964" s="20">
        <v>0</v>
      </c>
      <c r="BO964" s="20">
        <v>0</v>
      </c>
      <c r="BP964" s="20">
        <v>0</v>
      </c>
      <c r="BQ964" s="20">
        <v>0</v>
      </c>
      <c r="BR964" s="20">
        <v>0</v>
      </c>
      <c r="BS964" s="20">
        <v>100</v>
      </c>
      <c r="BT964" s="20">
        <v>2109875</v>
      </c>
      <c r="BU964" s="20">
        <v>9900000</v>
      </c>
      <c r="BV964" s="20">
        <v>4.2656555483144736</v>
      </c>
    </row>
    <row r="965" spans="1:74">
      <c r="A965" s="10">
        <f t="shared" si="62"/>
        <v>0</v>
      </c>
      <c r="B965" s="10">
        <f t="shared" si="63"/>
        <v>0</v>
      </c>
      <c r="C965" s="12">
        <f t="shared" si="64"/>
        <v>8</v>
      </c>
      <c r="D965" s="12">
        <f t="shared" ref="D965:D1028" si="65">IF(AND(BD965=0,BF965=0),"",MONTH(IF($BF965=0,$BD965,$BF965)))</f>
        <v>8</v>
      </c>
      <c r="E965" s="20" t="s">
        <v>574</v>
      </c>
      <c r="F965" s="20" t="s">
        <v>3089</v>
      </c>
      <c r="G965" s="20" t="s">
        <v>3545</v>
      </c>
      <c r="H965" s="20" t="s">
        <v>3546</v>
      </c>
      <c r="I965" s="20">
        <v>1</v>
      </c>
      <c r="J965" s="20" t="s">
        <v>3547</v>
      </c>
      <c r="K965" s="20" t="s">
        <v>3553</v>
      </c>
      <c r="L965" s="20" t="s">
        <v>3549</v>
      </c>
      <c r="M965" s="20" t="s">
        <v>2667</v>
      </c>
      <c r="N965" s="20" t="s">
        <v>3487</v>
      </c>
      <c r="P965" s="20" t="s">
        <v>2667</v>
      </c>
      <c r="Q965" s="20" t="s">
        <v>2674</v>
      </c>
      <c r="R965" s="20" t="s">
        <v>84</v>
      </c>
      <c r="S965" s="20">
        <v>4</v>
      </c>
      <c r="T965" s="20" t="s">
        <v>860</v>
      </c>
      <c r="U965" s="20" t="s">
        <v>861</v>
      </c>
      <c r="V965" s="20" t="s">
        <v>87</v>
      </c>
      <c r="W965" s="20">
        <v>924</v>
      </c>
      <c r="X965" s="20">
        <v>924</v>
      </c>
      <c r="Y965" s="20" t="s">
        <v>3550</v>
      </c>
      <c r="Z965" s="20">
        <v>0.16666666666666666</v>
      </c>
      <c r="AA965" s="20" t="s">
        <v>3554</v>
      </c>
      <c r="AB965" s="20" t="s">
        <v>279</v>
      </c>
      <c r="AC965" s="20" t="s">
        <v>280</v>
      </c>
      <c r="AD965" s="20" t="s">
        <v>3552</v>
      </c>
      <c r="AE965" s="20" t="s">
        <v>400</v>
      </c>
      <c r="AF965" s="20">
        <v>0.16666666666666666</v>
      </c>
      <c r="AG965" s="20">
        <v>0</v>
      </c>
      <c r="AH965" s="20">
        <v>1</v>
      </c>
      <c r="AI965" s="4" t="s">
        <v>645</v>
      </c>
      <c r="AJ965" s="20">
        <v>100</v>
      </c>
      <c r="AK965" s="4" t="s">
        <v>679</v>
      </c>
      <c r="AL965" s="4">
        <v>6</v>
      </c>
      <c r="AM965" s="4" t="s">
        <v>112</v>
      </c>
      <c r="AN965" s="4" t="s">
        <v>95</v>
      </c>
      <c r="AO965" s="4" t="s">
        <v>680</v>
      </c>
      <c r="AP965" s="4">
        <v>1</v>
      </c>
      <c r="AQ965" s="20">
        <v>99000</v>
      </c>
      <c r="AR965" s="4">
        <v>41855</v>
      </c>
      <c r="AS965" s="20">
        <v>20000</v>
      </c>
      <c r="AT965" s="20">
        <v>21098.75</v>
      </c>
      <c r="AU965" s="20">
        <v>1098.75</v>
      </c>
      <c r="AV965" s="20">
        <v>0</v>
      </c>
      <c r="AW965" s="20">
        <v>20</v>
      </c>
      <c r="AX965" s="20" t="s">
        <v>91</v>
      </c>
      <c r="AY965" s="20">
        <v>20</v>
      </c>
      <c r="AZ965" s="20">
        <v>18.25</v>
      </c>
      <c r="BA965" s="20">
        <v>0</v>
      </c>
      <c r="BB965" s="6">
        <v>41855</v>
      </c>
      <c r="BC965" s="6">
        <v>0</v>
      </c>
      <c r="BD965" s="6">
        <v>41862</v>
      </c>
      <c r="BE965" s="6">
        <v>0</v>
      </c>
      <c r="BF965" s="6">
        <v>41862</v>
      </c>
      <c r="BG965" s="6">
        <v>0</v>
      </c>
      <c r="BH965" s="6">
        <v>0</v>
      </c>
      <c r="BI965" s="6">
        <v>0</v>
      </c>
      <c r="BJ965" s="6">
        <v>0</v>
      </c>
      <c r="BK965" s="4">
        <v>0</v>
      </c>
      <c r="BL965" s="4">
        <v>0</v>
      </c>
      <c r="BM965" s="20">
        <v>100</v>
      </c>
      <c r="BN965" s="20">
        <v>0</v>
      </c>
      <c r="BO965" s="20">
        <v>0</v>
      </c>
      <c r="BP965" s="20">
        <v>0</v>
      </c>
      <c r="BQ965" s="20">
        <v>0</v>
      </c>
      <c r="BR965" s="20">
        <v>0</v>
      </c>
      <c r="BS965" s="20">
        <v>100</v>
      </c>
      <c r="BT965" s="20">
        <v>2109875</v>
      </c>
      <c r="BU965" s="20">
        <v>9900000</v>
      </c>
      <c r="BV965" s="20">
        <v>4.2656555483144736</v>
      </c>
    </row>
    <row r="966" spans="1:74">
      <c r="A966" s="10">
        <f t="shared" si="62"/>
        <v>0</v>
      </c>
      <c r="B966" s="10">
        <f t="shared" si="63"/>
        <v>0</v>
      </c>
      <c r="C966" s="12">
        <f t="shared" si="64"/>
        <v>8</v>
      </c>
      <c r="D966" s="12">
        <f t="shared" si="65"/>
        <v>8</v>
      </c>
      <c r="E966" s="20" t="s">
        <v>574</v>
      </c>
      <c r="F966" s="20" t="s">
        <v>3089</v>
      </c>
      <c r="G966" s="20" t="s">
        <v>3545</v>
      </c>
      <c r="H966" s="20" t="s">
        <v>3546</v>
      </c>
      <c r="I966" s="20">
        <v>1</v>
      </c>
      <c r="J966" s="20" t="s">
        <v>3547</v>
      </c>
      <c r="K966" s="20" t="s">
        <v>3555</v>
      </c>
      <c r="L966" s="20" t="s">
        <v>3549</v>
      </c>
      <c r="M966" s="20" t="s">
        <v>2667</v>
      </c>
      <c r="N966" s="20" t="s">
        <v>3487</v>
      </c>
      <c r="P966" s="20" t="s">
        <v>2667</v>
      </c>
      <c r="Q966" s="20" t="s">
        <v>2674</v>
      </c>
      <c r="R966" s="20" t="s">
        <v>84</v>
      </c>
      <c r="S966" s="20">
        <v>4</v>
      </c>
      <c r="T966" s="20" t="s">
        <v>860</v>
      </c>
      <c r="U966" s="20" t="s">
        <v>861</v>
      </c>
      <c r="V966" s="20" t="s">
        <v>87</v>
      </c>
      <c r="W966" s="20">
        <v>924</v>
      </c>
      <c r="X966" s="20">
        <v>924</v>
      </c>
      <c r="Y966" s="20" t="s">
        <v>3550</v>
      </c>
      <c r="Z966" s="20">
        <v>0.16666666666666666</v>
      </c>
      <c r="AA966" s="20" t="s">
        <v>3556</v>
      </c>
      <c r="AB966" s="20" t="s">
        <v>279</v>
      </c>
      <c r="AC966" s="20" t="s">
        <v>280</v>
      </c>
      <c r="AD966" s="20" t="s">
        <v>3552</v>
      </c>
      <c r="AE966" s="20" t="s">
        <v>400</v>
      </c>
      <c r="AF966" s="20">
        <v>0.16666666666666666</v>
      </c>
      <c r="AG966" s="20">
        <v>0</v>
      </c>
      <c r="AH966" s="20">
        <v>1</v>
      </c>
      <c r="AI966" s="4" t="s">
        <v>647</v>
      </c>
      <c r="AJ966" s="20">
        <v>50</v>
      </c>
      <c r="AK966" s="4" t="s">
        <v>679</v>
      </c>
      <c r="AL966" s="4">
        <v>6</v>
      </c>
      <c r="AM966" s="4" t="s">
        <v>112</v>
      </c>
      <c r="AN966" s="4" t="s">
        <v>95</v>
      </c>
      <c r="AO966" s="4" t="s">
        <v>680</v>
      </c>
      <c r="AP966" s="4">
        <v>1</v>
      </c>
      <c r="AQ966" s="20">
        <v>99000</v>
      </c>
      <c r="AR966" s="4">
        <v>41855</v>
      </c>
      <c r="AS966" s="20">
        <v>20000</v>
      </c>
      <c r="AT966" s="20">
        <v>21098.75</v>
      </c>
      <c r="AU966" s="20">
        <v>1098.75</v>
      </c>
      <c r="AV966" s="20">
        <v>0</v>
      </c>
      <c r="AW966" s="20">
        <v>20</v>
      </c>
      <c r="AX966" s="20" t="s">
        <v>91</v>
      </c>
      <c r="AY966" s="20">
        <v>20</v>
      </c>
      <c r="AZ966" s="20">
        <v>18.25</v>
      </c>
      <c r="BA966" s="20">
        <v>0</v>
      </c>
      <c r="BB966" s="6">
        <v>41855</v>
      </c>
      <c r="BC966" s="6">
        <v>0</v>
      </c>
      <c r="BD966" s="6">
        <v>41862</v>
      </c>
      <c r="BE966" s="6">
        <v>0</v>
      </c>
      <c r="BF966" s="6">
        <v>41862</v>
      </c>
      <c r="BG966" s="6">
        <v>0</v>
      </c>
      <c r="BH966" s="6">
        <v>0</v>
      </c>
      <c r="BI966" s="6">
        <v>0</v>
      </c>
      <c r="BJ966" s="6">
        <v>0</v>
      </c>
      <c r="BK966" s="4">
        <v>0</v>
      </c>
      <c r="BL966" s="4">
        <v>0</v>
      </c>
      <c r="BM966" s="20">
        <v>50</v>
      </c>
      <c r="BN966" s="20">
        <v>0</v>
      </c>
      <c r="BO966" s="20">
        <v>0</v>
      </c>
      <c r="BP966" s="20">
        <v>0</v>
      </c>
      <c r="BQ966" s="20">
        <v>0</v>
      </c>
      <c r="BR966" s="20">
        <v>0</v>
      </c>
      <c r="BS966" s="20">
        <v>50</v>
      </c>
      <c r="BT966" s="20">
        <v>1054937.5</v>
      </c>
      <c r="BU966" s="20">
        <v>4950000</v>
      </c>
      <c r="BV966" s="20">
        <v>4.2656555483144736</v>
      </c>
    </row>
    <row r="967" spans="1:74">
      <c r="A967" s="10">
        <f t="shared" si="62"/>
        <v>0</v>
      </c>
      <c r="B967" s="10">
        <f t="shared" si="63"/>
        <v>0</v>
      </c>
      <c r="C967" s="12">
        <f t="shared" si="64"/>
        <v>8</v>
      </c>
      <c r="D967" s="12">
        <f t="shared" si="65"/>
        <v>8</v>
      </c>
      <c r="E967" s="20" t="s">
        <v>574</v>
      </c>
      <c r="F967" s="20" t="s">
        <v>3089</v>
      </c>
      <c r="G967" s="20" t="s">
        <v>3545</v>
      </c>
      <c r="H967" s="20" t="s">
        <v>3546</v>
      </c>
      <c r="I967" s="20">
        <v>1</v>
      </c>
      <c r="J967" s="20" t="s">
        <v>3547</v>
      </c>
      <c r="K967" s="20" t="s">
        <v>3557</v>
      </c>
      <c r="L967" s="20" t="s">
        <v>3549</v>
      </c>
      <c r="M967" s="20" t="s">
        <v>2667</v>
      </c>
      <c r="N967" s="20" t="s">
        <v>3487</v>
      </c>
      <c r="P967" s="20" t="s">
        <v>2667</v>
      </c>
      <c r="Q967" s="20" t="s">
        <v>2674</v>
      </c>
      <c r="R967" s="20" t="s">
        <v>84</v>
      </c>
      <c r="S967" s="20">
        <v>4</v>
      </c>
      <c r="T967" s="20" t="s">
        <v>860</v>
      </c>
      <c r="U967" s="20" t="s">
        <v>861</v>
      </c>
      <c r="V967" s="20" t="s">
        <v>87</v>
      </c>
      <c r="W967" s="20">
        <v>924</v>
      </c>
      <c r="X967" s="20">
        <v>924</v>
      </c>
      <c r="Y967" s="20" t="s">
        <v>3550</v>
      </c>
      <c r="Z967" s="20">
        <v>0.16666666666666666</v>
      </c>
      <c r="AA967" s="20" t="s">
        <v>3558</v>
      </c>
      <c r="AB967" s="20" t="s">
        <v>279</v>
      </c>
      <c r="AC967" s="20" t="s">
        <v>280</v>
      </c>
      <c r="AD967" s="20" t="s">
        <v>3552</v>
      </c>
      <c r="AE967" s="20" t="s">
        <v>400</v>
      </c>
      <c r="AF967" s="20">
        <v>0.16666666666666666</v>
      </c>
      <c r="AG967" s="20">
        <v>0</v>
      </c>
      <c r="AH967" s="20">
        <v>1</v>
      </c>
      <c r="AI967" s="4" t="s">
        <v>649</v>
      </c>
      <c r="AJ967" s="20">
        <v>50</v>
      </c>
      <c r="AK967" s="4" t="s">
        <v>679</v>
      </c>
      <c r="AL967" s="4">
        <v>6</v>
      </c>
      <c r="AM967" s="4" t="s">
        <v>112</v>
      </c>
      <c r="AN967" s="4" t="s">
        <v>95</v>
      </c>
      <c r="AO967" s="4" t="s">
        <v>680</v>
      </c>
      <c r="AP967" s="4">
        <v>1</v>
      </c>
      <c r="AQ967" s="20">
        <v>99000</v>
      </c>
      <c r="AR967" s="4">
        <v>41855</v>
      </c>
      <c r="AS967" s="20">
        <v>20000</v>
      </c>
      <c r="AT967" s="20">
        <v>21098.75</v>
      </c>
      <c r="AU967" s="20">
        <v>1098.75</v>
      </c>
      <c r="AV967" s="20">
        <v>0</v>
      </c>
      <c r="AW967" s="20">
        <v>20</v>
      </c>
      <c r="AX967" s="20" t="s">
        <v>91</v>
      </c>
      <c r="AY967" s="20">
        <v>20</v>
      </c>
      <c r="AZ967" s="20">
        <v>18.25</v>
      </c>
      <c r="BA967" s="20">
        <v>0</v>
      </c>
      <c r="BB967" s="6">
        <v>41855</v>
      </c>
      <c r="BC967" s="6">
        <v>0</v>
      </c>
      <c r="BD967" s="6">
        <v>41862</v>
      </c>
      <c r="BE967" s="6">
        <v>0</v>
      </c>
      <c r="BF967" s="6">
        <v>41862</v>
      </c>
      <c r="BG967" s="6">
        <v>0</v>
      </c>
      <c r="BH967" s="6">
        <v>0</v>
      </c>
      <c r="BI967" s="6">
        <v>0</v>
      </c>
      <c r="BJ967" s="6">
        <v>0</v>
      </c>
      <c r="BK967" s="4">
        <v>0</v>
      </c>
      <c r="BL967" s="4">
        <v>0</v>
      </c>
      <c r="BM967" s="20">
        <v>50</v>
      </c>
      <c r="BN967" s="20">
        <v>0</v>
      </c>
      <c r="BO967" s="20">
        <v>0</v>
      </c>
      <c r="BP967" s="20">
        <v>0</v>
      </c>
      <c r="BQ967" s="20">
        <v>0</v>
      </c>
      <c r="BR967" s="20">
        <v>0</v>
      </c>
      <c r="BS967" s="20">
        <v>50</v>
      </c>
      <c r="BT967" s="20">
        <v>1054937.5</v>
      </c>
      <c r="BU967" s="20">
        <v>4950000</v>
      </c>
      <c r="BV967" s="20">
        <v>4.2656555483144736</v>
      </c>
    </row>
    <row r="968" spans="1:74">
      <c r="A968" s="10">
        <f t="shared" si="62"/>
        <v>0</v>
      </c>
      <c r="B968" s="10">
        <f t="shared" si="63"/>
        <v>0</v>
      </c>
      <c r="C968" s="12">
        <f t="shared" si="64"/>
        <v>8</v>
      </c>
      <c r="D968" s="12">
        <f t="shared" si="65"/>
        <v>8</v>
      </c>
      <c r="E968" s="20" t="s">
        <v>574</v>
      </c>
      <c r="F968" s="20" t="s">
        <v>3089</v>
      </c>
      <c r="G968" s="20" t="s">
        <v>3545</v>
      </c>
      <c r="H968" s="20" t="s">
        <v>3546</v>
      </c>
      <c r="I968" s="20">
        <v>1</v>
      </c>
      <c r="J968" s="20" t="s">
        <v>3547</v>
      </c>
      <c r="K968" s="20" t="s">
        <v>3559</v>
      </c>
      <c r="L968" s="20" t="s">
        <v>3549</v>
      </c>
      <c r="M968" s="20" t="s">
        <v>2667</v>
      </c>
      <c r="N968" s="20" t="s">
        <v>3487</v>
      </c>
      <c r="P968" s="20" t="s">
        <v>2667</v>
      </c>
      <c r="Q968" s="20" t="s">
        <v>2674</v>
      </c>
      <c r="R968" s="20" t="s">
        <v>84</v>
      </c>
      <c r="S968" s="20">
        <v>4</v>
      </c>
      <c r="T968" s="20" t="s">
        <v>860</v>
      </c>
      <c r="U968" s="20" t="s">
        <v>861</v>
      </c>
      <c r="V968" s="20" t="s">
        <v>87</v>
      </c>
      <c r="W968" s="20">
        <v>924</v>
      </c>
      <c r="X968" s="20">
        <v>924</v>
      </c>
      <c r="Y968" s="20" t="s">
        <v>3550</v>
      </c>
      <c r="Z968" s="20">
        <v>0.16666666666666666</v>
      </c>
      <c r="AA968" s="20" t="s">
        <v>3560</v>
      </c>
      <c r="AB968" s="20" t="s">
        <v>279</v>
      </c>
      <c r="AC968" s="20" t="s">
        <v>280</v>
      </c>
      <c r="AD968" s="20" t="s">
        <v>3552</v>
      </c>
      <c r="AE968" s="20" t="s">
        <v>400</v>
      </c>
      <c r="AF968" s="20">
        <v>0.16666666666666666</v>
      </c>
      <c r="AG968" s="20">
        <v>0</v>
      </c>
      <c r="AH968" s="20">
        <v>1</v>
      </c>
      <c r="AI968" s="4" t="s">
        <v>651</v>
      </c>
      <c r="AJ968" s="20">
        <v>50</v>
      </c>
      <c r="AK968" s="4" t="s">
        <v>679</v>
      </c>
      <c r="AL968" s="4">
        <v>6</v>
      </c>
      <c r="AM968" s="4" t="s">
        <v>112</v>
      </c>
      <c r="AN968" s="4" t="s">
        <v>95</v>
      </c>
      <c r="AO968" s="4" t="s">
        <v>680</v>
      </c>
      <c r="AP968" s="4">
        <v>1</v>
      </c>
      <c r="AQ968" s="20">
        <v>99000</v>
      </c>
      <c r="AR968" s="4">
        <v>41855</v>
      </c>
      <c r="AS968" s="20">
        <v>20000</v>
      </c>
      <c r="AT968" s="20">
        <v>21098.75</v>
      </c>
      <c r="AU968" s="20">
        <v>1098.75</v>
      </c>
      <c r="AV968" s="20">
        <v>0</v>
      </c>
      <c r="AW968" s="20">
        <v>20</v>
      </c>
      <c r="AX968" s="20" t="s">
        <v>91</v>
      </c>
      <c r="AY968" s="20">
        <v>20</v>
      </c>
      <c r="AZ968" s="20">
        <v>18.25</v>
      </c>
      <c r="BA968" s="20">
        <v>0</v>
      </c>
      <c r="BB968" s="6">
        <v>41855</v>
      </c>
      <c r="BC968" s="6">
        <v>0</v>
      </c>
      <c r="BD968" s="6">
        <v>41862</v>
      </c>
      <c r="BE968" s="6">
        <v>0</v>
      </c>
      <c r="BF968" s="6">
        <v>41862</v>
      </c>
      <c r="BG968" s="6">
        <v>0</v>
      </c>
      <c r="BH968" s="6">
        <v>0</v>
      </c>
      <c r="BI968" s="6">
        <v>0</v>
      </c>
      <c r="BJ968" s="6">
        <v>0</v>
      </c>
      <c r="BK968" s="4">
        <v>0</v>
      </c>
      <c r="BL968" s="4">
        <v>0</v>
      </c>
      <c r="BM968" s="20">
        <v>50</v>
      </c>
      <c r="BN968" s="20">
        <v>0</v>
      </c>
      <c r="BO968" s="20">
        <v>0</v>
      </c>
      <c r="BP968" s="20">
        <v>0</v>
      </c>
      <c r="BQ968" s="20">
        <v>0</v>
      </c>
      <c r="BR968" s="20">
        <v>0</v>
      </c>
      <c r="BS968" s="20">
        <v>50</v>
      </c>
      <c r="BT968" s="20">
        <v>1054937.5</v>
      </c>
      <c r="BU968" s="20">
        <v>4950000</v>
      </c>
      <c r="BV968" s="20">
        <v>4.2656555483144736</v>
      </c>
    </row>
    <row r="969" spans="1:74">
      <c r="A969" s="10">
        <f t="shared" si="62"/>
        <v>0</v>
      </c>
      <c r="B969" s="10">
        <f t="shared" si="63"/>
        <v>0</v>
      </c>
      <c r="C969" s="12">
        <f t="shared" si="64"/>
        <v>8</v>
      </c>
      <c r="D969" s="12">
        <f t="shared" si="65"/>
        <v>8</v>
      </c>
      <c r="E969" s="20" t="s">
        <v>574</v>
      </c>
      <c r="F969" s="20" t="s">
        <v>3089</v>
      </c>
      <c r="G969" s="20" t="s">
        <v>3545</v>
      </c>
      <c r="H969" s="20" t="s">
        <v>3546</v>
      </c>
      <c r="I969" s="20">
        <v>1</v>
      </c>
      <c r="J969" s="20" t="s">
        <v>3547</v>
      </c>
      <c r="K969" s="20" t="s">
        <v>3561</v>
      </c>
      <c r="L969" s="20" t="s">
        <v>3549</v>
      </c>
      <c r="M969" s="20" t="s">
        <v>2667</v>
      </c>
      <c r="N969" s="20" t="s">
        <v>3487</v>
      </c>
      <c r="P969" s="20" t="s">
        <v>2667</v>
      </c>
      <c r="Q969" s="20" t="s">
        <v>2674</v>
      </c>
      <c r="R969" s="20" t="s">
        <v>84</v>
      </c>
      <c r="S969" s="20">
        <v>4</v>
      </c>
      <c r="T969" s="20" t="s">
        <v>860</v>
      </c>
      <c r="U969" s="20" t="s">
        <v>861</v>
      </c>
      <c r="V969" s="20" t="s">
        <v>87</v>
      </c>
      <c r="W969" s="20">
        <v>924</v>
      </c>
      <c r="X969" s="20">
        <v>924</v>
      </c>
      <c r="Y969" s="20" t="s">
        <v>3550</v>
      </c>
      <c r="Z969" s="20">
        <v>0.16666666666666666</v>
      </c>
      <c r="AA969" s="20" t="s">
        <v>3562</v>
      </c>
      <c r="AB969" s="20" t="s">
        <v>279</v>
      </c>
      <c r="AC969" s="20" t="s">
        <v>280</v>
      </c>
      <c r="AD969" s="20" t="s">
        <v>3552</v>
      </c>
      <c r="AE969" s="20" t="s">
        <v>400</v>
      </c>
      <c r="AF969" s="20">
        <v>0.16666666666666666</v>
      </c>
      <c r="AG969" s="20">
        <v>0</v>
      </c>
      <c r="AH969" s="20">
        <v>1</v>
      </c>
      <c r="AI969" s="4" t="s">
        <v>640</v>
      </c>
      <c r="AJ969" s="20">
        <v>100</v>
      </c>
      <c r="AK969" s="4" t="s">
        <v>679</v>
      </c>
      <c r="AL969" s="4">
        <v>6</v>
      </c>
      <c r="AM969" s="4" t="s">
        <v>112</v>
      </c>
      <c r="AN969" s="4" t="s">
        <v>95</v>
      </c>
      <c r="AO969" s="4" t="s">
        <v>680</v>
      </c>
      <c r="AP969" s="4">
        <v>1</v>
      </c>
      <c r="AQ969" s="20">
        <v>99000</v>
      </c>
      <c r="AR969" s="4">
        <v>41855</v>
      </c>
      <c r="AS969" s="20">
        <v>20000</v>
      </c>
      <c r="AT969" s="20">
        <v>21098.75</v>
      </c>
      <c r="AU969" s="20">
        <v>1098.75</v>
      </c>
      <c r="AV969" s="20">
        <v>0</v>
      </c>
      <c r="AW969" s="20">
        <v>20</v>
      </c>
      <c r="AX969" s="20" t="s">
        <v>91</v>
      </c>
      <c r="AY969" s="20">
        <v>20</v>
      </c>
      <c r="AZ969" s="20">
        <v>18.25</v>
      </c>
      <c r="BA969" s="20">
        <v>0</v>
      </c>
      <c r="BB969" s="6">
        <v>41855</v>
      </c>
      <c r="BC969" s="6">
        <v>0</v>
      </c>
      <c r="BD969" s="6">
        <v>41862</v>
      </c>
      <c r="BE969" s="6">
        <v>0</v>
      </c>
      <c r="BF969" s="6">
        <v>41862</v>
      </c>
      <c r="BG969" s="6">
        <v>0</v>
      </c>
      <c r="BH969" s="6">
        <v>0</v>
      </c>
      <c r="BI969" s="6">
        <v>0</v>
      </c>
      <c r="BJ969" s="6">
        <v>0</v>
      </c>
      <c r="BK969" s="4">
        <v>0</v>
      </c>
      <c r="BL969" s="4">
        <v>0</v>
      </c>
      <c r="BM969" s="20">
        <v>100</v>
      </c>
      <c r="BN969" s="20">
        <v>0</v>
      </c>
      <c r="BO969" s="20">
        <v>0</v>
      </c>
      <c r="BP969" s="20">
        <v>0</v>
      </c>
      <c r="BQ969" s="20">
        <v>0</v>
      </c>
      <c r="BR969" s="20">
        <v>0</v>
      </c>
      <c r="BS969" s="20">
        <v>100</v>
      </c>
      <c r="BT969" s="20">
        <v>2109875</v>
      </c>
      <c r="BU969" s="20">
        <v>9900000</v>
      </c>
      <c r="BV969" s="20">
        <v>4.2656555483144736</v>
      </c>
    </row>
    <row r="970" spans="1:74">
      <c r="A970" s="10">
        <f t="shared" si="62"/>
        <v>0</v>
      </c>
      <c r="B970" s="10">
        <f t="shared" si="63"/>
        <v>0</v>
      </c>
      <c r="C970" s="12">
        <f t="shared" si="64"/>
        <v>8</v>
      </c>
      <c r="D970" s="12">
        <f t="shared" si="65"/>
        <v>8</v>
      </c>
      <c r="E970" s="20" t="s">
        <v>574</v>
      </c>
      <c r="F970" s="20" t="s">
        <v>3089</v>
      </c>
      <c r="G970" s="20" t="s">
        <v>3545</v>
      </c>
      <c r="H970" s="20" t="s">
        <v>3563</v>
      </c>
      <c r="I970" s="20">
        <v>2</v>
      </c>
      <c r="J970" s="20" t="s">
        <v>3564</v>
      </c>
      <c r="K970" s="20" t="s">
        <v>3565</v>
      </c>
      <c r="L970" s="20" t="s">
        <v>3566</v>
      </c>
      <c r="M970" s="20" t="s">
        <v>2667</v>
      </c>
      <c r="N970" s="20" t="s">
        <v>3487</v>
      </c>
      <c r="P970" s="20" t="s">
        <v>2667</v>
      </c>
      <c r="Q970" s="20" t="s">
        <v>2674</v>
      </c>
      <c r="R970" s="20" t="s">
        <v>84</v>
      </c>
      <c r="S970" s="20">
        <v>4</v>
      </c>
      <c r="T970" s="20" t="s">
        <v>860</v>
      </c>
      <c r="U970" s="20" t="s">
        <v>861</v>
      </c>
      <c r="V970" s="20" t="s">
        <v>87</v>
      </c>
      <c r="W970" s="20">
        <v>926</v>
      </c>
      <c r="X970" s="20">
        <v>926</v>
      </c>
      <c r="Y970" s="20" t="s">
        <v>3567</v>
      </c>
      <c r="Z970" s="20">
        <v>0.16666666666666666</v>
      </c>
      <c r="AA970" s="20" t="s">
        <v>3568</v>
      </c>
      <c r="AB970" s="20" t="s">
        <v>176</v>
      </c>
      <c r="AC970" s="20" t="s">
        <v>177</v>
      </c>
      <c r="AD970" s="20" t="s">
        <v>3569</v>
      </c>
      <c r="AE970" s="20" t="s">
        <v>400</v>
      </c>
      <c r="AF970" s="20">
        <v>0.16666666666666666</v>
      </c>
      <c r="AG970" s="20">
        <v>0</v>
      </c>
      <c r="AH970" s="20">
        <v>1</v>
      </c>
      <c r="AI970" s="4" t="s">
        <v>643</v>
      </c>
      <c r="AJ970" s="20">
        <v>100</v>
      </c>
      <c r="AK970" s="4" t="s">
        <v>679</v>
      </c>
      <c r="AL970" s="4">
        <v>6</v>
      </c>
      <c r="AM970" s="4" t="s">
        <v>112</v>
      </c>
      <c r="AN970" s="4" t="s">
        <v>95</v>
      </c>
      <c r="AO970" s="4" t="s">
        <v>680</v>
      </c>
      <c r="AP970" s="4">
        <v>1</v>
      </c>
      <c r="AQ970" s="20">
        <v>99000</v>
      </c>
      <c r="AR970" s="4">
        <v>41855</v>
      </c>
      <c r="AS970" s="20">
        <v>20000</v>
      </c>
      <c r="AT970" s="20">
        <v>19712.75</v>
      </c>
      <c r="AU970" s="20">
        <v>-287.25</v>
      </c>
      <c r="AV970" s="20">
        <v>0</v>
      </c>
      <c r="AW970" s="20">
        <v>20</v>
      </c>
      <c r="AX970" s="20" t="s">
        <v>91</v>
      </c>
      <c r="AY970" s="20">
        <v>20</v>
      </c>
      <c r="AZ970" s="20">
        <v>17.05</v>
      </c>
      <c r="BA970" s="20">
        <v>0</v>
      </c>
      <c r="BB970" s="6">
        <v>41855</v>
      </c>
      <c r="BC970" s="6">
        <v>0</v>
      </c>
      <c r="BD970" s="6">
        <v>41862</v>
      </c>
      <c r="BE970" s="6">
        <v>0</v>
      </c>
      <c r="BF970" s="6">
        <v>41862</v>
      </c>
      <c r="BG970" s="6">
        <v>0</v>
      </c>
      <c r="BH970" s="6">
        <v>0</v>
      </c>
      <c r="BI970" s="6">
        <v>0</v>
      </c>
      <c r="BJ970" s="6">
        <v>0</v>
      </c>
      <c r="BK970" s="4">
        <v>0</v>
      </c>
      <c r="BL970" s="4">
        <v>0</v>
      </c>
      <c r="BM970" s="20">
        <v>100</v>
      </c>
      <c r="BN970" s="20">
        <v>0</v>
      </c>
      <c r="BO970" s="20">
        <v>0</v>
      </c>
      <c r="BP970" s="20">
        <v>0</v>
      </c>
      <c r="BQ970" s="20">
        <v>0</v>
      </c>
      <c r="BR970" s="20">
        <v>0</v>
      </c>
      <c r="BS970" s="20">
        <v>100</v>
      </c>
      <c r="BT970" s="20">
        <v>1971275</v>
      </c>
      <c r="BU970" s="20">
        <v>9900000</v>
      </c>
      <c r="BV970" s="20">
        <v>4.5655730428276113</v>
      </c>
    </row>
    <row r="971" spans="1:74">
      <c r="A971" s="10">
        <f t="shared" si="62"/>
        <v>0</v>
      </c>
      <c r="B971" s="10">
        <f t="shared" si="63"/>
        <v>0</v>
      </c>
      <c r="C971" s="12">
        <f t="shared" si="64"/>
        <v>8</v>
      </c>
      <c r="D971" s="12">
        <f t="shared" si="65"/>
        <v>8</v>
      </c>
      <c r="E971" s="20" t="s">
        <v>574</v>
      </c>
      <c r="F971" s="20" t="s">
        <v>3089</v>
      </c>
      <c r="G971" s="20" t="s">
        <v>3545</v>
      </c>
      <c r="H971" s="20" t="s">
        <v>3563</v>
      </c>
      <c r="I971" s="20">
        <v>2</v>
      </c>
      <c r="J971" s="20" t="s">
        <v>3564</v>
      </c>
      <c r="K971" s="20" t="s">
        <v>3570</v>
      </c>
      <c r="L971" s="20" t="s">
        <v>3566</v>
      </c>
      <c r="M971" s="20" t="s">
        <v>2667</v>
      </c>
      <c r="N971" s="20" t="s">
        <v>3487</v>
      </c>
      <c r="P971" s="20" t="s">
        <v>2667</v>
      </c>
      <c r="Q971" s="20" t="s">
        <v>2674</v>
      </c>
      <c r="R971" s="20" t="s">
        <v>84</v>
      </c>
      <c r="S971" s="20">
        <v>4</v>
      </c>
      <c r="T971" s="20" t="s">
        <v>860</v>
      </c>
      <c r="U971" s="20" t="s">
        <v>861</v>
      </c>
      <c r="V971" s="20" t="s">
        <v>87</v>
      </c>
      <c r="W971" s="20">
        <v>926</v>
      </c>
      <c r="X971" s="20">
        <v>926</v>
      </c>
      <c r="Y971" s="20" t="s">
        <v>3567</v>
      </c>
      <c r="Z971" s="20">
        <v>0.16666666666666666</v>
      </c>
      <c r="AA971" s="20" t="s">
        <v>3571</v>
      </c>
      <c r="AB971" s="20" t="s">
        <v>176</v>
      </c>
      <c r="AC971" s="20" t="s">
        <v>177</v>
      </c>
      <c r="AD971" s="20" t="s">
        <v>3569</v>
      </c>
      <c r="AE971" s="20" t="s">
        <v>400</v>
      </c>
      <c r="AF971" s="20">
        <v>0.16666666666666666</v>
      </c>
      <c r="AG971" s="20">
        <v>0</v>
      </c>
      <c r="AH971" s="20">
        <v>1</v>
      </c>
      <c r="AI971" s="4" t="s">
        <v>645</v>
      </c>
      <c r="AJ971" s="20">
        <v>100</v>
      </c>
      <c r="AK971" s="4" t="s">
        <v>679</v>
      </c>
      <c r="AL971" s="4">
        <v>6</v>
      </c>
      <c r="AM971" s="4" t="s">
        <v>112</v>
      </c>
      <c r="AN971" s="4" t="s">
        <v>95</v>
      </c>
      <c r="AO971" s="4" t="s">
        <v>680</v>
      </c>
      <c r="AP971" s="4">
        <v>1</v>
      </c>
      <c r="AQ971" s="20">
        <v>99000</v>
      </c>
      <c r="AR971" s="4">
        <v>41855</v>
      </c>
      <c r="AS971" s="20">
        <v>20000</v>
      </c>
      <c r="AT971" s="20">
        <v>19712.75</v>
      </c>
      <c r="AU971" s="20">
        <v>-287.25</v>
      </c>
      <c r="AV971" s="20">
        <v>0</v>
      </c>
      <c r="AW971" s="20">
        <v>20</v>
      </c>
      <c r="AX971" s="20" t="s">
        <v>91</v>
      </c>
      <c r="AY971" s="20">
        <v>20</v>
      </c>
      <c r="AZ971" s="20">
        <v>17.05</v>
      </c>
      <c r="BA971" s="20">
        <v>0</v>
      </c>
      <c r="BB971" s="6">
        <v>41855</v>
      </c>
      <c r="BC971" s="6">
        <v>0</v>
      </c>
      <c r="BD971" s="6">
        <v>41862</v>
      </c>
      <c r="BE971" s="6">
        <v>0</v>
      </c>
      <c r="BF971" s="6">
        <v>41862</v>
      </c>
      <c r="BG971" s="6">
        <v>0</v>
      </c>
      <c r="BH971" s="6">
        <v>0</v>
      </c>
      <c r="BI971" s="6">
        <v>0</v>
      </c>
      <c r="BJ971" s="6">
        <v>0</v>
      </c>
      <c r="BK971" s="4">
        <v>0</v>
      </c>
      <c r="BL971" s="4">
        <v>0</v>
      </c>
      <c r="BM971" s="20">
        <v>100</v>
      </c>
      <c r="BN971" s="20">
        <v>0</v>
      </c>
      <c r="BO971" s="20">
        <v>0</v>
      </c>
      <c r="BP971" s="20">
        <v>0</v>
      </c>
      <c r="BQ971" s="20">
        <v>0</v>
      </c>
      <c r="BR971" s="20">
        <v>0</v>
      </c>
      <c r="BS971" s="20">
        <v>100</v>
      </c>
      <c r="BT971" s="20">
        <v>1971275</v>
      </c>
      <c r="BU971" s="20">
        <v>9900000</v>
      </c>
      <c r="BV971" s="20">
        <v>4.5655730428276113</v>
      </c>
    </row>
    <row r="972" spans="1:74">
      <c r="A972" s="10">
        <f t="shared" si="62"/>
        <v>0</v>
      </c>
      <c r="B972" s="10">
        <f t="shared" si="63"/>
        <v>0</v>
      </c>
      <c r="C972" s="12">
        <f t="shared" si="64"/>
        <v>8</v>
      </c>
      <c r="D972" s="12">
        <f t="shared" si="65"/>
        <v>8</v>
      </c>
      <c r="E972" s="20" t="s">
        <v>574</v>
      </c>
      <c r="F972" s="20" t="s">
        <v>3089</v>
      </c>
      <c r="G972" s="20" t="s">
        <v>3545</v>
      </c>
      <c r="H972" s="20" t="s">
        <v>3563</v>
      </c>
      <c r="I972" s="20">
        <v>2</v>
      </c>
      <c r="J972" s="20" t="s">
        <v>3564</v>
      </c>
      <c r="K972" s="20" t="s">
        <v>3572</v>
      </c>
      <c r="L972" s="20" t="s">
        <v>3566</v>
      </c>
      <c r="M972" s="20" t="s">
        <v>2667</v>
      </c>
      <c r="N972" s="20" t="s">
        <v>3487</v>
      </c>
      <c r="P972" s="20" t="s">
        <v>2667</v>
      </c>
      <c r="Q972" s="20" t="s">
        <v>2674</v>
      </c>
      <c r="R972" s="20" t="s">
        <v>84</v>
      </c>
      <c r="S972" s="20">
        <v>4</v>
      </c>
      <c r="T972" s="20" t="s">
        <v>860</v>
      </c>
      <c r="U972" s="20" t="s">
        <v>861</v>
      </c>
      <c r="V972" s="20" t="s">
        <v>87</v>
      </c>
      <c r="W972" s="20">
        <v>926</v>
      </c>
      <c r="X972" s="20">
        <v>926</v>
      </c>
      <c r="Y972" s="20" t="s">
        <v>3567</v>
      </c>
      <c r="Z972" s="20">
        <v>0.16666666666666666</v>
      </c>
      <c r="AA972" s="20" t="s">
        <v>3573</v>
      </c>
      <c r="AB972" s="20" t="s">
        <v>176</v>
      </c>
      <c r="AC972" s="20" t="s">
        <v>177</v>
      </c>
      <c r="AD972" s="20" t="s">
        <v>3569</v>
      </c>
      <c r="AE972" s="20" t="s">
        <v>400</v>
      </c>
      <c r="AF972" s="20">
        <v>0.16666666666666666</v>
      </c>
      <c r="AG972" s="20">
        <v>0</v>
      </c>
      <c r="AH972" s="20">
        <v>1</v>
      </c>
      <c r="AI972" s="4" t="s">
        <v>647</v>
      </c>
      <c r="AJ972" s="20">
        <v>50</v>
      </c>
      <c r="AK972" s="4" t="s">
        <v>679</v>
      </c>
      <c r="AL972" s="4">
        <v>6</v>
      </c>
      <c r="AM972" s="4" t="s">
        <v>112</v>
      </c>
      <c r="AN972" s="4" t="s">
        <v>95</v>
      </c>
      <c r="AO972" s="4" t="s">
        <v>680</v>
      </c>
      <c r="AP972" s="4">
        <v>1</v>
      </c>
      <c r="AQ972" s="20">
        <v>99000</v>
      </c>
      <c r="AR972" s="4">
        <v>41855</v>
      </c>
      <c r="AS972" s="20">
        <v>20000</v>
      </c>
      <c r="AT972" s="20">
        <v>19712.75</v>
      </c>
      <c r="AU972" s="20">
        <v>-287.25</v>
      </c>
      <c r="AV972" s="20">
        <v>0</v>
      </c>
      <c r="AW972" s="20">
        <v>20</v>
      </c>
      <c r="AX972" s="20" t="s">
        <v>91</v>
      </c>
      <c r="AY972" s="20">
        <v>20</v>
      </c>
      <c r="AZ972" s="20">
        <v>17.05</v>
      </c>
      <c r="BA972" s="20">
        <v>0</v>
      </c>
      <c r="BB972" s="6">
        <v>41855</v>
      </c>
      <c r="BC972" s="6">
        <v>0</v>
      </c>
      <c r="BD972" s="6">
        <v>41862</v>
      </c>
      <c r="BE972" s="6">
        <v>0</v>
      </c>
      <c r="BF972" s="6">
        <v>41862</v>
      </c>
      <c r="BG972" s="6">
        <v>0</v>
      </c>
      <c r="BH972" s="6">
        <v>0</v>
      </c>
      <c r="BI972" s="6">
        <v>0</v>
      </c>
      <c r="BJ972" s="6">
        <v>0</v>
      </c>
      <c r="BK972" s="4">
        <v>0</v>
      </c>
      <c r="BL972" s="4">
        <v>0</v>
      </c>
      <c r="BM972" s="20">
        <v>50</v>
      </c>
      <c r="BN972" s="20">
        <v>0</v>
      </c>
      <c r="BO972" s="20">
        <v>0</v>
      </c>
      <c r="BP972" s="20">
        <v>0</v>
      </c>
      <c r="BQ972" s="20">
        <v>0</v>
      </c>
      <c r="BR972" s="20">
        <v>0</v>
      </c>
      <c r="BS972" s="20">
        <v>50</v>
      </c>
      <c r="BT972" s="20">
        <v>985637.5</v>
      </c>
      <c r="BU972" s="20">
        <v>4950000</v>
      </c>
      <c r="BV972" s="20">
        <v>4.5655730428276113</v>
      </c>
    </row>
    <row r="973" spans="1:74">
      <c r="A973" s="10">
        <f t="shared" si="62"/>
        <v>0</v>
      </c>
      <c r="B973" s="10">
        <f t="shared" si="63"/>
        <v>0</v>
      </c>
      <c r="C973" s="12">
        <f t="shared" si="64"/>
        <v>8</v>
      </c>
      <c r="D973" s="12">
        <f t="shared" si="65"/>
        <v>8</v>
      </c>
      <c r="E973" s="20" t="s">
        <v>574</v>
      </c>
      <c r="F973" s="20" t="s">
        <v>3089</v>
      </c>
      <c r="G973" s="20" t="s">
        <v>3545</v>
      </c>
      <c r="H973" s="20" t="s">
        <v>3563</v>
      </c>
      <c r="I973" s="20">
        <v>2</v>
      </c>
      <c r="J973" s="20" t="s">
        <v>3564</v>
      </c>
      <c r="K973" s="20" t="s">
        <v>3574</v>
      </c>
      <c r="L973" s="20" t="s">
        <v>3566</v>
      </c>
      <c r="M973" s="20" t="s">
        <v>2667</v>
      </c>
      <c r="N973" s="20" t="s">
        <v>3487</v>
      </c>
      <c r="P973" s="20" t="s">
        <v>2667</v>
      </c>
      <c r="Q973" s="20" t="s">
        <v>2674</v>
      </c>
      <c r="R973" s="20" t="s">
        <v>84</v>
      </c>
      <c r="S973" s="20">
        <v>4</v>
      </c>
      <c r="T973" s="20" t="s">
        <v>860</v>
      </c>
      <c r="U973" s="20" t="s">
        <v>861</v>
      </c>
      <c r="V973" s="20" t="s">
        <v>87</v>
      </c>
      <c r="W973" s="20">
        <v>926</v>
      </c>
      <c r="X973" s="20">
        <v>926</v>
      </c>
      <c r="Y973" s="20" t="s">
        <v>3567</v>
      </c>
      <c r="Z973" s="20">
        <v>0.16666666666666666</v>
      </c>
      <c r="AA973" s="20" t="s">
        <v>3575</v>
      </c>
      <c r="AB973" s="20" t="s">
        <v>176</v>
      </c>
      <c r="AC973" s="20" t="s">
        <v>177</v>
      </c>
      <c r="AD973" s="20" t="s">
        <v>3569</v>
      </c>
      <c r="AE973" s="20" t="s">
        <v>400</v>
      </c>
      <c r="AF973" s="20">
        <v>0.16666666666666666</v>
      </c>
      <c r="AG973" s="20">
        <v>0</v>
      </c>
      <c r="AH973" s="20">
        <v>1</v>
      </c>
      <c r="AI973" s="4" t="s">
        <v>649</v>
      </c>
      <c r="AJ973" s="20">
        <v>50</v>
      </c>
      <c r="AK973" s="4" t="s">
        <v>679</v>
      </c>
      <c r="AL973" s="4">
        <v>6</v>
      </c>
      <c r="AM973" s="4" t="s">
        <v>112</v>
      </c>
      <c r="AN973" s="4" t="s">
        <v>95</v>
      </c>
      <c r="AO973" s="4" t="s">
        <v>680</v>
      </c>
      <c r="AP973" s="4">
        <v>1</v>
      </c>
      <c r="AQ973" s="20">
        <v>99000</v>
      </c>
      <c r="AR973" s="4">
        <v>41855</v>
      </c>
      <c r="AS973" s="20">
        <v>20000</v>
      </c>
      <c r="AT973" s="20">
        <v>19712.75</v>
      </c>
      <c r="AU973" s="20">
        <v>-287.25</v>
      </c>
      <c r="AV973" s="20">
        <v>0</v>
      </c>
      <c r="AW973" s="20">
        <v>20</v>
      </c>
      <c r="AX973" s="20" t="s">
        <v>91</v>
      </c>
      <c r="AY973" s="20">
        <v>20</v>
      </c>
      <c r="AZ973" s="20">
        <v>17.05</v>
      </c>
      <c r="BA973" s="20">
        <v>0</v>
      </c>
      <c r="BB973" s="6">
        <v>41855</v>
      </c>
      <c r="BC973" s="6">
        <v>0</v>
      </c>
      <c r="BD973" s="6">
        <v>41862</v>
      </c>
      <c r="BE973" s="6">
        <v>0</v>
      </c>
      <c r="BF973" s="6">
        <v>41862</v>
      </c>
      <c r="BG973" s="6">
        <v>0</v>
      </c>
      <c r="BH973" s="6">
        <v>0</v>
      </c>
      <c r="BI973" s="6">
        <v>0</v>
      </c>
      <c r="BJ973" s="6">
        <v>0</v>
      </c>
      <c r="BK973" s="4">
        <v>0</v>
      </c>
      <c r="BL973" s="4">
        <v>0</v>
      </c>
      <c r="BM973" s="20">
        <v>50</v>
      </c>
      <c r="BN973" s="20">
        <v>0</v>
      </c>
      <c r="BO973" s="20">
        <v>0</v>
      </c>
      <c r="BP973" s="20">
        <v>0</v>
      </c>
      <c r="BQ973" s="20">
        <v>0</v>
      </c>
      <c r="BR973" s="20">
        <v>0</v>
      </c>
      <c r="BS973" s="20">
        <v>50</v>
      </c>
      <c r="BT973" s="20">
        <v>985637.5</v>
      </c>
      <c r="BU973" s="20">
        <v>4950000</v>
      </c>
      <c r="BV973" s="20">
        <v>4.5655730428276113</v>
      </c>
    </row>
    <row r="974" spans="1:74">
      <c r="A974" s="10">
        <f t="shared" si="62"/>
        <v>0</v>
      </c>
      <c r="B974" s="10">
        <f t="shared" si="63"/>
        <v>0</v>
      </c>
      <c r="C974" s="12">
        <f t="shared" si="64"/>
        <v>8</v>
      </c>
      <c r="D974" s="12">
        <f t="shared" si="65"/>
        <v>8</v>
      </c>
      <c r="E974" s="20" t="s">
        <v>574</v>
      </c>
      <c r="F974" s="20" t="s">
        <v>3089</v>
      </c>
      <c r="G974" s="20" t="s">
        <v>3545</v>
      </c>
      <c r="H974" s="20" t="s">
        <v>3563</v>
      </c>
      <c r="I974" s="20">
        <v>2</v>
      </c>
      <c r="J974" s="20" t="s">
        <v>3564</v>
      </c>
      <c r="K974" s="20" t="s">
        <v>3576</v>
      </c>
      <c r="L974" s="20" t="s">
        <v>3566</v>
      </c>
      <c r="M974" s="20" t="s">
        <v>2667</v>
      </c>
      <c r="N974" s="20" t="s">
        <v>3487</v>
      </c>
      <c r="P974" s="20" t="s">
        <v>2667</v>
      </c>
      <c r="Q974" s="20" t="s">
        <v>2674</v>
      </c>
      <c r="R974" s="20" t="s">
        <v>84</v>
      </c>
      <c r="S974" s="20">
        <v>4</v>
      </c>
      <c r="T974" s="20" t="s">
        <v>860</v>
      </c>
      <c r="U974" s="20" t="s">
        <v>861</v>
      </c>
      <c r="V974" s="20" t="s">
        <v>87</v>
      </c>
      <c r="W974" s="20">
        <v>926</v>
      </c>
      <c r="X974" s="20">
        <v>926</v>
      </c>
      <c r="Y974" s="20" t="s">
        <v>3567</v>
      </c>
      <c r="Z974" s="20">
        <v>0.16666666666666666</v>
      </c>
      <c r="AA974" s="20" t="s">
        <v>3577</v>
      </c>
      <c r="AB974" s="20" t="s">
        <v>176</v>
      </c>
      <c r="AC974" s="20" t="s">
        <v>177</v>
      </c>
      <c r="AD974" s="20" t="s">
        <v>3569</v>
      </c>
      <c r="AE974" s="20" t="s">
        <v>400</v>
      </c>
      <c r="AF974" s="20">
        <v>0.16666666666666666</v>
      </c>
      <c r="AG974" s="20">
        <v>0</v>
      </c>
      <c r="AH974" s="20">
        <v>1</v>
      </c>
      <c r="AI974" s="4" t="s">
        <v>651</v>
      </c>
      <c r="AJ974" s="20">
        <v>50</v>
      </c>
      <c r="AK974" s="4" t="s">
        <v>679</v>
      </c>
      <c r="AL974" s="4">
        <v>6</v>
      </c>
      <c r="AM974" s="4" t="s">
        <v>112</v>
      </c>
      <c r="AN974" s="4" t="s">
        <v>95</v>
      </c>
      <c r="AO974" s="4" t="s">
        <v>680</v>
      </c>
      <c r="AP974" s="4">
        <v>1</v>
      </c>
      <c r="AQ974" s="20">
        <v>99000</v>
      </c>
      <c r="AR974" s="4">
        <v>41855</v>
      </c>
      <c r="AS974" s="20">
        <v>20000</v>
      </c>
      <c r="AT974" s="20">
        <v>19712.75</v>
      </c>
      <c r="AU974" s="20">
        <v>-287.25</v>
      </c>
      <c r="AV974" s="20">
        <v>0</v>
      </c>
      <c r="AW974" s="20">
        <v>20</v>
      </c>
      <c r="AX974" s="20" t="s">
        <v>91</v>
      </c>
      <c r="AY974" s="20">
        <v>20</v>
      </c>
      <c r="AZ974" s="20">
        <v>17.05</v>
      </c>
      <c r="BA974" s="20">
        <v>0</v>
      </c>
      <c r="BB974" s="6">
        <v>41855</v>
      </c>
      <c r="BC974" s="6">
        <v>0</v>
      </c>
      <c r="BD974" s="6">
        <v>41862</v>
      </c>
      <c r="BE974" s="6">
        <v>0</v>
      </c>
      <c r="BF974" s="6">
        <v>41862</v>
      </c>
      <c r="BG974" s="6">
        <v>0</v>
      </c>
      <c r="BH974" s="6">
        <v>0</v>
      </c>
      <c r="BI974" s="6">
        <v>0</v>
      </c>
      <c r="BJ974" s="6">
        <v>0</v>
      </c>
      <c r="BK974" s="4">
        <v>0</v>
      </c>
      <c r="BL974" s="4">
        <v>0</v>
      </c>
      <c r="BM974" s="20">
        <v>50</v>
      </c>
      <c r="BN974" s="20">
        <v>0</v>
      </c>
      <c r="BO974" s="20">
        <v>0</v>
      </c>
      <c r="BP974" s="20">
        <v>0</v>
      </c>
      <c r="BQ974" s="20">
        <v>0</v>
      </c>
      <c r="BR974" s="20">
        <v>0</v>
      </c>
      <c r="BS974" s="20">
        <v>50</v>
      </c>
      <c r="BT974" s="20">
        <v>985637.5</v>
      </c>
      <c r="BU974" s="20">
        <v>4950000</v>
      </c>
      <c r="BV974" s="20">
        <v>4.5655730428276113</v>
      </c>
    </row>
    <row r="975" spans="1:74">
      <c r="A975" s="10">
        <f t="shared" si="62"/>
        <v>0</v>
      </c>
      <c r="B975" s="10">
        <f t="shared" si="63"/>
        <v>0</v>
      </c>
      <c r="C975" s="12">
        <f t="shared" si="64"/>
        <v>8</v>
      </c>
      <c r="D975" s="12">
        <f t="shared" si="65"/>
        <v>8</v>
      </c>
      <c r="E975" s="20" t="s">
        <v>574</v>
      </c>
      <c r="F975" s="20" t="s">
        <v>3089</v>
      </c>
      <c r="G975" s="20" t="s">
        <v>3545</v>
      </c>
      <c r="H975" s="20" t="s">
        <v>3563</v>
      </c>
      <c r="I975" s="20">
        <v>2</v>
      </c>
      <c r="J975" s="20" t="s">
        <v>3564</v>
      </c>
      <c r="K975" s="20" t="s">
        <v>3578</v>
      </c>
      <c r="L975" s="20" t="s">
        <v>3566</v>
      </c>
      <c r="M975" s="20" t="s">
        <v>2667</v>
      </c>
      <c r="N975" s="20" t="s">
        <v>3487</v>
      </c>
      <c r="P975" s="20" t="s">
        <v>2667</v>
      </c>
      <c r="Q975" s="20" t="s">
        <v>2674</v>
      </c>
      <c r="R975" s="20" t="s">
        <v>84</v>
      </c>
      <c r="S975" s="20">
        <v>4</v>
      </c>
      <c r="T975" s="20" t="s">
        <v>860</v>
      </c>
      <c r="U975" s="20" t="s">
        <v>861</v>
      </c>
      <c r="V975" s="20" t="s">
        <v>87</v>
      </c>
      <c r="W975" s="20">
        <v>926</v>
      </c>
      <c r="X975" s="20">
        <v>926</v>
      </c>
      <c r="Y975" s="20" t="s">
        <v>3567</v>
      </c>
      <c r="Z975" s="20">
        <v>0.16666666666666666</v>
      </c>
      <c r="AA975" s="20" t="s">
        <v>3579</v>
      </c>
      <c r="AB975" s="20" t="s">
        <v>176</v>
      </c>
      <c r="AC975" s="20" t="s">
        <v>177</v>
      </c>
      <c r="AD975" s="20" t="s">
        <v>3569</v>
      </c>
      <c r="AE975" s="20" t="s">
        <v>400</v>
      </c>
      <c r="AF975" s="20">
        <v>0.16666666666666666</v>
      </c>
      <c r="AG975" s="20">
        <v>0</v>
      </c>
      <c r="AH975" s="20">
        <v>1</v>
      </c>
      <c r="AI975" s="4" t="s">
        <v>640</v>
      </c>
      <c r="AJ975" s="20">
        <v>50</v>
      </c>
      <c r="AK975" s="4" t="s">
        <v>679</v>
      </c>
      <c r="AL975" s="4">
        <v>6</v>
      </c>
      <c r="AM975" s="4" t="s">
        <v>112</v>
      </c>
      <c r="AN975" s="4" t="s">
        <v>95</v>
      </c>
      <c r="AO975" s="4" t="s">
        <v>680</v>
      </c>
      <c r="AP975" s="4">
        <v>1</v>
      </c>
      <c r="AQ975" s="20">
        <v>99000</v>
      </c>
      <c r="AR975" s="4">
        <v>41855</v>
      </c>
      <c r="AS975" s="20">
        <v>20000</v>
      </c>
      <c r="AT975" s="20">
        <v>19712.75</v>
      </c>
      <c r="AU975" s="20">
        <v>-287.25</v>
      </c>
      <c r="AV975" s="20">
        <v>0</v>
      </c>
      <c r="AW975" s="20">
        <v>20</v>
      </c>
      <c r="AX975" s="20" t="s">
        <v>91</v>
      </c>
      <c r="AY975" s="20">
        <v>20</v>
      </c>
      <c r="AZ975" s="20">
        <v>17.05</v>
      </c>
      <c r="BA975" s="20">
        <v>0</v>
      </c>
      <c r="BB975" s="6">
        <v>41855</v>
      </c>
      <c r="BC975" s="6">
        <v>0</v>
      </c>
      <c r="BD975" s="6">
        <v>41862</v>
      </c>
      <c r="BE975" s="6">
        <v>0</v>
      </c>
      <c r="BF975" s="6">
        <v>41862</v>
      </c>
      <c r="BG975" s="6">
        <v>0</v>
      </c>
      <c r="BH975" s="6">
        <v>0</v>
      </c>
      <c r="BI975" s="6">
        <v>0</v>
      </c>
      <c r="BJ975" s="6">
        <v>0</v>
      </c>
      <c r="BK975" s="4">
        <v>0</v>
      </c>
      <c r="BL975" s="4">
        <v>0</v>
      </c>
      <c r="BM975" s="20">
        <v>50</v>
      </c>
      <c r="BN975" s="20">
        <v>0</v>
      </c>
      <c r="BO975" s="20">
        <v>0</v>
      </c>
      <c r="BP975" s="20">
        <v>0</v>
      </c>
      <c r="BQ975" s="20">
        <v>0</v>
      </c>
      <c r="BR975" s="20">
        <v>0</v>
      </c>
      <c r="BS975" s="20">
        <v>50</v>
      </c>
      <c r="BT975" s="20">
        <v>985637.5</v>
      </c>
      <c r="BU975" s="20">
        <v>4950000</v>
      </c>
      <c r="BV975" s="20">
        <v>4.5655730428276113</v>
      </c>
    </row>
    <row r="976" spans="1:74">
      <c r="A976" s="10">
        <f t="shared" si="62"/>
        <v>0</v>
      </c>
      <c r="B976" s="10">
        <f t="shared" si="63"/>
        <v>0</v>
      </c>
      <c r="C976" s="12">
        <f t="shared" si="64"/>
        <v>8</v>
      </c>
      <c r="D976" s="12">
        <f t="shared" si="65"/>
        <v>8</v>
      </c>
      <c r="E976" s="20" t="s">
        <v>574</v>
      </c>
      <c r="F976" s="20" t="s">
        <v>3089</v>
      </c>
      <c r="G976" s="20" t="s">
        <v>3545</v>
      </c>
      <c r="H976" s="20" t="s">
        <v>3580</v>
      </c>
      <c r="I976" s="20">
        <v>3</v>
      </c>
      <c r="J976" s="20" t="s">
        <v>3581</v>
      </c>
      <c r="K976" s="20" t="s">
        <v>3582</v>
      </c>
      <c r="L976" s="20" t="s">
        <v>3583</v>
      </c>
      <c r="M976" s="20" t="s">
        <v>2667</v>
      </c>
      <c r="N976" s="20" t="s">
        <v>3584</v>
      </c>
      <c r="P976" s="20" t="s">
        <v>2667</v>
      </c>
      <c r="Q976" s="20" t="s">
        <v>2674</v>
      </c>
      <c r="R976" s="20" t="s">
        <v>84</v>
      </c>
      <c r="S976" s="20">
        <v>4</v>
      </c>
      <c r="T976" s="20" t="s">
        <v>674</v>
      </c>
      <c r="U976" s="20" t="s">
        <v>675</v>
      </c>
      <c r="V976" s="20" t="s">
        <v>87</v>
      </c>
      <c r="W976" s="20">
        <v>928</v>
      </c>
      <c r="X976" s="20">
        <v>928</v>
      </c>
      <c r="Y976" s="20" t="s">
        <v>3585</v>
      </c>
      <c r="Z976" s="20">
        <v>8.3333333333333329E-2</v>
      </c>
      <c r="AA976" s="20" t="s">
        <v>3586</v>
      </c>
      <c r="AB976" s="20" t="s">
        <v>139</v>
      </c>
      <c r="AC976" s="20" t="s">
        <v>140</v>
      </c>
      <c r="AD976" s="20" t="s">
        <v>3587</v>
      </c>
      <c r="AE976" s="20" t="s">
        <v>400</v>
      </c>
      <c r="AF976" s="20">
        <v>0.16666666666666666</v>
      </c>
      <c r="AG976" s="20">
        <v>0</v>
      </c>
      <c r="AH976" s="20">
        <v>1</v>
      </c>
      <c r="AI976" s="4" t="s">
        <v>643</v>
      </c>
      <c r="AJ976" s="20">
        <v>50</v>
      </c>
      <c r="AK976" s="4" t="s">
        <v>679</v>
      </c>
      <c r="AL976" s="4">
        <v>6</v>
      </c>
      <c r="AM976" s="4" t="s">
        <v>112</v>
      </c>
      <c r="AN976" s="4" t="s">
        <v>95</v>
      </c>
      <c r="AO976" s="4" t="s">
        <v>680</v>
      </c>
      <c r="AP976" s="4">
        <v>1</v>
      </c>
      <c r="AQ976" s="20">
        <v>109000</v>
      </c>
      <c r="AR976" s="4">
        <v>41855</v>
      </c>
      <c r="AS976" s="20">
        <v>22020.202020202021</v>
      </c>
      <c r="AT976" s="20">
        <v>23004.5</v>
      </c>
      <c r="AU976" s="20">
        <v>984.29797979797877</v>
      </c>
      <c r="AV976" s="20">
        <v>0</v>
      </c>
      <c r="AW976" s="20">
        <v>20</v>
      </c>
      <c r="AX976" s="20" t="s">
        <v>91</v>
      </c>
      <c r="AY976" s="20">
        <v>20</v>
      </c>
      <c r="AZ976" s="20">
        <v>19.899999999999999</v>
      </c>
      <c r="BA976" s="20">
        <v>0</v>
      </c>
      <c r="BB976" s="6">
        <v>41855</v>
      </c>
      <c r="BC976" s="6">
        <v>0</v>
      </c>
      <c r="BD976" s="6">
        <v>41862</v>
      </c>
      <c r="BE976" s="6">
        <v>0</v>
      </c>
      <c r="BF976" s="6">
        <v>41862</v>
      </c>
      <c r="BG976" s="6">
        <v>0</v>
      </c>
      <c r="BH976" s="6">
        <v>0</v>
      </c>
      <c r="BI976" s="6">
        <v>0</v>
      </c>
      <c r="BJ976" s="6">
        <v>0</v>
      </c>
      <c r="BK976" s="4">
        <v>0</v>
      </c>
      <c r="BL976" s="4">
        <v>0</v>
      </c>
      <c r="BM976" s="20">
        <v>50</v>
      </c>
      <c r="BN976" s="20">
        <v>0</v>
      </c>
      <c r="BO976" s="20">
        <v>0</v>
      </c>
      <c r="BP976" s="20">
        <v>0</v>
      </c>
      <c r="BQ976" s="20">
        <v>0</v>
      </c>
      <c r="BR976" s="20">
        <v>0</v>
      </c>
      <c r="BS976" s="20">
        <v>50</v>
      </c>
      <c r="BT976" s="20">
        <v>1150225</v>
      </c>
      <c r="BU976" s="20">
        <v>5450000</v>
      </c>
      <c r="BV976" s="20">
        <v>4.3074576318072157</v>
      </c>
    </row>
    <row r="977" spans="1:74">
      <c r="A977" s="10">
        <f t="shared" si="62"/>
        <v>0</v>
      </c>
      <c r="B977" s="10">
        <f t="shared" si="63"/>
        <v>0</v>
      </c>
      <c r="C977" s="12">
        <f t="shared" si="64"/>
        <v>8</v>
      </c>
      <c r="D977" s="12">
        <f t="shared" si="65"/>
        <v>8</v>
      </c>
      <c r="E977" s="20" t="s">
        <v>574</v>
      </c>
      <c r="F977" s="20" t="s">
        <v>3089</v>
      </c>
      <c r="G977" s="20" t="s">
        <v>3545</v>
      </c>
      <c r="H977" s="20" t="s">
        <v>3580</v>
      </c>
      <c r="I977" s="20">
        <v>3</v>
      </c>
      <c r="J977" s="20" t="s">
        <v>3581</v>
      </c>
      <c r="K977" s="20" t="s">
        <v>3588</v>
      </c>
      <c r="L977" s="20" t="s">
        <v>3583</v>
      </c>
      <c r="M977" s="20" t="s">
        <v>2667</v>
      </c>
      <c r="N977" s="20" t="s">
        <v>3584</v>
      </c>
      <c r="P977" s="20" t="s">
        <v>2667</v>
      </c>
      <c r="Q977" s="20" t="s">
        <v>2674</v>
      </c>
      <c r="R977" s="20" t="s">
        <v>84</v>
      </c>
      <c r="S977" s="20">
        <v>4</v>
      </c>
      <c r="T977" s="20" t="s">
        <v>674</v>
      </c>
      <c r="U977" s="20" t="s">
        <v>675</v>
      </c>
      <c r="V977" s="20" t="s">
        <v>87</v>
      </c>
      <c r="W977" s="20">
        <v>928</v>
      </c>
      <c r="X977" s="20">
        <v>928</v>
      </c>
      <c r="Y977" s="20" t="s">
        <v>3585</v>
      </c>
      <c r="Z977" s="20">
        <v>8.3333333333333329E-2</v>
      </c>
      <c r="AA977" s="20" t="s">
        <v>3589</v>
      </c>
      <c r="AB977" s="20" t="s">
        <v>139</v>
      </c>
      <c r="AC977" s="20" t="s">
        <v>140</v>
      </c>
      <c r="AD977" s="20" t="s">
        <v>3587</v>
      </c>
      <c r="AE977" s="20" t="s">
        <v>400</v>
      </c>
      <c r="AF977" s="20">
        <v>0.16666666666666666</v>
      </c>
      <c r="AG977" s="20">
        <v>0</v>
      </c>
      <c r="AH977" s="20">
        <v>1</v>
      </c>
      <c r="AI977" s="4" t="s">
        <v>645</v>
      </c>
      <c r="AJ977" s="20">
        <v>50</v>
      </c>
      <c r="AK977" s="4" t="s">
        <v>679</v>
      </c>
      <c r="AL977" s="4">
        <v>6</v>
      </c>
      <c r="AM977" s="4" t="s">
        <v>112</v>
      </c>
      <c r="AN977" s="4" t="s">
        <v>95</v>
      </c>
      <c r="AO977" s="4" t="s">
        <v>680</v>
      </c>
      <c r="AP977" s="4">
        <v>1</v>
      </c>
      <c r="AQ977" s="20">
        <v>109000</v>
      </c>
      <c r="AR977" s="4">
        <v>41855</v>
      </c>
      <c r="AS977" s="20">
        <v>22020.202020202021</v>
      </c>
      <c r="AT977" s="20">
        <v>23004.5</v>
      </c>
      <c r="AU977" s="20">
        <v>984.29797979797877</v>
      </c>
      <c r="AV977" s="20">
        <v>0</v>
      </c>
      <c r="AW977" s="20">
        <v>20</v>
      </c>
      <c r="AX977" s="20" t="s">
        <v>91</v>
      </c>
      <c r="AY977" s="20">
        <v>20</v>
      </c>
      <c r="AZ977" s="20">
        <v>19.899999999999999</v>
      </c>
      <c r="BA977" s="20">
        <v>0</v>
      </c>
      <c r="BB977" s="6">
        <v>41855</v>
      </c>
      <c r="BC977" s="6">
        <v>0</v>
      </c>
      <c r="BD977" s="6">
        <v>41862</v>
      </c>
      <c r="BE977" s="6">
        <v>0</v>
      </c>
      <c r="BF977" s="6">
        <v>41862</v>
      </c>
      <c r="BG977" s="6">
        <v>0</v>
      </c>
      <c r="BH977" s="6">
        <v>0</v>
      </c>
      <c r="BI977" s="6">
        <v>0</v>
      </c>
      <c r="BJ977" s="6">
        <v>0</v>
      </c>
      <c r="BK977" s="4">
        <v>0</v>
      </c>
      <c r="BL977" s="4">
        <v>0</v>
      </c>
      <c r="BM977" s="20">
        <v>50</v>
      </c>
      <c r="BN977" s="20">
        <v>0</v>
      </c>
      <c r="BO977" s="20">
        <v>0</v>
      </c>
      <c r="BP977" s="20">
        <v>0</v>
      </c>
      <c r="BQ977" s="20">
        <v>0</v>
      </c>
      <c r="BR977" s="20">
        <v>0</v>
      </c>
      <c r="BS977" s="20">
        <v>50</v>
      </c>
      <c r="BT977" s="20">
        <v>1150225</v>
      </c>
      <c r="BU977" s="20">
        <v>5450000</v>
      </c>
      <c r="BV977" s="20">
        <v>4.3074576318072157</v>
      </c>
    </row>
    <row r="978" spans="1:74">
      <c r="A978" s="10">
        <f t="shared" si="62"/>
        <v>0</v>
      </c>
      <c r="B978" s="10">
        <f t="shared" si="63"/>
        <v>0</v>
      </c>
      <c r="C978" s="12">
        <f t="shared" si="64"/>
        <v>8</v>
      </c>
      <c r="D978" s="12">
        <f t="shared" si="65"/>
        <v>8</v>
      </c>
      <c r="E978" s="20" t="s">
        <v>574</v>
      </c>
      <c r="F978" s="20" t="s">
        <v>3089</v>
      </c>
      <c r="G978" s="20" t="s">
        <v>3545</v>
      </c>
      <c r="H978" s="20" t="s">
        <v>3580</v>
      </c>
      <c r="I978" s="20">
        <v>3</v>
      </c>
      <c r="J978" s="20" t="s">
        <v>3581</v>
      </c>
      <c r="K978" s="20" t="s">
        <v>3590</v>
      </c>
      <c r="L978" s="20" t="s">
        <v>3583</v>
      </c>
      <c r="M978" s="20" t="s">
        <v>2667</v>
      </c>
      <c r="N978" s="20" t="s">
        <v>3584</v>
      </c>
      <c r="P978" s="20" t="s">
        <v>2667</v>
      </c>
      <c r="Q978" s="20" t="s">
        <v>2674</v>
      </c>
      <c r="R978" s="20" t="s">
        <v>84</v>
      </c>
      <c r="S978" s="20">
        <v>4</v>
      </c>
      <c r="T978" s="20" t="s">
        <v>674</v>
      </c>
      <c r="U978" s="20" t="s">
        <v>675</v>
      </c>
      <c r="V978" s="20" t="s">
        <v>87</v>
      </c>
      <c r="W978" s="20">
        <v>928</v>
      </c>
      <c r="X978" s="20">
        <v>928</v>
      </c>
      <c r="Y978" s="20" t="s">
        <v>3585</v>
      </c>
      <c r="Z978" s="20">
        <v>8.3333333333333329E-2</v>
      </c>
      <c r="AA978" s="20" t="s">
        <v>3591</v>
      </c>
      <c r="AB978" s="20" t="s">
        <v>139</v>
      </c>
      <c r="AC978" s="20" t="s">
        <v>140</v>
      </c>
      <c r="AD978" s="20" t="s">
        <v>3587</v>
      </c>
      <c r="AE978" s="20" t="s">
        <v>400</v>
      </c>
      <c r="AF978" s="20">
        <v>0.16666666666666666</v>
      </c>
      <c r="AG978" s="20">
        <v>0</v>
      </c>
      <c r="AH978" s="20">
        <v>1</v>
      </c>
      <c r="AI978" s="4" t="s">
        <v>647</v>
      </c>
      <c r="AJ978" s="20">
        <v>50</v>
      </c>
      <c r="AK978" s="4" t="s">
        <v>679</v>
      </c>
      <c r="AL978" s="4">
        <v>6</v>
      </c>
      <c r="AM978" s="4" t="s">
        <v>112</v>
      </c>
      <c r="AN978" s="4" t="s">
        <v>95</v>
      </c>
      <c r="AO978" s="4" t="s">
        <v>680</v>
      </c>
      <c r="AP978" s="4">
        <v>1</v>
      </c>
      <c r="AQ978" s="20">
        <v>109000</v>
      </c>
      <c r="AR978" s="4">
        <v>41855</v>
      </c>
      <c r="AS978" s="20">
        <v>22020.202020202021</v>
      </c>
      <c r="AT978" s="20">
        <v>23004.5</v>
      </c>
      <c r="AU978" s="20">
        <v>984.29797979797877</v>
      </c>
      <c r="AV978" s="20">
        <v>0</v>
      </c>
      <c r="AW978" s="20">
        <v>20</v>
      </c>
      <c r="AX978" s="20" t="s">
        <v>91</v>
      </c>
      <c r="AY978" s="20">
        <v>20</v>
      </c>
      <c r="AZ978" s="20">
        <v>19.899999999999999</v>
      </c>
      <c r="BA978" s="20">
        <v>0</v>
      </c>
      <c r="BB978" s="6">
        <v>41855</v>
      </c>
      <c r="BC978" s="6">
        <v>0</v>
      </c>
      <c r="BD978" s="6">
        <v>41862</v>
      </c>
      <c r="BE978" s="6">
        <v>0</v>
      </c>
      <c r="BF978" s="6">
        <v>41862</v>
      </c>
      <c r="BG978" s="6">
        <v>0</v>
      </c>
      <c r="BH978" s="6">
        <v>0</v>
      </c>
      <c r="BI978" s="6">
        <v>0</v>
      </c>
      <c r="BJ978" s="6">
        <v>0</v>
      </c>
      <c r="BK978" s="4">
        <v>0</v>
      </c>
      <c r="BL978" s="4">
        <v>0</v>
      </c>
      <c r="BM978" s="20">
        <v>50</v>
      </c>
      <c r="BN978" s="20">
        <v>0</v>
      </c>
      <c r="BO978" s="20">
        <v>0</v>
      </c>
      <c r="BP978" s="20">
        <v>0</v>
      </c>
      <c r="BQ978" s="20">
        <v>0</v>
      </c>
      <c r="BR978" s="20">
        <v>0</v>
      </c>
      <c r="BS978" s="20">
        <v>50</v>
      </c>
      <c r="BT978" s="20">
        <v>1150225</v>
      </c>
      <c r="BU978" s="20">
        <v>5450000</v>
      </c>
      <c r="BV978" s="20">
        <v>4.3074576318072157</v>
      </c>
    </row>
    <row r="979" spans="1:74">
      <c r="A979" s="10">
        <f t="shared" si="62"/>
        <v>0</v>
      </c>
      <c r="B979" s="10">
        <f t="shared" si="63"/>
        <v>0</v>
      </c>
      <c r="C979" s="12">
        <f t="shared" si="64"/>
        <v>8</v>
      </c>
      <c r="D979" s="12">
        <f t="shared" si="65"/>
        <v>8</v>
      </c>
      <c r="E979" s="20" t="s">
        <v>574</v>
      </c>
      <c r="F979" s="20" t="s">
        <v>3089</v>
      </c>
      <c r="G979" s="20" t="s">
        <v>3545</v>
      </c>
      <c r="H979" s="20" t="s">
        <v>3580</v>
      </c>
      <c r="I979" s="20">
        <v>3</v>
      </c>
      <c r="J979" s="20" t="s">
        <v>3581</v>
      </c>
      <c r="K979" s="20" t="s">
        <v>3592</v>
      </c>
      <c r="L979" s="20" t="s">
        <v>3583</v>
      </c>
      <c r="M979" s="20" t="s">
        <v>2667</v>
      </c>
      <c r="N979" s="20" t="s">
        <v>3584</v>
      </c>
      <c r="P979" s="20" t="s">
        <v>2667</v>
      </c>
      <c r="Q979" s="20" t="s">
        <v>2674</v>
      </c>
      <c r="R979" s="20" t="s">
        <v>84</v>
      </c>
      <c r="S979" s="20">
        <v>4</v>
      </c>
      <c r="T979" s="20" t="s">
        <v>674</v>
      </c>
      <c r="U979" s="20" t="s">
        <v>675</v>
      </c>
      <c r="V979" s="20" t="s">
        <v>87</v>
      </c>
      <c r="W979" s="20">
        <v>928</v>
      </c>
      <c r="X979" s="20">
        <v>928</v>
      </c>
      <c r="Y979" s="20" t="s">
        <v>3585</v>
      </c>
      <c r="Z979" s="20">
        <v>8.3333333333333329E-2</v>
      </c>
      <c r="AA979" s="20" t="s">
        <v>3593</v>
      </c>
      <c r="AB979" s="20" t="s">
        <v>139</v>
      </c>
      <c r="AC979" s="20" t="s">
        <v>140</v>
      </c>
      <c r="AD979" s="20" t="s">
        <v>3587</v>
      </c>
      <c r="AE979" s="20" t="s">
        <v>400</v>
      </c>
      <c r="AF979" s="20">
        <v>0.16666666666666666</v>
      </c>
      <c r="AG979" s="20">
        <v>0</v>
      </c>
      <c r="AH979" s="20">
        <v>1</v>
      </c>
      <c r="AI979" s="4" t="s">
        <v>649</v>
      </c>
      <c r="AJ979" s="20">
        <v>50</v>
      </c>
      <c r="AK979" s="4" t="s">
        <v>679</v>
      </c>
      <c r="AL979" s="4">
        <v>6</v>
      </c>
      <c r="AM979" s="4" t="s">
        <v>112</v>
      </c>
      <c r="AN979" s="4" t="s">
        <v>95</v>
      </c>
      <c r="AO979" s="4" t="s">
        <v>680</v>
      </c>
      <c r="AP979" s="4">
        <v>1</v>
      </c>
      <c r="AQ979" s="20">
        <v>109000</v>
      </c>
      <c r="AR979" s="4">
        <v>41855</v>
      </c>
      <c r="AS979" s="20">
        <v>22020.202020202021</v>
      </c>
      <c r="AT979" s="20">
        <v>23004.5</v>
      </c>
      <c r="AU979" s="20">
        <v>984.29797979797877</v>
      </c>
      <c r="AV979" s="20">
        <v>0</v>
      </c>
      <c r="AW979" s="20">
        <v>20</v>
      </c>
      <c r="AX979" s="20" t="s">
        <v>91</v>
      </c>
      <c r="AY979" s="20">
        <v>20</v>
      </c>
      <c r="AZ979" s="20">
        <v>19.899999999999999</v>
      </c>
      <c r="BA979" s="20">
        <v>0</v>
      </c>
      <c r="BB979" s="6">
        <v>41855</v>
      </c>
      <c r="BC979" s="6">
        <v>0</v>
      </c>
      <c r="BD979" s="6">
        <v>41862</v>
      </c>
      <c r="BE979" s="6">
        <v>0</v>
      </c>
      <c r="BF979" s="6">
        <v>41862</v>
      </c>
      <c r="BG979" s="6">
        <v>0</v>
      </c>
      <c r="BH979" s="6">
        <v>0</v>
      </c>
      <c r="BI979" s="6">
        <v>0</v>
      </c>
      <c r="BJ979" s="6">
        <v>0</v>
      </c>
      <c r="BK979" s="4">
        <v>0</v>
      </c>
      <c r="BL979" s="4">
        <v>0</v>
      </c>
      <c r="BM979" s="20">
        <v>50</v>
      </c>
      <c r="BN979" s="20">
        <v>0</v>
      </c>
      <c r="BO979" s="20">
        <v>0</v>
      </c>
      <c r="BP979" s="20">
        <v>0</v>
      </c>
      <c r="BQ979" s="20">
        <v>0</v>
      </c>
      <c r="BR979" s="20">
        <v>0</v>
      </c>
      <c r="BS979" s="20">
        <v>50</v>
      </c>
      <c r="BT979" s="20">
        <v>1150225</v>
      </c>
      <c r="BU979" s="20">
        <v>5450000</v>
      </c>
      <c r="BV979" s="20">
        <v>4.3074576318072157</v>
      </c>
    </row>
    <row r="980" spans="1:74">
      <c r="A980" s="10">
        <f t="shared" si="62"/>
        <v>0</v>
      </c>
      <c r="B980" s="10">
        <f t="shared" si="63"/>
        <v>0</v>
      </c>
      <c r="C980" s="12">
        <f t="shared" si="64"/>
        <v>8</v>
      </c>
      <c r="D980" s="12">
        <f t="shared" si="65"/>
        <v>8</v>
      </c>
      <c r="E980" s="20" t="s">
        <v>574</v>
      </c>
      <c r="F980" s="20" t="s">
        <v>3089</v>
      </c>
      <c r="G980" s="20" t="s">
        <v>3545</v>
      </c>
      <c r="H980" s="20" t="s">
        <v>3580</v>
      </c>
      <c r="I980" s="20">
        <v>3</v>
      </c>
      <c r="J980" s="20" t="s">
        <v>3581</v>
      </c>
      <c r="K980" s="20" t="s">
        <v>3594</v>
      </c>
      <c r="L980" s="20" t="s">
        <v>3583</v>
      </c>
      <c r="M980" s="20" t="s">
        <v>2667</v>
      </c>
      <c r="N980" s="20" t="s">
        <v>3584</v>
      </c>
      <c r="P980" s="20" t="s">
        <v>2667</v>
      </c>
      <c r="Q980" s="20" t="s">
        <v>2674</v>
      </c>
      <c r="R980" s="20" t="s">
        <v>84</v>
      </c>
      <c r="S980" s="20">
        <v>4</v>
      </c>
      <c r="T980" s="20" t="s">
        <v>674</v>
      </c>
      <c r="U980" s="20" t="s">
        <v>675</v>
      </c>
      <c r="V980" s="20" t="s">
        <v>87</v>
      </c>
      <c r="W980" s="20">
        <v>928</v>
      </c>
      <c r="X980" s="20">
        <v>928</v>
      </c>
      <c r="Y980" s="20" t="s">
        <v>3585</v>
      </c>
      <c r="Z980" s="20">
        <v>8.3333333333333329E-2</v>
      </c>
      <c r="AA980" s="20" t="s">
        <v>3595</v>
      </c>
      <c r="AB980" s="20" t="s">
        <v>139</v>
      </c>
      <c r="AC980" s="20" t="s">
        <v>140</v>
      </c>
      <c r="AD980" s="20" t="s">
        <v>3587</v>
      </c>
      <c r="AE980" s="20" t="s">
        <v>400</v>
      </c>
      <c r="AF980" s="20">
        <v>0.16666666666666666</v>
      </c>
      <c r="AG980" s="20">
        <v>0</v>
      </c>
      <c r="AH980" s="20">
        <v>1</v>
      </c>
      <c r="AI980" s="4" t="s">
        <v>651</v>
      </c>
      <c r="AJ980" s="20">
        <v>50</v>
      </c>
      <c r="AK980" s="4" t="s">
        <v>679</v>
      </c>
      <c r="AL980" s="4">
        <v>6</v>
      </c>
      <c r="AM980" s="4" t="s">
        <v>112</v>
      </c>
      <c r="AN980" s="4" t="s">
        <v>95</v>
      </c>
      <c r="AO980" s="4" t="s">
        <v>680</v>
      </c>
      <c r="AP980" s="4">
        <v>1</v>
      </c>
      <c r="AQ980" s="20">
        <v>109000</v>
      </c>
      <c r="AR980" s="4">
        <v>41855</v>
      </c>
      <c r="AS980" s="20">
        <v>22020.202020202021</v>
      </c>
      <c r="AT980" s="20">
        <v>23004.5</v>
      </c>
      <c r="AU980" s="20">
        <v>984.29797979797877</v>
      </c>
      <c r="AV980" s="20">
        <v>0</v>
      </c>
      <c r="AW980" s="20">
        <v>20</v>
      </c>
      <c r="AX980" s="20" t="s">
        <v>91</v>
      </c>
      <c r="AY980" s="20">
        <v>20</v>
      </c>
      <c r="AZ980" s="20">
        <v>19.899999999999999</v>
      </c>
      <c r="BA980" s="20">
        <v>0</v>
      </c>
      <c r="BB980" s="6">
        <v>41855</v>
      </c>
      <c r="BC980" s="6">
        <v>0</v>
      </c>
      <c r="BD980" s="6">
        <v>41862</v>
      </c>
      <c r="BE980" s="6">
        <v>0</v>
      </c>
      <c r="BF980" s="6">
        <v>41862</v>
      </c>
      <c r="BG980" s="6">
        <v>0</v>
      </c>
      <c r="BH980" s="6">
        <v>0</v>
      </c>
      <c r="BI980" s="6">
        <v>0</v>
      </c>
      <c r="BJ980" s="6">
        <v>0</v>
      </c>
      <c r="BK980" s="4">
        <v>0</v>
      </c>
      <c r="BL980" s="4">
        <v>0</v>
      </c>
      <c r="BM980" s="20">
        <v>50</v>
      </c>
      <c r="BN980" s="20">
        <v>0</v>
      </c>
      <c r="BO980" s="20">
        <v>0</v>
      </c>
      <c r="BP980" s="20">
        <v>0</v>
      </c>
      <c r="BQ980" s="20">
        <v>0</v>
      </c>
      <c r="BR980" s="20">
        <v>0</v>
      </c>
      <c r="BS980" s="20">
        <v>50</v>
      </c>
      <c r="BT980" s="20">
        <v>1150225</v>
      </c>
      <c r="BU980" s="20">
        <v>5450000</v>
      </c>
      <c r="BV980" s="20">
        <v>4.3074576318072157</v>
      </c>
    </row>
    <row r="981" spans="1:74">
      <c r="A981" s="10">
        <f t="shared" si="62"/>
        <v>0</v>
      </c>
      <c r="B981" s="10">
        <f t="shared" si="63"/>
        <v>0</v>
      </c>
      <c r="C981" s="12">
        <f t="shared" si="64"/>
        <v>8</v>
      </c>
      <c r="D981" s="12">
        <f t="shared" si="65"/>
        <v>8</v>
      </c>
      <c r="E981" s="20" t="s">
        <v>574</v>
      </c>
      <c r="F981" s="20" t="s">
        <v>3089</v>
      </c>
      <c r="G981" s="20" t="s">
        <v>3545</v>
      </c>
      <c r="H981" s="20" t="s">
        <v>3580</v>
      </c>
      <c r="I981" s="20">
        <v>3</v>
      </c>
      <c r="J981" s="20" t="s">
        <v>3581</v>
      </c>
      <c r="K981" s="20" t="s">
        <v>3596</v>
      </c>
      <c r="L981" s="20" t="s">
        <v>3583</v>
      </c>
      <c r="M981" s="20" t="s">
        <v>2667</v>
      </c>
      <c r="N981" s="20" t="s">
        <v>3584</v>
      </c>
      <c r="P981" s="20" t="s">
        <v>2667</v>
      </c>
      <c r="Q981" s="20" t="s">
        <v>2674</v>
      </c>
      <c r="R981" s="20" t="s">
        <v>84</v>
      </c>
      <c r="S981" s="20">
        <v>4</v>
      </c>
      <c r="T981" s="20" t="s">
        <v>674</v>
      </c>
      <c r="U981" s="20" t="s">
        <v>675</v>
      </c>
      <c r="V981" s="20" t="s">
        <v>87</v>
      </c>
      <c r="W981" s="20">
        <v>928</v>
      </c>
      <c r="X981" s="20">
        <v>928</v>
      </c>
      <c r="Y981" s="20" t="s">
        <v>3585</v>
      </c>
      <c r="Z981" s="20">
        <v>8.3333333333333329E-2</v>
      </c>
      <c r="AA981" s="20" t="s">
        <v>3597</v>
      </c>
      <c r="AB981" s="20" t="s">
        <v>139</v>
      </c>
      <c r="AC981" s="20" t="s">
        <v>140</v>
      </c>
      <c r="AD981" s="20" t="s">
        <v>3587</v>
      </c>
      <c r="AE981" s="20" t="s">
        <v>400</v>
      </c>
      <c r="AF981" s="20">
        <v>0.16666666666666666</v>
      </c>
      <c r="AG981" s="20">
        <v>0</v>
      </c>
      <c r="AH981" s="20">
        <v>1</v>
      </c>
      <c r="AI981" s="4" t="s">
        <v>640</v>
      </c>
      <c r="AJ981" s="20">
        <v>50</v>
      </c>
      <c r="AK981" s="4" t="s">
        <v>679</v>
      </c>
      <c r="AL981" s="4">
        <v>6</v>
      </c>
      <c r="AM981" s="4" t="s">
        <v>112</v>
      </c>
      <c r="AN981" s="4" t="s">
        <v>95</v>
      </c>
      <c r="AO981" s="4" t="s">
        <v>680</v>
      </c>
      <c r="AP981" s="4">
        <v>1</v>
      </c>
      <c r="AQ981" s="20">
        <v>109000</v>
      </c>
      <c r="AR981" s="4">
        <v>41855</v>
      </c>
      <c r="AS981" s="20">
        <v>22020.202020202021</v>
      </c>
      <c r="AT981" s="20">
        <v>23004.5</v>
      </c>
      <c r="AU981" s="20">
        <v>984.29797979797877</v>
      </c>
      <c r="AV981" s="20">
        <v>0</v>
      </c>
      <c r="AW981" s="20">
        <v>20</v>
      </c>
      <c r="AX981" s="20" t="s">
        <v>91</v>
      </c>
      <c r="AY981" s="20">
        <v>20</v>
      </c>
      <c r="AZ981" s="20">
        <v>19.899999999999999</v>
      </c>
      <c r="BA981" s="20">
        <v>0</v>
      </c>
      <c r="BB981" s="6">
        <v>41855</v>
      </c>
      <c r="BC981" s="6">
        <v>0</v>
      </c>
      <c r="BD981" s="6">
        <v>41862</v>
      </c>
      <c r="BE981" s="6">
        <v>0</v>
      </c>
      <c r="BF981" s="6">
        <v>41862</v>
      </c>
      <c r="BG981" s="6">
        <v>0</v>
      </c>
      <c r="BH981" s="6">
        <v>0</v>
      </c>
      <c r="BI981" s="6">
        <v>0</v>
      </c>
      <c r="BJ981" s="6">
        <v>0</v>
      </c>
      <c r="BK981" s="4">
        <v>0</v>
      </c>
      <c r="BL981" s="4">
        <v>0</v>
      </c>
      <c r="BM981" s="20">
        <v>50</v>
      </c>
      <c r="BN981" s="20">
        <v>0</v>
      </c>
      <c r="BO981" s="20">
        <v>0</v>
      </c>
      <c r="BP981" s="20">
        <v>0</v>
      </c>
      <c r="BQ981" s="20">
        <v>0</v>
      </c>
      <c r="BR981" s="20">
        <v>0</v>
      </c>
      <c r="BS981" s="20">
        <v>50</v>
      </c>
      <c r="BT981" s="20">
        <v>1150225</v>
      </c>
      <c r="BU981" s="20">
        <v>5450000</v>
      </c>
      <c r="BV981" s="20">
        <v>4.3074576318072157</v>
      </c>
    </row>
    <row r="982" spans="1:74">
      <c r="A982" s="10">
        <f t="shared" si="62"/>
        <v>0</v>
      </c>
      <c r="B982" s="10">
        <f t="shared" si="63"/>
        <v>0</v>
      </c>
      <c r="C982" s="12">
        <f t="shared" si="64"/>
        <v>8</v>
      </c>
      <c r="D982" s="12">
        <f t="shared" si="65"/>
        <v>8</v>
      </c>
      <c r="E982" s="20" t="s">
        <v>574</v>
      </c>
      <c r="F982" s="20" t="s">
        <v>3089</v>
      </c>
      <c r="G982" s="20" t="s">
        <v>3545</v>
      </c>
      <c r="H982" s="20" t="s">
        <v>3598</v>
      </c>
      <c r="I982" s="20">
        <v>4</v>
      </c>
      <c r="J982" s="20" t="s">
        <v>3599</v>
      </c>
      <c r="K982" s="20" t="s">
        <v>3600</v>
      </c>
      <c r="L982" s="20" t="s">
        <v>3583</v>
      </c>
      <c r="M982" s="20" t="s">
        <v>2667</v>
      </c>
      <c r="N982" s="20" t="s">
        <v>3584</v>
      </c>
      <c r="P982" s="20" t="s">
        <v>2667</v>
      </c>
      <c r="Q982" s="20" t="s">
        <v>2674</v>
      </c>
      <c r="R982" s="20" t="s">
        <v>84</v>
      </c>
      <c r="S982" s="20">
        <v>4</v>
      </c>
      <c r="T982" s="20" t="s">
        <v>674</v>
      </c>
      <c r="U982" s="20" t="s">
        <v>675</v>
      </c>
      <c r="V982" s="20" t="s">
        <v>87</v>
      </c>
      <c r="W982" s="20">
        <v>928</v>
      </c>
      <c r="X982" s="20">
        <v>928</v>
      </c>
      <c r="Y982" s="20" t="s">
        <v>3585</v>
      </c>
      <c r="Z982" s="20">
        <v>8.3333333333333329E-2</v>
      </c>
      <c r="AA982" s="20" t="s">
        <v>3601</v>
      </c>
      <c r="AB982" s="20" t="s">
        <v>89</v>
      </c>
      <c r="AC982" s="20" t="s">
        <v>90</v>
      </c>
      <c r="AD982" s="20" t="s">
        <v>3602</v>
      </c>
      <c r="AE982" s="20" t="s">
        <v>400</v>
      </c>
      <c r="AF982" s="20">
        <v>0.16666666666666666</v>
      </c>
      <c r="AG982" s="20">
        <v>0</v>
      </c>
      <c r="AH982" s="20">
        <v>1</v>
      </c>
      <c r="AI982" s="4" t="s">
        <v>643</v>
      </c>
      <c r="AJ982" s="20">
        <v>50</v>
      </c>
      <c r="AK982" s="4" t="s">
        <v>679</v>
      </c>
      <c r="AL982" s="4">
        <v>6</v>
      </c>
      <c r="AM982" s="4" t="s">
        <v>112</v>
      </c>
      <c r="AN982" s="4" t="s">
        <v>95</v>
      </c>
      <c r="AO982" s="4" t="s">
        <v>680</v>
      </c>
      <c r="AP982" s="4">
        <v>1</v>
      </c>
      <c r="AQ982" s="20">
        <v>109000</v>
      </c>
      <c r="AR982" s="4">
        <v>41855</v>
      </c>
      <c r="AS982" s="20">
        <v>22020.202020202021</v>
      </c>
      <c r="AT982" s="20">
        <v>23004.5</v>
      </c>
      <c r="AU982" s="20">
        <v>984.29797979797877</v>
      </c>
      <c r="AV982" s="20">
        <v>0</v>
      </c>
      <c r="AW982" s="20">
        <v>20</v>
      </c>
      <c r="AX982" s="20" t="s">
        <v>91</v>
      </c>
      <c r="AY982" s="20">
        <v>20</v>
      </c>
      <c r="AZ982" s="20">
        <v>19.899999999999999</v>
      </c>
      <c r="BA982" s="20">
        <v>0</v>
      </c>
      <c r="BB982" s="6">
        <v>41855</v>
      </c>
      <c r="BC982" s="6">
        <v>0</v>
      </c>
      <c r="BD982" s="6">
        <v>41862</v>
      </c>
      <c r="BE982" s="6">
        <v>0</v>
      </c>
      <c r="BF982" s="6">
        <v>41862</v>
      </c>
      <c r="BG982" s="6">
        <v>0</v>
      </c>
      <c r="BH982" s="6">
        <v>0</v>
      </c>
      <c r="BI982" s="6">
        <v>0</v>
      </c>
      <c r="BJ982" s="6">
        <v>0</v>
      </c>
      <c r="BK982" s="4">
        <v>0</v>
      </c>
      <c r="BL982" s="4">
        <v>0</v>
      </c>
      <c r="BM982" s="20">
        <v>50</v>
      </c>
      <c r="BN982" s="20">
        <v>0</v>
      </c>
      <c r="BO982" s="20">
        <v>0</v>
      </c>
      <c r="BP982" s="20">
        <v>0</v>
      </c>
      <c r="BQ982" s="20">
        <v>0</v>
      </c>
      <c r="BR982" s="20">
        <v>0</v>
      </c>
      <c r="BS982" s="20">
        <v>50</v>
      </c>
      <c r="BT982" s="20">
        <v>1150225</v>
      </c>
      <c r="BU982" s="20">
        <v>5450000</v>
      </c>
      <c r="BV982" s="20">
        <v>4.3074576318072157</v>
      </c>
    </row>
    <row r="983" spans="1:74">
      <c r="A983" s="10">
        <f t="shared" si="62"/>
        <v>0</v>
      </c>
      <c r="B983" s="10">
        <f t="shared" si="63"/>
        <v>0</v>
      </c>
      <c r="C983" s="12">
        <f t="shared" si="64"/>
        <v>8</v>
      </c>
      <c r="D983" s="12">
        <f t="shared" si="65"/>
        <v>8</v>
      </c>
      <c r="E983" s="20" t="s">
        <v>574</v>
      </c>
      <c r="F983" s="20" t="s">
        <v>3089</v>
      </c>
      <c r="G983" s="20" t="s">
        <v>3545</v>
      </c>
      <c r="H983" s="20" t="s">
        <v>3598</v>
      </c>
      <c r="I983" s="20">
        <v>4</v>
      </c>
      <c r="J983" s="20" t="s">
        <v>3599</v>
      </c>
      <c r="K983" s="20" t="s">
        <v>3603</v>
      </c>
      <c r="L983" s="20" t="s">
        <v>3583</v>
      </c>
      <c r="M983" s="20" t="s">
        <v>2667</v>
      </c>
      <c r="N983" s="20" t="s">
        <v>3584</v>
      </c>
      <c r="P983" s="20" t="s">
        <v>2667</v>
      </c>
      <c r="Q983" s="20" t="s">
        <v>2674</v>
      </c>
      <c r="R983" s="20" t="s">
        <v>84</v>
      </c>
      <c r="S983" s="20">
        <v>4</v>
      </c>
      <c r="T983" s="20" t="s">
        <v>674</v>
      </c>
      <c r="U983" s="20" t="s">
        <v>675</v>
      </c>
      <c r="V983" s="20" t="s">
        <v>87</v>
      </c>
      <c r="W983" s="20">
        <v>928</v>
      </c>
      <c r="X983" s="20">
        <v>928</v>
      </c>
      <c r="Y983" s="20" t="s">
        <v>3585</v>
      </c>
      <c r="Z983" s="20">
        <v>8.3333333333333329E-2</v>
      </c>
      <c r="AA983" s="20" t="s">
        <v>3604</v>
      </c>
      <c r="AB983" s="20" t="s">
        <v>89</v>
      </c>
      <c r="AC983" s="20" t="s">
        <v>90</v>
      </c>
      <c r="AD983" s="20" t="s">
        <v>3602</v>
      </c>
      <c r="AE983" s="20" t="s">
        <v>400</v>
      </c>
      <c r="AF983" s="20">
        <v>0.16666666666666666</v>
      </c>
      <c r="AG983" s="20">
        <v>0</v>
      </c>
      <c r="AH983" s="20">
        <v>1</v>
      </c>
      <c r="AI983" s="4" t="s">
        <v>645</v>
      </c>
      <c r="AJ983" s="20">
        <v>50</v>
      </c>
      <c r="AK983" s="4" t="s">
        <v>679</v>
      </c>
      <c r="AL983" s="4">
        <v>6</v>
      </c>
      <c r="AM983" s="4" t="s">
        <v>112</v>
      </c>
      <c r="AN983" s="4" t="s">
        <v>95</v>
      </c>
      <c r="AO983" s="4" t="s">
        <v>680</v>
      </c>
      <c r="AP983" s="4">
        <v>1</v>
      </c>
      <c r="AQ983" s="20">
        <v>109000</v>
      </c>
      <c r="AR983" s="4">
        <v>41855</v>
      </c>
      <c r="AS983" s="20">
        <v>22020.202020202021</v>
      </c>
      <c r="AT983" s="20">
        <v>23004.5</v>
      </c>
      <c r="AU983" s="20">
        <v>984.29797979797877</v>
      </c>
      <c r="AV983" s="20">
        <v>0</v>
      </c>
      <c r="AW983" s="20">
        <v>20</v>
      </c>
      <c r="AX983" s="20" t="s">
        <v>91</v>
      </c>
      <c r="AY983" s="20">
        <v>20</v>
      </c>
      <c r="AZ983" s="20">
        <v>19.899999999999999</v>
      </c>
      <c r="BA983" s="20">
        <v>0</v>
      </c>
      <c r="BB983" s="6">
        <v>41855</v>
      </c>
      <c r="BC983" s="6">
        <v>0</v>
      </c>
      <c r="BD983" s="6">
        <v>41862</v>
      </c>
      <c r="BE983" s="6">
        <v>0</v>
      </c>
      <c r="BF983" s="6">
        <v>41862</v>
      </c>
      <c r="BG983" s="6">
        <v>0</v>
      </c>
      <c r="BH983" s="6">
        <v>0</v>
      </c>
      <c r="BI983" s="6">
        <v>0</v>
      </c>
      <c r="BJ983" s="6">
        <v>0</v>
      </c>
      <c r="BK983" s="4">
        <v>0</v>
      </c>
      <c r="BL983" s="4">
        <v>0</v>
      </c>
      <c r="BM983" s="20">
        <v>50</v>
      </c>
      <c r="BN983" s="20">
        <v>0</v>
      </c>
      <c r="BO983" s="20">
        <v>0</v>
      </c>
      <c r="BP983" s="20">
        <v>0</v>
      </c>
      <c r="BQ983" s="20">
        <v>0</v>
      </c>
      <c r="BR983" s="20">
        <v>0</v>
      </c>
      <c r="BS983" s="20">
        <v>50</v>
      </c>
      <c r="BT983" s="20">
        <v>1150225</v>
      </c>
      <c r="BU983" s="20">
        <v>5450000</v>
      </c>
      <c r="BV983" s="20">
        <v>4.3074576318072157</v>
      </c>
    </row>
    <row r="984" spans="1:74">
      <c r="A984" s="10">
        <f t="shared" si="62"/>
        <v>0</v>
      </c>
      <c r="B984" s="10">
        <f t="shared" si="63"/>
        <v>0</v>
      </c>
      <c r="C984" s="12">
        <f t="shared" si="64"/>
        <v>8</v>
      </c>
      <c r="D984" s="12">
        <f t="shared" si="65"/>
        <v>8</v>
      </c>
      <c r="E984" s="20" t="s">
        <v>574</v>
      </c>
      <c r="F984" s="20" t="s">
        <v>3089</v>
      </c>
      <c r="G984" s="20" t="s">
        <v>3545</v>
      </c>
      <c r="H984" s="20" t="s">
        <v>3598</v>
      </c>
      <c r="I984" s="20">
        <v>4</v>
      </c>
      <c r="J984" s="20" t="s">
        <v>3599</v>
      </c>
      <c r="K984" s="20" t="s">
        <v>3605</v>
      </c>
      <c r="L984" s="20" t="s">
        <v>3583</v>
      </c>
      <c r="M984" s="20" t="s">
        <v>2667</v>
      </c>
      <c r="N984" s="20" t="s">
        <v>3584</v>
      </c>
      <c r="P984" s="20" t="s">
        <v>2667</v>
      </c>
      <c r="Q984" s="20" t="s">
        <v>2674</v>
      </c>
      <c r="R984" s="20" t="s">
        <v>84</v>
      </c>
      <c r="S984" s="20">
        <v>4</v>
      </c>
      <c r="T984" s="20" t="s">
        <v>674</v>
      </c>
      <c r="U984" s="20" t="s">
        <v>675</v>
      </c>
      <c r="V984" s="20" t="s">
        <v>87</v>
      </c>
      <c r="W984" s="20">
        <v>928</v>
      </c>
      <c r="X984" s="20">
        <v>928</v>
      </c>
      <c r="Y984" s="20" t="s">
        <v>3585</v>
      </c>
      <c r="Z984" s="20">
        <v>8.3333333333333329E-2</v>
      </c>
      <c r="AA984" s="20" t="s">
        <v>3606</v>
      </c>
      <c r="AB984" s="20" t="s">
        <v>89</v>
      </c>
      <c r="AC984" s="20" t="s">
        <v>90</v>
      </c>
      <c r="AD984" s="20" t="s">
        <v>3602</v>
      </c>
      <c r="AE984" s="20" t="s">
        <v>400</v>
      </c>
      <c r="AF984" s="20">
        <v>0.16666666666666666</v>
      </c>
      <c r="AG984" s="20">
        <v>0</v>
      </c>
      <c r="AH984" s="20">
        <v>1</v>
      </c>
      <c r="AI984" s="4" t="s">
        <v>647</v>
      </c>
      <c r="AJ984" s="20">
        <v>50</v>
      </c>
      <c r="AK984" s="4" t="s">
        <v>679</v>
      </c>
      <c r="AL984" s="4">
        <v>6</v>
      </c>
      <c r="AM984" s="4" t="s">
        <v>112</v>
      </c>
      <c r="AN984" s="4" t="s">
        <v>95</v>
      </c>
      <c r="AO984" s="4" t="s">
        <v>680</v>
      </c>
      <c r="AP984" s="4">
        <v>1</v>
      </c>
      <c r="AQ984" s="20">
        <v>109000</v>
      </c>
      <c r="AR984" s="4">
        <v>41855</v>
      </c>
      <c r="AS984" s="20">
        <v>22020.202020202021</v>
      </c>
      <c r="AT984" s="20">
        <v>23004.5</v>
      </c>
      <c r="AU984" s="20">
        <v>984.29797979797877</v>
      </c>
      <c r="AV984" s="20">
        <v>0</v>
      </c>
      <c r="AW984" s="20">
        <v>20</v>
      </c>
      <c r="AX984" s="20" t="s">
        <v>91</v>
      </c>
      <c r="AY984" s="20">
        <v>20</v>
      </c>
      <c r="AZ984" s="20">
        <v>19.899999999999999</v>
      </c>
      <c r="BA984" s="20">
        <v>0</v>
      </c>
      <c r="BB984" s="6">
        <v>41855</v>
      </c>
      <c r="BC984" s="6">
        <v>0</v>
      </c>
      <c r="BD984" s="6">
        <v>41862</v>
      </c>
      <c r="BE984" s="6">
        <v>0</v>
      </c>
      <c r="BF984" s="6">
        <v>41862</v>
      </c>
      <c r="BG984" s="6">
        <v>0</v>
      </c>
      <c r="BH984" s="6">
        <v>0</v>
      </c>
      <c r="BI984" s="6">
        <v>0</v>
      </c>
      <c r="BJ984" s="6">
        <v>0</v>
      </c>
      <c r="BK984" s="4">
        <v>0</v>
      </c>
      <c r="BL984" s="4">
        <v>0</v>
      </c>
      <c r="BM984" s="20">
        <v>50</v>
      </c>
      <c r="BN984" s="20">
        <v>0</v>
      </c>
      <c r="BO984" s="20">
        <v>0</v>
      </c>
      <c r="BP984" s="20">
        <v>0</v>
      </c>
      <c r="BQ984" s="20">
        <v>0</v>
      </c>
      <c r="BR984" s="20">
        <v>0</v>
      </c>
      <c r="BS984" s="20">
        <v>50</v>
      </c>
      <c r="BT984" s="20">
        <v>1150225</v>
      </c>
      <c r="BU984" s="20">
        <v>5450000</v>
      </c>
      <c r="BV984" s="20">
        <v>4.3074576318072157</v>
      </c>
    </row>
    <row r="985" spans="1:74">
      <c r="A985" s="10">
        <f t="shared" si="62"/>
        <v>0</v>
      </c>
      <c r="B985" s="10">
        <f t="shared" si="63"/>
        <v>0</v>
      </c>
      <c r="C985" s="12">
        <f t="shared" si="64"/>
        <v>8</v>
      </c>
      <c r="D985" s="12">
        <f t="shared" si="65"/>
        <v>8</v>
      </c>
      <c r="E985" s="20" t="s">
        <v>574</v>
      </c>
      <c r="F985" s="20" t="s">
        <v>3089</v>
      </c>
      <c r="G985" s="20" t="s">
        <v>3545</v>
      </c>
      <c r="H985" s="20" t="s">
        <v>3598</v>
      </c>
      <c r="I985" s="20">
        <v>4</v>
      </c>
      <c r="J985" s="20" t="s">
        <v>3599</v>
      </c>
      <c r="K985" s="20" t="s">
        <v>3607</v>
      </c>
      <c r="L985" s="20" t="s">
        <v>3583</v>
      </c>
      <c r="M985" s="20" t="s">
        <v>2667</v>
      </c>
      <c r="N985" s="20" t="s">
        <v>3584</v>
      </c>
      <c r="P985" s="20" t="s">
        <v>2667</v>
      </c>
      <c r="Q985" s="20" t="s">
        <v>2674</v>
      </c>
      <c r="R985" s="20" t="s">
        <v>84</v>
      </c>
      <c r="S985" s="20">
        <v>4</v>
      </c>
      <c r="T985" s="20" t="s">
        <v>674</v>
      </c>
      <c r="U985" s="20" t="s">
        <v>675</v>
      </c>
      <c r="V985" s="20" t="s">
        <v>87</v>
      </c>
      <c r="W985" s="20">
        <v>928</v>
      </c>
      <c r="X985" s="20">
        <v>928</v>
      </c>
      <c r="Y985" s="20" t="s">
        <v>3585</v>
      </c>
      <c r="Z985" s="20">
        <v>8.3333333333333329E-2</v>
      </c>
      <c r="AA985" s="20" t="s">
        <v>3608</v>
      </c>
      <c r="AB985" s="20" t="s">
        <v>89</v>
      </c>
      <c r="AC985" s="20" t="s">
        <v>90</v>
      </c>
      <c r="AD985" s="20" t="s">
        <v>3602</v>
      </c>
      <c r="AE985" s="20" t="s">
        <v>400</v>
      </c>
      <c r="AF985" s="20">
        <v>0.16666666666666666</v>
      </c>
      <c r="AG985" s="20">
        <v>0</v>
      </c>
      <c r="AH985" s="20">
        <v>1</v>
      </c>
      <c r="AI985" s="4" t="s">
        <v>649</v>
      </c>
      <c r="AJ985" s="20">
        <v>50</v>
      </c>
      <c r="AK985" s="4" t="s">
        <v>679</v>
      </c>
      <c r="AL985" s="4">
        <v>6</v>
      </c>
      <c r="AM985" s="4" t="s">
        <v>112</v>
      </c>
      <c r="AN985" s="4" t="s">
        <v>95</v>
      </c>
      <c r="AO985" s="4" t="s">
        <v>680</v>
      </c>
      <c r="AP985" s="4">
        <v>1</v>
      </c>
      <c r="AQ985" s="20">
        <v>109000</v>
      </c>
      <c r="AR985" s="4">
        <v>41855</v>
      </c>
      <c r="AS985" s="20">
        <v>22020.202020202021</v>
      </c>
      <c r="AT985" s="20">
        <v>23004.5</v>
      </c>
      <c r="AU985" s="20">
        <v>984.29797979797877</v>
      </c>
      <c r="AV985" s="20">
        <v>0</v>
      </c>
      <c r="AW985" s="20">
        <v>20</v>
      </c>
      <c r="AX985" s="20" t="s">
        <v>91</v>
      </c>
      <c r="AY985" s="20">
        <v>20</v>
      </c>
      <c r="AZ985" s="20">
        <v>19.899999999999999</v>
      </c>
      <c r="BA985" s="20">
        <v>0</v>
      </c>
      <c r="BB985" s="6">
        <v>41855</v>
      </c>
      <c r="BC985" s="6">
        <v>0</v>
      </c>
      <c r="BD985" s="6">
        <v>41862</v>
      </c>
      <c r="BE985" s="6">
        <v>0</v>
      </c>
      <c r="BF985" s="6">
        <v>41862</v>
      </c>
      <c r="BG985" s="6">
        <v>0</v>
      </c>
      <c r="BH985" s="6">
        <v>0</v>
      </c>
      <c r="BI985" s="6">
        <v>0</v>
      </c>
      <c r="BJ985" s="6">
        <v>0</v>
      </c>
      <c r="BK985" s="4">
        <v>0</v>
      </c>
      <c r="BL985" s="4">
        <v>0</v>
      </c>
      <c r="BM985" s="20">
        <v>50</v>
      </c>
      <c r="BN985" s="20">
        <v>0</v>
      </c>
      <c r="BO985" s="20">
        <v>0</v>
      </c>
      <c r="BP985" s="20">
        <v>0</v>
      </c>
      <c r="BQ985" s="20">
        <v>0</v>
      </c>
      <c r="BR985" s="20">
        <v>0</v>
      </c>
      <c r="BS985" s="20">
        <v>50</v>
      </c>
      <c r="BT985" s="20">
        <v>1150225</v>
      </c>
      <c r="BU985" s="20">
        <v>5450000</v>
      </c>
      <c r="BV985" s="20">
        <v>4.3074576318072157</v>
      </c>
    </row>
    <row r="986" spans="1:74">
      <c r="A986" s="10">
        <f t="shared" si="62"/>
        <v>0</v>
      </c>
      <c r="B986" s="10">
        <f t="shared" si="63"/>
        <v>0</v>
      </c>
      <c r="C986" s="12">
        <f t="shared" si="64"/>
        <v>8</v>
      </c>
      <c r="D986" s="12">
        <f t="shared" si="65"/>
        <v>8</v>
      </c>
      <c r="E986" s="20" t="s">
        <v>574</v>
      </c>
      <c r="F986" s="20" t="s">
        <v>3089</v>
      </c>
      <c r="G986" s="20" t="s">
        <v>3545</v>
      </c>
      <c r="H986" s="20" t="s">
        <v>3598</v>
      </c>
      <c r="I986" s="20">
        <v>4</v>
      </c>
      <c r="J986" s="20" t="s">
        <v>3599</v>
      </c>
      <c r="K986" s="20" t="s">
        <v>3609</v>
      </c>
      <c r="L986" s="20" t="s">
        <v>3583</v>
      </c>
      <c r="M986" s="20" t="s">
        <v>2667</v>
      </c>
      <c r="N986" s="20" t="s">
        <v>3584</v>
      </c>
      <c r="P986" s="20" t="s">
        <v>2667</v>
      </c>
      <c r="Q986" s="20" t="s">
        <v>2674</v>
      </c>
      <c r="R986" s="20" t="s">
        <v>84</v>
      </c>
      <c r="S986" s="20">
        <v>4</v>
      </c>
      <c r="T986" s="20" t="s">
        <v>674</v>
      </c>
      <c r="U986" s="20" t="s">
        <v>675</v>
      </c>
      <c r="V986" s="20" t="s">
        <v>87</v>
      </c>
      <c r="W986" s="20">
        <v>928</v>
      </c>
      <c r="X986" s="20">
        <v>928</v>
      </c>
      <c r="Y986" s="20" t="s">
        <v>3585</v>
      </c>
      <c r="Z986" s="20">
        <v>8.3333333333333329E-2</v>
      </c>
      <c r="AA986" s="20" t="s">
        <v>3610</v>
      </c>
      <c r="AB986" s="20" t="s">
        <v>89</v>
      </c>
      <c r="AC986" s="20" t="s">
        <v>90</v>
      </c>
      <c r="AD986" s="20" t="s">
        <v>3602</v>
      </c>
      <c r="AE986" s="20" t="s">
        <v>400</v>
      </c>
      <c r="AF986" s="20">
        <v>0.16666666666666666</v>
      </c>
      <c r="AG986" s="20">
        <v>0</v>
      </c>
      <c r="AH986" s="20">
        <v>1</v>
      </c>
      <c r="AI986" s="4" t="s">
        <v>651</v>
      </c>
      <c r="AJ986" s="20">
        <v>50</v>
      </c>
      <c r="AK986" s="4" t="s">
        <v>679</v>
      </c>
      <c r="AL986" s="4">
        <v>6</v>
      </c>
      <c r="AM986" s="4" t="s">
        <v>112</v>
      </c>
      <c r="AN986" s="4" t="s">
        <v>95</v>
      </c>
      <c r="AO986" s="4" t="s">
        <v>680</v>
      </c>
      <c r="AP986" s="4">
        <v>1</v>
      </c>
      <c r="AQ986" s="20">
        <v>109000</v>
      </c>
      <c r="AR986" s="4">
        <v>41855</v>
      </c>
      <c r="AS986" s="20">
        <v>22020.202020202021</v>
      </c>
      <c r="AT986" s="20">
        <v>23004.5</v>
      </c>
      <c r="AU986" s="20">
        <v>984.29797979797877</v>
      </c>
      <c r="AV986" s="20">
        <v>0</v>
      </c>
      <c r="AW986" s="20">
        <v>20</v>
      </c>
      <c r="AX986" s="20" t="s">
        <v>91</v>
      </c>
      <c r="AY986" s="20">
        <v>20</v>
      </c>
      <c r="AZ986" s="20">
        <v>19.899999999999999</v>
      </c>
      <c r="BA986" s="20">
        <v>0</v>
      </c>
      <c r="BB986" s="6">
        <v>41855</v>
      </c>
      <c r="BC986" s="6">
        <v>0</v>
      </c>
      <c r="BD986" s="6">
        <v>41862</v>
      </c>
      <c r="BE986" s="6">
        <v>0</v>
      </c>
      <c r="BF986" s="6">
        <v>41862</v>
      </c>
      <c r="BG986" s="6">
        <v>0</v>
      </c>
      <c r="BH986" s="6">
        <v>0</v>
      </c>
      <c r="BI986" s="6">
        <v>0</v>
      </c>
      <c r="BJ986" s="6">
        <v>0</v>
      </c>
      <c r="BK986" s="4">
        <v>0</v>
      </c>
      <c r="BL986" s="4">
        <v>0</v>
      </c>
      <c r="BM986" s="20">
        <v>50</v>
      </c>
      <c r="BN986" s="20">
        <v>0</v>
      </c>
      <c r="BO986" s="20">
        <v>0</v>
      </c>
      <c r="BP986" s="20">
        <v>0</v>
      </c>
      <c r="BQ986" s="20">
        <v>0</v>
      </c>
      <c r="BR986" s="20">
        <v>0</v>
      </c>
      <c r="BS986" s="20">
        <v>50</v>
      </c>
      <c r="BT986" s="20">
        <v>1150225</v>
      </c>
      <c r="BU986" s="20">
        <v>5450000</v>
      </c>
      <c r="BV986" s="20">
        <v>4.3074576318072157</v>
      </c>
    </row>
    <row r="987" spans="1:74">
      <c r="A987" s="10">
        <f t="shared" si="62"/>
        <v>0</v>
      </c>
      <c r="B987" s="10">
        <f t="shared" si="63"/>
        <v>0</v>
      </c>
      <c r="C987" s="12">
        <f t="shared" si="64"/>
        <v>8</v>
      </c>
      <c r="D987" s="12">
        <f t="shared" si="65"/>
        <v>8</v>
      </c>
      <c r="E987" s="20" t="s">
        <v>574</v>
      </c>
      <c r="F987" s="20" t="s">
        <v>3089</v>
      </c>
      <c r="G987" s="20" t="s">
        <v>3545</v>
      </c>
      <c r="H987" s="20" t="s">
        <v>3598</v>
      </c>
      <c r="I987" s="20">
        <v>4</v>
      </c>
      <c r="J987" s="20" t="s">
        <v>3599</v>
      </c>
      <c r="K987" s="20" t="s">
        <v>3611</v>
      </c>
      <c r="L987" s="20" t="s">
        <v>3583</v>
      </c>
      <c r="M987" s="20" t="s">
        <v>2667</v>
      </c>
      <c r="N987" s="20" t="s">
        <v>3584</v>
      </c>
      <c r="P987" s="20" t="s">
        <v>2667</v>
      </c>
      <c r="Q987" s="20" t="s">
        <v>2674</v>
      </c>
      <c r="R987" s="20" t="s">
        <v>84</v>
      </c>
      <c r="S987" s="20">
        <v>4</v>
      </c>
      <c r="T987" s="20" t="s">
        <v>674</v>
      </c>
      <c r="U987" s="20" t="s">
        <v>675</v>
      </c>
      <c r="V987" s="20" t="s">
        <v>87</v>
      </c>
      <c r="W987" s="20">
        <v>928</v>
      </c>
      <c r="X987" s="20">
        <v>928</v>
      </c>
      <c r="Y987" s="20" t="s">
        <v>3585</v>
      </c>
      <c r="Z987" s="20">
        <v>8.3333333333333329E-2</v>
      </c>
      <c r="AA987" s="20" t="s">
        <v>3612</v>
      </c>
      <c r="AB987" s="20" t="s">
        <v>89</v>
      </c>
      <c r="AC987" s="20" t="s">
        <v>90</v>
      </c>
      <c r="AD987" s="20" t="s">
        <v>3602</v>
      </c>
      <c r="AE987" s="20" t="s">
        <v>400</v>
      </c>
      <c r="AF987" s="20">
        <v>0.16666666666666666</v>
      </c>
      <c r="AG987" s="20">
        <v>0</v>
      </c>
      <c r="AH987" s="20">
        <v>1</v>
      </c>
      <c r="AI987" s="4" t="s">
        <v>640</v>
      </c>
      <c r="AJ987" s="20">
        <v>50</v>
      </c>
      <c r="AK987" s="4" t="s">
        <v>679</v>
      </c>
      <c r="AL987" s="4">
        <v>6</v>
      </c>
      <c r="AM987" s="4" t="s">
        <v>112</v>
      </c>
      <c r="AN987" s="4" t="s">
        <v>95</v>
      </c>
      <c r="AO987" s="4" t="s">
        <v>680</v>
      </c>
      <c r="AP987" s="4">
        <v>1</v>
      </c>
      <c r="AQ987" s="20">
        <v>109000</v>
      </c>
      <c r="AR987" s="4">
        <v>41855</v>
      </c>
      <c r="AS987" s="20">
        <v>22020.202020202021</v>
      </c>
      <c r="AT987" s="20">
        <v>23004.5</v>
      </c>
      <c r="AU987" s="20">
        <v>984.29797979797877</v>
      </c>
      <c r="AV987" s="20">
        <v>0</v>
      </c>
      <c r="AW987" s="20">
        <v>20</v>
      </c>
      <c r="AX987" s="20" t="s">
        <v>91</v>
      </c>
      <c r="AY987" s="20">
        <v>20</v>
      </c>
      <c r="AZ987" s="20">
        <v>19.899999999999999</v>
      </c>
      <c r="BA987" s="20">
        <v>0</v>
      </c>
      <c r="BB987" s="6">
        <v>41855</v>
      </c>
      <c r="BC987" s="6">
        <v>0</v>
      </c>
      <c r="BD987" s="6">
        <v>41862</v>
      </c>
      <c r="BE987" s="6">
        <v>0</v>
      </c>
      <c r="BF987" s="6">
        <v>41862</v>
      </c>
      <c r="BG987" s="6">
        <v>0</v>
      </c>
      <c r="BH987" s="6">
        <v>0</v>
      </c>
      <c r="BI987" s="6">
        <v>0</v>
      </c>
      <c r="BJ987" s="6">
        <v>0</v>
      </c>
      <c r="BK987" s="4">
        <v>0</v>
      </c>
      <c r="BL987" s="4">
        <v>0</v>
      </c>
      <c r="BM987" s="20">
        <v>50</v>
      </c>
      <c r="BN987" s="20">
        <v>0</v>
      </c>
      <c r="BO987" s="20">
        <v>0</v>
      </c>
      <c r="BP987" s="20">
        <v>0</v>
      </c>
      <c r="BQ987" s="20">
        <v>0</v>
      </c>
      <c r="BR987" s="20">
        <v>0</v>
      </c>
      <c r="BS987" s="20">
        <v>50</v>
      </c>
      <c r="BT987" s="20">
        <v>1150225</v>
      </c>
      <c r="BU987" s="20">
        <v>5450000</v>
      </c>
      <c r="BV987" s="20">
        <v>4.3074576318072157</v>
      </c>
    </row>
    <row r="988" spans="1:74">
      <c r="A988" s="10">
        <f t="shared" si="62"/>
        <v>0</v>
      </c>
      <c r="B988" s="10">
        <f t="shared" si="63"/>
        <v>0</v>
      </c>
      <c r="C988" s="12">
        <f t="shared" si="64"/>
        <v>8</v>
      </c>
      <c r="D988" s="12">
        <f t="shared" si="65"/>
        <v>8</v>
      </c>
      <c r="E988" s="20" t="s">
        <v>574</v>
      </c>
      <c r="F988" s="20" t="s">
        <v>3089</v>
      </c>
      <c r="G988" s="20" t="s">
        <v>3545</v>
      </c>
      <c r="H988" s="20" t="s">
        <v>3613</v>
      </c>
      <c r="I988" s="20">
        <v>5</v>
      </c>
      <c r="J988" s="20" t="s">
        <v>3614</v>
      </c>
      <c r="K988" s="20" t="s">
        <v>3615</v>
      </c>
      <c r="L988" s="20" t="s">
        <v>3616</v>
      </c>
      <c r="M988" s="20" t="s">
        <v>2667</v>
      </c>
      <c r="N988" s="20" t="s">
        <v>3617</v>
      </c>
      <c r="P988" s="20" t="s">
        <v>2667</v>
      </c>
      <c r="Q988" s="20" t="s">
        <v>2674</v>
      </c>
      <c r="R988" s="20" t="s">
        <v>84</v>
      </c>
      <c r="S988" s="20">
        <v>4</v>
      </c>
      <c r="T988" s="20" t="s">
        <v>3160</v>
      </c>
      <c r="U988" s="20" t="s">
        <v>3161</v>
      </c>
      <c r="V988" s="20" t="s">
        <v>87</v>
      </c>
      <c r="W988" s="20">
        <v>949</v>
      </c>
      <c r="X988" s="20">
        <v>949</v>
      </c>
      <c r="Y988" s="20" t="s">
        <v>3618</v>
      </c>
      <c r="Z988" s="20">
        <v>0.16666666666666666</v>
      </c>
      <c r="AA988" s="20" t="s">
        <v>3619</v>
      </c>
      <c r="AB988" s="20" t="s">
        <v>176</v>
      </c>
      <c r="AC988" s="20" t="s">
        <v>177</v>
      </c>
      <c r="AD988" s="20" t="s">
        <v>3620</v>
      </c>
      <c r="AE988" s="20" t="s">
        <v>400</v>
      </c>
      <c r="AF988" s="20">
        <v>0.16666666666666666</v>
      </c>
      <c r="AG988" s="20">
        <v>0</v>
      </c>
      <c r="AH988" s="20">
        <v>1</v>
      </c>
      <c r="AI988" s="4" t="s">
        <v>643</v>
      </c>
      <c r="AJ988" s="20">
        <v>50</v>
      </c>
      <c r="AK988" s="4" t="s">
        <v>679</v>
      </c>
      <c r="AL988" s="4">
        <v>6</v>
      </c>
      <c r="AM988" s="4" t="s">
        <v>112</v>
      </c>
      <c r="AN988" s="4" t="s">
        <v>95</v>
      </c>
      <c r="AO988" s="4" t="s">
        <v>680</v>
      </c>
      <c r="AP988" s="4">
        <v>1</v>
      </c>
      <c r="AQ988" s="20">
        <v>79000</v>
      </c>
      <c r="AR988" s="4">
        <v>41855</v>
      </c>
      <c r="AS988" s="20">
        <v>15959.595959595958</v>
      </c>
      <c r="AT988" s="20">
        <v>19655</v>
      </c>
      <c r="AU988" s="20">
        <v>3695.4040404040425</v>
      </c>
      <c r="AV988" s="20">
        <v>0</v>
      </c>
      <c r="AW988" s="20">
        <v>20</v>
      </c>
      <c r="AX988" s="20" t="s">
        <v>91</v>
      </c>
      <c r="AY988" s="20">
        <v>20</v>
      </c>
      <c r="AZ988" s="20">
        <v>17</v>
      </c>
      <c r="BA988" s="20">
        <v>0</v>
      </c>
      <c r="BB988" s="6">
        <v>41855</v>
      </c>
      <c r="BC988" s="6">
        <v>0</v>
      </c>
      <c r="BD988" s="6">
        <v>41862</v>
      </c>
      <c r="BE988" s="6">
        <v>0</v>
      </c>
      <c r="BF988" s="6">
        <v>41862</v>
      </c>
      <c r="BG988" s="6">
        <v>0</v>
      </c>
      <c r="BH988" s="6">
        <v>0</v>
      </c>
      <c r="BI988" s="6">
        <v>0</v>
      </c>
      <c r="BJ988" s="6">
        <v>0</v>
      </c>
      <c r="BK988" s="4">
        <v>0</v>
      </c>
      <c r="BL988" s="4">
        <v>0</v>
      </c>
      <c r="BM988" s="20">
        <v>50</v>
      </c>
      <c r="BN988" s="20">
        <v>0</v>
      </c>
      <c r="BO988" s="20">
        <v>0</v>
      </c>
      <c r="BP988" s="20">
        <v>0</v>
      </c>
      <c r="BQ988" s="20">
        <v>0</v>
      </c>
      <c r="BR988" s="20">
        <v>0</v>
      </c>
      <c r="BS988" s="20">
        <v>50</v>
      </c>
      <c r="BT988" s="20">
        <v>982750</v>
      </c>
      <c r="BU988" s="20">
        <v>3950000</v>
      </c>
      <c r="BV988" s="20">
        <v>3.6539395481140584</v>
      </c>
    </row>
    <row r="989" spans="1:74">
      <c r="A989" s="10">
        <f t="shared" si="62"/>
        <v>0</v>
      </c>
      <c r="B989" s="10">
        <f t="shared" si="63"/>
        <v>0</v>
      </c>
      <c r="C989" s="12">
        <f t="shared" si="64"/>
        <v>8</v>
      </c>
      <c r="D989" s="12">
        <f t="shared" si="65"/>
        <v>8</v>
      </c>
      <c r="E989" s="20" t="s">
        <v>574</v>
      </c>
      <c r="F989" s="20" t="s">
        <v>3089</v>
      </c>
      <c r="G989" s="20" t="s">
        <v>3545</v>
      </c>
      <c r="H989" s="20" t="s">
        <v>3613</v>
      </c>
      <c r="I989" s="20">
        <v>5</v>
      </c>
      <c r="J989" s="20" t="s">
        <v>3614</v>
      </c>
      <c r="K989" s="20" t="s">
        <v>3621</v>
      </c>
      <c r="L989" s="20" t="s">
        <v>3616</v>
      </c>
      <c r="M989" s="20" t="s">
        <v>2667</v>
      </c>
      <c r="N989" s="20" t="s">
        <v>3617</v>
      </c>
      <c r="P989" s="20" t="s">
        <v>2667</v>
      </c>
      <c r="Q989" s="20" t="s">
        <v>2674</v>
      </c>
      <c r="R989" s="20" t="s">
        <v>84</v>
      </c>
      <c r="S989" s="20">
        <v>4</v>
      </c>
      <c r="T989" s="20" t="s">
        <v>3160</v>
      </c>
      <c r="U989" s="20" t="s">
        <v>3161</v>
      </c>
      <c r="V989" s="20" t="s">
        <v>87</v>
      </c>
      <c r="W989" s="20">
        <v>949</v>
      </c>
      <c r="X989" s="20">
        <v>949</v>
      </c>
      <c r="Y989" s="20" t="s">
        <v>3618</v>
      </c>
      <c r="Z989" s="20">
        <v>0.16666666666666666</v>
      </c>
      <c r="AA989" s="20" t="s">
        <v>3622</v>
      </c>
      <c r="AB989" s="20" t="s">
        <v>176</v>
      </c>
      <c r="AC989" s="20" t="s">
        <v>177</v>
      </c>
      <c r="AD989" s="20" t="s">
        <v>3620</v>
      </c>
      <c r="AE989" s="20" t="s">
        <v>400</v>
      </c>
      <c r="AF989" s="20">
        <v>0.16666666666666666</v>
      </c>
      <c r="AG989" s="20">
        <v>0</v>
      </c>
      <c r="AH989" s="20">
        <v>1</v>
      </c>
      <c r="AI989" s="4" t="s">
        <v>645</v>
      </c>
      <c r="AJ989" s="20">
        <v>50</v>
      </c>
      <c r="AK989" s="4" t="s">
        <v>679</v>
      </c>
      <c r="AL989" s="4">
        <v>6</v>
      </c>
      <c r="AM989" s="4" t="s">
        <v>112</v>
      </c>
      <c r="AN989" s="4" t="s">
        <v>95</v>
      </c>
      <c r="AO989" s="4" t="s">
        <v>680</v>
      </c>
      <c r="AP989" s="4">
        <v>1</v>
      </c>
      <c r="AQ989" s="20">
        <v>79000</v>
      </c>
      <c r="AR989" s="4">
        <v>41855</v>
      </c>
      <c r="AS989" s="20">
        <v>15959.595959595958</v>
      </c>
      <c r="AT989" s="20">
        <v>19655</v>
      </c>
      <c r="AU989" s="20">
        <v>3695.4040404040425</v>
      </c>
      <c r="AV989" s="20">
        <v>0</v>
      </c>
      <c r="AW989" s="20">
        <v>20</v>
      </c>
      <c r="AX989" s="20" t="s">
        <v>91</v>
      </c>
      <c r="AY989" s="20">
        <v>20</v>
      </c>
      <c r="AZ989" s="20">
        <v>17</v>
      </c>
      <c r="BA989" s="20">
        <v>0</v>
      </c>
      <c r="BB989" s="6">
        <v>41855</v>
      </c>
      <c r="BC989" s="6">
        <v>0</v>
      </c>
      <c r="BD989" s="6">
        <v>41862</v>
      </c>
      <c r="BE989" s="6">
        <v>0</v>
      </c>
      <c r="BF989" s="6">
        <v>41862</v>
      </c>
      <c r="BG989" s="6">
        <v>0</v>
      </c>
      <c r="BH989" s="6">
        <v>0</v>
      </c>
      <c r="BI989" s="6">
        <v>0</v>
      </c>
      <c r="BJ989" s="6">
        <v>0</v>
      </c>
      <c r="BK989" s="4">
        <v>0</v>
      </c>
      <c r="BL989" s="4">
        <v>0</v>
      </c>
      <c r="BM989" s="20">
        <v>50</v>
      </c>
      <c r="BN989" s="20">
        <v>0</v>
      </c>
      <c r="BO989" s="20">
        <v>0</v>
      </c>
      <c r="BP989" s="20">
        <v>0</v>
      </c>
      <c r="BQ989" s="20">
        <v>0</v>
      </c>
      <c r="BR989" s="20">
        <v>0</v>
      </c>
      <c r="BS989" s="20">
        <v>50</v>
      </c>
      <c r="BT989" s="20">
        <v>982750</v>
      </c>
      <c r="BU989" s="20">
        <v>3950000</v>
      </c>
      <c r="BV989" s="20">
        <v>3.6539395481140584</v>
      </c>
    </row>
    <row r="990" spans="1:74">
      <c r="A990" s="10">
        <f t="shared" si="62"/>
        <v>0</v>
      </c>
      <c r="B990" s="10">
        <f t="shared" si="63"/>
        <v>0</v>
      </c>
      <c r="C990" s="12">
        <f t="shared" si="64"/>
        <v>8</v>
      </c>
      <c r="D990" s="12">
        <f t="shared" si="65"/>
        <v>8</v>
      </c>
      <c r="E990" s="20" t="s">
        <v>574</v>
      </c>
      <c r="F990" s="20" t="s">
        <v>3089</v>
      </c>
      <c r="G990" s="20" t="s">
        <v>3545</v>
      </c>
      <c r="H990" s="20" t="s">
        <v>3613</v>
      </c>
      <c r="I990" s="20">
        <v>5</v>
      </c>
      <c r="J990" s="20" t="s">
        <v>3614</v>
      </c>
      <c r="K990" s="20" t="s">
        <v>3623</v>
      </c>
      <c r="L990" s="20" t="s">
        <v>3616</v>
      </c>
      <c r="M990" s="20" t="s">
        <v>2667</v>
      </c>
      <c r="N990" s="20" t="s">
        <v>3617</v>
      </c>
      <c r="P990" s="20" t="s">
        <v>2667</v>
      </c>
      <c r="Q990" s="20" t="s">
        <v>2674</v>
      </c>
      <c r="R990" s="20" t="s">
        <v>84</v>
      </c>
      <c r="S990" s="20">
        <v>4</v>
      </c>
      <c r="T990" s="20" t="s">
        <v>3160</v>
      </c>
      <c r="U990" s="20" t="s">
        <v>3161</v>
      </c>
      <c r="V990" s="20" t="s">
        <v>87</v>
      </c>
      <c r="W990" s="20">
        <v>949</v>
      </c>
      <c r="X990" s="20">
        <v>949</v>
      </c>
      <c r="Y990" s="20" t="s">
        <v>3618</v>
      </c>
      <c r="Z990" s="20">
        <v>0.16666666666666666</v>
      </c>
      <c r="AA990" s="20" t="s">
        <v>3624</v>
      </c>
      <c r="AB990" s="20" t="s">
        <v>176</v>
      </c>
      <c r="AC990" s="20" t="s">
        <v>177</v>
      </c>
      <c r="AD990" s="20" t="s">
        <v>3620</v>
      </c>
      <c r="AE990" s="20" t="s">
        <v>400</v>
      </c>
      <c r="AF990" s="20">
        <v>0.16666666666666666</v>
      </c>
      <c r="AG990" s="20">
        <v>0</v>
      </c>
      <c r="AH990" s="20">
        <v>1</v>
      </c>
      <c r="AI990" s="4" t="s">
        <v>647</v>
      </c>
      <c r="AJ990" s="20">
        <v>50</v>
      </c>
      <c r="AK990" s="4" t="s">
        <v>679</v>
      </c>
      <c r="AL990" s="4">
        <v>6</v>
      </c>
      <c r="AM990" s="4" t="s">
        <v>112</v>
      </c>
      <c r="AN990" s="4" t="s">
        <v>95</v>
      </c>
      <c r="AO990" s="4" t="s">
        <v>680</v>
      </c>
      <c r="AP990" s="4">
        <v>1</v>
      </c>
      <c r="AQ990" s="20">
        <v>79000</v>
      </c>
      <c r="AR990" s="4">
        <v>41855</v>
      </c>
      <c r="AS990" s="20">
        <v>15959.595959595958</v>
      </c>
      <c r="AT990" s="20">
        <v>19655</v>
      </c>
      <c r="AU990" s="20">
        <v>3695.4040404040425</v>
      </c>
      <c r="AV990" s="20">
        <v>0</v>
      </c>
      <c r="AW990" s="20">
        <v>20</v>
      </c>
      <c r="AX990" s="20" t="s">
        <v>91</v>
      </c>
      <c r="AY990" s="20">
        <v>20</v>
      </c>
      <c r="AZ990" s="20">
        <v>17</v>
      </c>
      <c r="BA990" s="20">
        <v>0</v>
      </c>
      <c r="BB990" s="6">
        <v>41855</v>
      </c>
      <c r="BC990" s="6">
        <v>0</v>
      </c>
      <c r="BD990" s="6">
        <v>41862</v>
      </c>
      <c r="BE990" s="6">
        <v>0</v>
      </c>
      <c r="BF990" s="6">
        <v>41862</v>
      </c>
      <c r="BG990" s="6">
        <v>0</v>
      </c>
      <c r="BH990" s="6">
        <v>0</v>
      </c>
      <c r="BI990" s="6">
        <v>0</v>
      </c>
      <c r="BJ990" s="6">
        <v>0</v>
      </c>
      <c r="BK990" s="4">
        <v>0</v>
      </c>
      <c r="BL990" s="4">
        <v>0</v>
      </c>
      <c r="BM990" s="20">
        <v>50</v>
      </c>
      <c r="BN990" s="20">
        <v>0</v>
      </c>
      <c r="BO990" s="20">
        <v>0</v>
      </c>
      <c r="BP990" s="20">
        <v>0</v>
      </c>
      <c r="BQ990" s="20">
        <v>0</v>
      </c>
      <c r="BR990" s="20">
        <v>0</v>
      </c>
      <c r="BS990" s="20">
        <v>50</v>
      </c>
      <c r="BT990" s="20">
        <v>982750</v>
      </c>
      <c r="BU990" s="20">
        <v>3950000</v>
      </c>
      <c r="BV990" s="20">
        <v>3.6539395481140584</v>
      </c>
    </row>
    <row r="991" spans="1:74">
      <c r="A991" s="10">
        <f t="shared" si="62"/>
        <v>0</v>
      </c>
      <c r="B991" s="10">
        <f t="shared" si="63"/>
        <v>0</v>
      </c>
      <c r="C991" s="12">
        <f t="shared" si="64"/>
        <v>8</v>
      </c>
      <c r="D991" s="12">
        <f t="shared" si="65"/>
        <v>8</v>
      </c>
      <c r="E991" s="20" t="s">
        <v>574</v>
      </c>
      <c r="F991" s="20" t="s">
        <v>3089</v>
      </c>
      <c r="G991" s="20" t="s">
        <v>3545</v>
      </c>
      <c r="H991" s="20" t="s">
        <v>3613</v>
      </c>
      <c r="I991" s="20">
        <v>5</v>
      </c>
      <c r="J991" s="20" t="s">
        <v>3614</v>
      </c>
      <c r="K991" s="20" t="s">
        <v>3625</v>
      </c>
      <c r="L991" s="20" t="s">
        <v>3616</v>
      </c>
      <c r="M991" s="20" t="s">
        <v>2667</v>
      </c>
      <c r="N991" s="20" t="s">
        <v>3617</v>
      </c>
      <c r="P991" s="20" t="s">
        <v>2667</v>
      </c>
      <c r="Q991" s="20" t="s">
        <v>2674</v>
      </c>
      <c r="R991" s="20" t="s">
        <v>84</v>
      </c>
      <c r="S991" s="20">
        <v>4</v>
      </c>
      <c r="T991" s="20" t="s">
        <v>3160</v>
      </c>
      <c r="U991" s="20" t="s">
        <v>3161</v>
      </c>
      <c r="V991" s="20" t="s">
        <v>87</v>
      </c>
      <c r="W991" s="20">
        <v>949</v>
      </c>
      <c r="X991" s="20">
        <v>949</v>
      </c>
      <c r="Y991" s="20" t="s">
        <v>3618</v>
      </c>
      <c r="Z991" s="20">
        <v>0.16666666666666666</v>
      </c>
      <c r="AA991" s="20" t="s">
        <v>3626</v>
      </c>
      <c r="AB991" s="20" t="s">
        <v>176</v>
      </c>
      <c r="AC991" s="20" t="s">
        <v>177</v>
      </c>
      <c r="AD991" s="20" t="s">
        <v>3620</v>
      </c>
      <c r="AE991" s="20" t="s">
        <v>400</v>
      </c>
      <c r="AF991" s="20">
        <v>0.16666666666666666</v>
      </c>
      <c r="AG991" s="20">
        <v>0</v>
      </c>
      <c r="AH991" s="20">
        <v>1</v>
      </c>
      <c r="AI991" s="4" t="s">
        <v>649</v>
      </c>
      <c r="AJ991" s="20">
        <v>50</v>
      </c>
      <c r="AK991" s="4" t="s">
        <v>679</v>
      </c>
      <c r="AL991" s="4">
        <v>6</v>
      </c>
      <c r="AM991" s="4" t="s">
        <v>112</v>
      </c>
      <c r="AN991" s="4" t="s">
        <v>95</v>
      </c>
      <c r="AO991" s="4" t="s">
        <v>680</v>
      </c>
      <c r="AP991" s="4">
        <v>1</v>
      </c>
      <c r="AQ991" s="20">
        <v>79000</v>
      </c>
      <c r="AR991" s="4">
        <v>41855</v>
      </c>
      <c r="AS991" s="20">
        <v>15959.595959595958</v>
      </c>
      <c r="AT991" s="20">
        <v>19655</v>
      </c>
      <c r="AU991" s="20">
        <v>3695.4040404040425</v>
      </c>
      <c r="AV991" s="20">
        <v>0</v>
      </c>
      <c r="AW991" s="20">
        <v>20</v>
      </c>
      <c r="AX991" s="20" t="s">
        <v>91</v>
      </c>
      <c r="AY991" s="20">
        <v>20</v>
      </c>
      <c r="AZ991" s="20">
        <v>17</v>
      </c>
      <c r="BA991" s="20">
        <v>0</v>
      </c>
      <c r="BB991" s="6">
        <v>41855</v>
      </c>
      <c r="BC991" s="6">
        <v>0</v>
      </c>
      <c r="BD991" s="6">
        <v>41862</v>
      </c>
      <c r="BE991" s="6">
        <v>0</v>
      </c>
      <c r="BF991" s="6">
        <v>41862</v>
      </c>
      <c r="BG991" s="6">
        <v>0</v>
      </c>
      <c r="BH991" s="6">
        <v>0</v>
      </c>
      <c r="BI991" s="6">
        <v>0</v>
      </c>
      <c r="BJ991" s="6">
        <v>0</v>
      </c>
      <c r="BK991" s="4">
        <v>0</v>
      </c>
      <c r="BL991" s="4">
        <v>0</v>
      </c>
      <c r="BM991" s="20">
        <v>50</v>
      </c>
      <c r="BN991" s="20">
        <v>0</v>
      </c>
      <c r="BO991" s="20">
        <v>0</v>
      </c>
      <c r="BP991" s="20">
        <v>0</v>
      </c>
      <c r="BQ991" s="20">
        <v>0</v>
      </c>
      <c r="BR991" s="20">
        <v>0</v>
      </c>
      <c r="BS991" s="20">
        <v>50</v>
      </c>
      <c r="BT991" s="20">
        <v>982750</v>
      </c>
      <c r="BU991" s="20">
        <v>3950000</v>
      </c>
      <c r="BV991" s="20">
        <v>3.6539395481140584</v>
      </c>
    </row>
    <row r="992" spans="1:74">
      <c r="A992" s="10">
        <f t="shared" si="62"/>
        <v>0</v>
      </c>
      <c r="B992" s="10">
        <f t="shared" si="63"/>
        <v>0</v>
      </c>
      <c r="C992" s="12">
        <f t="shared" si="64"/>
        <v>8</v>
      </c>
      <c r="D992" s="12">
        <f t="shared" si="65"/>
        <v>8</v>
      </c>
      <c r="E992" s="20" t="s">
        <v>574</v>
      </c>
      <c r="F992" s="20" t="s">
        <v>3089</v>
      </c>
      <c r="G992" s="20" t="s">
        <v>3545</v>
      </c>
      <c r="H992" s="20" t="s">
        <v>3613</v>
      </c>
      <c r="I992" s="20">
        <v>5</v>
      </c>
      <c r="J992" s="20" t="s">
        <v>3614</v>
      </c>
      <c r="K992" s="20" t="s">
        <v>3627</v>
      </c>
      <c r="L992" s="20" t="s">
        <v>3616</v>
      </c>
      <c r="M992" s="20" t="s">
        <v>2667</v>
      </c>
      <c r="N992" s="20" t="s">
        <v>3617</v>
      </c>
      <c r="P992" s="20" t="s">
        <v>2667</v>
      </c>
      <c r="Q992" s="20" t="s">
        <v>2674</v>
      </c>
      <c r="R992" s="20" t="s">
        <v>84</v>
      </c>
      <c r="S992" s="20">
        <v>4</v>
      </c>
      <c r="T992" s="20" t="s">
        <v>3160</v>
      </c>
      <c r="U992" s="20" t="s">
        <v>3161</v>
      </c>
      <c r="V992" s="20" t="s">
        <v>87</v>
      </c>
      <c r="W992" s="20">
        <v>949</v>
      </c>
      <c r="X992" s="20">
        <v>949</v>
      </c>
      <c r="Y992" s="20" t="s">
        <v>3618</v>
      </c>
      <c r="Z992" s="20">
        <v>0.16666666666666666</v>
      </c>
      <c r="AA992" s="20" t="s">
        <v>3628</v>
      </c>
      <c r="AB992" s="20" t="s">
        <v>176</v>
      </c>
      <c r="AC992" s="20" t="s">
        <v>177</v>
      </c>
      <c r="AD992" s="20" t="s">
        <v>3620</v>
      </c>
      <c r="AE992" s="20" t="s">
        <v>400</v>
      </c>
      <c r="AF992" s="20">
        <v>0.16666666666666666</v>
      </c>
      <c r="AG992" s="20">
        <v>0</v>
      </c>
      <c r="AH992" s="20">
        <v>1</v>
      </c>
      <c r="AI992" s="4" t="s">
        <v>651</v>
      </c>
      <c r="AJ992" s="20">
        <v>50</v>
      </c>
      <c r="AK992" s="4" t="s">
        <v>679</v>
      </c>
      <c r="AL992" s="4">
        <v>6</v>
      </c>
      <c r="AM992" s="4" t="s">
        <v>112</v>
      </c>
      <c r="AN992" s="4" t="s">
        <v>95</v>
      </c>
      <c r="AO992" s="4" t="s">
        <v>680</v>
      </c>
      <c r="AP992" s="4">
        <v>1</v>
      </c>
      <c r="AQ992" s="20">
        <v>79000</v>
      </c>
      <c r="AR992" s="4">
        <v>41855</v>
      </c>
      <c r="AS992" s="20">
        <v>15959.595959595958</v>
      </c>
      <c r="AT992" s="20">
        <v>19655</v>
      </c>
      <c r="AU992" s="20">
        <v>3695.4040404040425</v>
      </c>
      <c r="AV992" s="20">
        <v>0</v>
      </c>
      <c r="AW992" s="20">
        <v>20</v>
      </c>
      <c r="AX992" s="20" t="s">
        <v>91</v>
      </c>
      <c r="AY992" s="20">
        <v>20</v>
      </c>
      <c r="AZ992" s="20">
        <v>17</v>
      </c>
      <c r="BA992" s="20">
        <v>0</v>
      </c>
      <c r="BB992" s="6">
        <v>41855</v>
      </c>
      <c r="BC992" s="6">
        <v>0</v>
      </c>
      <c r="BD992" s="6">
        <v>41862</v>
      </c>
      <c r="BE992" s="6">
        <v>0</v>
      </c>
      <c r="BF992" s="6">
        <v>41862</v>
      </c>
      <c r="BG992" s="6">
        <v>0</v>
      </c>
      <c r="BH992" s="6">
        <v>0</v>
      </c>
      <c r="BI992" s="6">
        <v>0</v>
      </c>
      <c r="BJ992" s="6">
        <v>0</v>
      </c>
      <c r="BK992" s="4">
        <v>0</v>
      </c>
      <c r="BL992" s="4">
        <v>0</v>
      </c>
      <c r="BM992" s="20">
        <v>50</v>
      </c>
      <c r="BN992" s="20">
        <v>0</v>
      </c>
      <c r="BO992" s="20">
        <v>0</v>
      </c>
      <c r="BP992" s="20">
        <v>0</v>
      </c>
      <c r="BQ992" s="20">
        <v>0</v>
      </c>
      <c r="BR992" s="20">
        <v>0</v>
      </c>
      <c r="BS992" s="20">
        <v>50</v>
      </c>
      <c r="BT992" s="20">
        <v>982750</v>
      </c>
      <c r="BU992" s="20">
        <v>3950000</v>
      </c>
      <c r="BV992" s="20">
        <v>3.6539395481140584</v>
      </c>
    </row>
    <row r="993" spans="1:74">
      <c r="A993" s="10">
        <f t="shared" si="62"/>
        <v>0</v>
      </c>
      <c r="B993" s="10">
        <f t="shared" si="63"/>
        <v>0</v>
      </c>
      <c r="C993" s="12">
        <f t="shared" si="64"/>
        <v>8</v>
      </c>
      <c r="D993" s="12">
        <f t="shared" si="65"/>
        <v>8</v>
      </c>
      <c r="E993" s="20" t="s">
        <v>574</v>
      </c>
      <c r="F993" s="20" t="s">
        <v>3089</v>
      </c>
      <c r="G993" s="20" t="s">
        <v>3545</v>
      </c>
      <c r="H993" s="20" t="s">
        <v>3613</v>
      </c>
      <c r="I993" s="20">
        <v>5</v>
      </c>
      <c r="J993" s="20" t="s">
        <v>3614</v>
      </c>
      <c r="K993" s="20" t="s">
        <v>3629</v>
      </c>
      <c r="L993" s="20" t="s">
        <v>3616</v>
      </c>
      <c r="M993" s="20" t="s">
        <v>2667</v>
      </c>
      <c r="N993" s="20" t="s">
        <v>3617</v>
      </c>
      <c r="P993" s="20" t="s">
        <v>2667</v>
      </c>
      <c r="Q993" s="20" t="s">
        <v>2674</v>
      </c>
      <c r="R993" s="20" t="s">
        <v>84</v>
      </c>
      <c r="S993" s="20">
        <v>4</v>
      </c>
      <c r="T993" s="20" t="s">
        <v>3160</v>
      </c>
      <c r="U993" s="20" t="s">
        <v>3161</v>
      </c>
      <c r="V993" s="20" t="s">
        <v>87</v>
      </c>
      <c r="W993" s="20">
        <v>949</v>
      </c>
      <c r="X993" s="20">
        <v>949</v>
      </c>
      <c r="Y993" s="20" t="s">
        <v>3618</v>
      </c>
      <c r="Z993" s="20">
        <v>0.16666666666666666</v>
      </c>
      <c r="AA993" s="20" t="s">
        <v>3630</v>
      </c>
      <c r="AB993" s="20" t="s">
        <v>176</v>
      </c>
      <c r="AC993" s="20" t="s">
        <v>177</v>
      </c>
      <c r="AD993" s="20" t="s">
        <v>3620</v>
      </c>
      <c r="AE993" s="20" t="s">
        <v>400</v>
      </c>
      <c r="AF993" s="20">
        <v>0.16666666666666666</v>
      </c>
      <c r="AG993" s="20">
        <v>0</v>
      </c>
      <c r="AH993" s="20">
        <v>1</v>
      </c>
      <c r="AI993" s="4" t="s">
        <v>640</v>
      </c>
      <c r="AJ993" s="20">
        <v>50</v>
      </c>
      <c r="AK993" s="4" t="s">
        <v>679</v>
      </c>
      <c r="AL993" s="4">
        <v>6</v>
      </c>
      <c r="AM993" s="4" t="s">
        <v>112</v>
      </c>
      <c r="AN993" s="4" t="s">
        <v>95</v>
      </c>
      <c r="AO993" s="4" t="s">
        <v>680</v>
      </c>
      <c r="AP993" s="4">
        <v>1</v>
      </c>
      <c r="AQ993" s="20">
        <v>79000</v>
      </c>
      <c r="AR993" s="4">
        <v>41855</v>
      </c>
      <c r="AS993" s="20">
        <v>15959.595959595958</v>
      </c>
      <c r="AT993" s="20">
        <v>19655</v>
      </c>
      <c r="AU993" s="20">
        <v>3695.4040404040425</v>
      </c>
      <c r="AV993" s="20">
        <v>0</v>
      </c>
      <c r="AW993" s="20">
        <v>20</v>
      </c>
      <c r="AX993" s="20" t="s">
        <v>91</v>
      </c>
      <c r="AY993" s="20">
        <v>20</v>
      </c>
      <c r="AZ993" s="20">
        <v>17</v>
      </c>
      <c r="BA993" s="20">
        <v>0</v>
      </c>
      <c r="BB993" s="6">
        <v>41855</v>
      </c>
      <c r="BC993" s="6">
        <v>0</v>
      </c>
      <c r="BD993" s="6">
        <v>41862</v>
      </c>
      <c r="BE993" s="6">
        <v>0</v>
      </c>
      <c r="BF993" s="6">
        <v>41862</v>
      </c>
      <c r="BG993" s="6">
        <v>0</v>
      </c>
      <c r="BH993" s="6">
        <v>0</v>
      </c>
      <c r="BI993" s="6">
        <v>0</v>
      </c>
      <c r="BJ993" s="6">
        <v>0</v>
      </c>
      <c r="BK993" s="4">
        <v>0</v>
      </c>
      <c r="BL993" s="4">
        <v>0</v>
      </c>
      <c r="BM993" s="20">
        <v>50</v>
      </c>
      <c r="BN993" s="20">
        <v>0</v>
      </c>
      <c r="BO993" s="20">
        <v>0</v>
      </c>
      <c r="BP993" s="20">
        <v>0</v>
      </c>
      <c r="BQ993" s="20">
        <v>0</v>
      </c>
      <c r="BR993" s="20">
        <v>0</v>
      </c>
      <c r="BS993" s="20">
        <v>50</v>
      </c>
      <c r="BT993" s="20">
        <v>982750</v>
      </c>
      <c r="BU993" s="20">
        <v>3950000</v>
      </c>
      <c r="BV993" s="20">
        <v>3.6539395481140584</v>
      </c>
    </row>
    <row r="994" spans="1:74">
      <c r="A994" s="10">
        <f t="shared" si="62"/>
        <v>0</v>
      </c>
      <c r="B994" s="10">
        <f t="shared" si="63"/>
        <v>0</v>
      </c>
      <c r="C994" s="12">
        <f t="shared" si="64"/>
        <v>8</v>
      </c>
      <c r="D994" s="12">
        <f t="shared" si="65"/>
        <v>8</v>
      </c>
      <c r="E994" s="20" t="s">
        <v>574</v>
      </c>
      <c r="F994" s="20" t="s">
        <v>3089</v>
      </c>
      <c r="G994" s="20" t="s">
        <v>3545</v>
      </c>
      <c r="H994" s="20" t="s">
        <v>3631</v>
      </c>
      <c r="I994" s="20">
        <v>6</v>
      </c>
      <c r="J994" s="20" t="s">
        <v>3632</v>
      </c>
      <c r="K994" s="20" t="s">
        <v>3633</v>
      </c>
      <c r="L994" s="20" t="s">
        <v>3634</v>
      </c>
      <c r="M994" s="20" t="s">
        <v>2667</v>
      </c>
      <c r="N994" s="20" t="s">
        <v>3617</v>
      </c>
      <c r="P994" s="20" t="s">
        <v>2667</v>
      </c>
      <c r="Q994" s="20" t="s">
        <v>2674</v>
      </c>
      <c r="R994" s="20" t="s">
        <v>84</v>
      </c>
      <c r="S994" s="20">
        <v>4</v>
      </c>
      <c r="T994" s="20" t="s">
        <v>3160</v>
      </c>
      <c r="U994" s="20" t="s">
        <v>3161</v>
      </c>
      <c r="V994" s="20" t="s">
        <v>87</v>
      </c>
      <c r="W994" s="20">
        <v>950</v>
      </c>
      <c r="X994" s="20">
        <v>950</v>
      </c>
      <c r="Y994" s="20" t="s">
        <v>3635</v>
      </c>
      <c r="Z994" s="20">
        <v>0.16666666666666666</v>
      </c>
      <c r="AA994" s="20" t="s">
        <v>3636</v>
      </c>
      <c r="AB994" s="20" t="s">
        <v>248</v>
      </c>
      <c r="AC994" s="20" t="s">
        <v>249</v>
      </c>
      <c r="AD994" s="20" t="s">
        <v>3637</v>
      </c>
      <c r="AE994" s="20" t="s">
        <v>400</v>
      </c>
      <c r="AF994" s="20">
        <v>0.16666666666666666</v>
      </c>
      <c r="AG994" s="20">
        <v>0</v>
      </c>
      <c r="AH994" s="20">
        <v>1</v>
      </c>
      <c r="AI994" s="4" t="s">
        <v>643</v>
      </c>
      <c r="AJ994" s="20">
        <v>50</v>
      </c>
      <c r="AK994" s="4" t="s">
        <v>679</v>
      </c>
      <c r="AL994" s="4">
        <v>6</v>
      </c>
      <c r="AM994" s="4" t="s">
        <v>112</v>
      </c>
      <c r="AN994" s="4" t="s">
        <v>95</v>
      </c>
      <c r="AO994" s="4" t="s">
        <v>680</v>
      </c>
      <c r="AP994" s="4">
        <v>1</v>
      </c>
      <c r="AQ994" s="20">
        <v>79000</v>
      </c>
      <c r="AR994" s="4">
        <v>41855</v>
      </c>
      <c r="AS994" s="20">
        <v>15959.595959595958</v>
      </c>
      <c r="AT994" s="20">
        <v>19655</v>
      </c>
      <c r="AU994" s="20">
        <v>3695.4040404040425</v>
      </c>
      <c r="AV994" s="20">
        <v>0</v>
      </c>
      <c r="AW994" s="20">
        <v>20</v>
      </c>
      <c r="AX994" s="20" t="s">
        <v>91</v>
      </c>
      <c r="AY994" s="20">
        <v>20</v>
      </c>
      <c r="AZ994" s="20">
        <v>17</v>
      </c>
      <c r="BA994" s="20">
        <v>0</v>
      </c>
      <c r="BB994" s="6">
        <v>41855</v>
      </c>
      <c r="BC994" s="6">
        <v>0</v>
      </c>
      <c r="BD994" s="6">
        <v>41862</v>
      </c>
      <c r="BE994" s="6">
        <v>0</v>
      </c>
      <c r="BF994" s="6">
        <v>41862</v>
      </c>
      <c r="BG994" s="6">
        <v>41961</v>
      </c>
      <c r="BH994" s="6">
        <v>0</v>
      </c>
      <c r="BI994" s="6">
        <v>0</v>
      </c>
      <c r="BJ994" s="6">
        <v>0</v>
      </c>
      <c r="BK994" s="4">
        <v>0</v>
      </c>
      <c r="BL994" s="4">
        <v>0</v>
      </c>
      <c r="BM994" s="20">
        <v>50</v>
      </c>
      <c r="BN994" s="20">
        <v>0</v>
      </c>
      <c r="BO994" s="20">
        <v>0</v>
      </c>
      <c r="BP994" s="20">
        <v>0</v>
      </c>
      <c r="BQ994" s="20">
        <v>0</v>
      </c>
      <c r="BR994" s="20">
        <v>0</v>
      </c>
      <c r="BS994" s="20">
        <v>50</v>
      </c>
      <c r="BT994" s="20">
        <v>982750</v>
      </c>
      <c r="BU994" s="20">
        <v>3950000</v>
      </c>
      <c r="BV994" s="20">
        <v>3.6539395481140584</v>
      </c>
    </row>
    <row r="995" spans="1:74">
      <c r="A995" s="10">
        <f t="shared" si="62"/>
        <v>0</v>
      </c>
      <c r="B995" s="10">
        <f t="shared" si="63"/>
        <v>0</v>
      </c>
      <c r="C995" s="12">
        <f t="shared" si="64"/>
        <v>8</v>
      </c>
      <c r="D995" s="12">
        <f t="shared" si="65"/>
        <v>8</v>
      </c>
      <c r="E995" s="20" t="s">
        <v>574</v>
      </c>
      <c r="F995" s="20" t="s">
        <v>3089</v>
      </c>
      <c r="G995" s="20" t="s">
        <v>3545</v>
      </c>
      <c r="H995" s="20" t="s">
        <v>3631</v>
      </c>
      <c r="I995" s="20">
        <v>6</v>
      </c>
      <c r="J995" s="20" t="s">
        <v>3632</v>
      </c>
      <c r="K995" s="20" t="s">
        <v>3638</v>
      </c>
      <c r="L995" s="20" t="s">
        <v>3634</v>
      </c>
      <c r="M995" s="20" t="s">
        <v>2667</v>
      </c>
      <c r="N995" s="20" t="s">
        <v>3617</v>
      </c>
      <c r="P995" s="20" t="s">
        <v>2667</v>
      </c>
      <c r="Q995" s="20" t="s">
        <v>2674</v>
      </c>
      <c r="R995" s="20" t="s">
        <v>84</v>
      </c>
      <c r="S995" s="20">
        <v>4</v>
      </c>
      <c r="T995" s="20" t="s">
        <v>3160</v>
      </c>
      <c r="U995" s="20" t="s">
        <v>3161</v>
      </c>
      <c r="V995" s="20" t="s">
        <v>87</v>
      </c>
      <c r="W995" s="20">
        <v>950</v>
      </c>
      <c r="X995" s="20">
        <v>950</v>
      </c>
      <c r="Y995" s="20" t="s">
        <v>3635</v>
      </c>
      <c r="Z995" s="20">
        <v>0.16666666666666666</v>
      </c>
      <c r="AA995" s="20" t="s">
        <v>3639</v>
      </c>
      <c r="AB995" s="20" t="s">
        <v>248</v>
      </c>
      <c r="AC995" s="20" t="s">
        <v>249</v>
      </c>
      <c r="AD995" s="20" t="s">
        <v>3637</v>
      </c>
      <c r="AE995" s="20" t="s">
        <v>400</v>
      </c>
      <c r="AF995" s="20">
        <v>0.16666666666666666</v>
      </c>
      <c r="AG995" s="20">
        <v>0</v>
      </c>
      <c r="AH995" s="20">
        <v>1</v>
      </c>
      <c r="AI995" s="4" t="s">
        <v>645</v>
      </c>
      <c r="AJ995" s="20">
        <v>50</v>
      </c>
      <c r="AK995" s="4" t="s">
        <v>679</v>
      </c>
      <c r="AL995" s="4">
        <v>6</v>
      </c>
      <c r="AM995" s="4" t="s">
        <v>112</v>
      </c>
      <c r="AN995" s="4" t="s">
        <v>95</v>
      </c>
      <c r="AO995" s="4" t="s">
        <v>680</v>
      </c>
      <c r="AP995" s="4">
        <v>1</v>
      </c>
      <c r="AQ995" s="20">
        <v>79000</v>
      </c>
      <c r="AR995" s="4">
        <v>41855</v>
      </c>
      <c r="AS995" s="20">
        <v>15959.595959595958</v>
      </c>
      <c r="AT995" s="20">
        <v>19655</v>
      </c>
      <c r="AU995" s="20">
        <v>3695.4040404040425</v>
      </c>
      <c r="AV995" s="20">
        <v>0</v>
      </c>
      <c r="AW995" s="20">
        <v>20</v>
      </c>
      <c r="AX995" s="20" t="s">
        <v>91</v>
      </c>
      <c r="AY995" s="20">
        <v>20</v>
      </c>
      <c r="AZ995" s="20">
        <v>17</v>
      </c>
      <c r="BA995" s="20">
        <v>0</v>
      </c>
      <c r="BB995" s="6">
        <v>41855</v>
      </c>
      <c r="BC995" s="6">
        <v>0</v>
      </c>
      <c r="BD995" s="6">
        <v>41862</v>
      </c>
      <c r="BE995" s="6">
        <v>0</v>
      </c>
      <c r="BF995" s="6">
        <v>41862</v>
      </c>
      <c r="BG995" s="6">
        <v>41961</v>
      </c>
      <c r="BH995" s="6">
        <v>0</v>
      </c>
      <c r="BI995" s="6">
        <v>0</v>
      </c>
      <c r="BJ995" s="6">
        <v>0</v>
      </c>
      <c r="BK995" s="4">
        <v>0</v>
      </c>
      <c r="BL995" s="4">
        <v>0</v>
      </c>
      <c r="BM995" s="20">
        <v>50</v>
      </c>
      <c r="BN995" s="20">
        <v>0</v>
      </c>
      <c r="BO995" s="20">
        <v>0</v>
      </c>
      <c r="BP995" s="20">
        <v>0</v>
      </c>
      <c r="BQ995" s="20">
        <v>0</v>
      </c>
      <c r="BR995" s="20">
        <v>0</v>
      </c>
      <c r="BS995" s="20">
        <v>50</v>
      </c>
      <c r="BT995" s="20">
        <v>982750</v>
      </c>
      <c r="BU995" s="20">
        <v>3950000</v>
      </c>
      <c r="BV995" s="20">
        <v>3.6539395481140584</v>
      </c>
    </row>
    <row r="996" spans="1:74">
      <c r="A996" s="10">
        <f t="shared" si="62"/>
        <v>0</v>
      </c>
      <c r="B996" s="10">
        <f t="shared" si="63"/>
        <v>0</v>
      </c>
      <c r="C996" s="12">
        <f t="shared" si="64"/>
        <v>8</v>
      </c>
      <c r="D996" s="12">
        <f t="shared" si="65"/>
        <v>8</v>
      </c>
      <c r="E996" s="20" t="s">
        <v>574</v>
      </c>
      <c r="F996" s="20" t="s">
        <v>3089</v>
      </c>
      <c r="G996" s="20" t="s">
        <v>3545</v>
      </c>
      <c r="H996" s="20" t="s">
        <v>3631</v>
      </c>
      <c r="I996" s="20">
        <v>6</v>
      </c>
      <c r="J996" s="20" t="s">
        <v>3632</v>
      </c>
      <c r="K996" s="20" t="s">
        <v>3640</v>
      </c>
      <c r="L996" s="20" t="s">
        <v>3634</v>
      </c>
      <c r="M996" s="20" t="s">
        <v>2667</v>
      </c>
      <c r="N996" s="20" t="s">
        <v>3617</v>
      </c>
      <c r="P996" s="20" t="s">
        <v>2667</v>
      </c>
      <c r="Q996" s="20" t="s">
        <v>2674</v>
      </c>
      <c r="R996" s="20" t="s">
        <v>84</v>
      </c>
      <c r="S996" s="20">
        <v>4</v>
      </c>
      <c r="T996" s="20" t="s">
        <v>3160</v>
      </c>
      <c r="U996" s="20" t="s">
        <v>3161</v>
      </c>
      <c r="V996" s="20" t="s">
        <v>87</v>
      </c>
      <c r="W996" s="20">
        <v>950</v>
      </c>
      <c r="X996" s="20">
        <v>950</v>
      </c>
      <c r="Y996" s="20" t="s">
        <v>3635</v>
      </c>
      <c r="Z996" s="20">
        <v>0.16666666666666666</v>
      </c>
      <c r="AA996" s="20" t="s">
        <v>3641</v>
      </c>
      <c r="AB996" s="20" t="s">
        <v>248</v>
      </c>
      <c r="AC996" s="20" t="s">
        <v>249</v>
      </c>
      <c r="AD996" s="20" t="s">
        <v>3637</v>
      </c>
      <c r="AE996" s="20" t="s">
        <v>400</v>
      </c>
      <c r="AF996" s="20">
        <v>0.16666666666666666</v>
      </c>
      <c r="AG996" s="20">
        <v>0</v>
      </c>
      <c r="AH996" s="20">
        <v>1</v>
      </c>
      <c r="AI996" s="4" t="s">
        <v>647</v>
      </c>
      <c r="AJ996" s="20">
        <v>50</v>
      </c>
      <c r="AK996" s="4" t="s">
        <v>679</v>
      </c>
      <c r="AL996" s="4">
        <v>6</v>
      </c>
      <c r="AM996" s="4" t="s">
        <v>112</v>
      </c>
      <c r="AN996" s="4" t="s">
        <v>95</v>
      </c>
      <c r="AO996" s="4" t="s">
        <v>680</v>
      </c>
      <c r="AP996" s="4">
        <v>1</v>
      </c>
      <c r="AQ996" s="20">
        <v>79000</v>
      </c>
      <c r="AR996" s="4">
        <v>41855</v>
      </c>
      <c r="AS996" s="20">
        <v>15959.595959595958</v>
      </c>
      <c r="AT996" s="20">
        <v>19655</v>
      </c>
      <c r="AU996" s="20">
        <v>3695.4040404040425</v>
      </c>
      <c r="AV996" s="20">
        <v>0</v>
      </c>
      <c r="AW996" s="20">
        <v>20</v>
      </c>
      <c r="AX996" s="20" t="s">
        <v>91</v>
      </c>
      <c r="AY996" s="20">
        <v>20</v>
      </c>
      <c r="AZ996" s="20">
        <v>17</v>
      </c>
      <c r="BA996" s="20">
        <v>0</v>
      </c>
      <c r="BB996" s="6">
        <v>41855</v>
      </c>
      <c r="BC996" s="6">
        <v>0</v>
      </c>
      <c r="BD996" s="6">
        <v>41862</v>
      </c>
      <c r="BE996" s="6">
        <v>0</v>
      </c>
      <c r="BF996" s="6">
        <v>41862</v>
      </c>
      <c r="BG996" s="6">
        <v>41961</v>
      </c>
      <c r="BH996" s="6">
        <v>0</v>
      </c>
      <c r="BI996" s="6">
        <v>0</v>
      </c>
      <c r="BJ996" s="6">
        <v>0</v>
      </c>
      <c r="BK996" s="4">
        <v>0</v>
      </c>
      <c r="BL996" s="4">
        <v>0</v>
      </c>
      <c r="BM996" s="20">
        <v>50</v>
      </c>
      <c r="BN996" s="20">
        <v>0</v>
      </c>
      <c r="BO996" s="20">
        <v>0</v>
      </c>
      <c r="BP996" s="20">
        <v>0</v>
      </c>
      <c r="BQ996" s="20">
        <v>0</v>
      </c>
      <c r="BR996" s="20">
        <v>0</v>
      </c>
      <c r="BS996" s="20">
        <v>50</v>
      </c>
      <c r="BT996" s="20">
        <v>982750</v>
      </c>
      <c r="BU996" s="20">
        <v>3950000</v>
      </c>
      <c r="BV996" s="20">
        <v>3.6539395481140584</v>
      </c>
    </row>
    <row r="997" spans="1:74">
      <c r="A997" s="10">
        <f t="shared" si="62"/>
        <v>0</v>
      </c>
      <c r="B997" s="10">
        <f t="shared" si="63"/>
        <v>0</v>
      </c>
      <c r="C997" s="12">
        <f t="shared" si="64"/>
        <v>8</v>
      </c>
      <c r="D997" s="12">
        <f t="shared" si="65"/>
        <v>8</v>
      </c>
      <c r="E997" s="20" t="s">
        <v>574</v>
      </c>
      <c r="F997" s="20" t="s">
        <v>3089</v>
      </c>
      <c r="G997" s="20" t="s">
        <v>3545</v>
      </c>
      <c r="H997" s="20" t="s">
        <v>3631</v>
      </c>
      <c r="I997" s="20">
        <v>6</v>
      </c>
      <c r="J997" s="20" t="s">
        <v>3632</v>
      </c>
      <c r="K997" s="20" t="s">
        <v>3642</v>
      </c>
      <c r="L997" s="20" t="s">
        <v>3634</v>
      </c>
      <c r="M997" s="20" t="s">
        <v>2667</v>
      </c>
      <c r="N997" s="20" t="s">
        <v>3617</v>
      </c>
      <c r="P997" s="20" t="s">
        <v>2667</v>
      </c>
      <c r="Q997" s="20" t="s">
        <v>2674</v>
      </c>
      <c r="R997" s="20" t="s">
        <v>84</v>
      </c>
      <c r="S997" s="20">
        <v>4</v>
      </c>
      <c r="T997" s="20" t="s">
        <v>3160</v>
      </c>
      <c r="U997" s="20" t="s">
        <v>3161</v>
      </c>
      <c r="V997" s="20" t="s">
        <v>87</v>
      </c>
      <c r="W997" s="20">
        <v>950</v>
      </c>
      <c r="X997" s="20">
        <v>950</v>
      </c>
      <c r="Y997" s="20" t="s">
        <v>3635</v>
      </c>
      <c r="Z997" s="20">
        <v>0.16666666666666666</v>
      </c>
      <c r="AA997" s="20" t="s">
        <v>3643</v>
      </c>
      <c r="AB997" s="20" t="s">
        <v>248</v>
      </c>
      <c r="AC997" s="20" t="s">
        <v>249</v>
      </c>
      <c r="AD997" s="20" t="s">
        <v>3637</v>
      </c>
      <c r="AE997" s="20" t="s">
        <v>400</v>
      </c>
      <c r="AF997" s="20">
        <v>0.16666666666666666</v>
      </c>
      <c r="AG997" s="20">
        <v>0</v>
      </c>
      <c r="AH997" s="20">
        <v>1</v>
      </c>
      <c r="AI997" s="4" t="s">
        <v>649</v>
      </c>
      <c r="AJ997" s="20">
        <v>50</v>
      </c>
      <c r="AK997" s="4" t="s">
        <v>679</v>
      </c>
      <c r="AL997" s="4">
        <v>6</v>
      </c>
      <c r="AM997" s="4" t="s">
        <v>112</v>
      </c>
      <c r="AN997" s="4" t="s">
        <v>95</v>
      </c>
      <c r="AO997" s="4" t="s">
        <v>680</v>
      </c>
      <c r="AP997" s="4">
        <v>1</v>
      </c>
      <c r="AQ997" s="20">
        <v>79000</v>
      </c>
      <c r="AR997" s="4">
        <v>41855</v>
      </c>
      <c r="AS997" s="20">
        <v>15959.595959595958</v>
      </c>
      <c r="AT997" s="20">
        <v>19655</v>
      </c>
      <c r="AU997" s="20">
        <v>3695.4040404040425</v>
      </c>
      <c r="AV997" s="20">
        <v>0</v>
      </c>
      <c r="AW997" s="20">
        <v>20</v>
      </c>
      <c r="AX997" s="20" t="s">
        <v>91</v>
      </c>
      <c r="AY997" s="20">
        <v>20</v>
      </c>
      <c r="AZ997" s="20">
        <v>17</v>
      </c>
      <c r="BA997" s="20">
        <v>0</v>
      </c>
      <c r="BB997" s="6">
        <v>41855</v>
      </c>
      <c r="BC997" s="6">
        <v>0</v>
      </c>
      <c r="BD997" s="6">
        <v>41862</v>
      </c>
      <c r="BE997" s="6">
        <v>0</v>
      </c>
      <c r="BF997" s="6">
        <v>41862</v>
      </c>
      <c r="BG997" s="6">
        <v>41961</v>
      </c>
      <c r="BH997" s="6">
        <v>0</v>
      </c>
      <c r="BI997" s="6">
        <v>0</v>
      </c>
      <c r="BJ997" s="6">
        <v>0</v>
      </c>
      <c r="BK997" s="4">
        <v>0</v>
      </c>
      <c r="BL997" s="4">
        <v>0</v>
      </c>
      <c r="BM997" s="20">
        <v>50</v>
      </c>
      <c r="BN997" s="20">
        <v>0</v>
      </c>
      <c r="BO997" s="20">
        <v>0</v>
      </c>
      <c r="BP997" s="20">
        <v>0</v>
      </c>
      <c r="BQ997" s="20">
        <v>0</v>
      </c>
      <c r="BR997" s="20">
        <v>0</v>
      </c>
      <c r="BS997" s="20">
        <v>50</v>
      </c>
      <c r="BT997" s="20">
        <v>982750</v>
      </c>
      <c r="BU997" s="20">
        <v>3950000</v>
      </c>
      <c r="BV997" s="20">
        <v>3.6539395481140584</v>
      </c>
    </row>
    <row r="998" spans="1:74">
      <c r="A998" s="10">
        <f t="shared" si="62"/>
        <v>0</v>
      </c>
      <c r="B998" s="10">
        <f t="shared" si="63"/>
        <v>0</v>
      </c>
      <c r="C998" s="12">
        <f t="shared" si="64"/>
        <v>8</v>
      </c>
      <c r="D998" s="12">
        <f t="shared" si="65"/>
        <v>8</v>
      </c>
      <c r="E998" s="20" t="s">
        <v>574</v>
      </c>
      <c r="F998" s="20" t="s">
        <v>3089</v>
      </c>
      <c r="G998" s="20" t="s">
        <v>3545</v>
      </c>
      <c r="H998" s="20" t="s">
        <v>3631</v>
      </c>
      <c r="I998" s="20">
        <v>6</v>
      </c>
      <c r="J998" s="20" t="s">
        <v>3632</v>
      </c>
      <c r="K998" s="20" t="s">
        <v>3644</v>
      </c>
      <c r="L998" s="20" t="s">
        <v>3634</v>
      </c>
      <c r="M998" s="20" t="s">
        <v>2667</v>
      </c>
      <c r="N998" s="20" t="s">
        <v>3617</v>
      </c>
      <c r="P998" s="20" t="s">
        <v>2667</v>
      </c>
      <c r="Q998" s="20" t="s">
        <v>2674</v>
      </c>
      <c r="R998" s="20" t="s">
        <v>84</v>
      </c>
      <c r="S998" s="20">
        <v>4</v>
      </c>
      <c r="T998" s="20" t="s">
        <v>3160</v>
      </c>
      <c r="U998" s="20" t="s">
        <v>3161</v>
      </c>
      <c r="V998" s="20" t="s">
        <v>87</v>
      </c>
      <c r="W998" s="20">
        <v>950</v>
      </c>
      <c r="X998" s="20">
        <v>950</v>
      </c>
      <c r="Y998" s="20" t="s">
        <v>3635</v>
      </c>
      <c r="Z998" s="20">
        <v>0.16666666666666666</v>
      </c>
      <c r="AA998" s="20" t="s">
        <v>3645</v>
      </c>
      <c r="AB998" s="20" t="s">
        <v>248</v>
      </c>
      <c r="AC998" s="20" t="s">
        <v>249</v>
      </c>
      <c r="AD998" s="20" t="s">
        <v>3637</v>
      </c>
      <c r="AE998" s="20" t="s">
        <v>400</v>
      </c>
      <c r="AF998" s="20">
        <v>0.16666666666666666</v>
      </c>
      <c r="AG998" s="20">
        <v>0</v>
      </c>
      <c r="AH998" s="20">
        <v>1</v>
      </c>
      <c r="AI998" s="4" t="s">
        <v>651</v>
      </c>
      <c r="AJ998" s="20">
        <v>50</v>
      </c>
      <c r="AK998" s="4" t="s">
        <v>679</v>
      </c>
      <c r="AL998" s="4">
        <v>6</v>
      </c>
      <c r="AM998" s="4" t="s">
        <v>112</v>
      </c>
      <c r="AN998" s="4" t="s">
        <v>95</v>
      </c>
      <c r="AO998" s="4" t="s">
        <v>680</v>
      </c>
      <c r="AP998" s="4">
        <v>1</v>
      </c>
      <c r="AQ998" s="20">
        <v>79000</v>
      </c>
      <c r="AR998" s="4">
        <v>41855</v>
      </c>
      <c r="AS998" s="20">
        <v>15959.595959595958</v>
      </c>
      <c r="AT998" s="20">
        <v>19655</v>
      </c>
      <c r="AU998" s="20">
        <v>3695.4040404040425</v>
      </c>
      <c r="AV998" s="20">
        <v>0</v>
      </c>
      <c r="AW998" s="20">
        <v>20</v>
      </c>
      <c r="AX998" s="20" t="s">
        <v>91</v>
      </c>
      <c r="AY998" s="20">
        <v>20</v>
      </c>
      <c r="AZ998" s="20">
        <v>17</v>
      </c>
      <c r="BA998" s="20">
        <v>0</v>
      </c>
      <c r="BB998" s="6">
        <v>41855</v>
      </c>
      <c r="BC998" s="6">
        <v>0</v>
      </c>
      <c r="BD998" s="6">
        <v>41862</v>
      </c>
      <c r="BE998" s="6">
        <v>0</v>
      </c>
      <c r="BF998" s="6">
        <v>41862</v>
      </c>
      <c r="BG998" s="6">
        <v>41961</v>
      </c>
      <c r="BH998" s="6">
        <v>0</v>
      </c>
      <c r="BI998" s="6">
        <v>0</v>
      </c>
      <c r="BJ998" s="6">
        <v>0</v>
      </c>
      <c r="BK998" s="4">
        <v>0</v>
      </c>
      <c r="BL998" s="4">
        <v>0</v>
      </c>
      <c r="BM998" s="20">
        <v>50</v>
      </c>
      <c r="BN998" s="20">
        <v>0</v>
      </c>
      <c r="BO998" s="20">
        <v>0</v>
      </c>
      <c r="BP998" s="20">
        <v>0</v>
      </c>
      <c r="BQ998" s="20">
        <v>0</v>
      </c>
      <c r="BR998" s="20">
        <v>0</v>
      </c>
      <c r="BS998" s="20">
        <v>50</v>
      </c>
      <c r="BT998" s="20">
        <v>982750</v>
      </c>
      <c r="BU998" s="20">
        <v>3950000</v>
      </c>
      <c r="BV998" s="20">
        <v>3.6539395481140584</v>
      </c>
    </row>
    <row r="999" spans="1:74">
      <c r="A999" s="10">
        <f t="shared" si="62"/>
        <v>0</v>
      </c>
      <c r="B999" s="10">
        <f t="shared" si="63"/>
        <v>0</v>
      </c>
      <c r="C999" s="12">
        <f t="shared" si="64"/>
        <v>8</v>
      </c>
      <c r="D999" s="12">
        <f t="shared" si="65"/>
        <v>8</v>
      </c>
      <c r="E999" s="20" t="s">
        <v>574</v>
      </c>
      <c r="F999" s="20" t="s">
        <v>3089</v>
      </c>
      <c r="G999" s="20" t="s">
        <v>3545</v>
      </c>
      <c r="H999" s="20" t="s">
        <v>3631</v>
      </c>
      <c r="I999" s="20">
        <v>6</v>
      </c>
      <c r="J999" s="20" t="s">
        <v>3632</v>
      </c>
      <c r="K999" s="20" t="s">
        <v>3646</v>
      </c>
      <c r="L999" s="20" t="s">
        <v>3634</v>
      </c>
      <c r="M999" s="20" t="s">
        <v>2667</v>
      </c>
      <c r="N999" s="20" t="s">
        <v>3617</v>
      </c>
      <c r="P999" s="20" t="s">
        <v>2667</v>
      </c>
      <c r="Q999" s="20" t="s">
        <v>2674</v>
      </c>
      <c r="R999" s="20" t="s">
        <v>84</v>
      </c>
      <c r="S999" s="20">
        <v>4</v>
      </c>
      <c r="T999" s="20" t="s">
        <v>3160</v>
      </c>
      <c r="U999" s="20" t="s">
        <v>3161</v>
      </c>
      <c r="V999" s="20" t="s">
        <v>87</v>
      </c>
      <c r="W999" s="20">
        <v>950</v>
      </c>
      <c r="X999" s="20">
        <v>950</v>
      </c>
      <c r="Y999" s="20" t="s">
        <v>3635</v>
      </c>
      <c r="Z999" s="20">
        <v>0.16666666666666666</v>
      </c>
      <c r="AA999" s="20" t="s">
        <v>3647</v>
      </c>
      <c r="AB999" s="20" t="s">
        <v>248</v>
      </c>
      <c r="AC999" s="20" t="s">
        <v>249</v>
      </c>
      <c r="AD999" s="20" t="s">
        <v>3637</v>
      </c>
      <c r="AE999" s="20" t="s">
        <v>400</v>
      </c>
      <c r="AF999" s="20">
        <v>0.16666666666666666</v>
      </c>
      <c r="AG999" s="20">
        <v>0</v>
      </c>
      <c r="AH999" s="20">
        <v>1</v>
      </c>
      <c r="AI999" s="4" t="s">
        <v>640</v>
      </c>
      <c r="AJ999" s="20">
        <v>50</v>
      </c>
      <c r="AK999" s="4" t="s">
        <v>679</v>
      </c>
      <c r="AL999" s="4">
        <v>6</v>
      </c>
      <c r="AM999" s="4" t="s">
        <v>112</v>
      </c>
      <c r="AN999" s="4" t="s">
        <v>95</v>
      </c>
      <c r="AO999" s="4" t="s">
        <v>680</v>
      </c>
      <c r="AP999" s="4">
        <v>1</v>
      </c>
      <c r="AQ999" s="20">
        <v>79000</v>
      </c>
      <c r="AR999" s="4">
        <v>41855</v>
      </c>
      <c r="AS999" s="20">
        <v>15959.595959595958</v>
      </c>
      <c r="AT999" s="20">
        <v>19655</v>
      </c>
      <c r="AU999" s="20">
        <v>3695.4040404040425</v>
      </c>
      <c r="AV999" s="20">
        <v>0</v>
      </c>
      <c r="AW999" s="20">
        <v>20</v>
      </c>
      <c r="AX999" s="20" t="s">
        <v>91</v>
      </c>
      <c r="AY999" s="20">
        <v>20</v>
      </c>
      <c r="AZ999" s="20">
        <v>17</v>
      </c>
      <c r="BA999" s="20">
        <v>0</v>
      </c>
      <c r="BB999" s="6">
        <v>41855</v>
      </c>
      <c r="BC999" s="6">
        <v>0</v>
      </c>
      <c r="BD999" s="6">
        <v>41862</v>
      </c>
      <c r="BE999" s="6">
        <v>0</v>
      </c>
      <c r="BF999" s="6">
        <v>41862</v>
      </c>
      <c r="BG999" s="6">
        <v>41961</v>
      </c>
      <c r="BH999" s="6">
        <v>0</v>
      </c>
      <c r="BI999" s="6">
        <v>0</v>
      </c>
      <c r="BJ999" s="6">
        <v>0</v>
      </c>
      <c r="BK999" s="4">
        <v>0</v>
      </c>
      <c r="BL999" s="4">
        <v>0</v>
      </c>
      <c r="BM999" s="20">
        <v>50</v>
      </c>
      <c r="BN999" s="20">
        <v>1</v>
      </c>
      <c r="BO999" s="20">
        <v>0</v>
      </c>
      <c r="BP999" s="20">
        <v>0</v>
      </c>
      <c r="BQ999" s="20">
        <v>0</v>
      </c>
      <c r="BR999" s="20">
        <v>0</v>
      </c>
      <c r="BS999" s="20">
        <v>50</v>
      </c>
      <c r="BT999" s="20">
        <v>982750</v>
      </c>
      <c r="BU999" s="20">
        <v>3950000</v>
      </c>
      <c r="BV999" s="20">
        <v>3.6539395481140584</v>
      </c>
    </row>
    <row r="1000" spans="1:74">
      <c r="A1000" s="10">
        <f t="shared" si="62"/>
        <v>0</v>
      </c>
      <c r="B1000" s="10">
        <f t="shared" si="63"/>
        <v>0</v>
      </c>
      <c r="C1000" s="12">
        <f t="shared" si="64"/>
        <v>8</v>
      </c>
      <c r="D1000" s="12">
        <f t="shared" si="65"/>
        <v>8</v>
      </c>
      <c r="E1000" s="20" t="s">
        <v>574</v>
      </c>
      <c r="F1000" s="20" t="s">
        <v>3089</v>
      </c>
      <c r="G1000" s="20" t="s">
        <v>3545</v>
      </c>
      <c r="H1000" s="20" t="s">
        <v>3648</v>
      </c>
      <c r="I1000" s="20">
        <v>7</v>
      </c>
      <c r="J1000" s="20" t="s">
        <v>3649</v>
      </c>
      <c r="K1000" s="20" t="s">
        <v>3650</v>
      </c>
      <c r="L1000" s="20" t="s">
        <v>3651</v>
      </c>
      <c r="M1000" s="20" t="s">
        <v>2667</v>
      </c>
      <c r="N1000" s="20" t="s">
        <v>3505</v>
      </c>
      <c r="P1000" s="20" t="s">
        <v>2667</v>
      </c>
      <c r="Q1000" s="20" t="s">
        <v>2674</v>
      </c>
      <c r="R1000" s="20" t="s">
        <v>84</v>
      </c>
      <c r="S1000" s="20">
        <v>4</v>
      </c>
      <c r="T1000" s="20" t="s">
        <v>922</v>
      </c>
      <c r="U1000" s="20" t="s">
        <v>923</v>
      </c>
      <c r="V1000" s="20" t="s">
        <v>87</v>
      </c>
      <c r="W1000" s="20">
        <v>932</v>
      </c>
      <c r="X1000" s="20">
        <v>932</v>
      </c>
      <c r="Y1000" s="20" t="s">
        <v>3652</v>
      </c>
      <c r="Z1000" s="20">
        <v>0.16666666666666666</v>
      </c>
      <c r="AA1000" s="20" t="s">
        <v>3653</v>
      </c>
      <c r="AB1000" s="20" t="s">
        <v>159</v>
      </c>
      <c r="AC1000" s="20" t="s">
        <v>160</v>
      </c>
      <c r="AD1000" s="20" t="s">
        <v>3654</v>
      </c>
      <c r="AE1000" s="20" t="s">
        <v>400</v>
      </c>
      <c r="AF1000" s="20">
        <v>0.16666666666666666</v>
      </c>
      <c r="AG1000" s="20">
        <v>0</v>
      </c>
      <c r="AH1000" s="20">
        <v>1</v>
      </c>
      <c r="AI1000" s="4" t="s">
        <v>643</v>
      </c>
      <c r="AJ1000" s="20">
        <v>100</v>
      </c>
      <c r="AK1000" s="4" t="s">
        <v>679</v>
      </c>
      <c r="AL1000" s="4">
        <v>6</v>
      </c>
      <c r="AM1000" s="4" t="s">
        <v>112</v>
      </c>
      <c r="AN1000" s="4" t="s">
        <v>95</v>
      </c>
      <c r="AO1000" s="4" t="s">
        <v>680</v>
      </c>
      <c r="AP1000" s="4">
        <v>1</v>
      </c>
      <c r="AQ1000" s="20">
        <v>79000</v>
      </c>
      <c r="AR1000" s="4">
        <v>41855</v>
      </c>
      <c r="AS1000" s="20">
        <v>15959.595959595958</v>
      </c>
      <c r="AT1000" s="20">
        <v>17171.75</v>
      </c>
      <c r="AU1000" s="20">
        <v>1212.1540404040425</v>
      </c>
      <c r="AV1000" s="20">
        <v>0</v>
      </c>
      <c r="AW1000" s="20">
        <v>20</v>
      </c>
      <c r="AX1000" s="20" t="s">
        <v>91</v>
      </c>
      <c r="AY1000" s="20">
        <v>20</v>
      </c>
      <c r="AZ1000" s="20">
        <v>14.85</v>
      </c>
      <c r="BA1000" s="20">
        <v>0</v>
      </c>
      <c r="BB1000" s="6">
        <v>41855</v>
      </c>
      <c r="BC1000" s="6">
        <v>0</v>
      </c>
      <c r="BD1000" s="6">
        <v>41862</v>
      </c>
      <c r="BE1000" s="6">
        <v>0</v>
      </c>
      <c r="BF1000" s="6">
        <v>41862</v>
      </c>
      <c r="BG1000" s="6">
        <v>0</v>
      </c>
      <c r="BH1000" s="6">
        <v>0</v>
      </c>
      <c r="BI1000" s="6">
        <v>0</v>
      </c>
      <c r="BJ1000" s="6">
        <v>0</v>
      </c>
      <c r="BK1000" s="4">
        <v>0</v>
      </c>
      <c r="BL1000" s="4">
        <v>0</v>
      </c>
      <c r="BM1000" s="20">
        <v>100</v>
      </c>
      <c r="BN1000" s="20">
        <v>0</v>
      </c>
      <c r="BO1000" s="20">
        <v>0</v>
      </c>
      <c r="BP1000" s="20">
        <v>0</v>
      </c>
      <c r="BQ1000" s="20">
        <v>0</v>
      </c>
      <c r="BR1000" s="20">
        <v>0</v>
      </c>
      <c r="BS1000" s="20">
        <v>100</v>
      </c>
      <c r="BT1000" s="20">
        <v>1717175</v>
      </c>
      <c r="BU1000" s="20">
        <v>7900000</v>
      </c>
      <c r="BV1000" s="20">
        <v>4.1823449455170154</v>
      </c>
    </row>
    <row r="1001" spans="1:74">
      <c r="A1001" s="10">
        <f t="shared" si="62"/>
        <v>0</v>
      </c>
      <c r="B1001" s="10">
        <f t="shared" si="63"/>
        <v>0</v>
      </c>
      <c r="C1001" s="12">
        <f t="shared" si="64"/>
        <v>8</v>
      </c>
      <c r="D1001" s="12">
        <f t="shared" si="65"/>
        <v>8</v>
      </c>
      <c r="E1001" s="20" t="s">
        <v>574</v>
      </c>
      <c r="F1001" s="20" t="s">
        <v>3089</v>
      </c>
      <c r="G1001" s="20" t="s">
        <v>3545</v>
      </c>
      <c r="H1001" s="20" t="s">
        <v>3648</v>
      </c>
      <c r="I1001" s="20">
        <v>7</v>
      </c>
      <c r="J1001" s="20" t="s">
        <v>3649</v>
      </c>
      <c r="K1001" s="20" t="s">
        <v>3655</v>
      </c>
      <c r="L1001" s="20" t="s">
        <v>3651</v>
      </c>
      <c r="M1001" s="20" t="s">
        <v>2667</v>
      </c>
      <c r="N1001" s="20" t="s">
        <v>3505</v>
      </c>
      <c r="P1001" s="20" t="s">
        <v>2667</v>
      </c>
      <c r="Q1001" s="20" t="s">
        <v>2674</v>
      </c>
      <c r="R1001" s="20" t="s">
        <v>84</v>
      </c>
      <c r="S1001" s="20">
        <v>4</v>
      </c>
      <c r="T1001" s="20" t="s">
        <v>922</v>
      </c>
      <c r="U1001" s="20" t="s">
        <v>923</v>
      </c>
      <c r="V1001" s="20" t="s">
        <v>87</v>
      </c>
      <c r="W1001" s="20">
        <v>932</v>
      </c>
      <c r="X1001" s="20">
        <v>932</v>
      </c>
      <c r="Y1001" s="20" t="s">
        <v>3652</v>
      </c>
      <c r="Z1001" s="20">
        <v>0.16666666666666666</v>
      </c>
      <c r="AA1001" s="20" t="s">
        <v>3656</v>
      </c>
      <c r="AB1001" s="20" t="s">
        <v>159</v>
      </c>
      <c r="AC1001" s="20" t="s">
        <v>160</v>
      </c>
      <c r="AD1001" s="20" t="s">
        <v>3654</v>
      </c>
      <c r="AE1001" s="20" t="s">
        <v>400</v>
      </c>
      <c r="AF1001" s="20">
        <v>0.16666666666666666</v>
      </c>
      <c r="AG1001" s="20">
        <v>0</v>
      </c>
      <c r="AH1001" s="20">
        <v>1</v>
      </c>
      <c r="AI1001" s="4" t="s">
        <v>645</v>
      </c>
      <c r="AJ1001" s="20">
        <v>100</v>
      </c>
      <c r="AK1001" s="4" t="s">
        <v>679</v>
      </c>
      <c r="AL1001" s="4">
        <v>6</v>
      </c>
      <c r="AM1001" s="4" t="s">
        <v>112</v>
      </c>
      <c r="AN1001" s="4" t="s">
        <v>95</v>
      </c>
      <c r="AO1001" s="4" t="s">
        <v>680</v>
      </c>
      <c r="AP1001" s="4">
        <v>1</v>
      </c>
      <c r="AQ1001" s="20">
        <v>79000</v>
      </c>
      <c r="AR1001" s="4">
        <v>41855</v>
      </c>
      <c r="AS1001" s="20">
        <v>15959.595959595958</v>
      </c>
      <c r="AT1001" s="20">
        <v>17171.75</v>
      </c>
      <c r="AU1001" s="20">
        <v>1212.1540404040425</v>
      </c>
      <c r="AV1001" s="20">
        <v>0</v>
      </c>
      <c r="AW1001" s="20">
        <v>20</v>
      </c>
      <c r="AX1001" s="20" t="s">
        <v>91</v>
      </c>
      <c r="AY1001" s="20">
        <v>20</v>
      </c>
      <c r="AZ1001" s="20">
        <v>14.85</v>
      </c>
      <c r="BA1001" s="20">
        <v>0</v>
      </c>
      <c r="BB1001" s="6">
        <v>41855</v>
      </c>
      <c r="BC1001" s="6">
        <v>0</v>
      </c>
      <c r="BD1001" s="6">
        <v>41862</v>
      </c>
      <c r="BE1001" s="6">
        <v>0</v>
      </c>
      <c r="BF1001" s="6">
        <v>41862</v>
      </c>
      <c r="BG1001" s="6">
        <v>0</v>
      </c>
      <c r="BH1001" s="6">
        <v>0</v>
      </c>
      <c r="BI1001" s="6">
        <v>0</v>
      </c>
      <c r="BJ1001" s="6">
        <v>0</v>
      </c>
      <c r="BK1001" s="4">
        <v>0</v>
      </c>
      <c r="BL1001" s="4">
        <v>0</v>
      </c>
      <c r="BM1001" s="20">
        <v>100</v>
      </c>
      <c r="BN1001" s="20">
        <v>0</v>
      </c>
      <c r="BO1001" s="20">
        <v>0</v>
      </c>
      <c r="BP1001" s="20">
        <v>0</v>
      </c>
      <c r="BQ1001" s="20">
        <v>0</v>
      </c>
      <c r="BR1001" s="20">
        <v>0</v>
      </c>
      <c r="BS1001" s="20">
        <v>100</v>
      </c>
      <c r="BT1001" s="20">
        <v>1717175</v>
      </c>
      <c r="BU1001" s="20">
        <v>7900000</v>
      </c>
      <c r="BV1001" s="20">
        <v>4.1823449455170154</v>
      </c>
    </row>
    <row r="1002" spans="1:74">
      <c r="A1002" s="10">
        <f t="shared" si="62"/>
        <v>0</v>
      </c>
      <c r="B1002" s="10">
        <f t="shared" si="63"/>
        <v>0</v>
      </c>
      <c r="C1002" s="12">
        <f t="shared" si="64"/>
        <v>8</v>
      </c>
      <c r="D1002" s="12">
        <f t="shared" si="65"/>
        <v>8</v>
      </c>
      <c r="E1002" s="20" t="s">
        <v>574</v>
      </c>
      <c r="F1002" s="20" t="s">
        <v>3089</v>
      </c>
      <c r="G1002" s="20" t="s">
        <v>3545</v>
      </c>
      <c r="H1002" s="20" t="s">
        <v>3648</v>
      </c>
      <c r="I1002" s="20">
        <v>7</v>
      </c>
      <c r="J1002" s="20" t="s">
        <v>3649</v>
      </c>
      <c r="K1002" s="20" t="s">
        <v>3657</v>
      </c>
      <c r="L1002" s="20" t="s">
        <v>3651</v>
      </c>
      <c r="M1002" s="20" t="s">
        <v>2667</v>
      </c>
      <c r="N1002" s="20" t="s">
        <v>3505</v>
      </c>
      <c r="P1002" s="20" t="s">
        <v>2667</v>
      </c>
      <c r="Q1002" s="20" t="s">
        <v>2674</v>
      </c>
      <c r="R1002" s="20" t="s">
        <v>84</v>
      </c>
      <c r="S1002" s="20">
        <v>4</v>
      </c>
      <c r="T1002" s="20" t="s">
        <v>922</v>
      </c>
      <c r="U1002" s="20" t="s">
        <v>923</v>
      </c>
      <c r="V1002" s="20" t="s">
        <v>87</v>
      </c>
      <c r="W1002" s="20">
        <v>932</v>
      </c>
      <c r="X1002" s="20">
        <v>932</v>
      </c>
      <c r="Y1002" s="20" t="s">
        <v>3652</v>
      </c>
      <c r="Z1002" s="20">
        <v>0.16666666666666666</v>
      </c>
      <c r="AA1002" s="20" t="s">
        <v>3658</v>
      </c>
      <c r="AB1002" s="20" t="s">
        <v>159</v>
      </c>
      <c r="AC1002" s="20" t="s">
        <v>160</v>
      </c>
      <c r="AD1002" s="20" t="s">
        <v>3654</v>
      </c>
      <c r="AE1002" s="20" t="s">
        <v>400</v>
      </c>
      <c r="AF1002" s="20">
        <v>0.16666666666666666</v>
      </c>
      <c r="AG1002" s="20">
        <v>0</v>
      </c>
      <c r="AH1002" s="20">
        <v>1</v>
      </c>
      <c r="AI1002" s="4" t="s">
        <v>647</v>
      </c>
      <c r="AJ1002" s="20">
        <v>100</v>
      </c>
      <c r="AK1002" s="4" t="s">
        <v>679</v>
      </c>
      <c r="AL1002" s="4">
        <v>6</v>
      </c>
      <c r="AM1002" s="4" t="s">
        <v>112</v>
      </c>
      <c r="AN1002" s="4" t="s">
        <v>95</v>
      </c>
      <c r="AO1002" s="4" t="s">
        <v>680</v>
      </c>
      <c r="AP1002" s="4">
        <v>1</v>
      </c>
      <c r="AQ1002" s="20">
        <v>79000</v>
      </c>
      <c r="AR1002" s="4">
        <v>41855</v>
      </c>
      <c r="AS1002" s="20">
        <v>15959.595959595958</v>
      </c>
      <c r="AT1002" s="20">
        <v>17171.75</v>
      </c>
      <c r="AU1002" s="20">
        <v>1212.1540404040425</v>
      </c>
      <c r="AV1002" s="20">
        <v>0</v>
      </c>
      <c r="AW1002" s="20">
        <v>20</v>
      </c>
      <c r="AX1002" s="20" t="s">
        <v>91</v>
      </c>
      <c r="AY1002" s="20">
        <v>20</v>
      </c>
      <c r="AZ1002" s="20">
        <v>14.85</v>
      </c>
      <c r="BA1002" s="20">
        <v>0</v>
      </c>
      <c r="BB1002" s="6">
        <v>41855</v>
      </c>
      <c r="BC1002" s="6">
        <v>0</v>
      </c>
      <c r="BD1002" s="6">
        <v>41862</v>
      </c>
      <c r="BE1002" s="6">
        <v>0</v>
      </c>
      <c r="BF1002" s="6">
        <v>41862</v>
      </c>
      <c r="BG1002" s="6">
        <v>0</v>
      </c>
      <c r="BH1002" s="6">
        <v>0</v>
      </c>
      <c r="BI1002" s="6">
        <v>0</v>
      </c>
      <c r="BJ1002" s="6">
        <v>0</v>
      </c>
      <c r="BK1002" s="4">
        <v>0</v>
      </c>
      <c r="BL1002" s="4">
        <v>0</v>
      </c>
      <c r="BM1002" s="20">
        <v>100</v>
      </c>
      <c r="BN1002" s="20">
        <v>0</v>
      </c>
      <c r="BO1002" s="20">
        <v>0</v>
      </c>
      <c r="BP1002" s="20">
        <v>0</v>
      </c>
      <c r="BQ1002" s="20">
        <v>0</v>
      </c>
      <c r="BR1002" s="20">
        <v>0</v>
      </c>
      <c r="BS1002" s="20">
        <v>100</v>
      </c>
      <c r="BT1002" s="20">
        <v>1717175</v>
      </c>
      <c r="BU1002" s="20">
        <v>7900000</v>
      </c>
      <c r="BV1002" s="20">
        <v>4.1823449455170154</v>
      </c>
    </row>
    <row r="1003" spans="1:74">
      <c r="A1003" s="10">
        <f t="shared" si="62"/>
        <v>0</v>
      </c>
      <c r="B1003" s="10">
        <f t="shared" si="63"/>
        <v>0</v>
      </c>
      <c r="C1003" s="12">
        <f t="shared" si="64"/>
        <v>8</v>
      </c>
      <c r="D1003" s="12">
        <f t="shared" si="65"/>
        <v>8</v>
      </c>
      <c r="E1003" s="20" t="s">
        <v>574</v>
      </c>
      <c r="F1003" s="20" t="s">
        <v>3089</v>
      </c>
      <c r="G1003" s="20" t="s">
        <v>3545</v>
      </c>
      <c r="H1003" s="20" t="s">
        <v>3648</v>
      </c>
      <c r="I1003" s="20">
        <v>7</v>
      </c>
      <c r="J1003" s="20" t="s">
        <v>3649</v>
      </c>
      <c r="K1003" s="20" t="s">
        <v>3659</v>
      </c>
      <c r="L1003" s="20" t="s">
        <v>3651</v>
      </c>
      <c r="M1003" s="20" t="s">
        <v>2667</v>
      </c>
      <c r="N1003" s="20" t="s">
        <v>3505</v>
      </c>
      <c r="P1003" s="20" t="s">
        <v>2667</v>
      </c>
      <c r="Q1003" s="20" t="s">
        <v>2674</v>
      </c>
      <c r="R1003" s="20" t="s">
        <v>84</v>
      </c>
      <c r="S1003" s="20">
        <v>4</v>
      </c>
      <c r="T1003" s="20" t="s">
        <v>922</v>
      </c>
      <c r="U1003" s="20" t="s">
        <v>923</v>
      </c>
      <c r="V1003" s="20" t="s">
        <v>87</v>
      </c>
      <c r="W1003" s="20">
        <v>932</v>
      </c>
      <c r="X1003" s="20">
        <v>932</v>
      </c>
      <c r="Y1003" s="20" t="s">
        <v>3652</v>
      </c>
      <c r="Z1003" s="20">
        <v>0.16666666666666666</v>
      </c>
      <c r="AA1003" s="20" t="s">
        <v>3660</v>
      </c>
      <c r="AB1003" s="20" t="s">
        <v>159</v>
      </c>
      <c r="AC1003" s="20" t="s">
        <v>160</v>
      </c>
      <c r="AD1003" s="20" t="s">
        <v>3654</v>
      </c>
      <c r="AE1003" s="20" t="s">
        <v>400</v>
      </c>
      <c r="AF1003" s="20">
        <v>0.16666666666666666</v>
      </c>
      <c r="AG1003" s="20">
        <v>0</v>
      </c>
      <c r="AH1003" s="20">
        <v>1</v>
      </c>
      <c r="AI1003" s="4" t="s">
        <v>649</v>
      </c>
      <c r="AJ1003" s="20">
        <v>50</v>
      </c>
      <c r="AK1003" s="4" t="s">
        <v>679</v>
      </c>
      <c r="AL1003" s="4">
        <v>6</v>
      </c>
      <c r="AM1003" s="4" t="s">
        <v>112</v>
      </c>
      <c r="AN1003" s="4" t="s">
        <v>95</v>
      </c>
      <c r="AO1003" s="4" t="s">
        <v>680</v>
      </c>
      <c r="AP1003" s="4">
        <v>1</v>
      </c>
      <c r="AQ1003" s="20">
        <v>79000</v>
      </c>
      <c r="AR1003" s="4">
        <v>41855</v>
      </c>
      <c r="AS1003" s="20">
        <v>15959.595959595958</v>
      </c>
      <c r="AT1003" s="20">
        <v>17171.75</v>
      </c>
      <c r="AU1003" s="20">
        <v>1212.1540404040425</v>
      </c>
      <c r="AV1003" s="20">
        <v>0</v>
      </c>
      <c r="AW1003" s="20">
        <v>20</v>
      </c>
      <c r="AX1003" s="20" t="s">
        <v>91</v>
      </c>
      <c r="AY1003" s="20">
        <v>20</v>
      </c>
      <c r="AZ1003" s="20">
        <v>14.85</v>
      </c>
      <c r="BA1003" s="20">
        <v>0</v>
      </c>
      <c r="BB1003" s="6">
        <v>41855</v>
      </c>
      <c r="BC1003" s="6">
        <v>0</v>
      </c>
      <c r="BD1003" s="6">
        <v>41862</v>
      </c>
      <c r="BE1003" s="6">
        <v>0</v>
      </c>
      <c r="BF1003" s="6">
        <v>41862</v>
      </c>
      <c r="BG1003" s="6">
        <v>0</v>
      </c>
      <c r="BH1003" s="6">
        <v>0</v>
      </c>
      <c r="BI1003" s="6">
        <v>0</v>
      </c>
      <c r="BJ1003" s="6">
        <v>0</v>
      </c>
      <c r="BK1003" s="4">
        <v>0</v>
      </c>
      <c r="BL1003" s="4">
        <v>0</v>
      </c>
      <c r="BM1003" s="20">
        <v>50</v>
      </c>
      <c r="BN1003" s="20">
        <v>0</v>
      </c>
      <c r="BO1003" s="20">
        <v>0</v>
      </c>
      <c r="BP1003" s="20">
        <v>0</v>
      </c>
      <c r="BQ1003" s="20">
        <v>0</v>
      </c>
      <c r="BR1003" s="20">
        <v>0</v>
      </c>
      <c r="BS1003" s="20">
        <v>50</v>
      </c>
      <c r="BT1003" s="20">
        <v>858587.5</v>
      </c>
      <c r="BU1003" s="20">
        <v>3950000</v>
      </c>
      <c r="BV1003" s="20">
        <v>4.1823449455170154</v>
      </c>
    </row>
    <row r="1004" spans="1:74">
      <c r="A1004" s="10">
        <f t="shared" si="62"/>
        <v>0</v>
      </c>
      <c r="B1004" s="10">
        <f t="shared" si="63"/>
        <v>0</v>
      </c>
      <c r="C1004" s="12">
        <f t="shared" si="64"/>
        <v>8</v>
      </c>
      <c r="D1004" s="12">
        <f t="shared" si="65"/>
        <v>8</v>
      </c>
      <c r="E1004" s="20" t="s">
        <v>574</v>
      </c>
      <c r="F1004" s="20" t="s">
        <v>3089</v>
      </c>
      <c r="G1004" s="20" t="s">
        <v>3545</v>
      </c>
      <c r="H1004" s="20" t="s">
        <v>3648</v>
      </c>
      <c r="I1004" s="20">
        <v>7</v>
      </c>
      <c r="J1004" s="20" t="s">
        <v>3649</v>
      </c>
      <c r="K1004" s="20" t="s">
        <v>3661</v>
      </c>
      <c r="L1004" s="20" t="s">
        <v>3651</v>
      </c>
      <c r="M1004" s="20" t="s">
        <v>2667</v>
      </c>
      <c r="N1004" s="20" t="s">
        <v>3505</v>
      </c>
      <c r="P1004" s="20" t="s">
        <v>2667</v>
      </c>
      <c r="Q1004" s="20" t="s">
        <v>2674</v>
      </c>
      <c r="R1004" s="20" t="s">
        <v>84</v>
      </c>
      <c r="S1004" s="20">
        <v>4</v>
      </c>
      <c r="T1004" s="20" t="s">
        <v>922</v>
      </c>
      <c r="U1004" s="20" t="s">
        <v>923</v>
      </c>
      <c r="V1004" s="20" t="s">
        <v>87</v>
      </c>
      <c r="W1004" s="20">
        <v>932</v>
      </c>
      <c r="X1004" s="20">
        <v>932</v>
      </c>
      <c r="Y1004" s="20" t="s">
        <v>3652</v>
      </c>
      <c r="Z1004" s="20">
        <v>0.16666666666666666</v>
      </c>
      <c r="AA1004" s="20" t="s">
        <v>3662</v>
      </c>
      <c r="AB1004" s="20" t="s">
        <v>159</v>
      </c>
      <c r="AC1004" s="20" t="s">
        <v>160</v>
      </c>
      <c r="AD1004" s="20" t="s">
        <v>3654</v>
      </c>
      <c r="AE1004" s="20" t="s">
        <v>400</v>
      </c>
      <c r="AF1004" s="20">
        <v>0.16666666666666666</v>
      </c>
      <c r="AG1004" s="20">
        <v>0</v>
      </c>
      <c r="AH1004" s="20">
        <v>1</v>
      </c>
      <c r="AI1004" s="4" t="s">
        <v>651</v>
      </c>
      <c r="AJ1004" s="20">
        <v>50</v>
      </c>
      <c r="AK1004" s="4" t="s">
        <v>679</v>
      </c>
      <c r="AL1004" s="4">
        <v>6</v>
      </c>
      <c r="AM1004" s="4" t="s">
        <v>112</v>
      </c>
      <c r="AN1004" s="4" t="s">
        <v>95</v>
      </c>
      <c r="AO1004" s="4" t="s">
        <v>680</v>
      </c>
      <c r="AP1004" s="4">
        <v>1</v>
      </c>
      <c r="AQ1004" s="20">
        <v>79000</v>
      </c>
      <c r="AR1004" s="4">
        <v>41855</v>
      </c>
      <c r="AS1004" s="20">
        <v>15959.595959595958</v>
      </c>
      <c r="AT1004" s="20">
        <v>17171.75</v>
      </c>
      <c r="AU1004" s="20">
        <v>1212.1540404040425</v>
      </c>
      <c r="AV1004" s="20">
        <v>0</v>
      </c>
      <c r="AW1004" s="20">
        <v>20</v>
      </c>
      <c r="AX1004" s="20" t="s">
        <v>91</v>
      </c>
      <c r="AY1004" s="20">
        <v>20</v>
      </c>
      <c r="AZ1004" s="20">
        <v>14.85</v>
      </c>
      <c r="BA1004" s="20">
        <v>0</v>
      </c>
      <c r="BB1004" s="6">
        <v>41855</v>
      </c>
      <c r="BC1004" s="6">
        <v>0</v>
      </c>
      <c r="BD1004" s="6">
        <v>41862</v>
      </c>
      <c r="BE1004" s="6">
        <v>0</v>
      </c>
      <c r="BF1004" s="6">
        <v>41862</v>
      </c>
      <c r="BG1004" s="6">
        <v>0</v>
      </c>
      <c r="BH1004" s="6">
        <v>0</v>
      </c>
      <c r="BI1004" s="6">
        <v>0</v>
      </c>
      <c r="BJ1004" s="6">
        <v>0</v>
      </c>
      <c r="BK1004" s="4">
        <v>0</v>
      </c>
      <c r="BL1004" s="4">
        <v>0</v>
      </c>
      <c r="BM1004" s="20">
        <v>50</v>
      </c>
      <c r="BN1004" s="20">
        <v>0</v>
      </c>
      <c r="BO1004" s="20">
        <v>0</v>
      </c>
      <c r="BP1004" s="20">
        <v>0</v>
      </c>
      <c r="BQ1004" s="20">
        <v>0</v>
      </c>
      <c r="BR1004" s="20">
        <v>0</v>
      </c>
      <c r="BS1004" s="20">
        <v>50</v>
      </c>
      <c r="BT1004" s="20">
        <v>858587.5</v>
      </c>
      <c r="BU1004" s="20">
        <v>3950000</v>
      </c>
      <c r="BV1004" s="20">
        <v>4.1823449455170154</v>
      </c>
    </row>
    <row r="1005" spans="1:74">
      <c r="A1005" s="10">
        <f t="shared" si="62"/>
        <v>0</v>
      </c>
      <c r="B1005" s="10">
        <f t="shared" si="63"/>
        <v>0</v>
      </c>
      <c r="C1005" s="12">
        <f t="shared" si="64"/>
        <v>8</v>
      </c>
      <c r="D1005" s="12">
        <f t="shared" si="65"/>
        <v>8</v>
      </c>
      <c r="E1005" s="20" t="s">
        <v>574</v>
      </c>
      <c r="F1005" s="20" t="s">
        <v>3089</v>
      </c>
      <c r="G1005" s="20" t="s">
        <v>3545</v>
      </c>
      <c r="H1005" s="20" t="s">
        <v>3648</v>
      </c>
      <c r="I1005" s="20">
        <v>7</v>
      </c>
      <c r="J1005" s="20" t="s">
        <v>3649</v>
      </c>
      <c r="K1005" s="20" t="s">
        <v>3663</v>
      </c>
      <c r="L1005" s="20" t="s">
        <v>3651</v>
      </c>
      <c r="M1005" s="20" t="s">
        <v>2667</v>
      </c>
      <c r="N1005" s="20" t="s">
        <v>3505</v>
      </c>
      <c r="P1005" s="20" t="s">
        <v>2667</v>
      </c>
      <c r="Q1005" s="20" t="s">
        <v>2674</v>
      </c>
      <c r="R1005" s="20" t="s">
        <v>84</v>
      </c>
      <c r="S1005" s="20">
        <v>4</v>
      </c>
      <c r="T1005" s="20" t="s">
        <v>922</v>
      </c>
      <c r="U1005" s="20" t="s">
        <v>923</v>
      </c>
      <c r="V1005" s="20" t="s">
        <v>87</v>
      </c>
      <c r="W1005" s="20">
        <v>932</v>
      </c>
      <c r="X1005" s="20">
        <v>932</v>
      </c>
      <c r="Y1005" s="20" t="s">
        <v>3652</v>
      </c>
      <c r="Z1005" s="20">
        <v>0.16666666666666666</v>
      </c>
      <c r="AA1005" s="20" t="s">
        <v>3664</v>
      </c>
      <c r="AB1005" s="20" t="s">
        <v>159</v>
      </c>
      <c r="AC1005" s="20" t="s">
        <v>160</v>
      </c>
      <c r="AD1005" s="20" t="s">
        <v>3654</v>
      </c>
      <c r="AE1005" s="20" t="s">
        <v>400</v>
      </c>
      <c r="AF1005" s="20">
        <v>0.16666666666666666</v>
      </c>
      <c r="AG1005" s="20">
        <v>0</v>
      </c>
      <c r="AH1005" s="20">
        <v>1</v>
      </c>
      <c r="AI1005" s="4" t="s">
        <v>640</v>
      </c>
      <c r="AJ1005" s="20">
        <v>50</v>
      </c>
      <c r="AK1005" s="4" t="s">
        <v>679</v>
      </c>
      <c r="AL1005" s="4">
        <v>6</v>
      </c>
      <c r="AM1005" s="4" t="s">
        <v>112</v>
      </c>
      <c r="AN1005" s="4" t="s">
        <v>95</v>
      </c>
      <c r="AO1005" s="4" t="s">
        <v>680</v>
      </c>
      <c r="AP1005" s="4">
        <v>1</v>
      </c>
      <c r="AQ1005" s="20">
        <v>79000</v>
      </c>
      <c r="AR1005" s="4">
        <v>41855</v>
      </c>
      <c r="AS1005" s="20">
        <v>15959.595959595958</v>
      </c>
      <c r="AT1005" s="20">
        <v>17171.75</v>
      </c>
      <c r="AU1005" s="20">
        <v>1212.1540404040425</v>
      </c>
      <c r="AV1005" s="20">
        <v>0</v>
      </c>
      <c r="AW1005" s="20">
        <v>20</v>
      </c>
      <c r="AX1005" s="20" t="s">
        <v>91</v>
      </c>
      <c r="AY1005" s="20">
        <v>20</v>
      </c>
      <c r="AZ1005" s="20">
        <v>14.85</v>
      </c>
      <c r="BA1005" s="20">
        <v>0</v>
      </c>
      <c r="BB1005" s="6">
        <v>41855</v>
      </c>
      <c r="BC1005" s="6">
        <v>0</v>
      </c>
      <c r="BD1005" s="6">
        <v>41862</v>
      </c>
      <c r="BE1005" s="6">
        <v>0</v>
      </c>
      <c r="BF1005" s="6">
        <v>41862</v>
      </c>
      <c r="BG1005" s="6">
        <v>0</v>
      </c>
      <c r="BH1005" s="6">
        <v>0</v>
      </c>
      <c r="BI1005" s="6">
        <v>0</v>
      </c>
      <c r="BJ1005" s="6">
        <v>0</v>
      </c>
      <c r="BK1005" s="4">
        <v>0</v>
      </c>
      <c r="BL1005" s="4">
        <v>0</v>
      </c>
      <c r="BM1005" s="20">
        <v>50</v>
      </c>
      <c r="BN1005" s="20">
        <v>0</v>
      </c>
      <c r="BO1005" s="20">
        <v>0</v>
      </c>
      <c r="BP1005" s="20">
        <v>0</v>
      </c>
      <c r="BQ1005" s="20">
        <v>0</v>
      </c>
      <c r="BR1005" s="20">
        <v>0</v>
      </c>
      <c r="BS1005" s="20">
        <v>50</v>
      </c>
      <c r="BT1005" s="20">
        <v>858587.5</v>
      </c>
      <c r="BU1005" s="20">
        <v>3950000</v>
      </c>
      <c r="BV1005" s="20">
        <v>4.1823449455170154</v>
      </c>
    </row>
    <row r="1006" spans="1:74">
      <c r="A1006" s="10">
        <f t="shared" si="62"/>
        <v>0</v>
      </c>
      <c r="B1006" s="10">
        <f t="shared" si="63"/>
        <v>0</v>
      </c>
      <c r="C1006" s="12">
        <f t="shared" si="64"/>
        <v>8</v>
      </c>
      <c r="D1006" s="12">
        <f t="shared" si="65"/>
        <v>8</v>
      </c>
      <c r="E1006" s="20" t="s">
        <v>574</v>
      </c>
      <c r="F1006" s="20" t="s">
        <v>3089</v>
      </c>
      <c r="G1006" s="20" t="s">
        <v>3545</v>
      </c>
      <c r="H1006" s="20" t="s">
        <v>3665</v>
      </c>
      <c r="I1006" s="20">
        <v>8</v>
      </c>
      <c r="J1006" s="20" t="s">
        <v>3666</v>
      </c>
      <c r="K1006" s="20" t="s">
        <v>3667</v>
      </c>
      <c r="L1006" s="20" t="s">
        <v>3668</v>
      </c>
      <c r="M1006" s="20" t="s">
        <v>2667</v>
      </c>
      <c r="N1006" s="20" t="s">
        <v>3505</v>
      </c>
      <c r="P1006" s="20" t="s">
        <v>2667</v>
      </c>
      <c r="Q1006" s="20" t="s">
        <v>2674</v>
      </c>
      <c r="R1006" s="20" t="s">
        <v>84</v>
      </c>
      <c r="S1006" s="20">
        <v>4</v>
      </c>
      <c r="T1006" s="20" t="s">
        <v>922</v>
      </c>
      <c r="U1006" s="20" t="s">
        <v>923</v>
      </c>
      <c r="V1006" s="20" t="s">
        <v>87</v>
      </c>
      <c r="W1006" s="20">
        <v>933</v>
      </c>
      <c r="X1006" s="20">
        <v>933</v>
      </c>
      <c r="Y1006" s="20" t="s">
        <v>3669</v>
      </c>
      <c r="Z1006" s="20">
        <v>0.16666666666666666</v>
      </c>
      <c r="AA1006" s="20" t="s">
        <v>3670</v>
      </c>
      <c r="AB1006" s="20" t="s">
        <v>101</v>
      </c>
      <c r="AC1006" s="20" t="s">
        <v>102</v>
      </c>
      <c r="AD1006" s="20" t="s">
        <v>3671</v>
      </c>
      <c r="AE1006" s="20" t="s">
        <v>400</v>
      </c>
      <c r="AF1006" s="20">
        <v>0.16666666666666666</v>
      </c>
      <c r="AG1006" s="20">
        <v>0</v>
      </c>
      <c r="AH1006" s="20">
        <v>1</v>
      </c>
      <c r="AI1006" s="4" t="s">
        <v>643</v>
      </c>
      <c r="AJ1006" s="20">
        <v>100</v>
      </c>
      <c r="AK1006" s="4" t="s">
        <v>679</v>
      </c>
      <c r="AL1006" s="4">
        <v>6</v>
      </c>
      <c r="AM1006" s="4" t="s">
        <v>112</v>
      </c>
      <c r="AN1006" s="4" t="s">
        <v>95</v>
      </c>
      <c r="AO1006" s="4" t="s">
        <v>680</v>
      </c>
      <c r="AP1006" s="4">
        <v>1</v>
      </c>
      <c r="AQ1006" s="20">
        <v>79000</v>
      </c>
      <c r="AR1006" s="4">
        <v>41855</v>
      </c>
      <c r="AS1006" s="20">
        <v>15959.595959595958</v>
      </c>
      <c r="AT1006" s="20">
        <v>17922.500000000004</v>
      </c>
      <c r="AU1006" s="20">
        <v>1962.9040404040461</v>
      </c>
      <c r="AV1006" s="20">
        <v>0</v>
      </c>
      <c r="AW1006" s="20">
        <v>20</v>
      </c>
      <c r="AX1006" s="20" t="s">
        <v>91</v>
      </c>
      <c r="AY1006" s="20">
        <v>20</v>
      </c>
      <c r="AZ1006" s="20">
        <v>15.5</v>
      </c>
      <c r="BA1006" s="20">
        <v>0</v>
      </c>
      <c r="BB1006" s="6">
        <v>41855</v>
      </c>
      <c r="BC1006" s="6">
        <v>0</v>
      </c>
      <c r="BD1006" s="6">
        <v>41862</v>
      </c>
      <c r="BE1006" s="6">
        <v>0</v>
      </c>
      <c r="BF1006" s="6">
        <v>41862</v>
      </c>
      <c r="BG1006" s="6">
        <v>0</v>
      </c>
      <c r="BH1006" s="6">
        <v>0</v>
      </c>
      <c r="BI1006" s="6">
        <v>0</v>
      </c>
      <c r="BJ1006" s="6">
        <v>0</v>
      </c>
      <c r="BK1006" s="4">
        <v>0</v>
      </c>
      <c r="BL1006" s="4">
        <v>0</v>
      </c>
      <c r="BM1006" s="20">
        <v>100</v>
      </c>
      <c r="BN1006" s="20">
        <v>0</v>
      </c>
      <c r="BO1006" s="20">
        <v>0</v>
      </c>
      <c r="BP1006" s="20">
        <v>0</v>
      </c>
      <c r="BQ1006" s="20">
        <v>0</v>
      </c>
      <c r="BR1006" s="20">
        <v>0</v>
      </c>
      <c r="BS1006" s="20">
        <v>100</v>
      </c>
      <c r="BT1006" s="20">
        <v>1792250.0000000005</v>
      </c>
      <c r="BU1006" s="20">
        <v>7900000</v>
      </c>
      <c r="BV1006" s="20">
        <v>4.0071520054781304</v>
      </c>
    </row>
    <row r="1007" spans="1:74">
      <c r="A1007" s="10">
        <f t="shared" si="62"/>
        <v>0</v>
      </c>
      <c r="B1007" s="10">
        <f t="shared" si="63"/>
        <v>0</v>
      </c>
      <c r="C1007" s="12">
        <f t="shared" si="64"/>
        <v>8</v>
      </c>
      <c r="D1007" s="12">
        <f t="shared" si="65"/>
        <v>8</v>
      </c>
      <c r="E1007" s="20" t="s">
        <v>574</v>
      </c>
      <c r="F1007" s="20" t="s">
        <v>3089</v>
      </c>
      <c r="G1007" s="20" t="s">
        <v>3545</v>
      </c>
      <c r="H1007" s="20" t="s">
        <v>3665</v>
      </c>
      <c r="I1007" s="20">
        <v>8</v>
      </c>
      <c r="J1007" s="20" t="s">
        <v>3666</v>
      </c>
      <c r="K1007" s="20" t="s">
        <v>3672</v>
      </c>
      <c r="L1007" s="20" t="s">
        <v>3668</v>
      </c>
      <c r="M1007" s="20" t="s">
        <v>2667</v>
      </c>
      <c r="N1007" s="20" t="s">
        <v>3505</v>
      </c>
      <c r="P1007" s="20" t="s">
        <v>2667</v>
      </c>
      <c r="Q1007" s="20" t="s">
        <v>2674</v>
      </c>
      <c r="R1007" s="20" t="s">
        <v>84</v>
      </c>
      <c r="S1007" s="20">
        <v>4</v>
      </c>
      <c r="T1007" s="20" t="s">
        <v>922</v>
      </c>
      <c r="U1007" s="20" t="s">
        <v>923</v>
      </c>
      <c r="V1007" s="20" t="s">
        <v>87</v>
      </c>
      <c r="W1007" s="20">
        <v>933</v>
      </c>
      <c r="X1007" s="20">
        <v>933</v>
      </c>
      <c r="Y1007" s="20" t="s">
        <v>3669</v>
      </c>
      <c r="Z1007" s="20">
        <v>0.16666666666666666</v>
      </c>
      <c r="AA1007" s="20" t="s">
        <v>3673</v>
      </c>
      <c r="AB1007" s="20" t="s">
        <v>101</v>
      </c>
      <c r="AC1007" s="20" t="s">
        <v>102</v>
      </c>
      <c r="AD1007" s="20" t="s">
        <v>3671</v>
      </c>
      <c r="AE1007" s="20" t="s">
        <v>400</v>
      </c>
      <c r="AF1007" s="20">
        <v>0.16666666666666666</v>
      </c>
      <c r="AG1007" s="20">
        <v>0</v>
      </c>
      <c r="AH1007" s="20">
        <v>1</v>
      </c>
      <c r="AI1007" s="4" t="s">
        <v>645</v>
      </c>
      <c r="AJ1007" s="20">
        <v>100</v>
      </c>
      <c r="AK1007" s="4" t="s">
        <v>679</v>
      </c>
      <c r="AL1007" s="4">
        <v>6</v>
      </c>
      <c r="AM1007" s="4" t="s">
        <v>112</v>
      </c>
      <c r="AN1007" s="4" t="s">
        <v>95</v>
      </c>
      <c r="AO1007" s="4" t="s">
        <v>680</v>
      </c>
      <c r="AP1007" s="4">
        <v>1</v>
      </c>
      <c r="AQ1007" s="20">
        <v>79000</v>
      </c>
      <c r="AR1007" s="4">
        <v>41855</v>
      </c>
      <c r="AS1007" s="20">
        <v>15959.595959595958</v>
      </c>
      <c r="AT1007" s="20">
        <v>17922.500000000004</v>
      </c>
      <c r="AU1007" s="20">
        <v>1962.9040404040461</v>
      </c>
      <c r="AV1007" s="20">
        <v>0</v>
      </c>
      <c r="AW1007" s="20">
        <v>20</v>
      </c>
      <c r="AX1007" s="20" t="s">
        <v>91</v>
      </c>
      <c r="AY1007" s="20">
        <v>20</v>
      </c>
      <c r="AZ1007" s="20">
        <v>15.5</v>
      </c>
      <c r="BA1007" s="20">
        <v>0</v>
      </c>
      <c r="BB1007" s="6">
        <v>41855</v>
      </c>
      <c r="BC1007" s="6">
        <v>0</v>
      </c>
      <c r="BD1007" s="6">
        <v>41862</v>
      </c>
      <c r="BE1007" s="6">
        <v>0</v>
      </c>
      <c r="BF1007" s="6">
        <v>41862</v>
      </c>
      <c r="BG1007" s="6">
        <v>0</v>
      </c>
      <c r="BH1007" s="6">
        <v>0</v>
      </c>
      <c r="BI1007" s="6">
        <v>0</v>
      </c>
      <c r="BJ1007" s="6">
        <v>0</v>
      </c>
      <c r="BK1007" s="4">
        <v>0</v>
      </c>
      <c r="BL1007" s="4">
        <v>0</v>
      </c>
      <c r="BM1007" s="20">
        <v>100</v>
      </c>
      <c r="BN1007" s="20">
        <v>0</v>
      </c>
      <c r="BO1007" s="20">
        <v>0</v>
      </c>
      <c r="BP1007" s="20">
        <v>0</v>
      </c>
      <c r="BQ1007" s="20">
        <v>0</v>
      </c>
      <c r="BR1007" s="20">
        <v>0</v>
      </c>
      <c r="BS1007" s="20">
        <v>100</v>
      </c>
      <c r="BT1007" s="20">
        <v>1792250.0000000005</v>
      </c>
      <c r="BU1007" s="20">
        <v>7900000</v>
      </c>
      <c r="BV1007" s="20">
        <v>4.0071520054781304</v>
      </c>
    </row>
    <row r="1008" spans="1:74">
      <c r="A1008" s="10">
        <f t="shared" si="62"/>
        <v>0</v>
      </c>
      <c r="B1008" s="10">
        <f t="shared" si="63"/>
        <v>0</v>
      </c>
      <c r="C1008" s="12">
        <f t="shared" si="64"/>
        <v>8</v>
      </c>
      <c r="D1008" s="12">
        <f t="shared" si="65"/>
        <v>8</v>
      </c>
      <c r="E1008" s="20" t="s">
        <v>574</v>
      </c>
      <c r="F1008" s="20" t="s">
        <v>3089</v>
      </c>
      <c r="G1008" s="20" t="s">
        <v>3545</v>
      </c>
      <c r="H1008" s="20" t="s">
        <v>3665</v>
      </c>
      <c r="I1008" s="20">
        <v>8</v>
      </c>
      <c r="J1008" s="20" t="s">
        <v>3666</v>
      </c>
      <c r="K1008" s="20" t="s">
        <v>3674</v>
      </c>
      <c r="L1008" s="20" t="s">
        <v>3668</v>
      </c>
      <c r="M1008" s="20" t="s">
        <v>2667</v>
      </c>
      <c r="N1008" s="20" t="s">
        <v>3505</v>
      </c>
      <c r="P1008" s="20" t="s">
        <v>2667</v>
      </c>
      <c r="Q1008" s="20" t="s">
        <v>2674</v>
      </c>
      <c r="R1008" s="20" t="s">
        <v>84</v>
      </c>
      <c r="S1008" s="20">
        <v>4</v>
      </c>
      <c r="T1008" s="20" t="s">
        <v>922</v>
      </c>
      <c r="U1008" s="20" t="s">
        <v>923</v>
      </c>
      <c r="V1008" s="20" t="s">
        <v>87</v>
      </c>
      <c r="W1008" s="20">
        <v>933</v>
      </c>
      <c r="X1008" s="20">
        <v>933</v>
      </c>
      <c r="Y1008" s="20" t="s">
        <v>3669</v>
      </c>
      <c r="Z1008" s="20">
        <v>0.16666666666666666</v>
      </c>
      <c r="AA1008" s="20" t="s">
        <v>3675</v>
      </c>
      <c r="AB1008" s="20" t="s">
        <v>101</v>
      </c>
      <c r="AC1008" s="20" t="s">
        <v>102</v>
      </c>
      <c r="AD1008" s="20" t="s">
        <v>3671</v>
      </c>
      <c r="AE1008" s="20" t="s">
        <v>400</v>
      </c>
      <c r="AF1008" s="20">
        <v>0.16666666666666666</v>
      </c>
      <c r="AG1008" s="20">
        <v>0</v>
      </c>
      <c r="AH1008" s="20">
        <v>1</v>
      </c>
      <c r="AI1008" s="4" t="s">
        <v>647</v>
      </c>
      <c r="AJ1008" s="20">
        <v>50</v>
      </c>
      <c r="AK1008" s="4" t="s">
        <v>679</v>
      </c>
      <c r="AL1008" s="4">
        <v>6</v>
      </c>
      <c r="AM1008" s="4" t="s">
        <v>112</v>
      </c>
      <c r="AN1008" s="4" t="s">
        <v>95</v>
      </c>
      <c r="AO1008" s="4" t="s">
        <v>680</v>
      </c>
      <c r="AP1008" s="4">
        <v>1</v>
      </c>
      <c r="AQ1008" s="20">
        <v>79000</v>
      </c>
      <c r="AR1008" s="4">
        <v>41855</v>
      </c>
      <c r="AS1008" s="20">
        <v>15959.595959595958</v>
      </c>
      <c r="AT1008" s="20">
        <v>17922.500000000004</v>
      </c>
      <c r="AU1008" s="20">
        <v>1962.9040404040461</v>
      </c>
      <c r="AV1008" s="20">
        <v>0</v>
      </c>
      <c r="AW1008" s="20">
        <v>20</v>
      </c>
      <c r="AX1008" s="20" t="s">
        <v>91</v>
      </c>
      <c r="AY1008" s="20">
        <v>20</v>
      </c>
      <c r="AZ1008" s="20">
        <v>15.5</v>
      </c>
      <c r="BA1008" s="20">
        <v>0</v>
      </c>
      <c r="BB1008" s="6">
        <v>41855</v>
      </c>
      <c r="BC1008" s="6">
        <v>0</v>
      </c>
      <c r="BD1008" s="6">
        <v>41862</v>
      </c>
      <c r="BE1008" s="6">
        <v>0</v>
      </c>
      <c r="BF1008" s="6">
        <v>41862</v>
      </c>
      <c r="BG1008" s="6">
        <v>0</v>
      </c>
      <c r="BH1008" s="6">
        <v>0</v>
      </c>
      <c r="BI1008" s="6">
        <v>0</v>
      </c>
      <c r="BJ1008" s="6">
        <v>0</v>
      </c>
      <c r="BK1008" s="4">
        <v>0</v>
      </c>
      <c r="BL1008" s="4">
        <v>0</v>
      </c>
      <c r="BM1008" s="20">
        <v>50</v>
      </c>
      <c r="BN1008" s="20">
        <v>0</v>
      </c>
      <c r="BO1008" s="20">
        <v>0</v>
      </c>
      <c r="BP1008" s="20">
        <v>0</v>
      </c>
      <c r="BQ1008" s="20">
        <v>0</v>
      </c>
      <c r="BR1008" s="20">
        <v>0</v>
      </c>
      <c r="BS1008" s="20">
        <v>50</v>
      </c>
      <c r="BT1008" s="20">
        <v>896125.00000000023</v>
      </c>
      <c r="BU1008" s="20">
        <v>3950000</v>
      </c>
      <c r="BV1008" s="20">
        <v>4.0071520054781304</v>
      </c>
    </row>
    <row r="1009" spans="1:74">
      <c r="A1009" s="10">
        <f t="shared" si="62"/>
        <v>0</v>
      </c>
      <c r="B1009" s="10">
        <f t="shared" si="63"/>
        <v>0</v>
      </c>
      <c r="C1009" s="12">
        <f t="shared" si="64"/>
        <v>8</v>
      </c>
      <c r="D1009" s="12">
        <f t="shared" si="65"/>
        <v>8</v>
      </c>
      <c r="E1009" s="20" t="s">
        <v>574</v>
      </c>
      <c r="F1009" s="20" t="s">
        <v>3089</v>
      </c>
      <c r="G1009" s="20" t="s">
        <v>3545</v>
      </c>
      <c r="H1009" s="20" t="s">
        <v>3665</v>
      </c>
      <c r="I1009" s="20">
        <v>8</v>
      </c>
      <c r="J1009" s="20" t="s">
        <v>3666</v>
      </c>
      <c r="K1009" s="20" t="s">
        <v>3676</v>
      </c>
      <c r="L1009" s="20" t="s">
        <v>3668</v>
      </c>
      <c r="M1009" s="20" t="s">
        <v>2667</v>
      </c>
      <c r="N1009" s="20" t="s">
        <v>3505</v>
      </c>
      <c r="P1009" s="20" t="s">
        <v>2667</v>
      </c>
      <c r="Q1009" s="20" t="s">
        <v>2674</v>
      </c>
      <c r="R1009" s="20" t="s">
        <v>84</v>
      </c>
      <c r="S1009" s="20">
        <v>4</v>
      </c>
      <c r="T1009" s="20" t="s">
        <v>922</v>
      </c>
      <c r="U1009" s="20" t="s">
        <v>923</v>
      </c>
      <c r="V1009" s="20" t="s">
        <v>87</v>
      </c>
      <c r="W1009" s="20">
        <v>933</v>
      </c>
      <c r="X1009" s="20">
        <v>933</v>
      </c>
      <c r="Y1009" s="20" t="s">
        <v>3669</v>
      </c>
      <c r="Z1009" s="20">
        <v>0.16666666666666666</v>
      </c>
      <c r="AA1009" s="20" t="s">
        <v>3677</v>
      </c>
      <c r="AB1009" s="20" t="s">
        <v>101</v>
      </c>
      <c r="AC1009" s="20" t="s">
        <v>102</v>
      </c>
      <c r="AD1009" s="20" t="s">
        <v>3671</v>
      </c>
      <c r="AE1009" s="20" t="s">
        <v>400</v>
      </c>
      <c r="AF1009" s="20">
        <v>0.16666666666666666</v>
      </c>
      <c r="AG1009" s="20">
        <v>0</v>
      </c>
      <c r="AH1009" s="20">
        <v>1</v>
      </c>
      <c r="AI1009" s="4" t="s">
        <v>649</v>
      </c>
      <c r="AJ1009" s="20">
        <v>30</v>
      </c>
      <c r="AK1009" s="4" t="s">
        <v>679</v>
      </c>
      <c r="AL1009" s="4">
        <v>6</v>
      </c>
      <c r="AM1009" s="4" t="s">
        <v>112</v>
      </c>
      <c r="AN1009" s="4" t="s">
        <v>95</v>
      </c>
      <c r="AO1009" s="4" t="s">
        <v>680</v>
      </c>
      <c r="AP1009" s="4">
        <v>1</v>
      </c>
      <c r="AQ1009" s="20">
        <v>79000</v>
      </c>
      <c r="AR1009" s="4">
        <v>41855</v>
      </c>
      <c r="AS1009" s="20">
        <v>15959.595959595958</v>
      </c>
      <c r="AT1009" s="20">
        <v>17922.500000000004</v>
      </c>
      <c r="AU1009" s="20">
        <v>1962.9040404040461</v>
      </c>
      <c r="AV1009" s="20">
        <v>0</v>
      </c>
      <c r="AW1009" s="20">
        <v>20</v>
      </c>
      <c r="AX1009" s="20" t="s">
        <v>91</v>
      </c>
      <c r="AY1009" s="20">
        <v>20</v>
      </c>
      <c r="AZ1009" s="20">
        <v>15.5</v>
      </c>
      <c r="BA1009" s="20">
        <v>0</v>
      </c>
      <c r="BB1009" s="6">
        <v>41855</v>
      </c>
      <c r="BC1009" s="6">
        <v>0</v>
      </c>
      <c r="BD1009" s="6">
        <v>41862</v>
      </c>
      <c r="BE1009" s="6">
        <v>0</v>
      </c>
      <c r="BF1009" s="6">
        <v>41862</v>
      </c>
      <c r="BG1009" s="6">
        <v>0</v>
      </c>
      <c r="BH1009" s="6">
        <v>0</v>
      </c>
      <c r="BI1009" s="6">
        <v>0</v>
      </c>
      <c r="BJ1009" s="6">
        <v>0</v>
      </c>
      <c r="BK1009" s="4">
        <v>0</v>
      </c>
      <c r="BL1009" s="4">
        <v>0</v>
      </c>
      <c r="BM1009" s="20">
        <v>30</v>
      </c>
      <c r="BN1009" s="20">
        <v>0</v>
      </c>
      <c r="BO1009" s="20">
        <v>0</v>
      </c>
      <c r="BP1009" s="20">
        <v>0</v>
      </c>
      <c r="BQ1009" s="20">
        <v>0</v>
      </c>
      <c r="BR1009" s="20">
        <v>0</v>
      </c>
      <c r="BS1009" s="20">
        <v>30</v>
      </c>
      <c r="BT1009" s="20">
        <v>537675.00000000012</v>
      </c>
      <c r="BU1009" s="20">
        <v>2370000</v>
      </c>
      <c r="BV1009" s="20">
        <v>4.0071520054781304</v>
      </c>
    </row>
    <row r="1010" spans="1:74">
      <c r="A1010" s="10">
        <f t="shared" si="62"/>
        <v>0</v>
      </c>
      <c r="B1010" s="10">
        <f t="shared" si="63"/>
        <v>0</v>
      </c>
      <c r="C1010" s="12">
        <f t="shared" si="64"/>
        <v>8</v>
      </c>
      <c r="D1010" s="12">
        <f t="shared" si="65"/>
        <v>8</v>
      </c>
      <c r="E1010" s="20" t="s">
        <v>574</v>
      </c>
      <c r="F1010" s="20" t="s">
        <v>3089</v>
      </c>
      <c r="G1010" s="20" t="s">
        <v>3545</v>
      </c>
      <c r="H1010" s="20" t="s">
        <v>3665</v>
      </c>
      <c r="I1010" s="20">
        <v>8</v>
      </c>
      <c r="J1010" s="20" t="s">
        <v>3666</v>
      </c>
      <c r="K1010" s="20" t="s">
        <v>3678</v>
      </c>
      <c r="L1010" s="20" t="s">
        <v>3668</v>
      </c>
      <c r="M1010" s="20" t="s">
        <v>2667</v>
      </c>
      <c r="N1010" s="20" t="s">
        <v>3505</v>
      </c>
      <c r="P1010" s="20" t="s">
        <v>2667</v>
      </c>
      <c r="Q1010" s="20" t="s">
        <v>2674</v>
      </c>
      <c r="R1010" s="20" t="s">
        <v>84</v>
      </c>
      <c r="S1010" s="20">
        <v>4</v>
      </c>
      <c r="T1010" s="20" t="s">
        <v>922</v>
      </c>
      <c r="U1010" s="20" t="s">
        <v>923</v>
      </c>
      <c r="V1010" s="20" t="s">
        <v>87</v>
      </c>
      <c r="W1010" s="20">
        <v>933</v>
      </c>
      <c r="X1010" s="20">
        <v>933</v>
      </c>
      <c r="Y1010" s="20" t="s">
        <v>3669</v>
      </c>
      <c r="Z1010" s="20">
        <v>0.16666666666666666</v>
      </c>
      <c r="AA1010" s="20" t="s">
        <v>3679</v>
      </c>
      <c r="AB1010" s="20" t="s">
        <v>101</v>
      </c>
      <c r="AC1010" s="20" t="s">
        <v>102</v>
      </c>
      <c r="AD1010" s="20" t="s">
        <v>3671</v>
      </c>
      <c r="AE1010" s="20" t="s">
        <v>400</v>
      </c>
      <c r="AF1010" s="20">
        <v>0.16666666666666666</v>
      </c>
      <c r="AG1010" s="20">
        <v>0</v>
      </c>
      <c r="AH1010" s="20">
        <v>1</v>
      </c>
      <c r="AI1010" s="4" t="s">
        <v>651</v>
      </c>
      <c r="AJ1010" s="20">
        <v>30</v>
      </c>
      <c r="AK1010" s="4" t="s">
        <v>679</v>
      </c>
      <c r="AL1010" s="4">
        <v>6</v>
      </c>
      <c r="AM1010" s="4" t="s">
        <v>112</v>
      </c>
      <c r="AN1010" s="4" t="s">
        <v>95</v>
      </c>
      <c r="AO1010" s="4" t="s">
        <v>680</v>
      </c>
      <c r="AP1010" s="4">
        <v>1</v>
      </c>
      <c r="AQ1010" s="20">
        <v>79000</v>
      </c>
      <c r="AR1010" s="4">
        <v>41855</v>
      </c>
      <c r="AS1010" s="20">
        <v>15959.595959595958</v>
      </c>
      <c r="AT1010" s="20">
        <v>17922.500000000004</v>
      </c>
      <c r="AU1010" s="20">
        <v>1962.9040404040461</v>
      </c>
      <c r="AV1010" s="20">
        <v>0</v>
      </c>
      <c r="AW1010" s="20">
        <v>20</v>
      </c>
      <c r="AX1010" s="20" t="s">
        <v>91</v>
      </c>
      <c r="AY1010" s="20">
        <v>20</v>
      </c>
      <c r="AZ1010" s="20">
        <v>15.5</v>
      </c>
      <c r="BA1010" s="20">
        <v>0</v>
      </c>
      <c r="BB1010" s="6">
        <v>41855</v>
      </c>
      <c r="BC1010" s="6">
        <v>0</v>
      </c>
      <c r="BD1010" s="6">
        <v>41862</v>
      </c>
      <c r="BE1010" s="6">
        <v>0</v>
      </c>
      <c r="BF1010" s="6">
        <v>41862</v>
      </c>
      <c r="BG1010" s="6">
        <v>0</v>
      </c>
      <c r="BH1010" s="6">
        <v>0</v>
      </c>
      <c r="BI1010" s="6">
        <v>0</v>
      </c>
      <c r="BJ1010" s="6">
        <v>0</v>
      </c>
      <c r="BK1010" s="4">
        <v>0</v>
      </c>
      <c r="BL1010" s="4">
        <v>0</v>
      </c>
      <c r="BM1010" s="20">
        <v>30</v>
      </c>
      <c r="BN1010" s="20">
        <v>0</v>
      </c>
      <c r="BO1010" s="20">
        <v>0</v>
      </c>
      <c r="BP1010" s="20">
        <v>0</v>
      </c>
      <c r="BQ1010" s="20">
        <v>0</v>
      </c>
      <c r="BR1010" s="20">
        <v>0</v>
      </c>
      <c r="BS1010" s="20">
        <v>30</v>
      </c>
      <c r="BT1010" s="20">
        <v>537675.00000000012</v>
      </c>
      <c r="BU1010" s="20">
        <v>2370000</v>
      </c>
      <c r="BV1010" s="20">
        <v>4.0071520054781304</v>
      </c>
    </row>
    <row r="1011" spans="1:74">
      <c r="A1011" s="10">
        <f t="shared" si="62"/>
        <v>0</v>
      </c>
      <c r="B1011" s="10">
        <f t="shared" si="63"/>
        <v>0</v>
      </c>
      <c r="C1011" s="12">
        <f t="shared" si="64"/>
        <v>8</v>
      </c>
      <c r="D1011" s="12">
        <f t="shared" si="65"/>
        <v>8</v>
      </c>
      <c r="E1011" s="20" t="s">
        <v>574</v>
      </c>
      <c r="F1011" s="20" t="s">
        <v>3089</v>
      </c>
      <c r="G1011" s="20" t="s">
        <v>3545</v>
      </c>
      <c r="H1011" s="20" t="s">
        <v>3665</v>
      </c>
      <c r="I1011" s="20">
        <v>8</v>
      </c>
      <c r="J1011" s="20" t="s">
        <v>3666</v>
      </c>
      <c r="K1011" s="20" t="s">
        <v>3680</v>
      </c>
      <c r="L1011" s="20" t="s">
        <v>3668</v>
      </c>
      <c r="M1011" s="20" t="s">
        <v>2667</v>
      </c>
      <c r="N1011" s="20" t="s">
        <v>3505</v>
      </c>
      <c r="P1011" s="20" t="s">
        <v>2667</v>
      </c>
      <c r="Q1011" s="20" t="s">
        <v>2674</v>
      </c>
      <c r="R1011" s="20" t="s">
        <v>84</v>
      </c>
      <c r="S1011" s="20">
        <v>4</v>
      </c>
      <c r="T1011" s="20" t="s">
        <v>922</v>
      </c>
      <c r="U1011" s="20" t="s">
        <v>923</v>
      </c>
      <c r="V1011" s="20" t="s">
        <v>87</v>
      </c>
      <c r="W1011" s="20">
        <v>933</v>
      </c>
      <c r="X1011" s="20">
        <v>933</v>
      </c>
      <c r="Y1011" s="20" t="s">
        <v>3669</v>
      </c>
      <c r="Z1011" s="20">
        <v>0.16666666666666666</v>
      </c>
      <c r="AA1011" s="20" t="s">
        <v>3681</v>
      </c>
      <c r="AB1011" s="20" t="s">
        <v>101</v>
      </c>
      <c r="AC1011" s="20" t="s">
        <v>102</v>
      </c>
      <c r="AD1011" s="20" t="s">
        <v>3671</v>
      </c>
      <c r="AE1011" s="20" t="s">
        <v>400</v>
      </c>
      <c r="AF1011" s="20">
        <v>0.16666666666666666</v>
      </c>
      <c r="AG1011" s="20">
        <v>0</v>
      </c>
      <c r="AH1011" s="20">
        <v>1</v>
      </c>
      <c r="AI1011" s="4" t="s">
        <v>640</v>
      </c>
      <c r="AJ1011" s="20">
        <v>50</v>
      </c>
      <c r="AK1011" s="4" t="s">
        <v>679</v>
      </c>
      <c r="AL1011" s="4">
        <v>6</v>
      </c>
      <c r="AM1011" s="4" t="s">
        <v>112</v>
      </c>
      <c r="AN1011" s="4" t="s">
        <v>95</v>
      </c>
      <c r="AO1011" s="4" t="s">
        <v>680</v>
      </c>
      <c r="AP1011" s="4">
        <v>1</v>
      </c>
      <c r="AQ1011" s="20">
        <v>79000</v>
      </c>
      <c r="AR1011" s="4">
        <v>41855</v>
      </c>
      <c r="AS1011" s="20">
        <v>15959.595959595958</v>
      </c>
      <c r="AT1011" s="20">
        <v>17922.500000000004</v>
      </c>
      <c r="AU1011" s="20">
        <v>1962.9040404040461</v>
      </c>
      <c r="AV1011" s="20">
        <v>0</v>
      </c>
      <c r="AW1011" s="20">
        <v>20</v>
      </c>
      <c r="AX1011" s="20" t="s">
        <v>91</v>
      </c>
      <c r="AY1011" s="20">
        <v>20</v>
      </c>
      <c r="AZ1011" s="20">
        <v>15.5</v>
      </c>
      <c r="BA1011" s="20">
        <v>0</v>
      </c>
      <c r="BB1011" s="6">
        <v>41855</v>
      </c>
      <c r="BC1011" s="6">
        <v>0</v>
      </c>
      <c r="BD1011" s="6">
        <v>41862</v>
      </c>
      <c r="BE1011" s="6">
        <v>0</v>
      </c>
      <c r="BF1011" s="6">
        <v>41862</v>
      </c>
      <c r="BG1011" s="6">
        <v>0</v>
      </c>
      <c r="BH1011" s="6">
        <v>0</v>
      </c>
      <c r="BI1011" s="6">
        <v>0</v>
      </c>
      <c r="BJ1011" s="6">
        <v>0</v>
      </c>
      <c r="BK1011" s="4">
        <v>0</v>
      </c>
      <c r="BL1011" s="4">
        <v>0</v>
      </c>
      <c r="BM1011" s="20">
        <v>50</v>
      </c>
      <c r="BN1011" s="20">
        <v>0</v>
      </c>
      <c r="BO1011" s="20">
        <v>0</v>
      </c>
      <c r="BP1011" s="20">
        <v>0</v>
      </c>
      <c r="BQ1011" s="20">
        <v>0</v>
      </c>
      <c r="BR1011" s="20">
        <v>0</v>
      </c>
      <c r="BS1011" s="20">
        <v>50</v>
      </c>
      <c r="BT1011" s="20">
        <v>896125.00000000023</v>
      </c>
      <c r="BU1011" s="20">
        <v>3950000</v>
      </c>
      <c r="BV1011" s="20">
        <v>4.0071520054781304</v>
      </c>
    </row>
    <row r="1012" spans="1:74">
      <c r="A1012" s="10">
        <f t="shared" si="62"/>
        <v>0</v>
      </c>
      <c r="B1012" s="10">
        <f t="shared" si="63"/>
        <v>0</v>
      </c>
      <c r="C1012" s="12">
        <f t="shared" si="64"/>
        <v>8</v>
      </c>
      <c r="D1012" s="12">
        <f t="shared" si="65"/>
        <v>8</v>
      </c>
      <c r="E1012" s="20" t="s">
        <v>574</v>
      </c>
      <c r="F1012" s="20" t="s">
        <v>3089</v>
      </c>
      <c r="G1012" s="20" t="s">
        <v>3545</v>
      </c>
      <c r="H1012" s="20" t="s">
        <v>3682</v>
      </c>
      <c r="I1012" s="20">
        <v>9</v>
      </c>
      <c r="J1012" s="20" t="s">
        <v>3683</v>
      </c>
      <c r="K1012" s="20" t="s">
        <v>3684</v>
      </c>
      <c r="L1012" s="20" t="s">
        <v>3685</v>
      </c>
      <c r="M1012" s="20" t="s">
        <v>2667</v>
      </c>
      <c r="N1012" s="20" t="s">
        <v>3505</v>
      </c>
      <c r="P1012" s="20" t="s">
        <v>2667</v>
      </c>
      <c r="Q1012" s="20" t="s">
        <v>2674</v>
      </c>
      <c r="R1012" s="20" t="s">
        <v>84</v>
      </c>
      <c r="S1012" s="20">
        <v>4</v>
      </c>
      <c r="T1012" s="20" t="s">
        <v>922</v>
      </c>
      <c r="U1012" s="20" t="s">
        <v>923</v>
      </c>
      <c r="V1012" s="20" t="s">
        <v>87</v>
      </c>
      <c r="W1012" s="20">
        <v>935</v>
      </c>
      <c r="X1012" s="20">
        <v>935</v>
      </c>
      <c r="Y1012" s="20" t="s">
        <v>3686</v>
      </c>
      <c r="Z1012" s="20">
        <v>0.16666666666666666</v>
      </c>
      <c r="AA1012" s="20" t="s">
        <v>3687</v>
      </c>
      <c r="AB1012" s="20" t="s">
        <v>248</v>
      </c>
      <c r="AC1012" s="20" t="s">
        <v>249</v>
      </c>
      <c r="AD1012" s="20" t="s">
        <v>3688</v>
      </c>
      <c r="AE1012" s="20" t="s">
        <v>400</v>
      </c>
      <c r="AF1012" s="20">
        <v>0.16666666666666666</v>
      </c>
      <c r="AG1012" s="20">
        <v>0</v>
      </c>
      <c r="AH1012" s="20">
        <v>1</v>
      </c>
      <c r="AI1012" s="4" t="s">
        <v>643</v>
      </c>
      <c r="AJ1012" s="20">
        <v>100</v>
      </c>
      <c r="AK1012" s="4" t="s">
        <v>679</v>
      </c>
      <c r="AL1012" s="4">
        <v>6</v>
      </c>
      <c r="AM1012" s="4" t="s">
        <v>112</v>
      </c>
      <c r="AN1012" s="4" t="s">
        <v>95</v>
      </c>
      <c r="AO1012" s="4" t="s">
        <v>680</v>
      </c>
      <c r="AP1012" s="4">
        <v>1</v>
      </c>
      <c r="AQ1012" s="20">
        <v>79000</v>
      </c>
      <c r="AR1012" s="4">
        <v>41855</v>
      </c>
      <c r="AS1012" s="20">
        <v>15959.595959595958</v>
      </c>
      <c r="AT1012" s="20">
        <v>17922.500000000004</v>
      </c>
      <c r="AU1012" s="20">
        <v>1962.9040404040461</v>
      </c>
      <c r="AV1012" s="20">
        <v>0</v>
      </c>
      <c r="AW1012" s="20">
        <v>20</v>
      </c>
      <c r="AX1012" s="20" t="s">
        <v>91</v>
      </c>
      <c r="AY1012" s="20">
        <v>20</v>
      </c>
      <c r="AZ1012" s="20">
        <v>15.5</v>
      </c>
      <c r="BA1012" s="20">
        <v>0</v>
      </c>
      <c r="BB1012" s="6">
        <v>41855</v>
      </c>
      <c r="BC1012" s="6">
        <v>0</v>
      </c>
      <c r="BD1012" s="6">
        <v>41862</v>
      </c>
      <c r="BE1012" s="6">
        <v>0</v>
      </c>
      <c r="BF1012" s="6">
        <v>41862</v>
      </c>
      <c r="BG1012" s="6">
        <v>0</v>
      </c>
      <c r="BH1012" s="6">
        <v>0</v>
      </c>
      <c r="BI1012" s="6">
        <v>0</v>
      </c>
      <c r="BJ1012" s="6">
        <v>0</v>
      </c>
      <c r="BK1012" s="4">
        <v>0</v>
      </c>
      <c r="BL1012" s="4">
        <v>0</v>
      </c>
      <c r="BM1012" s="20">
        <v>100</v>
      </c>
      <c r="BN1012" s="20">
        <v>0</v>
      </c>
      <c r="BO1012" s="20">
        <v>0</v>
      </c>
      <c r="BP1012" s="20">
        <v>0</v>
      </c>
      <c r="BQ1012" s="20">
        <v>0</v>
      </c>
      <c r="BR1012" s="20">
        <v>0</v>
      </c>
      <c r="BS1012" s="20">
        <v>100</v>
      </c>
      <c r="BT1012" s="20">
        <v>1792250.0000000005</v>
      </c>
      <c r="BU1012" s="20">
        <v>7900000</v>
      </c>
      <c r="BV1012" s="20">
        <v>4.0071520054781304</v>
      </c>
    </row>
    <row r="1013" spans="1:74">
      <c r="A1013" s="10">
        <f t="shared" si="62"/>
        <v>0</v>
      </c>
      <c r="B1013" s="10">
        <f t="shared" si="63"/>
        <v>0</v>
      </c>
      <c r="C1013" s="12">
        <f t="shared" si="64"/>
        <v>8</v>
      </c>
      <c r="D1013" s="12">
        <f t="shared" si="65"/>
        <v>8</v>
      </c>
      <c r="E1013" s="20" t="s">
        <v>574</v>
      </c>
      <c r="F1013" s="20" t="s">
        <v>3089</v>
      </c>
      <c r="G1013" s="20" t="s">
        <v>3545</v>
      </c>
      <c r="H1013" s="20" t="s">
        <v>3682</v>
      </c>
      <c r="I1013" s="20">
        <v>9</v>
      </c>
      <c r="J1013" s="20" t="s">
        <v>3683</v>
      </c>
      <c r="K1013" s="20" t="s">
        <v>3689</v>
      </c>
      <c r="L1013" s="20" t="s">
        <v>3685</v>
      </c>
      <c r="M1013" s="20" t="s">
        <v>2667</v>
      </c>
      <c r="N1013" s="20" t="s">
        <v>3505</v>
      </c>
      <c r="P1013" s="20" t="s">
        <v>2667</v>
      </c>
      <c r="Q1013" s="20" t="s">
        <v>2674</v>
      </c>
      <c r="R1013" s="20" t="s">
        <v>84</v>
      </c>
      <c r="S1013" s="20">
        <v>4</v>
      </c>
      <c r="T1013" s="20" t="s">
        <v>922</v>
      </c>
      <c r="U1013" s="20" t="s">
        <v>923</v>
      </c>
      <c r="V1013" s="20" t="s">
        <v>87</v>
      </c>
      <c r="W1013" s="20">
        <v>935</v>
      </c>
      <c r="X1013" s="20">
        <v>935</v>
      </c>
      <c r="Y1013" s="20" t="s">
        <v>3686</v>
      </c>
      <c r="Z1013" s="20">
        <v>0.16666666666666666</v>
      </c>
      <c r="AA1013" s="20" t="s">
        <v>3690</v>
      </c>
      <c r="AB1013" s="20" t="s">
        <v>248</v>
      </c>
      <c r="AC1013" s="20" t="s">
        <v>249</v>
      </c>
      <c r="AD1013" s="20" t="s">
        <v>3688</v>
      </c>
      <c r="AE1013" s="20" t="s">
        <v>400</v>
      </c>
      <c r="AF1013" s="20">
        <v>0.16666666666666666</v>
      </c>
      <c r="AG1013" s="20">
        <v>0</v>
      </c>
      <c r="AH1013" s="20">
        <v>1</v>
      </c>
      <c r="AI1013" s="4" t="s">
        <v>645</v>
      </c>
      <c r="AJ1013" s="20">
        <v>100</v>
      </c>
      <c r="AK1013" s="4" t="s">
        <v>679</v>
      </c>
      <c r="AL1013" s="4">
        <v>6</v>
      </c>
      <c r="AM1013" s="4" t="s">
        <v>112</v>
      </c>
      <c r="AN1013" s="4" t="s">
        <v>95</v>
      </c>
      <c r="AO1013" s="4" t="s">
        <v>680</v>
      </c>
      <c r="AP1013" s="4">
        <v>1</v>
      </c>
      <c r="AQ1013" s="20">
        <v>79000</v>
      </c>
      <c r="AR1013" s="4">
        <v>41855</v>
      </c>
      <c r="AS1013" s="20">
        <v>15959.595959595958</v>
      </c>
      <c r="AT1013" s="20">
        <v>17922.500000000004</v>
      </c>
      <c r="AU1013" s="20">
        <v>1962.9040404040461</v>
      </c>
      <c r="AV1013" s="20">
        <v>0</v>
      </c>
      <c r="AW1013" s="20">
        <v>20</v>
      </c>
      <c r="AX1013" s="20" t="s">
        <v>91</v>
      </c>
      <c r="AY1013" s="20">
        <v>20</v>
      </c>
      <c r="AZ1013" s="20">
        <v>15.5</v>
      </c>
      <c r="BA1013" s="20">
        <v>0</v>
      </c>
      <c r="BB1013" s="6">
        <v>41855</v>
      </c>
      <c r="BC1013" s="6">
        <v>0</v>
      </c>
      <c r="BD1013" s="6">
        <v>41862</v>
      </c>
      <c r="BE1013" s="6">
        <v>0</v>
      </c>
      <c r="BF1013" s="6">
        <v>41862</v>
      </c>
      <c r="BG1013" s="6">
        <v>0</v>
      </c>
      <c r="BH1013" s="6">
        <v>0</v>
      </c>
      <c r="BI1013" s="6">
        <v>0</v>
      </c>
      <c r="BJ1013" s="6">
        <v>0</v>
      </c>
      <c r="BK1013" s="4">
        <v>0</v>
      </c>
      <c r="BL1013" s="4">
        <v>0</v>
      </c>
      <c r="BM1013" s="20">
        <v>100</v>
      </c>
      <c r="BN1013" s="20">
        <v>0</v>
      </c>
      <c r="BO1013" s="20">
        <v>0</v>
      </c>
      <c r="BP1013" s="20">
        <v>0</v>
      </c>
      <c r="BQ1013" s="20">
        <v>0</v>
      </c>
      <c r="BR1013" s="20">
        <v>0</v>
      </c>
      <c r="BS1013" s="20">
        <v>100</v>
      </c>
      <c r="BT1013" s="20">
        <v>1792250.0000000005</v>
      </c>
      <c r="BU1013" s="20">
        <v>7900000</v>
      </c>
      <c r="BV1013" s="20">
        <v>4.0071520054781304</v>
      </c>
    </row>
    <row r="1014" spans="1:74">
      <c r="A1014" s="10">
        <f t="shared" si="62"/>
        <v>0</v>
      </c>
      <c r="B1014" s="10">
        <f t="shared" si="63"/>
        <v>0</v>
      </c>
      <c r="C1014" s="12">
        <f t="shared" si="64"/>
        <v>8</v>
      </c>
      <c r="D1014" s="12">
        <f t="shared" si="65"/>
        <v>8</v>
      </c>
      <c r="E1014" s="20" t="s">
        <v>574</v>
      </c>
      <c r="F1014" s="20" t="s">
        <v>3089</v>
      </c>
      <c r="G1014" s="20" t="s">
        <v>3545</v>
      </c>
      <c r="H1014" s="20" t="s">
        <v>3682</v>
      </c>
      <c r="I1014" s="20">
        <v>9</v>
      </c>
      <c r="J1014" s="20" t="s">
        <v>3683</v>
      </c>
      <c r="K1014" s="20" t="s">
        <v>3691</v>
      </c>
      <c r="L1014" s="20" t="s">
        <v>3685</v>
      </c>
      <c r="M1014" s="20" t="s">
        <v>2667</v>
      </c>
      <c r="N1014" s="20" t="s">
        <v>3505</v>
      </c>
      <c r="P1014" s="20" t="s">
        <v>2667</v>
      </c>
      <c r="Q1014" s="20" t="s">
        <v>2674</v>
      </c>
      <c r="R1014" s="20" t="s">
        <v>84</v>
      </c>
      <c r="S1014" s="20">
        <v>4</v>
      </c>
      <c r="T1014" s="20" t="s">
        <v>922</v>
      </c>
      <c r="U1014" s="20" t="s">
        <v>923</v>
      </c>
      <c r="V1014" s="20" t="s">
        <v>87</v>
      </c>
      <c r="W1014" s="20">
        <v>935</v>
      </c>
      <c r="X1014" s="20">
        <v>935</v>
      </c>
      <c r="Y1014" s="20" t="s">
        <v>3686</v>
      </c>
      <c r="Z1014" s="20">
        <v>0.16666666666666666</v>
      </c>
      <c r="AA1014" s="20" t="s">
        <v>3692</v>
      </c>
      <c r="AB1014" s="20" t="s">
        <v>248</v>
      </c>
      <c r="AC1014" s="20" t="s">
        <v>249</v>
      </c>
      <c r="AD1014" s="20" t="s">
        <v>3688</v>
      </c>
      <c r="AE1014" s="20" t="s">
        <v>400</v>
      </c>
      <c r="AF1014" s="20">
        <v>0.16666666666666666</v>
      </c>
      <c r="AG1014" s="20">
        <v>0</v>
      </c>
      <c r="AH1014" s="20">
        <v>1</v>
      </c>
      <c r="AI1014" s="4" t="s">
        <v>647</v>
      </c>
      <c r="AJ1014" s="20">
        <v>100</v>
      </c>
      <c r="AK1014" s="4" t="s">
        <v>679</v>
      </c>
      <c r="AL1014" s="4">
        <v>6</v>
      </c>
      <c r="AM1014" s="4" t="s">
        <v>112</v>
      </c>
      <c r="AN1014" s="4" t="s">
        <v>95</v>
      </c>
      <c r="AO1014" s="4" t="s">
        <v>680</v>
      </c>
      <c r="AP1014" s="4">
        <v>1</v>
      </c>
      <c r="AQ1014" s="20">
        <v>79000</v>
      </c>
      <c r="AR1014" s="4">
        <v>41855</v>
      </c>
      <c r="AS1014" s="20">
        <v>15959.595959595958</v>
      </c>
      <c r="AT1014" s="20">
        <v>17922.500000000004</v>
      </c>
      <c r="AU1014" s="20">
        <v>1962.9040404040461</v>
      </c>
      <c r="AV1014" s="20">
        <v>0</v>
      </c>
      <c r="AW1014" s="20">
        <v>20</v>
      </c>
      <c r="AX1014" s="20" t="s">
        <v>91</v>
      </c>
      <c r="AY1014" s="20">
        <v>20</v>
      </c>
      <c r="AZ1014" s="20">
        <v>15.5</v>
      </c>
      <c r="BA1014" s="20">
        <v>0</v>
      </c>
      <c r="BB1014" s="6">
        <v>41855</v>
      </c>
      <c r="BC1014" s="6">
        <v>0</v>
      </c>
      <c r="BD1014" s="6">
        <v>41862</v>
      </c>
      <c r="BE1014" s="6">
        <v>0</v>
      </c>
      <c r="BF1014" s="6">
        <v>41862</v>
      </c>
      <c r="BG1014" s="6">
        <v>0</v>
      </c>
      <c r="BH1014" s="6">
        <v>0</v>
      </c>
      <c r="BI1014" s="6">
        <v>0</v>
      </c>
      <c r="BJ1014" s="6">
        <v>0</v>
      </c>
      <c r="BK1014" s="4">
        <v>0</v>
      </c>
      <c r="BL1014" s="4">
        <v>0</v>
      </c>
      <c r="BM1014" s="20">
        <v>100</v>
      </c>
      <c r="BN1014" s="20">
        <v>0</v>
      </c>
      <c r="BO1014" s="20">
        <v>0</v>
      </c>
      <c r="BP1014" s="20">
        <v>0</v>
      </c>
      <c r="BQ1014" s="20">
        <v>0</v>
      </c>
      <c r="BR1014" s="20">
        <v>0</v>
      </c>
      <c r="BS1014" s="20">
        <v>100</v>
      </c>
      <c r="BT1014" s="20">
        <v>1792250.0000000005</v>
      </c>
      <c r="BU1014" s="20">
        <v>7900000</v>
      </c>
      <c r="BV1014" s="20">
        <v>4.0071520054781304</v>
      </c>
    </row>
    <row r="1015" spans="1:74">
      <c r="A1015" s="10">
        <f t="shared" si="62"/>
        <v>0</v>
      </c>
      <c r="B1015" s="10">
        <f t="shared" si="63"/>
        <v>0</v>
      </c>
      <c r="C1015" s="12">
        <f t="shared" si="64"/>
        <v>8</v>
      </c>
      <c r="D1015" s="12">
        <f t="shared" si="65"/>
        <v>8</v>
      </c>
      <c r="E1015" s="20" t="s">
        <v>574</v>
      </c>
      <c r="F1015" s="20" t="s">
        <v>3089</v>
      </c>
      <c r="G1015" s="20" t="s">
        <v>3545</v>
      </c>
      <c r="H1015" s="20" t="s">
        <v>3682</v>
      </c>
      <c r="I1015" s="20">
        <v>9</v>
      </c>
      <c r="J1015" s="20" t="s">
        <v>3683</v>
      </c>
      <c r="K1015" s="20" t="s">
        <v>3693</v>
      </c>
      <c r="L1015" s="20" t="s">
        <v>3685</v>
      </c>
      <c r="M1015" s="20" t="s">
        <v>2667</v>
      </c>
      <c r="N1015" s="20" t="s">
        <v>3505</v>
      </c>
      <c r="P1015" s="20" t="s">
        <v>2667</v>
      </c>
      <c r="Q1015" s="20" t="s">
        <v>2674</v>
      </c>
      <c r="R1015" s="20" t="s">
        <v>84</v>
      </c>
      <c r="S1015" s="20">
        <v>4</v>
      </c>
      <c r="T1015" s="20" t="s">
        <v>922</v>
      </c>
      <c r="U1015" s="20" t="s">
        <v>923</v>
      </c>
      <c r="V1015" s="20" t="s">
        <v>87</v>
      </c>
      <c r="W1015" s="20">
        <v>935</v>
      </c>
      <c r="X1015" s="20">
        <v>935</v>
      </c>
      <c r="Y1015" s="20" t="s">
        <v>3686</v>
      </c>
      <c r="Z1015" s="20">
        <v>0.16666666666666666</v>
      </c>
      <c r="AA1015" s="20" t="s">
        <v>3694</v>
      </c>
      <c r="AB1015" s="20" t="s">
        <v>248</v>
      </c>
      <c r="AC1015" s="20" t="s">
        <v>249</v>
      </c>
      <c r="AD1015" s="20" t="s">
        <v>3688</v>
      </c>
      <c r="AE1015" s="20" t="s">
        <v>400</v>
      </c>
      <c r="AF1015" s="20">
        <v>0.16666666666666666</v>
      </c>
      <c r="AG1015" s="20">
        <v>0</v>
      </c>
      <c r="AH1015" s="20">
        <v>1</v>
      </c>
      <c r="AI1015" s="4" t="s">
        <v>649</v>
      </c>
      <c r="AJ1015" s="20">
        <v>50</v>
      </c>
      <c r="AK1015" s="4" t="s">
        <v>679</v>
      </c>
      <c r="AL1015" s="4">
        <v>6</v>
      </c>
      <c r="AM1015" s="4" t="s">
        <v>112</v>
      </c>
      <c r="AN1015" s="4" t="s">
        <v>95</v>
      </c>
      <c r="AO1015" s="4" t="s">
        <v>680</v>
      </c>
      <c r="AP1015" s="4">
        <v>1</v>
      </c>
      <c r="AQ1015" s="20">
        <v>79000</v>
      </c>
      <c r="AR1015" s="4">
        <v>41855</v>
      </c>
      <c r="AS1015" s="20">
        <v>15959.595959595958</v>
      </c>
      <c r="AT1015" s="20">
        <v>17922.500000000004</v>
      </c>
      <c r="AU1015" s="20">
        <v>1962.9040404040461</v>
      </c>
      <c r="AV1015" s="20">
        <v>0</v>
      </c>
      <c r="AW1015" s="20">
        <v>20</v>
      </c>
      <c r="AX1015" s="20" t="s">
        <v>91</v>
      </c>
      <c r="AY1015" s="20">
        <v>20</v>
      </c>
      <c r="AZ1015" s="20">
        <v>15.5</v>
      </c>
      <c r="BA1015" s="20">
        <v>0</v>
      </c>
      <c r="BB1015" s="6">
        <v>41855</v>
      </c>
      <c r="BC1015" s="6">
        <v>0</v>
      </c>
      <c r="BD1015" s="6">
        <v>41862</v>
      </c>
      <c r="BE1015" s="6">
        <v>0</v>
      </c>
      <c r="BF1015" s="6">
        <v>41862</v>
      </c>
      <c r="BG1015" s="6">
        <v>0</v>
      </c>
      <c r="BH1015" s="6">
        <v>0</v>
      </c>
      <c r="BI1015" s="6">
        <v>0</v>
      </c>
      <c r="BJ1015" s="6">
        <v>0</v>
      </c>
      <c r="BK1015" s="4">
        <v>0</v>
      </c>
      <c r="BL1015" s="4">
        <v>0</v>
      </c>
      <c r="BM1015" s="20">
        <v>50</v>
      </c>
      <c r="BN1015" s="20">
        <v>0</v>
      </c>
      <c r="BO1015" s="20">
        <v>0</v>
      </c>
      <c r="BP1015" s="20">
        <v>0</v>
      </c>
      <c r="BQ1015" s="20">
        <v>0</v>
      </c>
      <c r="BR1015" s="20">
        <v>0</v>
      </c>
      <c r="BS1015" s="20">
        <v>50</v>
      </c>
      <c r="BT1015" s="20">
        <v>896125.00000000023</v>
      </c>
      <c r="BU1015" s="20">
        <v>3950000</v>
      </c>
      <c r="BV1015" s="20">
        <v>4.0071520054781304</v>
      </c>
    </row>
    <row r="1016" spans="1:74">
      <c r="A1016" s="10">
        <f t="shared" si="62"/>
        <v>0</v>
      </c>
      <c r="B1016" s="10">
        <f t="shared" si="63"/>
        <v>0</v>
      </c>
      <c r="C1016" s="12">
        <f t="shared" si="64"/>
        <v>8</v>
      </c>
      <c r="D1016" s="12">
        <f t="shared" si="65"/>
        <v>8</v>
      </c>
      <c r="E1016" s="20" t="s">
        <v>574</v>
      </c>
      <c r="F1016" s="20" t="s">
        <v>3089</v>
      </c>
      <c r="G1016" s="20" t="s">
        <v>3545</v>
      </c>
      <c r="H1016" s="20" t="s">
        <v>3682</v>
      </c>
      <c r="I1016" s="20">
        <v>9</v>
      </c>
      <c r="J1016" s="20" t="s">
        <v>3683</v>
      </c>
      <c r="K1016" s="20" t="s">
        <v>3695</v>
      </c>
      <c r="L1016" s="20" t="s">
        <v>3685</v>
      </c>
      <c r="M1016" s="20" t="s">
        <v>2667</v>
      </c>
      <c r="N1016" s="20" t="s">
        <v>3505</v>
      </c>
      <c r="P1016" s="20" t="s">
        <v>2667</v>
      </c>
      <c r="Q1016" s="20" t="s">
        <v>2674</v>
      </c>
      <c r="R1016" s="20" t="s">
        <v>84</v>
      </c>
      <c r="S1016" s="20">
        <v>4</v>
      </c>
      <c r="T1016" s="20" t="s">
        <v>922</v>
      </c>
      <c r="U1016" s="20" t="s">
        <v>923</v>
      </c>
      <c r="V1016" s="20" t="s">
        <v>87</v>
      </c>
      <c r="W1016" s="20">
        <v>935</v>
      </c>
      <c r="X1016" s="20">
        <v>935</v>
      </c>
      <c r="Y1016" s="20" t="s">
        <v>3686</v>
      </c>
      <c r="Z1016" s="20">
        <v>0.16666666666666666</v>
      </c>
      <c r="AA1016" s="20" t="s">
        <v>3696</v>
      </c>
      <c r="AB1016" s="20" t="s">
        <v>248</v>
      </c>
      <c r="AC1016" s="20" t="s">
        <v>249</v>
      </c>
      <c r="AD1016" s="20" t="s">
        <v>3688</v>
      </c>
      <c r="AE1016" s="20" t="s">
        <v>400</v>
      </c>
      <c r="AF1016" s="20">
        <v>0.16666666666666666</v>
      </c>
      <c r="AG1016" s="20">
        <v>0</v>
      </c>
      <c r="AH1016" s="20">
        <v>1</v>
      </c>
      <c r="AI1016" s="4" t="s">
        <v>651</v>
      </c>
      <c r="AJ1016" s="20">
        <v>50</v>
      </c>
      <c r="AK1016" s="4" t="s">
        <v>679</v>
      </c>
      <c r="AL1016" s="4">
        <v>6</v>
      </c>
      <c r="AM1016" s="4" t="s">
        <v>112</v>
      </c>
      <c r="AN1016" s="4" t="s">
        <v>95</v>
      </c>
      <c r="AO1016" s="4" t="s">
        <v>680</v>
      </c>
      <c r="AP1016" s="4">
        <v>1</v>
      </c>
      <c r="AQ1016" s="20">
        <v>79000</v>
      </c>
      <c r="AR1016" s="4">
        <v>41855</v>
      </c>
      <c r="AS1016" s="20">
        <v>15959.595959595958</v>
      </c>
      <c r="AT1016" s="20">
        <v>17922.500000000004</v>
      </c>
      <c r="AU1016" s="20">
        <v>1962.9040404040461</v>
      </c>
      <c r="AV1016" s="20">
        <v>0</v>
      </c>
      <c r="AW1016" s="20">
        <v>20</v>
      </c>
      <c r="AX1016" s="20" t="s">
        <v>91</v>
      </c>
      <c r="AY1016" s="20">
        <v>20</v>
      </c>
      <c r="AZ1016" s="20">
        <v>15.5</v>
      </c>
      <c r="BA1016" s="20">
        <v>0</v>
      </c>
      <c r="BB1016" s="6">
        <v>41855</v>
      </c>
      <c r="BC1016" s="6">
        <v>0</v>
      </c>
      <c r="BD1016" s="6">
        <v>41862</v>
      </c>
      <c r="BE1016" s="6">
        <v>0</v>
      </c>
      <c r="BF1016" s="6">
        <v>41862</v>
      </c>
      <c r="BG1016" s="6">
        <v>0</v>
      </c>
      <c r="BH1016" s="6">
        <v>0</v>
      </c>
      <c r="BI1016" s="6">
        <v>0</v>
      </c>
      <c r="BJ1016" s="6">
        <v>0</v>
      </c>
      <c r="BK1016" s="4">
        <v>0</v>
      </c>
      <c r="BL1016" s="4">
        <v>0</v>
      </c>
      <c r="BM1016" s="20">
        <v>50</v>
      </c>
      <c r="BN1016" s="20">
        <v>0</v>
      </c>
      <c r="BO1016" s="20">
        <v>0</v>
      </c>
      <c r="BP1016" s="20">
        <v>0</v>
      </c>
      <c r="BQ1016" s="20">
        <v>0</v>
      </c>
      <c r="BR1016" s="20">
        <v>0</v>
      </c>
      <c r="BS1016" s="20">
        <v>50</v>
      </c>
      <c r="BT1016" s="20">
        <v>896125.00000000023</v>
      </c>
      <c r="BU1016" s="20">
        <v>3950000</v>
      </c>
      <c r="BV1016" s="20">
        <v>4.0071520054781304</v>
      </c>
    </row>
    <row r="1017" spans="1:74">
      <c r="A1017" s="10">
        <f t="shared" si="62"/>
        <v>0</v>
      </c>
      <c r="B1017" s="10">
        <f t="shared" si="63"/>
        <v>0</v>
      </c>
      <c r="C1017" s="12">
        <f t="shared" si="64"/>
        <v>8</v>
      </c>
      <c r="D1017" s="12">
        <f t="shared" si="65"/>
        <v>8</v>
      </c>
      <c r="E1017" s="20" t="s">
        <v>574</v>
      </c>
      <c r="F1017" s="20" t="s">
        <v>3089</v>
      </c>
      <c r="G1017" s="20" t="s">
        <v>3545</v>
      </c>
      <c r="H1017" s="20" t="s">
        <v>3682</v>
      </c>
      <c r="I1017" s="20">
        <v>9</v>
      </c>
      <c r="J1017" s="20" t="s">
        <v>3683</v>
      </c>
      <c r="K1017" s="20" t="s">
        <v>3697</v>
      </c>
      <c r="L1017" s="20" t="s">
        <v>3685</v>
      </c>
      <c r="M1017" s="20" t="s">
        <v>2667</v>
      </c>
      <c r="N1017" s="20" t="s">
        <v>3505</v>
      </c>
      <c r="P1017" s="20" t="s">
        <v>2667</v>
      </c>
      <c r="Q1017" s="20" t="s">
        <v>2674</v>
      </c>
      <c r="R1017" s="20" t="s">
        <v>84</v>
      </c>
      <c r="S1017" s="20">
        <v>4</v>
      </c>
      <c r="T1017" s="20" t="s">
        <v>922</v>
      </c>
      <c r="U1017" s="20" t="s">
        <v>923</v>
      </c>
      <c r="V1017" s="20" t="s">
        <v>87</v>
      </c>
      <c r="W1017" s="20">
        <v>935</v>
      </c>
      <c r="X1017" s="20">
        <v>935</v>
      </c>
      <c r="Y1017" s="20" t="s">
        <v>3686</v>
      </c>
      <c r="Z1017" s="20">
        <v>0.16666666666666666</v>
      </c>
      <c r="AA1017" s="20" t="s">
        <v>3698</v>
      </c>
      <c r="AB1017" s="20" t="s">
        <v>248</v>
      </c>
      <c r="AC1017" s="20" t="s">
        <v>249</v>
      </c>
      <c r="AD1017" s="20" t="s">
        <v>3688</v>
      </c>
      <c r="AE1017" s="20" t="s">
        <v>400</v>
      </c>
      <c r="AF1017" s="20">
        <v>0.16666666666666666</v>
      </c>
      <c r="AG1017" s="20">
        <v>0</v>
      </c>
      <c r="AH1017" s="20">
        <v>1</v>
      </c>
      <c r="AI1017" s="4" t="s">
        <v>640</v>
      </c>
      <c r="AJ1017" s="20">
        <v>100</v>
      </c>
      <c r="AK1017" s="4" t="s">
        <v>679</v>
      </c>
      <c r="AL1017" s="4">
        <v>6</v>
      </c>
      <c r="AM1017" s="4" t="s">
        <v>112</v>
      </c>
      <c r="AN1017" s="4" t="s">
        <v>95</v>
      </c>
      <c r="AO1017" s="4" t="s">
        <v>680</v>
      </c>
      <c r="AP1017" s="4">
        <v>1</v>
      </c>
      <c r="AQ1017" s="20">
        <v>79000</v>
      </c>
      <c r="AR1017" s="4">
        <v>41855</v>
      </c>
      <c r="AS1017" s="20">
        <v>15959.595959595958</v>
      </c>
      <c r="AT1017" s="20">
        <v>17922.500000000004</v>
      </c>
      <c r="AU1017" s="20">
        <v>1962.9040404040461</v>
      </c>
      <c r="AV1017" s="20">
        <v>0</v>
      </c>
      <c r="AW1017" s="20">
        <v>20</v>
      </c>
      <c r="AX1017" s="20" t="s">
        <v>91</v>
      </c>
      <c r="AY1017" s="20">
        <v>20</v>
      </c>
      <c r="AZ1017" s="20">
        <v>15.5</v>
      </c>
      <c r="BA1017" s="20">
        <v>0</v>
      </c>
      <c r="BB1017" s="6">
        <v>41855</v>
      </c>
      <c r="BC1017" s="6">
        <v>0</v>
      </c>
      <c r="BD1017" s="6">
        <v>41862</v>
      </c>
      <c r="BE1017" s="6">
        <v>0</v>
      </c>
      <c r="BF1017" s="6">
        <v>41862</v>
      </c>
      <c r="BG1017" s="6">
        <v>0</v>
      </c>
      <c r="BH1017" s="6">
        <v>0</v>
      </c>
      <c r="BI1017" s="6">
        <v>0</v>
      </c>
      <c r="BJ1017" s="6">
        <v>0</v>
      </c>
      <c r="BK1017" s="4">
        <v>0</v>
      </c>
      <c r="BL1017" s="4">
        <v>0</v>
      </c>
      <c r="BM1017" s="20">
        <v>100</v>
      </c>
      <c r="BN1017" s="20">
        <v>0</v>
      </c>
      <c r="BO1017" s="20">
        <v>0</v>
      </c>
      <c r="BP1017" s="20">
        <v>0</v>
      </c>
      <c r="BQ1017" s="20">
        <v>0</v>
      </c>
      <c r="BR1017" s="20">
        <v>0</v>
      </c>
      <c r="BS1017" s="20">
        <v>100</v>
      </c>
      <c r="BT1017" s="20">
        <v>1792250.0000000005</v>
      </c>
      <c r="BU1017" s="20">
        <v>7900000</v>
      </c>
      <c r="BV1017" s="20">
        <v>4.0071520054781304</v>
      </c>
    </row>
    <row r="1018" spans="1:74">
      <c r="A1018" s="10">
        <f t="shared" si="62"/>
        <v>0</v>
      </c>
      <c r="B1018" s="10">
        <f t="shared" si="63"/>
        <v>0</v>
      </c>
      <c r="C1018" s="12">
        <f t="shared" si="64"/>
        <v>8</v>
      </c>
      <c r="D1018" s="12">
        <f t="shared" si="65"/>
        <v>8</v>
      </c>
      <c r="E1018" s="20" t="s">
        <v>574</v>
      </c>
      <c r="F1018" s="20" t="s">
        <v>3089</v>
      </c>
      <c r="G1018" s="20" t="s">
        <v>3545</v>
      </c>
      <c r="H1018" s="20" t="s">
        <v>3699</v>
      </c>
      <c r="I1018" s="20">
        <v>10</v>
      </c>
      <c r="J1018" s="20" t="s">
        <v>3700</v>
      </c>
      <c r="K1018" s="20" t="s">
        <v>3701</v>
      </c>
      <c r="L1018" s="20" t="s">
        <v>3702</v>
      </c>
      <c r="M1018" s="20" t="s">
        <v>2667</v>
      </c>
      <c r="N1018" s="20" t="s">
        <v>3703</v>
      </c>
      <c r="P1018" s="20" t="s">
        <v>2667</v>
      </c>
      <c r="Q1018" s="20" t="s">
        <v>2674</v>
      </c>
      <c r="R1018" s="20" t="s">
        <v>84</v>
      </c>
      <c r="S1018" s="20">
        <v>4</v>
      </c>
      <c r="T1018" s="20" t="s">
        <v>635</v>
      </c>
      <c r="U1018" s="20" t="s">
        <v>636</v>
      </c>
      <c r="V1018" s="20" t="s">
        <v>87</v>
      </c>
      <c r="W1018" s="20">
        <v>936</v>
      </c>
      <c r="X1018" s="20">
        <v>936</v>
      </c>
      <c r="Y1018" s="20" t="s">
        <v>3704</v>
      </c>
      <c r="Z1018" s="20">
        <v>0.16666666666666666</v>
      </c>
      <c r="AA1018" s="20" t="s">
        <v>3705</v>
      </c>
      <c r="AB1018" s="20" t="s">
        <v>718</v>
      </c>
      <c r="AC1018" s="20" t="s">
        <v>719</v>
      </c>
      <c r="AD1018" s="20" t="s">
        <v>3706</v>
      </c>
      <c r="AE1018" s="20" t="s">
        <v>400</v>
      </c>
      <c r="AF1018" s="20">
        <v>0.16666666666666666</v>
      </c>
      <c r="AG1018" s="20">
        <v>0</v>
      </c>
      <c r="AH1018" s="20">
        <v>1</v>
      </c>
      <c r="AI1018" s="4" t="s">
        <v>643</v>
      </c>
      <c r="AJ1018" s="20">
        <v>50</v>
      </c>
      <c r="AK1018" s="4" t="s">
        <v>679</v>
      </c>
      <c r="AL1018" s="4">
        <v>6</v>
      </c>
      <c r="AM1018" s="4" t="s">
        <v>112</v>
      </c>
      <c r="AN1018" s="4" t="s">
        <v>95</v>
      </c>
      <c r="AO1018" s="4" t="s">
        <v>680</v>
      </c>
      <c r="AP1018" s="4">
        <v>1</v>
      </c>
      <c r="AQ1018" s="20">
        <v>59000</v>
      </c>
      <c r="AR1018" s="4">
        <v>41855</v>
      </c>
      <c r="AS1018" s="20">
        <v>11919.191919191919</v>
      </c>
      <c r="AT1018" s="20">
        <v>13302.500000000002</v>
      </c>
      <c r="AU1018" s="20">
        <v>1383.3080808080831</v>
      </c>
      <c r="AV1018" s="20">
        <v>0</v>
      </c>
      <c r="AW1018" s="20">
        <v>20</v>
      </c>
      <c r="AX1018" s="20" t="s">
        <v>91</v>
      </c>
      <c r="AY1018" s="20">
        <v>20</v>
      </c>
      <c r="AZ1018" s="20">
        <v>11.5</v>
      </c>
      <c r="BA1018" s="20">
        <v>0</v>
      </c>
      <c r="BB1018" s="6">
        <v>41855</v>
      </c>
      <c r="BC1018" s="6">
        <v>0</v>
      </c>
      <c r="BD1018" s="6">
        <v>41862</v>
      </c>
      <c r="BE1018" s="6">
        <v>0</v>
      </c>
      <c r="BF1018" s="6">
        <v>41862</v>
      </c>
      <c r="BG1018" s="6">
        <v>0</v>
      </c>
      <c r="BH1018" s="6">
        <v>0</v>
      </c>
      <c r="BI1018" s="6">
        <v>0</v>
      </c>
      <c r="BJ1018" s="6">
        <v>0</v>
      </c>
      <c r="BK1018" s="4">
        <v>0</v>
      </c>
      <c r="BL1018" s="4">
        <v>0</v>
      </c>
      <c r="BM1018" s="20">
        <v>50</v>
      </c>
      <c r="BN1018" s="20">
        <v>0</v>
      </c>
      <c r="BO1018" s="20">
        <v>0</v>
      </c>
      <c r="BP1018" s="20">
        <v>0</v>
      </c>
      <c r="BQ1018" s="20">
        <v>0</v>
      </c>
      <c r="BR1018" s="20">
        <v>0</v>
      </c>
      <c r="BS1018" s="20">
        <v>50</v>
      </c>
      <c r="BT1018" s="20">
        <v>665125.00000000012</v>
      </c>
      <c r="BU1018" s="20">
        <v>2950000</v>
      </c>
      <c r="BV1018" s="20">
        <v>4.0320513915702776</v>
      </c>
    </row>
    <row r="1019" spans="1:74">
      <c r="A1019" s="10">
        <f t="shared" si="62"/>
        <v>0</v>
      </c>
      <c r="B1019" s="10">
        <f t="shared" si="63"/>
        <v>0</v>
      </c>
      <c r="C1019" s="12">
        <f t="shared" si="64"/>
        <v>8</v>
      </c>
      <c r="D1019" s="12">
        <f t="shared" si="65"/>
        <v>8</v>
      </c>
      <c r="E1019" s="20" t="s">
        <v>574</v>
      </c>
      <c r="F1019" s="20" t="s">
        <v>3089</v>
      </c>
      <c r="G1019" s="20" t="s">
        <v>3545</v>
      </c>
      <c r="H1019" s="20" t="s">
        <v>3699</v>
      </c>
      <c r="I1019" s="20">
        <v>10</v>
      </c>
      <c r="J1019" s="20" t="s">
        <v>3700</v>
      </c>
      <c r="K1019" s="20" t="s">
        <v>3707</v>
      </c>
      <c r="L1019" s="20" t="s">
        <v>3702</v>
      </c>
      <c r="M1019" s="20" t="s">
        <v>2667</v>
      </c>
      <c r="N1019" s="20" t="s">
        <v>3703</v>
      </c>
      <c r="P1019" s="20" t="s">
        <v>2667</v>
      </c>
      <c r="Q1019" s="20" t="s">
        <v>2674</v>
      </c>
      <c r="R1019" s="20" t="s">
        <v>84</v>
      </c>
      <c r="S1019" s="20">
        <v>4</v>
      </c>
      <c r="T1019" s="20" t="s">
        <v>635</v>
      </c>
      <c r="U1019" s="20" t="s">
        <v>636</v>
      </c>
      <c r="V1019" s="20" t="s">
        <v>87</v>
      </c>
      <c r="W1019" s="20">
        <v>936</v>
      </c>
      <c r="X1019" s="20">
        <v>936</v>
      </c>
      <c r="Y1019" s="20" t="s">
        <v>3704</v>
      </c>
      <c r="Z1019" s="20">
        <v>0.16666666666666666</v>
      </c>
      <c r="AA1019" s="20" t="s">
        <v>3708</v>
      </c>
      <c r="AB1019" s="20" t="s">
        <v>718</v>
      </c>
      <c r="AC1019" s="20" t="s">
        <v>719</v>
      </c>
      <c r="AD1019" s="20" t="s">
        <v>3706</v>
      </c>
      <c r="AE1019" s="20" t="s">
        <v>400</v>
      </c>
      <c r="AF1019" s="20">
        <v>0.16666666666666666</v>
      </c>
      <c r="AG1019" s="20">
        <v>0</v>
      </c>
      <c r="AH1019" s="20">
        <v>1</v>
      </c>
      <c r="AI1019" s="4" t="s">
        <v>645</v>
      </c>
      <c r="AJ1019" s="20">
        <v>50</v>
      </c>
      <c r="AK1019" s="4" t="s">
        <v>679</v>
      </c>
      <c r="AL1019" s="4">
        <v>6</v>
      </c>
      <c r="AM1019" s="4" t="s">
        <v>112</v>
      </c>
      <c r="AN1019" s="4" t="s">
        <v>95</v>
      </c>
      <c r="AO1019" s="4" t="s">
        <v>680</v>
      </c>
      <c r="AP1019" s="4">
        <v>1</v>
      </c>
      <c r="AQ1019" s="20">
        <v>59000</v>
      </c>
      <c r="AR1019" s="4">
        <v>41855</v>
      </c>
      <c r="AS1019" s="20">
        <v>11919.191919191919</v>
      </c>
      <c r="AT1019" s="20">
        <v>13302.500000000002</v>
      </c>
      <c r="AU1019" s="20">
        <v>1383.3080808080831</v>
      </c>
      <c r="AV1019" s="20">
        <v>0</v>
      </c>
      <c r="AW1019" s="20">
        <v>20</v>
      </c>
      <c r="AX1019" s="20" t="s">
        <v>91</v>
      </c>
      <c r="AY1019" s="20">
        <v>20</v>
      </c>
      <c r="AZ1019" s="20">
        <v>11.5</v>
      </c>
      <c r="BA1019" s="20">
        <v>0</v>
      </c>
      <c r="BB1019" s="6">
        <v>41855</v>
      </c>
      <c r="BC1019" s="6">
        <v>0</v>
      </c>
      <c r="BD1019" s="6">
        <v>41862</v>
      </c>
      <c r="BE1019" s="6">
        <v>0</v>
      </c>
      <c r="BF1019" s="6">
        <v>41862</v>
      </c>
      <c r="BG1019" s="6">
        <v>0</v>
      </c>
      <c r="BH1019" s="6">
        <v>0</v>
      </c>
      <c r="BI1019" s="6">
        <v>0</v>
      </c>
      <c r="BJ1019" s="6">
        <v>0</v>
      </c>
      <c r="BK1019" s="4">
        <v>0</v>
      </c>
      <c r="BL1019" s="4">
        <v>0</v>
      </c>
      <c r="BM1019" s="20">
        <v>50</v>
      </c>
      <c r="BN1019" s="20">
        <v>0</v>
      </c>
      <c r="BO1019" s="20">
        <v>0</v>
      </c>
      <c r="BP1019" s="20">
        <v>0</v>
      </c>
      <c r="BQ1019" s="20">
        <v>0</v>
      </c>
      <c r="BR1019" s="20">
        <v>0</v>
      </c>
      <c r="BS1019" s="20">
        <v>50</v>
      </c>
      <c r="BT1019" s="20">
        <v>665125.00000000012</v>
      </c>
      <c r="BU1019" s="20">
        <v>2950000</v>
      </c>
      <c r="BV1019" s="20">
        <v>4.0320513915702776</v>
      </c>
    </row>
    <row r="1020" spans="1:74">
      <c r="A1020" s="10">
        <f t="shared" si="62"/>
        <v>0</v>
      </c>
      <c r="B1020" s="10">
        <f t="shared" si="63"/>
        <v>0</v>
      </c>
      <c r="C1020" s="12">
        <f t="shared" si="64"/>
        <v>8</v>
      </c>
      <c r="D1020" s="12">
        <f t="shared" si="65"/>
        <v>8</v>
      </c>
      <c r="E1020" s="20" t="s">
        <v>574</v>
      </c>
      <c r="F1020" s="20" t="s">
        <v>3089</v>
      </c>
      <c r="G1020" s="20" t="s">
        <v>3545</v>
      </c>
      <c r="H1020" s="20" t="s">
        <v>3699</v>
      </c>
      <c r="I1020" s="20">
        <v>10</v>
      </c>
      <c r="J1020" s="20" t="s">
        <v>3700</v>
      </c>
      <c r="K1020" s="20" t="s">
        <v>3709</v>
      </c>
      <c r="L1020" s="20" t="s">
        <v>3702</v>
      </c>
      <c r="M1020" s="20" t="s">
        <v>2667</v>
      </c>
      <c r="N1020" s="20" t="s">
        <v>3703</v>
      </c>
      <c r="P1020" s="20" t="s">
        <v>2667</v>
      </c>
      <c r="Q1020" s="20" t="s">
        <v>2674</v>
      </c>
      <c r="R1020" s="20" t="s">
        <v>84</v>
      </c>
      <c r="S1020" s="20">
        <v>4</v>
      </c>
      <c r="T1020" s="20" t="s">
        <v>635</v>
      </c>
      <c r="U1020" s="20" t="s">
        <v>636</v>
      </c>
      <c r="V1020" s="20" t="s">
        <v>87</v>
      </c>
      <c r="W1020" s="20">
        <v>936</v>
      </c>
      <c r="X1020" s="20">
        <v>936</v>
      </c>
      <c r="Y1020" s="20" t="s">
        <v>3704</v>
      </c>
      <c r="Z1020" s="20">
        <v>0.16666666666666666</v>
      </c>
      <c r="AA1020" s="20" t="s">
        <v>3710</v>
      </c>
      <c r="AB1020" s="20" t="s">
        <v>718</v>
      </c>
      <c r="AC1020" s="20" t="s">
        <v>719</v>
      </c>
      <c r="AD1020" s="20" t="s">
        <v>3706</v>
      </c>
      <c r="AE1020" s="20" t="s">
        <v>400</v>
      </c>
      <c r="AF1020" s="20">
        <v>0.16666666666666666</v>
      </c>
      <c r="AG1020" s="20">
        <v>0</v>
      </c>
      <c r="AH1020" s="20">
        <v>1</v>
      </c>
      <c r="AI1020" s="4" t="s">
        <v>647</v>
      </c>
      <c r="AJ1020" s="20">
        <v>50</v>
      </c>
      <c r="AK1020" s="4" t="s">
        <v>679</v>
      </c>
      <c r="AL1020" s="4">
        <v>6</v>
      </c>
      <c r="AM1020" s="4" t="s">
        <v>112</v>
      </c>
      <c r="AN1020" s="4" t="s">
        <v>95</v>
      </c>
      <c r="AO1020" s="4" t="s">
        <v>680</v>
      </c>
      <c r="AP1020" s="4">
        <v>1</v>
      </c>
      <c r="AQ1020" s="20">
        <v>59000</v>
      </c>
      <c r="AR1020" s="4">
        <v>41855</v>
      </c>
      <c r="AS1020" s="20">
        <v>11919.191919191919</v>
      </c>
      <c r="AT1020" s="20">
        <v>13302.500000000002</v>
      </c>
      <c r="AU1020" s="20">
        <v>1383.3080808080831</v>
      </c>
      <c r="AV1020" s="20">
        <v>0</v>
      </c>
      <c r="AW1020" s="20">
        <v>20</v>
      </c>
      <c r="AX1020" s="20" t="s">
        <v>91</v>
      </c>
      <c r="AY1020" s="20">
        <v>20</v>
      </c>
      <c r="AZ1020" s="20">
        <v>11.5</v>
      </c>
      <c r="BA1020" s="20">
        <v>0</v>
      </c>
      <c r="BB1020" s="6">
        <v>41855</v>
      </c>
      <c r="BC1020" s="6">
        <v>0</v>
      </c>
      <c r="BD1020" s="6">
        <v>41862</v>
      </c>
      <c r="BE1020" s="6">
        <v>0</v>
      </c>
      <c r="BF1020" s="6">
        <v>41862</v>
      </c>
      <c r="BG1020" s="6">
        <v>0</v>
      </c>
      <c r="BH1020" s="6">
        <v>0</v>
      </c>
      <c r="BI1020" s="6">
        <v>0</v>
      </c>
      <c r="BJ1020" s="6">
        <v>0</v>
      </c>
      <c r="BK1020" s="4">
        <v>0</v>
      </c>
      <c r="BL1020" s="4">
        <v>0</v>
      </c>
      <c r="BM1020" s="20">
        <v>50</v>
      </c>
      <c r="BN1020" s="20">
        <v>0</v>
      </c>
      <c r="BO1020" s="20">
        <v>0</v>
      </c>
      <c r="BP1020" s="20">
        <v>0</v>
      </c>
      <c r="BQ1020" s="20">
        <v>0</v>
      </c>
      <c r="BR1020" s="20">
        <v>0</v>
      </c>
      <c r="BS1020" s="20">
        <v>50</v>
      </c>
      <c r="BT1020" s="20">
        <v>665125.00000000012</v>
      </c>
      <c r="BU1020" s="20">
        <v>2950000</v>
      </c>
      <c r="BV1020" s="20">
        <v>4.0320513915702776</v>
      </c>
    </row>
    <row r="1021" spans="1:74">
      <c r="A1021" s="10">
        <f t="shared" si="62"/>
        <v>0</v>
      </c>
      <c r="B1021" s="10">
        <f t="shared" si="63"/>
        <v>0</v>
      </c>
      <c r="C1021" s="12">
        <f t="shared" si="64"/>
        <v>8</v>
      </c>
      <c r="D1021" s="12">
        <f t="shared" si="65"/>
        <v>8</v>
      </c>
      <c r="E1021" s="20" t="s">
        <v>574</v>
      </c>
      <c r="F1021" s="20" t="s">
        <v>3089</v>
      </c>
      <c r="G1021" s="20" t="s">
        <v>3545</v>
      </c>
      <c r="H1021" s="20" t="s">
        <v>3699</v>
      </c>
      <c r="I1021" s="20">
        <v>10</v>
      </c>
      <c r="J1021" s="20" t="s">
        <v>3700</v>
      </c>
      <c r="K1021" s="20" t="s">
        <v>3711</v>
      </c>
      <c r="L1021" s="20" t="s">
        <v>3702</v>
      </c>
      <c r="M1021" s="20" t="s">
        <v>2667</v>
      </c>
      <c r="N1021" s="20" t="s">
        <v>3703</v>
      </c>
      <c r="P1021" s="20" t="s">
        <v>2667</v>
      </c>
      <c r="Q1021" s="20" t="s">
        <v>2674</v>
      </c>
      <c r="R1021" s="20" t="s">
        <v>84</v>
      </c>
      <c r="S1021" s="20">
        <v>4</v>
      </c>
      <c r="T1021" s="20" t="s">
        <v>635</v>
      </c>
      <c r="U1021" s="20" t="s">
        <v>636</v>
      </c>
      <c r="V1021" s="20" t="s">
        <v>87</v>
      </c>
      <c r="W1021" s="20">
        <v>936</v>
      </c>
      <c r="X1021" s="20">
        <v>936</v>
      </c>
      <c r="Y1021" s="20" t="s">
        <v>3704</v>
      </c>
      <c r="Z1021" s="20">
        <v>0.16666666666666666</v>
      </c>
      <c r="AA1021" s="20" t="s">
        <v>3712</v>
      </c>
      <c r="AB1021" s="20" t="s">
        <v>718</v>
      </c>
      <c r="AC1021" s="20" t="s">
        <v>719</v>
      </c>
      <c r="AD1021" s="20" t="s">
        <v>3706</v>
      </c>
      <c r="AE1021" s="20" t="s">
        <v>400</v>
      </c>
      <c r="AF1021" s="20">
        <v>0.16666666666666666</v>
      </c>
      <c r="AG1021" s="20">
        <v>0</v>
      </c>
      <c r="AH1021" s="20">
        <v>1</v>
      </c>
      <c r="AI1021" s="4" t="s">
        <v>649</v>
      </c>
      <c r="AJ1021" s="20">
        <v>50</v>
      </c>
      <c r="AK1021" s="4" t="s">
        <v>679</v>
      </c>
      <c r="AL1021" s="4">
        <v>6</v>
      </c>
      <c r="AM1021" s="4" t="s">
        <v>112</v>
      </c>
      <c r="AN1021" s="4" t="s">
        <v>95</v>
      </c>
      <c r="AO1021" s="4" t="s">
        <v>680</v>
      </c>
      <c r="AP1021" s="4">
        <v>1</v>
      </c>
      <c r="AQ1021" s="20">
        <v>59000</v>
      </c>
      <c r="AR1021" s="4">
        <v>41855</v>
      </c>
      <c r="AS1021" s="20">
        <v>11919.191919191919</v>
      </c>
      <c r="AT1021" s="20">
        <v>13302.500000000002</v>
      </c>
      <c r="AU1021" s="20">
        <v>1383.3080808080831</v>
      </c>
      <c r="AV1021" s="20">
        <v>0</v>
      </c>
      <c r="AW1021" s="20">
        <v>20</v>
      </c>
      <c r="AX1021" s="20" t="s">
        <v>91</v>
      </c>
      <c r="AY1021" s="20">
        <v>20</v>
      </c>
      <c r="AZ1021" s="20">
        <v>11.5</v>
      </c>
      <c r="BA1021" s="20">
        <v>0</v>
      </c>
      <c r="BB1021" s="6">
        <v>41855</v>
      </c>
      <c r="BC1021" s="6">
        <v>0</v>
      </c>
      <c r="BD1021" s="6">
        <v>41862</v>
      </c>
      <c r="BE1021" s="6">
        <v>0</v>
      </c>
      <c r="BF1021" s="6">
        <v>41862</v>
      </c>
      <c r="BG1021" s="6">
        <v>0</v>
      </c>
      <c r="BH1021" s="6">
        <v>0</v>
      </c>
      <c r="BI1021" s="6">
        <v>0</v>
      </c>
      <c r="BJ1021" s="6">
        <v>0</v>
      </c>
      <c r="BK1021" s="4">
        <v>0</v>
      </c>
      <c r="BL1021" s="4">
        <v>0</v>
      </c>
      <c r="BM1021" s="20">
        <v>50</v>
      </c>
      <c r="BN1021" s="20">
        <v>0</v>
      </c>
      <c r="BO1021" s="20">
        <v>0</v>
      </c>
      <c r="BP1021" s="20">
        <v>0</v>
      </c>
      <c r="BQ1021" s="20">
        <v>0</v>
      </c>
      <c r="BR1021" s="20">
        <v>0</v>
      </c>
      <c r="BS1021" s="20">
        <v>50</v>
      </c>
      <c r="BT1021" s="20">
        <v>665125.00000000012</v>
      </c>
      <c r="BU1021" s="20">
        <v>2950000</v>
      </c>
      <c r="BV1021" s="20">
        <v>4.0320513915702776</v>
      </c>
    </row>
    <row r="1022" spans="1:74">
      <c r="A1022" s="10">
        <f t="shared" si="62"/>
        <v>0</v>
      </c>
      <c r="B1022" s="10">
        <f t="shared" si="63"/>
        <v>0</v>
      </c>
      <c r="C1022" s="12">
        <f t="shared" si="64"/>
        <v>8</v>
      </c>
      <c r="D1022" s="12">
        <f t="shared" si="65"/>
        <v>8</v>
      </c>
      <c r="E1022" s="20" t="s">
        <v>574</v>
      </c>
      <c r="F1022" s="20" t="s">
        <v>3089</v>
      </c>
      <c r="G1022" s="20" t="s">
        <v>3545</v>
      </c>
      <c r="H1022" s="20" t="s">
        <v>3699</v>
      </c>
      <c r="I1022" s="20">
        <v>10</v>
      </c>
      <c r="J1022" s="20" t="s">
        <v>3700</v>
      </c>
      <c r="K1022" s="20" t="s">
        <v>3713</v>
      </c>
      <c r="L1022" s="20" t="s">
        <v>3702</v>
      </c>
      <c r="M1022" s="20" t="s">
        <v>2667</v>
      </c>
      <c r="N1022" s="20" t="s">
        <v>3703</v>
      </c>
      <c r="P1022" s="20" t="s">
        <v>2667</v>
      </c>
      <c r="Q1022" s="20" t="s">
        <v>2674</v>
      </c>
      <c r="R1022" s="20" t="s">
        <v>84</v>
      </c>
      <c r="S1022" s="20">
        <v>4</v>
      </c>
      <c r="T1022" s="20" t="s">
        <v>635</v>
      </c>
      <c r="U1022" s="20" t="s">
        <v>636</v>
      </c>
      <c r="V1022" s="20" t="s">
        <v>87</v>
      </c>
      <c r="W1022" s="20">
        <v>936</v>
      </c>
      <c r="X1022" s="20">
        <v>936</v>
      </c>
      <c r="Y1022" s="20" t="s">
        <v>3704</v>
      </c>
      <c r="Z1022" s="20">
        <v>0.16666666666666666</v>
      </c>
      <c r="AA1022" s="20" t="s">
        <v>3714</v>
      </c>
      <c r="AB1022" s="20" t="s">
        <v>718</v>
      </c>
      <c r="AC1022" s="20" t="s">
        <v>719</v>
      </c>
      <c r="AD1022" s="20" t="s">
        <v>3706</v>
      </c>
      <c r="AE1022" s="20" t="s">
        <v>400</v>
      </c>
      <c r="AF1022" s="20">
        <v>0.16666666666666666</v>
      </c>
      <c r="AG1022" s="20">
        <v>0</v>
      </c>
      <c r="AH1022" s="20">
        <v>1</v>
      </c>
      <c r="AI1022" s="4" t="s">
        <v>651</v>
      </c>
      <c r="AJ1022" s="20">
        <v>50</v>
      </c>
      <c r="AK1022" s="4" t="s">
        <v>679</v>
      </c>
      <c r="AL1022" s="4">
        <v>6</v>
      </c>
      <c r="AM1022" s="4" t="s">
        <v>112</v>
      </c>
      <c r="AN1022" s="4" t="s">
        <v>95</v>
      </c>
      <c r="AO1022" s="4" t="s">
        <v>680</v>
      </c>
      <c r="AP1022" s="4">
        <v>1</v>
      </c>
      <c r="AQ1022" s="20">
        <v>59000</v>
      </c>
      <c r="AR1022" s="4">
        <v>41855</v>
      </c>
      <c r="AS1022" s="20">
        <v>11919.191919191919</v>
      </c>
      <c r="AT1022" s="20">
        <v>13302.500000000002</v>
      </c>
      <c r="AU1022" s="20">
        <v>1383.3080808080831</v>
      </c>
      <c r="AV1022" s="20">
        <v>0</v>
      </c>
      <c r="AW1022" s="20">
        <v>20</v>
      </c>
      <c r="AX1022" s="20" t="s">
        <v>91</v>
      </c>
      <c r="AY1022" s="20">
        <v>20</v>
      </c>
      <c r="AZ1022" s="20">
        <v>11.5</v>
      </c>
      <c r="BA1022" s="20">
        <v>0</v>
      </c>
      <c r="BB1022" s="6">
        <v>41855</v>
      </c>
      <c r="BC1022" s="6">
        <v>0</v>
      </c>
      <c r="BD1022" s="6">
        <v>41862</v>
      </c>
      <c r="BE1022" s="6">
        <v>0</v>
      </c>
      <c r="BF1022" s="6">
        <v>41862</v>
      </c>
      <c r="BG1022" s="6">
        <v>0</v>
      </c>
      <c r="BH1022" s="6">
        <v>0</v>
      </c>
      <c r="BI1022" s="6">
        <v>0</v>
      </c>
      <c r="BJ1022" s="6">
        <v>0</v>
      </c>
      <c r="BK1022" s="4">
        <v>0</v>
      </c>
      <c r="BL1022" s="4">
        <v>0</v>
      </c>
      <c r="BM1022" s="20">
        <v>50</v>
      </c>
      <c r="BN1022" s="20">
        <v>0</v>
      </c>
      <c r="BO1022" s="20">
        <v>0</v>
      </c>
      <c r="BP1022" s="20">
        <v>0</v>
      </c>
      <c r="BQ1022" s="20">
        <v>0</v>
      </c>
      <c r="BR1022" s="20">
        <v>0</v>
      </c>
      <c r="BS1022" s="20">
        <v>50</v>
      </c>
      <c r="BT1022" s="20">
        <v>665125.00000000012</v>
      </c>
      <c r="BU1022" s="20">
        <v>2950000</v>
      </c>
      <c r="BV1022" s="20">
        <v>4.0320513915702776</v>
      </c>
    </row>
    <row r="1023" spans="1:74">
      <c r="A1023" s="10">
        <f t="shared" si="62"/>
        <v>0</v>
      </c>
      <c r="B1023" s="10">
        <f t="shared" si="63"/>
        <v>0</v>
      </c>
      <c r="C1023" s="12">
        <f t="shared" si="64"/>
        <v>8</v>
      </c>
      <c r="D1023" s="12">
        <f t="shared" si="65"/>
        <v>8</v>
      </c>
      <c r="E1023" s="20" t="s">
        <v>574</v>
      </c>
      <c r="F1023" s="20" t="s">
        <v>3089</v>
      </c>
      <c r="G1023" s="20" t="s">
        <v>3545</v>
      </c>
      <c r="H1023" s="20" t="s">
        <v>3699</v>
      </c>
      <c r="I1023" s="20">
        <v>10</v>
      </c>
      <c r="J1023" s="20" t="s">
        <v>3700</v>
      </c>
      <c r="K1023" s="20" t="s">
        <v>3715</v>
      </c>
      <c r="L1023" s="20" t="s">
        <v>3702</v>
      </c>
      <c r="M1023" s="20" t="s">
        <v>2667</v>
      </c>
      <c r="N1023" s="20" t="s">
        <v>3703</v>
      </c>
      <c r="P1023" s="20" t="s">
        <v>2667</v>
      </c>
      <c r="Q1023" s="20" t="s">
        <v>2674</v>
      </c>
      <c r="R1023" s="20" t="s">
        <v>84</v>
      </c>
      <c r="S1023" s="20">
        <v>4</v>
      </c>
      <c r="T1023" s="20" t="s">
        <v>635</v>
      </c>
      <c r="U1023" s="20" t="s">
        <v>636</v>
      </c>
      <c r="V1023" s="20" t="s">
        <v>87</v>
      </c>
      <c r="W1023" s="20">
        <v>936</v>
      </c>
      <c r="X1023" s="20">
        <v>936</v>
      </c>
      <c r="Y1023" s="20" t="s">
        <v>3704</v>
      </c>
      <c r="Z1023" s="20">
        <v>0.16666666666666666</v>
      </c>
      <c r="AA1023" s="20" t="s">
        <v>3716</v>
      </c>
      <c r="AB1023" s="20" t="s">
        <v>718</v>
      </c>
      <c r="AC1023" s="20" t="s">
        <v>719</v>
      </c>
      <c r="AD1023" s="20" t="s">
        <v>3706</v>
      </c>
      <c r="AE1023" s="20" t="s">
        <v>400</v>
      </c>
      <c r="AF1023" s="20">
        <v>0.16666666666666666</v>
      </c>
      <c r="AG1023" s="20">
        <v>0</v>
      </c>
      <c r="AH1023" s="20">
        <v>1</v>
      </c>
      <c r="AI1023" s="4" t="s">
        <v>640</v>
      </c>
      <c r="AJ1023" s="20">
        <v>50</v>
      </c>
      <c r="AK1023" s="4" t="s">
        <v>679</v>
      </c>
      <c r="AL1023" s="4">
        <v>6</v>
      </c>
      <c r="AM1023" s="4" t="s">
        <v>112</v>
      </c>
      <c r="AN1023" s="4" t="s">
        <v>95</v>
      </c>
      <c r="AO1023" s="4" t="s">
        <v>680</v>
      </c>
      <c r="AP1023" s="4">
        <v>1</v>
      </c>
      <c r="AQ1023" s="20">
        <v>59000</v>
      </c>
      <c r="AR1023" s="4">
        <v>41855</v>
      </c>
      <c r="AS1023" s="20">
        <v>11919.191919191919</v>
      </c>
      <c r="AT1023" s="20">
        <v>13302.500000000002</v>
      </c>
      <c r="AU1023" s="20">
        <v>1383.3080808080831</v>
      </c>
      <c r="AV1023" s="20">
        <v>0</v>
      </c>
      <c r="AW1023" s="20">
        <v>20</v>
      </c>
      <c r="AX1023" s="20" t="s">
        <v>91</v>
      </c>
      <c r="AY1023" s="20">
        <v>20</v>
      </c>
      <c r="AZ1023" s="20">
        <v>11.5</v>
      </c>
      <c r="BA1023" s="20">
        <v>0</v>
      </c>
      <c r="BB1023" s="6">
        <v>41855</v>
      </c>
      <c r="BC1023" s="6">
        <v>0</v>
      </c>
      <c r="BD1023" s="6">
        <v>41862</v>
      </c>
      <c r="BE1023" s="6">
        <v>0</v>
      </c>
      <c r="BF1023" s="6">
        <v>41862</v>
      </c>
      <c r="BG1023" s="6">
        <v>0</v>
      </c>
      <c r="BH1023" s="6">
        <v>0</v>
      </c>
      <c r="BI1023" s="6">
        <v>0</v>
      </c>
      <c r="BJ1023" s="6">
        <v>0</v>
      </c>
      <c r="BK1023" s="4">
        <v>0</v>
      </c>
      <c r="BL1023" s="4">
        <v>0</v>
      </c>
      <c r="BM1023" s="20">
        <v>50</v>
      </c>
      <c r="BN1023" s="20">
        <v>0</v>
      </c>
      <c r="BO1023" s="20">
        <v>0</v>
      </c>
      <c r="BP1023" s="20">
        <v>0</v>
      </c>
      <c r="BQ1023" s="20">
        <v>0</v>
      </c>
      <c r="BR1023" s="20">
        <v>0</v>
      </c>
      <c r="BS1023" s="20">
        <v>50</v>
      </c>
      <c r="BT1023" s="20">
        <v>665125.00000000012</v>
      </c>
      <c r="BU1023" s="20">
        <v>2950000</v>
      </c>
      <c r="BV1023" s="20">
        <v>4.0320513915702776</v>
      </c>
    </row>
    <row r="1024" spans="1:74">
      <c r="A1024" s="10">
        <f t="shared" si="62"/>
        <v>0</v>
      </c>
      <c r="B1024" s="10">
        <f t="shared" si="63"/>
        <v>0</v>
      </c>
      <c r="C1024" s="12">
        <f t="shared" si="64"/>
        <v>8</v>
      </c>
      <c r="D1024" s="12">
        <f t="shared" si="65"/>
        <v>8</v>
      </c>
      <c r="E1024" s="20" t="s">
        <v>574</v>
      </c>
      <c r="F1024" s="20" t="s">
        <v>3089</v>
      </c>
      <c r="G1024" s="20" t="s">
        <v>3545</v>
      </c>
      <c r="H1024" s="20" t="s">
        <v>3717</v>
      </c>
      <c r="I1024" s="20">
        <v>11</v>
      </c>
      <c r="J1024" s="20" t="s">
        <v>3718</v>
      </c>
      <c r="K1024" s="20" t="s">
        <v>3719</v>
      </c>
      <c r="L1024" s="20" t="s">
        <v>3720</v>
      </c>
      <c r="M1024" s="20" t="s">
        <v>2667</v>
      </c>
      <c r="N1024" s="20" t="s">
        <v>3703</v>
      </c>
      <c r="P1024" s="20" t="s">
        <v>2667</v>
      </c>
      <c r="Q1024" s="20" t="s">
        <v>2674</v>
      </c>
      <c r="R1024" s="20" t="s">
        <v>84</v>
      </c>
      <c r="S1024" s="20">
        <v>4</v>
      </c>
      <c r="T1024" s="20" t="s">
        <v>635</v>
      </c>
      <c r="U1024" s="20" t="s">
        <v>636</v>
      </c>
      <c r="V1024" s="20" t="s">
        <v>87</v>
      </c>
      <c r="W1024" s="20">
        <v>938</v>
      </c>
      <c r="X1024" s="20">
        <v>938</v>
      </c>
      <c r="Y1024" s="20" t="s">
        <v>3721</v>
      </c>
      <c r="Z1024" s="20">
        <v>0.16666666666666666</v>
      </c>
      <c r="AA1024" s="20" t="s">
        <v>3722</v>
      </c>
      <c r="AB1024" s="20" t="s">
        <v>248</v>
      </c>
      <c r="AC1024" s="20" t="s">
        <v>249</v>
      </c>
      <c r="AD1024" s="20" t="s">
        <v>3723</v>
      </c>
      <c r="AE1024" s="20" t="s">
        <v>400</v>
      </c>
      <c r="AF1024" s="20">
        <v>0.16666666666666666</v>
      </c>
      <c r="AG1024" s="20">
        <v>0</v>
      </c>
      <c r="AH1024" s="20">
        <v>1</v>
      </c>
      <c r="AI1024" s="4" t="s">
        <v>643</v>
      </c>
      <c r="AJ1024" s="20">
        <v>95</v>
      </c>
      <c r="AK1024" s="4" t="s">
        <v>679</v>
      </c>
      <c r="AL1024" s="4">
        <v>6</v>
      </c>
      <c r="AM1024" s="4" t="s">
        <v>112</v>
      </c>
      <c r="AN1024" s="4" t="s">
        <v>95</v>
      </c>
      <c r="AO1024" s="4" t="s">
        <v>680</v>
      </c>
      <c r="AP1024" s="4">
        <v>1</v>
      </c>
      <c r="AQ1024" s="20">
        <v>69000</v>
      </c>
      <c r="AR1024" s="4">
        <v>41855</v>
      </c>
      <c r="AS1024" s="20">
        <v>13939.393939393938</v>
      </c>
      <c r="AT1024" s="20">
        <v>15612.5</v>
      </c>
      <c r="AU1024" s="20">
        <v>1673.1060606060619</v>
      </c>
      <c r="AV1024" s="20">
        <v>0</v>
      </c>
      <c r="AW1024" s="20">
        <v>20</v>
      </c>
      <c r="AX1024" s="20" t="s">
        <v>91</v>
      </c>
      <c r="AY1024" s="20">
        <v>20</v>
      </c>
      <c r="AZ1024" s="20">
        <v>13.5</v>
      </c>
      <c r="BA1024" s="20">
        <v>0</v>
      </c>
      <c r="BB1024" s="6">
        <v>41855</v>
      </c>
      <c r="BC1024" s="6">
        <v>0</v>
      </c>
      <c r="BD1024" s="6">
        <v>41862</v>
      </c>
      <c r="BE1024" s="6">
        <v>0</v>
      </c>
      <c r="BF1024" s="6">
        <v>41862</v>
      </c>
      <c r="BG1024" s="6">
        <v>0</v>
      </c>
      <c r="BH1024" s="6">
        <v>0</v>
      </c>
      <c r="BI1024" s="6">
        <v>0</v>
      </c>
      <c r="BJ1024" s="6">
        <v>0</v>
      </c>
      <c r="BK1024" s="4">
        <v>0</v>
      </c>
      <c r="BL1024" s="4">
        <v>0</v>
      </c>
      <c r="BM1024" s="20">
        <v>90</v>
      </c>
      <c r="BN1024" s="20">
        <v>0</v>
      </c>
      <c r="BO1024" s="20">
        <v>0</v>
      </c>
      <c r="BP1024" s="20">
        <v>0</v>
      </c>
      <c r="BQ1024" s="20">
        <v>0</v>
      </c>
      <c r="BR1024" s="20">
        <v>0</v>
      </c>
      <c r="BS1024" s="20">
        <v>95</v>
      </c>
      <c r="BT1024" s="20">
        <v>1483187.5</v>
      </c>
      <c r="BU1024" s="20">
        <v>6555000</v>
      </c>
      <c r="BV1024" s="20">
        <v>4.0177596622752745</v>
      </c>
    </row>
    <row r="1025" spans="1:74">
      <c r="A1025" s="10">
        <f t="shared" si="62"/>
        <v>0</v>
      </c>
      <c r="B1025" s="10">
        <f t="shared" si="63"/>
        <v>0</v>
      </c>
      <c r="C1025" s="12">
        <f t="shared" si="64"/>
        <v>8</v>
      </c>
      <c r="D1025" s="12">
        <f t="shared" si="65"/>
        <v>8</v>
      </c>
      <c r="E1025" s="20" t="s">
        <v>574</v>
      </c>
      <c r="F1025" s="20" t="s">
        <v>3089</v>
      </c>
      <c r="G1025" s="20" t="s">
        <v>3545</v>
      </c>
      <c r="H1025" s="20" t="s">
        <v>3717</v>
      </c>
      <c r="I1025" s="20">
        <v>11</v>
      </c>
      <c r="J1025" s="20" t="s">
        <v>3718</v>
      </c>
      <c r="K1025" s="20" t="s">
        <v>3724</v>
      </c>
      <c r="L1025" s="20" t="s">
        <v>3720</v>
      </c>
      <c r="M1025" s="20" t="s">
        <v>2667</v>
      </c>
      <c r="N1025" s="20" t="s">
        <v>3703</v>
      </c>
      <c r="P1025" s="20" t="s">
        <v>2667</v>
      </c>
      <c r="Q1025" s="20" t="s">
        <v>2674</v>
      </c>
      <c r="R1025" s="20" t="s">
        <v>84</v>
      </c>
      <c r="S1025" s="20">
        <v>4</v>
      </c>
      <c r="T1025" s="20" t="s">
        <v>635</v>
      </c>
      <c r="U1025" s="20" t="s">
        <v>636</v>
      </c>
      <c r="V1025" s="20" t="s">
        <v>87</v>
      </c>
      <c r="W1025" s="20">
        <v>938</v>
      </c>
      <c r="X1025" s="20">
        <v>938</v>
      </c>
      <c r="Y1025" s="20" t="s">
        <v>3721</v>
      </c>
      <c r="Z1025" s="20">
        <v>0.16666666666666666</v>
      </c>
      <c r="AA1025" s="20" t="s">
        <v>3725</v>
      </c>
      <c r="AB1025" s="20" t="s">
        <v>248</v>
      </c>
      <c r="AC1025" s="20" t="s">
        <v>249</v>
      </c>
      <c r="AD1025" s="20" t="s">
        <v>3723</v>
      </c>
      <c r="AE1025" s="20" t="s">
        <v>400</v>
      </c>
      <c r="AF1025" s="20">
        <v>0.16666666666666666</v>
      </c>
      <c r="AG1025" s="20">
        <v>0</v>
      </c>
      <c r="AH1025" s="20">
        <v>1</v>
      </c>
      <c r="AI1025" s="4" t="s">
        <v>645</v>
      </c>
      <c r="AJ1025" s="20">
        <v>65</v>
      </c>
      <c r="AK1025" s="4" t="s">
        <v>679</v>
      </c>
      <c r="AL1025" s="4">
        <v>6</v>
      </c>
      <c r="AM1025" s="4" t="s">
        <v>112</v>
      </c>
      <c r="AN1025" s="4" t="s">
        <v>95</v>
      </c>
      <c r="AO1025" s="4" t="s">
        <v>680</v>
      </c>
      <c r="AP1025" s="4">
        <v>1</v>
      </c>
      <c r="AQ1025" s="20">
        <v>69000</v>
      </c>
      <c r="AR1025" s="4">
        <v>41855</v>
      </c>
      <c r="AS1025" s="20">
        <v>13939.393939393938</v>
      </c>
      <c r="AT1025" s="20">
        <v>15612.5</v>
      </c>
      <c r="AU1025" s="20">
        <v>1673.1060606060619</v>
      </c>
      <c r="AV1025" s="20">
        <v>0</v>
      </c>
      <c r="AW1025" s="20">
        <v>20</v>
      </c>
      <c r="AX1025" s="20" t="s">
        <v>91</v>
      </c>
      <c r="AY1025" s="20">
        <v>20</v>
      </c>
      <c r="AZ1025" s="20">
        <v>13.5</v>
      </c>
      <c r="BA1025" s="20">
        <v>0</v>
      </c>
      <c r="BB1025" s="6">
        <v>41855</v>
      </c>
      <c r="BC1025" s="6">
        <v>0</v>
      </c>
      <c r="BD1025" s="6">
        <v>41862</v>
      </c>
      <c r="BE1025" s="6">
        <v>0</v>
      </c>
      <c r="BF1025" s="6">
        <v>41862</v>
      </c>
      <c r="BG1025" s="6">
        <v>0</v>
      </c>
      <c r="BH1025" s="6">
        <v>0</v>
      </c>
      <c r="BI1025" s="6">
        <v>0</v>
      </c>
      <c r="BJ1025" s="6">
        <v>0</v>
      </c>
      <c r="BK1025" s="4">
        <v>0</v>
      </c>
      <c r="BL1025" s="4">
        <v>0</v>
      </c>
      <c r="BM1025" s="20">
        <v>65</v>
      </c>
      <c r="BN1025" s="20">
        <v>0</v>
      </c>
      <c r="BO1025" s="20">
        <v>0</v>
      </c>
      <c r="BP1025" s="20">
        <v>0</v>
      </c>
      <c r="BQ1025" s="20">
        <v>0</v>
      </c>
      <c r="BR1025" s="20">
        <v>0</v>
      </c>
      <c r="BS1025" s="20">
        <v>65</v>
      </c>
      <c r="BT1025" s="20">
        <v>1014812.5</v>
      </c>
      <c r="BU1025" s="20">
        <v>4485000</v>
      </c>
      <c r="BV1025" s="20">
        <v>4.0177596622752745</v>
      </c>
    </row>
    <row r="1026" spans="1:74">
      <c r="A1026" s="10">
        <f t="shared" si="62"/>
        <v>0</v>
      </c>
      <c r="B1026" s="10">
        <f t="shared" si="63"/>
        <v>0</v>
      </c>
      <c r="C1026" s="12">
        <f t="shared" si="64"/>
        <v>8</v>
      </c>
      <c r="D1026" s="12">
        <f t="shared" si="65"/>
        <v>8</v>
      </c>
      <c r="E1026" s="20" t="s">
        <v>574</v>
      </c>
      <c r="F1026" s="20" t="s">
        <v>3089</v>
      </c>
      <c r="G1026" s="20" t="s">
        <v>3545</v>
      </c>
      <c r="H1026" s="20" t="s">
        <v>3717</v>
      </c>
      <c r="I1026" s="20">
        <v>11</v>
      </c>
      <c r="J1026" s="20" t="s">
        <v>3718</v>
      </c>
      <c r="K1026" s="20" t="s">
        <v>3726</v>
      </c>
      <c r="L1026" s="20" t="s">
        <v>3720</v>
      </c>
      <c r="M1026" s="20" t="s">
        <v>2667</v>
      </c>
      <c r="N1026" s="20" t="s">
        <v>3703</v>
      </c>
      <c r="P1026" s="20" t="s">
        <v>2667</v>
      </c>
      <c r="Q1026" s="20" t="s">
        <v>2674</v>
      </c>
      <c r="R1026" s="20" t="s">
        <v>84</v>
      </c>
      <c r="S1026" s="20">
        <v>4</v>
      </c>
      <c r="T1026" s="20" t="s">
        <v>635</v>
      </c>
      <c r="U1026" s="20" t="s">
        <v>636</v>
      </c>
      <c r="V1026" s="20" t="s">
        <v>87</v>
      </c>
      <c r="W1026" s="20">
        <v>938</v>
      </c>
      <c r="X1026" s="20">
        <v>938</v>
      </c>
      <c r="Y1026" s="20" t="s">
        <v>3721</v>
      </c>
      <c r="Z1026" s="20">
        <v>0.16666666666666666</v>
      </c>
      <c r="AA1026" s="20" t="s">
        <v>3727</v>
      </c>
      <c r="AB1026" s="20" t="s">
        <v>248</v>
      </c>
      <c r="AC1026" s="20" t="s">
        <v>249</v>
      </c>
      <c r="AD1026" s="20" t="s">
        <v>3723</v>
      </c>
      <c r="AE1026" s="20" t="s">
        <v>400</v>
      </c>
      <c r="AF1026" s="20">
        <v>0.16666666666666666</v>
      </c>
      <c r="AG1026" s="20">
        <v>0</v>
      </c>
      <c r="AH1026" s="20">
        <v>1</v>
      </c>
      <c r="AI1026" s="4" t="s">
        <v>647</v>
      </c>
      <c r="AJ1026" s="20">
        <v>9</v>
      </c>
      <c r="AK1026" s="4" t="s">
        <v>679</v>
      </c>
      <c r="AL1026" s="4">
        <v>6</v>
      </c>
      <c r="AM1026" s="4" t="s">
        <v>112</v>
      </c>
      <c r="AN1026" s="4" t="s">
        <v>95</v>
      </c>
      <c r="AO1026" s="4" t="s">
        <v>680</v>
      </c>
      <c r="AP1026" s="4">
        <v>1</v>
      </c>
      <c r="AQ1026" s="20">
        <v>69000</v>
      </c>
      <c r="AR1026" s="4">
        <v>41855</v>
      </c>
      <c r="AS1026" s="20">
        <v>13939.393939393938</v>
      </c>
      <c r="AT1026" s="20">
        <v>15612.5</v>
      </c>
      <c r="AU1026" s="20">
        <v>1673.1060606060619</v>
      </c>
      <c r="AV1026" s="20">
        <v>0</v>
      </c>
      <c r="AW1026" s="20">
        <v>20</v>
      </c>
      <c r="AX1026" s="20" t="s">
        <v>91</v>
      </c>
      <c r="AY1026" s="20">
        <v>20</v>
      </c>
      <c r="AZ1026" s="20">
        <v>13.5</v>
      </c>
      <c r="BA1026" s="20">
        <v>0</v>
      </c>
      <c r="BB1026" s="6">
        <v>41855</v>
      </c>
      <c r="BC1026" s="6">
        <v>0</v>
      </c>
      <c r="BD1026" s="6">
        <v>41862</v>
      </c>
      <c r="BE1026" s="6">
        <v>0</v>
      </c>
      <c r="BF1026" s="6">
        <v>41862</v>
      </c>
      <c r="BG1026" s="6">
        <v>0</v>
      </c>
      <c r="BH1026" s="6">
        <v>0</v>
      </c>
      <c r="BI1026" s="6">
        <v>0</v>
      </c>
      <c r="BJ1026" s="6">
        <v>0</v>
      </c>
      <c r="BK1026" s="4">
        <v>0</v>
      </c>
      <c r="BL1026" s="4">
        <v>0</v>
      </c>
      <c r="BM1026" s="20">
        <v>11</v>
      </c>
      <c r="BN1026" s="20">
        <v>0</v>
      </c>
      <c r="BO1026" s="20">
        <v>0</v>
      </c>
      <c r="BP1026" s="20">
        <v>0</v>
      </c>
      <c r="BQ1026" s="20">
        <v>0</v>
      </c>
      <c r="BR1026" s="20">
        <v>0</v>
      </c>
      <c r="BS1026" s="20">
        <v>9</v>
      </c>
      <c r="BT1026" s="20">
        <v>140512.5</v>
      </c>
      <c r="BU1026" s="20">
        <v>621000</v>
      </c>
      <c r="BV1026" s="20">
        <v>4.0177596622752745</v>
      </c>
    </row>
    <row r="1027" spans="1:74">
      <c r="A1027" s="10">
        <f t="shared" ref="A1027:A1090" si="66">IF($BL1027="공급",$Z1027,0)</f>
        <v>0</v>
      </c>
      <c r="B1027" s="10">
        <f t="shared" ref="B1027:B1090" si="67">IF($AV1027&gt;0,$Z1027,0)</f>
        <v>0</v>
      </c>
      <c r="C1027" s="12">
        <f t="shared" si="64"/>
        <v>8</v>
      </c>
      <c r="D1027" s="12">
        <f t="shared" si="65"/>
        <v>8</v>
      </c>
      <c r="E1027" s="20" t="s">
        <v>574</v>
      </c>
      <c r="F1027" s="20" t="s">
        <v>3089</v>
      </c>
      <c r="G1027" s="20" t="s">
        <v>3545</v>
      </c>
      <c r="H1027" s="20" t="s">
        <v>3717</v>
      </c>
      <c r="I1027" s="20">
        <v>11</v>
      </c>
      <c r="J1027" s="20" t="s">
        <v>3718</v>
      </c>
      <c r="K1027" s="20" t="s">
        <v>3728</v>
      </c>
      <c r="L1027" s="20" t="s">
        <v>3720</v>
      </c>
      <c r="M1027" s="20" t="s">
        <v>2667</v>
      </c>
      <c r="N1027" s="20" t="s">
        <v>3703</v>
      </c>
      <c r="P1027" s="20" t="s">
        <v>2667</v>
      </c>
      <c r="Q1027" s="20" t="s">
        <v>2674</v>
      </c>
      <c r="R1027" s="20" t="s">
        <v>84</v>
      </c>
      <c r="S1027" s="20">
        <v>4</v>
      </c>
      <c r="T1027" s="20" t="s">
        <v>635</v>
      </c>
      <c r="U1027" s="20" t="s">
        <v>636</v>
      </c>
      <c r="V1027" s="20" t="s">
        <v>87</v>
      </c>
      <c r="W1027" s="20">
        <v>938</v>
      </c>
      <c r="X1027" s="20">
        <v>938</v>
      </c>
      <c r="Y1027" s="20" t="s">
        <v>3721</v>
      </c>
      <c r="Z1027" s="20">
        <v>0.16666666666666666</v>
      </c>
      <c r="AA1027" s="20" t="s">
        <v>3729</v>
      </c>
      <c r="AB1027" s="20" t="s">
        <v>248</v>
      </c>
      <c r="AC1027" s="20" t="s">
        <v>249</v>
      </c>
      <c r="AD1027" s="20" t="s">
        <v>3723</v>
      </c>
      <c r="AE1027" s="20" t="s">
        <v>400</v>
      </c>
      <c r="AF1027" s="20">
        <v>0.16666666666666666</v>
      </c>
      <c r="AG1027" s="20">
        <v>0</v>
      </c>
      <c r="AH1027" s="20">
        <v>1</v>
      </c>
      <c r="AI1027" s="4" t="s">
        <v>649</v>
      </c>
      <c r="AJ1027" s="20">
        <v>14</v>
      </c>
      <c r="AK1027" s="4" t="s">
        <v>679</v>
      </c>
      <c r="AL1027" s="4">
        <v>6</v>
      </c>
      <c r="AM1027" s="4" t="s">
        <v>112</v>
      </c>
      <c r="AN1027" s="4" t="s">
        <v>95</v>
      </c>
      <c r="AO1027" s="4" t="s">
        <v>680</v>
      </c>
      <c r="AP1027" s="4">
        <v>1</v>
      </c>
      <c r="AQ1027" s="20">
        <v>69000</v>
      </c>
      <c r="AR1027" s="4">
        <v>41855</v>
      </c>
      <c r="AS1027" s="20">
        <v>13939.393939393938</v>
      </c>
      <c r="AT1027" s="20">
        <v>15612.5</v>
      </c>
      <c r="AU1027" s="20">
        <v>1673.1060606060619</v>
      </c>
      <c r="AV1027" s="20">
        <v>0</v>
      </c>
      <c r="AW1027" s="20">
        <v>20</v>
      </c>
      <c r="AX1027" s="20" t="s">
        <v>91</v>
      </c>
      <c r="AY1027" s="20">
        <v>20</v>
      </c>
      <c r="AZ1027" s="20">
        <v>13.5</v>
      </c>
      <c r="BA1027" s="20">
        <v>0</v>
      </c>
      <c r="BB1027" s="6">
        <v>41855</v>
      </c>
      <c r="BC1027" s="6">
        <v>0</v>
      </c>
      <c r="BD1027" s="6">
        <v>41862</v>
      </c>
      <c r="BE1027" s="6">
        <v>0</v>
      </c>
      <c r="BF1027" s="6">
        <v>41862</v>
      </c>
      <c r="BG1027" s="6">
        <v>0</v>
      </c>
      <c r="BH1027" s="6">
        <v>0</v>
      </c>
      <c r="BI1027" s="6">
        <v>0</v>
      </c>
      <c r="BJ1027" s="6">
        <v>0</v>
      </c>
      <c r="BK1027" s="4">
        <v>0</v>
      </c>
      <c r="BL1027" s="4">
        <v>0</v>
      </c>
      <c r="BM1027" s="20">
        <v>13</v>
      </c>
      <c r="BN1027" s="20">
        <v>0</v>
      </c>
      <c r="BO1027" s="20">
        <v>0</v>
      </c>
      <c r="BP1027" s="20">
        <v>0</v>
      </c>
      <c r="BQ1027" s="20">
        <v>0</v>
      </c>
      <c r="BR1027" s="20">
        <v>0</v>
      </c>
      <c r="BS1027" s="20">
        <v>14</v>
      </c>
      <c r="BT1027" s="20">
        <v>218575</v>
      </c>
      <c r="BU1027" s="20">
        <v>966000</v>
      </c>
      <c r="BV1027" s="20">
        <v>4.0177596622752745</v>
      </c>
    </row>
    <row r="1028" spans="1:74">
      <c r="A1028" s="10">
        <f t="shared" si="66"/>
        <v>0</v>
      </c>
      <c r="B1028" s="10">
        <f t="shared" si="67"/>
        <v>0</v>
      </c>
      <c r="C1028" s="12">
        <f t="shared" ref="C1028:C1091" si="68">IF($BB1028=0,"",MONTH($BB1028))</f>
        <v>8</v>
      </c>
      <c r="D1028" s="12">
        <f t="shared" si="65"/>
        <v>8</v>
      </c>
      <c r="E1028" s="20" t="s">
        <v>574</v>
      </c>
      <c r="F1028" s="20" t="s">
        <v>3089</v>
      </c>
      <c r="G1028" s="20" t="s">
        <v>3545</v>
      </c>
      <c r="H1028" s="20" t="s">
        <v>3717</v>
      </c>
      <c r="I1028" s="20">
        <v>11</v>
      </c>
      <c r="J1028" s="20" t="s">
        <v>3718</v>
      </c>
      <c r="K1028" s="20" t="s">
        <v>3730</v>
      </c>
      <c r="L1028" s="20" t="s">
        <v>3720</v>
      </c>
      <c r="M1028" s="20" t="s">
        <v>2667</v>
      </c>
      <c r="N1028" s="20" t="s">
        <v>3703</v>
      </c>
      <c r="P1028" s="20" t="s">
        <v>2667</v>
      </c>
      <c r="Q1028" s="20" t="s">
        <v>2674</v>
      </c>
      <c r="R1028" s="20" t="s">
        <v>84</v>
      </c>
      <c r="S1028" s="20">
        <v>4</v>
      </c>
      <c r="T1028" s="20" t="s">
        <v>635</v>
      </c>
      <c r="U1028" s="20" t="s">
        <v>636</v>
      </c>
      <c r="V1028" s="20" t="s">
        <v>87</v>
      </c>
      <c r="W1028" s="20">
        <v>938</v>
      </c>
      <c r="X1028" s="20">
        <v>938</v>
      </c>
      <c r="Y1028" s="20" t="s">
        <v>3721</v>
      </c>
      <c r="Z1028" s="20">
        <v>0.16666666666666666</v>
      </c>
      <c r="AA1028" s="20" t="s">
        <v>3731</v>
      </c>
      <c r="AB1028" s="20" t="s">
        <v>248</v>
      </c>
      <c r="AC1028" s="20" t="s">
        <v>249</v>
      </c>
      <c r="AD1028" s="20" t="s">
        <v>3723</v>
      </c>
      <c r="AE1028" s="20" t="s">
        <v>400</v>
      </c>
      <c r="AF1028" s="20">
        <v>0.16666666666666666</v>
      </c>
      <c r="AG1028" s="20">
        <v>0</v>
      </c>
      <c r="AH1028" s="20">
        <v>1</v>
      </c>
      <c r="AI1028" s="4" t="s">
        <v>651</v>
      </c>
      <c r="AJ1028" s="20">
        <v>16</v>
      </c>
      <c r="AK1028" s="4" t="s">
        <v>679</v>
      </c>
      <c r="AL1028" s="4">
        <v>6</v>
      </c>
      <c r="AM1028" s="4" t="s">
        <v>112</v>
      </c>
      <c r="AN1028" s="4" t="s">
        <v>95</v>
      </c>
      <c r="AO1028" s="4" t="s">
        <v>680</v>
      </c>
      <c r="AP1028" s="4">
        <v>1</v>
      </c>
      <c r="AQ1028" s="20">
        <v>69000</v>
      </c>
      <c r="AR1028" s="4">
        <v>41855</v>
      </c>
      <c r="AS1028" s="20">
        <v>13939.393939393938</v>
      </c>
      <c r="AT1028" s="20">
        <v>15612.5</v>
      </c>
      <c r="AU1028" s="20">
        <v>1673.1060606060619</v>
      </c>
      <c r="AV1028" s="20">
        <v>0</v>
      </c>
      <c r="AW1028" s="20">
        <v>20</v>
      </c>
      <c r="AX1028" s="20" t="s">
        <v>91</v>
      </c>
      <c r="AY1028" s="20">
        <v>20</v>
      </c>
      <c r="AZ1028" s="20">
        <v>13.5</v>
      </c>
      <c r="BA1028" s="20">
        <v>0</v>
      </c>
      <c r="BB1028" s="6">
        <v>41855</v>
      </c>
      <c r="BC1028" s="6">
        <v>0</v>
      </c>
      <c r="BD1028" s="6">
        <v>41862</v>
      </c>
      <c r="BE1028" s="6">
        <v>0</v>
      </c>
      <c r="BF1028" s="6">
        <v>41862</v>
      </c>
      <c r="BG1028" s="6">
        <v>0</v>
      </c>
      <c r="BH1028" s="6">
        <v>0</v>
      </c>
      <c r="BI1028" s="6">
        <v>0</v>
      </c>
      <c r="BJ1028" s="6">
        <v>0</v>
      </c>
      <c r="BK1028" s="4">
        <v>0</v>
      </c>
      <c r="BL1028" s="4">
        <v>0</v>
      </c>
      <c r="BM1028" s="20">
        <v>15</v>
      </c>
      <c r="BN1028" s="20">
        <v>0</v>
      </c>
      <c r="BO1028" s="20">
        <v>0</v>
      </c>
      <c r="BP1028" s="20">
        <v>0</v>
      </c>
      <c r="BQ1028" s="20">
        <v>0</v>
      </c>
      <c r="BR1028" s="20">
        <v>0</v>
      </c>
      <c r="BS1028" s="20">
        <v>16</v>
      </c>
      <c r="BT1028" s="20">
        <v>249800</v>
      </c>
      <c r="BU1028" s="20">
        <v>1104000</v>
      </c>
      <c r="BV1028" s="20">
        <v>4.0177596622752745</v>
      </c>
    </row>
    <row r="1029" spans="1:74">
      <c r="A1029" s="10">
        <f t="shared" si="66"/>
        <v>0</v>
      </c>
      <c r="B1029" s="10">
        <f t="shared" si="67"/>
        <v>0</v>
      </c>
      <c r="C1029" s="12">
        <f t="shared" si="68"/>
        <v>8</v>
      </c>
      <c r="D1029" s="12">
        <f t="shared" ref="D1029:D1092" si="69">IF(AND(BD1029=0,BF1029=0),"",MONTH(IF($BF1029=0,$BD1029,$BF1029)))</f>
        <v>8</v>
      </c>
      <c r="E1029" s="20" t="s">
        <v>574</v>
      </c>
      <c r="F1029" s="20" t="s">
        <v>3089</v>
      </c>
      <c r="G1029" s="20" t="s">
        <v>3545</v>
      </c>
      <c r="H1029" s="20" t="s">
        <v>3717</v>
      </c>
      <c r="I1029" s="20">
        <v>11</v>
      </c>
      <c r="J1029" s="20" t="s">
        <v>3718</v>
      </c>
      <c r="K1029" s="20" t="s">
        <v>3732</v>
      </c>
      <c r="L1029" s="20" t="s">
        <v>3720</v>
      </c>
      <c r="M1029" s="20" t="s">
        <v>2667</v>
      </c>
      <c r="N1029" s="20" t="s">
        <v>3703</v>
      </c>
      <c r="P1029" s="20" t="s">
        <v>2667</v>
      </c>
      <c r="Q1029" s="20" t="s">
        <v>2674</v>
      </c>
      <c r="R1029" s="20" t="s">
        <v>84</v>
      </c>
      <c r="S1029" s="20">
        <v>4</v>
      </c>
      <c r="T1029" s="20" t="s">
        <v>635</v>
      </c>
      <c r="U1029" s="20" t="s">
        <v>636</v>
      </c>
      <c r="V1029" s="20" t="s">
        <v>87</v>
      </c>
      <c r="W1029" s="20">
        <v>938</v>
      </c>
      <c r="X1029" s="20">
        <v>938</v>
      </c>
      <c r="Y1029" s="20" t="s">
        <v>3721</v>
      </c>
      <c r="Z1029" s="20">
        <v>0.16666666666666666</v>
      </c>
      <c r="AA1029" s="20" t="s">
        <v>3733</v>
      </c>
      <c r="AB1029" s="20" t="s">
        <v>248</v>
      </c>
      <c r="AC1029" s="20" t="s">
        <v>249</v>
      </c>
      <c r="AD1029" s="20" t="s">
        <v>3723</v>
      </c>
      <c r="AE1029" s="20" t="s">
        <v>400</v>
      </c>
      <c r="AF1029" s="20">
        <v>0.16666666666666666</v>
      </c>
      <c r="AG1029" s="20">
        <v>0</v>
      </c>
      <c r="AH1029" s="20">
        <v>1</v>
      </c>
      <c r="AI1029" s="4" t="s">
        <v>640</v>
      </c>
      <c r="AJ1029" s="20">
        <v>38</v>
      </c>
      <c r="AK1029" s="4" t="s">
        <v>679</v>
      </c>
      <c r="AL1029" s="4">
        <v>6</v>
      </c>
      <c r="AM1029" s="4" t="s">
        <v>112</v>
      </c>
      <c r="AN1029" s="4" t="s">
        <v>95</v>
      </c>
      <c r="AO1029" s="4" t="s">
        <v>680</v>
      </c>
      <c r="AP1029" s="4">
        <v>1</v>
      </c>
      <c r="AQ1029" s="20">
        <v>69000</v>
      </c>
      <c r="AR1029" s="4">
        <v>41855</v>
      </c>
      <c r="AS1029" s="20">
        <v>13939.393939393938</v>
      </c>
      <c r="AT1029" s="20">
        <v>15612.5</v>
      </c>
      <c r="AU1029" s="20">
        <v>1673.1060606060619</v>
      </c>
      <c r="AV1029" s="20">
        <v>0</v>
      </c>
      <c r="AW1029" s="20">
        <v>20</v>
      </c>
      <c r="AX1029" s="20" t="s">
        <v>91</v>
      </c>
      <c r="AY1029" s="20">
        <v>20</v>
      </c>
      <c r="AZ1029" s="20">
        <v>13.5</v>
      </c>
      <c r="BA1029" s="20">
        <v>0</v>
      </c>
      <c r="BB1029" s="6">
        <v>41855</v>
      </c>
      <c r="BC1029" s="6">
        <v>0</v>
      </c>
      <c r="BD1029" s="6">
        <v>41862</v>
      </c>
      <c r="BE1029" s="6">
        <v>0</v>
      </c>
      <c r="BF1029" s="6">
        <v>41862</v>
      </c>
      <c r="BG1029" s="6">
        <v>0</v>
      </c>
      <c r="BH1029" s="6">
        <v>0</v>
      </c>
      <c r="BI1029" s="6">
        <v>0</v>
      </c>
      <c r="BJ1029" s="6">
        <v>0</v>
      </c>
      <c r="BK1029" s="4">
        <v>0</v>
      </c>
      <c r="BL1029" s="4">
        <v>0</v>
      </c>
      <c r="BM1029" s="20">
        <v>38</v>
      </c>
      <c r="BN1029" s="20">
        <v>0</v>
      </c>
      <c r="BO1029" s="20">
        <v>0</v>
      </c>
      <c r="BP1029" s="20">
        <v>0</v>
      </c>
      <c r="BQ1029" s="20">
        <v>0</v>
      </c>
      <c r="BR1029" s="20">
        <v>0</v>
      </c>
      <c r="BS1029" s="20">
        <v>38</v>
      </c>
      <c r="BT1029" s="20">
        <v>593275</v>
      </c>
      <c r="BU1029" s="20">
        <v>2622000</v>
      </c>
      <c r="BV1029" s="20">
        <v>4.0177596622752745</v>
      </c>
    </row>
    <row r="1030" spans="1:74">
      <c r="A1030" s="10">
        <f t="shared" si="66"/>
        <v>0</v>
      </c>
      <c r="B1030" s="10">
        <f t="shared" si="67"/>
        <v>0</v>
      </c>
      <c r="C1030" s="12" t="str">
        <f t="shared" si="68"/>
        <v/>
      </c>
      <c r="D1030" s="12" t="str">
        <f t="shared" si="69"/>
        <v/>
      </c>
      <c r="E1030" s="20" t="s">
        <v>91</v>
      </c>
      <c r="F1030" s="20" t="s">
        <v>91</v>
      </c>
      <c r="G1030" s="20" t="s">
        <v>91</v>
      </c>
      <c r="H1030" s="20" t="s">
        <v>91</v>
      </c>
      <c r="I1030" s="20">
        <v>0</v>
      </c>
      <c r="J1030" s="20" t="s">
        <v>103</v>
      </c>
      <c r="K1030" s="20" t="s">
        <v>104</v>
      </c>
      <c r="L1030" s="20">
        <v>0</v>
      </c>
      <c r="M1030" s="20" t="s">
        <v>105</v>
      </c>
      <c r="N1030" s="20" t="s">
        <v>91</v>
      </c>
      <c r="O1030" s="20" t="s">
        <v>3734</v>
      </c>
      <c r="Q1030" s="20" t="s">
        <v>91</v>
      </c>
      <c r="R1030" s="20" t="s">
        <v>91</v>
      </c>
      <c r="S1030" s="20" t="s">
        <v>91</v>
      </c>
      <c r="U1030" s="20" t="s">
        <v>91</v>
      </c>
      <c r="V1030" s="20" t="s">
        <v>87</v>
      </c>
      <c r="X1030" s="20" t="s">
        <v>91</v>
      </c>
      <c r="Y1030" s="20" t="s">
        <v>91</v>
      </c>
      <c r="Z1030" s="20">
        <v>10</v>
      </c>
      <c r="AB1030" s="20" t="s">
        <v>91</v>
      </c>
      <c r="AD1030" s="20" t="s">
        <v>91</v>
      </c>
      <c r="AE1030" s="20" t="s">
        <v>91</v>
      </c>
      <c r="AF1030" s="20">
        <v>10.999999999999995</v>
      </c>
      <c r="AG1030" s="20">
        <v>0</v>
      </c>
      <c r="AH1030" s="20">
        <v>1</v>
      </c>
      <c r="AM1030" s="4" t="s">
        <v>91</v>
      </c>
      <c r="AP1030" s="4" t="s">
        <v>91</v>
      </c>
      <c r="AQ1030" s="20">
        <v>0</v>
      </c>
      <c r="AR1030" s="4">
        <v>0</v>
      </c>
      <c r="AS1030" s="20">
        <v>0</v>
      </c>
      <c r="AT1030" s="20">
        <v>0</v>
      </c>
      <c r="AU1030" s="20">
        <v>0</v>
      </c>
      <c r="AV1030" s="20">
        <v>0</v>
      </c>
      <c r="AW1030" s="20">
        <v>0</v>
      </c>
      <c r="AX1030" s="20" t="s">
        <v>91</v>
      </c>
      <c r="AY1030" s="20">
        <v>0</v>
      </c>
      <c r="AZ1030" s="20">
        <v>0</v>
      </c>
      <c r="BA1030" s="20">
        <v>0</v>
      </c>
      <c r="BB1030" s="6">
        <v>0</v>
      </c>
      <c r="BC1030" s="6">
        <v>0</v>
      </c>
      <c r="BD1030" s="6">
        <v>0</v>
      </c>
      <c r="BE1030" s="6">
        <v>0</v>
      </c>
      <c r="BF1030" s="6">
        <v>0</v>
      </c>
      <c r="BG1030" s="6">
        <v>0</v>
      </c>
      <c r="BH1030" s="6">
        <v>0</v>
      </c>
      <c r="BI1030" s="6">
        <v>0</v>
      </c>
      <c r="BJ1030" s="6">
        <v>0</v>
      </c>
      <c r="BK1030" s="4">
        <v>0</v>
      </c>
      <c r="BL1030" s="4">
        <v>0</v>
      </c>
      <c r="BM1030" s="20">
        <v>3892</v>
      </c>
      <c r="BN1030" s="20">
        <v>1</v>
      </c>
      <c r="BO1030" s="20">
        <v>0</v>
      </c>
      <c r="BP1030" s="20">
        <v>0</v>
      </c>
      <c r="BQ1030" s="20">
        <v>0</v>
      </c>
      <c r="BR1030" s="20">
        <v>0</v>
      </c>
      <c r="BS1030" s="20">
        <v>3897</v>
      </c>
      <c r="BT1030" s="20">
        <v>73806787.5</v>
      </c>
      <c r="BU1030" s="20">
        <v>334493000</v>
      </c>
      <c r="BV1030" s="20">
        <v>4.1200078712888768</v>
      </c>
    </row>
    <row r="1031" spans="1:74">
      <c r="A1031" s="10">
        <f t="shared" si="66"/>
        <v>0</v>
      </c>
      <c r="B1031" s="10">
        <f t="shared" si="67"/>
        <v>0</v>
      </c>
      <c r="C1031" s="12">
        <f t="shared" si="68"/>
        <v>8</v>
      </c>
      <c r="D1031" s="12">
        <f t="shared" si="69"/>
        <v>8</v>
      </c>
      <c r="E1031" s="20" t="s">
        <v>574</v>
      </c>
      <c r="F1031" s="20" t="s">
        <v>3735</v>
      </c>
      <c r="G1031" s="20" t="s">
        <v>3736</v>
      </c>
      <c r="H1031" s="20" t="s">
        <v>3737</v>
      </c>
      <c r="I1031" s="20">
        <v>1</v>
      </c>
      <c r="J1031" s="20" t="s">
        <v>3738</v>
      </c>
      <c r="K1031" s="20" t="s">
        <v>3739</v>
      </c>
      <c r="L1031" s="20" t="s">
        <v>3740</v>
      </c>
      <c r="M1031" s="20" t="s">
        <v>3741</v>
      </c>
      <c r="N1031" s="20" t="s">
        <v>3742</v>
      </c>
      <c r="P1031" s="20" t="s">
        <v>3741</v>
      </c>
      <c r="Q1031" s="20" t="s">
        <v>3743</v>
      </c>
      <c r="R1031" s="20" t="s">
        <v>84</v>
      </c>
      <c r="S1031" s="20">
        <v>4</v>
      </c>
      <c r="T1031" s="20" t="s">
        <v>674</v>
      </c>
      <c r="U1031" s="20" t="s">
        <v>675</v>
      </c>
      <c r="V1031" s="20" t="s">
        <v>87</v>
      </c>
      <c r="W1031" s="20">
        <v>901</v>
      </c>
      <c r="X1031" s="20">
        <v>901</v>
      </c>
      <c r="Y1031" s="20" t="s">
        <v>3744</v>
      </c>
      <c r="Z1031" s="20">
        <v>0.25</v>
      </c>
      <c r="AA1031" s="20" t="s">
        <v>3745</v>
      </c>
      <c r="AB1031" s="20" t="s">
        <v>248</v>
      </c>
      <c r="AC1031" s="20" t="s">
        <v>249</v>
      </c>
      <c r="AD1031" s="20" t="s">
        <v>3746</v>
      </c>
      <c r="AE1031" s="20" t="s">
        <v>400</v>
      </c>
      <c r="AF1031" s="20">
        <v>0.25</v>
      </c>
      <c r="AG1031" s="20">
        <v>0</v>
      </c>
      <c r="AH1031" s="20">
        <v>1</v>
      </c>
      <c r="AI1031" s="4" t="s">
        <v>643</v>
      </c>
      <c r="AJ1031" s="20">
        <v>50</v>
      </c>
      <c r="AK1031" s="4" t="s">
        <v>780</v>
      </c>
      <c r="AL1031" s="4">
        <v>11</v>
      </c>
      <c r="AM1031" s="4">
        <v>11</v>
      </c>
      <c r="AN1031" s="4" t="s">
        <v>95</v>
      </c>
      <c r="AO1031" s="4" t="s">
        <v>131</v>
      </c>
      <c r="AP1031" s="4">
        <v>2</v>
      </c>
      <c r="AQ1031" s="20">
        <v>109000</v>
      </c>
      <c r="AR1031" s="4">
        <v>41855</v>
      </c>
      <c r="AS1031" s="20">
        <v>27525.252525252523</v>
      </c>
      <c r="AT1031" s="20">
        <v>24120</v>
      </c>
      <c r="AU1031" s="20">
        <v>-3405.2525252525229</v>
      </c>
      <c r="AV1031" s="20">
        <v>0</v>
      </c>
      <c r="AW1031" s="20">
        <v>20</v>
      </c>
      <c r="AX1031" s="20" t="s">
        <v>91</v>
      </c>
      <c r="AY1031" s="20">
        <v>20</v>
      </c>
      <c r="AZ1031" s="20">
        <v>0</v>
      </c>
      <c r="BA1031" s="20">
        <v>24100</v>
      </c>
      <c r="BB1031" s="6">
        <v>41855</v>
      </c>
      <c r="BC1031" s="6">
        <v>0</v>
      </c>
      <c r="BD1031" s="6">
        <v>41862</v>
      </c>
      <c r="BE1031" s="6">
        <v>0</v>
      </c>
      <c r="BF1031" s="6">
        <v>41862</v>
      </c>
      <c r="BG1031" s="6">
        <v>0</v>
      </c>
      <c r="BH1031" s="6">
        <v>0</v>
      </c>
      <c r="BI1031" s="6">
        <v>0</v>
      </c>
      <c r="BJ1031" s="6">
        <v>0</v>
      </c>
      <c r="BK1031" s="4">
        <v>0</v>
      </c>
      <c r="BL1031" s="4">
        <v>0</v>
      </c>
      <c r="BM1031" s="20">
        <v>50</v>
      </c>
      <c r="BN1031" s="20">
        <v>0</v>
      </c>
      <c r="BO1031" s="20">
        <v>0</v>
      </c>
      <c r="BP1031" s="20">
        <v>0</v>
      </c>
      <c r="BQ1031" s="20">
        <v>0</v>
      </c>
      <c r="BR1031" s="20">
        <v>0</v>
      </c>
      <c r="BS1031" s="20">
        <v>50</v>
      </c>
      <c r="BT1031" s="20">
        <v>1206000</v>
      </c>
      <c r="BU1031" s="20">
        <v>5450000</v>
      </c>
      <c r="BV1031" s="20">
        <v>4.1082466455600786</v>
      </c>
    </row>
    <row r="1032" spans="1:74">
      <c r="A1032" s="10">
        <f t="shared" si="66"/>
        <v>0</v>
      </c>
      <c r="B1032" s="10">
        <f t="shared" si="67"/>
        <v>0</v>
      </c>
      <c r="C1032" s="12">
        <f t="shared" si="68"/>
        <v>8</v>
      </c>
      <c r="D1032" s="12">
        <f t="shared" si="69"/>
        <v>8</v>
      </c>
      <c r="E1032" s="20" t="s">
        <v>574</v>
      </c>
      <c r="F1032" s="20" t="s">
        <v>3735</v>
      </c>
      <c r="G1032" s="20" t="s">
        <v>3736</v>
      </c>
      <c r="H1032" s="20" t="s">
        <v>3737</v>
      </c>
      <c r="I1032" s="20">
        <v>1</v>
      </c>
      <c r="J1032" s="20" t="s">
        <v>3738</v>
      </c>
      <c r="K1032" s="20" t="s">
        <v>3747</v>
      </c>
      <c r="L1032" s="20" t="s">
        <v>3740</v>
      </c>
      <c r="M1032" s="20" t="s">
        <v>3741</v>
      </c>
      <c r="N1032" s="20" t="s">
        <v>3742</v>
      </c>
      <c r="P1032" s="20" t="s">
        <v>3741</v>
      </c>
      <c r="Q1032" s="20" t="s">
        <v>3743</v>
      </c>
      <c r="R1032" s="20" t="s">
        <v>84</v>
      </c>
      <c r="S1032" s="20">
        <v>4</v>
      </c>
      <c r="T1032" s="20" t="s">
        <v>674</v>
      </c>
      <c r="U1032" s="20" t="s">
        <v>675</v>
      </c>
      <c r="V1032" s="20" t="s">
        <v>87</v>
      </c>
      <c r="W1032" s="20">
        <v>901</v>
      </c>
      <c r="X1032" s="20">
        <v>901</v>
      </c>
      <c r="Y1032" s="20" t="s">
        <v>3744</v>
      </c>
      <c r="Z1032" s="20">
        <v>0.25</v>
      </c>
      <c r="AA1032" s="20" t="s">
        <v>3748</v>
      </c>
      <c r="AB1032" s="20" t="s">
        <v>248</v>
      </c>
      <c r="AC1032" s="20" t="s">
        <v>249</v>
      </c>
      <c r="AD1032" s="20" t="s">
        <v>3746</v>
      </c>
      <c r="AE1032" s="20" t="s">
        <v>400</v>
      </c>
      <c r="AF1032" s="20">
        <v>0.25</v>
      </c>
      <c r="AG1032" s="20">
        <v>0</v>
      </c>
      <c r="AH1032" s="20">
        <v>1</v>
      </c>
      <c r="AI1032" s="4" t="s">
        <v>647</v>
      </c>
      <c r="AJ1032" s="20">
        <v>50</v>
      </c>
      <c r="AK1032" s="4" t="s">
        <v>780</v>
      </c>
      <c r="AL1032" s="4">
        <v>11</v>
      </c>
      <c r="AM1032" s="4">
        <v>11</v>
      </c>
      <c r="AN1032" s="4" t="s">
        <v>95</v>
      </c>
      <c r="AO1032" s="4" t="s">
        <v>131</v>
      </c>
      <c r="AP1032" s="4">
        <v>2</v>
      </c>
      <c r="AQ1032" s="20">
        <v>109000</v>
      </c>
      <c r="AR1032" s="4">
        <v>41855</v>
      </c>
      <c r="AS1032" s="20">
        <v>27525.252525252523</v>
      </c>
      <c r="AT1032" s="20">
        <v>24120</v>
      </c>
      <c r="AU1032" s="20">
        <v>-3405.2525252525229</v>
      </c>
      <c r="AV1032" s="20">
        <v>0</v>
      </c>
      <c r="AW1032" s="20">
        <v>20</v>
      </c>
      <c r="AX1032" s="20" t="s">
        <v>91</v>
      </c>
      <c r="AY1032" s="20">
        <v>20</v>
      </c>
      <c r="AZ1032" s="20">
        <v>0</v>
      </c>
      <c r="BA1032" s="20">
        <v>24100</v>
      </c>
      <c r="BB1032" s="6">
        <v>41855</v>
      </c>
      <c r="BC1032" s="6">
        <v>0</v>
      </c>
      <c r="BD1032" s="6">
        <v>41862</v>
      </c>
      <c r="BE1032" s="6">
        <v>0</v>
      </c>
      <c r="BF1032" s="6">
        <v>41862</v>
      </c>
      <c r="BG1032" s="6">
        <v>0</v>
      </c>
      <c r="BH1032" s="6">
        <v>0</v>
      </c>
      <c r="BI1032" s="6">
        <v>0</v>
      </c>
      <c r="BJ1032" s="6">
        <v>0</v>
      </c>
      <c r="BK1032" s="4">
        <v>0</v>
      </c>
      <c r="BL1032" s="4">
        <v>0</v>
      </c>
      <c r="BM1032" s="20">
        <v>50</v>
      </c>
      <c r="BN1032" s="20">
        <v>0</v>
      </c>
      <c r="BO1032" s="20">
        <v>0</v>
      </c>
      <c r="BP1032" s="20">
        <v>0</v>
      </c>
      <c r="BQ1032" s="20">
        <v>0</v>
      </c>
      <c r="BR1032" s="20">
        <v>0</v>
      </c>
      <c r="BS1032" s="20">
        <v>50</v>
      </c>
      <c r="BT1032" s="20">
        <v>1206000</v>
      </c>
      <c r="BU1032" s="20">
        <v>5450000</v>
      </c>
      <c r="BV1032" s="20">
        <v>4.1082466455600786</v>
      </c>
    </row>
    <row r="1033" spans="1:74">
      <c r="A1033" s="10">
        <f t="shared" si="66"/>
        <v>0</v>
      </c>
      <c r="B1033" s="10">
        <f t="shared" si="67"/>
        <v>0</v>
      </c>
      <c r="C1033" s="12">
        <f t="shared" si="68"/>
        <v>8</v>
      </c>
      <c r="D1033" s="12">
        <f t="shared" si="69"/>
        <v>8</v>
      </c>
      <c r="E1033" s="20" t="s">
        <v>574</v>
      </c>
      <c r="F1033" s="20" t="s">
        <v>3735</v>
      </c>
      <c r="G1033" s="20" t="s">
        <v>3736</v>
      </c>
      <c r="H1033" s="20" t="s">
        <v>3737</v>
      </c>
      <c r="I1033" s="20">
        <v>1</v>
      </c>
      <c r="J1033" s="20" t="s">
        <v>3738</v>
      </c>
      <c r="K1033" s="20" t="s">
        <v>3749</v>
      </c>
      <c r="L1033" s="20" t="s">
        <v>3740</v>
      </c>
      <c r="M1033" s="20" t="s">
        <v>3741</v>
      </c>
      <c r="N1033" s="20" t="s">
        <v>3742</v>
      </c>
      <c r="P1033" s="20" t="s">
        <v>3741</v>
      </c>
      <c r="Q1033" s="20" t="s">
        <v>3743</v>
      </c>
      <c r="R1033" s="20" t="s">
        <v>84</v>
      </c>
      <c r="S1033" s="20">
        <v>4</v>
      </c>
      <c r="T1033" s="20" t="s">
        <v>674</v>
      </c>
      <c r="U1033" s="20" t="s">
        <v>675</v>
      </c>
      <c r="V1033" s="20" t="s">
        <v>87</v>
      </c>
      <c r="W1033" s="20">
        <v>901</v>
      </c>
      <c r="X1033" s="20">
        <v>901</v>
      </c>
      <c r="Y1033" s="20" t="s">
        <v>3744</v>
      </c>
      <c r="Z1033" s="20">
        <v>0.25</v>
      </c>
      <c r="AA1033" s="20" t="s">
        <v>3750</v>
      </c>
      <c r="AB1033" s="20" t="s">
        <v>248</v>
      </c>
      <c r="AC1033" s="20" t="s">
        <v>249</v>
      </c>
      <c r="AD1033" s="20" t="s">
        <v>3746</v>
      </c>
      <c r="AE1033" s="20" t="s">
        <v>400</v>
      </c>
      <c r="AF1033" s="20">
        <v>0.25</v>
      </c>
      <c r="AG1033" s="20">
        <v>0</v>
      </c>
      <c r="AH1033" s="20">
        <v>1</v>
      </c>
      <c r="AI1033" s="4" t="s">
        <v>651</v>
      </c>
      <c r="AJ1033" s="20">
        <v>50</v>
      </c>
      <c r="AK1033" s="4" t="s">
        <v>780</v>
      </c>
      <c r="AL1033" s="4">
        <v>11</v>
      </c>
      <c r="AM1033" s="4">
        <v>11</v>
      </c>
      <c r="AN1033" s="4" t="s">
        <v>95</v>
      </c>
      <c r="AO1033" s="4" t="s">
        <v>131</v>
      </c>
      <c r="AP1033" s="4">
        <v>2</v>
      </c>
      <c r="AQ1033" s="20">
        <v>109000</v>
      </c>
      <c r="AR1033" s="4">
        <v>41855</v>
      </c>
      <c r="AS1033" s="20">
        <v>27525.252525252523</v>
      </c>
      <c r="AT1033" s="20">
        <v>24120</v>
      </c>
      <c r="AU1033" s="20">
        <v>-3405.2525252525229</v>
      </c>
      <c r="AV1033" s="20">
        <v>0</v>
      </c>
      <c r="AW1033" s="20">
        <v>20</v>
      </c>
      <c r="AX1033" s="20" t="s">
        <v>91</v>
      </c>
      <c r="AY1033" s="20">
        <v>20</v>
      </c>
      <c r="AZ1033" s="20">
        <v>0</v>
      </c>
      <c r="BA1033" s="20">
        <v>24100</v>
      </c>
      <c r="BB1033" s="6">
        <v>41855</v>
      </c>
      <c r="BC1033" s="6">
        <v>0</v>
      </c>
      <c r="BD1033" s="6">
        <v>41862</v>
      </c>
      <c r="BE1033" s="6">
        <v>0</v>
      </c>
      <c r="BF1033" s="6">
        <v>41862</v>
      </c>
      <c r="BG1033" s="6">
        <v>0</v>
      </c>
      <c r="BH1033" s="6">
        <v>0</v>
      </c>
      <c r="BI1033" s="6">
        <v>0</v>
      </c>
      <c r="BJ1033" s="6">
        <v>0</v>
      </c>
      <c r="BK1033" s="4">
        <v>0</v>
      </c>
      <c r="BL1033" s="4">
        <v>0</v>
      </c>
      <c r="BM1033" s="20">
        <v>50</v>
      </c>
      <c r="BN1033" s="20">
        <v>0</v>
      </c>
      <c r="BO1033" s="20">
        <v>0</v>
      </c>
      <c r="BP1033" s="20">
        <v>0</v>
      </c>
      <c r="BQ1033" s="20">
        <v>0</v>
      </c>
      <c r="BR1033" s="20">
        <v>0</v>
      </c>
      <c r="BS1033" s="20">
        <v>50</v>
      </c>
      <c r="BT1033" s="20">
        <v>1206000</v>
      </c>
      <c r="BU1033" s="20">
        <v>5450000</v>
      </c>
      <c r="BV1033" s="20">
        <v>4.1082466455600786</v>
      </c>
    </row>
    <row r="1034" spans="1:74">
      <c r="A1034" s="10">
        <f t="shared" si="66"/>
        <v>0</v>
      </c>
      <c r="B1034" s="10">
        <f t="shared" si="67"/>
        <v>0</v>
      </c>
      <c r="C1034" s="12">
        <f t="shared" si="68"/>
        <v>8</v>
      </c>
      <c r="D1034" s="12">
        <f t="shared" si="69"/>
        <v>8</v>
      </c>
      <c r="E1034" s="20" t="s">
        <v>574</v>
      </c>
      <c r="F1034" s="20" t="s">
        <v>3735</v>
      </c>
      <c r="G1034" s="20" t="s">
        <v>3736</v>
      </c>
      <c r="H1034" s="20" t="s">
        <v>3737</v>
      </c>
      <c r="I1034" s="20">
        <v>1</v>
      </c>
      <c r="J1034" s="20" t="s">
        <v>3738</v>
      </c>
      <c r="K1034" s="20" t="s">
        <v>3751</v>
      </c>
      <c r="L1034" s="20" t="s">
        <v>3740</v>
      </c>
      <c r="M1034" s="20" t="s">
        <v>3741</v>
      </c>
      <c r="N1034" s="20" t="s">
        <v>3742</v>
      </c>
      <c r="P1034" s="20" t="s">
        <v>3741</v>
      </c>
      <c r="Q1034" s="20" t="s">
        <v>3743</v>
      </c>
      <c r="R1034" s="20" t="s">
        <v>84</v>
      </c>
      <c r="S1034" s="20">
        <v>4</v>
      </c>
      <c r="T1034" s="20" t="s">
        <v>674</v>
      </c>
      <c r="U1034" s="20" t="s">
        <v>675</v>
      </c>
      <c r="V1034" s="20" t="s">
        <v>87</v>
      </c>
      <c r="W1034" s="20">
        <v>901</v>
      </c>
      <c r="X1034" s="20">
        <v>901</v>
      </c>
      <c r="Y1034" s="20" t="s">
        <v>3744</v>
      </c>
      <c r="Z1034" s="20">
        <v>0.25</v>
      </c>
      <c r="AA1034" s="20" t="s">
        <v>3752</v>
      </c>
      <c r="AB1034" s="20" t="s">
        <v>248</v>
      </c>
      <c r="AC1034" s="20" t="s">
        <v>249</v>
      </c>
      <c r="AD1034" s="20" t="s">
        <v>3746</v>
      </c>
      <c r="AE1034" s="20" t="s">
        <v>400</v>
      </c>
      <c r="AF1034" s="20">
        <v>0.25</v>
      </c>
      <c r="AG1034" s="20">
        <v>0</v>
      </c>
      <c r="AH1034" s="20">
        <v>1</v>
      </c>
      <c r="AI1034" s="4" t="s">
        <v>640</v>
      </c>
      <c r="AJ1034" s="20">
        <v>40</v>
      </c>
      <c r="AK1034" s="4" t="s">
        <v>780</v>
      </c>
      <c r="AL1034" s="4">
        <v>11</v>
      </c>
      <c r="AM1034" s="4">
        <v>11</v>
      </c>
      <c r="AN1034" s="4" t="s">
        <v>95</v>
      </c>
      <c r="AO1034" s="4" t="s">
        <v>131</v>
      </c>
      <c r="AP1034" s="4">
        <v>2</v>
      </c>
      <c r="AQ1034" s="20">
        <v>109000</v>
      </c>
      <c r="AR1034" s="4">
        <v>41855</v>
      </c>
      <c r="AS1034" s="20">
        <v>27525.252525252523</v>
      </c>
      <c r="AT1034" s="20">
        <v>24120</v>
      </c>
      <c r="AU1034" s="20">
        <v>-3405.2525252525229</v>
      </c>
      <c r="AV1034" s="20">
        <v>0</v>
      </c>
      <c r="AW1034" s="20">
        <v>20</v>
      </c>
      <c r="AX1034" s="20" t="s">
        <v>91</v>
      </c>
      <c r="AY1034" s="20">
        <v>20</v>
      </c>
      <c r="AZ1034" s="20">
        <v>0</v>
      </c>
      <c r="BA1034" s="20">
        <v>24100</v>
      </c>
      <c r="BB1034" s="6">
        <v>41855</v>
      </c>
      <c r="BC1034" s="6">
        <v>0</v>
      </c>
      <c r="BD1034" s="6">
        <v>41862</v>
      </c>
      <c r="BE1034" s="6">
        <v>0</v>
      </c>
      <c r="BF1034" s="6">
        <v>41862</v>
      </c>
      <c r="BG1034" s="6">
        <v>0</v>
      </c>
      <c r="BH1034" s="6">
        <v>0</v>
      </c>
      <c r="BI1034" s="6">
        <v>0</v>
      </c>
      <c r="BJ1034" s="6">
        <v>0</v>
      </c>
      <c r="BK1034" s="4">
        <v>0</v>
      </c>
      <c r="BL1034" s="4">
        <v>0</v>
      </c>
      <c r="BM1034" s="20">
        <v>40</v>
      </c>
      <c r="BN1034" s="20">
        <v>0</v>
      </c>
      <c r="BO1034" s="20">
        <v>0</v>
      </c>
      <c r="BP1034" s="20">
        <v>0</v>
      </c>
      <c r="BQ1034" s="20">
        <v>0</v>
      </c>
      <c r="BR1034" s="20">
        <v>0</v>
      </c>
      <c r="BS1034" s="20">
        <v>40</v>
      </c>
      <c r="BT1034" s="20">
        <v>964800</v>
      </c>
      <c r="BU1034" s="20">
        <v>4360000</v>
      </c>
      <c r="BV1034" s="20">
        <v>4.1082466455600786</v>
      </c>
    </row>
    <row r="1035" spans="1:74">
      <c r="A1035" s="10">
        <f t="shared" si="66"/>
        <v>0</v>
      </c>
      <c r="B1035" s="10">
        <f t="shared" si="67"/>
        <v>0</v>
      </c>
      <c r="C1035" s="12">
        <f t="shared" si="68"/>
        <v>8</v>
      </c>
      <c r="D1035" s="12">
        <f t="shared" si="69"/>
        <v>8</v>
      </c>
      <c r="E1035" s="20" t="s">
        <v>574</v>
      </c>
      <c r="F1035" s="20" t="s">
        <v>3735</v>
      </c>
      <c r="G1035" s="20" t="s">
        <v>3736</v>
      </c>
      <c r="H1035" s="20" t="s">
        <v>3753</v>
      </c>
      <c r="I1035" s="20">
        <v>2</v>
      </c>
      <c r="J1035" s="20" t="s">
        <v>3754</v>
      </c>
      <c r="K1035" s="20" t="s">
        <v>3755</v>
      </c>
      <c r="L1035" s="20" t="s">
        <v>3756</v>
      </c>
      <c r="M1035" s="20" t="s">
        <v>3741</v>
      </c>
      <c r="N1035" s="20" t="s">
        <v>3757</v>
      </c>
      <c r="P1035" s="20" t="s">
        <v>3741</v>
      </c>
      <c r="Q1035" s="20" t="s">
        <v>3743</v>
      </c>
      <c r="R1035" s="20" t="s">
        <v>84</v>
      </c>
      <c r="S1035" s="20">
        <v>4</v>
      </c>
      <c r="T1035" s="20" t="s">
        <v>635</v>
      </c>
      <c r="U1035" s="20" t="s">
        <v>636</v>
      </c>
      <c r="V1035" s="20" t="s">
        <v>87</v>
      </c>
      <c r="W1035" s="20">
        <v>902</v>
      </c>
      <c r="X1035" s="20">
        <v>902</v>
      </c>
      <c r="Y1035" s="20" t="s">
        <v>3758</v>
      </c>
      <c r="Z1035" s="20">
        <v>0.16666666666666666</v>
      </c>
      <c r="AA1035" s="20" t="s">
        <v>3759</v>
      </c>
      <c r="AB1035" s="20" t="s">
        <v>532</v>
      </c>
      <c r="AC1035" s="20" t="s">
        <v>533</v>
      </c>
      <c r="AD1035" s="20" t="s">
        <v>3760</v>
      </c>
      <c r="AE1035" s="20" t="s">
        <v>400</v>
      </c>
      <c r="AF1035" s="20">
        <v>0.16666666666666666</v>
      </c>
      <c r="AG1035" s="20">
        <v>0</v>
      </c>
      <c r="AH1035" s="20">
        <v>1</v>
      </c>
      <c r="AI1035" s="4" t="s">
        <v>643</v>
      </c>
      <c r="AJ1035" s="20">
        <v>100</v>
      </c>
      <c r="AK1035" s="4" t="s">
        <v>780</v>
      </c>
      <c r="AL1035" s="4">
        <v>11</v>
      </c>
      <c r="AM1035" s="4">
        <v>11</v>
      </c>
      <c r="AN1035" s="4" t="s">
        <v>95</v>
      </c>
      <c r="AO1035" s="4" t="s">
        <v>131</v>
      </c>
      <c r="AP1035" s="4">
        <v>2</v>
      </c>
      <c r="AQ1035" s="20">
        <v>69000</v>
      </c>
      <c r="AR1035" s="4">
        <v>41855</v>
      </c>
      <c r="AS1035" s="20">
        <v>17424.24242424242</v>
      </c>
      <c r="AT1035" s="20">
        <v>17100</v>
      </c>
      <c r="AU1035" s="20">
        <v>-324.24242424242038</v>
      </c>
      <c r="AV1035" s="20">
        <v>0</v>
      </c>
      <c r="AW1035" s="20">
        <v>20</v>
      </c>
      <c r="AX1035" s="20" t="s">
        <v>91</v>
      </c>
      <c r="AY1035" s="20">
        <v>20</v>
      </c>
      <c r="AZ1035" s="20">
        <v>0</v>
      </c>
      <c r="BA1035" s="20">
        <v>17080</v>
      </c>
      <c r="BB1035" s="6">
        <v>41855</v>
      </c>
      <c r="BC1035" s="6">
        <v>0</v>
      </c>
      <c r="BD1035" s="6">
        <v>41862</v>
      </c>
      <c r="BE1035" s="6">
        <v>0</v>
      </c>
      <c r="BF1035" s="6">
        <v>41862</v>
      </c>
      <c r="BG1035" s="6">
        <v>0</v>
      </c>
      <c r="BH1035" s="6">
        <v>0</v>
      </c>
      <c r="BI1035" s="6">
        <v>0</v>
      </c>
      <c r="BJ1035" s="6">
        <v>0</v>
      </c>
      <c r="BK1035" s="4">
        <v>0</v>
      </c>
      <c r="BL1035" s="4">
        <v>0</v>
      </c>
      <c r="BM1035" s="20">
        <v>100</v>
      </c>
      <c r="BN1035" s="20">
        <v>0</v>
      </c>
      <c r="BO1035" s="20">
        <v>0</v>
      </c>
      <c r="BP1035" s="20">
        <v>0</v>
      </c>
      <c r="BQ1035" s="20">
        <v>0</v>
      </c>
      <c r="BR1035" s="20">
        <v>0</v>
      </c>
      <c r="BS1035" s="20">
        <v>100</v>
      </c>
      <c r="BT1035" s="20">
        <v>1710000</v>
      </c>
      <c r="BU1035" s="20">
        <v>6900000</v>
      </c>
      <c r="BV1035" s="20">
        <v>3.6682615629984046</v>
      </c>
    </row>
    <row r="1036" spans="1:74">
      <c r="A1036" s="10">
        <f t="shared" si="66"/>
        <v>0</v>
      </c>
      <c r="B1036" s="10">
        <f t="shared" si="67"/>
        <v>0</v>
      </c>
      <c r="C1036" s="12">
        <f t="shared" si="68"/>
        <v>8</v>
      </c>
      <c r="D1036" s="12">
        <f t="shared" si="69"/>
        <v>8</v>
      </c>
      <c r="E1036" s="20" t="s">
        <v>574</v>
      </c>
      <c r="F1036" s="20" t="s">
        <v>3735</v>
      </c>
      <c r="G1036" s="20" t="s">
        <v>3736</v>
      </c>
      <c r="H1036" s="20" t="s">
        <v>3753</v>
      </c>
      <c r="I1036" s="20">
        <v>2</v>
      </c>
      <c r="J1036" s="20" t="s">
        <v>3754</v>
      </c>
      <c r="K1036" s="20" t="s">
        <v>3761</v>
      </c>
      <c r="L1036" s="20" t="s">
        <v>3756</v>
      </c>
      <c r="M1036" s="20" t="s">
        <v>3741</v>
      </c>
      <c r="N1036" s="20" t="s">
        <v>3757</v>
      </c>
      <c r="P1036" s="20" t="s">
        <v>3741</v>
      </c>
      <c r="Q1036" s="20" t="s">
        <v>3743</v>
      </c>
      <c r="R1036" s="20" t="s">
        <v>84</v>
      </c>
      <c r="S1036" s="20">
        <v>4</v>
      </c>
      <c r="T1036" s="20" t="s">
        <v>635</v>
      </c>
      <c r="U1036" s="20" t="s">
        <v>636</v>
      </c>
      <c r="V1036" s="20" t="s">
        <v>87</v>
      </c>
      <c r="W1036" s="20">
        <v>902</v>
      </c>
      <c r="X1036" s="20">
        <v>902</v>
      </c>
      <c r="Y1036" s="20" t="s">
        <v>3758</v>
      </c>
      <c r="Z1036" s="20">
        <v>0.16666666666666666</v>
      </c>
      <c r="AA1036" s="20" t="s">
        <v>3762</v>
      </c>
      <c r="AB1036" s="20" t="s">
        <v>532</v>
      </c>
      <c r="AC1036" s="20" t="s">
        <v>533</v>
      </c>
      <c r="AD1036" s="20" t="s">
        <v>3760</v>
      </c>
      <c r="AE1036" s="20" t="s">
        <v>400</v>
      </c>
      <c r="AF1036" s="20">
        <v>0.16666666666666666</v>
      </c>
      <c r="AG1036" s="20">
        <v>0</v>
      </c>
      <c r="AH1036" s="20">
        <v>1</v>
      </c>
      <c r="AI1036" s="4" t="s">
        <v>645</v>
      </c>
      <c r="AJ1036" s="20">
        <v>100</v>
      </c>
      <c r="AK1036" s="4" t="s">
        <v>780</v>
      </c>
      <c r="AL1036" s="4">
        <v>11</v>
      </c>
      <c r="AM1036" s="4">
        <v>11</v>
      </c>
      <c r="AN1036" s="4" t="s">
        <v>95</v>
      </c>
      <c r="AO1036" s="4" t="s">
        <v>131</v>
      </c>
      <c r="AP1036" s="4">
        <v>2</v>
      </c>
      <c r="AQ1036" s="20">
        <v>69000</v>
      </c>
      <c r="AR1036" s="4">
        <v>41855</v>
      </c>
      <c r="AS1036" s="20">
        <v>17424.24242424242</v>
      </c>
      <c r="AT1036" s="20">
        <v>17100</v>
      </c>
      <c r="AU1036" s="20">
        <v>-324.24242424242038</v>
      </c>
      <c r="AV1036" s="20">
        <v>0</v>
      </c>
      <c r="AW1036" s="20">
        <v>20</v>
      </c>
      <c r="AX1036" s="20" t="s">
        <v>91</v>
      </c>
      <c r="AY1036" s="20">
        <v>20</v>
      </c>
      <c r="AZ1036" s="20">
        <v>0</v>
      </c>
      <c r="BA1036" s="20">
        <v>17080</v>
      </c>
      <c r="BB1036" s="6">
        <v>41855</v>
      </c>
      <c r="BC1036" s="6">
        <v>0</v>
      </c>
      <c r="BD1036" s="6">
        <v>41862</v>
      </c>
      <c r="BE1036" s="6">
        <v>0</v>
      </c>
      <c r="BF1036" s="6">
        <v>41862</v>
      </c>
      <c r="BG1036" s="6">
        <v>0</v>
      </c>
      <c r="BH1036" s="6">
        <v>0</v>
      </c>
      <c r="BI1036" s="6">
        <v>0</v>
      </c>
      <c r="BJ1036" s="6">
        <v>0</v>
      </c>
      <c r="BK1036" s="4">
        <v>0</v>
      </c>
      <c r="BL1036" s="4">
        <v>0</v>
      </c>
      <c r="BM1036" s="20">
        <v>100</v>
      </c>
      <c r="BN1036" s="20">
        <v>0</v>
      </c>
      <c r="BO1036" s="20">
        <v>0</v>
      </c>
      <c r="BP1036" s="20">
        <v>0</v>
      </c>
      <c r="BQ1036" s="20">
        <v>0</v>
      </c>
      <c r="BR1036" s="20">
        <v>0</v>
      </c>
      <c r="BS1036" s="20">
        <v>100</v>
      </c>
      <c r="BT1036" s="20">
        <v>1710000</v>
      </c>
      <c r="BU1036" s="20">
        <v>6900000</v>
      </c>
      <c r="BV1036" s="20">
        <v>3.6682615629984046</v>
      </c>
    </row>
    <row r="1037" spans="1:74">
      <c r="A1037" s="10">
        <f t="shared" si="66"/>
        <v>0</v>
      </c>
      <c r="B1037" s="10">
        <f t="shared" si="67"/>
        <v>0</v>
      </c>
      <c r="C1037" s="12">
        <f t="shared" si="68"/>
        <v>8</v>
      </c>
      <c r="D1037" s="12">
        <f t="shared" si="69"/>
        <v>8</v>
      </c>
      <c r="E1037" s="20" t="s">
        <v>574</v>
      </c>
      <c r="F1037" s="20" t="s">
        <v>3735</v>
      </c>
      <c r="G1037" s="20" t="s">
        <v>3736</v>
      </c>
      <c r="H1037" s="20" t="s">
        <v>3753</v>
      </c>
      <c r="I1037" s="20">
        <v>2</v>
      </c>
      <c r="J1037" s="20" t="s">
        <v>3754</v>
      </c>
      <c r="K1037" s="20" t="s">
        <v>3763</v>
      </c>
      <c r="L1037" s="20" t="s">
        <v>3756</v>
      </c>
      <c r="M1037" s="20" t="s">
        <v>3741</v>
      </c>
      <c r="N1037" s="20" t="s">
        <v>3757</v>
      </c>
      <c r="P1037" s="20" t="s">
        <v>3741</v>
      </c>
      <c r="Q1037" s="20" t="s">
        <v>3743</v>
      </c>
      <c r="R1037" s="20" t="s">
        <v>84</v>
      </c>
      <c r="S1037" s="20">
        <v>4</v>
      </c>
      <c r="T1037" s="20" t="s">
        <v>635</v>
      </c>
      <c r="U1037" s="20" t="s">
        <v>636</v>
      </c>
      <c r="V1037" s="20" t="s">
        <v>87</v>
      </c>
      <c r="W1037" s="20">
        <v>902</v>
      </c>
      <c r="X1037" s="20">
        <v>902</v>
      </c>
      <c r="Y1037" s="20" t="s">
        <v>3758</v>
      </c>
      <c r="Z1037" s="20">
        <v>0.16666666666666666</v>
      </c>
      <c r="AA1037" s="20" t="s">
        <v>3764</v>
      </c>
      <c r="AB1037" s="20" t="s">
        <v>532</v>
      </c>
      <c r="AC1037" s="20" t="s">
        <v>533</v>
      </c>
      <c r="AD1037" s="20" t="s">
        <v>3760</v>
      </c>
      <c r="AE1037" s="20" t="s">
        <v>400</v>
      </c>
      <c r="AF1037" s="20">
        <v>0.16666666666666666</v>
      </c>
      <c r="AG1037" s="20">
        <v>0</v>
      </c>
      <c r="AH1037" s="20">
        <v>1</v>
      </c>
      <c r="AI1037" s="4" t="s">
        <v>647</v>
      </c>
      <c r="AJ1037" s="20">
        <v>80</v>
      </c>
      <c r="AK1037" s="4" t="s">
        <v>780</v>
      </c>
      <c r="AL1037" s="4">
        <v>11</v>
      </c>
      <c r="AM1037" s="4">
        <v>11</v>
      </c>
      <c r="AN1037" s="4" t="s">
        <v>95</v>
      </c>
      <c r="AO1037" s="4" t="s">
        <v>131</v>
      </c>
      <c r="AP1037" s="4">
        <v>2</v>
      </c>
      <c r="AQ1037" s="20">
        <v>69000</v>
      </c>
      <c r="AR1037" s="4">
        <v>41855</v>
      </c>
      <c r="AS1037" s="20">
        <v>17424.24242424242</v>
      </c>
      <c r="AT1037" s="20">
        <v>17100</v>
      </c>
      <c r="AU1037" s="20">
        <v>-324.24242424242038</v>
      </c>
      <c r="AV1037" s="20">
        <v>0</v>
      </c>
      <c r="AW1037" s="20">
        <v>20</v>
      </c>
      <c r="AX1037" s="20" t="s">
        <v>91</v>
      </c>
      <c r="AY1037" s="20">
        <v>20</v>
      </c>
      <c r="AZ1037" s="20">
        <v>0</v>
      </c>
      <c r="BA1037" s="20">
        <v>17080</v>
      </c>
      <c r="BB1037" s="6">
        <v>41855</v>
      </c>
      <c r="BC1037" s="6">
        <v>0</v>
      </c>
      <c r="BD1037" s="6">
        <v>41862</v>
      </c>
      <c r="BE1037" s="6">
        <v>0</v>
      </c>
      <c r="BF1037" s="6">
        <v>41862</v>
      </c>
      <c r="BG1037" s="6">
        <v>0</v>
      </c>
      <c r="BH1037" s="6">
        <v>0</v>
      </c>
      <c r="BI1037" s="6">
        <v>0</v>
      </c>
      <c r="BJ1037" s="6">
        <v>0</v>
      </c>
      <c r="BK1037" s="4">
        <v>0</v>
      </c>
      <c r="BL1037" s="4">
        <v>0</v>
      </c>
      <c r="BM1037" s="20">
        <v>80</v>
      </c>
      <c r="BN1037" s="20">
        <v>0</v>
      </c>
      <c r="BO1037" s="20">
        <v>0</v>
      </c>
      <c r="BP1037" s="20">
        <v>0</v>
      </c>
      <c r="BQ1037" s="20">
        <v>0</v>
      </c>
      <c r="BR1037" s="20">
        <v>0</v>
      </c>
      <c r="BS1037" s="20">
        <v>80</v>
      </c>
      <c r="BT1037" s="20">
        <v>1368000</v>
      </c>
      <c r="BU1037" s="20">
        <v>5520000</v>
      </c>
      <c r="BV1037" s="20">
        <v>3.6682615629984046</v>
      </c>
    </row>
    <row r="1038" spans="1:74">
      <c r="A1038" s="10">
        <f t="shared" si="66"/>
        <v>0</v>
      </c>
      <c r="B1038" s="10">
        <f t="shared" si="67"/>
        <v>0</v>
      </c>
      <c r="C1038" s="12">
        <f t="shared" si="68"/>
        <v>8</v>
      </c>
      <c r="D1038" s="12">
        <f t="shared" si="69"/>
        <v>8</v>
      </c>
      <c r="E1038" s="20" t="s">
        <v>574</v>
      </c>
      <c r="F1038" s="20" t="s">
        <v>3735</v>
      </c>
      <c r="G1038" s="20" t="s">
        <v>3736</v>
      </c>
      <c r="H1038" s="20" t="s">
        <v>3753</v>
      </c>
      <c r="I1038" s="20">
        <v>2</v>
      </c>
      <c r="J1038" s="20" t="s">
        <v>3754</v>
      </c>
      <c r="K1038" s="20" t="s">
        <v>3765</v>
      </c>
      <c r="L1038" s="20" t="s">
        <v>3756</v>
      </c>
      <c r="M1038" s="20" t="s">
        <v>3741</v>
      </c>
      <c r="N1038" s="20" t="s">
        <v>3757</v>
      </c>
      <c r="P1038" s="20" t="s">
        <v>3741</v>
      </c>
      <c r="Q1038" s="20" t="s">
        <v>3743</v>
      </c>
      <c r="R1038" s="20" t="s">
        <v>84</v>
      </c>
      <c r="S1038" s="20">
        <v>4</v>
      </c>
      <c r="T1038" s="20" t="s">
        <v>635</v>
      </c>
      <c r="U1038" s="20" t="s">
        <v>636</v>
      </c>
      <c r="V1038" s="20" t="s">
        <v>87</v>
      </c>
      <c r="W1038" s="20">
        <v>902</v>
      </c>
      <c r="X1038" s="20">
        <v>902</v>
      </c>
      <c r="Y1038" s="20" t="s">
        <v>3758</v>
      </c>
      <c r="Z1038" s="20">
        <v>0.16666666666666666</v>
      </c>
      <c r="AA1038" s="20" t="s">
        <v>3766</v>
      </c>
      <c r="AB1038" s="20" t="s">
        <v>532</v>
      </c>
      <c r="AC1038" s="20" t="s">
        <v>533</v>
      </c>
      <c r="AD1038" s="20" t="s">
        <v>3760</v>
      </c>
      <c r="AE1038" s="20" t="s">
        <v>400</v>
      </c>
      <c r="AF1038" s="20">
        <v>0.16666666666666666</v>
      </c>
      <c r="AG1038" s="20">
        <v>0</v>
      </c>
      <c r="AH1038" s="20">
        <v>1</v>
      </c>
      <c r="AI1038" s="4" t="s">
        <v>649</v>
      </c>
      <c r="AJ1038" s="20">
        <v>80</v>
      </c>
      <c r="AK1038" s="4" t="s">
        <v>780</v>
      </c>
      <c r="AL1038" s="4">
        <v>11</v>
      </c>
      <c r="AM1038" s="4">
        <v>11</v>
      </c>
      <c r="AN1038" s="4" t="s">
        <v>95</v>
      </c>
      <c r="AO1038" s="4" t="s">
        <v>131</v>
      </c>
      <c r="AP1038" s="4">
        <v>2</v>
      </c>
      <c r="AQ1038" s="20">
        <v>69000</v>
      </c>
      <c r="AR1038" s="4">
        <v>41855</v>
      </c>
      <c r="AS1038" s="20">
        <v>17424.24242424242</v>
      </c>
      <c r="AT1038" s="20">
        <v>17100</v>
      </c>
      <c r="AU1038" s="20">
        <v>-324.24242424242038</v>
      </c>
      <c r="AV1038" s="20">
        <v>0</v>
      </c>
      <c r="AW1038" s="20">
        <v>20</v>
      </c>
      <c r="AX1038" s="20" t="s">
        <v>91</v>
      </c>
      <c r="AY1038" s="20">
        <v>20</v>
      </c>
      <c r="AZ1038" s="20">
        <v>0</v>
      </c>
      <c r="BA1038" s="20">
        <v>17080</v>
      </c>
      <c r="BB1038" s="6">
        <v>41855</v>
      </c>
      <c r="BC1038" s="6">
        <v>0</v>
      </c>
      <c r="BD1038" s="6">
        <v>41862</v>
      </c>
      <c r="BE1038" s="6">
        <v>0</v>
      </c>
      <c r="BF1038" s="6">
        <v>41862</v>
      </c>
      <c r="BG1038" s="6">
        <v>0</v>
      </c>
      <c r="BH1038" s="6">
        <v>0</v>
      </c>
      <c r="BI1038" s="6">
        <v>0</v>
      </c>
      <c r="BJ1038" s="6">
        <v>0</v>
      </c>
      <c r="BK1038" s="4">
        <v>0</v>
      </c>
      <c r="BL1038" s="4">
        <v>0</v>
      </c>
      <c r="BM1038" s="20">
        <v>80</v>
      </c>
      <c r="BN1038" s="20">
        <v>0</v>
      </c>
      <c r="BO1038" s="20">
        <v>0</v>
      </c>
      <c r="BP1038" s="20">
        <v>0</v>
      </c>
      <c r="BQ1038" s="20">
        <v>0</v>
      </c>
      <c r="BR1038" s="20">
        <v>0</v>
      </c>
      <c r="BS1038" s="20">
        <v>80</v>
      </c>
      <c r="BT1038" s="20">
        <v>1368000</v>
      </c>
      <c r="BU1038" s="20">
        <v>5520000</v>
      </c>
      <c r="BV1038" s="20">
        <v>3.6682615629984046</v>
      </c>
    </row>
    <row r="1039" spans="1:74">
      <c r="A1039" s="10">
        <f t="shared" si="66"/>
        <v>0</v>
      </c>
      <c r="B1039" s="10">
        <f t="shared" si="67"/>
        <v>0</v>
      </c>
      <c r="C1039" s="12">
        <f t="shared" si="68"/>
        <v>8</v>
      </c>
      <c r="D1039" s="12">
        <f t="shared" si="69"/>
        <v>8</v>
      </c>
      <c r="E1039" s="20" t="s">
        <v>574</v>
      </c>
      <c r="F1039" s="20" t="s">
        <v>3735</v>
      </c>
      <c r="G1039" s="20" t="s">
        <v>3736</v>
      </c>
      <c r="H1039" s="20" t="s">
        <v>3753</v>
      </c>
      <c r="I1039" s="20">
        <v>2</v>
      </c>
      <c r="J1039" s="20" t="s">
        <v>3754</v>
      </c>
      <c r="K1039" s="20" t="s">
        <v>3767</v>
      </c>
      <c r="L1039" s="20" t="s">
        <v>3756</v>
      </c>
      <c r="M1039" s="20" t="s">
        <v>3741</v>
      </c>
      <c r="N1039" s="20" t="s">
        <v>3757</v>
      </c>
      <c r="P1039" s="20" t="s">
        <v>3741</v>
      </c>
      <c r="Q1039" s="20" t="s">
        <v>3743</v>
      </c>
      <c r="R1039" s="20" t="s">
        <v>84</v>
      </c>
      <c r="S1039" s="20">
        <v>4</v>
      </c>
      <c r="T1039" s="20" t="s">
        <v>635</v>
      </c>
      <c r="U1039" s="20" t="s">
        <v>636</v>
      </c>
      <c r="V1039" s="20" t="s">
        <v>87</v>
      </c>
      <c r="W1039" s="20">
        <v>902</v>
      </c>
      <c r="X1039" s="20">
        <v>902</v>
      </c>
      <c r="Y1039" s="20" t="s">
        <v>3758</v>
      </c>
      <c r="Z1039" s="20">
        <v>0.16666666666666666</v>
      </c>
      <c r="AA1039" s="20" t="s">
        <v>3768</v>
      </c>
      <c r="AB1039" s="20" t="s">
        <v>532</v>
      </c>
      <c r="AC1039" s="20" t="s">
        <v>533</v>
      </c>
      <c r="AD1039" s="20" t="s">
        <v>3760</v>
      </c>
      <c r="AE1039" s="20" t="s">
        <v>400</v>
      </c>
      <c r="AF1039" s="20">
        <v>0.16666666666666666</v>
      </c>
      <c r="AG1039" s="20">
        <v>0</v>
      </c>
      <c r="AH1039" s="20">
        <v>1</v>
      </c>
      <c r="AI1039" s="4" t="s">
        <v>651</v>
      </c>
      <c r="AJ1039" s="20">
        <v>80</v>
      </c>
      <c r="AK1039" s="4" t="s">
        <v>780</v>
      </c>
      <c r="AL1039" s="4">
        <v>11</v>
      </c>
      <c r="AM1039" s="4">
        <v>11</v>
      </c>
      <c r="AN1039" s="4" t="s">
        <v>95</v>
      </c>
      <c r="AO1039" s="4" t="s">
        <v>131</v>
      </c>
      <c r="AP1039" s="4">
        <v>2</v>
      </c>
      <c r="AQ1039" s="20">
        <v>69000</v>
      </c>
      <c r="AR1039" s="4">
        <v>41855</v>
      </c>
      <c r="AS1039" s="20">
        <v>17424.24242424242</v>
      </c>
      <c r="AT1039" s="20">
        <v>17100</v>
      </c>
      <c r="AU1039" s="20">
        <v>-324.24242424242038</v>
      </c>
      <c r="AV1039" s="20">
        <v>0</v>
      </c>
      <c r="AW1039" s="20">
        <v>20</v>
      </c>
      <c r="AX1039" s="20" t="s">
        <v>91</v>
      </c>
      <c r="AY1039" s="20">
        <v>20</v>
      </c>
      <c r="AZ1039" s="20">
        <v>0</v>
      </c>
      <c r="BA1039" s="20">
        <v>17080</v>
      </c>
      <c r="BB1039" s="6">
        <v>41855</v>
      </c>
      <c r="BC1039" s="6">
        <v>0</v>
      </c>
      <c r="BD1039" s="6">
        <v>41862</v>
      </c>
      <c r="BE1039" s="6">
        <v>0</v>
      </c>
      <c r="BF1039" s="6">
        <v>41862</v>
      </c>
      <c r="BG1039" s="6">
        <v>0</v>
      </c>
      <c r="BH1039" s="6">
        <v>0</v>
      </c>
      <c r="BI1039" s="6">
        <v>0</v>
      </c>
      <c r="BJ1039" s="6">
        <v>0</v>
      </c>
      <c r="BK1039" s="4">
        <v>0</v>
      </c>
      <c r="BL1039" s="4">
        <v>0</v>
      </c>
      <c r="BM1039" s="20">
        <v>80</v>
      </c>
      <c r="BN1039" s="20">
        <v>0</v>
      </c>
      <c r="BO1039" s="20">
        <v>0</v>
      </c>
      <c r="BP1039" s="20">
        <v>0</v>
      </c>
      <c r="BQ1039" s="20">
        <v>0</v>
      </c>
      <c r="BR1039" s="20">
        <v>0</v>
      </c>
      <c r="BS1039" s="20">
        <v>80</v>
      </c>
      <c r="BT1039" s="20">
        <v>1368000</v>
      </c>
      <c r="BU1039" s="20">
        <v>5520000</v>
      </c>
      <c r="BV1039" s="20">
        <v>3.6682615629984046</v>
      </c>
    </row>
    <row r="1040" spans="1:74">
      <c r="A1040" s="10">
        <f t="shared" si="66"/>
        <v>0</v>
      </c>
      <c r="B1040" s="10">
        <f t="shared" si="67"/>
        <v>0</v>
      </c>
      <c r="C1040" s="12">
        <f t="shared" si="68"/>
        <v>8</v>
      </c>
      <c r="D1040" s="12">
        <f t="shared" si="69"/>
        <v>8</v>
      </c>
      <c r="E1040" s="20" t="s">
        <v>574</v>
      </c>
      <c r="F1040" s="20" t="s">
        <v>3735</v>
      </c>
      <c r="G1040" s="20" t="s">
        <v>3736</v>
      </c>
      <c r="H1040" s="20" t="s">
        <v>3753</v>
      </c>
      <c r="I1040" s="20">
        <v>2</v>
      </c>
      <c r="J1040" s="20" t="s">
        <v>3754</v>
      </c>
      <c r="K1040" s="20" t="s">
        <v>3769</v>
      </c>
      <c r="L1040" s="20" t="s">
        <v>3756</v>
      </c>
      <c r="M1040" s="20" t="s">
        <v>3741</v>
      </c>
      <c r="N1040" s="20" t="s">
        <v>3757</v>
      </c>
      <c r="P1040" s="20" t="s">
        <v>3741</v>
      </c>
      <c r="Q1040" s="20" t="s">
        <v>3743</v>
      </c>
      <c r="R1040" s="20" t="s">
        <v>84</v>
      </c>
      <c r="S1040" s="20">
        <v>4</v>
      </c>
      <c r="T1040" s="20" t="s">
        <v>635</v>
      </c>
      <c r="U1040" s="20" t="s">
        <v>636</v>
      </c>
      <c r="V1040" s="20" t="s">
        <v>87</v>
      </c>
      <c r="W1040" s="20">
        <v>902</v>
      </c>
      <c r="X1040" s="20">
        <v>902</v>
      </c>
      <c r="Y1040" s="20" t="s">
        <v>3758</v>
      </c>
      <c r="Z1040" s="20">
        <v>0.16666666666666666</v>
      </c>
      <c r="AA1040" s="20" t="s">
        <v>3770</v>
      </c>
      <c r="AB1040" s="20" t="s">
        <v>532</v>
      </c>
      <c r="AC1040" s="20" t="s">
        <v>533</v>
      </c>
      <c r="AD1040" s="20" t="s">
        <v>3760</v>
      </c>
      <c r="AE1040" s="20" t="s">
        <v>400</v>
      </c>
      <c r="AF1040" s="20">
        <v>0.16666666666666666</v>
      </c>
      <c r="AG1040" s="20">
        <v>0</v>
      </c>
      <c r="AH1040" s="20">
        <v>1</v>
      </c>
      <c r="AI1040" s="4" t="s">
        <v>640</v>
      </c>
      <c r="AJ1040" s="20">
        <v>100</v>
      </c>
      <c r="AK1040" s="4" t="s">
        <v>780</v>
      </c>
      <c r="AL1040" s="4">
        <v>11</v>
      </c>
      <c r="AM1040" s="4">
        <v>11</v>
      </c>
      <c r="AN1040" s="4" t="s">
        <v>95</v>
      </c>
      <c r="AO1040" s="4" t="s">
        <v>131</v>
      </c>
      <c r="AP1040" s="4">
        <v>2</v>
      </c>
      <c r="AQ1040" s="20">
        <v>69000</v>
      </c>
      <c r="AR1040" s="4">
        <v>41855</v>
      </c>
      <c r="AS1040" s="20">
        <v>17424.24242424242</v>
      </c>
      <c r="AT1040" s="20">
        <v>17100</v>
      </c>
      <c r="AU1040" s="20">
        <v>-324.24242424242038</v>
      </c>
      <c r="AV1040" s="20">
        <v>0</v>
      </c>
      <c r="AW1040" s="20">
        <v>20</v>
      </c>
      <c r="AX1040" s="20" t="s">
        <v>91</v>
      </c>
      <c r="AY1040" s="20">
        <v>20</v>
      </c>
      <c r="AZ1040" s="20">
        <v>0</v>
      </c>
      <c r="BA1040" s="20">
        <v>17080</v>
      </c>
      <c r="BB1040" s="6">
        <v>41855</v>
      </c>
      <c r="BC1040" s="6">
        <v>0</v>
      </c>
      <c r="BD1040" s="6">
        <v>41862</v>
      </c>
      <c r="BE1040" s="6">
        <v>0</v>
      </c>
      <c r="BF1040" s="6">
        <v>41862</v>
      </c>
      <c r="BG1040" s="6">
        <v>0</v>
      </c>
      <c r="BH1040" s="6">
        <v>0</v>
      </c>
      <c r="BI1040" s="6">
        <v>0</v>
      </c>
      <c r="BJ1040" s="6">
        <v>0</v>
      </c>
      <c r="BK1040" s="4">
        <v>0</v>
      </c>
      <c r="BL1040" s="4">
        <v>0</v>
      </c>
      <c r="BM1040" s="20">
        <v>100</v>
      </c>
      <c r="BN1040" s="20">
        <v>0</v>
      </c>
      <c r="BO1040" s="20">
        <v>0</v>
      </c>
      <c r="BP1040" s="20">
        <v>0</v>
      </c>
      <c r="BQ1040" s="20">
        <v>0</v>
      </c>
      <c r="BR1040" s="20">
        <v>0</v>
      </c>
      <c r="BS1040" s="20">
        <v>100</v>
      </c>
      <c r="BT1040" s="20">
        <v>1710000</v>
      </c>
      <c r="BU1040" s="20">
        <v>6900000</v>
      </c>
      <c r="BV1040" s="20">
        <v>3.6682615629984046</v>
      </c>
    </row>
    <row r="1041" spans="1:74">
      <c r="A1041" s="10">
        <f t="shared" si="66"/>
        <v>0</v>
      </c>
      <c r="B1041" s="10">
        <f t="shared" si="67"/>
        <v>0</v>
      </c>
      <c r="C1041" s="12">
        <f t="shared" si="68"/>
        <v>8</v>
      </c>
      <c r="D1041" s="12">
        <f t="shared" si="69"/>
        <v>8</v>
      </c>
      <c r="E1041" s="20" t="s">
        <v>574</v>
      </c>
      <c r="F1041" s="20" t="s">
        <v>3735</v>
      </c>
      <c r="G1041" s="20" t="s">
        <v>3736</v>
      </c>
      <c r="H1041" s="20" t="s">
        <v>3771</v>
      </c>
      <c r="I1041" s="20">
        <v>3</v>
      </c>
      <c r="J1041" s="20" t="s">
        <v>3772</v>
      </c>
      <c r="K1041" s="20" t="s">
        <v>3773</v>
      </c>
      <c r="L1041" s="20" t="s">
        <v>3774</v>
      </c>
      <c r="M1041" s="20" t="s">
        <v>3741</v>
      </c>
      <c r="N1041" s="20" t="s">
        <v>3757</v>
      </c>
      <c r="P1041" s="20" t="s">
        <v>3741</v>
      </c>
      <c r="Q1041" s="20" t="s">
        <v>3743</v>
      </c>
      <c r="R1041" s="20" t="s">
        <v>84</v>
      </c>
      <c r="S1041" s="20">
        <v>4</v>
      </c>
      <c r="T1041" s="20" t="s">
        <v>635</v>
      </c>
      <c r="U1041" s="20" t="s">
        <v>636</v>
      </c>
      <c r="V1041" s="20" t="s">
        <v>87</v>
      </c>
      <c r="W1041" s="20">
        <v>903</v>
      </c>
      <c r="X1041" s="20">
        <v>903</v>
      </c>
      <c r="Y1041" s="20" t="s">
        <v>3775</v>
      </c>
      <c r="Z1041" s="20">
        <v>0.16666666666666666</v>
      </c>
      <c r="AA1041" s="20" t="s">
        <v>3776</v>
      </c>
      <c r="AB1041" s="20" t="s">
        <v>248</v>
      </c>
      <c r="AC1041" s="20" t="s">
        <v>249</v>
      </c>
      <c r="AD1041" s="20" t="s">
        <v>3777</v>
      </c>
      <c r="AE1041" s="20" t="s">
        <v>400</v>
      </c>
      <c r="AF1041" s="20">
        <v>0.16666666666666666</v>
      </c>
      <c r="AG1041" s="20">
        <v>0</v>
      </c>
      <c r="AH1041" s="20">
        <v>1</v>
      </c>
      <c r="AI1041" s="4" t="s">
        <v>643</v>
      </c>
      <c r="AJ1041" s="20">
        <v>100</v>
      </c>
      <c r="AK1041" s="4" t="s">
        <v>780</v>
      </c>
      <c r="AL1041" s="4">
        <v>11</v>
      </c>
      <c r="AM1041" s="4">
        <v>11</v>
      </c>
      <c r="AN1041" s="4" t="s">
        <v>95</v>
      </c>
      <c r="AO1041" s="4" t="s">
        <v>131</v>
      </c>
      <c r="AP1041" s="4">
        <v>2</v>
      </c>
      <c r="AQ1041" s="20">
        <v>69000</v>
      </c>
      <c r="AR1041" s="4">
        <v>41855</v>
      </c>
      <c r="AS1041" s="20">
        <v>17424.24242424242</v>
      </c>
      <c r="AT1041" s="20">
        <v>17680</v>
      </c>
      <c r="AU1041" s="20">
        <v>255.75757575757962</v>
      </c>
      <c r="AV1041" s="20">
        <v>0</v>
      </c>
      <c r="AW1041" s="20">
        <v>20</v>
      </c>
      <c r="AX1041" s="20" t="s">
        <v>91</v>
      </c>
      <c r="AY1041" s="20">
        <v>20</v>
      </c>
      <c r="AZ1041" s="20">
        <v>0</v>
      </c>
      <c r="BA1041" s="20">
        <v>17660</v>
      </c>
      <c r="BB1041" s="6">
        <v>41855</v>
      </c>
      <c r="BC1041" s="6">
        <v>0</v>
      </c>
      <c r="BD1041" s="6">
        <v>41862</v>
      </c>
      <c r="BE1041" s="6">
        <v>0</v>
      </c>
      <c r="BF1041" s="6">
        <v>41862</v>
      </c>
      <c r="BG1041" s="6">
        <v>0</v>
      </c>
      <c r="BH1041" s="6">
        <v>0</v>
      </c>
      <c r="BI1041" s="6">
        <v>0</v>
      </c>
      <c r="BJ1041" s="6">
        <v>0</v>
      </c>
      <c r="BK1041" s="4">
        <v>0</v>
      </c>
      <c r="BL1041" s="4">
        <v>0</v>
      </c>
      <c r="BM1041" s="20">
        <v>100</v>
      </c>
      <c r="BN1041" s="20">
        <v>0</v>
      </c>
      <c r="BO1041" s="20">
        <v>0</v>
      </c>
      <c r="BP1041" s="20">
        <v>0</v>
      </c>
      <c r="BQ1041" s="20">
        <v>0</v>
      </c>
      <c r="BR1041" s="20">
        <v>0</v>
      </c>
      <c r="BS1041" s="20">
        <v>100</v>
      </c>
      <c r="BT1041" s="20">
        <v>1768000</v>
      </c>
      <c r="BU1041" s="20">
        <v>6900000</v>
      </c>
      <c r="BV1041" s="20">
        <v>3.547922665569724</v>
      </c>
    </row>
    <row r="1042" spans="1:74">
      <c r="A1042" s="10">
        <f t="shared" si="66"/>
        <v>0</v>
      </c>
      <c r="B1042" s="10">
        <f t="shared" si="67"/>
        <v>0</v>
      </c>
      <c r="C1042" s="12">
        <f t="shared" si="68"/>
        <v>8</v>
      </c>
      <c r="D1042" s="12">
        <f t="shared" si="69"/>
        <v>8</v>
      </c>
      <c r="E1042" s="20" t="s">
        <v>574</v>
      </c>
      <c r="F1042" s="20" t="s">
        <v>3735</v>
      </c>
      <c r="G1042" s="20" t="s">
        <v>3736</v>
      </c>
      <c r="H1042" s="20" t="s">
        <v>3771</v>
      </c>
      <c r="I1042" s="20">
        <v>3</v>
      </c>
      <c r="J1042" s="20" t="s">
        <v>3772</v>
      </c>
      <c r="K1042" s="20" t="s">
        <v>3778</v>
      </c>
      <c r="L1042" s="20" t="s">
        <v>3774</v>
      </c>
      <c r="M1042" s="20" t="s">
        <v>3741</v>
      </c>
      <c r="N1042" s="20" t="s">
        <v>3757</v>
      </c>
      <c r="P1042" s="20" t="s">
        <v>3741</v>
      </c>
      <c r="Q1042" s="20" t="s">
        <v>3743</v>
      </c>
      <c r="R1042" s="20" t="s">
        <v>84</v>
      </c>
      <c r="S1042" s="20">
        <v>4</v>
      </c>
      <c r="T1042" s="20" t="s">
        <v>635</v>
      </c>
      <c r="U1042" s="20" t="s">
        <v>636</v>
      </c>
      <c r="V1042" s="20" t="s">
        <v>87</v>
      </c>
      <c r="W1042" s="20">
        <v>903</v>
      </c>
      <c r="X1042" s="20">
        <v>903</v>
      </c>
      <c r="Y1042" s="20" t="s">
        <v>3775</v>
      </c>
      <c r="Z1042" s="20">
        <v>0.16666666666666666</v>
      </c>
      <c r="AA1042" s="20" t="s">
        <v>3779</v>
      </c>
      <c r="AB1042" s="20" t="s">
        <v>248</v>
      </c>
      <c r="AC1042" s="20" t="s">
        <v>249</v>
      </c>
      <c r="AD1042" s="20" t="s">
        <v>3777</v>
      </c>
      <c r="AE1042" s="20" t="s">
        <v>400</v>
      </c>
      <c r="AF1042" s="20">
        <v>0.16666666666666666</v>
      </c>
      <c r="AG1042" s="20">
        <v>0</v>
      </c>
      <c r="AH1042" s="20">
        <v>1</v>
      </c>
      <c r="AI1042" s="4" t="s">
        <v>645</v>
      </c>
      <c r="AJ1042" s="20">
        <v>100</v>
      </c>
      <c r="AK1042" s="4" t="s">
        <v>780</v>
      </c>
      <c r="AL1042" s="4">
        <v>11</v>
      </c>
      <c r="AM1042" s="4">
        <v>11</v>
      </c>
      <c r="AN1042" s="4" t="s">
        <v>95</v>
      </c>
      <c r="AO1042" s="4" t="s">
        <v>131</v>
      </c>
      <c r="AP1042" s="4">
        <v>2</v>
      </c>
      <c r="AQ1042" s="20">
        <v>69000</v>
      </c>
      <c r="AR1042" s="4">
        <v>41855</v>
      </c>
      <c r="AS1042" s="20">
        <v>17424.24242424242</v>
      </c>
      <c r="AT1042" s="20">
        <v>17680</v>
      </c>
      <c r="AU1042" s="20">
        <v>255.75757575757962</v>
      </c>
      <c r="AV1042" s="20">
        <v>0</v>
      </c>
      <c r="AW1042" s="20">
        <v>20</v>
      </c>
      <c r="AX1042" s="20" t="s">
        <v>91</v>
      </c>
      <c r="AY1042" s="20">
        <v>20</v>
      </c>
      <c r="AZ1042" s="20">
        <v>0</v>
      </c>
      <c r="BA1042" s="20">
        <v>17660</v>
      </c>
      <c r="BB1042" s="6">
        <v>41855</v>
      </c>
      <c r="BC1042" s="6">
        <v>0</v>
      </c>
      <c r="BD1042" s="6">
        <v>41862</v>
      </c>
      <c r="BE1042" s="6">
        <v>0</v>
      </c>
      <c r="BF1042" s="6">
        <v>41862</v>
      </c>
      <c r="BG1042" s="6">
        <v>0</v>
      </c>
      <c r="BH1042" s="6">
        <v>0</v>
      </c>
      <c r="BI1042" s="6">
        <v>0</v>
      </c>
      <c r="BJ1042" s="6">
        <v>0</v>
      </c>
      <c r="BK1042" s="4">
        <v>0</v>
      </c>
      <c r="BL1042" s="4">
        <v>0</v>
      </c>
      <c r="BM1042" s="20">
        <v>100</v>
      </c>
      <c r="BN1042" s="20">
        <v>0</v>
      </c>
      <c r="BO1042" s="20">
        <v>0</v>
      </c>
      <c r="BP1042" s="20">
        <v>0</v>
      </c>
      <c r="BQ1042" s="20">
        <v>0</v>
      </c>
      <c r="BR1042" s="20">
        <v>0</v>
      </c>
      <c r="BS1042" s="20">
        <v>100</v>
      </c>
      <c r="BT1042" s="20">
        <v>1768000</v>
      </c>
      <c r="BU1042" s="20">
        <v>6900000</v>
      </c>
      <c r="BV1042" s="20">
        <v>3.547922665569724</v>
      </c>
    </row>
    <row r="1043" spans="1:74">
      <c r="A1043" s="10">
        <f t="shared" si="66"/>
        <v>0</v>
      </c>
      <c r="B1043" s="10">
        <f t="shared" si="67"/>
        <v>0</v>
      </c>
      <c r="C1043" s="12">
        <f t="shared" si="68"/>
        <v>8</v>
      </c>
      <c r="D1043" s="12">
        <f t="shared" si="69"/>
        <v>8</v>
      </c>
      <c r="E1043" s="20" t="s">
        <v>574</v>
      </c>
      <c r="F1043" s="20" t="s">
        <v>3735</v>
      </c>
      <c r="G1043" s="20" t="s">
        <v>3736</v>
      </c>
      <c r="H1043" s="20" t="s">
        <v>3771</v>
      </c>
      <c r="I1043" s="20">
        <v>3</v>
      </c>
      <c r="J1043" s="20" t="s">
        <v>3772</v>
      </c>
      <c r="K1043" s="20" t="s">
        <v>3780</v>
      </c>
      <c r="L1043" s="20" t="s">
        <v>3774</v>
      </c>
      <c r="M1043" s="20" t="s">
        <v>3741</v>
      </c>
      <c r="N1043" s="20" t="s">
        <v>3757</v>
      </c>
      <c r="P1043" s="20" t="s">
        <v>3741</v>
      </c>
      <c r="Q1043" s="20" t="s">
        <v>3743</v>
      </c>
      <c r="R1043" s="20" t="s">
        <v>84</v>
      </c>
      <c r="S1043" s="20">
        <v>4</v>
      </c>
      <c r="T1043" s="20" t="s">
        <v>635</v>
      </c>
      <c r="U1043" s="20" t="s">
        <v>636</v>
      </c>
      <c r="V1043" s="20" t="s">
        <v>87</v>
      </c>
      <c r="W1043" s="20">
        <v>903</v>
      </c>
      <c r="X1043" s="20">
        <v>903</v>
      </c>
      <c r="Y1043" s="20" t="s">
        <v>3775</v>
      </c>
      <c r="Z1043" s="20">
        <v>0.16666666666666666</v>
      </c>
      <c r="AA1043" s="20" t="s">
        <v>3781</v>
      </c>
      <c r="AB1043" s="20" t="s">
        <v>248</v>
      </c>
      <c r="AC1043" s="20" t="s">
        <v>249</v>
      </c>
      <c r="AD1043" s="20" t="s">
        <v>3777</v>
      </c>
      <c r="AE1043" s="20" t="s">
        <v>400</v>
      </c>
      <c r="AF1043" s="20">
        <v>0.16666666666666666</v>
      </c>
      <c r="AG1043" s="20">
        <v>0</v>
      </c>
      <c r="AH1043" s="20">
        <v>1</v>
      </c>
      <c r="AI1043" s="4" t="s">
        <v>647</v>
      </c>
      <c r="AJ1043" s="20">
        <v>80</v>
      </c>
      <c r="AK1043" s="4" t="s">
        <v>780</v>
      </c>
      <c r="AL1043" s="4">
        <v>11</v>
      </c>
      <c r="AM1043" s="4">
        <v>11</v>
      </c>
      <c r="AN1043" s="4" t="s">
        <v>95</v>
      </c>
      <c r="AO1043" s="4" t="s">
        <v>131</v>
      </c>
      <c r="AP1043" s="4">
        <v>2</v>
      </c>
      <c r="AQ1043" s="20">
        <v>69000</v>
      </c>
      <c r="AR1043" s="4">
        <v>41855</v>
      </c>
      <c r="AS1043" s="20">
        <v>17424.24242424242</v>
      </c>
      <c r="AT1043" s="20">
        <v>17680</v>
      </c>
      <c r="AU1043" s="20">
        <v>255.75757575757962</v>
      </c>
      <c r="AV1043" s="20">
        <v>0</v>
      </c>
      <c r="AW1043" s="20">
        <v>20</v>
      </c>
      <c r="AX1043" s="20" t="s">
        <v>91</v>
      </c>
      <c r="AY1043" s="20">
        <v>20</v>
      </c>
      <c r="AZ1043" s="20">
        <v>0</v>
      </c>
      <c r="BA1043" s="20">
        <v>17660</v>
      </c>
      <c r="BB1043" s="6">
        <v>41855</v>
      </c>
      <c r="BC1043" s="6">
        <v>0</v>
      </c>
      <c r="BD1043" s="6">
        <v>41862</v>
      </c>
      <c r="BE1043" s="6">
        <v>0</v>
      </c>
      <c r="BF1043" s="6">
        <v>41862</v>
      </c>
      <c r="BG1043" s="6">
        <v>0</v>
      </c>
      <c r="BH1043" s="6">
        <v>0</v>
      </c>
      <c r="BI1043" s="6">
        <v>0</v>
      </c>
      <c r="BJ1043" s="6">
        <v>0</v>
      </c>
      <c r="BK1043" s="4">
        <v>0</v>
      </c>
      <c r="BL1043" s="4">
        <v>0</v>
      </c>
      <c r="BM1043" s="20">
        <v>80</v>
      </c>
      <c r="BN1043" s="20">
        <v>0</v>
      </c>
      <c r="BO1043" s="20">
        <v>0</v>
      </c>
      <c r="BP1043" s="20">
        <v>0</v>
      </c>
      <c r="BQ1043" s="20">
        <v>0</v>
      </c>
      <c r="BR1043" s="20">
        <v>0</v>
      </c>
      <c r="BS1043" s="20">
        <v>80</v>
      </c>
      <c r="BT1043" s="20">
        <v>1414400</v>
      </c>
      <c r="BU1043" s="20">
        <v>5520000</v>
      </c>
      <c r="BV1043" s="20">
        <v>3.547922665569724</v>
      </c>
    </row>
    <row r="1044" spans="1:74">
      <c r="A1044" s="10">
        <f t="shared" si="66"/>
        <v>0</v>
      </c>
      <c r="B1044" s="10">
        <f t="shared" si="67"/>
        <v>0</v>
      </c>
      <c r="C1044" s="12">
        <f t="shared" si="68"/>
        <v>8</v>
      </c>
      <c r="D1044" s="12">
        <f t="shared" si="69"/>
        <v>8</v>
      </c>
      <c r="E1044" s="20" t="s">
        <v>574</v>
      </c>
      <c r="F1044" s="20" t="s">
        <v>3735</v>
      </c>
      <c r="G1044" s="20" t="s">
        <v>3736</v>
      </c>
      <c r="H1044" s="20" t="s">
        <v>3771</v>
      </c>
      <c r="I1044" s="20">
        <v>3</v>
      </c>
      <c r="J1044" s="20" t="s">
        <v>3772</v>
      </c>
      <c r="K1044" s="20" t="s">
        <v>3782</v>
      </c>
      <c r="L1044" s="20" t="s">
        <v>3774</v>
      </c>
      <c r="M1044" s="20" t="s">
        <v>3741</v>
      </c>
      <c r="N1044" s="20" t="s">
        <v>3757</v>
      </c>
      <c r="P1044" s="20" t="s">
        <v>3741</v>
      </c>
      <c r="Q1044" s="20" t="s">
        <v>3743</v>
      </c>
      <c r="R1044" s="20" t="s">
        <v>84</v>
      </c>
      <c r="S1044" s="20">
        <v>4</v>
      </c>
      <c r="T1044" s="20" t="s">
        <v>635</v>
      </c>
      <c r="U1044" s="20" t="s">
        <v>636</v>
      </c>
      <c r="V1044" s="20" t="s">
        <v>87</v>
      </c>
      <c r="W1044" s="20">
        <v>903</v>
      </c>
      <c r="X1044" s="20">
        <v>903</v>
      </c>
      <c r="Y1044" s="20" t="s">
        <v>3775</v>
      </c>
      <c r="Z1044" s="20">
        <v>0.16666666666666666</v>
      </c>
      <c r="AA1044" s="20" t="s">
        <v>3783</v>
      </c>
      <c r="AB1044" s="20" t="s">
        <v>248</v>
      </c>
      <c r="AC1044" s="20" t="s">
        <v>249</v>
      </c>
      <c r="AD1044" s="20" t="s">
        <v>3777</v>
      </c>
      <c r="AE1044" s="20" t="s">
        <v>400</v>
      </c>
      <c r="AF1044" s="20">
        <v>0.16666666666666666</v>
      </c>
      <c r="AG1044" s="20">
        <v>0</v>
      </c>
      <c r="AH1044" s="20">
        <v>1</v>
      </c>
      <c r="AI1044" s="4" t="s">
        <v>649</v>
      </c>
      <c r="AJ1044" s="20">
        <v>80</v>
      </c>
      <c r="AK1044" s="4" t="s">
        <v>780</v>
      </c>
      <c r="AL1044" s="4">
        <v>11</v>
      </c>
      <c r="AM1044" s="4">
        <v>11</v>
      </c>
      <c r="AN1044" s="4" t="s">
        <v>95</v>
      </c>
      <c r="AO1044" s="4" t="s">
        <v>131</v>
      </c>
      <c r="AP1044" s="4">
        <v>2</v>
      </c>
      <c r="AQ1044" s="20">
        <v>69000</v>
      </c>
      <c r="AR1044" s="4">
        <v>41855</v>
      </c>
      <c r="AS1044" s="20">
        <v>17424.24242424242</v>
      </c>
      <c r="AT1044" s="20">
        <v>17680</v>
      </c>
      <c r="AU1044" s="20">
        <v>255.75757575757962</v>
      </c>
      <c r="AV1044" s="20">
        <v>0</v>
      </c>
      <c r="AW1044" s="20">
        <v>20</v>
      </c>
      <c r="AX1044" s="20" t="s">
        <v>91</v>
      </c>
      <c r="AY1044" s="20">
        <v>20</v>
      </c>
      <c r="AZ1044" s="20">
        <v>0</v>
      </c>
      <c r="BA1044" s="20">
        <v>17660</v>
      </c>
      <c r="BB1044" s="6">
        <v>41855</v>
      </c>
      <c r="BC1044" s="6">
        <v>0</v>
      </c>
      <c r="BD1044" s="6">
        <v>41862</v>
      </c>
      <c r="BE1044" s="6">
        <v>0</v>
      </c>
      <c r="BF1044" s="6">
        <v>41862</v>
      </c>
      <c r="BG1044" s="6">
        <v>0</v>
      </c>
      <c r="BH1044" s="6">
        <v>0</v>
      </c>
      <c r="BI1044" s="6">
        <v>0</v>
      </c>
      <c r="BJ1044" s="6">
        <v>0</v>
      </c>
      <c r="BK1044" s="4">
        <v>0</v>
      </c>
      <c r="BL1044" s="4">
        <v>0</v>
      </c>
      <c r="BM1044" s="20">
        <v>80</v>
      </c>
      <c r="BN1044" s="20">
        <v>0</v>
      </c>
      <c r="BO1044" s="20">
        <v>0</v>
      </c>
      <c r="BP1044" s="20">
        <v>0</v>
      </c>
      <c r="BQ1044" s="20">
        <v>0</v>
      </c>
      <c r="BR1044" s="20">
        <v>0</v>
      </c>
      <c r="BS1044" s="20">
        <v>80</v>
      </c>
      <c r="BT1044" s="20">
        <v>1414400</v>
      </c>
      <c r="BU1044" s="20">
        <v>5520000</v>
      </c>
      <c r="BV1044" s="20">
        <v>3.547922665569724</v>
      </c>
    </row>
    <row r="1045" spans="1:74">
      <c r="A1045" s="10">
        <f t="shared" si="66"/>
        <v>0</v>
      </c>
      <c r="B1045" s="10">
        <f t="shared" si="67"/>
        <v>0</v>
      </c>
      <c r="C1045" s="12">
        <f t="shared" si="68"/>
        <v>8</v>
      </c>
      <c r="D1045" s="12">
        <f t="shared" si="69"/>
        <v>8</v>
      </c>
      <c r="E1045" s="20" t="s">
        <v>574</v>
      </c>
      <c r="F1045" s="20" t="s">
        <v>3735</v>
      </c>
      <c r="G1045" s="20" t="s">
        <v>3736</v>
      </c>
      <c r="H1045" s="20" t="s">
        <v>3771</v>
      </c>
      <c r="I1045" s="20">
        <v>3</v>
      </c>
      <c r="J1045" s="20" t="s">
        <v>3772</v>
      </c>
      <c r="K1045" s="20" t="s">
        <v>3784</v>
      </c>
      <c r="L1045" s="20" t="s">
        <v>3774</v>
      </c>
      <c r="M1045" s="20" t="s">
        <v>3741</v>
      </c>
      <c r="N1045" s="20" t="s">
        <v>3757</v>
      </c>
      <c r="P1045" s="20" t="s">
        <v>3741</v>
      </c>
      <c r="Q1045" s="20" t="s">
        <v>3743</v>
      </c>
      <c r="R1045" s="20" t="s">
        <v>84</v>
      </c>
      <c r="S1045" s="20">
        <v>4</v>
      </c>
      <c r="T1045" s="20" t="s">
        <v>635</v>
      </c>
      <c r="U1045" s="20" t="s">
        <v>636</v>
      </c>
      <c r="V1045" s="20" t="s">
        <v>87</v>
      </c>
      <c r="W1045" s="20">
        <v>903</v>
      </c>
      <c r="X1045" s="20">
        <v>903</v>
      </c>
      <c r="Y1045" s="20" t="s">
        <v>3775</v>
      </c>
      <c r="Z1045" s="20">
        <v>0.16666666666666666</v>
      </c>
      <c r="AA1045" s="20" t="s">
        <v>3785</v>
      </c>
      <c r="AB1045" s="20" t="s">
        <v>248</v>
      </c>
      <c r="AC1045" s="20" t="s">
        <v>249</v>
      </c>
      <c r="AD1045" s="20" t="s">
        <v>3777</v>
      </c>
      <c r="AE1045" s="20" t="s">
        <v>400</v>
      </c>
      <c r="AF1045" s="20">
        <v>0.16666666666666666</v>
      </c>
      <c r="AG1045" s="20">
        <v>0</v>
      </c>
      <c r="AH1045" s="20">
        <v>1</v>
      </c>
      <c r="AI1045" s="4" t="s">
        <v>651</v>
      </c>
      <c r="AJ1045" s="20">
        <v>30</v>
      </c>
      <c r="AK1045" s="4" t="s">
        <v>780</v>
      </c>
      <c r="AL1045" s="4">
        <v>11</v>
      </c>
      <c r="AM1045" s="4">
        <v>11</v>
      </c>
      <c r="AN1045" s="4" t="s">
        <v>95</v>
      </c>
      <c r="AO1045" s="4" t="s">
        <v>131</v>
      </c>
      <c r="AP1045" s="4">
        <v>2</v>
      </c>
      <c r="AQ1045" s="20">
        <v>69000</v>
      </c>
      <c r="AR1045" s="4">
        <v>41855</v>
      </c>
      <c r="AS1045" s="20">
        <v>17424.24242424242</v>
      </c>
      <c r="AT1045" s="20">
        <v>17680</v>
      </c>
      <c r="AU1045" s="20">
        <v>255.75757575757962</v>
      </c>
      <c r="AV1045" s="20">
        <v>0</v>
      </c>
      <c r="AW1045" s="20">
        <v>20</v>
      </c>
      <c r="AX1045" s="20" t="s">
        <v>91</v>
      </c>
      <c r="AY1045" s="20">
        <v>20</v>
      </c>
      <c r="AZ1045" s="20">
        <v>0</v>
      </c>
      <c r="BA1045" s="20">
        <v>17660</v>
      </c>
      <c r="BB1045" s="6">
        <v>41855</v>
      </c>
      <c r="BC1045" s="6">
        <v>0</v>
      </c>
      <c r="BD1045" s="6">
        <v>41862</v>
      </c>
      <c r="BE1045" s="6">
        <v>0</v>
      </c>
      <c r="BF1045" s="6">
        <v>41862</v>
      </c>
      <c r="BG1045" s="6">
        <v>0</v>
      </c>
      <c r="BH1045" s="6">
        <v>0</v>
      </c>
      <c r="BI1045" s="6">
        <v>0</v>
      </c>
      <c r="BJ1045" s="6">
        <v>0</v>
      </c>
      <c r="BK1045" s="4">
        <v>0</v>
      </c>
      <c r="BL1045" s="4">
        <v>0</v>
      </c>
      <c r="BM1045" s="20">
        <v>30</v>
      </c>
      <c r="BN1045" s="20">
        <v>0</v>
      </c>
      <c r="BO1045" s="20">
        <v>0</v>
      </c>
      <c r="BP1045" s="20">
        <v>0</v>
      </c>
      <c r="BQ1045" s="20">
        <v>0</v>
      </c>
      <c r="BR1045" s="20">
        <v>0</v>
      </c>
      <c r="BS1045" s="20">
        <v>30</v>
      </c>
      <c r="BT1045" s="20">
        <v>530400</v>
      </c>
      <c r="BU1045" s="20">
        <v>2070000</v>
      </c>
      <c r="BV1045" s="20">
        <v>3.5479226655697245</v>
      </c>
    </row>
    <row r="1046" spans="1:74">
      <c r="A1046" s="10">
        <f t="shared" si="66"/>
        <v>0</v>
      </c>
      <c r="B1046" s="10">
        <f t="shared" si="67"/>
        <v>0</v>
      </c>
      <c r="C1046" s="12">
        <f t="shared" si="68"/>
        <v>8</v>
      </c>
      <c r="D1046" s="12">
        <f t="shared" si="69"/>
        <v>8</v>
      </c>
      <c r="E1046" s="20" t="s">
        <v>574</v>
      </c>
      <c r="F1046" s="20" t="s">
        <v>3735</v>
      </c>
      <c r="G1046" s="20" t="s">
        <v>3736</v>
      </c>
      <c r="H1046" s="20" t="s">
        <v>3771</v>
      </c>
      <c r="I1046" s="20">
        <v>3</v>
      </c>
      <c r="J1046" s="20" t="s">
        <v>3772</v>
      </c>
      <c r="K1046" s="20" t="s">
        <v>3786</v>
      </c>
      <c r="L1046" s="20" t="s">
        <v>3774</v>
      </c>
      <c r="M1046" s="20" t="s">
        <v>3741</v>
      </c>
      <c r="N1046" s="20" t="s">
        <v>3757</v>
      </c>
      <c r="P1046" s="20" t="s">
        <v>3741</v>
      </c>
      <c r="Q1046" s="20" t="s">
        <v>3743</v>
      </c>
      <c r="R1046" s="20" t="s">
        <v>84</v>
      </c>
      <c r="S1046" s="20">
        <v>4</v>
      </c>
      <c r="T1046" s="20" t="s">
        <v>635</v>
      </c>
      <c r="U1046" s="20" t="s">
        <v>636</v>
      </c>
      <c r="V1046" s="20" t="s">
        <v>87</v>
      </c>
      <c r="W1046" s="20">
        <v>903</v>
      </c>
      <c r="X1046" s="20">
        <v>903</v>
      </c>
      <c r="Y1046" s="20" t="s">
        <v>3775</v>
      </c>
      <c r="Z1046" s="20">
        <v>0.16666666666666666</v>
      </c>
      <c r="AA1046" s="20" t="s">
        <v>3787</v>
      </c>
      <c r="AB1046" s="20" t="s">
        <v>248</v>
      </c>
      <c r="AC1046" s="20" t="s">
        <v>249</v>
      </c>
      <c r="AD1046" s="20" t="s">
        <v>3777</v>
      </c>
      <c r="AE1046" s="20" t="s">
        <v>400</v>
      </c>
      <c r="AF1046" s="20">
        <v>0.16666666666666666</v>
      </c>
      <c r="AG1046" s="20">
        <v>0</v>
      </c>
      <c r="AH1046" s="20">
        <v>1</v>
      </c>
      <c r="AI1046" s="4" t="s">
        <v>640</v>
      </c>
      <c r="AJ1046" s="20">
        <v>100</v>
      </c>
      <c r="AK1046" s="4" t="s">
        <v>780</v>
      </c>
      <c r="AL1046" s="4">
        <v>11</v>
      </c>
      <c r="AM1046" s="4">
        <v>11</v>
      </c>
      <c r="AN1046" s="4" t="s">
        <v>95</v>
      </c>
      <c r="AO1046" s="4" t="s">
        <v>131</v>
      </c>
      <c r="AP1046" s="4">
        <v>2</v>
      </c>
      <c r="AQ1046" s="20">
        <v>69000</v>
      </c>
      <c r="AR1046" s="4">
        <v>41855</v>
      </c>
      <c r="AS1046" s="20">
        <v>17424.24242424242</v>
      </c>
      <c r="AT1046" s="20">
        <v>17680</v>
      </c>
      <c r="AU1046" s="20">
        <v>255.75757575757962</v>
      </c>
      <c r="AV1046" s="20">
        <v>0</v>
      </c>
      <c r="AW1046" s="20">
        <v>20</v>
      </c>
      <c r="AX1046" s="20" t="s">
        <v>91</v>
      </c>
      <c r="AY1046" s="20">
        <v>20</v>
      </c>
      <c r="AZ1046" s="20">
        <v>0</v>
      </c>
      <c r="BA1046" s="20">
        <v>17660</v>
      </c>
      <c r="BB1046" s="6">
        <v>41855</v>
      </c>
      <c r="BC1046" s="6">
        <v>0</v>
      </c>
      <c r="BD1046" s="6">
        <v>41862</v>
      </c>
      <c r="BE1046" s="6">
        <v>0</v>
      </c>
      <c r="BF1046" s="6">
        <v>41862</v>
      </c>
      <c r="BG1046" s="6">
        <v>0</v>
      </c>
      <c r="BH1046" s="6">
        <v>0</v>
      </c>
      <c r="BI1046" s="6">
        <v>0</v>
      </c>
      <c r="BJ1046" s="6">
        <v>0</v>
      </c>
      <c r="BK1046" s="4">
        <v>0</v>
      </c>
      <c r="BL1046" s="4">
        <v>0</v>
      </c>
      <c r="BM1046" s="20">
        <v>100</v>
      </c>
      <c r="BN1046" s="20">
        <v>0</v>
      </c>
      <c r="BO1046" s="20">
        <v>0</v>
      </c>
      <c r="BP1046" s="20">
        <v>0</v>
      </c>
      <c r="BQ1046" s="20">
        <v>0</v>
      </c>
      <c r="BR1046" s="20">
        <v>0</v>
      </c>
      <c r="BS1046" s="20">
        <v>100</v>
      </c>
      <c r="BT1046" s="20">
        <v>1768000</v>
      </c>
      <c r="BU1046" s="20">
        <v>6900000</v>
      </c>
      <c r="BV1046" s="20">
        <v>3.547922665569724</v>
      </c>
    </row>
    <row r="1047" spans="1:74">
      <c r="A1047" s="10">
        <f t="shared" si="66"/>
        <v>0</v>
      </c>
      <c r="B1047" s="10">
        <f t="shared" si="67"/>
        <v>0</v>
      </c>
      <c r="C1047" s="12" t="str">
        <f t="shared" si="68"/>
        <v/>
      </c>
      <c r="D1047" s="12" t="str">
        <f t="shared" si="69"/>
        <v/>
      </c>
      <c r="E1047" s="20" t="s">
        <v>91</v>
      </c>
      <c r="F1047" s="20" t="s">
        <v>91</v>
      </c>
      <c r="G1047" s="20" t="s">
        <v>91</v>
      </c>
      <c r="H1047" s="20" t="s">
        <v>91</v>
      </c>
      <c r="I1047" s="20">
        <v>0</v>
      </c>
      <c r="J1047" s="20" t="s">
        <v>103</v>
      </c>
      <c r="K1047" s="20" t="s">
        <v>104</v>
      </c>
      <c r="L1047" s="20">
        <v>0</v>
      </c>
      <c r="M1047" s="20" t="s">
        <v>105</v>
      </c>
      <c r="N1047" s="20" t="s">
        <v>91</v>
      </c>
      <c r="O1047" s="20" t="s">
        <v>3788</v>
      </c>
      <c r="Q1047" s="20" t="s">
        <v>91</v>
      </c>
      <c r="R1047" s="20" t="s">
        <v>91</v>
      </c>
      <c r="S1047" s="20" t="s">
        <v>91</v>
      </c>
      <c r="U1047" s="20" t="s">
        <v>91</v>
      </c>
      <c r="V1047" s="20" t="s">
        <v>87</v>
      </c>
      <c r="X1047" s="20" t="s">
        <v>91</v>
      </c>
      <c r="Y1047" s="20" t="s">
        <v>91</v>
      </c>
      <c r="Z1047" s="20">
        <v>2.9999999999999996</v>
      </c>
      <c r="AB1047" s="20" t="s">
        <v>91</v>
      </c>
      <c r="AD1047" s="20" t="s">
        <v>91</v>
      </c>
      <c r="AE1047" s="20" t="s">
        <v>91</v>
      </c>
      <c r="AF1047" s="20">
        <v>2.9999999999999996</v>
      </c>
      <c r="AG1047" s="20">
        <v>0</v>
      </c>
      <c r="AH1047" s="20">
        <v>1</v>
      </c>
      <c r="AM1047" s="4" t="s">
        <v>91</v>
      </c>
      <c r="AP1047" s="4" t="s">
        <v>91</v>
      </c>
      <c r="AQ1047" s="20">
        <v>0</v>
      </c>
      <c r="AR1047" s="4">
        <v>0</v>
      </c>
      <c r="AS1047" s="20">
        <v>0</v>
      </c>
      <c r="AT1047" s="20">
        <v>0</v>
      </c>
      <c r="AU1047" s="20">
        <v>0</v>
      </c>
      <c r="AV1047" s="20">
        <v>0</v>
      </c>
      <c r="AW1047" s="20">
        <v>0</v>
      </c>
      <c r="AX1047" s="20" t="s">
        <v>91</v>
      </c>
      <c r="AY1047" s="20">
        <v>0</v>
      </c>
      <c r="AZ1047" s="20">
        <v>0</v>
      </c>
      <c r="BA1047" s="20">
        <v>0</v>
      </c>
      <c r="BB1047" s="6">
        <v>0</v>
      </c>
      <c r="BC1047" s="6">
        <v>0</v>
      </c>
      <c r="BD1047" s="6">
        <v>0</v>
      </c>
      <c r="BE1047" s="6">
        <v>0</v>
      </c>
      <c r="BF1047" s="6">
        <v>0</v>
      </c>
      <c r="BG1047" s="6">
        <v>0</v>
      </c>
      <c r="BH1047" s="6">
        <v>0</v>
      </c>
      <c r="BI1047" s="6">
        <v>0</v>
      </c>
      <c r="BJ1047" s="6">
        <v>0</v>
      </c>
      <c r="BK1047" s="4">
        <v>0</v>
      </c>
      <c r="BL1047" s="4">
        <v>0</v>
      </c>
      <c r="BM1047" s="20">
        <v>1220</v>
      </c>
      <c r="BN1047" s="20">
        <v>0</v>
      </c>
      <c r="BO1047" s="20">
        <v>0</v>
      </c>
      <c r="BP1047" s="20">
        <v>0</v>
      </c>
      <c r="BQ1047" s="20">
        <v>0</v>
      </c>
      <c r="BR1047" s="20">
        <v>0</v>
      </c>
      <c r="BS1047" s="20">
        <v>1220</v>
      </c>
      <c r="BT1047" s="20">
        <v>22480000</v>
      </c>
      <c r="BU1047" s="20">
        <v>91780000</v>
      </c>
      <c r="BV1047" s="20">
        <v>3.7115820122937557</v>
      </c>
    </row>
    <row r="1048" spans="1:74">
      <c r="A1048" s="10">
        <f t="shared" si="66"/>
        <v>0</v>
      </c>
      <c r="B1048" s="10">
        <f t="shared" si="67"/>
        <v>0</v>
      </c>
      <c r="C1048" s="12">
        <f t="shared" si="68"/>
        <v>8</v>
      </c>
      <c r="D1048" s="12">
        <f t="shared" si="69"/>
        <v>8</v>
      </c>
      <c r="E1048" s="20" t="s">
        <v>574</v>
      </c>
      <c r="F1048" s="20" t="s">
        <v>3827</v>
      </c>
      <c r="G1048" s="20" t="s">
        <v>3828</v>
      </c>
      <c r="H1048" s="20" t="s">
        <v>3829</v>
      </c>
      <c r="I1048" s="20">
        <v>1</v>
      </c>
      <c r="J1048" s="20" t="s">
        <v>3830</v>
      </c>
      <c r="K1048" s="20" t="s">
        <v>3831</v>
      </c>
      <c r="L1048" s="20" t="s">
        <v>3832</v>
      </c>
      <c r="M1048" s="20" t="s">
        <v>2667</v>
      </c>
      <c r="N1048" s="20" t="s">
        <v>3833</v>
      </c>
      <c r="P1048" s="20" t="s">
        <v>2667</v>
      </c>
      <c r="Q1048" s="20" t="s">
        <v>2674</v>
      </c>
      <c r="R1048" s="20" t="s">
        <v>84</v>
      </c>
      <c r="S1048" s="20" t="s">
        <v>123</v>
      </c>
      <c r="T1048" s="20" t="s">
        <v>3834</v>
      </c>
      <c r="U1048" s="20" t="s">
        <v>3835</v>
      </c>
      <c r="V1048" s="20" t="s">
        <v>87</v>
      </c>
      <c r="W1048" s="20">
        <v>901</v>
      </c>
      <c r="X1048" s="20">
        <v>901</v>
      </c>
      <c r="Y1048" s="20" t="s">
        <v>3836</v>
      </c>
      <c r="Z1048" s="20">
        <v>1</v>
      </c>
      <c r="AA1048" s="20" t="s">
        <v>3837</v>
      </c>
      <c r="AB1048" s="20" t="s">
        <v>279</v>
      </c>
      <c r="AC1048" s="20" t="s">
        <v>280</v>
      </c>
      <c r="AD1048" s="20" t="s">
        <v>3838</v>
      </c>
      <c r="AE1048" s="20" t="s">
        <v>400</v>
      </c>
      <c r="AF1048" s="20">
        <v>1</v>
      </c>
      <c r="AG1048" s="20">
        <v>0</v>
      </c>
      <c r="AH1048" s="20">
        <v>1</v>
      </c>
      <c r="AI1048" s="4" t="s">
        <v>251</v>
      </c>
      <c r="AJ1048" s="20">
        <v>100</v>
      </c>
      <c r="AK1048" s="4" t="s">
        <v>1848</v>
      </c>
      <c r="AL1048" s="4">
        <v>5</v>
      </c>
      <c r="AM1048" s="4" t="s">
        <v>485</v>
      </c>
      <c r="AN1048" s="4" t="s">
        <v>95</v>
      </c>
      <c r="AO1048" s="4" t="s">
        <v>96</v>
      </c>
      <c r="AP1048" s="4">
        <v>1</v>
      </c>
      <c r="AQ1048" s="20">
        <v>149000</v>
      </c>
      <c r="AR1048" s="4">
        <v>41863</v>
      </c>
      <c r="AS1048" s="20">
        <v>33863.63636363636</v>
      </c>
      <c r="AT1048" s="20">
        <v>31570</v>
      </c>
      <c r="AU1048" s="20">
        <v>-2293.6363636363603</v>
      </c>
      <c r="AV1048" s="20">
        <v>0</v>
      </c>
      <c r="AW1048" s="20">
        <v>0</v>
      </c>
      <c r="AX1048" s="20">
        <v>20</v>
      </c>
      <c r="AY1048" s="20">
        <v>20</v>
      </c>
      <c r="AZ1048" s="20">
        <v>0</v>
      </c>
      <c r="BA1048" s="20">
        <v>31550</v>
      </c>
      <c r="BB1048" s="6">
        <v>41863</v>
      </c>
      <c r="BC1048" s="6">
        <v>0</v>
      </c>
      <c r="BD1048" s="6">
        <v>41870</v>
      </c>
      <c r="BE1048" s="6">
        <v>0</v>
      </c>
      <c r="BF1048" s="6">
        <v>41872</v>
      </c>
      <c r="BH1048" s="6">
        <v>0</v>
      </c>
      <c r="BI1048" s="6">
        <v>0</v>
      </c>
      <c r="BJ1048" s="6">
        <v>0</v>
      </c>
      <c r="BK1048" s="4">
        <v>0</v>
      </c>
      <c r="BL1048" s="4">
        <v>0</v>
      </c>
      <c r="BM1048" s="20">
        <v>100</v>
      </c>
      <c r="BN1048" s="20">
        <v>0</v>
      </c>
      <c r="BO1048" s="20">
        <v>0</v>
      </c>
      <c r="BP1048" s="20">
        <v>0</v>
      </c>
      <c r="BQ1048" s="20">
        <v>0</v>
      </c>
      <c r="BR1048" s="20">
        <v>0</v>
      </c>
      <c r="BS1048" s="20">
        <v>100</v>
      </c>
      <c r="BT1048" s="20">
        <v>3157000</v>
      </c>
      <c r="BU1048" s="20">
        <v>14900000</v>
      </c>
      <c r="BV1048" s="20">
        <v>4.2906096121173718</v>
      </c>
    </row>
    <row r="1049" spans="1:74">
      <c r="A1049" s="10">
        <f t="shared" si="66"/>
        <v>0</v>
      </c>
      <c r="B1049" s="10">
        <f t="shared" si="67"/>
        <v>0</v>
      </c>
      <c r="C1049" s="12">
        <f t="shared" si="68"/>
        <v>8</v>
      </c>
      <c r="D1049" s="12">
        <f t="shared" si="69"/>
        <v>8</v>
      </c>
      <c r="E1049" s="20" t="s">
        <v>574</v>
      </c>
      <c r="F1049" s="20" t="s">
        <v>3827</v>
      </c>
      <c r="G1049" s="20" t="s">
        <v>3828</v>
      </c>
      <c r="H1049" s="20" t="s">
        <v>3839</v>
      </c>
      <c r="I1049" s="20">
        <v>2</v>
      </c>
      <c r="J1049" s="20" t="s">
        <v>3840</v>
      </c>
      <c r="K1049" s="20" t="s">
        <v>3841</v>
      </c>
      <c r="L1049" s="20" t="s">
        <v>3842</v>
      </c>
      <c r="M1049" s="20" t="s">
        <v>2667</v>
      </c>
      <c r="N1049" s="20" t="s">
        <v>3833</v>
      </c>
      <c r="P1049" s="20" t="s">
        <v>2667</v>
      </c>
      <c r="Q1049" s="20" t="s">
        <v>2674</v>
      </c>
      <c r="R1049" s="20" t="s">
        <v>84</v>
      </c>
      <c r="S1049" s="20" t="s">
        <v>123</v>
      </c>
      <c r="T1049" s="20" t="s">
        <v>3834</v>
      </c>
      <c r="U1049" s="20" t="s">
        <v>3835</v>
      </c>
      <c r="V1049" s="20" t="s">
        <v>87</v>
      </c>
      <c r="W1049" s="20">
        <v>902</v>
      </c>
      <c r="X1049" s="20">
        <v>902</v>
      </c>
      <c r="Y1049" s="20" t="s">
        <v>3843</v>
      </c>
      <c r="Z1049" s="20">
        <v>1</v>
      </c>
      <c r="AA1049" s="20" t="s">
        <v>3844</v>
      </c>
      <c r="AB1049" s="20" t="s">
        <v>248</v>
      </c>
      <c r="AC1049" s="20" t="s">
        <v>249</v>
      </c>
      <c r="AD1049" s="20" t="s">
        <v>3845</v>
      </c>
      <c r="AE1049" s="20" t="s">
        <v>400</v>
      </c>
      <c r="AF1049" s="20">
        <v>1</v>
      </c>
      <c r="AG1049" s="20">
        <v>0</v>
      </c>
      <c r="AH1049" s="20">
        <v>1</v>
      </c>
      <c r="AI1049" s="4" t="s">
        <v>251</v>
      </c>
      <c r="AJ1049" s="20">
        <v>50</v>
      </c>
      <c r="AK1049" s="4" t="s">
        <v>1848</v>
      </c>
      <c r="AL1049" s="4">
        <v>5</v>
      </c>
      <c r="AM1049" s="4" t="s">
        <v>485</v>
      </c>
      <c r="AN1049" s="4" t="s">
        <v>95</v>
      </c>
      <c r="AO1049" s="4" t="s">
        <v>96</v>
      </c>
      <c r="AP1049" s="4">
        <v>1</v>
      </c>
      <c r="AQ1049" s="20">
        <v>149000</v>
      </c>
      <c r="AR1049" s="4">
        <v>41863</v>
      </c>
      <c r="AS1049" s="20">
        <v>33863.63636363636</v>
      </c>
      <c r="AT1049" s="20">
        <v>31570</v>
      </c>
      <c r="AU1049" s="20">
        <v>-2293.6363636363603</v>
      </c>
      <c r="AV1049" s="20">
        <v>0</v>
      </c>
      <c r="AW1049" s="20">
        <v>0</v>
      </c>
      <c r="AX1049" s="20">
        <v>20</v>
      </c>
      <c r="AY1049" s="20">
        <v>20</v>
      </c>
      <c r="AZ1049" s="20">
        <v>0</v>
      </c>
      <c r="BA1049" s="20">
        <v>31550</v>
      </c>
      <c r="BB1049" s="6">
        <v>41863</v>
      </c>
      <c r="BC1049" s="6">
        <v>0</v>
      </c>
      <c r="BD1049" s="6">
        <v>41870</v>
      </c>
      <c r="BE1049" s="6">
        <v>0</v>
      </c>
      <c r="BF1049" s="6">
        <v>41872</v>
      </c>
      <c r="BH1049" s="6">
        <v>0</v>
      </c>
      <c r="BI1049" s="6">
        <v>0</v>
      </c>
      <c r="BJ1049" s="6">
        <v>0</v>
      </c>
      <c r="BK1049" s="4">
        <v>0</v>
      </c>
      <c r="BL1049" s="4">
        <v>0</v>
      </c>
      <c r="BM1049" s="20">
        <v>50</v>
      </c>
      <c r="BN1049" s="20">
        <v>0</v>
      </c>
      <c r="BO1049" s="20">
        <v>0</v>
      </c>
      <c r="BP1049" s="20">
        <v>0</v>
      </c>
      <c r="BQ1049" s="20">
        <v>0</v>
      </c>
      <c r="BR1049" s="20">
        <v>0</v>
      </c>
      <c r="BS1049" s="20">
        <v>50</v>
      </c>
      <c r="BT1049" s="20">
        <v>1578500</v>
      </c>
      <c r="BU1049" s="20">
        <v>7450000</v>
      </c>
      <c r="BV1049" s="20">
        <v>4.2906096121173718</v>
      </c>
    </row>
    <row r="1050" spans="1:74">
      <c r="A1050" s="10">
        <f t="shared" si="66"/>
        <v>0</v>
      </c>
      <c r="B1050" s="10">
        <f t="shared" si="67"/>
        <v>0</v>
      </c>
      <c r="C1050" s="12">
        <f t="shared" si="68"/>
        <v>8</v>
      </c>
      <c r="D1050" s="12">
        <f t="shared" si="69"/>
        <v>8</v>
      </c>
      <c r="E1050" s="20" t="s">
        <v>574</v>
      </c>
      <c r="F1050" s="20" t="s">
        <v>3827</v>
      </c>
      <c r="G1050" s="20" t="s">
        <v>3828</v>
      </c>
      <c r="H1050" s="20" t="s">
        <v>3846</v>
      </c>
      <c r="I1050" s="20">
        <v>3</v>
      </c>
      <c r="J1050" s="20" t="s">
        <v>3847</v>
      </c>
      <c r="K1050" s="20" t="s">
        <v>3848</v>
      </c>
      <c r="L1050" s="20" t="s">
        <v>3849</v>
      </c>
      <c r="M1050" s="20" t="s">
        <v>2667</v>
      </c>
      <c r="N1050" s="20" t="s">
        <v>3833</v>
      </c>
      <c r="P1050" s="20" t="s">
        <v>2667</v>
      </c>
      <c r="Q1050" s="20" t="s">
        <v>2674</v>
      </c>
      <c r="R1050" s="20" t="s">
        <v>84</v>
      </c>
      <c r="S1050" s="20" t="s">
        <v>123</v>
      </c>
      <c r="T1050" s="20" t="s">
        <v>3834</v>
      </c>
      <c r="U1050" s="20" t="s">
        <v>3835</v>
      </c>
      <c r="V1050" s="20" t="s">
        <v>87</v>
      </c>
      <c r="W1050" s="20">
        <v>913</v>
      </c>
      <c r="X1050" s="20">
        <v>913</v>
      </c>
      <c r="Y1050" s="20" t="s">
        <v>3850</v>
      </c>
      <c r="Z1050" s="20">
        <v>1</v>
      </c>
      <c r="AA1050" s="20" t="s">
        <v>3851</v>
      </c>
      <c r="AB1050" s="20" t="s">
        <v>101</v>
      </c>
      <c r="AC1050" s="20" t="s">
        <v>102</v>
      </c>
      <c r="AD1050" s="20" t="s">
        <v>3852</v>
      </c>
      <c r="AE1050" s="20" t="s">
        <v>400</v>
      </c>
      <c r="AF1050" s="20">
        <v>1</v>
      </c>
      <c r="AG1050" s="20">
        <v>0</v>
      </c>
      <c r="AH1050" s="20">
        <v>1</v>
      </c>
      <c r="AI1050" s="4" t="s">
        <v>251</v>
      </c>
      <c r="AJ1050" s="20">
        <v>70</v>
      </c>
      <c r="AK1050" s="4" t="s">
        <v>1848</v>
      </c>
      <c r="AL1050" s="4">
        <v>5</v>
      </c>
      <c r="AM1050" s="4" t="s">
        <v>485</v>
      </c>
      <c r="AN1050" s="4" t="s">
        <v>95</v>
      </c>
      <c r="AO1050" s="4" t="s">
        <v>96</v>
      </c>
      <c r="AP1050" s="4">
        <v>1</v>
      </c>
      <c r="AQ1050" s="20">
        <v>149000</v>
      </c>
      <c r="AR1050" s="4">
        <v>41863</v>
      </c>
      <c r="AS1050" s="20">
        <v>33863.63636363636</v>
      </c>
      <c r="AT1050" s="20">
        <v>31570</v>
      </c>
      <c r="AU1050" s="20">
        <v>-2293.6363636363603</v>
      </c>
      <c r="AV1050" s="20">
        <v>0</v>
      </c>
      <c r="AW1050" s="20">
        <v>0</v>
      </c>
      <c r="AX1050" s="20">
        <v>20</v>
      </c>
      <c r="AY1050" s="20">
        <v>20</v>
      </c>
      <c r="AZ1050" s="20">
        <v>0</v>
      </c>
      <c r="BA1050" s="20">
        <v>31550</v>
      </c>
      <c r="BB1050" s="6">
        <v>41863</v>
      </c>
      <c r="BC1050" s="6">
        <v>0</v>
      </c>
      <c r="BD1050" s="6">
        <v>41870</v>
      </c>
      <c r="BE1050" s="6">
        <v>0</v>
      </c>
      <c r="BF1050" s="6">
        <v>41872</v>
      </c>
      <c r="BH1050" s="6">
        <v>0</v>
      </c>
      <c r="BI1050" s="6">
        <v>0</v>
      </c>
      <c r="BJ1050" s="6">
        <v>0</v>
      </c>
      <c r="BK1050" s="4">
        <v>0</v>
      </c>
      <c r="BL1050" s="4">
        <v>0</v>
      </c>
      <c r="BM1050" s="20">
        <v>70</v>
      </c>
      <c r="BN1050" s="20">
        <v>0</v>
      </c>
      <c r="BO1050" s="20">
        <v>0</v>
      </c>
      <c r="BP1050" s="20">
        <v>0</v>
      </c>
      <c r="BQ1050" s="20">
        <v>0</v>
      </c>
      <c r="BR1050" s="20">
        <v>0</v>
      </c>
      <c r="BS1050" s="20">
        <v>70</v>
      </c>
      <c r="BT1050" s="20">
        <v>2209900</v>
      </c>
      <c r="BU1050" s="20">
        <v>10430000</v>
      </c>
      <c r="BV1050" s="20">
        <v>4.2906096121173727</v>
      </c>
    </row>
    <row r="1051" spans="1:74">
      <c r="A1051" s="10">
        <f t="shared" si="66"/>
        <v>0</v>
      </c>
      <c r="B1051" s="10">
        <f t="shared" si="67"/>
        <v>0</v>
      </c>
      <c r="C1051" s="12" t="str">
        <f t="shared" si="68"/>
        <v/>
      </c>
      <c r="D1051" s="12" t="str">
        <f t="shared" si="69"/>
        <v/>
      </c>
      <c r="E1051" s="20" t="s">
        <v>91</v>
      </c>
      <c r="F1051" s="20" t="s">
        <v>91</v>
      </c>
      <c r="G1051" s="20" t="s">
        <v>91</v>
      </c>
      <c r="H1051" s="20" t="s">
        <v>91</v>
      </c>
      <c r="I1051" s="20">
        <v>0</v>
      </c>
      <c r="J1051" s="20" t="s">
        <v>103</v>
      </c>
      <c r="K1051" s="20" t="s">
        <v>104</v>
      </c>
      <c r="L1051" s="20">
        <v>0</v>
      </c>
      <c r="M1051" s="20" t="s">
        <v>105</v>
      </c>
      <c r="N1051" s="20" t="s">
        <v>91</v>
      </c>
      <c r="O1051" s="20" t="s">
        <v>3853</v>
      </c>
      <c r="Q1051" s="20" t="s">
        <v>91</v>
      </c>
      <c r="R1051" s="20" t="s">
        <v>91</v>
      </c>
      <c r="S1051" s="20" t="s">
        <v>91</v>
      </c>
      <c r="U1051" s="20" t="s">
        <v>91</v>
      </c>
      <c r="V1051" s="20" t="s">
        <v>87</v>
      </c>
      <c r="X1051" s="20" t="s">
        <v>91</v>
      </c>
      <c r="Y1051" s="20" t="s">
        <v>91</v>
      </c>
      <c r="Z1051" s="20">
        <v>3</v>
      </c>
      <c r="AB1051" s="20" t="s">
        <v>91</v>
      </c>
      <c r="AD1051" s="20" t="s">
        <v>91</v>
      </c>
      <c r="AE1051" s="20" t="s">
        <v>91</v>
      </c>
      <c r="AF1051" s="20">
        <v>3</v>
      </c>
      <c r="AG1051" s="20">
        <v>0</v>
      </c>
      <c r="AH1051" s="20">
        <v>1</v>
      </c>
      <c r="AM1051" s="4" t="s">
        <v>91</v>
      </c>
      <c r="AP1051" s="4" t="s">
        <v>91</v>
      </c>
      <c r="AQ1051" s="20">
        <v>0</v>
      </c>
      <c r="AR1051" s="4">
        <v>0</v>
      </c>
      <c r="AS1051" s="20">
        <v>0</v>
      </c>
      <c r="AT1051" s="20">
        <v>0</v>
      </c>
      <c r="AU1051" s="20">
        <v>0</v>
      </c>
      <c r="AV1051" s="20">
        <v>0</v>
      </c>
      <c r="AW1051" s="20">
        <v>0</v>
      </c>
      <c r="AX1051" s="20" t="s">
        <v>91</v>
      </c>
      <c r="AY1051" s="20">
        <v>0</v>
      </c>
      <c r="AZ1051" s="20">
        <v>0</v>
      </c>
      <c r="BA1051" s="20">
        <v>0</v>
      </c>
      <c r="BB1051" s="6">
        <v>0</v>
      </c>
      <c r="BC1051" s="6">
        <v>0</v>
      </c>
      <c r="BD1051" s="6">
        <v>0</v>
      </c>
      <c r="BE1051" s="6">
        <v>0</v>
      </c>
      <c r="BF1051" s="6">
        <v>0</v>
      </c>
      <c r="BG1051" s="6">
        <v>0</v>
      </c>
      <c r="BH1051" s="6">
        <v>0</v>
      </c>
      <c r="BI1051" s="6">
        <v>0</v>
      </c>
      <c r="BJ1051" s="6">
        <v>0</v>
      </c>
      <c r="BK1051" s="4">
        <v>0</v>
      </c>
      <c r="BL1051" s="4">
        <v>0</v>
      </c>
      <c r="BM1051" s="20">
        <v>220</v>
      </c>
      <c r="BN1051" s="20">
        <v>0</v>
      </c>
      <c r="BO1051" s="20">
        <v>0</v>
      </c>
      <c r="BP1051" s="20">
        <v>0</v>
      </c>
      <c r="BQ1051" s="20">
        <v>0</v>
      </c>
      <c r="BR1051" s="20">
        <v>0</v>
      </c>
      <c r="BS1051" s="20">
        <v>220</v>
      </c>
      <c r="BT1051" s="20">
        <v>6945400</v>
      </c>
      <c r="BU1051" s="20">
        <v>32780000</v>
      </c>
      <c r="BV1051" s="20">
        <v>4.2906096121173718</v>
      </c>
    </row>
    <row r="1052" spans="1:74">
      <c r="A1052" s="10">
        <f t="shared" si="66"/>
        <v>0</v>
      </c>
      <c r="B1052" s="10">
        <f t="shared" si="67"/>
        <v>0</v>
      </c>
      <c r="C1052" s="12">
        <f t="shared" si="68"/>
        <v>9</v>
      </c>
      <c r="D1052" s="12">
        <f t="shared" si="69"/>
        <v>9</v>
      </c>
      <c r="E1052" s="20" t="s">
        <v>114</v>
      </c>
      <c r="F1052" s="20" t="s">
        <v>3869</v>
      </c>
      <c r="G1052" s="20" t="s">
        <v>3870</v>
      </c>
      <c r="H1052" s="20" t="s">
        <v>3871</v>
      </c>
      <c r="I1052" s="20">
        <v>1</v>
      </c>
      <c r="J1052" s="20" t="s">
        <v>3872</v>
      </c>
      <c r="K1052" s="20" t="s">
        <v>3873</v>
      </c>
      <c r="L1052" s="20" t="s">
        <v>3874</v>
      </c>
      <c r="M1052" s="20" t="s">
        <v>3869</v>
      </c>
      <c r="N1052" s="20" t="s">
        <v>3875</v>
      </c>
      <c r="P1052" s="20" t="s">
        <v>3869</v>
      </c>
      <c r="Q1052" s="20" t="s">
        <v>3876</v>
      </c>
      <c r="R1052" s="20" t="s">
        <v>84</v>
      </c>
      <c r="S1052" s="20" t="s">
        <v>123</v>
      </c>
      <c r="T1052" s="20" t="s">
        <v>124</v>
      </c>
      <c r="U1052" s="20" t="s">
        <v>125</v>
      </c>
      <c r="V1052" s="20" t="s">
        <v>87</v>
      </c>
      <c r="W1052" s="20">
        <v>501</v>
      </c>
      <c r="X1052" s="20">
        <v>501</v>
      </c>
      <c r="Y1052" s="20" t="s">
        <v>3877</v>
      </c>
      <c r="Z1052" s="20">
        <v>0.5</v>
      </c>
      <c r="AA1052" s="20" t="s">
        <v>3878</v>
      </c>
      <c r="AB1052" s="20" t="s">
        <v>101</v>
      </c>
      <c r="AC1052" s="20" t="s">
        <v>102</v>
      </c>
      <c r="AD1052" s="20" t="s">
        <v>3879</v>
      </c>
      <c r="AE1052" s="20" t="s">
        <v>91</v>
      </c>
      <c r="AF1052" s="20">
        <v>0.5</v>
      </c>
      <c r="AG1052" s="20">
        <v>0</v>
      </c>
      <c r="AH1052" s="20">
        <v>1</v>
      </c>
      <c r="AI1052" s="4" t="s">
        <v>97</v>
      </c>
      <c r="AJ1052" s="20">
        <v>70</v>
      </c>
      <c r="AK1052" s="4" t="s">
        <v>129</v>
      </c>
      <c r="AL1052" s="4">
        <v>4</v>
      </c>
      <c r="AM1052" s="4" t="s">
        <v>470</v>
      </c>
      <c r="AN1052" s="4" t="s">
        <v>95</v>
      </c>
      <c r="AO1052" s="4" t="s">
        <v>131</v>
      </c>
      <c r="AP1052" s="4">
        <v>2</v>
      </c>
      <c r="AQ1052" s="20">
        <v>45000</v>
      </c>
      <c r="AR1052" s="4">
        <v>41884</v>
      </c>
      <c r="AS1052" s="20">
        <v>10227.272727272726</v>
      </c>
      <c r="AT1052" s="20">
        <v>11700</v>
      </c>
      <c r="AU1052" s="20">
        <v>1472.7272727272739</v>
      </c>
      <c r="AV1052" s="20">
        <v>0</v>
      </c>
      <c r="AW1052" s="20">
        <v>0</v>
      </c>
      <c r="AX1052" s="20" t="s">
        <v>91</v>
      </c>
      <c r="AY1052" s="20">
        <v>0</v>
      </c>
      <c r="AZ1052" s="20">
        <v>0</v>
      </c>
      <c r="BA1052" s="20">
        <v>11700</v>
      </c>
      <c r="BB1052" s="6">
        <v>41884</v>
      </c>
      <c r="BC1052" s="6">
        <v>0</v>
      </c>
      <c r="BD1052" s="6">
        <v>41887</v>
      </c>
      <c r="BE1052" s="6">
        <v>0</v>
      </c>
      <c r="BF1052" s="6">
        <v>41884</v>
      </c>
      <c r="BG1052" s="6">
        <v>41961</v>
      </c>
      <c r="BH1052" s="6">
        <v>0</v>
      </c>
      <c r="BI1052" s="6">
        <v>0</v>
      </c>
      <c r="BJ1052" s="6">
        <v>0</v>
      </c>
      <c r="BK1052" s="4">
        <v>0</v>
      </c>
      <c r="BL1052" s="4">
        <v>0</v>
      </c>
      <c r="BM1052" s="20">
        <v>70</v>
      </c>
      <c r="BN1052" s="20">
        <v>2</v>
      </c>
      <c r="BO1052" s="20">
        <v>0</v>
      </c>
      <c r="BP1052" s="20">
        <v>0</v>
      </c>
      <c r="BQ1052" s="20">
        <v>0</v>
      </c>
      <c r="BR1052" s="20">
        <v>0</v>
      </c>
      <c r="BS1052" s="20">
        <v>70</v>
      </c>
      <c r="BT1052" s="20">
        <v>819000</v>
      </c>
      <c r="BU1052" s="20">
        <v>3150000</v>
      </c>
      <c r="BV1052" s="20">
        <v>3.4965034965034962</v>
      </c>
    </row>
    <row r="1053" spans="1:74">
      <c r="A1053" s="10">
        <f t="shared" si="66"/>
        <v>0</v>
      </c>
      <c r="B1053" s="10">
        <f t="shared" si="67"/>
        <v>0</v>
      </c>
      <c r="C1053" s="12">
        <f t="shared" si="68"/>
        <v>9</v>
      </c>
      <c r="D1053" s="12">
        <f t="shared" si="69"/>
        <v>9</v>
      </c>
      <c r="E1053" s="20" t="s">
        <v>114</v>
      </c>
      <c r="F1053" s="20" t="s">
        <v>3869</v>
      </c>
      <c r="G1053" s="20" t="s">
        <v>3870</v>
      </c>
      <c r="H1053" s="20" t="s">
        <v>3871</v>
      </c>
      <c r="I1053" s="20">
        <v>1</v>
      </c>
      <c r="J1053" s="20" t="s">
        <v>3872</v>
      </c>
      <c r="K1053" s="20" t="s">
        <v>3880</v>
      </c>
      <c r="L1053" s="20" t="s">
        <v>3874</v>
      </c>
      <c r="M1053" s="20" t="s">
        <v>3869</v>
      </c>
      <c r="N1053" s="20" t="s">
        <v>3875</v>
      </c>
      <c r="P1053" s="20" t="s">
        <v>3869</v>
      </c>
      <c r="Q1053" s="20" t="s">
        <v>3876</v>
      </c>
      <c r="R1053" s="20" t="s">
        <v>84</v>
      </c>
      <c r="S1053" s="20" t="s">
        <v>123</v>
      </c>
      <c r="T1053" s="20" t="s">
        <v>124</v>
      </c>
      <c r="U1053" s="20" t="s">
        <v>125</v>
      </c>
      <c r="V1053" s="20" t="s">
        <v>87</v>
      </c>
      <c r="W1053" s="20">
        <v>501</v>
      </c>
      <c r="X1053" s="20">
        <v>501</v>
      </c>
      <c r="Y1053" s="20" t="s">
        <v>3877</v>
      </c>
      <c r="Z1053" s="20">
        <v>0.5</v>
      </c>
      <c r="AA1053" s="20" t="s">
        <v>3881</v>
      </c>
      <c r="AB1053" s="20" t="s">
        <v>101</v>
      </c>
      <c r="AC1053" s="20" t="s">
        <v>102</v>
      </c>
      <c r="AD1053" s="20" t="s">
        <v>3879</v>
      </c>
      <c r="AE1053" s="20" t="s">
        <v>91</v>
      </c>
      <c r="AF1053" s="20">
        <v>0.5</v>
      </c>
      <c r="AG1053" s="20">
        <v>0</v>
      </c>
      <c r="AH1053" s="20">
        <v>1</v>
      </c>
      <c r="AI1053" s="4" t="s">
        <v>98</v>
      </c>
      <c r="AJ1053" s="20">
        <v>100</v>
      </c>
      <c r="AK1053" s="4" t="s">
        <v>129</v>
      </c>
      <c r="AL1053" s="4">
        <v>4</v>
      </c>
      <c r="AM1053" s="4" t="s">
        <v>470</v>
      </c>
      <c r="AN1053" s="4" t="s">
        <v>95</v>
      </c>
      <c r="AO1053" s="4" t="s">
        <v>131</v>
      </c>
      <c r="AP1053" s="4">
        <v>2</v>
      </c>
      <c r="AQ1053" s="20">
        <v>45000</v>
      </c>
      <c r="AR1053" s="4">
        <v>41884</v>
      </c>
      <c r="AS1053" s="20">
        <v>10227.272727272726</v>
      </c>
      <c r="AT1053" s="20">
        <v>11700</v>
      </c>
      <c r="AU1053" s="20">
        <v>1472.7272727272739</v>
      </c>
      <c r="AV1053" s="20">
        <v>0</v>
      </c>
      <c r="AW1053" s="20">
        <v>0</v>
      </c>
      <c r="AX1053" s="20" t="s">
        <v>91</v>
      </c>
      <c r="AY1053" s="20">
        <v>0</v>
      </c>
      <c r="AZ1053" s="20">
        <v>0</v>
      </c>
      <c r="BA1053" s="20">
        <v>11700</v>
      </c>
      <c r="BB1053" s="6">
        <v>41884</v>
      </c>
      <c r="BC1053" s="6">
        <v>0</v>
      </c>
      <c r="BD1053" s="6">
        <v>41887</v>
      </c>
      <c r="BE1053" s="6">
        <v>0</v>
      </c>
      <c r="BF1053" s="6">
        <v>41884</v>
      </c>
      <c r="BG1053" s="6">
        <v>41961</v>
      </c>
      <c r="BH1053" s="6">
        <v>0</v>
      </c>
      <c r="BI1053" s="6">
        <v>0</v>
      </c>
      <c r="BJ1053" s="6">
        <v>0</v>
      </c>
      <c r="BK1053" s="4">
        <v>0</v>
      </c>
      <c r="BL1053" s="4">
        <v>0</v>
      </c>
      <c r="BM1053" s="20">
        <v>100</v>
      </c>
      <c r="BN1053" s="20">
        <v>0</v>
      </c>
      <c r="BO1053" s="20">
        <v>0</v>
      </c>
      <c r="BP1053" s="20">
        <v>0</v>
      </c>
      <c r="BQ1053" s="20">
        <v>0</v>
      </c>
      <c r="BR1053" s="20">
        <v>0</v>
      </c>
      <c r="BS1053" s="20">
        <v>100</v>
      </c>
      <c r="BT1053" s="20">
        <v>1170000</v>
      </c>
      <c r="BU1053" s="20">
        <v>4500000</v>
      </c>
      <c r="BV1053" s="20">
        <v>3.4965034965034967</v>
      </c>
    </row>
    <row r="1054" spans="1:74">
      <c r="A1054" s="10">
        <f t="shared" si="66"/>
        <v>0</v>
      </c>
      <c r="B1054" s="10">
        <f t="shared" si="67"/>
        <v>0</v>
      </c>
      <c r="C1054" s="12" t="str">
        <f t="shared" si="68"/>
        <v/>
      </c>
      <c r="D1054" s="12" t="str">
        <f t="shared" si="69"/>
        <v/>
      </c>
      <c r="E1054" s="20" t="s">
        <v>91</v>
      </c>
      <c r="F1054" s="20" t="s">
        <v>91</v>
      </c>
      <c r="G1054" s="20" t="s">
        <v>91</v>
      </c>
      <c r="H1054" s="20" t="s">
        <v>91</v>
      </c>
      <c r="I1054" s="20">
        <v>0</v>
      </c>
      <c r="J1054" s="20" t="s">
        <v>103</v>
      </c>
      <c r="K1054" s="20" t="s">
        <v>104</v>
      </c>
      <c r="L1054" s="20">
        <v>0</v>
      </c>
      <c r="M1054" s="20" t="s">
        <v>105</v>
      </c>
      <c r="N1054" s="20" t="s">
        <v>91</v>
      </c>
      <c r="O1054" s="20" t="s">
        <v>3882</v>
      </c>
      <c r="Q1054" s="20" t="s">
        <v>91</v>
      </c>
      <c r="R1054" s="20" t="s">
        <v>91</v>
      </c>
      <c r="S1054" s="20" t="s">
        <v>91</v>
      </c>
      <c r="U1054" s="20" t="s">
        <v>91</v>
      </c>
      <c r="V1054" s="20" t="s">
        <v>87</v>
      </c>
      <c r="X1054" s="20" t="s">
        <v>91</v>
      </c>
      <c r="Y1054" s="20" t="s">
        <v>91</v>
      </c>
      <c r="Z1054" s="20">
        <v>1</v>
      </c>
      <c r="AB1054" s="20" t="s">
        <v>91</v>
      </c>
      <c r="AD1054" s="20" t="s">
        <v>91</v>
      </c>
      <c r="AE1054" s="20" t="s">
        <v>91</v>
      </c>
      <c r="AF1054" s="20">
        <v>1</v>
      </c>
      <c r="AG1054" s="20">
        <v>0</v>
      </c>
      <c r="AH1054" s="20">
        <v>1</v>
      </c>
      <c r="AM1054" s="4" t="s">
        <v>91</v>
      </c>
      <c r="AP1054" s="4" t="s">
        <v>91</v>
      </c>
      <c r="AQ1054" s="20">
        <v>0</v>
      </c>
      <c r="AR1054" s="4">
        <v>0</v>
      </c>
      <c r="AS1054" s="20">
        <v>0</v>
      </c>
      <c r="AT1054" s="20">
        <v>0</v>
      </c>
      <c r="AU1054" s="20">
        <v>0</v>
      </c>
      <c r="AV1054" s="20">
        <v>0</v>
      </c>
      <c r="AW1054" s="20">
        <v>0</v>
      </c>
      <c r="AX1054" s="20" t="s">
        <v>91</v>
      </c>
      <c r="AY1054" s="20">
        <v>0</v>
      </c>
      <c r="AZ1054" s="20">
        <v>0</v>
      </c>
      <c r="BA1054" s="20">
        <v>0</v>
      </c>
      <c r="BB1054" s="6">
        <v>0</v>
      </c>
      <c r="BC1054" s="6">
        <v>0</v>
      </c>
      <c r="BD1054" s="6">
        <v>0</v>
      </c>
      <c r="BE1054" s="6">
        <v>0</v>
      </c>
      <c r="BF1054" s="6">
        <v>0</v>
      </c>
      <c r="BG1054" s="6">
        <v>0</v>
      </c>
      <c r="BH1054" s="6">
        <v>0</v>
      </c>
      <c r="BI1054" s="6">
        <v>0</v>
      </c>
      <c r="BJ1054" s="6">
        <v>0</v>
      </c>
      <c r="BK1054" s="4">
        <v>0</v>
      </c>
      <c r="BL1054" s="4">
        <v>0</v>
      </c>
      <c r="BM1054" s="20">
        <v>170</v>
      </c>
      <c r="BN1054" s="20">
        <v>2</v>
      </c>
      <c r="BO1054" s="20">
        <v>0</v>
      </c>
      <c r="BP1054" s="20">
        <v>0</v>
      </c>
      <c r="BQ1054" s="20">
        <v>0</v>
      </c>
      <c r="BR1054" s="20">
        <v>0</v>
      </c>
      <c r="BS1054" s="20">
        <v>170</v>
      </c>
      <c r="BT1054" s="20">
        <v>1989000</v>
      </c>
      <c r="BU1054" s="20">
        <v>7650000</v>
      </c>
      <c r="BV1054" s="20">
        <v>3.4965034965034967</v>
      </c>
    </row>
    <row r="1055" spans="1:74">
      <c r="A1055" s="10">
        <f t="shared" si="66"/>
        <v>0</v>
      </c>
      <c r="B1055" s="10">
        <f t="shared" si="67"/>
        <v>0</v>
      </c>
      <c r="C1055" s="12">
        <f t="shared" si="68"/>
        <v>9</v>
      </c>
      <c r="D1055" s="12">
        <f t="shared" si="69"/>
        <v>9</v>
      </c>
      <c r="E1055" s="20" t="s">
        <v>574</v>
      </c>
      <c r="F1055" s="20" t="s">
        <v>3827</v>
      </c>
      <c r="G1055" s="20" t="s">
        <v>3883</v>
      </c>
      <c r="H1055" s="20" t="s">
        <v>3884</v>
      </c>
      <c r="I1055" s="20">
        <v>1</v>
      </c>
      <c r="J1055" s="20" t="s">
        <v>3885</v>
      </c>
      <c r="K1055" s="20" t="s">
        <v>3886</v>
      </c>
      <c r="L1055" s="20" t="s">
        <v>3887</v>
      </c>
      <c r="M1055" s="20" t="s">
        <v>2667</v>
      </c>
      <c r="N1055" s="20" t="s">
        <v>3888</v>
      </c>
      <c r="P1055" s="20" t="s">
        <v>2667</v>
      </c>
      <c r="Q1055" s="20" t="s">
        <v>2674</v>
      </c>
      <c r="R1055" s="20" t="s">
        <v>84</v>
      </c>
      <c r="S1055" s="20" t="s">
        <v>123</v>
      </c>
      <c r="T1055" s="20" t="s">
        <v>1844</v>
      </c>
      <c r="U1055" s="20" t="s">
        <v>1845</v>
      </c>
      <c r="V1055" s="20" t="s">
        <v>87</v>
      </c>
      <c r="W1055" s="20">
        <v>601</v>
      </c>
      <c r="X1055" s="20">
        <v>601</v>
      </c>
      <c r="Y1055" s="20" t="s">
        <v>3889</v>
      </c>
      <c r="Z1055" s="20">
        <v>1</v>
      </c>
      <c r="AA1055" s="20" t="s">
        <v>3890</v>
      </c>
      <c r="AB1055" s="20" t="s">
        <v>248</v>
      </c>
      <c r="AC1055" s="20" t="s">
        <v>249</v>
      </c>
      <c r="AD1055" s="20" t="s">
        <v>3891</v>
      </c>
      <c r="AE1055" s="20" t="s">
        <v>400</v>
      </c>
      <c r="AF1055" s="20">
        <v>1</v>
      </c>
      <c r="AG1055" s="20">
        <v>0</v>
      </c>
      <c r="AH1055" s="20">
        <v>1</v>
      </c>
      <c r="AI1055" s="4" t="s">
        <v>647</v>
      </c>
      <c r="AJ1055" s="20">
        <v>20</v>
      </c>
      <c r="AK1055" s="4" t="s">
        <v>1848</v>
      </c>
      <c r="AL1055" s="4">
        <v>6</v>
      </c>
      <c r="AM1055" s="4" t="s">
        <v>112</v>
      </c>
      <c r="AN1055" s="4" t="s">
        <v>95</v>
      </c>
      <c r="AO1055" s="4" t="s">
        <v>96</v>
      </c>
      <c r="AP1055" s="4">
        <v>1</v>
      </c>
      <c r="AQ1055" s="20">
        <v>109000</v>
      </c>
      <c r="AR1055" s="4">
        <v>41884</v>
      </c>
      <c r="AS1055" s="20">
        <v>24772.727272727272</v>
      </c>
      <c r="AT1055" s="20">
        <v>22900</v>
      </c>
      <c r="AU1055" s="20">
        <v>-1872.7272727272721</v>
      </c>
      <c r="AV1055" s="20">
        <v>0</v>
      </c>
      <c r="AW1055" s="20">
        <v>0</v>
      </c>
      <c r="AX1055" s="20" t="s">
        <v>91</v>
      </c>
      <c r="AY1055" s="20">
        <v>0</v>
      </c>
      <c r="AZ1055" s="20">
        <v>0</v>
      </c>
      <c r="BA1055" s="20">
        <v>22900</v>
      </c>
      <c r="BB1055" s="6">
        <v>41884</v>
      </c>
      <c r="BC1055" s="6">
        <v>0</v>
      </c>
      <c r="BD1055" s="6">
        <v>41887</v>
      </c>
      <c r="BE1055" s="6">
        <v>0</v>
      </c>
      <c r="BF1055" s="6">
        <v>41884</v>
      </c>
      <c r="BG1055" s="6">
        <v>0</v>
      </c>
      <c r="BH1055" s="6">
        <v>0</v>
      </c>
      <c r="BI1055" s="6">
        <v>0</v>
      </c>
      <c r="BJ1055" s="6">
        <v>0</v>
      </c>
      <c r="BK1055" s="4">
        <v>0</v>
      </c>
      <c r="BL1055" s="4">
        <v>0</v>
      </c>
      <c r="BM1055" s="20">
        <v>20</v>
      </c>
      <c r="BN1055" s="20">
        <v>0</v>
      </c>
      <c r="BO1055" s="20">
        <v>0</v>
      </c>
      <c r="BP1055" s="20">
        <v>0</v>
      </c>
      <c r="BQ1055" s="20">
        <v>0</v>
      </c>
      <c r="BR1055" s="20">
        <v>0</v>
      </c>
      <c r="BS1055" s="20">
        <v>20</v>
      </c>
      <c r="BT1055" s="20">
        <v>458000</v>
      </c>
      <c r="BU1055" s="20">
        <v>2180000</v>
      </c>
      <c r="BV1055" s="20">
        <v>4.3271139341008329</v>
      </c>
    </row>
    <row r="1056" spans="1:74">
      <c r="A1056" s="10">
        <f t="shared" si="66"/>
        <v>0</v>
      </c>
      <c r="B1056" s="10">
        <f t="shared" si="67"/>
        <v>0</v>
      </c>
      <c r="C1056" s="12">
        <f t="shared" si="68"/>
        <v>9</v>
      </c>
      <c r="D1056" s="12">
        <f t="shared" si="69"/>
        <v>9</v>
      </c>
      <c r="E1056" s="20" t="s">
        <v>574</v>
      </c>
      <c r="F1056" s="20" t="s">
        <v>3827</v>
      </c>
      <c r="G1056" s="20" t="s">
        <v>3883</v>
      </c>
      <c r="H1056" s="20" t="s">
        <v>3892</v>
      </c>
      <c r="I1056" s="20">
        <v>2</v>
      </c>
      <c r="J1056" s="20" t="s">
        <v>3893</v>
      </c>
      <c r="K1056" s="20" t="s">
        <v>3894</v>
      </c>
      <c r="L1056" s="20" t="s">
        <v>3895</v>
      </c>
      <c r="M1056" s="20" t="s">
        <v>2667</v>
      </c>
      <c r="N1056" s="20" t="s">
        <v>3888</v>
      </c>
      <c r="P1056" s="20" t="s">
        <v>2667</v>
      </c>
      <c r="Q1056" s="20" t="s">
        <v>2674</v>
      </c>
      <c r="R1056" s="20" t="s">
        <v>84</v>
      </c>
      <c r="S1056" s="20" t="s">
        <v>123</v>
      </c>
      <c r="T1056" s="20" t="s">
        <v>1844</v>
      </c>
      <c r="U1056" s="20" t="s">
        <v>1845</v>
      </c>
      <c r="V1056" s="20" t="s">
        <v>87</v>
      </c>
      <c r="W1056" s="20">
        <v>915</v>
      </c>
      <c r="X1056" s="20">
        <v>915</v>
      </c>
      <c r="Y1056" s="20" t="s">
        <v>3896</v>
      </c>
      <c r="Z1056" s="20">
        <v>1</v>
      </c>
      <c r="AA1056" s="20" t="s">
        <v>3897</v>
      </c>
      <c r="AB1056" s="20" t="s">
        <v>248</v>
      </c>
      <c r="AC1056" s="20" t="s">
        <v>249</v>
      </c>
      <c r="AD1056" s="20" t="s">
        <v>3898</v>
      </c>
      <c r="AE1056" s="20" t="s">
        <v>400</v>
      </c>
      <c r="AF1056" s="20">
        <v>1</v>
      </c>
      <c r="AG1056" s="20">
        <v>0</v>
      </c>
      <c r="AH1056" s="20">
        <v>1</v>
      </c>
      <c r="AI1056" s="4" t="s">
        <v>645</v>
      </c>
      <c r="AJ1056" s="20">
        <v>30</v>
      </c>
      <c r="AK1056" s="4" t="s">
        <v>1848</v>
      </c>
      <c r="AL1056" s="4">
        <v>6</v>
      </c>
      <c r="AM1056" s="4" t="s">
        <v>112</v>
      </c>
      <c r="AN1056" s="4" t="s">
        <v>95</v>
      </c>
      <c r="AO1056" s="4" t="s">
        <v>96</v>
      </c>
      <c r="AP1056" s="4">
        <v>1</v>
      </c>
      <c r="AQ1056" s="20">
        <v>75000</v>
      </c>
      <c r="AR1056" s="4">
        <v>41884</v>
      </c>
      <c r="AS1056" s="20">
        <v>17045.454545454544</v>
      </c>
      <c r="AT1056" s="20">
        <v>15000</v>
      </c>
      <c r="AU1056" s="20">
        <v>-2045.4545454545441</v>
      </c>
      <c r="AV1056" s="20">
        <v>0</v>
      </c>
      <c r="AW1056" s="20">
        <v>0</v>
      </c>
      <c r="AX1056" s="20" t="s">
        <v>91</v>
      </c>
      <c r="AY1056" s="20">
        <v>0</v>
      </c>
      <c r="AZ1056" s="20">
        <v>0</v>
      </c>
      <c r="BA1056" s="20">
        <v>15000</v>
      </c>
      <c r="BB1056" s="6">
        <v>41884</v>
      </c>
      <c r="BC1056" s="6">
        <v>0</v>
      </c>
      <c r="BD1056" s="6">
        <v>41887</v>
      </c>
      <c r="BE1056" s="6">
        <v>0</v>
      </c>
      <c r="BF1056" s="6">
        <v>41884</v>
      </c>
      <c r="BG1056" s="6">
        <v>0</v>
      </c>
      <c r="BH1056" s="6">
        <v>0</v>
      </c>
      <c r="BI1056" s="6">
        <v>0</v>
      </c>
      <c r="BJ1056" s="6">
        <v>0</v>
      </c>
      <c r="BK1056" s="4">
        <v>0</v>
      </c>
      <c r="BL1056" s="4">
        <v>0</v>
      </c>
      <c r="BM1056" s="20">
        <v>30</v>
      </c>
      <c r="BN1056" s="20">
        <v>0</v>
      </c>
      <c r="BO1056" s="20">
        <v>0</v>
      </c>
      <c r="BP1056" s="20">
        <v>0</v>
      </c>
      <c r="BQ1056" s="20">
        <v>0</v>
      </c>
      <c r="BR1056" s="20">
        <v>0</v>
      </c>
      <c r="BS1056" s="20">
        <v>30</v>
      </c>
      <c r="BT1056" s="20">
        <v>450000</v>
      </c>
      <c r="BU1056" s="20">
        <v>2250000</v>
      </c>
      <c r="BV1056" s="20">
        <v>4.545454545454545</v>
      </c>
    </row>
    <row r="1057" spans="1:74">
      <c r="A1057" s="10">
        <f t="shared" si="66"/>
        <v>0</v>
      </c>
      <c r="B1057" s="10">
        <f t="shared" si="67"/>
        <v>0</v>
      </c>
      <c r="C1057" s="12">
        <f t="shared" si="68"/>
        <v>9</v>
      </c>
      <c r="D1057" s="12">
        <f t="shared" si="69"/>
        <v>9</v>
      </c>
      <c r="E1057" s="20" t="s">
        <v>574</v>
      </c>
      <c r="F1057" s="20" t="s">
        <v>3827</v>
      </c>
      <c r="G1057" s="20" t="s">
        <v>3883</v>
      </c>
      <c r="H1057" s="20" t="s">
        <v>3899</v>
      </c>
      <c r="I1057" s="20">
        <v>3</v>
      </c>
      <c r="J1057" s="20" t="s">
        <v>3900</v>
      </c>
      <c r="K1057" s="20" t="s">
        <v>3901</v>
      </c>
      <c r="L1057" s="20" t="s">
        <v>3902</v>
      </c>
      <c r="M1057" s="20" t="s">
        <v>2667</v>
      </c>
      <c r="N1057" s="20" t="s">
        <v>3888</v>
      </c>
      <c r="P1057" s="20" t="s">
        <v>2667</v>
      </c>
      <c r="Q1057" s="20" t="s">
        <v>2674</v>
      </c>
      <c r="R1057" s="20" t="s">
        <v>84</v>
      </c>
      <c r="S1057" s="20" t="s">
        <v>123</v>
      </c>
      <c r="T1057" s="20" t="s">
        <v>1844</v>
      </c>
      <c r="U1057" s="20" t="s">
        <v>1845</v>
      </c>
      <c r="V1057" s="20" t="s">
        <v>87</v>
      </c>
      <c r="W1057" s="20">
        <v>916</v>
      </c>
      <c r="X1057" s="20">
        <v>916</v>
      </c>
      <c r="Y1057" s="20" t="s">
        <v>3903</v>
      </c>
      <c r="Z1057" s="20">
        <v>1</v>
      </c>
      <c r="AA1057" s="20" t="s">
        <v>3904</v>
      </c>
      <c r="AB1057" s="20" t="s">
        <v>279</v>
      </c>
      <c r="AC1057" s="20" t="s">
        <v>280</v>
      </c>
      <c r="AD1057" s="20" t="s">
        <v>3905</v>
      </c>
      <c r="AE1057" s="20" t="s">
        <v>400</v>
      </c>
      <c r="AF1057" s="20">
        <v>1</v>
      </c>
      <c r="AG1057" s="20">
        <v>0</v>
      </c>
      <c r="AH1057" s="20">
        <v>1</v>
      </c>
      <c r="AI1057" s="4" t="s">
        <v>645</v>
      </c>
      <c r="AJ1057" s="20">
        <v>20</v>
      </c>
      <c r="AK1057" s="4" t="s">
        <v>1848</v>
      </c>
      <c r="AL1057" s="4">
        <v>6</v>
      </c>
      <c r="AM1057" s="4" t="s">
        <v>112</v>
      </c>
      <c r="AN1057" s="4" t="s">
        <v>95</v>
      </c>
      <c r="AO1057" s="4" t="s">
        <v>96</v>
      </c>
      <c r="AP1057" s="4">
        <v>1</v>
      </c>
      <c r="AQ1057" s="20">
        <v>75000</v>
      </c>
      <c r="AR1057" s="4">
        <v>41884</v>
      </c>
      <c r="AS1057" s="20">
        <v>17045.454545454544</v>
      </c>
      <c r="AT1057" s="20">
        <v>15000</v>
      </c>
      <c r="AU1057" s="20">
        <v>-2045.4545454545441</v>
      </c>
      <c r="AV1057" s="20">
        <v>0</v>
      </c>
      <c r="AW1057" s="20">
        <v>0</v>
      </c>
      <c r="AX1057" s="20" t="s">
        <v>91</v>
      </c>
      <c r="AY1057" s="20">
        <v>0</v>
      </c>
      <c r="AZ1057" s="20">
        <v>0</v>
      </c>
      <c r="BA1057" s="20">
        <v>15000</v>
      </c>
      <c r="BB1057" s="6">
        <v>41884</v>
      </c>
      <c r="BC1057" s="6">
        <v>0</v>
      </c>
      <c r="BD1057" s="6">
        <v>41887</v>
      </c>
      <c r="BE1057" s="6">
        <v>0</v>
      </c>
      <c r="BF1057" s="6">
        <v>41884</v>
      </c>
      <c r="BG1057" s="6">
        <v>0</v>
      </c>
      <c r="BH1057" s="6">
        <v>0</v>
      </c>
      <c r="BI1057" s="6">
        <v>0</v>
      </c>
      <c r="BJ1057" s="6">
        <v>0</v>
      </c>
      <c r="BK1057" s="4">
        <v>0</v>
      </c>
      <c r="BL1057" s="4">
        <v>0</v>
      </c>
      <c r="BM1057" s="20">
        <v>20</v>
      </c>
      <c r="BN1057" s="20">
        <v>0</v>
      </c>
      <c r="BO1057" s="20">
        <v>0</v>
      </c>
      <c r="BP1057" s="20">
        <v>0</v>
      </c>
      <c r="BQ1057" s="20">
        <v>0</v>
      </c>
      <c r="BR1057" s="20">
        <v>0</v>
      </c>
      <c r="BS1057" s="20">
        <v>20</v>
      </c>
      <c r="BT1057" s="20">
        <v>300000</v>
      </c>
      <c r="BU1057" s="20">
        <v>1500000</v>
      </c>
      <c r="BV1057" s="20">
        <v>4.5454545454545459</v>
      </c>
    </row>
    <row r="1058" spans="1:74">
      <c r="A1058" s="10">
        <f t="shared" si="66"/>
        <v>0</v>
      </c>
      <c r="B1058" s="10">
        <f t="shared" si="67"/>
        <v>0</v>
      </c>
      <c r="C1058" s="12">
        <f t="shared" si="68"/>
        <v>9</v>
      </c>
      <c r="D1058" s="12">
        <f t="shared" si="69"/>
        <v>9</v>
      </c>
      <c r="E1058" s="20" t="s">
        <v>574</v>
      </c>
      <c r="F1058" s="20" t="s">
        <v>3827</v>
      </c>
      <c r="G1058" s="20" t="s">
        <v>3883</v>
      </c>
      <c r="H1058" s="20" t="s">
        <v>3906</v>
      </c>
      <c r="I1058" s="20">
        <v>4</v>
      </c>
      <c r="J1058" s="20" t="s">
        <v>3907</v>
      </c>
      <c r="K1058" s="20" t="s">
        <v>3908</v>
      </c>
      <c r="L1058" s="20" t="s">
        <v>3909</v>
      </c>
      <c r="M1058" s="20" t="s">
        <v>2667</v>
      </c>
      <c r="N1058" s="20" t="s">
        <v>3833</v>
      </c>
      <c r="P1058" s="20" t="s">
        <v>2667</v>
      </c>
      <c r="Q1058" s="20" t="s">
        <v>2674</v>
      </c>
      <c r="R1058" s="20" t="s">
        <v>84</v>
      </c>
      <c r="S1058" s="20" t="s">
        <v>123</v>
      </c>
      <c r="T1058" s="20" t="s">
        <v>3834</v>
      </c>
      <c r="U1058" s="20" t="s">
        <v>3835</v>
      </c>
      <c r="V1058" s="20" t="s">
        <v>87</v>
      </c>
      <c r="W1058" s="20">
        <v>903</v>
      </c>
      <c r="X1058" s="20">
        <v>903</v>
      </c>
      <c r="Y1058" s="20" t="s">
        <v>3910</v>
      </c>
      <c r="Z1058" s="20">
        <v>1</v>
      </c>
      <c r="AA1058" s="20" t="s">
        <v>3911</v>
      </c>
      <c r="AB1058" s="20" t="s">
        <v>248</v>
      </c>
      <c r="AC1058" s="20" t="s">
        <v>249</v>
      </c>
      <c r="AD1058" s="20" t="s">
        <v>3912</v>
      </c>
      <c r="AE1058" s="20" t="s">
        <v>400</v>
      </c>
      <c r="AF1058" s="20">
        <v>1</v>
      </c>
      <c r="AG1058" s="20">
        <v>0</v>
      </c>
      <c r="AH1058" s="20">
        <v>1</v>
      </c>
      <c r="AI1058" s="4" t="s">
        <v>251</v>
      </c>
      <c r="AJ1058" s="20">
        <v>50</v>
      </c>
      <c r="AK1058" s="4" t="s">
        <v>1848</v>
      </c>
      <c r="AL1058" s="4">
        <v>6</v>
      </c>
      <c r="AM1058" s="4" t="s">
        <v>112</v>
      </c>
      <c r="AN1058" s="4" t="s">
        <v>95</v>
      </c>
      <c r="AO1058" s="4" t="s">
        <v>96</v>
      </c>
      <c r="AP1058" s="4">
        <v>1</v>
      </c>
      <c r="AQ1058" s="20">
        <v>119000</v>
      </c>
      <c r="AR1058" s="4">
        <v>41884</v>
      </c>
      <c r="AS1058" s="20">
        <v>27045.454545454544</v>
      </c>
      <c r="AT1058" s="20">
        <v>26020</v>
      </c>
      <c r="AU1058" s="20">
        <v>-1025.4545454545441</v>
      </c>
      <c r="AV1058" s="20">
        <v>0</v>
      </c>
      <c r="AW1058" s="20">
        <v>0</v>
      </c>
      <c r="AX1058" s="20" t="s">
        <v>91</v>
      </c>
      <c r="AY1058" s="20">
        <v>0</v>
      </c>
      <c r="AZ1058" s="20">
        <v>0</v>
      </c>
      <c r="BA1058" s="20">
        <v>26020</v>
      </c>
      <c r="BB1058" s="6">
        <v>41884</v>
      </c>
      <c r="BC1058" s="6">
        <v>0</v>
      </c>
      <c r="BD1058" s="6">
        <v>41887</v>
      </c>
      <c r="BE1058" s="6">
        <v>0</v>
      </c>
      <c r="BF1058" s="6">
        <v>41884</v>
      </c>
      <c r="BG1058" s="6">
        <v>0</v>
      </c>
      <c r="BH1058" s="6">
        <v>0</v>
      </c>
      <c r="BI1058" s="6">
        <v>0</v>
      </c>
      <c r="BJ1058" s="6">
        <v>0</v>
      </c>
      <c r="BK1058" s="4">
        <v>0</v>
      </c>
      <c r="BL1058" s="4">
        <v>0</v>
      </c>
      <c r="BM1058" s="20">
        <v>50</v>
      </c>
      <c r="BN1058" s="20">
        <v>0</v>
      </c>
      <c r="BO1058" s="20">
        <v>0</v>
      </c>
      <c r="BP1058" s="20">
        <v>0</v>
      </c>
      <c r="BQ1058" s="20">
        <v>0</v>
      </c>
      <c r="BR1058" s="20">
        <v>0</v>
      </c>
      <c r="BS1058" s="20">
        <v>50</v>
      </c>
      <c r="BT1058" s="20">
        <v>1301000</v>
      </c>
      <c r="BU1058" s="20">
        <v>5950000</v>
      </c>
      <c r="BV1058" s="20">
        <v>4.157640975473412</v>
      </c>
    </row>
    <row r="1059" spans="1:74">
      <c r="A1059" s="10">
        <f t="shared" si="66"/>
        <v>0</v>
      </c>
      <c r="B1059" s="10">
        <f t="shared" si="67"/>
        <v>0</v>
      </c>
      <c r="C1059" s="12">
        <f t="shared" si="68"/>
        <v>9</v>
      </c>
      <c r="D1059" s="12">
        <f t="shared" si="69"/>
        <v>9</v>
      </c>
      <c r="E1059" s="20" t="s">
        <v>574</v>
      </c>
      <c r="F1059" s="20" t="s">
        <v>3827</v>
      </c>
      <c r="G1059" s="20" t="s">
        <v>3883</v>
      </c>
      <c r="H1059" s="20" t="s">
        <v>3913</v>
      </c>
      <c r="I1059" s="20">
        <v>5</v>
      </c>
      <c r="J1059" s="20" t="s">
        <v>3914</v>
      </c>
      <c r="K1059" s="20" t="s">
        <v>3915</v>
      </c>
      <c r="L1059" s="20" t="s">
        <v>3916</v>
      </c>
      <c r="M1059" s="20" t="s">
        <v>2667</v>
      </c>
      <c r="N1059" s="20" t="s">
        <v>3833</v>
      </c>
      <c r="P1059" s="20" t="s">
        <v>2667</v>
      </c>
      <c r="Q1059" s="20" t="s">
        <v>2674</v>
      </c>
      <c r="R1059" s="20" t="s">
        <v>84</v>
      </c>
      <c r="S1059" s="20" t="s">
        <v>123</v>
      </c>
      <c r="T1059" s="20" t="s">
        <v>3834</v>
      </c>
      <c r="U1059" s="20" t="s">
        <v>3835</v>
      </c>
      <c r="V1059" s="20" t="s">
        <v>87</v>
      </c>
      <c r="W1059" s="20">
        <v>904</v>
      </c>
      <c r="X1059" s="20">
        <v>904</v>
      </c>
      <c r="Y1059" s="20" t="s">
        <v>3917</v>
      </c>
      <c r="Z1059" s="20">
        <v>1</v>
      </c>
      <c r="AA1059" s="20" t="s">
        <v>3918</v>
      </c>
      <c r="AB1059" s="20" t="s">
        <v>279</v>
      </c>
      <c r="AC1059" s="20" t="s">
        <v>280</v>
      </c>
      <c r="AD1059" s="20" t="s">
        <v>3919</v>
      </c>
      <c r="AE1059" s="20" t="s">
        <v>400</v>
      </c>
      <c r="AF1059" s="20">
        <v>1</v>
      </c>
      <c r="AG1059" s="20">
        <v>0</v>
      </c>
      <c r="AH1059" s="20">
        <v>1</v>
      </c>
      <c r="AI1059" s="4" t="s">
        <v>251</v>
      </c>
      <c r="AJ1059" s="20">
        <v>20</v>
      </c>
      <c r="AK1059" s="4" t="s">
        <v>1848</v>
      </c>
      <c r="AL1059" s="4">
        <v>6</v>
      </c>
      <c r="AM1059" s="4" t="s">
        <v>112</v>
      </c>
      <c r="AN1059" s="4" t="s">
        <v>95</v>
      </c>
      <c r="AO1059" s="4" t="s">
        <v>96</v>
      </c>
      <c r="AP1059" s="4">
        <v>1</v>
      </c>
      <c r="AQ1059" s="20">
        <v>119000</v>
      </c>
      <c r="AR1059" s="4">
        <v>41884</v>
      </c>
      <c r="AS1059" s="20">
        <v>27045.454545454544</v>
      </c>
      <c r="AT1059" s="20">
        <v>26020</v>
      </c>
      <c r="AU1059" s="20">
        <v>-1025.4545454545441</v>
      </c>
      <c r="AV1059" s="20">
        <v>0</v>
      </c>
      <c r="AW1059" s="20">
        <v>0</v>
      </c>
      <c r="AX1059" s="20" t="s">
        <v>91</v>
      </c>
      <c r="AY1059" s="20">
        <v>0</v>
      </c>
      <c r="AZ1059" s="20">
        <v>0</v>
      </c>
      <c r="BA1059" s="20">
        <v>26020</v>
      </c>
      <c r="BB1059" s="6">
        <v>41884</v>
      </c>
      <c r="BC1059" s="6">
        <v>0</v>
      </c>
      <c r="BD1059" s="6">
        <v>41887</v>
      </c>
      <c r="BE1059" s="6">
        <v>0</v>
      </c>
      <c r="BF1059" s="6">
        <v>41884</v>
      </c>
      <c r="BG1059" s="6">
        <v>0</v>
      </c>
      <c r="BH1059" s="6">
        <v>0</v>
      </c>
      <c r="BI1059" s="6">
        <v>0</v>
      </c>
      <c r="BJ1059" s="6">
        <v>0</v>
      </c>
      <c r="BK1059" s="4">
        <v>0</v>
      </c>
      <c r="BL1059" s="4">
        <v>0</v>
      </c>
      <c r="BM1059" s="20">
        <v>20</v>
      </c>
      <c r="BN1059" s="20">
        <v>0</v>
      </c>
      <c r="BO1059" s="20">
        <v>0</v>
      </c>
      <c r="BP1059" s="20">
        <v>0</v>
      </c>
      <c r="BQ1059" s="20">
        <v>0</v>
      </c>
      <c r="BR1059" s="20">
        <v>0</v>
      </c>
      <c r="BS1059" s="20">
        <v>20</v>
      </c>
      <c r="BT1059" s="20">
        <v>520400</v>
      </c>
      <c r="BU1059" s="20">
        <v>2380000</v>
      </c>
      <c r="BV1059" s="20">
        <v>4.157640975473412</v>
      </c>
    </row>
    <row r="1060" spans="1:74">
      <c r="A1060" s="10">
        <f t="shared" si="66"/>
        <v>0</v>
      </c>
      <c r="B1060" s="10">
        <f t="shared" si="67"/>
        <v>0</v>
      </c>
      <c r="C1060" s="12">
        <f t="shared" si="68"/>
        <v>9</v>
      </c>
      <c r="D1060" s="12">
        <f t="shared" si="69"/>
        <v>9</v>
      </c>
      <c r="E1060" s="20" t="s">
        <v>574</v>
      </c>
      <c r="F1060" s="20" t="s">
        <v>3827</v>
      </c>
      <c r="G1060" s="20" t="s">
        <v>3883</v>
      </c>
      <c r="H1060" s="20" t="s">
        <v>3920</v>
      </c>
      <c r="I1060" s="20">
        <v>6</v>
      </c>
      <c r="J1060" s="20" t="s">
        <v>3921</v>
      </c>
      <c r="K1060" s="20" t="s">
        <v>3922</v>
      </c>
      <c r="L1060" s="20" t="s">
        <v>3923</v>
      </c>
      <c r="M1060" s="20" t="s">
        <v>2667</v>
      </c>
      <c r="N1060" s="20" t="s">
        <v>3833</v>
      </c>
      <c r="P1060" s="20" t="s">
        <v>2667</v>
      </c>
      <c r="Q1060" s="20" t="s">
        <v>2674</v>
      </c>
      <c r="R1060" s="20" t="s">
        <v>84</v>
      </c>
      <c r="S1060" s="20" t="s">
        <v>123</v>
      </c>
      <c r="T1060" s="20" t="s">
        <v>3834</v>
      </c>
      <c r="U1060" s="20" t="s">
        <v>3835</v>
      </c>
      <c r="V1060" s="20" t="s">
        <v>87</v>
      </c>
      <c r="W1060" s="20">
        <v>905</v>
      </c>
      <c r="X1060" s="20">
        <v>905</v>
      </c>
      <c r="Y1060" s="20" t="s">
        <v>3924</v>
      </c>
      <c r="Z1060" s="20">
        <v>1</v>
      </c>
      <c r="AA1060" s="20" t="s">
        <v>3925</v>
      </c>
      <c r="AB1060" s="20" t="s">
        <v>101</v>
      </c>
      <c r="AC1060" s="20" t="s">
        <v>102</v>
      </c>
      <c r="AD1060" s="20" t="s">
        <v>3926</v>
      </c>
      <c r="AE1060" s="20" t="s">
        <v>400</v>
      </c>
      <c r="AF1060" s="20">
        <v>1</v>
      </c>
      <c r="AG1060" s="20">
        <v>0</v>
      </c>
      <c r="AH1060" s="20">
        <v>1</v>
      </c>
      <c r="AI1060" s="4" t="s">
        <v>251</v>
      </c>
      <c r="AJ1060" s="20">
        <v>30</v>
      </c>
      <c r="AK1060" s="4" t="s">
        <v>1848</v>
      </c>
      <c r="AL1060" s="4">
        <v>6</v>
      </c>
      <c r="AM1060" s="4" t="s">
        <v>112</v>
      </c>
      <c r="AN1060" s="4" t="s">
        <v>95</v>
      </c>
      <c r="AO1060" s="4" t="s">
        <v>96</v>
      </c>
      <c r="AP1060" s="4">
        <v>1</v>
      </c>
      <c r="AQ1060" s="20">
        <v>119000</v>
      </c>
      <c r="AR1060" s="4">
        <v>41884</v>
      </c>
      <c r="AS1060" s="20">
        <v>27045.454545454544</v>
      </c>
      <c r="AT1060" s="20">
        <v>26020</v>
      </c>
      <c r="AU1060" s="20">
        <v>-1025.4545454545441</v>
      </c>
      <c r="AV1060" s="20">
        <v>0</v>
      </c>
      <c r="AW1060" s="20">
        <v>0</v>
      </c>
      <c r="AX1060" s="20" t="s">
        <v>91</v>
      </c>
      <c r="AY1060" s="20">
        <v>0</v>
      </c>
      <c r="AZ1060" s="20">
        <v>0</v>
      </c>
      <c r="BA1060" s="20">
        <v>26020</v>
      </c>
      <c r="BB1060" s="6">
        <v>41884</v>
      </c>
      <c r="BC1060" s="6">
        <v>0</v>
      </c>
      <c r="BD1060" s="6">
        <v>41887</v>
      </c>
      <c r="BE1060" s="6">
        <v>0</v>
      </c>
      <c r="BF1060" s="6">
        <v>41884</v>
      </c>
      <c r="BG1060" s="6">
        <v>0</v>
      </c>
      <c r="BH1060" s="6">
        <v>0</v>
      </c>
      <c r="BI1060" s="6">
        <v>0</v>
      </c>
      <c r="BJ1060" s="6">
        <v>0</v>
      </c>
      <c r="BK1060" s="4">
        <v>0</v>
      </c>
      <c r="BL1060" s="4">
        <v>0</v>
      </c>
      <c r="BM1060" s="20">
        <v>30</v>
      </c>
      <c r="BN1060" s="20">
        <v>0</v>
      </c>
      <c r="BO1060" s="20">
        <v>0</v>
      </c>
      <c r="BP1060" s="20">
        <v>0</v>
      </c>
      <c r="BQ1060" s="20">
        <v>0</v>
      </c>
      <c r="BR1060" s="20">
        <v>0</v>
      </c>
      <c r="BS1060" s="20">
        <v>30</v>
      </c>
      <c r="BT1060" s="20">
        <v>780600</v>
      </c>
      <c r="BU1060" s="20">
        <v>3570000</v>
      </c>
      <c r="BV1060" s="20">
        <v>4.1576409754734112</v>
      </c>
    </row>
    <row r="1061" spans="1:74">
      <c r="A1061" s="10">
        <f t="shared" si="66"/>
        <v>0</v>
      </c>
      <c r="B1061" s="10">
        <f t="shared" si="67"/>
        <v>0</v>
      </c>
      <c r="C1061" s="12" t="str">
        <f t="shared" si="68"/>
        <v/>
      </c>
      <c r="D1061" s="12" t="str">
        <f t="shared" si="69"/>
        <v/>
      </c>
      <c r="E1061" s="20" t="s">
        <v>91</v>
      </c>
      <c r="F1061" s="20" t="s">
        <v>91</v>
      </c>
      <c r="G1061" s="20" t="s">
        <v>91</v>
      </c>
      <c r="H1061" s="20" t="s">
        <v>91</v>
      </c>
      <c r="I1061" s="20">
        <v>0</v>
      </c>
      <c r="J1061" s="20" t="s">
        <v>103</v>
      </c>
      <c r="K1061" s="20" t="s">
        <v>104</v>
      </c>
      <c r="L1061" s="20">
        <v>0</v>
      </c>
      <c r="M1061" s="20" t="s">
        <v>105</v>
      </c>
      <c r="N1061" s="20" t="s">
        <v>91</v>
      </c>
      <c r="O1061" s="20" t="s">
        <v>3927</v>
      </c>
      <c r="Q1061" s="20" t="s">
        <v>91</v>
      </c>
      <c r="R1061" s="20" t="s">
        <v>91</v>
      </c>
      <c r="S1061" s="20" t="s">
        <v>91</v>
      </c>
      <c r="U1061" s="20" t="s">
        <v>91</v>
      </c>
      <c r="V1061" s="20" t="s">
        <v>87</v>
      </c>
      <c r="X1061" s="20" t="s">
        <v>91</v>
      </c>
      <c r="Y1061" s="20" t="s">
        <v>91</v>
      </c>
      <c r="Z1061" s="20">
        <v>6</v>
      </c>
      <c r="AB1061" s="20" t="s">
        <v>91</v>
      </c>
      <c r="AD1061" s="20" t="s">
        <v>91</v>
      </c>
      <c r="AE1061" s="20" t="s">
        <v>91</v>
      </c>
      <c r="AF1061" s="20">
        <v>6</v>
      </c>
      <c r="AG1061" s="20">
        <v>0</v>
      </c>
      <c r="AH1061" s="20">
        <v>1</v>
      </c>
      <c r="AM1061" s="4" t="s">
        <v>91</v>
      </c>
      <c r="AP1061" s="4" t="s">
        <v>91</v>
      </c>
      <c r="AQ1061" s="20">
        <v>0</v>
      </c>
      <c r="AR1061" s="4">
        <v>0</v>
      </c>
      <c r="AS1061" s="20">
        <v>0</v>
      </c>
      <c r="AT1061" s="20">
        <v>0</v>
      </c>
      <c r="AU1061" s="20">
        <v>0</v>
      </c>
      <c r="AV1061" s="20">
        <v>0</v>
      </c>
      <c r="AW1061" s="20">
        <v>0</v>
      </c>
      <c r="AX1061" s="20" t="s">
        <v>91</v>
      </c>
      <c r="AY1061" s="20">
        <v>0</v>
      </c>
      <c r="AZ1061" s="20">
        <v>0</v>
      </c>
      <c r="BA1061" s="20">
        <v>0</v>
      </c>
      <c r="BB1061" s="6">
        <v>0</v>
      </c>
      <c r="BC1061" s="6">
        <v>0</v>
      </c>
      <c r="BD1061" s="6">
        <v>0</v>
      </c>
      <c r="BE1061" s="6">
        <v>0</v>
      </c>
      <c r="BF1061" s="6">
        <v>0</v>
      </c>
      <c r="BG1061" s="6">
        <v>0</v>
      </c>
      <c r="BH1061" s="6">
        <v>0</v>
      </c>
      <c r="BI1061" s="6">
        <v>0</v>
      </c>
      <c r="BJ1061" s="6">
        <v>0</v>
      </c>
      <c r="BK1061" s="4">
        <v>0</v>
      </c>
      <c r="BL1061" s="4">
        <v>0</v>
      </c>
      <c r="BM1061" s="20">
        <v>170</v>
      </c>
      <c r="BN1061" s="20">
        <v>0</v>
      </c>
      <c r="BO1061" s="20">
        <v>0</v>
      </c>
      <c r="BP1061" s="20">
        <v>0</v>
      </c>
      <c r="BQ1061" s="20">
        <v>0</v>
      </c>
      <c r="BR1061" s="20">
        <v>0</v>
      </c>
      <c r="BS1061" s="20">
        <v>170</v>
      </c>
      <c r="BT1061" s="20">
        <v>3810000</v>
      </c>
      <c r="BU1061" s="20">
        <v>17830000</v>
      </c>
      <c r="BV1061" s="20">
        <v>4.2543545693151987</v>
      </c>
    </row>
    <row r="1062" spans="1:74">
      <c r="A1062" s="10">
        <f t="shared" si="66"/>
        <v>0</v>
      </c>
      <c r="B1062" s="10">
        <f t="shared" si="67"/>
        <v>0</v>
      </c>
      <c r="C1062" s="12">
        <f t="shared" si="68"/>
        <v>9</v>
      </c>
      <c r="D1062" s="12">
        <f t="shared" si="69"/>
        <v>9</v>
      </c>
      <c r="E1062" s="20" t="s">
        <v>114</v>
      </c>
      <c r="F1062" s="20" t="s">
        <v>2667</v>
      </c>
      <c r="G1062" s="20" t="s">
        <v>3928</v>
      </c>
      <c r="H1062" s="20" t="s">
        <v>3929</v>
      </c>
      <c r="I1062" s="20">
        <v>1</v>
      </c>
      <c r="J1062" s="20" t="s">
        <v>3930</v>
      </c>
      <c r="K1062" s="20" t="s">
        <v>3931</v>
      </c>
      <c r="L1062" s="20" t="s">
        <v>3932</v>
      </c>
      <c r="M1062" s="20" t="s">
        <v>2667</v>
      </c>
      <c r="N1062" s="20" t="s">
        <v>2738</v>
      </c>
      <c r="P1062" s="20" t="s">
        <v>2667</v>
      </c>
      <c r="Q1062" s="20" t="s">
        <v>2674</v>
      </c>
      <c r="R1062" s="20" t="s">
        <v>84</v>
      </c>
      <c r="S1062" s="20" t="s">
        <v>123</v>
      </c>
      <c r="T1062" s="20" t="s">
        <v>1401</v>
      </c>
      <c r="U1062" s="20" t="s">
        <v>1402</v>
      </c>
      <c r="V1062" s="20" t="s">
        <v>87</v>
      </c>
      <c r="W1062" s="20">
        <v>661</v>
      </c>
      <c r="X1062" s="20">
        <v>661</v>
      </c>
      <c r="Y1062" s="20" t="s">
        <v>3933</v>
      </c>
      <c r="Z1062" s="20">
        <v>1</v>
      </c>
      <c r="AA1062" s="20" t="s">
        <v>3934</v>
      </c>
      <c r="AB1062" s="20" t="s">
        <v>248</v>
      </c>
      <c r="AC1062" s="20" t="s">
        <v>249</v>
      </c>
      <c r="AD1062" s="20" t="s">
        <v>3935</v>
      </c>
      <c r="AE1062" s="20" t="s">
        <v>400</v>
      </c>
      <c r="AF1062" s="20">
        <v>1</v>
      </c>
      <c r="AG1062" s="20">
        <v>0</v>
      </c>
      <c r="AH1062" s="20">
        <v>1</v>
      </c>
      <c r="AI1062" s="4" t="s">
        <v>251</v>
      </c>
      <c r="AJ1062" s="20">
        <v>100</v>
      </c>
      <c r="AK1062" s="4" t="s">
        <v>93</v>
      </c>
      <c r="AL1062" s="4">
        <v>15</v>
      </c>
      <c r="AM1062" s="4">
        <v>15</v>
      </c>
      <c r="AN1062" s="4" t="s">
        <v>95</v>
      </c>
      <c r="AO1062" s="4" t="s">
        <v>189</v>
      </c>
      <c r="AP1062" s="4">
        <v>1</v>
      </c>
      <c r="AQ1062" s="20">
        <v>43000</v>
      </c>
      <c r="AR1062" s="4">
        <v>41884</v>
      </c>
      <c r="AS1062" s="20">
        <v>6515.151515151515</v>
      </c>
      <c r="AT1062" s="20">
        <v>5390</v>
      </c>
      <c r="AU1062" s="20">
        <v>-1125.151515151515</v>
      </c>
      <c r="AV1062" s="20">
        <v>0</v>
      </c>
      <c r="AW1062" s="20">
        <v>0</v>
      </c>
      <c r="AX1062" s="20" t="s">
        <v>91</v>
      </c>
      <c r="AY1062" s="20">
        <v>0</v>
      </c>
      <c r="AZ1062" s="20">
        <v>0</v>
      </c>
      <c r="BA1062" s="20">
        <v>5390</v>
      </c>
      <c r="BB1062" s="6">
        <v>41884</v>
      </c>
      <c r="BC1062" s="6">
        <v>0</v>
      </c>
      <c r="BD1062" s="6">
        <v>41887</v>
      </c>
      <c r="BE1062" s="6">
        <v>0</v>
      </c>
      <c r="BF1062" s="6">
        <v>41884</v>
      </c>
      <c r="BG1062" s="6">
        <v>0</v>
      </c>
      <c r="BH1062" s="6">
        <v>0</v>
      </c>
      <c r="BI1062" s="6">
        <v>0</v>
      </c>
      <c r="BJ1062" s="6">
        <v>0</v>
      </c>
      <c r="BK1062" s="4">
        <v>0</v>
      </c>
      <c r="BL1062" s="4">
        <v>0</v>
      </c>
      <c r="BM1062" s="20">
        <v>100</v>
      </c>
      <c r="BN1062" s="20">
        <v>0</v>
      </c>
      <c r="BO1062" s="20">
        <v>0</v>
      </c>
      <c r="BP1062" s="20">
        <v>0</v>
      </c>
      <c r="BQ1062" s="20">
        <v>0</v>
      </c>
      <c r="BR1062" s="20">
        <v>0</v>
      </c>
      <c r="BS1062" s="20">
        <v>100</v>
      </c>
      <c r="BT1062" s="20">
        <v>539000</v>
      </c>
      <c r="BU1062" s="20">
        <v>4300000</v>
      </c>
      <c r="BV1062" s="20">
        <v>7.2524877719682914</v>
      </c>
    </row>
    <row r="1063" spans="1:74">
      <c r="A1063" s="10">
        <f t="shared" si="66"/>
        <v>0</v>
      </c>
      <c r="B1063" s="10">
        <f t="shared" si="67"/>
        <v>0</v>
      </c>
      <c r="C1063" s="12" t="str">
        <f t="shared" si="68"/>
        <v/>
      </c>
      <c r="D1063" s="12" t="str">
        <f t="shared" si="69"/>
        <v/>
      </c>
      <c r="E1063" s="20" t="s">
        <v>91</v>
      </c>
      <c r="F1063" s="20" t="s">
        <v>91</v>
      </c>
      <c r="G1063" s="20" t="s">
        <v>91</v>
      </c>
      <c r="H1063" s="20" t="s">
        <v>91</v>
      </c>
      <c r="I1063" s="20">
        <v>0</v>
      </c>
      <c r="J1063" s="20" t="s">
        <v>103</v>
      </c>
      <c r="K1063" s="20" t="s">
        <v>104</v>
      </c>
      <c r="L1063" s="20">
        <v>0</v>
      </c>
      <c r="M1063" s="20" t="s">
        <v>105</v>
      </c>
      <c r="N1063" s="20" t="s">
        <v>91</v>
      </c>
      <c r="O1063" s="20" t="s">
        <v>3936</v>
      </c>
      <c r="Q1063" s="20" t="s">
        <v>91</v>
      </c>
      <c r="R1063" s="20" t="s">
        <v>91</v>
      </c>
      <c r="S1063" s="20" t="s">
        <v>91</v>
      </c>
      <c r="U1063" s="20" t="s">
        <v>91</v>
      </c>
      <c r="V1063" s="20" t="s">
        <v>87</v>
      </c>
      <c r="X1063" s="20" t="s">
        <v>91</v>
      </c>
      <c r="Y1063" s="20" t="s">
        <v>91</v>
      </c>
      <c r="Z1063" s="20">
        <v>1</v>
      </c>
      <c r="AB1063" s="20" t="s">
        <v>91</v>
      </c>
      <c r="AD1063" s="20" t="s">
        <v>91</v>
      </c>
      <c r="AE1063" s="20" t="s">
        <v>91</v>
      </c>
      <c r="AF1063" s="20">
        <v>1</v>
      </c>
      <c r="AG1063" s="20">
        <v>0</v>
      </c>
      <c r="AH1063" s="20">
        <v>1</v>
      </c>
      <c r="AM1063" s="4" t="s">
        <v>91</v>
      </c>
      <c r="AP1063" s="4" t="s">
        <v>91</v>
      </c>
      <c r="AQ1063" s="20">
        <v>0</v>
      </c>
      <c r="AR1063" s="4">
        <v>0</v>
      </c>
      <c r="AS1063" s="20">
        <v>0</v>
      </c>
      <c r="AT1063" s="20">
        <v>0</v>
      </c>
      <c r="AU1063" s="20">
        <v>0</v>
      </c>
      <c r="AV1063" s="20">
        <v>0</v>
      </c>
      <c r="AW1063" s="20">
        <v>0</v>
      </c>
      <c r="AX1063" s="20" t="s">
        <v>91</v>
      </c>
      <c r="AY1063" s="20">
        <v>0</v>
      </c>
      <c r="AZ1063" s="20">
        <v>0</v>
      </c>
      <c r="BA1063" s="20">
        <v>0</v>
      </c>
      <c r="BB1063" s="6">
        <v>0</v>
      </c>
      <c r="BC1063" s="6">
        <v>0</v>
      </c>
      <c r="BD1063" s="6">
        <v>0</v>
      </c>
      <c r="BE1063" s="6">
        <v>0</v>
      </c>
      <c r="BF1063" s="6">
        <v>0</v>
      </c>
      <c r="BG1063" s="6">
        <v>0</v>
      </c>
      <c r="BH1063" s="6">
        <v>0</v>
      </c>
      <c r="BI1063" s="6">
        <v>0</v>
      </c>
      <c r="BJ1063" s="6">
        <v>0</v>
      </c>
      <c r="BK1063" s="4">
        <v>0</v>
      </c>
      <c r="BL1063" s="4">
        <v>0</v>
      </c>
      <c r="BM1063" s="20">
        <v>100</v>
      </c>
      <c r="BN1063" s="20">
        <v>0</v>
      </c>
      <c r="BO1063" s="20">
        <v>0</v>
      </c>
      <c r="BP1063" s="20">
        <v>0</v>
      </c>
      <c r="BQ1063" s="20">
        <v>0</v>
      </c>
      <c r="BR1063" s="20">
        <v>0</v>
      </c>
      <c r="BS1063" s="20">
        <v>100</v>
      </c>
      <c r="BT1063" s="20">
        <v>539000</v>
      </c>
      <c r="BU1063" s="20">
        <v>4300000</v>
      </c>
      <c r="BV1063" s="20">
        <v>7.2524877719682914</v>
      </c>
    </row>
    <row r="1064" spans="1:74">
      <c r="A1064" s="10">
        <f t="shared" si="66"/>
        <v>0</v>
      </c>
      <c r="B1064" s="10">
        <f t="shared" si="67"/>
        <v>0</v>
      </c>
      <c r="C1064" s="12">
        <f t="shared" si="68"/>
        <v>9</v>
      </c>
      <c r="D1064" s="12">
        <f t="shared" si="69"/>
        <v>9</v>
      </c>
      <c r="E1064" s="20" t="s">
        <v>424</v>
      </c>
      <c r="F1064" s="20" t="s">
        <v>2810</v>
      </c>
      <c r="G1064" s="20" t="s">
        <v>3937</v>
      </c>
      <c r="H1064" s="20" t="s">
        <v>3938</v>
      </c>
      <c r="I1064" s="20">
        <v>1</v>
      </c>
      <c r="J1064" s="20" t="s">
        <v>3939</v>
      </c>
      <c r="K1064" s="20" t="s">
        <v>3940</v>
      </c>
      <c r="L1064" s="20" t="s">
        <v>3941</v>
      </c>
      <c r="M1064" s="20" t="s">
        <v>2810</v>
      </c>
      <c r="N1064" s="20" t="s">
        <v>3026</v>
      </c>
      <c r="P1064" s="20" t="s">
        <v>2810</v>
      </c>
      <c r="Q1064" s="20" t="s">
        <v>2817</v>
      </c>
      <c r="R1064" s="20" t="s">
        <v>84</v>
      </c>
      <c r="S1064" s="20" t="s">
        <v>123</v>
      </c>
      <c r="T1064" s="20" t="s">
        <v>1401</v>
      </c>
      <c r="U1064" s="20" t="s">
        <v>1402</v>
      </c>
      <c r="V1064" s="20" t="s">
        <v>87</v>
      </c>
      <c r="W1064" s="20">
        <v>705</v>
      </c>
      <c r="X1064" s="20">
        <v>705</v>
      </c>
      <c r="Y1064" s="20" t="s">
        <v>3942</v>
      </c>
      <c r="Z1064" s="20">
        <v>1</v>
      </c>
      <c r="AA1064" s="20" t="s">
        <v>3943</v>
      </c>
      <c r="AB1064" s="20" t="s">
        <v>248</v>
      </c>
      <c r="AC1064" s="20" t="s">
        <v>249</v>
      </c>
      <c r="AD1064" s="20" t="s">
        <v>3944</v>
      </c>
      <c r="AE1064" s="20" t="s">
        <v>400</v>
      </c>
      <c r="AF1064" s="20">
        <v>1</v>
      </c>
      <c r="AG1064" s="20">
        <v>0</v>
      </c>
      <c r="AH1064" s="20">
        <v>1</v>
      </c>
      <c r="AI1064" s="4" t="s">
        <v>97</v>
      </c>
      <c r="AJ1064" s="20">
        <v>100</v>
      </c>
      <c r="AK1064" s="4" t="s">
        <v>93</v>
      </c>
      <c r="AL1064" s="4">
        <v>16</v>
      </c>
      <c r="AM1064" s="4">
        <v>16</v>
      </c>
      <c r="AN1064" s="4" t="s">
        <v>95</v>
      </c>
      <c r="AO1064" s="4" t="s">
        <v>189</v>
      </c>
      <c r="AP1064" s="4">
        <v>1</v>
      </c>
      <c r="AQ1064" s="20">
        <v>43000</v>
      </c>
      <c r="AR1064" s="4">
        <v>41884</v>
      </c>
      <c r="AS1064" s="20">
        <v>6515.151515151515</v>
      </c>
      <c r="AT1064" s="20">
        <v>6064</v>
      </c>
      <c r="AU1064" s="20">
        <v>-451.15151515151501</v>
      </c>
      <c r="AV1064" s="20">
        <v>0</v>
      </c>
      <c r="AW1064" s="20">
        <v>0</v>
      </c>
      <c r="AX1064" s="20" t="s">
        <v>91</v>
      </c>
      <c r="AY1064" s="20">
        <v>0</v>
      </c>
      <c r="AZ1064" s="20">
        <v>0</v>
      </c>
      <c r="BA1064" s="20">
        <v>6064</v>
      </c>
      <c r="BB1064" s="6">
        <v>41884</v>
      </c>
      <c r="BC1064" s="6">
        <v>0</v>
      </c>
      <c r="BD1064" s="6">
        <v>41887</v>
      </c>
      <c r="BE1064" s="6">
        <v>0</v>
      </c>
      <c r="BF1064" s="6">
        <v>41884</v>
      </c>
      <c r="BG1064" s="6">
        <v>0</v>
      </c>
      <c r="BH1064" s="6">
        <v>0</v>
      </c>
      <c r="BI1064" s="6">
        <v>0</v>
      </c>
      <c r="BJ1064" s="6">
        <v>0</v>
      </c>
      <c r="BK1064" s="4">
        <v>0</v>
      </c>
      <c r="BL1064" s="4">
        <v>0</v>
      </c>
      <c r="BM1064" s="20">
        <v>100</v>
      </c>
      <c r="BN1064" s="20">
        <v>0</v>
      </c>
      <c r="BO1064" s="20">
        <v>0</v>
      </c>
      <c r="BP1064" s="20">
        <v>0</v>
      </c>
      <c r="BQ1064" s="20">
        <v>0</v>
      </c>
      <c r="BR1064" s="20">
        <v>0</v>
      </c>
      <c r="BS1064" s="20">
        <v>100</v>
      </c>
      <c r="BT1064" s="20">
        <v>606400</v>
      </c>
      <c r="BU1064" s="20">
        <v>4300000</v>
      </c>
      <c r="BV1064" s="20">
        <v>6.4463900215879111</v>
      </c>
    </row>
    <row r="1065" spans="1:74">
      <c r="A1065" s="10">
        <f t="shared" si="66"/>
        <v>0</v>
      </c>
      <c r="B1065" s="10">
        <f t="shared" si="67"/>
        <v>0</v>
      </c>
      <c r="C1065" s="12" t="str">
        <f t="shared" si="68"/>
        <v/>
      </c>
      <c r="D1065" s="12" t="str">
        <f t="shared" si="69"/>
        <v/>
      </c>
      <c r="E1065" s="20" t="s">
        <v>91</v>
      </c>
      <c r="F1065" s="20" t="s">
        <v>91</v>
      </c>
      <c r="G1065" s="20" t="s">
        <v>91</v>
      </c>
      <c r="H1065" s="20" t="s">
        <v>91</v>
      </c>
      <c r="I1065" s="20">
        <v>0</v>
      </c>
      <c r="J1065" s="20" t="s">
        <v>103</v>
      </c>
      <c r="K1065" s="20" t="s">
        <v>104</v>
      </c>
      <c r="L1065" s="20">
        <v>0</v>
      </c>
      <c r="M1065" s="20" t="s">
        <v>105</v>
      </c>
      <c r="N1065" s="20" t="s">
        <v>91</v>
      </c>
      <c r="O1065" s="20" t="s">
        <v>3945</v>
      </c>
      <c r="Q1065" s="20" t="s">
        <v>91</v>
      </c>
      <c r="R1065" s="20" t="s">
        <v>91</v>
      </c>
      <c r="S1065" s="20" t="s">
        <v>91</v>
      </c>
      <c r="U1065" s="20" t="s">
        <v>91</v>
      </c>
      <c r="V1065" s="20" t="s">
        <v>87</v>
      </c>
      <c r="X1065" s="20" t="s">
        <v>91</v>
      </c>
      <c r="Y1065" s="20" t="s">
        <v>91</v>
      </c>
      <c r="Z1065" s="20">
        <v>1</v>
      </c>
      <c r="AB1065" s="20" t="s">
        <v>91</v>
      </c>
      <c r="AD1065" s="20" t="s">
        <v>91</v>
      </c>
      <c r="AE1065" s="20" t="s">
        <v>91</v>
      </c>
      <c r="AF1065" s="20">
        <v>1</v>
      </c>
      <c r="AG1065" s="20">
        <v>0</v>
      </c>
      <c r="AH1065" s="20">
        <v>1</v>
      </c>
      <c r="AM1065" s="4" t="s">
        <v>91</v>
      </c>
      <c r="AP1065" s="4" t="s">
        <v>91</v>
      </c>
      <c r="AQ1065" s="20">
        <v>0</v>
      </c>
      <c r="AR1065" s="4">
        <v>0</v>
      </c>
      <c r="AS1065" s="20">
        <v>0</v>
      </c>
      <c r="AT1065" s="20">
        <v>0</v>
      </c>
      <c r="AU1065" s="20">
        <v>0</v>
      </c>
      <c r="AV1065" s="20">
        <v>0</v>
      </c>
      <c r="AW1065" s="20">
        <v>0</v>
      </c>
      <c r="AX1065" s="20" t="s">
        <v>91</v>
      </c>
      <c r="AY1065" s="20">
        <v>0</v>
      </c>
      <c r="AZ1065" s="20">
        <v>0</v>
      </c>
      <c r="BA1065" s="20">
        <v>0</v>
      </c>
      <c r="BB1065" s="6">
        <v>0</v>
      </c>
      <c r="BC1065" s="6">
        <v>0</v>
      </c>
      <c r="BD1065" s="6">
        <v>0</v>
      </c>
      <c r="BE1065" s="6">
        <v>0</v>
      </c>
      <c r="BF1065" s="6">
        <v>0</v>
      </c>
      <c r="BG1065" s="6">
        <v>0</v>
      </c>
      <c r="BH1065" s="6">
        <v>0</v>
      </c>
      <c r="BI1065" s="6">
        <v>0</v>
      </c>
      <c r="BJ1065" s="6">
        <v>0</v>
      </c>
      <c r="BK1065" s="4">
        <v>0</v>
      </c>
      <c r="BL1065" s="4">
        <v>0</v>
      </c>
      <c r="BM1065" s="20">
        <v>100</v>
      </c>
      <c r="BN1065" s="20">
        <v>0</v>
      </c>
      <c r="BO1065" s="20">
        <v>0</v>
      </c>
      <c r="BP1065" s="20">
        <v>0</v>
      </c>
      <c r="BQ1065" s="20">
        <v>0</v>
      </c>
      <c r="BR1065" s="20">
        <v>0</v>
      </c>
      <c r="BS1065" s="20">
        <v>100</v>
      </c>
      <c r="BT1065" s="20">
        <v>606400</v>
      </c>
      <c r="BU1065" s="20">
        <v>4300000</v>
      </c>
      <c r="BV1065" s="20">
        <v>6.4463900215879111</v>
      </c>
    </row>
    <row r="1066" spans="1:74">
      <c r="A1066" s="10">
        <f t="shared" si="66"/>
        <v>0</v>
      </c>
      <c r="B1066" s="10">
        <f t="shared" si="67"/>
        <v>0</v>
      </c>
      <c r="C1066" s="12">
        <f t="shared" si="68"/>
        <v>9</v>
      </c>
      <c r="D1066" s="12">
        <f t="shared" si="69"/>
        <v>9</v>
      </c>
      <c r="E1066" s="20" t="s">
        <v>574</v>
      </c>
      <c r="F1066" s="20" t="s">
        <v>3089</v>
      </c>
      <c r="G1066" s="20" t="s">
        <v>3948</v>
      </c>
      <c r="H1066" s="20" t="s">
        <v>3949</v>
      </c>
      <c r="I1066" s="20">
        <v>1</v>
      </c>
      <c r="J1066" s="20" t="s">
        <v>3950</v>
      </c>
      <c r="K1066" s="20" t="s">
        <v>3951</v>
      </c>
      <c r="L1066" s="20" t="s">
        <v>3952</v>
      </c>
      <c r="M1066" s="20" t="s">
        <v>2667</v>
      </c>
      <c r="N1066" s="20" t="s">
        <v>3095</v>
      </c>
      <c r="P1066" s="20" t="s">
        <v>2667</v>
      </c>
      <c r="Q1066" s="20" t="s">
        <v>2674</v>
      </c>
      <c r="R1066" s="20" t="s">
        <v>84</v>
      </c>
      <c r="S1066" s="20">
        <v>5</v>
      </c>
      <c r="T1066" s="20" t="s">
        <v>860</v>
      </c>
      <c r="U1066" s="20" t="s">
        <v>861</v>
      </c>
      <c r="V1066" s="20" t="s">
        <v>87</v>
      </c>
      <c r="W1066" s="20">
        <v>804</v>
      </c>
      <c r="X1066" s="20">
        <v>804</v>
      </c>
      <c r="Y1066" s="20" t="s">
        <v>3953</v>
      </c>
      <c r="Z1066" s="20">
        <v>0.33333333333333331</v>
      </c>
      <c r="AA1066" s="20" t="s">
        <v>3954</v>
      </c>
      <c r="AB1066" s="20" t="s">
        <v>248</v>
      </c>
      <c r="AC1066" s="20" t="s">
        <v>249</v>
      </c>
      <c r="AD1066" s="20" t="s">
        <v>3955</v>
      </c>
      <c r="AE1066" s="20" t="s">
        <v>400</v>
      </c>
      <c r="AF1066" s="20">
        <v>0.33333333333333331</v>
      </c>
      <c r="AG1066" s="20">
        <v>0</v>
      </c>
      <c r="AH1066" s="20">
        <v>1</v>
      </c>
      <c r="AI1066" s="4" t="s">
        <v>643</v>
      </c>
      <c r="AJ1066" s="20">
        <v>80</v>
      </c>
      <c r="AK1066" s="4" t="s">
        <v>679</v>
      </c>
      <c r="AL1066" s="4">
        <v>7</v>
      </c>
      <c r="AM1066" s="4" t="s">
        <v>514</v>
      </c>
      <c r="AN1066" s="4" t="s">
        <v>95</v>
      </c>
      <c r="AO1066" s="4" t="s">
        <v>680</v>
      </c>
      <c r="AP1066" s="4">
        <v>1</v>
      </c>
      <c r="AQ1066" s="20">
        <v>129000</v>
      </c>
      <c r="AR1066" s="4">
        <v>41898</v>
      </c>
      <c r="AS1066" s="20">
        <v>26060.60606060606</v>
      </c>
      <c r="AT1066" s="20">
        <v>0</v>
      </c>
      <c r="AU1066" s="20">
        <v>-26060.60606060606</v>
      </c>
      <c r="AV1066" s="20">
        <v>0</v>
      </c>
      <c r="AW1066" s="20">
        <v>0</v>
      </c>
      <c r="AX1066" s="20" t="s">
        <v>91</v>
      </c>
      <c r="AY1066" s="20">
        <v>0</v>
      </c>
      <c r="AZ1066" s="20">
        <v>0</v>
      </c>
      <c r="BA1066" s="20">
        <v>0</v>
      </c>
      <c r="BB1066" s="6">
        <v>41898</v>
      </c>
      <c r="BC1066" s="6">
        <v>0</v>
      </c>
      <c r="BD1066" s="6">
        <v>41901</v>
      </c>
      <c r="BE1066" s="6">
        <v>0</v>
      </c>
      <c r="BF1066" s="6">
        <v>41899</v>
      </c>
      <c r="BG1066" s="6">
        <v>0</v>
      </c>
      <c r="BH1066" s="6">
        <v>0</v>
      </c>
      <c r="BI1066" s="6">
        <v>0</v>
      </c>
      <c r="BJ1066" s="6">
        <v>0</v>
      </c>
      <c r="BK1066" s="4">
        <v>0</v>
      </c>
      <c r="BL1066" s="4">
        <v>0</v>
      </c>
      <c r="BM1066" s="20">
        <v>80</v>
      </c>
      <c r="BN1066" s="20">
        <v>0</v>
      </c>
      <c r="BO1066" s="20">
        <v>0</v>
      </c>
      <c r="BP1066" s="20">
        <v>0</v>
      </c>
      <c r="BQ1066" s="20">
        <v>0</v>
      </c>
      <c r="BR1066" s="20">
        <v>0</v>
      </c>
      <c r="BS1066" s="20">
        <v>80</v>
      </c>
      <c r="BT1066" s="20">
        <v>2084848.4848484849</v>
      </c>
      <c r="BU1066" s="20">
        <v>10320000</v>
      </c>
      <c r="BV1066" s="20">
        <v>4.5</v>
      </c>
    </row>
    <row r="1067" spans="1:74">
      <c r="A1067" s="10">
        <f t="shared" si="66"/>
        <v>0</v>
      </c>
      <c r="B1067" s="10">
        <f t="shared" si="67"/>
        <v>0</v>
      </c>
      <c r="C1067" s="12">
        <f t="shared" si="68"/>
        <v>9</v>
      </c>
      <c r="D1067" s="12">
        <f t="shared" si="69"/>
        <v>9</v>
      </c>
      <c r="E1067" s="20" t="s">
        <v>574</v>
      </c>
      <c r="F1067" s="20" t="s">
        <v>3089</v>
      </c>
      <c r="G1067" s="20" t="s">
        <v>3948</v>
      </c>
      <c r="H1067" s="20" t="s">
        <v>3949</v>
      </c>
      <c r="I1067" s="20">
        <v>1</v>
      </c>
      <c r="J1067" s="20" t="s">
        <v>3950</v>
      </c>
      <c r="K1067" s="20" t="s">
        <v>3956</v>
      </c>
      <c r="L1067" s="20" t="s">
        <v>3952</v>
      </c>
      <c r="M1067" s="20" t="s">
        <v>2667</v>
      </c>
      <c r="N1067" s="20" t="s">
        <v>3095</v>
      </c>
      <c r="P1067" s="20" t="s">
        <v>2667</v>
      </c>
      <c r="Q1067" s="20" t="s">
        <v>2674</v>
      </c>
      <c r="R1067" s="20" t="s">
        <v>84</v>
      </c>
      <c r="S1067" s="20">
        <v>5</v>
      </c>
      <c r="T1067" s="20" t="s">
        <v>860</v>
      </c>
      <c r="U1067" s="20" t="s">
        <v>861</v>
      </c>
      <c r="V1067" s="20" t="s">
        <v>87</v>
      </c>
      <c r="W1067" s="20">
        <v>804</v>
      </c>
      <c r="X1067" s="20">
        <v>804</v>
      </c>
      <c r="Y1067" s="20" t="s">
        <v>3953</v>
      </c>
      <c r="Z1067" s="20">
        <v>0.33333333333333331</v>
      </c>
      <c r="AA1067" s="20" t="s">
        <v>3957</v>
      </c>
      <c r="AB1067" s="20" t="s">
        <v>248</v>
      </c>
      <c r="AC1067" s="20" t="s">
        <v>249</v>
      </c>
      <c r="AD1067" s="20" t="s">
        <v>3955</v>
      </c>
      <c r="AE1067" s="20" t="s">
        <v>400</v>
      </c>
      <c r="AF1067" s="20">
        <v>0.33333333333333331</v>
      </c>
      <c r="AG1067" s="20">
        <v>0</v>
      </c>
      <c r="AH1067" s="20">
        <v>1</v>
      </c>
      <c r="AI1067" s="4" t="s">
        <v>647</v>
      </c>
      <c r="AJ1067" s="20">
        <v>80</v>
      </c>
      <c r="AK1067" s="4" t="s">
        <v>679</v>
      </c>
      <c r="AL1067" s="4">
        <v>7</v>
      </c>
      <c r="AM1067" s="4" t="s">
        <v>514</v>
      </c>
      <c r="AN1067" s="4" t="s">
        <v>95</v>
      </c>
      <c r="AO1067" s="4" t="s">
        <v>680</v>
      </c>
      <c r="AP1067" s="4">
        <v>1</v>
      </c>
      <c r="AQ1067" s="20">
        <v>129000</v>
      </c>
      <c r="AR1067" s="4">
        <v>41898</v>
      </c>
      <c r="AS1067" s="20">
        <v>26060.60606060606</v>
      </c>
      <c r="AT1067" s="20">
        <v>0</v>
      </c>
      <c r="AU1067" s="20">
        <v>-26060.60606060606</v>
      </c>
      <c r="AV1067" s="20">
        <v>0</v>
      </c>
      <c r="AW1067" s="20">
        <v>0</v>
      </c>
      <c r="AX1067" s="20" t="s">
        <v>91</v>
      </c>
      <c r="AY1067" s="20">
        <v>0</v>
      </c>
      <c r="AZ1067" s="20">
        <v>0</v>
      </c>
      <c r="BA1067" s="20">
        <v>0</v>
      </c>
      <c r="BB1067" s="6">
        <v>41898</v>
      </c>
      <c r="BC1067" s="6">
        <v>0</v>
      </c>
      <c r="BD1067" s="6">
        <v>41901</v>
      </c>
      <c r="BE1067" s="6">
        <v>0</v>
      </c>
      <c r="BF1067" s="6">
        <v>41899</v>
      </c>
      <c r="BG1067" s="6">
        <v>0</v>
      </c>
      <c r="BH1067" s="6">
        <v>0</v>
      </c>
      <c r="BI1067" s="6">
        <v>0</v>
      </c>
      <c r="BJ1067" s="6">
        <v>0</v>
      </c>
      <c r="BK1067" s="4">
        <v>0</v>
      </c>
      <c r="BL1067" s="4">
        <v>0</v>
      </c>
      <c r="BM1067" s="20">
        <v>80</v>
      </c>
      <c r="BN1067" s="20">
        <v>0</v>
      </c>
      <c r="BO1067" s="20">
        <v>0</v>
      </c>
      <c r="BP1067" s="20">
        <v>0</v>
      </c>
      <c r="BQ1067" s="20">
        <v>0</v>
      </c>
      <c r="BR1067" s="20">
        <v>0</v>
      </c>
      <c r="BS1067" s="20">
        <v>80</v>
      </c>
      <c r="BT1067" s="20">
        <v>2084848.4848484849</v>
      </c>
      <c r="BU1067" s="20">
        <v>10320000</v>
      </c>
      <c r="BV1067" s="20">
        <v>4.5</v>
      </c>
    </row>
    <row r="1068" spans="1:74">
      <c r="A1068" s="10">
        <f t="shared" si="66"/>
        <v>0</v>
      </c>
      <c r="B1068" s="10">
        <f t="shared" si="67"/>
        <v>0</v>
      </c>
      <c r="C1068" s="12">
        <f t="shared" si="68"/>
        <v>9</v>
      </c>
      <c r="D1068" s="12">
        <f t="shared" si="69"/>
        <v>9</v>
      </c>
      <c r="E1068" s="20" t="s">
        <v>574</v>
      </c>
      <c r="F1068" s="20" t="s">
        <v>3089</v>
      </c>
      <c r="G1068" s="20" t="s">
        <v>3948</v>
      </c>
      <c r="H1068" s="20" t="s">
        <v>3949</v>
      </c>
      <c r="I1068" s="20">
        <v>1</v>
      </c>
      <c r="J1068" s="20" t="s">
        <v>3950</v>
      </c>
      <c r="K1068" s="20" t="s">
        <v>3958</v>
      </c>
      <c r="L1068" s="20" t="s">
        <v>3952</v>
      </c>
      <c r="M1068" s="20" t="s">
        <v>2667</v>
      </c>
      <c r="N1068" s="20" t="s">
        <v>3095</v>
      </c>
      <c r="P1068" s="20" t="s">
        <v>2667</v>
      </c>
      <c r="Q1068" s="20" t="s">
        <v>2674</v>
      </c>
      <c r="R1068" s="20" t="s">
        <v>84</v>
      </c>
      <c r="S1068" s="20">
        <v>5</v>
      </c>
      <c r="T1068" s="20" t="s">
        <v>860</v>
      </c>
      <c r="U1068" s="20" t="s">
        <v>861</v>
      </c>
      <c r="V1068" s="20" t="s">
        <v>87</v>
      </c>
      <c r="W1068" s="20">
        <v>804</v>
      </c>
      <c r="X1068" s="20">
        <v>804</v>
      </c>
      <c r="Y1068" s="20" t="s">
        <v>3953</v>
      </c>
      <c r="Z1068" s="20">
        <v>0.33333333333333331</v>
      </c>
      <c r="AA1068" s="20" t="s">
        <v>3959</v>
      </c>
      <c r="AB1068" s="20" t="s">
        <v>248</v>
      </c>
      <c r="AC1068" s="20" t="s">
        <v>249</v>
      </c>
      <c r="AD1068" s="20" t="s">
        <v>3955</v>
      </c>
      <c r="AE1068" s="20" t="s">
        <v>400</v>
      </c>
      <c r="AF1068" s="20">
        <v>0.33333333333333331</v>
      </c>
      <c r="AG1068" s="20">
        <v>0</v>
      </c>
      <c r="AH1068" s="20">
        <v>1</v>
      </c>
      <c r="AI1068" s="4" t="s">
        <v>651</v>
      </c>
      <c r="AJ1068" s="20">
        <v>80</v>
      </c>
      <c r="AK1068" s="4" t="s">
        <v>679</v>
      </c>
      <c r="AL1068" s="4">
        <v>7</v>
      </c>
      <c r="AM1068" s="4" t="s">
        <v>514</v>
      </c>
      <c r="AN1068" s="4" t="s">
        <v>95</v>
      </c>
      <c r="AO1068" s="4" t="s">
        <v>680</v>
      </c>
      <c r="AP1068" s="4">
        <v>1</v>
      </c>
      <c r="AQ1068" s="20">
        <v>129000</v>
      </c>
      <c r="AR1068" s="4">
        <v>41898</v>
      </c>
      <c r="AS1068" s="20">
        <v>26060.60606060606</v>
      </c>
      <c r="AT1068" s="20">
        <v>0</v>
      </c>
      <c r="AU1068" s="20">
        <v>-26060.60606060606</v>
      </c>
      <c r="AV1068" s="20">
        <v>0</v>
      </c>
      <c r="AW1068" s="20">
        <v>0</v>
      </c>
      <c r="AX1068" s="20" t="s">
        <v>91</v>
      </c>
      <c r="AY1068" s="20">
        <v>0</v>
      </c>
      <c r="AZ1068" s="20">
        <v>0</v>
      </c>
      <c r="BA1068" s="20">
        <v>0</v>
      </c>
      <c r="BB1068" s="6">
        <v>41898</v>
      </c>
      <c r="BC1068" s="6">
        <v>0</v>
      </c>
      <c r="BD1068" s="6">
        <v>41901</v>
      </c>
      <c r="BE1068" s="6">
        <v>0</v>
      </c>
      <c r="BF1068" s="6">
        <v>41899</v>
      </c>
      <c r="BG1068" s="6">
        <v>0</v>
      </c>
      <c r="BH1068" s="6">
        <v>0</v>
      </c>
      <c r="BI1068" s="6">
        <v>0</v>
      </c>
      <c r="BJ1068" s="6">
        <v>0</v>
      </c>
      <c r="BK1068" s="4">
        <v>0</v>
      </c>
      <c r="BL1068" s="4">
        <v>0</v>
      </c>
      <c r="BM1068" s="20">
        <v>80</v>
      </c>
      <c r="BN1068" s="20">
        <v>0</v>
      </c>
      <c r="BO1068" s="20">
        <v>0</v>
      </c>
      <c r="BP1068" s="20">
        <v>0</v>
      </c>
      <c r="BQ1068" s="20">
        <v>0</v>
      </c>
      <c r="BR1068" s="20">
        <v>0</v>
      </c>
      <c r="BS1068" s="20">
        <v>80</v>
      </c>
      <c r="BT1068" s="20">
        <v>2084848.4848484849</v>
      </c>
      <c r="BU1068" s="20">
        <v>10320000</v>
      </c>
      <c r="BV1068" s="20">
        <v>4.5</v>
      </c>
    </row>
    <row r="1069" spans="1:74">
      <c r="A1069" s="10">
        <f t="shared" si="66"/>
        <v>0</v>
      </c>
      <c r="B1069" s="10">
        <f t="shared" si="67"/>
        <v>0</v>
      </c>
      <c r="C1069" s="12">
        <f t="shared" si="68"/>
        <v>9</v>
      </c>
      <c r="D1069" s="12">
        <f t="shared" si="69"/>
        <v>9</v>
      </c>
      <c r="E1069" s="20" t="s">
        <v>574</v>
      </c>
      <c r="F1069" s="20" t="s">
        <v>3089</v>
      </c>
      <c r="G1069" s="20" t="s">
        <v>3948</v>
      </c>
      <c r="H1069" s="20" t="s">
        <v>3960</v>
      </c>
      <c r="I1069" s="20">
        <v>2</v>
      </c>
      <c r="J1069" s="20" t="s">
        <v>3961</v>
      </c>
      <c r="K1069" s="20" t="s">
        <v>3962</v>
      </c>
      <c r="L1069" s="20" t="s">
        <v>3963</v>
      </c>
      <c r="M1069" s="20" t="s">
        <v>2667</v>
      </c>
      <c r="N1069" s="20" t="s">
        <v>3095</v>
      </c>
      <c r="P1069" s="20" t="s">
        <v>2667</v>
      </c>
      <c r="Q1069" s="20" t="s">
        <v>2674</v>
      </c>
      <c r="R1069" s="20" t="s">
        <v>84</v>
      </c>
      <c r="S1069" s="20">
        <v>5</v>
      </c>
      <c r="T1069" s="20" t="s">
        <v>860</v>
      </c>
      <c r="U1069" s="20" t="s">
        <v>861</v>
      </c>
      <c r="V1069" s="20" t="s">
        <v>87</v>
      </c>
      <c r="W1069" s="20">
        <v>823</v>
      </c>
      <c r="X1069" s="20">
        <v>823</v>
      </c>
      <c r="Y1069" s="20" t="s">
        <v>3964</v>
      </c>
      <c r="Z1069" s="20">
        <v>0.25</v>
      </c>
      <c r="AA1069" s="20" t="s">
        <v>3965</v>
      </c>
      <c r="AB1069" s="20" t="s">
        <v>248</v>
      </c>
      <c r="AC1069" s="20" t="s">
        <v>249</v>
      </c>
      <c r="AD1069" s="20" t="s">
        <v>3966</v>
      </c>
      <c r="AE1069" s="20" t="s">
        <v>400</v>
      </c>
      <c r="AF1069" s="20">
        <v>0.25</v>
      </c>
      <c r="AG1069" s="20">
        <v>0</v>
      </c>
      <c r="AH1069" s="20">
        <v>1</v>
      </c>
      <c r="AI1069" s="4" t="s">
        <v>643</v>
      </c>
      <c r="AJ1069" s="20">
        <v>75</v>
      </c>
      <c r="AK1069" s="4" t="s">
        <v>679</v>
      </c>
      <c r="AL1069" s="4">
        <v>7</v>
      </c>
      <c r="AM1069" s="4" t="s">
        <v>514</v>
      </c>
      <c r="AN1069" s="4" t="s">
        <v>95</v>
      </c>
      <c r="AO1069" s="4" t="s">
        <v>680</v>
      </c>
      <c r="AP1069" s="4">
        <v>1</v>
      </c>
      <c r="AQ1069" s="20">
        <v>119000</v>
      </c>
      <c r="AR1069" s="4">
        <v>41898</v>
      </c>
      <c r="AS1069" s="20">
        <v>24040.404040404039</v>
      </c>
      <c r="AT1069" s="20">
        <v>0</v>
      </c>
      <c r="AU1069" s="20">
        <v>-24040.404040404039</v>
      </c>
      <c r="AV1069" s="20">
        <v>0</v>
      </c>
      <c r="AW1069" s="20">
        <v>0</v>
      </c>
      <c r="AX1069" s="20" t="s">
        <v>91</v>
      </c>
      <c r="AY1069" s="20">
        <v>0</v>
      </c>
      <c r="AZ1069" s="20">
        <v>0</v>
      </c>
      <c r="BA1069" s="20">
        <v>0</v>
      </c>
      <c r="BB1069" s="6">
        <v>41898</v>
      </c>
      <c r="BC1069" s="6">
        <v>0</v>
      </c>
      <c r="BD1069" s="6">
        <v>41901</v>
      </c>
      <c r="BE1069" s="6">
        <v>0</v>
      </c>
      <c r="BF1069" s="6">
        <v>41899</v>
      </c>
      <c r="BG1069" s="6">
        <v>0</v>
      </c>
      <c r="BH1069" s="6">
        <v>0</v>
      </c>
      <c r="BI1069" s="6">
        <v>0</v>
      </c>
      <c r="BJ1069" s="6">
        <v>0</v>
      </c>
      <c r="BK1069" s="4">
        <v>0</v>
      </c>
      <c r="BL1069" s="4">
        <v>0</v>
      </c>
      <c r="BM1069" s="20">
        <v>75</v>
      </c>
      <c r="BN1069" s="20">
        <v>0</v>
      </c>
      <c r="BO1069" s="20">
        <v>0</v>
      </c>
      <c r="BP1069" s="20">
        <v>0</v>
      </c>
      <c r="BQ1069" s="20">
        <v>0</v>
      </c>
      <c r="BR1069" s="20">
        <v>0</v>
      </c>
      <c r="BS1069" s="20">
        <v>75</v>
      </c>
      <c r="BT1069" s="20">
        <v>1803030.303030303</v>
      </c>
      <c r="BU1069" s="20">
        <v>8925000</v>
      </c>
      <c r="BV1069" s="20">
        <v>4.5</v>
      </c>
    </row>
    <row r="1070" spans="1:74">
      <c r="A1070" s="10">
        <f t="shared" si="66"/>
        <v>0</v>
      </c>
      <c r="B1070" s="10">
        <f t="shared" si="67"/>
        <v>0</v>
      </c>
      <c r="C1070" s="12">
        <f t="shared" si="68"/>
        <v>9</v>
      </c>
      <c r="D1070" s="12">
        <f t="shared" si="69"/>
        <v>9</v>
      </c>
      <c r="E1070" s="20" t="s">
        <v>574</v>
      </c>
      <c r="F1070" s="20" t="s">
        <v>3089</v>
      </c>
      <c r="G1070" s="20" t="s">
        <v>3948</v>
      </c>
      <c r="H1070" s="20" t="s">
        <v>3960</v>
      </c>
      <c r="I1070" s="20">
        <v>2</v>
      </c>
      <c r="J1070" s="20" t="s">
        <v>3961</v>
      </c>
      <c r="K1070" s="20" t="s">
        <v>3967</v>
      </c>
      <c r="L1070" s="20" t="s">
        <v>3963</v>
      </c>
      <c r="M1070" s="20" t="s">
        <v>2667</v>
      </c>
      <c r="N1070" s="20" t="s">
        <v>3095</v>
      </c>
      <c r="P1070" s="20" t="s">
        <v>2667</v>
      </c>
      <c r="Q1070" s="20" t="s">
        <v>2674</v>
      </c>
      <c r="R1070" s="20" t="s">
        <v>84</v>
      </c>
      <c r="S1070" s="20">
        <v>5</v>
      </c>
      <c r="T1070" s="20" t="s">
        <v>860</v>
      </c>
      <c r="U1070" s="20" t="s">
        <v>861</v>
      </c>
      <c r="V1070" s="20" t="s">
        <v>87</v>
      </c>
      <c r="W1070" s="20">
        <v>823</v>
      </c>
      <c r="X1070" s="20">
        <v>823</v>
      </c>
      <c r="Y1070" s="20" t="s">
        <v>3964</v>
      </c>
      <c r="Z1070" s="20">
        <v>0.25</v>
      </c>
      <c r="AA1070" s="20" t="s">
        <v>3968</v>
      </c>
      <c r="AB1070" s="20" t="s">
        <v>248</v>
      </c>
      <c r="AC1070" s="20" t="s">
        <v>249</v>
      </c>
      <c r="AD1070" s="20" t="s">
        <v>3966</v>
      </c>
      <c r="AE1070" s="20" t="s">
        <v>400</v>
      </c>
      <c r="AF1070" s="20">
        <v>0.25</v>
      </c>
      <c r="AG1070" s="20">
        <v>0</v>
      </c>
      <c r="AH1070" s="20">
        <v>1</v>
      </c>
      <c r="AI1070" s="4" t="s">
        <v>645</v>
      </c>
      <c r="AJ1070" s="20">
        <v>100</v>
      </c>
      <c r="AK1070" s="4" t="s">
        <v>679</v>
      </c>
      <c r="AL1070" s="4">
        <v>7</v>
      </c>
      <c r="AM1070" s="4" t="s">
        <v>514</v>
      </c>
      <c r="AN1070" s="4" t="s">
        <v>95</v>
      </c>
      <c r="AO1070" s="4" t="s">
        <v>680</v>
      </c>
      <c r="AP1070" s="4">
        <v>1</v>
      </c>
      <c r="AQ1070" s="20">
        <v>119000</v>
      </c>
      <c r="AR1070" s="4">
        <v>41898</v>
      </c>
      <c r="AS1070" s="20">
        <v>24040.404040404039</v>
      </c>
      <c r="AT1070" s="20">
        <v>0</v>
      </c>
      <c r="AU1070" s="20">
        <v>-24040.404040404039</v>
      </c>
      <c r="AV1070" s="20">
        <v>0</v>
      </c>
      <c r="AW1070" s="20">
        <v>0</v>
      </c>
      <c r="AX1070" s="20" t="s">
        <v>91</v>
      </c>
      <c r="AY1070" s="20">
        <v>0</v>
      </c>
      <c r="AZ1070" s="20">
        <v>0</v>
      </c>
      <c r="BA1070" s="20">
        <v>0</v>
      </c>
      <c r="BB1070" s="6">
        <v>41898</v>
      </c>
      <c r="BC1070" s="6">
        <v>0</v>
      </c>
      <c r="BD1070" s="6">
        <v>41901</v>
      </c>
      <c r="BE1070" s="6">
        <v>0</v>
      </c>
      <c r="BF1070" s="6">
        <v>41899</v>
      </c>
      <c r="BG1070" s="6">
        <v>0</v>
      </c>
      <c r="BH1070" s="6">
        <v>0</v>
      </c>
      <c r="BI1070" s="6">
        <v>0</v>
      </c>
      <c r="BJ1070" s="6">
        <v>0</v>
      </c>
      <c r="BK1070" s="4">
        <v>0</v>
      </c>
      <c r="BL1070" s="4">
        <v>0</v>
      </c>
      <c r="BM1070" s="20">
        <v>100</v>
      </c>
      <c r="BN1070" s="20">
        <v>0</v>
      </c>
      <c r="BO1070" s="20">
        <v>0</v>
      </c>
      <c r="BP1070" s="20">
        <v>0</v>
      </c>
      <c r="BQ1070" s="20">
        <v>0</v>
      </c>
      <c r="BR1070" s="20">
        <v>0</v>
      </c>
      <c r="BS1070" s="20">
        <v>100</v>
      </c>
      <c r="BT1070" s="20">
        <v>2404040.4040404037</v>
      </c>
      <c r="BU1070" s="20">
        <v>11900000</v>
      </c>
      <c r="BV1070" s="20">
        <v>4.5000000000000009</v>
      </c>
    </row>
    <row r="1071" spans="1:74">
      <c r="A1071" s="10">
        <f t="shared" si="66"/>
        <v>0</v>
      </c>
      <c r="B1071" s="10">
        <f t="shared" si="67"/>
        <v>0</v>
      </c>
      <c r="C1071" s="12">
        <f t="shared" si="68"/>
        <v>9</v>
      </c>
      <c r="D1071" s="12">
        <f t="shared" si="69"/>
        <v>9</v>
      </c>
      <c r="E1071" s="20" t="s">
        <v>574</v>
      </c>
      <c r="F1071" s="20" t="s">
        <v>3089</v>
      </c>
      <c r="G1071" s="20" t="s">
        <v>3948</v>
      </c>
      <c r="H1071" s="20" t="s">
        <v>3960</v>
      </c>
      <c r="I1071" s="20">
        <v>2</v>
      </c>
      <c r="J1071" s="20" t="s">
        <v>3961</v>
      </c>
      <c r="K1071" s="20" t="s">
        <v>3969</v>
      </c>
      <c r="L1071" s="20" t="s">
        <v>3963</v>
      </c>
      <c r="M1071" s="20" t="s">
        <v>2667</v>
      </c>
      <c r="N1071" s="20" t="s">
        <v>3095</v>
      </c>
      <c r="P1071" s="20" t="s">
        <v>2667</v>
      </c>
      <c r="Q1071" s="20" t="s">
        <v>2674</v>
      </c>
      <c r="R1071" s="20" t="s">
        <v>84</v>
      </c>
      <c r="S1071" s="20">
        <v>5</v>
      </c>
      <c r="T1071" s="20" t="s">
        <v>860</v>
      </c>
      <c r="U1071" s="20" t="s">
        <v>861</v>
      </c>
      <c r="V1071" s="20" t="s">
        <v>87</v>
      </c>
      <c r="W1071" s="20">
        <v>823</v>
      </c>
      <c r="X1071" s="20">
        <v>823</v>
      </c>
      <c r="Y1071" s="20" t="s">
        <v>3964</v>
      </c>
      <c r="Z1071" s="20">
        <v>0.25</v>
      </c>
      <c r="AA1071" s="20" t="s">
        <v>3970</v>
      </c>
      <c r="AB1071" s="20" t="s">
        <v>248</v>
      </c>
      <c r="AC1071" s="20" t="s">
        <v>249</v>
      </c>
      <c r="AD1071" s="20" t="s">
        <v>3966</v>
      </c>
      <c r="AE1071" s="20" t="s">
        <v>400</v>
      </c>
      <c r="AF1071" s="20">
        <v>0.25</v>
      </c>
      <c r="AG1071" s="20">
        <v>0</v>
      </c>
      <c r="AH1071" s="20">
        <v>1</v>
      </c>
      <c r="AI1071" s="4" t="s">
        <v>647</v>
      </c>
      <c r="AJ1071" s="20">
        <v>100</v>
      </c>
      <c r="AK1071" s="4" t="s">
        <v>679</v>
      </c>
      <c r="AL1071" s="4">
        <v>7</v>
      </c>
      <c r="AM1071" s="4" t="s">
        <v>514</v>
      </c>
      <c r="AN1071" s="4" t="s">
        <v>95</v>
      </c>
      <c r="AO1071" s="4" t="s">
        <v>680</v>
      </c>
      <c r="AP1071" s="4">
        <v>1</v>
      </c>
      <c r="AQ1071" s="20">
        <v>119000</v>
      </c>
      <c r="AR1071" s="4">
        <v>41898</v>
      </c>
      <c r="AS1071" s="20">
        <v>24040.404040404039</v>
      </c>
      <c r="AT1071" s="20">
        <v>0</v>
      </c>
      <c r="AU1071" s="20">
        <v>-24040.404040404039</v>
      </c>
      <c r="AV1071" s="20">
        <v>0</v>
      </c>
      <c r="AW1071" s="20">
        <v>0</v>
      </c>
      <c r="AX1071" s="20" t="s">
        <v>91</v>
      </c>
      <c r="AY1071" s="20">
        <v>0</v>
      </c>
      <c r="AZ1071" s="20">
        <v>0</v>
      </c>
      <c r="BA1071" s="20">
        <v>0</v>
      </c>
      <c r="BB1071" s="6">
        <v>41898</v>
      </c>
      <c r="BC1071" s="6">
        <v>0</v>
      </c>
      <c r="BD1071" s="6">
        <v>41901</v>
      </c>
      <c r="BE1071" s="6">
        <v>0</v>
      </c>
      <c r="BF1071" s="6">
        <v>41899</v>
      </c>
      <c r="BG1071" s="6">
        <v>0</v>
      </c>
      <c r="BH1071" s="6">
        <v>0</v>
      </c>
      <c r="BI1071" s="6">
        <v>0</v>
      </c>
      <c r="BJ1071" s="6">
        <v>0</v>
      </c>
      <c r="BK1071" s="4">
        <v>0</v>
      </c>
      <c r="BL1071" s="4">
        <v>0</v>
      </c>
      <c r="BM1071" s="20">
        <v>100</v>
      </c>
      <c r="BN1071" s="20">
        <v>0</v>
      </c>
      <c r="BO1071" s="20">
        <v>0</v>
      </c>
      <c r="BP1071" s="20">
        <v>0</v>
      </c>
      <c r="BQ1071" s="20">
        <v>0</v>
      </c>
      <c r="BR1071" s="20">
        <v>0</v>
      </c>
      <c r="BS1071" s="20">
        <v>100</v>
      </c>
      <c r="BT1071" s="20">
        <v>2404040.4040404037</v>
      </c>
      <c r="BU1071" s="20">
        <v>11900000</v>
      </c>
      <c r="BV1071" s="20">
        <v>4.5000000000000009</v>
      </c>
    </row>
    <row r="1072" spans="1:74">
      <c r="A1072" s="10">
        <f t="shared" si="66"/>
        <v>0</v>
      </c>
      <c r="B1072" s="10">
        <f t="shared" si="67"/>
        <v>0</v>
      </c>
      <c r="C1072" s="12">
        <f t="shared" si="68"/>
        <v>9</v>
      </c>
      <c r="D1072" s="12">
        <f t="shared" si="69"/>
        <v>9</v>
      </c>
      <c r="E1072" s="20" t="s">
        <v>574</v>
      </c>
      <c r="F1072" s="20" t="s">
        <v>3089</v>
      </c>
      <c r="G1072" s="20" t="s">
        <v>3948</v>
      </c>
      <c r="H1072" s="20" t="s">
        <v>3960</v>
      </c>
      <c r="I1072" s="20">
        <v>2</v>
      </c>
      <c r="J1072" s="20" t="s">
        <v>3961</v>
      </c>
      <c r="K1072" s="20" t="s">
        <v>3971</v>
      </c>
      <c r="L1072" s="20" t="s">
        <v>3963</v>
      </c>
      <c r="M1072" s="20" t="s">
        <v>2667</v>
      </c>
      <c r="N1072" s="20" t="s">
        <v>3095</v>
      </c>
      <c r="P1072" s="20" t="s">
        <v>2667</v>
      </c>
      <c r="Q1072" s="20" t="s">
        <v>2674</v>
      </c>
      <c r="R1072" s="20" t="s">
        <v>84</v>
      </c>
      <c r="S1072" s="20">
        <v>5</v>
      </c>
      <c r="T1072" s="20" t="s">
        <v>860</v>
      </c>
      <c r="U1072" s="20" t="s">
        <v>861</v>
      </c>
      <c r="V1072" s="20" t="s">
        <v>87</v>
      </c>
      <c r="W1072" s="20">
        <v>823</v>
      </c>
      <c r="X1072" s="20">
        <v>823</v>
      </c>
      <c r="Y1072" s="20" t="s">
        <v>3964</v>
      </c>
      <c r="Z1072" s="20">
        <v>0.25</v>
      </c>
      <c r="AA1072" s="20" t="s">
        <v>3972</v>
      </c>
      <c r="AB1072" s="20" t="s">
        <v>248</v>
      </c>
      <c r="AC1072" s="20" t="s">
        <v>249</v>
      </c>
      <c r="AD1072" s="20" t="s">
        <v>3966</v>
      </c>
      <c r="AE1072" s="20" t="s">
        <v>400</v>
      </c>
      <c r="AF1072" s="20">
        <v>0.25</v>
      </c>
      <c r="AG1072" s="20">
        <v>0</v>
      </c>
      <c r="AH1072" s="20">
        <v>1</v>
      </c>
      <c r="AI1072" s="4" t="s">
        <v>651</v>
      </c>
      <c r="AJ1072" s="20">
        <v>100</v>
      </c>
      <c r="AK1072" s="4" t="s">
        <v>679</v>
      </c>
      <c r="AL1072" s="4">
        <v>7</v>
      </c>
      <c r="AM1072" s="4" t="s">
        <v>514</v>
      </c>
      <c r="AN1072" s="4" t="s">
        <v>95</v>
      </c>
      <c r="AO1072" s="4" t="s">
        <v>680</v>
      </c>
      <c r="AP1072" s="4">
        <v>1</v>
      </c>
      <c r="AQ1072" s="20">
        <v>119000</v>
      </c>
      <c r="AR1072" s="4">
        <v>41898</v>
      </c>
      <c r="AS1072" s="20">
        <v>24040.404040404039</v>
      </c>
      <c r="AT1072" s="20">
        <v>0</v>
      </c>
      <c r="AU1072" s="20">
        <v>-24040.404040404039</v>
      </c>
      <c r="AV1072" s="20">
        <v>0</v>
      </c>
      <c r="AW1072" s="20">
        <v>0</v>
      </c>
      <c r="AX1072" s="20" t="s">
        <v>91</v>
      </c>
      <c r="AY1072" s="20">
        <v>0</v>
      </c>
      <c r="AZ1072" s="20">
        <v>0</v>
      </c>
      <c r="BA1072" s="20">
        <v>0</v>
      </c>
      <c r="BB1072" s="6">
        <v>41898</v>
      </c>
      <c r="BC1072" s="6">
        <v>0</v>
      </c>
      <c r="BD1072" s="6">
        <v>41901</v>
      </c>
      <c r="BE1072" s="6">
        <v>0</v>
      </c>
      <c r="BF1072" s="6">
        <v>41899</v>
      </c>
      <c r="BG1072" s="6">
        <v>0</v>
      </c>
      <c r="BH1072" s="6">
        <v>0</v>
      </c>
      <c r="BI1072" s="6">
        <v>0</v>
      </c>
      <c r="BJ1072" s="6">
        <v>0</v>
      </c>
      <c r="BK1072" s="4">
        <v>0</v>
      </c>
      <c r="BL1072" s="4">
        <v>0</v>
      </c>
      <c r="BM1072" s="20">
        <v>100</v>
      </c>
      <c r="BN1072" s="20">
        <v>0</v>
      </c>
      <c r="BO1072" s="20">
        <v>0</v>
      </c>
      <c r="BP1072" s="20">
        <v>0</v>
      </c>
      <c r="BQ1072" s="20">
        <v>0</v>
      </c>
      <c r="BR1072" s="20">
        <v>0</v>
      </c>
      <c r="BS1072" s="20">
        <v>100</v>
      </c>
      <c r="BT1072" s="20">
        <v>2404040.4040404037</v>
      </c>
      <c r="BU1072" s="20">
        <v>11900000</v>
      </c>
      <c r="BV1072" s="20">
        <v>4.5000000000000009</v>
      </c>
    </row>
    <row r="1073" spans="1:74">
      <c r="A1073" s="10">
        <f t="shared" si="66"/>
        <v>0</v>
      </c>
      <c r="B1073" s="10">
        <f t="shared" si="67"/>
        <v>0</v>
      </c>
      <c r="C1073" s="12">
        <f t="shared" si="68"/>
        <v>9</v>
      </c>
      <c r="D1073" s="12">
        <f t="shared" si="69"/>
        <v>9</v>
      </c>
      <c r="E1073" s="20" t="s">
        <v>574</v>
      </c>
      <c r="F1073" s="20" t="s">
        <v>3089</v>
      </c>
      <c r="G1073" s="20" t="s">
        <v>3948</v>
      </c>
      <c r="H1073" s="20" t="s">
        <v>3973</v>
      </c>
      <c r="I1073" s="20">
        <v>3</v>
      </c>
      <c r="J1073" s="20" t="s">
        <v>3974</v>
      </c>
      <c r="K1073" s="20" t="s">
        <v>3975</v>
      </c>
      <c r="L1073" s="20" t="s">
        <v>3976</v>
      </c>
      <c r="M1073" s="20" t="s">
        <v>2667</v>
      </c>
      <c r="N1073" s="20" t="s">
        <v>3426</v>
      </c>
      <c r="P1073" s="20" t="s">
        <v>2667</v>
      </c>
      <c r="Q1073" s="20" t="s">
        <v>2674</v>
      </c>
      <c r="R1073" s="20" t="s">
        <v>84</v>
      </c>
      <c r="S1073" s="20">
        <v>5</v>
      </c>
      <c r="T1073" s="20" t="s">
        <v>674</v>
      </c>
      <c r="U1073" s="20" t="s">
        <v>675</v>
      </c>
      <c r="V1073" s="20" t="s">
        <v>87</v>
      </c>
      <c r="W1073" s="20">
        <v>801</v>
      </c>
      <c r="X1073" s="20">
        <v>801</v>
      </c>
      <c r="Y1073" s="20" t="s">
        <v>3977</v>
      </c>
      <c r="Z1073" s="20">
        <v>0.33333333333333331</v>
      </c>
      <c r="AA1073" s="20" t="s">
        <v>3978</v>
      </c>
      <c r="AB1073" s="20" t="s">
        <v>656</v>
      </c>
      <c r="AC1073" s="20" t="s">
        <v>657</v>
      </c>
      <c r="AD1073" s="20" t="s">
        <v>3979</v>
      </c>
      <c r="AE1073" s="20" t="s">
        <v>400</v>
      </c>
      <c r="AF1073" s="20">
        <v>0.33333333333333331</v>
      </c>
      <c r="AG1073" s="20">
        <v>0</v>
      </c>
      <c r="AH1073" s="20">
        <v>1</v>
      </c>
      <c r="AI1073" s="4" t="s">
        <v>643</v>
      </c>
      <c r="AJ1073" s="20">
        <v>50</v>
      </c>
      <c r="AK1073" s="4" t="s">
        <v>679</v>
      </c>
      <c r="AL1073" s="4">
        <v>7</v>
      </c>
      <c r="AM1073" s="4" t="s">
        <v>514</v>
      </c>
      <c r="AN1073" s="4" t="s">
        <v>95</v>
      </c>
      <c r="AO1073" s="4" t="s">
        <v>680</v>
      </c>
      <c r="AP1073" s="4">
        <v>1</v>
      </c>
      <c r="AQ1073" s="20">
        <v>169000</v>
      </c>
      <c r="AR1073" s="4">
        <v>41898</v>
      </c>
      <c r="AS1073" s="20">
        <v>34141.414141414134</v>
      </c>
      <c r="AT1073" s="20">
        <v>0</v>
      </c>
      <c r="AU1073" s="20">
        <v>-34141.414141414134</v>
      </c>
      <c r="AV1073" s="20">
        <v>0</v>
      </c>
      <c r="AW1073" s="20">
        <v>0</v>
      </c>
      <c r="AX1073" s="20" t="s">
        <v>91</v>
      </c>
      <c r="AY1073" s="20">
        <v>0</v>
      </c>
      <c r="AZ1073" s="20">
        <v>0</v>
      </c>
      <c r="BA1073" s="20">
        <v>0</v>
      </c>
      <c r="BB1073" s="6">
        <v>41898</v>
      </c>
      <c r="BC1073" s="6">
        <v>0</v>
      </c>
      <c r="BD1073" s="6">
        <v>41901</v>
      </c>
      <c r="BE1073" s="6">
        <v>0</v>
      </c>
      <c r="BF1073" s="6">
        <v>41899</v>
      </c>
      <c r="BG1073" s="6">
        <v>0</v>
      </c>
      <c r="BH1073" s="6">
        <v>0</v>
      </c>
      <c r="BI1073" s="6">
        <v>0</v>
      </c>
      <c r="BJ1073" s="6">
        <v>0</v>
      </c>
      <c r="BK1073" s="4">
        <v>0</v>
      </c>
      <c r="BL1073" s="4">
        <v>0</v>
      </c>
      <c r="BM1073" s="20">
        <v>50</v>
      </c>
      <c r="BN1073" s="20">
        <v>0</v>
      </c>
      <c r="BO1073" s="20">
        <v>0</v>
      </c>
      <c r="BP1073" s="20">
        <v>0</v>
      </c>
      <c r="BQ1073" s="20">
        <v>0</v>
      </c>
      <c r="BR1073" s="20">
        <v>0</v>
      </c>
      <c r="BS1073" s="20">
        <v>50</v>
      </c>
      <c r="BT1073" s="20">
        <v>1707070.7070707066</v>
      </c>
      <c r="BU1073" s="20">
        <v>8450000</v>
      </c>
      <c r="BV1073" s="20">
        <v>4.5000000000000009</v>
      </c>
    </row>
    <row r="1074" spans="1:74">
      <c r="A1074" s="10">
        <f t="shared" si="66"/>
        <v>0</v>
      </c>
      <c r="B1074" s="10">
        <f t="shared" si="67"/>
        <v>0</v>
      </c>
      <c r="C1074" s="12">
        <f t="shared" si="68"/>
        <v>9</v>
      </c>
      <c r="D1074" s="12">
        <f t="shared" si="69"/>
        <v>9</v>
      </c>
      <c r="E1074" s="20" t="s">
        <v>574</v>
      </c>
      <c r="F1074" s="20" t="s">
        <v>3089</v>
      </c>
      <c r="G1074" s="20" t="s">
        <v>3948</v>
      </c>
      <c r="H1074" s="20" t="s">
        <v>3973</v>
      </c>
      <c r="I1074" s="20">
        <v>3</v>
      </c>
      <c r="J1074" s="20" t="s">
        <v>3974</v>
      </c>
      <c r="K1074" s="20" t="s">
        <v>3980</v>
      </c>
      <c r="L1074" s="20" t="s">
        <v>3976</v>
      </c>
      <c r="M1074" s="20" t="s">
        <v>2667</v>
      </c>
      <c r="N1074" s="20" t="s">
        <v>3426</v>
      </c>
      <c r="P1074" s="20" t="s">
        <v>2667</v>
      </c>
      <c r="Q1074" s="20" t="s">
        <v>2674</v>
      </c>
      <c r="R1074" s="20" t="s">
        <v>84</v>
      </c>
      <c r="S1074" s="20">
        <v>5</v>
      </c>
      <c r="T1074" s="20" t="s">
        <v>674</v>
      </c>
      <c r="U1074" s="20" t="s">
        <v>675</v>
      </c>
      <c r="V1074" s="20" t="s">
        <v>87</v>
      </c>
      <c r="W1074" s="20">
        <v>801</v>
      </c>
      <c r="X1074" s="20">
        <v>801</v>
      </c>
      <c r="Y1074" s="20" t="s">
        <v>3977</v>
      </c>
      <c r="Z1074" s="20">
        <v>0.33333333333333331</v>
      </c>
      <c r="AA1074" s="20" t="s">
        <v>3981</v>
      </c>
      <c r="AB1074" s="20" t="s">
        <v>656</v>
      </c>
      <c r="AC1074" s="20" t="s">
        <v>657</v>
      </c>
      <c r="AD1074" s="20" t="s">
        <v>3979</v>
      </c>
      <c r="AE1074" s="20" t="s">
        <v>400</v>
      </c>
      <c r="AF1074" s="20">
        <v>0.33333333333333331</v>
      </c>
      <c r="AG1074" s="20">
        <v>0</v>
      </c>
      <c r="AH1074" s="20">
        <v>1</v>
      </c>
      <c r="AI1074" s="4" t="s">
        <v>647</v>
      </c>
      <c r="AJ1074" s="20">
        <v>50</v>
      </c>
      <c r="AK1074" s="4" t="s">
        <v>679</v>
      </c>
      <c r="AL1074" s="4">
        <v>7</v>
      </c>
      <c r="AM1074" s="4" t="s">
        <v>514</v>
      </c>
      <c r="AN1074" s="4" t="s">
        <v>95</v>
      </c>
      <c r="AO1074" s="4" t="s">
        <v>680</v>
      </c>
      <c r="AP1074" s="4">
        <v>1</v>
      </c>
      <c r="AQ1074" s="20">
        <v>169000</v>
      </c>
      <c r="AR1074" s="4">
        <v>41898</v>
      </c>
      <c r="AS1074" s="20">
        <v>34141.414141414134</v>
      </c>
      <c r="AT1074" s="20">
        <v>0</v>
      </c>
      <c r="AU1074" s="20">
        <v>-34141.414141414134</v>
      </c>
      <c r="AV1074" s="20">
        <v>0</v>
      </c>
      <c r="AW1074" s="20">
        <v>0</v>
      </c>
      <c r="AX1074" s="20" t="s">
        <v>91</v>
      </c>
      <c r="AY1074" s="20">
        <v>0</v>
      </c>
      <c r="AZ1074" s="20">
        <v>0</v>
      </c>
      <c r="BA1074" s="20">
        <v>0</v>
      </c>
      <c r="BB1074" s="6">
        <v>41898</v>
      </c>
      <c r="BC1074" s="6">
        <v>0</v>
      </c>
      <c r="BD1074" s="6">
        <v>41901</v>
      </c>
      <c r="BE1074" s="6">
        <v>0</v>
      </c>
      <c r="BF1074" s="6">
        <v>41899</v>
      </c>
      <c r="BG1074" s="6">
        <v>0</v>
      </c>
      <c r="BH1074" s="6">
        <v>0</v>
      </c>
      <c r="BI1074" s="6">
        <v>0</v>
      </c>
      <c r="BJ1074" s="6">
        <v>0</v>
      </c>
      <c r="BK1074" s="4">
        <v>0</v>
      </c>
      <c r="BL1074" s="4">
        <v>0</v>
      </c>
      <c r="BM1074" s="20">
        <v>50</v>
      </c>
      <c r="BN1074" s="20">
        <v>0</v>
      </c>
      <c r="BO1074" s="20">
        <v>0</v>
      </c>
      <c r="BP1074" s="20">
        <v>0</v>
      </c>
      <c r="BQ1074" s="20">
        <v>0</v>
      </c>
      <c r="BR1074" s="20">
        <v>0</v>
      </c>
      <c r="BS1074" s="20">
        <v>50</v>
      </c>
      <c r="BT1074" s="20">
        <v>1707070.7070707066</v>
      </c>
      <c r="BU1074" s="20">
        <v>8450000</v>
      </c>
      <c r="BV1074" s="20">
        <v>4.5000000000000009</v>
      </c>
    </row>
    <row r="1075" spans="1:74">
      <c r="A1075" s="10">
        <f t="shared" si="66"/>
        <v>0</v>
      </c>
      <c r="B1075" s="10">
        <f t="shared" si="67"/>
        <v>0</v>
      </c>
      <c r="C1075" s="12">
        <f t="shared" si="68"/>
        <v>9</v>
      </c>
      <c r="D1075" s="12">
        <f t="shared" si="69"/>
        <v>9</v>
      </c>
      <c r="E1075" s="20" t="s">
        <v>574</v>
      </c>
      <c r="F1075" s="20" t="s">
        <v>3089</v>
      </c>
      <c r="G1075" s="20" t="s">
        <v>3948</v>
      </c>
      <c r="H1075" s="20" t="s">
        <v>3973</v>
      </c>
      <c r="I1075" s="20">
        <v>3</v>
      </c>
      <c r="J1075" s="20" t="s">
        <v>3974</v>
      </c>
      <c r="K1075" s="20" t="s">
        <v>3982</v>
      </c>
      <c r="L1075" s="20" t="s">
        <v>3976</v>
      </c>
      <c r="M1075" s="20" t="s">
        <v>2667</v>
      </c>
      <c r="N1075" s="20" t="s">
        <v>3426</v>
      </c>
      <c r="P1075" s="20" t="s">
        <v>2667</v>
      </c>
      <c r="Q1075" s="20" t="s">
        <v>2674</v>
      </c>
      <c r="R1075" s="20" t="s">
        <v>84</v>
      </c>
      <c r="S1075" s="20">
        <v>5</v>
      </c>
      <c r="T1075" s="20" t="s">
        <v>674</v>
      </c>
      <c r="U1075" s="20" t="s">
        <v>675</v>
      </c>
      <c r="V1075" s="20" t="s">
        <v>87</v>
      </c>
      <c r="W1075" s="20">
        <v>801</v>
      </c>
      <c r="X1075" s="20">
        <v>801</v>
      </c>
      <c r="Y1075" s="20" t="s">
        <v>3977</v>
      </c>
      <c r="Z1075" s="20">
        <v>0.33333333333333331</v>
      </c>
      <c r="AA1075" s="20" t="s">
        <v>3983</v>
      </c>
      <c r="AB1075" s="20" t="s">
        <v>656</v>
      </c>
      <c r="AC1075" s="20" t="s">
        <v>657</v>
      </c>
      <c r="AD1075" s="20" t="s">
        <v>3979</v>
      </c>
      <c r="AE1075" s="20" t="s">
        <v>400</v>
      </c>
      <c r="AF1075" s="20">
        <v>0.33333333333333331</v>
      </c>
      <c r="AG1075" s="20">
        <v>0</v>
      </c>
      <c r="AH1075" s="20">
        <v>1</v>
      </c>
      <c r="AI1075" s="4" t="s">
        <v>651</v>
      </c>
      <c r="AJ1075" s="20">
        <v>50</v>
      </c>
      <c r="AK1075" s="4" t="s">
        <v>679</v>
      </c>
      <c r="AL1075" s="4">
        <v>7</v>
      </c>
      <c r="AM1075" s="4" t="s">
        <v>514</v>
      </c>
      <c r="AN1075" s="4" t="s">
        <v>95</v>
      </c>
      <c r="AO1075" s="4" t="s">
        <v>680</v>
      </c>
      <c r="AP1075" s="4">
        <v>1</v>
      </c>
      <c r="AQ1075" s="20">
        <v>169000</v>
      </c>
      <c r="AR1075" s="4">
        <v>41898</v>
      </c>
      <c r="AS1075" s="20">
        <v>34141.414141414134</v>
      </c>
      <c r="AT1075" s="20">
        <v>0</v>
      </c>
      <c r="AU1075" s="20">
        <v>-34141.414141414134</v>
      </c>
      <c r="AV1075" s="20">
        <v>0</v>
      </c>
      <c r="AW1075" s="20">
        <v>0</v>
      </c>
      <c r="AX1075" s="20" t="s">
        <v>91</v>
      </c>
      <c r="AY1075" s="20">
        <v>0</v>
      </c>
      <c r="AZ1075" s="20">
        <v>0</v>
      </c>
      <c r="BA1075" s="20">
        <v>0</v>
      </c>
      <c r="BB1075" s="6">
        <v>41898</v>
      </c>
      <c r="BC1075" s="6">
        <v>0</v>
      </c>
      <c r="BD1075" s="6">
        <v>41901</v>
      </c>
      <c r="BE1075" s="6">
        <v>0</v>
      </c>
      <c r="BF1075" s="6">
        <v>41899</v>
      </c>
      <c r="BG1075" s="6">
        <v>0</v>
      </c>
      <c r="BH1075" s="6">
        <v>0</v>
      </c>
      <c r="BI1075" s="6">
        <v>0</v>
      </c>
      <c r="BJ1075" s="6">
        <v>0</v>
      </c>
      <c r="BK1075" s="4">
        <v>0</v>
      </c>
      <c r="BL1075" s="4">
        <v>0</v>
      </c>
      <c r="BM1075" s="20">
        <v>50</v>
      </c>
      <c r="BN1075" s="20">
        <v>0</v>
      </c>
      <c r="BO1075" s="20">
        <v>0</v>
      </c>
      <c r="BP1075" s="20">
        <v>0</v>
      </c>
      <c r="BQ1075" s="20">
        <v>0</v>
      </c>
      <c r="BR1075" s="20">
        <v>0</v>
      </c>
      <c r="BS1075" s="20">
        <v>50</v>
      </c>
      <c r="BT1075" s="20">
        <v>1707070.7070707066</v>
      </c>
      <c r="BU1075" s="20">
        <v>8450000</v>
      </c>
      <c r="BV1075" s="20">
        <v>4.5000000000000009</v>
      </c>
    </row>
    <row r="1076" spans="1:74">
      <c r="A1076" s="10">
        <f t="shared" si="66"/>
        <v>0</v>
      </c>
      <c r="B1076" s="10">
        <f t="shared" si="67"/>
        <v>0</v>
      </c>
      <c r="C1076" s="12">
        <f t="shared" si="68"/>
        <v>9</v>
      </c>
      <c r="D1076" s="12">
        <f t="shared" si="69"/>
        <v>9</v>
      </c>
      <c r="E1076" s="20" t="s">
        <v>574</v>
      </c>
      <c r="F1076" s="20" t="s">
        <v>3089</v>
      </c>
      <c r="G1076" s="20" t="s">
        <v>3948</v>
      </c>
      <c r="H1076" s="20" t="s">
        <v>3984</v>
      </c>
      <c r="I1076" s="20">
        <v>4</v>
      </c>
      <c r="J1076" s="20" t="s">
        <v>3985</v>
      </c>
      <c r="K1076" s="20" t="s">
        <v>3986</v>
      </c>
      <c r="L1076" s="20" t="s">
        <v>3987</v>
      </c>
      <c r="M1076" s="20" t="s">
        <v>2667</v>
      </c>
      <c r="N1076" s="20" t="s">
        <v>3426</v>
      </c>
      <c r="P1076" s="20" t="s">
        <v>2667</v>
      </c>
      <c r="Q1076" s="20" t="s">
        <v>2674</v>
      </c>
      <c r="R1076" s="20" t="s">
        <v>84</v>
      </c>
      <c r="S1076" s="20">
        <v>5</v>
      </c>
      <c r="T1076" s="20" t="s">
        <v>674</v>
      </c>
      <c r="U1076" s="20" t="s">
        <v>675</v>
      </c>
      <c r="V1076" s="20" t="s">
        <v>87</v>
      </c>
      <c r="W1076" s="20">
        <v>826</v>
      </c>
      <c r="X1076" s="20">
        <v>826</v>
      </c>
      <c r="Y1076" s="20" t="s">
        <v>3988</v>
      </c>
      <c r="Z1076" s="20">
        <v>0.33333333333333331</v>
      </c>
      <c r="AA1076" s="20" t="s">
        <v>3989</v>
      </c>
      <c r="AB1076" s="20" t="s">
        <v>296</v>
      </c>
      <c r="AC1076" s="20" t="s">
        <v>297</v>
      </c>
      <c r="AD1076" s="20" t="s">
        <v>3990</v>
      </c>
      <c r="AE1076" s="20" t="s">
        <v>400</v>
      </c>
      <c r="AF1076" s="20">
        <v>0.33333333333333331</v>
      </c>
      <c r="AG1076" s="20">
        <v>0</v>
      </c>
      <c r="AH1076" s="20">
        <v>1</v>
      </c>
      <c r="AI1076" s="4" t="s">
        <v>643</v>
      </c>
      <c r="AJ1076" s="20">
        <v>30</v>
      </c>
      <c r="AK1076" s="4" t="s">
        <v>679</v>
      </c>
      <c r="AL1076" s="4">
        <v>7</v>
      </c>
      <c r="AM1076" s="4" t="s">
        <v>514</v>
      </c>
      <c r="AN1076" s="4" t="s">
        <v>95</v>
      </c>
      <c r="AO1076" s="4" t="s">
        <v>680</v>
      </c>
      <c r="AP1076" s="4">
        <v>1</v>
      </c>
      <c r="AQ1076" s="20">
        <v>169000</v>
      </c>
      <c r="AR1076" s="4">
        <v>41898</v>
      </c>
      <c r="AS1076" s="20">
        <v>34141.414141414134</v>
      </c>
      <c r="AT1076" s="20">
        <v>0</v>
      </c>
      <c r="AU1076" s="20">
        <v>-34141.414141414134</v>
      </c>
      <c r="AV1076" s="20">
        <v>0</v>
      </c>
      <c r="AW1076" s="20">
        <v>0</v>
      </c>
      <c r="AX1076" s="20" t="s">
        <v>91</v>
      </c>
      <c r="AY1076" s="20">
        <v>0</v>
      </c>
      <c r="AZ1076" s="20">
        <v>0</v>
      </c>
      <c r="BA1076" s="20">
        <v>0</v>
      </c>
      <c r="BB1076" s="6">
        <v>41898</v>
      </c>
      <c r="BC1076" s="6">
        <v>0</v>
      </c>
      <c r="BD1076" s="6">
        <v>41901</v>
      </c>
      <c r="BE1076" s="6">
        <v>0</v>
      </c>
      <c r="BF1076" s="6">
        <v>41899</v>
      </c>
      <c r="BG1076" s="6">
        <v>0</v>
      </c>
      <c r="BH1076" s="6">
        <v>0</v>
      </c>
      <c r="BI1076" s="6">
        <v>0</v>
      </c>
      <c r="BJ1076" s="6">
        <v>0</v>
      </c>
      <c r="BK1076" s="4">
        <v>0</v>
      </c>
      <c r="BL1076" s="4">
        <v>0</v>
      </c>
      <c r="BM1076" s="20">
        <v>30</v>
      </c>
      <c r="BN1076" s="20">
        <v>0</v>
      </c>
      <c r="BO1076" s="20">
        <v>0</v>
      </c>
      <c r="BP1076" s="20">
        <v>0</v>
      </c>
      <c r="BQ1076" s="20">
        <v>0</v>
      </c>
      <c r="BR1076" s="20">
        <v>0</v>
      </c>
      <c r="BS1076" s="20">
        <v>30</v>
      </c>
      <c r="BT1076" s="20">
        <v>1024242.4242424241</v>
      </c>
      <c r="BU1076" s="20">
        <v>5070000</v>
      </c>
      <c r="BV1076" s="20">
        <v>4.5000000000000009</v>
      </c>
    </row>
    <row r="1077" spans="1:74">
      <c r="A1077" s="10">
        <f t="shared" si="66"/>
        <v>0</v>
      </c>
      <c r="B1077" s="10">
        <f t="shared" si="67"/>
        <v>0</v>
      </c>
      <c r="C1077" s="12">
        <f t="shared" si="68"/>
        <v>9</v>
      </c>
      <c r="D1077" s="12">
        <f t="shared" si="69"/>
        <v>9</v>
      </c>
      <c r="E1077" s="20" t="s">
        <v>574</v>
      </c>
      <c r="F1077" s="20" t="s">
        <v>3089</v>
      </c>
      <c r="G1077" s="20" t="s">
        <v>3948</v>
      </c>
      <c r="H1077" s="20" t="s">
        <v>3984</v>
      </c>
      <c r="I1077" s="20">
        <v>4</v>
      </c>
      <c r="J1077" s="20" t="s">
        <v>3985</v>
      </c>
      <c r="K1077" s="20" t="s">
        <v>3991</v>
      </c>
      <c r="L1077" s="20" t="s">
        <v>3987</v>
      </c>
      <c r="M1077" s="20" t="s">
        <v>2667</v>
      </c>
      <c r="N1077" s="20" t="s">
        <v>3426</v>
      </c>
      <c r="P1077" s="20" t="s">
        <v>2667</v>
      </c>
      <c r="Q1077" s="20" t="s">
        <v>2674</v>
      </c>
      <c r="R1077" s="20" t="s">
        <v>84</v>
      </c>
      <c r="S1077" s="20">
        <v>5</v>
      </c>
      <c r="T1077" s="20" t="s">
        <v>674</v>
      </c>
      <c r="U1077" s="20" t="s">
        <v>675</v>
      </c>
      <c r="V1077" s="20" t="s">
        <v>87</v>
      </c>
      <c r="W1077" s="20">
        <v>826</v>
      </c>
      <c r="X1077" s="20">
        <v>826</v>
      </c>
      <c r="Y1077" s="20" t="s">
        <v>3988</v>
      </c>
      <c r="Z1077" s="20">
        <v>0.33333333333333331</v>
      </c>
      <c r="AA1077" s="20" t="s">
        <v>3992</v>
      </c>
      <c r="AB1077" s="20" t="s">
        <v>296</v>
      </c>
      <c r="AC1077" s="20" t="s">
        <v>297</v>
      </c>
      <c r="AD1077" s="20" t="s">
        <v>3990</v>
      </c>
      <c r="AE1077" s="20" t="s">
        <v>400</v>
      </c>
      <c r="AF1077" s="20">
        <v>0.33333333333333331</v>
      </c>
      <c r="AG1077" s="20">
        <v>0</v>
      </c>
      <c r="AH1077" s="20">
        <v>1</v>
      </c>
      <c r="AI1077" s="4" t="s">
        <v>647</v>
      </c>
      <c r="AJ1077" s="20">
        <v>30</v>
      </c>
      <c r="AK1077" s="4" t="s">
        <v>679</v>
      </c>
      <c r="AL1077" s="4">
        <v>7</v>
      </c>
      <c r="AM1077" s="4" t="s">
        <v>514</v>
      </c>
      <c r="AN1077" s="4" t="s">
        <v>95</v>
      </c>
      <c r="AO1077" s="4" t="s">
        <v>680</v>
      </c>
      <c r="AP1077" s="4">
        <v>1</v>
      </c>
      <c r="AQ1077" s="20">
        <v>169000</v>
      </c>
      <c r="AR1077" s="4">
        <v>41898</v>
      </c>
      <c r="AS1077" s="20">
        <v>34141.414141414134</v>
      </c>
      <c r="AT1077" s="20">
        <v>0</v>
      </c>
      <c r="AU1077" s="20">
        <v>-34141.414141414134</v>
      </c>
      <c r="AV1077" s="20">
        <v>0</v>
      </c>
      <c r="AW1077" s="20">
        <v>0</v>
      </c>
      <c r="AX1077" s="20" t="s">
        <v>91</v>
      </c>
      <c r="AY1077" s="20">
        <v>0</v>
      </c>
      <c r="AZ1077" s="20">
        <v>0</v>
      </c>
      <c r="BA1077" s="20">
        <v>0</v>
      </c>
      <c r="BB1077" s="6">
        <v>41898</v>
      </c>
      <c r="BC1077" s="6">
        <v>0</v>
      </c>
      <c r="BD1077" s="6">
        <v>41901</v>
      </c>
      <c r="BE1077" s="6">
        <v>0</v>
      </c>
      <c r="BF1077" s="6">
        <v>41899</v>
      </c>
      <c r="BG1077" s="6">
        <v>0</v>
      </c>
      <c r="BH1077" s="6">
        <v>0</v>
      </c>
      <c r="BI1077" s="6">
        <v>0</v>
      </c>
      <c r="BJ1077" s="6">
        <v>0</v>
      </c>
      <c r="BK1077" s="4">
        <v>0</v>
      </c>
      <c r="BL1077" s="4">
        <v>0</v>
      </c>
      <c r="BM1077" s="20">
        <v>30</v>
      </c>
      <c r="BN1077" s="20">
        <v>0</v>
      </c>
      <c r="BO1077" s="20">
        <v>0</v>
      </c>
      <c r="BP1077" s="20">
        <v>0</v>
      </c>
      <c r="BQ1077" s="20">
        <v>0</v>
      </c>
      <c r="BR1077" s="20">
        <v>0</v>
      </c>
      <c r="BS1077" s="20">
        <v>30</v>
      </c>
      <c r="BT1077" s="20">
        <v>1024242.4242424241</v>
      </c>
      <c r="BU1077" s="20">
        <v>5070000</v>
      </c>
      <c r="BV1077" s="20">
        <v>4.5000000000000009</v>
      </c>
    </row>
    <row r="1078" spans="1:74">
      <c r="A1078" s="10">
        <f t="shared" si="66"/>
        <v>0</v>
      </c>
      <c r="B1078" s="10">
        <f t="shared" si="67"/>
        <v>0</v>
      </c>
      <c r="C1078" s="12">
        <f t="shared" si="68"/>
        <v>9</v>
      </c>
      <c r="D1078" s="12">
        <f t="shared" si="69"/>
        <v>9</v>
      </c>
      <c r="E1078" s="20" t="s">
        <v>574</v>
      </c>
      <c r="F1078" s="20" t="s">
        <v>3089</v>
      </c>
      <c r="G1078" s="20" t="s">
        <v>3948</v>
      </c>
      <c r="H1078" s="20" t="s">
        <v>3984</v>
      </c>
      <c r="I1078" s="20">
        <v>4</v>
      </c>
      <c r="J1078" s="20" t="s">
        <v>3985</v>
      </c>
      <c r="K1078" s="20" t="s">
        <v>3993</v>
      </c>
      <c r="L1078" s="20" t="s">
        <v>3987</v>
      </c>
      <c r="M1078" s="20" t="s">
        <v>2667</v>
      </c>
      <c r="N1078" s="20" t="s">
        <v>3426</v>
      </c>
      <c r="P1078" s="20" t="s">
        <v>2667</v>
      </c>
      <c r="Q1078" s="20" t="s">
        <v>2674</v>
      </c>
      <c r="R1078" s="20" t="s">
        <v>84</v>
      </c>
      <c r="S1078" s="20">
        <v>5</v>
      </c>
      <c r="T1078" s="20" t="s">
        <v>674</v>
      </c>
      <c r="U1078" s="20" t="s">
        <v>675</v>
      </c>
      <c r="V1078" s="20" t="s">
        <v>87</v>
      </c>
      <c r="W1078" s="20">
        <v>826</v>
      </c>
      <c r="X1078" s="20">
        <v>826</v>
      </c>
      <c r="Y1078" s="20" t="s">
        <v>3988</v>
      </c>
      <c r="Z1078" s="20">
        <v>0.33333333333333331</v>
      </c>
      <c r="AA1078" s="20" t="s">
        <v>3994</v>
      </c>
      <c r="AB1078" s="20" t="s">
        <v>296</v>
      </c>
      <c r="AC1078" s="20" t="s">
        <v>297</v>
      </c>
      <c r="AD1078" s="20" t="s">
        <v>3990</v>
      </c>
      <c r="AE1078" s="20" t="s">
        <v>400</v>
      </c>
      <c r="AF1078" s="20">
        <v>0.33333333333333331</v>
      </c>
      <c r="AG1078" s="20">
        <v>0</v>
      </c>
      <c r="AH1078" s="20">
        <v>1</v>
      </c>
      <c r="AI1078" s="4" t="s">
        <v>651</v>
      </c>
      <c r="AJ1078" s="20">
        <v>30</v>
      </c>
      <c r="AK1078" s="4" t="s">
        <v>679</v>
      </c>
      <c r="AL1078" s="4">
        <v>7</v>
      </c>
      <c r="AM1078" s="4" t="s">
        <v>514</v>
      </c>
      <c r="AN1078" s="4" t="s">
        <v>95</v>
      </c>
      <c r="AO1078" s="4" t="s">
        <v>680</v>
      </c>
      <c r="AP1078" s="4">
        <v>1</v>
      </c>
      <c r="AQ1078" s="20">
        <v>169000</v>
      </c>
      <c r="AR1078" s="4">
        <v>41898</v>
      </c>
      <c r="AS1078" s="20">
        <v>34141.414141414134</v>
      </c>
      <c r="AT1078" s="20">
        <v>0</v>
      </c>
      <c r="AU1078" s="20">
        <v>-34141.414141414134</v>
      </c>
      <c r="AV1078" s="20">
        <v>0</v>
      </c>
      <c r="AW1078" s="20">
        <v>0</v>
      </c>
      <c r="AX1078" s="20" t="s">
        <v>91</v>
      </c>
      <c r="AY1078" s="20">
        <v>0</v>
      </c>
      <c r="AZ1078" s="20">
        <v>0</v>
      </c>
      <c r="BA1078" s="20">
        <v>0</v>
      </c>
      <c r="BB1078" s="6">
        <v>41898</v>
      </c>
      <c r="BC1078" s="6">
        <v>0</v>
      </c>
      <c r="BD1078" s="6">
        <v>41901</v>
      </c>
      <c r="BE1078" s="6">
        <v>0</v>
      </c>
      <c r="BF1078" s="6">
        <v>41899</v>
      </c>
      <c r="BG1078" s="6">
        <v>0</v>
      </c>
      <c r="BH1078" s="6">
        <v>0</v>
      </c>
      <c r="BI1078" s="6">
        <v>0</v>
      </c>
      <c r="BJ1078" s="6">
        <v>0</v>
      </c>
      <c r="BK1078" s="4">
        <v>0</v>
      </c>
      <c r="BL1078" s="4">
        <v>0</v>
      </c>
      <c r="BM1078" s="20">
        <v>30</v>
      </c>
      <c r="BN1078" s="20">
        <v>0</v>
      </c>
      <c r="BO1078" s="20">
        <v>0</v>
      </c>
      <c r="BP1078" s="20">
        <v>0</v>
      </c>
      <c r="BQ1078" s="20">
        <v>0</v>
      </c>
      <c r="BR1078" s="20">
        <v>0</v>
      </c>
      <c r="BS1078" s="20">
        <v>30</v>
      </c>
      <c r="BT1078" s="20">
        <v>1024242.4242424241</v>
      </c>
      <c r="BU1078" s="20">
        <v>5070000</v>
      </c>
      <c r="BV1078" s="20">
        <v>4.5000000000000009</v>
      </c>
    </row>
    <row r="1079" spans="1:74">
      <c r="A1079" s="10">
        <f t="shared" si="66"/>
        <v>0</v>
      </c>
      <c r="B1079" s="10">
        <f t="shared" si="67"/>
        <v>0</v>
      </c>
      <c r="C1079" s="12">
        <f t="shared" si="68"/>
        <v>9</v>
      </c>
      <c r="D1079" s="12">
        <f t="shared" si="69"/>
        <v>9</v>
      </c>
      <c r="E1079" s="20" t="s">
        <v>574</v>
      </c>
      <c r="F1079" s="20" t="s">
        <v>3089</v>
      </c>
      <c r="G1079" s="20" t="s">
        <v>3948</v>
      </c>
      <c r="H1079" s="20" t="s">
        <v>3995</v>
      </c>
      <c r="I1079" s="20">
        <v>5</v>
      </c>
      <c r="J1079" s="20" t="s">
        <v>3996</v>
      </c>
      <c r="K1079" s="20" t="s">
        <v>3997</v>
      </c>
      <c r="L1079" s="20" t="s">
        <v>3998</v>
      </c>
      <c r="M1079" s="20" t="s">
        <v>2667</v>
      </c>
      <c r="N1079" s="20" t="s">
        <v>3159</v>
      </c>
      <c r="P1079" s="20" t="s">
        <v>2667</v>
      </c>
      <c r="Q1079" s="20" t="s">
        <v>2674</v>
      </c>
      <c r="R1079" s="20" t="s">
        <v>84</v>
      </c>
      <c r="S1079" s="20">
        <v>5</v>
      </c>
      <c r="T1079" s="20" t="s">
        <v>3160</v>
      </c>
      <c r="U1079" s="20" t="s">
        <v>3161</v>
      </c>
      <c r="V1079" s="20" t="s">
        <v>87</v>
      </c>
      <c r="W1079" s="20">
        <v>827</v>
      </c>
      <c r="X1079" s="20">
        <v>827</v>
      </c>
      <c r="Y1079" s="20" t="s">
        <v>3999</v>
      </c>
      <c r="Z1079" s="20">
        <v>0.33333333333333331</v>
      </c>
      <c r="AA1079" s="20" t="s">
        <v>4000</v>
      </c>
      <c r="AB1079" s="20" t="s">
        <v>457</v>
      </c>
      <c r="AC1079" s="20" t="s">
        <v>458</v>
      </c>
      <c r="AD1079" s="20" t="s">
        <v>4001</v>
      </c>
      <c r="AE1079" s="20" t="s">
        <v>400</v>
      </c>
      <c r="AF1079" s="20">
        <v>0.33333333333333331</v>
      </c>
      <c r="AG1079" s="20">
        <v>0</v>
      </c>
      <c r="AH1079" s="20">
        <v>1</v>
      </c>
      <c r="AI1079" s="4" t="s">
        <v>643</v>
      </c>
      <c r="AJ1079" s="20">
        <v>50</v>
      </c>
      <c r="AK1079" s="4" t="s">
        <v>679</v>
      </c>
      <c r="AL1079" s="4">
        <v>7</v>
      </c>
      <c r="AM1079" s="4" t="s">
        <v>514</v>
      </c>
      <c r="AN1079" s="4" t="s">
        <v>95</v>
      </c>
      <c r="AO1079" s="4" t="s">
        <v>680</v>
      </c>
      <c r="AP1079" s="4">
        <v>1</v>
      </c>
      <c r="AQ1079" s="20">
        <v>139000</v>
      </c>
      <c r="AR1079" s="4">
        <v>41898</v>
      </c>
      <c r="AS1079" s="20">
        <v>28080.808080808078</v>
      </c>
      <c r="AT1079" s="20">
        <v>0</v>
      </c>
      <c r="AU1079" s="20">
        <v>-28080.808080808078</v>
      </c>
      <c r="AV1079" s="20">
        <v>0</v>
      </c>
      <c r="AW1079" s="20">
        <v>0</v>
      </c>
      <c r="AX1079" s="20" t="s">
        <v>91</v>
      </c>
      <c r="AY1079" s="20">
        <v>0</v>
      </c>
      <c r="AZ1079" s="20">
        <v>0</v>
      </c>
      <c r="BA1079" s="20">
        <v>0</v>
      </c>
      <c r="BB1079" s="6">
        <v>41898</v>
      </c>
      <c r="BC1079" s="6">
        <v>0</v>
      </c>
      <c r="BD1079" s="6">
        <v>41901</v>
      </c>
      <c r="BE1079" s="6">
        <v>0</v>
      </c>
      <c r="BF1079" s="6">
        <v>41899</v>
      </c>
      <c r="BG1079" s="6">
        <v>0</v>
      </c>
      <c r="BH1079" s="6">
        <v>0</v>
      </c>
      <c r="BI1079" s="6">
        <v>0</v>
      </c>
      <c r="BJ1079" s="6">
        <v>0</v>
      </c>
      <c r="BK1079" s="4">
        <v>0</v>
      </c>
      <c r="BL1079" s="4">
        <v>0</v>
      </c>
      <c r="BM1079" s="20">
        <v>50</v>
      </c>
      <c r="BN1079" s="20">
        <v>0</v>
      </c>
      <c r="BO1079" s="20">
        <v>0</v>
      </c>
      <c r="BP1079" s="20">
        <v>0</v>
      </c>
      <c r="BQ1079" s="20">
        <v>0</v>
      </c>
      <c r="BR1079" s="20">
        <v>0</v>
      </c>
      <c r="BS1079" s="20">
        <v>50</v>
      </c>
      <c r="BT1079" s="20">
        <v>1404040.4040404039</v>
      </c>
      <c r="BU1079" s="20">
        <v>6950000</v>
      </c>
      <c r="BV1079" s="20">
        <v>4.5</v>
      </c>
    </row>
    <row r="1080" spans="1:74">
      <c r="A1080" s="10">
        <f t="shared" si="66"/>
        <v>0</v>
      </c>
      <c r="B1080" s="10">
        <f t="shared" si="67"/>
        <v>0</v>
      </c>
      <c r="C1080" s="12">
        <f t="shared" si="68"/>
        <v>9</v>
      </c>
      <c r="D1080" s="12">
        <f t="shared" si="69"/>
        <v>9</v>
      </c>
      <c r="E1080" s="20" t="s">
        <v>574</v>
      </c>
      <c r="F1080" s="20" t="s">
        <v>3089</v>
      </c>
      <c r="G1080" s="20" t="s">
        <v>3948</v>
      </c>
      <c r="H1080" s="20" t="s">
        <v>3995</v>
      </c>
      <c r="I1080" s="20">
        <v>5</v>
      </c>
      <c r="J1080" s="20" t="s">
        <v>3996</v>
      </c>
      <c r="K1080" s="20" t="s">
        <v>4002</v>
      </c>
      <c r="L1080" s="20" t="s">
        <v>3998</v>
      </c>
      <c r="M1080" s="20" t="s">
        <v>2667</v>
      </c>
      <c r="N1080" s="20" t="s">
        <v>3159</v>
      </c>
      <c r="P1080" s="20" t="s">
        <v>2667</v>
      </c>
      <c r="Q1080" s="20" t="s">
        <v>2674</v>
      </c>
      <c r="R1080" s="20" t="s">
        <v>84</v>
      </c>
      <c r="S1080" s="20">
        <v>5</v>
      </c>
      <c r="T1080" s="20" t="s">
        <v>3160</v>
      </c>
      <c r="U1080" s="20" t="s">
        <v>3161</v>
      </c>
      <c r="V1080" s="20" t="s">
        <v>87</v>
      </c>
      <c r="W1080" s="20">
        <v>827</v>
      </c>
      <c r="X1080" s="20">
        <v>827</v>
      </c>
      <c r="Y1080" s="20" t="s">
        <v>3999</v>
      </c>
      <c r="Z1080" s="20">
        <v>0.33333333333333331</v>
      </c>
      <c r="AA1080" s="20" t="s">
        <v>4003</v>
      </c>
      <c r="AB1080" s="20" t="s">
        <v>457</v>
      </c>
      <c r="AC1080" s="20" t="s">
        <v>458</v>
      </c>
      <c r="AD1080" s="20" t="s">
        <v>4001</v>
      </c>
      <c r="AE1080" s="20" t="s">
        <v>400</v>
      </c>
      <c r="AF1080" s="20">
        <v>0.33333333333333331</v>
      </c>
      <c r="AG1080" s="20">
        <v>0</v>
      </c>
      <c r="AH1080" s="20">
        <v>1</v>
      </c>
      <c r="AI1080" s="4" t="s">
        <v>647</v>
      </c>
      <c r="AJ1080" s="20">
        <v>100</v>
      </c>
      <c r="AK1080" s="4" t="s">
        <v>679</v>
      </c>
      <c r="AL1080" s="4">
        <v>7</v>
      </c>
      <c r="AM1080" s="4" t="s">
        <v>514</v>
      </c>
      <c r="AN1080" s="4" t="s">
        <v>95</v>
      </c>
      <c r="AO1080" s="4" t="s">
        <v>680</v>
      </c>
      <c r="AP1080" s="4">
        <v>1</v>
      </c>
      <c r="AQ1080" s="20">
        <v>139000</v>
      </c>
      <c r="AR1080" s="4">
        <v>41898</v>
      </c>
      <c r="AS1080" s="20">
        <v>28080.808080808078</v>
      </c>
      <c r="AT1080" s="20">
        <v>0</v>
      </c>
      <c r="AU1080" s="20">
        <v>-28080.808080808078</v>
      </c>
      <c r="AV1080" s="20">
        <v>0</v>
      </c>
      <c r="AW1080" s="20">
        <v>0</v>
      </c>
      <c r="AX1080" s="20" t="s">
        <v>91</v>
      </c>
      <c r="AY1080" s="20">
        <v>0</v>
      </c>
      <c r="AZ1080" s="20">
        <v>0</v>
      </c>
      <c r="BA1080" s="20">
        <v>0</v>
      </c>
      <c r="BB1080" s="6">
        <v>41898</v>
      </c>
      <c r="BC1080" s="6">
        <v>0</v>
      </c>
      <c r="BD1080" s="6">
        <v>41901</v>
      </c>
      <c r="BE1080" s="6">
        <v>0</v>
      </c>
      <c r="BF1080" s="6">
        <v>41899</v>
      </c>
      <c r="BG1080" s="6">
        <v>0</v>
      </c>
      <c r="BH1080" s="6">
        <v>0</v>
      </c>
      <c r="BI1080" s="6">
        <v>0</v>
      </c>
      <c r="BJ1080" s="6">
        <v>0</v>
      </c>
      <c r="BK1080" s="4">
        <v>0</v>
      </c>
      <c r="BL1080" s="4">
        <v>0</v>
      </c>
      <c r="BM1080" s="20">
        <v>100</v>
      </c>
      <c r="BN1080" s="20">
        <v>0</v>
      </c>
      <c r="BO1080" s="20">
        <v>0</v>
      </c>
      <c r="BP1080" s="20">
        <v>0</v>
      </c>
      <c r="BQ1080" s="20">
        <v>0</v>
      </c>
      <c r="BR1080" s="20">
        <v>0</v>
      </c>
      <c r="BS1080" s="20">
        <v>100</v>
      </c>
      <c r="BT1080" s="20">
        <v>2808080.8080808078</v>
      </c>
      <c r="BU1080" s="20">
        <v>13900000</v>
      </c>
      <c r="BV1080" s="20">
        <v>4.5</v>
      </c>
    </row>
    <row r="1081" spans="1:74">
      <c r="A1081" s="10">
        <f t="shared" si="66"/>
        <v>0</v>
      </c>
      <c r="B1081" s="10">
        <f t="shared" si="67"/>
        <v>0</v>
      </c>
      <c r="C1081" s="12">
        <f t="shared" si="68"/>
        <v>9</v>
      </c>
      <c r="D1081" s="12">
        <f t="shared" si="69"/>
        <v>9</v>
      </c>
      <c r="E1081" s="20" t="s">
        <v>574</v>
      </c>
      <c r="F1081" s="20" t="s">
        <v>3089</v>
      </c>
      <c r="G1081" s="20" t="s">
        <v>3948</v>
      </c>
      <c r="H1081" s="20" t="s">
        <v>3995</v>
      </c>
      <c r="I1081" s="20">
        <v>5</v>
      </c>
      <c r="J1081" s="20" t="s">
        <v>3996</v>
      </c>
      <c r="K1081" s="20" t="s">
        <v>4004</v>
      </c>
      <c r="L1081" s="20" t="s">
        <v>3998</v>
      </c>
      <c r="M1081" s="20" t="s">
        <v>2667</v>
      </c>
      <c r="N1081" s="20" t="s">
        <v>3159</v>
      </c>
      <c r="P1081" s="20" t="s">
        <v>2667</v>
      </c>
      <c r="Q1081" s="20" t="s">
        <v>2674</v>
      </c>
      <c r="R1081" s="20" t="s">
        <v>84</v>
      </c>
      <c r="S1081" s="20">
        <v>5</v>
      </c>
      <c r="T1081" s="20" t="s">
        <v>3160</v>
      </c>
      <c r="U1081" s="20" t="s">
        <v>3161</v>
      </c>
      <c r="V1081" s="20" t="s">
        <v>87</v>
      </c>
      <c r="W1081" s="20">
        <v>827</v>
      </c>
      <c r="X1081" s="20">
        <v>827</v>
      </c>
      <c r="Y1081" s="20" t="s">
        <v>3999</v>
      </c>
      <c r="Z1081" s="20">
        <v>0.33333333333333331</v>
      </c>
      <c r="AA1081" s="20" t="s">
        <v>4005</v>
      </c>
      <c r="AB1081" s="20" t="s">
        <v>457</v>
      </c>
      <c r="AC1081" s="20" t="s">
        <v>458</v>
      </c>
      <c r="AD1081" s="20" t="s">
        <v>4001</v>
      </c>
      <c r="AE1081" s="20" t="s">
        <v>400</v>
      </c>
      <c r="AF1081" s="20">
        <v>0.33333333333333331</v>
      </c>
      <c r="AG1081" s="20">
        <v>0</v>
      </c>
      <c r="AH1081" s="20">
        <v>1</v>
      </c>
      <c r="AI1081" s="4" t="s">
        <v>651</v>
      </c>
      <c r="AJ1081" s="20">
        <v>50</v>
      </c>
      <c r="AK1081" s="4" t="s">
        <v>679</v>
      </c>
      <c r="AL1081" s="4">
        <v>7</v>
      </c>
      <c r="AM1081" s="4" t="s">
        <v>514</v>
      </c>
      <c r="AN1081" s="4" t="s">
        <v>95</v>
      </c>
      <c r="AO1081" s="4" t="s">
        <v>680</v>
      </c>
      <c r="AP1081" s="4">
        <v>1</v>
      </c>
      <c r="AQ1081" s="20">
        <v>139000</v>
      </c>
      <c r="AR1081" s="4">
        <v>41898</v>
      </c>
      <c r="AS1081" s="20">
        <v>28080.808080808078</v>
      </c>
      <c r="AT1081" s="20">
        <v>0</v>
      </c>
      <c r="AU1081" s="20">
        <v>-28080.808080808078</v>
      </c>
      <c r="AV1081" s="20">
        <v>0</v>
      </c>
      <c r="AW1081" s="20">
        <v>0</v>
      </c>
      <c r="AX1081" s="20" t="s">
        <v>91</v>
      </c>
      <c r="AY1081" s="20">
        <v>0</v>
      </c>
      <c r="AZ1081" s="20">
        <v>0</v>
      </c>
      <c r="BA1081" s="20">
        <v>0</v>
      </c>
      <c r="BB1081" s="6">
        <v>41898</v>
      </c>
      <c r="BC1081" s="6">
        <v>0</v>
      </c>
      <c r="BD1081" s="6">
        <v>41901</v>
      </c>
      <c r="BE1081" s="6">
        <v>0</v>
      </c>
      <c r="BF1081" s="6">
        <v>41899</v>
      </c>
      <c r="BG1081" s="6">
        <v>0</v>
      </c>
      <c r="BH1081" s="6">
        <v>0</v>
      </c>
      <c r="BI1081" s="6">
        <v>0</v>
      </c>
      <c r="BJ1081" s="6">
        <v>0</v>
      </c>
      <c r="BK1081" s="4">
        <v>0</v>
      </c>
      <c r="BL1081" s="4">
        <v>0</v>
      </c>
      <c r="BM1081" s="20">
        <v>50</v>
      </c>
      <c r="BN1081" s="20">
        <v>0</v>
      </c>
      <c r="BO1081" s="20">
        <v>0</v>
      </c>
      <c r="BP1081" s="20">
        <v>0</v>
      </c>
      <c r="BQ1081" s="20">
        <v>0</v>
      </c>
      <c r="BR1081" s="20">
        <v>0</v>
      </c>
      <c r="BS1081" s="20">
        <v>50</v>
      </c>
      <c r="BT1081" s="20">
        <v>1404040.4040404039</v>
      </c>
      <c r="BU1081" s="20">
        <v>6950000</v>
      </c>
      <c r="BV1081" s="20">
        <v>4.5</v>
      </c>
    </row>
    <row r="1082" spans="1:74">
      <c r="A1082" s="10">
        <f t="shared" si="66"/>
        <v>0</v>
      </c>
      <c r="B1082" s="10">
        <f t="shared" si="67"/>
        <v>0</v>
      </c>
      <c r="C1082" s="12">
        <f t="shared" si="68"/>
        <v>9</v>
      </c>
      <c r="D1082" s="12">
        <f t="shared" si="69"/>
        <v>9</v>
      </c>
      <c r="E1082" s="20" t="s">
        <v>574</v>
      </c>
      <c r="F1082" s="20" t="s">
        <v>3089</v>
      </c>
      <c r="G1082" s="20" t="s">
        <v>3948</v>
      </c>
      <c r="H1082" s="20" t="s">
        <v>4006</v>
      </c>
      <c r="I1082" s="20">
        <v>6</v>
      </c>
      <c r="J1082" s="20" t="s">
        <v>4007</v>
      </c>
      <c r="K1082" s="20" t="s">
        <v>4008</v>
      </c>
      <c r="L1082" s="20" t="s">
        <v>4009</v>
      </c>
      <c r="M1082" s="20" t="s">
        <v>2667</v>
      </c>
      <c r="N1082" s="20" t="s">
        <v>3216</v>
      </c>
      <c r="P1082" s="20" t="s">
        <v>2667</v>
      </c>
      <c r="Q1082" s="20" t="s">
        <v>2674</v>
      </c>
      <c r="R1082" s="20" t="s">
        <v>84</v>
      </c>
      <c r="S1082" s="20">
        <v>5</v>
      </c>
      <c r="T1082" s="20" t="s">
        <v>922</v>
      </c>
      <c r="U1082" s="20" t="s">
        <v>923</v>
      </c>
      <c r="V1082" s="20" t="s">
        <v>87</v>
      </c>
      <c r="W1082" s="20">
        <v>806</v>
      </c>
      <c r="X1082" s="20">
        <v>806</v>
      </c>
      <c r="Y1082" s="20" t="s">
        <v>4010</v>
      </c>
      <c r="Z1082" s="20">
        <v>0.25</v>
      </c>
      <c r="AA1082" s="20" t="s">
        <v>4011</v>
      </c>
      <c r="AB1082" s="20" t="s">
        <v>2707</v>
      </c>
      <c r="AC1082" s="20" t="s">
        <v>2708</v>
      </c>
      <c r="AD1082" s="20" t="s">
        <v>4012</v>
      </c>
      <c r="AE1082" s="20" t="s">
        <v>400</v>
      </c>
      <c r="AF1082" s="20">
        <v>0.25</v>
      </c>
      <c r="AG1082" s="20">
        <v>0</v>
      </c>
      <c r="AH1082" s="20">
        <v>1</v>
      </c>
      <c r="AI1082" s="4" t="s">
        <v>643</v>
      </c>
      <c r="AJ1082" s="20">
        <v>30</v>
      </c>
      <c r="AK1082" s="4" t="s">
        <v>679</v>
      </c>
      <c r="AL1082" s="4">
        <v>7</v>
      </c>
      <c r="AM1082" s="4" t="s">
        <v>514</v>
      </c>
      <c r="AN1082" s="4" t="s">
        <v>95</v>
      </c>
      <c r="AO1082" s="4" t="s">
        <v>680</v>
      </c>
      <c r="AP1082" s="4">
        <v>1</v>
      </c>
      <c r="AQ1082" s="20">
        <v>89000</v>
      </c>
      <c r="AR1082" s="4">
        <v>41898</v>
      </c>
      <c r="AS1082" s="20">
        <v>17979.797979797979</v>
      </c>
      <c r="AT1082" s="20">
        <v>0</v>
      </c>
      <c r="AU1082" s="20">
        <v>-17979.797979797979</v>
      </c>
      <c r="AV1082" s="20">
        <v>0</v>
      </c>
      <c r="AW1082" s="20">
        <v>0</v>
      </c>
      <c r="AX1082" s="20" t="s">
        <v>91</v>
      </c>
      <c r="AY1082" s="20">
        <v>0</v>
      </c>
      <c r="AZ1082" s="20">
        <v>0</v>
      </c>
      <c r="BA1082" s="20">
        <v>0</v>
      </c>
      <c r="BB1082" s="6">
        <v>41898</v>
      </c>
      <c r="BC1082" s="6">
        <v>0</v>
      </c>
      <c r="BD1082" s="6">
        <v>41901</v>
      </c>
      <c r="BE1082" s="6">
        <v>0</v>
      </c>
      <c r="BF1082" s="6">
        <v>41899</v>
      </c>
      <c r="BG1082" s="6">
        <v>0</v>
      </c>
      <c r="BH1082" s="6">
        <v>0</v>
      </c>
      <c r="BI1082" s="6">
        <v>0</v>
      </c>
      <c r="BJ1082" s="6">
        <v>0</v>
      </c>
      <c r="BK1082" s="4">
        <v>0</v>
      </c>
      <c r="BL1082" s="4">
        <v>0</v>
      </c>
      <c r="BM1082" s="20">
        <v>30</v>
      </c>
      <c r="BN1082" s="20">
        <v>0</v>
      </c>
      <c r="BO1082" s="20">
        <v>0</v>
      </c>
      <c r="BP1082" s="20">
        <v>0</v>
      </c>
      <c r="BQ1082" s="20">
        <v>0</v>
      </c>
      <c r="BR1082" s="20">
        <v>0</v>
      </c>
      <c r="BS1082" s="20">
        <v>30</v>
      </c>
      <c r="BT1082" s="20">
        <v>539393.93939393933</v>
      </c>
      <c r="BU1082" s="20">
        <v>2670000</v>
      </c>
      <c r="BV1082" s="20">
        <v>4.5</v>
      </c>
    </row>
    <row r="1083" spans="1:74">
      <c r="A1083" s="10">
        <f t="shared" si="66"/>
        <v>0</v>
      </c>
      <c r="B1083" s="10">
        <f t="shared" si="67"/>
        <v>0</v>
      </c>
      <c r="C1083" s="12">
        <f t="shared" si="68"/>
        <v>9</v>
      </c>
      <c r="D1083" s="12">
        <f t="shared" si="69"/>
        <v>9</v>
      </c>
      <c r="E1083" s="20" t="s">
        <v>574</v>
      </c>
      <c r="F1083" s="20" t="s">
        <v>3089</v>
      </c>
      <c r="G1083" s="20" t="s">
        <v>3948</v>
      </c>
      <c r="H1083" s="20" t="s">
        <v>4006</v>
      </c>
      <c r="I1083" s="20">
        <v>6</v>
      </c>
      <c r="J1083" s="20" t="s">
        <v>4007</v>
      </c>
      <c r="K1083" s="20" t="s">
        <v>4013</v>
      </c>
      <c r="L1083" s="20" t="s">
        <v>4009</v>
      </c>
      <c r="M1083" s="20" t="s">
        <v>2667</v>
      </c>
      <c r="N1083" s="20" t="s">
        <v>3216</v>
      </c>
      <c r="P1083" s="20" t="s">
        <v>2667</v>
      </c>
      <c r="Q1083" s="20" t="s">
        <v>2674</v>
      </c>
      <c r="R1083" s="20" t="s">
        <v>84</v>
      </c>
      <c r="S1083" s="20">
        <v>5</v>
      </c>
      <c r="T1083" s="20" t="s">
        <v>922</v>
      </c>
      <c r="U1083" s="20" t="s">
        <v>923</v>
      </c>
      <c r="V1083" s="20" t="s">
        <v>87</v>
      </c>
      <c r="W1083" s="20">
        <v>806</v>
      </c>
      <c r="X1083" s="20">
        <v>806</v>
      </c>
      <c r="Y1083" s="20" t="s">
        <v>4010</v>
      </c>
      <c r="Z1083" s="20">
        <v>0.25</v>
      </c>
      <c r="AA1083" s="20" t="s">
        <v>4014</v>
      </c>
      <c r="AB1083" s="20" t="s">
        <v>2707</v>
      </c>
      <c r="AC1083" s="20" t="s">
        <v>2708</v>
      </c>
      <c r="AD1083" s="20" t="s">
        <v>4012</v>
      </c>
      <c r="AE1083" s="20" t="s">
        <v>400</v>
      </c>
      <c r="AF1083" s="20">
        <v>0.25</v>
      </c>
      <c r="AG1083" s="20">
        <v>0</v>
      </c>
      <c r="AH1083" s="20">
        <v>1</v>
      </c>
      <c r="AI1083" s="4" t="s">
        <v>645</v>
      </c>
      <c r="AJ1083" s="20">
        <v>30</v>
      </c>
      <c r="AK1083" s="4" t="s">
        <v>679</v>
      </c>
      <c r="AL1083" s="4">
        <v>7</v>
      </c>
      <c r="AM1083" s="4" t="s">
        <v>514</v>
      </c>
      <c r="AN1083" s="4" t="s">
        <v>95</v>
      </c>
      <c r="AO1083" s="4" t="s">
        <v>680</v>
      </c>
      <c r="AP1083" s="4">
        <v>1</v>
      </c>
      <c r="AQ1083" s="20">
        <v>89000</v>
      </c>
      <c r="AR1083" s="4">
        <v>41898</v>
      </c>
      <c r="AS1083" s="20">
        <v>17979.797979797979</v>
      </c>
      <c r="AT1083" s="20">
        <v>0</v>
      </c>
      <c r="AU1083" s="20">
        <v>-17979.797979797979</v>
      </c>
      <c r="AV1083" s="20">
        <v>0</v>
      </c>
      <c r="AW1083" s="20">
        <v>0</v>
      </c>
      <c r="AX1083" s="20" t="s">
        <v>91</v>
      </c>
      <c r="AY1083" s="20">
        <v>0</v>
      </c>
      <c r="AZ1083" s="20">
        <v>0</v>
      </c>
      <c r="BA1083" s="20">
        <v>0</v>
      </c>
      <c r="BB1083" s="6">
        <v>41898</v>
      </c>
      <c r="BC1083" s="6">
        <v>0</v>
      </c>
      <c r="BD1083" s="6">
        <v>41901</v>
      </c>
      <c r="BE1083" s="6">
        <v>0</v>
      </c>
      <c r="BF1083" s="6">
        <v>41899</v>
      </c>
      <c r="BG1083" s="6">
        <v>0</v>
      </c>
      <c r="BH1083" s="6">
        <v>0</v>
      </c>
      <c r="BI1083" s="6">
        <v>0</v>
      </c>
      <c r="BJ1083" s="6">
        <v>0</v>
      </c>
      <c r="BK1083" s="4">
        <v>0</v>
      </c>
      <c r="BL1083" s="4">
        <v>0</v>
      </c>
      <c r="BM1083" s="20">
        <v>30</v>
      </c>
      <c r="BN1083" s="20">
        <v>0</v>
      </c>
      <c r="BO1083" s="20">
        <v>0</v>
      </c>
      <c r="BP1083" s="20">
        <v>0</v>
      </c>
      <c r="BQ1083" s="20">
        <v>0</v>
      </c>
      <c r="BR1083" s="20">
        <v>0</v>
      </c>
      <c r="BS1083" s="20">
        <v>30</v>
      </c>
      <c r="BT1083" s="20">
        <v>539393.93939393933</v>
      </c>
      <c r="BU1083" s="20">
        <v>2670000</v>
      </c>
      <c r="BV1083" s="20">
        <v>4.5</v>
      </c>
    </row>
    <row r="1084" spans="1:74">
      <c r="A1084" s="10">
        <f t="shared" si="66"/>
        <v>0</v>
      </c>
      <c r="B1084" s="10">
        <f t="shared" si="67"/>
        <v>0</v>
      </c>
      <c r="C1084" s="12">
        <f t="shared" si="68"/>
        <v>9</v>
      </c>
      <c r="D1084" s="12">
        <f t="shared" si="69"/>
        <v>9</v>
      </c>
      <c r="E1084" s="20" t="s">
        <v>574</v>
      </c>
      <c r="F1084" s="20" t="s">
        <v>3089</v>
      </c>
      <c r="G1084" s="20" t="s">
        <v>3948</v>
      </c>
      <c r="H1084" s="20" t="s">
        <v>4006</v>
      </c>
      <c r="I1084" s="20">
        <v>6</v>
      </c>
      <c r="J1084" s="20" t="s">
        <v>4007</v>
      </c>
      <c r="K1084" s="20" t="s">
        <v>4015</v>
      </c>
      <c r="L1084" s="20" t="s">
        <v>4009</v>
      </c>
      <c r="M1084" s="20" t="s">
        <v>2667</v>
      </c>
      <c r="N1084" s="20" t="s">
        <v>3216</v>
      </c>
      <c r="P1084" s="20" t="s">
        <v>2667</v>
      </c>
      <c r="Q1084" s="20" t="s">
        <v>2674</v>
      </c>
      <c r="R1084" s="20" t="s">
        <v>84</v>
      </c>
      <c r="S1084" s="20">
        <v>5</v>
      </c>
      <c r="T1084" s="20" t="s">
        <v>922</v>
      </c>
      <c r="U1084" s="20" t="s">
        <v>923</v>
      </c>
      <c r="V1084" s="20" t="s">
        <v>87</v>
      </c>
      <c r="W1084" s="20">
        <v>806</v>
      </c>
      <c r="X1084" s="20">
        <v>806</v>
      </c>
      <c r="Y1084" s="20" t="s">
        <v>4010</v>
      </c>
      <c r="Z1084" s="20">
        <v>0.25</v>
      </c>
      <c r="AA1084" s="20" t="s">
        <v>4016</v>
      </c>
      <c r="AB1084" s="20" t="s">
        <v>2707</v>
      </c>
      <c r="AC1084" s="20" t="s">
        <v>2708</v>
      </c>
      <c r="AD1084" s="20" t="s">
        <v>4012</v>
      </c>
      <c r="AE1084" s="20" t="s">
        <v>400</v>
      </c>
      <c r="AF1084" s="20">
        <v>0.25</v>
      </c>
      <c r="AG1084" s="20">
        <v>0</v>
      </c>
      <c r="AH1084" s="20">
        <v>1</v>
      </c>
      <c r="AI1084" s="4" t="s">
        <v>647</v>
      </c>
      <c r="AJ1084" s="20">
        <v>30</v>
      </c>
      <c r="AK1084" s="4" t="s">
        <v>679</v>
      </c>
      <c r="AL1084" s="4">
        <v>7</v>
      </c>
      <c r="AM1084" s="4" t="s">
        <v>514</v>
      </c>
      <c r="AN1084" s="4" t="s">
        <v>95</v>
      </c>
      <c r="AO1084" s="4" t="s">
        <v>680</v>
      </c>
      <c r="AP1084" s="4">
        <v>1</v>
      </c>
      <c r="AQ1084" s="20">
        <v>89000</v>
      </c>
      <c r="AR1084" s="4">
        <v>41898</v>
      </c>
      <c r="AS1084" s="20">
        <v>17979.797979797979</v>
      </c>
      <c r="AT1084" s="20">
        <v>0</v>
      </c>
      <c r="AU1084" s="20">
        <v>-17979.797979797979</v>
      </c>
      <c r="AV1084" s="20">
        <v>0</v>
      </c>
      <c r="AW1084" s="20">
        <v>0</v>
      </c>
      <c r="AX1084" s="20" t="s">
        <v>91</v>
      </c>
      <c r="AY1084" s="20">
        <v>0</v>
      </c>
      <c r="AZ1084" s="20">
        <v>0</v>
      </c>
      <c r="BA1084" s="20">
        <v>0</v>
      </c>
      <c r="BB1084" s="6">
        <v>41898</v>
      </c>
      <c r="BC1084" s="6">
        <v>0</v>
      </c>
      <c r="BD1084" s="6">
        <v>41901</v>
      </c>
      <c r="BE1084" s="6">
        <v>0</v>
      </c>
      <c r="BF1084" s="6">
        <v>41899</v>
      </c>
      <c r="BG1084" s="6">
        <v>0</v>
      </c>
      <c r="BH1084" s="6">
        <v>0</v>
      </c>
      <c r="BI1084" s="6">
        <v>0</v>
      </c>
      <c r="BJ1084" s="6">
        <v>0</v>
      </c>
      <c r="BK1084" s="4">
        <v>0</v>
      </c>
      <c r="BL1084" s="4">
        <v>0</v>
      </c>
      <c r="BM1084" s="20">
        <v>30</v>
      </c>
      <c r="BN1084" s="20">
        <v>0</v>
      </c>
      <c r="BO1084" s="20">
        <v>0</v>
      </c>
      <c r="BP1084" s="20">
        <v>0</v>
      </c>
      <c r="BQ1084" s="20">
        <v>0</v>
      </c>
      <c r="BR1084" s="20">
        <v>0</v>
      </c>
      <c r="BS1084" s="20">
        <v>30</v>
      </c>
      <c r="BT1084" s="20">
        <v>539393.93939393933</v>
      </c>
      <c r="BU1084" s="20">
        <v>2670000</v>
      </c>
      <c r="BV1084" s="20">
        <v>4.5</v>
      </c>
    </row>
    <row r="1085" spans="1:74">
      <c r="A1085" s="10">
        <f t="shared" si="66"/>
        <v>0</v>
      </c>
      <c r="B1085" s="10">
        <f t="shared" si="67"/>
        <v>0</v>
      </c>
      <c r="C1085" s="12">
        <f t="shared" si="68"/>
        <v>9</v>
      </c>
      <c r="D1085" s="12">
        <f t="shared" si="69"/>
        <v>9</v>
      </c>
      <c r="E1085" s="20" t="s">
        <v>574</v>
      </c>
      <c r="F1085" s="20" t="s">
        <v>3089</v>
      </c>
      <c r="G1085" s="20" t="s">
        <v>3948</v>
      </c>
      <c r="H1085" s="20" t="s">
        <v>4006</v>
      </c>
      <c r="I1085" s="20">
        <v>6</v>
      </c>
      <c r="J1085" s="20" t="s">
        <v>4007</v>
      </c>
      <c r="K1085" s="20" t="s">
        <v>4017</v>
      </c>
      <c r="L1085" s="20" t="s">
        <v>4009</v>
      </c>
      <c r="M1085" s="20" t="s">
        <v>2667</v>
      </c>
      <c r="N1085" s="20" t="s">
        <v>3216</v>
      </c>
      <c r="P1085" s="20" t="s">
        <v>2667</v>
      </c>
      <c r="Q1085" s="20" t="s">
        <v>2674</v>
      </c>
      <c r="R1085" s="20" t="s">
        <v>84</v>
      </c>
      <c r="S1085" s="20">
        <v>5</v>
      </c>
      <c r="T1085" s="20" t="s">
        <v>922</v>
      </c>
      <c r="U1085" s="20" t="s">
        <v>923</v>
      </c>
      <c r="V1085" s="20" t="s">
        <v>87</v>
      </c>
      <c r="W1085" s="20">
        <v>806</v>
      </c>
      <c r="X1085" s="20">
        <v>806</v>
      </c>
      <c r="Y1085" s="20" t="s">
        <v>4010</v>
      </c>
      <c r="Z1085" s="20">
        <v>0.25</v>
      </c>
      <c r="AA1085" s="20" t="s">
        <v>4018</v>
      </c>
      <c r="AB1085" s="20" t="s">
        <v>2707</v>
      </c>
      <c r="AC1085" s="20" t="s">
        <v>2708</v>
      </c>
      <c r="AD1085" s="20" t="s">
        <v>4012</v>
      </c>
      <c r="AE1085" s="20" t="s">
        <v>400</v>
      </c>
      <c r="AF1085" s="20">
        <v>0.25</v>
      </c>
      <c r="AG1085" s="20">
        <v>0</v>
      </c>
      <c r="AH1085" s="20">
        <v>1</v>
      </c>
      <c r="AI1085" s="4" t="s">
        <v>651</v>
      </c>
      <c r="AJ1085" s="20">
        <v>30</v>
      </c>
      <c r="AK1085" s="4" t="s">
        <v>679</v>
      </c>
      <c r="AL1085" s="4">
        <v>7</v>
      </c>
      <c r="AM1085" s="4" t="s">
        <v>514</v>
      </c>
      <c r="AN1085" s="4" t="s">
        <v>95</v>
      </c>
      <c r="AO1085" s="4" t="s">
        <v>680</v>
      </c>
      <c r="AP1085" s="4">
        <v>1</v>
      </c>
      <c r="AQ1085" s="20">
        <v>89000</v>
      </c>
      <c r="AR1085" s="4">
        <v>41898</v>
      </c>
      <c r="AS1085" s="20">
        <v>17979.797979797979</v>
      </c>
      <c r="AT1085" s="20">
        <v>0</v>
      </c>
      <c r="AU1085" s="20">
        <v>-17979.797979797979</v>
      </c>
      <c r="AV1085" s="20">
        <v>0</v>
      </c>
      <c r="AW1085" s="20">
        <v>0</v>
      </c>
      <c r="AX1085" s="20" t="s">
        <v>91</v>
      </c>
      <c r="AY1085" s="20">
        <v>0</v>
      </c>
      <c r="AZ1085" s="20">
        <v>0</v>
      </c>
      <c r="BA1085" s="20">
        <v>0</v>
      </c>
      <c r="BB1085" s="6">
        <v>41898</v>
      </c>
      <c r="BC1085" s="6">
        <v>0</v>
      </c>
      <c r="BD1085" s="6">
        <v>41901</v>
      </c>
      <c r="BE1085" s="6">
        <v>0</v>
      </c>
      <c r="BF1085" s="6">
        <v>41899</v>
      </c>
      <c r="BG1085" s="6">
        <v>0</v>
      </c>
      <c r="BH1085" s="6">
        <v>0</v>
      </c>
      <c r="BI1085" s="6">
        <v>0</v>
      </c>
      <c r="BJ1085" s="6">
        <v>0</v>
      </c>
      <c r="BK1085" s="4">
        <v>0</v>
      </c>
      <c r="BL1085" s="4">
        <v>0</v>
      </c>
      <c r="BM1085" s="20">
        <v>30</v>
      </c>
      <c r="BN1085" s="20">
        <v>0</v>
      </c>
      <c r="BO1085" s="20">
        <v>0</v>
      </c>
      <c r="BP1085" s="20">
        <v>0</v>
      </c>
      <c r="BQ1085" s="20">
        <v>0</v>
      </c>
      <c r="BR1085" s="20">
        <v>0</v>
      </c>
      <c r="BS1085" s="20">
        <v>30</v>
      </c>
      <c r="BT1085" s="20">
        <v>539393.93939393933</v>
      </c>
      <c r="BU1085" s="20">
        <v>2670000</v>
      </c>
      <c r="BV1085" s="20">
        <v>4.5</v>
      </c>
    </row>
    <row r="1086" spans="1:74">
      <c r="A1086" s="10">
        <f t="shared" si="66"/>
        <v>0</v>
      </c>
      <c r="B1086" s="10">
        <f t="shared" si="67"/>
        <v>0</v>
      </c>
      <c r="C1086" s="12">
        <f t="shared" si="68"/>
        <v>9</v>
      </c>
      <c r="D1086" s="12">
        <f t="shared" si="69"/>
        <v>9</v>
      </c>
      <c r="E1086" s="20" t="s">
        <v>574</v>
      </c>
      <c r="F1086" s="20" t="s">
        <v>3089</v>
      </c>
      <c r="G1086" s="20" t="s">
        <v>3948</v>
      </c>
      <c r="H1086" s="20" t="s">
        <v>4019</v>
      </c>
      <c r="I1086" s="20">
        <v>7</v>
      </c>
      <c r="J1086" s="20" t="s">
        <v>4020</v>
      </c>
      <c r="K1086" s="20" t="s">
        <v>4021</v>
      </c>
      <c r="L1086" s="20" t="s">
        <v>4009</v>
      </c>
      <c r="M1086" s="20" t="s">
        <v>2667</v>
      </c>
      <c r="N1086" s="20" t="s">
        <v>3216</v>
      </c>
      <c r="P1086" s="20" t="s">
        <v>2667</v>
      </c>
      <c r="Q1086" s="20" t="s">
        <v>2674</v>
      </c>
      <c r="R1086" s="20" t="s">
        <v>84</v>
      </c>
      <c r="S1086" s="20">
        <v>5</v>
      </c>
      <c r="T1086" s="20" t="s">
        <v>922</v>
      </c>
      <c r="U1086" s="20" t="s">
        <v>923</v>
      </c>
      <c r="V1086" s="20" t="s">
        <v>87</v>
      </c>
      <c r="W1086" s="20">
        <v>806</v>
      </c>
      <c r="X1086" s="20">
        <v>806</v>
      </c>
      <c r="Y1086" s="20" t="s">
        <v>4010</v>
      </c>
      <c r="Z1086" s="20">
        <v>0.25</v>
      </c>
      <c r="AA1086" s="20" t="s">
        <v>4022</v>
      </c>
      <c r="AB1086" s="20" t="s">
        <v>159</v>
      </c>
      <c r="AC1086" s="20" t="s">
        <v>160</v>
      </c>
      <c r="AD1086" s="20" t="s">
        <v>4023</v>
      </c>
      <c r="AE1086" s="20" t="s">
        <v>400</v>
      </c>
      <c r="AF1086" s="20">
        <v>0.25</v>
      </c>
      <c r="AG1086" s="20">
        <v>0</v>
      </c>
      <c r="AH1086" s="20">
        <v>1</v>
      </c>
      <c r="AI1086" s="4" t="s">
        <v>643</v>
      </c>
      <c r="AJ1086" s="20">
        <v>80</v>
      </c>
      <c r="AK1086" s="4" t="s">
        <v>679</v>
      </c>
      <c r="AL1086" s="4">
        <v>7</v>
      </c>
      <c r="AM1086" s="4" t="s">
        <v>514</v>
      </c>
      <c r="AN1086" s="4" t="s">
        <v>95</v>
      </c>
      <c r="AO1086" s="4" t="s">
        <v>680</v>
      </c>
      <c r="AP1086" s="4">
        <v>1</v>
      </c>
      <c r="AQ1086" s="20">
        <v>89000</v>
      </c>
      <c r="AR1086" s="4">
        <v>41898</v>
      </c>
      <c r="AS1086" s="20">
        <v>17979.797979797979</v>
      </c>
      <c r="AT1086" s="20">
        <v>0</v>
      </c>
      <c r="AU1086" s="20">
        <v>-17979.797979797979</v>
      </c>
      <c r="AV1086" s="20">
        <v>0</v>
      </c>
      <c r="AW1086" s="20">
        <v>0</v>
      </c>
      <c r="AX1086" s="20" t="s">
        <v>91</v>
      </c>
      <c r="AY1086" s="20">
        <v>0</v>
      </c>
      <c r="AZ1086" s="20">
        <v>0</v>
      </c>
      <c r="BA1086" s="20">
        <v>0</v>
      </c>
      <c r="BB1086" s="6">
        <v>41898</v>
      </c>
      <c r="BC1086" s="6">
        <v>0</v>
      </c>
      <c r="BD1086" s="6">
        <v>41901</v>
      </c>
      <c r="BE1086" s="6">
        <v>0</v>
      </c>
      <c r="BF1086" s="6">
        <v>41899</v>
      </c>
      <c r="BG1086" s="6">
        <v>0</v>
      </c>
      <c r="BH1086" s="6">
        <v>0</v>
      </c>
      <c r="BI1086" s="6">
        <v>0</v>
      </c>
      <c r="BJ1086" s="6">
        <v>0</v>
      </c>
      <c r="BK1086" s="4">
        <v>0</v>
      </c>
      <c r="BL1086" s="4">
        <v>0</v>
      </c>
      <c r="BM1086" s="20">
        <v>80</v>
      </c>
      <c r="BN1086" s="20">
        <v>0</v>
      </c>
      <c r="BO1086" s="20">
        <v>0</v>
      </c>
      <c r="BP1086" s="20">
        <v>0</v>
      </c>
      <c r="BQ1086" s="20">
        <v>0</v>
      </c>
      <c r="BR1086" s="20">
        <v>0</v>
      </c>
      <c r="BS1086" s="20">
        <v>80</v>
      </c>
      <c r="BT1086" s="20">
        <v>1438383.8383838383</v>
      </c>
      <c r="BU1086" s="20">
        <v>7120000</v>
      </c>
      <c r="BV1086" s="20">
        <v>4.5</v>
      </c>
    </row>
    <row r="1087" spans="1:74">
      <c r="A1087" s="10">
        <f t="shared" si="66"/>
        <v>0</v>
      </c>
      <c r="B1087" s="10">
        <f t="shared" si="67"/>
        <v>0</v>
      </c>
      <c r="C1087" s="12">
        <f t="shared" si="68"/>
        <v>9</v>
      </c>
      <c r="D1087" s="12">
        <f t="shared" si="69"/>
        <v>9</v>
      </c>
      <c r="E1087" s="20" t="s">
        <v>574</v>
      </c>
      <c r="F1087" s="20" t="s">
        <v>3089</v>
      </c>
      <c r="G1087" s="20" t="s">
        <v>3948</v>
      </c>
      <c r="H1087" s="20" t="s">
        <v>4019</v>
      </c>
      <c r="I1087" s="20">
        <v>7</v>
      </c>
      <c r="J1087" s="20" t="s">
        <v>4020</v>
      </c>
      <c r="K1087" s="20" t="s">
        <v>4024</v>
      </c>
      <c r="L1087" s="20" t="s">
        <v>4009</v>
      </c>
      <c r="M1087" s="20" t="s">
        <v>2667</v>
      </c>
      <c r="N1087" s="20" t="s">
        <v>3216</v>
      </c>
      <c r="P1087" s="20" t="s">
        <v>2667</v>
      </c>
      <c r="Q1087" s="20" t="s">
        <v>2674</v>
      </c>
      <c r="R1087" s="20" t="s">
        <v>84</v>
      </c>
      <c r="S1087" s="20">
        <v>5</v>
      </c>
      <c r="T1087" s="20" t="s">
        <v>922</v>
      </c>
      <c r="U1087" s="20" t="s">
        <v>923</v>
      </c>
      <c r="V1087" s="20" t="s">
        <v>87</v>
      </c>
      <c r="W1087" s="20">
        <v>806</v>
      </c>
      <c r="X1087" s="20">
        <v>806</v>
      </c>
      <c r="Y1087" s="20" t="s">
        <v>4010</v>
      </c>
      <c r="Z1087" s="20">
        <v>0.25</v>
      </c>
      <c r="AA1087" s="20" t="s">
        <v>4025</v>
      </c>
      <c r="AB1087" s="20" t="s">
        <v>159</v>
      </c>
      <c r="AC1087" s="20" t="s">
        <v>160</v>
      </c>
      <c r="AD1087" s="20" t="s">
        <v>4023</v>
      </c>
      <c r="AE1087" s="20" t="s">
        <v>400</v>
      </c>
      <c r="AF1087" s="20">
        <v>0.25</v>
      </c>
      <c r="AG1087" s="20">
        <v>0</v>
      </c>
      <c r="AH1087" s="20">
        <v>1</v>
      </c>
      <c r="AI1087" s="4" t="s">
        <v>645</v>
      </c>
      <c r="AJ1087" s="20">
        <v>80</v>
      </c>
      <c r="AK1087" s="4" t="s">
        <v>679</v>
      </c>
      <c r="AL1087" s="4">
        <v>7</v>
      </c>
      <c r="AM1087" s="4" t="s">
        <v>514</v>
      </c>
      <c r="AN1087" s="4" t="s">
        <v>95</v>
      </c>
      <c r="AO1087" s="4" t="s">
        <v>680</v>
      </c>
      <c r="AP1087" s="4">
        <v>1</v>
      </c>
      <c r="AQ1087" s="20">
        <v>89000</v>
      </c>
      <c r="AR1087" s="4">
        <v>41898</v>
      </c>
      <c r="AS1087" s="20">
        <v>17979.797979797979</v>
      </c>
      <c r="AT1087" s="20">
        <v>0</v>
      </c>
      <c r="AU1087" s="20">
        <v>-17979.797979797979</v>
      </c>
      <c r="AV1087" s="20">
        <v>0</v>
      </c>
      <c r="AW1087" s="20">
        <v>0</v>
      </c>
      <c r="AX1087" s="20" t="s">
        <v>91</v>
      </c>
      <c r="AY1087" s="20">
        <v>0</v>
      </c>
      <c r="AZ1087" s="20">
        <v>0</v>
      </c>
      <c r="BA1087" s="20">
        <v>0</v>
      </c>
      <c r="BB1087" s="6">
        <v>41898</v>
      </c>
      <c r="BC1087" s="6">
        <v>0</v>
      </c>
      <c r="BD1087" s="6">
        <v>41901</v>
      </c>
      <c r="BE1087" s="6">
        <v>0</v>
      </c>
      <c r="BF1087" s="6">
        <v>41899</v>
      </c>
      <c r="BG1087" s="6">
        <v>0</v>
      </c>
      <c r="BH1087" s="6">
        <v>0</v>
      </c>
      <c r="BI1087" s="6">
        <v>0</v>
      </c>
      <c r="BJ1087" s="6">
        <v>0</v>
      </c>
      <c r="BK1087" s="4">
        <v>0</v>
      </c>
      <c r="BL1087" s="4">
        <v>0</v>
      </c>
      <c r="BM1087" s="20">
        <v>80</v>
      </c>
      <c r="BN1087" s="20">
        <v>0</v>
      </c>
      <c r="BO1087" s="20">
        <v>0</v>
      </c>
      <c r="BP1087" s="20">
        <v>0</v>
      </c>
      <c r="BQ1087" s="20">
        <v>0</v>
      </c>
      <c r="BR1087" s="20">
        <v>0</v>
      </c>
      <c r="BS1087" s="20">
        <v>80</v>
      </c>
      <c r="BT1087" s="20">
        <v>1438383.8383838383</v>
      </c>
      <c r="BU1087" s="20">
        <v>7120000</v>
      </c>
      <c r="BV1087" s="20">
        <v>4.5</v>
      </c>
    </row>
    <row r="1088" spans="1:74">
      <c r="A1088" s="10">
        <f t="shared" si="66"/>
        <v>0</v>
      </c>
      <c r="B1088" s="10">
        <f t="shared" si="67"/>
        <v>0</v>
      </c>
      <c r="C1088" s="12">
        <f t="shared" si="68"/>
        <v>9</v>
      </c>
      <c r="D1088" s="12">
        <f t="shared" si="69"/>
        <v>9</v>
      </c>
      <c r="E1088" s="20" t="s">
        <v>574</v>
      </c>
      <c r="F1088" s="20" t="s">
        <v>3089</v>
      </c>
      <c r="G1088" s="20" t="s">
        <v>3948</v>
      </c>
      <c r="H1088" s="20" t="s">
        <v>4019</v>
      </c>
      <c r="I1088" s="20">
        <v>7</v>
      </c>
      <c r="J1088" s="20" t="s">
        <v>4020</v>
      </c>
      <c r="K1088" s="20" t="s">
        <v>4026</v>
      </c>
      <c r="L1088" s="20" t="s">
        <v>4009</v>
      </c>
      <c r="M1088" s="20" t="s">
        <v>2667</v>
      </c>
      <c r="N1088" s="20" t="s">
        <v>3216</v>
      </c>
      <c r="P1088" s="20" t="s">
        <v>2667</v>
      </c>
      <c r="Q1088" s="20" t="s">
        <v>2674</v>
      </c>
      <c r="R1088" s="20" t="s">
        <v>84</v>
      </c>
      <c r="S1088" s="20">
        <v>5</v>
      </c>
      <c r="T1088" s="20" t="s">
        <v>922</v>
      </c>
      <c r="U1088" s="20" t="s">
        <v>923</v>
      </c>
      <c r="V1088" s="20" t="s">
        <v>87</v>
      </c>
      <c r="W1088" s="20">
        <v>806</v>
      </c>
      <c r="X1088" s="20">
        <v>806</v>
      </c>
      <c r="Y1088" s="20" t="s">
        <v>4010</v>
      </c>
      <c r="Z1088" s="20">
        <v>0.25</v>
      </c>
      <c r="AA1088" s="20" t="s">
        <v>4027</v>
      </c>
      <c r="AB1088" s="20" t="s">
        <v>159</v>
      </c>
      <c r="AC1088" s="20" t="s">
        <v>160</v>
      </c>
      <c r="AD1088" s="20" t="s">
        <v>4023</v>
      </c>
      <c r="AE1088" s="20" t="s">
        <v>400</v>
      </c>
      <c r="AF1088" s="20">
        <v>0.25</v>
      </c>
      <c r="AG1088" s="20">
        <v>0</v>
      </c>
      <c r="AH1088" s="20">
        <v>1</v>
      </c>
      <c r="AI1088" s="4" t="s">
        <v>647</v>
      </c>
      <c r="AJ1088" s="20">
        <v>17</v>
      </c>
      <c r="AK1088" s="4" t="s">
        <v>679</v>
      </c>
      <c r="AL1088" s="4">
        <v>7</v>
      </c>
      <c r="AM1088" s="4" t="s">
        <v>514</v>
      </c>
      <c r="AN1088" s="4" t="s">
        <v>95</v>
      </c>
      <c r="AO1088" s="4" t="s">
        <v>680</v>
      </c>
      <c r="AP1088" s="4">
        <v>1</v>
      </c>
      <c r="AQ1088" s="20">
        <v>89000</v>
      </c>
      <c r="AR1088" s="4">
        <v>41898</v>
      </c>
      <c r="AS1088" s="20">
        <v>17979.797979797979</v>
      </c>
      <c r="AT1088" s="20">
        <v>0</v>
      </c>
      <c r="AU1088" s="20">
        <v>-17979.797979797979</v>
      </c>
      <c r="AV1088" s="20">
        <v>0</v>
      </c>
      <c r="AW1088" s="20">
        <v>0</v>
      </c>
      <c r="AX1088" s="20" t="s">
        <v>91</v>
      </c>
      <c r="AY1088" s="20">
        <v>0</v>
      </c>
      <c r="AZ1088" s="20">
        <v>0</v>
      </c>
      <c r="BA1088" s="20">
        <v>0</v>
      </c>
      <c r="BB1088" s="6">
        <v>41898</v>
      </c>
      <c r="BC1088" s="6">
        <v>0</v>
      </c>
      <c r="BD1088" s="6">
        <v>41901</v>
      </c>
      <c r="BE1088" s="6">
        <v>0</v>
      </c>
      <c r="BF1088" s="6">
        <v>41899</v>
      </c>
      <c r="BG1088" s="6">
        <v>0</v>
      </c>
      <c r="BH1088" s="6">
        <v>0</v>
      </c>
      <c r="BI1088" s="6">
        <v>0</v>
      </c>
      <c r="BJ1088" s="6">
        <v>0</v>
      </c>
      <c r="BK1088" s="4">
        <v>0</v>
      </c>
      <c r="BL1088" s="4">
        <v>0</v>
      </c>
      <c r="BM1088" s="20">
        <v>17</v>
      </c>
      <c r="BN1088" s="20">
        <v>0</v>
      </c>
      <c r="BO1088" s="20">
        <v>0</v>
      </c>
      <c r="BP1088" s="20">
        <v>0</v>
      </c>
      <c r="BQ1088" s="20">
        <v>0</v>
      </c>
      <c r="BR1088" s="20">
        <v>0</v>
      </c>
      <c r="BS1088" s="20">
        <v>17</v>
      </c>
      <c r="BT1088" s="20">
        <v>305656.56565656565</v>
      </c>
      <c r="BU1088" s="20">
        <v>1513000</v>
      </c>
      <c r="BV1088" s="20">
        <v>4.5</v>
      </c>
    </row>
    <row r="1089" spans="1:74">
      <c r="A1089" s="10">
        <f t="shared" si="66"/>
        <v>0</v>
      </c>
      <c r="B1089" s="10">
        <f t="shared" si="67"/>
        <v>0</v>
      </c>
      <c r="C1089" s="12">
        <f t="shared" si="68"/>
        <v>9</v>
      </c>
      <c r="D1089" s="12">
        <f t="shared" si="69"/>
        <v>9</v>
      </c>
      <c r="E1089" s="20" t="s">
        <v>574</v>
      </c>
      <c r="F1089" s="20" t="s">
        <v>3089</v>
      </c>
      <c r="G1089" s="20" t="s">
        <v>3948</v>
      </c>
      <c r="H1089" s="20" t="s">
        <v>4019</v>
      </c>
      <c r="I1089" s="20">
        <v>7</v>
      </c>
      <c r="J1089" s="20" t="s">
        <v>4020</v>
      </c>
      <c r="K1089" s="20" t="s">
        <v>4028</v>
      </c>
      <c r="L1089" s="20" t="s">
        <v>4009</v>
      </c>
      <c r="M1089" s="20" t="s">
        <v>2667</v>
      </c>
      <c r="N1089" s="20" t="s">
        <v>3216</v>
      </c>
      <c r="P1089" s="20" t="s">
        <v>2667</v>
      </c>
      <c r="Q1089" s="20" t="s">
        <v>2674</v>
      </c>
      <c r="R1089" s="20" t="s">
        <v>84</v>
      </c>
      <c r="S1089" s="20">
        <v>5</v>
      </c>
      <c r="T1089" s="20" t="s">
        <v>922</v>
      </c>
      <c r="U1089" s="20" t="s">
        <v>923</v>
      </c>
      <c r="V1089" s="20" t="s">
        <v>87</v>
      </c>
      <c r="W1089" s="20">
        <v>806</v>
      </c>
      <c r="X1089" s="20">
        <v>806</v>
      </c>
      <c r="Y1089" s="20" t="s">
        <v>4010</v>
      </c>
      <c r="Z1089" s="20">
        <v>0.25</v>
      </c>
      <c r="AA1089" s="20" t="s">
        <v>4029</v>
      </c>
      <c r="AB1089" s="20" t="s">
        <v>159</v>
      </c>
      <c r="AC1089" s="20" t="s">
        <v>160</v>
      </c>
      <c r="AD1089" s="20" t="s">
        <v>4023</v>
      </c>
      <c r="AE1089" s="20" t="s">
        <v>400</v>
      </c>
      <c r="AF1089" s="20">
        <v>0.25</v>
      </c>
      <c r="AG1089" s="20">
        <v>0</v>
      </c>
      <c r="AH1089" s="20">
        <v>1</v>
      </c>
      <c r="AI1089" s="4" t="s">
        <v>651</v>
      </c>
      <c r="AJ1089" s="20">
        <v>8</v>
      </c>
      <c r="AK1089" s="4" t="s">
        <v>679</v>
      </c>
      <c r="AL1089" s="4">
        <v>7</v>
      </c>
      <c r="AM1089" s="4" t="s">
        <v>514</v>
      </c>
      <c r="AN1089" s="4" t="s">
        <v>95</v>
      </c>
      <c r="AO1089" s="4" t="s">
        <v>680</v>
      </c>
      <c r="AP1089" s="4">
        <v>1</v>
      </c>
      <c r="AQ1089" s="20">
        <v>89000</v>
      </c>
      <c r="AR1089" s="4">
        <v>41898</v>
      </c>
      <c r="AS1089" s="20">
        <v>17979.797979797979</v>
      </c>
      <c r="AT1089" s="20">
        <v>0</v>
      </c>
      <c r="AU1089" s="20">
        <v>-17979.797979797979</v>
      </c>
      <c r="AV1089" s="20">
        <v>0</v>
      </c>
      <c r="AW1089" s="20">
        <v>0</v>
      </c>
      <c r="AX1089" s="20" t="s">
        <v>91</v>
      </c>
      <c r="AY1089" s="20">
        <v>0</v>
      </c>
      <c r="AZ1089" s="20">
        <v>0</v>
      </c>
      <c r="BA1089" s="20">
        <v>0</v>
      </c>
      <c r="BB1089" s="6">
        <v>41898</v>
      </c>
      <c r="BC1089" s="6">
        <v>0</v>
      </c>
      <c r="BD1089" s="6">
        <v>41901</v>
      </c>
      <c r="BE1089" s="6">
        <v>0</v>
      </c>
      <c r="BF1089" s="6">
        <v>41899</v>
      </c>
      <c r="BG1089" s="6">
        <v>0</v>
      </c>
      <c r="BH1089" s="6">
        <v>0</v>
      </c>
      <c r="BI1089" s="6">
        <v>0</v>
      </c>
      <c r="BJ1089" s="6">
        <v>0</v>
      </c>
      <c r="BK1089" s="4">
        <v>0</v>
      </c>
      <c r="BL1089" s="4">
        <v>0</v>
      </c>
      <c r="BM1089" s="20">
        <v>8</v>
      </c>
      <c r="BN1089" s="20">
        <v>0</v>
      </c>
      <c r="BO1089" s="20">
        <v>0</v>
      </c>
      <c r="BP1089" s="20">
        <v>0</v>
      </c>
      <c r="BQ1089" s="20">
        <v>0</v>
      </c>
      <c r="BR1089" s="20">
        <v>0</v>
      </c>
      <c r="BS1089" s="20">
        <v>8</v>
      </c>
      <c r="BT1089" s="20">
        <v>143838.38383838383</v>
      </c>
      <c r="BU1089" s="20">
        <v>712000</v>
      </c>
      <c r="BV1089" s="20">
        <v>4.5</v>
      </c>
    </row>
    <row r="1090" spans="1:74">
      <c r="A1090" s="10">
        <f t="shared" si="66"/>
        <v>0</v>
      </c>
      <c r="B1090" s="10">
        <f t="shared" si="67"/>
        <v>0</v>
      </c>
      <c r="C1090" s="12">
        <f t="shared" si="68"/>
        <v>9</v>
      </c>
      <c r="D1090" s="12">
        <f t="shared" si="69"/>
        <v>9</v>
      </c>
      <c r="E1090" s="20" t="s">
        <v>574</v>
      </c>
      <c r="F1090" s="20" t="s">
        <v>3089</v>
      </c>
      <c r="G1090" s="20" t="s">
        <v>3948</v>
      </c>
      <c r="H1090" s="20" t="s">
        <v>4030</v>
      </c>
      <c r="I1090" s="20">
        <v>8</v>
      </c>
      <c r="J1090" s="20" t="s">
        <v>4031</v>
      </c>
      <c r="K1090" s="20" t="s">
        <v>4032</v>
      </c>
      <c r="L1090" s="20" t="s">
        <v>4033</v>
      </c>
      <c r="M1090" s="20" t="s">
        <v>2667</v>
      </c>
      <c r="N1090" s="20" t="s">
        <v>3216</v>
      </c>
      <c r="P1090" s="20" t="s">
        <v>2667</v>
      </c>
      <c r="Q1090" s="20" t="s">
        <v>2674</v>
      </c>
      <c r="R1090" s="20" t="s">
        <v>84</v>
      </c>
      <c r="S1090" s="20">
        <v>5</v>
      </c>
      <c r="T1090" s="20" t="s">
        <v>922</v>
      </c>
      <c r="U1090" s="20" t="s">
        <v>923</v>
      </c>
      <c r="V1090" s="20" t="s">
        <v>87</v>
      </c>
      <c r="W1090" s="20">
        <v>815</v>
      </c>
      <c r="X1090" s="20">
        <v>815</v>
      </c>
      <c r="Y1090" s="20" t="s">
        <v>4034</v>
      </c>
      <c r="Z1090" s="20">
        <v>0.25</v>
      </c>
      <c r="AA1090" s="20" t="s">
        <v>4035</v>
      </c>
      <c r="AB1090" s="20" t="s">
        <v>457</v>
      </c>
      <c r="AC1090" s="20" t="s">
        <v>458</v>
      </c>
      <c r="AD1090" s="20" t="s">
        <v>4036</v>
      </c>
      <c r="AE1090" s="20" t="s">
        <v>400</v>
      </c>
      <c r="AF1090" s="20">
        <v>0.25</v>
      </c>
      <c r="AG1090" s="20">
        <v>0</v>
      </c>
      <c r="AH1090" s="20">
        <v>1</v>
      </c>
      <c r="AI1090" s="4" t="s">
        <v>643</v>
      </c>
      <c r="AJ1090" s="20">
        <v>70</v>
      </c>
      <c r="AK1090" s="4" t="s">
        <v>679</v>
      </c>
      <c r="AL1090" s="4">
        <v>7</v>
      </c>
      <c r="AM1090" s="4" t="s">
        <v>514</v>
      </c>
      <c r="AN1090" s="4" t="s">
        <v>95</v>
      </c>
      <c r="AO1090" s="4" t="s">
        <v>680</v>
      </c>
      <c r="AP1090" s="4">
        <v>1</v>
      </c>
      <c r="AQ1090" s="20">
        <v>89000</v>
      </c>
      <c r="AR1090" s="4">
        <v>41898</v>
      </c>
      <c r="AS1090" s="20">
        <v>17979.797979797979</v>
      </c>
      <c r="AT1090" s="20">
        <v>0</v>
      </c>
      <c r="AU1090" s="20">
        <v>-17979.797979797979</v>
      </c>
      <c r="AV1090" s="20">
        <v>0</v>
      </c>
      <c r="AW1090" s="20">
        <v>0</v>
      </c>
      <c r="AX1090" s="20" t="s">
        <v>91</v>
      </c>
      <c r="AY1090" s="20">
        <v>0</v>
      </c>
      <c r="AZ1090" s="20">
        <v>0</v>
      </c>
      <c r="BA1090" s="20">
        <v>0</v>
      </c>
      <c r="BB1090" s="6">
        <v>41898</v>
      </c>
      <c r="BC1090" s="6">
        <v>0</v>
      </c>
      <c r="BD1090" s="6">
        <v>41901</v>
      </c>
      <c r="BE1090" s="6">
        <v>0</v>
      </c>
      <c r="BF1090" s="6">
        <v>41899</v>
      </c>
      <c r="BG1090" s="6">
        <v>0</v>
      </c>
      <c r="BH1090" s="6">
        <v>0</v>
      </c>
      <c r="BI1090" s="6">
        <v>0</v>
      </c>
      <c r="BJ1090" s="6">
        <v>0</v>
      </c>
      <c r="BK1090" s="4">
        <v>0</v>
      </c>
      <c r="BL1090" s="4">
        <v>0</v>
      </c>
      <c r="BM1090" s="20">
        <v>70</v>
      </c>
      <c r="BN1090" s="20">
        <v>0</v>
      </c>
      <c r="BO1090" s="20">
        <v>0</v>
      </c>
      <c r="BP1090" s="20">
        <v>0</v>
      </c>
      <c r="BQ1090" s="20">
        <v>0</v>
      </c>
      <c r="BR1090" s="20">
        <v>0</v>
      </c>
      <c r="BS1090" s="20">
        <v>70</v>
      </c>
      <c r="BT1090" s="20">
        <v>1258585.8585858585</v>
      </c>
      <c r="BU1090" s="20">
        <v>6230000</v>
      </c>
      <c r="BV1090" s="20">
        <v>4.5</v>
      </c>
    </row>
    <row r="1091" spans="1:74">
      <c r="A1091" s="10">
        <f t="shared" ref="A1091:A1154" si="70">IF($BL1091="공급",$Z1091,0)</f>
        <v>0</v>
      </c>
      <c r="B1091" s="10">
        <f t="shared" ref="B1091:B1154" si="71">IF($AV1091&gt;0,$Z1091,0)</f>
        <v>0</v>
      </c>
      <c r="C1091" s="12">
        <f t="shared" si="68"/>
        <v>9</v>
      </c>
      <c r="D1091" s="12">
        <f t="shared" si="69"/>
        <v>9</v>
      </c>
      <c r="E1091" s="20" t="s">
        <v>574</v>
      </c>
      <c r="F1091" s="20" t="s">
        <v>3089</v>
      </c>
      <c r="G1091" s="20" t="s">
        <v>3948</v>
      </c>
      <c r="H1091" s="20" t="s">
        <v>4030</v>
      </c>
      <c r="I1091" s="20">
        <v>8</v>
      </c>
      <c r="J1091" s="20" t="s">
        <v>4031</v>
      </c>
      <c r="K1091" s="20" t="s">
        <v>4037</v>
      </c>
      <c r="L1091" s="20" t="s">
        <v>4033</v>
      </c>
      <c r="M1091" s="20" t="s">
        <v>2667</v>
      </c>
      <c r="N1091" s="20" t="s">
        <v>3216</v>
      </c>
      <c r="P1091" s="20" t="s">
        <v>2667</v>
      </c>
      <c r="Q1091" s="20" t="s">
        <v>2674</v>
      </c>
      <c r="R1091" s="20" t="s">
        <v>84</v>
      </c>
      <c r="S1091" s="20">
        <v>5</v>
      </c>
      <c r="T1091" s="20" t="s">
        <v>922</v>
      </c>
      <c r="U1091" s="20" t="s">
        <v>923</v>
      </c>
      <c r="V1091" s="20" t="s">
        <v>87</v>
      </c>
      <c r="W1091" s="20">
        <v>815</v>
      </c>
      <c r="X1091" s="20">
        <v>815</v>
      </c>
      <c r="Y1091" s="20" t="s">
        <v>4034</v>
      </c>
      <c r="Z1091" s="20">
        <v>0.25</v>
      </c>
      <c r="AA1091" s="20" t="s">
        <v>4038</v>
      </c>
      <c r="AB1091" s="20" t="s">
        <v>457</v>
      </c>
      <c r="AC1091" s="20" t="s">
        <v>458</v>
      </c>
      <c r="AD1091" s="20" t="s">
        <v>4036</v>
      </c>
      <c r="AE1091" s="20" t="s">
        <v>400</v>
      </c>
      <c r="AF1091" s="20">
        <v>0.25</v>
      </c>
      <c r="AG1091" s="20">
        <v>0</v>
      </c>
      <c r="AH1091" s="20">
        <v>1</v>
      </c>
      <c r="AI1091" s="4" t="s">
        <v>645</v>
      </c>
      <c r="AJ1091" s="20">
        <v>100</v>
      </c>
      <c r="AK1091" s="4" t="s">
        <v>679</v>
      </c>
      <c r="AL1091" s="4">
        <v>7</v>
      </c>
      <c r="AM1091" s="4" t="s">
        <v>514</v>
      </c>
      <c r="AN1091" s="4" t="s">
        <v>95</v>
      </c>
      <c r="AO1091" s="4" t="s">
        <v>680</v>
      </c>
      <c r="AP1091" s="4">
        <v>1</v>
      </c>
      <c r="AQ1091" s="20">
        <v>89000</v>
      </c>
      <c r="AR1091" s="4">
        <v>41898</v>
      </c>
      <c r="AS1091" s="20">
        <v>17979.797979797979</v>
      </c>
      <c r="AT1091" s="20">
        <v>0</v>
      </c>
      <c r="AU1091" s="20">
        <v>-17979.797979797979</v>
      </c>
      <c r="AV1091" s="20">
        <v>0</v>
      </c>
      <c r="AW1091" s="20">
        <v>0</v>
      </c>
      <c r="AX1091" s="20" t="s">
        <v>91</v>
      </c>
      <c r="AY1091" s="20">
        <v>0</v>
      </c>
      <c r="AZ1091" s="20">
        <v>0</v>
      </c>
      <c r="BA1091" s="20">
        <v>0</v>
      </c>
      <c r="BB1091" s="6">
        <v>41898</v>
      </c>
      <c r="BC1091" s="6">
        <v>0</v>
      </c>
      <c r="BD1091" s="6">
        <v>41901</v>
      </c>
      <c r="BE1091" s="6">
        <v>0</v>
      </c>
      <c r="BF1091" s="6">
        <v>41899</v>
      </c>
      <c r="BG1091" s="6">
        <v>0</v>
      </c>
      <c r="BH1091" s="6">
        <v>0</v>
      </c>
      <c r="BI1091" s="6">
        <v>0</v>
      </c>
      <c r="BJ1091" s="6">
        <v>0</v>
      </c>
      <c r="BK1091" s="4">
        <v>0</v>
      </c>
      <c r="BL1091" s="4">
        <v>0</v>
      </c>
      <c r="BM1091" s="20">
        <v>100</v>
      </c>
      <c r="BN1091" s="20">
        <v>0</v>
      </c>
      <c r="BO1091" s="20">
        <v>0</v>
      </c>
      <c r="BP1091" s="20">
        <v>0</v>
      </c>
      <c r="BQ1091" s="20">
        <v>0</v>
      </c>
      <c r="BR1091" s="20">
        <v>0</v>
      </c>
      <c r="BS1091" s="20">
        <v>100</v>
      </c>
      <c r="BT1091" s="20">
        <v>1797979.7979797979</v>
      </c>
      <c r="BU1091" s="20">
        <v>8900000</v>
      </c>
      <c r="BV1091" s="20">
        <v>4.4999999999999991</v>
      </c>
    </row>
    <row r="1092" spans="1:74">
      <c r="A1092" s="10">
        <f t="shared" si="70"/>
        <v>0</v>
      </c>
      <c r="B1092" s="10">
        <f t="shared" si="71"/>
        <v>0</v>
      </c>
      <c r="C1092" s="12">
        <f t="shared" ref="C1092:C1155" si="72">IF($BB1092=0,"",MONTH($BB1092))</f>
        <v>9</v>
      </c>
      <c r="D1092" s="12">
        <f t="shared" si="69"/>
        <v>9</v>
      </c>
      <c r="E1092" s="20" t="s">
        <v>574</v>
      </c>
      <c r="F1092" s="20" t="s">
        <v>3089</v>
      </c>
      <c r="G1092" s="20" t="s">
        <v>3948</v>
      </c>
      <c r="H1092" s="20" t="s">
        <v>4030</v>
      </c>
      <c r="I1092" s="20">
        <v>8</v>
      </c>
      <c r="J1092" s="20" t="s">
        <v>4031</v>
      </c>
      <c r="K1092" s="20" t="s">
        <v>4039</v>
      </c>
      <c r="L1092" s="20" t="s">
        <v>4033</v>
      </c>
      <c r="M1092" s="20" t="s">
        <v>2667</v>
      </c>
      <c r="N1092" s="20" t="s">
        <v>3216</v>
      </c>
      <c r="P1092" s="20" t="s">
        <v>2667</v>
      </c>
      <c r="Q1092" s="20" t="s">
        <v>2674</v>
      </c>
      <c r="R1092" s="20" t="s">
        <v>84</v>
      </c>
      <c r="S1092" s="20">
        <v>5</v>
      </c>
      <c r="T1092" s="20" t="s">
        <v>922</v>
      </c>
      <c r="U1092" s="20" t="s">
        <v>923</v>
      </c>
      <c r="V1092" s="20" t="s">
        <v>87</v>
      </c>
      <c r="W1092" s="20">
        <v>815</v>
      </c>
      <c r="X1092" s="20">
        <v>815</v>
      </c>
      <c r="Y1092" s="20" t="s">
        <v>4034</v>
      </c>
      <c r="Z1092" s="20">
        <v>0.25</v>
      </c>
      <c r="AA1092" s="20" t="s">
        <v>4040</v>
      </c>
      <c r="AB1092" s="20" t="s">
        <v>457</v>
      </c>
      <c r="AC1092" s="20" t="s">
        <v>458</v>
      </c>
      <c r="AD1092" s="20" t="s">
        <v>4036</v>
      </c>
      <c r="AE1092" s="20" t="s">
        <v>400</v>
      </c>
      <c r="AF1092" s="20">
        <v>0.25</v>
      </c>
      <c r="AG1092" s="20">
        <v>0</v>
      </c>
      <c r="AH1092" s="20">
        <v>1</v>
      </c>
      <c r="AI1092" s="4" t="s">
        <v>647</v>
      </c>
      <c r="AJ1092" s="20">
        <v>100</v>
      </c>
      <c r="AK1092" s="4" t="s">
        <v>679</v>
      </c>
      <c r="AL1092" s="4">
        <v>7</v>
      </c>
      <c r="AM1092" s="4" t="s">
        <v>514</v>
      </c>
      <c r="AN1092" s="4" t="s">
        <v>95</v>
      </c>
      <c r="AO1092" s="4" t="s">
        <v>680</v>
      </c>
      <c r="AP1092" s="4">
        <v>1</v>
      </c>
      <c r="AQ1092" s="20">
        <v>89000</v>
      </c>
      <c r="AR1092" s="4">
        <v>41898</v>
      </c>
      <c r="AS1092" s="20">
        <v>17979.797979797979</v>
      </c>
      <c r="AT1092" s="20">
        <v>0</v>
      </c>
      <c r="AU1092" s="20">
        <v>-17979.797979797979</v>
      </c>
      <c r="AV1092" s="20">
        <v>0</v>
      </c>
      <c r="AW1092" s="20">
        <v>0</v>
      </c>
      <c r="AX1092" s="20" t="s">
        <v>91</v>
      </c>
      <c r="AY1092" s="20">
        <v>0</v>
      </c>
      <c r="AZ1092" s="20">
        <v>0</v>
      </c>
      <c r="BA1092" s="20">
        <v>0</v>
      </c>
      <c r="BB1092" s="6">
        <v>41898</v>
      </c>
      <c r="BC1092" s="6">
        <v>0</v>
      </c>
      <c r="BD1092" s="6">
        <v>41901</v>
      </c>
      <c r="BE1092" s="6">
        <v>0</v>
      </c>
      <c r="BF1092" s="6">
        <v>41899</v>
      </c>
      <c r="BG1092" s="6">
        <v>0</v>
      </c>
      <c r="BH1092" s="6">
        <v>0</v>
      </c>
      <c r="BI1092" s="6">
        <v>0</v>
      </c>
      <c r="BJ1092" s="6">
        <v>0</v>
      </c>
      <c r="BK1092" s="4">
        <v>0</v>
      </c>
      <c r="BL1092" s="4">
        <v>0</v>
      </c>
      <c r="BM1092" s="20">
        <v>100</v>
      </c>
      <c r="BN1092" s="20">
        <v>0</v>
      </c>
      <c r="BO1092" s="20">
        <v>0</v>
      </c>
      <c r="BP1092" s="20">
        <v>0</v>
      </c>
      <c r="BQ1092" s="20">
        <v>0</v>
      </c>
      <c r="BR1092" s="20">
        <v>0</v>
      </c>
      <c r="BS1092" s="20">
        <v>100</v>
      </c>
      <c r="BT1092" s="20">
        <v>1797979.7979797979</v>
      </c>
      <c r="BU1092" s="20">
        <v>8900000</v>
      </c>
      <c r="BV1092" s="20">
        <v>4.4999999999999991</v>
      </c>
    </row>
    <row r="1093" spans="1:74">
      <c r="A1093" s="10">
        <f t="shared" si="70"/>
        <v>0</v>
      </c>
      <c r="B1093" s="10">
        <f t="shared" si="71"/>
        <v>0</v>
      </c>
      <c r="C1093" s="12">
        <f t="shared" si="72"/>
        <v>9</v>
      </c>
      <c r="D1093" s="12">
        <f t="shared" ref="D1093:D1156" si="73">IF(AND(BD1093=0,BF1093=0),"",MONTH(IF($BF1093=0,$BD1093,$BF1093)))</f>
        <v>9</v>
      </c>
      <c r="E1093" s="20" t="s">
        <v>574</v>
      </c>
      <c r="F1093" s="20" t="s">
        <v>3089</v>
      </c>
      <c r="G1093" s="20" t="s">
        <v>3948</v>
      </c>
      <c r="H1093" s="20" t="s">
        <v>4030</v>
      </c>
      <c r="I1093" s="20">
        <v>8</v>
      </c>
      <c r="J1093" s="20" t="s">
        <v>4031</v>
      </c>
      <c r="K1093" s="20" t="s">
        <v>4041</v>
      </c>
      <c r="L1093" s="20" t="s">
        <v>4033</v>
      </c>
      <c r="M1093" s="20" t="s">
        <v>2667</v>
      </c>
      <c r="N1093" s="20" t="s">
        <v>3216</v>
      </c>
      <c r="P1093" s="20" t="s">
        <v>2667</v>
      </c>
      <c r="Q1093" s="20" t="s">
        <v>2674</v>
      </c>
      <c r="R1093" s="20" t="s">
        <v>84</v>
      </c>
      <c r="S1093" s="20">
        <v>5</v>
      </c>
      <c r="T1093" s="20" t="s">
        <v>922</v>
      </c>
      <c r="U1093" s="20" t="s">
        <v>923</v>
      </c>
      <c r="V1093" s="20" t="s">
        <v>87</v>
      </c>
      <c r="W1093" s="20">
        <v>815</v>
      </c>
      <c r="X1093" s="20">
        <v>815</v>
      </c>
      <c r="Y1093" s="20" t="s">
        <v>4034</v>
      </c>
      <c r="Z1093" s="20">
        <v>0.25</v>
      </c>
      <c r="AA1093" s="20" t="s">
        <v>4042</v>
      </c>
      <c r="AB1093" s="20" t="s">
        <v>457</v>
      </c>
      <c r="AC1093" s="20" t="s">
        <v>458</v>
      </c>
      <c r="AD1093" s="20" t="s">
        <v>4036</v>
      </c>
      <c r="AE1093" s="20" t="s">
        <v>400</v>
      </c>
      <c r="AF1093" s="20">
        <v>0.25</v>
      </c>
      <c r="AG1093" s="20">
        <v>0</v>
      </c>
      <c r="AH1093" s="20">
        <v>1</v>
      </c>
      <c r="AI1093" s="4" t="s">
        <v>651</v>
      </c>
      <c r="AJ1093" s="20">
        <v>70</v>
      </c>
      <c r="AK1093" s="4" t="s">
        <v>679</v>
      </c>
      <c r="AL1093" s="4">
        <v>7</v>
      </c>
      <c r="AM1093" s="4" t="s">
        <v>514</v>
      </c>
      <c r="AN1093" s="4" t="s">
        <v>95</v>
      </c>
      <c r="AO1093" s="4" t="s">
        <v>680</v>
      </c>
      <c r="AP1093" s="4">
        <v>1</v>
      </c>
      <c r="AQ1093" s="20">
        <v>89000</v>
      </c>
      <c r="AR1093" s="4">
        <v>41898</v>
      </c>
      <c r="AS1093" s="20">
        <v>17979.797979797979</v>
      </c>
      <c r="AT1093" s="20">
        <v>0</v>
      </c>
      <c r="AU1093" s="20">
        <v>-17979.797979797979</v>
      </c>
      <c r="AV1093" s="20">
        <v>0</v>
      </c>
      <c r="AW1093" s="20">
        <v>0</v>
      </c>
      <c r="AX1093" s="20" t="s">
        <v>91</v>
      </c>
      <c r="AY1093" s="20">
        <v>0</v>
      </c>
      <c r="AZ1093" s="20">
        <v>0</v>
      </c>
      <c r="BA1093" s="20">
        <v>0</v>
      </c>
      <c r="BB1093" s="6">
        <v>41898</v>
      </c>
      <c r="BC1093" s="6">
        <v>0</v>
      </c>
      <c r="BD1093" s="6">
        <v>41901</v>
      </c>
      <c r="BE1093" s="6">
        <v>0</v>
      </c>
      <c r="BF1093" s="6">
        <v>41899</v>
      </c>
      <c r="BG1093" s="6">
        <v>0</v>
      </c>
      <c r="BH1093" s="6">
        <v>0</v>
      </c>
      <c r="BI1093" s="6">
        <v>0</v>
      </c>
      <c r="BJ1093" s="6">
        <v>0</v>
      </c>
      <c r="BK1093" s="4">
        <v>0</v>
      </c>
      <c r="BL1093" s="4">
        <v>0</v>
      </c>
      <c r="BM1093" s="20">
        <v>70</v>
      </c>
      <c r="BN1093" s="20">
        <v>0</v>
      </c>
      <c r="BO1093" s="20">
        <v>0</v>
      </c>
      <c r="BP1093" s="20">
        <v>0</v>
      </c>
      <c r="BQ1093" s="20">
        <v>0</v>
      </c>
      <c r="BR1093" s="20">
        <v>0</v>
      </c>
      <c r="BS1093" s="20">
        <v>70</v>
      </c>
      <c r="BT1093" s="20">
        <v>1258585.8585858585</v>
      </c>
      <c r="BU1093" s="20">
        <v>6230000</v>
      </c>
      <c r="BV1093" s="20">
        <v>4.5</v>
      </c>
    </row>
    <row r="1094" spans="1:74">
      <c r="A1094" s="10">
        <f t="shared" si="70"/>
        <v>0</v>
      </c>
      <c r="B1094" s="10">
        <f t="shared" si="71"/>
        <v>0</v>
      </c>
      <c r="C1094" s="12" t="str">
        <f t="shared" si="72"/>
        <v/>
      </c>
      <c r="D1094" s="12" t="str">
        <f t="shared" si="73"/>
        <v/>
      </c>
      <c r="E1094" s="20" t="s">
        <v>91</v>
      </c>
      <c r="F1094" s="20" t="s">
        <v>91</v>
      </c>
      <c r="G1094" s="20" t="s">
        <v>91</v>
      </c>
      <c r="H1094" s="20" t="s">
        <v>91</v>
      </c>
      <c r="I1094" s="20">
        <v>0</v>
      </c>
      <c r="J1094" s="20" t="s">
        <v>103</v>
      </c>
      <c r="K1094" s="20" t="s">
        <v>104</v>
      </c>
      <c r="L1094" s="20">
        <v>0</v>
      </c>
      <c r="M1094" s="20" t="s">
        <v>105</v>
      </c>
      <c r="N1094" s="20" t="s">
        <v>91</v>
      </c>
      <c r="O1094" s="20" t="s">
        <v>4043</v>
      </c>
      <c r="Q1094" s="20" t="s">
        <v>91</v>
      </c>
      <c r="R1094" s="20" t="s">
        <v>91</v>
      </c>
      <c r="S1094" s="20" t="s">
        <v>91</v>
      </c>
      <c r="T1094" s="20" t="s">
        <v>91</v>
      </c>
      <c r="U1094" s="20" t="s">
        <v>91</v>
      </c>
      <c r="V1094" s="20" t="s">
        <v>87</v>
      </c>
      <c r="W1094" s="20" t="s">
        <v>91</v>
      </c>
      <c r="X1094" s="20" t="s">
        <v>91</v>
      </c>
      <c r="Y1094" s="20" t="s">
        <v>91</v>
      </c>
      <c r="Z1094" s="20">
        <v>8</v>
      </c>
      <c r="AB1094" s="20" t="s">
        <v>91</v>
      </c>
      <c r="AD1094" s="20" t="s">
        <v>91</v>
      </c>
      <c r="AE1094" s="20" t="s">
        <v>91</v>
      </c>
      <c r="AF1094" s="20">
        <v>8</v>
      </c>
      <c r="AG1094" s="20">
        <v>0</v>
      </c>
      <c r="AH1094" s="20">
        <v>1</v>
      </c>
      <c r="AM1094" s="4" t="s">
        <v>91</v>
      </c>
      <c r="AP1094" s="4" t="s">
        <v>91</v>
      </c>
      <c r="AQ1094" s="20">
        <v>0</v>
      </c>
      <c r="AR1094" s="4">
        <v>0</v>
      </c>
      <c r="AS1094" s="20">
        <v>0</v>
      </c>
      <c r="AT1094" s="20">
        <v>0</v>
      </c>
      <c r="AU1094" s="20">
        <v>0</v>
      </c>
      <c r="AV1094" s="20">
        <v>0</v>
      </c>
      <c r="AW1094" s="20">
        <v>0</v>
      </c>
      <c r="AX1094" s="20" t="s">
        <v>91</v>
      </c>
      <c r="AY1094" s="20">
        <v>0</v>
      </c>
      <c r="AZ1094" s="20">
        <v>0</v>
      </c>
      <c r="BA1094" s="20">
        <v>0</v>
      </c>
      <c r="BB1094" s="6">
        <v>0</v>
      </c>
      <c r="BC1094" s="6">
        <v>0</v>
      </c>
      <c r="BD1094" s="6">
        <v>0</v>
      </c>
      <c r="BE1094" s="6">
        <v>0</v>
      </c>
      <c r="BF1094" s="6">
        <v>0</v>
      </c>
      <c r="BG1094" s="6">
        <v>0</v>
      </c>
      <c r="BH1094" s="6">
        <v>0</v>
      </c>
      <c r="BI1094" s="6">
        <v>0</v>
      </c>
      <c r="BJ1094" s="6">
        <v>0</v>
      </c>
      <c r="BK1094" s="4">
        <v>0</v>
      </c>
      <c r="BL1094" s="4">
        <v>0</v>
      </c>
      <c r="BM1094" s="20">
        <v>1700</v>
      </c>
      <c r="BN1094" s="20">
        <v>0</v>
      </c>
      <c r="BO1094" s="20">
        <v>0</v>
      </c>
      <c r="BP1094" s="20">
        <v>0</v>
      </c>
      <c r="BQ1094" s="20">
        <v>0</v>
      </c>
      <c r="BR1094" s="20">
        <v>0</v>
      </c>
      <c r="BS1094" s="20">
        <v>1700</v>
      </c>
      <c r="BT1094" s="20">
        <v>40676767.676767662</v>
      </c>
      <c r="BU1094" s="20">
        <v>201350000</v>
      </c>
      <c r="BV1094" s="20">
        <v>4.5000000000000009</v>
      </c>
    </row>
    <row r="1095" spans="1:74">
      <c r="A1095" s="10">
        <f t="shared" si="70"/>
        <v>0</v>
      </c>
      <c r="B1095" s="10">
        <f t="shared" si="71"/>
        <v>0</v>
      </c>
      <c r="C1095" s="12">
        <f t="shared" si="72"/>
        <v>9</v>
      </c>
      <c r="D1095" s="12">
        <f t="shared" si="73"/>
        <v>9</v>
      </c>
      <c r="E1095" s="20" t="s">
        <v>574</v>
      </c>
      <c r="F1095" s="20" t="s">
        <v>3735</v>
      </c>
      <c r="G1095" s="20" t="s">
        <v>4044</v>
      </c>
      <c r="H1095" s="20" t="s">
        <v>4045</v>
      </c>
      <c r="I1095" s="20">
        <v>1</v>
      </c>
      <c r="J1095" s="20" t="s">
        <v>4046</v>
      </c>
      <c r="K1095" s="20" t="s">
        <v>4047</v>
      </c>
      <c r="L1095" s="20" t="s">
        <v>4048</v>
      </c>
      <c r="M1095" s="20" t="s">
        <v>3741</v>
      </c>
      <c r="N1095" s="20" t="s">
        <v>4049</v>
      </c>
      <c r="P1095" s="20" t="s">
        <v>3741</v>
      </c>
      <c r="Q1095" s="20" t="s">
        <v>3743</v>
      </c>
      <c r="R1095" s="20" t="s">
        <v>84</v>
      </c>
      <c r="S1095" s="20">
        <v>5</v>
      </c>
      <c r="T1095" s="20" t="s">
        <v>674</v>
      </c>
      <c r="U1095" s="20" t="s">
        <v>675</v>
      </c>
      <c r="V1095" s="20" t="s">
        <v>87</v>
      </c>
      <c r="W1095" s="20">
        <v>806</v>
      </c>
      <c r="X1095" s="20">
        <v>806</v>
      </c>
      <c r="Y1095" s="20" t="s">
        <v>4050</v>
      </c>
      <c r="Z1095" s="20">
        <v>0.33333333333333331</v>
      </c>
      <c r="AA1095" s="20" t="s">
        <v>4051</v>
      </c>
      <c r="AB1095" s="20" t="s">
        <v>248</v>
      </c>
      <c r="AC1095" s="20" t="s">
        <v>249</v>
      </c>
      <c r="AD1095" s="20" t="s">
        <v>4052</v>
      </c>
      <c r="AE1095" s="20" t="s">
        <v>400</v>
      </c>
      <c r="AF1095" s="20">
        <v>0.33333333333333331</v>
      </c>
      <c r="AG1095" s="20">
        <v>0</v>
      </c>
      <c r="AH1095" s="20">
        <v>1</v>
      </c>
      <c r="AI1095" s="4" t="s">
        <v>643</v>
      </c>
      <c r="AJ1095" s="20">
        <v>30</v>
      </c>
      <c r="AK1095" s="4" t="s">
        <v>679</v>
      </c>
      <c r="AL1095" s="4">
        <v>8</v>
      </c>
      <c r="AM1095" s="4" t="s">
        <v>180</v>
      </c>
      <c r="AN1095" s="4" t="s">
        <v>95</v>
      </c>
      <c r="AO1095" s="4" t="s">
        <v>680</v>
      </c>
      <c r="AP1095" s="4">
        <v>1</v>
      </c>
      <c r="AQ1095" s="20">
        <v>179000</v>
      </c>
      <c r="AR1095" s="4">
        <v>41898</v>
      </c>
      <c r="AS1095" s="20">
        <v>36161.616161616155</v>
      </c>
      <c r="AT1095" s="20">
        <v>0</v>
      </c>
      <c r="AU1095" s="20">
        <v>-36161.616161616155</v>
      </c>
      <c r="AV1095" s="20">
        <v>0</v>
      </c>
      <c r="AW1095" s="20">
        <v>0</v>
      </c>
      <c r="AX1095" s="20" t="s">
        <v>91</v>
      </c>
      <c r="AY1095" s="20">
        <v>0</v>
      </c>
      <c r="AZ1095" s="20">
        <v>0</v>
      </c>
      <c r="BA1095" s="20">
        <v>0</v>
      </c>
      <c r="BB1095" s="6">
        <v>41898</v>
      </c>
      <c r="BC1095" s="6">
        <v>0</v>
      </c>
      <c r="BD1095" s="6">
        <v>41901</v>
      </c>
      <c r="BE1095" s="6">
        <v>0</v>
      </c>
      <c r="BF1095" s="6">
        <v>41899</v>
      </c>
      <c r="BG1095" s="6">
        <v>0</v>
      </c>
      <c r="BH1095" s="6">
        <v>0</v>
      </c>
      <c r="BI1095" s="6">
        <v>0</v>
      </c>
      <c r="BJ1095" s="6">
        <v>0</v>
      </c>
      <c r="BK1095" s="4">
        <v>0</v>
      </c>
      <c r="BL1095" s="4">
        <v>0</v>
      </c>
      <c r="BM1095" s="20">
        <v>30</v>
      </c>
      <c r="BN1095" s="20">
        <v>0</v>
      </c>
      <c r="BO1095" s="20">
        <v>0</v>
      </c>
      <c r="BP1095" s="20">
        <v>0</v>
      </c>
      <c r="BQ1095" s="20">
        <v>0</v>
      </c>
      <c r="BR1095" s="20">
        <v>0</v>
      </c>
      <c r="BS1095" s="20">
        <v>30</v>
      </c>
      <c r="BT1095" s="20">
        <v>1084848.4848484846</v>
      </c>
      <c r="BU1095" s="20">
        <v>5370000</v>
      </c>
      <c r="BV1095" s="20">
        <v>4.5</v>
      </c>
    </row>
    <row r="1096" spans="1:74">
      <c r="A1096" s="10">
        <f t="shared" si="70"/>
        <v>0</v>
      </c>
      <c r="B1096" s="10">
        <f t="shared" si="71"/>
        <v>0</v>
      </c>
      <c r="C1096" s="12">
        <f t="shared" si="72"/>
        <v>9</v>
      </c>
      <c r="D1096" s="12">
        <f t="shared" si="73"/>
        <v>9</v>
      </c>
      <c r="E1096" s="20" t="s">
        <v>574</v>
      </c>
      <c r="F1096" s="20" t="s">
        <v>3735</v>
      </c>
      <c r="G1096" s="20" t="s">
        <v>4044</v>
      </c>
      <c r="H1096" s="20" t="s">
        <v>4045</v>
      </c>
      <c r="I1096" s="20">
        <v>1</v>
      </c>
      <c r="J1096" s="20" t="s">
        <v>4046</v>
      </c>
      <c r="K1096" s="20" t="s">
        <v>4053</v>
      </c>
      <c r="L1096" s="20" t="s">
        <v>4048</v>
      </c>
      <c r="M1096" s="20" t="s">
        <v>3741</v>
      </c>
      <c r="N1096" s="20" t="s">
        <v>4049</v>
      </c>
      <c r="P1096" s="20" t="s">
        <v>3741</v>
      </c>
      <c r="Q1096" s="20" t="s">
        <v>3743</v>
      </c>
      <c r="R1096" s="20" t="s">
        <v>84</v>
      </c>
      <c r="S1096" s="20">
        <v>5</v>
      </c>
      <c r="T1096" s="20" t="s">
        <v>674</v>
      </c>
      <c r="U1096" s="20" t="s">
        <v>675</v>
      </c>
      <c r="V1096" s="20" t="s">
        <v>87</v>
      </c>
      <c r="W1096" s="20">
        <v>806</v>
      </c>
      <c r="X1096" s="20">
        <v>806</v>
      </c>
      <c r="Y1096" s="20" t="s">
        <v>4050</v>
      </c>
      <c r="Z1096" s="20">
        <v>0.33333333333333331</v>
      </c>
      <c r="AA1096" s="20" t="s">
        <v>4054</v>
      </c>
      <c r="AB1096" s="20" t="s">
        <v>248</v>
      </c>
      <c r="AC1096" s="20" t="s">
        <v>249</v>
      </c>
      <c r="AD1096" s="20" t="s">
        <v>4052</v>
      </c>
      <c r="AE1096" s="20" t="s">
        <v>400</v>
      </c>
      <c r="AF1096" s="20">
        <v>0.33333333333333331</v>
      </c>
      <c r="AG1096" s="20">
        <v>0</v>
      </c>
      <c r="AH1096" s="20">
        <v>1</v>
      </c>
      <c r="AI1096" s="4" t="s">
        <v>647</v>
      </c>
      <c r="AJ1096" s="20">
        <v>30</v>
      </c>
      <c r="AK1096" s="4" t="s">
        <v>679</v>
      </c>
      <c r="AL1096" s="4">
        <v>8</v>
      </c>
      <c r="AM1096" s="4" t="s">
        <v>180</v>
      </c>
      <c r="AN1096" s="4" t="s">
        <v>95</v>
      </c>
      <c r="AO1096" s="4" t="s">
        <v>680</v>
      </c>
      <c r="AP1096" s="4">
        <v>1</v>
      </c>
      <c r="AQ1096" s="20">
        <v>179000</v>
      </c>
      <c r="AR1096" s="4">
        <v>41898</v>
      </c>
      <c r="AS1096" s="20">
        <v>36161.616161616155</v>
      </c>
      <c r="AT1096" s="20">
        <v>0</v>
      </c>
      <c r="AU1096" s="20">
        <v>-36161.616161616155</v>
      </c>
      <c r="AV1096" s="20">
        <v>0</v>
      </c>
      <c r="AW1096" s="20">
        <v>0</v>
      </c>
      <c r="AX1096" s="20" t="s">
        <v>91</v>
      </c>
      <c r="AY1096" s="20">
        <v>0</v>
      </c>
      <c r="AZ1096" s="20">
        <v>0</v>
      </c>
      <c r="BA1096" s="20">
        <v>0</v>
      </c>
      <c r="BB1096" s="6">
        <v>41898</v>
      </c>
      <c r="BC1096" s="6">
        <v>0</v>
      </c>
      <c r="BD1096" s="6">
        <v>41901</v>
      </c>
      <c r="BE1096" s="6">
        <v>0</v>
      </c>
      <c r="BF1096" s="6">
        <v>41899</v>
      </c>
      <c r="BG1096" s="6">
        <v>0</v>
      </c>
      <c r="BH1096" s="6">
        <v>0</v>
      </c>
      <c r="BI1096" s="6">
        <v>0</v>
      </c>
      <c r="BJ1096" s="6">
        <v>0</v>
      </c>
      <c r="BK1096" s="4">
        <v>0</v>
      </c>
      <c r="BL1096" s="4">
        <v>0</v>
      </c>
      <c r="BM1096" s="20">
        <v>30</v>
      </c>
      <c r="BN1096" s="20">
        <v>0</v>
      </c>
      <c r="BO1096" s="20">
        <v>0</v>
      </c>
      <c r="BP1096" s="20">
        <v>0</v>
      </c>
      <c r="BQ1096" s="20">
        <v>0</v>
      </c>
      <c r="BR1096" s="20">
        <v>0</v>
      </c>
      <c r="BS1096" s="20">
        <v>30</v>
      </c>
      <c r="BT1096" s="20">
        <v>1084848.4848484846</v>
      </c>
      <c r="BU1096" s="20">
        <v>5370000</v>
      </c>
      <c r="BV1096" s="20">
        <v>4.5</v>
      </c>
    </row>
    <row r="1097" spans="1:74">
      <c r="A1097" s="10">
        <f t="shared" si="70"/>
        <v>0</v>
      </c>
      <c r="B1097" s="10">
        <f t="shared" si="71"/>
        <v>0</v>
      </c>
      <c r="C1097" s="12">
        <f t="shared" si="72"/>
        <v>9</v>
      </c>
      <c r="D1097" s="12">
        <f t="shared" si="73"/>
        <v>9</v>
      </c>
      <c r="E1097" s="20" t="s">
        <v>574</v>
      </c>
      <c r="F1097" s="20" t="s">
        <v>3735</v>
      </c>
      <c r="G1097" s="20" t="s">
        <v>4044</v>
      </c>
      <c r="H1097" s="20" t="s">
        <v>4045</v>
      </c>
      <c r="I1097" s="20">
        <v>1</v>
      </c>
      <c r="J1097" s="20" t="s">
        <v>4046</v>
      </c>
      <c r="K1097" s="20" t="s">
        <v>4055</v>
      </c>
      <c r="L1097" s="20" t="s">
        <v>4048</v>
      </c>
      <c r="M1097" s="20" t="s">
        <v>3741</v>
      </c>
      <c r="N1097" s="20" t="s">
        <v>4049</v>
      </c>
      <c r="P1097" s="20" t="s">
        <v>3741</v>
      </c>
      <c r="Q1097" s="20" t="s">
        <v>3743</v>
      </c>
      <c r="R1097" s="20" t="s">
        <v>84</v>
      </c>
      <c r="S1097" s="20">
        <v>5</v>
      </c>
      <c r="T1097" s="20" t="s">
        <v>674</v>
      </c>
      <c r="U1097" s="20" t="s">
        <v>675</v>
      </c>
      <c r="V1097" s="20" t="s">
        <v>87</v>
      </c>
      <c r="W1097" s="20">
        <v>806</v>
      </c>
      <c r="X1097" s="20">
        <v>806</v>
      </c>
      <c r="Y1097" s="20" t="s">
        <v>4050</v>
      </c>
      <c r="Z1097" s="20">
        <v>0.33333333333333331</v>
      </c>
      <c r="AA1097" s="20" t="s">
        <v>4056</v>
      </c>
      <c r="AB1097" s="20" t="s">
        <v>248</v>
      </c>
      <c r="AC1097" s="20" t="s">
        <v>249</v>
      </c>
      <c r="AD1097" s="20" t="s">
        <v>4052</v>
      </c>
      <c r="AE1097" s="20" t="s">
        <v>400</v>
      </c>
      <c r="AF1097" s="20">
        <v>0.33333333333333331</v>
      </c>
      <c r="AG1097" s="20">
        <v>0</v>
      </c>
      <c r="AH1097" s="20">
        <v>1</v>
      </c>
      <c r="AI1097" s="4" t="s">
        <v>651</v>
      </c>
      <c r="AJ1097" s="20">
        <v>30</v>
      </c>
      <c r="AK1097" s="4" t="s">
        <v>679</v>
      </c>
      <c r="AL1097" s="4">
        <v>8</v>
      </c>
      <c r="AM1097" s="4" t="s">
        <v>180</v>
      </c>
      <c r="AN1097" s="4" t="s">
        <v>95</v>
      </c>
      <c r="AO1097" s="4" t="s">
        <v>680</v>
      </c>
      <c r="AP1097" s="4">
        <v>1</v>
      </c>
      <c r="AQ1097" s="20">
        <v>179000</v>
      </c>
      <c r="AR1097" s="4">
        <v>41898</v>
      </c>
      <c r="AS1097" s="20">
        <v>36161.616161616155</v>
      </c>
      <c r="AT1097" s="20">
        <v>0</v>
      </c>
      <c r="AU1097" s="20">
        <v>-36161.616161616155</v>
      </c>
      <c r="AV1097" s="20">
        <v>0</v>
      </c>
      <c r="AW1097" s="20">
        <v>0</v>
      </c>
      <c r="AX1097" s="20" t="s">
        <v>91</v>
      </c>
      <c r="AY1097" s="20">
        <v>0</v>
      </c>
      <c r="AZ1097" s="20">
        <v>0</v>
      </c>
      <c r="BA1097" s="20">
        <v>0</v>
      </c>
      <c r="BB1097" s="6">
        <v>41898</v>
      </c>
      <c r="BC1097" s="6">
        <v>0</v>
      </c>
      <c r="BD1097" s="6">
        <v>41901</v>
      </c>
      <c r="BE1097" s="6">
        <v>0</v>
      </c>
      <c r="BF1097" s="6">
        <v>41899</v>
      </c>
      <c r="BG1097" s="6">
        <v>0</v>
      </c>
      <c r="BH1097" s="6">
        <v>0</v>
      </c>
      <c r="BI1097" s="6">
        <v>0</v>
      </c>
      <c r="BJ1097" s="6">
        <v>0</v>
      </c>
      <c r="BK1097" s="4">
        <v>0</v>
      </c>
      <c r="BL1097" s="4">
        <v>0</v>
      </c>
      <c r="BM1097" s="20">
        <v>30</v>
      </c>
      <c r="BN1097" s="20">
        <v>0</v>
      </c>
      <c r="BO1097" s="20">
        <v>0</v>
      </c>
      <c r="BP1097" s="20">
        <v>0</v>
      </c>
      <c r="BQ1097" s="20">
        <v>0</v>
      </c>
      <c r="BR1097" s="20">
        <v>0</v>
      </c>
      <c r="BS1097" s="20">
        <v>30</v>
      </c>
      <c r="BT1097" s="20">
        <v>1084848.4848484846</v>
      </c>
      <c r="BU1097" s="20">
        <v>5370000</v>
      </c>
      <c r="BV1097" s="20">
        <v>4.5</v>
      </c>
    </row>
    <row r="1098" spans="1:74">
      <c r="A1098" s="10">
        <f t="shared" si="70"/>
        <v>0</v>
      </c>
      <c r="B1098" s="10">
        <f t="shared" si="71"/>
        <v>0</v>
      </c>
      <c r="C1098" s="12">
        <f t="shared" si="72"/>
        <v>9</v>
      </c>
      <c r="D1098" s="12">
        <f t="shared" si="73"/>
        <v>9</v>
      </c>
      <c r="E1098" s="20" t="s">
        <v>574</v>
      </c>
      <c r="F1098" s="20" t="s">
        <v>3735</v>
      </c>
      <c r="G1098" s="20" t="s">
        <v>4044</v>
      </c>
      <c r="H1098" s="20" t="s">
        <v>4057</v>
      </c>
      <c r="I1098" s="20">
        <v>2</v>
      </c>
      <c r="J1098" s="20" t="s">
        <v>4058</v>
      </c>
      <c r="K1098" s="20" t="s">
        <v>4059</v>
      </c>
      <c r="L1098" s="20" t="s">
        <v>4060</v>
      </c>
      <c r="M1098" s="20" t="s">
        <v>3741</v>
      </c>
      <c r="N1098" s="20" t="s">
        <v>4061</v>
      </c>
      <c r="P1098" s="20" t="s">
        <v>3741</v>
      </c>
      <c r="Q1098" s="20" t="s">
        <v>3743</v>
      </c>
      <c r="R1098" s="20" t="s">
        <v>84</v>
      </c>
      <c r="S1098" s="20">
        <v>5</v>
      </c>
      <c r="T1098" s="20" t="s">
        <v>635</v>
      </c>
      <c r="U1098" s="20" t="s">
        <v>636</v>
      </c>
      <c r="V1098" s="20" t="s">
        <v>87</v>
      </c>
      <c r="W1098" s="20">
        <v>801</v>
      </c>
      <c r="X1098" s="20">
        <v>801</v>
      </c>
      <c r="Y1098" s="20" t="s">
        <v>4062</v>
      </c>
      <c r="Z1098" s="20">
        <v>0.25</v>
      </c>
      <c r="AA1098" s="20" t="s">
        <v>4063</v>
      </c>
      <c r="AB1098" s="20" t="s">
        <v>248</v>
      </c>
      <c r="AC1098" s="20" t="s">
        <v>249</v>
      </c>
      <c r="AD1098" s="20" t="s">
        <v>4064</v>
      </c>
      <c r="AE1098" s="20" t="s">
        <v>400</v>
      </c>
      <c r="AF1098" s="20">
        <v>0.25</v>
      </c>
      <c r="AG1098" s="20">
        <v>0</v>
      </c>
      <c r="AH1098" s="20">
        <v>1</v>
      </c>
      <c r="AI1098" s="4" t="s">
        <v>643</v>
      </c>
      <c r="AJ1098" s="20">
        <v>50</v>
      </c>
      <c r="AK1098" s="4" t="s">
        <v>679</v>
      </c>
      <c r="AL1098" s="4">
        <v>8</v>
      </c>
      <c r="AM1098" s="4" t="s">
        <v>180</v>
      </c>
      <c r="AN1098" s="4" t="s">
        <v>95</v>
      </c>
      <c r="AO1098" s="4" t="s">
        <v>680</v>
      </c>
      <c r="AP1098" s="4">
        <v>1</v>
      </c>
      <c r="AQ1098" s="20">
        <v>89000</v>
      </c>
      <c r="AR1098" s="4">
        <v>41898</v>
      </c>
      <c r="AS1098" s="20">
        <v>17979.797979797979</v>
      </c>
      <c r="AT1098" s="20">
        <v>0</v>
      </c>
      <c r="AU1098" s="20">
        <v>-17979.797979797979</v>
      </c>
      <c r="AV1098" s="20">
        <v>0</v>
      </c>
      <c r="AW1098" s="20">
        <v>0</v>
      </c>
      <c r="AX1098" s="20" t="s">
        <v>91</v>
      </c>
      <c r="AY1098" s="20">
        <v>0</v>
      </c>
      <c r="AZ1098" s="20">
        <v>0</v>
      </c>
      <c r="BA1098" s="20">
        <v>0</v>
      </c>
      <c r="BB1098" s="6">
        <v>41898</v>
      </c>
      <c r="BC1098" s="6">
        <v>0</v>
      </c>
      <c r="BD1098" s="6">
        <v>41901</v>
      </c>
      <c r="BE1098" s="6">
        <v>0</v>
      </c>
      <c r="BF1098" s="6">
        <v>41899</v>
      </c>
      <c r="BG1098" s="6">
        <v>0</v>
      </c>
      <c r="BH1098" s="6">
        <v>0</v>
      </c>
      <c r="BI1098" s="6">
        <v>0</v>
      </c>
      <c r="BJ1098" s="6">
        <v>0</v>
      </c>
      <c r="BK1098" s="4">
        <v>0</v>
      </c>
      <c r="BL1098" s="4">
        <v>0</v>
      </c>
      <c r="BM1098" s="20">
        <v>50</v>
      </c>
      <c r="BN1098" s="20">
        <v>0</v>
      </c>
      <c r="BO1098" s="20">
        <v>0</v>
      </c>
      <c r="BP1098" s="20">
        <v>0</v>
      </c>
      <c r="BQ1098" s="20">
        <v>0</v>
      </c>
      <c r="BR1098" s="20">
        <v>0</v>
      </c>
      <c r="BS1098" s="20">
        <v>50</v>
      </c>
      <c r="BT1098" s="20">
        <v>898989.89898989897</v>
      </c>
      <c r="BU1098" s="20">
        <v>4450000</v>
      </c>
      <c r="BV1098" s="20">
        <v>4.4999999999999991</v>
      </c>
    </row>
    <row r="1099" spans="1:74">
      <c r="A1099" s="10">
        <f t="shared" si="70"/>
        <v>0</v>
      </c>
      <c r="B1099" s="10">
        <f t="shared" si="71"/>
        <v>0</v>
      </c>
      <c r="C1099" s="12">
        <f t="shared" si="72"/>
        <v>9</v>
      </c>
      <c r="D1099" s="12">
        <f t="shared" si="73"/>
        <v>9</v>
      </c>
      <c r="E1099" s="20" t="s">
        <v>574</v>
      </c>
      <c r="F1099" s="20" t="s">
        <v>3735</v>
      </c>
      <c r="G1099" s="20" t="s">
        <v>4044</v>
      </c>
      <c r="H1099" s="20" t="s">
        <v>4057</v>
      </c>
      <c r="I1099" s="20">
        <v>2</v>
      </c>
      <c r="J1099" s="20" t="s">
        <v>4058</v>
      </c>
      <c r="K1099" s="20" t="s">
        <v>4065</v>
      </c>
      <c r="L1099" s="20" t="s">
        <v>4060</v>
      </c>
      <c r="M1099" s="20" t="s">
        <v>3741</v>
      </c>
      <c r="N1099" s="20" t="s">
        <v>4061</v>
      </c>
      <c r="P1099" s="20" t="s">
        <v>3741</v>
      </c>
      <c r="Q1099" s="20" t="s">
        <v>3743</v>
      </c>
      <c r="R1099" s="20" t="s">
        <v>84</v>
      </c>
      <c r="S1099" s="20">
        <v>5</v>
      </c>
      <c r="T1099" s="20" t="s">
        <v>635</v>
      </c>
      <c r="U1099" s="20" t="s">
        <v>636</v>
      </c>
      <c r="V1099" s="20" t="s">
        <v>87</v>
      </c>
      <c r="W1099" s="20">
        <v>801</v>
      </c>
      <c r="X1099" s="20">
        <v>801</v>
      </c>
      <c r="Y1099" s="20" t="s">
        <v>4062</v>
      </c>
      <c r="Z1099" s="20">
        <v>0.25</v>
      </c>
      <c r="AA1099" s="20" t="s">
        <v>4066</v>
      </c>
      <c r="AB1099" s="20" t="s">
        <v>248</v>
      </c>
      <c r="AC1099" s="20" t="s">
        <v>249</v>
      </c>
      <c r="AD1099" s="20" t="s">
        <v>4064</v>
      </c>
      <c r="AE1099" s="20" t="s">
        <v>400</v>
      </c>
      <c r="AF1099" s="20">
        <v>0.25</v>
      </c>
      <c r="AG1099" s="20">
        <v>0</v>
      </c>
      <c r="AH1099" s="20">
        <v>1</v>
      </c>
      <c r="AI1099" s="4" t="s">
        <v>645</v>
      </c>
      <c r="AJ1099" s="20">
        <v>50</v>
      </c>
      <c r="AK1099" s="4" t="s">
        <v>679</v>
      </c>
      <c r="AL1099" s="4">
        <v>8</v>
      </c>
      <c r="AM1099" s="4" t="s">
        <v>180</v>
      </c>
      <c r="AN1099" s="4" t="s">
        <v>95</v>
      </c>
      <c r="AO1099" s="4" t="s">
        <v>680</v>
      </c>
      <c r="AP1099" s="4">
        <v>1</v>
      </c>
      <c r="AQ1099" s="20">
        <v>89000</v>
      </c>
      <c r="AR1099" s="4">
        <v>41898</v>
      </c>
      <c r="AS1099" s="20">
        <v>17979.797979797979</v>
      </c>
      <c r="AT1099" s="20">
        <v>0</v>
      </c>
      <c r="AU1099" s="20">
        <v>-17979.797979797979</v>
      </c>
      <c r="AV1099" s="20">
        <v>0</v>
      </c>
      <c r="AW1099" s="20">
        <v>0</v>
      </c>
      <c r="AX1099" s="20" t="s">
        <v>91</v>
      </c>
      <c r="AY1099" s="20">
        <v>0</v>
      </c>
      <c r="AZ1099" s="20">
        <v>0</v>
      </c>
      <c r="BA1099" s="20">
        <v>0</v>
      </c>
      <c r="BB1099" s="6">
        <v>41898</v>
      </c>
      <c r="BC1099" s="6">
        <v>0</v>
      </c>
      <c r="BD1099" s="6">
        <v>41901</v>
      </c>
      <c r="BE1099" s="6">
        <v>0</v>
      </c>
      <c r="BF1099" s="6">
        <v>41899</v>
      </c>
      <c r="BG1099" s="6">
        <v>0</v>
      </c>
      <c r="BH1099" s="6">
        <v>0</v>
      </c>
      <c r="BI1099" s="6">
        <v>0</v>
      </c>
      <c r="BJ1099" s="6">
        <v>0</v>
      </c>
      <c r="BK1099" s="4">
        <v>0</v>
      </c>
      <c r="BL1099" s="4">
        <v>0</v>
      </c>
      <c r="BM1099" s="20">
        <v>50</v>
      </c>
      <c r="BN1099" s="20">
        <v>0</v>
      </c>
      <c r="BO1099" s="20">
        <v>0</v>
      </c>
      <c r="BP1099" s="20">
        <v>0</v>
      </c>
      <c r="BQ1099" s="20">
        <v>0</v>
      </c>
      <c r="BR1099" s="20">
        <v>0</v>
      </c>
      <c r="BS1099" s="20">
        <v>50</v>
      </c>
      <c r="BT1099" s="20">
        <v>898989.89898989897</v>
      </c>
      <c r="BU1099" s="20">
        <v>4450000</v>
      </c>
      <c r="BV1099" s="20">
        <v>4.4999999999999991</v>
      </c>
    </row>
    <row r="1100" spans="1:74">
      <c r="A1100" s="10">
        <f t="shared" si="70"/>
        <v>0</v>
      </c>
      <c r="B1100" s="10">
        <f t="shared" si="71"/>
        <v>0</v>
      </c>
      <c r="C1100" s="12">
        <f t="shared" si="72"/>
        <v>9</v>
      </c>
      <c r="D1100" s="12">
        <f t="shared" si="73"/>
        <v>9</v>
      </c>
      <c r="E1100" s="20" t="s">
        <v>574</v>
      </c>
      <c r="F1100" s="20" t="s">
        <v>3735</v>
      </c>
      <c r="G1100" s="20" t="s">
        <v>4044</v>
      </c>
      <c r="H1100" s="20" t="s">
        <v>4057</v>
      </c>
      <c r="I1100" s="20">
        <v>2</v>
      </c>
      <c r="J1100" s="20" t="s">
        <v>4058</v>
      </c>
      <c r="K1100" s="20" t="s">
        <v>4067</v>
      </c>
      <c r="L1100" s="20" t="s">
        <v>4060</v>
      </c>
      <c r="M1100" s="20" t="s">
        <v>3741</v>
      </c>
      <c r="N1100" s="20" t="s">
        <v>4061</v>
      </c>
      <c r="P1100" s="20" t="s">
        <v>3741</v>
      </c>
      <c r="Q1100" s="20" t="s">
        <v>3743</v>
      </c>
      <c r="R1100" s="20" t="s">
        <v>84</v>
      </c>
      <c r="S1100" s="20">
        <v>5</v>
      </c>
      <c r="T1100" s="20" t="s">
        <v>635</v>
      </c>
      <c r="U1100" s="20" t="s">
        <v>636</v>
      </c>
      <c r="V1100" s="20" t="s">
        <v>87</v>
      </c>
      <c r="W1100" s="20">
        <v>801</v>
      </c>
      <c r="X1100" s="20">
        <v>801</v>
      </c>
      <c r="Y1100" s="20" t="s">
        <v>4062</v>
      </c>
      <c r="Z1100" s="20">
        <v>0.25</v>
      </c>
      <c r="AA1100" s="20" t="s">
        <v>4068</v>
      </c>
      <c r="AB1100" s="20" t="s">
        <v>248</v>
      </c>
      <c r="AC1100" s="20" t="s">
        <v>249</v>
      </c>
      <c r="AD1100" s="20" t="s">
        <v>4064</v>
      </c>
      <c r="AE1100" s="20" t="s">
        <v>400</v>
      </c>
      <c r="AF1100" s="20">
        <v>0.25</v>
      </c>
      <c r="AG1100" s="20">
        <v>0</v>
      </c>
      <c r="AH1100" s="20">
        <v>1</v>
      </c>
      <c r="AI1100" s="4" t="s">
        <v>647</v>
      </c>
      <c r="AJ1100" s="20">
        <v>50</v>
      </c>
      <c r="AK1100" s="4" t="s">
        <v>679</v>
      </c>
      <c r="AL1100" s="4">
        <v>8</v>
      </c>
      <c r="AM1100" s="4" t="s">
        <v>180</v>
      </c>
      <c r="AN1100" s="4" t="s">
        <v>95</v>
      </c>
      <c r="AO1100" s="4" t="s">
        <v>680</v>
      </c>
      <c r="AP1100" s="4">
        <v>1</v>
      </c>
      <c r="AQ1100" s="20">
        <v>89000</v>
      </c>
      <c r="AR1100" s="4">
        <v>41898</v>
      </c>
      <c r="AS1100" s="20">
        <v>17979.797979797979</v>
      </c>
      <c r="AT1100" s="20">
        <v>0</v>
      </c>
      <c r="AU1100" s="20">
        <v>-17979.797979797979</v>
      </c>
      <c r="AV1100" s="20">
        <v>0</v>
      </c>
      <c r="AW1100" s="20">
        <v>0</v>
      </c>
      <c r="AX1100" s="20" t="s">
        <v>91</v>
      </c>
      <c r="AY1100" s="20">
        <v>0</v>
      </c>
      <c r="AZ1100" s="20">
        <v>0</v>
      </c>
      <c r="BA1100" s="20">
        <v>0</v>
      </c>
      <c r="BB1100" s="6">
        <v>41898</v>
      </c>
      <c r="BC1100" s="6">
        <v>0</v>
      </c>
      <c r="BD1100" s="6">
        <v>41901</v>
      </c>
      <c r="BE1100" s="6">
        <v>0</v>
      </c>
      <c r="BF1100" s="6">
        <v>41899</v>
      </c>
      <c r="BG1100" s="6">
        <v>0</v>
      </c>
      <c r="BH1100" s="6">
        <v>0</v>
      </c>
      <c r="BI1100" s="6">
        <v>0</v>
      </c>
      <c r="BJ1100" s="6">
        <v>0</v>
      </c>
      <c r="BK1100" s="4">
        <v>0</v>
      </c>
      <c r="BL1100" s="4">
        <v>0</v>
      </c>
      <c r="BM1100" s="20">
        <v>50</v>
      </c>
      <c r="BN1100" s="20">
        <v>0</v>
      </c>
      <c r="BO1100" s="20">
        <v>0</v>
      </c>
      <c r="BP1100" s="20">
        <v>0</v>
      </c>
      <c r="BQ1100" s="20">
        <v>0</v>
      </c>
      <c r="BR1100" s="20">
        <v>0</v>
      </c>
      <c r="BS1100" s="20">
        <v>50</v>
      </c>
      <c r="BT1100" s="20">
        <v>898989.89898989897</v>
      </c>
      <c r="BU1100" s="20">
        <v>4450000</v>
      </c>
      <c r="BV1100" s="20">
        <v>4.4999999999999991</v>
      </c>
    </row>
    <row r="1101" spans="1:74">
      <c r="A1101" s="10">
        <f t="shared" si="70"/>
        <v>0</v>
      </c>
      <c r="B1101" s="10">
        <f t="shared" si="71"/>
        <v>0</v>
      </c>
      <c r="C1101" s="12">
        <f t="shared" si="72"/>
        <v>9</v>
      </c>
      <c r="D1101" s="12">
        <f t="shared" si="73"/>
        <v>9</v>
      </c>
      <c r="E1101" s="20" t="s">
        <v>574</v>
      </c>
      <c r="F1101" s="20" t="s">
        <v>3735</v>
      </c>
      <c r="G1101" s="20" t="s">
        <v>4044</v>
      </c>
      <c r="H1101" s="20" t="s">
        <v>4057</v>
      </c>
      <c r="I1101" s="20">
        <v>2</v>
      </c>
      <c r="J1101" s="20" t="s">
        <v>4058</v>
      </c>
      <c r="K1101" s="20" t="s">
        <v>4069</v>
      </c>
      <c r="L1101" s="20" t="s">
        <v>4060</v>
      </c>
      <c r="M1101" s="20" t="s">
        <v>3741</v>
      </c>
      <c r="N1101" s="20" t="s">
        <v>4061</v>
      </c>
      <c r="P1101" s="20" t="s">
        <v>3741</v>
      </c>
      <c r="Q1101" s="20" t="s">
        <v>3743</v>
      </c>
      <c r="R1101" s="20" t="s">
        <v>84</v>
      </c>
      <c r="S1101" s="20">
        <v>5</v>
      </c>
      <c r="T1101" s="20" t="s">
        <v>635</v>
      </c>
      <c r="U1101" s="20" t="s">
        <v>636</v>
      </c>
      <c r="V1101" s="20" t="s">
        <v>87</v>
      </c>
      <c r="W1101" s="20">
        <v>801</v>
      </c>
      <c r="X1101" s="20">
        <v>801</v>
      </c>
      <c r="Y1101" s="20" t="s">
        <v>4062</v>
      </c>
      <c r="Z1101" s="20">
        <v>0.25</v>
      </c>
      <c r="AA1101" s="20" t="s">
        <v>4070</v>
      </c>
      <c r="AB1101" s="20" t="s">
        <v>248</v>
      </c>
      <c r="AC1101" s="20" t="s">
        <v>249</v>
      </c>
      <c r="AD1101" s="20" t="s">
        <v>4064</v>
      </c>
      <c r="AE1101" s="20" t="s">
        <v>400</v>
      </c>
      <c r="AF1101" s="20">
        <v>0.25</v>
      </c>
      <c r="AG1101" s="20">
        <v>0</v>
      </c>
      <c r="AH1101" s="20">
        <v>1</v>
      </c>
      <c r="AI1101" s="4" t="s">
        <v>651</v>
      </c>
      <c r="AJ1101" s="20">
        <v>50</v>
      </c>
      <c r="AK1101" s="4" t="s">
        <v>679</v>
      </c>
      <c r="AL1101" s="4">
        <v>8</v>
      </c>
      <c r="AM1101" s="4" t="s">
        <v>180</v>
      </c>
      <c r="AN1101" s="4" t="s">
        <v>95</v>
      </c>
      <c r="AO1101" s="4" t="s">
        <v>680</v>
      </c>
      <c r="AP1101" s="4">
        <v>1</v>
      </c>
      <c r="AQ1101" s="20">
        <v>89000</v>
      </c>
      <c r="AR1101" s="4">
        <v>41898</v>
      </c>
      <c r="AS1101" s="20">
        <v>17979.797979797979</v>
      </c>
      <c r="AT1101" s="20">
        <v>0</v>
      </c>
      <c r="AU1101" s="20">
        <v>-17979.797979797979</v>
      </c>
      <c r="AV1101" s="20">
        <v>0</v>
      </c>
      <c r="AW1101" s="20">
        <v>0</v>
      </c>
      <c r="AX1101" s="20" t="s">
        <v>91</v>
      </c>
      <c r="AY1101" s="20">
        <v>0</v>
      </c>
      <c r="AZ1101" s="20">
        <v>0</v>
      </c>
      <c r="BA1101" s="20">
        <v>0</v>
      </c>
      <c r="BB1101" s="6">
        <v>41898</v>
      </c>
      <c r="BC1101" s="6">
        <v>0</v>
      </c>
      <c r="BD1101" s="6">
        <v>41901</v>
      </c>
      <c r="BE1101" s="6">
        <v>0</v>
      </c>
      <c r="BF1101" s="6">
        <v>41899</v>
      </c>
      <c r="BG1101" s="6">
        <v>0</v>
      </c>
      <c r="BH1101" s="6">
        <v>0</v>
      </c>
      <c r="BI1101" s="6">
        <v>0</v>
      </c>
      <c r="BJ1101" s="6">
        <v>0</v>
      </c>
      <c r="BK1101" s="4">
        <v>0</v>
      </c>
      <c r="BL1101" s="4">
        <v>0</v>
      </c>
      <c r="BM1101" s="20">
        <v>50</v>
      </c>
      <c r="BN1101" s="20">
        <v>0</v>
      </c>
      <c r="BO1101" s="20">
        <v>0</v>
      </c>
      <c r="BP1101" s="20">
        <v>0</v>
      </c>
      <c r="BQ1101" s="20">
        <v>0</v>
      </c>
      <c r="BR1101" s="20">
        <v>0</v>
      </c>
      <c r="BS1101" s="20">
        <v>50</v>
      </c>
      <c r="BT1101" s="20">
        <v>898989.89898989897</v>
      </c>
      <c r="BU1101" s="20">
        <v>4450000</v>
      </c>
      <c r="BV1101" s="20">
        <v>4.4999999999999991</v>
      </c>
    </row>
    <row r="1102" spans="1:74">
      <c r="A1102" s="10">
        <f t="shared" si="70"/>
        <v>0</v>
      </c>
      <c r="B1102" s="10">
        <f t="shared" si="71"/>
        <v>0</v>
      </c>
      <c r="C1102" s="12">
        <f t="shared" si="72"/>
        <v>9</v>
      </c>
      <c r="D1102" s="12">
        <f t="shared" si="73"/>
        <v>9</v>
      </c>
      <c r="E1102" s="20" t="s">
        <v>574</v>
      </c>
      <c r="F1102" s="20" t="s">
        <v>3735</v>
      </c>
      <c r="G1102" s="20" t="s">
        <v>4044</v>
      </c>
      <c r="H1102" s="20" t="s">
        <v>4071</v>
      </c>
      <c r="I1102" s="20">
        <v>3</v>
      </c>
      <c r="J1102" s="20" t="s">
        <v>4072</v>
      </c>
      <c r="K1102" s="20" t="s">
        <v>4073</v>
      </c>
      <c r="L1102" s="20" t="s">
        <v>4074</v>
      </c>
      <c r="M1102" s="20" t="s">
        <v>3741</v>
      </c>
      <c r="N1102" s="20" t="s">
        <v>4061</v>
      </c>
      <c r="P1102" s="20" t="s">
        <v>3741</v>
      </c>
      <c r="Q1102" s="20" t="s">
        <v>3743</v>
      </c>
      <c r="R1102" s="20" t="s">
        <v>84</v>
      </c>
      <c r="S1102" s="20">
        <v>5</v>
      </c>
      <c r="T1102" s="20" t="s">
        <v>635</v>
      </c>
      <c r="U1102" s="20" t="s">
        <v>636</v>
      </c>
      <c r="V1102" s="20" t="s">
        <v>87</v>
      </c>
      <c r="W1102" s="20">
        <v>802</v>
      </c>
      <c r="X1102" s="20">
        <v>802</v>
      </c>
      <c r="Y1102" s="20" t="s">
        <v>4075</v>
      </c>
      <c r="Z1102" s="20">
        <v>0.25</v>
      </c>
      <c r="AA1102" s="20" t="s">
        <v>4076</v>
      </c>
      <c r="AB1102" s="20" t="s">
        <v>248</v>
      </c>
      <c r="AC1102" s="20" t="s">
        <v>249</v>
      </c>
      <c r="AD1102" s="20" t="s">
        <v>4077</v>
      </c>
      <c r="AE1102" s="20" t="s">
        <v>400</v>
      </c>
      <c r="AF1102" s="20">
        <v>0.25</v>
      </c>
      <c r="AG1102" s="20">
        <v>0</v>
      </c>
      <c r="AH1102" s="20">
        <v>1</v>
      </c>
      <c r="AI1102" s="4" t="s">
        <v>643</v>
      </c>
      <c r="AJ1102" s="20">
        <v>50</v>
      </c>
      <c r="AK1102" s="4" t="s">
        <v>679</v>
      </c>
      <c r="AL1102" s="4">
        <v>8</v>
      </c>
      <c r="AM1102" s="4" t="s">
        <v>180</v>
      </c>
      <c r="AN1102" s="4" t="s">
        <v>95</v>
      </c>
      <c r="AO1102" s="4" t="s">
        <v>680</v>
      </c>
      <c r="AP1102" s="4">
        <v>1</v>
      </c>
      <c r="AQ1102" s="20">
        <v>79000</v>
      </c>
      <c r="AR1102" s="4">
        <v>41898</v>
      </c>
      <c r="AS1102" s="20">
        <v>15959.595959595958</v>
      </c>
      <c r="AT1102" s="20">
        <v>0</v>
      </c>
      <c r="AU1102" s="20">
        <v>-15959.595959595958</v>
      </c>
      <c r="AV1102" s="20">
        <v>0</v>
      </c>
      <c r="AW1102" s="20">
        <v>0</v>
      </c>
      <c r="AX1102" s="20" t="s">
        <v>91</v>
      </c>
      <c r="AY1102" s="20">
        <v>0</v>
      </c>
      <c r="AZ1102" s="20">
        <v>0</v>
      </c>
      <c r="BA1102" s="20">
        <v>0</v>
      </c>
      <c r="BB1102" s="6">
        <v>41898</v>
      </c>
      <c r="BC1102" s="6">
        <v>0</v>
      </c>
      <c r="BD1102" s="6">
        <v>41901</v>
      </c>
      <c r="BE1102" s="6">
        <v>0</v>
      </c>
      <c r="BF1102" s="6">
        <v>41899</v>
      </c>
      <c r="BG1102" s="6">
        <v>0</v>
      </c>
      <c r="BH1102" s="6">
        <v>0</v>
      </c>
      <c r="BI1102" s="6">
        <v>0</v>
      </c>
      <c r="BJ1102" s="6">
        <v>0</v>
      </c>
      <c r="BK1102" s="4">
        <v>0</v>
      </c>
      <c r="BL1102" s="4">
        <v>0</v>
      </c>
      <c r="BM1102" s="20">
        <v>50</v>
      </c>
      <c r="BN1102" s="20">
        <v>0</v>
      </c>
      <c r="BO1102" s="20">
        <v>0</v>
      </c>
      <c r="BP1102" s="20">
        <v>0</v>
      </c>
      <c r="BQ1102" s="20">
        <v>0</v>
      </c>
      <c r="BR1102" s="20">
        <v>0</v>
      </c>
      <c r="BS1102" s="20">
        <v>50</v>
      </c>
      <c r="BT1102" s="20">
        <v>797979.79797979794</v>
      </c>
      <c r="BU1102" s="20">
        <v>3950000</v>
      </c>
      <c r="BV1102" s="20">
        <v>4.5</v>
      </c>
    </row>
    <row r="1103" spans="1:74">
      <c r="A1103" s="10">
        <f t="shared" si="70"/>
        <v>0</v>
      </c>
      <c r="B1103" s="10">
        <f t="shared" si="71"/>
        <v>0</v>
      </c>
      <c r="C1103" s="12">
        <f t="shared" si="72"/>
        <v>9</v>
      </c>
      <c r="D1103" s="12">
        <f t="shared" si="73"/>
        <v>9</v>
      </c>
      <c r="E1103" s="20" t="s">
        <v>574</v>
      </c>
      <c r="F1103" s="20" t="s">
        <v>3735</v>
      </c>
      <c r="G1103" s="20" t="s">
        <v>4044</v>
      </c>
      <c r="H1103" s="20" t="s">
        <v>4071</v>
      </c>
      <c r="I1103" s="20">
        <v>3</v>
      </c>
      <c r="J1103" s="20" t="s">
        <v>4072</v>
      </c>
      <c r="K1103" s="20" t="s">
        <v>4078</v>
      </c>
      <c r="L1103" s="20" t="s">
        <v>4074</v>
      </c>
      <c r="M1103" s="20" t="s">
        <v>3741</v>
      </c>
      <c r="N1103" s="20" t="s">
        <v>4061</v>
      </c>
      <c r="P1103" s="20" t="s">
        <v>3741</v>
      </c>
      <c r="Q1103" s="20" t="s">
        <v>3743</v>
      </c>
      <c r="R1103" s="20" t="s">
        <v>84</v>
      </c>
      <c r="S1103" s="20">
        <v>5</v>
      </c>
      <c r="T1103" s="20" t="s">
        <v>635</v>
      </c>
      <c r="U1103" s="20" t="s">
        <v>636</v>
      </c>
      <c r="V1103" s="20" t="s">
        <v>87</v>
      </c>
      <c r="W1103" s="20">
        <v>802</v>
      </c>
      <c r="X1103" s="20">
        <v>802</v>
      </c>
      <c r="Y1103" s="20" t="s">
        <v>4075</v>
      </c>
      <c r="Z1103" s="20">
        <v>0.25</v>
      </c>
      <c r="AA1103" s="20" t="s">
        <v>4079</v>
      </c>
      <c r="AB1103" s="20" t="s">
        <v>248</v>
      </c>
      <c r="AC1103" s="20" t="s">
        <v>249</v>
      </c>
      <c r="AD1103" s="20" t="s">
        <v>4077</v>
      </c>
      <c r="AE1103" s="20" t="s">
        <v>400</v>
      </c>
      <c r="AF1103" s="20">
        <v>0.25</v>
      </c>
      <c r="AG1103" s="20">
        <v>0</v>
      </c>
      <c r="AH1103" s="20">
        <v>1</v>
      </c>
      <c r="AI1103" s="4" t="s">
        <v>645</v>
      </c>
      <c r="AJ1103" s="20">
        <v>50</v>
      </c>
      <c r="AK1103" s="4" t="s">
        <v>679</v>
      </c>
      <c r="AL1103" s="4">
        <v>8</v>
      </c>
      <c r="AM1103" s="4" t="s">
        <v>180</v>
      </c>
      <c r="AN1103" s="4" t="s">
        <v>95</v>
      </c>
      <c r="AO1103" s="4" t="s">
        <v>680</v>
      </c>
      <c r="AP1103" s="4">
        <v>1</v>
      </c>
      <c r="AQ1103" s="20">
        <v>79000</v>
      </c>
      <c r="AR1103" s="4">
        <v>41898</v>
      </c>
      <c r="AS1103" s="20">
        <v>15959.595959595958</v>
      </c>
      <c r="AT1103" s="20">
        <v>0</v>
      </c>
      <c r="AU1103" s="20">
        <v>-15959.595959595958</v>
      </c>
      <c r="AV1103" s="20">
        <v>0</v>
      </c>
      <c r="AW1103" s="20">
        <v>0</v>
      </c>
      <c r="AX1103" s="20" t="s">
        <v>91</v>
      </c>
      <c r="AY1103" s="20">
        <v>0</v>
      </c>
      <c r="AZ1103" s="20">
        <v>0</v>
      </c>
      <c r="BA1103" s="20">
        <v>0</v>
      </c>
      <c r="BB1103" s="6">
        <v>41898</v>
      </c>
      <c r="BC1103" s="6">
        <v>0</v>
      </c>
      <c r="BD1103" s="6">
        <v>41901</v>
      </c>
      <c r="BE1103" s="6">
        <v>0</v>
      </c>
      <c r="BF1103" s="6">
        <v>41899</v>
      </c>
      <c r="BG1103" s="6">
        <v>0</v>
      </c>
      <c r="BH1103" s="6">
        <v>0</v>
      </c>
      <c r="BI1103" s="6">
        <v>0</v>
      </c>
      <c r="BJ1103" s="6">
        <v>0</v>
      </c>
      <c r="BK1103" s="4">
        <v>0</v>
      </c>
      <c r="BL1103" s="4">
        <v>0</v>
      </c>
      <c r="BM1103" s="20">
        <v>50</v>
      </c>
      <c r="BN1103" s="20">
        <v>0</v>
      </c>
      <c r="BO1103" s="20">
        <v>0</v>
      </c>
      <c r="BP1103" s="20">
        <v>0</v>
      </c>
      <c r="BQ1103" s="20">
        <v>0</v>
      </c>
      <c r="BR1103" s="20">
        <v>0</v>
      </c>
      <c r="BS1103" s="20">
        <v>50</v>
      </c>
      <c r="BT1103" s="20">
        <v>797979.79797979794</v>
      </c>
      <c r="BU1103" s="20">
        <v>3950000</v>
      </c>
      <c r="BV1103" s="20">
        <v>4.5</v>
      </c>
    </row>
    <row r="1104" spans="1:74">
      <c r="A1104" s="10">
        <f t="shared" si="70"/>
        <v>0</v>
      </c>
      <c r="B1104" s="10">
        <f t="shared" si="71"/>
        <v>0</v>
      </c>
      <c r="C1104" s="12">
        <f t="shared" si="72"/>
        <v>9</v>
      </c>
      <c r="D1104" s="12">
        <f t="shared" si="73"/>
        <v>9</v>
      </c>
      <c r="E1104" s="20" t="s">
        <v>574</v>
      </c>
      <c r="F1104" s="20" t="s">
        <v>3735</v>
      </c>
      <c r="G1104" s="20" t="s">
        <v>4044</v>
      </c>
      <c r="H1104" s="20" t="s">
        <v>4071</v>
      </c>
      <c r="I1104" s="20">
        <v>3</v>
      </c>
      <c r="J1104" s="20" t="s">
        <v>4072</v>
      </c>
      <c r="K1104" s="20" t="s">
        <v>4080</v>
      </c>
      <c r="L1104" s="20" t="s">
        <v>4074</v>
      </c>
      <c r="M1104" s="20" t="s">
        <v>3741</v>
      </c>
      <c r="N1104" s="20" t="s">
        <v>4061</v>
      </c>
      <c r="P1104" s="20" t="s">
        <v>3741</v>
      </c>
      <c r="Q1104" s="20" t="s">
        <v>3743</v>
      </c>
      <c r="R1104" s="20" t="s">
        <v>84</v>
      </c>
      <c r="S1104" s="20">
        <v>5</v>
      </c>
      <c r="T1104" s="20" t="s">
        <v>635</v>
      </c>
      <c r="U1104" s="20" t="s">
        <v>636</v>
      </c>
      <c r="V1104" s="20" t="s">
        <v>87</v>
      </c>
      <c r="W1104" s="20">
        <v>802</v>
      </c>
      <c r="X1104" s="20">
        <v>802</v>
      </c>
      <c r="Y1104" s="20" t="s">
        <v>4075</v>
      </c>
      <c r="Z1104" s="20">
        <v>0.25</v>
      </c>
      <c r="AA1104" s="20" t="s">
        <v>4081</v>
      </c>
      <c r="AB1104" s="20" t="s">
        <v>248</v>
      </c>
      <c r="AC1104" s="20" t="s">
        <v>249</v>
      </c>
      <c r="AD1104" s="20" t="s">
        <v>4077</v>
      </c>
      <c r="AE1104" s="20" t="s">
        <v>400</v>
      </c>
      <c r="AF1104" s="20">
        <v>0.25</v>
      </c>
      <c r="AG1104" s="20">
        <v>0</v>
      </c>
      <c r="AH1104" s="20">
        <v>1</v>
      </c>
      <c r="AI1104" s="4" t="s">
        <v>647</v>
      </c>
      <c r="AJ1104" s="20">
        <v>50</v>
      </c>
      <c r="AK1104" s="4" t="s">
        <v>679</v>
      </c>
      <c r="AL1104" s="4">
        <v>8</v>
      </c>
      <c r="AM1104" s="4" t="s">
        <v>180</v>
      </c>
      <c r="AN1104" s="4" t="s">
        <v>95</v>
      </c>
      <c r="AO1104" s="4" t="s">
        <v>680</v>
      </c>
      <c r="AP1104" s="4">
        <v>1</v>
      </c>
      <c r="AQ1104" s="20">
        <v>79000</v>
      </c>
      <c r="AR1104" s="4">
        <v>41898</v>
      </c>
      <c r="AS1104" s="20">
        <v>15959.595959595958</v>
      </c>
      <c r="AT1104" s="20">
        <v>0</v>
      </c>
      <c r="AU1104" s="20">
        <v>-15959.595959595958</v>
      </c>
      <c r="AV1104" s="20">
        <v>0</v>
      </c>
      <c r="AW1104" s="20">
        <v>0</v>
      </c>
      <c r="AX1104" s="20" t="s">
        <v>91</v>
      </c>
      <c r="AY1104" s="20">
        <v>0</v>
      </c>
      <c r="AZ1104" s="20">
        <v>0</v>
      </c>
      <c r="BA1104" s="20">
        <v>0</v>
      </c>
      <c r="BB1104" s="6">
        <v>41898</v>
      </c>
      <c r="BC1104" s="6">
        <v>0</v>
      </c>
      <c r="BD1104" s="6">
        <v>41901</v>
      </c>
      <c r="BE1104" s="6">
        <v>0</v>
      </c>
      <c r="BF1104" s="6">
        <v>41899</v>
      </c>
      <c r="BG1104" s="6">
        <v>0</v>
      </c>
      <c r="BH1104" s="6">
        <v>0</v>
      </c>
      <c r="BI1104" s="6">
        <v>0</v>
      </c>
      <c r="BJ1104" s="6">
        <v>0</v>
      </c>
      <c r="BK1104" s="4">
        <v>0</v>
      </c>
      <c r="BL1104" s="4">
        <v>0</v>
      </c>
      <c r="BM1104" s="20">
        <v>50</v>
      </c>
      <c r="BN1104" s="20">
        <v>0</v>
      </c>
      <c r="BO1104" s="20">
        <v>0</v>
      </c>
      <c r="BP1104" s="20">
        <v>0</v>
      </c>
      <c r="BQ1104" s="20">
        <v>0</v>
      </c>
      <c r="BR1104" s="20">
        <v>0</v>
      </c>
      <c r="BS1104" s="20">
        <v>50</v>
      </c>
      <c r="BT1104" s="20">
        <v>797979.79797979794</v>
      </c>
      <c r="BU1104" s="20">
        <v>3950000</v>
      </c>
      <c r="BV1104" s="20">
        <v>4.5</v>
      </c>
    </row>
    <row r="1105" spans="1:74">
      <c r="A1105" s="10">
        <f t="shared" si="70"/>
        <v>0</v>
      </c>
      <c r="B1105" s="10">
        <f t="shared" si="71"/>
        <v>0</v>
      </c>
      <c r="C1105" s="12">
        <f t="shared" si="72"/>
        <v>9</v>
      </c>
      <c r="D1105" s="12">
        <f t="shared" si="73"/>
        <v>9</v>
      </c>
      <c r="E1105" s="20" t="s">
        <v>574</v>
      </c>
      <c r="F1105" s="20" t="s">
        <v>3735</v>
      </c>
      <c r="G1105" s="20" t="s">
        <v>4044</v>
      </c>
      <c r="H1105" s="20" t="s">
        <v>4071</v>
      </c>
      <c r="I1105" s="20">
        <v>3</v>
      </c>
      <c r="J1105" s="20" t="s">
        <v>4072</v>
      </c>
      <c r="K1105" s="20" t="s">
        <v>4082</v>
      </c>
      <c r="L1105" s="20" t="s">
        <v>4074</v>
      </c>
      <c r="M1105" s="20" t="s">
        <v>3741</v>
      </c>
      <c r="N1105" s="20" t="s">
        <v>4061</v>
      </c>
      <c r="P1105" s="20" t="s">
        <v>3741</v>
      </c>
      <c r="Q1105" s="20" t="s">
        <v>3743</v>
      </c>
      <c r="R1105" s="20" t="s">
        <v>84</v>
      </c>
      <c r="S1105" s="20">
        <v>5</v>
      </c>
      <c r="T1105" s="20" t="s">
        <v>635</v>
      </c>
      <c r="U1105" s="20" t="s">
        <v>636</v>
      </c>
      <c r="V1105" s="20" t="s">
        <v>87</v>
      </c>
      <c r="W1105" s="20">
        <v>802</v>
      </c>
      <c r="X1105" s="20">
        <v>802</v>
      </c>
      <c r="Y1105" s="20" t="s">
        <v>4075</v>
      </c>
      <c r="Z1105" s="20">
        <v>0.25</v>
      </c>
      <c r="AA1105" s="20" t="s">
        <v>4083</v>
      </c>
      <c r="AB1105" s="20" t="s">
        <v>248</v>
      </c>
      <c r="AC1105" s="20" t="s">
        <v>249</v>
      </c>
      <c r="AD1105" s="20" t="s">
        <v>4077</v>
      </c>
      <c r="AE1105" s="20" t="s">
        <v>400</v>
      </c>
      <c r="AF1105" s="20">
        <v>0.25</v>
      </c>
      <c r="AG1105" s="20">
        <v>0</v>
      </c>
      <c r="AH1105" s="20">
        <v>1</v>
      </c>
      <c r="AI1105" s="4" t="s">
        <v>651</v>
      </c>
      <c r="AJ1105" s="20">
        <v>50</v>
      </c>
      <c r="AK1105" s="4" t="s">
        <v>679</v>
      </c>
      <c r="AL1105" s="4">
        <v>8</v>
      </c>
      <c r="AM1105" s="4" t="s">
        <v>180</v>
      </c>
      <c r="AN1105" s="4" t="s">
        <v>95</v>
      </c>
      <c r="AO1105" s="4" t="s">
        <v>680</v>
      </c>
      <c r="AP1105" s="4">
        <v>1</v>
      </c>
      <c r="AQ1105" s="20">
        <v>79000</v>
      </c>
      <c r="AR1105" s="4">
        <v>41898</v>
      </c>
      <c r="AS1105" s="20">
        <v>15959.595959595958</v>
      </c>
      <c r="AT1105" s="20">
        <v>0</v>
      </c>
      <c r="AU1105" s="20">
        <v>-15959.595959595958</v>
      </c>
      <c r="AV1105" s="20">
        <v>0</v>
      </c>
      <c r="AW1105" s="20">
        <v>0</v>
      </c>
      <c r="AX1105" s="20" t="s">
        <v>91</v>
      </c>
      <c r="AY1105" s="20">
        <v>0</v>
      </c>
      <c r="AZ1105" s="20">
        <v>0</v>
      </c>
      <c r="BA1105" s="20">
        <v>0</v>
      </c>
      <c r="BB1105" s="6">
        <v>41898</v>
      </c>
      <c r="BC1105" s="6">
        <v>0</v>
      </c>
      <c r="BD1105" s="6">
        <v>41901</v>
      </c>
      <c r="BE1105" s="6">
        <v>0</v>
      </c>
      <c r="BF1105" s="6">
        <v>41899</v>
      </c>
      <c r="BG1105" s="6">
        <v>0</v>
      </c>
      <c r="BH1105" s="6">
        <v>0</v>
      </c>
      <c r="BI1105" s="6">
        <v>0</v>
      </c>
      <c r="BJ1105" s="6">
        <v>0</v>
      </c>
      <c r="BK1105" s="4">
        <v>0</v>
      </c>
      <c r="BL1105" s="4">
        <v>0</v>
      </c>
      <c r="BM1105" s="20">
        <v>50</v>
      </c>
      <c r="BN1105" s="20">
        <v>0</v>
      </c>
      <c r="BO1105" s="20">
        <v>0</v>
      </c>
      <c r="BP1105" s="20">
        <v>0</v>
      </c>
      <c r="BQ1105" s="20">
        <v>0</v>
      </c>
      <c r="BR1105" s="20">
        <v>0</v>
      </c>
      <c r="BS1105" s="20">
        <v>50</v>
      </c>
      <c r="BT1105" s="20">
        <v>797979.79797979794</v>
      </c>
      <c r="BU1105" s="20">
        <v>3950000</v>
      </c>
      <c r="BV1105" s="20">
        <v>4.5</v>
      </c>
    </row>
    <row r="1106" spans="1:74">
      <c r="A1106" s="10">
        <f t="shared" si="70"/>
        <v>0</v>
      </c>
      <c r="B1106" s="10">
        <f t="shared" si="71"/>
        <v>0</v>
      </c>
      <c r="C1106" s="12" t="str">
        <f t="shared" si="72"/>
        <v/>
      </c>
      <c r="D1106" s="12" t="str">
        <f t="shared" si="73"/>
        <v/>
      </c>
      <c r="E1106" s="20" t="s">
        <v>91</v>
      </c>
      <c r="F1106" s="20" t="s">
        <v>91</v>
      </c>
      <c r="G1106" s="20" t="s">
        <v>91</v>
      </c>
      <c r="H1106" s="20" t="s">
        <v>91</v>
      </c>
      <c r="I1106" s="20">
        <v>0</v>
      </c>
      <c r="J1106" s="20" t="s">
        <v>103</v>
      </c>
      <c r="K1106" s="20" t="s">
        <v>104</v>
      </c>
      <c r="L1106" s="20">
        <v>0</v>
      </c>
      <c r="M1106" s="20" t="s">
        <v>105</v>
      </c>
      <c r="N1106" s="20" t="s">
        <v>91</v>
      </c>
      <c r="O1106" s="20" t="s">
        <v>4084</v>
      </c>
      <c r="Q1106" s="20" t="s">
        <v>91</v>
      </c>
      <c r="R1106" s="20" t="s">
        <v>91</v>
      </c>
      <c r="S1106" s="20" t="s">
        <v>91</v>
      </c>
      <c r="T1106" s="20" t="s">
        <v>91</v>
      </c>
      <c r="U1106" s="20" t="s">
        <v>91</v>
      </c>
      <c r="V1106" s="20" t="s">
        <v>87</v>
      </c>
      <c r="W1106" s="20" t="s">
        <v>91</v>
      </c>
      <c r="X1106" s="20" t="s">
        <v>91</v>
      </c>
      <c r="Y1106" s="20" t="s">
        <v>91</v>
      </c>
      <c r="Z1106" s="20">
        <v>3</v>
      </c>
      <c r="AB1106" s="20" t="s">
        <v>91</v>
      </c>
      <c r="AD1106" s="20" t="s">
        <v>91</v>
      </c>
      <c r="AE1106" s="20" t="s">
        <v>91</v>
      </c>
      <c r="AF1106" s="20">
        <v>3</v>
      </c>
      <c r="AG1106" s="20">
        <v>0</v>
      </c>
      <c r="AH1106" s="20">
        <v>1</v>
      </c>
      <c r="AM1106" s="4" t="s">
        <v>91</v>
      </c>
      <c r="AP1106" s="4" t="s">
        <v>91</v>
      </c>
      <c r="AQ1106" s="20">
        <v>0</v>
      </c>
      <c r="AR1106" s="4">
        <v>0</v>
      </c>
      <c r="AS1106" s="20">
        <v>0</v>
      </c>
      <c r="AT1106" s="20">
        <v>0</v>
      </c>
      <c r="AU1106" s="20">
        <v>0</v>
      </c>
      <c r="AV1106" s="20">
        <v>0</v>
      </c>
      <c r="AW1106" s="20">
        <v>0</v>
      </c>
      <c r="AX1106" s="20" t="s">
        <v>91</v>
      </c>
      <c r="AY1106" s="20">
        <v>0</v>
      </c>
      <c r="AZ1106" s="20">
        <v>0</v>
      </c>
      <c r="BA1106" s="20">
        <v>0</v>
      </c>
      <c r="BB1106" s="6">
        <v>0</v>
      </c>
      <c r="BC1106" s="6">
        <v>0</v>
      </c>
      <c r="BD1106" s="6">
        <v>0</v>
      </c>
      <c r="BE1106" s="6">
        <v>0</v>
      </c>
      <c r="BF1106" s="6">
        <v>0</v>
      </c>
      <c r="BG1106" s="6">
        <v>0</v>
      </c>
      <c r="BH1106" s="6">
        <v>0</v>
      </c>
      <c r="BI1106" s="6">
        <v>0</v>
      </c>
      <c r="BJ1106" s="6">
        <v>0</v>
      </c>
      <c r="BK1106" s="4">
        <v>0</v>
      </c>
      <c r="BL1106" s="4">
        <v>0</v>
      </c>
      <c r="BM1106" s="20">
        <v>490</v>
      </c>
      <c r="BN1106" s="20">
        <v>0</v>
      </c>
      <c r="BO1106" s="20">
        <v>0</v>
      </c>
      <c r="BP1106" s="20">
        <v>0</v>
      </c>
      <c r="BQ1106" s="20">
        <v>0</v>
      </c>
      <c r="BR1106" s="20">
        <v>0</v>
      </c>
      <c r="BS1106" s="20">
        <v>490</v>
      </c>
      <c r="BT1106" s="20">
        <v>10042424.242424242</v>
      </c>
      <c r="BU1106" s="20">
        <v>49710000</v>
      </c>
      <c r="BV1106" s="20">
        <v>4.4999999999999991</v>
      </c>
    </row>
    <row r="1107" spans="1:74">
      <c r="A1107" s="10">
        <f t="shared" si="70"/>
        <v>0</v>
      </c>
      <c r="B1107" s="10">
        <f t="shared" si="71"/>
        <v>0</v>
      </c>
      <c r="C1107" s="12">
        <f t="shared" si="72"/>
        <v>9</v>
      </c>
      <c r="D1107" s="12">
        <f t="shared" si="73"/>
        <v>9</v>
      </c>
      <c r="E1107" s="20" t="s">
        <v>574</v>
      </c>
      <c r="F1107" s="20" t="s">
        <v>3089</v>
      </c>
      <c r="G1107" s="20" t="s">
        <v>4085</v>
      </c>
      <c r="H1107" s="20" t="s">
        <v>4086</v>
      </c>
      <c r="I1107" s="20">
        <v>1</v>
      </c>
      <c r="J1107" s="20" t="s">
        <v>4087</v>
      </c>
      <c r="K1107" s="20" t="s">
        <v>4088</v>
      </c>
      <c r="L1107" s="20" t="s">
        <v>4089</v>
      </c>
      <c r="M1107" s="20" t="s">
        <v>2667</v>
      </c>
      <c r="N1107" s="20" t="s">
        <v>3095</v>
      </c>
      <c r="P1107" s="20" t="s">
        <v>2667</v>
      </c>
      <c r="Q1107" s="20" t="s">
        <v>2674</v>
      </c>
      <c r="R1107" s="20" t="s">
        <v>84</v>
      </c>
      <c r="S1107" s="20">
        <v>5</v>
      </c>
      <c r="T1107" s="20" t="s">
        <v>860</v>
      </c>
      <c r="U1107" s="20" t="s">
        <v>861</v>
      </c>
      <c r="V1107" s="20" t="s">
        <v>87</v>
      </c>
      <c r="W1107" s="20">
        <v>821</v>
      </c>
      <c r="X1107" s="20">
        <v>821</v>
      </c>
      <c r="Y1107" s="20" t="s">
        <v>4090</v>
      </c>
      <c r="Z1107" s="20">
        <v>0.25</v>
      </c>
      <c r="AA1107" s="20" t="s">
        <v>4091</v>
      </c>
      <c r="AB1107" s="20" t="s">
        <v>457</v>
      </c>
      <c r="AC1107" s="20" t="s">
        <v>458</v>
      </c>
      <c r="AD1107" s="20" t="s">
        <v>4092</v>
      </c>
      <c r="AE1107" s="20" t="s">
        <v>400</v>
      </c>
      <c r="AF1107" s="20">
        <v>0.25</v>
      </c>
      <c r="AG1107" s="20">
        <v>0</v>
      </c>
      <c r="AH1107" s="20">
        <v>1</v>
      </c>
      <c r="AI1107" s="4" t="s">
        <v>643</v>
      </c>
      <c r="AJ1107" s="20">
        <v>30</v>
      </c>
      <c r="AK1107" s="4" t="s">
        <v>4093</v>
      </c>
      <c r="AL1107" s="4">
        <v>1</v>
      </c>
      <c r="AM1107" s="4" t="s">
        <v>130</v>
      </c>
      <c r="AN1107" s="4" t="s">
        <v>95</v>
      </c>
      <c r="AO1107" s="4" t="s">
        <v>96</v>
      </c>
      <c r="AP1107" s="4">
        <v>1</v>
      </c>
      <c r="AQ1107" s="20">
        <v>119000</v>
      </c>
      <c r="AR1107" s="4">
        <v>41898</v>
      </c>
      <c r="AS1107" s="20">
        <v>21636.363636363636</v>
      </c>
      <c r="AT1107" s="20">
        <v>0</v>
      </c>
      <c r="AU1107" s="20">
        <v>-21636.363636363636</v>
      </c>
      <c r="AV1107" s="20">
        <v>0</v>
      </c>
      <c r="AW1107" s="20">
        <v>0</v>
      </c>
      <c r="AX1107" s="20" t="s">
        <v>91</v>
      </c>
      <c r="AY1107" s="20">
        <v>0</v>
      </c>
      <c r="AZ1107" s="20">
        <v>0</v>
      </c>
      <c r="BA1107" s="20">
        <v>0</v>
      </c>
      <c r="BB1107" s="6">
        <v>41898</v>
      </c>
      <c r="BC1107" s="6">
        <v>0</v>
      </c>
      <c r="BD1107" s="6">
        <v>41901</v>
      </c>
      <c r="BE1107" s="6">
        <v>0</v>
      </c>
      <c r="BF1107" s="6">
        <v>41899</v>
      </c>
      <c r="BG1107" s="6">
        <v>0</v>
      </c>
      <c r="BH1107" s="6">
        <v>0</v>
      </c>
      <c r="BI1107" s="6">
        <v>0</v>
      </c>
      <c r="BJ1107" s="6">
        <v>0</v>
      </c>
      <c r="BK1107" s="4">
        <v>0</v>
      </c>
      <c r="BL1107" s="4">
        <v>0</v>
      </c>
      <c r="BM1107" s="20">
        <v>30</v>
      </c>
      <c r="BN1107" s="20">
        <v>0</v>
      </c>
      <c r="BO1107" s="20">
        <v>0</v>
      </c>
      <c r="BP1107" s="20">
        <v>0</v>
      </c>
      <c r="BQ1107" s="20">
        <v>0</v>
      </c>
      <c r="BR1107" s="20">
        <v>0</v>
      </c>
      <c r="BS1107" s="20">
        <v>30</v>
      </c>
      <c r="BT1107" s="20">
        <v>649090.90909090906</v>
      </c>
      <c r="BU1107" s="20">
        <v>3570000</v>
      </c>
      <c r="BV1107" s="20">
        <v>5</v>
      </c>
    </row>
    <row r="1108" spans="1:74">
      <c r="A1108" s="10">
        <f t="shared" si="70"/>
        <v>0</v>
      </c>
      <c r="B1108" s="10">
        <f t="shared" si="71"/>
        <v>0</v>
      </c>
      <c r="C1108" s="12">
        <f t="shared" si="72"/>
        <v>9</v>
      </c>
      <c r="D1108" s="12">
        <f t="shared" si="73"/>
        <v>9</v>
      </c>
      <c r="E1108" s="20" t="s">
        <v>574</v>
      </c>
      <c r="F1108" s="20" t="s">
        <v>3089</v>
      </c>
      <c r="G1108" s="20" t="s">
        <v>4085</v>
      </c>
      <c r="H1108" s="20" t="s">
        <v>4086</v>
      </c>
      <c r="I1108" s="20">
        <v>1</v>
      </c>
      <c r="J1108" s="20" t="s">
        <v>4087</v>
      </c>
      <c r="K1108" s="20" t="s">
        <v>4094</v>
      </c>
      <c r="L1108" s="20" t="s">
        <v>4089</v>
      </c>
      <c r="M1108" s="20" t="s">
        <v>2667</v>
      </c>
      <c r="N1108" s="20" t="s">
        <v>3095</v>
      </c>
      <c r="P1108" s="20" t="s">
        <v>2667</v>
      </c>
      <c r="Q1108" s="20" t="s">
        <v>2674</v>
      </c>
      <c r="R1108" s="20" t="s">
        <v>84</v>
      </c>
      <c r="S1108" s="20">
        <v>5</v>
      </c>
      <c r="T1108" s="20" t="s">
        <v>860</v>
      </c>
      <c r="U1108" s="20" t="s">
        <v>861</v>
      </c>
      <c r="V1108" s="20" t="s">
        <v>87</v>
      </c>
      <c r="W1108" s="20">
        <v>821</v>
      </c>
      <c r="X1108" s="20">
        <v>821</v>
      </c>
      <c r="Y1108" s="20" t="s">
        <v>4090</v>
      </c>
      <c r="Z1108" s="20">
        <v>0.25</v>
      </c>
      <c r="AA1108" s="20" t="s">
        <v>4095</v>
      </c>
      <c r="AB1108" s="20" t="s">
        <v>457</v>
      </c>
      <c r="AC1108" s="20" t="s">
        <v>458</v>
      </c>
      <c r="AD1108" s="20" t="s">
        <v>4092</v>
      </c>
      <c r="AE1108" s="20" t="s">
        <v>400</v>
      </c>
      <c r="AF1108" s="20">
        <v>0.25</v>
      </c>
      <c r="AG1108" s="20">
        <v>0</v>
      </c>
      <c r="AH1108" s="20">
        <v>1</v>
      </c>
      <c r="AI1108" s="4" t="s">
        <v>645</v>
      </c>
      <c r="AJ1108" s="20">
        <v>30</v>
      </c>
      <c r="AK1108" s="4" t="s">
        <v>4093</v>
      </c>
      <c r="AL1108" s="4">
        <v>1</v>
      </c>
      <c r="AM1108" s="4" t="s">
        <v>130</v>
      </c>
      <c r="AN1108" s="4" t="s">
        <v>95</v>
      </c>
      <c r="AO1108" s="4" t="s">
        <v>96</v>
      </c>
      <c r="AP1108" s="4">
        <v>1</v>
      </c>
      <c r="AQ1108" s="20">
        <v>119000</v>
      </c>
      <c r="AR1108" s="4">
        <v>41898</v>
      </c>
      <c r="AS1108" s="20">
        <v>21636.363636363636</v>
      </c>
      <c r="AT1108" s="20">
        <v>0</v>
      </c>
      <c r="AU1108" s="20">
        <v>-21636.363636363636</v>
      </c>
      <c r="AV1108" s="20">
        <v>0</v>
      </c>
      <c r="AW1108" s="20">
        <v>0</v>
      </c>
      <c r="AX1108" s="20" t="s">
        <v>91</v>
      </c>
      <c r="AY1108" s="20">
        <v>0</v>
      </c>
      <c r="AZ1108" s="20">
        <v>0</v>
      </c>
      <c r="BA1108" s="20">
        <v>0</v>
      </c>
      <c r="BB1108" s="6">
        <v>41898</v>
      </c>
      <c r="BC1108" s="6">
        <v>0</v>
      </c>
      <c r="BD1108" s="6">
        <v>41901</v>
      </c>
      <c r="BE1108" s="6">
        <v>0</v>
      </c>
      <c r="BF1108" s="6">
        <v>41899</v>
      </c>
      <c r="BG1108" s="6">
        <v>0</v>
      </c>
      <c r="BH1108" s="6">
        <v>0</v>
      </c>
      <c r="BI1108" s="6">
        <v>0</v>
      </c>
      <c r="BJ1108" s="6">
        <v>0</v>
      </c>
      <c r="BK1108" s="4">
        <v>0</v>
      </c>
      <c r="BL1108" s="4">
        <v>0</v>
      </c>
      <c r="BM1108" s="20">
        <v>30</v>
      </c>
      <c r="BN1108" s="20">
        <v>0</v>
      </c>
      <c r="BO1108" s="20">
        <v>0</v>
      </c>
      <c r="BP1108" s="20">
        <v>0</v>
      </c>
      <c r="BQ1108" s="20">
        <v>0</v>
      </c>
      <c r="BR1108" s="20">
        <v>0</v>
      </c>
      <c r="BS1108" s="20">
        <v>30</v>
      </c>
      <c r="BT1108" s="20">
        <v>649090.90909090906</v>
      </c>
      <c r="BU1108" s="20">
        <v>3570000</v>
      </c>
      <c r="BV1108" s="20">
        <v>5</v>
      </c>
    </row>
    <row r="1109" spans="1:74">
      <c r="A1109" s="10">
        <f t="shared" si="70"/>
        <v>0</v>
      </c>
      <c r="B1109" s="10">
        <f t="shared" si="71"/>
        <v>0</v>
      </c>
      <c r="C1109" s="12">
        <f t="shared" si="72"/>
        <v>9</v>
      </c>
      <c r="D1109" s="12">
        <f t="shared" si="73"/>
        <v>9</v>
      </c>
      <c r="E1109" s="20" t="s">
        <v>574</v>
      </c>
      <c r="F1109" s="20" t="s">
        <v>3089</v>
      </c>
      <c r="G1109" s="20" t="s">
        <v>4085</v>
      </c>
      <c r="H1109" s="20" t="s">
        <v>4086</v>
      </c>
      <c r="I1109" s="20">
        <v>1</v>
      </c>
      <c r="J1109" s="20" t="s">
        <v>4087</v>
      </c>
      <c r="K1109" s="20" t="s">
        <v>4096</v>
      </c>
      <c r="L1109" s="20" t="s">
        <v>4089</v>
      </c>
      <c r="M1109" s="20" t="s">
        <v>2667</v>
      </c>
      <c r="N1109" s="20" t="s">
        <v>3095</v>
      </c>
      <c r="P1109" s="20" t="s">
        <v>2667</v>
      </c>
      <c r="Q1109" s="20" t="s">
        <v>2674</v>
      </c>
      <c r="R1109" s="20" t="s">
        <v>84</v>
      </c>
      <c r="S1109" s="20">
        <v>5</v>
      </c>
      <c r="T1109" s="20" t="s">
        <v>860</v>
      </c>
      <c r="U1109" s="20" t="s">
        <v>861</v>
      </c>
      <c r="V1109" s="20" t="s">
        <v>87</v>
      </c>
      <c r="W1109" s="20">
        <v>821</v>
      </c>
      <c r="X1109" s="20">
        <v>821</v>
      </c>
      <c r="Y1109" s="20" t="s">
        <v>4090</v>
      </c>
      <c r="Z1109" s="20">
        <v>0.25</v>
      </c>
      <c r="AA1109" s="20" t="s">
        <v>4097</v>
      </c>
      <c r="AB1109" s="20" t="s">
        <v>457</v>
      </c>
      <c r="AC1109" s="20" t="s">
        <v>458</v>
      </c>
      <c r="AD1109" s="20" t="s">
        <v>4092</v>
      </c>
      <c r="AE1109" s="20" t="s">
        <v>400</v>
      </c>
      <c r="AF1109" s="20">
        <v>0.25</v>
      </c>
      <c r="AG1109" s="20">
        <v>0</v>
      </c>
      <c r="AH1109" s="20">
        <v>1</v>
      </c>
      <c r="AI1109" s="4" t="s">
        <v>647</v>
      </c>
      <c r="AJ1109" s="20">
        <v>30</v>
      </c>
      <c r="AK1109" s="4" t="s">
        <v>4093</v>
      </c>
      <c r="AL1109" s="4">
        <v>1</v>
      </c>
      <c r="AM1109" s="4" t="s">
        <v>130</v>
      </c>
      <c r="AN1109" s="4" t="s">
        <v>95</v>
      </c>
      <c r="AO1109" s="4" t="s">
        <v>96</v>
      </c>
      <c r="AP1109" s="4">
        <v>1</v>
      </c>
      <c r="AQ1109" s="20">
        <v>119000</v>
      </c>
      <c r="AR1109" s="4">
        <v>41898</v>
      </c>
      <c r="AS1109" s="20">
        <v>21636.363636363636</v>
      </c>
      <c r="AT1109" s="20">
        <v>0</v>
      </c>
      <c r="AU1109" s="20">
        <v>-21636.363636363636</v>
      </c>
      <c r="AV1109" s="20">
        <v>0</v>
      </c>
      <c r="AW1109" s="20">
        <v>0</v>
      </c>
      <c r="AX1109" s="20" t="s">
        <v>91</v>
      </c>
      <c r="AY1109" s="20">
        <v>0</v>
      </c>
      <c r="AZ1109" s="20">
        <v>0</v>
      </c>
      <c r="BA1109" s="20">
        <v>0</v>
      </c>
      <c r="BB1109" s="6">
        <v>41898</v>
      </c>
      <c r="BC1109" s="6">
        <v>0</v>
      </c>
      <c r="BD1109" s="6">
        <v>41901</v>
      </c>
      <c r="BE1109" s="6">
        <v>0</v>
      </c>
      <c r="BF1109" s="6">
        <v>41899</v>
      </c>
      <c r="BG1109" s="6">
        <v>0</v>
      </c>
      <c r="BH1109" s="6">
        <v>0</v>
      </c>
      <c r="BI1109" s="6">
        <v>0</v>
      </c>
      <c r="BJ1109" s="6">
        <v>0</v>
      </c>
      <c r="BK1109" s="4">
        <v>0</v>
      </c>
      <c r="BL1109" s="4">
        <v>0</v>
      </c>
      <c r="BM1109" s="20">
        <v>32</v>
      </c>
      <c r="BN1109" s="20">
        <v>0</v>
      </c>
      <c r="BO1109" s="20">
        <v>0</v>
      </c>
      <c r="BP1109" s="20">
        <v>0</v>
      </c>
      <c r="BQ1109" s="20">
        <v>0</v>
      </c>
      <c r="BR1109" s="20">
        <v>0</v>
      </c>
      <c r="BS1109" s="20">
        <v>30</v>
      </c>
      <c r="BT1109" s="20">
        <v>649090.90909090906</v>
      </c>
      <c r="BU1109" s="20">
        <v>3570000</v>
      </c>
      <c r="BV1109" s="20">
        <v>5</v>
      </c>
    </row>
    <row r="1110" spans="1:74">
      <c r="A1110" s="10">
        <f t="shared" si="70"/>
        <v>0</v>
      </c>
      <c r="B1110" s="10">
        <f t="shared" si="71"/>
        <v>0</v>
      </c>
      <c r="C1110" s="12">
        <f t="shared" si="72"/>
        <v>9</v>
      </c>
      <c r="D1110" s="12">
        <f t="shared" si="73"/>
        <v>9</v>
      </c>
      <c r="E1110" s="20" t="s">
        <v>574</v>
      </c>
      <c r="F1110" s="20" t="s">
        <v>3089</v>
      </c>
      <c r="G1110" s="20" t="s">
        <v>4085</v>
      </c>
      <c r="H1110" s="20" t="s">
        <v>4086</v>
      </c>
      <c r="I1110" s="20">
        <v>1</v>
      </c>
      <c r="J1110" s="20" t="s">
        <v>4087</v>
      </c>
      <c r="K1110" s="20" t="s">
        <v>4098</v>
      </c>
      <c r="L1110" s="20" t="s">
        <v>4089</v>
      </c>
      <c r="M1110" s="20" t="s">
        <v>2667</v>
      </c>
      <c r="N1110" s="20" t="s">
        <v>3095</v>
      </c>
      <c r="P1110" s="20" t="s">
        <v>2667</v>
      </c>
      <c r="Q1110" s="20" t="s">
        <v>2674</v>
      </c>
      <c r="R1110" s="20" t="s">
        <v>84</v>
      </c>
      <c r="S1110" s="20">
        <v>5</v>
      </c>
      <c r="T1110" s="20" t="s">
        <v>860</v>
      </c>
      <c r="U1110" s="20" t="s">
        <v>861</v>
      </c>
      <c r="V1110" s="20" t="s">
        <v>87</v>
      </c>
      <c r="W1110" s="20">
        <v>821</v>
      </c>
      <c r="X1110" s="20">
        <v>821</v>
      </c>
      <c r="Y1110" s="20" t="s">
        <v>4090</v>
      </c>
      <c r="Z1110" s="20">
        <v>0.25</v>
      </c>
      <c r="AA1110" s="20" t="s">
        <v>4099</v>
      </c>
      <c r="AB1110" s="20" t="s">
        <v>457</v>
      </c>
      <c r="AC1110" s="20" t="s">
        <v>458</v>
      </c>
      <c r="AD1110" s="20" t="s">
        <v>4092</v>
      </c>
      <c r="AE1110" s="20" t="s">
        <v>400</v>
      </c>
      <c r="AF1110" s="20">
        <v>0.25</v>
      </c>
      <c r="AG1110" s="20">
        <v>0</v>
      </c>
      <c r="AH1110" s="20">
        <v>1</v>
      </c>
      <c r="AI1110" s="4" t="s">
        <v>651</v>
      </c>
      <c r="AJ1110" s="20">
        <v>30</v>
      </c>
      <c r="AK1110" s="4" t="s">
        <v>4093</v>
      </c>
      <c r="AL1110" s="4">
        <v>1</v>
      </c>
      <c r="AM1110" s="4" t="s">
        <v>130</v>
      </c>
      <c r="AN1110" s="4" t="s">
        <v>95</v>
      </c>
      <c r="AO1110" s="4" t="s">
        <v>96</v>
      </c>
      <c r="AP1110" s="4">
        <v>1</v>
      </c>
      <c r="AQ1110" s="20">
        <v>119000</v>
      </c>
      <c r="AR1110" s="4">
        <v>41898</v>
      </c>
      <c r="AS1110" s="20">
        <v>21636.363636363636</v>
      </c>
      <c r="AT1110" s="20">
        <v>0</v>
      </c>
      <c r="AU1110" s="20">
        <v>-21636.363636363636</v>
      </c>
      <c r="AV1110" s="20">
        <v>0</v>
      </c>
      <c r="AW1110" s="20">
        <v>0</v>
      </c>
      <c r="AX1110" s="20" t="s">
        <v>91</v>
      </c>
      <c r="AY1110" s="20">
        <v>0</v>
      </c>
      <c r="AZ1110" s="20">
        <v>0</v>
      </c>
      <c r="BA1110" s="20">
        <v>0</v>
      </c>
      <c r="BB1110" s="6">
        <v>41898</v>
      </c>
      <c r="BC1110" s="6">
        <v>0</v>
      </c>
      <c r="BD1110" s="6">
        <v>41901</v>
      </c>
      <c r="BE1110" s="6">
        <v>0</v>
      </c>
      <c r="BF1110" s="6">
        <v>41899</v>
      </c>
      <c r="BG1110" s="6">
        <v>0</v>
      </c>
      <c r="BH1110" s="6">
        <v>0</v>
      </c>
      <c r="BI1110" s="6">
        <v>0</v>
      </c>
      <c r="BJ1110" s="6">
        <v>0</v>
      </c>
      <c r="BK1110" s="4">
        <v>0</v>
      </c>
      <c r="BL1110" s="4">
        <v>0</v>
      </c>
      <c r="BM1110" s="20">
        <v>30</v>
      </c>
      <c r="BN1110" s="20">
        <v>0</v>
      </c>
      <c r="BO1110" s="20">
        <v>0</v>
      </c>
      <c r="BP1110" s="20">
        <v>0</v>
      </c>
      <c r="BQ1110" s="20">
        <v>0</v>
      </c>
      <c r="BR1110" s="20">
        <v>0</v>
      </c>
      <c r="BS1110" s="20">
        <v>30</v>
      </c>
      <c r="BT1110" s="20">
        <v>649090.90909090906</v>
      </c>
      <c r="BU1110" s="20">
        <v>3570000</v>
      </c>
      <c r="BV1110" s="20">
        <v>5</v>
      </c>
    </row>
    <row r="1111" spans="1:74">
      <c r="A1111" s="10">
        <f t="shared" si="70"/>
        <v>0</v>
      </c>
      <c r="B1111" s="10">
        <f t="shared" si="71"/>
        <v>0</v>
      </c>
      <c r="C1111" s="12">
        <f t="shared" si="72"/>
        <v>9</v>
      </c>
      <c r="D1111" s="12">
        <f t="shared" si="73"/>
        <v>9</v>
      </c>
      <c r="E1111" s="20" t="s">
        <v>574</v>
      </c>
      <c r="F1111" s="20" t="s">
        <v>3089</v>
      </c>
      <c r="G1111" s="20" t="s">
        <v>4085</v>
      </c>
      <c r="H1111" s="20" t="s">
        <v>4100</v>
      </c>
      <c r="I1111" s="20">
        <v>2</v>
      </c>
      <c r="J1111" s="20" t="s">
        <v>4101</v>
      </c>
      <c r="K1111" s="20" t="s">
        <v>4102</v>
      </c>
      <c r="L1111" s="20" t="s">
        <v>4103</v>
      </c>
      <c r="M1111" s="20" t="s">
        <v>2667</v>
      </c>
      <c r="N1111" s="20" t="s">
        <v>3095</v>
      </c>
      <c r="P1111" s="20" t="s">
        <v>2667</v>
      </c>
      <c r="Q1111" s="20" t="s">
        <v>2674</v>
      </c>
      <c r="R1111" s="20" t="s">
        <v>84</v>
      </c>
      <c r="S1111" s="20">
        <v>5</v>
      </c>
      <c r="T1111" s="20" t="s">
        <v>860</v>
      </c>
      <c r="U1111" s="20" t="s">
        <v>861</v>
      </c>
      <c r="V1111" s="20" t="s">
        <v>87</v>
      </c>
      <c r="W1111" s="20">
        <v>822</v>
      </c>
      <c r="X1111" s="20">
        <v>822</v>
      </c>
      <c r="Y1111" s="20" t="s">
        <v>4104</v>
      </c>
      <c r="Z1111" s="20">
        <v>0.25</v>
      </c>
      <c r="AA1111" s="20" t="s">
        <v>4105</v>
      </c>
      <c r="AB1111" s="20" t="s">
        <v>89</v>
      </c>
      <c r="AC1111" s="20" t="s">
        <v>90</v>
      </c>
      <c r="AD1111" s="20" t="s">
        <v>4106</v>
      </c>
      <c r="AE1111" s="20" t="s">
        <v>400</v>
      </c>
      <c r="AF1111" s="20">
        <v>0.25</v>
      </c>
      <c r="AG1111" s="20">
        <v>0</v>
      </c>
      <c r="AH1111" s="20">
        <v>1</v>
      </c>
      <c r="AI1111" s="4" t="s">
        <v>643</v>
      </c>
      <c r="AJ1111" s="20">
        <v>30</v>
      </c>
      <c r="AK1111" s="4" t="s">
        <v>4093</v>
      </c>
      <c r="AL1111" s="4">
        <v>1</v>
      </c>
      <c r="AM1111" s="4" t="s">
        <v>130</v>
      </c>
      <c r="AN1111" s="4" t="s">
        <v>95</v>
      </c>
      <c r="AO1111" s="4" t="s">
        <v>96</v>
      </c>
      <c r="AP1111" s="4">
        <v>1</v>
      </c>
      <c r="AQ1111" s="20">
        <v>119000</v>
      </c>
      <c r="AR1111" s="4">
        <v>41898</v>
      </c>
      <c r="AS1111" s="20">
        <v>21636.363636363636</v>
      </c>
      <c r="AT1111" s="20">
        <v>0</v>
      </c>
      <c r="AU1111" s="20">
        <v>-21636.363636363636</v>
      </c>
      <c r="AV1111" s="20">
        <v>0</v>
      </c>
      <c r="AW1111" s="20">
        <v>0</v>
      </c>
      <c r="AX1111" s="20" t="s">
        <v>91</v>
      </c>
      <c r="AY1111" s="20">
        <v>0</v>
      </c>
      <c r="AZ1111" s="20">
        <v>0</v>
      </c>
      <c r="BA1111" s="20">
        <v>0</v>
      </c>
      <c r="BB1111" s="6">
        <v>41898</v>
      </c>
      <c r="BC1111" s="6">
        <v>0</v>
      </c>
      <c r="BD1111" s="6">
        <v>41901</v>
      </c>
      <c r="BE1111" s="6">
        <v>0</v>
      </c>
      <c r="BF1111" s="6">
        <v>41899</v>
      </c>
      <c r="BG1111" s="6">
        <v>0</v>
      </c>
      <c r="BH1111" s="6">
        <v>0</v>
      </c>
      <c r="BI1111" s="6">
        <v>0</v>
      </c>
      <c r="BJ1111" s="6">
        <v>0</v>
      </c>
      <c r="BK1111" s="4">
        <v>0</v>
      </c>
      <c r="BL1111" s="4">
        <v>0</v>
      </c>
      <c r="BM1111" s="20">
        <v>31</v>
      </c>
      <c r="BN1111" s="20">
        <v>0</v>
      </c>
      <c r="BO1111" s="20">
        <v>0</v>
      </c>
      <c r="BP1111" s="20">
        <v>0</v>
      </c>
      <c r="BQ1111" s="20">
        <v>0</v>
      </c>
      <c r="BR1111" s="20">
        <v>0</v>
      </c>
      <c r="BS1111" s="20">
        <v>30</v>
      </c>
      <c r="BT1111" s="20">
        <v>649090.90909090906</v>
      </c>
      <c r="BU1111" s="20">
        <v>3570000</v>
      </c>
      <c r="BV1111" s="20">
        <v>5</v>
      </c>
    </row>
    <row r="1112" spans="1:74">
      <c r="A1112" s="10">
        <f t="shared" si="70"/>
        <v>0</v>
      </c>
      <c r="B1112" s="10">
        <f t="shared" si="71"/>
        <v>0</v>
      </c>
      <c r="C1112" s="12">
        <f t="shared" si="72"/>
        <v>9</v>
      </c>
      <c r="D1112" s="12">
        <f t="shared" si="73"/>
        <v>9</v>
      </c>
      <c r="E1112" s="20" t="s">
        <v>574</v>
      </c>
      <c r="F1112" s="20" t="s">
        <v>3089</v>
      </c>
      <c r="G1112" s="20" t="s">
        <v>4085</v>
      </c>
      <c r="H1112" s="20" t="s">
        <v>4100</v>
      </c>
      <c r="I1112" s="20">
        <v>2</v>
      </c>
      <c r="J1112" s="20" t="s">
        <v>4101</v>
      </c>
      <c r="K1112" s="20" t="s">
        <v>4107</v>
      </c>
      <c r="L1112" s="20" t="s">
        <v>4103</v>
      </c>
      <c r="M1112" s="20" t="s">
        <v>2667</v>
      </c>
      <c r="N1112" s="20" t="s">
        <v>3095</v>
      </c>
      <c r="P1112" s="20" t="s">
        <v>2667</v>
      </c>
      <c r="Q1112" s="20" t="s">
        <v>2674</v>
      </c>
      <c r="R1112" s="20" t="s">
        <v>84</v>
      </c>
      <c r="S1112" s="20">
        <v>5</v>
      </c>
      <c r="T1112" s="20" t="s">
        <v>860</v>
      </c>
      <c r="U1112" s="20" t="s">
        <v>861</v>
      </c>
      <c r="V1112" s="20" t="s">
        <v>87</v>
      </c>
      <c r="W1112" s="20">
        <v>822</v>
      </c>
      <c r="X1112" s="20">
        <v>822</v>
      </c>
      <c r="Y1112" s="20" t="s">
        <v>4104</v>
      </c>
      <c r="Z1112" s="20">
        <v>0.25</v>
      </c>
      <c r="AA1112" s="20" t="s">
        <v>4108</v>
      </c>
      <c r="AB1112" s="20" t="s">
        <v>89</v>
      </c>
      <c r="AC1112" s="20" t="s">
        <v>90</v>
      </c>
      <c r="AD1112" s="20" t="s">
        <v>4106</v>
      </c>
      <c r="AE1112" s="20" t="s">
        <v>400</v>
      </c>
      <c r="AF1112" s="20">
        <v>0.25</v>
      </c>
      <c r="AG1112" s="20">
        <v>0</v>
      </c>
      <c r="AH1112" s="20">
        <v>1</v>
      </c>
      <c r="AI1112" s="4" t="s">
        <v>645</v>
      </c>
      <c r="AJ1112" s="20">
        <v>30</v>
      </c>
      <c r="AK1112" s="4" t="s">
        <v>4093</v>
      </c>
      <c r="AL1112" s="4">
        <v>1</v>
      </c>
      <c r="AM1112" s="4" t="s">
        <v>130</v>
      </c>
      <c r="AN1112" s="4" t="s">
        <v>95</v>
      </c>
      <c r="AO1112" s="4" t="s">
        <v>96</v>
      </c>
      <c r="AP1112" s="4">
        <v>1</v>
      </c>
      <c r="AQ1112" s="20">
        <v>119000</v>
      </c>
      <c r="AR1112" s="4">
        <v>41898</v>
      </c>
      <c r="AS1112" s="20">
        <v>21636.363636363636</v>
      </c>
      <c r="AT1112" s="20">
        <v>0</v>
      </c>
      <c r="AU1112" s="20">
        <v>-21636.363636363636</v>
      </c>
      <c r="AV1112" s="20">
        <v>0</v>
      </c>
      <c r="AW1112" s="20">
        <v>0</v>
      </c>
      <c r="AX1112" s="20" t="s">
        <v>91</v>
      </c>
      <c r="AY1112" s="20">
        <v>0</v>
      </c>
      <c r="AZ1112" s="20">
        <v>0</v>
      </c>
      <c r="BA1112" s="20">
        <v>0</v>
      </c>
      <c r="BB1112" s="6">
        <v>41898</v>
      </c>
      <c r="BC1112" s="6">
        <v>0</v>
      </c>
      <c r="BD1112" s="6">
        <v>41901</v>
      </c>
      <c r="BE1112" s="6">
        <v>0</v>
      </c>
      <c r="BF1112" s="6">
        <v>41899</v>
      </c>
      <c r="BG1112" s="6">
        <v>0</v>
      </c>
      <c r="BH1112" s="6">
        <v>0</v>
      </c>
      <c r="BI1112" s="6">
        <v>0</v>
      </c>
      <c r="BJ1112" s="6">
        <v>0</v>
      </c>
      <c r="BK1112" s="4">
        <v>0</v>
      </c>
      <c r="BL1112" s="4">
        <v>0</v>
      </c>
      <c r="BM1112" s="20">
        <v>30</v>
      </c>
      <c r="BN1112" s="20">
        <v>0</v>
      </c>
      <c r="BO1112" s="20">
        <v>0</v>
      </c>
      <c r="BP1112" s="20">
        <v>0</v>
      </c>
      <c r="BQ1112" s="20">
        <v>0</v>
      </c>
      <c r="BR1112" s="20">
        <v>0</v>
      </c>
      <c r="BS1112" s="20">
        <v>30</v>
      </c>
      <c r="BT1112" s="20">
        <v>649090.90909090906</v>
      </c>
      <c r="BU1112" s="20">
        <v>3570000</v>
      </c>
      <c r="BV1112" s="20">
        <v>5</v>
      </c>
    </row>
    <row r="1113" spans="1:74">
      <c r="A1113" s="10">
        <f t="shared" si="70"/>
        <v>0</v>
      </c>
      <c r="B1113" s="10">
        <f t="shared" si="71"/>
        <v>0</v>
      </c>
      <c r="C1113" s="12">
        <f t="shared" si="72"/>
        <v>9</v>
      </c>
      <c r="D1113" s="12">
        <f t="shared" si="73"/>
        <v>9</v>
      </c>
      <c r="E1113" s="20" t="s">
        <v>574</v>
      </c>
      <c r="F1113" s="20" t="s">
        <v>3089</v>
      </c>
      <c r="G1113" s="20" t="s">
        <v>4085</v>
      </c>
      <c r="H1113" s="20" t="s">
        <v>4100</v>
      </c>
      <c r="I1113" s="20">
        <v>2</v>
      </c>
      <c r="J1113" s="20" t="s">
        <v>4101</v>
      </c>
      <c r="K1113" s="20" t="s">
        <v>4109</v>
      </c>
      <c r="L1113" s="20" t="s">
        <v>4103</v>
      </c>
      <c r="M1113" s="20" t="s">
        <v>2667</v>
      </c>
      <c r="N1113" s="20" t="s">
        <v>3095</v>
      </c>
      <c r="P1113" s="20" t="s">
        <v>2667</v>
      </c>
      <c r="Q1113" s="20" t="s">
        <v>2674</v>
      </c>
      <c r="R1113" s="20" t="s">
        <v>84</v>
      </c>
      <c r="S1113" s="20">
        <v>5</v>
      </c>
      <c r="T1113" s="20" t="s">
        <v>860</v>
      </c>
      <c r="U1113" s="20" t="s">
        <v>861</v>
      </c>
      <c r="V1113" s="20" t="s">
        <v>87</v>
      </c>
      <c r="W1113" s="20">
        <v>822</v>
      </c>
      <c r="X1113" s="20">
        <v>822</v>
      </c>
      <c r="Y1113" s="20" t="s">
        <v>4104</v>
      </c>
      <c r="Z1113" s="20">
        <v>0.25</v>
      </c>
      <c r="AA1113" s="20" t="s">
        <v>4110</v>
      </c>
      <c r="AB1113" s="20" t="s">
        <v>89</v>
      </c>
      <c r="AC1113" s="20" t="s">
        <v>90</v>
      </c>
      <c r="AD1113" s="20" t="s">
        <v>4106</v>
      </c>
      <c r="AE1113" s="20" t="s">
        <v>400</v>
      </c>
      <c r="AF1113" s="20">
        <v>0.25</v>
      </c>
      <c r="AG1113" s="20">
        <v>0</v>
      </c>
      <c r="AH1113" s="20">
        <v>1</v>
      </c>
      <c r="AI1113" s="4" t="s">
        <v>647</v>
      </c>
      <c r="AJ1113" s="20">
        <v>30</v>
      </c>
      <c r="AK1113" s="4" t="s">
        <v>4093</v>
      </c>
      <c r="AL1113" s="4">
        <v>1</v>
      </c>
      <c r="AM1113" s="4" t="s">
        <v>130</v>
      </c>
      <c r="AN1113" s="4" t="s">
        <v>95</v>
      </c>
      <c r="AO1113" s="4" t="s">
        <v>96</v>
      </c>
      <c r="AP1113" s="4">
        <v>1</v>
      </c>
      <c r="AQ1113" s="20">
        <v>119000</v>
      </c>
      <c r="AR1113" s="4">
        <v>41898</v>
      </c>
      <c r="AS1113" s="20">
        <v>21636.363636363636</v>
      </c>
      <c r="AT1113" s="20">
        <v>0</v>
      </c>
      <c r="AU1113" s="20">
        <v>-21636.363636363636</v>
      </c>
      <c r="AV1113" s="20">
        <v>0</v>
      </c>
      <c r="AW1113" s="20">
        <v>0</v>
      </c>
      <c r="AX1113" s="20" t="s">
        <v>91</v>
      </c>
      <c r="AY1113" s="20">
        <v>0</v>
      </c>
      <c r="AZ1113" s="20">
        <v>0</v>
      </c>
      <c r="BA1113" s="20">
        <v>0</v>
      </c>
      <c r="BB1113" s="6">
        <v>41898</v>
      </c>
      <c r="BC1113" s="6">
        <v>0</v>
      </c>
      <c r="BD1113" s="6">
        <v>41901</v>
      </c>
      <c r="BE1113" s="6">
        <v>0</v>
      </c>
      <c r="BF1113" s="6">
        <v>41899</v>
      </c>
      <c r="BG1113" s="6">
        <v>0</v>
      </c>
      <c r="BH1113" s="6">
        <v>0</v>
      </c>
      <c r="BI1113" s="6">
        <v>0</v>
      </c>
      <c r="BJ1113" s="6">
        <v>0</v>
      </c>
      <c r="BK1113" s="4">
        <v>0</v>
      </c>
      <c r="BL1113" s="4">
        <v>0</v>
      </c>
      <c r="BM1113" s="20">
        <v>30</v>
      </c>
      <c r="BN1113" s="20">
        <v>0</v>
      </c>
      <c r="BO1113" s="20">
        <v>0</v>
      </c>
      <c r="BP1113" s="20">
        <v>0</v>
      </c>
      <c r="BQ1113" s="20">
        <v>0</v>
      </c>
      <c r="BR1113" s="20">
        <v>0</v>
      </c>
      <c r="BS1113" s="20">
        <v>30</v>
      </c>
      <c r="BT1113" s="20">
        <v>649090.90909090906</v>
      </c>
      <c r="BU1113" s="20">
        <v>3570000</v>
      </c>
      <c r="BV1113" s="20">
        <v>5</v>
      </c>
    </row>
    <row r="1114" spans="1:74">
      <c r="A1114" s="10">
        <f t="shared" si="70"/>
        <v>0</v>
      </c>
      <c r="B1114" s="10">
        <f t="shared" si="71"/>
        <v>0</v>
      </c>
      <c r="C1114" s="12">
        <f t="shared" si="72"/>
        <v>9</v>
      </c>
      <c r="D1114" s="12">
        <f t="shared" si="73"/>
        <v>9</v>
      </c>
      <c r="E1114" s="20" t="s">
        <v>574</v>
      </c>
      <c r="F1114" s="20" t="s">
        <v>3089</v>
      </c>
      <c r="G1114" s="20" t="s">
        <v>4085</v>
      </c>
      <c r="H1114" s="20" t="s">
        <v>4100</v>
      </c>
      <c r="I1114" s="20">
        <v>2</v>
      </c>
      <c r="J1114" s="20" t="s">
        <v>4101</v>
      </c>
      <c r="K1114" s="20" t="s">
        <v>4111</v>
      </c>
      <c r="L1114" s="20" t="s">
        <v>4103</v>
      </c>
      <c r="M1114" s="20" t="s">
        <v>2667</v>
      </c>
      <c r="N1114" s="20" t="s">
        <v>3095</v>
      </c>
      <c r="P1114" s="20" t="s">
        <v>2667</v>
      </c>
      <c r="Q1114" s="20" t="s">
        <v>2674</v>
      </c>
      <c r="R1114" s="20" t="s">
        <v>84</v>
      </c>
      <c r="S1114" s="20">
        <v>5</v>
      </c>
      <c r="T1114" s="20" t="s">
        <v>860</v>
      </c>
      <c r="U1114" s="20" t="s">
        <v>861</v>
      </c>
      <c r="V1114" s="20" t="s">
        <v>87</v>
      </c>
      <c r="W1114" s="20">
        <v>822</v>
      </c>
      <c r="X1114" s="20">
        <v>822</v>
      </c>
      <c r="Y1114" s="20" t="s">
        <v>4104</v>
      </c>
      <c r="Z1114" s="20">
        <v>0.25</v>
      </c>
      <c r="AA1114" s="20" t="s">
        <v>4112</v>
      </c>
      <c r="AB1114" s="20" t="s">
        <v>89</v>
      </c>
      <c r="AC1114" s="20" t="s">
        <v>90</v>
      </c>
      <c r="AD1114" s="20" t="s">
        <v>4106</v>
      </c>
      <c r="AE1114" s="20" t="s">
        <v>400</v>
      </c>
      <c r="AF1114" s="20">
        <v>0.25</v>
      </c>
      <c r="AG1114" s="20">
        <v>0</v>
      </c>
      <c r="AH1114" s="20">
        <v>1</v>
      </c>
      <c r="AI1114" s="4" t="s">
        <v>651</v>
      </c>
      <c r="AJ1114" s="20">
        <v>30</v>
      </c>
      <c r="AK1114" s="4" t="s">
        <v>4093</v>
      </c>
      <c r="AL1114" s="4">
        <v>1</v>
      </c>
      <c r="AM1114" s="4" t="s">
        <v>130</v>
      </c>
      <c r="AN1114" s="4" t="s">
        <v>95</v>
      </c>
      <c r="AO1114" s="4" t="s">
        <v>96</v>
      </c>
      <c r="AP1114" s="4">
        <v>1</v>
      </c>
      <c r="AQ1114" s="20">
        <v>119000</v>
      </c>
      <c r="AR1114" s="4">
        <v>41898</v>
      </c>
      <c r="AS1114" s="20">
        <v>21636.363636363636</v>
      </c>
      <c r="AT1114" s="20">
        <v>0</v>
      </c>
      <c r="AU1114" s="20">
        <v>-21636.363636363636</v>
      </c>
      <c r="AV1114" s="20">
        <v>0</v>
      </c>
      <c r="AW1114" s="20">
        <v>0</v>
      </c>
      <c r="AX1114" s="20" t="s">
        <v>91</v>
      </c>
      <c r="AY1114" s="20">
        <v>0</v>
      </c>
      <c r="AZ1114" s="20">
        <v>0</v>
      </c>
      <c r="BA1114" s="20">
        <v>0</v>
      </c>
      <c r="BB1114" s="6">
        <v>41898</v>
      </c>
      <c r="BC1114" s="6">
        <v>0</v>
      </c>
      <c r="BD1114" s="6">
        <v>41901</v>
      </c>
      <c r="BE1114" s="6">
        <v>0</v>
      </c>
      <c r="BF1114" s="6">
        <v>41899</v>
      </c>
      <c r="BG1114" s="6">
        <v>0</v>
      </c>
      <c r="BH1114" s="6">
        <v>0</v>
      </c>
      <c r="BI1114" s="6">
        <v>0</v>
      </c>
      <c r="BJ1114" s="6">
        <v>0</v>
      </c>
      <c r="BK1114" s="4">
        <v>0</v>
      </c>
      <c r="BL1114" s="4">
        <v>0</v>
      </c>
      <c r="BM1114" s="20">
        <v>30</v>
      </c>
      <c r="BN1114" s="20">
        <v>0</v>
      </c>
      <c r="BO1114" s="20">
        <v>0</v>
      </c>
      <c r="BP1114" s="20">
        <v>0</v>
      </c>
      <c r="BQ1114" s="20">
        <v>0</v>
      </c>
      <c r="BR1114" s="20">
        <v>0</v>
      </c>
      <c r="BS1114" s="20">
        <v>30</v>
      </c>
      <c r="BT1114" s="20">
        <v>649090.90909090906</v>
      </c>
      <c r="BU1114" s="20">
        <v>3570000</v>
      </c>
      <c r="BV1114" s="20">
        <v>5</v>
      </c>
    </row>
    <row r="1115" spans="1:74">
      <c r="A1115" s="10">
        <f t="shared" si="70"/>
        <v>0</v>
      </c>
      <c r="B1115" s="10">
        <f t="shared" si="71"/>
        <v>0</v>
      </c>
      <c r="C1115" s="12">
        <f t="shared" si="72"/>
        <v>9</v>
      </c>
      <c r="D1115" s="12">
        <f t="shared" si="73"/>
        <v>9</v>
      </c>
      <c r="E1115" s="20" t="s">
        <v>574</v>
      </c>
      <c r="F1115" s="20" t="s">
        <v>3089</v>
      </c>
      <c r="G1115" s="20" t="s">
        <v>4085</v>
      </c>
      <c r="H1115" s="20" t="s">
        <v>4113</v>
      </c>
      <c r="I1115" s="20">
        <v>3</v>
      </c>
      <c r="J1115" s="20" t="s">
        <v>4114</v>
      </c>
      <c r="K1115" s="20" t="s">
        <v>4115</v>
      </c>
      <c r="L1115" s="20" t="s">
        <v>4116</v>
      </c>
      <c r="M1115" s="20" t="s">
        <v>2667</v>
      </c>
      <c r="N1115" s="20" t="s">
        <v>3346</v>
      </c>
      <c r="P1115" s="20" t="s">
        <v>2667</v>
      </c>
      <c r="Q1115" s="20" t="s">
        <v>2674</v>
      </c>
      <c r="R1115" s="20" t="s">
        <v>84</v>
      </c>
      <c r="S1115" s="20">
        <v>5</v>
      </c>
      <c r="T1115" s="20" t="s">
        <v>635</v>
      </c>
      <c r="U1115" s="20" t="s">
        <v>636</v>
      </c>
      <c r="V1115" s="20" t="s">
        <v>87</v>
      </c>
      <c r="W1115" s="20">
        <v>810</v>
      </c>
      <c r="X1115" s="20">
        <v>810</v>
      </c>
      <c r="Y1115" s="20" t="s">
        <v>4117</v>
      </c>
      <c r="Z1115" s="20">
        <v>0.25</v>
      </c>
      <c r="AA1115" s="20" t="s">
        <v>4118</v>
      </c>
      <c r="AB1115" s="20" t="s">
        <v>139</v>
      </c>
      <c r="AC1115" s="20" t="s">
        <v>140</v>
      </c>
      <c r="AD1115" s="20" t="s">
        <v>4119</v>
      </c>
      <c r="AE1115" s="20" t="s">
        <v>400</v>
      </c>
      <c r="AF1115" s="20">
        <v>0.25</v>
      </c>
      <c r="AG1115" s="20">
        <v>0</v>
      </c>
      <c r="AH1115" s="20">
        <v>1</v>
      </c>
      <c r="AI1115" s="4" t="s">
        <v>643</v>
      </c>
      <c r="AJ1115" s="20">
        <v>30</v>
      </c>
      <c r="AK1115" s="4" t="s">
        <v>4093</v>
      </c>
      <c r="AL1115" s="4">
        <v>1</v>
      </c>
      <c r="AM1115" s="4" t="s">
        <v>130</v>
      </c>
      <c r="AN1115" s="4" t="s">
        <v>95</v>
      </c>
      <c r="AO1115" s="4" t="s">
        <v>96</v>
      </c>
      <c r="AP1115" s="4">
        <v>1</v>
      </c>
      <c r="AQ1115" s="20">
        <v>79000</v>
      </c>
      <c r="AR1115" s="4">
        <v>41898</v>
      </c>
      <c r="AS1115" s="20">
        <v>14363.636363636362</v>
      </c>
      <c r="AT1115" s="20">
        <v>0</v>
      </c>
      <c r="AU1115" s="20">
        <v>-14363.636363636362</v>
      </c>
      <c r="AV1115" s="20">
        <v>0</v>
      </c>
      <c r="AW1115" s="20">
        <v>0</v>
      </c>
      <c r="AX1115" s="20" t="s">
        <v>91</v>
      </c>
      <c r="AY1115" s="20">
        <v>0</v>
      </c>
      <c r="AZ1115" s="20">
        <v>0</v>
      </c>
      <c r="BA1115" s="20">
        <v>0</v>
      </c>
      <c r="BB1115" s="6">
        <v>41898</v>
      </c>
      <c r="BC1115" s="6">
        <v>0</v>
      </c>
      <c r="BD1115" s="6">
        <v>41901</v>
      </c>
      <c r="BE1115" s="6">
        <v>0</v>
      </c>
      <c r="BF1115" s="6">
        <v>41899</v>
      </c>
      <c r="BG1115" s="6">
        <v>0</v>
      </c>
      <c r="BH1115" s="6">
        <v>0</v>
      </c>
      <c r="BI1115" s="6">
        <v>0</v>
      </c>
      <c r="BJ1115" s="6">
        <v>0</v>
      </c>
      <c r="BK1115" s="4">
        <v>0</v>
      </c>
      <c r="BL1115" s="4">
        <v>0</v>
      </c>
      <c r="BM1115" s="20">
        <v>30</v>
      </c>
      <c r="BN1115" s="20">
        <v>0</v>
      </c>
      <c r="BO1115" s="20">
        <v>0</v>
      </c>
      <c r="BP1115" s="20">
        <v>0</v>
      </c>
      <c r="BQ1115" s="20">
        <v>0</v>
      </c>
      <c r="BR1115" s="20">
        <v>0</v>
      </c>
      <c r="BS1115" s="20">
        <v>30</v>
      </c>
      <c r="BT1115" s="20">
        <v>430909.09090909088</v>
      </c>
      <c r="BU1115" s="20">
        <v>2370000</v>
      </c>
      <c r="BV1115" s="20">
        <v>5</v>
      </c>
    </row>
    <row r="1116" spans="1:74">
      <c r="A1116" s="10">
        <f t="shared" si="70"/>
        <v>0</v>
      </c>
      <c r="B1116" s="10">
        <f t="shared" si="71"/>
        <v>0</v>
      </c>
      <c r="C1116" s="12">
        <f t="shared" si="72"/>
        <v>9</v>
      </c>
      <c r="D1116" s="12">
        <f t="shared" si="73"/>
        <v>9</v>
      </c>
      <c r="E1116" s="20" t="s">
        <v>574</v>
      </c>
      <c r="F1116" s="20" t="s">
        <v>3089</v>
      </c>
      <c r="G1116" s="20" t="s">
        <v>4085</v>
      </c>
      <c r="H1116" s="20" t="s">
        <v>4113</v>
      </c>
      <c r="I1116" s="20">
        <v>3</v>
      </c>
      <c r="J1116" s="20" t="s">
        <v>4114</v>
      </c>
      <c r="K1116" s="20" t="s">
        <v>4120</v>
      </c>
      <c r="L1116" s="20" t="s">
        <v>4116</v>
      </c>
      <c r="M1116" s="20" t="s">
        <v>2667</v>
      </c>
      <c r="N1116" s="20" t="s">
        <v>3346</v>
      </c>
      <c r="P1116" s="20" t="s">
        <v>2667</v>
      </c>
      <c r="Q1116" s="20" t="s">
        <v>2674</v>
      </c>
      <c r="R1116" s="20" t="s">
        <v>84</v>
      </c>
      <c r="S1116" s="20">
        <v>5</v>
      </c>
      <c r="T1116" s="20" t="s">
        <v>635</v>
      </c>
      <c r="U1116" s="20" t="s">
        <v>636</v>
      </c>
      <c r="V1116" s="20" t="s">
        <v>87</v>
      </c>
      <c r="W1116" s="20">
        <v>810</v>
      </c>
      <c r="X1116" s="20">
        <v>810</v>
      </c>
      <c r="Y1116" s="20" t="s">
        <v>4117</v>
      </c>
      <c r="Z1116" s="20">
        <v>0.25</v>
      </c>
      <c r="AA1116" s="20" t="s">
        <v>4121</v>
      </c>
      <c r="AB1116" s="20" t="s">
        <v>139</v>
      </c>
      <c r="AC1116" s="20" t="s">
        <v>140</v>
      </c>
      <c r="AD1116" s="20" t="s">
        <v>4119</v>
      </c>
      <c r="AE1116" s="20" t="s">
        <v>400</v>
      </c>
      <c r="AF1116" s="20">
        <v>0.25</v>
      </c>
      <c r="AG1116" s="20">
        <v>0</v>
      </c>
      <c r="AH1116" s="20">
        <v>1</v>
      </c>
      <c r="AI1116" s="4" t="s">
        <v>645</v>
      </c>
      <c r="AJ1116" s="20">
        <v>50</v>
      </c>
      <c r="AK1116" s="4" t="s">
        <v>4093</v>
      </c>
      <c r="AL1116" s="4">
        <v>1</v>
      </c>
      <c r="AM1116" s="4" t="s">
        <v>130</v>
      </c>
      <c r="AN1116" s="4" t="s">
        <v>95</v>
      </c>
      <c r="AO1116" s="4" t="s">
        <v>96</v>
      </c>
      <c r="AP1116" s="4">
        <v>1</v>
      </c>
      <c r="AQ1116" s="20">
        <v>79000</v>
      </c>
      <c r="AR1116" s="4">
        <v>41898</v>
      </c>
      <c r="AS1116" s="20">
        <v>14363.636363636362</v>
      </c>
      <c r="AT1116" s="20">
        <v>0</v>
      </c>
      <c r="AU1116" s="20">
        <v>-14363.636363636362</v>
      </c>
      <c r="AV1116" s="20">
        <v>0</v>
      </c>
      <c r="AW1116" s="20">
        <v>0</v>
      </c>
      <c r="AX1116" s="20" t="s">
        <v>91</v>
      </c>
      <c r="AY1116" s="20">
        <v>0</v>
      </c>
      <c r="AZ1116" s="20">
        <v>0</v>
      </c>
      <c r="BA1116" s="20">
        <v>0</v>
      </c>
      <c r="BB1116" s="6">
        <v>41898</v>
      </c>
      <c r="BC1116" s="6">
        <v>0</v>
      </c>
      <c r="BD1116" s="6">
        <v>41901</v>
      </c>
      <c r="BE1116" s="6">
        <v>0</v>
      </c>
      <c r="BF1116" s="6">
        <v>41899</v>
      </c>
      <c r="BG1116" s="6">
        <v>0</v>
      </c>
      <c r="BH1116" s="6">
        <v>0</v>
      </c>
      <c r="BI1116" s="6">
        <v>0</v>
      </c>
      <c r="BJ1116" s="6">
        <v>0</v>
      </c>
      <c r="BK1116" s="4">
        <v>0</v>
      </c>
      <c r="BL1116" s="4">
        <v>0</v>
      </c>
      <c r="BM1116" s="20">
        <v>50</v>
      </c>
      <c r="BN1116" s="20">
        <v>0</v>
      </c>
      <c r="BO1116" s="20">
        <v>0</v>
      </c>
      <c r="BP1116" s="20">
        <v>0</v>
      </c>
      <c r="BQ1116" s="20">
        <v>0</v>
      </c>
      <c r="BR1116" s="20">
        <v>0</v>
      </c>
      <c r="BS1116" s="20">
        <v>50</v>
      </c>
      <c r="BT1116" s="20">
        <v>718181.81818181812</v>
      </c>
      <c r="BU1116" s="20">
        <v>3950000</v>
      </c>
      <c r="BV1116" s="20">
        <v>5</v>
      </c>
    </row>
    <row r="1117" spans="1:74">
      <c r="A1117" s="10">
        <f t="shared" si="70"/>
        <v>0</v>
      </c>
      <c r="B1117" s="10">
        <f t="shared" si="71"/>
        <v>0</v>
      </c>
      <c r="C1117" s="12">
        <f t="shared" si="72"/>
        <v>9</v>
      </c>
      <c r="D1117" s="12">
        <f t="shared" si="73"/>
        <v>9</v>
      </c>
      <c r="E1117" s="20" t="s">
        <v>574</v>
      </c>
      <c r="F1117" s="20" t="s">
        <v>3089</v>
      </c>
      <c r="G1117" s="20" t="s">
        <v>4085</v>
      </c>
      <c r="H1117" s="20" t="s">
        <v>4113</v>
      </c>
      <c r="I1117" s="20">
        <v>3</v>
      </c>
      <c r="J1117" s="20" t="s">
        <v>4114</v>
      </c>
      <c r="K1117" s="20" t="s">
        <v>4122</v>
      </c>
      <c r="L1117" s="20" t="s">
        <v>4116</v>
      </c>
      <c r="M1117" s="20" t="s">
        <v>2667</v>
      </c>
      <c r="N1117" s="20" t="s">
        <v>3346</v>
      </c>
      <c r="P1117" s="20" t="s">
        <v>2667</v>
      </c>
      <c r="Q1117" s="20" t="s">
        <v>2674</v>
      </c>
      <c r="R1117" s="20" t="s">
        <v>84</v>
      </c>
      <c r="S1117" s="20">
        <v>5</v>
      </c>
      <c r="T1117" s="20" t="s">
        <v>635</v>
      </c>
      <c r="U1117" s="20" t="s">
        <v>636</v>
      </c>
      <c r="V1117" s="20" t="s">
        <v>87</v>
      </c>
      <c r="W1117" s="20">
        <v>810</v>
      </c>
      <c r="X1117" s="20">
        <v>810</v>
      </c>
      <c r="Y1117" s="20" t="s">
        <v>4117</v>
      </c>
      <c r="Z1117" s="20">
        <v>0.25</v>
      </c>
      <c r="AA1117" s="20" t="s">
        <v>4123</v>
      </c>
      <c r="AB1117" s="20" t="s">
        <v>139</v>
      </c>
      <c r="AC1117" s="20" t="s">
        <v>140</v>
      </c>
      <c r="AD1117" s="20" t="s">
        <v>4119</v>
      </c>
      <c r="AE1117" s="20" t="s">
        <v>400</v>
      </c>
      <c r="AF1117" s="20">
        <v>0.25</v>
      </c>
      <c r="AG1117" s="20">
        <v>0</v>
      </c>
      <c r="AH1117" s="20">
        <v>1</v>
      </c>
      <c r="AI1117" s="4" t="s">
        <v>647</v>
      </c>
      <c r="AJ1117" s="20">
        <v>50</v>
      </c>
      <c r="AK1117" s="4" t="s">
        <v>4093</v>
      </c>
      <c r="AL1117" s="4">
        <v>1</v>
      </c>
      <c r="AM1117" s="4" t="s">
        <v>130</v>
      </c>
      <c r="AN1117" s="4" t="s">
        <v>95</v>
      </c>
      <c r="AO1117" s="4" t="s">
        <v>96</v>
      </c>
      <c r="AP1117" s="4">
        <v>1</v>
      </c>
      <c r="AQ1117" s="20">
        <v>79000</v>
      </c>
      <c r="AR1117" s="4">
        <v>41898</v>
      </c>
      <c r="AS1117" s="20">
        <v>14363.636363636362</v>
      </c>
      <c r="AT1117" s="20">
        <v>0</v>
      </c>
      <c r="AU1117" s="20">
        <v>-14363.636363636362</v>
      </c>
      <c r="AV1117" s="20">
        <v>0</v>
      </c>
      <c r="AW1117" s="20">
        <v>0</v>
      </c>
      <c r="AX1117" s="20" t="s">
        <v>91</v>
      </c>
      <c r="AY1117" s="20">
        <v>0</v>
      </c>
      <c r="AZ1117" s="20">
        <v>0</v>
      </c>
      <c r="BA1117" s="20">
        <v>0</v>
      </c>
      <c r="BB1117" s="6">
        <v>41898</v>
      </c>
      <c r="BC1117" s="6">
        <v>0</v>
      </c>
      <c r="BD1117" s="6">
        <v>41901</v>
      </c>
      <c r="BE1117" s="6">
        <v>0</v>
      </c>
      <c r="BF1117" s="6">
        <v>41899</v>
      </c>
      <c r="BG1117" s="6">
        <v>0</v>
      </c>
      <c r="BH1117" s="6">
        <v>0</v>
      </c>
      <c r="BI1117" s="6">
        <v>0</v>
      </c>
      <c r="BJ1117" s="6">
        <v>0</v>
      </c>
      <c r="BK1117" s="4">
        <v>0</v>
      </c>
      <c r="BL1117" s="4">
        <v>0</v>
      </c>
      <c r="BM1117" s="20">
        <v>50</v>
      </c>
      <c r="BN1117" s="20">
        <v>0</v>
      </c>
      <c r="BO1117" s="20">
        <v>0</v>
      </c>
      <c r="BP1117" s="20">
        <v>0</v>
      </c>
      <c r="BQ1117" s="20">
        <v>0</v>
      </c>
      <c r="BR1117" s="20">
        <v>0</v>
      </c>
      <c r="BS1117" s="20">
        <v>50</v>
      </c>
      <c r="BT1117" s="20">
        <v>718181.81818181812</v>
      </c>
      <c r="BU1117" s="20">
        <v>3950000</v>
      </c>
      <c r="BV1117" s="20">
        <v>5</v>
      </c>
    </row>
    <row r="1118" spans="1:74">
      <c r="A1118" s="10">
        <f t="shared" si="70"/>
        <v>0</v>
      </c>
      <c r="B1118" s="10">
        <f t="shared" si="71"/>
        <v>0</v>
      </c>
      <c r="C1118" s="12">
        <f t="shared" si="72"/>
        <v>9</v>
      </c>
      <c r="D1118" s="12">
        <f t="shared" si="73"/>
        <v>9</v>
      </c>
      <c r="E1118" s="20" t="s">
        <v>574</v>
      </c>
      <c r="F1118" s="20" t="s">
        <v>3089</v>
      </c>
      <c r="G1118" s="20" t="s">
        <v>4085</v>
      </c>
      <c r="H1118" s="20" t="s">
        <v>4113</v>
      </c>
      <c r="I1118" s="20">
        <v>3</v>
      </c>
      <c r="J1118" s="20" t="s">
        <v>4114</v>
      </c>
      <c r="K1118" s="20" t="s">
        <v>4124</v>
      </c>
      <c r="L1118" s="20" t="s">
        <v>4116</v>
      </c>
      <c r="M1118" s="20" t="s">
        <v>2667</v>
      </c>
      <c r="N1118" s="20" t="s">
        <v>3346</v>
      </c>
      <c r="P1118" s="20" t="s">
        <v>2667</v>
      </c>
      <c r="Q1118" s="20" t="s">
        <v>2674</v>
      </c>
      <c r="R1118" s="20" t="s">
        <v>84</v>
      </c>
      <c r="S1118" s="20">
        <v>5</v>
      </c>
      <c r="T1118" s="20" t="s">
        <v>635</v>
      </c>
      <c r="U1118" s="20" t="s">
        <v>636</v>
      </c>
      <c r="V1118" s="20" t="s">
        <v>87</v>
      </c>
      <c r="W1118" s="20">
        <v>810</v>
      </c>
      <c r="X1118" s="20">
        <v>810</v>
      </c>
      <c r="Y1118" s="20" t="s">
        <v>4117</v>
      </c>
      <c r="Z1118" s="20">
        <v>0.25</v>
      </c>
      <c r="AA1118" s="20" t="s">
        <v>4125</v>
      </c>
      <c r="AB1118" s="20" t="s">
        <v>139</v>
      </c>
      <c r="AC1118" s="20" t="s">
        <v>140</v>
      </c>
      <c r="AD1118" s="20" t="s">
        <v>4119</v>
      </c>
      <c r="AE1118" s="20" t="s">
        <v>400</v>
      </c>
      <c r="AF1118" s="20">
        <v>0.25</v>
      </c>
      <c r="AG1118" s="20">
        <v>0</v>
      </c>
      <c r="AH1118" s="20">
        <v>1</v>
      </c>
      <c r="AI1118" s="4" t="s">
        <v>651</v>
      </c>
      <c r="AJ1118" s="20">
        <v>50</v>
      </c>
      <c r="AK1118" s="4" t="s">
        <v>4093</v>
      </c>
      <c r="AL1118" s="4">
        <v>1</v>
      </c>
      <c r="AM1118" s="4" t="s">
        <v>130</v>
      </c>
      <c r="AN1118" s="4" t="s">
        <v>95</v>
      </c>
      <c r="AO1118" s="4" t="s">
        <v>96</v>
      </c>
      <c r="AP1118" s="4">
        <v>1</v>
      </c>
      <c r="AQ1118" s="20">
        <v>79000</v>
      </c>
      <c r="AR1118" s="4">
        <v>41898</v>
      </c>
      <c r="AS1118" s="20">
        <v>14363.636363636362</v>
      </c>
      <c r="AT1118" s="20">
        <v>0</v>
      </c>
      <c r="AU1118" s="20">
        <v>-14363.636363636362</v>
      </c>
      <c r="AV1118" s="20">
        <v>0</v>
      </c>
      <c r="AW1118" s="20">
        <v>0</v>
      </c>
      <c r="AX1118" s="20" t="s">
        <v>91</v>
      </c>
      <c r="AY1118" s="20">
        <v>0</v>
      </c>
      <c r="AZ1118" s="20">
        <v>0</v>
      </c>
      <c r="BA1118" s="20">
        <v>0</v>
      </c>
      <c r="BB1118" s="6">
        <v>41898</v>
      </c>
      <c r="BC1118" s="6">
        <v>0</v>
      </c>
      <c r="BD1118" s="6">
        <v>41901</v>
      </c>
      <c r="BE1118" s="6">
        <v>0</v>
      </c>
      <c r="BF1118" s="6">
        <v>41899</v>
      </c>
      <c r="BG1118" s="6">
        <v>0</v>
      </c>
      <c r="BH1118" s="6">
        <v>0</v>
      </c>
      <c r="BI1118" s="6">
        <v>0</v>
      </c>
      <c r="BJ1118" s="6">
        <v>0</v>
      </c>
      <c r="BK1118" s="4">
        <v>0</v>
      </c>
      <c r="BL1118" s="4">
        <v>0</v>
      </c>
      <c r="BM1118" s="20">
        <v>50</v>
      </c>
      <c r="BN1118" s="20">
        <v>0</v>
      </c>
      <c r="BO1118" s="20">
        <v>0</v>
      </c>
      <c r="BP1118" s="20">
        <v>0</v>
      </c>
      <c r="BQ1118" s="20">
        <v>0</v>
      </c>
      <c r="BR1118" s="20">
        <v>0</v>
      </c>
      <c r="BS1118" s="20">
        <v>50</v>
      </c>
      <c r="BT1118" s="20">
        <v>718181.81818181812</v>
      </c>
      <c r="BU1118" s="20">
        <v>3950000</v>
      </c>
      <c r="BV1118" s="20">
        <v>5</v>
      </c>
    </row>
    <row r="1119" spans="1:74">
      <c r="A1119" s="10">
        <f t="shared" si="70"/>
        <v>0</v>
      </c>
      <c r="B1119" s="10">
        <f t="shared" si="71"/>
        <v>0</v>
      </c>
      <c r="C1119" s="12">
        <f t="shared" si="72"/>
        <v>9</v>
      </c>
      <c r="D1119" s="12">
        <f t="shared" si="73"/>
        <v>9</v>
      </c>
      <c r="E1119" s="20" t="s">
        <v>574</v>
      </c>
      <c r="F1119" s="20" t="s">
        <v>3089</v>
      </c>
      <c r="G1119" s="20" t="s">
        <v>4085</v>
      </c>
      <c r="H1119" s="20" t="s">
        <v>4126</v>
      </c>
      <c r="I1119" s="20">
        <v>4</v>
      </c>
      <c r="J1119" s="20" t="s">
        <v>4127</v>
      </c>
      <c r="K1119" s="20" t="s">
        <v>4128</v>
      </c>
      <c r="L1119" s="20" t="s">
        <v>4116</v>
      </c>
      <c r="M1119" s="20" t="s">
        <v>2667</v>
      </c>
      <c r="N1119" s="20" t="s">
        <v>3346</v>
      </c>
      <c r="P1119" s="20" t="s">
        <v>2667</v>
      </c>
      <c r="Q1119" s="20" t="s">
        <v>2674</v>
      </c>
      <c r="R1119" s="20" t="s">
        <v>84</v>
      </c>
      <c r="S1119" s="20">
        <v>5</v>
      </c>
      <c r="T1119" s="20" t="s">
        <v>635</v>
      </c>
      <c r="U1119" s="20" t="s">
        <v>636</v>
      </c>
      <c r="V1119" s="20" t="s">
        <v>87</v>
      </c>
      <c r="W1119" s="20">
        <v>810</v>
      </c>
      <c r="X1119" s="20">
        <v>810</v>
      </c>
      <c r="Y1119" s="20" t="s">
        <v>4117</v>
      </c>
      <c r="Z1119" s="20">
        <v>0.25</v>
      </c>
      <c r="AA1119" s="20" t="s">
        <v>4129</v>
      </c>
      <c r="AB1119" s="20" t="s">
        <v>89</v>
      </c>
      <c r="AC1119" s="20" t="s">
        <v>90</v>
      </c>
      <c r="AD1119" s="20" t="s">
        <v>4130</v>
      </c>
      <c r="AE1119" s="20" t="s">
        <v>400</v>
      </c>
      <c r="AF1119" s="20">
        <v>0.25</v>
      </c>
      <c r="AG1119" s="20">
        <v>0</v>
      </c>
      <c r="AH1119" s="20">
        <v>1</v>
      </c>
      <c r="AI1119" s="4" t="s">
        <v>643</v>
      </c>
      <c r="AJ1119" s="20">
        <v>50</v>
      </c>
      <c r="AK1119" s="4" t="s">
        <v>4093</v>
      </c>
      <c r="AL1119" s="4">
        <v>1</v>
      </c>
      <c r="AM1119" s="4" t="s">
        <v>130</v>
      </c>
      <c r="AN1119" s="4" t="s">
        <v>95</v>
      </c>
      <c r="AO1119" s="4" t="s">
        <v>96</v>
      </c>
      <c r="AP1119" s="4">
        <v>1</v>
      </c>
      <c r="AQ1119" s="20">
        <v>79000</v>
      </c>
      <c r="AR1119" s="4">
        <v>41898</v>
      </c>
      <c r="AS1119" s="20">
        <v>14363.636363636362</v>
      </c>
      <c r="AT1119" s="20">
        <v>0</v>
      </c>
      <c r="AU1119" s="20">
        <v>-14363.636363636362</v>
      </c>
      <c r="AV1119" s="20">
        <v>0</v>
      </c>
      <c r="AW1119" s="20">
        <v>0</v>
      </c>
      <c r="AX1119" s="20" t="s">
        <v>91</v>
      </c>
      <c r="AY1119" s="20">
        <v>0</v>
      </c>
      <c r="AZ1119" s="20">
        <v>0</v>
      </c>
      <c r="BA1119" s="20">
        <v>0</v>
      </c>
      <c r="BB1119" s="6">
        <v>41898</v>
      </c>
      <c r="BC1119" s="6">
        <v>0</v>
      </c>
      <c r="BD1119" s="6">
        <v>41901</v>
      </c>
      <c r="BE1119" s="6">
        <v>0</v>
      </c>
      <c r="BF1119" s="6">
        <v>41899</v>
      </c>
      <c r="BG1119" s="6">
        <v>0</v>
      </c>
      <c r="BH1119" s="6">
        <v>0</v>
      </c>
      <c r="BI1119" s="6">
        <v>0</v>
      </c>
      <c r="BJ1119" s="6">
        <v>0</v>
      </c>
      <c r="BK1119" s="4">
        <v>0</v>
      </c>
      <c r="BL1119" s="4">
        <v>0</v>
      </c>
      <c r="BM1119" s="20">
        <v>50</v>
      </c>
      <c r="BN1119" s="20">
        <v>0</v>
      </c>
      <c r="BO1119" s="20">
        <v>0</v>
      </c>
      <c r="BP1119" s="20">
        <v>0</v>
      </c>
      <c r="BQ1119" s="20">
        <v>0</v>
      </c>
      <c r="BR1119" s="20">
        <v>0</v>
      </c>
      <c r="BS1119" s="20">
        <v>50</v>
      </c>
      <c r="BT1119" s="20">
        <v>718181.81818181812</v>
      </c>
      <c r="BU1119" s="20">
        <v>3950000</v>
      </c>
      <c r="BV1119" s="20">
        <v>5</v>
      </c>
    </row>
    <row r="1120" spans="1:74">
      <c r="A1120" s="10">
        <f t="shared" si="70"/>
        <v>0</v>
      </c>
      <c r="B1120" s="10">
        <f t="shared" si="71"/>
        <v>0</v>
      </c>
      <c r="C1120" s="12">
        <f t="shared" si="72"/>
        <v>9</v>
      </c>
      <c r="D1120" s="12">
        <f t="shared" si="73"/>
        <v>9</v>
      </c>
      <c r="E1120" s="20" t="s">
        <v>574</v>
      </c>
      <c r="F1120" s="20" t="s">
        <v>3089</v>
      </c>
      <c r="G1120" s="20" t="s">
        <v>4085</v>
      </c>
      <c r="H1120" s="20" t="s">
        <v>4126</v>
      </c>
      <c r="I1120" s="20">
        <v>4</v>
      </c>
      <c r="J1120" s="20" t="s">
        <v>4127</v>
      </c>
      <c r="K1120" s="20" t="s">
        <v>4131</v>
      </c>
      <c r="L1120" s="20" t="s">
        <v>4116</v>
      </c>
      <c r="M1120" s="20" t="s">
        <v>2667</v>
      </c>
      <c r="N1120" s="20" t="s">
        <v>3346</v>
      </c>
      <c r="P1120" s="20" t="s">
        <v>2667</v>
      </c>
      <c r="Q1120" s="20" t="s">
        <v>2674</v>
      </c>
      <c r="R1120" s="20" t="s">
        <v>84</v>
      </c>
      <c r="S1120" s="20">
        <v>5</v>
      </c>
      <c r="T1120" s="20" t="s">
        <v>635</v>
      </c>
      <c r="U1120" s="20" t="s">
        <v>636</v>
      </c>
      <c r="V1120" s="20" t="s">
        <v>87</v>
      </c>
      <c r="W1120" s="20">
        <v>810</v>
      </c>
      <c r="X1120" s="20">
        <v>810</v>
      </c>
      <c r="Y1120" s="20" t="s">
        <v>4117</v>
      </c>
      <c r="Z1120" s="20">
        <v>0.25</v>
      </c>
      <c r="AA1120" s="20" t="s">
        <v>4132</v>
      </c>
      <c r="AB1120" s="20" t="s">
        <v>89</v>
      </c>
      <c r="AC1120" s="20" t="s">
        <v>90</v>
      </c>
      <c r="AD1120" s="20" t="s">
        <v>4130</v>
      </c>
      <c r="AE1120" s="20" t="s">
        <v>400</v>
      </c>
      <c r="AF1120" s="20">
        <v>0.25</v>
      </c>
      <c r="AG1120" s="20">
        <v>0</v>
      </c>
      <c r="AH1120" s="20">
        <v>1</v>
      </c>
      <c r="AI1120" s="4" t="s">
        <v>645</v>
      </c>
      <c r="AJ1120" s="20">
        <v>50</v>
      </c>
      <c r="AK1120" s="4" t="s">
        <v>4093</v>
      </c>
      <c r="AL1120" s="4">
        <v>1</v>
      </c>
      <c r="AM1120" s="4" t="s">
        <v>130</v>
      </c>
      <c r="AN1120" s="4" t="s">
        <v>95</v>
      </c>
      <c r="AO1120" s="4" t="s">
        <v>96</v>
      </c>
      <c r="AP1120" s="4">
        <v>1</v>
      </c>
      <c r="AQ1120" s="20">
        <v>79000</v>
      </c>
      <c r="AR1120" s="4">
        <v>41898</v>
      </c>
      <c r="AS1120" s="20">
        <v>14363.636363636362</v>
      </c>
      <c r="AT1120" s="20">
        <v>0</v>
      </c>
      <c r="AU1120" s="20">
        <v>-14363.636363636362</v>
      </c>
      <c r="AV1120" s="20">
        <v>0</v>
      </c>
      <c r="AW1120" s="20">
        <v>0</v>
      </c>
      <c r="AX1120" s="20" t="s">
        <v>91</v>
      </c>
      <c r="AY1120" s="20">
        <v>0</v>
      </c>
      <c r="AZ1120" s="20">
        <v>0</v>
      </c>
      <c r="BA1120" s="20">
        <v>0</v>
      </c>
      <c r="BB1120" s="6">
        <v>41898</v>
      </c>
      <c r="BC1120" s="6">
        <v>0</v>
      </c>
      <c r="BD1120" s="6">
        <v>41901</v>
      </c>
      <c r="BE1120" s="6">
        <v>0</v>
      </c>
      <c r="BF1120" s="6">
        <v>41899</v>
      </c>
      <c r="BG1120" s="6">
        <v>0</v>
      </c>
      <c r="BH1120" s="6">
        <v>0</v>
      </c>
      <c r="BI1120" s="6">
        <v>0</v>
      </c>
      <c r="BJ1120" s="6">
        <v>0</v>
      </c>
      <c r="BK1120" s="4">
        <v>0</v>
      </c>
      <c r="BL1120" s="4">
        <v>0</v>
      </c>
      <c r="BM1120" s="20">
        <v>50</v>
      </c>
      <c r="BN1120" s="20">
        <v>0</v>
      </c>
      <c r="BO1120" s="20">
        <v>0</v>
      </c>
      <c r="BP1120" s="20">
        <v>0</v>
      </c>
      <c r="BQ1120" s="20">
        <v>0</v>
      </c>
      <c r="BR1120" s="20">
        <v>0</v>
      </c>
      <c r="BS1120" s="20">
        <v>50</v>
      </c>
      <c r="BT1120" s="20">
        <v>718181.81818181812</v>
      </c>
      <c r="BU1120" s="20">
        <v>3950000</v>
      </c>
      <c r="BV1120" s="20">
        <v>5</v>
      </c>
    </row>
    <row r="1121" spans="1:74">
      <c r="A1121" s="10">
        <f t="shared" si="70"/>
        <v>0</v>
      </c>
      <c r="B1121" s="10">
        <f t="shared" si="71"/>
        <v>0</v>
      </c>
      <c r="C1121" s="12">
        <f t="shared" si="72"/>
        <v>9</v>
      </c>
      <c r="D1121" s="12">
        <f t="shared" si="73"/>
        <v>9</v>
      </c>
      <c r="E1121" s="20" t="s">
        <v>574</v>
      </c>
      <c r="F1121" s="20" t="s">
        <v>3089</v>
      </c>
      <c r="G1121" s="20" t="s">
        <v>4085</v>
      </c>
      <c r="H1121" s="20" t="s">
        <v>4126</v>
      </c>
      <c r="I1121" s="20">
        <v>4</v>
      </c>
      <c r="J1121" s="20" t="s">
        <v>4127</v>
      </c>
      <c r="K1121" s="20" t="s">
        <v>4133</v>
      </c>
      <c r="L1121" s="20" t="s">
        <v>4116</v>
      </c>
      <c r="M1121" s="20" t="s">
        <v>2667</v>
      </c>
      <c r="N1121" s="20" t="s">
        <v>3346</v>
      </c>
      <c r="P1121" s="20" t="s">
        <v>2667</v>
      </c>
      <c r="Q1121" s="20" t="s">
        <v>2674</v>
      </c>
      <c r="R1121" s="20" t="s">
        <v>84</v>
      </c>
      <c r="S1121" s="20">
        <v>5</v>
      </c>
      <c r="T1121" s="20" t="s">
        <v>635</v>
      </c>
      <c r="U1121" s="20" t="s">
        <v>636</v>
      </c>
      <c r="V1121" s="20" t="s">
        <v>87</v>
      </c>
      <c r="W1121" s="20">
        <v>810</v>
      </c>
      <c r="X1121" s="20">
        <v>810</v>
      </c>
      <c r="Y1121" s="20" t="s">
        <v>4117</v>
      </c>
      <c r="Z1121" s="20">
        <v>0.25</v>
      </c>
      <c r="AA1121" s="20" t="s">
        <v>4134</v>
      </c>
      <c r="AB1121" s="20" t="s">
        <v>89</v>
      </c>
      <c r="AC1121" s="20" t="s">
        <v>90</v>
      </c>
      <c r="AD1121" s="20" t="s">
        <v>4130</v>
      </c>
      <c r="AE1121" s="20" t="s">
        <v>400</v>
      </c>
      <c r="AF1121" s="20">
        <v>0.25</v>
      </c>
      <c r="AG1121" s="20">
        <v>0</v>
      </c>
      <c r="AH1121" s="20">
        <v>1</v>
      </c>
      <c r="AI1121" s="4" t="s">
        <v>647</v>
      </c>
      <c r="AJ1121" s="20">
        <v>80</v>
      </c>
      <c r="AK1121" s="4" t="s">
        <v>4093</v>
      </c>
      <c r="AL1121" s="4">
        <v>1</v>
      </c>
      <c r="AM1121" s="4" t="s">
        <v>130</v>
      </c>
      <c r="AN1121" s="4" t="s">
        <v>95</v>
      </c>
      <c r="AO1121" s="4" t="s">
        <v>96</v>
      </c>
      <c r="AP1121" s="4">
        <v>1</v>
      </c>
      <c r="AQ1121" s="20">
        <v>79000</v>
      </c>
      <c r="AR1121" s="4">
        <v>41898</v>
      </c>
      <c r="AS1121" s="20">
        <v>14363.636363636362</v>
      </c>
      <c r="AT1121" s="20">
        <v>0</v>
      </c>
      <c r="AU1121" s="20">
        <v>-14363.636363636362</v>
      </c>
      <c r="AV1121" s="20">
        <v>0</v>
      </c>
      <c r="AW1121" s="20">
        <v>0</v>
      </c>
      <c r="AX1121" s="20" t="s">
        <v>91</v>
      </c>
      <c r="AY1121" s="20">
        <v>0</v>
      </c>
      <c r="AZ1121" s="20">
        <v>0</v>
      </c>
      <c r="BA1121" s="20">
        <v>0</v>
      </c>
      <c r="BB1121" s="6">
        <v>41898</v>
      </c>
      <c r="BC1121" s="6">
        <v>0</v>
      </c>
      <c r="BD1121" s="6">
        <v>41901</v>
      </c>
      <c r="BE1121" s="6">
        <v>0</v>
      </c>
      <c r="BF1121" s="6">
        <v>41899</v>
      </c>
      <c r="BG1121" s="6">
        <v>0</v>
      </c>
      <c r="BH1121" s="6">
        <v>0</v>
      </c>
      <c r="BI1121" s="6">
        <v>0</v>
      </c>
      <c r="BJ1121" s="6">
        <v>0</v>
      </c>
      <c r="BK1121" s="4">
        <v>0</v>
      </c>
      <c r="BL1121" s="4">
        <v>0</v>
      </c>
      <c r="BM1121" s="20">
        <v>80</v>
      </c>
      <c r="BN1121" s="20">
        <v>0</v>
      </c>
      <c r="BO1121" s="20">
        <v>0</v>
      </c>
      <c r="BP1121" s="20">
        <v>0</v>
      </c>
      <c r="BQ1121" s="20">
        <v>0</v>
      </c>
      <c r="BR1121" s="20">
        <v>0</v>
      </c>
      <c r="BS1121" s="20">
        <v>80</v>
      </c>
      <c r="BT1121" s="20">
        <v>1149090.9090909089</v>
      </c>
      <c r="BU1121" s="20">
        <v>6320000</v>
      </c>
      <c r="BV1121" s="20">
        <v>5</v>
      </c>
    </row>
    <row r="1122" spans="1:74">
      <c r="A1122" s="10">
        <f t="shared" si="70"/>
        <v>0</v>
      </c>
      <c r="B1122" s="10">
        <f t="shared" si="71"/>
        <v>0</v>
      </c>
      <c r="C1122" s="12">
        <f t="shared" si="72"/>
        <v>9</v>
      </c>
      <c r="D1122" s="12">
        <f t="shared" si="73"/>
        <v>9</v>
      </c>
      <c r="E1122" s="20" t="s">
        <v>574</v>
      </c>
      <c r="F1122" s="20" t="s">
        <v>3089</v>
      </c>
      <c r="G1122" s="20" t="s">
        <v>4085</v>
      </c>
      <c r="H1122" s="20" t="s">
        <v>4126</v>
      </c>
      <c r="I1122" s="20">
        <v>4</v>
      </c>
      <c r="J1122" s="20" t="s">
        <v>4127</v>
      </c>
      <c r="K1122" s="20" t="s">
        <v>4135</v>
      </c>
      <c r="L1122" s="20" t="s">
        <v>4116</v>
      </c>
      <c r="M1122" s="20" t="s">
        <v>2667</v>
      </c>
      <c r="N1122" s="20" t="s">
        <v>3346</v>
      </c>
      <c r="P1122" s="20" t="s">
        <v>2667</v>
      </c>
      <c r="Q1122" s="20" t="s">
        <v>2674</v>
      </c>
      <c r="R1122" s="20" t="s">
        <v>84</v>
      </c>
      <c r="S1122" s="20">
        <v>5</v>
      </c>
      <c r="T1122" s="20" t="s">
        <v>635</v>
      </c>
      <c r="U1122" s="20" t="s">
        <v>636</v>
      </c>
      <c r="V1122" s="20" t="s">
        <v>87</v>
      </c>
      <c r="W1122" s="20">
        <v>810</v>
      </c>
      <c r="X1122" s="20">
        <v>810</v>
      </c>
      <c r="Y1122" s="20" t="s">
        <v>4117</v>
      </c>
      <c r="Z1122" s="20">
        <v>0.25</v>
      </c>
      <c r="AA1122" s="20" t="s">
        <v>4136</v>
      </c>
      <c r="AB1122" s="20" t="s">
        <v>89</v>
      </c>
      <c r="AC1122" s="20" t="s">
        <v>90</v>
      </c>
      <c r="AD1122" s="20" t="s">
        <v>4130</v>
      </c>
      <c r="AE1122" s="20" t="s">
        <v>400</v>
      </c>
      <c r="AF1122" s="20">
        <v>0.25</v>
      </c>
      <c r="AG1122" s="20">
        <v>0</v>
      </c>
      <c r="AH1122" s="20">
        <v>1</v>
      </c>
      <c r="AI1122" s="4" t="s">
        <v>651</v>
      </c>
      <c r="AJ1122" s="20">
        <v>80</v>
      </c>
      <c r="AK1122" s="4" t="s">
        <v>4093</v>
      </c>
      <c r="AL1122" s="4">
        <v>1</v>
      </c>
      <c r="AM1122" s="4" t="s">
        <v>130</v>
      </c>
      <c r="AN1122" s="4" t="s">
        <v>95</v>
      </c>
      <c r="AO1122" s="4" t="s">
        <v>96</v>
      </c>
      <c r="AP1122" s="4">
        <v>1</v>
      </c>
      <c r="AQ1122" s="20">
        <v>79000</v>
      </c>
      <c r="AR1122" s="4">
        <v>41898</v>
      </c>
      <c r="AS1122" s="20">
        <v>14363.636363636362</v>
      </c>
      <c r="AT1122" s="20">
        <v>0</v>
      </c>
      <c r="AU1122" s="20">
        <v>-14363.636363636362</v>
      </c>
      <c r="AV1122" s="20">
        <v>0</v>
      </c>
      <c r="AW1122" s="20">
        <v>0</v>
      </c>
      <c r="AX1122" s="20" t="s">
        <v>91</v>
      </c>
      <c r="AY1122" s="20">
        <v>0</v>
      </c>
      <c r="AZ1122" s="20">
        <v>0</v>
      </c>
      <c r="BA1122" s="20">
        <v>0</v>
      </c>
      <c r="BB1122" s="6">
        <v>41898</v>
      </c>
      <c r="BC1122" s="6">
        <v>0</v>
      </c>
      <c r="BD1122" s="6">
        <v>41901</v>
      </c>
      <c r="BE1122" s="6">
        <v>0</v>
      </c>
      <c r="BF1122" s="6">
        <v>41899</v>
      </c>
      <c r="BG1122" s="6">
        <v>0</v>
      </c>
      <c r="BH1122" s="6">
        <v>0</v>
      </c>
      <c r="BI1122" s="6">
        <v>0</v>
      </c>
      <c r="BJ1122" s="6">
        <v>0</v>
      </c>
      <c r="BK1122" s="4">
        <v>0</v>
      </c>
      <c r="BL1122" s="4">
        <v>0</v>
      </c>
      <c r="BM1122" s="20">
        <v>80</v>
      </c>
      <c r="BN1122" s="20">
        <v>0</v>
      </c>
      <c r="BO1122" s="20">
        <v>0</v>
      </c>
      <c r="BP1122" s="20">
        <v>0</v>
      </c>
      <c r="BQ1122" s="20">
        <v>0</v>
      </c>
      <c r="BR1122" s="20">
        <v>0</v>
      </c>
      <c r="BS1122" s="20">
        <v>80</v>
      </c>
      <c r="BT1122" s="20">
        <v>1149090.9090909089</v>
      </c>
      <c r="BU1122" s="20">
        <v>6320000</v>
      </c>
      <c r="BV1122" s="20">
        <v>5</v>
      </c>
    </row>
    <row r="1123" spans="1:74">
      <c r="A1123" s="10">
        <f t="shared" si="70"/>
        <v>0</v>
      </c>
      <c r="B1123" s="10">
        <f t="shared" si="71"/>
        <v>0</v>
      </c>
      <c r="C1123" s="12" t="str">
        <f t="shared" si="72"/>
        <v/>
      </c>
      <c r="D1123" s="12" t="str">
        <f t="shared" si="73"/>
        <v/>
      </c>
      <c r="E1123" s="20" t="s">
        <v>91</v>
      </c>
      <c r="F1123" s="20" t="s">
        <v>91</v>
      </c>
      <c r="G1123" s="20" t="s">
        <v>91</v>
      </c>
      <c r="H1123" s="20" t="s">
        <v>91</v>
      </c>
      <c r="I1123" s="20">
        <v>0</v>
      </c>
      <c r="J1123" s="20" t="s">
        <v>103</v>
      </c>
      <c r="K1123" s="20" t="s">
        <v>104</v>
      </c>
      <c r="L1123" s="20">
        <v>0</v>
      </c>
      <c r="M1123" s="20" t="s">
        <v>105</v>
      </c>
      <c r="N1123" s="20" t="s">
        <v>91</v>
      </c>
      <c r="O1123" s="20" t="s">
        <v>4137</v>
      </c>
      <c r="Q1123" s="20" t="s">
        <v>91</v>
      </c>
      <c r="R1123" s="20" t="s">
        <v>91</v>
      </c>
      <c r="S1123" s="20" t="s">
        <v>91</v>
      </c>
      <c r="T1123" s="20" t="s">
        <v>91</v>
      </c>
      <c r="U1123" s="20" t="s">
        <v>91</v>
      </c>
      <c r="V1123" s="20" t="s">
        <v>87</v>
      </c>
      <c r="W1123" s="20" t="s">
        <v>91</v>
      </c>
      <c r="X1123" s="20" t="s">
        <v>91</v>
      </c>
      <c r="Y1123" s="20" t="s">
        <v>91</v>
      </c>
      <c r="Z1123" s="20">
        <v>4</v>
      </c>
      <c r="AB1123" s="20" t="s">
        <v>91</v>
      </c>
      <c r="AD1123" s="20" t="s">
        <v>91</v>
      </c>
      <c r="AE1123" s="20" t="s">
        <v>91</v>
      </c>
      <c r="AF1123" s="20">
        <v>4</v>
      </c>
      <c r="AG1123" s="20">
        <v>0</v>
      </c>
      <c r="AH1123" s="20">
        <v>1</v>
      </c>
      <c r="AM1123" s="4" t="s">
        <v>91</v>
      </c>
      <c r="AP1123" s="4" t="s">
        <v>91</v>
      </c>
      <c r="AQ1123" s="20">
        <v>0</v>
      </c>
      <c r="AR1123" s="4">
        <v>0</v>
      </c>
      <c r="AS1123" s="20">
        <v>0</v>
      </c>
      <c r="AT1123" s="20">
        <v>0</v>
      </c>
      <c r="AU1123" s="20">
        <v>0</v>
      </c>
      <c r="AV1123" s="20">
        <v>0</v>
      </c>
      <c r="AW1123" s="20">
        <v>0</v>
      </c>
      <c r="AX1123" s="20" t="s">
        <v>91</v>
      </c>
      <c r="AY1123" s="20">
        <v>0</v>
      </c>
      <c r="AZ1123" s="20">
        <v>0</v>
      </c>
      <c r="BA1123" s="20">
        <v>0</v>
      </c>
      <c r="BB1123" s="6">
        <v>0</v>
      </c>
      <c r="BC1123" s="6">
        <v>0</v>
      </c>
      <c r="BD1123" s="6">
        <v>0</v>
      </c>
      <c r="BE1123" s="6">
        <v>0</v>
      </c>
      <c r="BF1123" s="6">
        <v>0</v>
      </c>
      <c r="BG1123" s="6">
        <v>0</v>
      </c>
      <c r="BH1123" s="6">
        <v>0</v>
      </c>
      <c r="BI1123" s="6">
        <v>0</v>
      </c>
      <c r="BJ1123" s="6">
        <v>0</v>
      </c>
      <c r="BK1123" s="4">
        <v>0</v>
      </c>
      <c r="BL1123" s="4">
        <v>0</v>
      </c>
      <c r="BM1123" s="20">
        <v>683</v>
      </c>
      <c r="BN1123" s="20">
        <v>0</v>
      </c>
      <c r="BO1123" s="20">
        <v>0</v>
      </c>
      <c r="BP1123" s="20">
        <v>0</v>
      </c>
      <c r="BQ1123" s="20">
        <v>0</v>
      </c>
      <c r="BR1123" s="20">
        <v>0</v>
      </c>
      <c r="BS1123" s="20">
        <v>680</v>
      </c>
      <c r="BT1123" s="20">
        <v>11512727.272727272</v>
      </c>
      <c r="BU1123" s="20">
        <v>63320000</v>
      </c>
      <c r="BV1123" s="20">
        <v>5</v>
      </c>
    </row>
    <row r="1124" spans="1:74">
      <c r="A1124" s="10">
        <f t="shared" si="70"/>
        <v>0</v>
      </c>
      <c r="B1124" s="10">
        <f t="shared" si="71"/>
        <v>0</v>
      </c>
      <c r="C1124" s="12">
        <f t="shared" si="72"/>
        <v>9</v>
      </c>
      <c r="D1124" s="12">
        <f t="shared" si="73"/>
        <v>9</v>
      </c>
      <c r="E1124" s="20" t="s">
        <v>574</v>
      </c>
      <c r="F1124" s="20" t="s">
        <v>3089</v>
      </c>
      <c r="G1124" s="20" t="s">
        <v>4138</v>
      </c>
      <c r="H1124" s="20" t="s">
        <v>4139</v>
      </c>
      <c r="I1124" s="20">
        <v>1</v>
      </c>
      <c r="J1124" s="20" t="s">
        <v>4140</v>
      </c>
      <c r="K1124" s="20" t="s">
        <v>4141</v>
      </c>
      <c r="L1124" s="20" t="s">
        <v>4142</v>
      </c>
      <c r="M1124" s="20" t="s">
        <v>2667</v>
      </c>
      <c r="N1124" s="20" t="s">
        <v>3202</v>
      </c>
      <c r="P1124" s="20" t="s">
        <v>2667</v>
      </c>
      <c r="Q1124" s="20" t="s">
        <v>2674</v>
      </c>
      <c r="R1124" s="20" t="s">
        <v>84</v>
      </c>
      <c r="S1124" s="20">
        <v>5</v>
      </c>
      <c r="T1124" s="20" t="s">
        <v>762</v>
      </c>
      <c r="U1124" s="20" t="s">
        <v>763</v>
      </c>
      <c r="V1124" s="20" t="s">
        <v>87</v>
      </c>
      <c r="W1124" s="20">
        <v>830</v>
      </c>
      <c r="X1124" s="20">
        <v>830</v>
      </c>
      <c r="Y1124" s="20" t="s">
        <v>4143</v>
      </c>
      <c r="Z1124" s="20">
        <v>0.33333333333333331</v>
      </c>
      <c r="AA1124" s="20" t="s">
        <v>4144</v>
      </c>
      <c r="AB1124" s="20" t="s">
        <v>248</v>
      </c>
      <c r="AC1124" s="20" t="s">
        <v>249</v>
      </c>
      <c r="AD1124" s="20" t="s">
        <v>4145</v>
      </c>
      <c r="AE1124" s="20" t="s">
        <v>400</v>
      </c>
      <c r="AF1124" s="20">
        <v>0.33333333333333331</v>
      </c>
      <c r="AG1124" s="20">
        <v>0</v>
      </c>
      <c r="AH1124" s="20">
        <v>1</v>
      </c>
      <c r="AI1124" s="4" t="s">
        <v>643</v>
      </c>
      <c r="AJ1124" s="20">
        <v>80</v>
      </c>
      <c r="AK1124" s="4" t="s">
        <v>780</v>
      </c>
      <c r="AL1124" s="4">
        <v>12</v>
      </c>
      <c r="AM1124" s="4">
        <v>12</v>
      </c>
      <c r="AN1124" s="4" t="s">
        <v>95</v>
      </c>
      <c r="AO1124" s="4" t="s">
        <v>131</v>
      </c>
      <c r="AP1124" s="4">
        <v>2</v>
      </c>
      <c r="AQ1124" s="20">
        <v>79000</v>
      </c>
      <c r="AR1124" s="4">
        <v>41898</v>
      </c>
      <c r="AS1124" s="20">
        <v>19949.494949494947</v>
      </c>
      <c r="AT1124" s="20">
        <v>0</v>
      </c>
      <c r="AU1124" s="20">
        <v>-19949.494949494947</v>
      </c>
      <c r="AV1124" s="20">
        <v>0</v>
      </c>
      <c r="AW1124" s="20">
        <v>0</v>
      </c>
      <c r="AX1124" s="20" t="s">
        <v>91</v>
      </c>
      <c r="AY1124" s="20">
        <v>0</v>
      </c>
      <c r="AZ1124" s="20">
        <v>0</v>
      </c>
      <c r="BA1124" s="20">
        <v>0</v>
      </c>
      <c r="BB1124" s="6">
        <v>41898</v>
      </c>
      <c r="BC1124" s="6">
        <v>0</v>
      </c>
      <c r="BD1124" s="6">
        <v>41901</v>
      </c>
      <c r="BE1124" s="6">
        <v>0</v>
      </c>
      <c r="BF1124" s="6">
        <v>41899</v>
      </c>
      <c r="BG1124" s="6">
        <v>0</v>
      </c>
      <c r="BH1124" s="6">
        <v>0</v>
      </c>
      <c r="BI1124" s="6">
        <v>0</v>
      </c>
      <c r="BJ1124" s="6">
        <v>0</v>
      </c>
      <c r="BK1124" s="4">
        <v>0</v>
      </c>
      <c r="BL1124" s="4">
        <v>0</v>
      </c>
      <c r="BM1124" s="20">
        <v>80</v>
      </c>
      <c r="BN1124" s="20">
        <v>0</v>
      </c>
      <c r="BO1124" s="20">
        <v>0</v>
      </c>
      <c r="BP1124" s="20">
        <v>0</v>
      </c>
      <c r="BQ1124" s="20">
        <v>0</v>
      </c>
      <c r="BR1124" s="20">
        <v>0</v>
      </c>
      <c r="BS1124" s="20">
        <v>80</v>
      </c>
      <c r="BT1124" s="20">
        <v>1595959.5959595959</v>
      </c>
      <c r="BU1124" s="20">
        <v>6320000</v>
      </c>
      <c r="BV1124" s="20">
        <v>3.6</v>
      </c>
    </row>
    <row r="1125" spans="1:74">
      <c r="A1125" s="10">
        <f t="shared" si="70"/>
        <v>0</v>
      </c>
      <c r="B1125" s="10">
        <f t="shared" si="71"/>
        <v>0</v>
      </c>
      <c r="C1125" s="12">
        <f t="shared" si="72"/>
        <v>9</v>
      </c>
      <c r="D1125" s="12">
        <f t="shared" si="73"/>
        <v>9</v>
      </c>
      <c r="E1125" s="20" t="s">
        <v>574</v>
      </c>
      <c r="F1125" s="20" t="s">
        <v>3089</v>
      </c>
      <c r="G1125" s="20" t="s">
        <v>4138</v>
      </c>
      <c r="H1125" s="20" t="s">
        <v>4139</v>
      </c>
      <c r="I1125" s="20">
        <v>1</v>
      </c>
      <c r="J1125" s="20" t="s">
        <v>4140</v>
      </c>
      <c r="K1125" s="20" t="s">
        <v>4146</v>
      </c>
      <c r="L1125" s="20" t="s">
        <v>4142</v>
      </c>
      <c r="M1125" s="20" t="s">
        <v>2667</v>
      </c>
      <c r="N1125" s="20" t="s">
        <v>3202</v>
      </c>
      <c r="P1125" s="20" t="s">
        <v>2667</v>
      </c>
      <c r="Q1125" s="20" t="s">
        <v>2674</v>
      </c>
      <c r="R1125" s="20" t="s">
        <v>84</v>
      </c>
      <c r="S1125" s="20">
        <v>5</v>
      </c>
      <c r="T1125" s="20" t="s">
        <v>762</v>
      </c>
      <c r="U1125" s="20" t="s">
        <v>763</v>
      </c>
      <c r="V1125" s="20" t="s">
        <v>87</v>
      </c>
      <c r="W1125" s="20">
        <v>830</v>
      </c>
      <c r="X1125" s="20">
        <v>830</v>
      </c>
      <c r="Y1125" s="20" t="s">
        <v>4143</v>
      </c>
      <c r="Z1125" s="20">
        <v>0.33333333333333331</v>
      </c>
      <c r="AA1125" s="20" t="s">
        <v>4147</v>
      </c>
      <c r="AB1125" s="20" t="s">
        <v>248</v>
      </c>
      <c r="AC1125" s="20" t="s">
        <v>249</v>
      </c>
      <c r="AD1125" s="20" t="s">
        <v>4145</v>
      </c>
      <c r="AE1125" s="20" t="s">
        <v>400</v>
      </c>
      <c r="AF1125" s="20">
        <v>0.33333333333333331</v>
      </c>
      <c r="AG1125" s="20">
        <v>0</v>
      </c>
      <c r="AH1125" s="20">
        <v>1</v>
      </c>
      <c r="AI1125" s="4" t="s">
        <v>647</v>
      </c>
      <c r="AJ1125" s="20">
        <v>100</v>
      </c>
      <c r="AK1125" s="4" t="s">
        <v>780</v>
      </c>
      <c r="AL1125" s="4">
        <v>12</v>
      </c>
      <c r="AM1125" s="4">
        <v>12</v>
      </c>
      <c r="AN1125" s="4" t="s">
        <v>95</v>
      </c>
      <c r="AO1125" s="4" t="s">
        <v>131</v>
      </c>
      <c r="AP1125" s="4">
        <v>2</v>
      </c>
      <c r="AQ1125" s="20">
        <v>79000</v>
      </c>
      <c r="AR1125" s="4">
        <v>41898</v>
      </c>
      <c r="AS1125" s="20">
        <v>19949.494949494947</v>
      </c>
      <c r="AT1125" s="20">
        <v>0</v>
      </c>
      <c r="AU1125" s="20">
        <v>-19949.494949494947</v>
      </c>
      <c r="AV1125" s="20">
        <v>0</v>
      </c>
      <c r="AW1125" s="20">
        <v>0</v>
      </c>
      <c r="AX1125" s="20" t="s">
        <v>91</v>
      </c>
      <c r="AY1125" s="20">
        <v>0</v>
      </c>
      <c r="AZ1125" s="20">
        <v>0</v>
      </c>
      <c r="BA1125" s="20">
        <v>0</v>
      </c>
      <c r="BB1125" s="6">
        <v>41898</v>
      </c>
      <c r="BC1125" s="6">
        <v>0</v>
      </c>
      <c r="BD1125" s="6">
        <v>41901</v>
      </c>
      <c r="BE1125" s="6">
        <v>0</v>
      </c>
      <c r="BF1125" s="6">
        <v>41899</v>
      </c>
      <c r="BG1125" s="6">
        <v>0</v>
      </c>
      <c r="BH1125" s="6">
        <v>0</v>
      </c>
      <c r="BI1125" s="6">
        <v>0</v>
      </c>
      <c r="BJ1125" s="6">
        <v>0</v>
      </c>
      <c r="BK1125" s="4">
        <v>0</v>
      </c>
      <c r="BL1125" s="4">
        <v>0</v>
      </c>
      <c r="BM1125" s="20">
        <v>100</v>
      </c>
      <c r="BN1125" s="20">
        <v>0</v>
      </c>
      <c r="BO1125" s="20">
        <v>0</v>
      </c>
      <c r="BP1125" s="20">
        <v>0</v>
      </c>
      <c r="BQ1125" s="20">
        <v>0</v>
      </c>
      <c r="BR1125" s="20">
        <v>0</v>
      </c>
      <c r="BS1125" s="20">
        <v>100</v>
      </c>
      <c r="BT1125" s="20">
        <v>1994949.4949494947</v>
      </c>
      <c r="BU1125" s="20">
        <v>7900000</v>
      </c>
      <c r="BV1125" s="20">
        <v>3.6</v>
      </c>
    </row>
    <row r="1126" spans="1:74">
      <c r="A1126" s="10">
        <f t="shared" si="70"/>
        <v>0</v>
      </c>
      <c r="B1126" s="10">
        <f t="shared" si="71"/>
        <v>0</v>
      </c>
      <c r="C1126" s="12">
        <f t="shared" si="72"/>
        <v>9</v>
      </c>
      <c r="D1126" s="12">
        <f t="shared" si="73"/>
        <v>9</v>
      </c>
      <c r="E1126" s="20" t="s">
        <v>574</v>
      </c>
      <c r="F1126" s="20" t="s">
        <v>3089</v>
      </c>
      <c r="G1126" s="20" t="s">
        <v>4138</v>
      </c>
      <c r="H1126" s="20" t="s">
        <v>4139</v>
      </c>
      <c r="I1126" s="20">
        <v>1</v>
      </c>
      <c r="J1126" s="20" t="s">
        <v>4140</v>
      </c>
      <c r="K1126" s="20" t="s">
        <v>4148</v>
      </c>
      <c r="L1126" s="20" t="s">
        <v>4142</v>
      </c>
      <c r="M1126" s="20" t="s">
        <v>2667</v>
      </c>
      <c r="N1126" s="20" t="s">
        <v>3202</v>
      </c>
      <c r="P1126" s="20" t="s">
        <v>2667</v>
      </c>
      <c r="Q1126" s="20" t="s">
        <v>2674</v>
      </c>
      <c r="R1126" s="20" t="s">
        <v>84</v>
      </c>
      <c r="S1126" s="20">
        <v>5</v>
      </c>
      <c r="T1126" s="20" t="s">
        <v>762</v>
      </c>
      <c r="U1126" s="20" t="s">
        <v>763</v>
      </c>
      <c r="V1126" s="20" t="s">
        <v>87</v>
      </c>
      <c r="W1126" s="20">
        <v>830</v>
      </c>
      <c r="X1126" s="20">
        <v>830</v>
      </c>
      <c r="Y1126" s="20" t="s">
        <v>4143</v>
      </c>
      <c r="Z1126" s="20">
        <v>0.33333333333333331</v>
      </c>
      <c r="AA1126" s="20" t="s">
        <v>4149</v>
      </c>
      <c r="AB1126" s="20" t="s">
        <v>248</v>
      </c>
      <c r="AC1126" s="20" t="s">
        <v>249</v>
      </c>
      <c r="AD1126" s="20" t="s">
        <v>4145</v>
      </c>
      <c r="AE1126" s="20" t="s">
        <v>400</v>
      </c>
      <c r="AF1126" s="20">
        <v>0.33333333333333331</v>
      </c>
      <c r="AG1126" s="20">
        <v>0</v>
      </c>
      <c r="AH1126" s="20">
        <v>1</v>
      </c>
      <c r="AI1126" s="4" t="s">
        <v>651</v>
      </c>
      <c r="AJ1126" s="20">
        <v>100</v>
      </c>
      <c r="AK1126" s="4" t="s">
        <v>780</v>
      </c>
      <c r="AL1126" s="4">
        <v>12</v>
      </c>
      <c r="AM1126" s="4">
        <v>12</v>
      </c>
      <c r="AN1126" s="4" t="s">
        <v>95</v>
      </c>
      <c r="AO1126" s="4" t="s">
        <v>131</v>
      </c>
      <c r="AP1126" s="4">
        <v>2</v>
      </c>
      <c r="AQ1126" s="20">
        <v>79000</v>
      </c>
      <c r="AR1126" s="4">
        <v>41898</v>
      </c>
      <c r="AS1126" s="20">
        <v>19949.494949494947</v>
      </c>
      <c r="AT1126" s="20">
        <v>0</v>
      </c>
      <c r="AU1126" s="20">
        <v>-19949.494949494947</v>
      </c>
      <c r="AV1126" s="20">
        <v>0</v>
      </c>
      <c r="AW1126" s="20">
        <v>0</v>
      </c>
      <c r="AX1126" s="20" t="s">
        <v>91</v>
      </c>
      <c r="AY1126" s="20">
        <v>0</v>
      </c>
      <c r="AZ1126" s="20">
        <v>0</v>
      </c>
      <c r="BA1126" s="20">
        <v>0</v>
      </c>
      <c r="BB1126" s="6">
        <v>41898</v>
      </c>
      <c r="BC1126" s="6">
        <v>0</v>
      </c>
      <c r="BD1126" s="6">
        <v>41901</v>
      </c>
      <c r="BE1126" s="6">
        <v>0</v>
      </c>
      <c r="BF1126" s="6">
        <v>41899</v>
      </c>
      <c r="BG1126" s="6">
        <v>0</v>
      </c>
      <c r="BH1126" s="6">
        <v>0</v>
      </c>
      <c r="BI1126" s="6">
        <v>0</v>
      </c>
      <c r="BJ1126" s="6">
        <v>0</v>
      </c>
      <c r="BK1126" s="4">
        <v>0</v>
      </c>
      <c r="BL1126" s="4">
        <v>0</v>
      </c>
      <c r="BM1126" s="20">
        <v>100</v>
      </c>
      <c r="BN1126" s="20">
        <v>0</v>
      </c>
      <c r="BO1126" s="20">
        <v>0</v>
      </c>
      <c r="BP1126" s="20">
        <v>0</v>
      </c>
      <c r="BQ1126" s="20">
        <v>0</v>
      </c>
      <c r="BR1126" s="20">
        <v>0</v>
      </c>
      <c r="BS1126" s="20">
        <v>100</v>
      </c>
      <c r="BT1126" s="20">
        <v>1994949.4949494947</v>
      </c>
      <c r="BU1126" s="20">
        <v>7900000</v>
      </c>
      <c r="BV1126" s="20">
        <v>3.6</v>
      </c>
    </row>
    <row r="1127" spans="1:74">
      <c r="A1127" s="10">
        <f t="shared" si="70"/>
        <v>0</v>
      </c>
      <c r="B1127" s="10">
        <f t="shared" si="71"/>
        <v>0</v>
      </c>
      <c r="C1127" s="12">
        <f t="shared" si="72"/>
        <v>9</v>
      </c>
      <c r="D1127" s="12">
        <f t="shared" si="73"/>
        <v>9</v>
      </c>
      <c r="E1127" s="20" t="s">
        <v>574</v>
      </c>
      <c r="F1127" s="20" t="s">
        <v>3089</v>
      </c>
      <c r="G1127" s="20" t="s">
        <v>4138</v>
      </c>
      <c r="H1127" s="20" t="s">
        <v>4150</v>
      </c>
      <c r="I1127" s="20">
        <v>2</v>
      </c>
      <c r="J1127" s="20" t="s">
        <v>4151</v>
      </c>
      <c r="K1127" s="20" t="s">
        <v>4152</v>
      </c>
      <c r="L1127" s="20" t="s">
        <v>4153</v>
      </c>
      <c r="M1127" s="20" t="s">
        <v>2667</v>
      </c>
      <c r="N1127" s="20" t="s">
        <v>3202</v>
      </c>
      <c r="P1127" s="20" t="s">
        <v>2667</v>
      </c>
      <c r="Q1127" s="20" t="s">
        <v>2674</v>
      </c>
      <c r="R1127" s="20" t="s">
        <v>84</v>
      </c>
      <c r="S1127" s="20">
        <v>5</v>
      </c>
      <c r="T1127" s="20" t="s">
        <v>762</v>
      </c>
      <c r="U1127" s="20" t="s">
        <v>763</v>
      </c>
      <c r="V1127" s="20" t="s">
        <v>87</v>
      </c>
      <c r="W1127" s="20">
        <v>831</v>
      </c>
      <c r="X1127" s="20">
        <v>831</v>
      </c>
      <c r="Y1127" s="20" t="s">
        <v>4154</v>
      </c>
      <c r="Z1127" s="20">
        <v>0.33333333333333331</v>
      </c>
      <c r="AA1127" s="20" t="s">
        <v>4155</v>
      </c>
      <c r="AB1127" s="20" t="s">
        <v>457</v>
      </c>
      <c r="AC1127" s="20" t="s">
        <v>458</v>
      </c>
      <c r="AD1127" s="20" t="s">
        <v>4156</v>
      </c>
      <c r="AE1127" s="20" t="s">
        <v>400</v>
      </c>
      <c r="AF1127" s="20">
        <v>0.33333333333333331</v>
      </c>
      <c r="AG1127" s="20">
        <v>0</v>
      </c>
      <c r="AH1127" s="20">
        <v>1</v>
      </c>
      <c r="AI1127" s="4" t="s">
        <v>643</v>
      </c>
      <c r="AJ1127" s="20">
        <v>80</v>
      </c>
      <c r="AK1127" s="4" t="s">
        <v>780</v>
      </c>
      <c r="AL1127" s="4">
        <v>12</v>
      </c>
      <c r="AM1127" s="4">
        <v>12</v>
      </c>
      <c r="AN1127" s="4" t="s">
        <v>95</v>
      </c>
      <c r="AO1127" s="4" t="s">
        <v>131</v>
      </c>
      <c r="AP1127" s="4">
        <v>2</v>
      </c>
      <c r="AQ1127" s="20">
        <v>79000</v>
      </c>
      <c r="AR1127" s="4">
        <v>41898</v>
      </c>
      <c r="AS1127" s="20">
        <v>19949.494949494947</v>
      </c>
      <c r="AT1127" s="20">
        <v>0</v>
      </c>
      <c r="AU1127" s="20">
        <v>-19949.494949494947</v>
      </c>
      <c r="AV1127" s="20">
        <v>0</v>
      </c>
      <c r="AW1127" s="20">
        <v>0</v>
      </c>
      <c r="AX1127" s="20" t="s">
        <v>91</v>
      </c>
      <c r="AY1127" s="20">
        <v>0</v>
      </c>
      <c r="AZ1127" s="20">
        <v>0</v>
      </c>
      <c r="BA1127" s="20">
        <v>0</v>
      </c>
      <c r="BB1127" s="6">
        <v>41898</v>
      </c>
      <c r="BC1127" s="6">
        <v>0</v>
      </c>
      <c r="BD1127" s="6">
        <v>41901</v>
      </c>
      <c r="BE1127" s="6">
        <v>0</v>
      </c>
      <c r="BF1127" s="6">
        <v>41899</v>
      </c>
      <c r="BG1127" s="6">
        <v>0</v>
      </c>
      <c r="BH1127" s="6">
        <v>0</v>
      </c>
      <c r="BI1127" s="6">
        <v>0</v>
      </c>
      <c r="BJ1127" s="6">
        <v>0</v>
      </c>
      <c r="BK1127" s="4">
        <v>0</v>
      </c>
      <c r="BL1127" s="4">
        <v>0</v>
      </c>
      <c r="BM1127" s="20">
        <v>80</v>
      </c>
      <c r="BN1127" s="20">
        <v>0</v>
      </c>
      <c r="BO1127" s="20">
        <v>0</v>
      </c>
      <c r="BP1127" s="20">
        <v>0</v>
      </c>
      <c r="BQ1127" s="20">
        <v>0</v>
      </c>
      <c r="BR1127" s="20">
        <v>0</v>
      </c>
      <c r="BS1127" s="20">
        <v>80</v>
      </c>
      <c r="BT1127" s="20">
        <v>1595959.5959595959</v>
      </c>
      <c r="BU1127" s="20">
        <v>6320000</v>
      </c>
      <c r="BV1127" s="20">
        <v>3.6</v>
      </c>
    </row>
    <row r="1128" spans="1:74">
      <c r="A1128" s="10">
        <f t="shared" si="70"/>
        <v>0</v>
      </c>
      <c r="B1128" s="10">
        <f t="shared" si="71"/>
        <v>0</v>
      </c>
      <c r="C1128" s="12">
        <f t="shared" si="72"/>
        <v>9</v>
      </c>
      <c r="D1128" s="12">
        <f t="shared" si="73"/>
        <v>9</v>
      </c>
      <c r="E1128" s="20" t="s">
        <v>574</v>
      </c>
      <c r="F1128" s="20" t="s">
        <v>3089</v>
      </c>
      <c r="G1128" s="20" t="s">
        <v>4138</v>
      </c>
      <c r="H1128" s="20" t="s">
        <v>4150</v>
      </c>
      <c r="I1128" s="20">
        <v>2</v>
      </c>
      <c r="J1128" s="20" t="s">
        <v>4151</v>
      </c>
      <c r="K1128" s="20" t="s">
        <v>4157</v>
      </c>
      <c r="L1128" s="20" t="s">
        <v>4153</v>
      </c>
      <c r="M1128" s="20" t="s">
        <v>2667</v>
      </c>
      <c r="N1128" s="20" t="s">
        <v>3202</v>
      </c>
      <c r="P1128" s="20" t="s">
        <v>2667</v>
      </c>
      <c r="Q1128" s="20" t="s">
        <v>2674</v>
      </c>
      <c r="R1128" s="20" t="s">
        <v>84</v>
      </c>
      <c r="S1128" s="20">
        <v>5</v>
      </c>
      <c r="T1128" s="20" t="s">
        <v>762</v>
      </c>
      <c r="U1128" s="20" t="s">
        <v>763</v>
      </c>
      <c r="V1128" s="20" t="s">
        <v>87</v>
      </c>
      <c r="W1128" s="20">
        <v>831</v>
      </c>
      <c r="X1128" s="20">
        <v>831</v>
      </c>
      <c r="Y1128" s="20" t="s">
        <v>4154</v>
      </c>
      <c r="Z1128" s="20">
        <v>0.33333333333333331</v>
      </c>
      <c r="AA1128" s="20" t="s">
        <v>4158</v>
      </c>
      <c r="AB1128" s="20" t="s">
        <v>457</v>
      </c>
      <c r="AC1128" s="20" t="s">
        <v>458</v>
      </c>
      <c r="AD1128" s="20" t="s">
        <v>4156</v>
      </c>
      <c r="AE1128" s="20" t="s">
        <v>400</v>
      </c>
      <c r="AF1128" s="20">
        <v>0.33333333333333331</v>
      </c>
      <c r="AG1128" s="20">
        <v>0</v>
      </c>
      <c r="AH1128" s="20">
        <v>1</v>
      </c>
      <c r="AI1128" s="4" t="s">
        <v>647</v>
      </c>
      <c r="AJ1128" s="20">
        <v>80</v>
      </c>
      <c r="AK1128" s="4" t="s">
        <v>780</v>
      </c>
      <c r="AL1128" s="4">
        <v>12</v>
      </c>
      <c r="AM1128" s="4">
        <v>12</v>
      </c>
      <c r="AN1128" s="4" t="s">
        <v>95</v>
      </c>
      <c r="AO1128" s="4" t="s">
        <v>131</v>
      </c>
      <c r="AP1128" s="4">
        <v>2</v>
      </c>
      <c r="AQ1128" s="20">
        <v>79000</v>
      </c>
      <c r="AR1128" s="4">
        <v>41898</v>
      </c>
      <c r="AS1128" s="20">
        <v>19949.494949494947</v>
      </c>
      <c r="AT1128" s="20">
        <v>0</v>
      </c>
      <c r="AU1128" s="20">
        <v>-19949.494949494947</v>
      </c>
      <c r="AV1128" s="20">
        <v>0</v>
      </c>
      <c r="AW1128" s="20">
        <v>0</v>
      </c>
      <c r="AX1128" s="20" t="s">
        <v>91</v>
      </c>
      <c r="AY1128" s="20">
        <v>0</v>
      </c>
      <c r="AZ1128" s="20">
        <v>0</v>
      </c>
      <c r="BA1128" s="20">
        <v>0</v>
      </c>
      <c r="BB1128" s="6">
        <v>41898</v>
      </c>
      <c r="BC1128" s="6">
        <v>0</v>
      </c>
      <c r="BD1128" s="6">
        <v>41901</v>
      </c>
      <c r="BE1128" s="6">
        <v>0</v>
      </c>
      <c r="BF1128" s="6">
        <v>41899</v>
      </c>
      <c r="BG1128" s="6">
        <v>0</v>
      </c>
      <c r="BH1128" s="6">
        <v>0</v>
      </c>
      <c r="BI1128" s="6">
        <v>0</v>
      </c>
      <c r="BJ1128" s="6">
        <v>0</v>
      </c>
      <c r="BK1128" s="4">
        <v>0</v>
      </c>
      <c r="BL1128" s="4">
        <v>0</v>
      </c>
      <c r="BM1128" s="20">
        <v>80</v>
      </c>
      <c r="BN1128" s="20">
        <v>0</v>
      </c>
      <c r="BO1128" s="20">
        <v>0</v>
      </c>
      <c r="BP1128" s="20">
        <v>0</v>
      </c>
      <c r="BQ1128" s="20">
        <v>0</v>
      </c>
      <c r="BR1128" s="20">
        <v>0</v>
      </c>
      <c r="BS1128" s="20">
        <v>80</v>
      </c>
      <c r="BT1128" s="20">
        <v>1595959.5959595959</v>
      </c>
      <c r="BU1128" s="20">
        <v>6320000</v>
      </c>
      <c r="BV1128" s="20">
        <v>3.6</v>
      </c>
    </row>
    <row r="1129" spans="1:74">
      <c r="A1129" s="10">
        <f t="shared" si="70"/>
        <v>0</v>
      </c>
      <c r="B1129" s="10">
        <f t="shared" si="71"/>
        <v>0</v>
      </c>
      <c r="C1129" s="12">
        <f t="shared" si="72"/>
        <v>9</v>
      </c>
      <c r="D1129" s="12">
        <f t="shared" si="73"/>
        <v>9</v>
      </c>
      <c r="E1129" s="20" t="s">
        <v>574</v>
      </c>
      <c r="F1129" s="20" t="s">
        <v>3089</v>
      </c>
      <c r="G1129" s="20" t="s">
        <v>4138</v>
      </c>
      <c r="H1129" s="20" t="s">
        <v>4150</v>
      </c>
      <c r="I1129" s="20">
        <v>2</v>
      </c>
      <c r="J1129" s="20" t="s">
        <v>4151</v>
      </c>
      <c r="K1129" s="20" t="s">
        <v>4159</v>
      </c>
      <c r="L1129" s="20" t="s">
        <v>4153</v>
      </c>
      <c r="M1129" s="20" t="s">
        <v>2667</v>
      </c>
      <c r="N1129" s="20" t="s">
        <v>3202</v>
      </c>
      <c r="P1129" s="20" t="s">
        <v>2667</v>
      </c>
      <c r="Q1129" s="20" t="s">
        <v>2674</v>
      </c>
      <c r="R1129" s="20" t="s">
        <v>84</v>
      </c>
      <c r="S1129" s="20">
        <v>5</v>
      </c>
      <c r="T1129" s="20" t="s">
        <v>762</v>
      </c>
      <c r="U1129" s="20" t="s">
        <v>763</v>
      </c>
      <c r="V1129" s="20" t="s">
        <v>87</v>
      </c>
      <c r="W1129" s="20">
        <v>831</v>
      </c>
      <c r="X1129" s="20">
        <v>831</v>
      </c>
      <c r="Y1129" s="20" t="s">
        <v>4154</v>
      </c>
      <c r="Z1129" s="20">
        <v>0.33333333333333331</v>
      </c>
      <c r="AA1129" s="20" t="s">
        <v>4160</v>
      </c>
      <c r="AB1129" s="20" t="s">
        <v>457</v>
      </c>
      <c r="AC1129" s="20" t="s">
        <v>458</v>
      </c>
      <c r="AD1129" s="20" t="s">
        <v>4156</v>
      </c>
      <c r="AE1129" s="20" t="s">
        <v>400</v>
      </c>
      <c r="AF1129" s="20">
        <v>0.33333333333333331</v>
      </c>
      <c r="AG1129" s="20">
        <v>0</v>
      </c>
      <c r="AH1129" s="20">
        <v>1</v>
      </c>
      <c r="AI1129" s="4" t="s">
        <v>651</v>
      </c>
      <c r="AJ1129" s="20">
        <v>50</v>
      </c>
      <c r="AK1129" s="4" t="s">
        <v>780</v>
      </c>
      <c r="AL1129" s="4">
        <v>12</v>
      </c>
      <c r="AM1129" s="4">
        <v>12</v>
      </c>
      <c r="AN1129" s="4" t="s">
        <v>95</v>
      </c>
      <c r="AO1129" s="4" t="s">
        <v>131</v>
      </c>
      <c r="AP1129" s="4">
        <v>2</v>
      </c>
      <c r="AQ1129" s="20">
        <v>79000</v>
      </c>
      <c r="AR1129" s="4">
        <v>41898</v>
      </c>
      <c r="AS1129" s="20">
        <v>19949.494949494947</v>
      </c>
      <c r="AT1129" s="20">
        <v>0</v>
      </c>
      <c r="AU1129" s="20">
        <v>-19949.494949494947</v>
      </c>
      <c r="AV1129" s="20">
        <v>0</v>
      </c>
      <c r="AW1129" s="20">
        <v>0</v>
      </c>
      <c r="AX1129" s="20" t="s">
        <v>91</v>
      </c>
      <c r="AY1129" s="20">
        <v>0</v>
      </c>
      <c r="AZ1129" s="20">
        <v>0</v>
      </c>
      <c r="BA1129" s="20">
        <v>0</v>
      </c>
      <c r="BB1129" s="6">
        <v>41898</v>
      </c>
      <c r="BC1129" s="6">
        <v>0</v>
      </c>
      <c r="BD1129" s="6">
        <v>41901</v>
      </c>
      <c r="BE1129" s="6">
        <v>0</v>
      </c>
      <c r="BF1129" s="6">
        <v>41899</v>
      </c>
      <c r="BG1129" s="6">
        <v>0</v>
      </c>
      <c r="BH1129" s="6">
        <v>0</v>
      </c>
      <c r="BI1129" s="6">
        <v>0</v>
      </c>
      <c r="BJ1129" s="6">
        <v>0</v>
      </c>
      <c r="BK1129" s="4">
        <v>0</v>
      </c>
      <c r="BL1129" s="4">
        <v>0</v>
      </c>
      <c r="BM1129" s="20">
        <v>50</v>
      </c>
      <c r="BN1129" s="20">
        <v>0</v>
      </c>
      <c r="BO1129" s="20">
        <v>0</v>
      </c>
      <c r="BP1129" s="20">
        <v>0</v>
      </c>
      <c r="BQ1129" s="20">
        <v>0</v>
      </c>
      <c r="BR1129" s="20">
        <v>0</v>
      </c>
      <c r="BS1129" s="20">
        <v>50</v>
      </c>
      <c r="BT1129" s="20">
        <v>997474.74747474736</v>
      </c>
      <c r="BU1129" s="20">
        <v>3950000</v>
      </c>
      <c r="BV1129" s="20">
        <v>3.6</v>
      </c>
    </row>
    <row r="1130" spans="1:74">
      <c r="A1130" s="10">
        <f t="shared" si="70"/>
        <v>0</v>
      </c>
      <c r="B1130" s="10">
        <f t="shared" si="71"/>
        <v>0</v>
      </c>
      <c r="C1130" s="12">
        <f t="shared" si="72"/>
        <v>9</v>
      </c>
      <c r="D1130" s="12">
        <f t="shared" si="73"/>
        <v>9</v>
      </c>
      <c r="E1130" s="20" t="s">
        <v>574</v>
      </c>
      <c r="F1130" s="20" t="s">
        <v>3089</v>
      </c>
      <c r="G1130" s="20" t="s">
        <v>4138</v>
      </c>
      <c r="H1130" s="20" t="s">
        <v>4161</v>
      </c>
      <c r="I1130" s="20">
        <v>3</v>
      </c>
      <c r="J1130" s="20" t="s">
        <v>4162</v>
      </c>
      <c r="K1130" s="20" t="s">
        <v>4163</v>
      </c>
      <c r="L1130" s="20" t="s">
        <v>4164</v>
      </c>
      <c r="M1130" s="20" t="s">
        <v>2667</v>
      </c>
      <c r="N1130" s="20" t="s">
        <v>3216</v>
      </c>
      <c r="P1130" s="20" t="s">
        <v>2667</v>
      </c>
      <c r="Q1130" s="20" t="s">
        <v>2674</v>
      </c>
      <c r="R1130" s="20" t="s">
        <v>84</v>
      </c>
      <c r="S1130" s="20">
        <v>5</v>
      </c>
      <c r="T1130" s="20" t="s">
        <v>922</v>
      </c>
      <c r="U1130" s="20" t="s">
        <v>923</v>
      </c>
      <c r="V1130" s="20" t="s">
        <v>87</v>
      </c>
      <c r="W1130" s="20">
        <v>813</v>
      </c>
      <c r="X1130" s="20">
        <v>813</v>
      </c>
      <c r="Y1130" s="20" t="s">
        <v>4165</v>
      </c>
      <c r="Z1130" s="20">
        <v>0.25</v>
      </c>
      <c r="AA1130" s="20" t="s">
        <v>4166</v>
      </c>
      <c r="AB1130" s="20" t="s">
        <v>109</v>
      </c>
      <c r="AC1130" s="20" t="s">
        <v>110</v>
      </c>
      <c r="AD1130" s="20" t="s">
        <v>4167</v>
      </c>
      <c r="AE1130" s="20" t="s">
        <v>400</v>
      </c>
      <c r="AF1130" s="20">
        <v>0.25</v>
      </c>
      <c r="AG1130" s="20">
        <v>0</v>
      </c>
      <c r="AH1130" s="20">
        <v>1</v>
      </c>
      <c r="AI1130" s="4" t="s">
        <v>643</v>
      </c>
      <c r="AJ1130" s="20">
        <v>30</v>
      </c>
      <c r="AK1130" s="4" t="s">
        <v>780</v>
      </c>
      <c r="AL1130" s="4">
        <v>12</v>
      </c>
      <c r="AM1130" s="4">
        <v>12</v>
      </c>
      <c r="AN1130" s="4" t="s">
        <v>95</v>
      </c>
      <c r="AO1130" s="4" t="s">
        <v>131</v>
      </c>
      <c r="AP1130" s="4">
        <v>2</v>
      </c>
      <c r="AQ1130" s="20">
        <v>99000</v>
      </c>
      <c r="AR1130" s="4">
        <v>41898</v>
      </c>
      <c r="AS1130" s="20">
        <v>25000</v>
      </c>
      <c r="AT1130" s="20">
        <v>0</v>
      </c>
      <c r="AU1130" s="20">
        <v>-25000</v>
      </c>
      <c r="AV1130" s="20">
        <v>0</v>
      </c>
      <c r="AW1130" s="20">
        <v>0</v>
      </c>
      <c r="AX1130" s="20" t="s">
        <v>91</v>
      </c>
      <c r="AY1130" s="20">
        <v>0</v>
      </c>
      <c r="AZ1130" s="20">
        <v>0</v>
      </c>
      <c r="BA1130" s="20">
        <v>0</v>
      </c>
      <c r="BB1130" s="6">
        <v>41898</v>
      </c>
      <c r="BC1130" s="6">
        <v>0</v>
      </c>
      <c r="BD1130" s="6">
        <v>41901</v>
      </c>
      <c r="BE1130" s="6">
        <v>0</v>
      </c>
      <c r="BF1130" s="6">
        <v>41899</v>
      </c>
      <c r="BG1130" s="6">
        <v>0</v>
      </c>
      <c r="BH1130" s="6">
        <v>0</v>
      </c>
      <c r="BI1130" s="6">
        <v>0</v>
      </c>
      <c r="BJ1130" s="6">
        <v>0</v>
      </c>
      <c r="BK1130" s="4">
        <v>0</v>
      </c>
      <c r="BL1130" s="4">
        <v>0</v>
      </c>
      <c r="BM1130" s="20">
        <v>30</v>
      </c>
      <c r="BN1130" s="20">
        <v>0</v>
      </c>
      <c r="BO1130" s="20">
        <v>0</v>
      </c>
      <c r="BP1130" s="20">
        <v>0</v>
      </c>
      <c r="BQ1130" s="20">
        <v>0</v>
      </c>
      <c r="BR1130" s="20">
        <v>0</v>
      </c>
      <c r="BS1130" s="20">
        <v>30</v>
      </c>
      <c r="BT1130" s="20">
        <v>750000</v>
      </c>
      <c r="BU1130" s="20">
        <v>2970000</v>
      </c>
      <c r="BV1130" s="20">
        <v>3.5999999999999996</v>
      </c>
    </row>
    <row r="1131" spans="1:74">
      <c r="A1131" s="10">
        <f t="shared" si="70"/>
        <v>0</v>
      </c>
      <c r="B1131" s="10">
        <f t="shared" si="71"/>
        <v>0</v>
      </c>
      <c r="C1131" s="12">
        <f t="shared" si="72"/>
        <v>9</v>
      </c>
      <c r="D1131" s="12">
        <f t="shared" si="73"/>
        <v>9</v>
      </c>
      <c r="E1131" s="20" t="s">
        <v>574</v>
      </c>
      <c r="F1131" s="20" t="s">
        <v>3089</v>
      </c>
      <c r="G1131" s="20" t="s">
        <v>4138</v>
      </c>
      <c r="H1131" s="20" t="s">
        <v>4161</v>
      </c>
      <c r="I1131" s="20">
        <v>3</v>
      </c>
      <c r="J1131" s="20" t="s">
        <v>4162</v>
      </c>
      <c r="K1131" s="20" t="s">
        <v>4168</v>
      </c>
      <c r="L1131" s="20" t="s">
        <v>4164</v>
      </c>
      <c r="M1131" s="20" t="s">
        <v>2667</v>
      </c>
      <c r="N1131" s="20" t="s">
        <v>3216</v>
      </c>
      <c r="P1131" s="20" t="s">
        <v>2667</v>
      </c>
      <c r="Q1131" s="20" t="s">
        <v>2674</v>
      </c>
      <c r="R1131" s="20" t="s">
        <v>84</v>
      </c>
      <c r="S1131" s="20">
        <v>5</v>
      </c>
      <c r="T1131" s="20" t="s">
        <v>922</v>
      </c>
      <c r="U1131" s="20" t="s">
        <v>923</v>
      </c>
      <c r="V1131" s="20" t="s">
        <v>87</v>
      </c>
      <c r="W1131" s="20">
        <v>813</v>
      </c>
      <c r="X1131" s="20">
        <v>813</v>
      </c>
      <c r="Y1131" s="20" t="s">
        <v>4165</v>
      </c>
      <c r="Z1131" s="20">
        <v>0.25</v>
      </c>
      <c r="AA1131" s="20" t="s">
        <v>4169</v>
      </c>
      <c r="AB1131" s="20" t="s">
        <v>109</v>
      </c>
      <c r="AC1131" s="20" t="s">
        <v>110</v>
      </c>
      <c r="AD1131" s="20" t="s">
        <v>4167</v>
      </c>
      <c r="AE1131" s="20" t="s">
        <v>400</v>
      </c>
      <c r="AF1131" s="20">
        <v>0.25</v>
      </c>
      <c r="AG1131" s="20">
        <v>0</v>
      </c>
      <c r="AH1131" s="20">
        <v>1</v>
      </c>
      <c r="AI1131" s="4" t="s">
        <v>645</v>
      </c>
      <c r="AJ1131" s="20">
        <v>30</v>
      </c>
      <c r="AK1131" s="4" t="s">
        <v>780</v>
      </c>
      <c r="AL1131" s="4">
        <v>12</v>
      </c>
      <c r="AM1131" s="4">
        <v>12</v>
      </c>
      <c r="AN1131" s="4" t="s">
        <v>95</v>
      </c>
      <c r="AO1131" s="4" t="s">
        <v>131</v>
      </c>
      <c r="AP1131" s="4">
        <v>2</v>
      </c>
      <c r="AQ1131" s="20">
        <v>99000</v>
      </c>
      <c r="AR1131" s="4">
        <v>41898</v>
      </c>
      <c r="AS1131" s="20">
        <v>25000</v>
      </c>
      <c r="AT1131" s="20">
        <v>0</v>
      </c>
      <c r="AU1131" s="20">
        <v>-25000</v>
      </c>
      <c r="AV1131" s="20">
        <v>0</v>
      </c>
      <c r="AW1131" s="20">
        <v>0</v>
      </c>
      <c r="AX1131" s="20" t="s">
        <v>91</v>
      </c>
      <c r="AY1131" s="20">
        <v>0</v>
      </c>
      <c r="AZ1131" s="20">
        <v>0</v>
      </c>
      <c r="BA1131" s="20">
        <v>0</v>
      </c>
      <c r="BB1131" s="6">
        <v>41898</v>
      </c>
      <c r="BC1131" s="6">
        <v>0</v>
      </c>
      <c r="BD1131" s="6">
        <v>41901</v>
      </c>
      <c r="BE1131" s="6">
        <v>0</v>
      </c>
      <c r="BF1131" s="6">
        <v>41899</v>
      </c>
      <c r="BG1131" s="6">
        <v>0</v>
      </c>
      <c r="BH1131" s="6">
        <v>0</v>
      </c>
      <c r="BI1131" s="6">
        <v>0</v>
      </c>
      <c r="BJ1131" s="6">
        <v>0</v>
      </c>
      <c r="BK1131" s="4">
        <v>0</v>
      </c>
      <c r="BL1131" s="4">
        <v>0</v>
      </c>
      <c r="BM1131" s="20">
        <v>30</v>
      </c>
      <c r="BN1131" s="20">
        <v>0</v>
      </c>
      <c r="BO1131" s="20">
        <v>0</v>
      </c>
      <c r="BP1131" s="20">
        <v>0</v>
      </c>
      <c r="BQ1131" s="20">
        <v>0</v>
      </c>
      <c r="BR1131" s="20">
        <v>0</v>
      </c>
      <c r="BS1131" s="20">
        <v>30</v>
      </c>
      <c r="BT1131" s="20">
        <v>750000</v>
      </c>
      <c r="BU1131" s="20">
        <v>2970000</v>
      </c>
      <c r="BV1131" s="20">
        <v>3.5999999999999996</v>
      </c>
    </row>
    <row r="1132" spans="1:74">
      <c r="A1132" s="10">
        <f t="shared" si="70"/>
        <v>0</v>
      </c>
      <c r="B1132" s="10">
        <f t="shared" si="71"/>
        <v>0</v>
      </c>
      <c r="C1132" s="12">
        <f t="shared" si="72"/>
        <v>9</v>
      </c>
      <c r="D1132" s="12">
        <f t="shared" si="73"/>
        <v>9</v>
      </c>
      <c r="E1132" s="20" t="s">
        <v>574</v>
      </c>
      <c r="F1132" s="20" t="s">
        <v>3089</v>
      </c>
      <c r="G1132" s="20" t="s">
        <v>4138</v>
      </c>
      <c r="H1132" s="20" t="s">
        <v>4161</v>
      </c>
      <c r="I1132" s="20">
        <v>3</v>
      </c>
      <c r="J1132" s="20" t="s">
        <v>4162</v>
      </c>
      <c r="K1132" s="20" t="s">
        <v>4170</v>
      </c>
      <c r="L1132" s="20" t="s">
        <v>4164</v>
      </c>
      <c r="M1132" s="20" t="s">
        <v>2667</v>
      </c>
      <c r="N1132" s="20" t="s">
        <v>3216</v>
      </c>
      <c r="P1132" s="20" t="s">
        <v>2667</v>
      </c>
      <c r="Q1132" s="20" t="s">
        <v>2674</v>
      </c>
      <c r="R1132" s="20" t="s">
        <v>84</v>
      </c>
      <c r="S1132" s="20">
        <v>5</v>
      </c>
      <c r="T1132" s="20" t="s">
        <v>922</v>
      </c>
      <c r="U1132" s="20" t="s">
        <v>923</v>
      </c>
      <c r="V1132" s="20" t="s">
        <v>87</v>
      </c>
      <c r="W1132" s="20">
        <v>813</v>
      </c>
      <c r="X1132" s="20">
        <v>813</v>
      </c>
      <c r="Y1132" s="20" t="s">
        <v>4165</v>
      </c>
      <c r="Z1132" s="20">
        <v>0.25</v>
      </c>
      <c r="AA1132" s="20" t="s">
        <v>4171</v>
      </c>
      <c r="AB1132" s="20" t="s">
        <v>109</v>
      </c>
      <c r="AC1132" s="20" t="s">
        <v>110</v>
      </c>
      <c r="AD1132" s="20" t="s">
        <v>4167</v>
      </c>
      <c r="AE1132" s="20" t="s">
        <v>400</v>
      </c>
      <c r="AF1132" s="20">
        <v>0.25</v>
      </c>
      <c r="AG1132" s="20">
        <v>0</v>
      </c>
      <c r="AH1132" s="20">
        <v>1</v>
      </c>
      <c r="AI1132" s="4" t="s">
        <v>647</v>
      </c>
      <c r="AJ1132" s="20">
        <v>30</v>
      </c>
      <c r="AK1132" s="4" t="s">
        <v>780</v>
      </c>
      <c r="AL1132" s="4">
        <v>12</v>
      </c>
      <c r="AM1132" s="4">
        <v>12</v>
      </c>
      <c r="AN1132" s="4" t="s">
        <v>95</v>
      </c>
      <c r="AO1132" s="4" t="s">
        <v>131</v>
      </c>
      <c r="AP1132" s="4">
        <v>2</v>
      </c>
      <c r="AQ1132" s="20">
        <v>99000</v>
      </c>
      <c r="AR1132" s="4">
        <v>41898</v>
      </c>
      <c r="AS1132" s="20">
        <v>25000</v>
      </c>
      <c r="AT1132" s="20">
        <v>0</v>
      </c>
      <c r="AU1132" s="20">
        <v>-25000</v>
      </c>
      <c r="AV1132" s="20">
        <v>0</v>
      </c>
      <c r="AW1132" s="20">
        <v>0</v>
      </c>
      <c r="AX1132" s="20" t="s">
        <v>91</v>
      </c>
      <c r="AY1132" s="20">
        <v>0</v>
      </c>
      <c r="AZ1132" s="20">
        <v>0</v>
      </c>
      <c r="BA1132" s="20">
        <v>0</v>
      </c>
      <c r="BB1132" s="6">
        <v>41898</v>
      </c>
      <c r="BC1132" s="6">
        <v>0</v>
      </c>
      <c r="BD1132" s="6">
        <v>41901</v>
      </c>
      <c r="BE1132" s="6">
        <v>0</v>
      </c>
      <c r="BF1132" s="6">
        <v>41899</v>
      </c>
      <c r="BG1132" s="6">
        <v>0</v>
      </c>
      <c r="BH1132" s="6">
        <v>0</v>
      </c>
      <c r="BI1132" s="6">
        <v>0</v>
      </c>
      <c r="BJ1132" s="6">
        <v>0</v>
      </c>
      <c r="BK1132" s="4">
        <v>0</v>
      </c>
      <c r="BL1132" s="4">
        <v>0</v>
      </c>
      <c r="BM1132" s="20">
        <v>30</v>
      </c>
      <c r="BN1132" s="20">
        <v>0</v>
      </c>
      <c r="BO1132" s="20">
        <v>0</v>
      </c>
      <c r="BP1132" s="20">
        <v>0</v>
      </c>
      <c r="BQ1132" s="20">
        <v>0</v>
      </c>
      <c r="BR1132" s="20">
        <v>0</v>
      </c>
      <c r="BS1132" s="20">
        <v>30</v>
      </c>
      <c r="BT1132" s="20">
        <v>750000</v>
      </c>
      <c r="BU1132" s="20">
        <v>2970000</v>
      </c>
      <c r="BV1132" s="20">
        <v>3.5999999999999996</v>
      </c>
    </row>
    <row r="1133" spans="1:74">
      <c r="A1133" s="10">
        <f t="shared" si="70"/>
        <v>0</v>
      </c>
      <c r="B1133" s="10">
        <f t="shared" si="71"/>
        <v>0</v>
      </c>
      <c r="C1133" s="12">
        <f t="shared" si="72"/>
        <v>9</v>
      </c>
      <c r="D1133" s="12">
        <f t="shared" si="73"/>
        <v>9</v>
      </c>
      <c r="E1133" s="20" t="s">
        <v>574</v>
      </c>
      <c r="F1133" s="20" t="s">
        <v>3089</v>
      </c>
      <c r="G1133" s="20" t="s">
        <v>4138</v>
      </c>
      <c r="H1133" s="20" t="s">
        <v>4161</v>
      </c>
      <c r="I1133" s="20">
        <v>3</v>
      </c>
      <c r="J1133" s="20" t="s">
        <v>4162</v>
      </c>
      <c r="K1133" s="20" t="s">
        <v>4172</v>
      </c>
      <c r="L1133" s="20" t="s">
        <v>4164</v>
      </c>
      <c r="M1133" s="20" t="s">
        <v>2667</v>
      </c>
      <c r="N1133" s="20" t="s">
        <v>3216</v>
      </c>
      <c r="P1133" s="20" t="s">
        <v>2667</v>
      </c>
      <c r="Q1133" s="20" t="s">
        <v>2674</v>
      </c>
      <c r="R1133" s="20" t="s">
        <v>84</v>
      </c>
      <c r="S1133" s="20">
        <v>5</v>
      </c>
      <c r="T1133" s="20" t="s">
        <v>922</v>
      </c>
      <c r="U1133" s="20" t="s">
        <v>923</v>
      </c>
      <c r="V1133" s="20" t="s">
        <v>87</v>
      </c>
      <c r="W1133" s="20">
        <v>813</v>
      </c>
      <c r="X1133" s="20">
        <v>813</v>
      </c>
      <c r="Y1133" s="20" t="s">
        <v>4165</v>
      </c>
      <c r="Z1133" s="20">
        <v>0.25</v>
      </c>
      <c r="AA1133" s="20" t="s">
        <v>4173</v>
      </c>
      <c r="AB1133" s="20" t="s">
        <v>109</v>
      </c>
      <c r="AC1133" s="20" t="s">
        <v>110</v>
      </c>
      <c r="AD1133" s="20" t="s">
        <v>4167</v>
      </c>
      <c r="AE1133" s="20" t="s">
        <v>400</v>
      </c>
      <c r="AF1133" s="20">
        <v>0.25</v>
      </c>
      <c r="AG1133" s="20">
        <v>0</v>
      </c>
      <c r="AH1133" s="20">
        <v>1</v>
      </c>
      <c r="AI1133" s="4" t="s">
        <v>651</v>
      </c>
      <c r="AJ1133" s="20">
        <v>30</v>
      </c>
      <c r="AK1133" s="4" t="s">
        <v>780</v>
      </c>
      <c r="AL1133" s="4">
        <v>12</v>
      </c>
      <c r="AM1133" s="4">
        <v>12</v>
      </c>
      <c r="AN1133" s="4" t="s">
        <v>95</v>
      </c>
      <c r="AO1133" s="4" t="s">
        <v>131</v>
      </c>
      <c r="AP1133" s="4">
        <v>2</v>
      </c>
      <c r="AQ1133" s="20">
        <v>99000</v>
      </c>
      <c r="AR1133" s="4">
        <v>41898</v>
      </c>
      <c r="AS1133" s="20">
        <v>25000</v>
      </c>
      <c r="AT1133" s="20">
        <v>0</v>
      </c>
      <c r="AU1133" s="20">
        <v>-25000</v>
      </c>
      <c r="AV1133" s="20">
        <v>0</v>
      </c>
      <c r="AW1133" s="20">
        <v>0</v>
      </c>
      <c r="AX1133" s="20" t="s">
        <v>91</v>
      </c>
      <c r="AY1133" s="20">
        <v>0</v>
      </c>
      <c r="AZ1133" s="20">
        <v>0</v>
      </c>
      <c r="BA1133" s="20">
        <v>0</v>
      </c>
      <c r="BB1133" s="6">
        <v>41898</v>
      </c>
      <c r="BC1133" s="6">
        <v>0</v>
      </c>
      <c r="BD1133" s="6">
        <v>41901</v>
      </c>
      <c r="BE1133" s="6">
        <v>0</v>
      </c>
      <c r="BF1133" s="6">
        <v>41899</v>
      </c>
      <c r="BG1133" s="6">
        <v>0</v>
      </c>
      <c r="BH1133" s="6">
        <v>0</v>
      </c>
      <c r="BI1133" s="6">
        <v>0</v>
      </c>
      <c r="BJ1133" s="6">
        <v>0</v>
      </c>
      <c r="BK1133" s="4">
        <v>0</v>
      </c>
      <c r="BL1133" s="4">
        <v>0</v>
      </c>
      <c r="BM1133" s="20">
        <v>30</v>
      </c>
      <c r="BN1133" s="20">
        <v>0</v>
      </c>
      <c r="BO1133" s="20">
        <v>0</v>
      </c>
      <c r="BP1133" s="20">
        <v>0</v>
      </c>
      <c r="BQ1133" s="20">
        <v>0</v>
      </c>
      <c r="BR1133" s="20">
        <v>0</v>
      </c>
      <c r="BS1133" s="20">
        <v>30</v>
      </c>
      <c r="BT1133" s="20">
        <v>750000</v>
      </c>
      <c r="BU1133" s="20">
        <v>2970000</v>
      </c>
      <c r="BV1133" s="20">
        <v>3.5999999999999996</v>
      </c>
    </row>
    <row r="1134" spans="1:74">
      <c r="A1134" s="10">
        <f t="shared" si="70"/>
        <v>0</v>
      </c>
      <c r="B1134" s="10">
        <f t="shared" si="71"/>
        <v>0</v>
      </c>
      <c r="C1134" s="12" t="str">
        <f t="shared" si="72"/>
        <v/>
      </c>
      <c r="D1134" s="12" t="str">
        <f t="shared" si="73"/>
        <v/>
      </c>
      <c r="E1134" s="20" t="s">
        <v>91</v>
      </c>
      <c r="F1134" s="20" t="s">
        <v>91</v>
      </c>
      <c r="G1134" s="20" t="s">
        <v>91</v>
      </c>
      <c r="H1134" s="20" t="s">
        <v>91</v>
      </c>
      <c r="I1134" s="20">
        <v>0</v>
      </c>
      <c r="J1134" s="20" t="s">
        <v>103</v>
      </c>
      <c r="K1134" s="20" t="s">
        <v>104</v>
      </c>
      <c r="L1134" s="20">
        <v>0</v>
      </c>
      <c r="M1134" s="20" t="s">
        <v>105</v>
      </c>
      <c r="N1134" s="20" t="s">
        <v>91</v>
      </c>
      <c r="O1134" s="20" t="s">
        <v>4174</v>
      </c>
      <c r="Q1134" s="20" t="s">
        <v>91</v>
      </c>
      <c r="R1134" s="20" t="s">
        <v>91</v>
      </c>
      <c r="S1134" s="20" t="s">
        <v>91</v>
      </c>
      <c r="T1134" s="20" t="s">
        <v>91</v>
      </c>
      <c r="U1134" s="20" t="s">
        <v>91</v>
      </c>
      <c r="V1134" s="20" t="s">
        <v>87</v>
      </c>
      <c r="W1134" s="20" t="s">
        <v>91</v>
      </c>
      <c r="X1134" s="20" t="s">
        <v>91</v>
      </c>
      <c r="Y1134" s="20" t="s">
        <v>91</v>
      </c>
      <c r="Z1134" s="20">
        <v>3</v>
      </c>
      <c r="AB1134" s="20" t="s">
        <v>91</v>
      </c>
      <c r="AD1134" s="20" t="s">
        <v>91</v>
      </c>
      <c r="AE1134" s="20" t="s">
        <v>91</v>
      </c>
      <c r="AF1134" s="20">
        <v>3</v>
      </c>
      <c r="AG1134" s="20">
        <v>0</v>
      </c>
      <c r="AH1134" s="20">
        <v>1</v>
      </c>
      <c r="AM1134" s="4" t="s">
        <v>91</v>
      </c>
      <c r="AP1134" s="4" t="s">
        <v>91</v>
      </c>
      <c r="AQ1134" s="20">
        <v>0</v>
      </c>
      <c r="AR1134" s="4">
        <v>0</v>
      </c>
      <c r="AS1134" s="20">
        <v>0</v>
      </c>
      <c r="AT1134" s="20">
        <v>0</v>
      </c>
      <c r="AU1134" s="20">
        <v>0</v>
      </c>
      <c r="AV1134" s="20">
        <v>0</v>
      </c>
      <c r="AW1134" s="20">
        <v>0</v>
      </c>
      <c r="AX1134" s="20" t="s">
        <v>91</v>
      </c>
      <c r="AY1134" s="20">
        <v>0</v>
      </c>
      <c r="AZ1134" s="20">
        <v>0</v>
      </c>
      <c r="BA1134" s="20">
        <v>0</v>
      </c>
      <c r="BB1134" s="6">
        <v>0</v>
      </c>
      <c r="BC1134" s="6">
        <v>0</v>
      </c>
      <c r="BD1134" s="6">
        <v>0</v>
      </c>
      <c r="BE1134" s="6">
        <v>0</v>
      </c>
      <c r="BF1134" s="6">
        <v>0</v>
      </c>
      <c r="BG1134" s="6">
        <v>0</v>
      </c>
      <c r="BH1134" s="6">
        <v>0</v>
      </c>
      <c r="BI1134" s="6">
        <v>0</v>
      </c>
      <c r="BJ1134" s="6">
        <v>0</v>
      </c>
      <c r="BK1134" s="4">
        <v>0</v>
      </c>
      <c r="BL1134" s="4">
        <v>0</v>
      </c>
      <c r="BM1134" s="20">
        <v>610</v>
      </c>
      <c r="BN1134" s="20">
        <v>0</v>
      </c>
      <c r="BO1134" s="20">
        <v>0</v>
      </c>
      <c r="BP1134" s="20">
        <v>0</v>
      </c>
      <c r="BQ1134" s="20">
        <v>0</v>
      </c>
      <c r="BR1134" s="20">
        <v>0</v>
      </c>
      <c r="BS1134" s="20">
        <v>610</v>
      </c>
      <c r="BT1134" s="20">
        <v>12775252.525252525</v>
      </c>
      <c r="BU1134" s="20">
        <v>50590000</v>
      </c>
      <c r="BV1134" s="20">
        <v>3.6</v>
      </c>
    </row>
    <row r="1135" spans="1:74">
      <c r="A1135" s="10">
        <f t="shared" si="70"/>
        <v>0</v>
      </c>
      <c r="B1135" s="10">
        <f t="shared" si="71"/>
        <v>0</v>
      </c>
      <c r="C1135" s="12">
        <f t="shared" si="72"/>
        <v>9</v>
      </c>
      <c r="D1135" s="12">
        <f t="shared" si="73"/>
        <v>9</v>
      </c>
      <c r="E1135" s="20" t="s">
        <v>574</v>
      </c>
      <c r="F1135" s="20" t="s">
        <v>3735</v>
      </c>
      <c r="G1135" s="20" t="s">
        <v>4175</v>
      </c>
      <c r="H1135" s="20" t="s">
        <v>4176</v>
      </c>
      <c r="I1135" s="20">
        <v>1</v>
      </c>
      <c r="J1135" s="20" t="s">
        <v>4177</v>
      </c>
      <c r="K1135" s="20" t="s">
        <v>4178</v>
      </c>
      <c r="L1135" s="20" t="s">
        <v>4179</v>
      </c>
      <c r="M1135" s="20" t="s">
        <v>3741</v>
      </c>
      <c r="N1135" s="20" t="s">
        <v>4049</v>
      </c>
      <c r="P1135" s="20" t="s">
        <v>3741</v>
      </c>
      <c r="Q1135" s="20" t="s">
        <v>3743</v>
      </c>
      <c r="R1135" s="20" t="s">
        <v>84</v>
      </c>
      <c r="S1135" s="20">
        <v>5</v>
      </c>
      <c r="T1135" s="20" t="s">
        <v>674</v>
      </c>
      <c r="U1135" s="20" t="s">
        <v>675</v>
      </c>
      <c r="V1135" s="20" t="s">
        <v>87</v>
      </c>
      <c r="W1135" s="20">
        <v>807</v>
      </c>
      <c r="X1135" s="20">
        <v>807</v>
      </c>
      <c r="Y1135" s="20" t="s">
        <v>4180</v>
      </c>
      <c r="Z1135" s="20">
        <v>0.33333333333333331</v>
      </c>
      <c r="AA1135" s="20" t="s">
        <v>4181</v>
      </c>
      <c r="AB1135" s="20" t="s">
        <v>139</v>
      </c>
      <c r="AC1135" s="20" t="s">
        <v>140</v>
      </c>
      <c r="AD1135" s="20" t="s">
        <v>4182</v>
      </c>
      <c r="AE1135" s="20" t="s">
        <v>400</v>
      </c>
      <c r="AF1135" s="20">
        <v>0.33333333333333331</v>
      </c>
      <c r="AG1135" s="20">
        <v>0</v>
      </c>
      <c r="AH1135" s="20">
        <v>1</v>
      </c>
      <c r="AI1135" s="4" t="s">
        <v>643</v>
      </c>
      <c r="AJ1135" s="20">
        <v>30</v>
      </c>
      <c r="AK1135" s="4" t="s">
        <v>780</v>
      </c>
      <c r="AL1135" s="4">
        <v>13</v>
      </c>
      <c r="AM1135" s="4">
        <v>13</v>
      </c>
      <c r="AN1135" s="4" t="s">
        <v>95</v>
      </c>
      <c r="AO1135" s="4" t="s">
        <v>131</v>
      </c>
      <c r="AP1135" s="4">
        <v>2</v>
      </c>
      <c r="AQ1135" s="20">
        <v>179000</v>
      </c>
      <c r="AR1135" s="4">
        <v>41898</v>
      </c>
      <c r="AS1135" s="20">
        <v>45202.020202020198</v>
      </c>
      <c r="AT1135" s="20">
        <v>0</v>
      </c>
      <c r="AU1135" s="20">
        <v>-45202.020202020198</v>
      </c>
      <c r="AV1135" s="20">
        <v>0</v>
      </c>
      <c r="AW1135" s="20">
        <v>0</v>
      </c>
      <c r="AX1135" s="20" t="s">
        <v>91</v>
      </c>
      <c r="AY1135" s="20">
        <v>0</v>
      </c>
      <c r="AZ1135" s="20">
        <v>0</v>
      </c>
      <c r="BA1135" s="20">
        <v>0</v>
      </c>
      <c r="BB1135" s="6">
        <v>41898</v>
      </c>
      <c r="BC1135" s="6">
        <v>0</v>
      </c>
      <c r="BD1135" s="6">
        <v>41901</v>
      </c>
      <c r="BE1135" s="6">
        <v>0</v>
      </c>
      <c r="BF1135" s="6">
        <v>41899</v>
      </c>
      <c r="BG1135" s="6">
        <v>0</v>
      </c>
      <c r="BH1135" s="6">
        <v>0</v>
      </c>
      <c r="BI1135" s="6">
        <v>0</v>
      </c>
      <c r="BJ1135" s="6">
        <v>0</v>
      </c>
      <c r="BK1135" s="4">
        <v>0</v>
      </c>
      <c r="BL1135" s="4">
        <v>0</v>
      </c>
      <c r="BM1135" s="20">
        <v>30</v>
      </c>
      <c r="BN1135" s="20">
        <v>0</v>
      </c>
      <c r="BO1135" s="20">
        <v>0</v>
      </c>
      <c r="BP1135" s="20">
        <v>0</v>
      </c>
      <c r="BQ1135" s="20">
        <v>0</v>
      </c>
      <c r="BR1135" s="20">
        <v>0</v>
      </c>
      <c r="BS1135" s="20">
        <v>30</v>
      </c>
      <c r="BT1135" s="20">
        <v>1356060.606060606</v>
      </c>
      <c r="BU1135" s="20">
        <v>5370000</v>
      </c>
      <c r="BV1135" s="20">
        <v>3.5999999999999996</v>
      </c>
    </row>
    <row r="1136" spans="1:74">
      <c r="A1136" s="10">
        <f t="shared" si="70"/>
        <v>0</v>
      </c>
      <c r="B1136" s="10">
        <f t="shared" si="71"/>
        <v>0</v>
      </c>
      <c r="C1136" s="12">
        <f t="shared" si="72"/>
        <v>9</v>
      </c>
      <c r="D1136" s="12">
        <f t="shared" si="73"/>
        <v>9</v>
      </c>
      <c r="E1136" s="20" t="s">
        <v>574</v>
      </c>
      <c r="F1136" s="20" t="s">
        <v>3735</v>
      </c>
      <c r="G1136" s="20" t="s">
        <v>4175</v>
      </c>
      <c r="H1136" s="20" t="s">
        <v>4176</v>
      </c>
      <c r="I1136" s="20">
        <v>1</v>
      </c>
      <c r="J1136" s="20" t="s">
        <v>4177</v>
      </c>
      <c r="K1136" s="20" t="s">
        <v>4183</v>
      </c>
      <c r="L1136" s="20" t="s">
        <v>4179</v>
      </c>
      <c r="M1136" s="20" t="s">
        <v>3741</v>
      </c>
      <c r="N1136" s="20" t="s">
        <v>4049</v>
      </c>
      <c r="P1136" s="20" t="s">
        <v>3741</v>
      </c>
      <c r="Q1136" s="20" t="s">
        <v>3743</v>
      </c>
      <c r="R1136" s="20" t="s">
        <v>84</v>
      </c>
      <c r="S1136" s="20">
        <v>5</v>
      </c>
      <c r="T1136" s="20" t="s">
        <v>674</v>
      </c>
      <c r="U1136" s="20" t="s">
        <v>675</v>
      </c>
      <c r="V1136" s="20" t="s">
        <v>87</v>
      </c>
      <c r="W1136" s="20">
        <v>807</v>
      </c>
      <c r="X1136" s="20">
        <v>807</v>
      </c>
      <c r="Y1136" s="20" t="s">
        <v>4180</v>
      </c>
      <c r="Z1136" s="20">
        <v>0.33333333333333331</v>
      </c>
      <c r="AA1136" s="20" t="s">
        <v>4184</v>
      </c>
      <c r="AB1136" s="20" t="s">
        <v>139</v>
      </c>
      <c r="AC1136" s="20" t="s">
        <v>140</v>
      </c>
      <c r="AD1136" s="20" t="s">
        <v>4182</v>
      </c>
      <c r="AE1136" s="20" t="s">
        <v>400</v>
      </c>
      <c r="AF1136" s="20">
        <v>0.33333333333333331</v>
      </c>
      <c r="AG1136" s="20">
        <v>0</v>
      </c>
      <c r="AH1136" s="20">
        <v>1</v>
      </c>
      <c r="AI1136" s="4" t="s">
        <v>647</v>
      </c>
      <c r="AJ1136" s="20">
        <v>30</v>
      </c>
      <c r="AK1136" s="4" t="s">
        <v>780</v>
      </c>
      <c r="AL1136" s="4">
        <v>13</v>
      </c>
      <c r="AM1136" s="4">
        <v>13</v>
      </c>
      <c r="AN1136" s="4" t="s">
        <v>95</v>
      </c>
      <c r="AO1136" s="4" t="s">
        <v>131</v>
      </c>
      <c r="AP1136" s="4">
        <v>2</v>
      </c>
      <c r="AQ1136" s="20">
        <v>179000</v>
      </c>
      <c r="AR1136" s="4">
        <v>41898</v>
      </c>
      <c r="AS1136" s="20">
        <v>45202.020202020198</v>
      </c>
      <c r="AT1136" s="20">
        <v>0</v>
      </c>
      <c r="AU1136" s="20">
        <v>-45202.020202020198</v>
      </c>
      <c r="AV1136" s="20">
        <v>0</v>
      </c>
      <c r="AW1136" s="20">
        <v>0</v>
      </c>
      <c r="AX1136" s="20" t="s">
        <v>91</v>
      </c>
      <c r="AY1136" s="20">
        <v>0</v>
      </c>
      <c r="AZ1136" s="20">
        <v>0</v>
      </c>
      <c r="BA1136" s="20">
        <v>0</v>
      </c>
      <c r="BB1136" s="6">
        <v>41898</v>
      </c>
      <c r="BC1136" s="6">
        <v>0</v>
      </c>
      <c r="BD1136" s="6">
        <v>41901</v>
      </c>
      <c r="BE1136" s="6">
        <v>0</v>
      </c>
      <c r="BF1136" s="6">
        <v>41899</v>
      </c>
      <c r="BG1136" s="6">
        <v>0</v>
      </c>
      <c r="BH1136" s="6">
        <v>0</v>
      </c>
      <c r="BI1136" s="6">
        <v>0</v>
      </c>
      <c r="BJ1136" s="6">
        <v>0</v>
      </c>
      <c r="BK1136" s="4">
        <v>0</v>
      </c>
      <c r="BL1136" s="4">
        <v>0</v>
      </c>
      <c r="BM1136" s="20">
        <v>30</v>
      </c>
      <c r="BN1136" s="20">
        <v>0</v>
      </c>
      <c r="BO1136" s="20">
        <v>0</v>
      </c>
      <c r="BP1136" s="20">
        <v>0</v>
      </c>
      <c r="BQ1136" s="20">
        <v>0</v>
      </c>
      <c r="BR1136" s="20">
        <v>0</v>
      </c>
      <c r="BS1136" s="20">
        <v>30</v>
      </c>
      <c r="BT1136" s="20">
        <v>1356060.606060606</v>
      </c>
      <c r="BU1136" s="20">
        <v>5370000</v>
      </c>
      <c r="BV1136" s="20">
        <v>3.5999999999999996</v>
      </c>
    </row>
    <row r="1137" spans="1:74">
      <c r="A1137" s="10">
        <f t="shared" si="70"/>
        <v>0</v>
      </c>
      <c r="B1137" s="10">
        <f t="shared" si="71"/>
        <v>0</v>
      </c>
      <c r="C1137" s="12">
        <f t="shared" si="72"/>
        <v>9</v>
      </c>
      <c r="D1137" s="12">
        <f t="shared" si="73"/>
        <v>9</v>
      </c>
      <c r="E1137" s="20" t="s">
        <v>574</v>
      </c>
      <c r="F1137" s="20" t="s">
        <v>3735</v>
      </c>
      <c r="G1137" s="20" t="s">
        <v>4175</v>
      </c>
      <c r="H1137" s="20" t="s">
        <v>4176</v>
      </c>
      <c r="I1137" s="20">
        <v>1</v>
      </c>
      <c r="J1137" s="20" t="s">
        <v>4177</v>
      </c>
      <c r="K1137" s="20" t="s">
        <v>4185</v>
      </c>
      <c r="L1137" s="20" t="s">
        <v>4179</v>
      </c>
      <c r="M1137" s="20" t="s">
        <v>3741</v>
      </c>
      <c r="N1137" s="20" t="s">
        <v>4049</v>
      </c>
      <c r="P1137" s="20" t="s">
        <v>3741</v>
      </c>
      <c r="Q1137" s="20" t="s">
        <v>3743</v>
      </c>
      <c r="R1137" s="20" t="s">
        <v>84</v>
      </c>
      <c r="S1137" s="20">
        <v>5</v>
      </c>
      <c r="T1137" s="20" t="s">
        <v>674</v>
      </c>
      <c r="U1137" s="20" t="s">
        <v>675</v>
      </c>
      <c r="V1137" s="20" t="s">
        <v>87</v>
      </c>
      <c r="W1137" s="20">
        <v>807</v>
      </c>
      <c r="X1137" s="20">
        <v>807</v>
      </c>
      <c r="Y1137" s="20" t="s">
        <v>4180</v>
      </c>
      <c r="Z1137" s="20">
        <v>0.33333333333333331</v>
      </c>
      <c r="AA1137" s="20" t="s">
        <v>4186</v>
      </c>
      <c r="AB1137" s="20" t="s">
        <v>139</v>
      </c>
      <c r="AC1137" s="20" t="s">
        <v>140</v>
      </c>
      <c r="AD1137" s="20" t="s">
        <v>4182</v>
      </c>
      <c r="AE1137" s="20" t="s">
        <v>400</v>
      </c>
      <c r="AF1137" s="20">
        <v>0.33333333333333331</v>
      </c>
      <c r="AG1137" s="20">
        <v>0</v>
      </c>
      <c r="AH1137" s="20">
        <v>1</v>
      </c>
      <c r="AI1137" s="4" t="s">
        <v>651</v>
      </c>
      <c r="AJ1137" s="20">
        <v>30</v>
      </c>
      <c r="AK1137" s="4" t="s">
        <v>780</v>
      </c>
      <c r="AL1137" s="4">
        <v>13</v>
      </c>
      <c r="AM1137" s="4">
        <v>13</v>
      </c>
      <c r="AN1137" s="4" t="s">
        <v>95</v>
      </c>
      <c r="AO1137" s="4" t="s">
        <v>131</v>
      </c>
      <c r="AP1137" s="4">
        <v>2</v>
      </c>
      <c r="AQ1137" s="20">
        <v>179000</v>
      </c>
      <c r="AR1137" s="4">
        <v>41898</v>
      </c>
      <c r="AS1137" s="20">
        <v>45202.020202020198</v>
      </c>
      <c r="AT1137" s="20">
        <v>0</v>
      </c>
      <c r="AU1137" s="20">
        <v>-45202.020202020198</v>
      </c>
      <c r="AV1137" s="20">
        <v>0</v>
      </c>
      <c r="AW1137" s="20">
        <v>0</v>
      </c>
      <c r="AX1137" s="20" t="s">
        <v>91</v>
      </c>
      <c r="AY1137" s="20">
        <v>0</v>
      </c>
      <c r="AZ1137" s="20">
        <v>0</v>
      </c>
      <c r="BA1137" s="20">
        <v>0</v>
      </c>
      <c r="BB1137" s="6">
        <v>41898</v>
      </c>
      <c r="BC1137" s="6">
        <v>0</v>
      </c>
      <c r="BD1137" s="6">
        <v>41901</v>
      </c>
      <c r="BE1137" s="6">
        <v>0</v>
      </c>
      <c r="BF1137" s="6">
        <v>41899</v>
      </c>
      <c r="BG1137" s="6">
        <v>0</v>
      </c>
      <c r="BH1137" s="6">
        <v>0</v>
      </c>
      <c r="BI1137" s="6">
        <v>0</v>
      </c>
      <c r="BJ1137" s="6">
        <v>0</v>
      </c>
      <c r="BK1137" s="4">
        <v>0</v>
      </c>
      <c r="BL1137" s="4">
        <v>0</v>
      </c>
      <c r="BM1137" s="20">
        <v>30</v>
      </c>
      <c r="BN1137" s="20">
        <v>0</v>
      </c>
      <c r="BO1137" s="20">
        <v>0</v>
      </c>
      <c r="BP1137" s="20">
        <v>0</v>
      </c>
      <c r="BQ1137" s="20">
        <v>0</v>
      </c>
      <c r="BR1137" s="20">
        <v>0</v>
      </c>
      <c r="BS1137" s="20">
        <v>30</v>
      </c>
      <c r="BT1137" s="20">
        <v>1356060.606060606</v>
      </c>
      <c r="BU1137" s="20">
        <v>5370000</v>
      </c>
      <c r="BV1137" s="20">
        <v>3.5999999999999996</v>
      </c>
    </row>
    <row r="1138" spans="1:74">
      <c r="A1138" s="10">
        <f t="shared" si="70"/>
        <v>0</v>
      </c>
      <c r="B1138" s="10">
        <f t="shared" si="71"/>
        <v>0</v>
      </c>
      <c r="C1138" s="12">
        <f t="shared" si="72"/>
        <v>9</v>
      </c>
      <c r="D1138" s="12">
        <f t="shared" si="73"/>
        <v>9</v>
      </c>
      <c r="E1138" s="20" t="s">
        <v>574</v>
      </c>
      <c r="F1138" s="20" t="s">
        <v>3735</v>
      </c>
      <c r="G1138" s="20" t="s">
        <v>4175</v>
      </c>
      <c r="H1138" s="20" t="s">
        <v>4187</v>
      </c>
      <c r="I1138" s="20">
        <v>2</v>
      </c>
      <c r="J1138" s="20" t="s">
        <v>4188</v>
      </c>
      <c r="K1138" s="20" t="s">
        <v>4189</v>
      </c>
      <c r="L1138" s="20" t="s">
        <v>4190</v>
      </c>
      <c r="M1138" s="20" t="s">
        <v>3741</v>
      </c>
      <c r="N1138" s="20" t="s">
        <v>4061</v>
      </c>
      <c r="P1138" s="20" t="s">
        <v>3741</v>
      </c>
      <c r="Q1138" s="20" t="s">
        <v>3743</v>
      </c>
      <c r="R1138" s="20" t="s">
        <v>84</v>
      </c>
      <c r="S1138" s="20">
        <v>5</v>
      </c>
      <c r="T1138" s="20" t="s">
        <v>635</v>
      </c>
      <c r="U1138" s="20" t="s">
        <v>636</v>
      </c>
      <c r="V1138" s="20" t="s">
        <v>87</v>
      </c>
      <c r="W1138" s="20">
        <v>803</v>
      </c>
      <c r="X1138" s="20">
        <v>803</v>
      </c>
      <c r="Y1138" s="20" t="s">
        <v>4191</v>
      </c>
      <c r="Z1138" s="20">
        <v>0.25</v>
      </c>
      <c r="AA1138" s="20" t="s">
        <v>4192</v>
      </c>
      <c r="AB1138" s="20" t="s">
        <v>248</v>
      </c>
      <c r="AC1138" s="20" t="s">
        <v>249</v>
      </c>
      <c r="AD1138" s="20" t="s">
        <v>4193</v>
      </c>
      <c r="AE1138" s="20" t="s">
        <v>400</v>
      </c>
      <c r="AF1138" s="20">
        <v>0.25</v>
      </c>
      <c r="AG1138" s="20">
        <v>0</v>
      </c>
      <c r="AH1138" s="20">
        <v>1</v>
      </c>
      <c r="AI1138" s="4" t="s">
        <v>643</v>
      </c>
      <c r="AJ1138" s="20">
        <v>50</v>
      </c>
      <c r="AK1138" s="4" t="s">
        <v>780</v>
      </c>
      <c r="AL1138" s="4">
        <v>13</v>
      </c>
      <c r="AM1138" s="4">
        <v>13</v>
      </c>
      <c r="AN1138" s="4" t="s">
        <v>95</v>
      </c>
      <c r="AO1138" s="4" t="s">
        <v>131</v>
      </c>
      <c r="AP1138" s="4">
        <v>2</v>
      </c>
      <c r="AQ1138" s="20">
        <v>89000</v>
      </c>
      <c r="AR1138" s="4">
        <v>41898</v>
      </c>
      <c r="AS1138" s="20">
        <v>22474.74747474747</v>
      </c>
      <c r="AT1138" s="20">
        <v>0</v>
      </c>
      <c r="AU1138" s="20">
        <v>-22474.74747474747</v>
      </c>
      <c r="AV1138" s="20">
        <v>0</v>
      </c>
      <c r="AW1138" s="20">
        <v>0</v>
      </c>
      <c r="AX1138" s="20" t="s">
        <v>91</v>
      </c>
      <c r="AY1138" s="20">
        <v>0</v>
      </c>
      <c r="AZ1138" s="20">
        <v>0</v>
      </c>
      <c r="BA1138" s="20">
        <v>0</v>
      </c>
      <c r="BB1138" s="6">
        <v>41898</v>
      </c>
      <c r="BC1138" s="6">
        <v>0</v>
      </c>
      <c r="BD1138" s="6">
        <v>41901</v>
      </c>
      <c r="BE1138" s="6">
        <v>0</v>
      </c>
      <c r="BF1138" s="6">
        <v>41899</v>
      </c>
      <c r="BG1138" s="6">
        <v>0</v>
      </c>
      <c r="BH1138" s="6">
        <v>0</v>
      </c>
      <c r="BI1138" s="6">
        <v>0</v>
      </c>
      <c r="BJ1138" s="6">
        <v>0</v>
      </c>
      <c r="BK1138" s="4">
        <v>0</v>
      </c>
      <c r="BL1138" s="4">
        <v>0</v>
      </c>
      <c r="BM1138" s="20">
        <v>50</v>
      </c>
      <c r="BN1138" s="20">
        <v>0</v>
      </c>
      <c r="BO1138" s="20">
        <v>0</v>
      </c>
      <c r="BP1138" s="20">
        <v>0</v>
      </c>
      <c r="BQ1138" s="20">
        <v>0</v>
      </c>
      <c r="BR1138" s="20">
        <v>0</v>
      </c>
      <c r="BS1138" s="20">
        <v>50</v>
      </c>
      <c r="BT1138" s="20">
        <v>1123737.3737373734</v>
      </c>
      <c r="BU1138" s="20">
        <v>4450000</v>
      </c>
      <c r="BV1138" s="20">
        <v>3.600000000000001</v>
      </c>
    </row>
    <row r="1139" spans="1:74">
      <c r="A1139" s="10">
        <f t="shared" si="70"/>
        <v>0</v>
      </c>
      <c r="B1139" s="10">
        <f t="shared" si="71"/>
        <v>0</v>
      </c>
      <c r="C1139" s="12">
        <f t="shared" si="72"/>
        <v>9</v>
      </c>
      <c r="D1139" s="12">
        <f t="shared" si="73"/>
        <v>9</v>
      </c>
      <c r="E1139" s="20" t="s">
        <v>574</v>
      </c>
      <c r="F1139" s="20" t="s">
        <v>3735</v>
      </c>
      <c r="G1139" s="20" t="s">
        <v>4175</v>
      </c>
      <c r="H1139" s="20" t="s">
        <v>4187</v>
      </c>
      <c r="I1139" s="20">
        <v>2</v>
      </c>
      <c r="J1139" s="20" t="s">
        <v>4188</v>
      </c>
      <c r="K1139" s="20" t="s">
        <v>4194</v>
      </c>
      <c r="L1139" s="20" t="s">
        <v>4190</v>
      </c>
      <c r="M1139" s="20" t="s">
        <v>3741</v>
      </c>
      <c r="N1139" s="20" t="s">
        <v>4061</v>
      </c>
      <c r="P1139" s="20" t="s">
        <v>3741</v>
      </c>
      <c r="Q1139" s="20" t="s">
        <v>3743</v>
      </c>
      <c r="R1139" s="20" t="s">
        <v>84</v>
      </c>
      <c r="S1139" s="20">
        <v>5</v>
      </c>
      <c r="T1139" s="20" t="s">
        <v>635</v>
      </c>
      <c r="U1139" s="20" t="s">
        <v>636</v>
      </c>
      <c r="V1139" s="20" t="s">
        <v>87</v>
      </c>
      <c r="W1139" s="20">
        <v>803</v>
      </c>
      <c r="X1139" s="20">
        <v>803</v>
      </c>
      <c r="Y1139" s="20" t="s">
        <v>4191</v>
      </c>
      <c r="Z1139" s="20">
        <v>0.25</v>
      </c>
      <c r="AA1139" s="20" t="s">
        <v>4195</v>
      </c>
      <c r="AB1139" s="20" t="s">
        <v>248</v>
      </c>
      <c r="AC1139" s="20" t="s">
        <v>249</v>
      </c>
      <c r="AD1139" s="20" t="s">
        <v>4193</v>
      </c>
      <c r="AE1139" s="20" t="s">
        <v>400</v>
      </c>
      <c r="AF1139" s="20">
        <v>0.25</v>
      </c>
      <c r="AG1139" s="20">
        <v>0</v>
      </c>
      <c r="AH1139" s="20">
        <v>1</v>
      </c>
      <c r="AI1139" s="4" t="s">
        <v>645</v>
      </c>
      <c r="AJ1139" s="20">
        <v>50</v>
      </c>
      <c r="AK1139" s="4" t="s">
        <v>780</v>
      </c>
      <c r="AL1139" s="4">
        <v>13</v>
      </c>
      <c r="AM1139" s="4">
        <v>13</v>
      </c>
      <c r="AN1139" s="4" t="s">
        <v>95</v>
      </c>
      <c r="AO1139" s="4" t="s">
        <v>131</v>
      </c>
      <c r="AP1139" s="4">
        <v>2</v>
      </c>
      <c r="AQ1139" s="20">
        <v>89000</v>
      </c>
      <c r="AR1139" s="4">
        <v>41898</v>
      </c>
      <c r="AS1139" s="20">
        <v>22474.74747474747</v>
      </c>
      <c r="AT1139" s="20">
        <v>0</v>
      </c>
      <c r="AU1139" s="20">
        <v>-22474.74747474747</v>
      </c>
      <c r="AV1139" s="20">
        <v>0</v>
      </c>
      <c r="AW1139" s="20">
        <v>0</v>
      </c>
      <c r="AX1139" s="20" t="s">
        <v>91</v>
      </c>
      <c r="AY1139" s="20">
        <v>0</v>
      </c>
      <c r="AZ1139" s="20">
        <v>0</v>
      </c>
      <c r="BA1139" s="20">
        <v>0</v>
      </c>
      <c r="BB1139" s="6">
        <v>41898</v>
      </c>
      <c r="BC1139" s="6">
        <v>0</v>
      </c>
      <c r="BD1139" s="6">
        <v>41901</v>
      </c>
      <c r="BE1139" s="6">
        <v>0</v>
      </c>
      <c r="BF1139" s="6">
        <v>41899</v>
      </c>
      <c r="BG1139" s="6">
        <v>0</v>
      </c>
      <c r="BH1139" s="6">
        <v>0</v>
      </c>
      <c r="BI1139" s="6">
        <v>0</v>
      </c>
      <c r="BJ1139" s="6">
        <v>0</v>
      </c>
      <c r="BK1139" s="4">
        <v>0</v>
      </c>
      <c r="BL1139" s="4">
        <v>0</v>
      </c>
      <c r="BM1139" s="20">
        <v>50</v>
      </c>
      <c r="BN1139" s="20">
        <v>0</v>
      </c>
      <c r="BO1139" s="20">
        <v>0</v>
      </c>
      <c r="BP1139" s="20">
        <v>0</v>
      </c>
      <c r="BQ1139" s="20">
        <v>0</v>
      </c>
      <c r="BR1139" s="20">
        <v>0</v>
      </c>
      <c r="BS1139" s="20">
        <v>50</v>
      </c>
      <c r="BT1139" s="20">
        <v>1123737.3737373734</v>
      </c>
      <c r="BU1139" s="20">
        <v>4450000</v>
      </c>
      <c r="BV1139" s="20">
        <v>3.600000000000001</v>
      </c>
    </row>
    <row r="1140" spans="1:74">
      <c r="A1140" s="10">
        <f t="shared" si="70"/>
        <v>0</v>
      </c>
      <c r="B1140" s="10">
        <f t="shared" si="71"/>
        <v>0</v>
      </c>
      <c r="C1140" s="12">
        <f t="shared" si="72"/>
        <v>9</v>
      </c>
      <c r="D1140" s="12">
        <f t="shared" si="73"/>
        <v>9</v>
      </c>
      <c r="E1140" s="20" t="s">
        <v>574</v>
      </c>
      <c r="F1140" s="20" t="s">
        <v>3735</v>
      </c>
      <c r="G1140" s="20" t="s">
        <v>4175</v>
      </c>
      <c r="H1140" s="20" t="s">
        <v>4187</v>
      </c>
      <c r="I1140" s="20">
        <v>2</v>
      </c>
      <c r="J1140" s="20" t="s">
        <v>4188</v>
      </c>
      <c r="K1140" s="20" t="s">
        <v>4196</v>
      </c>
      <c r="L1140" s="20" t="s">
        <v>4190</v>
      </c>
      <c r="M1140" s="20" t="s">
        <v>3741</v>
      </c>
      <c r="N1140" s="20" t="s">
        <v>4061</v>
      </c>
      <c r="P1140" s="20" t="s">
        <v>3741</v>
      </c>
      <c r="Q1140" s="20" t="s">
        <v>3743</v>
      </c>
      <c r="R1140" s="20" t="s">
        <v>84</v>
      </c>
      <c r="S1140" s="20">
        <v>5</v>
      </c>
      <c r="T1140" s="20" t="s">
        <v>635</v>
      </c>
      <c r="U1140" s="20" t="s">
        <v>636</v>
      </c>
      <c r="V1140" s="20" t="s">
        <v>87</v>
      </c>
      <c r="W1140" s="20">
        <v>803</v>
      </c>
      <c r="X1140" s="20">
        <v>803</v>
      </c>
      <c r="Y1140" s="20" t="s">
        <v>4191</v>
      </c>
      <c r="Z1140" s="20">
        <v>0.25</v>
      </c>
      <c r="AA1140" s="20" t="s">
        <v>4197</v>
      </c>
      <c r="AB1140" s="20" t="s">
        <v>248</v>
      </c>
      <c r="AC1140" s="20" t="s">
        <v>249</v>
      </c>
      <c r="AD1140" s="20" t="s">
        <v>4193</v>
      </c>
      <c r="AE1140" s="20" t="s">
        <v>400</v>
      </c>
      <c r="AF1140" s="20">
        <v>0.25</v>
      </c>
      <c r="AG1140" s="20">
        <v>0</v>
      </c>
      <c r="AH1140" s="20">
        <v>1</v>
      </c>
      <c r="AI1140" s="4" t="s">
        <v>647</v>
      </c>
      <c r="AJ1140" s="20">
        <v>50</v>
      </c>
      <c r="AK1140" s="4" t="s">
        <v>780</v>
      </c>
      <c r="AL1140" s="4">
        <v>13</v>
      </c>
      <c r="AM1140" s="4">
        <v>13</v>
      </c>
      <c r="AN1140" s="4" t="s">
        <v>95</v>
      </c>
      <c r="AO1140" s="4" t="s">
        <v>131</v>
      </c>
      <c r="AP1140" s="4">
        <v>2</v>
      </c>
      <c r="AQ1140" s="20">
        <v>89000</v>
      </c>
      <c r="AR1140" s="4">
        <v>41898</v>
      </c>
      <c r="AS1140" s="20">
        <v>22474.74747474747</v>
      </c>
      <c r="AT1140" s="20">
        <v>0</v>
      </c>
      <c r="AU1140" s="20">
        <v>-22474.74747474747</v>
      </c>
      <c r="AV1140" s="20">
        <v>0</v>
      </c>
      <c r="AW1140" s="20">
        <v>0</v>
      </c>
      <c r="AX1140" s="20" t="s">
        <v>91</v>
      </c>
      <c r="AY1140" s="20">
        <v>0</v>
      </c>
      <c r="AZ1140" s="20">
        <v>0</v>
      </c>
      <c r="BA1140" s="20">
        <v>0</v>
      </c>
      <c r="BB1140" s="6">
        <v>41898</v>
      </c>
      <c r="BC1140" s="6">
        <v>0</v>
      </c>
      <c r="BD1140" s="6">
        <v>41901</v>
      </c>
      <c r="BE1140" s="6">
        <v>0</v>
      </c>
      <c r="BF1140" s="6">
        <v>41899</v>
      </c>
      <c r="BG1140" s="6">
        <v>0</v>
      </c>
      <c r="BH1140" s="6">
        <v>0</v>
      </c>
      <c r="BI1140" s="6">
        <v>0</v>
      </c>
      <c r="BJ1140" s="6">
        <v>0</v>
      </c>
      <c r="BK1140" s="4">
        <v>0</v>
      </c>
      <c r="BL1140" s="4">
        <v>0</v>
      </c>
      <c r="BM1140" s="20">
        <v>50</v>
      </c>
      <c r="BN1140" s="20">
        <v>0</v>
      </c>
      <c r="BO1140" s="20">
        <v>0</v>
      </c>
      <c r="BP1140" s="20">
        <v>0</v>
      </c>
      <c r="BQ1140" s="20">
        <v>0</v>
      </c>
      <c r="BR1140" s="20">
        <v>0</v>
      </c>
      <c r="BS1140" s="20">
        <v>50</v>
      </c>
      <c r="BT1140" s="20">
        <v>1123737.3737373734</v>
      </c>
      <c r="BU1140" s="20">
        <v>4450000</v>
      </c>
      <c r="BV1140" s="20">
        <v>3.600000000000001</v>
      </c>
    </row>
    <row r="1141" spans="1:74">
      <c r="A1141" s="10">
        <f t="shared" si="70"/>
        <v>0</v>
      </c>
      <c r="B1141" s="10">
        <f t="shared" si="71"/>
        <v>0</v>
      </c>
      <c r="C1141" s="12">
        <f t="shared" si="72"/>
        <v>9</v>
      </c>
      <c r="D1141" s="12">
        <f t="shared" si="73"/>
        <v>9</v>
      </c>
      <c r="E1141" s="20" t="s">
        <v>574</v>
      </c>
      <c r="F1141" s="20" t="s">
        <v>3735</v>
      </c>
      <c r="G1141" s="20" t="s">
        <v>4175</v>
      </c>
      <c r="H1141" s="20" t="s">
        <v>4187</v>
      </c>
      <c r="I1141" s="20">
        <v>2</v>
      </c>
      <c r="J1141" s="20" t="s">
        <v>4188</v>
      </c>
      <c r="K1141" s="20" t="s">
        <v>4198</v>
      </c>
      <c r="L1141" s="20" t="s">
        <v>4190</v>
      </c>
      <c r="M1141" s="20" t="s">
        <v>3741</v>
      </c>
      <c r="N1141" s="20" t="s">
        <v>4061</v>
      </c>
      <c r="P1141" s="20" t="s">
        <v>3741</v>
      </c>
      <c r="Q1141" s="20" t="s">
        <v>3743</v>
      </c>
      <c r="R1141" s="20" t="s">
        <v>84</v>
      </c>
      <c r="S1141" s="20">
        <v>5</v>
      </c>
      <c r="T1141" s="20" t="s">
        <v>635</v>
      </c>
      <c r="U1141" s="20" t="s">
        <v>636</v>
      </c>
      <c r="V1141" s="20" t="s">
        <v>87</v>
      </c>
      <c r="W1141" s="20">
        <v>803</v>
      </c>
      <c r="X1141" s="20">
        <v>803</v>
      </c>
      <c r="Y1141" s="20" t="s">
        <v>4191</v>
      </c>
      <c r="Z1141" s="20">
        <v>0.25</v>
      </c>
      <c r="AA1141" s="20" t="s">
        <v>4199</v>
      </c>
      <c r="AB1141" s="20" t="s">
        <v>248</v>
      </c>
      <c r="AC1141" s="20" t="s">
        <v>249</v>
      </c>
      <c r="AD1141" s="20" t="s">
        <v>4193</v>
      </c>
      <c r="AE1141" s="20" t="s">
        <v>400</v>
      </c>
      <c r="AF1141" s="20">
        <v>0.25</v>
      </c>
      <c r="AG1141" s="20">
        <v>0</v>
      </c>
      <c r="AH1141" s="20">
        <v>1</v>
      </c>
      <c r="AI1141" s="4" t="s">
        <v>651</v>
      </c>
      <c r="AJ1141" s="20">
        <v>50</v>
      </c>
      <c r="AK1141" s="4" t="s">
        <v>780</v>
      </c>
      <c r="AL1141" s="4">
        <v>13</v>
      </c>
      <c r="AM1141" s="4">
        <v>13</v>
      </c>
      <c r="AN1141" s="4" t="s">
        <v>95</v>
      </c>
      <c r="AO1141" s="4" t="s">
        <v>131</v>
      </c>
      <c r="AP1141" s="4">
        <v>2</v>
      </c>
      <c r="AQ1141" s="20">
        <v>89000</v>
      </c>
      <c r="AR1141" s="4">
        <v>41898</v>
      </c>
      <c r="AS1141" s="20">
        <v>22474.74747474747</v>
      </c>
      <c r="AT1141" s="20">
        <v>0</v>
      </c>
      <c r="AU1141" s="20">
        <v>-22474.74747474747</v>
      </c>
      <c r="AV1141" s="20">
        <v>0</v>
      </c>
      <c r="AW1141" s="20">
        <v>0</v>
      </c>
      <c r="AX1141" s="20" t="s">
        <v>91</v>
      </c>
      <c r="AY1141" s="20">
        <v>0</v>
      </c>
      <c r="AZ1141" s="20">
        <v>0</v>
      </c>
      <c r="BA1141" s="20">
        <v>0</v>
      </c>
      <c r="BB1141" s="6">
        <v>41898</v>
      </c>
      <c r="BC1141" s="6">
        <v>0</v>
      </c>
      <c r="BD1141" s="6">
        <v>41901</v>
      </c>
      <c r="BE1141" s="6">
        <v>0</v>
      </c>
      <c r="BF1141" s="6">
        <v>41899</v>
      </c>
      <c r="BG1141" s="6">
        <v>0</v>
      </c>
      <c r="BH1141" s="6">
        <v>0</v>
      </c>
      <c r="BI1141" s="6">
        <v>0</v>
      </c>
      <c r="BJ1141" s="6">
        <v>0</v>
      </c>
      <c r="BK1141" s="4">
        <v>0</v>
      </c>
      <c r="BL1141" s="4">
        <v>0</v>
      </c>
      <c r="BM1141" s="20">
        <v>50</v>
      </c>
      <c r="BN1141" s="20">
        <v>0</v>
      </c>
      <c r="BO1141" s="20">
        <v>0</v>
      </c>
      <c r="BP1141" s="20">
        <v>0</v>
      </c>
      <c r="BQ1141" s="20">
        <v>0</v>
      </c>
      <c r="BR1141" s="20">
        <v>0</v>
      </c>
      <c r="BS1141" s="20">
        <v>50</v>
      </c>
      <c r="BT1141" s="20">
        <v>1123737.3737373734</v>
      </c>
      <c r="BU1141" s="20">
        <v>4450000</v>
      </c>
      <c r="BV1141" s="20">
        <v>3.600000000000001</v>
      </c>
    </row>
    <row r="1142" spans="1:74">
      <c r="A1142" s="10">
        <f t="shared" si="70"/>
        <v>0</v>
      </c>
      <c r="B1142" s="10">
        <f t="shared" si="71"/>
        <v>0</v>
      </c>
      <c r="C1142" s="12">
        <f t="shared" si="72"/>
        <v>9</v>
      </c>
      <c r="D1142" s="12">
        <f t="shared" si="73"/>
        <v>9</v>
      </c>
      <c r="E1142" s="20" t="s">
        <v>574</v>
      </c>
      <c r="F1142" s="20" t="s">
        <v>3735</v>
      </c>
      <c r="G1142" s="20" t="s">
        <v>4175</v>
      </c>
      <c r="H1142" s="20" t="s">
        <v>4200</v>
      </c>
      <c r="I1142" s="20">
        <v>3</v>
      </c>
      <c r="J1142" s="20" t="s">
        <v>4201</v>
      </c>
      <c r="K1142" s="20" t="s">
        <v>4202</v>
      </c>
      <c r="L1142" s="20" t="s">
        <v>4203</v>
      </c>
      <c r="M1142" s="20" t="s">
        <v>3741</v>
      </c>
      <c r="N1142" s="20" t="s">
        <v>4061</v>
      </c>
      <c r="P1142" s="20" t="s">
        <v>3741</v>
      </c>
      <c r="Q1142" s="20" t="s">
        <v>3743</v>
      </c>
      <c r="R1142" s="20" t="s">
        <v>84</v>
      </c>
      <c r="S1142" s="20">
        <v>5</v>
      </c>
      <c r="T1142" s="20" t="s">
        <v>635</v>
      </c>
      <c r="U1142" s="20" t="s">
        <v>636</v>
      </c>
      <c r="V1142" s="20" t="s">
        <v>87</v>
      </c>
      <c r="W1142" s="20">
        <v>804</v>
      </c>
      <c r="X1142" s="20">
        <v>804</v>
      </c>
      <c r="Y1142" s="20" t="s">
        <v>4204</v>
      </c>
      <c r="Z1142" s="20">
        <v>0.25</v>
      </c>
      <c r="AA1142" s="20" t="s">
        <v>4205</v>
      </c>
      <c r="AB1142" s="20" t="s">
        <v>89</v>
      </c>
      <c r="AC1142" s="20" t="s">
        <v>90</v>
      </c>
      <c r="AD1142" s="20" t="s">
        <v>4206</v>
      </c>
      <c r="AE1142" s="20" t="s">
        <v>400</v>
      </c>
      <c r="AF1142" s="20">
        <v>0.25</v>
      </c>
      <c r="AG1142" s="20">
        <v>0</v>
      </c>
      <c r="AH1142" s="20">
        <v>1</v>
      </c>
      <c r="AI1142" s="4" t="s">
        <v>643</v>
      </c>
      <c r="AJ1142" s="20">
        <v>30</v>
      </c>
      <c r="AK1142" s="4" t="s">
        <v>780</v>
      </c>
      <c r="AL1142" s="4">
        <v>13</v>
      </c>
      <c r="AM1142" s="4">
        <v>13</v>
      </c>
      <c r="AN1142" s="4" t="s">
        <v>95</v>
      </c>
      <c r="AO1142" s="4" t="s">
        <v>131</v>
      </c>
      <c r="AP1142" s="4">
        <v>2</v>
      </c>
      <c r="AQ1142" s="20">
        <v>89000</v>
      </c>
      <c r="AR1142" s="4">
        <v>41898</v>
      </c>
      <c r="AS1142" s="20">
        <v>22474.74747474747</v>
      </c>
      <c r="AT1142" s="20">
        <v>0</v>
      </c>
      <c r="AU1142" s="20">
        <v>-22474.74747474747</v>
      </c>
      <c r="AV1142" s="20">
        <v>0</v>
      </c>
      <c r="AW1142" s="20">
        <v>0</v>
      </c>
      <c r="AX1142" s="20" t="s">
        <v>91</v>
      </c>
      <c r="AY1142" s="20">
        <v>0</v>
      </c>
      <c r="AZ1142" s="20">
        <v>0</v>
      </c>
      <c r="BA1142" s="20">
        <v>0</v>
      </c>
      <c r="BB1142" s="6">
        <v>41898</v>
      </c>
      <c r="BC1142" s="6">
        <v>0</v>
      </c>
      <c r="BD1142" s="6">
        <v>41901</v>
      </c>
      <c r="BE1142" s="6">
        <v>0</v>
      </c>
      <c r="BF1142" s="6">
        <v>41899</v>
      </c>
      <c r="BG1142" s="6">
        <v>0</v>
      </c>
      <c r="BH1142" s="6">
        <v>0</v>
      </c>
      <c r="BI1142" s="6">
        <v>0</v>
      </c>
      <c r="BJ1142" s="6">
        <v>0</v>
      </c>
      <c r="BK1142" s="4">
        <v>0</v>
      </c>
      <c r="BL1142" s="4">
        <v>0</v>
      </c>
      <c r="BM1142" s="20">
        <v>30</v>
      </c>
      <c r="BN1142" s="20">
        <v>0</v>
      </c>
      <c r="BO1142" s="20">
        <v>0</v>
      </c>
      <c r="BP1142" s="20">
        <v>0</v>
      </c>
      <c r="BQ1142" s="20">
        <v>0</v>
      </c>
      <c r="BR1142" s="20">
        <v>0</v>
      </c>
      <c r="BS1142" s="20">
        <v>30</v>
      </c>
      <c r="BT1142" s="20">
        <v>674242.42424242408</v>
      </c>
      <c r="BU1142" s="20">
        <v>2670000</v>
      </c>
      <c r="BV1142" s="20">
        <v>3.6000000000000005</v>
      </c>
    </row>
    <row r="1143" spans="1:74">
      <c r="A1143" s="10">
        <f t="shared" si="70"/>
        <v>0</v>
      </c>
      <c r="B1143" s="10">
        <f t="shared" si="71"/>
        <v>0</v>
      </c>
      <c r="C1143" s="12">
        <f t="shared" si="72"/>
        <v>9</v>
      </c>
      <c r="D1143" s="12">
        <f t="shared" si="73"/>
        <v>9</v>
      </c>
      <c r="E1143" s="20" t="s">
        <v>574</v>
      </c>
      <c r="F1143" s="20" t="s">
        <v>3735</v>
      </c>
      <c r="G1143" s="20" t="s">
        <v>4175</v>
      </c>
      <c r="H1143" s="20" t="s">
        <v>4200</v>
      </c>
      <c r="I1143" s="20">
        <v>3</v>
      </c>
      <c r="J1143" s="20" t="s">
        <v>4201</v>
      </c>
      <c r="K1143" s="20" t="s">
        <v>4207</v>
      </c>
      <c r="L1143" s="20" t="s">
        <v>4203</v>
      </c>
      <c r="M1143" s="20" t="s">
        <v>3741</v>
      </c>
      <c r="N1143" s="20" t="s">
        <v>4061</v>
      </c>
      <c r="P1143" s="20" t="s">
        <v>3741</v>
      </c>
      <c r="Q1143" s="20" t="s">
        <v>3743</v>
      </c>
      <c r="R1143" s="20" t="s">
        <v>84</v>
      </c>
      <c r="S1143" s="20">
        <v>5</v>
      </c>
      <c r="T1143" s="20" t="s">
        <v>635</v>
      </c>
      <c r="U1143" s="20" t="s">
        <v>636</v>
      </c>
      <c r="V1143" s="20" t="s">
        <v>87</v>
      </c>
      <c r="W1143" s="20">
        <v>804</v>
      </c>
      <c r="X1143" s="20">
        <v>804</v>
      </c>
      <c r="Y1143" s="20" t="s">
        <v>4204</v>
      </c>
      <c r="Z1143" s="20">
        <v>0.25</v>
      </c>
      <c r="AA1143" s="20" t="s">
        <v>4208</v>
      </c>
      <c r="AB1143" s="20" t="s">
        <v>89</v>
      </c>
      <c r="AC1143" s="20" t="s">
        <v>90</v>
      </c>
      <c r="AD1143" s="20" t="s">
        <v>4206</v>
      </c>
      <c r="AE1143" s="20" t="s">
        <v>400</v>
      </c>
      <c r="AF1143" s="20">
        <v>0.25</v>
      </c>
      <c r="AG1143" s="20">
        <v>0</v>
      </c>
      <c r="AH1143" s="20">
        <v>1</v>
      </c>
      <c r="AI1143" s="4" t="s">
        <v>645</v>
      </c>
      <c r="AJ1143" s="20">
        <v>30</v>
      </c>
      <c r="AK1143" s="4" t="s">
        <v>780</v>
      </c>
      <c r="AL1143" s="4">
        <v>13</v>
      </c>
      <c r="AM1143" s="4">
        <v>13</v>
      </c>
      <c r="AN1143" s="4" t="s">
        <v>95</v>
      </c>
      <c r="AO1143" s="4" t="s">
        <v>131</v>
      </c>
      <c r="AP1143" s="4">
        <v>2</v>
      </c>
      <c r="AQ1143" s="20">
        <v>89000</v>
      </c>
      <c r="AR1143" s="4">
        <v>41898</v>
      </c>
      <c r="AS1143" s="20">
        <v>22474.74747474747</v>
      </c>
      <c r="AT1143" s="20">
        <v>0</v>
      </c>
      <c r="AU1143" s="20">
        <v>-22474.74747474747</v>
      </c>
      <c r="AV1143" s="20">
        <v>0</v>
      </c>
      <c r="AW1143" s="20">
        <v>0</v>
      </c>
      <c r="AX1143" s="20" t="s">
        <v>91</v>
      </c>
      <c r="AY1143" s="20">
        <v>0</v>
      </c>
      <c r="AZ1143" s="20">
        <v>0</v>
      </c>
      <c r="BA1143" s="20">
        <v>0</v>
      </c>
      <c r="BB1143" s="6">
        <v>41898</v>
      </c>
      <c r="BC1143" s="6">
        <v>0</v>
      </c>
      <c r="BD1143" s="6">
        <v>41901</v>
      </c>
      <c r="BE1143" s="6">
        <v>0</v>
      </c>
      <c r="BF1143" s="6">
        <v>41899</v>
      </c>
      <c r="BG1143" s="6">
        <v>0</v>
      </c>
      <c r="BH1143" s="6">
        <v>0</v>
      </c>
      <c r="BI1143" s="6">
        <v>0</v>
      </c>
      <c r="BJ1143" s="6">
        <v>0</v>
      </c>
      <c r="BK1143" s="4">
        <v>0</v>
      </c>
      <c r="BL1143" s="4">
        <v>0</v>
      </c>
      <c r="BM1143" s="20">
        <v>30</v>
      </c>
      <c r="BN1143" s="20">
        <v>0</v>
      </c>
      <c r="BO1143" s="20">
        <v>0</v>
      </c>
      <c r="BP1143" s="20">
        <v>0</v>
      </c>
      <c r="BQ1143" s="20">
        <v>0</v>
      </c>
      <c r="BR1143" s="20">
        <v>0</v>
      </c>
      <c r="BS1143" s="20">
        <v>30</v>
      </c>
      <c r="BT1143" s="20">
        <v>674242.42424242408</v>
      </c>
      <c r="BU1143" s="20">
        <v>2670000</v>
      </c>
      <c r="BV1143" s="20">
        <v>3.6000000000000005</v>
      </c>
    </row>
    <row r="1144" spans="1:74">
      <c r="A1144" s="10">
        <f t="shared" si="70"/>
        <v>0</v>
      </c>
      <c r="B1144" s="10">
        <f t="shared" si="71"/>
        <v>0</v>
      </c>
      <c r="C1144" s="12">
        <f t="shared" si="72"/>
        <v>9</v>
      </c>
      <c r="D1144" s="12">
        <f t="shared" si="73"/>
        <v>9</v>
      </c>
      <c r="E1144" s="20" t="s">
        <v>574</v>
      </c>
      <c r="F1144" s="20" t="s">
        <v>3735</v>
      </c>
      <c r="G1144" s="20" t="s">
        <v>4175</v>
      </c>
      <c r="H1144" s="20" t="s">
        <v>4200</v>
      </c>
      <c r="I1144" s="20">
        <v>3</v>
      </c>
      <c r="J1144" s="20" t="s">
        <v>4201</v>
      </c>
      <c r="K1144" s="20" t="s">
        <v>4209</v>
      </c>
      <c r="L1144" s="20" t="s">
        <v>4203</v>
      </c>
      <c r="M1144" s="20" t="s">
        <v>3741</v>
      </c>
      <c r="N1144" s="20" t="s">
        <v>4061</v>
      </c>
      <c r="P1144" s="20" t="s">
        <v>3741</v>
      </c>
      <c r="Q1144" s="20" t="s">
        <v>3743</v>
      </c>
      <c r="R1144" s="20" t="s">
        <v>84</v>
      </c>
      <c r="S1144" s="20">
        <v>5</v>
      </c>
      <c r="T1144" s="20" t="s">
        <v>635</v>
      </c>
      <c r="U1144" s="20" t="s">
        <v>636</v>
      </c>
      <c r="V1144" s="20" t="s">
        <v>87</v>
      </c>
      <c r="W1144" s="20">
        <v>804</v>
      </c>
      <c r="X1144" s="20">
        <v>804</v>
      </c>
      <c r="Y1144" s="20" t="s">
        <v>4204</v>
      </c>
      <c r="Z1144" s="20">
        <v>0.25</v>
      </c>
      <c r="AA1144" s="20" t="s">
        <v>4210</v>
      </c>
      <c r="AB1144" s="20" t="s">
        <v>89</v>
      </c>
      <c r="AC1144" s="20" t="s">
        <v>90</v>
      </c>
      <c r="AD1144" s="20" t="s">
        <v>4206</v>
      </c>
      <c r="AE1144" s="20" t="s">
        <v>400</v>
      </c>
      <c r="AF1144" s="20">
        <v>0.25</v>
      </c>
      <c r="AG1144" s="20">
        <v>0</v>
      </c>
      <c r="AH1144" s="20">
        <v>1</v>
      </c>
      <c r="AI1144" s="4" t="s">
        <v>647</v>
      </c>
      <c r="AJ1144" s="20">
        <v>30</v>
      </c>
      <c r="AK1144" s="4" t="s">
        <v>780</v>
      </c>
      <c r="AL1144" s="4">
        <v>13</v>
      </c>
      <c r="AM1144" s="4">
        <v>13</v>
      </c>
      <c r="AN1144" s="4" t="s">
        <v>95</v>
      </c>
      <c r="AO1144" s="4" t="s">
        <v>131</v>
      </c>
      <c r="AP1144" s="4">
        <v>2</v>
      </c>
      <c r="AQ1144" s="20">
        <v>89000</v>
      </c>
      <c r="AR1144" s="4">
        <v>41898</v>
      </c>
      <c r="AS1144" s="20">
        <v>22474.74747474747</v>
      </c>
      <c r="AT1144" s="20">
        <v>0</v>
      </c>
      <c r="AU1144" s="20">
        <v>-22474.74747474747</v>
      </c>
      <c r="AV1144" s="20">
        <v>0</v>
      </c>
      <c r="AW1144" s="20">
        <v>0</v>
      </c>
      <c r="AX1144" s="20" t="s">
        <v>91</v>
      </c>
      <c r="AY1144" s="20">
        <v>0</v>
      </c>
      <c r="AZ1144" s="20">
        <v>0</v>
      </c>
      <c r="BA1144" s="20">
        <v>0</v>
      </c>
      <c r="BB1144" s="6">
        <v>41898</v>
      </c>
      <c r="BC1144" s="6">
        <v>0</v>
      </c>
      <c r="BD1144" s="6">
        <v>41901</v>
      </c>
      <c r="BE1144" s="6">
        <v>0</v>
      </c>
      <c r="BF1144" s="6">
        <v>41899</v>
      </c>
      <c r="BG1144" s="6">
        <v>0</v>
      </c>
      <c r="BH1144" s="6">
        <v>0</v>
      </c>
      <c r="BI1144" s="6">
        <v>0</v>
      </c>
      <c r="BJ1144" s="6">
        <v>0</v>
      </c>
      <c r="BK1144" s="4">
        <v>0</v>
      </c>
      <c r="BL1144" s="4">
        <v>0</v>
      </c>
      <c r="BM1144" s="20">
        <v>30</v>
      </c>
      <c r="BN1144" s="20">
        <v>0</v>
      </c>
      <c r="BO1144" s="20">
        <v>0</v>
      </c>
      <c r="BP1144" s="20">
        <v>0</v>
      </c>
      <c r="BQ1144" s="20">
        <v>0</v>
      </c>
      <c r="BR1144" s="20">
        <v>0</v>
      </c>
      <c r="BS1144" s="20">
        <v>30</v>
      </c>
      <c r="BT1144" s="20">
        <v>674242.42424242408</v>
      </c>
      <c r="BU1144" s="20">
        <v>2670000</v>
      </c>
      <c r="BV1144" s="20">
        <v>3.6000000000000005</v>
      </c>
    </row>
    <row r="1145" spans="1:74">
      <c r="A1145" s="10">
        <f t="shared" si="70"/>
        <v>0</v>
      </c>
      <c r="B1145" s="10">
        <f t="shared" si="71"/>
        <v>0</v>
      </c>
      <c r="C1145" s="12">
        <f t="shared" si="72"/>
        <v>9</v>
      </c>
      <c r="D1145" s="12">
        <f t="shared" si="73"/>
        <v>9</v>
      </c>
      <c r="E1145" s="20" t="s">
        <v>574</v>
      </c>
      <c r="F1145" s="20" t="s">
        <v>3735</v>
      </c>
      <c r="G1145" s="20" t="s">
        <v>4175</v>
      </c>
      <c r="H1145" s="20" t="s">
        <v>4200</v>
      </c>
      <c r="I1145" s="20">
        <v>3</v>
      </c>
      <c r="J1145" s="20" t="s">
        <v>4201</v>
      </c>
      <c r="K1145" s="20" t="s">
        <v>4211</v>
      </c>
      <c r="L1145" s="20" t="s">
        <v>4203</v>
      </c>
      <c r="M1145" s="20" t="s">
        <v>3741</v>
      </c>
      <c r="N1145" s="20" t="s">
        <v>4061</v>
      </c>
      <c r="P1145" s="20" t="s">
        <v>3741</v>
      </c>
      <c r="Q1145" s="20" t="s">
        <v>3743</v>
      </c>
      <c r="R1145" s="20" t="s">
        <v>84</v>
      </c>
      <c r="S1145" s="20">
        <v>5</v>
      </c>
      <c r="T1145" s="20" t="s">
        <v>635</v>
      </c>
      <c r="U1145" s="20" t="s">
        <v>636</v>
      </c>
      <c r="V1145" s="20" t="s">
        <v>87</v>
      </c>
      <c r="W1145" s="20">
        <v>804</v>
      </c>
      <c r="X1145" s="20">
        <v>804</v>
      </c>
      <c r="Y1145" s="20" t="s">
        <v>4204</v>
      </c>
      <c r="Z1145" s="20">
        <v>0.25</v>
      </c>
      <c r="AA1145" s="20" t="s">
        <v>4212</v>
      </c>
      <c r="AB1145" s="20" t="s">
        <v>89</v>
      </c>
      <c r="AC1145" s="20" t="s">
        <v>90</v>
      </c>
      <c r="AD1145" s="20" t="s">
        <v>4206</v>
      </c>
      <c r="AE1145" s="20" t="s">
        <v>400</v>
      </c>
      <c r="AF1145" s="20">
        <v>0.25</v>
      </c>
      <c r="AG1145" s="20">
        <v>0</v>
      </c>
      <c r="AH1145" s="20">
        <v>1</v>
      </c>
      <c r="AI1145" s="4" t="s">
        <v>651</v>
      </c>
      <c r="AJ1145" s="20">
        <v>30</v>
      </c>
      <c r="AK1145" s="4" t="s">
        <v>780</v>
      </c>
      <c r="AL1145" s="4">
        <v>13</v>
      </c>
      <c r="AM1145" s="4">
        <v>13</v>
      </c>
      <c r="AN1145" s="4" t="s">
        <v>95</v>
      </c>
      <c r="AO1145" s="4" t="s">
        <v>131</v>
      </c>
      <c r="AP1145" s="4">
        <v>2</v>
      </c>
      <c r="AQ1145" s="20">
        <v>89000</v>
      </c>
      <c r="AR1145" s="4">
        <v>41898</v>
      </c>
      <c r="AS1145" s="20">
        <v>22474.74747474747</v>
      </c>
      <c r="AT1145" s="20">
        <v>0</v>
      </c>
      <c r="AU1145" s="20">
        <v>-22474.74747474747</v>
      </c>
      <c r="AV1145" s="20">
        <v>0</v>
      </c>
      <c r="AW1145" s="20">
        <v>0</v>
      </c>
      <c r="AX1145" s="20" t="s">
        <v>91</v>
      </c>
      <c r="AY1145" s="20">
        <v>0</v>
      </c>
      <c r="AZ1145" s="20">
        <v>0</v>
      </c>
      <c r="BA1145" s="20">
        <v>0</v>
      </c>
      <c r="BB1145" s="6">
        <v>41898</v>
      </c>
      <c r="BC1145" s="6">
        <v>0</v>
      </c>
      <c r="BD1145" s="6">
        <v>41901</v>
      </c>
      <c r="BE1145" s="6">
        <v>0</v>
      </c>
      <c r="BF1145" s="6">
        <v>41899</v>
      </c>
      <c r="BG1145" s="6">
        <v>0</v>
      </c>
      <c r="BH1145" s="6">
        <v>0</v>
      </c>
      <c r="BI1145" s="6">
        <v>0</v>
      </c>
      <c r="BJ1145" s="6">
        <v>0</v>
      </c>
      <c r="BK1145" s="4">
        <v>0</v>
      </c>
      <c r="BL1145" s="4">
        <v>0</v>
      </c>
      <c r="BM1145" s="20">
        <v>30</v>
      </c>
      <c r="BN1145" s="20">
        <v>0</v>
      </c>
      <c r="BO1145" s="20">
        <v>0</v>
      </c>
      <c r="BP1145" s="20">
        <v>0</v>
      </c>
      <c r="BQ1145" s="20">
        <v>0</v>
      </c>
      <c r="BR1145" s="20">
        <v>0</v>
      </c>
      <c r="BS1145" s="20">
        <v>30</v>
      </c>
      <c r="BT1145" s="20">
        <v>674242.42424242408</v>
      </c>
      <c r="BU1145" s="20">
        <v>2670000</v>
      </c>
      <c r="BV1145" s="20">
        <v>3.6000000000000005</v>
      </c>
    </row>
    <row r="1146" spans="1:74">
      <c r="A1146" s="10">
        <f t="shared" si="70"/>
        <v>0</v>
      </c>
      <c r="B1146" s="10">
        <f t="shared" si="71"/>
        <v>0</v>
      </c>
      <c r="C1146" s="12" t="str">
        <f t="shared" si="72"/>
        <v/>
      </c>
      <c r="D1146" s="12" t="str">
        <f t="shared" si="73"/>
        <v/>
      </c>
      <c r="E1146" s="20" t="s">
        <v>91</v>
      </c>
      <c r="F1146" s="20" t="s">
        <v>91</v>
      </c>
      <c r="G1146" s="20" t="s">
        <v>91</v>
      </c>
      <c r="H1146" s="20" t="s">
        <v>91</v>
      </c>
      <c r="I1146" s="20">
        <v>0</v>
      </c>
      <c r="J1146" s="20" t="s">
        <v>103</v>
      </c>
      <c r="K1146" s="20" t="s">
        <v>104</v>
      </c>
      <c r="L1146" s="20">
        <v>0</v>
      </c>
      <c r="M1146" s="20" t="s">
        <v>105</v>
      </c>
      <c r="N1146" s="20" t="s">
        <v>91</v>
      </c>
      <c r="O1146" s="20" t="s">
        <v>4213</v>
      </c>
      <c r="Q1146" s="20" t="s">
        <v>91</v>
      </c>
      <c r="R1146" s="20" t="s">
        <v>91</v>
      </c>
      <c r="S1146" s="20" t="s">
        <v>91</v>
      </c>
      <c r="T1146" s="20" t="s">
        <v>91</v>
      </c>
      <c r="U1146" s="20" t="s">
        <v>91</v>
      </c>
      <c r="V1146" s="20" t="s">
        <v>87</v>
      </c>
      <c r="W1146" s="20" t="s">
        <v>91</v>
      </c>
      <c r="X1146" s="20" t="s">
        <v>91</v>
      </c>
      <c r="Y1146" s="20" t="s">
        <v>91</v>
      </c>
      <c r="Z1146" s="20">
        <v>3</v>
      </c>
      <c r="AB1146" s="20" t="s">
        <v>91</v>
      </c>
      <c r="AD1146" s="20" t="s">
        <v>91</v>
      </c>
      <c r="AE1146" s="20" t="s">
        <v>91</v>
      </c>
      <c r="AF1146" s="20">
        <v>3</v>
      </c>
      <c r="AG1146" s="20">
        <v>0</v>
      </c>
      <c r="AH1146" s="20">
        <v>1</v>
      </c>
      <c r="AM1146" s="4" t="s">
        <v>91</v>
      </c>
      <c r="AP1146" s="4" t="s">
        <v>91</v>
      </c>
      <c r="AQ1146" s="20">
        <v>0</v>
      </c>
      <c r="AR1146" s="4">
        <v>0</v>
      </c>
      <c r="AS1146" s="20">
        <v>0</v>
      </c>
      <c r="AT1146" s="20">
        <v>0</v>
      </c>
      <c r="AU1146" s="20">
        <v>0</v>
      </c>
      <c r="AV1146" s="20">
        <v>0</v>
      </c>
      <c r="AW1146" s="20">
        <v>0</v>
      </c>
      <c r="AX1146" s="20" t="s">
        <v>91</v>
      </c>
      <c r="AY1146" s="20">
        <v>0</v>
      </c>
      <c r="AZ1146" s="20">
        <v>0</v>
      </c>
      <c r="BA1146" s="20">
        <v>0</v>
      </c>
      <c r="BB1146" s="6">
        <v>0</v>
      </c>
      <c r="BC1146" s="6">
        <v>0</v>
      </c>
      <c r="BD1146" s="6">
        <v>0</v>
      </c>
      <c r="BE1146" s="6">
        <v>0</v>
      </c>
      <c r="BF1146" s="6">
        <v>0</v>
      </c>
      <c r="BG1146" s="6">
        <v>0</v>
      </c>
      <c r="BH1146" s="6">
        <v>0</v>
      </c>
      <c r="BI1146" s="6">
        <v>0</v>
      </c>
      <c r="BJ1146" s="6">
        <v>0</v>
      </c>
      <c r="BK1146" s="4">
        <v>0</v>
      </c>
      <c r="BL1146" s="4">
        <v>0</v>
      </c>
      <c r="BM1146" s="20">
        <v>410</v>
      </c>
      <c r="BN1146" s="20">
        <v>0</v>
      </c>
      <c r="BO1146" s="20">
        <v>0</v>
      </c>
      <c r="BP1146" s="20">
        <v>0</v>
      </c>
      <c r="BQ1146" s="20">
        <v>0</v>
      </c>
      <c r="BR1146" s="20">
        <v>0</v>
      </c>
      <c r="BS1146" s="20">
        <v>410</v>
      </c>
      <c r="BT1146" s="20">
        <v>11260101.010101005</v>
      </c>
      <c r="BU1146" s="20">
        <v>44590000</v>
      </c>
      <c r="BV1146" s="20">
        <v>3.6000000000000014</v>
      </c>
    </row>
    <row r="1147" spans="1:74">
      <c r="A1147" s="10">
        <f t="shared" si="70"/>
        <v>0</v>
      </c>
      <c r="B1147" s="10">
        <f t="shared" si="71"/>
        <v>0</v>
      </c>
      <c r="C1147" s="12">
        <f t="shared" si="72"/>
        <v>9</v>
      </c>
      <c r="D1147" s="12">
        <f t="shared" si="73"/>
        <v>9</v>
      </c>
      <c r="E1147" s="20" t="s">
        <v>574</v>
      </c>
      <c r="F1147" s="20" t="s">
        <v>3089</v>
      </c>
      <c r="G1147" s="20" t="s">
        <v>4214</v>
      </c>
      <c r="H1147" s="20" t="s">
        <v>4215</v>
      </c>
      <c r="I1147" s="20">
        <v>1</v>
      </c>
      <c r="J1147" s="20" t="s">
        <v>4216</v>
      </c>
      <c r="K1147" s="20" t="s">
        <v>4217</v>
      </c>
      <c r="L1147" s="20" t="s">
        <v>4218</v>
      </c>
      <c r="M1147" s="20" t="s">
        <v>2667</v>
      </c>
      <c r="N1147" s="20" t="s">
        <v>3216</v>
      </c>
      <c r="P1147" s="20" t="s">
        <v>2667</v>
      </c>
      <c r="Q1147" s="20" t="s">
        <v>2674</v>
      </c>
      <c r="R1147" s="20" t="s">
        <v>84</v>
      </c>
      <c r="S1147" s="20">
        <v>5</v>
      </c>
      <c r="T1147" s="20" t="s">
        <v>922</v>
      </c>
      <c r="U1147" s="20" t="s">
        <v>923</v>
      </c>
      <c r="V1147" s="20" t="s">
        <v>87</v>
      </c>
      <c r="W1147" s="20">
        <v>814</v>
      </c>
      <c r="X1147" s="20">
        <v>814</v>
      </c>
      <c r="Y1147" s="20" t="s">
        <v>4219</v>
      </c>
      <c r="Z1147" s="20">
        <v>0.25</v>
      </c>
      <c r="AA1147" s="20" t="s">
        <v>4220</v>
      </c>
      <c r="AB1147" s="20" t="s">
        <v>248</v>
      </c>
      <c r="AC1147" s="20" t="s">
        <v>249</v>
      </c>
      <c r="AD1147" s="20" t="s">
        <v>4221</v>
      </c>
      <c r="AE1147" s="20" t="s">
        <v>400</v>
      </c>
      <c r="AF1147" s="20">
        <v>0.25</v>
      </c>
      <c r="AG1147" s="20">
        <v>0</v>
      </c>
      <c r="AH1147" s="20">
        <v>1</v>
      </c>
      <c r="AI1147" s="4" t="s">
        <v>643</v>
      </c>
      <c r="AJ1147" s="20">
        <v>130</v>
      </c>
      <c r="AK1147" s="4" t="s">
        <v>641</v>
      </c>
      <c r="AL1147" s="4">
        <v>7</v>
      </c>
      <c r="AM1147" s="4" t="s">
        <v>514</v>
      </c>
      <c r="AN1147" s="4" t="s">
        <v>95</v>
      </c>
      <c r="AO1147" s="4" t="s">
        <v>96</v>
      </c>
      <c r="AP1147" s="4">
        <v>1</v>
      </c>
      <c r="AQ1147" s="20">
        <v>89000</v>
      </c>
      <c r="AR1147" s="4">
        <v>41898</v>
      </c>
      <c r="AS1147" s="20">
        <v>16181.81818181818</v>
      </c>
      <c r="AT1147" s="20">
        <v>0</v>
      </c>
      <c r="AU1147" s="20">
        <v>-16181.81818181818</v>
      </c>
      <c r="AV1147" s="20">
        <v>0</v>
      </c>
      <c r="AW1147" s="20">
        <v>0</v>
      </c>
      <c r="AX1147" s="20" t="s">
        <v>91</v>
      </c>
      <c r="AY1147" s="20">
        <v>0</v>
      </c>
      <c r="AZ1147" s="20">
        <v>0</v>
      </c>
      <c r="BA1147" s="20">
        <v>0</v>
      </c>
      <c r="BB1147" s="6">
        <v>41898</v>
      </c>
      <c r="BC1147" s="6">
        <v>0</v>
      </c>
      <c r="BD1147" s="6">
        <v>41901</v>
      </c>
      <c r="BE1147" s="6">
        <v>0</v>
      </c>
      <c r="BF1147" s="6">
        <v>41899</v>
      </c>
      <c r="BG1147" s="6">
        <v>41926</v>
      </c>
      <c r="BH1147" s="6">
        <v>0</v>
      </c>
      <c r="BI1147" s="6">
        <v>0</v>
      </c>
      <c r="BJ1147" s="6">
        <v>0</v>
      </c>
      <c r="BK1147" s="4">
        <v>0</v>
      </c>
      <c r="BL1147" s="4">
        <v>0</v>
      </c>
      <c r="BM1147" s="20">
        <v>30</v>
      </c>
      <c r="BN1147" s="20">
        <v>100</v>
      </c>
      <c r="BO1147" s="20">
        <v>0</v>
      </c>
      <c r="BP1147" s="20">
        <v>0</v>
      </c>
      <c r="BQ1147" s="20">
        <v>0</v>
      </c>
      <c r="BR1147" s="20">
        <v>0</v>
      </c>
      <c r="BS1147" s="20">
        <v>130</v>
      </c>
      <c r="BT1147" s="20">
        <v>2103636.3636363633</v>
      </c>
      <c r="BU1147" s="20">
        <v>11570000</v>
      </c>
      <c r="BV1147" s="20">
        <v>5</v>
      </c>
    </row>
    <row r="1148" spans="1:74">
      <c r="A1148" s="10">
        <f t="shared" si="70"/>
        <v>0</v>
      </c>
      <c r="B1148" s="10">
        <f t="shared" si="71"/>
        <v>0</v>
      </c>
      <c r="C1148" s="12">
        <f t="shared" si="72"/>
        <v>9</v>
      </c>
      <c r="D1148" s="12">
        <f t="shared" si="73"/>
        <v>9</v>
      </c>
      <c r="E1148" s="20" t="s">
        <v>574</v>
      </c>
      <c r="F1148" s="20" t="s">
        <v>3089</v>
      </c>
      <c r="G1148" s="20" t="s">
        <v>4214</v>
      </c>
      <c r="H1148" s="20" t="s">
        <v>4215</v>
      </c>
      <c r="I1148" s="20">
        <v>1</v>
      </c>
      <c r="J1148" s="20" t="s">
        <v>4216</v>
      </c>
      <c r="K1148" s="20" t="s">
        <v>4222</v>
      </c>
      <c r="L1148" s="20" t="s">
        <v>4218</v>
      </c>
      <c r="M1148" s="20" t="s">
        <v>2667</v>
      </c>
      <c r="N1148" s="20" t="s">
        <v>3216</v>
      </c>
      <c r="P1148" s="20" t="s">
        <v>2667</v>
      </c>
      <c r="Q1148" s="20" t="s">
        <v>2674</v>
      </c>
      <c r="R1148" s="20" t="s">
        <v>84</v>
      </c>
      <c r="S1148" s="20">
        <v>5</v>
      </c>
      <c r="T1148" s="20" t="s">
        <v>922</v>
      </c>
      <c r="U1148" s="20" t="s">
        <v>923</v>
      </c>
      <c r="V1148" s="20" t="s">
        <v>87</v>
      </c>
      <c r="W1148" s="20">
        <v>814</v>
      </c>
      <c r="X1148" s="20">
        <v>814</v>
      </c>
      <c r="Y1148" s="20" t="s">
        <v>4219</v>
      </c>
      <c r="Z1148" s="20">
        <v>0.25</v>
      </c>
      <c r="AA1148" s="20" t="s">
        <v>4223</v>
      </c>
      <c r="AB1148" s="20" t="s">
        <v>248</v>
      </c>
      <c r="AC1148" s="20" t="s">
        <v>249</v>
      </c>
      <c r="AD1148" s="20" t="s">
        <v>4221</v>
      </c>
      <c r="AE1148" s="20" t="s">
        <v>400</v>
      </c>
      <c r="AF1148" s="20">
        <v>0.25</v>
      </c>
      <c r="AG1148" s="20">
        <v>0</v>
      </c>
      <c r="AH1148" s="20">
        <v>1</v>
      </c>
      <c r="AI1148" s="4" t="s">
        <v>645</v>
      </c>
      <c r="AJ1148" s="20">
        <v>130</v>
      </c>
      <c r="AK1148" s="4" t="s">
        <v>641</v>
      </c>
      <c r="AL1148" s="4">
        <v>7</v>
      </c>
      <c r="AM1148" s="4" t="s">
        <v>514</v>
      </c>
      <c r="AN1148" s="4" t="s">
        <v>95</v>
      </c>
      <c r="AO1148" s="4" t="s">
        <v>96</v>
      </c>
      <c r="AP1148" s="4">
        <v>1</v>
      </c>
      <c r="AQ1148" s="20">
        <v>89000</v>
      </c>
      <c r="AR1148" s="4">
        <v>41898</v>
      </c>
      <c r="AS1148" s="20">
        <v>16181.81818181818</v>
      </c>
      <c r="AT1148" s="20">
        <v>0</v>
      </c>
      <c r="AU1148" s="20">
        <v>-16181.81818181818</v>
      </c>
      <c r="AV1148" s="20">
        <v>0</v>
      </c>
      <c r="AW1148" s="20">
        <v>0</v>
      </c>
      <c r="AX1148" s="20" t="s">
        <v>91</v>
      </c>
      <c r="AY1148" s="20">
        <v>0</v>
      </c>
      <c r="AZ1148" s="20">
        <v>0</v>
      </c>
      <c r="BA1148" s="20">
        <v>0</v>
      </c>
      <c r="BB1148" s="6">
        <v>41898</v>
      </c>
      <c r="BC1148" s="6">
        <v>0</v>
      </c>
      <c r="BD1148" s="6">
        <v>41901</v>
      </c>
      <c r="BE1148" s="6">
        <v>0</v>
      </c>
      <c r="BF1148" s="6">
        <v>41899</v>
      </c>
      <c r="BG1148" s="6">
        <v>41926</v>
      </c>
      <c r="BH1148" s="6">
        <v>0</v>
      </c>
      <c r="BI1148" s="6">
        <v>0</v>
      </c>
      <c r="BJ1148" s="6">
        <v>0</v>
      </c>
      <c r="BK1148" s="4">
        <v>0</v>
      </c>
      <c r="BL1148" s="4">
        <v>0</v>
      </c>
      <c r="BM1148" s="20">
        <v>30</v>
      </c>
      <c r="BN1148" s="20">
        <v>100</v>
      </c>
      <c r="BO1148" s="20">
        <v>0</v>
      </c>
      <c r="BP1148" s="20">
        <v>0</v>
      </c>
      <c r="BQ1148" s="20">
        <v>0</v>
      </c>
      <c r="BR1148" s="20">
        <v>0</v>
      </c>
      <c r="BS1148" s="20">
        <v>130</v>
      </c>
      <c r="BT1148" s="20">
        <v>2103636.3636363633</v>
      </c>
      <c r="BU1148" s="20">
        <v>11570000</v>
      </c>
      <c r="BV1148" s="20">
        <v>5</v>
      </c>
    </row>
    <row r="1149" spans="1:74">
      <c r="A1149" s="10">
        <f t="shared" si="70"/>
        <v>0</v>
      </c>
      <c r="B1149" s="10">
        <f t="shared" si="71"/>
        <v>0</v>
      </c>
      <c r="C1149" s="12">
        <f t="shared" si="72"/>
        <v>9</v>
      </c>
      <c r="D1149" s="12">
        <f t="shared" si="73"/>
        <v>9</v>
      </c>
      <c r="E1149" s="20" t="s">
        <v>574</v>
      </c>
      <c r="F1149" s="20" t="s">
        <v>3089</v>
      </c>
      <c r="G1149" s="20" t="s">
        <v>4214</v>
      </c>
      <c r="H1149" s="20" t="s">
        <v>4215</v>
      </c>
      <c r="I1149" s="20">
        <v>1</v>
      </c>
      <c r="J1149" s="20" t="s">
        <v>4216</v>
      </c>
      <c r="K1149" s="20" t="s">
        <v>4224</v>
      </c>
      <c r="L1149" s="20" t="s">
        <v>4218</v>
      </c>
      <c r="M1149" s="20" t="s">
        <v>2667</v>
      </c>
      <c r="N1149" s="20" t="s">
        <v>3216</v>
      </c>
      <c r="P1149" s="20" t="s">
        <v>2667</v>
      </c>
      <c r="Q1149" s="20" t="s">
        <v>2674</v>
      </c>
      <c r="R1149" s="20" t="s">
        <v>84</v>
      </c>
      <c r="S1149" s="20">
        <v>5</v>
      </c>
      <c r="T1149" s="20" t="s">
        <v>922</v>
      </c>
      <c r="U1149" s="20" t="s">
        <v>923</v>
      </c>
      <c r="V1149" s="20" t="s">
        <v>87</v>
      </c>
      <c r="W1149" s="20">
        <v>814</v>
      </c>
      <c r="X1149" s="20">
        <v>814</v>
      </c>
      <c r="Y1149" s="20" t="s">
        <v>4219</v>
      </c>
      <c r="Z1149" s="20">
        <v>0.25</v>
      </c>
      <c r="AA1149" s="20" t="s">
        <v>4225</v>
      </c>
      <c r="AB1149" s="20" t="s">
        <v>248</v>
      </c>
      <c r="AC1149" s="20" t="s">
        <v>249</v>
      </c>
      <c r="AD1149" s="20" t="s">
        <v>4221</v>
      </c>
      <c r="AE1149" s="20" t="s">
        <v>400</v>
      </c>
      <c r="AF1149" s="20">
        <v>0.25</v>
      </c>
      <c r="AG1149" s="20">
        <v>0</v>
      </c>
      <c r="AH1149" s="20">
        <v>1</v>
      </c>
      <c r="AI1149" s="4" t="s">
        <v>647</v>
      </c>
      <c r="AJ1149" s="20">
        <v>130</v>
      </c>
      <c r="AK1149" s="4" t="s">
        <v>641</v>
      </c>
      <c r="AL1149" s="4">
        <v>7</v>
      </c>
      <c r="AM1149" s="4" t="s">
        <v>514</v>
      </c>
      <c r="AN1149" s="4" t="s">
        <v>95</v>
      </c>
      <c r="AO1149" s="4" t="s">
        <v>96</v>
      </c>
      <c r="AP1149" s="4">
        <v>1</v>
      </c>
      <c r="AQ1149" s="20">
        <v>89000</v>
      </c>
      <c r="AR1149" s="4">
        <v>41898</v>
      </c>
      <c r="AS1149" s="20">
        <v>16181.81818181818</v>
      </c>
      <c r="AT1149" s="20">
        <v>0</v>
      </c>
      <c r="AU1149" s="20">
        <v>-16181.81818181818</v>
      </c>
      <c r="AV1149" s="20">
        <v>0</v>
      </c>
      <c r="AW1149" s="20">
        <v>0</v>
      </c>
      <c r="AX1149" s="20" t="s">
        <v>91</v>
      </c>
      <c r="AY1149" s="20">
        <v>0</v>
      </c>
      <c r="AZ1149" s="20">
        <v>0</v>
      </c>
      <c r="BA1149" s="20">
        <v>0</v>
      </c>
      <c r="BB1149" s="6">
        <v>41898</v>
      </c>
      <c r="BC1149" s="6">
        <v>0</v>
      </c>
      <c r="BD1149" s="6">
        <v>41901</v>
      </c>
      <c r="BE1149" s="6">
        <v>0</v>
      </c>
      <c r="BF1149" s="6">
        <v>41899</v>
      </c>
      <c r="BG1149" s="6">
        <v>41926</v>
      </c>
      <c r="BH1149" s="6">
        <v>0</v>
      </c>
      <c r="BI1149" s="6">
        <v>0</v>
      </c>
      <c r="BJ1149" s="6">
        <v>0</v>
      </c>
      <c r="BK1149" s="4">
        <v>0</v>
      </c>
      <c r="BL1149" s="4">
        <v>0</v>
      </c>
      <c r="BM1149" s="20">
        <v>30</v>
      </c>
      <c r="BN1149" s="20">
        <v>100</v>
      </c>
      <c r="BO1149" s="20">
        <v>0</v>
      </c>
      <c r="BP1149" s="20">
        <v>0</v>
      </c>
      <c r="BQ1149" s="20">
        <v>0</v>
      </c>
      <c r="BR1149" s="20">
        <v>0</v>
      </c>
      <c r="BS1149" s="20">
        <v>130</v>
      </c>
      <c r="BT1149" s="20">
        <v>2103636.3636363633</v>
      </c>
      <c r="BU1149" s="20">
        <v>11570000</v>
      </c>
      <c r="BV1149" s="20">
        <v>5</v>
      </c>
    </row>
    <row r="1150" spans="1:74">
      <c r="A1150" s="10">
        <f t="shared" si="70"/>
        <v>0</v>
      </c>
      <c r="B1150" s="10">
        <f t="shared" si="71"/>
        <v>0</v>
      </c>
      <c r="C1150" s="12">
        <f t="shared" si="72"/>
        <v>9</v>
      </c>
      <c r="D1150" s="12">
        <f t="shared" si="73"/>
        <v>9</v>
      </c>
      <c r="E1150" s="20" t="s">
        <v>574</v>
      </c>
      <c r="F1150" s="20" t="s">
        <v>3089</v>
      </c>
      <c r="G1150" s="20" t="s">
        <v>4214</v>
      </c>
      <c r="H1150" s="20" t="s">
        <v>4215</v>
      </c>
      <c r="I1150" s="20">
        <v>1</v>
      </c>
      <c r="J1150" s="20" t="s">
        <v>4216</v>
      </c>
      <c r="K1150" s="20" t="s">
        <v>4226</v>
      </c>
      <c r="L1150" s="20" t="s">
        <v>4218</v>
      </c>
      <c r="M1150" s="20" t="s">
        <v>2667</v>
      </c>
      <c r="N1150" s="20" t="s">
        <v>3216</v>
      </c>
      <c r="P1150" s="20" t="s">
        <v>2667</v>
      </c>
      <c r="Q1150" s="20" t="s">
        <v>2674</v>
      </c>
      <c r="R1150" s="20" t="s">
        <v>84</v>
      </c>
      <c r="S1150" s="20">
        <v>5</v>
      </c>
      <c r="T1150" s="20" t="s">
        <v>922</v>
      </c>
      <c r="U1150" s="20" t="s">
        <v>923</v>
      </c>
      <c r="V1150" s="20" t="s">
        <v>87</v>
      </c>
      <c r="W1150" s="20">
        <v>814</v>
      </c>
      <c r="X1150" s="20">
        <v>814</v>
      </c>
      <c r="Y1150" s="20" t="s">
        <v>4219</v>
      </c>
      <c r="Z1150" s="20">
        <v>0.25</v>
      </c>
      <c r="AA1150" s="20" t="s">
        <v>4227</v>
      </c>
      <c r="AB1150" s="20" t="s">
        <v>248</v>
      </c>
      <c r="AC1150" s="20" t="s">
        <v>249</v>
      </c>
      <c r="AD1150" s="20" t="s">
        <v>4221</v>
      </c>
      <c r="AE1150" s="20" t="s">
        <v>400</v>
      </c>
      <c r="AF1150" s="20">
        <v>0.25</v>
      </c>
      <c r="AG1150" s="20">
        <v>0</v>
      </c>
      <c r="AH1150" s="20">
        <v>1</v>
      </c>
      <c r="AI1150" s="4" t="s">
        <v>651</v>
      </c>
      <c r="AJ1150" s="20">
        <v>130</v>
      </c>
      <c r="AK1150" s="4" t="s">
        <v>641</v>
      </c>
      <c r="AL1150" s="4">
        <v>7</v>
      </c>
      <c r="AM1150" s="4" t="s">
        <v>514</v>
      </c>
      <c r="AN1150" s="4" t="s">
        <v>95</v>
      </c>
      <c r="AO1150" s="4" t="s">
        <v>96</v>
      </c>
      <c r="AP1150" s="4">
        <v>1</v>
      </c>
      <c r="AQ1150" s="20">
        <v>89000</v>
      </c>
      <c r="AR1150" s="4">
        <v>41898</v>
      </c>
      <c r="AS1150" s="20">
        <v>16181.81818181818</v>
      </c>
      <c r="AT1150" s="20">
        <v>0</v>
      </c>
      <c r="AU1150" s="20">
        <v>-16181.81818181818</v>
      </c>
      <c r="AV1150" s="20">
        <v>0</v>
      </c>
      <c r="AW1150" s="20">
        <v>0</v>
      </c>
      <c r="AX1150" s="20" t="s">
        <v>91</v>
      </c>
      <c r="AY1150" s="20">
        <v>0</v>
      </c>
      <c r="AZ1150" s="20">
        <v>0</v>
      </c>
      <c r="BA1150" s="20">
        <v>0</v>
      </c>
      <c r="BB1150" s="6">
        <v>41898</v>
      </c>
      <c r="BC1150" s="6">
        <v>0</v>
      </c>
      <c r="BD1150" s="6">
        <v>41901</v>
      </c>
      <c r="BE1150" s="6">
        <v>0</v>
      </c>
      <c r="BF1150" s="6">
        <v>41899</v>
      </c>
      <c r="BG1150" s="6">
        <v>41926</v>
      </c>
      <c r="BH1150" s="6">
        <v>0</v>
      </c>
      <c r="BI1150" s="6">
        <v>0</v>
      </c>
      <c r="BJ1150" s="6">
        <v>0</v>
      </c>
      <c r="BK1150" s="4">
        <v>0</v>
      </c>
      <c r="BL1150" s="4">
        <v>0</v>
      </c>
      <c r="BM1150" s="20">
        <v>30</v>
      </c>
      <c r="BN1150" s="20">
        <v>100</v>
      </c>
      <c r="BO1150" s="20">
        <v>0</v>
      </c>
      <c r="BP1150" s="20">
        <v>0</v>
      </c>
      <c r="BQ1150" s="20">
        <v>0</v>
      </c>
      <c r="BR1150" s="20">
        <v>0</v>
      </c>
      <c r="BS1150" s="20">
        <v>130</v>
      </c>
      <c r="BT1150" s="20">
        <v>2103636.3636363633</v>
      </c>
      <c r="BU1150" s="20">
        <v>11570000</v>
      </c>
      <c r="BV1150" s="20">
        <v>5</v>
      </c>
    </row>
    <row r="1151" spans="1:74">
      <c r="A1151" s="10">
        <f t="shared" si="70"/>
        <v>0</v>
      </c>
      <c r="B1151" s="10">
        <f t="shared" si="71"/>
        <v>0</v>
      </c>
      <c r="C1151" s="12">
        <f t="shared" si="72"/>
        <v>9</v>
      </c>
      <c r="D1151" s="12">
        <f t="shared" si="73"/>
        <v>9</v>
      </c>
      <c r="E1151" s="20" t="s">
        <v>574</v>
      </c>
      <c r="F1151" s="20" t="s">
        <v>3089</v>
      </c>
      <c r="G1151" s="20" t="s">
        <v>4214</v>
      </c>
      <c r="H1151" s="20" t="s">
        <v>4228</v>
      </c>
      <c r="I1151" s="20">
        <v>2</v>
      </c>
      <c r="J1151" s="20" t="s">
        <v>4229</v>
      </c>
      <c r="K1151" s="20" t="s">
        <v>4230</v>
      </c>
      <c r="L1151" s="20" t="s">
        <v>4231</v>
      </c>
      <c r="M1151" s="20" t="s">
        <v>2667</v>
      </c>
      <c r="N1151" s="20" t="s">
        <v>3216</v>
      </c>
      <c r="P1151" s="20" t="s">
        <v>2667</v>
      </c>
      <c r="Q1151" s="20" t="s">
        <v>2674</v>
      </c>
      <c r="R1151" s="20" t="s">
        <v>84</v>
      </c>
      <c r="S1151" s="20">
        <v>5</v>
      </c>
      <c r="T1151" s="20" t="s">
        <v>922</v>
      </c>
      <c r="U1151" s="20" t="s">
        <v>923</v>
      </c>
      <c r="V1151" s="20" t="s">
        <v>87</v>
      </c>
      <c r="W1151" s="20">
        <v>818</v>
      </c>
      <c r="X1151" s="20">
        <v>818</v>
      </c>
      <c r="Y1151" s="20" t="s">
        <v>4232</v>
      </c>
      <c r="Z1151" s="20">
        <v>0.25</v>
      </c>
      <c r="AA1151" s="20" t="s">
        <v>4233</v>
      </c>
      <c r="AB1151" s="20" t="s">
        <v>109</v>
      </c>
      <c r="AC1151" s="20" t="s">
        <v>110</v>
      </c>
      <c r="AD1151" s="20" t="s">
        <v>4234</v>
      </c>
      <c r="AE1151" s="20" t="s">
        <v>400</v>
      </c>
      <c r="AF1151" s="20">
        <v>0.25</v>
      </c>
      <c r="AG1151" s="20">
        <v>0</v>
      </c>
      <c r="AH1151" s="20">
        <v>1</v>
      </c>
      <c r="AI1151" s="4" t="s">
        <v>643</v>
      </c>
      <c r="AJ1151" s="20">
        <v>50</v>
      </c>
      <c r="AK1151" s="4" t="s">
        <v>641</v>
      </c>
      <c r="AL1151" s="4">
        <v>7</v>
      </c>
      <c r="AM1151" s="4" t="s">
        <v>514</v>
      </c>
      <c r="AN1151" s="4" t="s">
        <v>95</v>
      </c>
      <c r="AO1151" s="4" t="s">
        <v>96</v>
      </c>
      <c r="AP1151" s="4">
        <v>1</v>
      </c>
      <c r="AQ1151" s="20">
        <v>89000</v>
      </c>
      <c r="AR1151" s="4">
        <v>41898</v>
      </c>
      <c r="AS1151" s="20">
        <v>16181.81818181818</v>
      </c>
      <c r="AT1151" s="20">
        <v>0</v>
      </c>
      <c r="AU1151" s="20">
        <v>-16181.81818181818</v>
      </c>
      <c r="AV1151" s="20">
        <v>0</v>
      </c>
      <c r="AW1151" s="20">
        <v>0</v>
      </c>
      <c r="AX1151" s="20" t="s">
        <v>91</v>
      </c>
      <c r="AY1151" s="20">
        <v>0</v>
      </c>
      <c r="AZ1151" s="20">
        <v>0</v>
      </c>
      <c r="BA1151" s="20">
        <v>0</v>
      </c>
      <c r="BB1151" s="6">
        <v>41898</v>
      </c>
      <c r="BC1151" s="6">
        <v>0</v>
      </c>
      <c r="BD1151" s="6">
        <v>41901</v>
      </c>
      <c r="BE1151" s="6">
        <v>0</v>
      </c>
      <c r="BF1151" s="6">
        <v>41899</v>
      </c>
      <c r="BG1151" s="6">
        <v>0</v>
      </c>
      <c r="BH1151" s="6">
        <v>0</v>
      </c>
      <c r="BI1151" s="6">
        <v>0</v>
      </c>
      <c r="BJ1151" s="6">
        <v>0</v>
      </c>
      <c r="BK1151" s="4">
        <v>0</v>
      </c>
      <c r="BL1151" s="4">
        <v>0</v>
      </c>
      <c r="BM1151" s="20">
        <v>50</v>
      </c>
      <c r="BN1151" s="20">
        <v>0</v>
      </c>
      <c r="BO1151" s="20">
        <v>0</v>
      </c>
      <c r="BP1151" s="20">
        <v>0</v>
      </c>
      <c r="BQ1151" s="20">
        <v>0</v>
      </c>
      <c r="BR1151" s="20">
        <v>0</v>
      </c>
      <c r="BS1151" s="20">
        <v>50</v>
      </c>
      <c r="BT1151" s="20">
        <v>809090.90909090906</v>
      </c>
      <c r="BU1151" s="20">
        <v>4450000</v>
      </c>
      <c r="BV1151" s="20">
        <v>5</v>
      </c>
    </row>
    <row r="1152" spans="1:74">
      <c r="A1152" s="10">
        <f t="shared" si="70"/>
        <v>0</v>
      </c>
      <c r="B1152" s="10">
        <f t="shared" si="71"/>
        <v>0</v>
      </c>
      <c r="C1152" s="12">
        <f t="shared" si="72"/>
        <v>9</v>
      </c>
      <c r="D1152" s="12">
        <f t="shared" si="73"/>
        <v>9</v>
      </c>
      <c r="E1152" s="20" t="s">
        <v>574</v>
      </c>
      <c r="F1152" s="20" t="s">
        <v>3089</v>
      </c>
      <c r="G1152" s="20" t="s">
        <v>4214</v>
      </c>
      <c r="H1152" s="20" t="s">
        <v>4228</v>
      </c>
      <c r="I1152" s="20">
        <v>2</v>
      </c>
      <c r="J1152" s="20" t="s">
        <v>4229</v>
      </c>
      <c r="K1152" s="20" t="s">
        <v>4235</v>
      </c>
      <c r="L1152" s="20" t="s">
        <v>4231</v>
      </c>
      <c r="M1152" s="20" t="s">
        <v>2667</v>
      </c>
      <c r="N1152" s="20" t="s">
        <v>3216</v>
      </c>
      <c r="P1152" s="20" t="s">
        <v>2667</v>
      </c>
      <c r="Q1152" s="20" t="s">
        <v>2674</v>
      </c>
      <c r="R1152" s="20" t="s">
        <v>84</v>
      </c>
      <c r="S1152" s="20">
        <v>5</v>
      </c>
      <c r="T1152" s="20" t="s">
        <v>922</v>
      </c>
      <c r="U1152" s="20" t="s">
        <v>923</v>
      </c>
      <c r="V1152" s="20" t="s">
        <v>87</v>
      </c>
      <c r="W1152" s="20">
        <v>818</v>
      </c>
      <c r="X1152" s="20">
        <v>818</v>
      </c>
      <c r="Y1152" s="20" t="s">
        <v>4232</v>
      </c>
      <c r="Z1152" s="20">
        <v>0.25</v>
      </c>
      <c r="AA1152" s="20" t="s">
        <v>4236</v>
      </c>
      <c r="AB1152" s="20" t="s">
        <v>109</v>
      </c>
      <c r="AC1152" s="20" t="s">
        <v>110</v>
      </c>
      <c r="AD1152" s="20" t="s">
        <v>4234</v>
      </c>
      <c r="AE1152" s="20" t="s">
        <v>400</v>
      </c>
      <c r="AF1152" s="20">
        <v>0.25</v>
      </c>
      <c r="AG1152" s="20">
        <v>0</v>
      </c>
      <c r="AH1152" s="20">
        <v>1</v>
      </c>
      <c r="AI1152" s="4" t="s">
        <v>645</v>
      </c>
      <c r="AJ1152" s="20">
        <v>80</v>
      </c>
      <c r="AK1152" s="4" t="s">
        <v>641</v>
      </c>
      <c r="AL1152" s="4">
        <v>7</v>
      </c>
      <c r="AM1152" s="4" t="s">
        <v>514</v>
      </c>
      <c r="AN1152" s="4" t="s">
        <v>95</v>
      </c>
      <c r="AO1152" s="4" t="s">
        <v>96</v>
      </c>
      <c r="AP1152" s="4">
        <v>1</v>
      </c>
      <c r="AQ1152" s="20">
        <v>89000</v>
      </c>
      <c r="AR1152" s="4">
        <v>41898</v>
      </c>
      <c r="AS1152" s="20">
        <v>16181.81818181818</v>
      </c>
      <c r="AT1152" s="20">
        <v>0</v>
      </c>
      <c r="AU1152" s="20">
        <v>-16181.81818181818</v>
      </c>
      <c r="AV1152" s="20">
        <v>0</v>
      </c>
      <c r="AW1152" s="20">
        <v>0</v>
      </c>
      <c r="AX1152" s="20" t="s">
        <v>91</v>
      </c>
      <c r="AY1152" s="20">
        <v>0</v>
      </c>
      <c r="AZ1152" s="20">
        <v>0</v>
      </c>
      <c r="BA1152" s="20">
        <v>0</v>
      </c>
      <c r="BB1152" s="6">
        <v>41898</v>
      </c>
      <c r="BC1152" s="6">
        <v>0</v>
      </c>
      <c r="BD1152" s="6">
        <v>41901</v>
      </c>
      <c r="BE1152" s="6">
        <v>0</v>
      </c>
      <c r="BF1152" s="6">
        <v>41899</v>
      </c>
      <c r="BG1152" s="6">
        <v>0</v>
      </c>
      <c r="BH1152" s="6">
        <v>0</v>
      </c>
      <c r="BI1152" s="6">
        <v>0</v>
      </c>
      <c r="BJ1152" s="6">
        <v>0</v>
      </c>
      <c r="BK1152" s="4">
        <v>0</v>
      </c>
      <c r="BL1152" s="4">
        <v>0</v>
      </c>
      <c r="BM1152" s="20">
        <v>80</v>
      </c>
      <c r="BN1152" s="20">
        <v>0</v>
      </c>
      <c r="BO1152" s="20">
        <v>0</v>
      </c>
      <c r="BP1152" s="20">
        <v>0</v>
      </c>
      <c r="BQ1152" s="20">
        <v>0</v>
      </c>
      <c r="BR1152" s="20">
        <v>0</v>
      </c>
      <c r="BS1152" s="20">
        <v>80</v>
      </c>
      <c r="BT1152" s="20">
        <v>1294545.4545454544</v>
      </c>
      <c r="BU1152" s="20">
        <v>7120000</v>
      </c>
      <c r="BV1152" s="20">
        <v>5</v>
      </c>
    </row>
    <row r="1153" spans="1:74">
      <c r="A1153" s="10">
        <f t="shared" si="70"/>
        <v>0</v>
      </c>
      <c r="B1153" s="10">
        <f t="shared" si="71"/>
        <v>0</v>
      </c>
      <c r="C1153" s="12">
        <f t="shared" si="72"/>
        <v>9</v>
      </c>
      <c r="D1153" s="12">
        <f t="shared" si="73"/>
        <v>9</v>
      </c>
      <c r="E1153" s="20" t="s">
        <v>574</v>
      </c>
      <c r="F1153" s="20" t="s">
        <v>3089</v>
      </c>
      <c r="G1153" s="20" t="s">
        <v>4214</v>
      </c>
      <c r="H1153" s="20" t="s">
        <v>4228</v>
      </c>
      <c r="I1153" s="20">
        <v>2</v>
      </c>
      <c r="J1153" s="20" t="s">
        <v>4229</v>
      </c>
      <c r="K1153" s="20" t="s">
        <v>4237</v>
      </c>
      <c r="L1153" s="20" t="s">
        <v>4231</v>
      </c>
      <c r="M1153" s="20" t="s">
        <v>2667</v>
      </c>
      <c r="N1153" s="20" t="s">
        <v>3216</v>
      </c>
      <c r="P1153" s="20" t="s">
        <v>2667</v>
      </c>
      <c r="Q1153" s="20" t="s">
        <v>2674</v>
      </c>
      <c r="R1153" s="20" t="s">
        <v>84</v>
      </c>
      <c r="S1153" s="20">
        <v>5</v>
      </c>
      <c r="T1153" s="20" t="s">
        <v>922</v>
      </c>
      <c r="U1153" s="20" t="s">
        <v>923</v>
      </c>
      <c r="V1153" s="20" t="s">
        <v>87</v>
      </c>
      <c r="W1153" s="20">
        <v>818</v>
      </c>
      <c r="X1153" s="20">
        <v>818</v>
      </c>
      <c r="Y1153" s="20" t="s">
        <v>4232</v>
      </c>
      <c r="Z1153" s="20">
        <v>0.25</v>
      </c>
      <c r="AA1153" s="20" t="s">
        <v>4238</v>
      </c>
      <c r="AB1153" s="20" t="s">
        <v>109</v>
      </c>
      <c r="AC1153" s="20" t="s">
        <v>110</v>
      </c>
      <c r="AD1153" s="20" t="s">
        <v>4234</v>
      </c>
      <c r="AE1153" s="20" t="s">
        <v>400</v>
      </c>
      <c r="AF1153" s="20">
        <v>0.25</v>
      </c>
      <c r="AG1153" s="20">
        <v>0</v>
      </c>
      <c r="AH1153" s="20">
        <v>1</v>
      </c>
      <c r="AI1153" s="4" t="s">
        <v>647</v>
      </c>
      <c r="AJ1153" s="20">
        <v>80</v>
      </c>
      <c r="AK1153" s="4" t="s">
        <v>641</v>
      </c>
      <c r="AL1153" s="4">
        <v>7</v>
      </c>
      <c r="AM1153" s="4" t="s">
        <v>514</v>
      </c>
      <c r="AN1153" s="4" t="s">
        <v>95</v>
      </c>
      <c r="AO1153" s="4" t="s">
        <v>96</v>
      </c>
      <c r="AP1153" s="4">
        <v>1</v>
      </c>
      <c r="AQ1153" s="20">
        <v>89000</v>
      </c>
      <c r="AR1153" s="4">
        <v>41898</v>
      </c>
      <c r="AS1153" s="20">
        <v>16181.81818181818</v>
      </c>
      <c r="AT1153" s="20">
        <v>0</v>
      </c>
      <c r="AU1153" s="20">
        <v>-16181.81818181818</v>
      </c>
      <c r="AV1153" s="20">
        <v>0</v>
      </c>
      <c r="AW1153" s="20">
        <v>0</v>
      </c>
      <c r="AX1153" s="20" t="s">
        <v>91</v>
      </c>
      <c r="AY1153" s="20">
        <v>0</v>
      </c>
      <c r="AZ1153" s="20">
        <v>0</v>
      </c>
      <c r="BA1153" s="20">
        <v>0</v>
      </c>
      <c r="BB1153" s="6">
        <v>41898</v>
      </c>
      <c r="BC1153" s="6">
        <v>0</v>
      </c>
      <c r="BD1153" s="6">
        <v>41901</v>
      </c>
      <c r="BE1153" s="6">
        <v>0</v>
      </c>
      <c r="BF1153" s="6">
        <v>41899</v>
      </c>
      <c r="BG1153" s="6">
        <v>0</v>
      </c>
      <c r="BH1153" s="6">
        <v>0</v>
      </c>
      <c r="BI1153" s="6">
        <v>0</v>
      </c>
      <c r="BJ1153" s="6">
        <v>0</v>
      </c>
      <c r="BK1153" s="4">
        <v>0</v>
      </c>
      <c r="BL1153" s="4">
        <v>0</v>
      </c>
      <c r="BM1153" s="20">
        <v>80</v>
      </c>
      <c r="BN1153" s="20">
        <v>0</v>
      </c>
      <c r="BO1153" s="20">
        <v>0</v>
      </c>
      <c r="BP1153" s="20">
        <v>0</v>
      </c>
      <c r="BQ1153" s="20">
        <v>0</v>
      </c>
      <c r="BR1153" s="20">
        <v>0</v>
      </c>
      <c r="BS1153" s="20">
        <v>80</v>
      </c>
      <c r="BT1153" s="20">
        <v>1294545.4545454544</v>
      </c>
      <c r="BU1153" s="20">
        <v>7120000</v>
      </c>
      <c r="BV1153" s="20">
        <v>5</v>
      </c>
    </row>
    <row r="1154" spans="1:74">
      <c r="A1154" s="10">
        <f t="shared" si="70"/>
        <v>0</v>
      </c>
      <c r="B1154" s="10">
        <f t="shared" si="71"/>
        <v>0</v>
      </c>
      <c r="C1154" s="12">
        <f t="shared" si="72"/>
        <v>9</v>
      </c>
      <c r="D1154" s="12">
        <f t="shared" si="73"/>
        <v>9</v>
      </c>
      <c r="E1154" s="20" t="s">
        <v>574</v>
      </c>
      <c r="F1154" s="20" t="s">
        <v>3089</v>
      </c>
      <c r="G1154" s="20" t="s">
        <v>4214</v>
      </c>
      <c r="H1154" s="20" t="s">
        <v>4228</v>
      </c>
      <c r="I1154" s="20">
        <v>2</v>
      </c>
      <c r="J1154" s="20" t="s">
        <v>4229</v>
      </c>
      <c r="K1154" s="20" t="s">
        <v>4239</v>
      </c>
      <c r="L1154" s="20" t="s">
        <v>4231</v>
      </c>
      <c r="M1154" s="20" t="s">
        <v>2667</v>
      </c>
      <c r="N1154" s="20" t="s">
        <v>3216</v>
      </c>
      <c r="P1154" s="20" t="s">
        <v>2667</v>
      </c>
      <c r="Q1154" s="20" t="s">
        <v>2674</v>
      </c>
      <c r="R1154" s="20" t="s">
        <v>84</v>
      </c>
      <c r="S1154" s="20">
        <v>5</v>
      </c>
      <c r="T1154" s="20" t="s">
        <v>922</v>
      </c>
      <c r="U1154" s="20" t="s">
        <v>923</v>
      </c>
      <c r="V1154" s="20" t="s">
        <v>87</v>
      </c>
      <c r="W1154" s="20">
        <v>818</v>
      </c>
      <c r="X1154" s="20">
        <v>818</v>
      </c>
      <c r="Y1154" s="20" t="s">
        <v>4232</v>
      </c>
      <c r="Z1154" s="20">
        <v>0.25</v>
      </c>
      <c r="AA1154" s="20" t="s">
        <v>4240</v>
      </c>
      <c r="AB1154" s="20" t="s">
        <v>109</v>
      </c>
      <c r="AC1154" s="20" t="s">
        <v>110</v>
      </c>
      <c r="AD1154" s="20" t="s">
        <v>4234</v>
      </c>
      <c r="AE1154" s="20" t="s">
        <v>400</v>
      </c>
      <c r="AF1154" s="20">
        <v>0.25</v>
      </c>
      <c r="AG1154" s="20">
        <v>0</v>
      </c>
      <c r="AH1154" s="20">
        <v>1</v>
      </c>
      <c r="AI1154" s="4" t="s">
        <v>651</v>
      </c>
      <c r="AJ1154" s="20">
        <v>80</v>
      </c>
      <c r="AK1154" s="4" t="s">
        <v>641</v>
      </c>
      <c r="AL1154" s="4">
        <v>7</v>
      </c>
      <c r="AM1154" s="4" t="s">
        <v>514</v>
      </c>
      <c r="AN1154" s="4" t="s">
        <v>95</v>
      </c>
      <c r="AO1154" s="4" t="s">
        <v>96</v>
      </c>
      <c r="AP1154" s="4">
        <v>1</v>
      </c>
      <c r="AQ1154" s="20">
        <v>89000</v>
      </c>
      <c r="AR1154" s="4">
        <v>41898</v>
      </c>
      <c r="AS1154" s="20">
        <v>16181.81818181818</v>
      </c>
      <c r="AT1154" s="20">
        <v>0</v>
      </c>
      <c r="AU1154" s="20">
        <v>-16181.81818181818</v>
      </c>
      <c r="AV1154" s="20">
        <v>0</v>
      </c>
      <c r="AW1154" s="20">
        <v>0</v>
      </c>
      <c r="AX1154" s="20" t="s">
        <v>91</v>
      </c>
      <c r="AY1154" s="20">
        <v>0</v>
      </c>
      <c r="AZ1154" s="20">
        <v>0</v>
      </c>
      <c r="BA1154" s="20">
        <v>0</v>
      </c>
      <c r="BB1154" s="6">
        <v>41898</v>
      </c>
      <c r="BC1154" s="6">
        <v>0</v>
      </c>
      <c r="BD1154" s="6">
        <v>41901</v>
      </c>
      <c r="BE1154" s="6">
        <v>0</v>
      </c>
      <c r="BF1154" s="6">
        <v>41899</v>
      </c>
      <c r="BG1154" s="6">
        <v>0</v>
      </c>
      <c r="BH1154" s="6">
        <v>0</v>
      </c>
      <c r="BI1154" s="6">
        <v>0</v>
      </c>
      <c r="BJ1154" s="6">
        <v>0</v>
      </c>
      <c r="BK1154" s="4">
        <v>0</v>
      </c>
      <c r="BL1154" s="4">
        <v>0</v>
      </c>
      <c r="BM1154" s="20">
        <v>80</v>
      </c>
      <c r="BN1154" s="20">
        <v>0</v>
      </c>
      <c r="BO1154" s="20">
        <v>0</v>
      </c>
      <c r="BP1154" s="20">
        <v>0</v>
      </c>
      <c r="BQ1154" s="20">
        <v>0</v>
      </c>
      <c r="BR1154" s="20">
        <v>0</v>
      </c>
      <c r="BS1154" s="20">
        <v>80</v>
      </c>
      <c r="BT1154" s="20">
        <v>1294545.4545454544</v>
      </c>
      <c r="BU1154" s="20">
        <v>7120000</v>
      </c>
      <c r="BV1154" s="20">
        <v>5</v>
      </c>
    </row>
    <row r="1155" spans="1:74">
      <c r="A1155" s="10">
        <f t="shared" ref="A1155:A1218" si="74">IF($BL1155="공급",$Z1155,0)</f>
        <v>0</v>
      </c>
      <c r="B1155" s="10">
        <f t="shared" ref="B1155:B1218" si="75">IF($AV1155&gt;0,$Z1155,0)</f>
        <v>0</v>
      </c>
      <c r="C1155" s="12">
        <f t="shared" si="72"/>
        <v>9</v>
      </c>
      <c r="D1155" s="12">
        <f t="shared" si="73"/>
        <v>9</v>
      </c>
      <c r="E1155" s="20" t="s">
        <v>574</v>
      </c>
      <c r="F1155" s="20" t="s">
        <v>3089</v>
      </c>
      <c r="G1155" s="20" t="s">
        <v>4214</v>
      </c>
      <c r="H1155" s="20" t="s">
        <v>4241</v>
      </c>
      <c r="I1155" s="20">
        <v>3</v>
      </c>
      <c r="J1155" s="20" t="s">
        <v>4242</v>
      </c>
      <c r="K1155" s="20" t="s">
        <v>4243</v>
      </c>
      <c r="L1155" s="20" t="s">
        <v>4244</v>
      </c>
      <c r="M1155" s="20" t="s">
        <v>2667</v>
      </c>
      <c r="N1155" s="20" t="s">
        <v>3346</v>
      </c>
      <c r="P1155" s="20" t="s">
        <v>2667</v>
      </c>
      <c r="Q1155" s="20" t="s">
        <v>2674</v>
      </c>
      <c r="R1155" s="20" t="s">
        <v>84</v>
      </c>
      <c r="S1155" s="20">
        <v>5</v>
      </c>
      <c r="T1155" s="20" t="s">
        <v>635</v>
      </c>
      <c r="U1155" s="20" t="s">
        <v>636</v>
      </c>
      <c r="V1155" s="20" t="s">
        <v>87</v>
      </c>
      <c r="W1155" s="20">
        <v>807</v>
      </c>
      <c r="X1155" s="20">
        <v>807</v>
      </c>
      <c r="Y1155" s="20" t="s">
        <v>4245</v>
      </c>
      <c r="Z1155" s="20">
        <v>0.25</v>
      </c>
      <c r="AA1155" s="20" t="s">
        <v>4246</v>
      </c>
      <c r="AB1155" s="20" t="s">
        <v>89</v>
      </c>
      <c r="AC1155" s="20" t="s">
        <v>90</v>
      </c>
      <c r="AD1155" s="20" t="s">
        <v>4247</v>
      </c>
      <c r="AE1155" s="20" t="s">
        <v>400</v>
      </c>
      <c r="AF1155" s="20">
        <v>0.25</v>
      </c>
      <c r="AG1155" s="20">
        <v>0</v>
      </c>
      <c r="AH1155" s="20">
        <v>1</v>
      </c>
      <c r="AI1155" s="4" t="s">
        <v>643</v>
      </c>
      <c r="AJ1155" s="20">
        <v>50</v>
      </c>
      <c r="AK1155" s="4" t="s">
        <v>641</v>
      </c>
      <c r="AL1155" s="4">
        <v>7</v>
      </c>
      <c r="AM1155" s="4" t="s">
        <v>514</v>
      </c>
      <c r="AN1155" s="4" t="s">
        <v>95</v>
      </c>
      <c r="AO1155" s="4" t="s">
        <v>96</v>
      </c>
      <c r="AP1155" s="4">
        <v>1</v>
      </c>
      <c r="AQ1155" s="20">
        <v>69000</v>
      </c>
      <c r="AR1155" s="4">
        <v>41898</v>
      </c>
      <c r="AS1155" s="20">
        <v>12545.454545454544</v>
      </c>
      <c r="AT1155" s="20">
        <v>0</v>
      </c>
      <c r="AU1155" s="20">
        <v>-12545.454545454544</v>
      </c>
      <c r="AV1155" s="20">
        <v>0</v>
      </c>
      <c r="AW1155" s="20">
        <v>0</v>
      </c>
      <c r="AX1155" s="20" t="s">
        <v>91</v>
      </c>
      <c r="AY1155" s="20">
        <v>0</v>
      </c>
      <c r="AZ1155" s="20">
        <v>0</v>
      </c>
      <c r="BA1155" s="20">
        <v>0</v>
      </c>
      <c r="BB1155" s="6">
        <v>41898</v>
      </c>
      <c r="BC1155" s="6">
        <v>0</v>
      </c>
      <c r="BD1155" s="6">
        <v>41901</v>
      </c>
      <c r="BE1155" s="6">
        <v>0</v>
      </c>
      <c r="BF1155" s="6">
        <v>41899</v>
      </c>
      <c r="BG1155" s="6">
        <v>0</v>
      </c>
      <c r="BH1155" s="6">
        <v>0</v>
      </c>
      <c r="BI1155" s="6">
        <v>0</v>
      </c>
      <c r="BJ1155" s="6">
        <v>0</v>
      </c>
      <c r="BK1155" s="4">
        <v>0</v>
      </c>
      <c r="BL1155" s="4">
        <v>0</v>
      </c>
      <c r="BM1155" s="20">
        <v>51</v>
      </c>
      <c r="BN1155" s="20">
        <v>0</v>
      </c>
      <c r="BO1155" s="20">
        <v>0</v>
      </c>
      <c r="BP1155" s="20">
        <v>0</v>
      </c>
      <c r="BQ1155" s="20">
        <v>0</v>
      </c>
      <c r="BR1155" s="20">
        <v>0</v>
      </c>
      <c r="BS1155" s="20">
        <v>50</v>
      </c>
      <c r="BT1155" s="20">
        <v>627272.72727272718</v>
      </c>
      <c r="BU1155" s="20">
        <v>3450000</v>
      </c>
      <c r="BV1155" s="20">
        <v>5</v>
      </c>
    </row>
    <row r="1156" spans="1:74">
      <c r="A1156" s="10">
        <f t="shared" si="74"/>
        <v>0</v>
      </c>
      <c r="B1156" s="10">
        <f t="shared" si="75"/>
        <v>0</v>
      </c>
      <c r="C1156" s="12">
        <f t="shared" ref="C1156:C1219" si="76">IF($BB1156=0,"",MONTH($BB1156))</f>
        <v>9</v>
      </c>
      <c r="D1156" s="12">
        <f t="shared" si="73"/>
        <v>9</v>
      </c>
      <c r="E1156" s="20" t="s">
        <v>574</v>
      </c>
      <c r="F1156" s="20" t="s">
        <v>3089</v>
      </c>
      <c r="G1156" s="20" t="s">
        <v>4214</v>
      </c>
      <c r="H1156" s="20" t="s">
        <v>4241</v>
      </c>
      <c r="I1156" s="20">
        <v>3</v>
      </c>
      <c r="J1156" s="20" t="s">
        <v>4242</v>
      </c>
      <c r="K1156" s="20" t="s">
        <v>4248</v>
      </c>
      <c r="L1156" s="20" t="s">
        <v>4244</v>
      </c>
      <c r="M1156" s="20" t="s">
        <v>2667</v>
      </c>
      <c r="N1156" s="20" t="s">
        <v>3346</v>
      </c>
      <c r="P1156" s="20" t="s">
        <v>2667</v>
      </c>
      <c r="Q1156" s="20" t="s">
        <v>2674</v>
      </c>
      <c r="R1156" s="20" t="s">
        <v>84</v>
      </c>
      <c r="S1156" s="20">
        <v>5</v>
      </c>
      <c r="T1156" s="20" t="s">
        <v>635</v>
      </c>
      <c r="U1156" s="20" t="s">
        <v>636</v>
      </c>
      <c r="V1156" s="20" t="s">
        <v>87</v>
      </c>
      <c r="W1156" s="20">
        <v>807</v>
      </c>
      <c r="X1156" s="20">
        <v>807</v>
      </c>
      <c r="Y1156" s="20" t="s">
        <v>4245</v>
      </c>
      <c r="Z1156" s="20">
        <v>0.25</v>
      </c>
      <c r="AA1156" s="20" t="s">
        <v>4249</v>
      </c>
      <c r="AB1156" s="20" t="s">
        <v>89</v>
      </c>
      <c r="AC1156" s="20" t="s">
        <v>90</v>
      </c>
      <c r="AD1156" s="20" t="s">
        <v>4247</v>
      </c>
      <c r="AE1156" s="20" t="s">
        <v>400</v>
      </c>
      <c r="AF1156" s="20">
        <v>0.25</v>
      </c>
      <c r="AG1156" s="20">
        <v>0</v>
      </c>
      <c r="AH1156" s="20">
        <v>1</v>
      </c>
      <c r="AI1156" s="4" t="s">
        <v>645</v>
      </c>
      <c r="AJ1156" s="20">
        <v>50</v>
      </c>
      <c r="AK1156" s="4" t="s">
        <v>641</v>
      </c>
      <c r="AL1156" s="4">
        <v>7</v>
      </c>
      <c r="AM1156" s="4" t="s">
        <v>514</v>
      </c>
      <c r="AN1156" s="4" t="s">
        <v>95</v>
      </c>
      <c r="AO1156" s="4" t="s">
        <v>96</v>
      </c>
      <c r="AP1156" s="4">
        <v>1</v>
      </c>
      <c r="AQ1156" s="20">
        <v>69000</v>
      </c>
      <c r="AR1156" s="4">
        <v>41898</v>
      </c>
      <c r="AS1156" s="20">
        <v>12545.454545454544</v>
      </c>
      <c r="AT1156" s="20">
        <v>0</v>
      </c>
      <c r="AU1156" s="20">
        <v>-12545.454545454544</v>
      </c>
      <c r="AV1156" s="20">
        <v>0</v>
      </c>
      <c r="AW1156" s="20">
        <v>0</v>
      </c>
      <c r="AX1156" s="20" t="s">
        <v>91</v>
      </c>
      <c r="AY1156" s="20">
        <v>0</v>
      </c>
      <c r="AZ1156" s="20">
        <v>0</v>
      </c>
      <c r="BA1156" s="20">
        <v>0</v>
      </c>
      <c r="BB1156" s="6">
        <v>41898</v>
      </c>
      <c r="BC1156" s="6">
        <v>0</v>
      </c>
      <c r="BD1156" s="6">
        <v>41901</v>
      </c>
      <c r="BE1156" s="6">
        <v>0</v>
      </c>
      <c r="BF1156" s="6">
        <v>41899</v>
      </c>
      <c r="BG1156" s="6">
        <v>0</v>
      </c>
      <c r="BH1156" s="6">
        <v>0</v>
      </c>
      <c r="BI1156" s="6">
        <v>0</v>
      </c>
      <c r="BJ1156" s="6">
        <v>0</v>
      </c>
      <c r="BK1156" s="4">
        <v>0</v>
      </c>
      <c r="BL1156" s="4">
        <v>0</v>
      </c>
      <c r="BM1156" s="20">
        <v>50</v>
      </c>
      <c r="BN1156" s="20">
        <v>0</v>
      </c>
      <c r="BO1156" s="20">
        <v>0</v>
      </c>
      <c r="BP1156" s="20">
        <v>0</v>
      </c>
      <c r="BQ1156" s="20">
        <v>0</v>
      </c>
      <c r="BR1156" s="20">
        <v>0</v>
      </c>
      <c r="BS1156" s="20">
        <v>50</v>
      </c>
      <c r="BT1156" s="20">
        <v>627272.72727272718</v>
      </c>
      <c r="BU1156" s="20">
        <v>3450000</v>
      </c>
      <c r="BV1156" s="20">
        <v>5</v>
      </c>
    </row>
    <row r="1157" spans="1:74">
      <c r="A1157" s="10">
        <f t="shared" si="74"/>
        <v>0</v>
      </c>
      <c r="B1157" s="10">
        <f t="shared" si="75"/>
        <v>0</v>
      </c>
      <c r="C1157" s="12">
        <f t="shared" si="76"/>
        <v>9</v>
      </c>
      <c r="D1157" s="12">
        <f t="shared" ref="D1157:D1220" si="77">IF(AND(BD1157=0,BF1157=0),"",MONTH(IF($BF1157=0,$BD1157,$BF1157)))</f>
        <v>9</v>
      </c>
      <c r="E1157" s="20" t="s">
        <v>574</v>
      </c>
      <c r="F1157" s="20" t="s">
        <v>3089</v>
      </c>
      <c r="G1157" s="20" t="s">
        <v>4214</v>
      </c>
      <c r="H1157" s="20" t="s">
        <v>4241</v>
      </c>
      <c r="I1157" s="20">
        <v>3</v>
      </c>
      <c r="J1157" s="20" t="s">
        <v>4242</v>
      </c>
      <c r="K1157" s="20" t="s">
        <v>4250</v>
      </c>
      <c r="L1157" s="20" t="s">
        <v>4244</v>
      </c>
      <c r="M1157" s="20" t="s">
        <v>2667</v>
      </c>
      <c r="N1157" s="20" t="s">
        <v>3346</v>
      </c>
      <c r="P1157" s="20" t="s">
        <v>2667</v>
      </c>
      <c r="Q1157" s="20" t="s">
        <v>2674</v>
      </c>
      <c r="R1157" s="20" t="s">
        <v>84</v>
      </c>
      <c r="S1157" s="20">
        <v>5</v>
      </c>
      <c r="T1157" s="20" t="s">
        <v>635</v>
      </c>
      <c r="U1157" s="20" t="s">
        <v>636</v>
      </c>
      <c r="V1157" s="20" t="s">
        <v>87</v>
      </c>
      <c r="W1157" s="20">
        <v>807</v>
      </c>
      <c r="X1157" s="20">
        <v>807</v>
      </c>
      <c r="Y1157" s="20" t="s">
        <v>4245</v>
      </c>
      <c r="Z1157" s="20">
        <v>0.25</v>
      </c>
      <c r="AA1157" s="20" t="s">
        <v>4251</v>
      </c>
      <c r="AB1157" s="20" t="s">
        <v>89</v>
      </c>
      <c r="AC1157" s="20" t="s">
        <v>90</v>
      </c>
      <c r="AD1157" s="20" t="s">
        <v>4247</v>
      </c>
      <c r="AE1157" s="20" t="s">
        <v>400</v>
      </c>
      <c r="AF1157" s="20">
        <v>0.25</v>
      </c>
      <c r="AG1157" s="20">
        <v>0</v>
      </c>
      <c r="AH1157" s="20">
        <v>1</v>
      </c>
      <c r="AI1157" s="4" t="s">
        <v>647</v>
      </c>
      <c r="AJ1157" s="20">
        <v>50</v>
      </c>
      <c r="AK1157" s="4" t="s">
        <v>641</v>
      </c>
      <c r="AL1157" s="4">
        <v>7</v>
      </c>
      <c r="AM1157" s="4" t="s">
        <v>514</v>
      </c>
      <c r="AN1157" s="4" t="s">
        <v>95</v>
      </c>
      <c r="AO1157" s="4" t="s">
        <v>96</v>
      </c>
      <c r="AP1157" s="4">
        <v>1</v>
      </c>
      <c r="AQ1157" s="20">
        <v>69000</v>
      </c>
      <c r="AR1157" s="4">
        <v>41898</v>
      </c>
      <c r="AS1157" s="20">
        <v>12545.454545454544</v>
      </c>
      <c r="AT1157" s="20">
        <v>0</v>
      </c>
      <c r="AU1157" s="20">
        <v>-12545.454545454544</v>
      </c>
      <c r="AV1157" s="20">
        <v>0</v>
      </c>
      <c r="AW1157" s="20">
        <v>0</v>
      </c>
      <c r="AX1157" s="20" t="s">
        <v>91</v>
      </c>
      <c r="AY1157" s="20">
        <v>0</v>
      </c>
      <c r="AZ1157" s="20">
        <v>0</v>
      </c>
      <c r="BA1157" s="20">
        <v>0</v>
      </c>
      <c r="BB1157" s="6">
        <v>41898</v>
      </c>
      <c r="BC1157" s="6">
        <v>0</v>
      </c>
      <c r="BD1157" s="6">
        <v>41901</v>
      </c>
      <c r="BE1157" s="6">
        <v>0</v>
      </c>
      <c r="BF1157" s="6">
        <v>41899</v>
      </c>
      <c r="BG1157" s="6">
        <v>0</v>
      </c>
      <c r="BH1157" s="6">
        <v>0</v>
      </c>
      <c r="BI1157" s="6">
        <v>0</v>
      </c>
      <c r="BJ1157" s="6">
        <v>0</v>
      </c>
      <c r="BK1157" s="4">
        <v>0</v>
      </c>
      <c r="BL1157" s="4">
        <v>0</v>
      </c>
      <c r="BM1157" s="20">
        <v>50</v>
      </c>
      <c r="BN1157" s="20">
        <v>0</v>
      </c>
      <c r="BO1157" s="20">
        <v>0</v>
      </c>
      <c r="BP1157" s="20">
        <v>0</v>
      </c>
      <c r="BQ1157" s="20">
        <v>0</v>
      </c>
      <c r="BR1157" s="20">
        <v>0</v>
      </c>
      <c r="BS1157" s="20">
        <v>50</v>
      </c>
      <c r="BT1157" s="20">
        <v>627272.72727272718</v>
      </c>
      <c r="BU1157" s="20">
        <v>3450000</v>
      </c>
      <c r="BV1157" s="20">
        <v>5</v>
      </c>
    </row>
    <row r="1158" spans="1:74">
      <c r="A1158" s="10">
        <f t="shared" si="74"/>
        <v>0</v>
      </c>
      <c r="B1158" s="10">
        <f t="shared" si="75"/>
        <v>0</v>
      </c>
      <c r="C1158" s="12">
        <f t="shared" si="76"/>
        <v>9</v>
      </c>
      <c r="D1158" s="12">
        <f t="shared" si="77"/>
        <v>9</v>
      </c>
      <c r="E1158" s="20" t="s">
        <v>574</v>
      </c>
      <c r="F1158" s="20" t="s">
        <v>3089</v>
      </c>
      <c r="G1158" s="20" t="s">
        <v>4214</v>
      </c>
      <c r="H1158" s="20" t="s">
        <v>4241</v>
      </c>
      <c r="I1158" s="20">
        <v>3</v>
      </c>
      <c r="J1158" s="20" t="s">
        <v>4242</v>
      </c>
      <c r="K1158" s="20" t="s">
        <v>4252</v>
      </c>
      <c r="L1158" s="20" t="s">
        <v>4244</v>
      </c>
      <c r="M1158" s="20" t="s">
        <v>2667</v>
      </c>
      <c r="N1158" s="20" t="s">
        <v>3346</v>
      </c>
      <c r="P1158" s="20" t="s">
        <v>2667</v>
      </c>
      <c r="Q1158" s="20" t="s">
        <v>2674</v>
      </c>
      <c r="R1158" s="20" t="s">
        <v>84</v>
      </c>
      <c r="S1158" s="20">
        <v>5</v>
      </c>
      <c r="T1158" s="20" t="s">
        <v>635</v>
      </c>
      <c r="U1158" s="20" t="s">
        <v>636</v>
      </c>
      <c r="V1158" s="20" t="s">
        <v>87</v>
      </c>
      <c r="W1158" s="20">
        <v>807</v>
      </c>
      <c r="X1158" s="20">
        <v>807</v>
      </c>
      <c r="Y1158" s="20" t="s">
        <v>4245</v>
      </c>
      <c r="Z1158" s="20">
        <v>0.25</v>
      </c>
      <c r="AA1158" s="20" t="s">
        <v>4253</v>
      </c>
      <c r="AB1158" s="20" t="s">
        <v>89</v>
      </c>
      <c r="AC1158" s="20" t="s">
        <v>90</v>
      </c>
      <c r="AD1158" s="20" t="s">
        <v>4247</v>
      </c>
      <c r="AE1158" s="20" t="s">
        <v>400</v>
      </c>
      <c r="AF1158" s="20">
        <v>0.25</v>
      </c>
      <c r="AG1158" s="20">
        <v>0</v>
      </c>
      <c r="AH1158" s="20">
        <v>1</v>
      </c>
      <c r="AI1158" s="4" t="s">
        <v>651</v>
      </c>
      <c r="AJ1158" s="20">
        <v>50</v>
      </c>
      <c r="AK1158" s="4" t="s">
        <v>641</v>
      </c>
      <c r="AL1158" s="4">
        <v>7</v>
      </c>
      <c r="AM1158" s="4" t="s">
        <v>514</v>
      </c>
      <c r="AN1158" s="4" t="s">
        <v>95</v>
      </c>
      <c r="AO1158" s="4" t="s">
        <v>96</v>
      </c>
      <c r="AP1158" s="4">
        <v>1</v>
      </c>
      <c r="AQ1158" s="20">
        <v>69000</v>
      </c>
      <c r="AR1158" s="4">
        <v>41898</v>
      </c>
      <c r="AS1158" s="20">
        <v>12545.454545454544</v>
      </c>
      <c r="AT1158" s="20">
        <v>0</v>
      </c>
      <c r="AU1158" s="20">
        <v>-12545.454545454544</v>
      </c>
      <c r="AV1158" s="20">
        <v>0</v>
      </c>
      <c r="AW1158" s="20">
        <v>0</v>
      </c>
      <c r="AX1158" s="20" t="s">
        <v>91</v>
      </c>
      <c r="AY1158" s="20">
        <v>0</v>
      </c>
      <c r="AZ1158" s="20">
        <v>0</v>
      </c>
      <c r="BA1158" s="20">
        <v>0</v>
      </c>
      <c r="BB1158" s="6">
        <v>41898</v>
      </c>
      <c r="BC1158" s="6">
        <v>0</v>
      </c>
      <c r="BD1158" s="6">
        <v>41901</v>
      </c>
      <c r="BE1158" s="6">
        <v>0</v>
      </c>
      <c r="BF1158" s="6">
        <v>41899</v>
      </c>
      <c r="BG1158" s="6">
        <v>0</v>
      </c>
      <c r="BH1158" s="6">
        <v>0</v>
      </c>
      <c r="BI1158" s="6">
        <v>0</v>
      </c>
      <c r="BJ1158" s="6">
        <v>0</v>
      </c>
      <c r="BK1158" s="4">
        <v>0</v>
      </c>
      <c r="BL1158" s="4">
        <v>0</v>
      </c>
      <c r="BM1158" s="20">
        <v>51</v>
      </c>
      <c r="BN1158" s="20">
        <v>0</v>
      </c>
      <c r="BO1158" s="20">
        <v>0</v>
      </c>
      <c r="BP1158" s="20">
        <v>0</v>
      </c>
      <c r="BQ1158" s="20">
        <v>0</v>
      </c>
      <c r="BR1158" s="20">
        <v>0</v>
      </c>
      <c r="BS1158" s="20">
        <v>50</v>
      </c>
      <c r="BT1158" s="20">
        <v>627272.72727272718</v>
      </c>
      <c r="BU1158" s="20">
        <v>3450000</v>
      </c>
      <c r="BV1158" s="20">
        <v>5</v>
      </c>
    </row>
    <row r="1159" spans="1:74">
      <c r="A1159" s="10">
        <f t="shared" si="74"/>
        <v>0</v>
      </c>
      <c r="B1159" s="10">
        <f t="shared" si="75"/>
        <v>0</v>
      </c>
      <c r="C1159" s="12">
        <f t="shared" si="76"/>
        <v>9</v>
      </c>
      <c r="D1159" s="12">
        <f t="shared" si="77"/>
        <v>9</v>
      </c>
      <c r="E1159" s="20" t="s">
        <v>574</v>
      </c>
      <c r="F1159" s="20" t="s">
        <v>3089</v>
      </c>
      <c r="G1159" s="20" t="s">
        <v>4214</v>
      </c>
      <c r="H1159" s="20" t="s">
        <v>4254</v>
      </c>
      <c r="I1159" s="20">
        <v>4</v>
      </c>
      <c r="J1159" s="20" t="s">
        <v>4255</v>
      </c>
      <c r="K1159" s="20" t="s">
        <v>4256</v>
      </c>
      <c r="L1159" s="20" t="s">
        <v>4257</v>
      </c>
      <c r="M1159" s="20" t="s">
        <v>2667</v>
      </c>
      <c r="N1159" s="20" t="s">
        <v>3346</v>
      </c>
      <c r="P1159" s="20" t="s">
        <v>2667</v>
      </c>
      <c r="Q1159" s="20" t="s">
        <v>2674</v>
      </c>
      <c r="R1159" s="20" t="s">
        <v>84</v>
      </c>
      <c r="S1159" s="20">
        <v>5</v>
      </c>
      <c r="T1159" s="20" t="s">
        <v>635</v>
      </c>
      <c r="U1159" s="20" t="s">
        <v>636</v>
      </c>
      <c r="V1159" s="20" t="s">
        <v>87</v>
      </c>
      <c r="W1159" s="20">
        <v>808</v>
      </c>
      <c r="X1159" s="20">
        <v>808</v>
      </c>
      <c r="Y1159" s="20" t="s">
        <v>4258</v>
      </c>
      <c r="Z1159" s="20">
        <v>0.25</v>
      </c>
      <c r="AA1159" s="20" t="s">
        <v>4259</v>
      </c>
      <c r="AB1159" s="20" t="s">
        <v>248</v>
      </c>
      <c r="AC1159" s="20" t="s">
        <v>249</v>
      </c>
      <c r="AD1159" s="20" t="s">
        <v>4260</v>
      </c>
      <c r="AE1159" s="20" t="s">
        <v>400</v>
      </c>
      <c r="AF1159" s="20">
        <v>0.25</v>
      </c>
      <c r="AG1159" s="20">
        <v>0</v>
      </c>
      <c r="AH1159" s="20">
        <v>1</v>
      </c>
      <c r="AI1159" s="4" t="s">
        <v>643</v>
      </c>
      <c r="AJ1159" s="20">
        <v>100</v>
      </c>
      <c r="AK1159" s="4" t="s">
        <v>641</v>
      </c>
      <c r="AL1159" s="4">
        <v>7</v>
      </c>
      <c r="AM1159" s="4" t="s">
        <v>514</v>
      </c>
      <c r="AN1159" s="4" t="s">
        <v>95</v>
      </c>
      <c r="AO1159" s="4" t="s">
        <v>96</v>
      </c>
      <c r="AP1159" s="4">
        <v>1</v>
      </c>
      <c r="AQ1159" s="20">
        <v>69000</v>
      </c>
      <c r="AR1159" s="4">
        <v>41898</v>
      </c>
      <c r="AS1159" s="20">
        <v>12545.454545454544</v>
      </c>
      <c r="AT1159" s="20">
        <v>0</v>
      </c>
      <c r="AU1159" s="20">
        <v>-12545.454545454544</v>
      </c>
      <c r="AV1159" s="20">
        <v>0</v>
      </c>
      <c r="AW1159" s="20">
        <v>0</v>
      </c>
      <c r="AX1159" s="20" t="s">
        <v>91</v>
      </c>
      <c r="AY1159" s="20">
        <v>0</v>
      </c>
      <c r="AZ1159" s="20">
        <v>0</v>
      </c>
      <c r="BA1159" s="20">
        <v>0</v>
      </c>
      <c r="BB1159" s="6">
        <v>41898</v>
      </c>
      <c r="BC1159" s="6">
        <v>0</v>
      </c>
      <c r="BD1159" s="6">
        <v>41901</v>
      </c>
      <c r="BE1159" s="6">
        <v>0</v>
      </c>
      <c r="BF1159" s="6">
        <v>41899</v>
      </c>
      <c r="BG1159" s="6">
        <v>0</v>
      </c>
      <c r="BH1159" s="6">
        <v>0</v>
      </c>
      <c r="BI1159" s="6">
        <v>0</v>
      </c>
      <c r="BJ1159" s="6">
        <v>0</v>
      </c>
      <c r="BK1159" s="4">
        <v>0</v>
      </c>
      <c r="BL1159" s="4">
        <v>0</v>
      </c>
      <c r="BM1159" s="20">
        <v>100</v>
      </c>
      <c r="BN1159" s="20">
        <v>0</v>
      </c>
      <c r="BO1159" s="20">
        <v>0</v>
      </c>
      <c r="BP1159" s="20">
        <v>0</v>
      </c>
      <c r="BQ1159" s="20">
        <v>0</v>
      </c>
      <c r="BR1159" s="20">
        <v>0</v>
      </c>
      <c r="BS1159" s="20">
        <v>100</v>
      </c>
      <c r="BT1159" s="20">
        <v>1254545.4545454544</v>
      </c>
      <c r="BU1159" s="20">
        <v>6900000</v>
      </c>
      <c r="BV1159" s="20">
        <v>5</v>
      </c>
    </row>
    <row r="1160" spans="1:74">
      <c r="A1160" s="10">
        <f t="shared" si="74"/>
        <v>0</v>
      </c>
      <c r="B1160" s="10">
        <f t="shared" si="75"/>
        <v>0</v>
      </c>
      <c r="C1160" s="12">
        <f t="shared" si="76"/>
        <v>9</v>
      </c>
      <c r="D1160" s="12">
        <f t="shared" si="77"/>
        <v>9</v>
      </c>
      <c r="E1160" s="20" t="s">
        <v>574</v>
      </c>
      <c r="F1160" s="20" t="s">
        <v>3089</v>
      </c>
      <c r="G1160" s="20" t="s">
        <v>4214</v>
      </c>
      <c r="H1160" s="20" t="s">
        <v>4254</v>
      </c>
      <c r="I1160" s="20">
        <v>4</v>
      </c>
      <c r="J1160" s="20" t="s">
        <v>4255</v>
      </c>
      <c r="K1160" s="20" t="s">
        <v>4261</v>
      </c>
      <c r="L1160" s="20" t="s">
        <v>4257</v>
      </c>
      <c r="M1160" s="20" t="s">
        <v>2667</v>
      </c>
      <c r="N1160" s="20" t="s">
        <v>3346</v>
      </c>
      <c r="P1160" s="20" t="s">
        <v>2667</v>
      </c>
      <c r="Q1160" s="20" t="s">
        <v>2674</v>
      </c>
      <c r="R1160" s="20" t="s">
        <v>84</v>
      </c>
      <c r="S1160" s="20">
        <v>5</v>
      </c>
      <c r="T1160" s="20" t="s">
        <v>635</v>
      </c>
      <c r="U1160" s="20" t="s">
        <v>636</v>
      </c>
      <c r="V1160" s="20" t="s">
        <v>87</v>
      </c>
      <c r="W1160" s="20">
        <v>808</v>
      </c>
      <c r="X1160" s="20">
        <v>808</v>
      </c>
      <c r="Y1160" s="20" t="s">
        <v>4258</v>
      </c>
      <c r="Z1160" s="20">
        <v>0.25</v>
      </c>
      <c r="AA1160" s="20" t="s">
        <v>4262</v>
      </c>
      <c r="AB1160" s="20" t="s">
        <v>248</v>
      </c>
      <c r="AC1160" s="20" t="s">
        <v>249</v>
      </c>
      <c r="AD1160" s="20" t="s">
        <v>4260</v>
      </c>
      <c r="AE1160" s="20" t="s">
        <v>400</v>
      </c>
      <c r="AF1160" s="20">
        <v>0.25</v>
      </c>
      <c r="AG1160" s="20">
        <v>0</v>
      </c>
      <c r="AH1160" s="20">
        <v>1</v>
      </c>
      <c r="AI1160" s="4" t="s">
        <v>645</v>
      </c>
      <c r="AJ1160" s="20">
        <v>130</v>
      </c>
      <c r="AK1160" s="4" t="s">
        <v>641</v>
      </c>
      <c r="AL1160" s="4">
        <v>7</v>
      </c>
      <c r="AM1160" s="4" t="s">
        <v>514</v>
      </c>
      <c r="AN1160" s="4" t="s">
        <v>95</v>
      </c>
      <c r="AO1160" s="4" t="s">
        <v>96</v>
      </c>
      <c r="AP1160" s="4">
        <v>1</v>
      </c>
      <c r="AQ1160" s="20">
        <v>69000</v>
      </c>
      <c r="AR1160" s="4">
        <v>41898</v>
      </c>
      <c r="AS1160" s="20">
        <v>12545.454545454544</v>
      </c>
      <c r="AT1160" s="20">
        <v>0</v>
      </c>
      <c r="AU1160" s="20">
        <v>-12545.454545454544</v>
      </c>
      <c r="AV1160" s="20">
        <v>0</v>
      </c>
      <c r="AW1160" s="20">
        <v>0</v>
      </c>
      <c r="AX1160" s="20" t="s">
        <v>91</v>
      </c>
      <c r="AY1160" s="20">
        <v>0</v>
      </c>
      <c r="AZ1160" s="20">
        <v>0</v>
      </c>
      <c r="BA1160" s="20">
        <v>0</v>
      </c>
      <c r="BB1160" s="6">
        <v>41898</v>
      </c>
      <c r="BC1160" s="6">
        <v>0</v>
      </c>
      <c r="BD1160" s="6">
        <v>41901</v>
      </c>
      <c r="BE1160" s="6">
        <v>0</v>
      </c>
      <c r="BF1160" s="6">
        <v>41899</v>
      </c>
      <c r="BG1160" s="6">
        <v>0</v>
      </c>
      <c r="BH1160" s="6">
        <v>0</v>
      </c>
      <c r="BI1160" s="6">
        <v>0</v>
      </c>
      <c r="BJ1160" s="6">
        <v>0</v>
      </c>
      <c r="BK1160" s="4">
        <v>0</v>
      </c>
      <c r="BL1160" s="4">
        <v>0</v>
      </c>
      <c r="BM1160" s="20">
        <v>130</v>
      </c>
      <c r="BN1160" s="20">
        <v>0</v>
      </c>
      <c r="BO1160" s="20">
        <v>0</v>
      </c>
      <c r="BP1160" s="20">
        <v>0</v>
      </c>
      <c r="BQ1160" s="20">
        <v>0</v>
      </c>
      <c r="BR1160" s="20">
        <v>0</v>
      </c>
      <c r="BS1160" s="20">
        <v>130</v>
      </c>
      <c r="BT1160" s="20">
        <v>1630909.0909090908</v>
      </c>
      <c r="BU1160" s="20">
        <v>8970000</v>
      </c>
      <c r="BV1160" s="20">
        <v>5</v>
      </c>
    </row>
    <row r="1161" spans="1:74">
      <c r="A1161" s="10">
        <f t="shared" si="74"/>
        <v>0</v>
      </c>
      <c r="B1161" s="10">
        <f t="shared" si="75"/>
        <v>0</v>
      </c>
      <c r="C1161" s="12">
        <f t="shared" si="76"/>
        <v>9</v>
      </c>
      <c r="D1161" s="12">
        <f t="shared" si="77"/>
        <v>9</v>
      </c>
      <c r="E1161" s="20" t="s">
        <v>574</v>
      </c>
      <c r="F1161" s="20" t="s">
        <v>3089</v>
      </c>
      <c r="G1161" s="20" t="s">
        <v>4214</v>
      </c>
      <c r="H1161" s="20" t="s">
        <v>4254</v>
      </c>
      <c r="I1161" s="20">
        <v>4</v>
      </c>
      <c r="J1161" s="20" t="s">
        <v>4255</v>
      </c>
      <c r="K1161" s="20" t="s">
        <v>4263</v>
      </c>
      <c r="L1161" s="20" t="s">
        <v>4257</v>
      </c>
      <c r="M1161" s="20" t="s">
        <v>2667</v>
      </c>
      <c r="N1161" s="20" t="s">
        <v>3346</v>
      </c>
      <c r="P1161" s="20" t="s">
        <v>2667</v>
      </c>
      <c r="Q1161" s="20" t="s">
        <v>2674</v>
      </c>
      <c r="R1161" s="20" t="s">
        <v>84</v>
      </c>
      <c r="S1161" s="20">
        <v>5</v>
      </c>
      <c r="T1161" s="20" t="s">
        <v>635</v>
      </c>
      <c r="U1161" s="20" t="s">
        <v>636</v>
      </c>
      <c r="V1161" s="20" t="s">
        <v>87</v>
      </c>
      <c r="W1161" s="20">
        <v>808</v>
      </c>
      <c r="X1161" s="20">
        <v>808</v>
      </c>
      <c r="Y1161" s="20" t="s">
        <v>4258</v>
      </c>
      <c r="Z1161" s="20">
        <v>0.25</v>
      </c>
      <c r="AA1161" s="20" t="s">
        <v>4264</v>
      </c>
      <c r="AB1161" s="20" t="s">
        <v>248</v>
      </c>
      <c r="AC1161" s="20" t="s">
        <v>249</v>
      </c>
      <c r="AD1161" s="20" t="s">
        <v>4260</v>
      </c>
      <c r="AE1161" s="20" t="s">
        <v>400</v>
      </c>
      <c r="AF1161" s="20">
        <v>0.25</v>
      </c>
      <c r="AG1161" s="20">
        <v>0</v>
      </c>
      <c r="AH1161" s="20">
        <v>1</v>
      </c>
      <c r="AI1161" s="4" t="s">
        <v>647</v>
      </c>
      <c r="AJ1161" s="20">
        <v>25</v>
      </c>
      <c r="AK1161" s="4" t="s">
        <v>641</v>
      </c>
      <c r="AL1161" s="4">
        <v>7</v>
      </c>
      <c r="AM1161" s="4" t="s">
        <v>514</v>
      </c>
      <c r="AN1161" s="4" t="s">
        <v>95</v>
      </c>
      <c r="AO1161" s="4" t="s">
        <v>96</v>
      </c>
      <c r="AP1161" s="4">
        <v>1</v>
      </c>
      <c r="AQ1161" s="20">
        <v>69000</v>
      </c>
      <c r="AR1161" s="4">
        <v>41898</v>
      </c>
      <c r="AS1161" s="20">
        <v>12545.454545454544</v>
      </c>
      <c r="AT1161" s="20">
        <v>0</v>
      </c>
      <c r="AU1161" s="20">
        <v>-12545.454545454544</v>
      </c>
      <c r="AV1161" s="20">
        <v>0</v>
      </c>
      <c r="AW1161" s="20">
        <v>0</v>
      </c>
      <c r="AX1161" s="20" t="s">
        <v>91</v>
      </c>
      <c r="AY1161" s="20">
        <v>0</v>
      </c>
      <c r="AZ1161" s="20">
        <v>0</v>
      </c>
      <c r="BA1161" s="20">
        <v>0</v>
      </c>
      <c r="BB1161" s="6">
        <v>41898</v>
      </c>
      <c r="BC1161" s="6">
        <v>0</v>
      </c>
      <c r="BD1161" s="6">
        <v>41901</v>
      </c>
      <c r="BE1161" s="6">
        <v>0</v>
      </c>
      <c r="BF1161" s="6">
        <v>41899</v>
      </c>
      <c r="BG1161" s="6">
        <v>0</v>
      </c>
      <c r="BH1161" s="6">
        <v>0</v>
      </c>
      <c r="BI1161" s="6">
        <v>0</v>
      </c>
      <c r="BJ1161" s="6">
        <v>0</v>
      </c>
      <c r="BK1161" s="4">
        <v>0</v>
      </c>
      <c r="BL1161" s="4">
        <v>0</v>
      </c>
      <c r="BM1161" s="20">
        <v>23</v>
      </c>
      <c r="BN1161" s="20">
        <v>0</v>
      </c>
      <c r="BO1161" s="20">
        <v>0</v>
      </c>
      <c r="BP1161" s="20">
        <v>0</v>
      </c>
      <c r="BQ1161" s="20">
        <v>0</v>
      </c>
      <c r="BR1161" s="20">
        <v>0</v>
      </c>
      <c r="BS1161" s="20">
        <v>25</v>
      </c>
      <c r="BT1161" s="20">
        <v>313636.36363636359</v>
      </c>
      <c r="BU1161" s="20">
        <v>1725000</v>
      </c>
      <c r="BV1161" s="20">
        <v>5</v>
      </c>
    </row>
    <row r="1162" spans="1:74">
      <c r="A1162" s="10">
        <f t="shared" si="74"/>
        <v>0</v>
      </c>
      <c r="B1162" s="10">
        <f t="shared" si="75"/>
        <v>0</v>
      </c>
      <c r="C1162" s="12">
        <f t="shared" si="76"/>
        <v>9</v>
      </c>
      <c r="D1162" s="12">
        <f t="shared" si="77"/>
        <v>9</v>
      </c>
      <c r="E1162" s="20" t="s">
        <v>574</v>
      </c>
      <c r="F1162" s="20" t="s">
        <v>3089</v>
      </c>
      <c r="G1162" s="20" t="s">
        <v>4214</v>
      </c>
      <c r="H1162" s="20" t="s">
        <v>4254</v>
      </c>
      <c r="I1162" s="20">
        <v>4</v>
      </c>
      <c r="J1162" s="20" t="s">
        <v>4255</v>
      </c>
      <c r="K1162" s="20" t="s">
        <v>4265</v>
      </c>
      <c r="L1162" s="20" t="s">
        <v>4257</v>
      </c>
      <c r="M1162" s="20" t="s">
        <v>2667</v>
      </c>
      <c r="N1162" s="20" t="s">
        <v>3346</v>
      </c>
      <c r="P1162" s="20" t="s">
        <v>2667</v>
      </c>
      <c r="Q1162" s="20" t="s">
        <v>2674</v>
      </c>
      <c r="R1162" s="20" t="s">
        <v>84</v>
      </c>
      <c r="S1162" s="20">
        <v>5</v>
      </c>
      <c r="T1162" s="20" t="s">
        <v>635</v>
      </c>
      <c r="U1162" s="20" t="s">
        <v>636</v>
      </c>
      <c r="V1162" s="20" t="s">
        <v>87</v>
      </c>
      <c r="W1162" s="20">
        <v>808</v>
      </c>
      <c r="X1162" s="20">
        <v>808</v>
      </c>
      <c r="Y1162" s="20" t="s">
        <v>4258</v>
      </c>
      <c r="Z1162" s="20">
        <v>0.25</v>
      </c>
      <c r="AA1162" s="20" t="s">
        <v>4266</v>
      </c>
      <c r="AB1162" s="20" t="s">
        <v>248</v>
      </c>
      <c r="AC1162" s="20" t="s">
        <v>249</v>
      </c>
      <c r="AD1162" s="20" t="s">
        <v>4260</v>
      </c>
      <c r="AE1162" s="20" t="s">
        <v>400</v>
      </c>
      <c r="AF1162" s="20">
        <v>0.25</v>
      </c>
      <c r="AG1162" s="20">
        <v>0</v>
      </c>
      <c r="AH1162" s="20">
        <v>1</v>
      </c>
      <c r="AI1162" s="4" t="s">
        <v>651</v>
      </c>
      <c r="AJ1162" s="20">
        <v>16</v>
      </c>
      <c r="AK1162" s="4" t="s">
        <v>641</v>
      </c>
      <c r="AL1162" s="4">
        <v>7</v>
      </c>
      <c r="AM1162" s="4" t="s">
        <v>514</v>
      </c>
      <c r="AN1162" s="4" t="s">
        <v>95</v>
      </c>
      <c r="AO1162" s="4" t="s">
        <v>96</v>
      </c>
      <c r="AP1162" s="4">
        <v>1</v>
      </c>
      <c r="AQ1162" s="20">
        <v>69000</v>
      </c>
      <c r="AR1162" s="4">
        <v>41898</v>
      </c>
      <c r="AS1162" s="20">
        <v>12545.454545454544</v>
      </c>
      <c r="AT1162" s="20">
        <v>0</v>
      </c>
      <c r="AU1162" s="20">
        <v>-12545.454545454544</v>
      </c>
      <c r="AV1162" s="20">
        <v>0</v>
      </c>
      <c r="AW1162" s="20">
        <v>0</v>
      </c>
      <c r="AX1162" s="20" t="s">
        <v>91</v>
      </c>
      <c r="AY1162" s="20">
        <v>0</v>
      </c>
      <c r="AZ1162" s="20">
        <v>0</v>
      </c>
      <c r="BA1162" s="20">
        <v>0</v>
      </c>
      <c r="BB1162" s="6">
        <v>41898</v>
      </c>
      <c r="BC1162" s="6">
        <v>0</v>
      </c>
      <c r="BD1162" s="6">
        <v>41901</v>
      </c>
      <c r="BE1162" s="6">
        <v>0</v>
      </c>
      <c r="BF1162" s="6">
        <v>41899</v>
      </c>
      <c r="BG1162" s="6">
        <v>0</v>
      </c>
      <c r="BH1162" s="6">
        <v>0</v>
      </c>
      <c r="BI1162" s="6">
        <v>0</v>
      </c>
      <c r="BJ1162" s="6">
        <v>0</v>
      </c>
      <c r="BK1162" s="4">
        <v>0</v>
      </c>
      <c r="BL1162" s="4">
        <v>0</v>
      </c>
      <c r="BM1162" s="20">
        <v>16</v>
      </c>
      <c r="BN1162" s="20">
        <v>0</v>
      </c>
      <c r="BO1162" s="20">
        <v>0</v>
      </c>
      <c r="BP1162" s="20">
        <v>0</v>
      </c>
      <c r="BQ1162" s="20">
        <v>0</v>
      </c>
      <c r="BR1162" s="20">
        <v>0</v>
      </c>
      <c r="BS1162" s="20">
        <v>16</v>
      </c>
      <c r="BT1162" s="20">
        <v>200727.27272727271</v>
      </c>
      <c r="BU1162" s="20">
        <v>1104000</v>
      </c>
      <c r="BV1162" s="20">
        <v>5</v>
      </c>
    </row>
    <row r="1163" spans="1:74">
      <c r="A1163" s="10">
        <f t="shared" si="74"/>
        <v>0</v>
      </c>
      <c r="B1163" s="10">
        <f t="shared" si="75"/>
        <v>0</v>
      </c>
      <c r="C1163" s="12">
        <f t="shared" si="76"/>
        <v>9</v>
      </c>
      <c r="D1163" s="12">
        <f t="shared" si="77"/>
        <v>9</v>
      </c>
      <c r="E1163" s="20" t="s">
        <v>574</v>
      </c>
      <c r="F1163" s="20" t="s">
        <v>3089</v>
      </c>
      <c r="G1163" s="20" t="s">
        <v>4214</v>
      </c>
      <c r="H1163" s="20" t="s">
        <v>4267</v>
      </c>
      <c r="I1163" s="20">
        <v>5</v>
      </c>
      <c r="J1163" s="20" t="s">
        <v>4268</v>
      </c>
      <c r="K1163" s="20" t="s">
        <v>4269</v>
      </c>
      <c r="L1163" s="20" t="s">
        <v>4270</v>
      </c>
      <c r="M1163" s="20" t="s">
        <v>2667</v>
      </c>
      <c r="N1163" s="20" t="s">
        <v>3346</v>
      </c>
      <c r="P1163" s="20" t="s">
        <v>2667</v>
      </c>
      <c r="Q1163" s="20" t="s">
        <v>2674</v>
      </c>
      <c r="R1163" s="20" t="s">
        <v>84</v>
      </c>
      <c r="S1163" s="20">
        <v>5</v>
      </c>
      <c r="T1163" s="20" t="s">
        <v>635</v>
      </c>
      <c r="U1163" s="20" t="s">
        <v>636</v>
      </c>
      <c r="V1163" s="20" t="s">
        <v>87</v>
      </c>
      <c r="W1163" s="20">
        <v>809</v>
      </c>
      <c r="X1163" s="20">
        <v>809</v>
      </c>
      <c r="Y1163" s="20" t="s">
        <v>4271</v>
      </c>
      <c r="Z1163" s="20">
        <v>0.25</v>
      </c>
      <c r="AA1163" s="20" t="s">
        <v>4272</v>
      </c>
      <c r="AB1163" s="20" t="s">
        <v>279</v>
      </c>
      <c r="AC1163" s="20" t="s">
        <v>280</v>
      </c>
      <c r="AD1163" s="20" t="s">
        <v>4273</v>
      </c>
      <c r="AE1163" s="20" t="s">
        <v>400</v>
      </c>
      <c r="AF1163" s="20">
        <v>0.25</v>
      </c>
      <c r="AG1163" s="20">
        <v>0</v>
      </c>
      <c r="AH1163" s="20">
        <v>1</v>
      </c>
      <c r="AI1163" s="4" t="s">
        <v>643</v>
      </c>
      <c r="AJ1163" s="20">
        <v>100</v>
      </c>
      <c r="AK1163" s="4" t="s">
        <v>641</v>
      </c>
      <c r="AL1163" s="4">
        <v>7</v>
      </c>
      <c r="AM1163" s="4" t="s">
        <v>514</v>
      </c>
      <c r="AN1163" s="4" t="s">
        <v>95</v>
      </c>
      <c r="AO1163" s="4" t="s">
        <v>96</v>
      </c>
      <c r="AP1163" s="4">
        <v>1</v>
      </c>
      <c r="AQ1163" s="20">
        <v>69000</v>
      </c>
      <c r="AR1163" s="4">
        <v>41898</v>
      </c>
      <c r="AS1163" s="20">
        <v>12545.454545454544</v>
      </c>
      <c r="AT1163" s="20">
        <v>0</v>
      </c>
      <c r="AU1163" s="20">
        <v>-12545.454545454544</v>
      </c>
      <c r="AV1163" s="20">
        <v>0</v>
      </c>
      <c r="AW1163" s="20">
        <v>0</v>
      </c>
      <c r="AX1163" s="20" t="s">
        <v>91</v>
      </c>
      <c r="AY1163" s="20">
        <v>0</v>
      </c>
      <c r="AZ1163" s="20">
        <v>0</v>
      </c>
      <c r="BA1163" s="20">
        <v>0</v>
      </c>
      <c r="BB1163" s="6">
        <v>41898</v>
      </c>
      <c r="BC1163" s="6">
        <v>0</v>
      </c>
      <c r="BD1163" s="6">
        <v>41901</v>
      </c>
      <c r="BE1163" s="6">
        <v>0</v>
      </c>
      <c r="BF1163" s="6">
        <v>41899</v>
      </c>
      <c r="BG1163" s="6">
        <v>0</v>
      </c>
      <c r="BH1163" s="6">
        <v>0</v>
      </c>
      <c r="BI1163" s="6">
        <v>0</v>
      </c>
      <c r="BJ1163" s="6">
        <v>0</v>
      </c>
      <c r="BK1163" s="4">
        <v>0</v>
      </c>
      <c r="BL1163" s="4">
        <v>0</v>
      </c>
      <c r="BM1163" s="20">
        <v>100</v>
      </c>
      <c r="BN1163" s="20">
        <v>0</v>
      </c>
      <c r="BO1163" s="20">
        <v>0</v>
      </c>
      <c r="BP1163" s="20">
        <v>0</v>
      </c>
      <c r="BQ1163" s="20">
        <v>0</v>
      </c>
      <c r="BR1163" s="20">
        <v>0</v>
      </c>
      <c r="BS1163" s="20">
        <v>100</v>
      </c>
      <c r="BT1163" s="20">
        <v>1254545.4545454544</v>
      </c>
      <c r="BU1163" s="20">
        <v>6900000</v>
      </c>
      <c r="BV1163" s="20">
        <v>5</v>
      </c>
    </row>
    <row r="1164" spans="1:74">
      <c r="A1164" s="10">
        <f t="shared" si="74"/>
        <v>0</v>
      </c>
      <c r="B1164" s="10">
        <f t="shared" si="75"/>
        <v>0</v>
      </c>
      <c r="C1164" s="12">
        <f t="shared" si="76"/>
        <v>9</v>
      </c>
      <c r="D1164" s="12">
        <f t="shared" si="77"/>
        <v>9</v>
      </c>
      <c r="E1164" s="20" t="s">
        <v>574</v>
      </c>
      <c r="F1164" s="20" t="s">
        <v>3089</v>
      </c>
      <c r="G1164" s="20" t="s">
        <v>4214</v>
      </c>
      <c r="H1164" s="20" t="s">
        <v>4267</v>
      </c>
      <c r="I1164" s="20">
        <v>5</v>
      </c>
      <c r="J1164" s="20" t="s">
        <v>4268</v>
      </c>
      <c r="K1164" s="20" t="s">
        <v>4274</v>
      </c>
      <c r="L1164" s="20" t="s">
        <v>4270</v>
      </c>
      <c r="M1164" s="20" t="s">
        <v>2667</v>
      </c>
      <c r="N1164" s="20" t="s">
        <v>3346</v>
      </c>
      <c r="P1164" s="20" t="s">
        <v>2667</v>
      </c>
      <c r="Q1164" s="20" t="s">
        <v>2674</v>
      </c>
      <c r="R1164" s="20" t="s">
        <v>84</v>
      </c>
      <c r="S1164" s="20">
        <v>5</v>
      </c>
      <c r="T1164" s="20" t="s">
        <v>635</v>
      </c>
      <c r="U1164" s="20" t="s">
        <v>636</v>
      </c>
      <c r="V1164" s="20" t="s">
        <v>87</v>
      </c>
      <c r="W1164" s="20">
        <v>809</v>
      </c>
      <c r="X1164" s="20">
        <v>809</v>
      </c>
      <c r="Y1164" s="20" t="s">
        <v>4271</v>
      </c>
      <c r="Z1164" s="20">
        <v>0.25</v>
      </c>
      <c r="AA1164" s="20" t="s">
        <v>4275</v>
      </c>
      <c r="AB1164" s="20" t="s">
        <v>279</v>
      </c>
      <c r="AC1164" s="20" t="s">
        <v>280</v>
      </c>
      <c r="AD1164" s="20" t="s">
        <v>4273</v>
      </c>
      <c r="AE1164" s="20" t="s">
        <v>400</v>
      </c>
      <c r="AF1164" s="20">
        <v>0.25</v>
      </c>
      <c r="AG1164" s="20">
        <v>0</v>
      </c>
      <c r="AH1164" s="20">
        <v>1</v>
      </c>
      <c r="AI1164" s="4" t="s">
        <v>645</v>
      </c>
      <c r="AJ1164" s="20">
        <v>100</v>
      </c>
      <c r="AK1164" s="4" t="s">
        <v>641</v>
      </c>
      <c r="AL1164" s="4">
        <v>7</v>
      </c>
      <c r="AM1164" s="4" t="s">
        <v>514</v>
      </c>
      <c r="AN1164" s="4" t="s">
        <v>95</v>
      </c>
      <c r="AO1164" s="4" t="s">
        <v>96</v>
      </c>
      <c r="AP1164" s="4">
        <v>1</v>
      </c>
      <c r="AQ1164" s="20">
        <v>69000</v>
      </c>
      <c r="AR1164" s="4">
        <v>41898</v>
      </c>
      <c r="AS1164" s="20">
        <v>12545.454545454544</v>
      </c>
      <c r="AT1164" s="20">
        <v>0</v>
      </c>
      <c r="AU1164" s="20">
        <v>-12545.454545454544</v>
      </c>
      <c r="AV1164" s="20">
        <v>0</v>
      </c>
      <c r="AW1164" s="20">
        <v>0</v>
      </c>
      <c r="AX1164" s="20" t="s">
        <v>91</v>
      </c>
      <c r="AY1164" s="20">
        <v>0</v>
      </c>
      <c r="AZ1164" s="20">
        <v>0</v>
      </c>
      <c r="BA1164" s="20">
        <v>0</v>
      </c>
      <c r="BB1164" s="6">
        <v>41898</v>
      </c>
      <c r="BC1164" s="6">
        <v>0</v>
      </c>
      <c r="BD1164" s="6">
        <v>41901</v>
      </c>
      <c r="BE1164" s="6">
        <v>0</v>
      </c>
      <c r="BF1164" s="6">
        <v>41899</v>
      </c>
      <c r="BG1164" s="6">
        <v>0</v>
      </c>
      <c r="BH1164" s="6">
        <v>0</v>
      </c>
      <c r="BI1164" s="6">
        <v>0</v>
      </c>
      <c r="BJ1164" s="6">
        <v>0</v>
      </c>
      <c r="BK1164" s="4">
        <v>0</v>
      </c>
      <c r="BL1164" s="4">
        <v>0</v>
      </c>
      <c r="BM1164" s="20">
        <v>100</v>
      </c>
      <c r="BN1164" s="20">
        <v>0</v>
      </c>
      <c r="BO1164" s="20">
        <v>0</v>
      </c>
      <c r="BP1164" s="20">
        <v>0</v>
      </c>
      <c r="BQ1164" s="20">
        <v>0</v>
      </c>
      <c r="BR1164" s="20">
        <v>0</v>
      </c>
      <c r="BS1164" s="20">
        <v>100</v>
      </c>
      <c r="BT1164" s="20">
        <v>1254545.4545454544</v>
      </c>
      <c r="BU1164" s="20">
        <v>6900000</v>
      </c>
      <c r="BV1164" s="20">
        <v>5</v>
      </c>
    </row>
    <row r="1165" spans="1:74">
      <c r="A1165" s="10">
        <f t="shared" si="74"/>
        <v>0</v>
      </c>
      <c r="B1165" s="10">
        <f t="shared" si="75"/>
        <v>0</v>
      </c>
      <c r="C1165" s="12">
        <f t="shared" si="76"/>
        <v>9</v>
      </c>
      <c r="D1165" s="12">
        <f t="shared" si="77"/>
        <v>9</v>
      </c>
      <c r="E1165" s="20" t="s">
        <v>574</v>
      </c>
      <c r="F1165" s="20" t="s">
        <v>3089</v>
      </c>
      <c r="G1165" s="20" t="s">
        <v>4214</v>
      </c>
      <c r="H1165" s="20" t="s">
        <v>4267</v>
      </c>
      <c r="I1165" s="20">
        <v>5</v>
      </c>
      <c r="J1165" s="20" t="s">
        <v>4268</v>
      </c>
      <c r="K1165" s="20" t="s">
        <v>4276</v>
      </c>
      <c r="L1165" s="20" t="s">
        <v>4270</v>
      </c>
      <c r="M1165" s="20" t="s">
        <v>2667</v>
      </c>
      <c r="N1165" s="20" t="s">
        <v>3346</v>
      </c>
      <c r="P1165" s="20" t="s">
        <v>2667</v>
      </c>
      <c r="Q1165" s="20" t="s">
        <v>2674</v>
      </c>
      <c r="R1165" s="20" t="s">
        <v>84</v>
      </c>
      <c r="S1165" s="20">
        <v>5</v>
      </c>
      <c r="T1165" s="20" t="s">
        <v>635</v>
      </c>
      <c r="U1165" s="20" t="s">
        <v>636</v>
      </c>
      <c r="V1165" s="20" t="s">
        <v>87</v>
      </c>
      <c r="W1165" s="20">
        <v>809</v>
      </c>
      <c r="X1165" s="20">
        <v>809</v>
      </c>
      <c r="Y1165" s="20" t="s">
        <v>4271</v>
      </c>
      <c r="Z1165" s="20">
        <v>0.25</v>
      </c>
      <c r="AA1165" s="20" t="s">
        <v>4277</v>
      </c>
      <c r="AB1165" s="20" t="s">
        <v>279</v>
      </c>
      <c r="AC1165" s="20" t="s">
        <v>280</v>
      </c>
      <c r="AD1165" s="20" t="s">
        <v>4273</v>
      </c>
      <c r="AE1165" s="20" t="s">
        <v>400</v>
      </c>
      <c r="AF1165" s="20">
        <v>0.25</v>
      </c>
      <c r="AG1165" s="20">
        <v>0</v>
      </c>
      <c r="AH1165" s="20">
        <v>1</v>
      </c>
      <c r="AI1165" s="4" t="s">
        <v>647</v>
      </c>
      <c r="AJ1165" s="20">
        <v>100</v>
      </c>
      <c r="AK1165" s="4" t="s">
        <v>641</v>
      </c>
      <c r="AL1165" s="4">
        <v>7</v>
      </c>
      <c r="AM1165" s="4" t="s">
        <v>514</v>
      </c>
      <c r="AN1165" s="4" t="s">
        <v>95</v>
      </c>
      <c r="AO1165" s="4" t="s">
        <v>96</v>
      </c>
      <c r="AP1165" s="4">
        <v>1</v>
      </c>
      <c r="AQ1165" s="20">
        <v>69000</v>
      </c>
      <c r="AR1165" s="4">
        <v>41898</v>
      </c>
      <c r="AS1165" s="20">
        <v>12545.454545454544</v>
      </c>
      <c r="AT1165" s="20">
        <v>0</v>
      </c>
      <c r="AU1165" s="20">
        <v>-12545.454545454544</v>
      </c>
      <c r="AV1165" s="20">
        <v>0</v>
      </c>
      <c r="AW1165" s="20">
        <v>0</v>
      </c>
      <c r="AX1165" s="20" t="s">
        <v>91</v>
      </c>
      <c r="AY1165" s="20">
        <v>0</v>
      </c>
      <c r="AZ1165" s="20">
        <v>0</v>
      </c>
      <c r="BA1165" s="20">
        <v>0</v>
      </c>
      <c r="BB1165" s="6">
        <v>41898</v>
      </c>
      <c r="BC1165" s="6">
        <v>0</v>
      </c>
      <c r="BD1165" s="6">
        <v>41901</v>
      </c>
      <c r="BE1165" s="6">
        <v>0</v>
      </c>
      <c r="BF1165" s="6">
        <v>41899</v>
      </c>
      <c r="BG1165" s="6">
        <v>0</v>
      </c>
      <c r="BH1165" s="6">
        <v>0</v>
      </c>
      <c r="BI1165" s="6">
        <v>0</v>
      </c>
      <c r="BJ1165" s="6">
        <v>0</v>
      </c>
      <c r="BK1165" s="4">
        <v>0</v>
      </c>
      <c r="BL1165" s="4">
        <v>0</v>
      </c>
      <c r="BM1165" s="20">
        <v>100</v>
      </c>
      <c r="BN1165" s="20">
        <v>0</v>
      </c>
      <c r="BO1165" s="20">
        <v>0</v>
      </c>
      <c r="BP1165" s="20">
        <v>0</v>
      </c>
      <c r="BQ1165" s="20">
        <v>0</v>
      </c>
      <c r="BR1165" s="20">
        <v>0</v>
      </c>
      <c r="BS1165" s="20">
        <v>100</v>
      </c>
      <c r="BT1165" s="20">
        <v>1254545.4545454544</v>
      </c>
      <c r="BU1165" s="20">
        <v>6900000</v>
      </c>
      <c r="BV1165" s="20">
        <v>5</v>
      </c>
    </row>
    <row r="1166" spans="1:74">
      <c r="A1166" s="10">
        <f t="shared" si="74"/>
        <v>0</v>
      </c>
      <c r="B1166" s="10">
        <f t="shared" si="75"/>
        <v>0</v>
      </c>
      <c r="C1166" s="12">
        <f t="shared" si="76"/>
        <v>9</v>
      </c>
      <c r="D1166" s="12">
        <f t="shared" si="77"/>
        <v>9</v>
      </c>
      <c r="E1166" s="20" t="s">
        <v>574</v>
      </c>
      <c r="F1166" s="20" t="s">
        <v>3089</v>
      </c>
      <c r="G1166" s="20" t="s">
        <v>4214</v>
      </c>
      <c r="H1166" s="20" t="s">
        <v>4267</v>
      </c>
      <c r="I1166" s="20">
        <v>5</v>
      </c>
      <c r="J1166" s="20" t="s">
        <v>4268</v>
      </c>
      <c r="K1166" s="20" t="s">
        <v>4278</v>
      </c>
      <c r="L1166" s="20" t="s">
        <v>4270</v>
      </c>
      <c r="M1166" s="20" t="s">
        <v>2667</v>
      </c>
      <c r="N1166" s="20" t="s">
        <v>3346</v>
      </c>
      <c r="P1166" s="20" t="s">
        <v>2667</v>
      </c>
      <c r="Q1166" s="20" t="s">
        <v>2674</v>
      </c>
      <c r="R1166" s="20" t="s">
        <v>84</v>
      </c>
      <c r="S1166" s="20">
        <v>5</v>
      </c>
      <c r="T1166" s="20" t="s">
        <v>635</v>
      </c>
      <c r="U1166" s="20" t="s">
        <v>636</v>
      </c>
      <c r="V1166" s="20" t="s">
        <v>87</v>
      </c>
      <c r="W1166" s="20">
        <v>809</v>
      </c>
      <c r="X1166" s="20">
        <v>809</v>
      </c>
      <c r="Y1166" s="20" t="s">
        <v>4271</v>
      </c>
      <c r="Z1166" s="20">
        <v>0.25</v>
      </c>
      <c r="AA1166" s="20" t="s">
        <v>4279</v>
      </c>
      <c r="AB1166" s="20" t="s">
        <v>279</v>
      </c>
      <c r="AC1166" s="20" t="s">
        <v>280</v>
      </c>
      <c r="AD1166" s="20" t="s">
        <v>4273</v>
      </c>
      <c r="AE1166" s="20" t="s">
        <v>400</v>
      </c>
      <c r="AF1166" s="20">
        <v>0.25</v>
      </c>
      <c r="AG1166" s="20">
        <v>0</v>
      </c>
      <c r="AH1166" s="20">
        <v>1</v>
      </c>
      <c r="AI1166" s="4" t="s">
        <v>651</v>
      </c>
      <c r="AJ1166" s="20">
        <v>100</v>
      </c>
      <c r="AK1166" s="4" t="s">
        <v>641</v>
      </c>
      <c r="AL1166" s="4">
        <v>7</v>
      </c>
      <c r="AM1166" s="4" t="s">
        <v>514</v>
      </c>
      <c r="AN1166" s="4" t="s">
        <v>95</v>
      </c>
      <c r="AO1166" s="4" t="s">
        <v>96</v>
      </c>
      <c r="AP1166" s="4">
        <v>1</v>
      </c>
      <c r="AQ1166" s="20">
        <v>69000</v>
      </c>
      <c r="AR1166" s="4">
        <v>41898</v>
      </c>
      <c r="AS1166" s="20">
        <v>12545.454545454544</v>
      </c>
      <c r="AT1166" s="20">
        <v>0</v>
      </c>
      <c r="AU1166" s="20">
        <v>-12545.454545454544</v>
      </c>
      <c r="AV1166" s="20">
        <v>0</v>
      </c>
      <c r="AW1166" s="20">
        <v>0</v>
      </c>
      <c r="AX1166" s="20" t="s">
        <v>91</v>
      </c>
      <c r="AY1166" s="20">
        <v>0</v>
      </c>
      <c r="AZ1166" s="20">
        <v>0</v>
      </c>
      <c r="BA1166" s="20">
        <v>0</v>
      </c>
      <c r="BB1166" s="6">
        <v>41898</v>
      </c>
      <c r="BC1166" s="6">
        <v>0</v>
      </c>
      <c r="BD1166" s="6">
        <v>41901</v>
      </c>
      <c r="BE1166" s="6">
        <v>0</v>
      </c>
      <c r="BF1166" s="6">
        <v>41899</v>
      </c>
      <c r="BG1166" s="6">
        <v>0</v>
      </c>
      <c r="BH1166" s="6">
        <v>0</v>
      </c>
      <c r="BI1166" s="6">
        <v>0</v>
      </c>
      <c r="BJ1166" s="6">
        <v>0</v>
      </c>
      <c r="BK1166" s="4">
        <v>0</v>
      </c>
      <c r="BL1166" s="4">
        <v>0</v>
      </c>
      <c r="BM1166" s="20">
        <v>100</v>
      </c>
      <c r="BN1166" s="20">
        <v>0</v>
      </c>
      <c r="BO1166" s="20">
        <v>0</v>
      </c>
      <c r="BP1166" s="20">
        <v>0</v>
      </c>
      <c r="BQ1166" s="20">
        <v>0</v>
      </c>
      <c r="BR1166" s="20">
        <v>0</v>
      </c>
      <c r="BS1166" s="20">
        <v>100</v>
      </c>
      <c r="BT1166" s="20">
        <v>1254545.4545454544</v>
      </c>
      <c r="BU1166" s="20">
        <v>6900000</v>
      </c>
      <c r="BV1166" s="20">
        <v>5</v>
      </c>
    </row>
    <row r="1167" spans="1:74">
      <c r="A1167" s="10">
        <f t="shared" si="74"/>
        <v>0</v>
      </c>
      <c r="B1167" s="10">
        <f t="shared" si="75"/>
        <v>0</v>
      </c>
      <c r="C1167" s="12" t="str">
        <f t="shared" si="76"/>
        <v/>
      </c>
      <c r="D1167" s="12" t="str">
        <f t="shared" si="77"/>
        <v/>
      </c>
      <c r="E1167" s="20" t="s">
        <v>91</v>
      </c>
      <c r="F1167" s="20" t="s">
        <v>91</v>
      </c>
      <c r="G1167" s="20" t="s">
        <v>91</v>
      </c>
      <c r="H1167" s="20" t="s">
        <v>91</v>
      </c>
      <c r="I1167" s="20">
        <v>0</v>
      </c>
      <c r="J1167" s="20" t="s">
        <v>103</v>
      </c>
      <c r="K1167" s="20" t="s">
        <v>104</v>
      </c>
      <c r="L1167" s="20">
        <v>0</v>
      </c>
      <c r="M1167" s="20" t="s">
        <v>105</v>
      </c>
      <c r="N1167" s="20" t="s">
        <v>91</v>
      </c>
      <c r="O1167" s="20" t="s">
        <v>4280</v>
      </c>
      <c r="Q1167" s="20" t="s">
        <v>91</v>
      </c>
      <c r="R1167" s="20" t="s">
        <v>91</v>
      </c>
      <c r="S1167" s="20" t="s">
        <v>91</v>
      </c>
      <c r="T1167" s="20" t="s">
        <v>91</v>
      </c>
      <c r="U1167" s="20" t="s">
        <v>91</v>
      </c>
      <c r="V1167" s="20" t="s">
        <v>87</v>
      </c>
      <c r="W1167" s="20" t="s">
        <v>91</v>
      </c>
      <c r="X1167" s="20" t="s">
        <v>91</v>
      </c>
      <c r="Y1167" s="20" t="s">
        <v>91</v>
      </c>
      <c r="Z1167" s="20">
        <v>5</v>
      </c>
      <c r="AB1167" s="20" t="s">
        <v>91</v>
      </c>
      <c r="AD1167" s="20" t="s">
        <v>91</v>
      </c>
      <c r="AE1167" s="20" t="s">
        <v>91</v>
      </c>
      <c r="AF1167" s="20">
        <v>5</v>
      </c>
      <c r="AG1167" s="20">
        <v>0</v>
      </c>
      <c r="AH1167" s="20">
        <v>1</v>
      </c>
      <c r="AM1167" s="4" t="s">
        <v>91</v>
      </c>
      <c r="AP1167" s="4" t="s">
        <v>91</v>
      </c>
      <c r="AQ1167" s="20">
        <v>0</v>
      </c>
      <c r="AR1167" s="4">
        <v>0</v>
      </c>
      <c r="AS1167" s="20">
        <v>0</v>
      </c>
      <c r="AT1167" s="20">
        <v>0</v>
      </c>
      <c r="AU1167" s="20">
        <v>0</v>
      </c>
      <c r="AV1167" s="20">
        <v>0</v>
      </c>
      <c r="AW1167" s="20">
        <v>0</v>
      </c>
      <c r="AX1167" s="20" t="s">
        <v>91</v>
      </c>
      <c r="AY1167" s="20">
        <v>0</v>
      </c>
      <c r="AZ1167" s="20">
        <v>0</v>
      </c>
      <c r="BA1167" s="20">
        <v>0</v>
      </c>
      <c r="BB1167" s="6">
        <v>0</v>
      </c>
      <c r="BC1167" s="6">
        <v>0</v>
      </c>
      <c r="BD1167" s="6">
        <v>0</v>
      </c>
      <c r="BE1167" s="6">
        <v>0</v>
      </c>
      <c r="BF1167" s="6">
        <v>0</v>
      </c>
      <c r="BG1167" s="6">
        <v>0</v>
      </c>
      <c r="BH1167" s="6">
        <v>0</v>
      </c>
      <c r="BI1167" s="6">
        <v>0</v>
      </c>
      <c r="BJ1167" s="6">
        <v>0</v>
      </c>
      <c r="BK1167" s="4">
        <v>0</v>
      </c>
      <c r="BL1167" s="4">
        <v>0</v>
      </c>
      <c r="BM1167" s="20">
        <v>1281</v>
      </c>
      <c r="BN1167" s="20">
        <v>400</v>
      </c>
      <c r="BO1167" s="20">
        <v>0</v>
      </c>
      <c r="BP1167" s="20">
        <v>0</v>
      </c>
      <c r="BQ1167" s="20">
        <v>0</v>
      </c>
      <c r="BR1167" s="20">
        <v>0</v>
      </c>
      <c r="BS1167" s="20">
        <v>1681</v>
      </c>
      <c r="BT1167" s="20">
        <v>24034363.636363626</v>
      </c>
      <c r="BU1167" s="20">
        <v>132189000</v>
      </c>
      <c r="BV1167" s="20">
        <v>5.0000000000000018</v>
      </c>
    </row>
    <row r="1168" spans="1:74">
      <c r="A1168" s="10">
        <f t="shared" si="74"/>
        <v>0</v>
      </c>
      <c r="B1168" s="10">
        <f t="shared" si="75"/>
        <v>0</v>
      </c>
      <c r="C1168" s="12">
        <f t="shared" si="76"/>
        <v>10</v>
      </c>
      <c r="D1168" s="12">
        <f t="shared" si="77"/>
        <v>10</v>
      </c>
      <c r="E1168" s="20" t="s">
        <v>114</v>
      </c>
      <c r="F1168" s="20" t="s">
        <v>2667</v>
      </c>
      <c r="G1168" s="20" t="s">
        <v>4292</v>
      </c>
      <c r="H1168" s="20" t="s">
        <v>4293</v>
      </c>
      <c r="I1168" s="20">
        <v>1</v>
      </c>
      <c r="J1168" s="20" t="s">
        <v>4294</v>
      </c>
      <c r="K1168" s="20" t="s">
        <v>4295</v>
      </c>
      <c r="L1168" s="20" t="s">
        <v>4296</v>
      </c>
      <c r="M1168" s="20" t="s">
        <v>2667</v>
      </c>
      <c r="N1168" s="20" t="s">
        <v>4297</v>
      </c>
      <c r="P1168" s="20" t="s">
        <v>2667</v>
      </c>
      <c r="Q1168" s="20" t="s">
        <v>2674</v>
      </c>
      <c r="R1168" s="20" t="s">
        <v>84</v>
      </c>
      <c r="S1168" s="20">
        <v>5</v>
      </c>
      <c r="T1168" s="20" t="s">
        <v>244</v>
      </c>
      <c r="U1168" s="20" t="s">
        <v>245</v>
      </c>
      <c r="V1168" s="20" t="s">
        <v>87</v>
      </c>
      <c r="W1168" s="20">
        <v>802</v>
      </c>
      <c r="X1168" s="20">
        <v>802</v>
      </c>
      <c r="Y1168" s="20" t="s">
        <v>4298</v>
      </c>
      <c r="Z1168" s="20">
        <v>1</v>
      </c>
      <c r="AA1168" s="20" t="s">
        <v>4299</v>
      </c>
      <c r="AB1168" s="20" t="s">
        <v>296</v>
      </c>
      <c r="AC1168" s="20" t="s">
        <v>297</v>
      </c>
      <c r="AD1168" s="20" t="s">
        <v>4300</v>
      </c>
      <c r="AE1168" s="20" t="s">
        <v>400</v>
      </c>
      <c r="AF1168" s="20">
        <v>1</v>
      </c>
      <c r="AG1168" s="20">
        <v>0</v>
      </c>
      <c r="AH1168" s="20">
        <v>1</v>
      </c>
      <c r="AI1168" s="4" t="s">
        <v>251</v>
      </c>
      <c r="AJ1168" s="20">
        <v>100</v>
      </c>
      <c r="AK1168" s="4" t="s">
        <v>179</v>
      </c>
      <c r="AL1168" s="4">
        <v>27</v>
      </c>
      <c r="AM1168" s="4">
        <v>27</v>
      </c>
      <c r="AN1168" s="4" t="s">
        <v>95</v>
      </c>
      <c r="AO1168" s="4" t="s">
        <v>96</v>
      </c>
      <c r="AP1168" s="4">
        <v>1</v>
      </c>
      <c r="AQ1168" s="20">
        <v>45000</v>
      </c>
      <c r="AR1168" s="4">
        <v>41918</v>
      </c>
      <c r="AS1168" s="20">
        <v>6818.1818181818171</v>
      </c>
      <c r="AT1168" s="20">
        <v>0</v>
      </c>
      <c r="AU1168" s="20">
        <v>-6818.1818181818171</v>
      </c>
      <c r="AV1168" s="20">
        <v>0</v>
      </c>
      <c r="AW1168" s="20">
        <v>0</v>
      </c>
      <c r="AX1168" s="20" t="s">
        <v>91</v>
      </c>
      <c r="AY1168" s="20">
        <v>0</v>
      </c>
      <c r="AZ1168" s="20">
        <v>0</v>
      </c>
      <c r="BA1168" s="20">
        <v>0</v>
      </c>
      <c r="BB1168" s="6">
        <v>41918</v>
      </c>
      <c r="BC1168" s="6">
        <v>0</v>
      </c>
      <c r="BD1168" s="6">
        <v>41922</v>
      </c>
      <c r="BE1168" s="6">
        <v>0</v>
      </c>
      <c r="BF1168" s="6">
        <v>41922</v>
      </c>
      <c r="BG1168" s="6">
        <v>0</v>
      </c>
      <c r="BH1168" s="6">
        <v>0</v>
      </c>
      <c r="BI1168" s="6">
        <v>0</v>
      </c>
      <c r="BJ1168" s="6">
        <v>0</v>
      </c>
      <c r="BK1168" s="4">
        <v>0</v>
      </c>
      <c r="BL1168" s="4">
        <v>0</v>
      </c>
      <c r="BM1168" s="20">
        <v>100</v>
      </c>
      <c r="BN1168" s="20">
        <v>0</v>
      </c>
      <c r="BO1168" s="20">
        <v>0</v>
      </c>
      <c r="BP1168" s="20">
        <v>0</v>
      </c>
      <c r="BQ1168" s="20">
        <v>0</v>
      </c>
      <c r="BR1168" s="20">
        <v>0</v>
      </c>
      <c r="BS1168" s="20">
        <v>100</v>
      </c>
      <c r="BT1168" s="20">
        <v>681818.18181818177</v>
      </c>
      <c r="BU1168" s="20">
        <v>4500000</v>
      </c>
      <c r="BV1168" s="20">
        <v>6</v>
      </c>
    </row>
    <row r="1169" spans="1:74">
      <c r="A1169" s="10">
        <f t="shared" si="74"/>
        <v>0</v>
      </c>
      <c r="B1169" s="10">
        <f t="shared" si="75"/>
        <v>0</v>
      </c>
      <c r="C1169" s="12">
        <f t="shared" si="76"/>
        <v>10</v>
      </c>
      <c r="D1169" s="12">
        <f t="shared" si="77"/>
        <v>10</v>
      </c>
      <c r="E1169" s="20" t="s">
        <v>114</v>
      </c>
      <c r="F1169" s="20" t="s">
        <v>2667</v>
      </c>
      <c r="G1169" s="20" t="s">
        <v>4292</v>
      </c>
      <c r="H1169" s="20" t="s">
        <v>4301</v>
      </c>
      <c r="I1169" s="20">
        <v>2</v>
      </c>
      <c r="J1169" s="20" t="s">
        <v>4302</v>
      </c>
      <c r="K1169" s="20" t="s">
        <v>4303</v>
      </c>
      <c r="L1169" s="20" t="s">
        <v>4304</v>
      </c>
      <c r="M1169" s="20" t="s">
        <v>2667</v>
      </c>
      <c r="N1169" s="20" t="s">
        <v>4297</v>
      </c>
      <c r="P1169" s="20" t="s">
        <v>2667</v>
      </c>
      <c r="Q1169" s="20" t="s">
        <v>2674</v>
      </c>
      <c r="R1169" s="20" t="s">
        <v>84</v>
      </c>
      <c r="S1169" s="20">
        <v>5</v>
      </c>
      <c r="T1169" s="20" t="s">
        <v>244</v>
      </c>
      <c r="U1169" s="20" t="s">
        <v>245</v>
      </c>
      <c r="V1169" s="20" t="s">
        <v>87</v>
      </c>
      <c r="W1169" s="20">
        <v>803</v>
      </c>
      <c r="X1169" s="20">
        <v>803</v>
      </c>
      <c r="Y1169" s="20" t="s">
        <v>4305</v>
      </c>
      <c r="Z1169" s="20">
        <v>1</v>
      </c>
      <c r="AA1169" s="20" t="s">
        <v>4306</v>
      </c>
      <c r="AB1169" s="20" t="s">
        <v>139</v>
      </c>
      <c r="AC1169" s="20" t="s">
        <v>140</v>
      </c>
      <c r="AD1169" s="20" t="s">
        <v>4307</v>
      </c>
      <c r="AE1169" s="20" t="s">
        <v>400</v>
      </c>
      <c r="AF1169" s="20">
        <v>1</v>
      </c>
      <c r="AG1169" s="20">
        <v>0</v>
      </c>
      <c r="AH1169" s="20">
        <v>1</v>
      </c>
      <c r="AI1169" s="4" t="s">
        <v>251</v>
      </c>
      <c r="AJ1169" s="20">
        <v>100</v>
      </c>
      <c r="AK1169" s="4" t="s">
        <v>179</v>
      </c>
      <c r="AL1169" s="4">
        <v>27</v>
      </c>
      <c r="AM1169" s="4">
        <v>27</v>
      </c>
      <c r="AN1169" s="4" t="s">
        <v>95</v>
      </c>
      <c r="AO1169" s="4" t="s">
        <v>96</v>
      </c>
      <c r="AP1169" s="4">
        <v>1</v>
      </c>
      <c r="AQ1169" s="20">
        <v>45000</v>
      </c>
      <c r="AR1169" s="4">
        <v>41918</v>
      </c>
      <c r="AS1169" s="20">
        <v>6818.1818181818171</v>
      </c>
      <c r="AT1169" s="20">
        <v>0</v>
      </c>
      <c r="AU1169" s="20">
        <v>-6818.1818181818171</v>
      </c>
      <c r="AV1169" s="20">
        <v>0</v>
      </c>
      <c r="AW1169" s="20">
        <v>0</v>
      </c>
      <c r="AX1169" s="20" t="s">
        <v>91</v>
      </c>
      <c r="AY1169" s="20">
        <v>0</v>
      </c>
      <c r="AZ1169" s="20">
        <v>0</v>
      </c>
      <c r="BA1169" s="20">
        <v>0</v>
      </c>
      <c r="BB1169" s="6">
        <v>41918</v>
      </c>
      <c r="BC1169" s="6">
        <v>0</v>
      </c>
      <c r="BD1169" s="6">
        <v>41922</v>
      </c>
      <c r="BE1169" s="6">
        <v>0</v>
      </c>
      <c r="BF1169" s="6">
        <v>41922</v>
      </c>
      <c r="BG1169" s="6">
        <v>0</v>
      </c>
      <c r="BH1169" s="6">
        <v>0</v>
      </c>
      <c r="BI1169" s="6">
        <v>0</v>
      </c>
      <c r="BJ1169" s="6">
        <v>0</v>
      </c>
      <c r="BK1169" s="4">
        <v>0</v>
      </c>
      <c r="BL1169" s="4">
        <v>0</v>
      </c>
      <c r="BM1169" s="20">
        <v>100</v>
      </c>
      <c r="BN1169" s="20">
        <v>0</v>
      </c>
      <c r="BO1169" s="20">
        <v>0</v>
      </c>
      <c r="BP1169" s="20">
        <v>0</v>
      </c>
      <c r="BQ1169" s="20">
        <v>0</v>
      </c>
      <c r="BR1169" s="20">
        <v>0</v>
      </c>
      <c r="BS1169" s="20">
        <v>100</v>
      </c>
      <c r="BT1169" s="20">
        <v>681818.18181818177</v>
      </c>
      <c r="BU1169" s="20">
        <v>4500000</v>
      </c>
      <c r="BV1169" s="20">
        <v>6</v>
      </c>
    </row>
    <row r="1170" spans="1:74">
      <c r="A1170" s="10">
        <f t="shared" si="74"/>
        <v>0</v>
      </c>
      <c r="B1170" s="10">
        <f t="shared" si="75"/>
        <v>0</v>
      </c>
      <c r="C1170" s="12">
        <f t="shared" si="76"/>
        <v>10</v>
      </c>
      <c r="D1170" s="12">
        <f t="shared" si="77"/>
        <v>10</v>
      </c>
      <c r="E1170" s="20" t="s">
        <v>114</v>
      </c>
      <c r="F1170" s="20" t="s">
        <v>2667</v>
      </c>
      <c r="G1170" s="20" t="s">
        <v>4292</v>
      </c>
      <c r="H1170" s="20" t="s">
        <v>4308</v>
      </c>
      <c r="I1170" s="20">
        <v>3</v>
      </c>
      <c r="J1170" s="20" t="s">
        <v>4309</v>
      </c>
      <c r="K1170" s="20" t="s">
        <v>4310</v>
      </c>
      <c r="L1170" s="20" t="s">
        <v>4311</v>
      </c>
      <c r="M1170" s="20" t="s">
        <v>2667</v>
      </c>
      <c r="N1170" s="20" t="s">
        <v>4297</v>
      </c>
      <c r="P1170" s="20" t="s">
        <v>2667</v>
      </c>
      <c r="Q1170" s="20" t="s">
        <v>2674</v>
      </c>
      <c r="R1170" s="20" t="s">
        <v>84</v>
      </c>
      <c r="S1170" s="20">
        <v>5</v>
      </c>
      <c r="T1170" s="20" t="s">
        <v>244</v>
      </c>
      <c r="U1170" s="20" t="s">
        <v>245</v>
      </c>
      <c r="V1170" s="20" t="s">
        <v>87</v>
      </c>
      <c r="W1170" s="20">
        <v>804</v>
      </c>
      <c r="X1170" s="20">
        <v>804</v>
      </c>
      <c r="Y1170" s="20" t="s">
        <v>4312</v>
      </c>
      <c r="Z1170" s="20">
        <v>1</v>
      </c>
      <c r="AA1170" s="20" t="s">
        <v>4313</v>
      </c>
      <c r="AB1170" s="20" t="s">
        <v>248</v>
      </c>
      <c r="AC1170" s="20" t="s">
        <v>249</v>
      </c>
      <c r="AD1170" s="20" t="s">
        <v>4314</v>
      </c>
      <c r="AE1170" s="20" t="s">
        <v>400</v>
      </c>
      <c r="AF1170" s="20">
        <v>1</v>
      </c>
      <c r="AG1170" s="20">
        <v>0</v>
      </c>
      <c r="AH1170" s="20">
        <v>1</v>
      </c>
      <c r="AI1170" s="4" t="s">
        <v>251</v>
      </c>
      <c r="AJ1170" s="20">
        <v>50</v>
      </c>
      <c r="AK1170" s="4" t="s">
        <v>179</v>
      </c>
      <c r="AL1170" s="4">
        <v>27</v>
      </c>
      <c r="AM1170" s="4">
        <v>27</v>
      </c>
      <c r="AN1170" s="4" t="s">
        <v>95</v>
      </c>
      <c r="AO1170" s="4" t="s">
        <v>96</v>
      </c>
      <c r="AP1170" s="4">
        <v>1</v>
      </c>
      <c r="AQ1170" s="20">
        <v>35000</v>
      </c>
      <c r="AR1170" s="4">
        <v>41918</v>
      </c>
      <c r="AS1170" s="20">
        <v>5303.030303030303</v>
      </c>
      <c r="AT1170" s="20">
        <v>0</v>
      </c>
      <c r="AU1170" s="20">
        <v>-5303.030303030303</v>
      </c>
      <c r="AV1170" s="20">
        <v>0</v>
      </c>
      <c r="AW1170" s="20">
        <v>0</v>
      </c>
      <c r="AX1170" s="20" t="s">
        <v>91</v>
      </c>
      <c r="AY1170" s="20">
        <v>0</v>
      </c>
      <c r="AZ1170" s="20">
        <v>0</v>
      </c>
      <c r="BA1170" s="20">
        <v>0</v>
      </c>
      <c r="BB1170" s="6">
        <v>41918</v>
      </c>
      <c r="BC1170" s="6">
        <v>0</v>
      </c>
      <c r="BD1170" s="6">
        <v>41922</v>
      </c>
      <c r="BE1170" s="6">
        <v>0</v>
      </c>
      <c r="BF1170" s="6">
        <v>41922</v>
      </c>
      <c r="BG1170" s="6">
        <v>0</v>
      </c>
      <c r="BH1170" s="6">
        <v>0</v>
      </c>
      <c r="BI1170" s="6">
        <v>0</v>
      </c>
      <c r="BJ1170" s="6">
        <v>0</v>
      </c>
      <c r="BK1170" s="4">
        <v>0</v>
      </c>
      <c r="BL1170" s="4">
        <v>0</v>
      </c>
      <c r="BM1170" s="20">
        <v>50</v>
      </c>
      <c r="BN1170" s="20">
        <v>0</v>
      </c>
      <c r="BO1170" s="20">
        <v>0</v>
      </c>
      <c r="BP1170" s="20">
        <v>0</v>
      </c>
      <c r="BQ1170" s="20">
        <v>0</v>
      </c>
      <c r="BR1170" s="20">
        <v>0</v>
      </c>
      <c r="BS1170" s="20">
        <v>50</v>
      </c>
      <c r="BT1170" s="20">
        <v>265151.51515151514</v>
      </c>
      <c r="BU1170" s="20">
        <v>1750000</v>
      </c>
      <c r="BV1170" s="20">
        <v>6</v>
      </c>
    </row>
    <row r="1171" spans="1:74">
      <c r="A1171" s="10">
        <f t="shared" si="74"/>
        <v>0</v>
      </c>
      <c r="B1171" s="10">
        <f t="shared" si="75"/>
        <v>0</v>
      </c>
      <c r="C1171" s="12">
        <f t="shared" si="76"/>
        <v>10</v>
      </c>
      <c r="D1171" s="12">
        <f t="shared" si="77"/>
        <v>10</v>
      </c>
      <c r="E1171" s="20" t="s">
        <v>114</v>
      </c>
      <c r="F1171" s="20" t="s">
        <v>2667</v>
      </c>
      <c r="G1171" s="20" t="s">
        <v>4292</v>
      </c>
      <c r="H1171" s="20" t="s">
        <v>4315</v>
      </c>
      <c r="I1171" s="20">
        <v>4</v>
      </c>
      <c r="J1171" s="20" t="s">
        <v>4316</v>
      </c>
      <c r="K1171" s="20" t="s">
        <v>4317</v>
      </c>
      <c r="L1171" s="20" t="s">
        <v>4311</v>
      </c>
      <c r="M1171" s="20" t="s">
        <v>2667</v>
      </c>
      <c r="N1171" s="20" t="s">
        <v>4297</v>
      </c>
      <c r="P1171" s="20" t="s">
        <v>2667</v>
      </c>
      <c r="Q1171" s="20" t="s">
        <v>2674</v>
      </c>
      <c r="R1171" s="20" t="s">
        <v>84</v>
      </c>
      <c r="S1171" s="20">
        <v>5</v>
      </c>
      <c r="T1171" s="20" t="s">
        <v>244</v>
      </c>
      <c r="U1171" s="20" t="s">
        <v>245</v>
      </c>
      <c r="V1171" s="20" t="s">
        <v>87</v>
      </c>
      <c r="W1171" s="20">
        <v>804</v>
      </c>
      <c r="X1171" s="20">
        <v>804</v>
      </c>
      <c r="Y1171" s="20" t="s">
        <v>4312</v>
      </c>
      <c r="Z1171" s="20">
        <v>1</v>
      </c>
      <c r="AA1171" s="20" t="s">
        <v>4318</v>
      </c>
      <c r="AB1171" s="20" t="s">
        <v>296</v>
      </c>
      <c r="AC1171" s="20" t="s">
        <v>297</v>
      </c>
      <c r="AD1171" s="20" t="s">
        <v>4319</v>
      </c>
      <c r="AE1171" s="20" t="s">
        <v>400</v>
      </c>
      <c r="AF1171" s="20">
        <v>1</v>
      </c>
      <c r="AG1171" s="20">
        <v>0</v>
      </c>
      <c r="AH1171" s="20">
        <v>1</v>
      </c>
      <c r="AI1171" s="4" t="s">
        <v>251</v>
      </c>
      <c r="AJ1171" s="20">
        <v>50</v>
      </c>
      <c r="AK1171" s="4" t="s">
        <v>179</v>
      </c>
      <c r="AL1171" s="4">
        <v>27</v>
      </c>
      <c r="AM1171" s="4">
        <v>27</v>
      </c>
      <c r="AN1171" s="4" t="s">
        <v>95</v>
      </c>
      <c r="AO1171" s="4" t="s">
        <v>96</v>
      </c>
      <c r="AP1171" s="4">
        <v>1</v>
      </c>
      <c r="AQ1171" s="20">
        <v>35000</v>
      </c>
      <c r="AR1171" s="4">
        <v>41918</v>
      </c>
      <c r="AS1171" s="20">
        <v>5303.030303030303</v>
      </c>
      <c r="AT1171" s="20">
        <v>0</v>
      </c>
      <c r="AU1171" s="20">
        <v>-5303.030303030303</v>
      </c>
      <c r="AV1171" s="20">
        <v>0</v>
      </c>
      <c r="AW1171" s="20">
        <v>0</v>
      </c>
      <c r="AX1171" s="20" t="s">
        <v>91</v>
      </c>
      <c r="AY1171" s="20">
        <v>0</v>
      </c>
      <c r="AZ1171" s="20">
        <v>0</v>
      </c>
      <c r="BA1171" s="20">
        <v>0</v>
      </c>
      <c r="BB1171" s="6">
        <v>41918</v>
      </c>
      <c r="BC1171" s="6">
        <v>0</v>
      </c>
      <c r="BD1171" s="6">
        <v>41922</v>
      </c>
      <c r="BE1171" s="6">
        <v>0</v>
      </c>
      <c r="BF1171" s="6">
        <v>41922</v>
      </c>
      <c r="BG1171" s="6">
        <v>0</v>
      </c>
      <c r="BH1171" s="6">
        <v>0</v>
      </c>
      <c r="BI1171" s="6">
        <v>0</v>
      </c>
      <c r="BJ1171" s="6">
        <v>0</v>
      </c>
      <c r="BK1171" s="4">
        <v>0</v>
      </c>
      <c r="BL1171" s="4">
        <v>0</v>
      </c>
      <c r="BM1171" s="20">
        <v>50</v>
      </c>
      <c r="BN1171" s="20">
        <v>0</v>
      </c>
      <c r="BO1171" s="20">
        <v>0</v>
      </c>
      <c r="BP1171" s="20">
        <v>0</v>
      </c>
      <c r="BQ1171" s="20">
        <v>0</v>
      </c>
      <c r="BR1171" s="20">
        <v>0</v>
      </c>
      <c r="BS1171" s="20">
        <v>50</v>
      </c>
      <c r="BT1171" s="20">
        <v>265151.51515151514</v>
      </c>
      <c r="BU1171" s="20">
        <v>1750000</v>
      </c>
      <c r="BV1171" s="20">
        <v>6</v>
      </c>
    </row>
    <row r="1172" spans="1:74">
      <c r="A1172" s="10">
        <f t="shared" si="74"/>
        <v>0</v>
      </c>
      <c r="B1172" s="10">
        <f t="shared" si="75"/>
        <v>0</v>
      </c>
      <c r="C1172" s="12">
        <f t="shared" si="76"/>
        <v>10</v>
      </c>
      <c r="D1172" s="12">
        <f t="shared" si="77"/>
        <v>10</v>
      </c>
      <c r="E1172" s="20" t="s">
        <v>114</v>
      </c>
      <c r="F1172" s="20" t="s">
        <v>2667</v>
      </c>
      <c r="G1172" s="20" t="s">
        <v>4292</v>
      </c>
      <c r="H1172" s="20" t="s">
        <v>4320</v>
      </c>
      <c r="I1172" s="20">
        <v>5</v>
      </c>
      <c r="J1172" s="20" t="s">
        <v>4321</v>
      </c>
      <c r="K1172" s="20" t="s">
        <v>4322</v>
      </c>
      <c r="L1172" s="20" t="s">
        <v>4311</v>
      </c>
      <c r="M1172" s="20" t="s">
        <v>2667</v>
      </c>
      <c r="N1172" s="20" t="s">
        <v>4297</v>
      </c>
      <c r="P1172" s="20" t="s">
        <v>2667</v>
      </c>
      <c r="Q1172" s="20" t="s">
        <v>2674</v>
      </c>
      <c r="R1172" s="20" t="s">
        <v>84</v>
      </c>
      <c r="S1172" s="20">
        <v>5</v>
      </c>
      <c r="T1172" s="20" t="s">
        <v>244</v>
      </c>
      <c r="U1172" s="20" t="s">
        <v>245</v>
      </c>
      <c r="V1172" s="20" t="s">
        <v>87</v>
      </c>
      <c r="W1172" s="20">
        <v>804</v>
      </c>
      <c r="X1172" s="20">
        <v>804</v>
      </c>
      <c r="Y1172" s="20" t="s">
        <v>4312</v>
      </c>
      <c r="Z1172" s="20">
        <v>1</v>
      </c>
      <c r="AA1172" s="20" t="s">
        <v>4323</v>
      </c>
      <c r="AB1172" s="20" t="s">
        <v>101</v>
      </c>
      <c r="AC1172" s="20" t="s">
        <v>102</v>
      </c>
      <c r="AD1172" s="20" t="s">
        <v>4324</v>
      </c>
      <c r="AE1172" s="20" t="s">
        <v>400</v>
      </c>
      <c r="AF1172" s="20">
        <v>1</v>
      </c>
      <c r="AG1172" s="20">
        <v>0</v>
      </c>
      <c r="AH1172" s="20">
        <v>1</v>
      </c>
      <c r="AI1172" s="4" t="s">
        <v>251</v>
      </c>
      <c r="AJ1172" s="20">
        <v>50</v>
      </c>
      <c r="AK1172" s="4" t="s">
        <v>179</v>
      </c>
      <c r="AL1172" s="4">
        <v>27</v>
      </c>
      <c r="AM1172" s="4">
        <v>27</v>
      </c>
      <c r="AN1172" s="4" t="s">
        <v>95</v>
      </c>
      <c r="AO1172" s="4" t="s">
        <v>96</v>
      </c>
      <c r="AP1172" s="4">
        <v>1</v>
      </c>
      <c r="AQ1172" s="20">
        <v>35000</v>
      </c>
      <c r="AR1172" s="4">
        <v>41918</v>
      </c>
      <c r="AS1172" s="20">
        <v>5303.030303030303</v>
      </c>
      <c r="AT1172" s="20">
        <v>0</v>
      </c>
      <c r="AU1172" s="20">
        <v>-5303.030303030303</v>
      </c>
      <c r="AV1172" s="20">
        <v>0</v>
      </c>
      <c r="AW1172" s="20">
        <v>0</v>
      </c>
      <c r="AX1172" s="20" t="s">
        <v>91</v>
      </c>
      <c r="AY1172" s="20">
        <v>0</v>
      </c>
      <c r="AZ1172" s="20">
        <v>0</v>
      </c>
      <c r="BA1172" s="20">
        <v>0</v>
      </c>
      <c r="BB1172" s="6">
        <v>41918</v>
      </c>
      <c r="BC1172" s="6">
        <v>0</v>
      </c>
      <c r="BD1172" s="6">
        <v>41922</v>
      </c>
      <c r="BE1172" s="6">
        <v>0</v>
      </c>
      <c r="BF1172" s="6">
        <v>41922</v>
      </c>
      <c r="BG1172" s="6">
        <v>0</v>
      </c>
      <c r="BH1172" s="6">
        <v>0</v>
      </c>
      <c r="BI1172" s="6">
        <v>0</v>
      </c>
      <c r="BJ1172" s="6">
        <v>0</v>
      </c>
      <c r="BK1172" s="4">
        <v>0</v>
      </c>
      <c r="BL1172" s="4">
        <v>0</v>
      </c>
      <c r="BM1172" s="20">
        <v>50</v>
      </c>
      <c r="BN1172" s="20">
        <v>0</v>
      </c>
      <c r="BO1172" s="20">
        <v>0</v>
      </c>
      <c r="BP1172" s="20">
        <v>0</v>
      </c>
      <c r="BQ1172" s="20">
        <v>0</v>
      </c>
      <c r="BR1172" s="20">
        <v>0</v>
      </c>
      <c r="BS1172" s="20">
        <v>50</v>
      </c>
      <c r="BT1172" s="20">
        <v>265151.51515151514</v>
      </c>
      <c r="BU1172" s="20">
        <v>1750000</v>
      </c>
      <c r="BV1172" s="20">
        <v>6</v>
      </c>
    </row>
    <row r="1173" spans="1:74">
      <c r="A1173" s="10">
        <f t="shared" si="74"/>
        <v>0</v>
      </c>
      <c r="B1173" s="10">
        <f t="shared" si="75"/>
        <v>0</v>
      </c>
      <c r="C1173" s="12">
        <f t="shared" si="76"/>
        <v>10</v>
      </c>
      <c r="D1173" s="12">
        <f t="shared" si="77"/>
        <v>10</v>
      </c>
      <c r="E1173" s="20" t="s">
        <v>114</v>
      </c>
      <c r="F1173" s="20" t="s">
        <v>2667</v>
      </c>
      <c r="G1173" s="20" t="s">
        <v>4292</v>
      </c>
      <c r="H1173" s="20" t="s">
        <v>4325</v>
      </c>
      <c r="I1173" s="20">
        <v>6</v>
      </c>
      <c r="J1173" s="20" t="s">
        <v>4326</v>
      </c>
      <c r="K1173" s="20" t="s">
        <v>4327</v>
      </c>
      <c r="L1173" s="20" t="s">
        <v>4328</v>
      </c>
      <c r="M1173" s="20" t="s">
        <v>2667</v>
      </c>
      <c r="N1173" s="20" t="s">
        <v>4297</v>
      </c>
      <c r="P1173" s="20" t="s">
        <v>2667</v>
      </c>
      <c r="Q1173" s="20" t="s">
        <v>2674</v>
      </c>
      <c r="R1173" s="20" t="s">
        <v>84</v>
      </c>
      <c r="S1173" s="20">
        <v>5</v>
      </c>
      <c r="T1173" s="20" t="s">
        <v>244</v>
      </c>
      <c r="U1173" s="20" t="s">
        <v>245</v>
      </c>
      <c r="V1173" s="20" t="s">
        <v>87</v>
      </c>
      <c r="W1173" s="20">
        <v>838</v>
      </c>
      <c r="X1173" s="20">
        <v>838</v>
      </c>
      <c r="Y1173" s="20" t="s">
        <v>4329</v>
      </c>
      <c r="Z1173" s="20">
        <v>1</v>
      </c>
      <c r="AA1173" s="20" t="s">
        <v>4330</v>
      </c>
      <c r="AB1173" s="20" t="s">
        <v>159</v>
      </c>
      <c r="AC1173" s="20" t="s">
        <v>160</v>
      </c>
      <c r="AD1173" s="20" t="s">
        <v>4331</v>
      </c>
      <c r="AE1173" s="20" t="s">
        <v>400</v>
      </c>
      <c r="AF1173" s="20">
        <v>1</v>
      </c>
      <c r="AG1173" s="20">
        <v>0</v>
      </c>
      <c r="AH1173" s="20">
        <v>1</v>
      </c>
      <c r="AI1173" s="4" t="s">
        <v>251</v>
      </c>
      <c r="AJ1173" s="20">
        <v>100</v>
      </c>
      <c r="AK1173" s="4" t="s">
        <v>179</v>
      </c>
      <c r="AL1173" s="4">
        <v>27</v>
      </c>
      <c r="AM1173" s="4">
        <v>27</v>
      </c>
      <c r="AN1173" s="4" t="s">
        <v>95</v>
      </c>
      <c r="AO1173" s="4" t="s">
        <v>96</v>
      </c>
      <c r="AP1173" s="4">
        <v>1</v>
      </c>
      <c r="AQ1173" s="20">
        <v>45000</v>
      </c>
      <c r="AR1173" s="4">
        <v>41918</v>
      </c>
      <c r="AS1173" s="20">
        <v>6818.1818181818171</v>
      </c>
      <c r="AT1173" s="20">
        <v>0</v>
      </c>
      <c r="AU1173" s="20">
        <v>-6818.1818181818171</v>
      </c>
      <c r="AV1173" s="20">
        <v>0</v>
      </c>
      <c r="AW1173" s="20">
        <v>0</v>
      </c>
      <c r="AX1173" s="20" t="s">
        <v>91</v>
      </c>
      <c r="AY1173" s="20">
        <v>0</v>
      </c>
      <c r="AZ1173" s="20">
        <v>0</v>
      </c>
      <c r="BA1173" s="20">
        <v>0</v>
      </c>
      <c r="BB1173" s="6">
        <v>41918</v>
      </c>
      <c r="BC1173" s="6">
        <v>0</v>
      </c>
      <c r="BD1173" s="6">
        <v>41922</v>
      </c>
      <c r="BE1173" s="6">
        <v>0</v>
      </c>
      <c r="BF1173" s="6">
        <v>41922</v>
      </c>
      <c r="BG1173" s="6">
        <v>0</v>
      </c>
      <c r="BH1173" s="6">
        <v>0</v>
      </c>
      <c r="BI1173" s="6">
        <v>0</v>
      </c>
      <c r="BJ1173" s="6">
        <v>0</v>
      </c>
      <c r="BK1173" s="4">
        <v>0</v>
      </c>
      <c r="BL1173" s="4">
        <v>0</v>
      </c>
      <c r="BM1173" s="20">
        <v>100</v>
      </c>
      <c r="BN1173" s="20">
        <v>0</v>
      </c>
      <c r="BO1173" s="20">
        <v>0</v>
      </c>
      <c r="BP1173" s="20">
        <v>0</v>
      </c>
      <c r="BQ1173" s="20">
        <v>0</v>
      </c>
      <c r="BR1173" s="20">
        <v>0</v>
      </c>
      <c r="BS1173" s="20">
        <v>100</v>
      </c>
      <c r="BT1173" s="20">
        <v>681818.18181818177</v>
      </c>
      <c r="BU1173" s="20">
        <v>4500000</v>
      </c>
      <c r="BV1173" s="20">
        <v>6</v>
      </c>
    </row>
    <row r="1174" spans="1:74">
      <c r="A1174" s="10">
        <f t="shared" si="74"/>
        <v>0</v>
      </c>
      <c r="B1174" s="10">
        <f t="shared" si="75"/>
        <v>0</v>
      </c>
      <c r="C1174" s="12">
        <f t="shared" si="76"/>
        <v>10</v>
      </c>
      <c r="D1174" s="12">
        <f t="shared" si="77"/>
        <v>10</v>
      </c>
      <c r="E1174" s="20" t="s">
        <v>114</v>
      </c>
      <c r="F1174" s="20" t="s">
        <v>2667</v>
      </c>
      <c r="G1174" s="20" t="s">
        <v>4292</v>
      </c>
      <c r="H1174" s="20" t="s">
        <v>4971</v>
      </c>
      <c r="I1174" s="20">
        <v>7</v>
      </c>
      <c r="J1174" s="20" t="s">
        <v>4332</v>
      </c>
      <c r="K1174" s="20" t="s">
        <v>4972</v>
      </c>
      <c r="L1174" s="20" t="s">
        <v>4333</v>
      </c>
      <c r="M1174" s="20" t="s">
        <v>2667</v>
      </c>
      <c r="N1174" s="20" t="s">
        <v>4297</v>
      </c>
      <c r="P1174" s="20" t="s">
        <v>2667</v>
      </c>
      <c r="Q1174" s="20" t="s">
        <v>2674</v>
      </c>
      <c r="R1174" s="20" t="s">
        <v>84</v>
      </c>
      <c r="S1174" s="20">
        <v>5</v>
      </c>
      <c r="T1174" s="20" t="s">
        <v>244</v>
      </c>
      <c r="U1174" s="20" t="s">
        <v>245</v>
      </c>
      <c r="V1174" s="20" t="s">
        <v>87</v>
      </c>
      <c r="W1174" s="20">
        <v>839</v>
      </c>
      <c r="X1174" s="20">
        <v>839</v>
      </c>
      <c r="Y1174" s="20" t="s">
        <v>4334</v>
      </c>
      <c r="Z1174" s="20">
        <v>1</v>
      </c>
      <c r="AA1174" s="20" t="s">
        <v>4335</v>
      </c>
      <c r="AB1174" s="20" t="s">
        <v>139</v>
      </c>
      <c r="AC1174" s="20" t="s">
        <v>140</v>
      </c>
      <c r="AD1174" s="20" t="s">
        <v>4973</v>
      </c>
      <c r="AE1174" s="20" t="s">
        <v>400</v>
      </c>
      <c r="AF1174" s="20">
        <v>1</v>
      </c>
      <c r="AG1174" s="20">
        <v>0</v>
      </c>
      <c r="AH1174" s="20">
        <v>1</v>
      </c>
      <c r="AI1174" s="4" t="s">
        <v>251</v>
      </c>
      <c r="AJ1174" s="20">
        <v>50</v>
      </c>
      <c r="AK1174" s="4" t="s">
        <v>179</v>
      </c>
      <c r="AL1174" s="4">
        <v>27</v>
      </c>
      <c r="AM1174" s="4">
        <v>27</v>
      </c>
      <c r="AN1174" s="4" t="s">
        <v>95</v>
      </c>
      <c r="AO1174" s="4" t="s">
        <v>96</v>
      </c>
      <c r="AP1174" s="4">
        <v>1</v>
      </c>
      <c r="AQ1174" s="20">
        <v>45000</v>
      </c>
      <c r="AR1174" s="4">
        <v>41918</v>
      </c>
      <c r="AS1174" s="20">
        <v>6818.1818181818171</v>
      </c>
      <c r="AT1174" s="20">
        <v>0</v>
      </c>
      <c r="AU1174" s="20">
        <v>-6818.1818181818171</v>
      </c>
      <c r="AV1174" s="20">
        <v>0</v>
      </c>
      <c r="AW1174" s="20">
        <v>0</v>
      </c>
      <c r="AX1174" s="20" t="s">
        <v>91</v>
      </c>
      <c r="AY1174" s="20">
        <v>0</v>
      </c>
      <c r="AZ1174" s="20">
        <v>0</v>
      </c>
      <c r="BA1174" s="20">
        <v>0</v>
      </c>
      <c r="BB1174" s="6">
        <v>41918</v>
      </c>
      <c r="BC1174" s="6">
        <v>0</v>
      </c>
      <c r="BD1174" s="6">
        <v>41922</v>
      </c>
      <c r="BE1174" s="6">
        <v>0</v>
      </c>
      <c r="BF1174" s="6">
        <v>41922</v>
      </c>
      <c r="BG1174" s="6">
        <v>0</v>
      </c>
      <c r="BH1174" s="6">
        <v>0</v>
      </c>
      <c r="BI1174" s="6">
        <v>0</v>
      </c>
      <c r="BJ1174" s="6">
        <v>0</v>
      </c>
      <c r="BK1174" s="4">
        <v>0</v>
      </c>
      <c r="BL1174" s="4">
        <v>0</v>
      </c>
      <c r="BM1174" s="20">
        <v>50</v>
      </c>
      <c r="BN1174" s="20">
        <v>0</v>
      </c>
      <c r="BO1174" s="20">
        <v>0</v>
      </c>
      <c r="BP1174" s="20">
        <v>0</v>
      </c>
      <c r="BQ1174" s="20">
        <v>0</v>
      </c>
      <c r="BR1174" s="20">
        <v>0</v>
      </c>
      <c r="BS1174" s="20">
        <v>50</v>
      </c>
      <c r="BT1174" s="20">
        <v>340909.09090909088</v>
      </c>
      <c r="BU1174" s="20">
        <v>2250000</v>
      </c>
      <c r="BV1174" s="20">
        <v>6</v>
      </c>
    </row>
    <row r="1175" spans="1:74">
      <c r="A1175" s="10">
        <f t="shared" si="74"/>
        <v>0</v>
      </c>
      <c r="B1175" s="10">
        <f t="shared" si="75"/>
        <v>0</v>
      </c>
      <c r="C1175" s="12">
        <f t="shared" si="76"/>
        <v>10</v>
      </c>
      <c r="D1175" s="12">
        <f t="shared" si="77"/>
        <v>10</v>
      </c>
      <c r="E1175" s="20" t="s">
        <v>114</v>
      </c>
      <c r="F1175" s="20" t="s">
        <v>2667</v>
      </c>
      <c r="G1175" s="20" t="s">
        <v>4292</v>
      </c>
      <c r="H1175" s="20" t="s">
        <v>4336</v>
      </c>
      <c r="I1175" s="20">
        <v>8</v>
      </c>
      <c r="J1175" s="20" t="s">
        <v>4337</v>
      </c>
      <c r="K1175" s="20" t="s">
        <v>4338</v>
      </c>
      <c r="L1175" s="20" t="s">
        <v>4339</v>
      </c>
      <c r="M1175" s="20" t="s">
        <v>2667</v>
      </c>
      <c r="N1175" s="20" t="s">
        <v>4340</v>
      </c>
      <c r="P1175" s="20" t="s">
        <v>2667</v>
      </c>
      <c r="Q1175" s="20" t="s">
        <v>2674</v>
      </c>
      <c r="R1175" s="20" t="s">
        <v>84</v>
      </c>
      <c r="S1175" s="20">
        <v>5</v>
      </c>
      <c r="T1175" s="20" t="s">
        <v>395</v>
      </c>
      <c r="U1175" s="20" t="s">
        <v>396</v>
      </c>
      <c r="V1175" s="20" t="s">
        <v>87</v>
      </c>
      <c r="W1175" s="20">
        <v>828</v>
      </c>
      <c r="X1175" s="20">
        <v>828</v>
      </c>
      <c r="Y1175" s="20" t="s">
        <v>4341</v>
      </c>
      <c r="Z1175" s="20">
        <v>1</v>
      </c>
      <c r="AA1175" s="20" t="s">
        <v>4342</v>
      </c>
      <c r="AB1175" s="20" t="s">
        <v>176</v>
      </c>
      <c r="AC1175" s="20" t="s">
        <v>177</v>
      </c>
      <c r="AD1175" s="20" t="s">
        <v>4343</v>
      </c>
      <c r="AE1175" s="20" t="s">
        <v>400</v>
      </c>
      <c r="AF1175" s="20">
        <v>1</v>
      </c>
      <c r="AG1175" s="20">
        <v>0</v>
      </c>
      <c r="AH1175" s="20">
        <v>1</v>
      </c>
      <c r="AI1175" s="4" t="s">
        <v>251</v>
      </c>
      <c r="AJ1175" s="20">
        <v>100</v>
      </c>
      <c r="AK1175" s="4" t="s">
        <v>179</v>
      </c>
      <c r="AL1175" s="4">
        <v>27</v>
      </c>
      <c r="AM1175" s="4">
        <v>27</v>
      </c>
      <c r="AN1175" s="4" t="s">
        <v>95</v>
      </c>
      <c r="AO1175" s="4" t="s">
        <v>96</v>
      </c>
      <c r="AP1175" s="4">
        <v>1</v>
      </c>
      <c r="AQ1175" s="20">
        <v>45000</v>
      </c>
      <c r="AR1175" s="4">
        <v>41918</v>
      </c>
      <c r="AS1175" s="20">
        <v>6818.1818181818171</v>
      </c>
      <c r="AT1175" s="20">
        <v>0</v>
      </c>
      <c r="AU1175" s="20">
        <v>-6818.1818181818171</v>
      </c>
      <c r="AV1175" s="20">
        <v>0</v>
      </c>
      <c r="AW1175" s="20">
        <v>0</v>
      </c>
      <c r="AX1175" s="20" t="s">
        <v>91</v>
      </c>
      <c r="AY1175" s="20">
        <v>0</v>
      </c>
      <c r="AZ1175" s="20">
        <v>0</v>
      </c>
      <c r="BA1175" s="20">
        <v>0</v>
      </c>
      <c r="BB1175" s="6">
        <v>41918</v>
      </c>
      <c r="BC1175" s="6">
        <v>0</v>
      </c>
      <c r="BD1175" s="6">
        <v>41922</v>
      </c>
      <c r="BE1175" s="6">
        <v>0</v>
      </c>
      <c r="BF1175" s="6">
        <v>41922</v>
      </c>
      <c r="BG1175" s="6">
        <v>0</v>
      </c>
      <c r="BH1175" s="6">
        <v>0</v>
      </c>
      <c r="BI1175" s="6">
        <v>0</v>
      </c>
      <c r="BJ1175" s="6">
        <v>0</v>
      </c>
      <c r="BK1175" s="4">
        <v>0</v>
      </c>
      <c r="BL1175" s="4">
        <v>0</v>
      </c>
      <c r="BM1175" s="20">
        <v>100</v>
      </c>
      <c r="BN1175" s="20">
        <v>0</v>
      </c>
      <c r="BO1175" s="20">
        <v>0</v>
      </c>
      <c r="BP1175" s="20">
        <v>0</v>
      </c>
      <c r="BQ1175" s="20">
        <v>0</v>
      </c>
      <c r="BR1175" s="20">
        <v>0</v>
      </c>
      <c r="BS1175" s="20">
        <v>100</v>
      </c>
      <c r="BT1175" s="20">
        <v>681818.18181818177</v>
      </c>
      <c r="BU1175" s="20">
        <v>4500000</v>
      </c>
      <c r="BV1175" s="20">
        <v>6</v>
      </c>
    </row>
    <row r="1176" spans="1:74">
      <c r="A1176" s="10">
        <f t="shared" si="74"/>
        <v>0</v>
      </c>
      <c r="B1176" s="10">
        <f t="shared" si="75"/>
        <v>0</v>
      </c>
      <c r="C1176" s="12">
        <f t="shared" si="76"/>
        <v>10</v>
      </c>
      <c r="D1176" s="12">
        <f t="shared" si="77"/>
        <v>10</v>
      </c>
      <c r="E1176" s="20" t="s">
        <v>114</v>
      </c>
      <c r="F1176" s="20" t="s">
        <v>2667</v>
      </c>
      <c r="G1176" s="20" t="s">
        <v>4292</v>
      </c>
      <c r="H1176" s="20" t="s">
        <v>4344</v>
      </c>
      <c r="I1176" s="20">
        <v>9</v>
      </c>
      <c r="J1176" s="20" t="s">
        <v>4345</v>
      </c>
      <c r="K1176" s="20" t="s">
        <v>4346</v>
      </c>
      <c r="L1176" s="20" t="s">
        <v>4339</v>
      </c>
      <c r="M1176" s="20" t="s">
        <v>2667</v>
      </c>
      <c r="N1176" s="20" t="s">
        <v>4340</v>
      </c>
      <c r="P1176" s="20" t="s">
        <v>2667</v>
      </c>
      <c r="Q1176" s="20" t="s">
        <v>2674</v>
      </c>
      <c r="R1176" s="20" t="s">
        <v>84</v>
      </c>
      <c r="S1176" s="20">
        <v>5</v>
      </c>
      <c r="T1176" s="20" t="s">
        <v>395</v>
      </c>
      <c r="U1176" s="20" t="s">
        <v>396</v>
      </c>
      <c r="V1176" s="20" t="s">
        <v>87</v>
      </c>
      <c r="W1176" s="20">
        <v>828</v>
      </c>
      <c r="X1176" s="20">
        <v>828</v>
      </c>
      <c r="Y1176" s="20" t="s">
        <v>4341</v>
      </c>
      <c r="Z1176" s="20">
        <v>1</v>
      </c>
      <c r="AA1176" s="20" t="s">
        <v>4347</v>
      </c>
      <c r="AB1176" s="20" t="s">
        <v>159</v>
      </c>
      <c r="AC1176" s="20" t="s">
        <v>160</v>
      </c>
      <c r="AD1176" s="20" t="s">
        <v>4348</v>
      </c>
      <c r="AE1176" s="20" t="s">
        <v>400</v>
      </c>
      <c r="AF1176" s="20">
        <v>1</v>
      </c>
      <c r="AG1176" s="20">
        <v>0</v>
      </c>
      <c r="AH1176" s="20">
        <v>1</v>
      </c>
      <c r="AI1176" s="4" t="s">
        <v>251</v>
      </c>
      <c r="AJ1176" s="20">
        <v>100</v>
      </c>
      <c r="AK1176" s="4" t="s">
        <v>179</v>
      </c>
      <c r="AL1176" s="4">
        <v>27</v>
      </c>
      <c r="AM1176" s="4">
        <v>27</v>
      </c>
      <c r="AN1176" s="4" t="s">
        <v>95</v>
      </c>
      <c r="AO1176" s="4" t="s">
        <v>96</v>
      </c>
      <c r="AP1176" s="4">
        <v>1</v>
      </c>
      <c r="AQ1176" s="20">
        <v>45000</v>
      </c>
      <c r="AR1176" s="4">
        <v>41918</v>
      </c>
      <c r="AS1176" s="20">
        <v>6818.1818181818171</v>
      </c>
      <c r="AT1176" s="20">
        <v>0</v>
      </c>
      <c r="AU1176" s="20">
        <v>-6818.1818181818171</v>
      </c>
      <c r="AV1176" s="20">
        <v>0</v>
      </c>
      <c r="AW1176" s="20">
        <v>0</v>
      </c>
      <c r="AX1176" s="20" t="s">
        <v>91</v>
      </c>
      <c r="AY1176" s="20">
        <v>0</v>
      </c>
      <c r="AZ1176" s="20">
        <v>0</v>
      </c>
      <c r="BA1176" s="20">
        <v>0</v>
      </c>
      <c r="BB1176" s="6">
        <v>41918</v>
      </c>
      <c r="BC1176" s="6">
        <v>0</v>
      </c>
      <c r="BD1176" s="6">
        <v>41922</v>
      </c>
      <c r="BE1176" s="6">
        <v>0</v>
      </c>
      <c r="BF1176" s="6">
        <v>41922</v>
      </c>
      <c r="BG1176" s="6">
        <v>0</v>
      </c>
      <c r="BH1176" s="6">
        <v>0</v>
      </c>
      <c r="BI1176" s="6">
        <v>0</v>
      </c>
      <c r="BJ1176" s="6">
        <v>0</v>
      </c>
      <c r="BK1176" s="4">
        <v>0</v>
      </c>
      <c r="BL1176" s="4">
        <v>0</v>
      </c>
      <c r="BM1176" s="20">
        <v>100</v>
      </c>
      <c r="BN1176" s="20">
        <v>0</v>
      </c>
      <c r="BO1176" s="20">
        <v>0</v>
      </c>
      <c r="BP1176" s="20">
        <v>0</v>
      </c>
      <c r="BQ1176" s="20">
        <v>0</v>
      </c>
      <c r="BR1176" s="20">
        <v>0</v>
      </c>
      <c r="BS1176" s="20">
        <v>100</v>
      </c>
      <c r="BT1176" s="20">
        <v>681818.18181818177</v>
      </c>
      <c r="BU1176" s="20">
        <v>4500000</v>
      </c>
      <c r="BV1176" s="20">
        <v>6</v>
      </c>
    </row>
    <row r="1177" spans="1:74">
      <c r="A1177" s="10">
        <f t="shared" si="74"/>
        <v>0</v>
      </c>
      <c r="B1177" s="10">
        <f t="shared" si="75"/>
        <v>0</v>
      </c>
      <c r="C1177" s="12">
        <f t="shared" si="76"/>
        <v>10</v>
      </c>
      <c r="D1177" s="12">
        <f t="shared" si="77"/>
        <v>10</v>
      </c>
      <c r="E1177" s="20" t="s">
        <v>114</v>
      </c>
      <c r="F1177" s="20" t="s">
        <v>2667</v>
      </c>
      <c r="G1177" s="20" t="s">
        <v>4292</v>
      </c>
      <c r="H1177" s="20" t="s">
        <v>4349</v>
      </c>
      <c r="I1177" s="20">
        <v>10</v>
      </c>
      <c r="J1177" s="20" t="s">
        <v>4350</v>
      </c>
      <c r="K1177" s="20" t="s">
        <v>4351</v>
      </c>
      <c r="L1177" s="20" t="s">
        <v>4352</v>
      </c>
      <c r="M1177" s="20" t="s">
        <v>2667</v>
      </c>
      <c r="N1177" s="20" t="s">
        <v>4340</v>
      </c>
      <c r="P1177" s="20" t="s">
        <v>2667</v>
      </c>
      <c r="Q1177" s="20" t="s">
        <v>2674</v>
      </c>
      <c r="R1177" s="20" t="s">
        <v>84</v>
      </c>
      <c r="S1177" s="20">
        <v>5</v>
      </c>
      <c r="T1177" s="20" t="s">
        <v>395</v>
      </c>
      <c r="U1177" s="20" t="s">
        <v>396</v>
      </c>
      <c r="V1177" s="20" t="s">
        <v>87</v>
      </c>
      <c r="W1177" s="20">
        <v>829</v>
      </c>
      <c r="X1177" s="20">
        <v>829</v>
      </c>
      <c r="Y1177" s="20" t="s">
        <v>4353</v>
      </c>
      <c r="Z1177" s="20">
        <v>1</v>
      </c>
      <c r="AA1177" s="20" t="s">
        <v>4354</v>
      </c>
      <c r="AB1177" s="20" t="s">
        <v>139</v>
      </c>
      <c r="AC1177" s="20" t="s">
        <v>140</v>
      </c>
      <c r="AD1177" s="20" t="s">
        <v>4355</v>
      </c>
      <c r="AE1177" s="20" t="s">
        <v>400</v>
      </c>
      <c r="AF1177" s="20">
        <v>1</v>
      </c>
      <c r="AG1177" s="20">
        <v>0</v>
      </c>
      <c r="AH1177" s="20">
        <v>1</v>
      </c>
      <c r="AI1177" s="4" t="s">
        <v>251</v>
      </c>
      <c r="AJ1177" s="20">
        <v>50</v>
      </c>
      <c r="AK1177" s="4" t="s">
        <v>179</v>
      </c>
      <c r="AL1177" s="4">
        <v>27</v>
      </c>
      <c r="AM1177" s="4">
        <v>27</v>
      </c>
      <c r="AN1177" s="4" t="s">
        <v>95</v>
      </c>
      <c r="AO1177" s="4" t="s">
        <v>96</v>
      </c>
      <c r="AP1177" s="4">
        <v>1</v>
      </c>
      <c r="AQ1177" s="20">
        <v>43000</v>
      </c>
      <c r="AR1177" s="4">
        <v>41918</v>
      </c>
      <c r="AS1177" s="20">
        <v>6515.151515151515</v>
      </c>
      <c r="AT1177" s="20">
        <v>0</v>
      </c>
      <c r="AU1177" s="20">
        <v>-6515.151515151515</v>
      </c>
      <c r="AV1177" s="20">
        <v>0</v>
      </c>
      <c r="AW1177" s="20">
        <v>0</v>
      </c>
      <c r="AX1177" s="20" t="s">
        <v>91</v>
      </c>
      <c r="AY1177" s="20">
        <v>0</v>
      </c>
      <c r="AZ1177" s="20">
        <v>0</v>
      </c>
      <c r="BA1177" s="20">
        <v>0</v>
      </c>
      <c r="BB1177" s="6">
        <v>41918</v>
      </c>
      <c r="BC1177" s="6">
        <v>0</v>
      </c>
      <c r="BD1177" s="6">
        <v>41922</v>
      </c>
      <c r="BE1177" s="6">
        <v>0</v>
      </c>
      <c r="BF1177" s="6">
        <v>41922</v>
      </c>
      <c r="BG1177" s="6">
        <v>0</v>
      </c>
      <c r="BH1177" s="6">
        <v>0</v>
      </c>
      <c r="BI1177" s="6">
        <v>0</v>
      </c>
      <c r="BJ1177" s="6">
        <v>0</v>
      </c>
      <c r="BK1177" s="4">
        <v>0</v>
      </c>
      <c r="BL1177" s="4">
        <v>0</v>
      </c>
      <c r="BM1177" s="20">
        <v>50</v>
      </c>
      <c r="BN1177" s="20">
        <v>0</v>
      </c>
      <c r="BO1177" s="20">
        <v>0</v>
      </c>
      <c r="BP1177" s="20">
        <v>0</v>
      </c>
      <c r="BQ1177" s="20">
        <v>0</v>
      </c>
      <c r="BR1177" s="20">
        <v>0</v>
      </c>
      <c r="BS1177" s="20">
        <v>50</v>
      </c>
      <c r="BT1177" s="20">
        <v>325757.57575757575</v>
      </c>
      <c r="BU1177" s="20">
        <v>2150000</v>
      </c>
      <c r="BV1177" s="20">
        <v>5.9999999999999991</v>
      </c>
    </row>
    <row r="1178" spans="1:74">
      <c r="A1178" s="10">
        <f t="shared" si="74"/>
        <v>0</v>
      </c>
      <c r="B1178" s="10">
        <f t="shared" si="75"/>
        <v>0</v>
      </c>
      <c r="C1178" s="12">
        <f t="shared" si="76"/>
        <v>10</v>
      </c>
      <c r="D1178" s="12">
        <f t="shared" si="77"/>
        <v>10</v>
      </c>
      <c r="E1178" s="20" t="s">
        <v>114</v>
      </c>
      <c r="F1178" s="20" t="s">
        <v>2667</v>
      </c>
      <c r="G1178" s="20" t="s">
        <v>4292</v>
      </c>
      <c r="H1178" s="20" t="s">
        <v>4356</v>
      </c>
      <c r="I1178" s="20">
        <v>11</v>
      </c>
      <c r="J1178" s="20" t="s">
        <v>4357</v>
      </c>
      <c r="K1178" s="20" t="s">
        <v>4358</v>
      </c>
      <c r="L1178" s="20" t="s">
        <v>4352</v>
      </c>
      <c r="M1178" s="20" t="s">
        <v>2667</v>
      </c>
      <c r="N1178" s="20" t="s">
        <v>4340</v>
      </c>
      <c r="P1178" s="20" t="s">
        <v>2667</v>
      </c>
      <c r="Q1178" s="20" t="s">
        <v>2674</v>
      </c>
      <c r="R1178" s="20" t="s">
        <v>84</v>
      </c>
      <c r="S1178" s="20">
        <v>5</v>
      </c>
      <c r="T1178" s="20" t="s">
        <v>395</v>
      </c>
      <c r="U1178" s="20" t="s">
        <v>396</v>
      </c>
      <c r="V1178" s="20" t="s">
        <v>87</v>
      </c>
      <c r="W1178" s="20">
        <v>829</v>
      </c>
      <c r="X1178" s="20">
        <v>829</v>
      </c>
      <c r="Y1178" s="20" t="s">
        <v>4353</v>
      </c>
      <c r="Z1178" s="20">
        <v>1</v>
      </c>
      <c r="AA1178" s="20" t="s">
        <v>4359</v>
      </c>
      <c r="AB1178" s="20" t="s">
        <v>159</v>
      </c>
      <c r="AC1178" s="20" t="s">
        <v>160</v>
      </c>
      <c r="AD1178" s="20" t="s">
        <v>4360</v>
      </c>
      <c r="AE1178" s="20" t="s">
        <v>400</v>
      </c>
      <c r="AF1178" s="20">
        <v>1</v>
      </c>
      <c r="AG1178" s="20">
        <v>0</v>
      </c>
      <c r="AH1178" s="20">
        <v>1</v>
      </c>
      <c r="AI1178" s="4" t="s">
        <v>251</v>
      </c>
      <c r="AJ1178" s="20">
        <v>50</v>
      </c>
      <c r="AK1178" s="4" t="s">
        <v>179</v>
      </c>
      <c r="AL1178" s="4">
        <v>27</v>
      </c>
      <c r="AM1178" s="4">
        <v>27</v>
      </c>
      <c r="AN1178" s="4" t="s">
        <v>95</v>
      </c>
      <c r="AO1178" s="4" t="s">
        <v>96</v>
      </c>
      <c r="AP1178" s="4">
        <v>1</v>
      </c>
      <c r="AQ1178" s="20">
        <v>43000</v>
      </c>
      <c r="AR1178" s="4">
        <v>41918</v>
      </c>
      <c r="AS1178" s="20">
        <v>6515.151515151515</v>
      </c>
      <c r="AT1178" s="20">
        <v>0</v>
      </c>
      <c r="AU1178" s="20">
        <v>-6515.151515151515</v>
      </c>
      <c r="AV1178" s="20">
        <v>0</v>
      </c>
      <c r="AW1178" s="20">
        <v>0</v>
      </c>
      <c r="AX1178" s="20" t="s">
        <v>91</v>
      </c>
      <c r="AY1178" s="20">
        <v>0</v>
      </c>
      <c r="AZ1178" s="20">
        <v>0</v>
      </c>
      <c r="BA1178" s="20">
        <v>0</v>
      </c>
      <c r="BB1178" s="6">
        <v>41918</v>
      </c>
      <c r="BC1178" s="6">
        <v>0</v>
      </c>
      <c r="BD1178" s="6">
        <v>41922</v>
      </c>
      <c r="BE1178" s="6">
        <v>0</v>
      </c>
      <c r="BF1178" s="6">
        <v>41922</v>
      </c>
      <c r="BG1178" s="6">
        <v>0</v>
      </c>
      <c r="BH1178" s="6">
        <v>0</v>
      </c>
      <c r="BI1178" s="6">
        <v>0</v>
      </c>
      <c r="BJ1178" s="6">
        <v>0</v>
      </c>
      <c r="BK1178" s="4">
        <v>0</v>
      </c>
      <c r="BL1178" s="4">
        <v>0</v>
      </c>
      <c r="BM1178" s="20">
        <v>50</v>
      </c>
      <c r="BN1178" s="20">
        <v>0</v>
      </c>
      <c r="BO1178" s="20">
        <v>0</v>
      </c>
      <c r="BP1178" s="20">
        <v>0</v>
      </c>
      <c r="BQ1178" s="20">
        <v>0</v>
      </c>
      <c r="BR1178" s="20">
        <v>0</v>
      </c>
      <c r="BS1178" s="20">
        <v>50</v>
      </c>
      <c r="BT1178" s="20">
        <v>325757.57575757575</v>
      </c>
      <c r="BU1178" s="20">
        <v>2150000</v>
      </c>
      <c r="BV1178" s="20">
        <v>5.9999999999999991</v>
      </c>
    </row>
    <row r="1179" spans="1:74">
      <c r="A1179" s="10">
        <f t="shared" si="74"/>
        <v>0</v>
      </c>
      <c r="B1179" s="10">
        <f t="shared" si="75"/>
        <v>0</v>
      </c>
      <c r="C1179" s="12">
        <f t="shared" si="76"/>
        <v>10</v>
      </c>
      <c r="D1179" s="12">
        <f t="shared" si="77"/>
        <v>10</v>
      </c>
      <c r="E1179" s="20" t="s">
        <v>114</v>
      </c>
      <c r="F1179" s="20" t="s">
        <v>2667</v>
      </c>
      <c r="G1179" s="20" t="s">
        <v>4292</v>
      </c>
      <c r="H1179" s="20" t="s">
        <v>4361</v>
      </c>
      <c r="I1179" s="20">
        <v>12</v>
      </c>
      <c r="J1179" s="20" t="s">
        <v>4362</v>
      </c>
      <c r="K1179" s="20" t="s">
        <v>4363</v>
      </c>
      <c r="L1179" s="20" t="s">
        <v>4352</v>
      </c>
      <c r="M1179" s="20" t="s">
        <v>2667</v>
      </c>
      <c r="N1179" s="20" t="s">
        <v>4340</v>
      </c>
      <c r="P1179" s="20" t="s">
        <v>2667</v>
      </c>
      <c r="Q1179" s="20" t="s">
        <v>2674</v>
      </c>
      <c r="R1179" s="20" t="s">
        <v>84</v>
      </c>
      <c r="S1179" s="20">
        <v>5</v>
      </c>
      <c r="T1179" s="20" t="s">
        <v>395</v>
      </c>
      <c r="U1179" s="20" t="s">
        <v>396</v>
      </c>
      <c r="V1179" s="20" t="s">
        <v>87</v>
      </c>
      <c r="W1179" s="20">
        <v>829</v>
      </c>
      <c r="X1179" s="20">
        <v>829</v>
      </c>
      <c r="Y1179" s="20" t="s">
        <v>4353</v>
      </c>
      <c r="Z1179" s="20">
        <v>1</v>
      </c>
      <c r="AA1179" s="20" t="s">
        <v>4364</v>
      </c>
      <c r="AB1179" s="20" t="s">
        <v>109</v>
      </c>
      <c r="AC1179" s="20" t="s">
        <v>110</v>
      </c>
      <c r="AD1179" s="20" t="s">
        <v>4365</v>
      </c>
      <c r="AE1179" s="20" t="s">
        <v>400</v>
      </c>
      <c r="AF1179" s="20">
        <v>1</v>
      </c>
      <c r="AG1179" s="20">
        <v>0</v>
      </c>
      <c r="AH1179" s="20">
        <v>1</v>
      </c>
      <c r="AI1179" s="4" t="s">
        <v>251</v>
      </c>
      <c r="AJ1179" s="20">
        <v>50</v>
      </c>
      <c r="AK1179" s="4" t="s">
        <v>179</v>
      </c>
      <c r="AL1179" s="4">
        <v>27</v>
      </c>
      <c r="AM1179" s="4">
        <v>27</v>
      </c>
      <c r="AN1179" s="4" t="s">
        <v>95</v>
      </c>
      <c r="AO1179" s="4" t="s">
        <v>96</v>
      </c>
      <c r="AP1179" s="4">
        <v>1</v>
      </c>
      <c r="AQ1179" s="20">
        <v>43000</v>
      </c>
      <c r="AR1179" s="4">
        <v>41918</v>
      </c>
      <c r="AS1179" s="20">
        <v>6515.151515151515</v>
      </c>
      <c r="AT1179" s="20">
        <v>0</v>
      </c>
      <c r="AU1179" s="20">
        <v>-6515.151515151515</v>
      </c>
      <c r="AV1179" s="20">
        <v>0</v>
      </c>
      <c r="AW1179" s="20">
        <v>0</v>
      </c>
      <c r="AX1179" s="20" t="s">
        <v>91</v>
      </c>
      <c r="AY1179" s="20">
        <v>0</v>
      </c>
      <c r="AZ1179" s="20">
        <v>0</v>
      </c>
      <c r="BA1179" s="20">
        <v>0</v>
      </c>
      <c r="BB1179" s="6">
        <v>41918</v>
      </c>
      <c r="BC1179" s="6">
        <v>0</v>
      </c>
      <c r="BD1179" s="6">
        <v>41922</v>
      </c>
      <c r="BE1179" s="6">
        <v>0</v>
      </c>
      <c r="BF1179" s="6">
        <v>41922</v>
      </c>
      <c r="BG1179" s="6">
        <v>0</v>
      </c>
      <c r="BH1179" s="6">
        <v>0</v>
      </c>
      <c r="BI1179" s="6">
        <v>0</v>
      </c>
      <c r="BJ1179" s="6">
        <v>0</v>
      </c>
      <c r="BK1179" s="4">
        <v>0</v>
      </c>
      <c r="BL1179" s="4">
        <v>0</v>
      </c>
      <c r="BM1179" s="20">
        <v>50</v>
      </c>
      <c r="BN1179" s="20">
        <v>0</v>
      </c>
      <c r="BO1179" s="20">
        <v>0</v>
      </c>
      <c r="BP1179" s="20">
        <v>0</v>
      </c>
      <c r="BQ1179" s="20">
        <v>0</v>
      </c>
      <c r="BR1179" s="20">
        <v>0</v>
      </c>
      <c r="BS1179" s="20">
        <v>50</v>
      </c>
      <c r="BT1179" s="20">
        <v>325757.57575757575</v>
      </c>
      <c r="BU1179" s="20">
        <v>2150000</v>
      </c>
      <c r="BV1179" s="20">
        <v>5.9999999999999991</v>
      </c>
    </row>
    <row r="1180" spans="1:74">
      <c r="A1180" s="10">
        <f t="shared" si="74"/>
        <v>0</v>
      </c>
      <c r="B1180" s="10">
        <f t="shared" si="75"/>
        <v>0</v>
      </c>
      <c r="C1180" s="12">
        <f t="shared" si="76"/>
        <v>10</v>
      </c>
      <c r="D1180" s="12">
        <f t="shared" si="77"/>
        <v>10</v>
      </c>
      <c r="E1180" s="20" t="s">
        <v>114</v>
      </c>
      <c r="F1180" s="20" t="s">
        <v>2667</v>
      </c>
      <c r="G1180" s="20" t="s">
        <v>4292</v>
      </c>
      <c r="H1180" s="20" t="s">
        <v>4366</v>
      </c>
      <c r="I1180" s="20">
        <v>13</v>
      </c>
      <c r="J1180" s="20" t="s">
        <v>4367</v>
      </c>
      <c r="K1180" s="20" t="s">
        <v>4368</v>
      </c>
      <c r="L1180" s="20" t="s">
        <v>4369</v>
      </c>
      <c r="M1180" s="20" t="s">
        <v>2667</v>
      </c>
      <c r="N1180" s="20" t="s">
        <v>4340</v>
      </c>
      <c r="P1180" s="20" t="s">
        <v>2667</v>
      </c>
      <c r="Q1180" s="20" t="s">
        <v>2674</v>
      </c>
      <c r="R1180" s="20" t="s">
        <v>84</v>
      </c>
      <c r="S1180" s="20">
        <v>5</v>
      </c>
      <c r="T1180" s="20" t="s">
        <v>395</v>
      </c>
      <c r="U1180" s="20" t="s">
        <v>396</v>
      </c>
      <c r="V1180" s="20" t="s">
        <v>87</v>
      </c>
      <c r="W1180" s="20">
        <v>830</v>
      </c>
      <c r="X1180" s="20">
        <v>830</v>
      </c>
      <c r="Y1180" s="20" t="s">
        <v>4370</v>
      </c>
      <c r="Z1180" s="20">
        <v>1</v>
      </c>
      <c r="AA1180" s="20" t="s">
        <v>4371</v>
      </c>
      <c r="AB1180" s="20" t="s">
        <v>139</v>
      </c>
      <c r="AC1180" s="20" t="s">
        <v>140</v>
      </c>
      <c r="AD1180" s="20" t="s">
        <v>4372</v>
      </c>
      <c r="AE1180" s="20" t="s">
        <v>400</v>
      </c>
      <c r="AF1180" s="20">
        <v>1</v>
      </c>
      <c r="AG1180" s="20">
        <v>0</v>
      </c>
      <c r="AH1180" s="20">
        <v>1</v>
      </c>
      <c r="AI1180" s="4" t="s">
        <v>251</v>
      </c>
      <c r="AJ1180" s="20">
        <v>50</v>
      </c>
      <c r="AK1180" s="4" t="s">
        <v>179</v>
      </c>
      <c r="AL1180" s="4">
        <v>27</v>
      </c>
      <c r="AM1180" s="4">
        <v>27</v>
      </c>
      <c r="AN1180" s="4" t="s">
        <v>95</v>
      </c>
      <c r="AO1180" s="4" t="s">
        <v>96</v>
      </c>
      <c r="AP1180" s="4">
        <v>1</v>
      </c>
      <c r="AQ1180" s="20">
        <v>45000</v>
      </c>
      <c r="AR1180" s="4">
        <v>41918</v>
      </c>
      <c r="AS1180" s="20">
        <v>6818.1818181818171</v>
      </c>
      <c r="AT1180" s="20">
        <v>0</v>
      </c>
      <c r="AU1180" s="20">
        <v>-6818.1818181818171</v>
      </c>
      <c r="AV1180" s="20">
        <v>0</v>
      </c>
      <c r="AW1180" s="20">
        <v>0</v>
      </c>
      <c r="AX1180" s="20" t="s">
        <v>91</v>
      </c>
      <c r="AY1180" s="20">
        <v>0</v>
      </c>
      <c r="AZ1180" s="20">
        <v>0</v>
      </c>
      <c r="BA1180" s="20">
        <v>0</v>
      </c>
      <c r="BB1180" s="6">
        <v>41918</v>
      </c>
      <c r="BC1180" s="6">
        <v>0</v>
      </c>
      <c r="BD1180" s="6">
        <v>41922</v>
      </c>
      <c r="BE1180" s="6">
        <v>0</v>
      </c>
      <c r="BF1180" s="6">
        <v>41922</v>
      </c>
      <c r="BG1180" s="6">
        <v>0</v>
      </c>
      <c r="BH1180" s="6">
        <v>0</v>
      </c>
      <c r="BI1180" s="6">
        <v>0</v>
      </c>
      <c r="BJ1180" s="6">
        <v>0</v>
      </c>
      <c r="BK1180" s="4">
        <v>0</v>
      </c>
      <c r="BL1180" s="4">
        <v>0</v>
      </c>
      <c r="BM1180" s="20">
        <v>50</v>
      </c>
      <c r="BN1180" s="20">
        <v>0</v>
      </c>
      <c r="BO1180" s="20">
        <v>0</v>
      </c>
      <c r="BP1180" s="20">
        <v>0</v>
      </c>
      <c r="BQ1180" s="20">
        <v>0</v>
      </c>
      <c r="BR1180" s="20">
        <v>0</v>
      </c>
      <c r="BS1180" s="20">
        <v>50</v>
      </c>
      <c r="BT1180" s="20">
        <v>340909.09090909088</v>
      </c>
      <c r="BU1180" s="20">
        <v>2250000</v>
      </c>
      <c r="BV1180" s="20">
        <v>6</v>
      </c>
    </row>
    <row r="1181" spans="1:74">
      <c r="A1181" s="10">
        <f t="shared" si="74"/>
        <v>0</v>
      </c>
      <c r="B1181" s="10">
        <f t="shared" si="75"/>
        <v>0</v>
      </c>
      <c r="C1181" s="12">
        <f t="shared" si="76"/>
        <v>10</v>
      </c>
      <c r="D1181" s="12">
        <f t="shared" si="77"/>
        <v>10</v>
      </c>
      <c r="E1181" s="20" t="s">
        <v>114</v>
      </c>
      <c r="F1181" s="20" t="s">
        <v>2667</v>
      </c>
      <c r="G1181" s="20" t="s">
        <v>4292</v>
      </c>
      <c r="H1181" s="20" t="s">
        <v>4373</v>
      </c>
      <c r="I1181" s="20">
        <v>14</v>
      </c>
      <c r="J1181" s="20" t="s">
        <v>4374</v>
      </c>
      <c r="K1181" s="20" t="s">
        <v>4375</v>
      </c>
      <c r="L1181" s="20" t="s">
        <v>4376</v>
      </c>
      <c r="M1181" s="20" t="s">
        <v>2667</v>
      </c>
      <c r="N1181" s="20" t="s">
        <v>4340</v>
      </c>
      <c r="P1181" s="20" t="s">
        <v>2667</v>
      </c>
      <c r="Q1181" s="20" t="s">
        <v>2674</v>
      </c>
      <c r="R1181" s="20" t="s">
        <v>84</v>
      </c>
      <c r="S1181" s="20">
        <v>5</v>
      </c>
      <c r="T1181" s="20" t="s">
        <v>395</v>
      </c>
      <c r="U1181" s="20" t="s">
        <v>396</v>
      </c>
      <c r="V1181" s="20" t="s">
        <v>87</v>
      </c>
      <c r="W1181" s="20">
        <v>840</v>
      </c>
      <c r="X1181" s="20">
        <v>840</v>
      </c>
      <c r="Y1181" s="20" t="s">
        <v>4377</v>
      </c>
      <c r="Z1181" s="20">
        <v>1</v>
      </c>
      <c r="AA1181" s="20" t="s">
        <v>4378</v>
      </c>
      <c r="AB1181" s="20" t="s">
        <v>101</v>
      </c>
      <c r="AC1181" s="20" t="s">
        <v>102</v>
      </c>
      <c r="AD1181" s="20" t="s">
        <v>4379</v>
      </c>
      <c r="AE1181" s="20" t="s">
        <v>400</v>
      </c>
      <c r="AF1181" s="20">
        <v>1</v>
      </c>
      <c r="AG1181" s="20">
        <v>0</v>
      </c>
      <c r="AH1181" s="20">
        <v>1</v>
      </c>
      <c r="AI1181" s="4" t="s">
        <v>251</v>
      </c>
      <c r="AJ1181" s="20">
        <v>50</v>
      </c>
      <c r="AK1181" s="4" t="s">
        <v>179</v>
      </c>
      <c r="AL1181" s="4">
        <v>27</v>
      </c>
      <c r="AM1181" s="4">
        <v>27</v>
      </c>
      <c r="AN1181" s="4" t="s">
        <v>95</v>
      </c>
      <c r="AO1181" s="4" t="s">
        <v>96</v>
      </c>
      <c r="AP1181" s="4">
        <v>1</v>
      </c>
      <c r="AQ1181" s="20">
        <v>45000</v>
      </c>
      <c r="AR1181" s="4">
        <v>41918</v>
      </c>
      <c r="AS1181" s="20">
        <v>6818.1818181818171</v>
      </c>
      <c r="AT1181" s="20">
        <v>0</v>
      </c>
      <c r="AU1181" s="20">
        <v>-6818.1818181818171</v>
      </c>
      <c r="AV1181" s="20">
        <v>0</v>
      </c>
      <c r="AW1181" s="20">
        <v>0</v>
      </c>
      <c r="AX1181" s="20" t="s">
        <v>91</v>
      </c>
      <c r="AY1181" s="20">
        <v>0</v>
      </c>
      <c r="AZ1181" s="20">
        <v>0</v>
      </c>
      <c r="BA1181" s="20">
        <v>0</v>
      </c>
      <c r="BB1181" s="6">
        <v>41918</v>
      </c>
      <c r="BC1181" s="6">
        <v>0</v>
      </c>
      <c r="BD1181" s="6">
        <v>41922</v>
      </c>
      <c r="BE1181" s="6">
        <v>0</v>
      </c>
      <c r="BF1181" s="6">
        <v>41922</v>
      </c>
      <c r="BG1181" s="6">
        <v>0</v>
      </c>
      <c r="BH1181" s="6">
        <v>0</v>
      </c>
      <c r="BI1181" s="6">
        <v>0</v>
      </c>
      <c r="BJ1181" s="6">
        <v>0</v>
      </c>
      <c r="BK1181" s="4">
        <v>0</v>
      </c>
      <c r="BL1181" s="4">
        <v>0</v>
      </c>
      <c r="BM1181" s="20">
        <v>50</v>
      </c>
      <c r="BN1181" s="20">
        <v>0</v>
      </c>
      <c r="BO1181" s="20">
        <v>0</v>
      </c>
      <c r="BP1181" s="20">
        <v>0</v>
      </c>
      <c r="BQ1181" s="20">
        <v>0</v>
      </c>
      <c r="BR1181" s="20">
        <v>0</v>
      </c>
      <c r="BS1181" s="20">
        <v>50</v>
      </c>
      <c r="BT1181" s="20">
        <v>340909.09090909088</v>
      </c>
      <c r="BU1181" s="20">
        <v>2250000</v>
      </c>
      <c r="BV1181" s="20">
        <v>6</v>
      </c>
    </row>
    <row r="1182" spans="1:74">
      <c r="A1182" s="10">
        <f t="shared" si="74"/>
        <v>0</v>
      </c>
      <c r="B1182" s="10">
        <f t="shared" si="75"/>
        <v>0</v>
      </c>
      <c r="C1182" s="12">
        <f t="shared" si="76"/>
        <v>10</v>
      </c>
      <c r="D1182" s="12">
        <f t="shared" si="77"/>
        <v>10</v>
      </c>
      <c r="E1182" s="20" t="s">
        <v>114</v>
      </c>
      <c r="F1182" s="20" t="s">
        <v>2667</v>
      </c>
      <c r="G1182" s="20" t="s">
        <v>4292</v>
      </c>
      <c r="H1182" s="20" t="s">
        <v>4380</v>
      </c>
      <c r="I1182" s="20">
        <v>15</v>
      </c>
      <c r="J1182" s="20" t="s">
        <v>4381</v>
      </c>
      <c r="K1182" s="20" t="s">
        <v>4382</v>
      </c>
      <c r="L1182" s="20" t="s">
        <v>4383</v>
      </c>
      <c r="M1182" s="20" t="s">
        <v>2667</v>
      </c>
      <c r="N1182" s="20" t="s">
        <v>4384</v>
      </c>
      <c r="P1182" s="20" t="s">
        <v>2667</v>
      </c>
      <c r="Q1182" s="20" t="s">
        <v>2674</v>
      </c>
      <c r="R1182" s="20" t="s">
        <v>84</v>
      </c>
      <c r="S1182" s="20">
        <v>5</v>
      </c>
      <c r="T1182" s="20" t="s">
        <v>480</v>
      </c>
      <c r="U1182" s="20" t="s">
        <v>481</v>
      </c>
      <c r="V1182" s="20" t="s">
        <v>87</v>
      </c>
      <c r="W1182" s="20">
        <v>608</v>
      </c>
      <c r="X1182" s="20">
        <v>608</v>
      </c>
      <c r="Y1182" s="20" t="s">
        <v>4385</v>
      </c>
      <c r="Z1182" s="20">
        <v>1</v>
      </c>
      <c r="AA1182" s="20" t="s">
        <v>4386</v>
      </c>
      <c r="AB1182" s="20" t="s">
        <v>656</v>
      </c>
      <c r="AC1182" s="20" t="s">
        <v>657</v>
      </c>
      <c r="AD1182" s="20" t="s">
        <v>4387</v>
      </c>
      <c r="AE1182" s="20" t="s">
        <v>400</v>
      </c>
      <c r="AF1182" s="20">
        <v>1</v>
      </c>
      <c r="AG1182" s="20">
        <v>0</v>
      </c>
      <c r="AH1182" s="20">
        <v>1</v>
      </c>
      <c r="AI1182" s="4" t="s">
        <v>251</v>
      </c>
      <c r="AJ1182" s="20">
        <v>200</v>
      </c>
      <c r="AK1182" s="4" t="s">
        <v>179</v>
      </c>
      <c r="AL1182" s="4">
        <v>27</v>
      </c>
      <c r="AM1182" s="4">
        <v>27</v>
      </c>
      <c r="AN1182" s="4" t="s">
        <v>95</v>
      </c>
      <c r="AO1182" s="4" t="s">
        <v>96</v>
      </c>
      <c r="AP1182" s="4">
        <v>1</v>
      </c>
      <c r="AQ1182" s="20">
        <v>49000</v>
      </c>
      <c r="AR1182" s="4">
        <v>41918</v>
      </c>
      <c r="AS1182" s="20">
        <v>7424.242424242424</v>
      </c>
      <c r="AT1182" s="20">
        <v>0</v>
      </c>
      <c r="AU1182" s="20">
        <v>-7424.242424242424</v>
      </c>
      <c r="AV1182" s="20">
        <v>0</v>
      </c>
      <c r="AW1182" s="20">
        <v>0</v>
      </c>
      <c r="AX1182" s="20" t="s">
        <v>91</v>
      </c>
      <c r="AY1182" s="20">
        <v>0</v>
      </c>
      <c r="AZ1182" s="20">
        <v>0</v>
      </c>
      <c r="BA1182" s="20">
        <v>0</v>
      </c>
      <c r="BB1182" s="6">
        <v>41918</v>
      </c>
      <c r="BC1182" s="6">
        <v>0</v>
      </c>
      <c r="BD1182" s="6">
        <v>41922</v>
      </c>
      <c r="BE1182" s="6">
        <v>0</v>
      </c>
      <c r="BF1182" s="6">
        <v>41922</v>
      </c>
      <c r="BG1182" s="6">
        <v>0</v>
      </c>
      <c r="BH1182" s="6">
        <v>0</v>
      </c>
      <c r="BI1182" s="6">
        <v>0</v>
      </c>
      <c r="BJ1182" s="6">
        <v>0</v>
      </c>
      <c r="BK1182" s="4">
        <v>0</v>
      </c>
      <c r="BL1182" s="4">
        <v>0</v>
      </c>
      <c r="BM1182" s="20">
        <v>200</v>
      </c>
      <c r="BN1182" s="20">
        <v>0</v>
      </c>
      <c r="BO1182" s="20">
        <v>0</v>
      </c>
      <c r="BP1182" s="20">
        <v>0</v>
      </c>
      <c r="BQ1182" s="20">
        <v>0</v>
      </c>
      <c r="BR1182" s="20">
        <v>0</v>
      </c>
      <c r="BS1182" s="20">
        <v>200</v>
      </c>
      <c r="BT1182" s="20">
        <v>1484848.4848484849</v>
      </c>
      <c r="BU1182" s="20">
        <v>9800000</v>
      </c>
      <c r="BV1182" s="20">
        <v>5.9999999999999991</v>
      </c>
    </row>
    <row r="1183" spans="1:74">
      <c r="A1183" s="10">
        <f t="shared" si="74"/>
        <v>0</v>
      </c>
      <c r="B1183" s="10">
        <f t="shared" si="75"/>
        <v>0</v>
      </c>
      <c r="C1183" s="12">
        <f t="shared" si="76"/>
        <v>10</v>
      </c>
      <c r="D1183" s="12">
        <f t="shared" si="77"/>
        <v>10</v>
      </c>
      <c r="E1183" s="20" t="s">
        <v>114</v>
      </c>
      <c r="F1183" s="20" t="s">
        <v>2667</v>
      </c>
      <c r="G1183" s="20" t="s">
        <v>4292</v>
      </c>
      <c r="H1183" s="20" t="s">
        <v>4388</v>
      </c>
      <c r="I1183" s="20">
        <v>16</v>
      </c>
      <c r="J1183" s="20" t="s">
        <v>4389</v>
      </c>
      <c r="K1183" s="20" t="s">
        <v>4390</v>
      </c>
      <c r="L1183" s="20" t="s">
        <v>4391</v>
      </c>
      <c r="M1183" s="20" t="s">
        <v>2667</v>
      </c>
      <c r="N1183" s="20" t="s">
        <v>4384</v>
      </c>
      <c r="P1183" s="20" t="s">
        <v>2667</v>
      </c>
      <c r="Q1183" s="20" t="s">
        <v>2674</v>
      </c>
      <c r="R1183" s="20" t="s">
        <v>84</v>
      </c>
      <c r="S1183" s="20">
        <v>5</v>
      </c>
      <c r="T1183" s="20" t="s">
        <v>480</v>
      </c>
      <c r="U1183" s="20" t="s">
        <v>481</v>
      </c>
      <c r="V1183" s="20" t="s">
        <v>87</v>
      </c>
      <c r="W1183" s="20">
        <v>648</v>
      </c>
      <c r="X1183" s="20">
        <v>648</v>
      </c>
      <c r="Y1183" s="20" t="s">
        <v>4392</v>
      </c>
      <c r="Z1183" s="20">
        <v>1</v>
      </c>
      <c r="AA1183" s="20" t="s">
        <v>4393</v>
      </c>
      <c r="AB1183" s="20" t="s">
        <v>109</v>
      </c>
      <c r="AC1183" s="20" t="s">
        <v>110</v>
      </c>
      <c r="AD1183" s="20" t="s">
        <v>4394</v>
      </c>
      <c r="AE1183" s="20" t="s">
        <v>400</v>
      </c>
      <c r="AF1183" s="20">
        <v>1</v>
      </c>
      <c r="AG1183" s="20">
        <v>0</v>
      </c>
      <c r="AH1183" s="20">
        <v>1</v>
      </c>
      <c r="AI1183" s="4" t="s">
        <v>251</v>
      </c>
      <c r="AJ1183" s="20">
        <v>200</v>
      </c>
      <c r="AK1183" s="4" t="s">
        <v>179</v>
      </c>
      <c r="AL1183" s="4">
        <v>27</v>
      </c>
      <c r="AM1183" s="4">
        <v>27</v>
      </c>
      <c r="AN1183" s="4" t="s">
        <v>95</v>
      </c>
      <c r="AO1183" s="4" t="s">
        <v>96</v>
      </c>
      <c r="AP1183" s="4">
        <v>1</v>
      </c>
      <c r="AQ1183" s="20">
        <v>59000</v>
      </c>
      <c r="AR1183" s="4">
        <v>41918</v>
      </c>
      <c r="AS1183" s="20">
        <v>8939.3939393939381</v>
      </c>
      <c r="AT1183" s="20">
        <v>0</v>
      </c>
      <c r="AU1183" s="20">
        <v>-8939.3939393939381</v>
      </c>
      <c r="AV1183" s="20">
        <v>0</v>
      </c>
      <c r="AW1183" s="20">
        <v>0</v>
      </c>
      <c r="AX1183" s="20" t="s">
        <v>91</v>
      </c>
      <c r="AY1183" s="20">
        <v>0</v>
      </c>
      <c r="AZ1183" s="20">
        <v>0</v>
      </c>
      <c r="BA1183" s="20">
        <v>0</v>
      </c>
      <c r="BB1183" s="6">
        <v>41918</v>
      </c>
      <c r="BC1183" s="6">
        <v>0</v>
      </c>
      <c r="BD1183" s="6">
        <v>41922</v>
      </c>
      <c r="BE1183" s="6">
        <v>0</v>
      </c>
      <c r="BF1183" s="6">
        <v>41922</v>
      </c>
      <c r="BG1183" s="6">
        <v>0</v>
      </c>
      <c r="BH1183" s="6">
        <v>0</v>
      </c>
      <c r="BI1183" s="6">
        <v>0</v>
      </c>
      <c r="BJ1183" s="6">
        <v>0</v>
      </c>
      <c r="BK1183" s="4">
        <v>0</v>
      </c>
      <c r="BL1183" s="4">
        <v>0</v>
      </c>
      <c r="BM1183" s="20">
        <v>200</v>
      </c>
      <c r="BN1183" s="20">
        <v>0</v>
      </c>
      <c r="BO1183" s="20">
        <v>0</v>
      </c>
      <c r="BP1183" s="20">
        <v>0</v>
      </c>
      <c r="BQ1183" s="20">
        <v>0</v>
      </c>
      <c r="BR1183" s="20">
        <v>0</v>
      </c>
      <c r="BS1183" s="20">
        <v>200</v>
      </c>
      <c r="BT1183" s="20">
        <v>1787878.7878787876</v>
      </c>
      <c r="BU1183" s="20">
        <v>11800000</v>
      </c>
      <c r="BV1183" s="20">
        <v>6.0000000000000009</v>
      </c>
    </row>
    <row r="1184" spans="1:74">
      <c r="A1184" s="10">
        <f t="shared" si="74"/>
        <v>0</v>
      </c>
      <c r="B1184" s="10">
        <f t="shared" si="75"/>
        <v>0</v>
      </c>
      <c r="C1184" s="12">
        <f t="shared" si="76"/>
        <v>10</v>
      </c>
      <c r="D1184" s="12">
        <f t="shared" si="77"/>
        <v>10</v>
      </c>
      <c r="E1184" s="20" t="s">
        <v>114</v>
      </c>
      <c r="F1184" s="20" t="s">
        <v>2667</v>
      </c>
      <c r="G1184" s="20" t="s">
        <v>4292</v>
      </c>
      <c r="H1184" s="20" t="s">
        <v>4395</v>
      </c>
      <c r="I1184" s="20">
        <v>17</v>
      </c>
      <c r="J1184" s="20" t="s">
        <v>4396</v>
      </c>
      <c r="K1184" s="20" t="s">
        <v>4397</v>
      </c>
      <c r="L1184" s="20" t="s">
        <v>4391</v>
      </c>
      <c r="M1184" s="20" t="s">
        <v>2667</v>
      </c>
      <c r="N1184" s="20" t="s">
        <v>4384</v>
      </c>
      <c r="P1184" s="20" t="s">
        <v>2667</v>
      </c>
      <c r="Q1184" s="20" t="s">
        <v>2674</v>
      </c>
      <c r="R1184" s="20" t="s">
        <v>84</v>
      </c>
      <c r="S1184" s="20">
        <v>5</v>
      </c>
      <c r="T1184" s="20" t="s">
        <v>480</v>
      </c>
      <c r="U1184" s="20" t="s">
        <v>481</v>
      </c>
      <c r="V1184" s="20" t="s">
        <v>87</v>
      </c>
      <c r="W1184" s="20">
        <v>648</v>
      </c>
      <c r="X1184" s="20">
        <v>648</v>
      </c>
      <c r="Y1184" s="20" t="s">
        <v>4392</v>
      </c>
      <c r="Z1184" s="20">
        <v>1</v>
      </c>
      <c r="AA1184" s="20" t="s">
        <v>4398</v>
      </c>
      <c r="AB1184" s="20" t="s">
        <v>101</v>
      </c>
      <c r="AC1184" s="20" t="s">
        <v>102</v>
      </c>
      <c r="AD1184" s="20" t="s">
        <v>4399</v>
      </c>
      <c r="AE1184" s="20" t="s">
        <v>400</v>
      </c>
      <c r="AF1184" s="20">
        <v>1</v>
      </c>
      <c r="AG1184" s="20">
        <v>0</v>
      </c>
      <c r="AH1184" s="20">
        <v>1</v>
      </c>
      <c r="AI1184" s="4" t="s">
        <v>251</v>
      </c>
      <c r="AJ1184" s="20">
        <v>235</v>
      </c>
      <c r="AK1184" s="4" t="s">
        <v>179</v>
      </c>
      <c r="AL1184" s="4">
        <v>27</v>
      </c>
      <c r="AM1184" s="4">
        <v>27</v>
      </c>
      <c r="AN1184" s="4" t="s">
        <v>95</v>
      </c>
      <c r="AO1184" s="4" t="s">
        <v>96</v>
      </c>
      <c r="AP1184" s="4">
        <v>1</v>
      </c>
      <c r="AQ1184" s="20">
        <v>59000</v>
      </c>
      <c r="AR1184" s="4">
        <v>41918</v>
      </c>
      <c r="AS1184" s="20">
        <v>8939.3939393939381</v>
      </c>
      <c r="AT1184" s="20">
        <v>0</v>
      </c>
      <c r="AU1184" s="20">
        <v>-8939.3939393939381</v>
      </c>
      <c r="AV1184" s="20">
        <v>0</v>
      </c>
      <c r="AW1184" s="20">
        <v>0</v>
      </c>
      <c r="AX1184" s="20" t="s">
        <v>91</v>
      </c>
      <c r="AY1184" s="20">
        <v>0</v>
      </c>
      <c r="AZ1184" s="20">
        <v>0</v>
      </c>
      <c r="BA1184" s="20">
        <v>0</v>
      </c>
      <c r="BB1184" s="6">
        <v>41918</v>
      </c>
      <c r="BC1184" s="6">
        <v>0</v>
      </c>
      <c r="BD1184" s="6">
        <v>41922</v>
      </c>
      <c r="BE1184" s="6">
        <v>0</v>
      </c>
      <c r="BF1184" s="6">
        <v>41922</v>
      </c>
      <c r="BG1184" s="6">
        <v>0</v>
      </c>
      <c r="BH1184" s="6">
        <v>0</v>
      </c>
      <c r="BI1184" s="6">
        <v>0</v>
      </c>
      <c r="BJ1184" s="6">
        <v>0</v>
      </c>
      <c r="BK1184" s="4">
        <v>0</v>
      </c>
      <c r="BL1184" s="4">
        <v>0</v>
      </c>
      <c r="BM1184" s="20">
        <v>235</v>
      </c>
      <c r="BN1184" s="20">
        <v>0</v>
      </c>
      <c r="BO1184" s="20">
        <v>0</v>
      </c>
      <c r="BP1184" s="20">
        <v>0</v>
      </c>
      <c r="BQ1184" s="20">
        <v>0</v>
      </c>
      <c r="BR1184" s="20">
        <v>0</v>
      </c>
      <c r="BS1184" s="20">
        <v>235</v>
      </c>
      <c r="BT1184" s="20">
        <v>2100757.5757575757</v>
      </c>
      <c r="BU1184" s="20">
        <v>13865000</v>
      </c>
      <c r="BV1184" s="20">
        <v>6</v>
      </c>
    </row>
    <row r="1185" spans="1:74">
      <c r="A1185" s="10">
        <f t="shared" si="74"/>
        <v>0</v>
      </c>
      <c r="B1185" s="10">
        <f t="shared" si="75"/>
        <v>0</v>
      </c>
      <c r="C1185" s="12">
        <f t="shared" si="76"/>
        <v>10</v>
      </c>
      <c r="D1185" s="12">
        <f t="shared" si="77"/>
        <v>10</v>
      </c>
      <c r="E1185" s="20" t="s">
        <v>114</v>
      </c>
      <c r="F1185" s="20" t="s">
        <v>2667</v>
      </c>
      <c r="G1185" s="20" t="s">
        <v>4292</v>
      </c>
      <c r="H1185" s="20" t="s">
        <v>4400</v>
      </c>
      <c r="I1185" s="20">
        <v>18</v>
      </c>
      <c r="J1185" s="20" t="s">
        <v>4401</v>
      </c>
      <c r="K1185" s="20" t="s">
        <v>4402</v>
      </c>
      <c r="L1185" s="20" t="s">
        <v>4403</v>
      </c>
      <c r="M1185" s="20" t="s">
        <v>2667</v>
      </c>
      <c r="N1185" s="20" t="s">
        <v>4384</v>
      </c>
      <c r="P1185" s="20" t="s">
        <v>2667</v>
      </c>
      <c r="Q1185" s="20" t="s">
        <v>2674</v>
      </c>
      <c r="R1185" s="20" t="s">
        <v>84</v>
      </c>
      <c r="S1185" s="20">
        <v>5</v>
      </c>
      <c r="T1185" s="20" t="s">
        <v>480</v>
      </c>
      <c r="U1185" s="20" t="s">
        <v>481</v>
      </c>
      <c r="V1185" s="20" t="s">
        <v>87</v>
      </c>
      <c r="W1185" s="20">
        <v>824</v>
      </c>
      <c r="X1185" s="20">
        <v>824</v>
      </c>
      <c r="Y1185" s="20" t="s">
        <v>4404</v>
      </c>
      <c r="Z1185" s="20">
        <v>1</v>
      </c>
      <c r="AA1185" s="20" t="s">
        <v>4405</v>
      </c>
      <c r="AB1185" s="20" t="s">
        <v>109</v>
      </c>
      <c r="AC1185" s="20" t="s">
        <v>110</v>
      </c>
      <c r="AD1185" s="20" t="s">
        <v>4406</v>
      </c>
      <c r="AE1185" s="20" t="s">
        <v>400</v>
      </c>
      <c r="AF1185" s="20">
        <v>1</v>
      </c>
      <c r="AG1185" s="20">
        <v>0</v>
      </c>
      <c r="AH1185" s="20">
        <v>1</v>
      </c>
      <c r="AI1185" s="4" t="s">
        <v>251</v>
      </c>
      <c r="AJ1185" s="20">
        <v>76</v>
      </c>
      <c r="AK1185" s="4" t="s">
        <v>179</v>
      </c>
      <c r="AL1185" s="4">
        <v>27</v>
      </c>
      <c r="AM1185" s="4">
        <v>27</v>
      </c>
      <c r="AN1185" s="4" t="s">
        <v>95</v>
      </c>
      <c r="AO1185" s="4" t="s">
        <v>96</v>
      </c>
      <c r="AP1185" s="4">
        <v>1</v>
      </c>
      <c r="AQ1185" s="20">
        <v>55000</v>
      </c>
      <c r="AR1185" s="4">
        <v>41918</v>
      </c>
      <c r="AS1185" s="20">
        <v>8333.3333333333321</v>
      </c>
      <c r="AT1185" s="20">
        <v>0</v>
      </c>
      <c r="AU1185" s="20">
        <v>-8333.3333333333321</v>
      </c>
      <c r="AV1185" s="20">
        <v>0</v>
      </c>
      <c r="AW1185" s="20">
        <v>0</v>
      </c>
      <c r="AX1185" s="20" t="s">
        <v>91</v>
      </c>
      <c r="AY1185" s="20">
        <v>0</v>
      </c>
      <c r="AZ1185" s="20">
        <v>0</v>
      </c>
      <c r="BA1185" s="20">
        <v>0</v>
      </c>
      <c r="BB1185" s="6">
        <v>41918</v>
      </c>
      <c r="BC1185" s="6">
        <v>0</v>
      </c>
      <c r="BD1185" s="6">
        <v>41922</v>
      </c>
      <c r="BE1185" s="6">
        <v>0</v>
      </c>
      <c r="BF1185" s="6">
        <v>41922</v>
      </c>
      <c r="BG1185" s="6">
        <v>0</v>
      </c>
      <c r="BH1185" s="6">
        <v>0</v>
      </c>
      <c r="BI1185" s="6">
        <v>0</v>
      </c>
      <c r="BJ1185" s="6">
        <v>0</v>
      </c>
      <c r="BK1185" s="4">
        <v>0</v>
      </c>
      <c r="BL1185" s="4">
        <v>0</v>
      </c>
      <c r="BM1185" s="20">
        <v>76</v>
      </c>
      <c r="BN1185" s="20">
        <v>0</v>
      </c>
      <c r="BO1185" s="20">
        <v>0</v>
      </c>
      <c r="BP1185" s="20">
        <v>0</v>
      </c>
      <c r="BQ1185" s="20">
        <v>0</v>
      </c>
      <c r="BR1185" s="20">
        <v>0</v>
      </c>
      <c r="BS1185" s="20">
        <v>76</v>
      </c>
      <c r="BT1185" s="20">
        <v>633333.33333333326</v>
      </c>
      <c r="BU1185" s="20">
        <v>4180000</v>
      </c>
      <c r="BV1185" s="20">
        <v>6</v>
      </c>
    </row>
    <row r="1186" spans="1:74">
      <c r="A1186" s="10">
        <f t="shared" si="74"/>
        <v>0</v>
      </c>
      <c r="B1186" s="10">
        <f t="shared" si="75"/>
        <v>0</v>
      </c>
      <c r="C1186" s="12">
        <f t="shared" si="76"/>
        <v>10</v>
      </c>
      <c r="D1186" s="12">
        <f t="shared" si="77"/>
        <v>10</v>
      </c>
      <c r="E1186" s="20" t="s">
        <v>114</v>
      </c>
      <c r="F1186" s="20" t="s">
        <v>2667</v>
      </c>
      <c r="G1186" s="20" t="s">
        <v>4292</v>
      </c>
      <c r="H1186" s="20" t="s">
        <v>4407</v>
      </c>
      <c r="I1186" s="20">
        <v>19</v>
      </c>
      <c r="J1186" s="20" t="s">
        <v>4408</v>
      </c>
      <c r="K1186" s="20" t="s">
        <v>4409</v>
      </c>
      <c r="L1186" s="20" t="s">
        <v>4410</v>
      </c>
      <c r="M1186" s="20" t="s">
        <v>2667</v>
      </c>
      <c r="N1186" s="20" t="s">
        <v>4384</v>
      </c>
      <c r="P1186" s="20" t="s">
        <v>2667</v>
      </c>
      <c r="Q1186" s="20" t="s">
        <v>2674</v>
      </c>
      <c r="R1186" s="20" t="s">
        <v>84</v>
      </c>
      <c r="S1186" s="20">
        <v>5</v>
      </c>
      <c r="T1186" s="20" t="s">
        <v>480</v>
      </c>
      <c r="U1186" s="20" t="s">
        <v>481</v>
      </c>
      <c r="V1186" s="20" t="s">
        <v>87</v>
      </c>
      <c r="W1186" s="20">
        <v>831</v>
      </c>
      <c r="X1186" s="20">
        <v>831</v>
      </c>
      <c r="Y1186" s="20" t="s">
        <v>4411</v>
      </c>
      <c r="Z1186" s="20">
        <v>1</v>
      </c>
      <c r="AA1186" s="20" t="s">
        <v>4412</v>
      </c>
      <c r="AB1186" s="20" t="s">
        <v>109</v>
      </c>
      <c r="AC1186" s="20" t="s">
        <v>110</v>
      </c>
      <c r="AD1186" s="20" t="s">
        <v>4413</v>
      </c>
      <c r="AE1186" s="20" t="s">
        <v>400</v>
      </c>
      <c r="AF1186" s="20">
        <v>1</v>
      </c>
      <c r="AG1186" s="20">
        <v>0</v>
      </c>
      <c r="AH1186" s="20">
        <v>1</v>
      </c>
      <c r="AI1186" s="4" t="s">
        <v>251</v>
      </c>
      <c r="AJ1186" s="20">
        <v>50</v>
      </c>
      <c r="AK1186" s="4" t="s">
        <v>179</v>
      </c>
      <c r="AL1186" s="4">
        <v>27</v>
      </c>
      <c r="AM1186" s="4">
        <v>27</v>
      </c>
      <c r="AN1186" s="4" t="s">
        <v>95</v>
      </c>
      <c r="AO1186" s="4" t="s">
        <v>96</v>
      </c>
      <c r="AP1186" s="4">
        <v>1</v>
      </c>
      <c r="AQ1186" s="20">
        <v>49000</v>
      </c>
      <c r="AR1186" s="4">
        <v>41918</v>
      </c>
      <c r="AS1186" s="20">
        <v>7424.242424242424</v>
      </c>
      <c r="AT1186" s="20">
        <v>0</v>
      </c>
      <c r="AU1186" s="20">
        <v>-7424.242424242424</v>
      </c>
      <c r="AV1186" s="20">
        <v>0</v>
      </c>
      <c r="AW1186" s="20">
        <v>0</v>
      </c>
      <c r="AX1186" s="20" t="s">
        <v>91</v>
      </c>
      <c r="AY1186" s="20">
        <v>0</v>
      </c>
      <c r="AZ1186" s="20">
        <v>0</v>
      </c>
      <c r="BA1186" s="20">
        <v>0</v>
      </c>
      <c r="BB1186" s="6">
        <v>41918</v>
      </c>
      <c r="BC1186" s="6">
        <v>0</v>
      </c>
      <c r="BD1186" s="6">
        <v>41922</v>
      </c>
      <c r="BE1186" s="6">
        <v>0</v>
      </c>
      <c r="BF1186" s="6">
        <v>41922</v>
      </c>
      <c r="BG1186" s="6">
        <v>0</v>
      </c>
      <c r="BH1186" s="6">
        <v>0</v>
      </c>
      <c r="BI1186" s="6">
        <v>0</v>
      </c>
      <c r="BJ1186" s="6">
        <v>0</v>
      </c>
      <c r="BK1186" s="4">
        <v>0</v>
      </c>
      <c r="BL1186" s="4">
        <v>0</v>
      </c>
      <c r="BM1186" s="20">
        <v>50</v>
      </c>
      <c r="BN1186" s="20">
        <v>0</v>
      </c>
      <c r="BO1186" s="20">
        <v>0</v>
      </c>
      <c r="BP1186" s="20">
        <v>0</v>
      </c>
      <c r="BQ1186" s="20">
        <v>0</v>
      </c>
      <c r="BR1186" s="20">
        <v>0</v>
      </c>
      <c r="BS1186" s="20">
        <v>50</v>
      </c>
      <c r="BT1186" s="20">
        <v>371212.12121212122</v>
      </c>
      <c r="BU1186" s="20">
        <v>2450000</v>
      </c>
      <c r="BV1186" s="20">
        <v>5.9999999999999991</v>
      </c>
    </row>
    <row r="1187" spans="1:74">
      <c r="A1187" s="10">
        <f t="shared" si="74"/>
        <v>0</v>
      </c>
      <c r="B1187" s="10">
        <f t="shared" si="75"/>
        <v>0</v>
      </c>
      <c r="C1187" s="12">
        <f t="shared" si="76"/>
        <v>10</v>
      </c>
      <c r="D1187" s="12">
        <f t="shared" si="77"/>
        <v>10</v>
      </c>
      <c r="E1187" s="20" t="s">
        <v>114</v>
      </c>
      <c r="F1187" s="20" t="s">
        <v>2667</v>
      </c>
      <c r="G1187" s="20" t="s">
        <v>4292</v>
      </c>
      <c r="H1187" s="20" t="s">
        <v>4414</v>
      </c>
      <c r="I1187" s="20">
        <v>20</v>
      </c>
      <c r="J1187" s="20" t="s">
        <v>4415</v>
      </c>
      <c r="K1187" s="20" t="s">
        <v>4416</v>
      </c>
      <c r="L1187" s="20" t="s">
        <v>4410</v>
      </c>
      <c r="M1187" s="20" t="s">
        <v>2667</v>
      </c>
      <c r="N1187" s="20" t="s">
        <v>4384</v>
      </c>
      <c r="P1187" s="20" t="s">
        <v>2667</v>
      </c>
      <c r="Q1187" s="20" t="s">
        <v>2674</v>
      </c>
      <c r="R1187" s="20" t="s">
        <v>84</v>
      </c>
      <c r="S1187" s="20">
        <v>5</v>
      </c>
      <c r="T1187" s="20" t="s">
        <v>480</v>
      </c>
      <c r="U1187" s="20" t="s">
        <v>481</v>
      </c>
      <c r="V1187" s="20" t="s">
        <v>87</v>
      </c>
      <c r="W1187" s="20">
        <v>831</v>
      </c>
      <c r="X1187" s="20">
        <v>831</v>
      </c>
      <c r="Y1187" s="20" t="s">
        <v>4411</v>
      </c>
      <c r="Z1187" s="20">
        <v>1</v>
      </c>
      <c r="AA1187" s="20" t="s">
        <v>4417</v>
      </c>
      <c r="AB1187" s="20" t="s">
        <v>718</v>
      </c>
      <c r="AC1187" s="20" t="s">
        <v>719</v>
      </c>
      <c r="AD1187" s="20" t="s">
        <v>4418</v>
      </c>
      <c r="AE1187" s="20" t="s">
        <v>400</v>
      </c>
      <c r="AF1187" s="20">
        <v>1</v>
      </c>
      <c r="AG1187" s="20">
        <v>0</v>
      </c>
      <c r="AH1187" s="20">
        <v>1</v>
      </c>
      <c r="AI1187" s="4" t="s">
        <v>251</v>
      </c>
      <c r="AJ1187" s="20">
        <v>50</v>
      </c>
      <c r="AK1187" s="4" t="s">
        <v>179</v>
      </c>
      <c r="AL1187" s="4">
        <v>27</v>
      </c>
      <c r="AM1187" s="4">
        <v>27</v>
      </c>
      <c r="AN1187" s="4" t="s">
        <v>95</v>
      </c>
      <c r="AO1187" s="4" t="s">
        <v>96</v>
      </c>
      <c r="AP1187" s="4">
        <v>1</v>
      </c>
      <c r="AQ1187" s="20">
        <v>49000</v>
      </c>
      <c r="AR1187" s="4">
        <v>41918</v>
      </c>
      <c r="AS1187" s="20">
        <v>7424.242424242424</v>
      </c>
      <c r="AT1187" s="20">
        <v>0</v>
      </c>
      <c r="AU1187" s="20">
        <v>-7424.242424242424</v>
      </c>
      <c r="AV1187" s="20">
        <v>0</v>
      </c>
      <c r="AW1187" s="20">
        <v>0</v>
      </c>
      <c r="AX1187" s="20" t="s">
        <v>91</v>
      </c>
      <c r="AY1187" s="20">
        <v>0</v>
      </c>
      <c r="AZ1187" s="20">
        <v>0</v>
      </c>
      <c r="BA1187" s="20">
        <v>0</v>
      </c>
      <c r="BB1187" s="6">
        <v>41918</v>
      </c>
      <c r="BC1187" s="6">
        <v>0</v>
      </c>
      <c r="BD1187" s="6">
        <v>41922</v>
      </c>
      <c r="BE1187" s="6">
        <v>0</v>
      </c>
      <c r="BF1187" s="6">
        <v>41922</v>
      </c>
      <c r="BG1187" s="6">
        <v>0</v>
      </c>
      <c r="BH1187" s="6">
        <v>0</v>
      </c>
      <c r="BI1187" s="6">
        <v>0</v>
      </c>
      <c r="BJ1187" s="6">
        <v>0</v>
      </c>
      <c r="BK1187" s="4">
        <v>0</v>
      </c>
      <c r="BL1187" s="4">
        <v>0</v>
      </c>
      <c r="BM1187" s="20">
        <v>50</v>
      </c>
      <c r="BN1187" s="20">
        <v>0</v>
      </c>
      <c r="BO1187" s="20">
        <v>0</v>
      </c>
      <c r="BP1187" s="20">
        <v>0</v>
      </c>
      <c r="BQ1187" s="20">
        <v>0</v>
      </c>
      <c r="BR1187" s="20">
        <v>0</v>
      </c>
      <c r="BS1187" s="20">
        <v>50</v>
      </c>
      <c r="BT1187" s="20">
        <v>371212.12121212122</v>
      </c>
      <c r="BU1187" s="20">
        <v>2450000</v>
      </c>
      <c r="BV1187" s="20">
        <v>5.9999999999999991</v>
      </c>
    </row>
    <row r="1188" spans="1:74">
      <c r="A1188" s="10">
        <f t="shared" si="74"/>
        <v>0</v>
      </c>
      <c r="B1188" s="10">
        <f t="shared" si="75"/>
        <v>0</v>
      </c>
      <c r="C1188" s="12">
        <f t="shared" si="76"/>
        <v>10</v>
      </c>
      <c r="D1188" s="12">
        <f t="shared" si="77"/>
        <v>10</v>
      </c>
      <c r="E1188" s="20" t="s">
        <v>114</v>
      </c>
      <c r="F1188" s="20" t="s">
        <v>2667</v>
      </c>
      <c r="G1188" s="20" t="s">
        <v>4292</v>
      </c>
      <c r="H1188" s="20" t="s">
        <v>4419</v>
      </c>
      <c r="I1188" s="20">
        <v>21</v>
      </c>
      <c r="J1188" s="20" t="s">
        <v>4420</v>
      </c>
      <c r="K1188" s="20" t="s">
        <v>4421</v>
      </c>
      <c r="L1188" s="20" t="s">
        <v>4422</v>
      </c>
      <c r="M1188" s="20" t="s">
        <v>2667</v>
      </c>
      <c r="N1188" s="20" t="s">
        <v>4423</v>
      </c>
      <c r="P1188" s="20" t="s">
        <v>2667</v>
      </c>
      <c r="Q1188" s="20" t="s">
        <v>2674</v>
      </c>
      <c r="R1188" s="20" t="s">
        <v>84</v>
      </c>
      <c r="S1188" s="20">
        <v>5</v>
      </c>
      <c r="T1188" s="20" t="s">
        <v>413</v>
      </c>
      <c r="U1188" s="20" t="s">
        <v>414</v>
      </c>
      <c r="V1188" s="20" t="s">
        <v>87</v>
      </c>
      <c r="W1188" s="20">
        <v>822</v>
      </c>
      <c r="X1188" s="20">
        <v>822</v>
      </c>
      <c r="Y1188" s="20" t="s">
        <v>4424</v>
      </c>
      <c r="Z1188" s="20">
        <v>1</v>
      </c>
      <c r="AA1188" s="20" t="s">
        <v>4425</v>
      </c>
      <c r="AB1188" s="20" t="s">
        <v>718</v>
      </c>
      <c r="AC1188" s="20" t="s">
        <v>719</v>
      </c>
      <c r="AD1188" s="20" t="s">
        <v>4426</v>
      </c>
      <c r="AE1188" s="20" t="s">
        <v>400</v>
      </c>
      <c r="AF1188" s="20">
        <v>1</v>
      </c>
      <c r="AG1188" s="20">
        <v>0</v>
      </c>
      <c r="AH1188" s="20">
        <v>1</v>
      </c>
      <c r="AI1188" s="4" t="s">
        <v>251</v>
      </c>
      <c r="AJ1188" s="20">
        <v>100</v>
      </c>
      <c r="AK1188" s="4" t="s">
        <v>179</v>
      </c>
      <c r="AL1188" s="4">
        <v>27</v>
      </c>
      <c r="AM1188" s="4">
        <v>27</v>
      </c>
      <c r="AN1188" s="4" t="s">
        <v>95</v>
      </c>
      <c r="AO1188" s="4" t="s">
        <v>96</v>
      </c>
      <c r="AP1188" s="4">
        <v>1</v>
      </c>
      <c r="AQ1188" s="20">
        <v>45000</v>
      </c>
      <c r="AR1188" s="4">
        <v>41918</v>
      </c>
      <c r="AS1188" s="20">
        <v>6818.1818181818171</v>
      </c>
      <c r="AT1188" s="20">
        <v>0</v>
      </c>
      <c r="AU1188" s="20">
        <v>-6818.1818181818171</v>
      </c>
      <c r="AV1188" s="20">
        <v>0</v>
      </c>
      <c r="AW1188" s="20">
        <v>0</v>
      </c>
      <c r="AX1188" s="20" t="s">
        <v>91</v>
      </c>
      <c r="AY1188" s="20">
        <v>0</v>
      </c>
      <c r="AZ1188" s="20">
        <v>0</v>
      </c>
      <c r="BA1188" s="20">
        <v>0</v>
      </c>
      <c r="BB1188" s="6">
        <v>41918</v>
      </c>
      <c r="BC1188" s="6">
        <v>0</v>
      </c>
      <c r="BD1188" s="6">
        <v>41922</v>
      </c>
      <c r="BE1188" s="6">
        <v>0</v>
      </c>
      <c r="BF1188" s="6">
        <v>41922</v>
      </c>
      <c r="BG1188" s="6">
        <v>0</v>
      </c>
      <c r="BH1188" s="6">
        <v>0</v>
      </c>
      <c r="BI1188" s="6">
        <v>0</v>
      </c>
      <c r="BJ1188" s="6">
        <v>0</v>
      </c>
      <c r="BK1188" s="4">
        <v>0</v>
      </c>
      <c r="BL1188" s="4">
        <v>0</v>
      </c>
      <c r="BM1188" s="20">
        <v>100</v>
      </c>
      <c r="BN1188" s="20">
        <v>0</v>
      </c>
      <c r="BO1188" s="20">
        <v>0</v>
      </c>
      <c r="BP1188" s="20">
        <v>0</v>
      </c>
      <c r="BQ1188" s="20">
        <v>0</v>
      </c>
      <c r="BR1188" s="20">
        <v>0</v>
      </c>
      <c r="BS1188" s="20">
        <v>100</v>
      </c>
      <c r="BT1188" s="20">
        <v>681818.18181818177</v>
      </c>
      <c r="BU1188" s="20">
        <v>4500000</v>
      </c>
      <c r="BV1188" s="20">
        <v>6</v>
      </c>
    </row>
    <row r="1189" spans="1:74">
      <c r="A1189" s="10">
        <f t="shared" si="74"/>
        <v>0</v>
      </c>
      <c r="B1189" s="10">
        <f t="shared" si="75"/>
        <v>0</v>
      </c>
      <c r="C1189" s="12" t="str">
        <f t="shared" si="76"/>
        <v/>
      </c>
      <c r="D1189" s="12" t="str">
        <f t="shared" si="77"/>
        <v/>
      </c>
      <c r="E1189" s="20" t="s">
        <v>91</v>
      </c>
      <c r="F1189" s="20" t="s">
        <v>91</v>
      </c>
      <c r="G1189" s="20" t="s">
        <v>91</v>
      </c>
      <c r="H1189" s="20" t="s">
        <v>91</v>
      </c>
      <c r="I1189" s="20">
        <v>0</v>
      </c>
      <c r="J1189" s="20" t="s">
        <v>103</v>
      </c>
      <c r="K1189" s="20" t="s">
        <v>104</v>
      </c>
      <c r="L1189" s="20">
        <v>0</v>
      </c>
      <c r="M1189" s="20" t="s">
        <v>105</v>
      </c>
      <c r="N1189" s="20" t="s">
        <v>91</v>
      </c>
      <c r="O1189" s="20" t="s">
        <v>4427</v>
      </c>
      <c r="Q1189" s="20" t="s">
        <v>91</v>
      </c>
      <c r="R1189" s="20" t="s">
        <v>91</v>
      </c>
      <c r="S1189" s="20" t="s">
        <v>91</v>
      </c>
      <c r="T1189" s="20" t="s">
        <v>91</v>
      </c>
      <c r="U1189" s="20" t="s">
        <v>91</v>
      </c>
      <c r="V1189" s="20" t="s">
        <v>87</v>
      </c>
      <c r="W1189" s="20" t="s">
        <v>91</v>
      </c>
      <c r="X1189" s="20" t="s">
        <v>91</v>
      </c>
      <c r="Y1189" s="20" t="s">
        <v>91</v>
      </c>
      <c r="Z1189" s="20">
        <v>21</v>
      </c>
      <c r="AB1189" s="20" t="s">
        <v>91</v>
      </c>
      <c r="AD1189" s="20" t="s">
        <v>91</v>
      </c>
      <c r="AE1189" s="20" t="s">
        <v>91</v>
      </c>
      <c r="AF1189" s="20">
        <v>21</v>
      </c>
      <c r="AG1189" s="20">
        <v>0</v>
      </c>
      <c r="AH1189" s="20">
        <v>1</v>
      </c>
      <c r="AM1189" s="4" t="s">
        <v>91</v>
      </c>
      <c r="AP1189" s="4" t="s">
        <v>91</v>
      </c>
      <c r="AQ1189" s="20">
        <v>0</v>
      </c>
      <c r="AR1189" s="4">
        <v>0</v>
      </c>
      <c r="AS1189" s="20">
        <v>0</v>
      </c>
      <c r="AT1189" s="20">
        <v>0</v>
      </c>
      <c r="AU1189" s="20">
        <v>0</v>
      </c>
      <c r="AV1189" s="20">
        <v>0</v>
      </c>
      <c r="AW1189" s="20">
        <v>0</v>
      </c>
      <c r="AX1189" s="20" t="s">
        <v>91</v>
      </c>
      <c r="AY1189" s="20">
        <v>0</v>
      </c>
      <c r="AZ1189" s="20">
        <v>0</v>
      </c>
      <c r="BA1189" s="20">
        <v>0</v>
      </c>
      <c r="BB1189" s="6">
        <v>0</v>
      </c>
      <c r="BC1189" s="6">
        <v>0</v>
      </c>
      <c r="BD1189" s="6">
        <v>0</v>
      </c>
      <c r="BE1189" s="6">
        <v>0</v>
      </c>
      <c r="BF1189" s="6">
        <v>0</v>
      </c>
      <c r="BG1189" s="6">
        <v>0</v>
      </c>
      <c r="BH1189" s="6">
        <v>0</v>
      </c>
      <c r="BI1189" s="6">
        <v>0</v>
      </c>
      <c r="BJ1189" s="6">
        <v>0</v>
      </c>
      <c r="BK1189" s="4">
        <v>0</v>
      </c>
      <c r="BL1189" s="4">
        <v>0</v>
      </c>
      <c r="BM1189" s="20">
        <v>1861</v>
      </c>
      <c r="BN1189" s="20">
        <v>0</v>
      </c>
      <c r="BO1189" s="20">
        <v>0</v>
      </c>
      <c r="BP1189" s="20">
        <v>0</v>
      </c>
      <c r="BQ1189" s="20">
        <v>0</v>
      </c>
      <c r="BR1189" s="20">
        <v>0</v>
      </c>
      <c r="BS1189" s="20">
        <v>1861</v>
      </c>
      <c r="BT1189" s="20">
        <v>13635606.060606061</v>
      </c>
      <c r="BU1189" s="20">
        <v>89995000</v>
      </c>
      <c r="BV1189" s="20">
        <v>5.9999999999999991</v>
      </c>
    </row>
    <row r="1190" spans="1:74">
      <c r="A1190" s="10">
        <f t="shared" si="74"/>
        <v>0</v>
      </c>
      <c r="B1190" s="10">
        <f t="shared" si="75"/>
        <v>0</v>
      </c>
      <c r="C1190" s="12">
        <f t="shared" si="76"/>
        <v>10</v>
      </c>
      <c r="D1190" s="12">
        <f t="shared" si="77"/>
        <v>10</v>
      </c>
      <c r="E1190" s="20" t="s">
        <v>114</v>
      </c>
      <c r="F1190" s="20" t="s">
        <v>2667</v>
      </c>
      <c r="G1190" s="20" t="s">
        <v>4428</v>
      </c>
      <c r="H1190" s="20" t="s">
        <v>4429</v>
      </c>
      <c r="I1190" s="20">
        <v>1</v>
      </c>
      <c r="J1190" s="20" t="s">
        <v>4430</v>
      </c>
      <c r="K1190" s="20" t="s">
        <v>4431</v>
      </c>
      <c r="L1190" s="20" t="s">
        <v>4432</v>
      </c>
      <c r="M1190" s="20" t="s">
        <v>2667</v>
      </c>
      <c r="N1190" s="20" t="s">
        <v>4433</v>
      </c>
      <c r="P1190" s="20" t="s">
        <v>2667</v>
      </c>
      <c r="Q1190" s="20" t="s">
        <v>2674</v>
      </c>
      <c r="R1190" s="20" t="s">
        <v>84</v>
      </c>
      <c r="S1190" s="20">
        <v>5</v>
      </c>
      <c r="T1190" s="20" t="s">
        <v>106</v>
      </c>
      <c r="U1190" s="20" t="s">
        <v>107</v>
      </c>
      <c r="V1190" s="20" t="s">
        <v>87</v>
      </c>
      <c r="W1190" s="20">
        <v>644</v>
      </c>
      <c r="X1190" s="20">
        <v>644</v>
      </c>
      <c r="Y1190" s="20" t="s">
        <v>4434</v>
      </c>
      <c r="Z1190" s="20">
        <v>1</v>
      </c>
      <c r="AA1190" s="20" t="s">
        <v>4435</v>
      </c>
      <c r="AB1190" s="20" t="s">
        <v>89</v>
      </c>
      <c r="AC1190" s="20" t="s">
        <v>90</v>
      </c>
      <c r="AD1190" s="20" t="s">
        <v>4436</v>
      </c>
      <c r="AE1190" s="20" t="s">
        <v>400</v>
      </c>
      <c r="AF1190" s="20">
        <v>1</v>
      </c>
      <c r="AG1190" s="20">
        <v>0</v>
      </c>
      <c r="AH1190" s="20">
        <v>1</v>
      </c>
      <c r="AI1190" s="4" t="s">
        <v>251</v>
      </c>
      <c r="AJ1190" s="20">
        <v>8</v>
      </c>
      <c r="AK1190" s="4" t="s">
        <v>111</v>
      </c>
      <c r="AL1190" s="4">
        <v>25</v>
      </c>
      <c r="AM1190" s="4">
        <v>25</v>
      </c>
      <c r="AN1190" s="4" t="s">
        <v>95</v>
      </c>
      <c r="AO1190" s="4" t="s">
        <v>96</v>
      </c>
      <c r="AP1190" s="4">
        <v>1</v>
      </c>
      <c r="AQ1190" s="20">
        <v>63000</v>
      </c>
      <c r="AR1190" s="4">
        <v>41918</v>
      </c>
      <c r="AS1190" s="20">
        <v>9545.4545454545441</v>
      </c>
      <c r="AT1190" s="20">
        <v>0</v>
      </c>
      <c r="AU1190" s="20">
        <v>-9545.4545454545441</v>
      </c>
      <c r="AV1190" s="20">
        <v>0</v>
      </c>
      <c r="AW1190" s="20">
        <v>0</v>
      </c>
      <c r="AX1190" s="20" t="s">
        <v>91</v>
      </c>
      <c r="AY1190" s="20">
        <v>0</v>
      </c>
      <c r="AZ1190" s="20">
        <v>0</v>
      </c>
      <c r="BA1190" s="20">
        <v>0</v>
      </c>
      <c r="BB1190" s="6">
        <v>41918</v>
      </c>
      <c r="BC1190" s="6">
        <v>0</v>
      </c>
      <c r="BD1190" s="6">
        <v>41922</v>
      </c>
      <c r="BE1190" s="6">
        <v>0</v>
      </c>
      <c r="BF1190" s="6">
        <v>41922</v>
      </c>
      <c r="BG1190" s="6">
        <v>0</v>
      </c>
      <c r="BH1190" s="6">
        <v>0</v>
      </c>
      <c r="BI1190" s="6">
        <v>0</v>
      </c>
      <c r="BJ1190" s="6">
        <v>0</v>
      </c>
      <c r="BK1190" s="4">
        <v>0</v>
      </c>
      <c r="BL1190" s="4">
        <v>0</v>
      </c>
      <c r="BM1190" s="20">
        <v>7</v>
      </c>
      <c r="BN1190" s="20">
        <v>0</v>
      </c>
      <c r="BO1190" s="20">
        <v>0</v>
      </c>
      <c r="BP1190" s="20">
        <v>0</v>
      </c>
      <c r="BQ1190" s="20">
        <v>0</v>
      </c>
      <c r="BS1190" s="20">
        <v>8</v>
      </c>
      <c r="BT1190" s="20">
        <v>76363.636363636353</v>
      </c>
      <c r="BU1190" s="20">
        <v>504000</v>
      </c>
      <c r="BV1190" s="20">
        <v>6</v>
      </c>
    </row>
    <row r="1191" spans="1:74">
      <c r="A1191" s="10">
        <f t="shared" si="74"/>
        <v>0</v>
      </c>
      <c r="B1191" s="10">
        <f t="shared" si="75"/>
        <v>0</v>
      </c>
      <c r="C1191" s="12">
        <f t="shared" si="76"/>
        <v>10</v>
      </c>
      <c r="D1191" s="12">
        <f t="shared" si="77"/>
        <v>10</v>
      </c>
      <c r="E1191" s="20" t="s">
        <v>114</v>
      </c>
      <c r="F1191" s="20" t="s">
        <v>2667</v>
      </c>
      <c r="G1191" s="20" t="s">
        <v>4428</v>
      </c>
      <c r="H1191" s="20" t="s">
        <v>4437</v>
      </c>
      <c r="I1191" s="20">
        <v>2</v>
      </c>
      <c r="J1191" s="20" t="s">
        <v>4438</v>
      </c>
      <c r="K1191" s="20" t="s">
        <v>4439</v>
      </c>
      <c r="L1191" s="20" t="s">
        <v>4440</v>
      </c>
      <c r="M1191" s="20" t="s">
        <v>2667</v>
      </c>
      <c r="N1191" s="20" t="s">
        <v>4433</v>
      </c>
      <c r="P1191" s="20" t="s">
        <v>2667</v>
      </c>
      <c r="Q1191" s="20" t="s">
        <v>2674</v>
      </c>
      <c r="R1191" s="20" t="s">
        <v>84</v>
      </c>
      <c r="S1191" s="20">
        <v>5</v>
      </c>
      <c r="T1191" s="20" t="s">
        <v>106</v>
      </c>
      <c r="U1191" s="20" t="s">
        <v>107</v>
      </c>
      <c r="V1191" s="20" t="s">
        <v>87</v>
      </c>
      <c r="W1191" s="20">
        <v>645</v>
      </c>
      <c r="X1191" s="20">
        <v>645</v>
      </c>
      <c r="Y1191" s="20" t="s">
        <v>4441</v>
      </c>
      <c r="Z1191" s="20">
        <v>1</v>
      </c>
      <c r="AA1191" s="20" t="s">
        <v>4442</v>
      </c>
      <c r="AB1191" s="20" t="s">
        <v>248</v>
      </c>
      <c r="AC1191" s="20" t="s">
        <v>249</v>
      </c>
      <c r="AD1191" s="20" t="s">
        <v>4443</v>
      </c>
      <c r="AE1191" s="20" t="s">
        <v>400</v>
      </c>
      <c r="AF1191" s="20">
        <v>1</v>
      </c>
      <c r="AG1191" s="20">
        <v>0</v>
      </c>
      <c r="AH1191" s="20">
        <v>1</v>
      </c>
      <c r="AI1191" s="4" t="s">
        <v>251</v>
      </c>
      <c r="AJ1191" s="20">
        <v>134</v>
      </c>
      <c r="AK1191" s="4" t="s">
        <v>111</v>
      </c>
      <c r="AL1191" s="4">
        <v>25</v>
      </c>
      <c r="AM1191" s="4">
        <v>25</v>
      </c>
      <c r="AN1191" s="4" t="s">
        <v>95</v>
      </c>
      <c r="AO1191" s="4" t="s">
        <v>96</v>
      </c>
      <c r="AP1191" s="4">
        <v>1</v>
      </c>
      <c r="AQ1191" s="20">
        <v>63000</v>
      </c>
      <c r="AR1191" s="4">
        <v>41918</v>
      </c>
      <c r="AS1191" s="20">
        <v>9545.4545454545441</v>
      </c>
      <c r="AT1191" s="20">
        <v>0</v>
      </c>
      <c r="AU1191" s="20">
        <v>-9545.4545454545441</v>
      </c>
      <c r="AV1191" s="20">
        <v>0</v>
      </c>
      <c r="AW1191" s="20">
        <v>0</v>
      </c>
      <c r="AX1191" s="20" t="s">
        <v>91</v>
      </c>
      <c r="AY1191" s="20">
        <v>0</v>
      </c>
      <c r="AZ1191" s="20">
        <v>0</v>
      </c>
      <c r="BA1191" s="20">
        <v>0</v>
      </c>
      <c r="BB1191" s="6">
        <v>41918</v>
      </c>
      <c r="BC1191" s="6">
        <v>0</v>
      </c>
      <c r="BD1191" s="6">
        <v>41922</v>
      </c>
      <c r="BE1191" s="6">
        <v>0</v>
      </c>
      <c r="BF1191" s="6">
        <v>41922</v>
      </c>
      <c r="BG1191" s="6">
        <v>0</v>
      </c>
      <c r="BH1191" s="6">
        <v>0</v>
      </c>
      <c r="BI1191" s="6">
        <v>0</v>
      </c>
      <c r="BJ1191" s="6">
        <v>0</v>
      </c>
      <c r="BK1191" s="4">
        <v>0</v>
      </c>
      <c r="BL1191" s="4">
        <v>0</v>
      </c>
      <c r="BM1191" s="20">
        <v>132</v>
      </c>
      <c r="BN1191" s="20">
        <v>0</v>
      </c>
      <c r="BO1191" s="20">
        <v>0</v>
      </c>
      <c r="BP1191" s="20">
        <v>0</v>
      </c>
      <c r="BQ1191" s="20">
        <v>0</v>
      </c>
      <c r="BR1191" s="20">
        <v>0</v>
      </c>
      <c r="BS1191" s="20">
        <v>134</v>
      </c>
      <c r="BT1191" s="20">
        <v>1279090.9090909089</v>
      </c>
      <c r="BU1191" s="20">
        <v>8442000</v>
      </c>
      <c r="BV1191" s="20">
        <v>6</v>
      </c>
    </row>
    <row r="1192" spans="1:74">
      <c r="A1192" s="10">
        <f t="shared" si="74"/>
        <v>0</v>
      </c>
      <c r="B1192" s="10">
        <f t="shared" si="75"/>
        <v>0</v>
      </c>
      <c r="C1192" s="12">
        <f t="shared" si="76"/>
        <v>10</v>
      </c>
      <c r="D1192" s="12">
        <f t="shared" si="77"/>
        <v>10</v>
      </c>
      <c r="E1192" s="20" t="s">
        <v>114</v>
      </c>
      <c r="F1192" s="20" t="s">
        <v>2667</v>
      </c>
      <c r="G1192" s="20" t="s">
        <v>4428</v>
      </c>
      <c r="H1192" s="20" t="s">
        <v>4444</v>
      </c>
      <c r="I1192" s="20">
        <v>3</v>
      </c>
      <c r="J1192" s="20" t="s">
        <v>4445</v>
      </c>
      <c r="K1192" s="20" t="s">
        <v>4446</v>
      </c>
      <c r="L1192" s="20" t="s">
        <v>4447</v>
      </c>
      <c r="M1192" s="20" t="s">
        <v>2667</v>
      </c>
      <c r="N1192" s="20" t="s">
        <v>4433</v>
      </c>
      <c r="P1192" s="20" t="s">
        <v>2667</v>
      </c>
      <c r="Q1192" s="20" t="s">
        <v>2674</v>
      </c>
      <c r="R1192" s="20" t="s">
        <v>84</v>
      </c>
      <c r="S1192" s="20">
        <v>5</v>
      </c>
      <c r="T1192" s="20" t="s">
        <v>106</v>
      </c>
      <c r="U1192" s="20" t="s">
        <v>107</v>
      </c>
      <c r="V1192" s="20" t="s">
        <v>87</v>
      </c>
      <c r="W1192" s="20">
        <v>832</v>
      </c>
      <c r="X1192" s="20">
        <v>832</v>
      </c>
      <c r="Y1192" s="20" t="s">
        <v>4448</v>
      </c>
      <c r="Z1192" s="20">
        <v>1</v>
      </c>
      <c r="AA1192" s="20" t="s">
        <v>4449</v>
      </c>
      <c r="AB1192" s="20" t="s">
        <v>176</v>
      </c>
      <c r="AC1192" s="20" t="s">
        <v>177</v>
      </c>
      <c r="AD1192" s="20" t="s">
        <v>4450</v>
      </c>
      <c r="AE1192" s="20" t="s">
        <v>400</v>
      </c>
      <c r="AF1192" s="20">
        <v>1</v>
      </c>
      <c r="AG1192" s="20">
        <v>0</v>
      </c>
      <c r="AH1192" s="20">
        <v>1</v>
      </c>
      <c r="AI1192" s="4" t="s">
        <v>251</v>
      </c>
      <c r="AJ1192" s="20">
        <v>56</v>
      </c>
      <c r="AK1192" s="4" t="s">
        <v>111</v>
      </c>
      <c r="AL1192" s="4">
        <v>25</v>
      </c>
      <c r="AM1192" s="4">
        <v>25</v>
      </c>
      <c r="AN1192" s="4" t="s">
        <v>95</v>
      </c>
      <c r="AO1192" s="4" t="s">
        <v>96</v>
      </c>
      <c r="AP1192" s="4">
        <v>1</v>
      </c>
      <c r="AQ1192" s="20">
        <v>65000</v>
      </c>
      <c r="AR1192" s="4">
        <v>41918</v>
      </c>
      <c r="AS1192" s="20">
        <v>9848.484848484848</v>
      </c>
      <c r="AT1192" s="20">
        <v>0</v>
      </c>
      <c r="AU1192" s="20">
        <v>-9848.484848484848</v>
      </c>
      <c r="AV1192" s="20">
        <v>0</v>
      </c>
      <c r="AW1192" s="20">
        <v>0</v>
      </c>
      <c r="AX1192" s="20" t="s">
        <v>91</v>
      </c>
      <c r="AY1192" s="20">
        <v>0</v>
      </c>
      <c r="AZ1192" s="20">
        <v>0</v>
      </c>
      <c r="BA1192" s="20">
        <v>0</v>
      </c>
      <c r="BB1192" s="6">
        <v>41918</v>
      </c>
      <c r="BC1192" s="6">
        <v>0</v>
      </c>
      <c r="BD1192" s="6">
        <v>41922</v>
      </c>
      <c r="BE1192" s="6">
        <v>0</v>
      </c>
      <c r="BF1192" s="6">
        <v>41922</v>
      </c>
      <c r="BG1192" s="6">
        <v>0</v>
      </c>
      <c r="BH1192" s="6">
        <v>0</v>
      </c>
      <c r="BI1192" s="6">
        <v>0</v>
      </c>
      <c r="BJ1192" s="6">
        <v>0</v>
      </c>
      <c r="BK1192" s="4">
        <v>0</v>
      </c>
      <c r="BL1192" s="4">
        <v>0</v>
      </c>
      <c r="BM1192" s="20">
        <v>56</v>
      </c>
      <c r="BN1192" s="20">
        <v>0</v>
      </c>
      <c r="BO1192" s="20">
        <v>0</v>
      </c>
      <c r="BP1192" s="20">
        <v>0</v>
      </c>
      <c r="BQ1192" s="20">
        <v>0</v>
      </c>
      <c r="BR1192" s="20">
        <v>0</v>
      </c>
      <c r="BS1192" s="20">
        <v>56</v>
      </c>
      <c r="BT1192" s="20">
        <v>551515.15151515149</v>
      </c>
      <c r="BU1192" s="20">
        <v>3640000</v>
      </c>
      <c r="BV1192" s="20">
        <v>5.9999999999999991</v>
      </c>
    </row>
    <row r="1193" spans="1:74">
      <c r="A1193" s="10">
        <f t="shared" si="74"/>
        <v>0</v>
      </c>
      <c r="B1193" s="10">
        <f t="shared" si="75"/>
        <v>0</v>
      </c>
      <c r="C1193" s="12">
        <f t="shared" si="76"/>
        <v>10</v>
      </c>
      <c r="D1193" s="12">
        <f t="shared" si="77"/>
        <v>10</v>
      </c>
      <c r="E1193" s="20" t="s">
        <v>114</v>
      </c>
      <c r="F1193" s="20" t="s">
        <v>2667</v>
      </c>
      <c r="G1193" s="20" t="s">
        <v>4428</v>
      </c>
      <c r="H1193" s="20" t="s">
        <v>4451</v>
      </c>
      <c r="I1193" s="20">
        <v>4</v>
      </c>
      <c r="J1193" s="20" t="s">
        <v>4452</v>
      </c>
      <c r="K1193" s="20" t="s">
        <v>4453</v>
      </c>
      <c r="L1193" s="20" t="s">
        <v>4454</v>
      </c>
      <c r="M1193" s="20" t="s">
        <v>2667</v>
      </c>
      <c r="N1193" s="20" t="s">
        <v>4433</v>
      </c>
      <c r="P1193" s="20" t="s">
        <v>2667</v>
      </c>
      <c r="Q1193" s="20" t="s">
        <v>2674</v>
      </c>
      <c r="R1193" s="20" t="s">
        <v>84</v>
      </c>
      <c r="S1193" s="20">
        <v>5</v>
      </c>
      <c r="T1193" s="20" t="s">
        <v>106</v>
      </c>
      <c r="U1193" s="20" t="s">
        <v>107</v>
      </c>
      <c r="V1193" s="20" t="s">
        <v>87</v>
      </c>
      <c r="W1193" s="20">
        <v>833</v>
      </c>
      <c r="X1193" s="20">
        <v>833</v>
      </c>
      <c r="Y1193" s="20" t="s">
        <v>4455</v>
      </c>
      <c r="Z1193" s="20">
        <v>1</v>
      </c>
      <c r="AA1193" s="20" t="s">
        <v>4456</v>
      </c>
      <c r="AB1193" s="20" t="s">
        <v>109</v>
      </c>
      <c r="AC1193" s="20" t="s">
        <v>110</v>
      </c>
      <c r="AD1193" s="20" t="s">
        <v>4457</v>
      </c>
      <c r="AE1193" s="20" t="s">
        <v>400</v>
      </c>
      <c r="AF1193" s="20">
        <v>1</v>
      </c>
      <c r="AG1193" s="20">
        <v>0</v>
      </c>
      <c r="AH1193" s="20">
        <v>1</v>
      </c>
      <c r="AI1193" s="4" t="s">
        <v>251</v>
      </c>
      <c r="AJ1193" s="20">
        <v>100</v>
      </c>
      <c r="AK1193" s="4" t="s">
        <v>111</v>
      </c>
      <c r="AL1193" s="4">
        <v>25</v>
      </c>
      <c r="AM1193" s="4">
        <v>25</v>
      </c>
      <c r="AN1193" s="4" t="s">
        <v>95</v>
      </c>
      <c r="AO1193" s="4" t="s">
        <v>96</v>
      </c>
      <c r="AP1193" s="4">
        <v>1</v>
      </c>
      <c r="AQ1193" s="20">
        <v>55000</v>
      </c>
      <c r="AR1193" s="4">
        <v>41918</v>
      </c>
      <c r="AS1193" s="20">
        <v>8333.3333333333321</v>
      </c>
      <c r="AT1193" s="20">
        <v>0</v>
      </c>
      <c r="AU1193" s="20">
        <v>-8333.3333333333321</v>
      </c>
      <c r="AV1193" s="20">
        <v>0</v>
      </c>
      <c r="AW1193" s="20">
        <v>0</v>
      </c>
      <c r="AX1193" s="20" t="s">
        <v>91</v>
      </c>
      <c r="AY1193" s="20">
        <v>0</v>
      </c>
      <c r="AZ1193" s="20">
        <v>0</v>
      </c>
      <c r="BA1193" s="20">
        <v>0</v>
      </c>
      <c r="BB1193" s="6">
        <v>41918</v>
      </c>
      <c r="BC1193" s="6">
        <v>0</v>
      </c>
      <c r="BD1193" s="6">
        <v>41922</v>
      </c>
      <c r="BE1193" s="6">
        <v>0</v>
      </c>
      <c r="BF1193" s="6">
        <v>41922</v>
      </c>
      <c r="BG1193" s="6">
        <v>0</v>
      </c>
      <c r="BH1193" s="6">
        <v>0</v>
      </c>
      <c r="BI1193" s="6">
        <v>0</v>
      </c>
      <c r="BJ1193" s="6">
        <v>0</v>
      </c>
      <c r="BK1193" s="4">
        <v>0</v>
      </c>
      <c r="BL1193" s="4">
        <v>0</v>
      </c>
      <c r="BM1193" s="20">
        <v>100</v>
      </c>
      <c r="BN1193" s="20">
        <v>0</v>
      </c>
      <c r="BO1193" s="20">
        <v>0</v>
      </c>
      <c r="BP1193" s="20">
        <v>0</v>
      </c>
      <c r="BQ1193" s="20">
        <v>0</v>
      </c>
      <c r="BR1193" s="20">
        <v>0</v>
      </c>
      <c r="BS1193" s="20">
        <v>100</v>
      </c>
      <c r="BT1193" s="20">
        <v>833333.33333333326</v>
      </c>
      <c r="BU1193" s="20">
        <v>5500000</v>
      </c>
      <c r="BV1193" s="20">
        <v>6</v>
      </c>
    </row>
    <row r="1194" spans="1:74">
      <c r="A1194" s="10">
        <f t="shared" si="74"/>
        <v>0</v>
      </c>
      <c r="B1194" s="10">
        <f t="shared" si="75"/>
        <v>0</v>
      </c>
      <c r="C1194" s="12">
        <f t="shared" si="76"/>
        <v>10</v>
      </c>
      <c r="D1194" s="12">
        <f t="shared" si="77"/>
        <v>10</v>
      </c>
      <c r="E1194" s="20" t="s">
        <v>114</v>
      </c>
      <c r="F1194" s="20" t="s">
        <v>2667</v>
      </c>
      <c r="G1194" s="20" t="s">
        <v>4428</v>
      </c>
      <c r="H1194" s="20" t="s">
        <v>4458</v>
      </c>
      <c r="I1194" s="20">
        <v>5</v>
      </c>
      <c r="J1194" s="20" t="s">
        <v>4459</v>
      </c>
      <c r="K1194" s="20" t="s">
        <v>4460</v>
      </c>
      <c r="L1194" s="20" t="s">
        <v>4461</v>
      </c>
      <c r="M1194" s="20" t="s">
        <v>2667</v>
      </c>
      <c r="N1194" s="20" t="s">
        <v>4433</v>
      </c>
      <c r="P1194" s="20" t="s">
        <v>2667</v>
      </c>
      <c r="Q1194" s="20" t="s">
        <v>2674</v>
      </c>
      <c r="R1194" s="20" t="s">
        <v>84</v>
      </c>
      <c r="S1194" s="20">
        <v>5</v>
      </c>
      <c r="T1194" s="20" t="s">
        <v>106</v>
      </c>
      <c r="U1194" s="20" t="s">
        <v>107</v>
      </c>
      <c r="V1194" s="20" t="s">
        <v>87</v>
      </c>
      <c r="W1194" s="20">
        <v>834</v>
      </c>
      <c r="X1194" s="20">
        <v>834</v>
      </c>
      <c r="Y1194" s="20" t="s">
        <v>4462</v>
      </c>
      <c r="Z1194" s="20">
        <v>1</v>
      </c>
      <c r="AA1194" s="20" t="s">
        <v>4463</v>
      </c>
      <c r="AB1194" s="20" t="s">
        <v>279</v>
      </c>
      <c r="AC1194" s="20" t="s">
        <v>280</v>
      </c>
      <c r="AD1194" s="20" t="s">
        <v>4464</v>
      </c>
      <c r="AE1194" s="20" t="s">
        <v>400</v>
      </c>
      <c r="AF1194" s="20">
        <v>1</v>
      </c>
      <c r="AG1194" s="20">
        <v>0</v>
      </c>
      <c r="AH1194" s="20">
        <v>1</v>
      </c>
      <c r="AI1194" s="4" t="s">
        <v>251</v>
      </c>
      <c r="AJ1194" s="20">
        <v>100</v>
      </c>
      <c r="AK1194" s="4" t="s">
        <v>111</v>
      </c>
      <c r="AL1194" s="4">
        <v>25</v>
      </c>
      <c r="AM1194" s="4">
        <v>25</v>
      </c>
      <c r="AN1194" s="4" t="s">
        <v>95</v>
      </c>
      <c r="AO1194" s="4" t="s">
        <v>96</v>
      </c>
      <c r="AP1194" s="4">
        <v>1</v>
      </c>
      <c r="AQ1194" s="20">
        <v>55000</v>
      </c>
      <c r="AR1194" s="4">
        <v>41918</v>
      </c>
      <c r="AS1194" s="20">
        <v>8333.3333333333321</v>
      </c>
      <c r="AT1194" s="20">
        <v>0</v>
      </c>
      <c r="AU1194" s="20">
        <v>-8333.3333333333321</v>
      </c>
      <c r="AV1194" s="20">
        <v>0</v>
      </c>
      <c r="AW1194" s="20">
        <v>0</v>
      </c>
      <c r="AX1194" s="20" t="s">
        <v>91</v>
      </c>
      <c r="AY1194" s="20">
        <v>0</v>
      </c>
      <c r="AZ1194" s="20">
        <v>0</v>
      </c>
      <c r="BA1194" s="20">
        <v>0</v>
      </c>
      <c r="BB1194" s="6">
        <v>41918</v>
      </c>
      <c r="BC1194" s="6">
        <v>0</v>
      </c>
      <c r="BD1194" s="6">
        <v>41922</v>
      </c>
      <c r="BE1194" s="6">
        <v>0</v>
      </c>
      <c r="BF1194" s="6">
        <v>41922</v>
      </c>
      <c r="BG1194" s="6">
        <v>0</v>
      </c>
      <c r="BH1194" s="6">
        <v>0</v>
      </c>
      <c r="BI1194" s="6">
        <v>0</v>
      </c>
      <c r="BJ1194" s="6">
        <v>0</v>
      </c>
      <c r="BK1194" s="4">
        <v>0</v>
      </c>
      <c r="BL1194" s="4">
        <v>0</v>
      </c>
      <c r="BM1194" s="20">
        <v>100</v>
      </c>
      <c r="BN1194" s="20">
        <v>0</v>
      </c>
      <c r="BO1194" s="20">
        <v>0</v>
      </c>
      <c r="BP1194" s="20">
        <v>0</v>
      </c>
      <c r="BQ1194" s="20">
        <v>0</v>
      </c>
      <c r="BR1194" s="20">
        <v>0</v>
      </c>
      <c r="BS1194" s="20">
        <v>100</v>
      </c>
      <c r="BT1194" s="20">
        <v>833333.33333333326</v>
      </c>
      <c r="BU1194" s="20">
        <v>5500000</v>
      </c>
      <c r="BV1194" s="20">
        <v>6</v>
      </c>
    </row>
    <row r="1195" spans="1:74">
      <c r="A1195" s="10">
        <f t="shared" si="74"/>
        <v>0</v>
      </c>
      <c r="B1195" s="10">
        <f t="shared" si="75"/>
        <v>0</v>
      </c>
      <c r="C1195" s="12" t="str">
        <f t="shared" si="76"/>
        <v/>
      </c>
      <c r="D1195" s="12" t="str">
        <f t="shared" si="77"/>
        <v/>
      </c>
      <c r="E1195" s="20" t="s">
        <v>91</v>
      </c>
      <c r="F1195" s="20" t="s">
        <v>91</v>
      </c>
      <c r="G1195" s="20" t="s">
        <v>91</v>
      </c>
      <c r="H1195" s="20" t="s">
        <v>91</v>
      </c>
      <c r="I1195" s="20">
        <v>0</v>
      </c>
      <c r="J1195" s="20" t="s">
        <v>103</v>
      </c>
      <c r="K1195" s="20" t="s">
        <v>104</v>
      </c>
      <c r="L1195" s="20">
        <v>0</v>
      </c>
      <c r="M1195" s="20" t="s">
        <v>105</v>
      </c>
      <c r="N1195" s="20" t="s">
        <v>91</v>
      </c>
      <c r="O1195" s="20" t="s">
        <v>4465</v>
      </c>
      <c r="Q1195" s="20" t="s">
        <v>91</v>
      </c>
      <c r="R1195" s="20" t="s">
        <v>91</v>
      </c>
      <c r="S1195" s="20" t="s">
        <v>91</v>
      </c>
      <c r="T1195" s="20" t="s">
        <v>91</v>
      </c>
      <c r="U1195" s="20" t="s">
        <v>91</v>
      </c>
      <c r="V1195" s="20" t="s">
        <v>87</v>
      </c>
      <c r="W1195" s="20" t="s">
        <v>91</v>
      </c>
      <c r="X1195" s="20" t="s">
        <v>91</v>
      </c>
      <c r="Y1195" s="20" t="s">
        <v>91</v>
      </c>
      <c r="Z1195" s="20">
        <v>5</v>
      </c>
      <c r="AB1195" s="20" t="s">
        <v>91</v>
      </c>
      <c r="AD1195" s="20" t="s">
        <v>91</v>
      </c>
      <c r="AE1195" s="20" t="s">
        <v>91</v>
      </c>
      <c r="AF1195" s="20">
        <v>5</v>
      </c>
      <c r="AG1195" s="20">
        <v>0</v>
      </c>
      <c r="AH1195" s="20">
        <v>1</v>
      </c>
      <c r="AM1195" s="4" t="s">
        <v>91</v>
      </c>
      <c r="AP1195" s="4" t="s">
        <v>91</v>
      </c>
      <c r="AQ1195" s="20">
        <v>0</v>
      </c>
      <c r="AR1195" s="4">
        <v>0</v>
      </c>
      <c r="AS1195" s="20">
        <v>0</v>
      </c>
      <c r="AT1195" s="20">
        <v>0</v>
      </c>
      <c r="AU1195" s="20">
        <v>0</v>
      </c>
      <c r="AV1195" s="20">
        <v>0</v>
      </c>
      <c r="AW1195" s="20">
        <v>0</v>
      </c>
      <c r="AX1195" s="20" t="s">
        <v>91</v>
      </c>
      <c r="AY1195" s="20">
        <v>0</v>
      </c>
      <c r="AZ1195" s="20">
        <v>0</v>
      </c>
      <c r="BA1195" s="20">
        <v>0</v>
      </c>
      <c r="BB1195" s="6">
        <v>0</v>
      </c>
      <c r="BC1195" s="6">
        <v>0</v>
      </c>
      <c r="BD1195" s="6">
        <v>0</v>
      </c>
      <c r="BE1195" s="6">
        <v>0</v>
      </c>
      <c r="BF1195" s="6">
        <v>0</v>
      </c>
      <c r="BG1195" s="6">
        <v>0</v>
      </c>
      <c r="BH1195" s="6">
        <v>0</v>
      </c>
      <c r="BI1195" s="6">
        <v>0</v>
      </c>
      <c r="BJ1195" s="6">
        <v>0</v>
      </c>
      <c r="BK1195" s="4">
        <v>0</v>
      </c>
      <c r="BL1195" s="4">
        <v>0</v>
      </c>
      <c r="BM1195" s="20">
        <v>395</v>
      </c>
      <c r="BN1195" s="20">
        <v>0</v>
      </c>
      <c r="BO1195" s="20">
        <v>0</v>
      </c>
      <c r="BP1195" s="20">
        <v>0</v>
      </c>
      <c r="BQ1195" s="20">
        <v>0</v>
      </c>
      <c r="BR1195" s="20">
        <v>0</v>
      </c>
      <c r="BS1195" s="20">
        <v>398</v>
      </c>
      <c r="BT1195" s="20">
        <v>3573636.3636363633</v>
      </c>
      <c r="BU1195" s="20">
        <v>23586000</v>
      </c>
      <c r="BV1195" s="20">
        <v>6</v>
      </c>
    </row>
    <row r="1196" spans="1:74">
      <c r="A1196" s="10">
        <f t="shared" si="74"/>
        <v>0</v>
      </c>
      <c r="B1196" s="10">
        <f t="shared" si="75"/>
        <v>0</v>
      </c>
      <c r="C1196" s="12">
        <f t="shared" si="76"/>
        <v>10</v>
      </c>
      <c r="D1196" s="12">
        <f t="shared" si="77"/>
        <v>10</v>
      </c>
      <c r="E1196" s="20" t="s">
        <v>114</v>
      </c>
      <c r="F1196" s="20" t="s">
        <v>2667</v>
      </c>
      <c r="G1196" s="20" t="s">
        <v>4466</v>
      </c>
      <c r="H1196" s="20" t="s">
        <v>4467</v>
      </c>
      <c r="I1196" s="20">
        <v>1</v>
      </c>
      <c r="J1196" s="20" t="s">
        <v>4468</v>
      </c>
      <c r="K1196" s="20" t="s">
        <v>4469</v>
      </c>
      <c r="L1196" s="20" t="s">
        <v>4470</v>
      </c>
      <c r="M1196" s="20" t="s">
        <v>2667</v>
      </c>
      <c r="N1196" s="20" t="s">
        <v>4433</v>
      </c>
      <c r="P1196" s="20" t="s">
        <v>2667</v>
      </c>
      <c r="Q1196" s="20" t="s">
        <v>2674</v>
      </c>
      <c r="R1196" s="20" t="s">
        <v>84</v>
      </c>
      <c r="S1196" s="20">
        <v>5</v>
      </c>
      <c r="T1196" s="20" t="s">
        <v>106</v>
      </c>
      <c r="U1196" s="20" t="s">
        <v>107</v>
      </c>
      <c r="V1196" s="20" t="s">
        <v>87</v>
      </c>
      <c r="W1196" s="20">
        <v>810</v>
      </c>
      <c r="X1196" s="20">
        <v>810</v>
      </c>
      <c r="Y1196" s="20" t="s">
        <v>4471</v>
      </c>
      <c r="Z1196" s="20">
        <v>1</v>
      </c>
      <c r="AA1196" s="20" t="s">
        <v>4472</v>
      </c>
      <c r="AB1196" s="20" t="s">
        <v>101</v>
      </c>
      <c r="AC1196" s="20" t="s">
        <v>102</v>
      </c>
      <c r="AD1196" s="20" t="s">
        <v>4473</v>
      </c>
      <c r="AE1196" s="20" t="s">
        <v>400</v>
      </c>
      <c r="AF1196" s="20">
        <v>1</v>
      </c>
      <c r="AG1196" s="20">
        <v>0</v>
      </c>
      <c r="AH1196" s="20">
        <v>1</v>
      </c>
      <c r="AI1196" s="4" t="s">
        <v>251</v>
      </c>
      <c r="AJ1196" s="20">
        <v>62</v>
      </c>
      <c r="AK1196" s="4" t="s">
        <v>93</v>
      </c>
      <c r="AL1196" s="4">
        <v>17</v>
      </c>
      <c r="AM1196" s="4">
        <v>17</v>
      </c>
      <c r="AN1196" s="4" t="s">
        <v>95</v>
      </c>
      <c r="AO1196" s="4" t="s">
        <v>96</v>
      </c>
      <c r="AP1196" s="4">
        <v>1</v>
      </c>
      <c r="AQ1196" s="20">
        <v>55000</v>
      </c>
      <c r="AR1196" s="4">
        <v>41918</v>
      </c>
      <c r="AS1196" s="20">
        <v>8333.3333333333321</v>
      </c>
      <c r="AT1196" s="20">
        <v>0</v>
      </c>
      <c r="AU1196" s="20">
        <v>-8333.3333333333321</v>
      </c>
      <c r="AV1196" s="20">
        <v>0</v>
      </c>
      <c r="AW1196" s="20">
        <v>0</v>
      </c>
      <c r="AX1196" s="20" t="s">
        <v>91</v>
      </c>
      <c r="AY1196" s="20">
        <v>0</v>
      </c>
      <c r="AZ1196" s="20">
        <v>0</v>
      </c>
      <c r="BA1196" s="20">
        <v>0</v>
      </c>
      <c r="BB1196" s="6">
        <v>41918</v>
      </c>
      <c r="BC1196" s="6">
        <v>0</v>
      </c>
      <c r="BD1196" s="6">
        <v>41922</v>
      </c>
      <c r="BE1196" s="6">
        <v>0</v>
      </c>
      <c r="BF1196" s="6">
        <v>41922</v>
      </c>
      <c r="BG1196" s="6">
        <v>0</v>
      </c>
      <c r="BH1196" s="6">
        <v>0</v>
      </c>
      <c r="BI1196" s="6">
        <v>0</v>
      </c>
      <c r="BJ1196" s="6">
        <v>0</v>
      </c>
      <c r="BK1196" s="4">
        <v>0</v>
      </c>
      <c r="BL1196" s="4">
        <v>0</v>
      </c>
      <c r="BM1196" s="20">
        <v>62</v>
      </c>
      <c r="BN1196" s="20">
        <v>0</v>
      </c>
      <c r="BO1196" s="20">
        <v>0</v>
      </c>
      <c r="BP1196" s="20">
        <v>0</v>
      </c>
      <c r="BQ1196" s="20">
        <v>0</v>
      </c>
      <c r="BR1196" s="20">
        <v>0</v>
      </c>
      <c r="BS1196" s="20">
        <v>62</v>
      </c>
      <c r="BT1196" s="20">
        <v>516666.66666666657</v>
      </c>
      <c r="BU1196" s="20">
        <v>3410000</v>
      </c>
      <c r="BV1196" s="20">
        <v>6.0000000000000009</v>
      </c>
    </row>
    <row r="1197" spans="1:74">
      <c r="A1197" s="10">
        <f t="shared" si="74"/>
        <v>0</v>
      </c>
      <c r="B1197" s="10">
        <f t="shared" si="75"/>
        <v>0</v>
      </c>
      <c r="C1197" s="12">
        <f t="shared" si="76"/>
        <v>10</v>
      </c>
      <c r="D1197" s="12">
        <f t="shared" si="77"/>
        <v>10</v>
      </c>
      <c r="E1197" s="20" t="s">
        <v>114</v>
      </c>
      <c r="F1197" s="20" t="s">
        <v>2667</v>
      </c>
      <c r="G1197" s="20" t="s">
        <v>4466</v>
      </c>
      <c r="H1197" s="20" t="s">
        <v>4474</v>
      </c>
      <c r="I1197" s="20">
        <v>2</v>
      </c>
      <c r="J1197" s="20" t="s">
        <v>4475</v>
      </c>
      <c r="K1197" s="20" t="s">
        <v>4476</v>
      </c>
      <c r="L1197" s="20" t="s">
        <v>4470</v>
      </c>
      <c r="M1197" s="20" t="s">
        <v>2667</v>
      </c>
      <c r="N1197" s="20" t="s">
        <v>4433</v>
      </c>
      <c r="P1197" s="20" t="s">
        <v>2667</v>
      </c>
      <c r="Q1197" s="20" t="s">
        <v>2674</v>
      </c>
      <c r="R1197" s="20" t="s">
        <v>84</v>
      </c>
      <c r="S1197" s="20">
        <v>5</v>
      </c>
      <c r="T1197" s="20" t="s">
        <v>106</v>
      </c>
      <c r="U1197" s="20" t="s">
        <v>107</v>
      </c>
      <c r="V1197" s="20" t="s">
        <v>87</v>
      </c>
      <c r="W1197" s="20">
        <v>810</v>
      </c>
      <c r="X1197" s="20">
        <v>810</v>
      </c>
      <c r="Y1197" s="20" t="s">
        <v>4471</v>
      </c>
      <c r="Z1197" s="20">
        <v>1</v>
      </c>
      <c r="AA1197" s="20" t="s">
        <v>4477</v>
      </c>
      <c r="AB1197" s="20" t="s">
        <v>279</v>
      </c>
      <c r="AC1197" s="20" t="s">
        <v>280</v>
      </c>
      <c r="AD1197" s="20" t="s">
        <v>4478</v>
      </c>
      <c r="AE1197" s="20" t="s">
        <v>400</v>
      </c>
      <c r="AF1197" s="20">
        <v>1</v>
      </c>
      <c r="AG1197" s="20">
        <v>0</v>
      </c>
      <c r="AH1197" s="20">
        <v>1</v>
      </c>
      <c r="AI1197" s="4" t="s">
        <v>251</v>
      </c>
      <c r="AJ1197" s="20">
        <v>100</v>
      </c>
      <c r="AK1197" s="4" t="s">
        <v>93</v>
      </c>
      <c r="AL1197" s="4">
        <v>17</v>
      </c>
      <c r="AM1197" s="4">
        <v>17</v>
      </c>
      <c r="AN1197" s="4" t="s">
        <v>95</v>
      </c>
      <c r="AO1197" s="4" t="s">
        <v>96</v>
      </c>
      <c r="AP1197" s="4">
        <v>1</v>
      </c>
      <c r="AQ1197" s="20">
        <v>55000</v>
      </c>
      <c r="AR1197" s="4">
        <v>41918</v>
      </c>
      <c r="AS1197" s="20">
        <v>8333.3333333333321</v>
      </c>
      <c r="AT1197" s="20">
        <v>0</v>
      </c>
      <c r="AU1197" s="20">
        <v>-8333.3333333333321</v>
      </c>
      <c r="AV1197" s="20">
        <v>0</v>
      </c>
      <c r="AW1197" s="20">
        <v>0</v>
      </c>
      <c r="AX1197" s="20" t="s">
        <v>91</v>
      </c>
      <c r="AY1197" s="20">
        <v>0</v>
      </c>
      <c r="AZ1197" s="20">
        <v>0</v>
      </c>
      <c r="BA1197" s="20">
        <v>0</v>
      </c>
      <c r="BB1197" s="6">
        <v>41918</v>
      </c>
      <c r="BC1197" s="6">
        <v>0</v>
      </c>
      <c r="BD1197" s="6">
        <v>41922</v>
      </c>
      <c r="BE1197" s="6">
        <v>0</v>
      </c>
      <c r="BF1197" s="6">
        <v>41922</v>
      </c>
      <c r="BG1197" s="6">
        <v>0</v>
      </c>
      <c r="BH1197" s="6">
        <v>0</v>
      </c>
      <c r="BI1197" s="6">
        <v>0</v>
      </c>
      <c r="BJ1197" s="6">
        <v>0</v>
      </c>
      <c r="BK1197" s="4">
        <v>0</v>
      </c>
      <c r="BL1197" s="4">
        <v>0</v>
      </c>
      <c r="BM1197" s="20">
        <v>100</v>
      </c>
      <c r="BN1197" s="20">
        <v>0</v>
      </c>
      <c r="BO1197" s="20">
        <v>0</v>
      </c>
      <c r="BP1197" s="20">
        <v>0</v>
      </c>
      <c r="BQ1197" s="20">
        <v>0</v>
      </c>
      <c r="BR1197" s="20">
        <v>0</v>
      </c>
      <c r="BS1197" s="20">
        <v>100</v>
      </c>
      <c r="BT1197" s="20">
        <v>833333.33333333326</v>
      </c>
      <c r="BU1197" s="20">
        <v>5500000</v>
      </c>
      <c r="BV1197" s="20">
        <v>6</v>
      </c>
    </row>
    <row r="1198" spans="1:74">
      <c r="A1198" s="10">
        <f t="shared" si="74"/>
        <v>0</v>
      </c>
      <c r="B1198" s="10">
        <f t="shared" si="75"/>
        <v>0</v>
      </c>
      <c r="C1198" s="12" t="str">
        <f t="shared" si="76"/>
        <v/>
      </c>
      <c r="D1198" s="12" t="str">
        <f t="shared" si="77"/>
        <v/>
      </c>
      <c r="E1198" s="20" t="s">
        <v>91</v>
      </c>
      <c r="F1198" s="20" t="s">
        <v>91</v>
      </c>
      <c r="G1198" s="20" t="s">
        <v>91</v>
      </c>
      <c r="H1198" s="20" t="s">
        <v>91</v>
      </c>
      <c r="I1198" s="20">
        <v>0</v>
      </c>
      <c r="J1198" s="20" t="s">
        <v>103</v>
      </c>
      <c r="K1198" s="20" t="s">
        <v>104</v>
      </c>
      <c r="L1198" s="20">
        <v>0</v>
      </c>
      <c r="M1198" s="20" t="s">
        <v>105</v>
      </c>
      <c r="N1198" s="20" t="s">
        <v>91</v>
      </c>
      <c r="O1198" s="20" t="s">
        <v>4479</v>
      </c>
      <c r="Q1198" s="20" t="s">
        <v>91</v>
      </c>
      <c r="R1198" s="20" t="s">
        <v>91</v>
      </c>
      <c r="S1198" s="20" t="s">
        <v>91</v>
      </c>
      <c r="T1198" s="20" t="s">
        <v>91</v>
      </c>
      <c r="U1198" s="20" t="s">
        <v>91</v>
      </c>
      <c r="V1198" s="20" t="s">
        <v>87</v>
      </c>
      <c r="W1198" s="20" t="s">
        <v>91</v>
      </c>
      <c r="X1198" s="20" t="s">
        <v>91</v>
      </c>
      <c r="Y1198" s="20" t="s">
        <v>91</v>
      </c>
      <c r="Z1198" s="20">
        <v>2</v>
      </c>
      <c r="AB1198" s="20" t="s">
        <v>91</v>
      </c>
      <c r="AD1198" s="20" t="s">
        <v>91</v>
      </c>
      <c r="AE1198" s="20" t="s">
        <v>91</v>
      </c>
      <c r="AF1198" s="20">
        <v>2</v>
      </c>
      <c r="AG1198" s="20">
        <v>0</v>
      </c>
      <c r="AH1198" s="20">
        <v>1</v>
      </c>
      <c r="AM1198" s="4" t="s">
        <v>91</v>
      </c>
      <c r="AP1198" s="4" t="s">
        <v>91</v>
      </c>
      <c r="AQ1198" s="20">
        <v>0</v>
      </c>
      <c r="AR1198" s="4">
        <v>0</v>
      </c>
      <c r="AS1198" s="20">
        <v>0</v>
      </c>
      <c r="AT1198" s="20">
        <v>0</v>
      </c>
      <c r="AU1198" s="20">
        <v>0</v>
      </c>
      <c r="AV1198" s="20">
        <v>0</v>
      </c>
      <c r="AW1198" s="20">
        <v>0</v>
      </c>
      <c r="AX1198" s="20" t="s">
        <v>91</v>
      </c>
      <c r="AY1198" s="20">
        <v>0</v>
      </c>
      <c r="AZ1198" s="20">
        <v>0</v>
      </c>
      <c r="BA1198" s="20">
        <v>0</v>
      </c>
      <c r="BB1198" s="6">
        <v>0</v>
      </c>
      <c r="BC1198" s="6">
        <v>0</v>
      </c>
      <c r="BD1198" s="6">
        <v>0</v>
      </c>
      <c r="BE1198" s="6">
        <v>0</v>
      </c>
      <c r="BF1198" s="6">
        <v>0</v>
      </c>
      <c r="BG1198" s="6">
        <v>0</v>
      </c>
      <c r="BH1198" s="6">
        <v>0</v>
      </c>
      <c r="BI1198" s="6">
        <v>0</v>
      </c>
      <c r="BJ1198" s="6">
        <v>0</v>
      </c>
      <c r="BK1198" s="4">
        <v>0</v>
      </c>
      <c r="BL1198" s="4">
        <v>0</v>
      </c>
      <c r="BM1198" s="20">
        <v>162</v>
      </c>
      <c r="BN1198" s="20">
        <v>0</v>
      </c>
      <c r="BO1198" s="20">
        <v>0</v>
      </c>
      <c r="BP1198" s="20">
        <v>0</v>
      </c>
      <c r="BQ1198" s="20">
        <v>0</v>
      </c>
      <c r="BR1198" s="20">
        <v>0</v>
      </c>
      <c r="BS1198" s="20">
        <v>162</v>
      </c>
      <c r="BT1198" s="20">
        <v>1349999.9999999998</v>
      </c>
      <c r="BU1198" s="20">
        <v>8910000</v>
      </c>
      <c r="BV1198" s="20">
        <v>6.0000000000000009</v>
      </c>
    </row>
    <row r="1199" spans="1:74">
      <c r="A1199" s="10">
        <f t="shared" si="74"/>
        <v>0</v>
      </c>
      <c r="B1199" s="10">
        <f t="shared" si="75"/>
        <v>0</v>
      </c>
      <c r="C1199" s="12">
        <f t="shared" si="76"/>
        <v>10</v>
      </c>
      <c r="D1199" s="12">
        <f t="shared" si="77"/>
        <v>10</v>
      </c>
      <c r="E1199" s="20" t="s">
        <v>114</v>
      </c>
      <c r="F1199" s="20" t="s">
        <v>2667</v>
      </c>
      <c r="G1199" s="20" t="s">
        <v>4480</v>
      </c>
      <c r="H1199" s="20" t="s">
        <v>4481</v>
      </c>
      <c r="I1199" s="20">
        <v>1</v>
      </c>
      <c r="J1199" s="20" t="s">
        <v>4482</v>
      </c>
      <c r="K1199" s="20" t="s">
        <v>4483</v>
      </c>
      <c r="L1199" s="20" t="s">
        <v>4484</v>
      </c>
      <c r="M1199" s="20" t="s">
        <v>2667</v>
      </c>
      <c r="N1199" s="20" t="s">
        <v>4433</v>
      </c>
      <c r="P1199" s="20" t="s">
        <v>2667</v>
      </c>
      <c r="Q1199" s="20" t="s">
        <v>2674</v>
      </c>
      <c r="R1199" s="20" t="s">
        <v>84</v>
      </c>
      <c r="S1199" s="20">
        <v>5</v>
      </c>
      <c r="T1199" s="20" t="s">
        <v>106</v>
      </c>
      <c r="U1199" s="20" t="s">
        <v>107</v>
      </c>
      <c r="V1199" s="20" t="s">
        <v>87</v>
      </c>
      <c r="W1199" s="20">
        <v>816</v>
      </c>
      <c r="X1199" s="20">
        <v>816</v>
      </c>
      <c r="Y1199" s="20" t="s">
        <v>4485</v>
      </c>
      <c r="Z1199" s="20">
        <v>1</v>
      </c>
      <c r="AA1199" s="20" t="s">
        <v>4486</v>
      </c>
      <c r="AB1199" s="20" t="s">
        <v>139</v>
      </c>
      <c r="AC1199" s="20" t="s">
        <v>140</v>
      </c>
      <c r="AD1199" s="20" t="s">
        <v>4487</v>
      </c>
      <c r="AE1199" s="20" t="s">
        <v>400</v>
      </c>
      <c r="AF1199" s="20">
        <v>1</v>
      </c>
      <c r="AG1199" s="20">
        <v>0</v>
      </c>
      <c r="AH1199" s="20">
        <v>1</v>
      </c>
      <c r="AI1199" s="4" t="s">
        <v>251</v>
      </c>
      <c r="AJ1199" s="20">
        <v>50</v>
      </c>
      <c r="AK1199" s="4" t="s">
        <v>129</v>
      </c>
      <c r="AL1199" s="4">
        <v>5</v>
      </c>
      <c r="AM1199" s="4" t="s">
        <v>485</v>
      </c>
      <c r="AN1199" s="4" t="s">
        <v>95</v>
      </c>
      <c r="AO1199" s="4" t="s">
        <v>131</v>
      </c>
      <c r="AP1199" s="4">
        <v>2</v>
      </c>
      <c r="AQ1199" s="20">
        <v>65000</v>
      </c>
      <c r="AR1199" s="4">
        <v>41918</v>
      </c>
      <c r="AS1199" s="20">
        <v>14772.727272727272</v>
      </c>
      <c r="AT1199" s="20">
        <v>0</v>
      </c>
      <c r="AU1199" s="20">
        <v>-14772.727272727272</v>
      </c>
      <c r="AV1199" s="20">
        <v>0</v>
      </c>
      <c r="AW1199" s="20">
        <v>0</v>
      </c>
      <c r="AX1199" s="20" t="s">
        <v>91</v>
      </c>
      <c r="AY1199" s="20">
        <v>0</v>
      </c>
      <c r="AZ1199" s="20">
        <v>0</v>
      </c>
      <c r="BA1199" s="20">
        <v>0</v>
      </c>
      <c r="BB1199" s="6">
        <v>41918</v>
      </c>
      <c r="BC1199" s="6">
        <v>0</v>
      </c>
      <c r="BD1199" s="6">
        <v>41922</v>
      </c>
      <c r="BE1199" s="6">
        <v>0</v>
      </c>
      <c r="BF1199" s="6">
        <v>41922</v>
      </c>
      <c r="BG1199" s="6">
        <v>0</v>
      </c>
      <c r="BH1199" s="6">
        <v>0</v>
      </c>
      <c r="BI1199" s="6">
        <v>0</v>
      </c>
      <c r="BJ1199" s="6">
        <v>0</v>
      </c>
      <c r="BK1199" s="4">
        <v>0</v>
      </c>
      <c r="BL1199" s="4">
        <v>0</v>
      </c>
      <c r="BM1199" s="20">
        <v>50</v>
      </c>
      <c r="BN1199" s="20">
        <v>0</v>
      </c>
      <c r="BO1199" s="20">
        <v>0</v>
      </c>
      <c r="BP1199" s="20">
        <v>0</v>
      </c>
      <c r="BQ1199" s="20">
        <v>0</v>
      </c>
      <c r="BR1199" s="20">
        <v>0</v>
      </c>
      <c r="BS1199" s="20">
        <v>50</v>
      </c>
      <c r="BT1199" s="20">
        <v>738636.36363636365</v>
      </c>
      <c r="BU1199" s="20">
        <v>3250000</v>
      </c>
      <c r="BV1199" s="20">
        <v>3.9999999999999996</v>
      </c>
    </row>
    <row r="1200" spans="1:74">
      <c r="A1200" s="10">
        <f t="shared" si="74"/>
        <v>0</v>
      </c>
      <c r="B1200" s="10">
        <f t="shared" si="75"/>
        <v>0</v>
      </c>
      <c r="C1200" s="12">
        <f t="shared" si="76"/>
        <v>10</v>
      </c>
      <c r="D1200" s="12">
        <f t="shared" si="77"/>
        <v>10</v>
      </c>
      <c r="E1200" s="20" t="s">
        <v>114</v>
      </c>
      <c r="F1200" s="20" t="s">
        <v>2667</v>
      </c>
      <c r="G1200" s="20" t="s">
        <v>4480</v>
      </c>
      <c r="H1200" s="20" t="s">
        <v>4488</v>
      </c>
      <c r="I1200" s="20">
        <v>2</v>
      </c>
      <c r="J1200" s="20" t="s">
        <v>4489</v>
      </c>
      <c r="K1200" s="20" t="s">
        <v>4490</v>
      </c>
      <c r="L1200" s="20" t="s">
        <v>4491</v>
      </c>
      <c r="M1200" s="20" t="s">
        <v>2667</v>
      </c>
      <c r="N1200" s="20" t="s">
        <v>2738</v>
      </c>
      <c r="P1200" s="20" t="s">
        <v>2667</v>
      </c>
      <c r="Q1200" s="20" t="s">
        <v>2674</v>
      </c>
      <c r="R1200" s="20" t="s">
        <v>84</v>
      </c>
      <c r="S1200" s="20">
        <v>5</v>
      </c>
      <c r="T1200" s="20" t="s">
        <v>1401</v>
      </c>
      <c r="U1200" s="20" t="s">
        <v>1402</v>
      </c>
      <c r="V1200" s="20" t="s">
        <v>87</v>
      </c>
      <c r="W1200" s="20">
        <v>647</v>
      </c>
      <c r="X1200" s="20">
        <v>647</v>
      </c>
      <c r="Y1200" s="20" t="s">
        <v>4492</v>
      </c>
      <c r="Z1200" s="20">
        <v>1</v>
      </c>
      <c r="AA1200" s="20" t="s">
        <v>4493</v>
      </c>
      <c r="AB1200" s="20" t="s">
        <v>248</v>
      </c>
      <c r="AC1200" s="20" t="s">
        <v>249</v>
      </c>
      <c r="AD1200" s="20" t="s">
        <v>4494</v>
      </c>
      <c r="AE1200" s="20" t="s">
        <v>400</v>
      </c>
      <c r="AF1200" s="20">
        <v>1</v>
      </c>
      <c r="AG1200" s="20">
        <v>0</v>
      </c>
      <c r="AH1200" s="20">
        <v>1</v>
      </c>
      <c r="AI1200" s="4" t="s">
        <v>251</v>
      </c>
      <c r="AJ1200" s="20">
        <v>100</v>
      </c>
      <c r="AK1200" s="4" t="s">
        <v>129</v>
      </c>
      <c r="AL1200" s="4">
        <v>5</v>
      </c>
      <c r="AM1200" s="4" t="s">
        <v>485</v>
      </c>
      <c r="AN1200" s="4" t="s">
        <v>95</v>
      </c>
      <c r="AO1200" s="4" t="s">
        <v>131</v>
      </c>
      <c r="AP1200" s="4">
        <v>2</v>
      </c>
      <c r="AQ1200" s="20">
        <v>53000</v>
      </c>
      <c r="AR1200" s="4">
        <v>41918</v>
      </c>
      <c r="AS1200" s="20">
        <v>12045.454545454544</v>
      </c>
      <c r="AT1200" s="20">
        <v>0</v>
      </c>
      <c r="AU1200" s="20">
        <v>-12045.454545454544</v>
      </c>
      <c r="AV1200" s="20">
        <v>0</v>
      </c>
      <c r="AW1200" s="20">
        <v>0</v>
      </c>
      <c r="AX1200" s="20" t="s">
        <v>91</v>
      </c>
      <c r="AY1200" s="20">
        <v>0</v>
      </c>
      <c r="AZ1200" s="20">
        <v>0</v>
      </c>
      <c r="BA1200" s="20">
        <v>0</v>
      </c>
      <c r="BB1200" s="6">
        <v>41918</v>
      </c>
      <c r="BC1200" s="6">
        <v>0</v>
      </c>
      <c r="BD1200" s="6">
        <v>41922</v>
      </c>
      <c r="BE1200" s="6">
        <v>0</v>
      </c>
      <c r="BF1200" s="6">
        <v>41922</v>
      </c>
      <c r="BG1200" s="6">
        <v>0</v>
      </c>
      <c r="BH1200" s="6">
        <v>0</v>
      </c>
      <c r="BI1200" s="6">
        <v>0</v>
      </c>
      <c r="BJ1200" s="6">
        <v>0</v>
      </c>
      <c r="BK1200" s="4">
        <v>0</v>
      </c>
      <c r="BL1200" s="4">
        <v>0</v>
      </c>
      <c r="BM1200" s="20">
        <v>100</v>
      </c>
      <c r="BN1200" s="20">
        <v>0</v>
      </c>
      <c r="BO1200" s="20">
        <v>0</v>
      </c>
      <c r="BP1200" s="20">
        <v>0</v>
      </c>
      <c r="BQ1200" s="20">
        <v>0</v>
      </c>
      <c r="BR1200" s="20">
        <v>0</v>
      </c>
      <c r="BS1200" s="20">
        <v>100</v>
      </c>
      <c r="BT1200" s="20">
        <v>1204545.4545454544</v>
      </c>
      <c r="BU1200" s="20">
        <v>5300000</v>
      </c>
      <c r="BV1200" s="20">
        <v>4</v>
      </c>
    </row>
    <row r="1201" spans="1:74">
      <c r="A1201" s="10">
        <f t="shared" si="74"/>
        <v>0</v>
      </c>
      <c r="B1201" s="10">
        <f t="shared" si="75"/>
        <v>0</v>
      </c>
      <c r="C1201" s="12">
        <f t="shared" si="76"/>
        <v>10</v>
      </c>
      <c r="D1201" s="12">
        <f t="shared" si="77"/>
        <v>10</v>
      </c>
      <c r="E1201" s="20" t="s">
        <v>114</v>
      </c>
      <c r="F1201" s="20" t="s">
        <v>2667</v>
      </c>
      <c r="G1201" s="20" t="s">
        <v>4480</v>
      </c>
      <c r="H1201" s="20" t="s">
        <v>4495</v>
      </c>
      <c r="I1201" s="20">
        <v>3</v>
      </c>
      <c r="J1201" s="20" t="s">
        <v>4496</v>
      </c>
      <c r="K1201" s="20" t="s">
        <v>4497</v>
      </c>
      <c r="L1201" s="20" t="s">
        <v>2919</v>
      </c>
      <c r="M1201" s="20" t="s">
        <v>2667</v>
      </c>
      <c r="N1201" s="20" t="s">
        <v>4498</v>
      </c>
      <c r="P1201" s="20" t="s">
        <v>2667</v>
      </c>
      <c r="Q1201" s="20" t="s">
        <v>2674</v>
      </c>
      <c r="R1201" s="20" t="s">
        <v>84</v>
      </c>
      <c r="S1201" s="20">
        <v>5</v>
      </c>
      <c r="T1201" s="20" t="s">
        <v>106</v>
      </c>
      <c r="U1201" s="20" t="s">
        <v>107</v>
      </c>
      <c r="V1201" s="20" t="s">
        <v>87</v>
      </c>
      <c r="W1201" s="20">
        <v>643</v>
      </c>
      <c r="X1201" s="20">
        <v>643</v>
      </c>
      <c r="Y1201" s="20" t="s">
        <v>4499</v>
      </c>
      <c r="Z1201" s="20">
        <v>1</v>
      </c>
      <c r="AA1201" s="20" t="s">
        <v>4500</v>
      </c>
      <c r="AB1201" s="20" t="s">
        <v>296</v>
      </c>
      <c r="AC1201" s="20" t="s">
        <v>297</v>
      </c>
      <c r="AD1201" s="20" t="s">
        <v>4501</v>
      </c>
      <c r="AE1201" s="20" t="s">
        <v>400</v>
      </c>
      <c r="AF1201" s="20">
        <v>1</v>
      </c>
      <c r="AG1201" s="20">
        <v>0</v>
      </c>
      <c r="AH1201" s="20">
        <v>1</v>
      </c>
      <c r="AI1201" s="4" t="s">
        <v>251</v>
      </c>
      <c r="AJ1201" s="20">
        <v>120</v>
      </c>
      <c r="AK1201" s="4" t="s">
        <v>129</v>
      </c>
      <c r="AL1201" s="4">
        <v>5</v>
      </c>
      <c r="AM1201" s="4" t="s">
        <v>485</v>
      </c>
      <c r="AN1201" s="4" t="s">
        <v>95</v>
      </c>
      <c r="AO1201" s="4" t="s">
        <v>131</v>
      </c>
      <c r="AP1201" s="4">
        <v>2</v>
      </c>
      <c r="AQ1201" s="20">
        <v>63000</v>
      </c>
      <c r="AR1201" s="4">
        <v>41918</v>
      </c>
      <c r="AS1201" s="20">
        <v>14318.181818181816</v>
      </c>
      <c r="AT1201" s="20">
        <v>0</v>
      </c>
      <c r="AU1201" s="20">
        <v>-14318.181818181816</v>
      </c>
      <c r="AV1201" s="20">
        <v>0</v>
      </c>
      <c r="AW1201" s="20">
        <v>0</v>
      </c>
      <c r="AX1201" s="20" t="s">
        <v>91</v>
      </c>
      <c r="AY1201" s="20">
        <v>0</v>
      </c>
      <c r="AZ1201" s="20">
        <v>0</v>
      </c>
      <c r="BA1201" s="20">
        <v>0</v>
      </c>
      <c r="BB1201" s="6">
        <v>41918</v>
      </c>
      <c r="BC1201" s="6">
        <v>0</v>
      </c>
      <c r="BD1201" s="6">
        <v>41922</v>
      </c>
      <c r="BE1201" s="6">
        <v>0</v>
      </c>
      <c r="BF1201" s="6">
        <v>41922</v>
      </c>
      <c r="BH1201" s="6">
        <v>0</v>
      </c>
      <c r="BI1201" s="6">
        <v>0</v>
      </c>
      <c r="BJ1201" s="6">
        <v>0</v>
      </c>
      <c r="BK1201" s="4">
        <v>0</v>
      </c>
      <c r="BL1201" s="4">
        <v>0</v>
      </c>
      <c r="BM1201" s="20">
        <v>120</v>
      </c>
      <c r="BN1201" s="20">
        <v>0</v>
      </c>
      <c r="BO1201" s="20">
        <v>0</v>
      </c>
      <c r="BP1201" s="20">
        <v>0</v>
      </c>
      <c r="BQ1201" s="20">
        <v>0</v>
      </c>
      <c r="BR1201" s="20">
        <v>0</v>
      </c>
      <c r="BS1201" s="20">
        <v>120</v>
      </c>
      <c r="BT1201" s="20">
        <v>1718181.8181818179</v>
      </c>
      <c r="BU1201" s="20">
        <v>7560000</v>
      </c>
      <c r="BV1201" s="20">
        <v>4.0000000000000009</v>
      </c>
    </row>
    <row r="1202" spans="1:74">
      <c r="A1202" s="10">
        <f t="shared" si="74"/>
        <v>0</v>
      </c>
      <c r="B1202" s="10">
        <f t="shared" si="75"/>
        <v>0</v>
      </c>
      <c r="C1202" s="12">
        <f t="shared" si="76"/>
        <v>10</v>
      </c>
      <c r="D1202" s="12">
        <f t="shared" si="77"/>
        <v>10</v>
      </c>
      <c r="E1202" s="20" t="s">
        <v>114</v>
      </c>
      <c r="F1202" s="20" t="s">
        <v>2667</v>
      </c>
      <c r="G1202" s="20" t="s">
        <v>4480</v>
      </c>
      <c r="H1202" s="20" t="s">
        <v>4502</v>
      </c>
      <c r="I1202" s="20">
        <v>4</v>
      </c>
      <c r="J1202" s="20" t="s">
        <v>4503</v>
      </c>
      <c r="K1202" s="20" t="s">
        <v>4504</v>
      </c>
      <c r="L1202" s="20" t="s">
        <v>4505</v>
      </c>
      <c r="M1202" s="20" t="s">
        <v>2667</v>
      </c>
      <c r="N1202" s="20" t="s">
        <v>4498</v>
      </c>
      <c r="P1202" s="20" t="s">
        <v>2667</v>
      </c>
      <c r="Q1202" s="20" t="s">
        <v>2674</v>
      </c>
      <c r="R1202" s="20" t="s">
        <v>84</v>
      </c>
      <c r="S1202" s="20">
        <v>5</v>
      </c>
      <c r="T1202" s="20" t="s">
        <v>106</v>
      </c>
      <c r="U1202" s="20" t="s">
        <v>107</v>
      </c>
      <c r="V1202" s="20" t="s">
        <v>87</v>
      </c>
      <c r="W1202" s="20">
        <v>652</v>
      </c>
      <c r="X1202" s="20">
        <v>652</v>
      </c>
      <c r="Y1202" s="20" t="s">
        <v>4506</v>
      </c>
      <c r="Z1202" s="20">
        <v>1</v>
      </c>
      <c r="AA1202" s="20" t="s">
        <v>4507</v>
      </c>
      <c r="AB1202" s="20" t="s">
        <v>176</v>
      </c>
      <c r="AC1202" s="20" t="s">
        <v>177</v>
      </c>
      <c r="AD1202" s="20" t="s">
        <v>4508</v>
      </c>
      <c r="AE1202" s="20" t="s">
        <v>400</v>
      </c>
      <c r="AF1202" s="20">
        <v>1</v>
      </c>
      <c r="AG1202" s="20">
        <v>0</v>
      </c>
      <c r="AH1202" s="20">
        <v>1</v>
      </c>
      <c r="AI1202" s="4" t="s">
        <v>251</v>
      </c>
      <c r="AJ1202" s="20">
        <v>161</v>
      </c>
      <c r="AK1202" s="4" t="s">
        <v>129</v>
      </c>
      <c r="AL1202" s="4">
        <v>5</v>
      </c>
      <c r="AM1202" s="4" t="s">
        <v>485</v>
      </c>
      <c r="AN1202" s="4" t="s">
        <v>95</v>
      </c>
      <c r="AO1202" s="4" t="s">
        <v>131</v>
      </c>
      <c r="AP1202" s="4">
        <v>2</v>
      </c>
      <c r="AQ1202" s="20">
        <v>63000</v>
      </c>
      <c r="AR1202" s="4">
        <v>41918</v>
      </c>
      <c r="AS1202" s="20">
        <v>14318.181818181816</v>
      </c>
      <c r="AT1202" s="20">
        <v>0</v>
      </c>
      <c r="AU1202" s="20">
        <v>-14318.181818181816</v>
      </c>
      <c r="AV1202" s="20">
        <v>0</v>
      </c>
      <c r="AW1202" s="20">
        <v>0</v>
      </c>
      <c r="AX1202" s="20" t="s">
        <v>91</v>
      </c>
      <c r="AY1202" s="20">
        <v>0</v>
      </c>
      <c r="AZ1202" s="20">
        <v>0</v>
      </c>
      <c r="BA1202" s="20">
        <v>0</v>
      </c>
      <c r="BB1202" s="6">
        <v>41918</v>
      </c>
      <c r="BC1202" s="6">
        <v>0</v>
      </c>
      <c r="BD1202" s="6">
        <v>41922</v>
      </c>
      <c r="BE1202" s="6">
        <v>0</v>
      </c>
      <c r="BF1202" s="6">
        <v>41922</v>
      </c>
      <c r="BH1202" s="6">
        <v>0</v>
      </c>
      <c r="BI1202" s="6">
        <v>0</v>
      </c>
      <c r="BJ1202" s="6">
        <v>0</v>
      </c>
      <c r="BK1202" s="4">
        <v>0</v>
      </c>
      <c r="BL1202" s="4">
        <v>0</v>
      </c>
      <c r="BM1202" s="20">
        <v>161</v>
      </c>
      <c r="BN1202" s="20">
        <v>0</v>
      </c>
      <c r="BO1202" s="20">
        <v>0</v>
      </c>
      <c r="BP1202" s="20">
        <v>0</v>
      </c>
      <c r="BQ1202" s="20">
        <v>0</v>
      </c>
      <c r="BR1202" s="20">
        <v>0</v>
      </c>
      <c r="BS1202" s="20">
        <v>161</v>
      </c>
      <c r="BT1202" s="20">
        <v>2305227.2727272725</v>
      </c>
      <c r="BU1202" s="20">
        <v>10143000</v>
      </c>
      <c r="BV1202" s="20">
        <v>4</v>
      </c>
    </row>
    <row r="1203" spans="1:74">
      <c r="A1203" s="10">
        <f t="shared" si="74"/>
        <v>0</v>
      </c>
      <c r="B1203" s="10">
        <f t="shared" si="75"/>
        <v>0</v>
      </c>
      <c r="C1203" s="12">
        <f t="shared" si="76"/>
        <v>10</v>
      </c>
      <c r="D1203" s="12">
        <f t="shared" si="77"/>
        <v>10</v>
      </c>
      <c r="E1203" s="20" t="s">
        <v>114</v>
      </c>
      <c r="F1203" s="20" t="s">
        <v>2667</v>
      </c>
      <c r="G1203" s="20" t="s">
        <v>4480</v>
      </c>
      <c r="H1203" s="20" t="s">
        <v>4509</v>
      </c>
      <c r="I1203" s="20">
        <v>5</v>
      </c>
      <c r="J1203" s="20" t="s">
        <v>4510</v>
      </c>
      <c r="K1203" s="20" t="s">
        <v>4511</v>
      </c>
      <c r="L1203" s="20" t="s">
        <v>4512</v>
      </c>
      <c r="M1203" s="20" t="s">
        <v>2667</v>
      </c>
      <c r="N1203" s="20" t="s">
        <v>4498</v>
      </c>
      <c r="P1203" s="20" t="s">
        <v>2667</v>
      </c>
      <c r="Q1203" s="20" t="s">
        <v>2674</v>
      </c>
      <c r="R1203" s="20" t="s">
        <v>84</v>
      </c>
      <c r="S1203" s="20">
        <v>5</v>
      </c>
      <c r="T1203" s="20" t="s">
        <v>106</v>
      </c>
      <c r="U1203" s="20" t="s">
        <v>107</v>
      </c>
      <c r="V1203" s="20" t="s">
        <v>87</v>
      </c>
      <c r="W1203" s="20">
        <v>664</v>
      </c>
      <c r="X1203" s="20">
        <v>664</v>
      </c>
      <c r="Y1203" s="20" t="s">
        <v>4513</v>
      </c>
      <c r="Z1203" s="20">
        <v>1</v>
      </c>
      <c r="AA1203" s="20" t="s">
        <v>4514</v>
      </c>
      <c r="AB1203" s="20" t="s">
        <v>101</v>
      </c>
      <c r="AC1203" s="20" t="s">
        <v>102</v>
      </c>
      <c r="AD1203" s="20" t="s">
        <v>4515</v>
      </c>
      <c r="AE1203" s="20" t="s">
        <v>400</v>
      </c>
      <c r="AF1203" s="20">
        <v>1</v>
      </c>
      <c r="AG1203" s="20">
        <v>0</v>
      </c>
      <c r="AH1203" s="20">
        <v>1</v>
      </c>
      <c r="AI1203" s="4" t="s">
        <v>251</v>
      </c>
      <c r="AJ1203" s="20">
        <v>148</v>
      </c>
      <c r="AK1203" s="4" t="s">
        <v>129</v>
      </c>
      <c r="AL1203" s="4">
        <v>5</v>
      </c>
      <c r="AM1203" s="4" t="s">
        <v>485</v>
      </c>
      <c r="AN1203" s="4" t="s">
        <v>95</v>
      </c>
      <c r="AO1203" s="4" t="s">
        <v>131</v>
      </c>
      <c r="AP1203" s="4">
        <v>2</v>
      </c>
      <c r="AQ1203" s="20">
        <v>59000</v>
      </c>
      <c r="AR1203" s="4">
        <v>41918</v>
      </c>
      <c r="AS1203" s="20">
        <v>13409.090909090908</v>
      </c>
      <c r="AT1203" s="20">
        <v>0</v>
      </c>
      <c r="AU1203" s="20">
        <v>-13409.090909090908</v>
      </c>
      <c r="AV1203" s="20">
        <v>0</v>
      </c>
      <c r="AW1203" s="20">
        <v>0</v>
      </c>
      <c r="AX1203" s="20" t="s">
        <v>91</v>
      </c>
      <c r="AY1203" s="20">
        <v>0</v>
      </c>
      <c r="AZ1203" s="20">
        <v>0</v>
      </c>
      <c r="BA1203" s="20">
        <v>0</v>
      </c>
      <c r="BB1203" s="6">
        <v>41918</v>
      </c>
      <c r="BC1203" s="6">
        <v>0</v>
      </c>
      <c r="BD1203" s="6">
        <v>41922</v>
      </c>
      <c r="BE1203" s="6">
        <v>0</v>
      </c>
      <c r="BF1203" s="6">
        <v>41922</v>
      </c>
      <c r="BG1203" s="6">
        <v>0</v>
      </c>
      <c r="BH1203" s="6">
        <v>0</v>
      </c>
      <c r="BI1203" s="6">
        <v>0</v>
      </c>
      <c r="BJ1203" s="6">
        <v>0</v>
      </c>
      <c r="BK1203" s="4">
        <v>0</v>
      </c>
      <c r="BL1203" s="4">
        <v>0</v>
      </c>
      <c r="BM1203" s="20">
        <v>148</v>
      </c>
      <c r="BN1203" s="20">
        <v>0</v>
      </c>
      <c r="BO1203" s="20">
        <v>0</v>
      </c>
      <c r="BP1203" s="20">
        <v>0</v>
      </c>
      <c r="BQ1203" s="20">
        <v>0</v>
      </c>
      <c r="BR1203" s="20">
        <v>0</v>
      </c>
      <c r="BS1203" s="20">
        <v>148</v>
      </c>
      <c r="BT1203" s="20">
        <v>1984545.4545454544</v>
      </c>
      <c r="BU1203" s="20">
        <v>8732000</v>
      </c>
      <c r="BV1203" s="20">
        <v>4</v>
      </c>
    </row>
    <row r="1204" spans="1:74">
      <c r="A1204" s="10">
        <f t="shared" si="74"/>
        <v>0</v>
      </c>
      <c r="B1204" s="10">
        <f t="shared" si="75"/>
        <v>0</v>
      </c>
      <c r="C1204" s="12">
        <f t="shared" si="76"/>
        <v>10</v>
      </c>
      <c r="D1204" s="12">
        <f t="shared" si="77"/>
        <v>10</v>
      </c>
      <c r="E1204" s="20" t="s">
        <v>114</v>
      </c>
      <c r="F1204" s="20" t="s">
        <v>2667</v>
      </c>
      <c r="G1204" s="20" t="s">
        <v>4480</v>
      </c>
      <c r="H1204" s="20" t="s">
        <v>4516</v>
      </c>
      <c r="I1204" s="20">
        <v>6</v>
      </c>
      <c r="J1204" s="20" t="s">
        <v>4517</v>
      </c>
      <c r="K1204" s="20" t="s">
        <v>4518</v>
      </c>
      <c r="L1204" s="20" t="s">
        <v>4519</v>
      </c>
      <c r="M1204" s="20" t="s">
        <v>2667</v>
      </c>
      <c r="N1204" s="20" t="s">
        <v>4498</v>
      </c>
      <c r="P1204" s="20" t="s">
        <v>2667</v>
      </c>
      <c r="Q1204" s="20" t="s">
        <v>2674</v>
      </c>
      <c r="R1204" s="20" t="s">
        <v>84</v>
      </c>
      <c r="S1204" s="20">
        <v>5</v>
      </c>
      <c r="T1204" s="20" t="s">
        <v>106</v>
      </c>
      <c r="U1204" s="20" t="s">
        <v>107</v>
      </c>
      <c r="V1204" s="20" t="s">
        <v>87</v>
      </c>
      <c r="W1204" s="20">
        <v>665</v>
      </c>
      <c r="X1204" s="20">
        <v>665</v>
      </c>
      <c r="Y1204" s="20" t="s">
        <v>4520</v>
      </c>
      <c r="Z1204" s="20">
        <v>1</v>
      </c>
      <c r="AA1204" s="20" t="s">
        <v>4521</v>
      </c>
      <c r="AB1204" s="20" t="s">
        <v>159</v>
      </c>
      <c r="AC1204" s="20" t="s">
        <v>160</v>
      </c>
      <c r="AD1204" s="20" t="s">
        <v>4522</v>
      </c>
      <c r="AE1204" s="20" t="s">
        <v>400</v>
      </c>
      <c r="AF1204" s="20">
        <v>1</v>
      </c>
      <c r="AG1204" s="20">
        <v>0</v>
      </c>
      <c r="AH1204" s="20">
        <v>1</v>
      </c>
      <c r="AI1204" s="4" t="s">
        <v>251</v>
      </c>
      <c r="AJ1204" s="20">
        <v>87</v>
      </c>
      <c r="AK1204" s="4" t="s">
        <v>129</v>
      </c>
      <c r="AL1204" s="4">
        <v>5</v>
      </c>
      <c r="AM1204" s="4" t="s">
        <v>485</v>
      </c>
      <c r="AN1204" s="4" t="s">
        <v>95</v>
      </c>
      <c r="AO1204" s="4" t="s">
        <v>131</v>
      </c>
      <c r="AP1204" s="4">
        <v>2</v>
      </c>
      <c r="AQ1204" s="20">
        <v>59000</v>
      </c>
      <c r="AR1204" s="4">
        <v>41918</v>
      </c>
      <c r="AS1204" s="20">
        <v>13409.090909090908</v>
      </c>
      <c r="AT1204" s="20">
        <v>0</v>
      </c>
      <c r="AU1204" s="20">
        <v>-13409.090909090908</v>
      </c>
      <c r="AV1204" s="20">
        <v>0</v>
      </c>
      <c r="AW1204" s="20">
        <v>0</v>
      </c>
      <c r="AX1204" s="20" t="s">
        <v>91</v>
      </c>
      <c r="AY1204" s="20">
        <v>0</v>
      </c>
      <c r="AZ1204" s="20">
        <v>0</v>
      </c>
      <c r="BA1204" s="20">
        <v>0</v>
      </c>
      <c r="BB1204" s="6">
        <v>41918</v>
      </c>
      <c r="BC1204" s="6">
        <v>0</v>
      </c>
      <c r="BD1204" s="6">
        <v>41922</v>
      </c>
      <c r="BE1204" s="6">
        <v>0</v>
      </c>
      <c r="BF1204" s="6">
        <v>41922</v>
      </c>
      <c r="BG1204" s="6">
        <v>0</v>
      </c>
      <c r="BH1204" s="6">
        <v>0</v>
      </c>
      <c r="BI1204" s="6">
        <v>0</v>
      </c>
      <c r="BJ1204" s="6">
        <v>0</v>
      </c>
      <c r="BK1204" s="4">
        <v>0</v>
      </c>
      <c r="BL1204" s="4">
        <v>0</v>
      </c>
      <c r="BM1204" s="20">
        <v>87</v>
      </c>
      <c r="BN1204" s="20">
        <v>0</v>
      </c>
      <c r="BO1204" s="20">
        <v>0</v>
      </c>
      <c r="BP1204" s="20">
        <v>0</v>
      </c>
      <c r="BQ1204" s="20">
        <v>0</v>
      </c>
      <c r="BR1204" s="20">
        <v>0</v>
      </c>
      <c r="BS1204" s="20">
        <v>87</v>
      </c>
      <c r="BT1204" s="20">
        <v>1166590.9090909089</v>
      </c>
      <c r="BU1204" s="20">
        <v>5133000</v>
      </c>
      <c r="BV1204" s="20">
        <v>4</v>
      </c>
    </row>
    <row r="1205" spans="1:74">
      <c r="A1205" s="10">
        <f t="shared" si="74"/>
        <v>0</v>
      </c>
      <c r="B1205" s="10">
        <f t="shared" si="75"/>
        <v>0</v>
      </c>
      <c r="C1205" s="12">
        <f t="shared" si="76"/>
        <v>10</v>
      </c>
      <c r="D1205" s="12">
        <f t="shared" si="77"/>
        <v>10</v>
      </c>
      <c r="E1205" s="20" t="s">
        <v>114</v>
      </c>
      <c r="F1205" s="20" t="s">
        <v>2667</v>
      </c>
      <c r="G1205" s="20" t="s">
        <v>4480</v>
      </c>
      <c r="H1205" s="20" t="s">
        <v>4523</v>
      </c>
      <c r="I1205" s="20">
        <v>7</v>
      </c>
      <c r="J1205" s="20" t="s">
        <v>4524</v>
      </c>
      <c r="K1205" s="20" t="s">
        <v>4525</v>
      </c>
      <c r="L1205" s="20" t="s">
        <v>4526</v>
      </c>
      <c r="M1205" s="20" t="s">
        <v>2667</v>
      </c>
      <c r="N1205" s="20" t="s">
        <v>4527</v>
      </c>
      <c r="P1205" s="20" t="s">
        <v>2667</v>
      </c>
      <c r="Q1205" s="20" t="s">
        <v>2674</v>
      </c>
      <c r="R1205" s="20" t="s">
        <v>84</v>
      </c>
      <c r="S1205" s="20">
        <v>5</v>
      </c>
      <c r="T1205" s="20" t="s">
        <v>1401</v>
      </c>
      <c r="U1205" s="20" t="s">
        <v>1402</v>
      </c>
      <c r="V1205" s="20" t="s">
        <v>87</v>
      </c>
      <c r="W1205" s="20">
        <v>669</v>
      </c>
      <c r="X1205" s="20">
        <v>669</v>
      </c>
      <c r="Y1205" s="20" t="s">
        <v>4528</v>
      </c>
      <c r="Z1205" s="20">
        <v>1</v>
      </c>
      <c r="AA1205" s="20" t="s">
        <v>4529</v>
      </c>
      <c r="AB1205" s="20" t="s">
        <v>149</v>
      </c>
      <c r="AC1205" s="20" t="s">
        <v>150</v>
      </c>
      <c r="AD1205" s="20" t="s">
        <v>4530</v>
      </c>
      <c r="AE1205" s="20" t="s">
        <v>400</v>
      </c>
      <c r="AF1205" s="20">
        <v>1</v>
      </c>
      <c r="AG1205" s="20">
        <v>0</v>
      </c>
      <c r="AH1205" s="20">
        <v>1</v>
      </c>
      <c r="AI1205" s="4" t="s">
        <v>251</v>
      </c>
      <c r="AJ1205" s="20">
        <v>93</v>
      </c>
      <c r="AK1205" s="4" t="s">
        <v>129</v>
      </c>
      <c r="AL1205" s="4">
        <v>5</v>
      </c>
      <c r="AM1205" s="4" t="s">
        <v>485</v>
      </c>
      <c r="AN1205" s="4" t="s">
        <v>95</v>
      </c>
      <c r="AO1205" s="4" t="s">
        <v>131</v>
      </c>
      <c r="AP1205" s="4">
        <v>2</v>
      </c>
      <c r="AQ1205" s="20">
        <v>59000</v>
      </c>
      <c r="AR1205" s="4">
        <v>41918</v>
      </c>
      <c r="AS1205" s="20">
        <v>13409.090909090908</v>
      </c>
      <c r="AT1205" s="20">
        <v>0</v>
      </c>
      <c r="AU1205" s="20">
        <v>-13409.090909090908</v>
      </c>
      <c r="AV1205" s="20">
        <v>0</v>
      </c>
      <c r="AW1205" s="20">
        <v>0</v>
      </c>
      <c r="AX1205" s="20" t="s">
        <v>91</v>
      </c>
      <c r="AY1205" s="20">
        <v>0</v>
      </c>
      <c r="AZ1205" s="20">
        <v>0</v>
      </c>
      <c r="BA1205" s="20">
        <v>0</v>
      </c>
      <c r="BB1205" s="6">
        <v>41918</v>
      </c>
      <c r="BC1205" s="6">
        <v>0</v>
      </c>
      <c r="BD1205" s="6">
        <v>41922</v>
      </c>
      <c r="BE1205" s="6">
        <v>0</v>
      </c>
      <c r="BF1205" s="6">
        <v>41922</v>
      </c>
      <c r="BG1205" s="6">
        <v>0</v>
      </c>
      <c r="BH1205" s="6">
        <v>0</v>
      </c>
      <c r="BI1205" s="6">
        <v>0</v>
      </c>
      <c r="BJ1205" s="6">
        <v>0</v>
      </c>
      <c r="BK1205" s="4">
        <v>0</v>
      </c>
      <c r="BL1205" s="4">
        <v>0</v>
      </c>
      <c r="BM1205" s="20">
        <v>93</v>
      </c>
      <c r="BN1205" s="20">
        <v>0</v>
      </c>
      <c r="BO1205" s="20">
        <v>0</v>
      </c>
      <c r="BP1205" s="20">
        <v>0</v>
      </c>
      <c r="BQ1205" s="20">
        <v>0</v>
      </c>
      <c r="BR1205" s="20">
        <v>0</v>
      </c>
      <c r="BS1205" s="20">
        <v>93</v>
      </c>
      <c r="BT1205" s="20">
        <v>1247045.4545454544</v>
      </c>
      <c r="BU1205" s="20">
        <v>5487000</v>
      </c>
      <c r="BV1205" s="20">
        <v>4</v>
      </c>
    </row>
    <row r="1206" spans="1:74">
      <c r="A1206" s="10">
        <f t="shared" si="74"/>
        <v>0</v>
      </c>
      <c r="B1206" s="10">
        <f t="shared" si="75"/>
        <v>0</v>
      </c>
      <c r="C1206" s="12" t="str">
        <f t="shared" si="76"/>
        <v/>
      </c>
      <c r="D1206" s="12" t="str">
        <f t="shared" si="77"/>
        <v/>
      </c>
      <c r="E1206" s="20" t="s">
        <v>91</v>
      </c>
      <c r="F1206" s="20" t="s">
        <v>91</v>
      </c>
      <c r="G1206" s="20" t="s">
        <v>91</v>
      </c>
      <c r="H1206" s="20" t="s">
        <v>91</v>
      </c>
      <c r="I1206" s="20">
        <v>0</v>
      </c>
      <c r="J1206" s="20" t="s">
        <v>103</v>
      </c>
      <c r="K1206" s="20" t="s">
        <v>104</v>
      </c>
      <c r="L1206" s="20">
        <v>0</v>
      </c>
      <c r="M1206" s="20" t="s">
        <v>105</v>
      </c>
      <c r="N1206" s="20" t="s">
        <v>91</v>
      </c>
      <c r="O1206" s="20" t="s">
        <v>4531</v>
      </c>
      <c r="Q1206" s="20" t="s">
        <v>91</v>
      </c>
      <c r="R1206" s="20" t="s">
        <v>91</v>
      </c>
      <c r="S1206" s="20" t="s">
        <v>91</v>
      </c>
      <c r="T1206" s="20" t="s">
        <v>91</v>
      </c>
      <c r="U1206" s="20" t="s">
        <v>91</v>
      </c>
      <c r="V1206" s="20" t="s">
        <v>87</v>
      </c>
      <c r="W1206" s="20" t="s">
        <v>91</v>
      </c>
      <c r="X1206" s="20" t="s">
        <v>91</v>
      </c>
      <c r="Y1206" s="20" t="s">
        <v>91</v>
      </c>
      <c r="Z1206" s="20">
        <v>7</v>
      </c>
      <c r="AB1206" s="20" t="s">
        <v>91</v>
      </c>
      <c r="AD1206" s="20" t="s">
        <v>91</v>
      </c>
      <c r="AE1206" s="20" t="s">
        <v>91</v>
      </c>
      <c r="AF1206" s="20">
        <v>7</v>
      </c>
      <c r="AG1206" s="20">
        <v>0</v>
      </c>
      <c r="AH1206" s="20">
        <v>1</v>
      </c>
      <c r="AM1206" s="4" t="s">
        <v>91</v>
      </c>
      <c r="AP1206" s="4" t="s">
        <v>91</v>
      </c>
      <c r="AQ1206" s="20">
        <v>0</v>
      </c>
      <c r="AR1206" s="4">
        <v>0</v>
      </c>
      <c r="AS1206" s="20">
        <v>0</v>
      </c>
      <c r="AT1206" s="20">
        <v>0</v>
      </c>
      <c r="AU1206" s="20">
        <v>0</v>
      </c>
      <c r="AV1206" s="20">
        <v>0</v>
      </c>
      <c r="AW1206" s="20">
        <v>0</v>
      </c>
      <c r="AX1206" s="20" t="s">
        <v>91</v>
      </c>
      <c r="AY1206" s="20">
        <v>0</v>
      </c>
      <c r="AZ1206" s="20">
        <v>0</v>
      </c>
      <c r="BA1206" s="20">
        <v>0</v>
      </c>
      <c r="BB1206" s="6">
        <v>0</v>
      </c>
      <c r="BC1206" s="6">
        <v>0</v>
      </c>
      <c r="BD1206" s="6">
        <v>0</v>
      </c>
      <c r="BE1206" s="6">
        <v>0</v>
      </c>
      <c r="BF1206" s="6">
        <v>0</v>
      </c>
      <c r="BG1206" s="6">
        <v>0</v>
      </c>
      <c r="BH1206" s="6">
        <v>0</v>
      </c>
      <c r="BI1206" s="6">
        <v>0</v>
      </c>
      <c r="BJ1206" s="6">
        <v>0</v>
      </c>
      <c r="BK1206" s="4">
        <v>0</v>
      </c>
      <c r="BL1206" s="4">
        <v>0</v>
      </c>
      <c r="BM1206" s="20">
        <v>759</v>
      </c>
      <c r="BN1206" s="20">
        <v>0</v>
      </c>
      <c r="BO1206" s="20">
        <v>0</v>
      </c>
      <c r="BP1206" s="20">
        <v>0</v>
      </c>
      <c r="BQ1206" s="20">
        <v>0</v>
      </c>
      <c r="BR1206" s="20">
        <v>0</v>
      </c>
      <c r="BS1206" s="20">
        <v>759</v>
      </c>
      <c r="BT1206" s="20">
        <v>10364772.727272727</v>
      </c>
      <c r="BU1206" s="20">
        <v>45605000</v>
      </c>
      <c r="BV1206" s="20">
        <v>4</v>
      </c>
    </row>
    <row r="1207" spans="1:74">
      <c r="A1207" s="10">
        <f t="shared" si="74"/>
        <v>0</v>
      </c>
      <c r="B1207" s="10">
        <f t="shared" si="75"/>
        <v>0</v>
      </c>
      <c r="C1207" s="12">
        <f t="shared" si="76"/>
        <v>10</v>
      </c>
      <c r="D1207" s="12">
        <f t="shared" si="77"/>
        <v>10</v>
      </c>
      <c r="E1207" s="20" t="s">
        <v>386</v>
      </c>
      <c r="F1207" s="20" t="s">
        <v>2960</v>
      </c>
      <c r="G1207" s="20" t="s">
        <v>4532</v>
      </c>
      <c r="H1207" s="20" t="s">
        <v>4533</v>
      </c>
      <c r="I1207" s="20">
        <v>1</v>
      </c>
      <c r="J1207" s="20" t="s">
        <v>4534</v>
      </c>
      <c r="K1207" s="20" t="s">
        <v>4535</v>
      </c>
      <c r="L1207" s="20" t="s">
        <v>4536</v>
      </c>
      <c r="M1207" s="20" t="s">
        <v>2960</v>
      </c>
      <c r="N1207" s="20" t="s">
        <v>4537</v>
      </c>
      <c r="P1207" s="20" t="s">
        <v>2960</v>
      </c>
      <c r="Q1207" s="20" t="s">
        <v>2967</v>
      </c>
      <c r="R1207" s="20" t="s">
        <v>84</v>
      </c>
      <c r="S1207" s="20">
        <v>5</v>
      </c>
      <c r="T1207" s="20" t="s">
        <v>172</v>
      </c>
      <c r="U1207" s="20" t="s">
        <v>173</v>
      </c>
      <c r="V1207" s="20" t="s">
        <v>87</v>
      </c>
      <c r="W1207" s="20">
        <v>808</v>
      </c>
      <c r="X1207" s="20">
        <v>808</v>
      </c>
      <c r="Y1207" s="20" t="s">
        <v>4538</v>
      </c>
      <c r="Z1207" s="20">
        <v>1</v>
      </c>
      <c r="AA1207" s="20" t="s">
        <v>4539</v>
      </c>
      <c r="AB1207" s="20" t="s">
        <v>221</v>
      </c>
      <c r="AC1207" s="20" t="s">
        <v>222</v>
      </c>
      <c r="AD1207" s="20" t="s">
        <v>4540</v>
      </c>
      <c r="AE1207" s="20" t="s">
        <v>400</v>
      </c>
      <c r="AF1207" s="20">
        <v>1</v>
      </c>
      <c r="AG1207" s="20">
        <v>0</v>
      </c>
      <c r="AH1207" s="20">
        <v>1</v>
      </c>
      <c r="AI1207" s="4" t="s">
        <v>251</v>
      </c>
      <c r="AJ1207" s="20">
        <v>50</v>
      </c>
      <c r="AK1207" s="4" t="s">
        <v>179</v>
      </c>
      <c r="AL1207" s="4">
        <v>28</v>
      </c>
      <c r="AM1207" s="4">
        <v>28</v>
      </c>
      <c r="AN1207" s="4" t="s">
        <v>95</v>
      </c>
      <c r="AO1207" s="4" t="s">
        <v>96</v>
      </c>
      <c r="AP1207" s="4">
        <v>1</v>
      </c>
      <c r="AQ1207" s="20">
        <v>45000</v>
      </c>
      <c r="AR1207" s="4">
        <v>41918</v>
      </c>
      <c r="AS1207" s="20">
        <v>6818.1818181818171</v>
      </c>
      <c r="AT1207" s="20">
        <v>0</v>
      </c>
      <c r="AU1207" s="20">
        <v>-6818.1818181818171</v>
      </c>
      <c r="AV1207" s="20">
        <v>0</v>
      </c>
      <c r="AW1207" s="20">
        <v>0</v>
      </c>
      <c r="AX1207" s="20" t="s">
        <v>91</v>
      </c>
      <c r="AY1207" s="20">
        <v>0</v>
      </c>
      <c r="AZ1207" s="20">
        <v>0</v>
      </c>
      <c r="BA1207" s="20">
        <v>0</v>
      </c>
      <c r="BB1207" s="6">
        <v>41918</v>
      </c>
      <c r="BC1207" s="6">
        <v>0</v>
      </c>
      <c r="BD1207" s="6">
        <v>41922</v>
      </c>
      <c r="BE1207" s="6">
        <v>0</v>
      </c>
      <c r="BF1207" s="6">
        <v>41922</v>
      </c>
      <c r="BG1207" s="6">
        <v>0</v>
      </c>
      <c r="BH1207" s="6">
        <v>0</v>
      </c>
      <c r="BI1207" s="6">
        <v>0</v>
      </c>
      <c r="BJ1207" s="6">
        <v>0</v>
      </c>
      <c r="BK1207" s="4">
        <v>0</v>
      </c>
      <c r="BL1207" s="4">
        <v>0</v>
      </c>
      <c r="BM1207" s="20">
        <v>50</v>
      </c>
      <c r="BN1207" s="20">
        <v>0</v>
      </c>
      <c r="BO1207" s="20">
        <v>0</v>
      </c>
      <c r="BP1207" s="20">
        <v>0</v>
      </c>
      <c r="BQ1207" s="20">
        <v>0</v>
      </c>
      <c r="BR1207" s="20">
        <v>0</v>
      </c>
      <c r="BS1207" s="20">
        <v>50</v>
      </c>
      <c r="BT1207" s="20">
        <v>340909.09090909088</v>
      </c>
      <c r="BU1207" s="20">
        <v>2250000</v>
      </c>
      <c r="BV1207" s="20">
        <v>6</v>
      </c>
    </row>
    <row r="1208" spans="1:74">
      <c r="A1208" s="10">
        <f t="shared" si="74"/>
        <v>0</v>
      </c>
      <c r="B1208" s="10">
        <f t="shared" si="75"/>
        <v>0</v>
      </c>
      <c r="C1208" s="12">
        <f t="shared" si="76"/>
        <v>10</v>
      </c>
      <c r="D1208" s="12">
        <f t="shared" si="77"/>
        <v>10</v>
      </c>
      <c r="E1208" s="20" t="s">
        <v>386</v>
      </c>
      <c r="F1208" s="20" t="s">
        <v>2960</v>
      </c>
      <c r="G1208" s="20" t="s">
        <v>4532</v>
      </c>
      <c r="H1208" s="20" t="s">
        <v>4541</v>
      </c>
      <c r="I1208" s="20">
        <v>2</v>
      </c>
      <c r="J1208" s="20" t="s">
        <v>4542</v>
      </c>
      <c r="K1208" s="20" t="s">
        <v>4543</v>
      </c>
      <c r="L1208" s="20" t="s">
        <v>4544</v>
      </c>
      <c r="M1208" s="20" t="s">
        <v>2960</v>
      </c>
      <c r="N1208" s="20" t="s">
        <v>4545</v>
      </c>
      <c r="P1208" s="20" t="s">
        <v>2960</v>
      </c>
      <c r="Q1208" s="20" t="s">
        <v>2967</v>
      </c>
      <c r="R1208" s="20" t="s">
        <v>84</v>
      </c>
      <c r="S1208" s="20">
        <v>5</v>
      </c>
      <c r="T1208" s="20" t="s">
        <v>244</v>
      </c>
      <c r="U1208" s="20" t="s">
        <v>245</v>
      </c>
      <c r="V1208" s="20" t="s">
        <v>87</v>
      </c>
      <c r="W1208" s="20">
        <v>855</v>
      </c>
      <c r="X1208" s="20">
        <v>855</v>
      </c>
      <c r="Y1208" s="20" t="s">
        <v>4546</v>
      </c>
      <c r="Z1208" s="20">
        <v>1</v>
      </c>
      <c r="AA1208" s="20" t="s">
        <v>4547</v>
      </c>
      <c r="AB1208" s="20" t="s">
        <v>221</v>
      </c>
      <c r="AC1208" s="20" t="s">
        <v>222</v>
      </c>
      <c r="AD1208" s="20" t="s">
        <v>4548</v>
      </c>
      <c r="AE1208" s="20" t="s">
        <v>400</v>
      </c>
      <c r="AF1208" s="20">
        <v>1</v>
      </c>
      <c r="AG1208" s="20">
        <v>0</v>
      </c>
      <c r="AH1208" s="20">
        <v>1</v>
      </c>
      <c r="AI1208" s="4" t="s">
        <v>251</v>
      </c>
      <c r="AJ1208" s="20">
        <v>50</v>
      </c>
      <c r="AK1208" s="4" t="s">
        <v>179</v>
      </c>
      <c r="AL1208" s="4">
        <v>28</v>
      </c>
      <c r="AM1208" s="4">
        <v>28</v>
      </c>
      <c r="AN1208" s="4" t="s">
        <v>95</v>
      </c>
      <c r="AO1208" s="4" t="s">
        <v>96</v>
      </c>
      <c r="AP1208" s="4">
        <v>1</v>
      </c>
      <c r="AQ1208" s="20">
        <v>35000</v>
      </c>
      <c r="AR1208" s="4">
        <v>41918</v>
      </c>
      <c r="AS1208" s="20">
        <v>5303.030303030303</v>
      </c>
      <c r="AT1208" s="20">
        <v>0</v>
      </c>
      <c r="AU1208" s="20">
        <v>-5303.030303030303</v>
      </c>
      <c r="AV1208" s="20">
        <v>0</v>
      </c>
      <c r="AW1208" s="20">
        <v>0</v>
      </c>
      <c r="AX1208" s="20" t="s">
        <v>91</v>
      </c>
      <c r="AY1208" s="20">
        <v>0</v>
      </c>
      <c r="AZ1208" s="20">
        <v>0</v>
      </c>
      <c r="BA1208" s="20">
        <v>0</v>
      </c>
      <c r="BB1208" s="6">
        <v>41918</v>
      </c>
      <c r="BC1208" s="6">
        <v>0</v>
      </c>
      <c r="BD1208" s="6">
        <v>41922</v>
      </c>
      <c r="BE1208" s="6">
        <v>0</v>
      </c>
      <c r="BF1208" s="6">
        <v>41922</v>
      </c>
      <c r="BG1208" s="6">
        <v>0</v>
      </c>
      <c r="BH1208" s="6">
        <v>0</v>
      </c>
      <c r="BI1208" s="6">
        <v>0</v>
      </c>
      <c r="BJ1208" s="6">
        <v>0</v>
      </c>
      <c r="BK1208" s="4">
        <v>0</v>
      </c>
      <c r="BL1208" s="4">
        <v>0</v>
      </c>
      <c r="BM1208" s="20">
        <v>50</v>
      </c>
      <c r="BN1208" s="20">
        <v>0</v>
      </c>
      <c r="BO1208" s="20">
        <v>0</v>
      </c>
      <c r="BP1208" s="20">
        <v>0</v>
      </c>
      <c r="BQ1208" s="20">
        <v>0</v>
      </c>
      <c r="BR1208" s="20">
        <v>0</v>
      </c>
      <c r="BS1208" s="20">
        <v>50</v>
      </c>
      <c r="BT1208" s="20">
        <v>265151.51515151514</v>
      </c>
      <c r="BU1208" s="20">
        <v>1750000</v>
      </c>
      <c r="BV1208" s="20">
        <v>6</v>
      </c>
    </row>
    <row r="1209" spans="1:74">
      <c r="A1209" s="10">
        <f t="shared" si="74"/>
        <v>0</v>
      </c>
      <c r="B1209" s="10">
        <f t="shared" si="75"/>
        <v>0</v>
      </c>
      <c r="C1209" s="12">
        <f t="shared" si="76"/>
        <v>10</v>
      </c>
      <c r="D1209" s="12">
        <f t="shared" si="77"/>
        <v>10</v>
      </c>
      <c r="E1209" s="20" t="s">
        <v>386</v>
      </c>
      <c r="F1209" s="20" t="s">
        <v>2960</v>
      </c>
      <c r="G1209" s="20" t="s">
        <v>4532</v>
      </c>
      <c r="H1209" s="20" t="s">
        <v>4549</v>
      </c>
      <c r="I1209" s="20">
        <v>3</v>
      </c>
      <c r="J1209" s="20" t="s">
        <v>4550</v>
      </c>
      <c r="K1209" s="20" t="s">
        <v>4551</v>
      </c>
      <c r="L1209" s="20" t="s">
        <v>4544</v>
      </c>
      <c r="M1209" s="20" t="s">
        <v>2960</v>
      </c>
      <c r="N1209" s="20" t="s">
        <v>4545</v>
      </c>
      <c r="P1209" s="20" t="s">
        <v>2960</v>
      </c>
      <c r="Q1209" s="20" t="s">
        <v>2967</v>
      </c>
      <c r="R1209" s="20" t="s">
        <v>84</v>
      </c>
      <c r="S1209" s="20">
        <v>5</v>
      </c>
      <c r="T1209" s="20" t="s">
        <v>244</v>
      </c>
      <c r="U1209" s="20" t="s">
        <v>245</v>
      </c>
      <c r="V1209" s="20" t="s">
        <v>87</v>
      </c>
      <c r="W1209" s="20">
        <v>855</v>
      </c>
      <c r="X1209" s="20">
        <v>855</v>
      </c>
      <c r="Y1209" s="20" t="s">
        <v>4546</v>
      </c>
      <c r="Z1209" s="20">
        <v>1</v>
      </c>
      <c r="AA1209" s="20" t="s">
        <v>4552</v>
      </c>
      <c r="AB1209" s="20" t="s">
        <v>89</v>
      </c>
      <c r="AC1209" s="20" t="s">
        <v>90</v>
      </c>
      <c r="AD1209" s="20" t="s">
        <v>4553</v>
      </c>
      <c r="AE1209" s="20" t="s">
        <v>400</v>
      </c>
      <c r="AF1209" s="20">
        <v>1</v>
      </c>
      <c r="AG1209" s="20">
        <v>0</v>
      </c>
      <c r="AH1209" s="20">
        <v>1</v>
      </c>
      <c r="AI1209" s="4" t="s">
        <v>251</v>
      </c>
      <c r="AJ1209" s="20">
        <v>50</v>
      </c>
      <c r="AK1209" s="4" t="s">
        <v>179</v>
      </c>
      <c r="AL1209" s="4">
        <v>28</v>
      </c>
      <c r="AM1209" s="4">
        <v>28</v>
      </c>
      <c r="AN1209" s="4" t="s">
        <v>95</v>
      </c>
      <c r="AO1209" s="4" t="s">
        <v>96</v>
      </c>
      <c r="AP1209" s="4">
        <v>1</v>
      </c>
      <c r="AQ1209" s="20">
        <v>35000</v>
      </c>
      <c r="AR1209" s="4">
        <v>41918</v>
      </c>
      <c r="AS1209" s="20">
        <v>5303.030303030303</v>
      </c>
      <c r="AT1209" s="20">
        <v>0</v>
      </c>
      <c r="AU1209" s="20">
        <v>-5303.030303030303</v>
      </c>
      <c r="AV1209" s="20">
        <v>0</v>
      </c>
      <c r="AW1209" s="20">
        <v>0</v>
      </c>
      <c r="AX1209" s="20" t="s">
        <v>91</v>
      </c>
      <c r="AY1209" s="20">
        <v>0</v>
      </c>
      <c r="AZ1209" s="20">
        <v>0</v>
      </c>
      <c r="BA1209" s="20">
        <v>0</v>
      </c>
      <c r="BB1209" s="6">
        <v>41918</v>
      </c>
      <c r="BC1209" s="6">
        <v>0</v>
      </c>
      <c r="BD1209" s="6">
        <v>41922</v>
      </c>
      <c r="BE1209" s="6">
        <v>0</v>
      </c>
      <c r="BF1209" s="6">
        <v>41922</v>
      </c>
      <c r="BG1209" s="6">
        <v>0</v>
      </c>
      <c r="BH1209" s="6">
        <v>0</v>
      </c>
      <c r="BI1209" s="6">
        <v>0</v>
      </c>
      <c r="BJ1209" s="6">
        <v>0</v>
      </c>
      <c r="BK1209" s="4">
        <v>0</v>
      </c>
      <c r="BL1209" s="4">
        <v>0</v>
      </c>
      <c r="BM1209" s="20">
        <v>50</v>
      </c>
      <c r="BN1209" s="20">
        <v>0</v>
      </c>
      <c r="BO1209" s="20">
        <v>0</v>
      </c>
      <c r="BP1209" s="20">
        <v>0</v>
      </c>
      <c r="BQ1209" s="20">
        <v>0</v>
      </c>
      <c r="BR1209" s="20">
        <v>0</v>
      </c>
      <c r="BS1209" s="20">
        <v>50</v>
      </c>
      <c r="BT1209" s="20">
        <v>265151.51515151514</v>
      </c>
      <c r="BU1209" s="20">
        <v>1750000</v>
      </c>
      <c r="BV1209" s="20">
        <v>6</v>
      </c>
    </row>
    <row r="1210" spans="1:74">
      <c r="A1210" s="10">
        <f t="shared" si="74"/>
        <v>0</v>
      </c>
      <c r="B1210" s="10">
        <f t="shared" si="75"/>
        <v>0</v>
      </c>
      <c r="C1210" s="12">
        <f t="shared" si="76"/>
        <v>10</v>
      </c>
      <c r="D1210" s="12">
        <f t="shared" si="77"/>
        <v>10</v>
      </c>
      <c r="E1210" s="20" t="s">
        <v>386</v>
      </c>
      <c r="F1210" s="20" t="s">
        <v>2960</v>
      </c>
      <c r="G1210" s="20" t="s">
        <v>4532</v>
      </c>
      <c r="H1210" s="20" t="s">
        <v>4554</v>
      </c>
      <c r="I1210" s="20">
        <v>4</v>
      </c>
      <c r="J1210" s="20" t="s">
        <v>4555</v>
      </c>
      <c r="K1210" s="20" t="s">
        <v>4556</v>
      </c>
      <c r="L1210" s="20" t="s">
        <v>4557</v>
      </c>
      <c r="M1210" s="20" t="s">
        <v>2960</v>
      </c>
      <c r="N1210" s="20" t="s">
        <v>4545</v>
      </c>
      <c r="P1210" s="20" t="s">
        <v>2960</v>
      </c>
      <c r="Q1210" s="20" t="s">
        <v>2967</v>
      </c>
      <c r="R1210" s="20" t="s">
        <v>84</v>
      </c>
      <c r="S1210" s="20">
        <v>5</v>
      </c>
      <c r="T1210" s="20" t="s">
        <v>244</v>
      </c>
      <c r="U1210" s="20" t="s">
        <v>245</v>
      </c>
      <c r="V1210" s="20" t="s">
        <v>87</v>
      </c>
      <c r="W1210" s="20">
        <v>856</v>
      </c>
      <c r="X1210" s="20">
        <v>856</v>
      </c>
      <c r="Y1210" s="20" t="s">
        <v>4558</v>
      </c>
      <c r="Z1210" s="20">
        <v>1</v>
      </c>
      <c r="AA1210" s="20" t="s">
        <v>4559</v>
      </c>
      <c r="AB1210" s="20" t="s">
        <v>248</v>
      </c>
      <c r="AC1210" s="20" t="s">
        <v>249</v>
      </c>
      <c r="AD1210" s="20" t="s">
        <v>4560</v>
      </c>
      <c r="AE1210" s="20" t="s">
        <v>400</v>
      </c>
      <c r="AF1210" s="20">
        <v>1</v>
      </c>
      <c r="AG1210" s="20">
        <v>0</v>
      </c>
      <c r="AH1210" s="20">
        <v>1</v>
      </c>
      <c r="AI1210" s="4" t="s">
        <v>251</v>
      </c>
      <c r="AJ1210" s="20">
        <v>50</v>
      </c>
      <c r="AK1210" s="4" t="s">
        <v>179</v>
      </c>
      <c r="AL1210" s="4">
        <v>28</v>
      </c>
      <c r="AM1210" s="4">
        <v>28</v>
      </c>
      <c r="AN1210" s="4" t="s">
        <v>95</v>
      </c>
      <c r="AO1210" s="4" t="s">
        <v>96</v>
      </c>
      <c r="AP1210" s="4">
        <v>1</v>
      </c>
      <c r="AQ1210" s="20">
        <v>35000</v>
      </c>
      <c r="AR1210" s="4">
        <v>41918</v>
      </c>
      <c r="AS1210" s="20">
        <v>5303.030303030303</v>
      </c>
      <c r="AT1210" s="20">
        <v>0</v>
      </c>
      <c r="AU1210" s="20">
        <v>-5303.030303030303</v>
      </c>
      <c r="AV1210" s="20">
        <v>0</v>
      </c>
      <c r="AW1210" s="20">
        <v>0</v>
      </c>
      <c r="AX1210" s="20" t="s">
        <v>91</v>
      </c>
      <c r="AY1210" s="20">
        <v>0</v>
      </c>
      <c r="AZ1210" s="20">
        <v>0</v>
      </c>
      <c r="BA1210" s="20">
        <v>0</v>
      </c>
      <c r="BB1210" s="6">
        <v>41918</v>
      </c>
      <c r="BC1210" s="6">
        <v>0</v>
      </c>
      <c r="BD1210" s="6">
        <v>41922</v>
      </c>
      <c r="BE1210" s="6">
        <v>0</v>
      </c>
      <c r="BF1210" s="6">
        <v>41922</v>
      </c>
      <c r="BG1210" s="6">
        <v>0</v>
      </c>
      <c r="BH1210" s="6">
        <v>0</v>
      </c>
      <c r="BI1210" s="6">
        <v>0</v>
      </c>
      <c r="BJ1210" s="6">
        <v>0</v>
      </c>
      <c r="BK1210" s="4">
        <v>0</v>
      </c>
      <c r="BL1210" s="4">
        <v>0</v>
      </c>
      <c r="BM1210" s="20">
        <v>50</v>
      </c>
      <c r="BN1210" s="20">
        <v>0</v>
      </c>
      <c r="BO1210" s="20">
        <v>0</v>
      </c>
      <c r="BP1210" s="20">
        <v>0</v>
      </c>
      <c r="BQ1210" s="20">
        <v>0</v>
      </c>
      <c r="BR1210" s="20">
        <v>0</v>
      </c>
      <c r="BS1210" s="20">
        <v>50</v>
      </c>
      <c r="BT1210" s="20">
        <v>265151.51515151514</v>
      </c>
      <c r="BU1210" s="20">
        <v>1750000</v>
      </c>
      <c r="BV1210" s="20">
        <v>6</v>
      </c>
    </row>
    <row r="1211" spans="1:74">
      <c r="A1211" s="10">
        <f t="shared" si="74"/>
        <v>0</v>
      </c>
      <c r="B1211" s="10">
        <f t="shared" si="75"/>
        <v>0</v>
      </c>
      <c r="C1211" s="12">
        <f t="shared" si="76"/>
        <v>10</v>
      </c>
      <c r="D1211" s="12">
        <f t="shared" si="77"/>
        <v>10</v>
      </c>
      <c r="E1211" s="20" t="s">
        <v>386</v>
      </c>
      <c r="F1211" s="20" t="s">
        <v>2960</v>
      </c>
      <c r="G1211" s="20" t="s">
        <v>4532</v>
      </c>
      <c r="H1211" s="20" t="s">
        <v>4561</v>
      </c>
      <c r="I1211" s="20">
        <v>5</v>
      </c>
      <c r="J1211" s="20" t="s">
        <v>4562</v>
      </c>
      <c r="K1211" s="20" t="s">
        <v>4563</v>
      </c>
      <c r="L1211" s="20" t="s">
        <v>4557</v>
      </c>
      <c r="M1211" s="20" t="s">
        <v>2960</v>
      </c>
      <c r="N1211" s="20" t="s">
        <v>4545</v>
      </c>
      <c r="P1211" s="20" t="s">
        <v>2960</v>
      </c>
      <c r="Q1211" s="20" t="s">
        <v>2967</v>
      </c>
      <c r="R1211" s="20" t="s">
        <v>84</v>
      </c>
      <c r="S1211" s="20">
        <v>5</v>
      </c>
      <c r="T1211" s="20" t="s">
        <v>244</v>
      </c>
      <c r="U1211" s="20" t="s">
        <v>245</v>
      </c>
      <c r="V1211" s="20" t="s">
        <v>87</v>
      </c>
      <c r="W1211" s="20">
        <v>856</v>
      </c>
      <c r="X1211" s="20">
        <v>856</v>
      </c>
      <c r="Y1211" s="20" t="s">
        <v>4558</v>
      </c>
      <c r="Z1211" s="20">
        <v>1</v>
      </c>
      <c r="AA1211" s="20" t="s">
        <v>4564</v>
      </c>
      <c r="AB1211" s="20" t="s">
        <v>159</v>
      </c>
      <c r="AC1211" s="20" t="s">
        <v>160</v>
      </c>
      <c r="AD1211" s="20" t="s">
        <v>4565</v>
      </c>
      <c r="AE1211" s="20" t="s">
        <v>400</v>
      </c>
      <c r="AF1211" s="20">
        <v>1</v>
      </c>
      <c r="AG1211" s="20">
        <v>0</v>
      </c>
      <c r="AH1211" s="20">
        <v>1</v>
      </c>
      <c r="AI1211" s="4" t="s">
        <v>251</v>
      </c>
      <c r="AJ1211" s="20">
        <v>50</v>
      </c>
      <c r="AK1211" s="4" t="s">
        <v>179</v>
      </c>
      <c r="AL1211" s="4">
        <v>28</v>
      </c>
      <c r="AM1211" s="4">
        <v>28</v>
      </c>
      <c r="AN1211" s="4" t="s">
        <v>95</v>
      </c>
      <c r="AO1211" s="4" t="s">
        <v>96</v>
      </c>
      <c r="AP1211" s="4">
        <v>1</v>
      </c>
      <c r="AQ1211" s="20">
        <v>35000</v>
      </c>
      <c r="AR1211" s="4">
        <v>41918</v>
      </c>
      <c r="AS1211" s="20">
        <v>5303.030303030303</v>
      </c>
      <c r="AT1211" s="20">
        <v>0</v>
      </c>
      <c r="AU1211" s="20">
        <v>-5303.030303030303</v>
      </c>
      <c r="AV1211" s="20">
        <v>0</v>
      </c>
      <c r="AW1211" s="20">
        <v>0</v>
      </c>
      <c r="AX1211" s="20" t="s">
        <v>91</v>
      </c>
      <c r="AY1211" s="20">
        <v>0</v>
      </c>
      <c r="AZ1211" s="20">
        <v>0</v>
      </c>
      <c r="BA1211" s="20">
        <v>0</v>
      </c>
      <c r="BB1211" s="6">
        <v>41918</v>
      </c>
      <c r="BC1211" s="6">
        <v>0</v>
      </c>
      <c r="BD1211" s="6">
        <v>41922</v>
      </c>
      <c r="BE1211" s="6">
        <v>0</v>
      </c>
      <c r="BF1211" s="6">
        <v>41922</v>
      </c>
      <c r="BG1211" s="6">
        <v>0</v>
      </c>
      <c r="BH1211" s="6">
        <v>0</v>
      </c>
      <c r="BI1211" s="6">
        <v>0</v>
      </c>
      <c r="BJ1211" s="6">
        <v>0</v>
      </c>
      <c r="BK1211" s="4">
        <v>0</v>
      </c>
      <c r="BL1211" s="4">
        <v>0</v>
      </c>
      <c r="BM1211" s="20">
        <v>50</v>
      </c>
      <c r="BN1211" s="20">
        <v>0</v>
      </c>
      <c r="BO1211" s="20">
        <v>0</v>
      </c>
      <c r="BP1211" s="20">
        <v>0</v>
      </c>
      <c r="BQ1211" s="20">
        <v>0</v>
      </c>
      <c r="BR1211" s="20">
        <v>0</v>
      </c>
      <c r="BS1211" s="20">
        <v>50</v>
      </c>
      <c r="BT1211" s="20">
        <v>265151.51515151514</v>
      </c>
      <c r="BU1211" s="20">
        <v>1750000</v>
      </c>
      <c r="BV1211" s="20">
        <v>6</v>
      </c>
    </row>
    <row r="1212" spans="1:74">
      <c r="A1212" s="10">
        <f t="shared" si="74"/>
        <v>0</v>
      </c>
      <c r="B1212" s="10">
        <f t="shared" si="75"/>
        <v>0</v>
      </c>
      <c r="C1212" s="12">
        <f t="shared" si="76"/>
        <v>10</v>
      </c>
      <c r="D1212" s="12">
        <f t="shared" si="77"/>
        <v>10</v>
      </c>
      <c r="E1212" s="20" t="s">
        <v>386</v>
      </c>
      <c r="F1212" s="20" t="s">
        <v>2960</v>
      </c>
      <c r="G1212" s="20" t="s">
        <v>4532</v>
      </c>
      <c r="H1212" s="20" t="s">
        <v>4566</v>
      </c>
      <c r="I1212" s="20">
        <v>6</v>
      </c>
      <c r="J1212" s="20" t="s">
        <v>4567</v>
      </c>
      <c r="K1212" s="20" t="s">
        <v>4568</v>
      </c>
      <c r="L1212" s="20" t="s">
        <v>4557</v>
      </c>
      <c r="M1212" s="20" t="s">
        <v>2960</v>
      </c>
      <c r="N1212" s="20" t="s">
        <v>4545</v>
      </c>
      <c r="P1212" s="20" t="s">
        <v>2960</v>
      </c>
      <c r="Q1212" s="20" t="s">
        <v>2967</v>
      </c>
      <c r="R1212" s="20" t="s">
        <v>84</v>
      </c>
      <c r="S1212" s="20">
        <v>5</v>
      </c>
      <c r="T1212" s="20" t="s">
        <v>244</v>
      </c>
      <c r="U1212" s="20" t="s">
        <v>245</v>
      </c>
      <c r="V1212" s="20" t="s">
        <v>87</v>
      </c>
      <c r="W1212" s="20">
        <v>856</v>
      </c>
      <c r="X1212" s="20">
        <v>856</v>
      </c>
      <c r="Y1212" s="20" t="s">
        <v>4558</v>
      </c>
      <c r="Z1212" s="20">
        <v>1</v>
      </c>
      <c r="AA1212" s="20" t="s">
        <v>4569</v>
      </c>
      <c r="AB1212" s="20" t="s">
        <v>109</v>
      </c>
      <c r="AC1212" s="20" t="s">
        <v>110</v>
      </c>
      <c r="AD1212" s="20" t="s">
        <v>4570</v>
      </c>
      <c r="AE1212" s="20" t="s">
        <v>400</v>
      </c>
      <c r="AF1212" s="20">
        <v>1</v>
      </c>
      <c r="AG1212" s="20">
        <v>0</v>
      </c>
      <c r="AH1212" s="20">
        <v>1</v>
      </c>
      <c r="AI1212" s="4" t="s">
        <v>251</v>
      </c>
      <c r="AJ1212" s="20">
        <v>50</v>
      </c>
      <c r="AK1212" s="4" t="s">
        <v>179</v>
      </c>
      <c r="AL1212" s="4">
        <v>28</v>
      </c>
      <c r="AM1212" s="4">
        <v>28</v>
      </c>
      <c r="AN1212" s="4" t="s">
        <v>95</v>
      </c>
      <c r="AO1212" s="4" t="s">
        <v>96</v>
      </c>
      <c r="AP1212" s="4">
        <v>1</v>
      </c>
      <c r="AQ1212" s="20">
        <v>35000</v>
      </c>
      <c r="AR1212" s="4">
        <v>41918</v>
      </c>
      <c r="AS1212" s="20">
        <v>5303.030303030303</v>
      </c>
      <c r="AT1212" s="20">
        <v>0</v>
      </c>
      <c r="AU1212" s="20">
        <v>-5303.030303030303</v>
      </c>
      <c r="AV1212" s="20">
        <v>0</v>
      </c>
      <c r="AW1212" s="20">
        <v>0</v>
      </c>
      <c r="AX1212" s="20" t="s">
        <v>91</v>
      </c>
      <c r="AY1212" s="20">
        <v>0</v>
      </c>
      <c r="AZ1212" s="20">
        <v>0</v>
      </c>
      <c r="BA1212" s="20">
        <v>0</v>
      </c>
      <c r="BB1212" s="6">
        <v>41918</v>
      </c>
      <c r="BC1212" s="6">
        <v>0</v>
      </c>
      <c r="BD1212" s="6">
        <v>41922</v>
      </c>
      <c r="BE1212" s="6">
        <v>0</v>
      </c>
      <c r="BF1212" s="6">
        <v>41922</v>
      </c>
      <c r="BG1212" s="6">
        <v>0</v>
      </c>
      <c r="BH1212" s="6">
        <v>0</v>
      </c>
      <c r="BI1212" s="6">
        <v>0</v>
      </c>
      <c r="BJ1212" s="6">
        <v>0</v>
      </c>
      <c r="BK1212" s="4">
        <v>0</v>
      </c>
      <c r="BL1212" s="4">
        <v>0</v>
      </c>
      <c r="BM1212" s="20">
        <v>50</v>
      </c>
      <c r="BN1212" s="20">
        <v>0</v>
      </c>
      <c r="BO1212" s="20">
        <v>0</v>
      </c>
      <c r="BP1212" s="20">
        <v>0</v>
      </c>
      <c r="BQ1212" s="20">
        <v>0</v>
      </c>
      <c r="BR1212" s="20">
        <v>0</v>
      </c>
      <c r="BS1212" s="20">
        <v>50</v>
      </c>
      <c r="BT1212" s="20">
        <v>265151.51515151514</v>
      </c>
      <c r="BU1212" s="20">
        <v>1750000</v>
      </c>
      <c r="BV1212" s="20">
        <v>6</v>
      </c>
    </row>
    <row r="1213" spans="1:74">
      <c r="A1213" s="10">
        <f t="shared" si="74"/>
        <v>0</v>
      </c>
      <c r="B1213" s="10">
        <f t="shared" si="75"/>
        <v>0</v>
      </c>
      <c r="C1213" s="12">
        <f t="shared" si="76"/>
        <v>10</v>
      </c>
      <c r="D1213" s="12">
        <f t="shared" si="77"/>
        <v>10</v>
      </c>
      <c r="E1213" s="20" t="s">
        <v>386</v>
      </c>
      <c r="F1213" s="20" t="s">
        <v>2960</v>
      </c>
      <c r="G1213" s="20" t="s">
        <v>4532</v>
      </c>
      <c r="H1213" s="20" t="s">
        <v>4571</v>
      </c>
      <c r="I1213" s="20">
        <v>7</v>
      </c>
      <c r="J1213" s="20" t="s">
        <v>4572</v>
      </c>
      <c r="K1213" s="20" t="s">
        <v>4573</v>
      </c>
      <c r="L1213" s="20" t="s">
        <v>4574</v>
      </c>
      <c r="M1213" s="20" t="s">
        <v>2960</v>
      </c>
      <c r="N1213" s="20" t="s">
        <v>4575</v>
      </c>
      <c r="P1213" s="20" t="s">
        <v>2960</v>
      </c>
      <c r="Q1213" s="20" t="s">
        <v>2967</v>
      </c>
      <c r="R1213" s="20" t="s">
        <v>84</v>
      </c>
      <c r="S1213" s="20">
        <v>5</v>
      </c>
      <c r="T1213" s="20" t="s">
        <v>395</v>
      </c>
      <c r="U1213" s="20" t="s">
        <v>396</v>
      </c>
      <c r="V1213" s="20" t="s">
        <v>87</v>
      </c>
      <c r="W1213" s="20">
        <v>850</v>
      </c>
      <c r="X1213" s="20">
        <v>850</v>
      </c>
      <c r="Y1213" s="20" t="s">
        <v>4576</v>
      </c>
      <c r="Z1213" s="20">
        <v>1</v>
      </c>
      <c r="AA1213" s="20" t="s">
        <v>4577</v>
      </c>
      <c r="AB1213" s="20" t="s">
        <v>457</v>
      </c>
      <c r="AC1213" s="20" t="s">
        <v>458</v>
      </c>
      <c r="AD1213" s="20" t="s">
        <v>4578</v>
      </c>
      <c r="AE1213" s="20" t="s">
        <v>400</v>
      </c>
      <c r="AF1213" s="20">
        <v>1</v>
      </c>
      <c r="AG1213" s="20">
        <v>0</v>
      </c>
      <c r="AH1213" s="20">
        <v>1</v>
      </c>
      <c r="AI1213" s="4" t="s">
        <v>251</v>
      </c>
      <c r="AJ1213" s="20">
        <v>50</v>
      </c>
      <c r="AK1213" s="4" t="s">
        <v>179</v>
      </c>
      <c r="AL1213" s="4">
        <v>28</v>
      </c>
      <c r="AM1213" s="4">
        <v>28</v>
      </c>
      <c r="AN1213" s="4" t="s">
        <v>95</v>
      </c>
      <c r="AO1213" s="4" t="s">
        <v>96</v>
      </c>
      <c r="AP1213" s="4">
        <v>1</v>
      </c>
      <c r="AQ1213" s="20">
        <v>39000</v>
      </c>
      <c r="AR1213" s="4">
        <v>41918</v>
      </c>
      <c r="AS1213" s="20">
        <v>5909.0909090909081</v>
      </c>
      <c r="AT1213" s="20">
        <v>0</v>
      </c>
      <c r="AU1213" s="20">
        <v>-5909.0909090909081</v>
      </c>
      <c r="AV1213" s="20">
        <v>0</v>
      </c>
      <c r="AW1213" s="20">
        <v>0</v>
      </c>
      <c r="AX1213" s="20" t="s">
        <v>91</v>
      </c>
      <c r="AY1213" s="20">
        <v>0</v>
      </c>
      <c r="AZ1213" s="20">
        <v>0</v>
      </c>
      <c r="BA1213" s="20">
        <v>0</v>
      </c>
      <c r="BB1213" s="6">
        <v>41918</v>
      </c>
      <c r="BC1213" s="6">
        <v>0</v>
      </c>
      <c r="BD1213" s="6">
        <v>41922</v>
      </c>
      <c r="BE1213" s="6">
        <v>0</v>
      </c>
      <c r="BF1213" s="6">
        <v>41922</v>
      </c>
      <c r="BG1213" s="6">
        <v>0</v>
      </c>
      <c r="BH1213" s="6">
        <v>0</v>
      </c>
      <c r="BI1213" s="6">
        <v>0</v>
      </c>
      <c r="BJ1213" s="6">
        <v>0</v>
      </c>
      <c r="BK1213" s="4">
        <v>0</v>
      </c>
      <c r="BL1213" s="4">
        <v>0</v>
      </c>
      <c r="BM1213" s="20">
        <v>50</v>
      </c>
      <c r="BN1213" s="20">
        <v>0</v>
      </c>
      <c r="BO1213" s="20">
        <v>0</v>
      </c>
      <c r="BP1213" s="20">
        <v>0</v>
      </c>
      <c r="BQ1213" s="20">
        <v>0</v>
      </c>
      <c r="BR1213" s="20">
        <v>0</v>
      </c>
      <c r="BS1213" s="20">
        <v>50</v>
      </c>
      <c r="BT1213" s="20">
        <v>295454.54545454541</v>
      </c>
      <c r="BU1213" s="20">
        <v>1950000</v>
      </c>
      <c r="BV1213" s="20">
        <v>6</v>
      </c>
    </row>
    <row r="1214" spans="1:74">
      <c r="A1214" s="10">
        <f t="shared" si="74"/>
        <v>0</v>
      </c>
      <c r="B1214" s="10">
        <f t="shared" si="75"/>
        <v>0</v>
      </c>
      <c r="C1214" s="12">
        <f t="shared" si="76"/>
        <v>10</v>
      </c>
      <c r="D1214" s="12">
        <f t="shared" si="77"/>
        <v>10</v>
      </c>
      <c r="E1214" s="20" t="s">
        <v>386</v>
      </c>
      <c r="F1214" s="20" t="s">
        <v>2960</v>
      </c>
      <c r="G1214" s="20" t="s">
        <v>4532</v>
      </c>
      <c r="H1214" s="20" t="s">
        <v>4579</v>
      </c>
      <c r="I1214" s="20">
        <v>8</v>
      </c>
      <c r="J1214" s="20" t="s">
        <v>4580</v>
      </c>
      <c r="K1214" s="20" t="s">
        <v>4581</v>
      </c>
      <c r="L1214" s="20" t="s">
        <v>4574</v>
      </c>
      <c r="M1214" s="20" t="s">
        <v>2960</v>
      </c>
      <c r="N1214" s="20" t="s">
        <v>4575</v>
      </c>
      <c r="P1214" s="20" t="s">
        <v>2960</v>
      </c>
      <c r="Q1214" s="20" t="s">
        <v>2967</v>
      </c>
      <c r="R1214" s="20" t="s">
        <v>84</v>
      </c>
      <c r="S1214" s="20">
        <v>5</v>
      </c>
      <c r="T1214" s="20" t="s">
        <v>395</v>
      </c>
      <c r="U1214" s="20" t="s">
        <v>396</v>
      </c>
      <c r="V1214" s="20" t="s">
        <v>87</v>
      </c>
      <c r="W1214" s="20">
        <v>850</v>
      </c>
      <c r="X1214" s="20">
        <v>850</v>
      </c>
      <c r="Y1214" s="20" t="s">
        <v>4576</v>
      </c>
      <c r="Z1214" s="20">
        <v>1</v>
      </c>
      <c r="AA1214" s="20" t="s">
        <v>4582</v>
      </c>
      <c r="AB1214" s="20" t="s">
        <v>109</v>
      </c>
      <c r="AC1214" s="20" t="s">
        <v>110</v>
      </c>
      <c r="AD1214" s="20" t="s">
        <v>4583</v>
      </c>
      <c r="AE1214" s="20" t="s">
        <v>400</v>
      </c>
      <c r="AF1214" s="20">
        <v>1</v>
      </c>
      <c r="AG1214" s="20">
        <v>0</v>
      </c>
      <c r="AH1214" s="20">
        <v>1</v>
      </c>
      <c r="AI1214" s="4" t="s">
        <v>251</v>
      </c>
      <c r="AJ1214" s="20">
        <v>50</v>
      </c>
      <c r="AK1214" s="4" t="s">
        <v>179</v>
      </c>
      <c r="AL1214" s="4">
        <v>28</v>
      </c>
      <c r="AM1214" s="4">
        <v>28</v>
      </c>
      <c r="AN1214" s="4" t="s">
        <v>95</v>
      </c>
      <c r="AO1214" s="4" t="s">
        <v>96</v>
      </c>
      <c r="AP1214" s="4">
        <v>1</v>
      </c>
      <c r="AQ1214" s="20">
        <v>39000</v>
      </c>
      <c r="AR1214" s="4">
        <v>41918</v>
      </c>
      <c r="AS1214" s="20">
        <v>5909.0909090909081</v>
      </c>
      <c r="AT1214" s="20">
        <v>0</v>
      </c>
      <c r="AU1214" s="20">
        <v>-5909.0909090909081</v>
      </c>
      <c r="AV1214" s="20">
        <v>0</v>
      </c>
      <c r="AW1214" s="20">
        <v>0</v>
      </c>
      <c r="AX1214" s="20" t="s">
        <v>91</v>
      </c>
      <c r="AY1214" s="20">
        <v>0</v>
      </c>
      <c r="AZ1214" s="20">
        <v>0</v>
      </c>
      <c r="BA1214" s="20">
        <v>0</v>
      </c>
      <c r="BB1214" s="6">
        <v>41918</v>
      </c>
      <c r="BC1214" s="6">
        <v>0</v>
      </c>
      <c r="BD1214" s="6">
        <v>41922</v>
      </c>
      <c r="BE1214" s="6">
        <v>0</v>
      </c>
      <c r="BF1214" s="6">
        <v>41922</v>
      </c>
      <c r="BG1214" s="6">
        <v>0</v>
      </c>
      <c r="BH1214" s="6">
        <v>0</v>
      </c>
      <c r="BI1214" s="6">
        <v>0</v>
      </c>
      <c r="BJ1214" s="6">
        <v>0</v>
      </c>
      <c r="BK1214" s="4">
        <v>0</v>
      </c>
      <c r="BL1214" s="4">
        <v>0</v>
      </c>
      <c r="BM1214" s="20">
        <v>50</v>
      </c>
      <c r="BN1214" s="20">
        <v>0</v>
      </c>
      <c r="BO1214" s="20">
        <v>0</v>
      </c>
      <c r="BP1214" s="20">
        <v>0</v>
      </c>
      <c r="BQ1214" s="20">
        <v>0</v>
      </c>
      <c r="BR1214" s="20">
        <v>0</v>
      </c>
      <c r="BS1214" s="20">
        <v>50</v>
      </c>
      <c r="BT1214" s="20">
        <v>295454.54545454541</v>
      </c>
      <c r="BU1214" s="20">
        <v>1950000</v>
      </c>
      <c r="BV1214" s="20">
        <v>6</v>
      </c>
    </row>
    <row r="1215" spans="1:74">
      <c r="A1215" s="10">
        <f t="shared" si="74"/>
        <v>0</v>
      </c>
      <c r="B1215" s="10">
        <f t="shared" si="75"/>
        <v>0</v>
      </c>
      <c r="C1215" s="12">
        <f t="shared" si="76"/>
        <v>10</v>
      </c>
      <c r="D1215" s="12">
        <f t="shared" si="77"/>
        <v>10</v>
      </c>
      <c r="E1215" s="20" t="s">
        <v>386</v>
      </c>
      <c r="F1215" s="20" t="s">
        <v>2960</v>
      </c>
      <c r="G1215" s="20" t="s">
        <v>4532</v>
      </c>
      <c r="H1215" s="20" t="s">
        <v>4584</v>
      </c>
      <c r="I1215" s="20">
        <v>9</v>
      </c>
      <c r="J1215" s="20" t="s">
        <v>4585</v>
      </c>
      <c r="K1215" s="20" t="s">
        <v>4586</v>
      </c>
      <c r="L1215" s="20" t="s">
        <v>4587</v>
      </c>
      <c r="M1215" s="20" t="s">
        <v>2960</v>
      </c>
      <c r="N1215" s="20" t="s">
        <v>4588</v>
      </c>
      <c r="P1215" s="20" t="s">
        <v>2960</v>
      </c>
      <c r="Q1215" s="20" t="s">
        <v>2967</v>
      </c>
      <c r="R1215" s="20" t="s">
        <v>84</v>
      </c>
      <c r="S1215" s="20">
        <v>5</v>
      </c>
      <c r="T1215" s="20" t="s">
        <v>106</v>
      </c>
      <c r="U1215" s="20" t="s">
        <v>107</v>
      </c>
      <c r="V1215" s="20" t="s">
        <v>87</v>
      </c>
      <c r="W1215" s="20">
        <v>806</v>
      </c>
      <c r="X1215" s="20">
        <v>806</v>
      </c>
      <c r="Y1215" s="20" t="s">
        <v>4589</v>
      </c>
      <c r="Z1215" s="20">
        <v>1</v>
      </c>
      <c r="AA1215" s="20" t="s">
        <v>4590</v>
      </c>
      <c r="AB1215" s="20" t="s">
        <v>159</v>
      </c>
      <c r="AC1215" s="20" t="s">
        <v>160</v>
      </c>
      <c r="AD1215" s="20" t="s">
        <v>4591</v>
      </c>
      <c r="AE1215" s="20" t="s">
        <v>400</v>
      </c>
      <c r="AF1215" s="20">
        <v>1</v>
      </c>
      <c r="AG1215" s="20">
        <v>0</v>
      </c>
      <c r="AH1215" s="20">
        <v>1</v>
      </c>
      <c r="AI1215" s="4" t="s">
        <v>251</v>
      </c>
      <c r="AJ1215" s="20">
        <v>50</v>
      </c>
      <c r="AK1215" s="4" t="s">
        <v>179</v>
      </c>
      <c r="AL1215" s="4">
        <v>28</v>
      </c>
      <c r="AM1215" s="4">
        <v>28</v>
      </c>
      <c r="AN1215" s="4" t="s">
        <v>95</v>
      </c>
      <c r="AO1215" s="4" t="s">
        <v>96</v>
      </c>
      <c r="AP1215" s="4">
        <v>1</v>
      </c>
      <c r="AQ1215" s="20">
        <v>55000</v>
      </c>
      <c r="AR1215" s="4">
        <v>41918</v>
      </c>
      <c r="AS1215" s="20">
        <v>8333.3333333333321</v>
      </c>
      <c r="AT1215" s="20">
        <v>0</v>
      </c>
      <c r="AU1215" s="20">
        <v>-8333.3333333333321</v>
      </c>
      <c r="AV1215" s="20">
        <v>0</v>
      </c>
      <c r="AW1215" s="20">
        <v>0</v>
      </c>
      <c r="AX1215" s="20" t="s">
        <v>91</v>
      </c>
      <c r="AY1215" s="20">
        <v>0</v>
      </c>
      <c r="AZ1215" s="20">
        <v>0</v>
      </c>
      <c r="BA1215" s="20">
        <v>0</v>
      </c>
      <c r="BB1215" s="6">
        <v>41918</v>
      </c>
      <c r="BC1215" s="6">
        <v>0</v>
      </c>
      <c r="BD1215" s="6">
        <v>41922</v>
      </c>
      <c r="BE1215" s="6">
        <v>0</v>
      </c>
      <c r="BF1215" s="6">
        <v>41922</v>
      </c>
      <c r="BG1215" s="6">
        <v>0</v>
      </c>
      <c r="BH1215" s="6">
        <v>0</v>
      </c>
      <c r="BI1215" s="6">
        <v>0</v>
      </c>
      <c r="BJ1215" s="6">
        <v>0</v>
      </c>
      <c r="BK1215" s="4">
        <v>0</v>
      </c>
      <c r="BL1215" s="4">
        <v>0</v>
      </c>
      <c r="BM1215" s="20">
        <v>50</v>
      </c>
      <c r="BN1215" s="20">
        <v>0</v>
      </c>
      <c r="BO1215" s="20">
        <v>0</v>
      </c>
      <c r="BP1215" s="20">
        <v>0</v>
      </c>
      <c r="BQ1215" s="20">
        <v>0</v>
      </c>
      <c r="BR1215" s="20">
        <v>0</v>
      </c>
      <c r="BS1215" s="20">
        <v>50</v>
      </c>
      <c r="BT1215" s="20">
        <v>416666.66666666663</v>
      </c>
      <c r="BU1215" s="20">
        <v>2750000</v>
      </c>
      <c r="BV1215" s="20">
        <v>6</v>
      </c>
    </row>
    <row r="1216" spans="1:74">
      <c r="A1216" s="10">
        <f t="shared" si="74"/>
        <v>0</v>
      </c>
      <c r="B1216" s="10">
        <f t="shared" si="75"/>
        <v>0</v>
      </c>
      <c r="C1216" s="12">
        <f t="shared" si="76"/>
        <v>10</v>
      </c>
      <c r="D1216" s="12">
        <f t="shared" si="77"/>
        <v>10</v>
      </c>
      <c r="E1216" s="20" t="s">
        <v>386</v>
      </c>
      <c r="F1216" s="20" t="s">
        <v>2960</v>
      </c>
      <c r="G1216" s="20" t="s">
        <v>4532</v>
      </c>
      <c r="H1216" s="20" t="s">
        <v>4592</v>
      </c>
      <c r="I1216" s="20">
        <v>10</v>
      </c>
      <c r="J1216" s="20" t="s">
        <v>4593</v>
      </c>
      <c r="K1216" s="20" t="s">
        <v>4594</v>
      </c>
      <c r="L1216" s="20" t="s">
        <v>4587</v>
      </c>
      <c r="M1216" s="20" t="s">
        <v>2960</v>
      </c>
      <c r="N1216" s="20" t="s">
        <v>4588</v>
      </c>
      <c r="P1216" s="20" t="s">
        <v>2960</v>
      </c>
      <c r="Q1216" s="20" t="s">
        <v>2967</v>
      </c>
      <c r="R1216" s="20" t="s">
        <v>84</v>
      </c>
      <c r="S1216" s="20">
        <v>5</v>
      </c>
      <c r="T1216" s="20" t="s">
        <v>106</v>
      </c>
      <c r="U1216" s="20" t="s">
        <v>107</v>
      </c>
      <c r="V1216" s="20" t="s">
        <v>87</v>
      </c>
      <c r="W1216" s="20">
        <v>806</v>
      </c>
      <c r="X1216" s="20">
        <v>806</v>
      </c>
      <c r="Y1216" s="20" t="s">
        <v>4589</v>
      </c>
      <c r="Z1216" s="20">
        <v>1</v>
      </c>
      <c r="AA1216" s="20" t="s">
        <v>4595</v>
      </c>
      <c r="AB1216" s="20" t="s">
        <v>279</v>
      </c>
      <c r="AC1216" s="20" t="s">
        <v>280</v>
      </c>
      <c r="AD1216" s="20" t="s">
        <v>4596</v>
      </c>
      <c r="AE1216" s="20" t="s">
        <v>400</v>
      </c>
      <c r="AF1216" s="20">
        <v>1</v>
      </c>
      <c r="AG1216" s="20">
        <v>0</v>
      </c>
      <c r="AH1216" s="20">
        <v>1</v>
      </c>
      <c r="AI1216" s="4" t="s">
        <v>251</v>
      </c>
      <c r="AJ1216" s="20">
        <v>50</v>
      </c>
      <c r="AK1216" s="4" t="s">
        <v>179</v>
      </c>
      <c r="AL1216" s="4">
        <v>28</v>
      </c>
      <c r="AM1216" s="4">
        <v>28</v>
      </c>
      <c r="AN1216" s="4" t="s">
        <v>95</v>
      </c>
      <c r="AO1216" s="4" t="s">
        <v>96</v>
      </c>
      <c r="AP1216" s="4">
        <v>1</v>
      </c>
      <c r="AQ1216" s="20">
        <v>55000</v>
      </c>
      <c r="AR1216" s="4">
        <v>41918</v>
      </c>
      <c r="AS1216" s="20">
        <v>8333.3333333333321</v>
      </c>
      <c r="AT1216" s="20">
        <v>0</v>
      </c>
      <c r="AU1216" s="20">
        <v>-8333.3333333333321</v>
      </c>
      <c r="AV1216" s="20">
        <v>0</v>
      </c>
      <c r="AW1216" s="20">
        <v>0</v>
      </c>
      <c r="AX1216" s="20" t="s">
        <v>91</v>
      </c>
      <c r="AY1216" s="20">
        <v>0</v>
      </c>
      <c r="AZ1216" s="20">
        <v>0</v>
      </c>
      <c r="BA1216" s="20">
        <v>0</v>
      </c>
      <c r="BB1216" s="6">
        <v>41918</v>
      </c>
      <c r="BC1216" s="6">
        <v>0</v>
      </c>
      <c r="BD1216" s="6">
        <v>41922</v>
      </c>
      <c r="BE1216" s="6">
        <v>0</v>
      </c>
      <c r="BF1216" s="6">
        <v>41922</v>
      </c>
      <c r="BG1216" s="6">
        <v>0</v>
      </c>
      <c r="BH1216" s="6">
        <v>0</v>
      </c>
      <c r="BI1216" s="6">
        <v>0</v>
      </c>
      <c r="BJ1216" s="6">
        <v>0</v>
      </c>
      <c r="BK1216" s="4">
        <v>0</v>
      </c>
      <c r="BL1216" s="4">
        <v>0</v>
      </c>
      <c r="BM1216" s="20">
        <v>50</v>
      </c>
      <c r="BN1216" s="20">
        <v>0</v>
      </c>
      <c r="BO1216" s="20">
        <v>0</v>
      </c>
      <c r="BP1216" s="20">
        <v>0</v>
      </c>
      <c r="BQ1216" s="20">
        <v>0</v>
      </c>
      <c r="BR1216" s="20">
        <v>0</v>
      </c>
      <c r="BS1216" s="20">
        <v>50</v>
      </c>
      <c r="BT1216" s="20">
        <v>416666.66666666663</v>
      </c>
      <c r="BU1216" s="20">
        <v>2750000</v>
      </c>
      <c r="BV1216" s="20">
        <v>6</v>
      </c>
    </row>
    <row r="1217" spans="1:74">
      <c r="A1217" s="10">
        <f t="shared" si="74"/>
        <v>0</v>
      </c>
      <c r="B1217" s="10">
        <f t="shared" si="75"/>
        <v>0</v>
      </c>
      <c r="C1217" s="12">
        <f t="shared" si="76"/>
        <v>10</v>
      </c>
      <c r="D1217" s="12">
        <f t="shared" si="77"/>
        <v>10</v>
      </c>
      <c r="E1217" s="20" t="s">
        <v>386</v>
      </c>
      <c r="F1217" s="20" t="s">
        <v>2960</v>
      </c>
      <c r="G1217" s="20" t="s">
        <v>4532</v>
      </c>
      <c r="H1217" s="20" t="s">
        <v>4597</v>
      </c>
      <c r="I1217" s="20">
        <v>11</v>
      </c>
      <c r="J1217" s="20" t="s">
        <v>4598</v>
      </c>
      <c r="K1217" s="20" t="s">
        <v>4599</v>
      </c>
      <c r="L1217" s="20" t="s">
        <v>4600</v>
      </c>
      <c r="M1217" s="20" t="s">
        <v>2960</v>
      </c>
      <c r="N1217" s="20" t="s">
        <v>4601</v>
      </c>
      <c r="P1217" s="20" t="s">
        <v>2960</v>
      </c>
      <c r="Q1217" s="20" t="s">
        <v>2967</v>
      </c>
      <c r="R1217" s="20" t="s">
        <v>84</v>
      </c>
      <c r="S1217" s="20">
        <v>5</v>
      </c>
      <c r="T1217" s="20" t="s">
        <v>480</v>
      </c>
      <c r="U1217" s="20" t="s">
        <v>481</v>
      </c>
      <c r="V1217" s="20" t="s">
        <v>87</v>
      </c>
      <c r="W1217" s="20">
        <v>833</v>
      </c>
      <c r="X1217" s="20">
        <v>833</v>
      </c>
      <c r="Y1217" s="20" t="s">
        <v>4602</v>
      </c>
      <c r="Z1217" s="20">
        <v>1</v>
      </c>
      <c r="AA1217" s="20" t="s">
        <v>4603</v>
      </c>
      <c r="AB1217" s="20" t="s">
        <v>296</v>
      </c>
      <c r="AC1217" s="20" t="s">
        <v>297</v>
      </c>
      <c r="AD1217" s="20" t="s">
        <v>4604</v>
      </c>
      <c r="AE1217" s="20" t="s">
        <v>400</v>
      </c>
      <c r="AF1217" s="20">
        <v>1</v>
      </c>
      <c r="AG1217" s="20">
        <v>0</v>
      </c>
      <c r="AH1217" s="20">
        <v>1</v>
      </c>
      <c r="AI1217" s="4" t="s">
        <v>251</v>
      </c>
      <c r="AJ1217" s="20">
        <v>50</v>
      </c>
      <c r="AK1217" s="4" t="s">
        <v>179</v>
      </c>
      <c r="AL1217" s="4">
        <v>28</v>
      </c>
      <c r="AM1217" s="4">
        <v>28</v>
      </c>
      <c r="AN1217" s="4" t="s">
        <v>95</v>
      </c>
      <c r="AO1217" s="4" t="s">
        <v>96</v>
      </c>
      <c r="AP1217" s="4">
        <v>1</v>
      </c>
      <c r="AQ1217" s="20">
        <v>65000</v>
      </c>
      <c r="AR1217" s="4">
        <v>41918</v>
      </c>
      <c r="AS1217" s="20">
        <v>9848.484848484848</v>
      </c>
      <c r="AT1217" s="20">
        <v>0</v>
      </c>
      <c r="AU1217" s="20">
        <v>-9848.484848484848</v>
      </c>
      <c r="AV1217" s="20">
        <v>0</v>
      </c>
      <c r="AW1217" s="20">
        <v>0</v>
      </c>
      <c r="AX1217" s="20" t="s">
        <v>91</v>
      </c>
      <c r="AY1217" s="20">
        <v>0</v>
      </c>
      <c r="AZ1217" s="20">
        <v>0</v>
      </c>
      <c r="BA1217" s="20">
        <v>0</v>
      </c>
      <c r="BB1217" s="6">
        <v>41918</v>
      </c>
      <c r="BC1217" s="6">
        <v>0</v>
      </c>
      <c r="BD1217" s="6">
        <v>41922</v>
      </c>
      <c r="BE1217" s="6">
        <v>0</v>
      </c>
      <c r="BF1217" s="6">
        <v>41922</v>
      </c>
      <c r="BG1217" s="6">
        <v>0</v>
      </c>
      <c r="BH1217" s="6">
        <v>0</v>
      </c>
      <c r="BI1217" s="6">
        <v>0</v>
      </c>
      <c r="BJ1217" s="6">
        <v>0</v>
      </c>
      <c r="BK1217" s="4">
        <v>0</v>
      </c>
      <c r="BL1217" s="4">
        <v>0</v>
      </c>
      <c r="BM1217" s="20">
        <v>50</v>
      </c>
      <c r="BN1217" s="20">
        <v>0</v>
      </c>
      <c r="BO1217" s="20">
        <v>0</v>
      </c>
      <c r="BP1217" s="20">
        <v>0</v>
      </c>
      <c r="BQ1217" s="20">
        <v>0</v>
      </c>
      <c r="BR1217" s="20">
        <v>0</v>
      </c>
      <c r="BS1217" s="20">
        <v>50</v>
      </c>
      <c r="BT1217" s="20">
        <v>492424.24242424243</v>
      </c>
      <c r="BU1217" s="20">
        <v>3250000</v>
      </c>
      <c r="BV1217" s="20">
        <v>5.9999999999999991</v>
      </c>
    </row>
    <row r="1218" spans="1:74">
      <c r="A1218" s="10">
        <f t="shared" si="74"/>
        <v>0</v>
      </c>
      <c r="B1218" s="10">
        <f t="shared" si="75"/>
        <v>0</v>
      </c>
      <c r="C1218" s="12">
        <f t="shared" si="76"/>
        <v>10</v>
      </c>
      <c r="D1218" s="12">
        <f t="shared" si="77"/>
        <v>10</v>
      </c>
      <c r="E1218" s="20" t="s">
        <v>386</v>
      </c>
      <c r="F1218" s="20" t="s">
        <v>2960</v>
      </c>
      <c r="G1218" s="20" t="s">
        <v>4532</v>
      </c>
      <c r="H1218" s="20" t="s">
        <v>4605</v>
      </c>
      <c r="I1218" s="20">
        <v>12</v>
      </c>
      <c r="J1218" s="20" t="s">
        <v>4606</v>
      </c>
      <c r="K1218" s="20" t="s">
        <v>4607</v>
      </c>
      <c r="L1218" s="20" t="s">
        <v>4600</v>
      </c>
      <c r="M1218" s="20" t="s">
        <v>2960</v>
      </c>
      <c r="N1218" s="20" t="s">
        <v>4601</v>
      </c>
      <c r="P1218" s="20" t="s">
        <v>2960</v>
      </c>
      <c r="Q1218" s="20" t="s">
        <v>2967</v>
      </c>
      <c r="R1218" s="20" t="s">
        <v>84</v>
      </c>
      <c r="S1218" s="20">
        <v>5</v>
      </c>
      <c r="T1218" s="20" t="s">
        <v>480</v>
      </c>
      <c r="U1218" s="20" t="s">
        <v>481</v>
      </c>
      <c r="V1218" s="20" t="s">
        <v>87</v>
      </c>
      <c r="W1218" s="20">
        <v>833</v>
      </c>
      <c r="X1218" s="20">
        <v>833</v>
      </c>
      <c r="Y1218" s="20" t="s">
        <v>4602</v>
      </c>
      <c r="Z1218" s="20">
        <v>1</v>
      </c>
      <c r="AA1218" s="20" t="s">
        <v>4608</v>
      </c>
      <c r="AB1218" s="20" t="s">
        <v>89</v>
      </c>
      <c r="AC1218" s="20" t="s">
        <v>90</v>
      </c>
      <c r="AD1218" s="20" t="s">
        <v>4609</v>
      </c>
      <c r="AE1218" s="20" t="s">
        <v>400</v>
      </c>
      <c r="AF1218" s="20">
        <v>1</v>
      </c>
      <c r="AG1218" s="20">
        <v>0</v>
      </c>
      <c r="AH1218" s="20">
        <v>1</v>
      </c>
      <c r="AI1218" s="4" t="s">
        <v>251</v>
      </c>
      <c r="AJ1218" s="20">
        <v>50</v>
      </c>
      <c r="AK1218" s="4" t="s">
        <v>179</v>
      </c>
      <c r="AL1218" s="4">
        <v>28</v>
      </c>
      <c r="AM1218" s="4">
        <v>28</v>
      </c>
      <c r="AN1218" s="4" t="s">
        <v>95</v>
      </c>
      <c r="AO1218" s="4" t="s">
        <v>96</v>
      </c>
      <c r="AP1218" s="4">
        <v>1</v>
      </c>
      <c r="AQ1218" s="20">
        <v>65000</v>
      </c>
      <c r="AR1218" s="4">
        <v>41918</v>
      </c>
      <c r="AS1218" s="20">
        <v>9848.484848484848</v>
      </c>
      <c r="AT1218" s="20">
        <v>0</v>
      </c>
      <c r="AU1218" s="20">
        <v>-9848.484848484848</v>
      </c>
      <c r="AV1218" s="20">
        <v>0</v>
      </c>
      <c r="AW1218" s="20">
        <v>0</v>
      </c>
      <c r="AX1218" s="20" t="s">
        <v>91</v>
      </c>
      <c r="AY1218" s="20">
        <v>0</v>
      </c>
      <c r="AZ1218" s="20">
        <v>0</v>
      </c>
      <c r="BA1218" s="20">
        <v>0</v>
      </c>
      <c r="BB1218" s="6">
        <v>41918</v>
      </c>
      <c r="BC1218" s="6">
        <v>0</v>
      </c>
      <c r="BD1218" s="6">
        <v>41922</v>
      </c>
      <c r="BE1218" s="6">
        <v>0</v>
      </c>
      <c r="BF1218" s="6">
        <v>41922</v>
      </c>
      <c r="BG1218" s="6">
        <v>0</v>
      </c>
      <c r="BH1218" s="6">
        <v>0</v>
      </c>
      <c r="BI1218" s="6">
        <v>0</v>
      </c>
      <c r="BJ1218" s="6">
        <v>0</v>
      </c>
      <c r="BK1218" s="4">
        <v>0</v>
      </c>
      <c r="BL1218" s="4">
        <v>0</v>
      </c>
      <c r="BM1218" s="20">
        <v>50</v>
      </c>
      <c r="BN1218" s="20">
        <v>0</v>
      </c>
      <c r="BO1218" s="20">
        <v>0</v>
      </c>
      <c r="BP1218" s="20">
        <v>0</v>
      </c>
      <c r="BQ1218" s="20">
        <v>0</v>
      </c>
      <c r="BR1218" s="20">
        <v>0</v>
      </c>
      <c r="BS1218" s="20">
        <v>50</v>
      </c>
      <c r="BT1218" s="20">
        <v>492424.24242424243</v>
      </c>
      <c r="BU1218" s="20">
        <v>3250000</v>
      </c>
      <c r="BV1218" s="20">
        <v>5.9999999999999991</v>
      </c>
    </row>
    <row r="1219" spans="1:74">
      <c r="A1219" s="10">
        <f t="shared" ref="A1219:A1282" si="78">IF($BL1219="공급",$Z1219,0)</f>
        <v>0</v>
      </c>
      <c r="B1219" s="10">
        <f t="shared" ref="B1219:B1282" si="79">IF($AV1219&gt;0,$Z1219,0)</f>
        <v>0</v>
      </c>
      <c r="C1219" s="12">
        <f t="shared" si="76"/>
        <v>10</v>
      </c>
      <c r="D1219" s="12">
        <f t="shared" si="77"/>
        <v>10</v>
      </c>
      <c r="E1219" s="20" t="s">
        <v>386</v>
      </c>
      <c r="F1219" s="20" t="s">
        <v>2960</v>
      </c>
      <c r="G1219" s="20" t="s">
        <v>4532</v>
      </c>
      <c r="H1219" s="20" t="s">
        <v>4610</v>
      </c>
      <c r="I1219" s="20">
        <v>13</v>
      </c>
      <c r="J1219" s="20" t="s">
        <v>4611</v>
      </c>
      <c r="K1219" s="20" t="s">
        <v>4612</v>
      </c>
      <c r="L1219" s="20" t="s">
        <v>4613</v>
      </c>
      <c r="M1219" s="20" t="s">
        <v>2960</v>
      </c>
      <c r="N1219" s="20" t="s">
        <v>4601</v>
      </c>
      <c r="P1219" s="20" t="s">
        <v>2960</v>
      </c>
      <c r="Q1219" s="20" t="s">
        <v>2967</v>
      </c>
      <c r="R1219" s="20" t="s">
        <v>84</v>
      </c>
      <c r="S1219" s="20">
        <v>5</v>
      </c>
      <c r="T1219" s="20" t="s">
        <v>480</v>
      </c>
      <c r="U1219" s="20" t="s">
        <v>481</v>
      </c>
      <c r="V1219" s="20" t="s">
        <v>87</v>
      </c>
      <c r="W1219" s="20">
        <v>834</v>
      </c>
      <c r="X1219" s="20">
        <v>834</v>
      </c>
      <c r="Y1219" s="20" t="s">
        <v>4614</v>
      </c>
      <c r="Z1219" s="20">
        <v>1</v>
      </c>
      <c r="AA1219" s="20" t="s">
        <v>4615</v>
      </c>
      <c r="AB1219" s="20" t="s">
        <v>248</v>
      </c>
      <c r="AC1219" s="20" t="s">
        <v>249</v>
      </c>
      <c r="AD1219" s="20" t="s">
        <v>4616</v>
      </c>
      <c r="AE1219" s="20" t="s">
        <v>400</v>
      </c>
      <c r="AF1219" s="20">
        <v>1</v>
      </c>
      <c r="AG1219" s="20">
        <v>0</v>
      </c>
      <c r="AH1219" s="20">
        <v>1</v>
      </c>
      <c r="AI1219" s="4" t="s">
        <v>251</v>
      </c>
      <c r="AJ1219" s="20">
        <v>50</v>
      </c>
      <c r="AK1219" s="4" t="s">
        <v>179</v>
      </c>
      <c r="AL1219" s="4">
        <v>28</v>
      </c>
      <c r="AM1219" s="4">
        <v>28</v>
      </c>
      <c r="AN1219" s="4" t="s">
        <v>95</v>
      </c>
      <c r="AO1219" s="4" t="s">
        <v>96</v>
      </c>
      <c r="AP1219" s="4">
        <v>1</v>
      </c>
      <c r="AQ1219" s="20">
        <v>55000</v>
      </c>
      <c r="AR1219" s="4">
        <v>41918</v>
      </c>
      <c r="AS1219" s="20">
        <v>8333.3333333333321</v>
      </c>
      <c r="AT1219" s="20">
        <v>0</v>
      </c>
      <c r="AU1219" s="20">
        <v>-8333.3333333333321</v>
      </c>
      <c r="AV1219" s="20">
        <v>0</v>
      </c>
      <c r="AW1219" s="20">
        <v>0</v>
      </c>
      <c r="AX1219" s="20" t="s">
        <v>91</v>
      </c>
      <c r="AY1219" s="20">
        <v>0</v>
      </c>
      <c r="AZ1219" s="20">
        <v>0</v>
      </c>
      <c r="BA1219" s="20">
        <v>0</v>
      </c>
      <c r="BB1219" s="6">
        <v>41918</v>
      </c>
      <c r="BC1219" s="6">
        <v>0</v>
      </c>
      <c r="BD1219" s="6">
        <v>41922</v>
      </c>
      <c r="BE1219" s="6">
        <v>0</v>
      </c>
      <c r="BF1219" s="6">
        <v>41922</v>
      </c>
      <c r="BG1219" s="6">
        <v>0</v>
      </c>
      <c r="BH1219" s="6">
        <v>0</v>
      </c>
      <c r="BI1219" s="6">
        <v>0</v>
      </c>
      <c r="BJ1219" s="6">
        <v>0</v>
      </c>
      <c r="BK1219" s="4">
        <v>0</v>
      </c>
      <c r="BL1219" s="4">
        <v>0</v>
      </c>
      <c r="BM1219" s="20">
        <v>50</v>
      </c>
      <c r="BN1219" s="20">
        <v>0</v>
      </c>
      <c r="BO1219" s="20">
        <v>0</v>
      </c>
      <c r="BP1219" s="20">
        <v>0</v>
      </c>
      <c r="BQ1219" s="20">
        <v>0</v>
      </c>
      <c r="BR1219" s="20">
        <v>0</v>
      </c>
      <c r="BS1219" s="20">
        <v>50</v>
      </c>
      <c r="BT1219" s="20">
        <v>416666.66666666663</v>
      </c>
      <c r="BU1219" s="20">
        <v>2750000</v>
      </c>
      <c r="BV1219" s="20">
        <v>6</v>
      </c>
    </row>
    <row r="1220" spans="1:74">
      <c r="A1220" s="10">
        <f t="shared" si="78"/>
        <v>0</v>
      </c>
      <c r="B1220" s="10">
        <f t="shared" si="79"/>
        <v>0</v>
      </c>
      <c r="C1220" s="12" t="str">
        <f t="shared" ref="C1220:C1283" si="80">IF($BB1220=0,"",MONTH($BB1220))</f>
        <v/>
      </c>
      <c r="D1220" s="12" t="str">
        <f t="shared" si="77"/>
        <v/>
      </c>
      <c r="E1220" s="20" t="s">
        <v>91</v>
      </c>
      <c r="F1220" s="20" t="s">
        <v>91</v>
      </c>
      <c r="G1220" s="20" t="s">
        <v>91</v>
      </c>
      <c r="H1220" s="20" t="s">
        <v>91</v>
      </c>
      <c r="I1220" s="20">
        <v>0</v>
      </c>
      <c r="J1220" s="20" t="s">
        <v>103</v>
      </c>
      <c r="K1220" s="20" t="s">
        <v>104</v>
      </c>
      <c r="L1220" s="20">
        <v>0</v>
      </c>
      <c r="M1220" s="20" t="s">
        <v>105</v>
      </c>
      <c r="N1220" s="20" t="s">
        <v>91</v>
      </c>
      <c r="O1220" s="20" t="s">
        <v>4617</v>
      </c>
      <c r="Q1220" s="20" t="s">
        <v>91</v>
      </c>
      <c r="R1220" s="20" t="s">
        <v>91</v>
      </c>
      <c r="S1220" s="20" t="s">
        <v>91</v>
      </c>
      <c r="T1220" s="20" t="s">
        <v>91</v>
      </c>
      <c r="U1220" s="20" t="s">
        <v>91</v>
      </c>
      <c r="V1220" s="20" t="s">
        <v>87</v>
      </c>
      <c r="W1220" s="20" t="s">
        <v>91</v>
      </c>
      <c r="X1220" s="20" t="s">
        <v>91</v>
      </c>
      <c r="Y1220" s="20" t="s">
        <v>91</v>
      </c>
      <c r="Z1220" s="20">
        <v>13</v>
      </c>
      <c r="AB1220" s="20" t="s">
        <v>91</v>
      </c>
      <c r="AD1220" s="20" t="s">
        <v>91</v>
      </c>
      <c r="AE1220" s="20" t="s">
        <v>91</v>
      </c>
      <c r="AF1220" s="20">
        <v>13</v>
      </c>
      <c r="AG1220" s="20">
        <v>0</v>
      </c>
      <c r="AH1220" s="20">
        <v>1</v>
      </c>
      <c r="AM1220" s="4" t="s">
        <v>91</v>
      </c>
      <c r="AP1220" s="4" t="s">
        <v>91</v>
      </c>
      <c r="AQ1220" s="20">
        <v>0</v>
      </c>
      <c r="AR1220" s="4">
        <v>0</v>
      </c>
      <c r="AS1220" s="20">
        <v>0</v>
      </c>
      <c r="AT1220" s="20">
        <v>0</v>
      </c>
      <c r="AU1220" s="20">
        <v>0</v>
      </c>
      <c r="AV1220" s="20">
        <v>0</v>
      </c>
      <c r="AW1220" s="20">
        <v>0</v>
      </c>
      <c r="AX1220" s="20" t="s">
        <v>91</v>
      </c>
      <c r="AY1220" s="20">
        <v>0</v>
      </c>
      <c r="AZ1220" s="20">
        <v>0</v>
      </c>
      <c r="BA1220" s="20">
        <v>0</v>
      </c>
      <c r="BB1220" s="6">
        <v>0</v>
      </c>
      <c r="BC1220" s="6">
        <v>0</v>
      </c>
      <c r="BD1220" s="6">
        <v>0</v>
      </c>
      <c r="BE1220" s="6">
        <v>0</v>
      </c>
      <c r="BG1220" s="6">
        <v>0</v>
      </c>
      <c r="BH1220" s="6">
        <v>0</v>
      </c>
      <c r="BI1220" s="6">
        <v>0</v>
      </c>
      <c r="BJ1220" s="6">
        <v>0</v>
      </c>
      <c r="BK1220" s="4">
        <v>0</v>
      </c>
      <c r="BL1220" s="4">
        <v>0</v>
      </c>
      <c r="BM1220" s="20">
        <v>650</v>
      </c>
      <c r="BN1220" s="20">
        <v>0</v>
      </c>
      <c r="BO1220" s="20">
        <v>0</v>
      </c>
      <c r="BP1220" s="20">
        <v>0</v>
      </c>
      <c r="BQ1220" s="20">
        <v>0</v>
      </c>
      <c r="BR1220" s="20">
        <v>0</v>
      </c>
      <c r="BS1220" s="20">
        <v>650</v>
      </c>
      <c r="BT1220" s="20">
        <v>4492424.2424242422</v>
      </c>
      <c r="BU1220" s="20">
        <v>29650000</v>
      </c>
      <c r="BV1220" s="20">
        <v>6</v>
      </c>
    </row>
    <row r="1221" spans="1:74">
      <c r="A1221" s="10">
        <f t="shared" si="78"/>
        <v>0</v>
      </c>
      <c r="B1221" s="10">
        <f t="shared" si="79"/>
        <v>0</v>
      </c>
      <c r="C1221" s="12">
        <f t="shared" si="80"/>
        <v>10</v>
      </c>
      <c r="D1221" s="12">
        <f t="shared" ref="D1221:D1284" si="81">IF(AND(BD1221=0,BF1221=0),"",MONTH(IF($BF1221=0,$BD1221,$BF1221)))</f>
        <v>10</v>
      </c>
      <c r="E1221" s="20" t="s">
        <v>386</v>
      </c>
      <c r="F1221" s="20" t="s">
        <v>2960</v>
      </c>
      <c r="G1221" s="20" t="s">
        <v>4618</v>
      </c>
      <c r="H1221" s="20" t="s">
        <v>4619</v>
      </c>
      <c r="I1221" s="20">
        <v>1</v>
      </c>
      <c r="J1221" s="20" t="s">
        <v>4620</v>
      </c>
      <c r="K1221" s="20" t="s">
        <v>4621</v>
      </c>
      <c r="L1221" s="20" t="s">
        <v>4622</v>
      </c>
      <c r="M1221" s="20" t="s">
        <v>2960</v>
      </c>
      <c r="N1221" s="20" t="s">
        <v>4545</v>
      </c>
      <c r="P1221" s="20" t="s">
        <v>2960</v>
      </c>
      <c r="Q1221" s="20" t="s">
        <v>2967</v>
      </c>
      <c r="R1221" s="20" t="s">
        <v>84</v>
      </c>
      <c r="S1221" s="20">
        <v>5</v>
      </c>
      <c r="T1221" s="20" t="s">
        <v>244</v>
      </c>
      <c r="U1221" s="20" t="s">
        <v>245</v>
      </c>
      <c r="V1221" s="20" t="s">
        <v>87</v>
      </c>
      <c r="W1221" s="20">
        <v>842</v>
      </c>
      <c r="X1221" s="20">
        <v>842</v>
      </c>
      <c r="Y1221" s="20" t="s">
        <v>4623</v>
      </c>
      <c r="Z1221" s="20">
        <v>1</v>
      </c>
      <c r="AA1221" s="20" t="s">
        <v>4624</v>
      </c>
      <c r="AB1221" s="20" t="s">
        <v>296</v>
      </c>
      <c r="AC1221" s="20" t="s">
        <v>297</v>
      </c>
      <c r="AD1221" s="20" t="s">
        <v>4625</v>
      </c>
      <c r="AE1221" s="20" t="s">
        <v>400</v>
      </c>
      <c r="AF1221" s="20">
        <v>1</v>
      </c>
      <c r="AG1221" s="20">
        <v>0</v>
      </c>
      <c r="AH1221" s="20">
        <v>1</v>
      </c>
      <c r="AI1221" s="4" t="s">
        <v>251</v>
      </c>
      <c r="AJ1221" s="20">
        <v>50</v>
      </c>
      <c r="AK1221" s="4" t="s">
        <v>4626</v>
      </c>
      <c r="AL1221" s="4">
        <v>1</v>
      </c>
      <c r="AM1221" s="4" t="s">
        <v>130</v>
      </c>
      <c r="AN1221" s="4" t="s">
        <v>95</v>
      </c>
      <c r="AO1221" s="4" t="s">
        <v>96</v>
      </c>
      <c r="AP1221" s="4">
        <v>1</v>
      </c>
      <c r="AQ1221" s="20">
        <v>25000</v>
      </c>
      <c r="AR1221" s="4">
        <v>41918</v>
      </c>
      <c r="AS1221" s="20">
        <v>3246.7532467532465</v>
      </c>
      <c r="AT1221" s="20">
        <v>0</v>
      </c>
      <c r="AU1221" s="20">
        <v>-3246.7532467532465</v>
      </c>
      <c r="AV1221" s="20">
        <v>0</v>
      </c>
      <c r="AW1221" s="20">
        <v>0</v>
      </c>
      <c r="AX1221" s="20" t="s">
        <v>91</v>
      </c>
      <c r="AY1221" s="20">
        <v>0</v>
      </c>
      <c r="AZ1221" s="20">
        <v>0</v>
      </c>
      <c r="BA1221" s="20">
        <v>0</v>
      </c>
      <c r="BB1221" s="6">
        <v>41918</v>
      </c>
      <c r="BC1221" s="6">
        <v>0</v>
      </c>
      <c r="BD1221" s="6">
        <v>41922</v>
      </c>
      <c r="BE1221" s="6">
        <v>0</v>
      </c>
      <c r="BF1221" s="6">
        <v>41922</v>
      </c>
      <c r="BG1221" s="6">
        <v>0</v>
      </c>
      <c r="BH1221" s="6">
        <v>0</v>
      </c>
      <c r="BI1221" s="6">
        <v>0</v>
      </c>
      <c r="BJ1221" s="6">
        <v>0</v>
      </c>
      <c r="BK1221" s="4">
        <v>0</v>
      </c>
      <c r="BL1221" s="4">
        <v>0</v>
      </c>
      <c r="BM1221" s="20">
        <v>50</v>
      </c>
      <c r="BN1221" s="20">
        <v>0</v>
      </c>
      <c r="BO1221" s="20">
        <v>0</v>
      </c>
      <c r="BP1221" s="20">
        <v>0</v>
      </c>
      <c r="BQ1221" s="20">
        <v>0</v>
      </c>
      <c r="BR1221" s="20">
        <v>0</v>
      </c>
      <c r="BS1221" s="20">
        <v>50</v>
      </c>
      <c r="BT1221" s="20">
        <v>162337.66233766233</v>
      </c>
      <c r="BU1221" s="20">
        <v>1250000</v>
      </c>
      <c r="BV1221" s="20">
        <v>7</v>
      </c>
    </row>
    <row r="1222" spans="1:74">
      <c r="A1222" s="10">
        <f t="shared" si="78"/>
        <v>0</v>
      </c>
      <c r="B1222" s="10">
        <f t="shared" si="79"/>
        <v>0</v>
      </c>
      <c r="C1222" s="12">
        <f t="shared" si="80"/>
        <v>10</v>
      </c>
      <c r="D1222" s="12">
        <f t="shared" si="81"/>
        <v>10</v>
      </c>
      <c r="E1222" s="20" t="s">
        <v>386</v>
      </c>
      <c r="F1222" s="20" t="s">
        <v>2960</v>
      </c>
      <c r="G1222" s="20" t="s">
        <v>4618</v>
      </c>
      <c r="H1222" s="20" t="s">
        <v>4627</v>
      </c>
      <c r="I1222" s="20">
        <v>2</v>
      </c>
      <c r="J1222" s="20" t="s">
        <v>4628</v>
      </c>
      <c r="K1222" s="20" t="s">
        <v>4629</v>
      </c>
      <c r="L1222" s="20" t="s">
        <v>4622</v>
      </c>
      <c r="M1222" s="20" t="s">
        <v>2960</v>
      </c>
      <c r="N1222" s="20" t="s">
        <v>4545</v>
      </c>
      <c r="P1222" s="20" t="s">
        <v>2960</v>
      </c>
      <c r="Q1222" s="20" t="s">
        <v>2967</v>
      </c>
      <c r="R1222" s="20" t="s">
        <v>84</v>
      </c>
      <c r="S1222" s="20">
        <v>5</v>
      </c>
      <c r="T1222" s="20" t="s">
        <v>244</v>
      </c>
      <c r="U1222" s="20" t="s">
        <v>245</v>
      </c>
      <c r="V1222" s="20" t="s">
        <v>87</v>
      </c>
      <c r="W1222" s="20">
        <v>842</v>
      </c>
      <c r="X1222" s="20">
        <v>842</v>
      </c>
      <c r="Y1222" s="20" t="s">
        <v>4623</v>
      </c>
      <c r="Z1222" s="20">
        <v>1</v>
      </c>
      <c r="AA1222" s="20" t="s">
        <v>4630</v>
      </c>
      <c r="AB1222" s="20" t="s">
        <v>109</v>
      </c>
      <c r="AC1222" s="20" t="s">
        <v>110</v>
      </c>
      <c r="AD1222" s="20" t="s">
        <v>4631</v>
      </c>
      <c r="AE1222" s="20" t="s">
        <v>400</v>
      </c>
      <c r="AF1222" s="20">
        <v>1</v>
      </c>
      <c r="AG1222" s="20">
        <v>0</v>
      </c>
      <c r="AH1222" s="20">
        <v>1</v>
      </c>
      <c r="AI1222" s="4" t="s">
        <v>251</v>
      </c>
      <c r="AJ1222" s="20">
        <v>50</v>
      </c>
      <c r="AK1222" s="4" t="s">
        <v>4626</v>
      </c>
      <c r="AL1222" s="4">
        <v>1</v>
      </c>
      <c r="AM1222" s="4" t="s">
        <v>130</v>
      </c>
      <c r="AN1222" s="4" t="s">
        <v>95</v>
      </c>
      <c r="AO1222" s="4" t="s">
        <v>96</v>
      </c>
      <c r="AP1222" s="4">
        <v>1</v>
      </c>
      <c r="AQ1222" s="20">
        <v>25000</v>
      </c>
      <c r="AR1222" s="4">
        <v>41918</v>
      </c>
      <c r="AS1222" s="20">
        <v>3246.7532467532465</v>
      </c>
      <c r="AT1222" s="20">
        <v>0</v>
      </c>
      <c r="AU1222" s="20">
        <v>-3246.7532467532465</v>
      </c>
      <c r="AV1222" s="20">
        <v>0</v>
      </c>
      <c r="AW1222" s="20">
        <v>0</v>
      </c>
      <c r="AX1222" s="20" t="s">
        <v>91</v>
      </c>
      <c r="AY1222" s="20">
        <v>0</v>
      </c>
      <c r="AZ1222" s="20">
        <v>0</v>
      </c>
      <c r="BA1222" s="20">
        <v>0</v>
      </c>
      <c r="BB1222" s="6">
        <v>41918</v>
      </c>
      <c r="BC1222" s="6">
        <v>0</v>
      </c>
      <c r="BD1222" s="6">
        <v>41922</v>
      </c>
      <c r="BE1222" s="6">
        <v>0</v>
      </c>
      <c r="BF1222" s="6">
        <v>41922</v>
      </c>
      <c r="BG1222" s="6">
        <v>0</v>
      </c>
      <c r="BH1222" s="6">
        <v>0</v>
      </c>
      <c r="BI1222" s="6">
        <v>0</v>
      </c>
      <c r="BJ1222" s="6">
        <v>0</v>
      </c>
      <c r="BK1222" s="4">
        <v>0</v>
      </c>
      <c r="BL1222" s="4">
        <v>0</v>
      </c>
      <c r="BM1222" s="20">
        <v>50</v>
      </c>
      <c r="BN1222" s="20">
        <v>0</v>
      </c>
      <c r="BO1222" s="20">
        <v>0</v>
      </c>
      <c r="BP1222" s="20">
        <v>0</v>
      </c>
      <c r="BQ1222" s="20">
        <v>0</v>
      </c>
      <c r="BR1222" s="20">
        <v>0</v>
      </c>
      <c r="BS1222" s="20">
        <v>50</v>
      </c>
      <c r="BT1222" s="20">
        <v>162337.66233766233</v>
      </c>
      <c r="BU1222" s="20">
        <v>1250000</v>
      </c>
      <c r="BV1222" s="20">
        <v>7</v>
      </c>
    </row>
    <row r="1223" spans="1:74">
      <c r="A1223" s="10">
        <f t="shared" si="78"/>
        <v>0</v>
      </c>
      <c r="B1223" s="10">
        <f t="shared" si="79"/>
        <v>0</v>
      </c>
      <c r="C1223" s="12" t="str">
        <f t="shared" si="80"/>
        <v/>
      </c>
      <c r="D1223" s="12" t="str">
        <f t="shared" si="81"/>
        <v/>
      </c>
      <c r="E1223" s="20" t="s">
        <v>91</v>
      </c>
      <c r="F1223" s="20" t="s">
        <v>91</v>
      </c>
      <c r="G1223" s="20" t="s">
        <v>91</v>
      </c>
      <c r="H1223" s="20" t="s">
        <v>91</v>
      </c>
      <c r="I1223" s="20">
        <v>0</v>
      </c>
      <c r="J1223" s="20" t="s">
        <v>103</v>
      </c>
      <c r="K1223" s="20" t="s">
        <v>104</v>
      </c>
      <c r="L1223" s="20">
        <v>0</v>
      </c>
      <c r="M1223" s="20" t="s">
        <v>105</v>
      </c>
      <c r="N1223" s="20" t="s">
        <v>91</v>
      </c>
      <c r="O1223" s="20" t="s">
        <v>4632</v>
      </c>
      <c r="Q1223" s="20" t="s">
        <v>91</v>
      </c>
      <c r="R1223" s="20" t="s">
        <v>91</v>
      </c>
      <c r="S1223" s="20" t="s">
        <v>91</v>
      </c>
      <c r="T1223" s="20" t="s">
        <v>91</v>
      </c>
      <c r="U1223" s="20" t="s">
        <v>91</v>
      </c>
      <c r="V1223" s="20" t="s">
        <v>87</v>
      </c>
      <c r="W1223" s="20" t="s">
        <v>91</v>
      </c>
      <c r="X1223" s="20" t="s">
        <v>91</v>
      </c>
      <c r="Y1223" s="20" t="s">
        <v>91</v>
      </c>
      <c r="Z1223" s="20">
        <v>2</v>
      </c>
      <c r="AB1223" s="20" t="s">
        <v>91</v>
      </c>
      <c r="AD1223" s="20" t="s">
        <v>91</v>
      </c>
      <c r="AE1223" s="20" t="s">
        <v>91</v>
      </c>
      <c r="AF1223" s="20">
        <v>2</v>
      </c>
      <c r="AG1223" s="20">
        <v>0</v>
      </c>
      <c r="AH1223" s="20">
        <v>1</v>
      </c>
      <c r="AM1223" s="4" t="s">
        <v>91</v>
      </c>
      <c r="AP1223" s="4" t="s">
        <v>91</v>
      </c>
      <c r="AQ1223" s="20">
        <v>0</v>
      </c>
      <c r="AR1223" s="4">
        <v>0</v>
      </c>
      <c r="AS1223" s="20">
        <v>0</v>
      </c>
      <c r="AT1223" s="20">
        <v>0</v>
      </c>
      <c r="AU1223" s="20">
        <v>0</v>
      </c>
      <c r="AV1223" s="20">
        <v>0</v>
      </c>
      <c r="AW1223" s="20">
        <v>0</v>
      </c>
      <c r="AX1223" s="20" t="s">
        <v>91</v>
      </c>
      <c r="AY1223" s="20">
        <v>0</v>
      </c>
      <c r="AZ1223" s="20">
        <v>0</v>
      </c>
      <c r="BA1223" s="20">
        <v>0</v>
      </c>
      <c r="BB1223" s="6">
        <v>0</v>
      </c>
      <c r="BC1223" s="6">
        <v>0</v>
      </c>
      <c r="BD1223" s="6">
        <v>0</v>
      </c>
      <c r="BE1223" s="6">
        <v>0</v>
      </c>
      <c r="BF1223" s="6">
        <v>0</v>
      </c>
      <c r="BG1223" s="6">
        <v>0</v>
      </c>
      <c r="BH1223" s="6">
        <v>0</v>
      </c>
      <c r="BI1223" s="6">
        <v>0</v>
      </c>
      <c r="BJ1223" s="6">
        <v>0</v>
      </c>
      <c r="BK1223" s="4">
        <v>0</v>
      </c>
      <c r="BL1223" s="4">
        <v>0</v>
      </c>
      <c r="BM1223" s="20">
        <v>100</v>
      </c>
      <c r="BN1223" s="20">
        <v>0</v>
      </c>
      <c r="BO1223" s="20">
        <v>0</v>
      </c>
      <c r="BP1223" s="20">
        <v>0</v>
      </c>
      <c r="BQ1223" s="20">
        <v>0</v>
      </c>
      <c r="BR1223" s="20">
        <v>0</v>
      </c>
      <c r="BS1223" s="20">
        <v>100</v>
      </c>
      <c r="BT1223" s="20">
        <v>324675.32467532466</v>
      </c>
      <c r="BU1223" s="20">
        <v>2500000</v>
      </c>
      <c r="BV1223" s="20">
        <v>7</v>
      </c>
    </row>
    <row r="1224" spans="1:74">
      <c r="A1224" s="10">
        <f t="shared" si="78"/>
        <v>0</v>
      </c>
      <c r="B1224" s="10">
        <f t="shared" si="79"/>
        <v>0</v>
      </c>
      <c r="C1224" s="12">
        <f t="shared" si="80"/>
        <v>10</v>
      </c>
      <c r="D1224" s="12">
        <f t="shared" si="81"/>
        <v>10</v>
      </c>
      <c r="E1224" s="20" t="s">
        <v>386</v>
      </c>
      <c r="F1224" s="20" t="s">
        <v>2960</v>
      </c>
      <c r="G1224" s="20" t="s">
        <v>4633</v>
      </c>
      <c r="H1224" s="20" t="s">
        <v>4634</v>
      </c>
      <c r="I1224" s="20">
        <v>1</v>
      </c>
      <c r="J1224" s="20" t="s">
        <v>4635</v>
      </c>
      <c r="K1224" s="20" t="s">
        <v>4636</v>
      </c>
      <c r="L1224" s="20" t="s">
        <v>4637</v>
      </c>
      <c r="M1224" s="20" t="s">
        <v>2960</v>
      </c>
      <c r="N1224" s="20" t="s">
        <v>4545</v>
      </c>
      <c r="P1224" s="20" t="s">
        <v>2960</v>
      </c>
      <c r="Q1224" s="20" t="s">
        <v>2967</v>
      </c>
      <c r="R1224" s="20" t="s">
        <v>84</v>
      </c>
      <c r="S1224" s="20">
        <v>5</v>
      </c>
      <c r="T1224" s="20" t="s">
        <v>244</v>
      </c>
      <c r="U1224" s="20" t="s">
        <v>245</v>
      </c>
      <c r="V1224" s="20" t="s">
        <v>87</v>
      </c>
      <c r="W1224" s="20">
        <v>844</v>
      </c>
      <c r="X1224" s="20">
        <v>844</v>
      </c>
      <c r="Y1224" s="20" t="s">
        <v>4638</v>
      </c>
      <c r="Z1224" s="20">
        <v>1</v>
      </c>
      <c r="AA1224" s="20" t="s">
        <v>4639</v>
      </c>
      <c r="AB1224" s="20" t="s">
        <v>159</v>
      </c>
      <c r="AC1224" s="20" t="s">
        <v>160</v>
      </c>
      <c r="AD1224" s="20" t="s">
        <v>4640</v>
      </c>
      <c r="AE1224" s="20" t="s">
        <v>400</v>
      </c>
      <c r="AF1224" s="20">
        <v>1</v>
      </c>
      <c r="AG1224" s="20">
        <v>0</v>
      </c>
      <c r="AH1224" s="20">
        <v>1</v>
      </c>
      <c r="AI1224" s="4" t="s">
        <v>251</v>
      </c>
      <c r="AJ1224" s="20">
        <v>50</v>
      </c>
      <c r="AK1224" s="4" t="s">
        <v>252</v>
      </c>
      <c r="AL1224" s="4">
        <v>5</v>
      </c>
      <c r="AM1224" s="4" t="s">
        <v>485</v>
      </c>
      <c r="AN1224" s="4" t="s">
        <v>95</v>
      </c>
      <c r="AO1224" s="4" t="s">
        <v>96</v>
      </c>
      <c r="AP1224" s="4">
        <v>1</v>
      </c>
      <c r="AQ1224" s="20">
        <v>35000</v>
      </c>
      <c r="AR1224" s="4">
        <v>41918</v>
      </c>
      <c r="AS1224" s="20">
        <v>4545.454545454545</v>
      </c>
      <c r="AT1224" s="20">
        <v>0</v>
      </c>
      <c r="AU1224" s="20">
        <v>-4545.454545454545</v>
      </c>
      <c r="AV1224" s="20">
        <v>0</v>
      </c>
      <c r="AW1224" s="20">
        <v>0</v>
      </c>
      <c r="AX1224" s="20" t="s">
        <v>91</v>
      </c>
      <c r="AY1224" s="20">
        <v>0</v>
      </c>
      <c r="AZ1224" s="20">
        <v>0</v>
      </c>
      <c r="BA1224" s="20">
        <v>0</v>
      </c>
      <c r="BB1224" s="6">
        <v>41918</v>
      </c>
      <c r="BC1224" s="6">
        <v>0</v>
      </c>
      <c r="BD1224" s="6">
        <v>41922</v>
      </c>
      <c r="BE1224" s="6">
        <v>0</v>
      </c>
      <c r="BF1224" s="6">
        <v>41922</v>
      </c>
      <c r="BG1224" s="6">
        <v>0</v>
      </c>
      <c r="BH1224" s="6">
        <v>0</v>
      </c>
      <c r="BI1224" s="6">
        <v>0</v>
      </c>
      <c r="BJ1224" s="6">
        <v>0</v>
      </c>
      <c r="BK1224" s="4">
        <v>0</v>
      </c>
      <c r="BL1224" s="4">
        <v>0</v>
      </c>
      <c r="BM1224" s="20">
        <v>50</v>
      </c>
      <c r="BN1224" s="20">
        <v>0</v>
      </c>
      <c r="BO1224" s="20">
        <v>0</v>
      </c>
      <c r="BP1224" s="20">
        <v>0</v>
      </c>
      <c r="BQ1224" s="20">
        <v>0</v>
      </c>
      <c r="BR1224" s="20">
        <v>0</v>
      </c>
      <c r="BS1224" s="20">
        <v>50</v>
      </c>
      <c r="BT1224" s="20">
        <v>227272.72727272726</v>
      </c>
      <c r="BU1224" s="20">
        <v>1750000</v>
      </c>
      <c r="BV1224" s="20">
        <v>7</v>
      </c>
    </row>
    <row r="1225" spans="1:74">
      <c r="A1225" s="10">
        <f t="shared" si="78"/>
        <v>0</v>
      </c>
      <c r="B1225" s="10">
        <f t="shared" si="79"/>
        <v>0</v>
      </c>
      <c r="C1225" s="12">
        <f t="shared" si="80"/>
        <v>10</v>
      </c>
      <c r="D1225" s="12">
        <f t="shared" si="81"/>
        <v>10</v>
      </c>
      <c r="E1225" s="20" t="s">
        <v>386</v>
      </c>
      <c r="F1225" s="20" t="s">
        <v>2960</v>
      </c>
      <c r="G1225" s="20" t="s">
        <v>4633</v>
      </c>
      <c r="H1225" s="20" t="s">
        <v>4641</v>
      </c>
      <c r="I1225" s="20">
        <v>2</v>
      </c>
      <c r="J1225" s="20" t="s">
        <v>4642</v>
      </c>
      <c r="K1225" s="20" t="s">
        <v>4643</v>
      </c>
      <c r="L1225" s="20" t="s">
        <v>4637</v>
      </c>
      <c r="M1225" s="20" t="s">
        <v>2960</v>
      </c>
      <c r="N1225" s="20" t="s">
        <v>4545</v>
      </c>
      <c r="P1225" s="20" t="s">
        <v>2960</v>
      </c>
      <c r="Q1225" s="20" t="s">
        <v>2967</v>
      </c>
      <c r="R1225" s="20" t="s">
        <v>84</v>
      </c>
      <c r="S1225" s="20">
        <v>5</v>
      </c>
      <c r="T1225" s="20" t="s">
        <v>244</v>
      </c>
      <c r="U1225" s="20" t="s">
        <v>245</v>
      </c>
      <c r="V1225" s="20" t="s">
        <v>87</v>
      </c>
      <c r="W1225" s="20">
        <v>844</v>
      </c>
      <c r="X1225" s="20">
        <v>844</v>
      </c>
      <c r="Y1225" s="20" t="s">
        <v>4638</v>
      </c>
      <c r="Z1225" s="20">
        <v>1</v>
      </c>
      <c r="AA1225" s="20" t="s">
        <v>4644</v>
      </c>
      <c r="AB1225" s="20" t="s">
        <v>89</v>
      </c>
      <c r="AC1225" s="20" t="s">
        <v>90</v>
      </c>
      <c r="AD1225" s="20" t="s">
        <v>4645</v>
      </c>
      <c r="AE1225" s="20" t="s">
        <v>400</v>
      </c>
      <c r="AF1225" s="20">
        <v>1</v>
      </c>
      <c r="AG1225" s="20">
        <v>0</v>
      </c>
      <c r="AH1225" s="20">
        <v>1</v>
      </c>
      <c r="AI1225" s="4" t="s">
        <v>251</v>
      </c>
      <c r="AJ1225" s="20">
        <v>50</v>
      </c>
      <c r="AK1225" s="4" t="s">
        <v>252</v>
      </c>
      <c r="AL1225" s="4">
        <v>5</v>
      </c>
      <c r="AM1225" s="4" t="s">
        <v>485</v>
      </c>
      <c r="AN1225" s="4" t="s">
        <v>95</v>
      </c>
      <c r="AO1225" s="4" t="s">
        <v>96</v>
      </c>
      <c r="AP1225" s="4">
        <v>1</v>
      </c>
      <c r="AQ1225" s="20">
        <v>35000</v>
      </c>
      <c r="AR1225" s="4">
        <v>41918</v>
      </c>
      <c r="AS1225" s="20">
        <v>4545.454545454545</v>
      </c>
      <c r="AT1225" s="20">
        <v>0</v>
      </c>
      <c r="AU1225" s="20">
        <v>-4545.454545454545</v>
      </c>
      <c r="AV1225" s="20">
        <v>0</v>
      </c>
      <c r="AW1225" s="20">
        <v>0</v>
      </c>
      <c r="AX1225" s="20" t="s">
        <v>91</v>
      </c>
      <c r="AY1225" s="20">
        <v>0</v>
      </c>
      <c r="AZ1225" s="20">
        <v>0</v>
      </c>
      <c r="BA1225" s="20">
        <v>0</v>
      </c>
      <c r="BB1225" s="6">
        <v>41918</v>
      </c>
      <c r="BC1225" s="6">
        <v>0</v>
      </c>
      <c r="BD1225" s="6">
        <v>41922</v>
      </c>
      <c r="BE1225" s="6">
        <v>0</v>
      </c>
      <c r="BF1225" s="6">
        <v>41922</v>
      </c>
      <c r="BG1225" s="6">
        <v>0</v>
      </c>
      <c r="BH1225" s="6">
        <v>0</v>
      </c>
      <c r="BI1225" s="6">
        <v>0</v>
      </c>
      <c r="BJ1225" s="6">
        <v>0</v>
      </c>
      <c r="BK1225" s="4">
        <v>0</v>
      </c>
      <c r="BL1225" s="4">
        <v>0</v>
      </c>
      <c r="BM1225" s="20">
        <v>50</v>
      </c>
      <c r="BN1225" s="20">
        <v>0</v>
      </c>
      <c r="BO1225" s="20">
        <v>0</v>
      </c>
      <c r="BP1225" s="20">
        <v>0</v>
      </c>
      <c r="BQ1225" s="20">
        <v>0</v>
      </c>
      <c r="BR1225" s="20">
        <v>0</v>
      </c>
      <c r="BS1225" s="20">
        <v>50</v>
      </c>
      <c r="BT1225" s="20">
        <v>227272.72727272726</v>
      </c>
      <c r="BU1225" s="20">
        <v>1750000</v>
      </c>
      <c r="BV1225" s="20">
        <v>7</v>
      </c>
    </row>
    <row r="1226" spans="1:74">
      <c r="A1226" s="10">
        <f t="shared" si="78"/>
        <v>0</v>
      </c>
      <c r="B1226" s="10">
        <f t="shared" si="79"/>
        <v>0</v>
      </c>
      <c r="C1226" s="12">
        <f t="shared" si="80"/>
        <v>10</v>
      </c>
      <c r="D1226" s="12">
        <f t="shared" si="81"/>
        <v>10</v>
      </c>
      <c r="E1226" s="20" t="s">
        <v>386</v>
      </c>
      <c r="F1226" s="20" t="s">
        <v>2960</v>
      </c>
      <c r="G1226" s="20" t="s">
        <v>4633</v>
      </c>
      <c r="H1226" s="20" t="s">
        <v>4646</v>
      </c>
      <c r="I1226" s="20">
        <v>3</v>
      </c>
      <c r="J1226" s="20" t="s">
        <v>4647</v>
      </c>
      <c r="K1226" s="20" t="s">
        <v>4648</v>
      </c>
      <c r="L1226" s="20" t="s">
        <v>4649</v>
      </c>
      <c r="M1226" s="20" t="s">
        <v>2960</v>
      </c>
      <c r="N1226" s="20" t="s">
        <v>4545</v>
      </c>
      <c r="P1226" s="20" t="s">
        <v>2960</v>
      </c>
      <c r="Q1226" s="20" t="s">
        <v>2967</v>
      </c>
      <c r="R1226" s="20" t="s">
        <v>84</v>
      </c>
      <c r="S1226" s="20">
        <v>5</v>
      </c>
      <c r="T1226" s="20" t="s">
        <v>244</v>
      </c>
      <c r="U1226" s="20" t="s">
        <v>245</v>
      </c>
      <c r="V1226" s="20" t="s">
        <v>87</v>
      </c>
      <c r="W1226" s="20">
        <v>849</v>
      </c>
      <c r="X1226" s="20">
        <v>849</v>
      </c>
      <c r="Y1226" s="20" t="s">
        <v>4650</v>
      </c>
      <c r="Z1226" s="20">
        <v>1</v>
      </c>
      <c r="AA1226" s="20" t="s">
        <v>4651</v>
      </c>
      <c r="AB1226" s="20" t="s">
        <v>248</v>
      </c>
      <c r="AC1226" s="20" t="s">
        <v>249</v>
      </c>
      <c r="AD1226" s="20" t="s">
        <v>4652</v>
      </c>
      <c r="AE1226" s="20" t="s">
        <v>400</v>
      </c>
      <c r="AF1226" s="20">
        <v>1</v>
      </c>
      <c r="AG1226" s="20">
        <v>0</v>
      </c>
      <c r="AH1226" s="20">
        <v>1</v>
      </c>
      <c r="AI1226" s="4" t="s">
        <v>251</v>
      </c>
      <c r="AJ1226" s="20">
        <v>50</v>
      </c>
      <c r="AK1226" s="4" t="s">
        <v>252</v>
      </c>
      <c r="AL1226" s="4">
        <v>5</v>
      </c>
      <c r="AM1226" s="4" t="s">
        <v>485</v>
      </c>
      <c r="AN1226" s="4" t="s">
        <v>95</v>
      </c>
      <c r="AO1226" s="4" t="s">
        <v>96</v>
      </c>
      <c r="AP1226" s="4">
        <v>1</v>
      </c>
      <c r="AQ1226" s="20">
        <v>35000</v>
      </c>
      <c r="AR1226" s="4">
        <v>41918</v>
      </c>
      <c r="AS1226" s="20">
        <v>4545.454545454545</v>
      </c>
      <c r="AT1226" s="20">
        <v>0</v>
      </c>
      <c r="AU1226" s="20">
        <v>-4545.454545454545</v>
      </c>
      <c r="AV1226" s="20">
        <v>0</v>
      </c>
      <c r="AW1226" s="20">
        <v>0</v>
      </c>
      <c r="AX1226" s="20" t="s">
        <v>91</v>
      </c>
      <c r="AY1226" s="20">
        <v>0</v>
      </c>
      <c r="AZ1226" s="20">
        <v>0</v>
      </c>
      <c r="BA1226" s="20">
        <v>0</v>
      </c>
      <c r="BB1226" s="6">
        <v>41918</v>
      </c>
      <c r="BC1226" s="6">
        <v>0</v>
      </c>
      <c r="BD1226" s="6">
        <v>41922</v>
      </c>
      <c r="BE1226" s="6">
        <v>0</v>
      </c>
      <c r="BF1226" s="6">
        <v>41922</v>
      </c>
      <c r="BG1226" s="6">
        <v>0</v>
      </c>
      <c r="BH1226" s="6">
        <v>0</v>
      </c>
      <c r="BI1226" s="6">
        <v>0</v>
      </c>
      <c r="BJ1226" s="6">
        <v>0</v>
      </c>
      <c r="BK1226" s="4">
        <v>0</v>
      </c>
      <c r="BL1226" s="4">
        <v>0</v>
      </c>
      <c r="BM1226" s="20">
        <v>50</v>
      </c>
      <c r="BN1226" s="20">
        <v>0</v>
      </c>
      <c r="BO1226" s="20">
        <v>0</v>
      </c>
      <c r="BP1226" s="20">
        <v>0</v>
      </c>
      <c r="BQ1226" s="20">
        <v>0</v>
      </c>
      <c r="BR1226" s="20">
        <v>0</v>
      </c>
      <c r="BS1226" s="20">
        <v>50</v>
      </c>
      <c r="BT1226" s="20">
        <v>227272.72727272726</v>
      </c>
      <c r="BU1226" s="20">
        <v>1750000</v>
      </c>
      <c r="BV1226" s="20">
        <v>7</v>
      </c>
    </row>
    <row r="1227" spans="1:74">
      <c r="A1227" s="10">
        <f t="shared" si="78"/>
        <v>0</v>
      </c>
      <c r="B1227" s="10">
        <f t="shared" si="79"/>
        <v>0</v>
      </c>
      <c r="C1227" s="12">
        <f t="shared" si="80"/>
        <v>10</v>
      </c>
      <c r="D1227" s="12">
        <f t="shared" si="81"/>
        <v>10</v>
      </c>
      <c r="E1227" s="20" t="s">
        <v>386</v>
      </c>
      <c r="F1227" s="20" t="s">
        <v>2960</v>
      </c>
      <c r="G1227" s="20" t="s">
        <v>4633</v>
      </c>
      <c r="H1227" s="20" t="s">
        <v>4653</v>
      </c>
      <c r="I1227" s="20">
        <v>4</v>
      </c>
      <c r="J1227" s="20" t="s">
        <v>4654</v>
      </c>
      <c r="K1227" s="20" t="s">
        <v>4655</v>
      </c>
      <c r="L1227" s="20" t="s">
        <v>4656</v>
      </c>
      <c r="M1227" s="20" t="s">
        <v>2960</v>
      </c>
      <c r="N1227" s="20" t="s">
        <v>4575</v>
      </c>
      <c r="P1227" s="20" t="s">
        <v>2960</v>
      </c>
      <c r="Q1227" s="20" t="s">
        <v>2967</v>
      </c>
      <c r="R1227" s="20" t="s">
        <v>84</v>
      </c>
      <c r="S1227" s="20">
        <v>5</v>
      </c>
      <c r="T1227" s="20" t="s">
        <v>395</v>
      </c>
      <c r="U1227" s="20" t="s">
        <v>396</v>
      </c>
      <c r="V1227" s="20" t="s">
        <v>87</v>
      </c>
      <c r="W1227" s="20">
        <v>843</v>
      </c>
      <c r="X1227" s="20">
        <v>843</v>
      </c>
      <c r="Y1227" s="20" t="s">
        <v>4657</v>
      </c>
      <c r="Z1227" s="20">
        <v>1</v>
      </c>
      <c r="AA1227" s="20" t="s">
        <v>4658</v>
      </c>
      <c r="AB1227" s="20" t="s">
        <v>89</v>
      </c>
      <c r="AC1227" s="20" t="s">
        <v>90</v>
      </c>
      <c r="AD1227" s="20" t="s">
        <v>4659</v>
      </c>
      <c r="AE1227" s="20" t="s">
        <v>400</v>
      </c>
      <c r="AF1227" s="20">
        <v>1</v>
      </c>
      <c r="AG1227" s="20">
        <v>0</v>
      </c>
      <c r="AH1227" s="20">
        <v>1</v>
      </c>
      <c r="AI1227" s="4" t="s">
        <v>251</v>
      </c>
      <c r="AJ1227" s="20">
        <v>50</v>
      </c>
      <c r="AK1227" s="4" t="s">
        <v>252</v>
      </c>
      <c r="AL1227" s="4">
        <v>5</v>
      </c>
      <c r="AM1227" s="4" t="s">
        <v>485</v>
      </c>
      <c r="AN1227" s="4" t="s">
        <v>95</v>
      </c>
      <c r="AO1227" s="4" t="s">
        <v>96</v>
      </c>
      <c r="AP1227" s="4">
        <v>1</v>
      </c>
      <c r="AQ1227" s="20">
        <v>39000</v>
      </c>
      <c r="AR1227" s="4">
        <v>41918</v>
      </c>
      <c r="AS1227" s="20">
        <v>5064.9350649350645</v>
      </c>
      <c r="AT1227" s="20">
        <v>0</v>
      </c>
      <c r="AU1227" s="20">
        <v>-5064.9350649350645</v>
      </c>
      <c r="AV1227" s="20">
        <v>0</v>
      </c>
      <c r="AW1227" s="20">
        <v>0</v>
      </c>
      <c r="AX1227" s="20" t="s">
        <v>91</v>
      </c>
      <c r="AY1227" s="20">
        <v>0</v>
      </c>
      <c r="AZ1227" s="20">
        <v>0</v>
      </c>
      <c r="BA1227" s="20">
        <v>0</v>
      </c>
      <c r="BB1227" s="6">
        <v>41918</v>
      </c>
      <c r="BC1227" s="6">
        <v>0</v>
      </c>
      <c r="BD1227" s="6">
        <v>41922</v>
      </c>
      <c r="BE1227" s="6">
        <v>0</v>
      </c>
      <c r="BF1227" s="6">
        <v>41922</v>
      </c>
      <c r="BG1227" s="6">
        <v>0</v>
      </c>
      <c r="BH1227" s="6">
        <v>0</v>
      </c>
      <c r="BI1227" s="6">
        <v>0</v>
      </c>
      <c r="BJ1227" s="6">
        <v>0</v>
      </c>
      <c r="BK1227" s="4">
        <v>0</v>
      </c>
      <c r="BL1227" s="4">
        <v>0</v>
      </c>
      <c r="BM1227" s="20">
        <v>50</v>
      </c>
      <c r="BN1227" s="20">
        <v>0</v>
      </c>
      <c r="BO1227" s="20">
        <v>0</v>
      </c>
      <c r="BP1227" s="20">
        <v>0</v>
      </c>
      <c r="BQ1227" s="20">
        <v>0</v>
      </c>
      <c r="BR1227" s="20">
        <v>0</v>
      </c>
      <c r="BS1227" s="20">
        <v>50</v>
      </c>
      <c r="BT1227" s="20">
        <v>253246.75324675321</v>
      </c>
      <c r="BU1227" s="20">
        <v>1950000</v>
      </c>
      <c r="BV1227" s="20">
        <v>7</v>
      </c>
    </row>
    <row r="1228" spans="1:74">
      <c r="A1228" s="10">
        <f t="shared" si="78"/>
        <v>0</v>
      </c>
      <c r="B1228" s="10">
        <f t="shared" si="79"/>
        <v>0</v>
      </c>
      <c r="C1228" s="12" t="str">
        <f t="shared" si="80"/>
        <v/>
      </c>
      <c r="D1228" s="12" t="str">
        <f t="shared" si="81"/>
        <v/>
      </c>
      <c r="E1228" s="20" t="s">
        <v>91</v>
      </c>
      <c r="F1228" s="20" t="s">
        <v>91</v>
      </c>
      <c r="G1228" s="20" t="s">
        <v>91</v>
      </c>
      <c r="H1228" s="20" t="s">
        <v>91</v>
      </c>
      <c r="I1228" s="20">
        <v>0</v>
      </c>
      <c r="J1228" s="20" t="s">
        <v>103</v>
      </c>
      <c r="K1228" s="20" t="s">
        <v>104</v>
      </c>
      <c r="L1228" s="20">
        <v>0</v>
      </c>
      <c r="M1228" s="20" t="s">
        <v>105</v>
      </c>
      <c r="N1228" s="20" t="s">
        <v>91</v>
      </c>
      <c r="O1228" s="20" t="s">
        <v>4660</v>
      </c>
      <c r="Q1228" s="20" t="s">
        <v>91</v>
      </c>
      <c r="R1228" s="20" t="s">
        <v>91</v>
      </c>
      <c r="S1228" s="20" t="s">
        <v>91</v>
      </c>
      <c r="T1228" s="20" t="s">
        <v>91</v>
      </c>
      <c r="U1228" s="20" t="s">
        <v>91</v>
      </c>
      <c r="V1228" s="20" t="s">
        <v>87</v>
      </c>
      <c r="W1228" s="20" t="s">
        <v>91</v>
      </c>
      <c r="X1228" s="20" t="s">
        <v>91</v>
      </c>
      <c r="Y1228" s="20" t="s">
        <v>91</v>
      </c>
      <c r="Z1228" s="20">
        <v>4</v>
      </c>
      <c r="AB1228" s="20" t="s">
        <v>91</v>
      </c>
      <c r="AD1228" s="20" t="s">
        <v>91</v>
      </c>
      <c r="AE1228" s="20" t="s">
        <v>91</v>
      </c>
      <c r="AF1228" s="20">
        <v>4</v>
      </c>
      <c r="AG1228" s="20">
        <v>0</v>
      </c>
      <c r="AH1228" s="20">
        <v>1</v>
      </c>
      <c r="AM1228" s="4" t="s">
        <v>91</v>
      </c>
      <c r="AP1228" s="4" t="s">
        <v>91</v>
      </c>
      <c r="AQ1228" s="20">
        <v>0</v>
      </c>
      <c r="AR1228" s="4">
        <v>0</v>
      </c>
      <c r="AS1228" s="20">
        <v>0</v>
      </c>
      <c r="AT1228" s="20">
        <v>0</v>
      </c>
      <c r="AU1228" s="20">
        <v>0</v>
      </c>
      <c r="AV1228" s="20">
        <v>0</v>
      </c>
      <c r="AW1228" s="20">
        <v>0</v>
      </c>
      <c r="AX1228" s="20" t="s">
        <v>91</v>
      </c>
      <c r="AY1228" s="20">
        <v>0</v>
      </c>
      <c r="AZ1228" s="20">
        <v>0</v>
      </c>
      <c r="BA1228" s="20">
        <v>0</v>
      </c>
      <c r="BB1228" s="6">
        <v>0</v>
      </c>
      <c r="BC1228" s="6">
        <v>0</v>
      </c>
      <c r="BD1228" s="6">
        <v>0</v>
      </c>
      <c r="BE1228" s="6">
        <v>0</v>
      </c>
      <c r="BF1228" s="6">
        <v>0</v>
      </c>
      <c r="BG1228" s="6">
        <v>0</v>
      </c>
      <c r="BH1228" s="6">
        <v>0</v>
      </c>
      <c r="BI1228" s="6">
        <v>0</v>
      </c>
      <c r="BJ1228" s="6">
        <v>0</v>
      </c>
      <c r="BK1228" s="4">
        <v>0</v>
      </c>
      <c r="BL1228" s="4">
        <v>0</v>
      </c>
      <c r="BM1228" s="20">
        <v>200</v>
      </c>
      <c r="BN1228" s="20">
        <v>0</v>
      </c>
      <c r="BO1228" s="20">
        <v>0</v>
      </c>
      <c r="BP1228" s="20">
        <v>0</v>
      </c>
      <c r="BQ1228" s="20">
        <v>0</v>
      </c>
      <c r="BR1228" s="20">
        <v>0</v>
      </c>
      <c r="BS1228" s="20">
        <v>200</v>
      </c>
      <c r="BT1228" s="20">
        <v>935064.93506493501</v>
      </c>
      <c r="BU1228" s="20">
        <v>7200000</v>
      </c>
      <c r="BV1228" s="20">
        <v>6.9999999999999991</v>
      </c>
    </row>
    <row r="1229" spans="1:74">
      <c r="A1229" s="10">
        <f t="shared" si="78"/>
        <v>0</v>
      </c>
      <c r="B1229" s="10">
        <f t="shared" si="79"/>
        <v>0</v>
      </c>
      <c r="C1229" s="12">
        <f t="shared" si="80"/>
        <v>10</v>
      </c>
      <c r="D1229" s="12">
        <f t="shared" si="81"/>
        <v>10</v>
      </c>
      <c r="E1229" s="20" t="s">
        <v>386</v>
      </c>
      <c r="F1229" s="20" t="s">
        <v>2960</v>
      </c>
      <c r="G1229" s="20" t="s">
        <v>4661</v>
      </c>
      <c r="H1229" s="20" t="s">
        <v>4662</v>
      </c>
      <c r="I1229" s="20">
        <v>1</v>
      </c>
      <c r="J1229" s="20" t="s">
        <v>4663</v>
      </c>
      <c r="K1229" s="20" t="s">
        <v>4664</v>
      </c>
      <c r="L1229" s="20" t="s">
        <v>4665</v>
      </c>
      <c r="M1229" s="20" t="s">
        <v>2960</v>
      </c>
      <c r="N1229" s="20" t="s">
        <v>4666</v>
      </c>
      <c r="P1229" s="20" t="s">
        <v>2960</v>
      </c>
      <c r="Q1229" s="20" t="s">
        <v>2967</v>
      </c>
      <c r="R1229" s="20" t="s">
        <v>84</v>
      </c>
      <c r="S1229" s="20">
        <v>5</v>
      </c>
      <c r="T1229" s="20" t="s">
        <v>453</v>
      </c>
      <c r="U1229" s="20" t="s">
        <v>454</v>
      </c>
      <c r="V1229" s="20" t="s">
        <v>87</v>
      </c>
      <c r="W1229" s="20">
        <v>604</v>
      </c>
      <c r="X1229" s="20">
        <v>604</v>
      </c>
      <c r="Y1229" s="20" t="s">
        <v>4667</v>
      </c>
      <c r="Z1229" s="20">
        <v>1</v>
      </c>
      <c r="AA1229" s="20" t="s">
        <v>4668</v>
      </c>
      <c r="AB1229" s="20" t="s">
        <v>248</v>
      </c>
      <c r="AC1229" s="20" t="s">
        <v>249</v>
      </c>
      <c r="AD1229" s="20" t="s">
        <v>4669</v>
      </c>
      <c r="AE1229" s="20" t="s">
        <v>400</v>
      </c>
      <c r="AF1229" s="20">
        <v>1</v>
      </c>
      <c r="AG1229" s="20">
        <v>0</v>
      </c>
      <c r="AH1229" s="20">
        <v>1</v>
      </c>
      <c r="AI1229" s="4" t="s">
        <v>251</v>
      </c>
      <c r="AJ1229" s="20">
        <v>9</v>
      </c>
      <c r="AK1229" s="4" t="s">
        <v>4670</v>
      </c>
      <c r="AL1229" s="4">
        <v>1</v>
      </c>
      <c r="AM1229" s="4" t="s">
        <v>130</v>
      </c>
      <c r="AN1229" s="4" t="s">
        <v>95</v>
      </c>
      <c r="AO1229" s="4" t="s">
        <v>96</v>
      </c>
      <c r="AP1229" s="4">
        <v>1</v>
      </c>
      <c r="AQ1229" s="20">
        <v>49000</v>
      </c>
      <c r="AR1229" s="4">
        <v>41918</v>
      </c>
      <c r="AS1229" s="20">
        <v>7424.242424242424</v>
      </c>
      <c r="AT1229" s="20">
        <v>0</v>
      </c>
      <c r="AU1229" s="20">
        <v>-7424.242424242424</v>
      </c>
      <c r="AV1229" s="20">
        <v>0</v>
      </c>
      <c r="AW1229" s="20">
        <v>0</v>
      </c>
      <c r="AX1229" s="20" t="s">
        <v>91</v>
      </c>
      <c r="AY1229" s="20">
        <v>0</v>
      </c>
      <c r="AZ1229" s="20">
        <v>0</v>
      </c>
      <c r="BA1229" s="20">
        <v>0</v>
      </c>
      <c r="BB1229" s="6">
        <v>41918</v>
      </c>
      <c r="BC1229" s="6">
        <v>0</v>
      </c>
      <c r="BD1229" s="6">
        <v>41922</v>
      </c>
      <c r="BE1229" s="6">
        <v>0</v>
      </c>
      <c r="BF1229" s="6">
        <v>41922</v>
      </c>
      <c r="BG1229" s="6">
        <v>0</v>
      </c>
      <c r="BH1229" s="6">
        <v>0</v>
      </c>
      <c r="BI1229" s="6">
        <v>0</v>
      </c>
      <c r="BJ1229" s="6">
        <v>0</v>
      </c>
      <c r="BK1229" s="4">
        <v>0</v>
      </c>
      <c r="BL1229" s="4">
        <v>0</v>
      </c>
      <c r="BM1229" s="20">
        <v>9</v>
      </c>
      <c r="BN1229" s="20">
        <v>0</v>
      </c>
      <c r="BO1229" s="20">
        <v>0</v>
      </c>
      <c r="BP1229" s="20">
        <v>0</v>
      </c>
      <c r="BQ1229" s="20">
        <v>0</v>
      </c>
      <c r="BR1229" s="20">
        <v>0</v>
      </c>
      <c r="BS1229" s="20">
        <v>9</v>
      </c>
      <c r="BT1229" s="20">
        <v>66818.181818181823</v>
      </c>
      <c r="BU1229" s="20">
        <v>441000</v>
      </c>
      <c r="BV1229" s="20">
        <v>5.9999999999999991</v>
      </c>
    </row>
    <row r="1230" spans="1:74">
      <c r="A1230" s="10">
        <f t="shared" si="78"/>
        <v>0</v>
      </c>
      <c r="B1230" s="10">
        <f t="shared" si="79"/>
        <v>0</v>
      </c>
      <c r="C1230" s="12" t="str">
        <f t="shared" si="80"/>
        <v/>
      </c>
      <c r="D1230" s="12" t="str">
        <f t="shared" si="81"/>
        <v/>
      </c>
      <c r="E1230" s="20" t="s">
        <v>91</v>
      </c>
      <c r="F1230" s="20" t="s">
        <v>91</v>
      </c>
      <c r="G1230" s="20" t="s">
        <v>91</v>
      </c>
      <c r="H1230" s="20" t="s">
        <v>91</v>
      </c>
      <c r="I1230" s="20">
        <v>0</v>
      </c>
      <c r="J1230" s="20" t="s">
        <v>103</v>
      </c>
      <c r="K1230" s="20" t="s">
        <v>104</v>
      </c>
      <c r="L1230" s="20">
        <v>0</v>
      </c>
      <c r="M1230" s="20" t="s">
        <v>105</v>
      </c>
      <c r="N1230" s="20" t="s">
        <v>91</v>
      </c>
      <c r="O1230" s="20" t="s">
        <v>4671</v>
      </c>
      <c r="Q1230" s="20" t="s">
        <v>91</v>
      </c>
      <c r="R1230" s="20" t="s">
        <v>91</v>
      </c>
      <c r="S1230" s="20" t="s">
        <v>91</v>
      </c>
      <c r="T1230" s="20" t="s">
        <v>91</v>
      </c>
      <c r="U1230" s="20" t="s">
        <v>91</v>
      </c>
      <c r="V1230" s="20" t="s">
        <v>87</v>
      </c>
      <c r="W1230" s="20" t="s">
        <v>91</v>
      </c>
      <c r="X1230" s="20" t="s">
        <v>91</v>
      </c>
      <c r="Y1230" s="20" t="s">
        <v>91</v>
      </c>
      <c r="Z1230" s="20">
        <v>1</v>
      </c>
      <c r="AB1230" s="20" t="s">
        <v>91</v>
      </c>
      <c r="AD1230" s="20" t="s">
        <v>91</v>
      </c>
      <c r="AE1230" s="20" t="s">
        <v>91</v>
      </c>
      <c r="AF1230" s="20">
        <v>1</v>
      </c>
      <c r="AG1230" s="20">
        <v>0</v>
      </c>
      <c r="AH1230" s="20">
        <v>1</v>
      </c>
      <c r="AM1230" s="4" t="s">
        <v>91</v>
      </c>
      <c r="AP1230" s="4" t="s">
        <v>91</v>
      </c>
      <c r="AQ1230" s="20">
        <v>0</v>
      </c>
      <c r="AR1230" s="4">
        <v>0</v>
      </c>
      <c r="AS1230" s="20">
        <v>0</v>
      </c>
      <c r="AT1230" s="20">
        <v>0</v>
      </c>
      <c r="AU1230" s="20">
        <v>0</v>
      </c>
      <c r="AV1230" s="20">
        <v>0</v>
      </c>
      <c r="AW1230" s="20">
        <v>0</v>
      </c>
      <c r="AX1230" s="20" t="s">
        <v>91</v>
      </c>
      <c r="AY1230" s="20">
        <v>0</v>
      </c>
      <c r="AZ1230" s="20">
        <v>0</v>
      </c>
      <c r="BA1230" s="20">
        <v>0</v>
      </c>
      <c r="BB1230" s="6">
        <v>0</v>
      </c>
      <c r="BC1230" s="6">
        <v>0</v>
      </c>
      <c r="BD1230" s="6">
        <v>0</v>
      </c>
      <c r="BE1230" s="6">
        <v>0</v>
      </c>
      <c r="BF1230" s="6">
        <v>0</v>
      </c>
      <c r="BG1230" s="6">
        <v>0</v>
      </c>
      <c r="BH1230" s="6">
        <v>0</v>
      </c>
      <c r="BI1230" s="6">
        <v>0</v>
      </c>
      <c r="BJ1230" s="6">
        <v>0</v>
      </c>
      <c r="BK1230" s="4">
        <v>0</v>
      </c>
      <c r="BL1230" s="4">
        <v>0</v>
      </c>
      <c r="BM1230" s="20">
        <v>9</v>
      </c>
      <c r="BN1230" s="20">
        <v>0</v>
      </c>
      <c r="BO1230" s="20">
        <v>0</v>
      </c>
      <c r="BP1230" s="20">
        <v>0</v>
      </c>
      <c r="BQ1230" s="20">
        <v>0</v>
      </c>
      <c r="BR1230" s="20">
        <v>0</v>
      </c>
      <c r="BS1230" s="20">
        <v>9</v>
      </c>
      <c r="BT1230" s="20">
        <v>66818.181818181823</v>
      </c>
      <c r="BU1230" s="20">
        <v>441000</v>
      </c>
      <c r="BV1230" s="20">
        <v>5.9999999999999991</v>
      </c>
    </row>
    <row r="1231" spans="1:74">
      <c r="A1231" s="10">
        <f t="shared" si="78"/>
        <v>0</v>
      </c>
      <c r="B1231" s="10">
        <f t="shared" si="79"/>
        <v>0</v>
      </c>
      <c r="C1231" s="12">
        <f t="shared" si="80"/>
        <v>10</v>
      </c>
      <c r="D1231" s="12">
        <f t="shared" si="81"/>
        <v>10</v>
      </c>
      <c r="E1231" s="20" t="s">
        <v>386</v>
      </c>
      <c r="F1231" s="20" t="s">
        <v>2999</v>
      </c>
      <c r="G1231" s="20" t="s">
        <v>4672</v>
      </c>
      <c r="H1231" s="20" t="s">
        <v>4673</v>
      </c>
      <c r="I1231" s="20">
        <v>1</v>
      </c>
      <c r="J1231" s="20" t="s">
        <v>4674</v>
      </c>
      <c r="K1231" s="20" t="s">
        <v>4675</v>
      </c>
      <c r="L1231" s="20" t="s">
        <v>4676</v>
      </c>
      <c r="M1231" s="20" t="s">
        <v>2999</v>
      </c>
      <c r="N1231" s="20" t="s">
        <v>4677</v>
      </c>
      <c r="P1231" s="20" t="s">
        <v>2999</v>
      </c>
      <c r="Q1231" s="20" t="s">
        <v>3006</v>
      </c>
      <c r="R1231" s="20" t="s">
        <v>84</v>
      </c>
      <c r="S1231" s="20">
        <v>5</v>
      </c>
      <c r="T1231" s="20" t="s">
        <v>395</v>
      </c>
      <c r="U1231" s="20" t="s">
        <v>396</v>
      </c>
      <c r="V1231" s="20" t="s">
        <v>87</v>
      </c>
      <c r="W1231" s="20">
        <v>604</v>
      </c>
      <c r="X1231" s="20">
        <v>604</v>
      </c>
      <c r="Y1231" s="20" t="s">
        <v>4678</v>
      </c>
      <c r="Z1231" s="20">
        <v>1</v>
      </c>
      <c r="AA1231" s="20" t="s">
        <v>4679</v>
      </c>
      <c r="AB1231" s="20" t="s">
        <v>279</v>
      </c>
      <c r="AC1231" s="20" t="s">
        <v>280</v>
      </c>
      <c r="AD1231" s="20" t="s">
        <v>4680</v>
      </c>
      <c r="AE1231" s="20" t="s">
        <v>400</v>
      </c>
      <c r="AF1231" s="20">
        <v>1</v>
      </c>
      <c r="AG1231" s="20">
        <v>0</v>
      </c>
      <c r="AH1231" s="20">
        <v>1</v>
      </c>
      <c r="AI1231" s="4" t="s">
        <v>251</v>
      </c>
      <c r="AJ1231" s="20">
        <v>250</v>
      </c>
      <c r="AK1231" s="4" t="s">
        <v>179</v>
      </c>
      <c r="AL1231" s="4">
        <v>29</v>
      </c>
      <c r="AM1231" s="4">
        <v>29</v>
      </c>
      <c r="AN1231" s="4" t="s">
        <v>95</v>
      </c>
      <c r="AO1231" s="4" t="s">
        <v>96</v>
      </c>
      <c r="AP1231" s="4">
        <v>1</v>
      </c>
      <c r="AQ1231" s="20">
        <v>53000</v>
      </c>
      <c r="AR1231" s="4">
        <v>41918</v>
      </c>
      <c r="AS1231" s="20">
        <v>8030.3030303030291</v>
      </c>
      <c r="AT1231" s="20">
        <v>0</v>
      </c>
      <c r="AU1231" s="20">
        <v>-8030.3030303030291</v>
      </c>
      <c r="AV1231" s="20">
        <v>0</v>
      </c>
      <c r="AW1231" s="20">
        <v>0</v>
      </c>
      <c r="AX1231" s="20" t="s">
        <v>91</v>
      </c>
      <c r="AY1231" s="20">
        <v>0</v>
      </c>
      <c r="AZ1231" s="20">
        <v>0</v>
      </c>
      <c r="BA1231" s="20">
        <v>0</v>
      </c>
      <c r="BB1231" s="6">
        <v>41918</v>
      </c>
      <c r="BC1231" s="6">
        <v>0</v>
      </c>
      <c r="BD1231" s="6">
        <v>41922</v>
      </c>
      <c r="BE1231" s="6">
        <v>0</v>
      </c>
      <c r="BF1231" s="6">
        <v>41922</v>
      </c>
      <c r="BG1231" s="6">
        <v>0</v>
      </c>
      <c r="BH1231" s="6">
        <v>0</v>
      </c>
      <c r="BI1231" s="6">
        <v>0</v>
      </c>
      <c r="BJ1231" s="6">
        <v>0</v>
      </c>
      <c r="BK1231" s="4">
        <v>0</v>
      </c>
      <c r="BL1231" s="4">
        <v>0</v>
      </c>
      <c r="BM1231" s="20">
        <v>282</v>
      </c>
      <c r="BN1231" s="20">
        <v>0</v>
      </c>
      <c r="BO1231" s="20">
        <v>0</v>
      </c>
      <c r="BP1231" s="20">
        <v>0</v>
      </c>
      <c r="BQ1231" s="20">
        <v>0</v>
      </c>
      <c r="BR1231" s="20">
        <v>0</v>
      </c>
      <c r="BS1231" s="20">
        <v>250</v>
      </c>
      <c r="BT1231" s="20">
        <v>2007575.7575757573</v>
      </c>
      <c r="BU1231" s="20">
        <v>13250000</v>
      </c>
      <c r="BV1231" s="20">
        <v>6.0000000000000009</v>
      </c>
    </row>
    <row r="1232" spans="1:74">
      <c r="A1232" s="10">
        <f t="shared" si="78"/>
        <v>0</v>
      </c>
      <c r="B1232" s="10">
        <f t="shared" si="79"/>
        <v>0</v>
      </c>
      <c r="C1232" s="12">
        <f t="shared" si="80"/>
        <v>10</v>
      </c>
      <c r="D1232" s="12">
        <f t="shared" si="81"/>
        <v>10</v>
      </c>
      <c r="E1232" s="20" t="s">
        <v>386</v>
      </c>
      <c r="F1232" s="20" t="s">
        <v>2999</v>
      </c>
      <c r="G1232" s="20" t="s">
        <v>4672</v>
      </c>
      <c r="H1232" s="20" t="s">
        <v>4681</v>
      </c>
      <c r="I1232" s="20">
        <v>2</v>
      </c>
      <c r="J1232" s="20" t="s">
        <v>4682</v>
      </c>
      <c r="K1232" s="20" t="s">
        <v>4683</v>
      </c>
      <c r="L1232" s="20" t="s">
        <v>4684</v>
      </c>
      <c r="M1232" s="20" t="s">
        <v>2999</v>
      </c>
      <c r="N1232" s="20" t="s">
        <v>4677</v>
      </c>
      <c r="P1232" s="20" t="s">
        <v>2999</v>
      </c>
      <c r="Q1232" s="20" t="s">
        <v>3006</v>
      </c>
      <c r="R1232" s="20" t="s">
        <v>84</v>
      </c>
      <c r="S1232" s="20">
        <v>5</v>
      </c>
      <c r="T1232" s="20" t="s">
        <v>395</v>
      </c>
      <c r="U1232" s="20" t="s">
        <v>396</v>
      </c>
      <c r="V1232" s="20" t="s">
        <v>87</v>
      </c>
      <c r="W1232" s="20">
        <v>606</v>
      </c>
      <c r="X1232" s="20">
        <v>606</v>
      </c>
      <c r="Y1232" s="20" t="s">
        <v>4685</v>
      </c>
      <c r="Z1232" s="20">
        <v>1</v>
      </c>
      <c r="AA1232" s="20" t="s">
        <v>4686</v>
      </c>
      <c r="AB1232" s="20" t="s">
        <v>457</v>
      </c>
      <c r="AC1232" s="20" t="s">
        <v>458</v>
      </c>
      <c r="AD1232" s="20" t="s">
        <v>4687</v>
      </c>
      <c r="AE1232" s="20" t="s">
        <v>400</v>
      </c>
      <c r="AF1232" s="20">
        <v>1</v>
      </c>
      <c r="AG1232" s="20">
        <v>0</v>
      </c>
      <c r="AH1232" s="20">
        <v>1</v>
      </c>
      <c r="AI1232" s="4" t="s">
        <v>251</v>
      </c>
      <c r="AJ1232" s="20">
        <v>40</v>
      </c>
      <c r="AK1232" s="4" t="s">
        <v>179</v>
      </c>
      <c r="AL1232" s="4">
        <v>29</v>
      </c>
      <c r="AM1232" s="4">
        <v>29</v>
      </c>
      <c r="AN1232" s="4" t="s">
        <v>95</v>
      </c>
      <c r="AO1232" s="4" t="s">
        <v>96</v>
      </c>
      <c r="AP1232" s="4">
        <v>1</v>
      </c>
      <c r="AQ1232" s="20">
        <v>53000</v>
      </c>
      <c r="AR1232" s="4">
        <v>41918</v>
      </c>
      <c r="AS1232" s="20">
        <v>8030.3030303030291</v>
      </c>
      <c r="AT1232" s="20">
        <v>0</v>
      </c>
      <c r="AU1232" s="20">
        <v>-8030.3030303030291</v>
      </c>
      <c r="AV1232" s="20">
        <v>0</v>
      </c>
      <c r="AW1232" s="20">
        <v>0</v>
      </c>
      <c r="AX1232" s="20" t="s">
        <v>91</v>
      </c>
      <c r="AY1232" s="20">
        <v>0</v>
      </c>
      <c r="AZ1232" s="20">
        <v>0</v>
      </c>
      <c r="BA1232" s="20">
        <v>0</v>
      </c>
      <c r="BB1232" s="6">
        <v>41918</v>
      </c>
      <c r="BC1232" s="6">
        <v>0</v>
      </c>
      <c r="BD1232" s="6">
        <v>41922</v>
      </c>
      <c r="BE1232" s="6">
        <v>0</v>
      </c>
      <c r="BF1232" s="6">
        <v>41922</v>
      </c>
      <c r="BG1232" s="6">
        <v>0</v>
      </c>
      <c r="BH1232" s="6">
        <v>0</v>
      </c>
      <c r="BI1232" s="6">
        <v>0</v>
      </c>
      <c r="BJ1232" s="6">
        <v>0</v>
      </c>
      <c r="BK1232" s="4">
        <v>0</v>
      </c>
      <c r="BL1232" s="4">
        <v>0</v>
      </c>
      <c r="BM1232" s="20">
        <v>53</v>
      </c>
      <c r="BN1232" s="20">
        <v>0</v>
      </c>
      <c r="BO1232" s="20">
        <v>0</v>
      </c>
      <c r="BP1232" s="20">
        <v>0</v>
      </c>
      <c r="BQ1232" s="20">
        <v>0</v>
      </c>
      <c r="BR1232" s="20">
        <v>0</v>
      </c>
      <c r="BS1232" s="20">
        <v>40</v>
      </c>
      <c r="BT1232" s="20">
        <v>321212.12121212116</v>
      </c>
      <c r="BU1232" s="20">
        <v>2120000</v>
      </c>
      <c r="BV1232" s="20">
        <v>6</v>
      </c>
    </row>
    <row r="1233" spans="1:74">
      <c r="A1233" s="10">
        <f t="shared" si="78"/>
        <v>0</v>
      </c>
      <c r="B1233" s="10">
        <f t="shared" si="79"/>
        <v>0</v>
      </c>
      <c r="C1233" s="12">
        <f t="shared" si="80"/>
        <v>10</v>
      </c>
      <c r="D1233" s="12">
        <f t="shared" si="81"/>
        <v>10</v>
      </c>
      <c r="E1233" s="20" t="s">
        <v>386</v>
      </c>
      <c r="F1233" s="20" t="s">
        <v>2999</v>
      </c>
      <c r="G1233" s="20" t="s">
        <v>4672</v>
      </c>
      <c r="H1233" s="20" t="s">
        <v>4688</v>
      </c>
      <c r="I1233" s="20">
        <v>3</v>
      </c>
      <c r="J1233" s="20" t="s">
        <v>4689</v>
      </c>
      <c r="K1233" s="20" t="s">
        <v>4690</v>
      </c>
      <c r="L1233" s="20" t="s">
        <v>4691</v>
      </c>
      <c r="M1233" s="20" t="s">
        <v>2999</v>
      </c>
      <c r="N1233" s="20" t="s">
        <v>4677</v>
      </c>
      <c r="P1233" s="20" t="s">
        <v>2999</v>
      </c>
      <c r="Q1233" s="20" t="s">
        <v>3006</v>
      </c>
      <c r="R1233" s="20" t="s">
        <v>84</v>
      </c>
      <c r="S1233" s="20">
        <v>5</v>
      </c>
      <c r="T1233" s="20" t="s">
        <v>395</v>
      </c>
      <c r="U1233" s="20" t="s">
        <v>396</v>
      </c>
      <c r="V1233" s="20" t="s">
        <v>87</v>
      </c>
      <c r="W1233" s="20">
        <v>805</v>
      </c>
      <c r="X1233" s="20">
        <v>805</v>
      </c>
      <c r="Y1233" s="20" t="s">
        <v>4692</v>
      </c>
      <c r="Z1233" s="20">
        <v>1</v>
      </c>
      <c r="AA1233" s="20" t="s">
        <v>4693</v>
      </c>
      <c r="AB1233" s="20" t="s">
        <v>176</v>
      </c>
      <c r="AC1233" s="20" t="s">
        <v>177</v>
      </c>
      <c r="AD1233" s="20" t="s">
        <v>4694</v>
      </c>
      <c r="AE1233" s="20" t="s">
        <v>400</v>
      </c>
      <c r="AF1233" s="20">
        <v>1</v>
      </c>
      <c r="AG1233" s="20">
        <v>0</v>
      </c>
      <c r="AH1233" s="20">
        <v>1</v>
      </c>
      <c r="AI1233" s="4" t="s">
        <v>251</v>
      </c>
      <c r="AJ1233" s="20">
        <v>100</v>
      </c>
      <c r="AK1233" s="4" t="s">
        <v>179</v>
      </c>
      <c r="AL1233" s="4">
        <v>29</v>
      </c>
      <c r="AM1233" s="4">
        <v>29</v>
      </c>
      <c r="AN1233" s="4" t="s">
        <v>95</v>
      </c>
      <c r="AO1233" s="4" t="s">
        <v>96</v>
      </c>
      <c r="AP1233" s="4">
        <v>1</v>
      </c>
      <c r="AQ1233" s="20">
        <v>59000</v>
      </c>
      <c r="AR1233" s="4">
        <v>41918</v>
      </c>
      <c r="AS1233" s="20">
        <v>8939.3939393939381</v>
      </c>
      <c r="AT1233" s="20">
        <v>0</v>
      </c>
      <c r="AU1233" s="20">
        <v>-8939.3939393939381</v>
      </c>
      <c r="AV1233" s="20">
        <v>0</v>
      </c>
      <c r="AW1233" s="20">
        <v>0</v>
      </c>
      <c r="AX1233" s="20" t="s">
        <v>91</v>
      </c>
      <c r="AY1233" s="20">
        <v>0</v>
      </c>
      <c r="AZ1233" s="20">
        <v>0</v>
      </c>
      <c r="BA1233" s="20">
        <v>0</v>
      </c>
      <c r="BB1233" s="6">
        <v>41918</v>
      </c>
      <c r="BC1233" s="6">
        <v>0</v>
      </c>
      <c r="BD1233" s="6">
        <v>41922</v>
      </c>
      <c r="BE1233" s="6">
        <v>0</v>
      </c>
      <c r="BF1233" s="6">
        <v>41922</v>
      </c>
      <c r="BG1233" s="6">
        <v>0</v>
      </c>
      <c r="BH1233" s="6">
        <v>0</v>
      </c>
      <c r="BI1233" s="6">
        <v>0</v>
      </c>
      <c r="BJ1233" s="6">
        <v>0</v>
      </c>
      <c r="BK1233" s="4">
        <v>0</v>
      </c>
      <c r="BL1233" s="4">
        <v>0</v>
      </c>
      <c r="BM1233" s="20">
        <v>100</v>
      </c>
      <c r="BN1233" s="20">
        <v>0</v>
      </c>
      <c r="BO1233" s="20">
        <v>0</v>
      </c>
      <c r="BP1233" s="20">
        <v>0</v>
      </c>
      <c r="BQ1233" s="20">
        <v>0</v>
      </c>
      <c r="BR1233" s="20">
        <v>0</v>
      </c>
      <c r="BS1233" s="20">
        <v>100</v>
      </c>
      <c r="BT1233" s="20">
        <v>893939.39393939381</v>
      </c>
      <c r="BU1233" s="20">
        <v>5900000</v>
      </c>
      <c r="BV1233" s="20">
        <v>6.0000000000000009</v>
      </c>
    </row>
    <row r="1234" spans="1:74">
      <c r="A1234" s="10">
        <f t="shared" si="78"/>
        <v>0</v>
      </c>
      <c r="B1234" s="10">
        <f t="shared" si="79"/>
        <v>0</v>
      </c>
      <c r="C1234" s="12">
        <f t="shared" si="80"/>
        <v>10</v>
      </c>
      <c r="D1234" s="12">
        <f t="shared" si="81"/>
        <v>10</v>
      </c>
      <c r="E1234" s="20" t="s">
        <v>386</v>
      </c>
      <c r="F1234" s="20" t="s">
        <v>2999</v>
      </c>
      <c r="G1234" s="20" t="s">
        <v>4672</v>
      </c>
      <c r="H1234" s="20" t="s">
        <v>4695</v>
      </c>
      <c r="I1234" s="20">
        <v>4</v>
      </c>
      <c r="J1234" s="20" t="s">
        <v>4696</v>
      </c>
      <c r="K1234" s="20" t="s">
        <v>4697</v>
      </c>
      <c r="L1234" s="20" t="s">
        <v>4698</v>
      </c>
      <c r="M1234" s="20" t="s">
        <v>2999</v>
      </c>
      <c r="N1234" s="20" t="s">
        <v>4677</v>
      </c>
      <c r="P1234" s="20" t="s">
        <v>2999</v>
      </c>
      <c r="Q1234" s="20" t="s">
        <v>3006</v>
      </c>
      <c r="R1234" s="20" t="s">
        <v>84</v>
      </c>
      <c r="S1234" s="20">
        <v>5</v>
      </c>
      <c r="T1234" s="20" t="s">
        <v>395</v>
      </c>
      <c r="U1234" s="20" t="s">
        <v>396</v>
      </c>
      <c r="V1234" s="20" t="s">
        <v>87</v>
      </c>
      <c r="W1234" s="20">
        <v>807</v>
      </c>
      <c r="X1234" s="20">
        <v>807</v>
      </c>
      <c r="Y1234" s="20" t="s">
        <v>4699</v>
      </c>
      <c r="Z1234" s="20">
        <v>1</v>
      </c>
      <c r="AA1234" s="20" t="s">
        <v>4700</v>
      </c>
      <c r="AB1234" s="20" t="s">
        <v>139</v>
      </c>
      <c r="AC1234" s="20" t="s">
        <v>140</v>
      </c>
      <c r="AD1234" s="20" t="s">
        <v>4701</v>
      </c>
      <c r="AE1234" s="20" t="s">
        <v>400</v>
      </c>
      <c r="AF1234" s="20">
        <v>1</v>
      </c>
      <c r="AG1234" s="20">
        <v>0</v>
      </c>
      <c r="AH1234" s="20">
        <v>1</v>
      </c>
      <c r="AI1234" s="4" t="s">
        <v>251</v>
      </c>
      <c r="AJ1234" s="20">
        <v>100</v>
      </c>
      <c r="AK1234" s="4" t="s">
        <v>179</v>
      </c>
      <c r="AL1234" s="4">
        <v>29</v>
      </c>
      <c r="AM1234" s="4">
        <v>29</v>
      </c>
      <c r="AN1234" s="4" t="s">
        <v>95</v>
      </c>
      <c r="AO1234" s="4" t="s">
        <v>96</v>
      </c>
      <c r="AP1234" s="4">
        <v>1</v>
      </c>
      <c r="AQ1234" s="20">
        <v>55000</v>
      </c>
      <c r="AR1234" s="4">
        <v>41918</v>
      </c>
      <c r="AS1234" s="20">
        <v>8333.3333333333321</v>
      </c>
      <c r="AT1234" s="20">
        <v>0</v>
      </c>
      <c r="AU1234" s="20">
        <v>-8333.3333333333321</v>
      </c>
      <c r="AV1234" s="20">
        <v>0</v>
      </c>
      <c r="AW1234" s="20">
        <v>0</v>
      </c>
      <c r="AX1234" s="20" t="s">
        <v>91</v>
      </c>
      <c r="AY1234" s="20">
        <v>0</v>
      </c>
      <c r="AZ1234" s="20">
        <v>0</v>
      </c>
      <c r="BA1234" s="20">
        <v>0</v>
      </c>
      <c r="BB1234" s="6">
        <v>41918</v>
      </c>
      <c r="BC1234" s="6">
        <v>0</v>
      </c>
      <c r="BD1234" s="6">
        <v>41922</v>
      </c>
      <c r="BE1234" s="6">
        <v>0</v>
      </c>
      <c r="BF1234" s="6">
        <v>41922</v>
      </c>
      <c r="BG1234" s="6">
        <v>0</v>
      </c>
      <c r="BH1234" s="6">
        <v>0</v>
      </c>
      <c r="BI1234" s="6">
        <v>0</v>
      </c>
      <c r="BJ1234" s="6">
        <v>0</v>
      </c>
      <c r="BK1234" s="4">
        <v>0</v>
      </c>
      <c r="BL1234" s="4">
        <v>0</v>
      </c>
      <c r="BM1234" s="20">
        <v>100</v>
      </c>
      <c r="BN1234" s="20">
        <v>0</v>
      </c>
      <c r="BO1234" s="20">
        <v>0</v>
      </c>
      <c r="BP1234" s="20">
        <v>0</v>
      </c>
      <c r="BQ1234" s="20">
        <v>0</v>
      </c>
      <c r="BR1234" s="20">
        <v>0</v>
      </c>
      <c r="BS1234" s="20">
        <v>100</v>
      </c>
      <c r="BT1234" s="20">
        <v>833333.33333333326</v>
      </c>
      <c r="BU1234" s="20">
        <v>5500000</v>
      </c>
      <c r="BV1234" s="20">
        <v>6</v>
      </c>
    </row>
    <row r="1235" spans="1:74">
      <c r="A1235" s="10">
        <f t="shared" si="78"/>
        <v>0</v>
      </c>
      <c r="B1235" s="10">
        <f t="shared" si="79"/>
        <v>0</v>
      </c>
      <c r="C1235" s="12">
        <f t="shared" si="80"/>
        <v>10</v>
      </c>
      <c r="D1235" s="12">
        <f t="shared" si="81"/>
        <v>10</v>
      </c>
      <c r="E1235" s="20" t="s">
        <v>386</v>
      </c>
      <c r="F1235" s="20" t="s">
        <v>2999</v>
      </c>
      <c r="G1235" s="20" t="s">
        <v>4672</v>
      </c>
      <c r="H1235" s="20" t="s">
        <v>4702</v>
      </c>
      <c r="I1235" s="20">
        <v>5</v>
      </c>
      <c r="J1235" s="20" t="s">
        <v>4703</v>
      </c>
      <c r="K1235" s="20" t="s">
        <v>4704</v>
      </c>
      <c r="L1235" s="20" t="s">
        <v>4705</v>
      </c>
      <c r="M1235" s="20" t="s">
        <v>2999</v>
      </c>
      <c r="N1235" s="20" t="s">
        <v>4677</v>
      </c>
      <c r="P1235" s="20" t="s">
        <v>2999</v>
      </c>
      <c r="Q1235" s="20" t="s">
        <v>3006</v>
      </c>
      <c r="R1235" s="20" t="s">
        <v>84</v>
      </c>
      <c r="S1235" s="20">
        <v>5</v>
      </c>
      <c r="T1235" s="20" t="s">
        <v>395</v>
      </c>
      <c r="U1235" s="20" t="s">
        <v>396</v>
      </c>
      <c r="V1235" s="20" t="s">
        <v>87</v>
      </c>
      <c r="W1235" s="20">
        <v>817</v>
      </c>
      <c r="X1235" s="20">
        <v>817</v>
      </c>
      <c r="Y1235" s="20" t="s">
        <v>4706</v>
      </c>
      <c r="Z1235" s="20">
        <v>1</v>
      </c>
      <c r="AA1235" s="20" t="s">
        <v>4707</v>
      </c>
      <c r="AB1235" s="20" t="s">
        <v>159</v>
      </c>
      <c r="AC1235" s="20" t="s">
        <v>160</v>
      </c>
      <c r="AD1235" s="20" t="s">
        <v>4708</v>
      </c>
      <c r="AE1235" s="20" t="s">
        <v>400</v>
      </c>
      <c r="AF1235" s="20">
        <v>1</v>
      </c>
      <c r="AG1235" s="20">
        <v>0</v>
      </c>
      <c r="AH1235" s="20">
        <v>1</v>
      </c>
      <c r="AI1235" s="4" t="s">
        <v>251</v>
      </c>
      <c r="AJ1235" s="20">
        <v>100</v>
      </c>
      <c r="AK1235" s="4" t="s">
        <v>179</v>
      </c>
      <c r="AL1235" s="4">
        <v>29</v>
      </c>
      <c r="AM1235" s="4">
        <v>29</v>
      </c>
      <c r="AN1235" s="4" t="s">
        <v>95</v>
      </c>
      <c r="AO1235" s="4" t="s">
        <v>96</v>
      </c>
      <c r="AP1235" s="4">
        <v>1</v>
      </c>
      <c r="AQ1235" s="20">
        <v>55000</v>
      </c>
      <c r="AR1235" s="4">
        <v>41918</v>
      </c>
      <c r="AS1235" s="20">
        <v>8333.3333333333321</v>
      </c>
      <c r="AT1235" s="20">
        <v>0</v>
      </c>
      <c r="AU1235" s="20">
        <v>-8333.3333333333321</v>
      </c>
      <c r="AV1235" s="20">
        <v>0</v>
      </c>
      <c r="AW1235" s="20">
        <v>0</v>
      </c>
      <c r="AX1235" s="20" t="s">
        <v>91</v>
      </c>
      <c r="AY1235" s="20">
        <v>0</v>
      </c>
      <c r="AZ1235" s="20">
        <v>0</v>
      </c>
      <c r="BA1235" s="20">
        <v>0</v>
      </c>
      <c r="BB1235" s="6">
        <v>41918</v>
      </c>
      <c r="BC1235" s="6">
        <v>0</v>
      </c>
      <c r="BD1235" s="6">
        <v>41922</v>
      </c>
      <c r="BE1235" s="6">
        <v>0</v>
      </c>
      <c r="BF1235" s="6">
        <v>41922</v>
      </c>
      <c r="BG1235" s="6">
        <v>0</v>
      </c>
      <c r="BH1235" s="6">
        <v>0</v>
      </c>
      <c r="BI1235" s="6">
        <v>0</v>
      </c>
      <c r="BJ1235" s="6">
        <v>0</v>
      </c>
      <c r="BK1235" s="4">
        <v>0</v>
      </c>
      <c r="BL1235" s="4">
        <v>0</v>
      </c>
      <c r="BM1235" s="20">
        <v>100</v>
      </c>
      <c r="BN1235" s="20">
        <v>0</v>
      </c>
      <c r="BO1235" s="20">
        <v>0</v>
      </c>
      <c r="BP1235" s="20">
        <v>0</v>
      </c>
      <c r="BQ1235" s="20">
        <v>0</v>
      </c>
      <c r="BR1235" s="20">
        <v>0</v>
      </c>
      <c r="BS1235" s="20">
        <v>100</v>
      </c>
      <c r="BT1235" s="20">
        <v>833333.33333333326</v>
      </c>
      <c r="BU1235" s="20">
        <v>5500000</v>
      </c>
      <c r="BV1235" s="20">
        <v>6</v>
      </c>
    </row>
    <row r="1236" spans="1:74">
      <c r="A1236" s="10">
        <f t="shared" si="78"/>
        <v>0</v>
      </c>
      <c r="B1236" s="10">
        <f t="shared" si="79"/>
        <v>0</v>
      </c>
      <c r="C1236" s="12">
        <f t="shared" si="80"/>
        <v>10</v>
      </c>
      <c r="D1236" s="12">
        <f t="shared" si="81"/>
        <v>10</v>
      </c>
      <c r="E1236" s="20" t="s">
        <v>574</v>
      </c>
      <c r="F1236" s="20" t="s">
        <v>4709</v>
      </c>
      <c r="G1236" s="20" t="s">
        <v>4672</v>
      </c>
      <c r="H1236" s="20" t="s">
        <v>4710</v>
      </c>
      <c r="I1236" s="20">
        <v>6</v>
      </c>
      <c r="J1236" s="20" t="s">
        <v>4711</v>
      </c>
      <c r="K1236" s="20" t="s">
        <v>4712</v>
      </c>
      <c r="L1236" s="20" t="s">
        <v>4713</v>
      </c>
      <c r="M1236" s="20" t="s">
        <v>2999</v>
      </c>
      <c r="N1236" s="20" t="s">
        <v>4714</v>
      </c>
      <c r="P1236" s="20" t="s">
        <v>2999</v>
      </c>
      <c r="Q1236" s="20" t="s">
        <v>3006</v>
      </c>
      <c r="R1236" s="20" t="s">
        <v>84</v>
      </c>
      <c r="S1236" s="20">
        <v>5</v>
      </c>
      <c r="T1236" s="20" t="s">
        <v>63</v>
      </c>
      <c r="U1236" s="20" t="s">
        <v>580</v>
      </c>
      <c r="V1236" s="20" t="s">
        <v>87</v>
      </c>
      <c r="W1236" s="20">
        <v>814</v>
      </c>
      <c r="X1236" s="20">
        <v>814</v>
      </c>
      <c r="Y1236" s="20" t="s">
        <v>4715</v>
      </c>
      <c r="Z1236" s="20">
        <v>1</v>
      </c>
      <c r="AA1236" s="20" t="s">
        <v>4716</v>
      </c>
      <c r="AB1236" s="20" t="s">
        <v>221</v>
      </c>
      <c r="AC1236" s="20" t="s">
        <v>222</v>
      </c>
      <c r="AD1236" s="20" t="s">
        <v>4717</v>
      </c>
      <c r="AE1236" s="20" t="s">
        <v>400</v>
      </c>
      <c r="AF1236" s="20">
        <v>1</v>
      </c>
      <c r="AG1236" s="20">
        <v>0</v>
      </c>
      <c r="AH1236" s="20">
        <v>1</v>
      </c>
      <c r="AI1236" s="4" t="s">
        <v>251</v>
      </c>
      <c r="AJ1236" s="20">
        <v>50</v>
      </c>
      <c r="AK1236" s="4" t="s">
        <v>179</v>
      </c>
      <c r="AL1236" s="4">
        <v>29</v>
      </c>
      <c r="AM1236" s="4">
        <v>29</v>
      </c>
      <c r="AN1236" s="4" t="s">
        <v>95</v>
      </c>
      <c r="AO1236" s="4" t="s">
        <v>96</v>
      </c>
      <c r="AP1236" s="4">
        <v>1</v>
      </c>
      <c r="AQ1236" s="20">
        <v>49000</v>
      </c>
      <c r="AR1236" s="4">
        <v>41918</v>
      </c>
      <c r="AS1236" s="20">
        <v>7424.242424242424</v>
      </c>
      <c r="AT1236" s="20">
        <v>0</v>
      </c>
      <c r="AU1236" s="20">
        <v>-7424.242424242424</v>
      </c>
      <c r="AV1236" s="20">
        <v>0</v>
      </c>
      <c r="AW1236" s="20">
        <v>0</v>
      </c>
      <c r="AX1236" s="20" t="s">
        <v>91</v>
      </c>
      <c r="AY1236" s="20">
        <v>0</v>
      </c>
      <c r="AZ1236" s="20">
        <v>0</v>
      </c>
      <c r="BA1236" s="20">
        <v>0</v>
      </c>
      <c r="BB1236" s="6">
        <v>41918</v>
      </c>
      <c r="BC1236" s="6">
        <v>0</v>
      </c>
      <c r="BD1236" s="6">
        <v>41922</v>
      </c>
      <c r="BE1236" s="6">
        <v>0</v>
      </c>
      <c r="BF1236" s="6">
        <v>41922</v>
      </c>
      <c r="BG1236" s="6">
        <v>0</v>
      </c>
      <c r="BH1236" s="6">
        <v>0</v>
      </c>
      <c r="BI1236" s="6">
        <v>0</v>
      </c>
      <c r="BJ1236" s="6">
        <v>0</v>
      </c>
      <c r="BK1236" s="4">
        <v>0</v>
      </c>
      <c r="BL1236" s="4">
        <v>0</v>
      </c>
      <c r="BM1236" s="20">
        <v>50</v>
      </c>
      <c r="BN1236" s="20">
        <v>0</v>
      </c>
      <c r="BO1236" s="20">
        <v>0</v>
      </c>
      <c r="BP1236" s="20">
        <v>0</v>
      </c>
      <c r="BQ1236" s="20">
        <v>0</v>
      </c>
      <c r="BR1236" s="20">
        <v>0</v>
      </c>
      <c r="BS1236" s="20">
        <v>50</v>
      </c>
      <c r="BT1236" s="20">
        <v>371212.12121212122</v>
      </c>
      <c r="BU1236" s="20">
        <v>2450000</v>
      </c>
      <c r="BV1236" s="20">
        <v>5.9999999999999991</v>
      </c>
    </row>
    <row r="1237" spans="1:74">
      <c r="A1237" s="10">
        <f t="shared" si="78"/>
        <v>0</v>
      </c>
      <c r="B1237" s="10">
        <f t="shared" si="79"/>
        <v>0</v>
      </c>
      <c r="C1237" s="12">
        <f t="shared" si="80"/>
        <v>10</v>
      </c>
      <c r="D1237" s="12">
        <f t="shared" si="81"/>
        <v>10</v>
      </c>
      <c r="E1237" s="20" t="s">
        <v>574</v>
      </c>
      <c r="F1237" s="20" t="s">
        <v>4709</v>
      </c>
      <c r="G1237" s="20" t="s">
        <v>4672</v>
      </c>
      <c r="H1237" s="20" t="s">
        <v>4718</v>
      </c>
      <c r="I1237" s="20">
        <v>7</v>
      </c>
      <c r="J1237" s="20" t="s">
        <v>4719</v>
      </c>
      <c r="K1237" s="20" t="s">
        <v>4720</v>
      </c>
      <c r="L1237" s="20" t="s">
        <v>4721</v>
      </c>
      <c r="M1237" s="20" t="s">
        <v>2999</v>
      </c>
      <c r="N1237" s="20" t="s">
        <v>4714</v>
      </c>
      <c r="P1237" s="20" t="s">
        <v>2999</v>
      </c>
      <c r="Q1237" s="20" t="s">
        <v>3006</v>
      </c>
      <c r="R1237" s="20" t="s">
        <v>84</v>
      </c>
      <c r="S1237" s="20">
        <v>5</v>
      </c>
      <c r="T1237" s="20" t="s">
        <v>63</v>
      </c>
      <c r="U1237" s="20" t="s">
        <v>580</v>
      </c>
      <c r="V1237" s="20" t="s">
        <v>87</v>
      </c>
      <c r="W1237" s="20">
        <v>816</v>
      </c>
      <c r="X1237" s="20">
        <v>816</v>
      </c>
      <c r="Y1237" s="20" t="s">
        <v>4722</v>
      </c>
      <c r="Z1237" s="20">
        <v>1</v>
      </c>
      <c r="AA1237" s="20" t="s">
        <v>4723</v>
      </c>
      <c r="AB1237" s="20" t="s">
        <v>159</v>
      </c>
      <c r="AC1237" s="20" t="s">
        <v>160</v>
      </c>
      <c r="AD1237" s="20" t="s">
        <v>4724</v>
      </c>
      <c r="AE1237" s="20" t="s">
        <v>400</v>
      </c>
      <c r="AF1237" s="20">
        <v>1</v>
      </c>
      <c r="AG1237" s="20">
        <v>0</v>
      </c>
      <c r="AH1237" s="20">
        <v>1</v>
      </c>
      <c r="AI1237" s="4" t="s">
        <v>251</v>
      </c>
      <c r="AJ1237" s="20">
        <v>58</v>
      </c>
      <c r="AK1237" s="4" t="s">
        <v>179</v>
      </c>
      <c r="AL1237" s="4">
        <v>29</v>
      </c>
      <c r="AM1237" s="4">
        <v>29</v>
      </c>
      <c r="AN1237" s="4" t="s">
        <v>95</v>
      </c>
      <c r="AO1237" s="4" t="s">
        <v>96</v>
      </c>
      <c r="AP1237" s="4">
        <v>1</v>
      </c>
      <c r="AQ1237" s="20">
        <v>55000</v>
      </c>
      <c r="AR1237" s="4">
        <v>41918</v>
      </c>
      <c r="AS1237" s="20">
        <v>8333.3333333333321</v>
      </c>
      <c r="AT1237" s="20">
        <v>0</v>
      </c>
      <c r="AU1237" s="20">
        <v>-8333.3333333333321</v>
      </c>
      <c r="AV1237" s="20">
        <v>0</v>
      </c>
      <c r="AW1237" s="20">
        <v>0</v>
      </c>
      <c r="AX1237" s="20" t="s">
        <v>91</v>
      </c>
      <c r="AY1237" s="20">
        <v>0</v>
      </c>
      <c r="AZ1237" s="20">
        <v>0</v>
      </c>
      <c r="BA1237" s="20">
        <v>0</v>
      </c>
      <c r="BB1237" s="6">
        <v>41918</v>
      </c>
      <c r="BC1237" s="6">
        <v>0</v>
      </c>
      <c r="BD1237" s="6">
        <v>41922</v>
      </c>
      <c r="BE1237" s="6">
        <v>0</v>
      </c>
      <c r="BF1237" s="6">
        <v>41922</v>
      </c>
      <c r="BG1237" s="6">
        <v>0</v>
      </c>
      <c r="BH1237" s="6">
        <v>0</v>
      </c>
      <c r="BI1237" s="6">
        <v>0</v>
      </c>
      <c r="BJ1237" s="6">
        <v>0</v>
      </c>
      <c r="BK1237" s="4">
        <v>0</v>
      </c>
      <c r="BL1237" s="4">
        <v>0</v>
      </c>
      <c r="BM1237" s="20">
        <v>58</v>
      </c>
      <c r="BN1237" s="20">
        <v>0</v>
      </c>
      <c r="BO1237" s="20">
        <v>0</v>
      </c>
      <c r="BP1237" s="20">
        <v>0</v>
      </c>
      <c r="BQ1237" s="20">
        <v>0</v>
      </c>
      <c r="BR1237" s="20">
        <v>0</v>
      </c>
      <c r="BS1237" s="20">
        <v>58</v>
      </c>
      <c r="BT1237" s="20">
        <v>483333.33333333326</v>
      </c>
      <c r="BU1237" s="20">
        <v>3190000</v>
      </c>
      <c r="BV1237" s="20">
        <v>6</v>
      </c>
    </row>
    <row r="1238" spans="1:74">
      <c r="A1238" s="10">
        <f t="shared" si="78"/>
        <v>0</v>
      </c>
      <c r="B1238" s="10">
        <f t="shared" si="79"/>
        <v>0</v>
      </c>
      <c r="C1238" s="12">
        <f t="shared" si="80"/>
        <v>10</v>
      </c>
      <c r="D1238" s="12">
        <f t="shared" si="81"/>
        <v>10</v>
      </c>
      <c r="E1238" s="20" t="s">
        <v>574</v>
      </c>
      <c r="F1238" s="20" t="s">
        <v>4709</v>
      </c>
      <c r="G1238" s="20" t="s">
        <v>4672</v>
      </c>
      <c r="H1238" s="20" t="s">
        <v>4725</v>
      </c>
      <c r="I1238" s="20">
        <v>8</v>
      </c>
      <c r="J1238" s="20" t="s">
        <v>4726</v>
      </c>
      <c r="K1238" s="20" t="s">
        <v>4727</v>
      </c>
      <c r="L1238" s="20" t="s">
        <v>4728</v>
      </c>
      <c r="M1238" s="20" t="s">
        <v>2999</v>
      </c>
      <c r="N1238" s="20" t="s">
        <v>4714</v>
      </c>
      <c r="P1238" s="20" t="s">
        <v>2999</v>
      </c>
      <c r="Q1238" s="20" t="s">
        <v>3006</v>
      </c>
      <c r="R1238" s="20" t="s">
        <v>84</v>
      </c>
      <c r="S1238" s="20">
        <v>5</v>
      </c>
      <c r="T1238" s="20" t="s">
        <v>63</v>
      </c>
      <c r="U1238" s="20" t="s">
        <v>580</v>
      </c>
      <c r="V1238" s="20" t="s">
        <v>87</v>
      </c>
      <c r="W1238" s="20">
        <v>818</v>
      </c>
      <c r="X1238" s="20">
        <v>818</v>
      </c>
      <c r="Y1238" s="20" t="s">
        <v>4729</v>
      </c>
      <c r="Z1238" s="20">
        <v>1</v>
      </c>
      <c r="AA1238" s="20" t="s">
        <v>4730</v>
      </c>
      <c r="AB1238" s="20" t="s">
        <v>139</v>
      </c>
      <c r="AC1238" s="20" t="s">
        <v>140</v>
      </c>
      <c r="AD1238" s="20" t="s">
        <v>4731</v>
      </c>
      <c r="AE1238" s="20" t="s">
        <v>400</v>
      </c>
      <c r="AF1238" s="20">
        <v>1</v>
      </c>
      <c r="AG1238" s="20">
        <v>0</v>
      </c>
      <c r="AH1238" s="20">
        <v>1</v>
      </c>
      <c r="AI1238" s="4" t="s">
        <v>251</v>
      </c>
      <c r="AJ1238" s="20">
        <v>50</v>
      </c>
      <c r="AK1238" s="4" t="s">
        <v>179</v>
      </c>
      <c r="AL1238" s="4">
        <v>29</v>
      </c>
      <c r="AM1238" s="4">
        <v>29</v>
      </c>
      <c r="AN1238" s="4" t="s">
        <v>95</v>
      </c>
      <c r="AO1238" s="4" t="s">
        <v>96</v>
      </c>
      <c r="AP1238" s="4">
        <v>1</v>
      </c>
      <c r="AQ1238" s="20">
        <v>55000</v>
      </c>
      <c r="AR1238" s="4">
        <v>41918</v>
      </c>
      <c r="AS1238" s="20">
        <v>8333.3333333333321</v>
      </c>
      <c r="AT1238" s="20">
        <v>0</v>
      </c>
      <c r="AU1238" s="20">
        <v>-8333.3333333333321</v>
      </c>
      <c r="AV1238" s="20">
        <v>0</v>
      </c>
      <c r="AW1238" s="20">
        <v>0</v>
      </c>
      <c r="AX1238" s="20" t="s">
        <v>91</v>
      </c>
      <c r="AY1238" s="20">
        <v>0</v>
      </c>
      <c r="AZ1238" s="20">
        <v>0</v>
      </c>
      <c r="BA1238" s="20">
        <v>0</v>
      </c>
      <c r="BB1238" s="6">
        <v>41918</v>
      </c>
      <c r="BC1238" s="6">
        <v>0</v>
      </c>
      <c r="BD1238" s="6">
        <v>41922</v>
      </c>
      <c r="BE1238" s="6">
        <v>0</v>
      </c>
      <c r="BF1238" s="6">
        <v>41922</v>
      </c>
      <c r="BG1238" s="6">
        <v>0</v>
      </c>
      <c r="BH1238" s="6">
        <v>0</v>
      </c>
      <c r="BI1238" s="6">
        <v>0</v>
      </c>
      <c r="BJ1238" s="6">
        <v>0</v>
      </c>
      <c r="BK1238" s="4">
        <v>0</v>
      </c>
      <c r="BL1238" s="4">
        <v>0</v>
      </c>
      <c r="BM1238" s="20">
        <v>50</v>
      </c>
      <c r="BN1238" s="20">
        <v>0</v>
      </c>
      <c r="BO1238" s="20">
        <v>0</v>
      </c>
      <c r="BP1238" s="20">
        <v>0</v>
      </c>
      <c r="BQ1238" s="20">
        <v>0</v>
      </c>
      <c r="BR1238" s="20">
        <v>0</v>
      </c>
      <c r="BS1238" s="20">
        <v>50</v>
      </c>
      <c r="BT1238" s="20">
        <v>416666.66666666663</v>
      </c>
      <c r="BU1238" s="20">
        <v>2750000</v>
      </c>
      <c r="BV1238" s="20">
        <v>6</v>
      </c>
    </row>
    <row r="1239" spans="1:74">
      <c r="A1239" s="10">
        <f t="shared" si="78"/>
        <v>0</v>
      </c>
      <c r="B1239" s="10">
        <f t="shared" si="79"/>
        <v>0</v>
      </c>
      <c r="C1239" s="12">
        <f t="shared" si="80"/>
        <v>10</v>
      </c>
      <c r="D1239" s="12">
        <f t="shared" si="81"/>
        <v>10</v>
      </c>
      <c r="E1239" s="20" t="s">
        <v>386</v>
      </c>
      <c r="F1239" s="20" t="s">
        <v>2999</v>
      </c>
      <c r="G1239" s="20" t="s">
        <v>4672</v>
      </c>
      <c r="H1239" s="20" t="s">
        <v>4732</v>
      </c>
      <c r="I1239" s="20">
        <v>9</v>
      </c>
      <c r="J1239" s="20" t="s">
        <v>4733</v>
      </c>
      <c r="K1239" s="20" t="s">
        <v>4734</v>
      </c>
      <c r="L1239" s="20" t="s">
        <v>4735</v>
      </c>
      <c r="M1239" s="20" t="s">
        <v>2999</v>
      </c>
      <c r="N1239" s="20" t="s">
        <v>4736</v>
      </c>
      <c r="P1239" s="20" t="s">
        <v>2999</v>
      </c>
      <c r="Q1239" s="20" t="s">
        <v>3006</v>
      </c>
      <c r="R1239" s="20" t="s">
        <v>84</v>
      </c>
      <c r="S1239" s="20">
        <v>5</v>
      </c>
      <c r="T1239" s="20" t="s">
        <v>395</v>
      </c>
      <c r="U1239" s="20" t="s">
        <v>396</v>
      </c>
      <c r="V1239" s="20" t="s">
        <v>87</v>
      </c>
      <c r="W1239" s="20">
        <v>601</v>
      </c>
      <c r="X1239" s="20">
        <v>601</v>
      </c>
      <c r="Y1239" s="20" t="s">
        <v>4737</v>
      </c>
      <c r="Z1239" s="20">
        <v>0.5</v>
      </c>
      <c r="AA1239" s="20" t="s">
        <v>4738</v>
      </c>
      <c r="AB1239" s="20" t="s">
        <v>189</v>
      </c>
      <c r="AC1239" s="20" t="s">
        <v>190</v>
      </c>
      <c r="AD1239" s="20" t="s">
        <v>4739</v>
      </c>
      <c r="AE1239" s="20" t="s">
        <v>400</v>
      </c>
      <c r="AF1239" s="20">
        <v>0.5</v>
      </c>
      <c r="AG1239" s="20">
        <v>0</v>
      </c>
      <c r="AH1239" s="20">
        <v>1</v>
      </c>
      <c r="AI1239" s="4" t="s">
        <v>251</v>
      </c>
      <c r="AJ1239" s="20">
        <v>90</v>
      </c>
      <c r="AK1239" s="4" t="s">
        <v>179</v>
      </c>
      <c r="AL1239" s="4">
        <v>29</v>
      </c>
      <c r="AM1239" s="4">
        <v>29</v>
      </c>
      <c r="AN1239" s="4" t="s">
        <v>95</v>
      </c>
      <c r="AO1239" s="4" t="s">
        <v>96</v>
      </c>
      <c r="AP1239" s="4">
        <v>1</v>
      </c>
      <c r="AQ1239" s="20">
        <v>53000</v>
      </c>
      <c r="AR1239" s="4">
        <v>41918</v>
      </c>
      <c r="AS1239" s="20">
        <v>8030.3030303030291</v>
      </c>
      <c r="AT1239" s="20">
        <v>0</v>
      </c>
      <c r="AU1239" s="20">
        <v>-8030.3030303030291</v>
      </c>
      <c r="AV1239" s="20">
        <v>0</v>
      </c>
      <c r="AW1239" s="20">
        <v>0</v>
      </c>
      <c r="AX1239" s="20" t="s">
        <v>91</v>
      </c>
      <c r="AY1239" s="20">
        <v>0</v>
      </c>
      <c r="AZ1239" s="20">
        <v>0</v>
      </c>
      <c r="BA1239" s="20">
        <v>0</v>
      </c>
      <c r="BB1239" s="6">
        <v>41918</v>
      </c>
      <c r="BC1239" s="6">
        <v>0</v>
      </c>
      <c r="BD1239" s="6">
        <v>41922</v>
      </c>
      <c r="BE1239" s="6">
        <v>0</v>
      </c>
      <c r="BF1239" s="6">
        <v>41922</v>
      </c>
      <c r="BG1239" s="6">
        <v>0</v>
      </c>
      <c r="BH1239" s="6">
        <v>0</v>
      </c>
      <c r="BI1239" s="6">
        <v>0</v>
      </c>
      <c r="BJ1239" s="6">
        <v>0</v>
      </c>
      <c r="BK1239" s="4">
        <v>0</v>
      </c>
      <c r="BL1239" s="4">
        <v>0</v>
      </c>
      <c r="BM1239" s="20">
        <v>84</v>
      </c>
      <c r="BN1239" s="20">
        <v>0</v>
      </c>
      <c r="BO1239" s="20">
        <v>0</v>
      </c>
      <c r="BP1239" s="20">
        <v>0</v>
      </c>
      <c r="BQ1239" s="20">
        <v>0</v>
      </c>
      <c r="BR1239" s="20">
        <v>0</v>
      </c>
      <c r="BS1239" s="20">
        <v>90</v>
      </c>
      <c r="BT1239" s="20">
        <v>722727.27272727259</v>
      </c>
      <c r="BU1239" s="20">
        <v>4770000</v>
      </c>
      <c r="BV1239" s="20">
        <v>6.0000000000000009</v>
      </c>
    </row>
    <row r="1240" spans="1:74">
      <c r="A1240" s="10">
        <f t="shared" si="78"/>
        <v>0</v>
      </c>
      <c r="B1240" s="10">
        <f t="shared" si="79"/>
        <v>0</v>
      </c>
      <c r="C1240" s="12">
        <f t="shared" si="80"/>
        <v>10</v>
      </c>
      <c r="D1240" s="12">
        <f t="shared" si="81"/>
        <v>10</v>
      </c>
      <c r="E1240" s="20" t="s">
        <v>386</v>
      </c>
      <c r="F1240" s="20" t="s">
        <v>2999</v>
      </c>
      <c r="G1240" s="20" t="s">
        <v>4672</v>
      </c>
      <c r="H1240" s="20" t="s">
        <v>4732</v>
      </c>
      <c r="I1240" s="20">
        <v>9</v>
      </c>
      <c r="J1240" s="20" t="s">
        <v>4733</v>
      </c>
      <c r="K1240" s="20" t="s">
        <v>4740</v>
      </c>
      <c r="L1240" s="20" t="s">
        <v>4735</v>
      </c>
      <c r="M1240" s="20" t="s">
        <v>2999</v>
      </c>
      <c r="N1240" s="20" t="s">
        <v>4736</v>
      </c>
      <c r="P1240" s="20" t="s">
        <v>2999</v>
      </c>
      <c r="Q1240" s="20" t="s">
        <v>3006</v>
      </c>
      <c r="R1240" s="20" t="s">
        <v>84</v>
      </c>
      <c r="S1240" s="20">
        <v>5</v>
      </c>
      <c r="T1240" s="20" t="s">
        <v>395</v>
      </c>
      <c r="U1240" s="20" t="s">
        <v>396</v>
      </c>
      <c r="V1240" s="20" t="s">
        <v>87</v>
      </c>
      <c r="W1240" s="20">
        <v>601</v>
      </c>
      <c r="X1240" s="20">
        <v>601</v>
      </c>
      <c r="Y1240" s="20" t="s">
        <v>4737</v>
      </c>
      <c r="Z1240" s="20">
        <v>0.5</v>
      </c>
      <c r="AA1240" s="20" t="s">
        <v>4741</v>
      </c>
      <c r="AB1240" s="20" t="s">
        <v>189</v>
      </c>
      <c r="AC1240" s="20" t="s">
        <v>190</v>
      </c>
      <c r="AD1240" s="20" t="s">
        <v>4739</v>
      </c>
      <c r="AE1240" s="20" t="s">
        <v>400</v>
      </c>
      <c r="AF1240" s="20">
        <v>0.5</v>
      </c>
      <c r="AG1240" s="20">
        <v>0</v>
      </c>
      <c r="AH1240" s="20">
        <v>1</v>
      </c>
      <c r="AI1240" s="4" t="s">
        <v>649</v>
      </c>
      <c r="AJ1240" s="20">
        <v>150</v>
      </c>
      <c r="AK1240" s="4" t="s">
        <v>179</v>
      </c>
      <c r="AL1240" s="4">
        <v>29</v>
      </c>
      <c r="AM1240" s="4">
        <v>29</v>
      </c>
      <c r="AN1240" s="4" t="s">
        <v>95</v>
      </c>
      <c r="AO1240" s="4" t="s">
        <v>96</v>
      </c>
      <c r="AP1240" s="4">
        <v>1</v>
      </c>
      <c r="AQ1240" s="20">
        <v>53000</v>
      </c>
      <c r="AR1240" s="4">
        <v>41918</v>
      </c>
      <c r="AS1240" s="20">
        <v>8030.3030303030291</v>
      </c>
      <c r="AT1240" s="20">
        <v>0</v>
      </c>
      <c r="AU1240" s="20">
        <v>-8030.3030303030291</v>
      </c>
      <c r="AV1240" s="20">
        <v>0</v>
      </c>
      <c r="AW1240" s="20">
        <v>0</v>
      </c>
      <c r="AX1240" s="20" t="s">
        <v>91</v>
      </c>
      <c r="AY1240" s="20">
        <v>0</v>
      </c>
      <c r="AZ1240" s="20">
        <v>0</v>
      </c>
      <c r="BA1240" s="20">
        <v>0</v>
      </c>
      <c r="BB1240" s="6">
        <v>41918</v>
      </c>
      <c r="BC1240" s="6">
        <v>0</v>
      </c>
      <c r="BD1240" s="6">
        <v>41922</v>
      </c>
      <c r="BE1240" s="6">
        <v>0</v>
      </c>
      <c r="BF1240" s="6">
        <v>41922</v>
      </c>
      <c r="BG1240" s="6">
        <v>0</v>
      </c>
      <c r="BH1240" s="6">
        <v>0</v>
      </c>
      <c r="BI1240" s="6">
        <v>0</v>
      </c>
      <c r="BJ1240" s="6">
        <v>0</v>
      </c>
      <c r="BK1240" s="4">
        <v>0</v>
      </c>
      <c r="BL1240" s="4">
        <v>0</v>
      </c>
      <c r="BM1240" s="20">
        <v>150</v>
      </c>
      <c r="BN1240" s="20">
        <v>0</v>
      </c>
      <c r="BO1240" s="20">
        <v>0</v>
      </c>
      <c r="BP1240" s="20">
        <v>0</v>
      </c>
      <c r="BQ1240" s="20">
        <v>0</v>
      </c>
      <c r="BR1240" s="20">
        <v>0</v>
      </c>
      <c r="BS1240" s="20">
        <v>150</v>
      </c>
      <c r="BT1240" s="20">
        <v>1204545.4545454544</v>
      </c>
      <c r="BU1240" s="20">
        <v>7950000</v>
      </c>
      <c r="BV1240" s="20">
        <v>6</v>
      </c>
    </row>
    <row r="1241" spans="1:74">
      <c r="A1241" s="10">
        <f t="shared" si="78"/>
        <v>0</v>
      </c>
      <c r="B1241" s="10">
        <f t="shared" si="79"/>
        <v>0</v>
      </c>
      <c r="C1241" s="12">
        <f t="shared" si="80"/>
        <v>10</v>
      </c>
      <c r="D1241" s="12">
        <f t="shared" si="81"/>
        <v>10</v>
      </c>
      <c r="E1241" s="20" t="s">
        <v>386</v>
      </c>
      <c r="F1241" s="20" t="s">
        <v>2999</v>
      </c>
      <c r="G1241" s="20" t="s">
        <v>4672</v>
      </c>
      <c r="H1241" s="20" t="s">
        <v>4673</v>
      </c>
      <c r="I1241" s="20">
        <v>10</v>
      </c>
      <c r="J1241" s="20" t="s">
        <v>4742</v>
      </c>
      <c r="K1241" s="20" t="s">
        <v>4743</v>
      </c>
      <c r="L1241" s="20" t="s">
        <v>4676</v>
      </c>
      <c r="M1241" s="20" t="s">
        <v>2999</v>
      </c>
      <c r="N1241" s="20" t="s">
        <v>4736</v>
      </c>
      <c r="P1241" s="20" t="s">
        <v>2999</v>
      </c>
      <c r="Q1241" s="20" t="s">
        <v>3006</v>
      </c>
      <c r="R1241" s="20" t="s">
        <v>84</v>
      </c>
      <c r="S1241" s="20">
        <v>5</v>
      </c>
      <c r="T1241" s="20" t="s">
        <v>395</v>
      </c>
      <c r="U1241" s="20" t="s">
        <v>396</v>
      </c>
      <c r="V1241" s="20" t="s">
        <v>87</v>
      </c>
      <c r="W1241" s="20">
        <v>604</v>
      </c>
      <c r="X1241" s="20">
        <v>604</v>
      </c>
      <c r="Y1241" s="20" t="s">
        <v>4678</v>
      </c>
      <c r="Z1241" s="20">
        <v>0</v>
      </c>
      <c r="AA1241" s="20" t="s">
        <v>4744</v>
      </c>
      <c r="AB1241" s="20" t="s">
        <v>279</v>
      </c>
      <c r="AC1241" s="20" t="s">
        <v>280</v>
      </c>
      <c r="AD1241" s="20" t="s">
        <v>4680</v>
      </c>
      <c r="AE1241" s="20" t="s">
        <v>400</v>
      </c>
      <c r="AF1241" s="20">
        <v>0</v>
      </c>
      <c r="AG1241" s="20">
        <v>0</v>
      </c>
      <c r="AH1241" s="20">
        <v>1</v>
      </c>
      <c r="AI1241" s="4" t="s">
        <v>251</v>
      </c>
      <c r="AJ1241" s="20">
        <v>33</v>
      </c>
      <c r="AK1241" s="4" t="s">
        <v>179</v>
      </c>
      <c r="AL1241" s="4">
        <v>29</v>
      </c>
      <c r="AM1241" s="4">
        <v>29</v>
      </c>
      <c r="AN1241" s="4" t="s">
        <v>95</v>
      </c>
      <c r="AO1241" s="4" t="s">
        <v>96</v>
      </c>
      <c r="AP1241" s="4">
        <v>1</v>
      </c>
      <c r="AQ1241" s="20">
        <v>53000</v>
      </c>
      <c r="AR1241" s="4">
        <v>41918</v>
      </c>
      <c r="AS1241" s="20">
        <v>8030.3030303030291</v>
      </c>
      <c r="AT1241" s="20">
        <v>0</v>
      </c>
      <c r="AU1241" s="20">
        <v>-8030.3030303030291</v>
      </c>
      <c r="AV1241" s="20">
        <v>0</v>
      </c>
      <c r="AW1241" s="20">
        <v>0</v>
      </c>
      <c r="AX1241" s="20" t="s">
        <v>91</v>
      </c>
      <c r="AY1241" s="20">
        <v>0</v>
      </c>
      <c r="AZ1241" s="20">
        <v>0</v>
      </c>
      <c r="BA1241" s="20">
        <v>0</v>
      </c>
      <c r="BB1241" s="6">
        <v>41918</v>
      </c>
      <c r="BC1241" s="6">
        <v>0</v>
      </c>
      <c r="BD1241" s="6">
        <v>41922</v>
      </c>
      <c r="BE1241" s="6">
        <v>0</v>
      </c>
      <c r="BF1241" s="6">
        <v>41922</v>
      </c>
      <c r="BG1241" s="6">
        <v>0</v>
      </c>
      <c r="BH1241" s="6">
        <v>0</v>
      </c>
      <c r="BI1241" s="6">
        <v>0</v>
      </c>
      <c r="BJ1241" s="6">
        <v>0</v>
      </c>
      <c r="BK1241" s="4">
        <v>0</v>
      </c>
      <c r="BL1241" s="4">
        <v>0</v>
      </c>
      <c r="BM1241" s="20">
        <v>282</v>
      </c>
      <c r="BN1241" s="20">
        <v>0</v>
      </c>
      <c r="BO1241" s="20">
        <v>0</v>
      </c>
      <c r="BP1241" s="20">
        <v>0</v>
      </c>
      <c r="BQ1241" s="20">
        <v>0</v>
      </c>
      <c r="BR1241" s="20">
        <v>0</v>
      </c>
      <c r="BS1241" s="20">
        <v>33</v>
      </c>
      <c r="BT1241" s="20">
        <v>264999.99999999994</v>
      </c>
      <c r="BU1241" s="20">
        <v>1749000</v>
      </c>
      <c r="BV1241" s="20">
        <v>6.0000000000000009</v>
      </c>
    </row>
    <row r="1242" spans="1:74">
      <c r="A1242" s="10">
        <f t="shared" si="78"/>
        <v>0</v>
      </c>
      <c r="B1242" s="10">
        <f t="shared" si="79"/>
        <v>0</v>
      </c>
      <c r="C1242" s="12">
        <f t="shared" si="80"/>
        <v>10</v>
      </c>
      <c r="D1242" s="12">
        <f t="shared" si="81"/>
        <v>10</v>
      </c>
      <c r="E1242" s="20" t="s">
        <v>386</v>
      </c>
      <c r="F1242" s="20" t="s">
        <v>2999</v>
      </c>
      <c r="G1242" s="20" t="s">
        <v>4672</v>
      </c>
      <c r="H1242" s="20" t="s">
        <v>4745</v>
      </c>
      <c r="I1242" s="20">
        <v>11</v>
      </c>
      <c r="J1242" s="20" t="s">
        <v>4746</v>
      </c>
      <c r="K1242" s="20" t="s">
        <v>4747</v>
      </c>
      <c r="L1242" s="20" t="s">
        <v>4748</v>
      </c>
      <c r="M1242" s="20" t="s">
        <v>2999</v>
      </c>
      <c r="N1242" s="20" t="s">
        <v>4736</v>
      </c>
      <c r="P1242" s="20" t="s">
        <v>2999</v>
      </c>
      <c r="Q1242" s="20" t="s">
        <v>3006</v>
      </c>
      <c r="R1242" s="20" t="s">
        <v>84</v>
      </c>
      <c r="S1242" s="20">
        <v>5</v>
      </c>
      <c r="T1242" s="20" t="s">
        <v>395</v>
      </c>
      <c r="U1242" s="20" t="s">
        <v>396</v>
      </c>
      <c r="V1242" s="20" t="s">
        <v>87</v>
      </c>
      <c r="W1242" s="20">
        <v>605</v>
      </c>
      <c r="X1242" s="20">
        <v>605</v>
      </c>
      <c r="Y1242" s="20" t="s">
        <v>4749</v>
      </c>
      <c r="Z1242" s="20">
        <v>1</v>
      </c>
      <c r="AA1242" s="20" t="s">
        <v>4750</v>
      </c>
      <c r="AB1242" s="20" t="s">
        <v>718</v>
      </c>
      <c r="AC1242" s="20" t="s">
        <v>719</v>
      </c>
      <c r="AD1242" s="20" t="s">
        <v>4751</v>
      </c>
      <c r="AE1242" s="20" t="s">
        <v>400</v>
      </c>
      <c r="AF1242" s="20">
        <v>1</v>
      </c>
      <c r="AG1242" s="20">
        <v>0</v>
      </c>
      <c r="AH1242" s="20">
        <v>1</v>
      </c>
      <c r="AI1242" s="4" t="s">
        <v>251</v>
      </c>
      <c r="AJ1242" s="20">
        <v>23</v>
      </c>
      <c r="AK1242" s="4" t="s">
        <v>179</v>
      </c>
      <c r="AL1242" s="4">
        <v>29</v>
      </c>
      <c r="AM1242" s="4">
        <v>29</v>
      </c>
      <c r="AN1242" s="4" t="s">
        <v>95</v>
      </c>
      <c r="AO1242" s="4" t="s">
        <v>96</v>
      </c>
      <c r="AP1242" s="4">
        <v>1</v>
      </c>
      <c r="AQ1242" s="20">
        <v>53000</v>
      </c>
      <c r="AR1242" s="4">
        <v>41918</v>
      </c>
      <c r="AS1242" s="20">
        <v>8030.3030303030291</v>
      </c>
      <c r="AT1242" s="20">
        <v>0</v>
      </c>
      <c r="AU1242" s="20">
        <v>-8030.3030303030291</v>
      </c>
      <c r="AV1242" s="20">
        <v>0</v>
      </c>
      <c r="AW1242" s="20">
        <v>0</v>
      </c>
      <c r="AX1242" s="20" t="s">
        <v>91</v>
      </c>
      <c r="AY1242" s="20">
        <v>0</v>
      </c>
      <c r="AZ1242" s="20">
        <v>0</v>
      </c>
      <c r="BA1242" s="20">
        <v>0</v>
      </c>
      <c r="BB1242" s="6">
        <v>41918</v>
      </c>
      <c r="BC1242" s="6">
        <v>0</v>
      </c>
      <c r="BD1242" s="6">
        <v>41922</v>
      </c>
      <c r="BE1242" s="6">
        <v>0</v>
      </c>
      <c r="BF1242" s="6">
        <v>41922</v>
      </c>
      <c r="BG1242" s="6">
        <v>0</v>
      </c>
      <c r="BH1242" s="6">
        <v>0</v>
      </c>
      <c r="BI1242" s="6">
        <v>0</v>
      </c>
      <c r="BJ1242" s="6">
        <v>0</v>
      </c>
      <c r="BK1242" s="4">
        <v>0</v>
      </c>
      <c r="BL1242" s="4">
        <v>0</v>
      </c>
      <c r="BM1242" s="20">
        <v>23</v>
      </c>
      <c r="BN1242" s="20">
        <v>0</v>
      </c>
      <c r="BO1242" s="20">
        <v>0</v>
      </c>
      <c r="BP1242" s="20">
        <v>0</v>
      </c>
      <c r="BQ1242" s="20">
        <v>0</v>
      </c>
      <c r="BR1242" s="20">
        <v>0</v>
      </c>
      <c r="BS1242" s="20">
        <v>23</v>
      </c>
      <c r="BT1242" s="20">
        <v>184696.96969696967</v>
      </c>
      <c r="BU1242" s="20">
        <v>1219000</v>
      </c>
      <c r="BV1242" s="20">
        <v>6</v>
      </c>
    </row>
    <row r="1243" spans="1:74">
      <c r="A1243" s="10">
        <f t="shared" si="78"/>
        <v>0</v>
      </c>
      <c r="B1243" s="10">
        <f t="shared" si="79"/>
        <v>0</v>
      </c>
      <c r="C1243" s="12">
        <f t="shared" si="80"/>
        <v>10</v>
      </c>
      <c r="D1243" s="12">
        <f t="shared" si="81"/>
        <v>10</v>
      </c>
      <c r="E1243" s="20" t="s">
        <v>386</v>
      </c>
      <c r="F1243" s="20" t="s">
        <v>2999</v>
      </c>
      <c r="G1243" s="20" t="s">
        <v>4672</v>
      </c>
      <c r="H1243" s="20" t="s">
        <v>4681</v>
      </c>
      <c r="I1243" s="20">
        <v>12</v>
      </c>
      <c r="J1243" s="20" t="s">
        <v>4752</v>
      </c>
      <c r="K1243" s="20" t="s">
        <v>4753</v>
      </c>
      <c r="L1243" s="20" t="s">
        <v>4684</v>
      </c>
      <c r="M1243" s="20" t="s">
        <v>2999</v>
      </c>
      <c r="N1243" s="20" t="s">
        <v>4736</v>
      </c>
      <c r="P1243" s="20" t="s">
        <v>2999</v>
      </c>
      <c r="Q1243" s="20" t="s">
        <v>3006</v>
      </c>
      <c r="R1243" s="20" t="s">
        <v>84</v>
      </c>
      <c r="S1243" s="20">
        <v>5</v>
      </c>
      <c r="T1243" s="20" t="s">
        <v>395</v>
      </c>
      <c r="U1243" s="20" t="s">
        <v>396</v>
      </c>
      <c r="V1243" s="20" t="s">
        <v>87</v>
      </c>
      <c r="W1243" s="20">
        <v>606</v>
      </c>
      <c r="X1243" s="20">
        <v>606</v>
      </c>
      <c r="Y1243" s="20" t="s">
        <v>4685</v>
      </c>
      <c r="Z1243" s="20">
        <v>0</v>
      </c>
      <c r="AA1243" s="20" t="s">
        <v>4754</v>
      </c>
      <c r="AB1243" s="20" t="s">
        <v>457</v>
      </c>
      <c r="AC1243" s="20" t="s">
        <v>458</v>
      </c>
      <c r="AD1243" s="20" t="s">
        <v>4687</v>
      </c>
      <c r="AE1243" s="20" t="s">
        <v>400</v>
      </c>
      <c r="AF1243" s="20">
        <v>0</v>
      </c>
      <c r="AG1243" s="20">
        <v>0</v>
      </c>
      <c r="AH1243" s="20">
        <v>1</v>
      </c>
      <c r="AI1243" s="4" t="s">
        <v>251</v>
      </c>
      <c r="AJ1243" s="20">
        <v>15</v>
      </c>
      <c r="AK1243" s="4" t="s">
        <v>179</v>
      </c>
      <c r="AL1243" s="4">
        <v>29</v>
      </c>
      <c r="AM1243" s="4">
        <v>29</v>
      </c>
      <c r="AN1243" s="4" t="s">
        <v>95</v>
      </c>
      <c r="AO1243" s="4" t="s">
        <v>96</v>
      </c>
      <c r="AP1243" s="4">
        <v>1</v>
      </c>
      <c r="AQ1243" s="20">
        <v>53000</v>
      </c>
      <c r="AR1243" s="4">
        <v>41918</v>
      </c>
      <c r="AS1243" s="20">
        <v>8030.3030303030291</v>
      </c>
      <c r="AT1243" s="20">
        <v>0</v>
      </c>
      <c r="AU1243" s="20">
        <v>-8030.3030303030291</v>
      </c>
      <c r="AV1243" s="20">
        <v>0</v>
      </c>
      <c r="AW1243" s="20">
        <v>0</v>
      </c>
      <c r="AX1243" s="20" t="s">
        <v>91</v>
      </c>
      <c r="AY1243" s="20">
        <v>0</v>
      </c>
      <c r="AZ1243" s="20">
        <v>0</v>
      </c>
      <c r="BA1243" s="20">
        <v>0</v>
      </c>
      <c r="BB1243" s="6">
        <v>41918</v>
      </c>
      <c r="BC1243" s="6">
        <v>0</v>
      </c>
      <c r="BD1243" s="6">
        <v>41922</v>
      </c>
      <c r="BE1243" s="6">
        <v>0</v>
      </c>
      <c r="BF1243" s="6">
        <v>41922</v>
      </c>
      <c r="BG1243" s="6">
        <v>0</v>
      </c>
      <c r="BH1243" s="6">
        <v>0</v>
      </c>
      <c r="BI1243" s="6">
        <v>0</v>
      </c>
      <c r="BJ1243" s="6">
        <v>0</v>
      </c>
      <c r="BK1243" s="4">
        <v>0</v>
      </c>
      <c r="BL1243" s="4">
        <v>0</v>
      </c>
      <c r="BM1243" s="20">
        <v>53</v>
      </c>
      <c r="BN1243" s="20">
        <v>0</v>
      </c>
      <c r="BO1243" s="20">
        <v>0</v>
      </c>
      <c r="BP1243" s="20">
        <v>0</v>
      </c>
      <c r="BQ1243" s="20">
        <v>0</v>
      </c>
      <c r="BR1243" s="20">
        <v>0</v>
      </c>
      <c r="BS1243" s="20">
        <v>15</v>
      </c>
      <c r="BT1243" s="20">
        <v>120454.54545454544</v>
      </c>
      <c r="BU1243" s="20">
        <v>795000</v>
      </c>
      <c r="BV1243" s="20">
        <v>6</v>
      </c>
    </row>
    <row r="1244" spans="1:74">
      <c r="A1244" s="10">
        <f t="shared" si="78"/>
        <v>0</v>
      </c>
      <c r="B1244" s="10">
        <f t="shared" si="79"/>
        <v>0</v>
      </c>
      <c r="C1244" s="12">
        <f t="shared" si="80"/>
        <v>10</v>
      </c>
      <c r="D1244" s="12">
        <f t="shared" si="81"/>
        <v>10</v>
      </c>
      <c r="E1244" s="20" t="s">
        <v>386</v>
      </c>
      <c r="F1244" s="20" t="s">
        <v>2999</v>
      </c>
      <c r="G1244" s="20" t="s">
        <v>4672</v>
      </c>
      <c r="H1244" s="20" t="s">
        <v>4755</v>
      </c>
      <c r="I1244" s="20">
        <v>13</v>
      </c>
      <c r="J1244" s="20" t="s">
        <v>4756</v>
      </c>
      <c r="K1244" s="20" t="s">
        <v>4757</v>
      </c>
      <c r="L1244" s="20" t="s">
        <v>4758</v>
      </c>
      <c r="M1244" s="20" t="s">
        <v>2999</v>
      </c>
      <c r="N1244" s="20" t="s">
        <v>4736</v>
      </c>
      <c r="P1244" s="20" t="s">
        <v>2999</v>
      </c>
      <c r="Q1244" s="20" t="s">
        <v>3006</v>
      </c>
      <c r="R1244" s="20" t="s">
        <v>84</v>
      </c>
      <c r="S1244" s="20">
        <v>5</v>
      </c>
      <c r="T1244" s="20" t="s">
        <v>395</v>
      </c>
      <c r="U1244" s="20" t="s">
        <v>396</v>
      </c>
      <c r="V1244" s="20" t="s">
        <v>87</v>
      </c>
      <c r="W1244" s="20">
        <v>612</v>
      </c>
      <c r="X1244" s="20">
        <v>612</v>
      </c>
      <c r="Y1244" s="20" t="s">
        <v>4759</v>
      </c>
      <c r="Z1244" s="20">
        <v>1</v>
      </c>
      <c r="AA1244" s="20" t="s">
        <v>4760</v>
      </c>
      <c r="AB1244" s="20" t="s">
        <v>189</v>
      </c>
      <c r="AC1244" s="20" t="s">
        <v>190</v>
      </c>
      <c r="AD1244" s="20" t="s">
        <v>4761</v>
      </c>
      <c r="AE1244" s="20" t="s">
        <v>400</v>
      </c>
      <c r="AF1244" s="20">
        <v>1</v>
      </c>
      <c r="AG1244" s="20">
        <v>0</v>
      </c>
      <c r="AH1244" s="20">
        <v>1</v>
      </c>
      <c r="AI1244" s="4" t="s">
        <v>251</v>
      </c>
      <c r="AJ1244" s="20">
        <v>115</v>
      </c>
      <c r="AK1244" s="4" t="s">
        <v>179</v>
      </c>
      <c r="AL1244" s="4">
        <v>29</v>
      </c>
      <c r="AM1244" s="4">
        <v>29</v>
      </c>
      <c r="AN1244" s="4" t="s">
        <v>95</v>
      </c>
      <c r="AO1244" s="4" t="s">
        <v>96</v>
      </c>
      <c r="AP1244" s="4">
        <v>1</v>
      </c>
      <c r="AQ1244" s="20">
        <v>69000</v>
      </c>
      <c r="AR1244" s="4">
        <v>41918</v>
      </c>
      <c r="AS1244" s="20">
        <v>10454.545454545454</v>
      </c>
      <c r="AT1244" s="20">
        <v>0</v>
      </c>
      <c r="AU1244" s="20">
        <v>-10454.545454545454</v>
      </c>
      <c r="AV1244" s="20">
        <v>0</v>
      </c>
      <c r="AW1244" s="20">
        <v>0</v>
      </c>
      <c r="AX1244" s="20" t="s">
        <v>91</v>
      </c>
      <c r="AY1244" s="20">
        <v>0</v>
      </c>
      <c r="AZ1244" s="20">
        <v>0</v>
      </c>
      <c r="BA1244" s="20">
        <v>0</v>
      </c>
      <c r="BB1244" s="6">
        <v>41918</v>
      </c>
      <c r="BC1244" s="6">
        <v>0</v>
      </c>
      <c r="BD1244" s="6">
        <v>41922</v>
      </c>
      <c r="BE1244" s="6">
        <v>0</v>
      </c>
      <c r="BF1244" s="6">
        <v>41922</v>
      </c>
      <c r="BG1244" s="6">
        <v>0</v>
      </c>
      <c r="BH1244" s="6">
        <v>0</v>
      </c>
      <c r="BI1244" s="6">
        <v>0</v>
      </c>
      <c r="BJ1244" s="6">
        <v>0</v>
      </c>
      <c r="BK1244" s="4">
        <v>0</v>
      </c>
      <c r="BL1244" s="4">
        <v>0</v>
      </c>
      <c r="BM1244" s="20">
        <v>114</v>
      </c>
      <c r="BN1244" s="20">
        <v>0</v>
      </c>
      <c r="BO1244" s="20">
        <v>0</v>
      </c>
      <c r="BP1244" s="20">
        <v>0</v>
      </c>
      <c r="BQ1244" s="20">
        <v>0</v>
      </c>
      <c r="BR1244" s="20">
        <v>0</v>
      </c>
      <c r="BS1244" s="20">
        <v>115</v>
      </c>
      <c r="BT1244" s="20">
        <v>1202272.7272727273</v>
      </c>
      <c r="BU1244" s="20">
        <v>7935000</v>
      </c>
      <c r="BV1244" s="20">
        <v>5.9999999999999991</v>
      </c>
    </row>
    <row r="1245" spans="1:74">
      <c r="A1245" s="10">
        <f t="shared" si="78"/>
        <v>0</v>
      </c>
      <c r="B1245" s="10">
        <f t="shared" si="79"/>
        <v>0</v>
      </c>
      <c r="C1245" s="12" t="str">
        <f t="shared" si="80"/>
        <v/>
      </c>
      <c r="D1245" s="12" t="str">
        <f t="shared" si="81"/>
        <v/>
      </c>
      <c r="E1245" s="20" t="s">
        <v>91</v>
      </c>
      <c r="F1245" s="20" t="s">
        <v>91</v>
      </c>
      <c r="G1245" s="20" t="s">
        <v>91</v>
      </c>
      <c r="H1245" s="20" t="s">
        <v>91</v>
      </c>
      <c r="I1245" s="20">
        <v>0</v>
      </c>
      <c r="J1245" s="20" t="s">
        <v>103</v>
      </c>
      <c r="K1245" s="20" t="s">
        <v>104</v>
      </c>
      <c r="L1245" s="20">
        <v>0</v>
      </c>
      <c r="M1245" s="20" t="s">
        <v>105</v>
      </c>
      <c r="N1245" s="20" t="s">
        <v>91</v>
      </c>
      <c r="O1245" s="20" t="s">
        <v>4762</v>
      </c>
      <c r="Q1245" s="20" t="s">
        <v>91</v>
      </c>
      <c r="R1245" s="20" t="s">
        <v>91</v>
      </c>
      <c r="S1245" s="20" t="s">
        <v>91</v>
      </c>
      <c r="T1245" s="20" t="s">
        <v>91</v>
      </c>
      <c r="U1245" s="20" t="s">
        <v>91</v>
      </c>
      <c r="V1245" s="20" t="s">
        <v>87</v>
      </c>
      <c r="W1245" s="20" t="s">
        <v>91</v>
      </c>
      <c r="X1245" s="20" t="s">
        <v>91</v>
      </c>
      <c r="Y1245" s="20" t="s">
        <v>91</v>
      </c>
      <c r="Z1245" s="20">
        <v>11</v>
      </c>
      <c r="AB1245" s="20" t="s">
        <v>91</v>
      </c>
      <c r="AD1245" s="20" t="s">
        <v>91</v>
      </c>
      <c r="AE1245" s="20" t="s">
        <v>91</v>
      </c>
      <c r="AF1245" s="20">
        <v>11</v>
      </c>
      <c r="AG1245" s="20">
        <v>0</v>
      </c>
      <c r="AH1245" s="20">
        <v>1</v>
      </c>
      <c r="AM1245" s="4" t="s">
        <v>91</v>
      </c>
      <c r="AP1245" s="4" t="s">
        <v>91</v>
      </c>
      <c r="AQ1245" s="20">
        <v>0</v>
      </c>
      <c r="AR1245" s="4">
        <v>0</v>
      </c>
      <c r="AS1245" s="20">
        <v>0</v>
      </c>
      <c r="AT1245" s="20">
        <v>0</v>
      </c>
      <c r="AU1245" s="20">
        <v>0</v>
      </c>
      <c r="AV1245" s="20">
        <v>0</v>
      </c>
      <c r="AW1245" s="20">
        <v>0</v>
      </c>
      <c r="AX1245" s="20" t="s">
        <v>91</v>
      </c>
      <c r="AY1245" s="20">
        <v>0</v>
      </c>
      <c r="AZ1245" s="20">
        <v>0</v>
      </c>
      <c r="BA1245" s="20">
        <v>0</v>
      </c>
      <c r="BB1245" s="6">
        <v>0</v>
      </c>
      <c r="BC1245" s="6">
        <v>0</v>
      </c>
      <c r="BD1245" s="6">
        <v>0</v>
      </c>
      <c r="BE1245" s="6">
        <v>0</v>
      </c>
      <c r="BF1245" s="6">
        <v>0</v>
      </c>
      <c r="BG1245" s="6">
        <v>0</v>
      </c>
      <c r="BH1245" s="6">
        <v>0</v>
      </c>
      <c r="BI1245" s="6">
        <v>0</v>
      </c>
      <c r="BJ1245" s="6">
        <v>0</v>
      </c>
      <c r="BK1245" s="4">
        <v>0</v>
      </c>
      <c r="BL1245" s="4">
        <v>0</v>
      </c>
      <c r="BM1245" s="20">
        <v>1499</v>
      </c>
      <c r="BN1245" s="20">
        <v>0</v>
      </c>
      <c r="BO1245" s="20">
        <v>0</v>
      </c>
      <c r="BP1245" s="20">
        <v>0</v>
      </c>
      <c r="BQ1245" s="20">
        <v>0</v>
      </c>
      <c r="BR1245" s="20">
        <v>0</v>
      </c>
      <c r="BS1245" s="20">
        <v>1174</v>
      </c>
      <c r="BT1245" s="20">
        <v>9860303.0303030275</v>
      </c>
      <c r="BU1245" s="20">
        <v>65078000</v>
      </c>
      <c r="BV1245" s="20">
        <v>6.0000000000000018</v>
      </c>
    </row>
    <row r="1246" spans="1:74">
      <c r="A1246" s="10">
        <f t="shared" si="78"/>
        <v>0</v>
      </c>
      <c r="B1246" s="10">
        <f t="shared" si="79"/>
        <v>0</v>
      </c>
      <c r="C1246" s="12">
        <f t="shared" si="80"/>
        <v>10</v>
      </c>
      <c r="D1246" s="12">
        <f t="shared" si="81"/>
        <v>10</v>
      </c>
      <c r="E1246" s="20" t="s">
        <v>386</v>
      </c>
      <c r="F1246" s="20" t="s">
        <v>2999</v>
      </c>
      <c r="G1246" s="20" t="s">
        <v>4763</v>
      </c>
      <c r="H1246" s="20" t="s">
        <v>4764</v>
      </c>
      <c r="I1246" s="20">
        <v>1</v>
      </c>
      <c r="J1246" s="20" t="s">
        <v>4765</v>
      </c>
      <c r="K1246" s="20" t="s">
        <v>4766</v>
      </c>
      <c r="L1246" s="20" t="s">
        <v>4767</v>
      </c>
      <c r="M1246" s="20" t="s">
        <v>2999</v>
      </c>
      <c r="N1246" s="20" t="s">
        <v>4677</v>
      </c>
      <c r="P1246" s="20" t="s">
        <v>2999</v>
      </c>
      <c r="Q1246" s="20" t="s">
        <v>3006</v>
      </c>
      <c r="R1246" s="20" t="s">
        <v>84</v>
      </c>
      <c r="S1246" s="20">
        <v>5</v>
      </c>
      <c r="T1246" s="20" t="s">
        <v>395</v>
      </c>
      <c r="U1246" s="20" t="s">
        <v>396</v>
      </c>
      <c r="V1246" s="20" t="s">
        <v>87</v>
      </c>
      <c r="W1246" s="20">
        <v>808</v>
      </c>
      <c r="X1246" s="20">
        <v>808</v>
      </c>
      <c r="Y1246" s="20" t="s">
        <v>4768</v>
      </c>
      <c r="Z1246" s="20">
        <v>1</v>
      </c>
      <c r="AA1246" s="20" t="s">
        <v>4769</v>
      </c>
      <c r="AB1246" s="20" t="s">
        <v>303</v>
      </c>
      <c r="AC1246" s="20" t="s">
        <v>304</v>
      </c>
      <c r="AD1246" s="20" t="s">
        <v>4770</v>
      </c>
      <c r="AE1246" s="20" t="s">
        <v>400</v>
      </c>
      <c r="AF1246" s="20">
        <v>1</v>
      </c>
      <c r="AG1246" s="20">
        <v>0</v>
      </c>
      <c r="AH1246" s="20">
        <v>1</v>
      </c>
      <c r="AI1246" s="4" t="s">
        <v>251</v>
      </c>
      <c r="AJ1246" s="20">
        <v>73</v>
      </c>
      <c r="AK1246" s="4" t="s">
        <v>572</v>
      </c>
      <c r="AL1246" s="4">
        <v>3</v>
      </c>
      <c r="AM1246" s="4" t="s">
        <v>438</v>
      </c>
      <c r="AN1246" s="4" t="s">
        <v>95</v>
      </c>
      <c r="AO1246" s="4" t="s">
        <v>96</v>
      </c>
      <c r="AP1246" s="4">
        <v>1</v>
      </c>
      <c r="AQ1246" s="20">
        <v>49000</v>
      </c>
      <c r="AR1246" s="4">
        <v>41918</v>
      </c>
      <c r="AS1246" s="20">
        <v>7424.242424242424</v>
      </c>
      <c r="AT1246" s="20">
        <v>0</v>
      </c>
      <c r="AU1246" s="20">
        <v>-7424.242424242424</v>
      </c>
      <c r="AV1246" s="20">
        <v>0</v>
      </c>
      <c r="AW1246" s="20">
        <v>0</v>
      </c>
      <c r="AX1246" s="20" t="s">
        <v>91</v>
      </c>
      <c r="AY1246" s="20">
        <v>0</v>
      </c>
      <c r="AZ1246" s="20">
        <v>0</v>
      </c>
      <c r="BA1246" s="20">
        <v>0</v>
      </c>
      <c r="BB1246" s="6">
        <v>41918</v>
      </c>
      <c r="BC1246" s="6">
        <v>0</v>
      </c>
      <c r="BD1246" s="6">
        <v>41922</v>
      </c>
      <c r="BE1246" s="6">
        <v>0</v>
      </c>
      <c r="BF1246" s="6">
        <v>41922</v>
      </c>
      <c r="BG1246" s="6">
        <v>0</v>
      </c>
      <c r="BH1246" s="6">
        <v>0</v>
      </c>
      <c r="BI1246" s="6">
        <v>0</v>
      </c>
      <c r="BJ1246" s="6">
        <v>0</v>
      </c>
      <c r="BK1246" s="4">
        <v>0</v>
      </c>
      <c r="BL1246" s="4">
        <v>0</v>
      </c>
      <c r="BM1246" s="20">
        <v>73</v>
      </c>
      <c r="BN1246" s="20">
        <v>0</v>
      </c>
      <c r="BO1246" s="20">
        <v>0</v>
      </c>
      <c r="BP1246" s="20">
        <v>0</v>
      </c>
      <c r="BQ1246" s="20">
        <v>0</v>
      </c>
      <c r="BR1246" s="20">
        <v>0</v>
      </c>
      <c r="BS1246" s="20">
        <v>73</v>
      </c>
      <c r="BT1246" s="20">
        <v>541969.6969696969</v>
      </c>
      <c r="BU1246" s="20">
        <v>3577000</v>
      </c>
      <c r="BV1246" s="20">
        <v>6</v>
      </c>
    </row>
    <row r="1247" spans="1:74">
      <c r="A1247" s="10">
        <f t="shared" si="78"/>
        <v>0</v>
      </c>
      <c r="B1247" s="10">
        <f t="shared" si="79"/>
        <v>0</v>
      </c>
      <c r="C1247" s="12">
        <f t="shared" si="80"/>
        <v>10</v>
      </c>
      <c r="D1247" s="12">
        <f t="shared" si="81"/>
        <v>10</v>
      </c>
      <c r="E1247" s="20" t="s">
        <v>386</v>
      </c>
      <c r="F1247" s="20" t="s">
        <v>2999</v>
      </c>
      <c r="G1247" s="20" t="s">
        <v>4763</v>
      </c>
      <c r="H1247" s="20" t="s">
        <v>4771</v>
      </c>
      <c r="I1247" s="20">
        <v>2</v>
      </c>
      <c r="J1247" s="20" t="s">
        <v>4772</v>
      </c>
      <c r="K1247" s="20" t="s">
        <v>4773</v>
      </c>
      <c r="L1247" s="20" t="s">
        <v>4774</v>
      </c>
      <c r="M1247" s="20" t="s">
        <v>2999</v>
      </c>
      <c r="N1247" s="20" t="s">
        <v>4677</v>
      </c>
      <c r="P1247" s="20" t="s">
        <v>2999</v>
      </c>
      <c r="Q1247" s="20" t="s">
        <v>3006</v>
      </c>
      <c r="R1247" s="20" t="s">
        <v>84</v>
      </c>
      <c r="S1247" s="20">
        <v>5</v>
      </c>
      <c r="T1247" s="20" t="s">
        <v>395</v>
      </c>
      <c r="U1247" s="20" t="s">
        <v>396</v>
      </c>
      <c r="V1247" s="20" t="s">
        <v>87</v>
      </c>
      <c r="W1247" s="20">
        <v>809</v>
      </c>
      <c r="X1247" s="20">
        <v>809</v>
      </c>
      <c r="Y1247" s="20" t="s">
        <v>4775</v>
      </c>
      <c r="Z1247" s="20">
        <v>1</v>
      </c>
      <c r="AA1247" s="20" t="s">
        <v>4776</v>
      </c>
      <c r="AB1247" s="20" t="s">
        <v>139</v>
      </c>
      <c r="AC1247" s="20" t="s">
        <v>140</v>
      </c>
      <c r="AD1247" s="20" t="s">
        <v>4777</v>
      </c>
      <c r="AE1247" s="20" t="s">
        <v>400</v>
      </c>
      <c r="AF1247" s="20">
        <v>1</v>
      </c>
      <c r="AG1247" s="20">
        <v>0</v>
      </c>
      <c r="AH1247" s="20">
        <v>1</v>
      </c>
      <c r="AI1247" s="4" t="s">
        <v>251</v>
      </c>
      <c r="AJ1247" s="20">
        <v>50</v>
      </c>
      <c r="AK1247" s="4" t="s">
        <v>572</v>
      </c>
      <c r="AL1247" s="4">
        <v>3</v>
      </c>
      <c r="AM1247" s="4" t="s">
        <v>438</v>
      </c>
      <c r="AN1247" s="4" t="s">
        <v>95</v>
      </c>
      <c r="AO1247" s="4" t="s">
        <v>96</v>
      </c>
      <c r="AP1247" s="4">
        <v>1</v>
      </c>
      <c r="AQ1247" s="20">
        <v>49000</v>
      </c>
      <c r="AR1247" s="4">
        <v>41918</v>
      </c>
      <c r="AS1247" s="20">
        <v>7424.242424242424</v>
      </c>
      <c r="AT1247" s="20">
        <v>0</v>
      </c>
      <c r="AU1247" s="20">
        <v>-7424.242424242424</v>
      </c>
      <c r="AV1247" s="20">
        <v>0</v>
      </c>
      <c r="AW1247" s="20">
        <v>0</v>
      </c>
      <c r="AX1247" s="20" t="s">
        <v>91</v>
      </c>
      <c r="AY1247" s="20">
        <v>0</v>
      </c>
      <c r="AZ1247" s="20">
        <v>0</v>
      </c>
      <c r="BA1247" s="20">
        <v>0</v>
      </c>
      <c r="BB1247" s="6">
        <v>41918</v>
      </c>
      <c r="BC1247" s="6">
        <v>0</v>
      </c>
      <c r="BD1247" s="6">
        <v>41922</v>
      </c>
      <c r="BE1247" s="6">
        <v>0</v>
      </c>
      <c r="BF1247" s="6">
        <v>41922</v>
      </c>
      <c r="BG1247" s="6">
        <v>0</v>
      </c>
      <c r="BH1247" s="6">
        <v>0</v>
      </c>
      <c r="BI1247" s="6">
        <v>0</v>
      </c>
      <c r="BJ1247" s="6">
        <v>0</v>
      </c>
      <c r="BK1247" s="4">
        <v>0</v>
      </c>
      <c r="BL1247" s="4">
        <v>0</v>
      </c>
      <c r="BM1247" s="20">
        <v>50</v>
      </c>
      <c r="BN1247" s="20">
        <v>0</v>
      </c>
      <c r="BO1247" s="20">
        <v>0</v>
      </c>
      <c r="BP1247" s="20">
        <v>0</v>
      </c>
      <c r="BQ1247" s="20">
        <v>0</v>
      </c>
      <c r="BR1247" s="20">
        <v>0</v>
      </c>
      <c r="BS1247" s="20">
        <v>50</v>
      </c>
      <c r="BT1247" s="20">
        <v>371212.12121212122</v>
      </c>
      <c r="BU1247" s="20">
        <v>2450000</v>
      </c>
      <c r="BV1247" s="20">
        <v>5.9999999999999991</v>
      </c>
    </row>
    <row r="1248" spans="1:74">
      <c r="A1248" s="10">
        <f t="shared" si="78"/>
        <v>0</v>
      </c>
      <c r="B1248" s="10">
        <f t="shared" si="79"/>
        <v>0</v>
      </c>
      <c r="C1248" s="12">
        <f t="shared" si="80"/>
        <v>10</v>
      </c>
      <c r="D1248" s="12">
        <f t="shared" si="81"/>
        <v>10</v>
      </c>
      <c r="E1248" s="20" t="s">
        <v>386</v>
      </c>
      <c r="F1248" s="20" t="s">
        <v>2999</v>
      </c>
      <c r="G1248" s="20" t="s">
        <v>4763</v>
      </c>
      <c r="H1248" s="20" t="s">
        <v>4778</v>
      </c>
      <c r="I1248" s="20">
        <v>3</v>
      </c>
      <c r="J1248" s="20" t="s">
        <v>4779</v>
      </c>
      <c r="K1248" s="20" t="s">
        <v>4780</v>
      </c>
      <c r="L1248" s="20" t="s">
        <v>4781</v>
      </c>
      <c r="M1248" s="20" t="s">
        <v>2999</v>
      </c>
      <c r="N1248" s="20" t="s">
        <v>4677</v>
      </c>
      <c r="P1248" s="20" t="s">
        <v>2999</v>
      </c>
      <c r="Q1248" s="20" t="s">
        <v>3006</v>
      </c>
      <c r="R1248" s="20" t="s">
        <v>84</v>
      </c>
      <c r="S1248" s="20">
        <v>5</v>
      </c>
      <c r="T1248" s="20" t="s">
        <v>395</v>
      </c>
      <c r="U1248" s="20" t="s">
        <v>396</v>
      </c>
      <c r="V1248" s="20" t="s">
        <v>87</v>
      </c>
      <c r="W1248" s="20">
        <v>812</v>
      </c>
      <c r="X1248" s="20">
        <v>812</v>
      </c>
      <c r="Y1248" s="20" t="s">
        <v>4782</v>
      </c>
      <c r="Z1248" s="20">
        <v>1</v>
      </c>
      <c r="AA1248" s="20" t="s">
        <v>4783</v>
      </c>
      <c r="AB1248" s="20" t="s">
        <v>279</v>
      </c>
      <c r="AC1248" s="20" t="s">
        <v>280</v>
      </c>
      <c r="AD1248" s="20" t="s">
        <v>4784</v>
      </c>
      <c r="AE1248" s="20" t="s">
        <v>400</v>
      </c>
      <c r="AF1248" s="20">
        <v>1</v>
      </c>
      <c r="AG1248" s="20">
        <v>0</v>
      </c>
      <c r="AH1248" s="20">
        <v>1</v>
      </c>
      <c r="AI1248" s="4" t="s">
        <v>251</v>
      </c>
      <c r="AJ1248" s="20">
        <v>8</v>
      </c>
      <c r="AK1248" s="4" t="s">
        <v>572</v>
      </c>
      <c r="AL1248" s="4">
        <v>3</v>
      </c>
      <c r="AM1248" s="4" t="s">
        <v>438</v>
      </c>
      <c r="AN1248" s="4" t="s">
        <v>95</v>
      </c>
      <c r="AO1248" s="4" t="s">
        <v>96</v>
      </c>
      <c r="AP1248" s="4">
        <v>1</v>
      </c>
      <c r="AQ1248" s="20">
        <v>49000</v>
      </c>
      <c r="AR1248" s="4">
        <v>41918</v>
      </c>
      <c r="AS1248" s="20">
        <v>7424.242424242424</v>
      </c>
      <c r="AT1248" s="20">
        <v>0</v>
      </c>
      <c r="AU1248" s="20">
        <v>-7424.242424242424</v>
      </c>
      <c r="AV1248" s="20">
        <v>0</v>
      </c>
      <c r="AW1248" s="20">
        <v>0</v>
      </c>
      <c r="AX1248" s="20" t="s">
        <v>91</v>
      </c>
      <c r="AY1248" s="20">
        <v>0</v>
      </c>
      <c r="AZ1248" s="20">
        <v>0</v>
      </c>
      <c r="BA1248" s="20">
        <v>0</v>
      </c>
      <c r="BB1248" s="6">
        <v>41918</v>
      </c>
      <c r="BC1248" s="6">
        <v>0</v>
      </c>
      <c r="BD1248" s="6">
        <v>41922</v>
      </c>
      <c r="BE1248" s="6">
        <v>0</v>
      </c>
      <c r="BF1248" s="6">
        <v>41922</v>
      </c>
      <c r="BG1248" s="6">
        <v>0</v>
      </c>
      <c r="BH1248" s="6">
        <v>0</v>
      </c>
      <c r="BI1248" s="6">
        <v>0</v>
      </c>
      <c r="BJ1248" s="6">
        <v>0</v>
      </c>
      <c r="BK1248" s="4">
        <v>0</v>
      </c>
      <c r="BL1248" s="4">
        <v>0</v>
      </c>
      <c r="BM1248" s="20">
        <v>7</v>
      </c>
      <c r="BN1248" s="20">
        <v>0</v>
      </c>
      <c r="BO1248" s="20">
        <v>0</v>
      </c>
      <c r="BP1248" s="20">
        <v>0</v>
      </c>
      <c r="BQ1248" s="20">
        <v>0</v>
      </c>
      <c r="BS1248" s="20">
        <v>8</v>
      </c>
      <c r="BT1248" s="20">
        <v>59393.939393939392</v>
      </c>
      <c r="BU1248" s="20">
        <v>392000</v>
      </c>
      <c r="BV1248" s="20">
        <v>6</v>
      </c>
    </row>
    <row r="1249" spans="1:74">
      <c r="A1249" s="10">
        <f t="shared" si="78"/>
        <v>0</v>
      </c>
      <c r="B1249" s="10">
        <f t="shared" si="79"/>
        <v>0</v>
      </c>
      <c r="C1249" s="12">
        <f t="shared" si="80"/>
        <v>10</v>
      </c>
      <c r="D1249" s="12">
        <f t="shared" si="81"/>
        <v>10</v>
      </c>
      <c r="E1249" s="20" t="s">
        <v>386</v>
      </c>
      <c r="F1249" s="20" t="s">
        <v>2999</v>
      </c>
      <c r="G1249" s="20" t="s">
        <v>4763</v>
      </c>
      <c r="H1249" s="20" t="s">
        <v>4785</v>
      </c>
      <c r="I1249" s="20">
        <v>4</v>
      </c>
      <c r="J1249" s="20" t="s">
        <v>4786</v>
      </c>
      <c r="K1249" s="20" t="s">
        <v>4787</v>
      </c>
      <c r="L1249" s="20" t="s">
        <v>4788</v>
      </c>
      <c r="M1249" s="20" t="s">
        <v>2999</v>
      </c>
      <c r="N1249" s="20" t="s">
        <v>4789</v>
      </c>
      <c r="P1249" s="20" t="s">
        <v>2999</v>
      </c>
      <c r="Q1249" s="20" t="s">
        <v>3006</v>
      </c>
      <c r="R1249" s="20" t="s">
        <v>84</v>
      </c>
      <c r="S1249" s="20">
        <v>5</v>
      </c>
      <c r="T1249" s="20" t="s">
        <v>480</v>
      </c>
      <c r="U1249" s="20" t="s">
        <v>481</v>
      </c>
      <c r="V1249" s="20" t="s">
        <v>87</v>
      </c>
      <c r="W1249" s="20">
        <v>653</v>
      </c>
      <c r="X1249" s="20">
        <v>653</v>
      </c>
      <c r="Y1249" s="20" t="s">
        <v>4790</v>
      </c>
      <c r="Z1249" s="20">
        <v>1</v>
      </c>
      <c r="AA1249" s="20" t="s">
        <v>4791</v>
      </c>
      <c r="AB1249" s="20" t="s">
        <v>303</v>
      </c>
      <c r="AC1249" s="20" t="s">
        <v>304</v>
      </c>
      <c r="AD1249" s="20" t="s">
        <v>4792</v>
      </c>
      <c r="AE1249" s="20" t="s">
        <v>400</v>
      </c>
      <c r="AF1249" s="20">
        <v>1</v>
      </c>
      <c r="AG1249" s="20">
        <v>0</v>
      </c>
      <c r="AH1249" s="20">
        <v>1</v>
      </c>
      <c r="AI1249" s="4" t="s">
        <v>251</v>
      </c>
      <c r="AJ1249" s="20">
        <v>171</v>
      </c>
      <c r="AK1249" s="4" t="s">
        <v>572</v>
      </c>
      <c r="AL1249" s="4">
        <v>3</v>
      </c>
      <c r="AM1249" s="4" t="s">
        <v>438</v>
      </c>
      <c r="AN1249" s="4" t="s">
        <v>95</v>
      </c>
      <c r="AO1249" s="4" t="s">
        <v>96</v>
      </c>
      <c r="AP1249" s="4">
        <v>1</v>
      </c>
      <c r="AQ1249" s="20">
        <v>69000</v>
      </c>
      <c r="AR1249" s="4">
        <v>41918</v>
      </c>
      <c r="AS1249" s="20">
        <v>10454.545454545454</v>
      </c>
      <c r="AT1249" s="20">
        <v>0</v>
      </c>
      <c r="AU1249" s="20">
        <v>-10454.545454545454</v>
      </c>
      <c r="AV1249" s="20">
        <v>0</v>
      </c>
      <c r="AW1249" s="20">
        <v>0</v>
      </c>
      <c r="AX1249" s="20" t="s">
        <v>91</v>
      </c>
      <c r="AY1249" s="20">
        <v>0</v>
      </c>
      <c r="AZ1249" s="20">
        <v>0</v>
      </c>
      <c r="BA1249" s="20">
        <v>0</v>
      </c>
      <c r="BB1249" s="6">
        <v>41918</v>
      </c>
      <c r="BC1249" s="6">
        <v>0</v>
      </c>
      <c r="BD1249" s="6">
        <v>41922</v>
      </c>
      <c r="BE1249" s="6">
        <v>0</v>
      </c>
      <c r="BF1249" s="6">
        <v>41922</v>
      </c>
      <c r="BG1249" s="6">
        <v>0</v>
      </c>
      <c r="BH1249" s="6">
        <v>0</v>
      </c>
      <c r="BI1249" s="6">
        <v>0</v>
      </c>
      <c r="BJ1249" s="6">
        <v>0</v>
      </c>
      <c r="BK1249" s="4">
        <v>0</v>
      </c>
      <c r="BL1249" s="4">
        <v>0</v>
      </c>
      <c r="BM1249" s="20">
        <v>169</v>
      </c>
      <c r="BN1249" s="20">
        <v>0</v>
      </c>
      <c r="BO1249" s="20">
        <v>0</v>
      </c>
      <c r="BP1249" s="20">
        <v>0</v>
      </c>
      <c r="BQ1249" s="20">
        <v>0</v>
      </c>
      <c r="BR1249" s="20">
        <v>0</v>
      </c>
      <c r="BS1249" s="20">
        <v>171</v>
      </c>
      <c r="BT1249" s="20">
        <v>1787727.2727272727</v>
      </c>
      <c r="BU1249" s="20">
        <v>11799000</v>
      </c>
      <c r="BV1249" s="20">
        <v>5.9999999999999991</v>
      </c>
    </row>
    <row r="1250" spans="1:74">
      <c r="A1250" s="10">
        <f t="shared" si="78"/>
        <v>0</v>
      </c>
      <c r="B1250" s="10">
        <f t="shared" si="79"/>
        <v>0</v>
      </c>
      <c r="C1250" s="12">
        <f t="shared" si="80"/>
        <v>10</v>
      </c>
      <c r="D1250" s="12">
        <f t="shared" si="81"/>
        <v>10</v>
      </c>
      <c r="E1250" s="20" t="s">
        <v>386</v>
      </c>
      <c r="F1250" s="20" t="s">
        <v>2999</v>
      </c>
      <c r="G1250" s="20" t="s">
        <v>4763</v>
      </c>
      <c r="H1250" s="20" t="s">
        <v>4793</v>
      </c>
      <c r="I1250" s="20">
        <v>5</v>
      </c>
      <c r="J1250" s="20" t="s">
        <v>4794</v>
      </c>
      <c r="K1250" s="20" t="s">
        <v>4795</v>
      </c>
      <c r="L1250" s="20" t="s">
        <v>4796</v>
      </c>
      <c r="M1250" s="20" t="s">
        <v>2999</v>
      </c>
      <c r="N1250" s="20" t="s">
        <v>4789</v>
      </c>
      <c r="P1250" s="20" t="s">
        <v>2999</v>
      </c>
      <c r="Q1250" s="20" t="s">
        <v>3006</v>
      </c>
      <c r="R1250" s="20" t="s">
        <v>84</v>
      </c>
      <c r="S1250" s="20">
        <v>5</v>
      </c>
      <c r="T1250" s="20" t="s">
        <v>480</v>
      </c>
      <c r="U1250" s="20" t="s">
        <v>481</v>
      </c>
      <c r="V1250" s="20" t="s">
        <v>87</v>
      </c>
      <c r="W1250" s="20">
        <v>656</v>
      </c>
      <c r="X1250" s="20">
        <v>656</v>
      </c>
      <c r="Y1250" s="20" t="s">
        <v>4797</v>
      </c>
      <c r="Z1250" s="20">
        <v>1</v>
      </c>
      <c r="AA1250" s="20" t="s">
        <v>4798</v>
      </c>
      <c r="AB1250" s="20" t="s">
        <v>296</v>
      </c>
      <c r="AC1250" s="20" t="s">
        <v>297</v>
      </c>
      <c r="AD1250" s="20" t="s">
        <v>4799</v>
      </c>
      <c r="AE1250" s="20" t="s">
        <v>400</v>
      </c>
      <c r="AF1250" s="20">
        <v>1</v>
      </c>
      <c r="AG1250" s="20">
        <v>0</v>
      </c>
      <c r="AH1250" s="20">
        <v>1</v>
      </c>
      <c r="AI1250" s="4" t="s">
        <v>251</v>
      </c>
      <c r="AJ1250" s="20">
        <v>213</v>
      </c>
      <c r="AK1250" s="4" t="s">
        <v>572</v>
      </c>
      <c r="AL1250" s="4">
        <v>3</v>
      </c>
      <c r="AM1250" s="4" t="s">
        <v>438</v>
      </c>
      <c r="AN1250" s="4" t="s">
        <v>95</v>
      </c>
      <c r="AO1250" s="4" t="s">
        <v>96</v>
      </c>
      <c r="AP1250" s="4">
        <v>1</v>
      </c>
      <c r="AQ1250" s="20">
        <v>69000</v>
      </c>
      <c r="AR1250" s="4">
        <v>41918</v>
      </c>
      <c r="AS1250" s="20">
        <v>10454.545454545454</v>
      </c>
      <c r="AT1250" s="20">
        <v>0</v>
      </c>
      <c r="AU1250" s="20">
        <v>-10454.545454545454</v>
      </c>
      <c r="AV1250" s="20">
        <v>0</v>
      </c>
      <c r="AW1250" s="20">
        <v>0</v>
      </c>
      <c r="AX1250" s="20" t="s">
        <v>91</v>
      </c>
      <c r="AY1250" s="20">
        <v>0</v>
      </c>
      <c r="AZ1250" s="20">
        <v>0</v>
      </c>
      <c r="BA1250" s="20">
        <v>0</v>
      </c>
      <c r="BB1250" s="6">
        <v>41918</v>
      </c>
      <c r="BC1250" s="6">
        <v>0</v>
      </c>
      <c r="BD1250" s="6">
        <v>41922</v>
      </c>
      <c r="BE1250" s="6">
        <v>0</v>
      </c>
      <c r="BF1250" s="6">
        <v>41922</v>
      </c>
      <c r="BG1250" s="6">
        <v>0</v>
      </c>
      <c r="BH1250" s="6">
        <v>0</v>
      </c>
      <c r="BI1250" s="6">
        <v>0</v>
      </c>
      <c r="BJ1250" s="6">
        <v>0</v>
      </c>
      <c r="BK1250" s="4">
        <v>0</v>
      </c>
      <c r="BL1250" s="4">
        <v>0</v>
      </c>
      <c r="BM1250" s="20">
        <v>200</v>
      </c>
      <c r="BN1250" s="20">
        <v>0</v>
      </c>
      <c r="BO1250" s="20">
        <v>0</v>
      </c>
      <c r="BP1250" s="20">
        <v>0</v>
      </c>
      <c r="BQ1250" s="20">
        <v>0</v>
      </c>
      <c r="BR1250" s="20">
        <v>0</v>
      </c>
      <c r="BS1250" s="20">
        <v>213</v>
      </c>
      <c r="BT1250" s="20">
        <v>2226818.1818181816</v>
      </c>
      <c r="BU1250" s="20">
        <v>14697000</v>
      </c>
      <c r="BV1250" s="20">
        <v>6</v>
      </c>
    </row>
    <row r="1251" spans="1:74">
      <c r="A1251" s="10">
        <f t="shared" si="78"/>
        <v>0</v>
      </c>
      <c r="B1251" s="10">
        <f t="shared" si="79"/>
        <v>0</v>
      </c>
      <c r="C1251" s="12" t="str">
        <f t="shared" si="80"/>
        <v/>
      </c>
      <c r="D1251" s="12" t="str">
        <f t="shared" si="81"/>
        <v/>
      </c>
      <c r="E1251" s="20" t="s">
        <v>91</v>
      </c>
      <c r="F1251" s="20" t="s">
        <v>91</v>
      </c>
      <c r="G1251" s="20" t="s">
        <v>91</v>
      </c>
      <c r="H1251" s="20" t="s">
        <v>91</v>
      </c>
      <c r="I1251" s="20">
        <v>0</v>
      </c>
      <c r="J1251" s="20" t="s">
        <v>103</v>
      </c>
      <c r="K1251" s="20" t="s">
        <v>104</v>
      </c>
      <c r="L1251" s="20">
        <v>0</v>
      </c>
      <c r="M1251" s="20" t="s">
        <v>105</v>
      </c>
      <c r="N1251" s="20" t="s">
        <v>91</v>
      </c>
      <c r="O1251" s="20" t="s">
        <v>4800</v>
      </c>
      <c r="Q1251" s="20" t="s">
        <v>91</v>
      </c>
      <c r="R1251" s="20" t="s">
        <v>91</v>
      </c>
      <c r="S1251" s="20" t="s">
        <v>91</v>
      </c>
      <c r="T1251" s="20" t="s">
        <v>91</v>
      </c>
      <c r="U1251" s="20" t="s">
        <v>91</v>
      </c>
      <c r="V1251" s="20" t="s">
        <v>87</v>
      </c>
      <c r="W1251" s="20" t="s">
        <v>91</v>
      </c>
      <c r="X1251" s="20" t="s">
        <v>91</v>
      </c>
      <c r="Y1251" s="20" t="s">
        <v>91</v>
      </c>
      <c r="Z1251" s="20">
        <v>5</v>
      </c>
      <c r="AB1251" s="20" t="s">
        <v>91</v>
      </c>
      <c r="AD1251" s="20" t="s">
        <v>91</v>
      </c>
      <c r="AE1251" s="20" t="s">
        <v>91</v>
      </c>
      <c r="AF1251" s="20">
        <v>5</v>
      </c>
      <c r="AG1251" s="20">
        <v>0</v>
      </c>
      <c r="AH1251" s="20">
        <v>1</v>
      </c>
      <c r="AM1251" s="4" t="s">
        <v>91</v>
      </c>
      <c r="AP1251" s="4" t="s">
        <v>91</v>
      </c>
      <c r="AQ1251" s="20">
        <v>0</v>
      </c>
      <c r="AR1251" s="4">
        <v>0</v>
      </c>
      <c r="AS1251" s="20">
        <v>0</v>
      </c>
      <c r="AT1251" s="20">
        <v>0</v>
      </c>
      <c r="AU1251" s="20">
        <v>0</v>
      </c>
      <c r="AV1251" s="20">
        <v>0</v>
      </c>
      <c r="AW1251" s="20">
        <v>0</v>
      </c>
      <c r="AX1251" s="20" t="s">
        <v>91</v>
      </c>
      <c r="AY1251" s="20">
        <v>0</v>
      </c>
      <c r="AZ1251" s="20">
        <v>0</v>
      </c>
      <c r="BA1251" s="20">
        <v>0</v>
      </c>
      <c r="BB1251" s="6">
        <v>0</v>
      </c>
      <c r="BC1251" s="6">
        <v>0</v>
      </c>
      <c r="BD1251" s="6">
        <v>0</v>
      </c>
      <c r="BE1251" s="6">
        <v>0</v>
      </c>
      <c r="BF1251" s="6">
        <v>0</v>
      </c>
      <c r="BG1251" s="6">
        <v>0</v>
      </c>
      <c r="BH1251" s="6">
        <v>0</v>
      </c>
      <c r="BI1251" s="6">
        <v>0</v>
      </c>
      <c r="BJ1251" s="6">
        <v>0</v>
      </c>
      <c r="BK1251" s="4">
        <v>0</v>
      </c>
      <c r="BL1251" s="4">
        <v>0</v>
      </c>
      <c r="BM1251" s="20">
        <v>499</v>
      </c>
      <c r="BN1251" s="20">
        <v>0</v>
      </c>
      <c r="BO1251" s="20">
        <v>0</v>
      </c>
      <c r="BP1251" s="20">
        <v>0</v>
      </c>
      <c r="BQ1251" s="20">
        <v>0</v>
      </c>
      <c r="BR1251" s="20">
        <v>0</v>
      </c>
      <c r="BS1251" s="20">
        <v>515</v>
      </c>
      <c r="BT1251" s="20">
        <v>4987121.2121212119</v>
      </c>
      <c r="BU1251" s="20">
        <v>32915000</v>
      </c>
      <c r="BV1251" s="20">
        <v>5.9999999999999991</v>
      </c>
    </row>
    <row r="1252" spans="1:74">
      <c r="A1252" s="10">
        <f t="shared" si="78"/>
        <v>0</v>
      </c>
      <c r="B1252" s="10">
        <f t="shared" si="79"/>
        <v>0</v>
      </c>
      <c r="C1252" s="12">
        <f t="shared" si="80"/>
        <v>10</v>
      </c>
      <c r="D1252" s="12">
        <f t="shared" si="81"/>
        <v>10</v>
      </c>
      <c r="E1252" s="20" t="s">
        <v>386</v>
      </c>
      <c r="F1252" s="20" t="s">
        <v>2999</v>
      </c>
      <c r="G1252" s="20" t="s">
        <v>4801</v>
      </c>
      <c r="H1252" s="20" t="s">
        <v>4802</v>
      </c>
      <c r="I1252" s="20">
        <v>1</v>
      </c>
      <c r="J1252" s="20" t="s">
        <v>4803</v>
      </c>
      <c r="K1252" s="20" t="s">
        <v>4804</v>
      </c>
      <c r="L1252" s="20" t="s">
        <v>4805</v>
      </c>
      <c r="M1252" s="20" t="s">
        <v>2999</v>
      </c>
      <c r="N1252" s="20" t="s">
        <v>4806</v>
      </c>
      <c r="P1252" s="20" t="s">
        <v>2999</v>
      </c>
      <c r="Q1252" s="20" t="s">
        <v>3006</v>
      </c>
      <c r="R1252" s="20" t="s">
        <v>84</v>
      </c>
      <c r="S1252" s="20">
        <v>5</v>
      </c>
      <c r="T1252" s="20" t="s">
        <v>106</v>
      </c>
      <c r="U1252" s="20" t="s">
        <v>107</v>
      </c>
      <c r="V1252" s="20" t="s">
        <v>87</v>
      </c>
      <c r="W1252" s="20">
        <v>801</v>
      </c>
      <c r="X1252" s="20">
        <v>801</v>
      </c>
      <c r="Y1252" s="20" t="s">
        <v>4807</v>
      </c>
      <c r="Z1252" s="20">
        <v>1</v>
      </c>
      <c r="AA1252" s="20" t="s">
        <v>4808</v>
      </c>
      <c r="AB1252" s="20" t="s">
        <v>101</v>
      </c>
      <c r="AC1252" s="20" t="s">
        <v>102</v>
      </c>
      <c r="AD1252" s="20" t="s">
        <v>4809</v>
      </c>
      <c r="AE1252" s="20" t="s">
        <v>400</v>
      </c>
      <c r="AF1252" s="20">
        <v>1</v>
      </c>
      <c r="AG1252" s="20">
        <v>0</v>
      </c>
      <c r="AH1252" s="20">
        <v>1</v>
      </c>
      <c r="AI1252" s="4" t="s">
        <v>251</v>
      </c>
      <c r="AJ1252" s="20">
        <v>2</v>
      </c>
      <c r="AK1252" s="4" t="s">
        <v>111</v>
      </c>
      <c r="AL1252" s="4">
        <v>26</v>
      </c>
      <c r="AM1252" s="4">
        <v>26</v>
      </c>
      <c r="AN1252" s="4" t="s">
        <v>95</v>
      </c>
      <c r="AO1252" s="4" t="s">
        <v>96</v>
      </c>
      <c r="AP1252" s="4">
        <v>1</v>
      </c>
      <c r="AQ1252" s="20">
        <v>59000</v>
      </c>
      <c r="AR1252" s="4">
        <v>41918</v>
      </c>
      <c r="AS1252" s="20">
        <v>8939.3939393939381</v>
      </c>
      <c r="AT1252" s="20">
        <v>0</v>
      </c>
      <c r="AU1252" s="20">
        <v>-8939.3939393939381</v>
      </c>
      <c r="AV1252" s="20">
        <v>0</v>
      </c>
      <c r="AW1252" s="20">
        <v>0</v>
      </c>
      <c r="AX1252" s="20" t="s">
        <v>91</v>
      </c>
      <c r="AY1252" s="20">
        <v>0</v>
      </c>
      <c r="AZ1252" s="20">
        <v>0</v>
      </c>
      <c r="BA1252" s="20">
        <v>0</v>
      </c>
      <c r="BB1252" s="6">
        <v>41918</v>
      </c>
      <c r="BC1252" s="6">
        <v>0</v>
      </c>
      <c r="BD1252" s="6">
        <v>41922</v>
      </c>
      <c r="BE1252" s="6">
        <v>0</v>
      </c>
      <c r="BF1252" s="6">
        <v>41922</v>
      </c>
      <c r="BG1252" s="6">
        <v>0</v>
      </c>
      <c r="BH1252" s="6">
        <v>0</v>
      </c>
      <c r="BI1252" s="6">
        <v>0</v>
      </c>
      <c r="BJ1252" s="6">
        <v>0</v>
      </c>
      <c r="BK1252" s="4">
        <v>0</v>
      </c>
      <c r="BL1252" s="4">
        <v>0</v>
      </c>
      <c r="BM1252" s="20">
        <v>2</v>
      </c>
      <c r="BN1252" s="20">
        <v>0</v>
      </c>
      <c r="BO1252" s="20">
        <v>0</v>
      </c>
      <c r="BP1252" s="20">
        <v>0</v>
      </c>
      <c r="BQ1252" s="20">
        <v>0</v>
      </c>
      <c r="BR1252" s="20">
        <v>0</v>
      </c>
      <c r="BS1252" s="20">
        <v>2</v>
      </c>
      <c r="BT1252" s="20">
        <v>17878.787878787876</v>
      </c>
      <c r="BU1252" s="20">
        <v>118000</v>
      </c>
      <c r="BV1252" s="20">
        <v>6.0000000000000009</v>
      </c>
    </row>
    <row r="1253" spans="1:74">
      <c r="A1253" s="10">
        <f t="shared" si="78"/>
        <v>0</v>
      </c>
      <c r="B1253" s="10">
        <f t="shared" si="79"/>
        <v>0</v>
      </c>
      <c r="C1253" s="12">
        <f t="shared" si="80"/>
        <v>10</v>
      </c>
      <c r="D1253" s="12">
        <f t="shared" si="81"/>
        <v>10</v>
      </c>
      <c r="E1253" s="20" t="s">
        <v>386</v>
      </c>
      <c r="F1253" s="20" t="s">
        <v>2999</v>
      </c>
      <c r="G1253" s="20" t="s">
        <v>4801</v>
      </c>
      <c r="H1253" s="20" t="s">
        <v>4810</v>
      </c>
      <c r="I1253" s="20">
        <v>2</v>
      </c>
      <c r="J1253" s="20" t="s">
        <v>4811</v>
      </c>
      <c r="K1253" s="20" t="s">
        <v>4812</v>
      </c>
      <c r="L1253" s="20" t="s">
        <v>4813</v>
      </c>
      <c r="M1253" s="20" t="s">
        <v>2999</v>
      </c>
      <c r="N1253" s="20" t="s">
        <v>4806</v>
      </c>
      <c r="P1253" s="20" t="s">
        <v>2999</v>
      </c>
      <c r="Q1253" s="20" t="s">
        <v>3006</v>
      </c>
      <c r="R1253" s="20" t="s">
        <v>84</v>
      </c>
      <c r="S1253" s="20">
        <v>5</v>
      </c>
      <c r="T1253" s="20" t="s">
        <v>106</v>
      </c>
      <c r="U1253" s="20" t="s">
        <v>107</v>
      </c>
      <c r="V1253" s="20" t="s">
        <v>87</v>
      </c>
      <c r="W1253" s="20">
        <v>802</v>
      </c>
      <c r="X1253" s="20">
        <v>802</v>
      </c>
      <c r="Y1253" s="20" t="s">
        <v>4814</v>
      </c>
      <c r="Z1253" s="20">
        <v>1</v>
      </c>
      <c r="AA1253" s="20" t="s">
        <v>4815</v>
      </c>
      <c r="AB1253" s="20" t="s">
        <v>718</v>
      </c>
      <c r="AC1253" s="20" t="s">
        <v>719</v>
      </c>
      <c r="AD1253" s="20" t="s">
        <v>4816</v>
      </c>
      <c r="AE1253" s="20" t="s">
        <v>400</v>
      </c>
      <c r="AF1253" s="20">
        <v>1</v>
      </c>
      <c r="AG1253" s="20">
        <v>0</v>
      </c>
      <c r="AH1253" s="20">
        <v>1</v>
      </c>
      <c r="AI1253" s="4" t="s">
        <v>251</v>
      </c>
      <c r="AJ1253" s="20">
        <v>100</v>
      </c>
      <c r="AK1253" s="4" t="s">
        <v>111</v>
      </c>
      <c r="AL1253" s="4">
        <v>26</v>
      </c>
      <c r="AM1253" s="4">
        <v>26</v>
      </c>
      <c r="AN1253" s="4" t="s">
        <v>95</v>
      </c>
      <c r="AO1253" s="4" t="s">
        <v>96</v>
      </c>
      <c r="AP1253" s="4">
        <v>1</v>
      </c>
      <c r="AQ1253" s="20">
        <v>59000</v>
      </c>
      <c r="AR1253" s="4">
        <v>41918</v>
      </c>
      <c r="AS1253" s="20">
        <v>8939.3939393939381</v>
      </c>
      <c r="AT1253" s="20">
        <v>0</v>
      </c>
      <c r="AU1253" s="20">
        <v>-8939.3939393939381</v>
      </c>
      <c r="AV1253" s="20">
        <v>0</v>
      </c>
      <c r="AW1253" s="20">
        <v>0</v>
      </c>
      <c r="AX1253" s="20" t="s">
        <v>91</v>
      </c>
      <c r="AY1253" s="20">
        <v>0</v>
      </c>
      <c r="AZ1253" s="20">
        <v>0</v>
      </c>
      <c r="BA1253" s="20">
        <v>0</v>
      </c>
      <c r="BB1253" s="6">
        <v>41918</v>
      </c>
      <c r="BC1253" s="6">
        <v>0</v>
      </c>
      <c r="BD1253" s="6">
        <v>41922</v>
      </c>
      <c r="BE1253" s="6">
        <v>0</v>
      </c>
      <c r="BF1253" s="6">
        <v>41922</v>
      </c>
      <c r="BG1253" s="6">
        <v>0</v>
      </c>
      <c r="BH1253" s="6">
        <v>0</v>
      </c>
      <c r="BI1253" s="6">
        <v>0</v>
      </c>
      <c r="BJ1253" s="6">
        <v>0</v>
      </c>
      <c r="BK1253" s="4">
        <v>0</v>
      </c>
      <c r="BL1253" s="4">
        <v>0</v>
      </c>
      <c r="BM1253" s="20">
        <v>100</v>
      </c>
      <c r="BN1253" s="20">
        <v>0</v>
      </c>
      <c r="BO1253" s="20">
        <v>0</v>
      </c>
      <c r="BP1253" s="20">
        <v>0</v>
      </c>
      <c r="BQ1253" s="20">
        <v>0</v>
      </c>
      <c r="BR1253" s="20">
        <v>0</v>
      </c>
      <c r="BS1253" s="20">
        <v>100</v>
      </c>
      <c r="BT1253" s="20">
        <v>893939.39393939381</v>
      </c>
      <c r="BU1253" s="20">
        <v>5900000</v>
      </c>
      <c r="BV1253" s="20">
        <v>6.0000000000000009</v>
      </c>
    </row>
    <row r="1254" spans="1:74">
      <c r="A1254" s="10">
        <f t="shared" si="78"/>
        <v>0</v>
      </c>
      <c r="B1254" s="10">
        <f t="shared" si="79"/>
        <v>0</v>
      </c>
      <c r="C1254" s="12" t="str">
        <f t="shared" si="80"/>
        <v/>
      </c>
      <c r="D1254" s="12" t="str">
        <f t="shared" si="81"/>
        <v/>
      </c>
      <c r="E1254" s="20" t="s">
        <v>91</v>
      </c>
      <c r="F1254" s="20" t="s">
        <v>91</v>
      </c>
      <c r="G1254" s="20" t="s">
        <v>91</v>
      </c>
      <c r="H1254" s="20" t="s">
        <v>91</v>
      </c>
      <c r="I1254" s="20">
        <v>0</v>
      </c>
      <c r="J1254" s="20" t="s">
        <v>103</v>
      </c>
      <c r="K1254" s="20" t="s">
        <v>104</v>
      </c>
      <c r="L1254" s="20">
        <v>0</v>
      </c>
      <c r="M1254" s="20" t="s">
        <v>105</v>
      </c>
      <c r="N1254" s="20" t="s">
        <v>91</v>
      </c>
      <c r="O1254" s="20" t="s">
        <v>4817</v>
      </c>
      <c r="Q1254" s="20" t="s">
        <v>91</v>
      </c>
      <c r="R1254" s="20" t="s">
        <v>91</v>
      </c>
      <c r="S1254" s="20" t="s">
        <v>91</v>
      </c>
      <c r="T1254" s="20" t="s">
        <v>91</v>
      </c>
      <c r="U1254" s="20" t="s">
        <v>91</v>
      </c>
      <c r="V1254" s="20" t="s">
        <v>87</v>
      </c>
      <c r="W1254" s="20" t="s">
        <v>91</v>
      </c>
      <c r="X1254" s="20" t="s">
        <v>91</v>
      </c>
      <c r="Y1254" s="20" t="s">
        <v>91</v>
      </c>
      <c r="Z1254" s="20">
        <v>2</v>
      </c>
      <c r="AB1254" s="20" t="s">
        <v>91</v>
      </c>
      <c r="AD1254" s="20" t="s">
        <v>91</v>
      </c>
      <c r="AE1254" s="20" t="s">
        <v>91</v>
      </c>
      <c r="AF1254" s="20">
        <v>2</v>
      </c>
      <c r="AG1254" s="20">
        <v>0</v>
      </c>
      <c r="AH1254" s="20">
        <v>1</v>
      </c>
      <c r="AM1254" s="4" t="s">
        <v>91</v>
      </c>
      <c r="AP1254" s="4" t="s">
        <v>91</v>
      </c>
      <c r="AQ1254" s="20">
        <v>0</v>
      </c>
      <c r="AR1254" s="4">
        <v>0</v>
      </c>
      <c r="AS1254" s="20">
        <v>0</v>
      </c>
      <c r="AT1254" s="20">
        <v>0</v>
      </c>
      <c r="AU1254" s="20">
        <v>0</v>
      </c>
      <c r="AV1254" s="20">
        <v>0</v>
      </c>
      <c r="AW1254" s="20">
        <v>0</v>
      </c>
      <c r="AX1254" s="20" t="s">
        <v>91</v>
      </c>
      <c r="AY1254" s="20">
        <v>0</v>
      </c>
      <c r="AZ1254" s="20">
        <v>0</v>
      </c>
      <c r="BA1254" s="20">
        <v>0</v>
      </c>
      <c r="BB1254" s="6">
        <v>0</v>
      </c>
      <c r="BC1254" s="6">
        <v>0</v>
      </c>
      <c r="BD1254" s="6">
        <v>0</v>
      </c>
      <c r="BE1254" s="6">
        <v>0</v>
      </c>
      <c r="BF1254" s="6">
        <v>0</v>
      </c>
      <c r="BG1254" s="6">
        <v>0</v>
      </c>
      <c r="BH1254" s="6">
        <v>0</v>
      </c>
      <c r="BI1254" s="6">
        <v>0</v>
      </c>
      <c r="BJ1254" s="6">
        <v>0</v>
      </c>
      <c r="BK1254" s="4">
        <v>0</v>
      </c>
      <c r="BL1254" s="4">
        <v>0</v>
      </c>
      <c r="BM1254" s="20">
        <v>102</v>
      </c>
      <c r="BN1254" s="20">
        <v>0</v>
      </c>
      <c r="BO1254" s="20">
        <v>0</v>
      </c>
      <c r="BP1254" s="20">
        <v>0</v>
      </c>
      <c r="BQ1254" s="20">
        <v>0</v>
      </c>
      <c r="BR1254" s="20">
        <v>0</v>
      </c>
      <c r="BS1254" s="20">
        <v>102</v>
      </c>
      <c r="BT1254" s="20">
        <v>911818.18181818165</v>
      </c>
      <c r="BU1254" s="20">
        <v>6018000</v>
      </c>
      <c r="BV1254" s="20">
        <v>6.0000000000000009</v>
      </c>
    </row>
    <row r="1255" spans="1:74">
      <c r="A1255" s="10">
        <f t="shared" si="78"/>
        <v>0</v>
      </c>
      <c r="B1255" s="10">
        <f t="shared" si="79"/>
        <v>0</v>
      </c>
      <c r="C1255" s="12">
        <f t="shared" si="80"/>
        <v>10</v>
      </c>
      <c r="D1255" s="12">
        <f t="shared" si="81"/>
        <v>10</v>
      </c>
      <c r="E1255" s="20" t="s">
        <v>424</v>
      </c>
      <c r="F1255" s="20" t="s">
        <v>2790</v>
      </c>
      <c r="G1255" s="20" t="s">
        <v>4818</v>
      </c>
      <c r="H1255" s="20" t="s">
        <v>4819</v>
      </c>
      <c r="I1255" s="20">
        <v>1</v>
      </c>
      <c r="J1255" s="20" t="s">
        <v>4820</v>
      </c>
      <c r="K1255" s="20" t="s">
        <v>4821</v>
      </c>
      <c r="L1255" s="20" t="s">
        <v>4822</v>
      </c>
      <c r="M1255" s="20" t="s">
        <v>2790</v>
      </c>
      <c r="N1255" s="20" t="s">
        <v>4823</v>
      </c>
      <c r="P1255" s="20" t="s">
        <v>2790</v>
      </c>
      <c r="Q1255" s="20" t="s">
        <v>2797</v>
      </c>
      <c r="R1255" s="20" t="s">
        <v>84</v>
      </c>
      <c r="S1255" s="20">
        <v>5</v>
      </c>
      <c r="T1255" s="20" t="s">
        <v>172</v>
      </c>
      <c r="U1255" s="20" t="s">
        <v>173</v>
      </c>
      <c r="V1255" s="20" t="s">
        <v>87</v>
      </c>
      <c r="W1255" s="20">
        <v>803</v>
      </c>
      <c r="X1255" s="20">
        <v>803</v>
      </c>
      <c r="Y1255" s="20" t="s">
        <v>4824</v>
      </c>
      <c r="Z1255" s="20">
        <v>1</v>
      </c>
      <c r="AA1255" s="20" t="s">
        <v>4825</v>
      </c>
      <c r="AB1255" s="20" t="s">
        <v>718</v>
      </c>
      <c r="AC1255" s="20" t="s">
        <v>719</v>
      </c>
      <c r="AD1255" s="20" t="s">
        <v>4826</v>
      </c>
      <c r="AE1255" s="20" t="s">
        <v>400</v>
      </c>
      <c r="AF1255" s="20">
        <v>1</v>
      </c>
      <c r="AG1255" s="20">
        <v>0</v>
      </c>
      <c r="AH1255" s="20">
        <v>1</v>
      </c>
      <c r="AI1255" s="4" t="s">
        <v>251</v>
      </c>
      <c r="AJ1255" s="20">
        <v>50</v>
      </c>
      <c r="AK1255" s="4" t="s">
        <v>179</v>
      </c>
      <c r="AL1255" s="4">
        <v>30</v>
      </c>
      <c r="AM1255" s="4">
        <v>30</v>
      </c>
      <c r="AN1255" s="4" t="s">
        <v>95</v>
      </c>
      <c r="AO1255" s="4" t="s">
        <v>96</v>
      </c>
      <c r="AP1255" s="4">
        <v>1</v>
      </c>
      <c r="AQ1255" s="20">
        <v>45000</v>
      </c>
      <c r="AR1255" s="4">
        <v>41918</v>
      </c>
      <c r="AS1255" s="20">
        <v>6818.1818181818171</v>
      </c>
      <c r="AT1255" s="20">
        <v>0</v>
      </c>
      <c r="AU1255" s="20">
        <v>-6818.1818181818171</v>
      </c>
      <c r="AV1255" s="20">
        <v>0</v>
      </c>
      <c r="AW1255" s="20">
        <v>0</v>
      </c>
      <c r="AX1255" s="20" t="s">
        <v>91</v>
      </c>
      <c r="AY1255" s="20">
        <v>0</v>
      </c>
      <c r="AZ1255" s="20">
        <v>0</v>
      </c>
      <c r="BA1255" s="20">
        <v>0</v>
      </c>
      <c r="BB1255" s="6">
        <v>41918</v>
      </c>
      <c r="BC1255" s="6">
        <v>0</v>
      </c>
      <c r="BD1255" s="6">
        <v>41922</v>
      </c>
      <c r="BE1255" s="6">
        <v>0</v>
      </c>
      <c r="BF1255" s="6">
        <v>41922</v>
      </c>
      <c r="BG1255" s="6">
        <v>0</v>
      </c>
      <c r="BH1255" s="6">
        <v>0</v>
      </c>
      <c r="BI1255" s="6">
        <v>0</v>
      </c>
      <c r="BJ1255" s="6">
        <v>0</v>
      </c>
      <c r="BK1255" s="4">
        <v>0</v>
      </c>
      <c r="BL1255" s="4">
        <v>0</v>
      </c>
      <c r="BM1255" s="20">
        <v>50</v>
      </c>
      <c r="BN1255" s="20">
        <v>0</v>
      </c>
      <c r="BO1255" s="20">
        <v>0</v>
      </c>
      <c r="BP1255" s="20">
        <v>0</v>
      </c>
      <c r="BQ1255" s="20">
        <v>0</v>
      </c>
      <c r="BR1255" s="20">
        <v>0</v>
      </c>
      <c r="BS1255" s="20">
        <v>50</v>
      </c>
      <c r="BT1255" s="20">
        <v>340909.09090909088</v>
      </c>
      <c r="BU1255" s="20">
        <v>2250000</v>
      </c>
      <c r="BV1255" s="20">
        <v>6</v>
      </c>
    </row>
    <row r="1256" spans="1:74">
      <c r="A1256" s="10">
        <f t="shared" si="78"/>
        <v>0</v>
      </c>
      <c r="B1256" s="10">
        <f t="shared" si="79"/>
        <v>0</v>
      </c>
      <c r="C1256" s="12">
        <f t="shared" si="80"/>
        <v>10</v>
      </c>
      <c r="D1256" s="12">
        <f t="shared" si="81"/>
        <v>10</v>
      </c>
      <c r="E1256" s="20" t="s">
        <v>424</v>
      </c>
      <c r="F1256" s="20" t="s">
        <v>2790</v>
      </c>
      <c r="G1256" s="20" t="s">
        <v>4818</v>
      </c>
      <c r="H1256" s="20" t="s">
        <v>4827</v>
      </c>
      <c r="I1256" s="20">
        <v>2</v>
      </c>
      <c r="J1256" s="20" t="s">
        <v>4828</v>
      </c>
      <c r="K1256" s="20" t="s">
        <v>4829</v>
      </c>
      <c r="L1256" s="20" t="s">
        <v>4830</v>
      </c>
      <c r="M1256" s="20" t="s">
        <v>2790</v>
      </c>
      <c r="N1256" s="20" t="s">
        <v>4823</v>
      </c>
      <c r="P1256" s="20" t="s">
        <v>2790</v>
      </c>
      <c r="Q1256" s="20" t="s">
        <v>2797</v>
      </c>
      <c r="R1256" s="20" t="s">
        <v>84</v>
      </c>
      <c r="S1256" s="20">
        <v>5</v>
      </c>
      <c r="T1256" s="20" t="s">
        <v>172</v>
      </c>
      <c r="U1256" s="20" t="s">
        <v>173</v>
      </c>
      <c r="V1256" s="20" t="s">
        <v>87</v>
      </c>
      <c r="W1256" s="20">
        <v>804</v>
      </c>
      <c r="X1256" s="20">
        <v>804</v>
      </c>
      <c r="Y1256" s="20" t="s">
        <v>4831</v>
      </c>
      <c r="Z1256" s="20">
        <v>1</v>
      </c>
      <c r="AA1256" s="20" t="s">
        <v>4832</v>
      </c>
      <c r="AB1256" s="20" t="s">
        <v>139</v>
      </c>
      <c r="AC1256" s="20" t="s">
        <v>140</v>
      </c>
      <c r="AD1256" s="20" t="s">
        <v>4833</v>
      </c>
      <c r="AE1256" s="20" t="s">
        <v>400</v>
      </c>
      <c r="AF1256" s="20">
        <v>1</v>
      </c>
      <c r="AG1256" s="20">
        <v>0</v>
      </c>
      <c r="AH1256" s="20">
        <v>1</v>
      </c>
      <c r="AI1256" s="4" t="s">
        <v>251</v>
      </c>
      <c r="AJ1256" s="20">
        <v>50</v>
      </c>
      <c r="AK1256" s="4" t="s">
        <v>179</v>
      </c>
      <c r="AL1256" s="4">
        <v>30</v>
      </c>
      <c r="AM1256" s="4">
        <v>30</v>
      </c>
      <c r="AN1256" s="4" t="s">
        <v>95</v>
      </c>
      <c r="AO1256" s="4" t="s">
        <v>96</v>
      </c>
      <c r="AP1256" s="4">
        <v>1</v>
      </c>
      <c r="AQ1256" s="20">
        <v>45000</v>
      </c>
      <c r="AR1256" s="4">
        <v>41918</v>
      </c>
      <c r="AS1256" s="20">
        <v>6818.1818181818171</v>
      </c>
      <c r="AT1256" s="20">
        <v>0</v>
      </c>
      <c r="AU1256" s="20">
        <v>-6818.1818181818171</v>
      </c>
      <c r="AV1256" s="20">
        <v>0</v>
      </c>
      <c r="AW1256" s="20">
        <v>0</v>
      </c>
      <c r="AX1256" s="20" t="s">
        <v>91</v>
      </c>
      <c r="AY1256" s="20">
        <v>0</v>
      </c>
      <c r="AZ1256" s="20">
        <v>0</v>
      </c>
      <c r="BA1256" s="20">
        <v>0</v>
      </c>
      <c r="BB1256" s="6">
        <v>41918</v>
      </c>
      <c r="BC1256" s="6">
        <v>0</v>
      </c>
      <c r="BD1256" s="6">
        <v>41922</v>
      </c>
      <c r="BE1256" s="6">
        <v>0</v>
      </c>
      <c r="BF1256" s="6">
        <v>41922</v>
      </c>
      <c r="BG1256" s="6">
        <v>0</v>
      </c>
      <c r="BH1256" s="6">
        <v>0</v>
      </c>
      <c r="BI1256" s="6">
        <v>0</v>
      </c>
      <c r="BJ1256" s="6">
        <v>0</v>
      </c>
      <c r="BK1256" s="4">
        <v>0</v>
      </c>
      <c r="BL1256" s="4">
        <v>0</v>
      </c>
      <c r="BM1256" s="20">
        <v>50</v>
      </c>
      <c r="BN1256" s="20">
        <v>0</v>
      </c>
      <c r="BO1256" s="20">
        <v>0</v>
      </c>
      <c r="BP1256" s="20">
        <v>0</v>
      </c>
      <c r="BQ1256" s="20">
        <v>0</v>
      </c>
      <c r="BR1256" s="20">
        <v>0</v>
      </c>
      <c r="BS1256" s="20">
        <v>50</v>
      </c>
      <c r="BT1256" s="20">
        <v>340909.09090909088</v>
      </c>
      <c r="BU1256" s="20">
        <v>2250000</v>
      </c>
      <c r="BV1256" s="20">
        <v>6</v>
      </c>
    </row>
    <row r="1257" spans="1:74">
      <c r="A1257" s="10">
        <f t="shared" si="78"/>
        <v>0</v>
      </c>
      <c r="B1257" s="10">
        <f t="shared" si="79"/>
        <v>0</v>
      </c>
      <c r="C1257" s="12">
        <f t="shared" si="80"/>
        <v>10</v>
      </c>
      <c r="D1257" s="12">
        <f t="shared" si="81"/>
        <v>10</v>
      </c>
      <c r="E1257" s="20" t="s">
        <v>424</v>
      </c>
      <c r="F1257" s="20" t="s">
        <v>2790</v>
      </c>
      <c r="G1257" s="20" t="s">
        <v>4818</v>
      </c>
      <c r="H1257" s="20" t="s">
        <v>4834</v>
      </c>
      <c r="I1257" s="20">
        <v>3</v>
      </c>
      <c r="J1257" s="20" t="s">
        <v>4835</v>
      </c>
      <c r="K1257" s="20" t="s">
        <v>4836</v>
      </c>
      <c r="L1257" s="20" t="s">
        <v>4837</v>
      </c>
      <c r="M1257" s="20" t="s">
        <v>2790</v>
      </c>
      <c r="N1257" s="20" t="s">
        <v>4823</v>
      </c>
      <c r="P1257" s="20" t="s">
        <v>2790</v>
      </c>
      <c r="Q1257" s="20" t="s">
        <v>2797</v>
      </c>
      <c r="R1257" s="20" t="s">
        <v>84</v>
      </c>
      <c r="S1257" s="20">
        <v>5</v>
      </c>
      <c r="T1257" s="20" t="s">
        <v>172</v>
      </c>
      <c r="U1257" s="20" t="s">
        <v>173</v>
      </c>
      <c r="V1257" s="20" t="s">
        <v>87</v>
      </c>
      <c r="W1257" s="20">
        <v>819</v>
      </c>
      <c r="X1257" s="20">
        <v>819</v>
      </c>
      <c r="Y1257" s="20" t="s">
        <v>4838</v>
      </c>
      <c r="Z1257" s="20">
        <v>1</v>
      </c>
      <c r="AA1257" s="20" t="s">
        <v>4839</v>
      </c>
      <c r="AB1257" s="20" t="s">
        <v>109</v>
      </c>
      <c r="AC1257" s="20" t="s">
        <v>110</v>
      </c>
      <c r="AD1257" s="20" t="s">
        <v>4840</v>
      </c>
      <c r="AE1257" s="20" t="s">
        <v>400</v>
      </c>
      <c r="AF1257" s="20">
        <v>1</v>
      </c>
      <c r="AG1257" s="20">
        <v>0</v>
      </c>
      <c r="AH1257" s="20">
        <v>1</v>
      </c>
      <c r="AI1257" s="4" t="s">
        <v>251</v>
      </c>
      <c r="AJ1257" s="20">
        <v>50</v>
      </c>
      <c r="AK1257" s="4" t="s">
        <v>179</v>
      </c>
      <c r="AL1257" s="4">
        <v>30</v>
      </c>
      <c r="AM1257" s="4">
        <v>30</v>
      </c>
      <c r="AN1257" s="4" t="s">
        <v>95</v>
      </c>
      <c r="AO1257" s="4" t="s">
        <v>96</v>
      </c>
      <c r="AP1257" s="4">
        <v>1</v>
      </c>
      <c r="AQ1257" s="20">
        <v>45000</v>
      </c>
      <c r="AR1257" s="4">
        <v>41918</v>
      </c>
      <c r="AS1257" s="20">
        <v>6818.1818181818171</v>
      </c>
      <c r="AT1257" s="20">
        <v>0</v>
      </c>
      <c r="AU1257" s="20">
        <v>-6818.1818181818171</v>
      </c>
      <c r="AV1257" s="20">
        <v>0</v>
      </c>
      <c r="AW1257" s="20">
        <v>0</v>
      </c>
      <c r="AX1257" s="20" t="s">
        <v>91</v>
      </c>
      <c r="AY1257" s="20">
        <v>0</v>
      </c>
      <c r="AZ1257" s="20">
        <v>0</v>
      </c>
      <c r="BA1257" s="20">
        <v>0</v>
      </c>
      <c r="BB1257" s="6">
        <v>41918</v>
      </c>
      <c r="BC1257" s="6">
        <v>0</v>
      </c>
      <c r="BD1257" s="6">
        <v>41922</v>
      </c>
      <c r="BE1257" s="6">
        <v>0</v>
      </c>
      <c r="BF1257" s="6">
        <v>41922</v>
      </c>
      <c r="BG1257" s="6">
        <v>0</v>
      </c>
      <c r="BH1257" s="6">
        <v>0</v>
      </c>
      <c r="BI1257" s="6">
        <v>0</v>
      </c>
      <c r="BJ1257" s="6">
        <v>0</v>
      </c>
      <c r="BK1257" s="4">
        <v>0</v>
      </c>
      <c r="BL1257" s="4">
        <v>0</v>
      </c>
      <c r="BM1257" s="20">
        <v>50</v>
      </c>
      <c r="BN1257" s="20">
        <v>0</v>
      </c>
      <c r="BO1257" s="20">
        <v>0</v>
      </c>
      <c r="BP1257" s="20">
        <v>0</v>
      </c>
      <c r="BQ1257" s="20">
        <v>0</v>
      </c>
      <c r="BR1257" s="20">
        <v>0</v>
      </c>
      <c r="BS1257" s="20">
        <v>50</v>
      </c>
      <c r="BT1257" s="20">
        <v>340909.09090909088</v>
      </c>
      <c r="BU1257" s="20">
        <v>2250000</v>
      </c>
      <c r="BV1257" s="20">
        <v>6</v>
      </c>
    </row>
    <row r="1258" spans="1:74">
      <c r="A1258" s="10">
        <f t="shared" si="78"/>
        <v>0</v>
      </c>
      <c r="B1258" s="10">
        <f t="shared" si="79"/>
        <v>0</v>
      </c>
      <c r="C1258" s="12">
        <f t="shared" si="80"/>
        <v>10</v>
      </c>
      <c r="D1258" s="12">
        <f t="shared" si="81"/>
        <v>10</v>
      </c>
      <c r="E1258" s="20" t="s">
        <v>424</v>
      </c>
      <c r="F1258" s="20" t="s">
        <v>2790</v>
      </c>
      <c r="G1258" s="20" t="s">
        <v>4818</v>
      </c>
      <c r="H1258" s="20" t="s">
        <v>4841</v>
      </c>
      <c r="I1258" s="20">
        <v>4</v>
      </c>
      <c r="J1258" s="20" t="s">
        <v>4842</v>
      </c>
      <c r="K1258" s="20" t="s">
        <v>4843</v>
      </c>
      <c r="L1258" s="20" t="s">
        <v>4844</v>
      </c>
      <c r="M1258" s="20" t="s">
        <v>2790</v>
      </c>
      <c r="N1258" s="20" t="s">
        <v>2807</v>
      </c>
      <c r="P1258" s="20" t="s">
        <v>2790</v>
      </c>
      <c r="Q1258" s="20" t="s">
        <v>2797</v>
      </c>
      <c r="R1258" s="20" t="s">
        <v>84</v>
      </c>
      <c r="S1258" s="20">
        <v>5</v>
      </c>
      <c r="T1258" s="20" t="s">
        <v>198</v>
      </c>
      <c r="U1258" s="20" t="s">
        <v>199</v>
      </c>
      <c r="V1258" s="20" t="s">
        <v>87</v>
      </c>
      <c r="W1258" s="20">
        <v>820</v>
      </c>
      <c r="X1258" s="20">
        <v>820</v>
      </c>
      <c r="Y1258" s="20" t="s">
        <v>4845</v>
      </c>
      <c r="Z1258" s="20">
        <v>1</v>
      </c>
      <c r="AA1258" s="20" t="s">
        <v>4846</v>
      </c>
      <c r="AB1258" s="20" t="s">
        <v>221</v>
      </c>
      <c r="AC1258" s="20" t="s">
        <v>222</v>
      </c>
      <c r="AD1258" s="20" t="s">
        <v>4847</v>
      </c>
      <c r="AE1258" s="20" t="s">
        <v>400</v>
      </c>
      <c r="AF1258" s="20">
        <v>1</v>
      </c>
      <c r="AG1258" s="20">
        <v>0</v>
      </c>
      <c r="AH1258" s="20">
        <v>1</v>
      </c>
      <c r="AI1258" s="4" t="s">
        <v>251</v>
      </c>
      <c r="AJ1258" s="20">
        <v>50</v>
      </c>
      <c r="AK1258" s="4" t="s">
        <v>179</v>
      </c>
      <c r="AL1258" s="4">
        <v>30</v>
      </c>
      <c r="AM1258" s="4">
        <v>30</v>
      </c>
      <c r="AN1258" s="4" t="s">
        <v>95</v>
      </c>
      <c r="AO1258" s="4" t="s">
        <v>96</v>
      </c>
      <c r="AP1258" s="4">
        <v>1</v>
      </c>
      <c r="AQ1258" s="20">
        <v>45000</v>
      </c>
      <c r="AR1258" s="4">
        <v>41918</v>
      </c>
      <c r="AS1258" s="20">
        <v>6818.1818181818171</v>
      </c>
      <c r="AT1258" s="20">
        <v>0</v>
      </c>
      <c r="AU1258" s="20">
        <v>-6818.1818181818171</v>
      </c>
      <c r="AV1258" s="20">
        <v>0</v>
      </c>
      <c r="AW1258" s="20">
        <v>0</v>
      </c>
      <c r="AX1258" s="20" t="s">
        <v>91</v>
      </c>
      <c r="AY1258" s="20">
        <v>0</v>
      </c>
      <c r="AZ1258" s="20">
        <v>0</v>
      </c>
      <c r="BA1258" s="20">
        <v>0</v>
      </c>
      <c r="BB1258" s="6">
        <v>41918</v>
      </c>
      <c r="BC1258" s="6">
        <v>0</v>
      </c>
      <c r="BD1258" s="6">
        <v>41922</v>
      </c>
      <c r="BE1258" s="6">
        <v>0</v>
      </c>
      <c r="BF1258" s="6">
        <v>41922</v>
      </c>
      <c r="BG1258" s="6">
        <v>0</v>
      </c>
      <c r="BH1258" s="6">
        <v>0</v>
      </c>
      <c r="BI1258" s="6">
        <v>0</v>
      </c>
      <c r="BJ1258" s="6">
        <v>0</v>
      </c>
      <c r="BK1258" s="4">
        <v>0</v>
      </c>
      <c r="BL1258" s="4">
        <v>0</v>
      </c>
      <c r="BM1258" s="20">
        <v>50</v>
      </c>
      <c r="BN1258" s="20">
        <v>0</v>
      </c>
      <c r="BO1258" s="20">
        <v>0</v>
      </c>
      <c r="BP1258" s="20">
        <v>0</v>
      </c>
      <c r="BQ1258" s="20">
        <v>0</v>
      </c>
      <c r="BR1258" s="20">
        <v>0</v>
      </c>
      <c r="BS1258" s="20">
        <v>50</v>
      </c>
      <c r="BT1258" s="20">
        <v>340909.09090909088</v>
      </c>
      <c r="BU1258" s="20">
        <v>2250000</v>
      </c>
      <c r="BV1258" s="20">
        <v>6</v>
      </c>
    </row>
    <row r="1259" spans="1:74">
      <c r="A1259" s="10">
        <f t="shared" si="78"/>
        <v>0</v>
      </c>
      <c r="B1259" s="10">
        <f t="shared" si="79"/>
        <v>0</v>
      </c>
      <c r="C1259" s="12">
        <f t="shared" si="80"/>
        <v>10</v>
      </c>
      <c r="D1259" s="12">
        <f t="shared" si="81"/>
        <v>10</v>
      </c>
      <c r="E1259" s="20" t="s">
        <v>424</v>
      </c>
      <c r="F1259" s="20" t="s">
        <v>2790</v>
      </c>
      <c r="G1259" s="20" t="s">
        <v>4818</v>
      </c>
      <c r="H1259" s="20" t="s">
        <v>4848</v>
      </c>
      <c r="I1259" s="20">
        <v>5</v>
      </c>
      <c r="J1259" s="20" t="s">
        <v>4849</v>
      </c>
      <c r="K1259" s="20" t="s">
        <v>4850</v>
      </c>
      <c r="L1259" s="20" t="s">
        <v>4851</v>
      </c>
      <c r="M1259" s="20" t="s">
        <v>2790</v>
      </c>
      <c r="N1259" s="20" t="s">
        <v>4852</v>
      </c>
      <c r="P1259" s="20" t="s">
        <v>2790</v>
      </c>
      <c r="Q1259" s="20" t="s">
        <v>2797</v>
      </c>
      <c r="R1259" s="20" t="s">
        <v>84</v>
      </c>
      <c r="S1259" s="20">
        <v>5</v>
      </c>
      <c r="T1259" s="20" t="s">
        <v>480</v>
      </c>
      <c r="U1259" s="20" t="s">
        <v>481</v>
      </c>
      <c r="V1259" s="20" t="s">
        <v>87</v>
      </c>
      <c r="W1259" s="20">
        <v>807</v>
      </c>
      <c r="X1259" s="20">
        <v>807</v>
      </c>
      <c r="Y1259" s="20" t="s">
        <v>4853</v>
      </c>
      <c r="Z1259" s="20">
        <v>1</v>
      </c>
      <c r="AA1259" s="20" t="s">
        <v>4854</v>
      </c>
      <c r="AB1259" s="20" t="s">
        <v>149</v>
      </c>
      <c r="AC1259" s="20" t="s">
        <v>150</v>
      </c>
      <c r="AD1259" s="20" t="s">
        <v>4855</v>
      </c>
      <c r="AE1259" s="20" t="s">
        <v>400</v>
      </c>
      <c r="AF1259" s="20">
        <v>1</v>
      </c>
      <c r="AG1259" s="20">
        <v>0</v>
      </c>
      <c r="AH1259" s="20">
        <v>1</v>
      </c>
      <c r="AI1259" s="4" t="s">
        <v>251</v>
      </c>
      <c r="AJ1259" s="20">
        <v>50</v>
      </c>
      <c r="AK1259" s="4" t="s">
        <v>179</v>
      </c>
      <c r="AL1259" s="4">
        <v>30</v>
      </c>
      <c r="AM1259" s="4">
        <v>30</v>
      </c>
      <c r="AN1259" s="4" t="s">
        <v>95</v>
      </c>
      <c r="AO1259" s="4" t="s">
        <v>96</v>
      </c>
      <c r="AP1259" s="4">
        <v>1</v>
      </c>
      <c r="AQ1259" s="20">
        <v>65000</v>
      </c>
      <c r="AR1259" s="4">
        <v>41918</v>
      </c>
      <c r="AS1259" s="20">
        <v>9848.484848484848</v>
      </c>
      <c r="AT1259" s="20">
        <v>0</v>
      </c>
      <c r="AU1259" s="20">
        <v>-9848.484848484848</v>
      </c>
      <c r="AV1259" s="20">
        <v>0</v>
      </c>
      <c r="AW1259" s="20">
        <v>0</v>
      </c>
      <c r="AX1259" s="20" t="s">
        <v>91</v>
      </c>
      <c r="AY1259" s="20">
        <v>0</v>
      </c>
      <c r="AZ1259" s="20">
        <v>0</v>
      </c>
      <c r="BA1259" s="20">
        <v>0</v>
      </c>
      <c r="BB1259" s="6">
        <v>41918</v>
      </c>
      <c r="BC1259" s="6">
        <v>0</v>
      </c>
      <c r="BD1259" s="6">
        <v>41922</v>
      </c>
      <c r="BE1259" s="6">
        <v>0</v>
      </c>
      <c r="BF1259" s="6">
        <v>41922</v>
      </c>
      <c r="BG1259" s="6">
        <v>0</v>
      </c>
      <c r="BH1259" s="6">
        <v>0</v>
      </c>
      <c r="BI1259" s="6">
        <v>0</v>
      </c>
      <c r="BJ1259" s="6">
        <v>0</v>
      </c>
      <c r="BK1259" s="4">
        <v>0</v>
      </c>
      <c r="BL1259" s="4">
        <v>0</v>
      </c>
      <c r="BM1259" s="20">
        <v>50</v>
      </c>
      <c r="BN1259" s="20">
        <v>0</v>
      </c>
      <c r="BO1259" s="20">
        <v>0</v>
      </c>
      <c r="BP1259" s="20">
        <v>0</v>
      </c>
      <c r="BQ1259" s="20">
        <v>0</v>
      </c>
      <c r="BR1259" s="20">
        <v>0</v>
      </c>
      <c r="BS1259" s="20">
        <v>50</v>
      </c>
      <c r="BT1259" s="20">
        <v>492424.24242424243</v>
      </c>
      <c r="BU1259" s="20">
        <v>3250000</v>
      </c>
      <c r="BV1259" s="20">
        <v>5.9999999999999991</v>
      </c>
    </row>
    <row r="1260" spans="1:74">
      <c r="A1260" s="10">
        <f t="shared" si="78"/>
        <v>0</v>
      </c>
      <c r="B1260" s="10">
        <f t="shared" si="79"/>
        <v>0</v>
      </c>
      <c r="C1260" s="12">
        <f t="shared" si="80"/>
        <v>10</v>
      </c>
      <c r="D1260" s="12">
        <f t="shared" si="81"/>
        <v>10</v>
      </c>
      <c r="E1260" s="20" t="s">
        <v>424</v>
      </c>
      <c r="F1260" s="20" t="s">
        <v>2790</v>
      </c>
      <c r="G1260" s="20" t="s">
        <v>4818</v>
      </c>
      <c r="H1260" s="20" t="s">
        <v>4856</v>
      </c>
      <c r="I1260" s="20">
        <v>6</v>
      </c>
      <c r="J1260" s="20" t="s">
        <v>4857</v>
      </c>
      <c r="K1260" s="20" t="s">
        <v>4858</v>
      </c>
      <c r="L1260" s="20" t="s">
        <v>4859</v>
      </c>
      <c r="M1260" s="20" t="s">
        <v>2790</v>
      </c>
      <c r="N1260" s="20" t="s">
        <v>4852</v>
      </c>
      <c r="P1260" s="20" t="s">
        <v>2790</v>
      </c>
      <c r="Q1260" s="20" t="s">
        <v>2797</v>
      </c>
      <c r="R1260" s="20" t="s">
        <v>84</v>
      </c>
      <c r="S1260" s="20">
        <v>5</v>
      </c>
      <c r="T1260" s="20" t="s">
        <v>480</v>
      </c>
      <c r="U1260" s="20" t="s">
        <v>481</v>
      </c>
      <c r="V1260" s="20" t="s">
        <v>87</v>
      </c>
      <c r="W1260" s="20">
        <v>809</v>
      </c>
      <c r="X1260" s="20">
        <v>809</v>
      </c>
      <c r="Y1260" s="20" t="s">
        <v>4860</v>
      </c>
      <c r="Z1260" s="20">
        <v>1</v>
      </c>
      <c r="AA1260" s="20" t="s">
        <v>4861</v>
      </c>
      <c r="AB1260" s="20" t="s">
        <v>718</v>
      </c>
      <c r="AC1260" s="20" t="s">
        <v>719</v>
      </c>
      <c r="AD1260" s="20" t="s">
        <v>4862</v>
      </c>
      <c r="AE1260" s="20" t="s">
        <v>400</v>
      </c>
      <c r="AF1260" s="20">
        <v>1</v>
      </c>
      <c r="AG1260" s="20">
        <v>0</v>
      </c>
      <c r="AH1260" s="20">
        <v>1</v>
      </c>
      <c r="AI1260" s="4" t="s">
        <v>251</v>
      </c>
      <c r="AJ1260" s="20">
        <v>50</v>
      </c>
      <c r="AK1260" s="4" t="s">
        <v>179</v>
      </c>
      <c r="AL1260" s="4">
        <v>30</v>
      </c>
      <c r="AM1260" s="4">
        <v>30</v>
      </c>
      <c r="AN1260" s="4" t="s">
        <v>95</v>
      </c>
      <c r="AO1260" s="4" t="s">
        <v>96</v>
      </c>
      <c r="AP1260" s="4">
        <v>1</v>
      </c>
      <c r="AQ1260" s="20">
        <v>65000</v>
      </c>
      <c r="AR1260" s="4">
        <v>41918</v>
      </c>
      <c r="AS1260" s="20">
        <v>9848.484848484848</v>
      </c>
      <c r="AT1260" s="20">
        <v>0</v>
      </c>
      <c r="AU1260" s="20">
        <v>-9848.484848484848</v>
      </c>
      <c r="AV1260" s="20">
        <v>0</v>
      </c>
      <c r="AW1260" s="20">
        <v>0</v>
      </c>
      <c r="AX1260" s="20" t="s">
        <v>91</v>
      </c>
      <c r="AY1260" s="20">
        <v>0</v>
      </c>
      <c r="AZ1260" s="20">
        <v>0</v>
      </c>
      <c r="BA1260" s="20">
        <v>0</v>
      </c>
      <c r="BB1260" s="6">
        <v>41918</v>
      </c>
      <c r="BC1260" s="6">
        <v>0</v>
      </c>
      <c r="BD1260" s="6">
        <v>41922</v>
      </c>
      <c r="BE1260" s="6">
        <v>0</v>
      </c>
      <c r="BF1260" s="6">
        <v>41922</v>
      </c>
      <c r="BG1260" s="6">
        <v>0</v>
      </c>
      <c r="BH1260" s="6">
        <v>0</v>
      </c>
      <c r="BI1260" s="6">
        <v>0</v>
      </c>
      <c r="BJ1260" s="6">
        <v>0</v>
      </c>
      <c r="BK1260" s="4">
        <v>0</v>
      </c>
      <c r="BL1260" s="4">
        <v>0</v>
      </c>
      <c r="BM1260" s="20">
        <v>50</v>
      </c>
      <c r="BN1260" s="20">
        <v>0</v>
      </c>
      <c r="BO1260" s="20">
        <v>0</v>
      </c>
      <c r="BP1260" s="20">
        <v>0</v>
      </c>
      <c r="BQ1260" s="20">
        <v>0</v>
      </c>
      <c r="BR1260" s="20">
        <v>0</v>
      </c>
      <c r="BS1260" s="20">
        <v>50</v>
      </c>
      <c r="BT1260" s="20">
        <v>492424.24242424243</v>
      </c>
      <c r="BU1260" s="20">
        <v>3250000</v>
      </c>
      <c r="BV1260" s="20">
        <v>5.9999999999999991</v>
      </c>
    </row>
    <row r="1261" spans="1:74">
      <c r="A1261" s="10">
        <f t="shared" si="78"/>
        <v>0</v>
      </c>
      <c r="B1261" s="10">
        <f t="shared" si="79"/>
        <v>0</v>
      </c>
      <c r="C1261" s="12">
        <f t="shared" si="80"/>
        <v>10</v>
      </c>
      <c r="D1261" s="12">
        <f t="shared" si="81"/>
        <v>10</v>
      </c>
      <c r="E1261" s="20" t="s">
        <v>424</v>
      </c>
      <c r="F1261" s="20" t="s">
        <v>2790</v>
      </c>
      <c r="G1261" s="20" t="s">
        <v>4818</v>
      </c>
      <c r="H1261" s="20" t="s">
        <v>4863</v>
      </c>
      <c r="I1261" s="20">
        <v>7</v>
      </c>
      <c r="J1261" s="20" t="s">
        <v>4864</v>
      </c>
      <c r="K1261" s="20" t="s">
        <v>4865</v>
      </c>
      <c r="L1261" s="20" t="s">
        <v>4859</v>
      </c>
      <c r="M1261" s="20" t="s">
        <v>2790</v>
      </c>
      <c r="N1261" s="20" t="s">
        <v>4852</v>
      </c>
      <c r="P1261" s="20" t="s">
        <v>2790</v>
      </c>
      <c r="Q1261" s="20" t="s">
        <v>2797</v>
      </c>
      <c r="R1261" s="20" t="s">
        <v>84</v>
      </c>
      <c r="S1261" s="20">
        <v>5</v>
      </c>
      <c r="T1261" s="20" t="s">
        <v>480</v>
      </c>
      <c r="U1261" s="20" t="s">
        <v>481</v>
      </c>
      <c r="V1261" s="20" t="s">
        <v>87</v>
      </c>
      <c r="W1261" s="20">
        <v>809</v>
      </c>
      <c r="X1261" s="20">
        <v>809</v>
      </c>
      <c r="Y1261" s="20" t="s">
        <v>4860</v>
      </c>
      <c r="Z1261" s="20">
        <v>1</v>
      </c>
      <c r="AA1261" s="20" t="s">
        <v>4866</v>
      </c>
      <c r="AB1261" s="20" t="s">
        <v>101</v>
      </c>
      <c r="AC1261" s="20" t="s">
        <v>102</v>
      </c>
      <c r="AD1261" s="20" t="s">
        <v>4867</v>
      </c>
      <c r="AE1261" s="20" t="s">
        <v>400</v>
      </c>
      <c r="AF1261" s="20">
        <v>1</v>
      </c>
      <c r="AG1261" s="20">
        <v>0</v>
      </c>
      <c r="AH1261" s="20">
        <v>1</v>
      </c>
      <c r="AI1261" s="4" t="s">
        <v>251</v>
      </c>
      <c r="AJ1261" s="20">
        <v>68</v>
      </c>
      <c r="AK1261" s="4" t="s">
        <v>179</v>
      </c>
      <c r="AL1261" s="4">
        <v>30</v>
      </c>
      <c r="AM1261" s="4">
        <v>30</v>
      </c>
      <c r="AN1261" s="4" t="s">
        <v>95</v>
      </c>
      <c r="AO1261" s="4" t="s">
        <v>96</v>
      </c>
      <c r="AP1261" s="4">
        <v>1</v>
      </c>
      <c r="AQ1261" s="20">
        <v>65000</v>
      </c>
      <c r="AR1261" s="4">
        <v>41918</v>
      </c>
      <c r="AS1261" s="20">
        <v>9848.484848484848</v>
      </c>
      <c r="AT1261" s="20">
        <v>0</v>
      </c>
      <c r="AU1261" s="20">
        <v>-9848.484848484848</v>
      </c>
      <c r="AV1261" s="20">
        <v>0</v>
      </c>
      <c r="AW1261" s="20">
        <v>0</v>
      </c>
      <c r="AX1261" s="20" t="s">
        <v>91</v>
      </c>
      <c r="AY1261" s="20">
        <v>0</v>
      </c>
      <c r="AZ1261" s="20">
        <v>0</v>
      </c>
      <c r="BA1261" s="20">
        <v>0</v>
      </c>
      <c r="BB1261" s="6">
        <v>41918</v>
      </c>
      <c r="BC1261" s="6">
        <v>0</v>
      </c>
      <c r="BD1261" s="6">
        <v>41922</v>
      </c>
      <c r="BE1261" s="6">
        <v>0</v>
      </c>
      <c r="BF1261" s="6">
        <v>41922</v>
      </c>
      <c r="BG1261" s="6">
        <v>0</v>
      </c>
      <c r="BH1261" s="6">
        <v>0</v>
      </c>
      <c r="BI1261" s="6">
        <v>0</v>
      </c>
      <c r="BJ1261" s="6">
        <v>0</v>
      </c>
      <c r="BK1261" s="4">
        <v>0</v>
      </c>
      <c r="BL1261" s="4">
        <v>0</v>
      </c>
      <c r="BM1261" s="20">
        <v>68</v>
      </c>
      <c r="BN1261" s="20">
        <v>0</v>
      </c>
      <c r="BO1261" s="20">
        <v>0</v>
      </c>
      <c r="BP1261" s="20">
        <v>0</v>
      </c>
      <c r="BQ1261" s="20">
        <v>0</v>
      </c>
      <c r="BR1261" s="20">
        <v>0</v>
      </c>
      <c r="BS1261" s="20">
        <v>68</v>
      </c>
      <c r="BT1261" s="20">
        <v>669696.96969696973</v>
      </c>
      <c r="BU1261" s="20">
        <v>4420000</v>
      </c>
      <c r="BV1261" s="20">
        <v>5.9999999999999991</v>
      </c>
    </row>
    <row r="1262" spans="1:74">
      <c r="A1262" s="10">
        <f t="shared" si="78"/>
        <v>0</v>
      </c>
      <c r="B1262" s="10">
        <f t="shared" si="79"/>
        <v>0</v>
      </c>
      <c r="C1262" s="12" t="str">
        <f t="shared" si="80"/>
        <v/>
      </c>
      <c r="D1262" s="12" t="str">
        <f t="shared" si="81"/>
        <v/>
      </c>
      <c r="E1262" s="20" t="s">
        <v>91</v>
      </c>
      <c r="F1262" s="20" t="s">
        <v>91</v>
      </c>
      <c r="G1262" s="20" t="s">
        <v>91</v>
      </c>
      <c r="H1262" s="20" t="s">
        <v>91</v>
      </c>
      <c r="I1262" s="20">
        <v>0</v>
      </c>
      <c r="J1262" s="20" t="s">
        <v>103</v>
      </c>
      <c r="K1262" s="20" t="s">
        <v>104</v>
      </c>
      <c r="L1262" s="20">
        <v>0</v>
      </c>
      <c r="M1262" s="20" t="s">
        <v>105</v>
      </c>
      <c r="N1262" s="20" t="s">
        <v>91</v>
      </c>
      <c r="O1262" s="20" t="s">
        <v>4868</v>
      </c>
      <c r="Q1262" s="20" t="s">
        <v>91</v>
      </c>
      <c r="R1262" s="20" t="s">
        <v>91</v>
      </c>
      <c r="S1262" s="20" t="s">
        <v>91</v>
      </c>
      <c r="T1262" s="20" t="s">
        <v>91</v>
      </c>
      <c r="U1262" s="20" t="s">
        <v>91</v>
      </c>
      <c r="V1262" s="20" t="s">
        <v>87</v>
      </c>
      <c r="W1262" s="20" t="s">
        <v>91</v>
      </c>
      <c r="X1262" s="20" t="s">
        <v>91</v>
      </c>
      <c r="Y1262" s="20" t="s">
        <v>91</v>
      </c>
      <c r="Z1262" s="20">
        <v>7</v>
      </c>
      <c r="AB1262" s="20" t="s">
        <v>91</v>
      </c>
      <c r="AD1262" s="20" t="s">
        <v>91</v>
      </c>
      <c r="AE1262" s="20" t="s">
        <v>91</v>
      </c>
      <c r="AF1262" s="20">
        <v>7</v>
      </c>
      <c r="AG1262" s="20">
        <v>0</v>
      </c>
      <c r="AH1262" s="20">
        <v>1</v>
      </c>
      <c r="AM1262" s="4" t="s">
        <v>91</v>
      </c>
      <c r="AP1262" s="4" t="s">
        <v>91</v>
      </c>
      <c r="AQ1262" s="20">
        <v>0</v>
      </c>
      <c r="AR1262" s="4">
        <v>0</v>
      </c>
      <c r="AS1262" s="20">
        <v>0</v>
      </c>
      <c r="AT1262" s="20">
        <v>0</v>
      </c>
      <c r="AU1262" s="20">
        <v>0</v>
      </c>
      <c r="AV1262" s="20">
        <v>0</v>
      </c>
      <c r="AW1262" s="20">
        <v>0</v>
      </c>
      <c r="AX1262" s="20" t="s">
        <v>91</v>
      </c>
      <c r="AY1262" s="20">
        <v>0</v>
      </c>
      <c r="AZ1262" s="20">
        <v>0</v>
      </c>
      <c r="BA1262" s="20">
        <v>0</v>
      </c>
      <c r="BB1262" s="6">
        <v>0</v>
      </c>
      <c r="BC1262" s="6">
        <v>0</v>
      </c>
      <c r="BD1262" s="6">
        <v>0</v>
      </c>
      <c r="BE1262" s="6">
        <v>0</v>
      </c>
      <c r="BG1262" s="6">
        <v>0</v>
      </c>
      <c r="BH1262" s="6">
        <v>0</v>
      </c>
      <c r="BI1262" s="6">
        <v>0</v>
      </c>
      <c r="BJ1262" s="6">
        <v>0</v>
      </c>
      <c r="BK1262" s="4">
        <v>0</v>
      </c>
      <c r="BL1262" s="4">
        <v>0</v>
      </c>
      <c r="BM1262" s="20">
        <v>368</v>
      </c>
      <c r="BN1262" s="20">
        <v>0</v>
      </c>
      <c r="BO1262" s="20">
        <v>0</v>
      </c>
      <c r="BP1262" s="20">
        <v>0</v>
      </c>
      <c r="BQ1262" s="20">
        <v>0</v>
      </c>
      <c r="BR1262" s="20">
        <v>0</v>
      </c>
      <c r="BS1262" s="20">
        <v>368</v>
      </c>
      <c r="BT1262" s="20">
        <v>3018181.8181818184</v>
      </c>
      <c r="BU1262" s="20">
        <v>19920000</v>
      </c>
      <c r="BV1262" s="20">
        <v>5.9999999999999991</v>
      </c>
    </row>
    <row r="1263" spans="1:74">
      <c r="A1263" s="10">
        <f t="shared" si="78"/>
        <v>0</v>
      </c>
      <c r="B1263" s="10">
        <f t="shared" si="79"/>
        <v>0</v>
      </c>
      <c r="C1263" s="12">
        <f t="shared" si="80"/>
        <v>10</v>
      </c>
      <c r="D1263" s="12">
        <f t="shared" si="81"/>
        <v>10</v>
      </c>
      <c r="E1263" s="20" t="s">
        <v>424</v>
      </c>
      <c r="F1263" s="20" t="s">
        <v>2810</v>
      </c>
      <c r="G1263" s="20" t="s">
        <v>4869</v>
      </c>
      <c r="H1263" s="20" t="s">
        <v>4870</v>
      </c>
      <c r="I1263" s="20">
        <v>1</v>
      </c>
      <c r="J1263" s="20" t="s">
        <v>4871</v>
      </c>
      <c r="K1263" s="20" t="s">
        <v>4872</v>
      </c>
      <c r="L1263" s="20" t="s">
        <v>4873</v>
      </c>
      <c r="M1263" s="20" t="s">
        <v>2810</v>
      </c>
      <c r="N1263" s="20" t="s">
        <v>4874</v>
      </c>
      <c r="P1263" s="20" t="s">
        <v>2810</v>
      </c>
      <c r="Q1263" s="20" t="s">
        <v>2817</v>
      </c>
      <c r="R1263" s="20" t="s">
        <v>84</v>
      </c>
      <c r="S1263" s="20">
        <v>5</v>
      </c>
      <c r="T1263" s="20" t="s">
        <v>244</v>
      </c>
      <c r="U1263" s="20" t="s">
        <v>245</v>
      </c>
      <c r="V1263" s="20" t="s">
        <v>87</v>
      </c>
      <c r="W1263" s="20">
        <v>863</v>
      </c>
      <c r="X1263" s="20">
        <v>863</v>
      </c>
      <c r="Y1263" s="20" t="s">
        <v>4875</v>
      </c>
      <c r="Z1263" s="20">
        <v>1</v>
      </c>
      <c r="AA1263" s="20" t="s">
        <v>4876</v>
      </c>
      <c r="AB1263" s="20" t="s">
        <v>89</v>
      </c>
      <c r="AC1263" s="20" t="s">
        <v>90</v>
      </c>
      <c r="AD1263" s="20" t="s">
        <v>4877</v>
      </c>
      <c r="AE1263" s="20" t="s">
        <v>400</v>
      </c>
      <c r="AF1263" s="20">
        <v>1</v>
      </c>
      <c r="AG1263" s="20">
        <v>0</v>
      </c>
      <c r="AH1263" s="20">
        <v>1</v>
      </c>
      <c r="AI1263" s="4" t="s">
        <v>251</v>
      </c>
      <c r="AJ1263" s="20">
        <v>50</v>
      </c>
      <c r="AK1263" s="4" t="s">
        <v>252</v>
      </c>
      <c r="AL1263" s="4">
        <v>6</v>
      </c>
      <c r="AM1263" s="4" t="s">
        <v>112</v>
      </c>
      <c r="AN1263" s="4" t="s">
        <v>95</v>
      </c>
      <c r="AO1263" s="4" t="s">
        <v>96</v>
      </c>
      <c r="AP1263" s="4">
        <v>1</v>
      </c>
      <c r="AQ1263" s="20">
        <v>45000</v>
      </c>
      <c r="AR1263" s="4">
        <v>41918</v>
      </c>
      <c r="AS1263" s="20">
        <v>5844.1558441558436</v>
      </c>
      <c r="AT1263" s="20">
        <v>0</v>
      </c>
      <c r="AU1263" s="20">
        <v>-5844.1558441558436</v>
      </c>
      <c r="AV1263" s="20">
        <v>0</v>
      </c>
      <c r="AW1263" s="20">
        <v>0</v>
      </c>
      <c r="AX1263" s="20" t="s">
        <v>91</v>
      </c>
      <c r="AY1263" s="20">
        <v>0</v>
      </c>
      <c r="AZ1263" s="20">
        <v>0</v>
      </c>
      <c r="BA1263" s="20">
        <v>0</v>
      </c>
      <c r="BB1263" s="6">
        <v>41918</v>
      </c>
      <c r="BC1263" s="6">
        <v>0</v>
      </c>
      <c r="BD1263" s="6">
        <v>41922</v>
      </c>
      <c r="BE1263" s="6">
        <v>0</v>
      </c>
      <c r="BF1263" s="6">
        <v>41922</v>
      </c>
      <c r="BG1263" s="6">
        <v>0</v>
      </c>
      <c r="BH1263" s="6">
        <v>0</v>
      </c>
      <c r="BI1263" s="6">
        <v>0</v>
      </c>
      <c r="BJ1263" s="6">
        <v>0</v>
      </c>
      <c r="BK1263" s="4">
        <v>0</v>
      </c>
      <c r="BL1263" s="4">
        <v>0</v>
      </c>
      <c r="BM1263" s="20">
        <v>50</v>
      </c>
      <c r="BN1263" s="20">
        <v>0</v>
      </c>
      <c r="BO1263" s="20">
        <v>0</v>
      </c>
      <c r="BP1263" s="20">
        <v>0</v>
      </c>
      <c r="BQ1263" s="20">
        <v>0</v>
      </c>
      <c r="BR1263" s="20">
        <v>0</v>
      </c>
      <c r="BS1263" s="20">
        <v>50</v>
      </c>
      <c r="BT1263" s="20">
        <v>292207.79220779217</v>
      </c>
      <c r="BU1263" s="20">
        <v>2250000</v>
      </c>
      <c r="BV1263" s="20">
        <v>7</v>
      </c>
    </row>
    <row r="1264" spans="1:74">
      <c r="A1264" s="10">
        <f t="shared" si="78"/>
        <v>0</v>
      </c>
      <c r="B1264" s="10">
        <f t="shared" si="79"/>
        <v>0</v>
      </c>
      <c r="C1264" s="12" t="str">
        <f t="shared" si="80"/>
        <v/>
      </c>
      <c r="D1264" s="12" t="str">
        <f t="shared" si="81"/>
        <v/>
      </c>
      <c r="E1264" s="20" t="s">
        <v>91</v>
      </c>
      <c r="F1264" s="20" t="s">
        <v>91</v>
      </c>
      <c r="G1264" s="20" t="s">
        <v>91</v>
      </c>
      <c r="H1264" s="20" t="s">
        <v>91</v>
      </c>
      <c r="I1264" s="20">
        <v>0</v>
      </c>
      <c r="J1264" s="20" t="s">
        <v>103</v>
      </c>
      <c r="K1264" s="20" t="s">
        <v>104</v>
      </c>
      <c r="L1264" s="20">
        <v>0</v>
      </c>
      <c r="M1264" s="20" t="s">
        <v>105</v>
      </c>
      <c r="N1264" s="20" t="s">
        <v>91</v>
      </c>
      <c r="O1264" s="20" t="s">
        <v>4878</v>
      </c>
      <c r="Q1264" s="20" t="s">
        <v>91</v>
      </c>
      <c r="R1264" s="20" t="s">
        <v>91</v>
      </c>
      <c r="S1264" s="20" t="s">
        <v>91</v>
      </c>
      <c r="T1264" s="20" t="s">
        <v>91</v>
      </c>
      <c r="U1264" s="20" t="s">
        <v>91</v>
      </c>
      <c r="V1264" s="20" t="s">
        <v>87</v>
      </c>
      <c r="W1264" s="20" t="s">
        <v>91</v>
      </c>
      <c r="X1264" s="20" t="s">
        <v>91</v>
      </c>
      <c r="Y1264" s="20" t="s">
        <v>91</v>
      </c>
      <c r="Z1264" s="20">
        <v>1</v>
      </c>
      <c r="AB1264" s="20" t="s">
        <v>91</v>
      </c>
      <c r="AD1264" s="20" t="s">
        <v>91</v>
      </c>
      <c r="AE1264" s="20" t="s">
        <v>91</v>
      </c>
      <c r="AF1264" s="20">
        <v>1</v>
      </c>
      <c r="AG1264" s="20">
        <v>0</v>
      </c>
      <c r="AH1264" s="20">
        <v>1</v>
      </c>
      <c r="AM1264" s="4" t="s">
        <v>91</v>
      </c>
      <c r="AP1264" s="4" t="s">
        <v>91</v>
      </c>
      <c r="AQ1264" s="20">
        <v>0</v>
      </c>
      <c r="AR1264" s="4">
        <v>0</v>
      </c>
      <c r="AS1264" s="20">
        <v>0</v>
      </c>
      <c r="AT1264" s="20">
        <v>0</v>
      </c>
      <c r="AU1264" s="20">
        <v>0</v>
      </c>
      <c r="AV1264" s="20">
        <v>0</v>
      </c>
      <c r="AW1264" s="20">
        <v>0</v>
      </c>
      <c r="AX1264" s="20" t="s">
        <v>91</v>
      </c>
      <c r="AY1264" s="20">
        <v>0</v>
      </c>
      <c r="AZ1264" s="20">
        <v>0</v>
      </c>
      <c r="BA1264" s="20">
        <v>0</v>
      </c>
      <c r="BB1264" s="6">
        <v>0</v>
      </c>
      <c r="BC1264" s="6">
        <v>0</v>
      </c>
      <c r="BD1264" s="6">
        <v>0</v>
      </c>
      <c r="BE1264" s="6">
        <v>0</v>
      </c>
      <c r="BF1264" s="6">
        <v>0</v>
      </c>
      <c r="BG1264" s="6">
        <v>0</v>
      </c>
      <c r="BH1264" s="6">
        <v>0</v>
      </c>
      <c r="BI1264" s="6">
        <v>0</v>
      </c>
      <c r="BJ1264" s="6">
        <v>0</v>
      </c>
      <c r="BK1264" s="4">
        <v>0</v>
      </c>
      <c r="BL1264" s="4">
        <v>0</v>
      </c>
      <c r="BM1264" s="20">
        <v>50</v>
      </c>
      <c r="BN1264" s="20">
        <v>0</v>
      </c>
      <c r="BO1264" s="20">
        <v>0</v>
      </c>
      <c r="BP1264" s="20">
        <v>0</v>
      </c>
      <c r="BQ1264" s="20">
        <v>0</v>
      </c>
      <c r="BR1264" s="20">
        <v>0</v>
      </c>
      <c r="BS1264" s="20">
        <v>50</v>
      </c>
      <c r="BT1264" s="20">
        <v>292207.79220779217</v>
      </c>
      <c r="BU1264" s="20">
        <v>2250000</v>
      </c>
      <c r="BV1264" s="20">
        <v>7</v>
      </c>
    </row>
    <row r="1265" spans="1:74">
      <c r="A1265" s="10">
        <f t="shared" si="78"/>
        <v>0</v>
      </c>
      <c r="B1265" s="10">
        <f t="shared" si="79"/>
        <v>0</v>
      </c>
      <c r="C1265" s="12">
        <f t="shared" si="80"/>
        <v>10</v>
      </c>
      <c r="D1265" s="12">
        <f t="shared" si="81"/>
        <v>10</v>
      </c>
      <c r="E1265" s="20" t="s">
        <v>424</v>
      </c>
      <c r="F1265" s="20" t="s">
        <v>2810</v>
      </c>
      <c r="G1265" s="20" t="s">
        <v>4879</v>
      </c>
      <c r="H1265" s="20" t="s">
        <v>4880</v>
      </c>
      <c r="I1265" s="20">
        <v>1</v>
      </c>
      <c r="J1265" s="20" t="s">
        <v>4881</v>
      </c>
      <c r="K1265" s="20" t="s">
        <v>4882</v>
      </c>
      <c r="L1265" s="20" t="s">
        <v>4883</v>
      </c>
      <c r="M1265" s="20" t="s">
        <v>2810</v>
      </c>
      <c r="N1265" s="20" t="s">
        <v>2816</v>
      </c>
      <c r="P1265" s="20" t="s">
        <v>2810</v>
      </c>
      <c r="Q1265" s="20" t="s">
        <v>2817</v>
      </c>
      <c r="R1265" s="20" t="s">
        <v>84</v>
      </c>
      <c r="S1265" s="20">
        <v>5</v>
      </c>
      <c r="T1265" s="20" t="s">
        <v>1401</v>
      </c>
      <c r="U1265" s="20" t="s">
        <v>1402</v>
      </c>
      <c r="V1265" s="20" t="s">
        <v>87</v>
      </c>
      <c r="W1265" s="20">
        <v>855</v>
      </c>
      <c r="X1265" s="20">
        <v>855</v>
      </c>
      <c r="Y1265" s="20" t="s">
        <v>4884</v>
      </c>
      <c r="Z1265" s="20">
        <v>1</v>
      </c>
      <c r="AA1265" s="20" t="s">
        <v>4885</v>
      </c>
      <c r="AB1265" s="20" t="s">
        <v>718</v>
      </c>
      <c r="AC1265" s="20" t="s">
        <v>719</v>
      </c>
      <c r="AD1265" s="20" t="s">
        <v>4886</v>
      </c>
      <c r="AE1265" s="20" t="s">
        <v>400</v>
      </c>
      <c r="AF1265" s="20">
        <v>1</v>
      </c>
      <c r="AG1265" s="20">
        <v>0</v>
      </c>
      <c r="AH1265" s="20">
        <v>1</v>
      </c>
      <c r="AI1265" s="4" t="s">
        <v>251</v>
      </c>
      <c r="AJ1265" s="20">
        <v>100</v>
      </c>
      <c r="AK1265" s="4" t="s">
        <v>1047</v>
      </c>
      <c r="AL1265" s="4">
        <v>13</v>
      </c>
      <c r="AM1265" s="4">
        <v>13</v>
      </c>
      <c r="AN1265" s="4" t="s">
        <v>95</v>
      </c>
      <c r="AO1265" s="4" t="s">
        <v>96</v>
      </c>
      <c r="AP1265" s="4">
        <v>1</v>
      </c>
      <c r="AQ1265" s="20">
        <v>55000</v>
      </c>
      <c r="AR1265" s="4">
        <v>41918</v>
      </c>
      <c r="AS1265" s="20">
        <v>5555.5555555555547</v>
      </c>
      <c r="AT1265" s="20">
        <v>0</v>
      </c>
      <c r="AU1265" s="20">
        <v>-5555.5555555555547</v>
      </c>
      <c r="AV1265" s="20">
        <v>0</v>
      </c>
      <c r="AW1265" s="20">
        <v>0</v>
      </c>
      <c r="AX1265" s="20" t="s">
        <v>91</v>
      </c>
      <c r="AY1265" s="20">
        <v>0</v>
      </c>
      <c r="AZ1265" s="20">
        <v>0</v>
      </c>
      <c r="BA1265" s="20">
        <v>0</v>
      </c>
      <c r="BB1265" s="6">
        <v>41918</v>
      </c>
      <c r="BC1265" s="6">
        <v>0</v>
      </c>
      <c r="BD1265" s="6">
        <v>41922</v>
      </c>
      <c r="BE1265" s="6">
        <v>0</v>
      </c>
      <c r="BF1265" s="6">
        <v>41922</v>
      </c>
      <c r="BG1265" s="6">
        <v>0</v>
      </c>
      <c r="BH1265" s="6">
        <v>0</v>
      </c>
      <c r="BI1265" s="6">
        <v>0</v>
      </c>
      <c r="BJ1265" s="6">
        <v>0</v>
      </c>
      <c r="BK1265" s="4">
        <v>0</v>
      </c>
      <c r="BL1265" s="4">
        <v>0</v>
      </c>
      <c r="BM1265" s="20">
        <v>100</v>
      </c>
      <c r="BN1265" s="20">
        <v>0</v>
      </c>
      <c r="BO1265" s="20">
        <v>0</v>
      </c>
      <c r="BP1265" s="20">
        <v>0</v>
      </c>
      <c r="BQ1265" s="20">
        <v>0</v>
      </c>
      <c r="BR1265" s="20">
        <v>0</v>
      </c>
      <c r="BS1265" s="20">
        <v>100</v>
      </c>
      <c r="BT1265" s="20">
        <v>555555.5555555555</v>
      </c>
      <c r="BU1265" s="20">
        <v>5500000</v>
      </c>
      <c r="BV1265" s="20">
        <v>9</v>
      </c>
    </row>
    <row r="1266" spans="1:74">
      <c r="A1266" s="10">
        <f t="shared" si="78"/>
        <v>0</v>
      </c>
      <c r="B1266" s="10">
        <f t="shared" si="79"/>
        <v>0</v>
      </c>
      <c r="C1266" s="12">
        <f t="shared" si="80"/>
        <v>10</v>
      </c>
      <c r="D1266" s="12">
        <f t="shared" si="81"/>
        <v>10</v>
      </c>
      <c r="E1266" s="20" t="s">
        <v>424</v>
      </c>
      <c r="F1266" s="20" t="s">
        <v>2810</v>
      </c>
      <c r="G1266" s="20" t="s">
        <v>4879</v>
      </c>
      <c r="H1266" s="20" t="s">
        <v>4887</v>
      </c>
      <c r="I1266" s="20">
        <v>2</v>
      </c>
      <c r="J1266" s="20" t="s">
        <v>4888</v>
      </c>
      <c r="K1266" s="20" t="s">
        <v>4889</v>
      </c>
      <c r="L1266" s="20" t="s">
        <v>4890</v>
      </c>
      <c r="M1266" s="20" t="s">
        <v>2810</v>
      </c>
      <c r="N1266" s="20" t="s">
        <v>2816</v>
      </c>
      <c r="P1266" s="20" t="s">
        <v>2810</v>
      </c>
      <c r="Q1266" s="20" t="s">
        <v>2817</v>
      </c>
      <c r="R1266" s="20" t="s">
        <v>84</v>
      </c>
      <c r="S1266" s="20">
        <v>5</v>
      </c>
      <c r="T1266" s="20" t="s">
        <v>1401</v>
      </c>
      <c r="U1266" s="20" t="s">
        <v>1402</v>
      </c>
      <c r="V1266" s="20" t="s">
        <v>87</v>
      </c>
      <c r="W1266" s="20">
        <v>860</v>
      </c>
      <c r="X1266" s="20">
        <v>860</v>
      </c>
      <c r="Y1266" s="20" t="s">
        <v>4891</v>
      </c>
      <c r="Z1266" s="20">
        <v>1</v>
      </c>
      <c r="AA1266" s="20" t="s">
        <v>4892</v>
      </c>
      <c r="AB1266" s="20" t="s">
        <v>279</v>
      </c>
      <c r="AC1266" s="20" t="s">
        <v>280</v>
      </c>
      <c r="AD1266" s="20" t="s">
        <v>4893</v>
      </c>
      <c r="AE1266" s="20" t="s">
        <v>400</v>
      </c>
      <c r="AF1266" s="20">
        <v>1</v>
      </c>
      <c r="AG1266" s="20">
        <v>0</v>
      </c>
      <c r="AH1266" s="20">
        <v>1</v>
      </c>
      <c r="AI1266" s="4" t="s">
        <v>251</v>
      </c>
      <c r="AJ1266" s="20">
        <v>100</v>
      </c>
      <c r="AK1266" s="4" t="s">
        <v>1047</v>
      </c>
      <c r="AL1266" s="4">
        <v>13</v>
      </c>
      <c r="AM1266" s="4">
        <v>13</v>
      </c>
      <c r="AN1266" s="4" t="s">
        <v>95</v>
      </c>
      <c r="AO1266" s="4" t="s">
        <v>96</v>
      </c>
      <c r="AP1266" s="4">
        <v>1</v>
      </c>
      <c r="AQ1266" s="20">
        <v>45000</v>
      </c>
      <c r="AR1266" s="4">
        <v>41918</v>
      </c>
      <c r="AS1266" s="20">
        <v>4545.454545454545</v>
      </c>
      <c r="AT1266" s="20">
        <v>0</v>
      </c>
      <c r="AU1266" s="20">
        <v>-4545.454545454545</v>
      </c>
      <c r="AV1266" s="20">
        <v>0</v>
      </c>
      <c r="AW1266" s="20">
        <v>0</v>
      </c>
      <c r="AX1266" s="20" t="s">
        <v>91</v>
      </c>
      <c r="AY1266" s="20">
        <v>0</v>
      </c>
      <c r="AZ1266" s="20">
        <v>0</v>
      </c>
      <c r="BA1266" s="20">
        <v>0</v>
      </c>
      <c r="BB1266" s="6">
        <v>41918</v>
      </c>
      <c r="BC1266" s="6">
        <v>0</v>
      </c>
      <c r="BD1266" s="6">
        <v>41922</v>
      </c>
      <c r="BE1266" s="6">
        <v>0</v>
      </c>
      <c r="BF1266" s="6">
        <v>41922</v>
      </c>
      <c r="BG1266" s="6">
        <v>0</v>
      </c>
      <c r="BH1266" s="6">
        <v>0</v>
      </c>
      <c r="BI1266" s="6">
        <v>0</v>
      </c>
      <c r="BJ1266" s="6">
        <v>0</v>
      </c>
      <c r="BK1266" s="4">
        <v>0</v>
      </c>
      <c r="BL1266" s="4">
        <v>0</v>
      </c>
      <c r="BM1266" s="20">
        <v>100</v>
      </c>
      <c r="BN1266" s="20">
        <v>0</v>
      </c>
      <c r="BO1266" s="20">
        <v>0</v>
      </c>
      <c r="BP1266" s="20">
        <v>0</v>
      </c>
      <c r="BQ1266" s="20">
        <v>0</v>
      </c>
      <c r="BR1266" s="20">
        <v>0</v>
      </c>
      <c r="BS1266" s="20">
        <v>100</v>
      </c>
      <c r="BT1266" s="20">
        <v>454545.45454545453</v>
      </c>
      <c r="BU1266" s="20">
        <v>4500000</v>
      </c>
      <c r="BV1266" s="20">
        <v>9</v>
      </c>
    </row>
    <row r="1267" spans="1:74">
      <c r="A1267" s="10">
        <f t="shared" si="78"/>
        <v>0</v>
      </c>
      <c r="B1267" s="10">
        <f t="shared" si="79"/>
        <v>0</v>
      </c>
      <c r="C1267" s="12" t="str">
        <f t="shared" si="80"/>
        <v/>
      </c>
      <c r="D1267" s="12" t="str">
        <f t="shared" si="81"/>
        <v/>
      </c>
      <c r="E1267" s="20" t="s">
        <v>91</v>
      </c>
      <c r="F1267" s="20" t="s">
        <v>91</v>
      </c>
      <c r="G1267" s="20" t="s">
        <v>91</v>
      </c>
      <c r="H1267" s="20" t="s">
        <v>91</v>
      </c>
      <c r="I1267" s="20">
        <v>0</v>
      </c>
      <c r="J1267" s="20" t="s">
        <v>103</v>
      </c>
      <c r="K1267" s="20" t="s">
        <v>104</v>
      </c>
      <c r="L1267" s="20">
        <v>0</v>
      </c>
      <c r="M1267" s="20" t="s">
        <v>105</v>
      </c>
      <c r="N1267" s="20" t="s">
        <v>91</v>
      </c>
      <c r="O1267" s="20" t="s">
        <v>4894</v>
      </c>
      <c r="Q1267" s="20" t="s">
        <v>91</v>
      </c>
      <c r="R1267" s="20" t="s">
        <v>91</v>
      </c>
      <c r="S1267" s="20" t="s">
        <v>91</v>
      </c>
      <c r="T1267" s="20" t="s">
        <v>91</v>
      </c>
      <c r="U1267" s="20" t="s">
        <v>91</v>
      </c>
      <c r="V1267" s="20" t="s">
        <v>87</v>
      </c>
      <c r="W1267" s="20" t="s">
        <v>91</v>
      </c>
      <c r="X1267" s="20" t="s">
        <v>91</v>
      </c>
      <c r="Y1267" s="20" t="s">
        <v>91</v>
      </c>
      <c r="Z1267" s="20">
        <v>2</v>
      </c>
      <c r="AB1267" s="20" t="s">
        <v>91</v>
      </c>
      <c r="AD1267" s="20" t="s">
        <v>91</v>
      </c>
      <c r="AE1267" s="20" t="s">
        <v>91</v>
      </c>
      <c r="AF1267" s="20">
        <v>2</v>
      </c>
      <c r="AG1267" s="20">
        <v>0</v>
      </c>
      <c r="AH1267" s="20">
        <v>1</v>
      </c>
      <c r="AM1267" s="4" t="s">
        <v>91</v>
      </c>
      <c r="AP1267" s="4" t="s">
        <v>91</v>
      </c>
      <c r="AQ1267" s="20">
        <v>0</v>
      </c>
      <c r="AR1267" s="4">
        <v>0</v>
      </c>
      <c r="AS1267" s="20">
        <v>0</v>
      </c>
      <c r="AT1267" s="20">
        <v>0</v>
      </c>
      <c r="AU1267" s="20">
        <v>0</v>
      </c>
      <c r="AV1267" s="20">
        <v>0</v>
      </c>
      <c r="AW1267" s="20">
        <v>0</v>
      </c>
      <c r="AX1267" s="20" t="s">
        <v>91</v>
      </c>
      <c r="AY1267" s="20">
        <v>0</v>
      </c>
      <c r="AZ1267" s="20">
        <v>0</v>
      </c>
      <c r="BA1267" s="20">
        <v>0</v>
      </c>
      <c r="BB1267" s="6">
        <v>0</v>
      </c>
      <c r="BC1267" s="6">
        <v>0</v>
      </c>
      <c r="BD1267" s="6">
        <v>0</v>
      </c>
      <c r="BE1267" s="6">
        <v>0</v>
      </c>
      <c r="BF1267" s="6">
        <v>0</v>
      </c>
      <c r="BG1267" s="6">
        <v>0</v>
      </c>
      <c r="BH1267" s="6">
        <v>0</v>
      </c>
      <c r="BI1267" s="6">
        <v>0</v>
      </c>
      <c r="BJ1267" s="6">
        <v>0</v>
      </c>
      <c r="BK1267" s="4">
        <v>0</v>
      </c>
      <c r="BL1267" s="4">
        <v>0</v>
      </c>
      <c r="BM1267" s="20">
        <v>200</v>
      </c>
      <c r="BN1267" s="20">
        <v>0</v>
      </c>
      <c r="BO1267" s="20">
        <v>0</v>
      </c>
      <c r="BP1267" s="20">
        <v>0</v>
      </c>
      <c r="BQ1267" s="20">
        <v>0</v>
      </c>
      <c r="BR1267" s="20">
        <v>0</v>
      </c>
      <c r="BS1267" s="20">
        <v>200</v>
      </c>
      <c r="BT1267" s="20">
        <v>1010101.0101010101</v>
      </c>
      <c r="BU1267" s="20">
        <v>10000000</v>
      </c>
      <c r="BV1267" s="20">
        <v>8.9999999999999982</v>
      </c>
    </row>
    <row r="1268" spans="1:74">
      <c r="A1268" s="10">
        <f t="shared" si="78"/>
        <v>0</v>
      </c>
      <c r="B1268" s="10">
        <f t="shared" si="79"/>
        <v>0</v>
      </c>
      <c r="C1268" s="12">
        <f t="shared" si="80"/>
        <v>10</v>
      </c>
      <c r="D1268" s="12">
        <f t="shared" si="81"/>
        <v>10</v>
      </c>
      <c r="E1268" s="20" t="s">
        <v>424</v>
      </c>
      <c r="F1268" s="20" t="s">
        <v>2810</v>
      </c>
      <c r="G1268" s="20" t="s">
        <v>4895</v>
      </c>
      <c r="H1268" s="20" t="s">
        <v>4896</v>
      </c>
      <c r="I1268" s="20">
        <v>1</v>
      </c>
      <c r="J1268" s="20" t="s">
        <v>4897</v>
      </c>
      <c r="K1268" s="20" t="s">
        <v>4898</v>
      </c>
      <c r="L1268" s="20" t="s">
        <v>4899</v>
      </c>
      <c r="M1268" s="20" t="s">
        <v>2810</v>
      </c>
      <c r="N1268" s="20" t="s">
        <v>4900</v>
      </c>
      <c r="P1268" s="20" t="s">
        <v>2810</v>
      </c>
      <c r="Q1268" s="20" t="s">
        <v>2817</v>
      </c>
      <c r="R1268" s="20" t="s">
        <v>84</v>
      </c>
      <c r="S1268" s="20">
        <v>5</v>
      </c>
      <c r="T1268" s="20" t="s">
        <v>172</v>
      </c>
      <c r="U1268" s="20" t="s">
        <v>173</v>
      </c>
      <c r="V1268" s="20" t="s">
        <v>87</v>
      </c>
      <c r="W1268" s="20">
        <v>636</v>
      </c>
      <c r="X1268" s="20">
        <v>636</v>
      </c>
      <c r="Y1268" s="20" t="s">
        <v>4901</v>
      </c>
      <c r="Z1268" s="20">
        <v>1</v>
      </c>
      <c r="AA1268" s="20" t="s">
        <v>4902</v>
      </c>
      <c r="AB1268" s="20" t="s">
        <v>101</v>
      </c>
      <c r="AC1268" s="20" t="s">
        <v>102</v>
      </c>
      <c r="AD1268" s="20" t="s">
        <v>4903</v>
      </c>
      <c r="AE1268" s="20" t="s">
        <v>400</v>
      </c>
      <c r="AF1268" s="20">
        <v>1</v>
      </c>
      <c r="AG1268" s="20">
        <v>0</v>
      </c>
      <c r="AH1268" s="20">
        <v>1</v>
      </c>
      <c r="AI1268" s="4" t="s">
        <v>251</v>
      </c>
      <c r="AJ1268" s="20">
        <v>43</v>
      </c>
      <c r="AK1268" s="4" t="s">
        <v>129</v>
      </c>
      <c r="AL1268" s="4">
        <v>6</v>
      </c>
      <c r="AM1268" s="4" t="s">
        <v>112</v>
      </c>
      <c r="AN1268" s="4" t="s">
        <v>95</v>
      </c>
      <c r="AO1268" s="4" t="s">
        <v>131</v>
      </c>
      <c r="AP1268" s="4">
        <v>2</v>
      </c>
      <c r="AQ1268" s="20">
        <v>55000</v>
      </c>
      <c r="AR1268" s="4">
        <v>41918</v>
      </c>
      <c r="AS1268" s="20">
        <v>12499.999999999998</v>
      </c>
      <c r="AT1268" s="20">
        <v>0</v>
      </c>
      <c r="AU1268" s="20">
        <v>-12499.999999999998</v>
      </c>
      <c r="AV1268" s="20">
        <v>0</v>
      </c>
      <c r="AW1268" s="20">
        <v>0</v>
      </c>
      <c r="AX1268" s="20" t="s">
        <v>91</v>
      </c>
      <c r="AY1268" s="20">
        <v>0</v>
      </c>
      <c r="AZ1268" s="20">
        <v>0</v>
      </c>
      <c r="BA1268" s="20">
        <v>0</v>
      </c>
      <c r="BB1268" s="6">
        <v>41918</v>
      </c>
      <c r="BC1268" s="6">
        <v>0</v>
      </c>
      <c r="BD1268" s="6">
        <v>41922</v>
      </c>
      <c r="BE1268" s="6">
        <v>0</v>
      </c>
      <c r="BF1268" s="6">
        <v>41922</v>
      </c>
      <c r="BG1268" s="6">
        <v>0</v>
      </c>
      <c r="BH1268" s="6">
        <v>0</v>
      </c>
      <c r="BI1268" s="6">
        <v>0</v>
      </c>
      <c r="BJ1268" s="6">
        <v>0</v>
      </c>
      <c r="BK1268" s="4">
        <v>0</v>
      </c>
      <c r="BL1268" s="4">
        <v>0</v>
      </c>
      <c r="BM1268" s="20">
        <v>5</v>
      </c>
      <c r="BN1268" s="20">
        <v>0</v>
      </c>
      <c r="BO1268" s="20">
        <v>0</v>
      </c>
      <c r="BP1268" s="20">
        <v>0</v>
      </c>
      <c r="BQ1268" s="20">
        <v>0</v>
      </c>
      <c r="BS1268" s="20">
        <v>43</v>
      </c>
      <c r="BT1268" s="20">
        <v>537499.99999999988</v>
      </c>
      <c r="BU1268" s="20">
        <v>2365000</v>
      </c>
      <c r="BV1268" s="20">
        <v>4.0000000000000009</v>
      </c>
    </row>
    <row r="1269" spans="1:74">
      <c r="A1269" s="10">
        <f t="shared" si="78"/>
        <v>0</v>
      </c>
      <c r="B1269" s="10">
        <f t="shared" si="79"/>
        <v>0</v>
      </c>
      <c r="C1269" s="12">
        <f t="shared" si="80"/>
        <v>10</v>
      </c>
      <c r="D1269" s="12">
        <f t="shared" si="81"/>
        <v>10</v>
      </c>
      <c r="E1269" s="20" t="s">
        <v>424</v>
      </c>
      <c r="F1269" s="20" t="s">
        <v>2810</v>
      </c>
      <c r="G1269" s="20" t="s">
        <v>4895</v>
      </c>
      <c r="H1269" s="20" t="s">
        <v>4904</v>
      </c>
      <c r="I1269" s="20">
        <v>2</v>
      </c>
      <c r="J1269" s="20" t="s">
        <v>4905</v>
      </c>
      <c r="K1269" s="20" t="s">
        <v>4906</v>
      </c>
      <c r="L1269" s="20" t="s">
        <v>4907</v>
      </c>
      <c r="M1269" s="20" t="s">
        <v>2810</v>
      </c>
      <c r="N1269" s="20" t="s">
        <v>4900</v>
      </c>
      <c r="P1269" s="20" t="s">
        <v>2810</v>
      </c>
      <c r="Q1269" s="20" t="s">
        <v>2817</v>
      </c>
      <c r="R1269" s="20" t="s">
        <v>84</v>
      </c>
      <c r="S1269" s="20">
        <v>5</v>
      </c>
      <c r="T1269" s="20" t="s">
        <v>172</v>
      </c>
      <c r="U1269" s="20" t="s">
        <v>173</v>
      </c>
      <c r="V1269" s="20" t="s">
        <v>87</v>
      </c>
      <c r="W1269" s="20">
        <v>637</v>
      </c>
      <c r="X1269" s="20">
        <v>637</v>
      </c>
      <c r="Y1269" s="20" t="s">
        <v>4908</v>
      </c>
      <c r="Z1269" s="20">
        <v>1</v>
      </c>
      <c r="AA1269" s="20" t="s">
        <v>4909</v>
      </c>
      <c r="AB1269" s="20" t="s">
        <v>279</v>
      </c>
      <c r="AC1269" s="20" t="s">
        <v>280</v>
      </c>
      <c r="AD1269" s="20" t="s">
        <v>4910</v>
      </c>
      <c r="AE1269" s="20" t="s">
        <v>400</v>
      </c>
      <c r="AF1269" s="20">
        <v>1</v>
      </c>
      <c r="AG1269" s="20">
        <v>0</v>
      </c>
      <c r="AH1269" s="20">
        <v>1</v>
      </c>
      <c r="AI1269" s="4" t="s">
        <v>251</v>
      </c>
      <c r="AJ1269" s="20">
        <v>21</v>
      </c>
      <c r="AK1269" s="4" t="s">
        <v>129</v>
      </c>
      <c r="AL1269" s="4">
        <v>6</v>
      </c>
      <c r="AM1269" s="4" t="s">
        <v>112</v>
      </c>
      <c r="AN1269" s="4" t="s">
        <v>95</v>
      </c>
      <c r="AO1269" s="4" t="s">
        <v>131</v>
      </c>
      <c r="AP1269" s="4">
        <v>2</v>
      </c>
      <c r="AQ1269" s="20">
        <v>55000</v>
      </c>
      <c r="AR1269" s="4">
        <v>41918</v>
      </c>
      <c r="AS1269" s="20">
        <v>12499.999999999998</v>
      </c>
      <c r="AT1269" s="20">
        <v>0</v>
      </c>
      <c r="AU1269" s="20">
        <v>-12499.999999999998</v>
      </c>
      <c r="AV1269" s="20">
        <v>0</v>
      </c>
      <c r="AW1269" s="20">
        <v>0</v>
      </c>
      <c r="AX1269" s="20" t="s">
        <v>91</v>
      </c>
      <c r="AY1269" s="20">
        <v>0</v>
      </c>
      <c r="AZ1269" s="20">
        <v>0</v>
      </c>
      <c r="BA1269" s="20">
        <v>0</v>
      </c>
      <c r="BB1269" s="6">
        <v>41918</v>
      </c>
      <c r="BC1269" s="6">
        <v>0</v>
      </c>
      <c r="BD1269" s="6">
        <v>41922</v>
      </c>
      <c r="BE1269" s="6">
        <v>0</v>
      </c>
      <c r="BF1269" s="6">
        <v>41922</v>
      </c>
      <c r="BG1269" s="6">
        <v>0</v>
      </c>
      <c r="BH1269" s="6">
        <v>0</v>
      </c>
      <c r="BI1269" s="6">
        <v>0</v>
      </c>
      <c r="BJ1269" s="6">
        <v>0</v>
      </c>
      <c r="BK1269" s="4">
        <v>0</v>
      </c>
      <c r="BL1269" s="4">
        <v>0</v>
      </c>
      <c r="BM1269" s="20">
        <v>6</v>
      </c>
      <c r="BN1269" s="20">
        <v>0</v>
      </c>
      <c r="BO1269" s="20">
        <v>0</v>
      </c>
      <c r="BP1269" s="20">
        <v>0</v>
      </c>
      <c r="BQ1269" s="20">
        <v>0</v>
      </c>
      <c r="BS1269" s="20">
        <v>21</v>
      </c>
      <c r="BT1269" s="20">
        <v>262499.99999999994</v>
      </c>
      <c r="BU1269" s="20">
        <v>1155000</v>
      </c>
      <c r="BV1269" s="20">
        <v>4.0000000000000009</v>
      </c>
    </row>
    <row r="1270" spans="1:74">
      <c r="A1270" s="10">
        <f t="shared" si="78"/>
        <v>0</v>
      </c>
      <c r="B1270" s="10">
        <f t="shared" si="79"/>
        <v>0</v>
      </c>
      <c r="C1270" s="12" t="str">
        <f t="shared" si="80"/>
        <v/>
      </c>
      <c r="D1270" s="12" t="str">
        <f t="shared" si="81"/>
        <v/>
      </c>
      <c r="E1270" s="20" t="s">
        <v>91</v>
      </c>
      <c r="F1270" s="20" t="s">
        <v>91</v>
      </c>
      <c r="G1270" s="20" t="s">
        <v>91</v>
      </c>
      <c r="H1270" s="20" t="s">
        <v>91</v>
      </c>
      <c r="I1270" s="20">
        <v>0</v>
      </c>
      <c r="J1270" s="20" t="s">
        <v>103</v>
      </c>
      <c r="K1270" s="20" t="s">
        <v>104</v>
      </c>
      <c r="L1270" s="20">
        <v>0</v>
      </c>
      <c r="M1270" s="20" t="s">
        <v>105</v>
      </c>
      <c r="N1270" s="20" t="s">
        <v>91</v>
      </c>
      <c r="O1270" s="20" t="s">
        <v>4911</v>
      </c>
      <c r="Q1270" s="20" t="s">
        <v>91</v>
      </c>
      <c r="R1270" s="20" t="s">
        <v>91</v>
      </c>
      <c r="S1270" s="20" t="s">
        <v>91</v>
      </c>
      <c r="T1270" s="20" t="s">
        <v>91</v>
      </c>
      <c r="U1270" s="20" t="s">
        <v>91</v>
      </c>
      <c r="V1270" s="20" t="s">
        <v>87</v>
      </c>
      <c r="W1270" s="20" t="s">
        <v>91</v>
      </c>
      <c r="X1270" s="20" t="s">
        <v>91</v>
      </c>
      <c r="Y1270" s="20" t="s">
        <v>91</v>
      </c>
      <c r="Z1270" s="20">
        <v>2</v>
      </c>
      <c r="AB1270" s="20" t="s">
        <v>91</v>
      </c>
      <c r="AD1270" s="20" t="s">
        <v>91</v>
      </c>
      <c r="AE1270" s="20" t="s">
        <v>91</v>
      </c>
      <c r="AF1270" s="20">
        <v>2</v>
      </c>
      <c r="AG1270" s="20">
        <v>0</v>
      </c>
      <c r="AH1270" s="20">
        <v>1</v>
      </c>
      <c r="AM1270" s="4" t="s">
        <v>91</v>
      </c>
      <c r="AP1270" s="4" t="s">
        <v>91</v>
      </c>
      <c r="AQ1270" s="20">
        <v>0</v>
      </c>
      <c r="AR1270" s="4">
        <v>0</v>
      </c>
      <c r="AS1270" s="20">
        <v>0</v>
      </c>
      <c r="AT1270" s="20">
        <v>0</v>
      </c>
      <c r="AU1270" s="20">
        <v>0</v>
      </c>
      <c r="AV1270" s="20">
        <v>0</v>
      </c>
      <c r="AW1270" s="20">
        <v>0</v>
      </c>
      <c r="AX1270" s="20" t="s">
        <v>91</v>
      </c>
      <c r="AY1270" s="20">
        <v>0</v>
      </c>
      <c r="AZ1270" s="20">
        <v>0</v>
      </c>
      <c r="BA1270" s="20">
        <v>0</v>
      </c>
      <c r="BB1270" s="6">
        <v>0</v>
      </c>
      <c r="BC1270" s="6">
        <v>0</v>
      </c>
      <c r="BD1270" s="6">
        <v>0</v>
      </c>
      <c r="BE1270" s="6">
        <v>0</v>
      </c>
      <c r="BF1270" s="6">
        <v>0</v>
      </c>
      <c r="BG1270" s="6">
        <v>0</v>
      </c>
      <c r="BH1270" s="6">
        <v>0</v>
      </c>
      <c r="BI1270" s="6">
        <v>0</v>
      </c>
      <c r="BJ1270" s="6">
        <v>0</v>
      </c>
      <c r="BK1270" s="4">
        <v>0</v>
      </c>
      <c r="BL1270" s="4">
        <v>0</v>
      </c>
      <c r="BM1270" s="20">
        <v>11</v>
      </c>
      <c r="BN1270" s="20">
        <v>0</v>
      </c>
      <c r="BO1270" s="20">
        <v>0</v>
      </c>
      <c r="BP1270" s="20">
        <v>0</v>
      </c>
      <c r="BQ1270" s="20">
        <v>0</v>
      </c>
      <c r="BR1270" s="20">
        <v>0</v>
      </c>
      <c r="BS1270" s="20">
        <v>64</v>
      </c>
      <c r="BT1270" s="20">
        <v>799999.99999999977</v>
      </c>
      <c r="BU1270" s="20">
        <v>3520000</v>
      </c>
      <c r="BV1270" s="20">
        <v>4.0000000000000009</v>
      </c>
    </row>
    <row r="1271" spans="1:74">
      <c r="A1271" s="10">
        <f t="shared" si="78"/>
        <v>0</v>
      </c>
      <c r="B1271" s="10">
        <f t="shared" si="79"/>
        <v>0</v>
      </c>
      <c r="C1271" s="12">
        <f t="shared" si="80"/>
        <v>10</v>
      </c>
      <c r="D1271" s="12">
        <f t="shared" si="81"/>
        <v>10</v>
      </c>
      <c r="E1271" s="20" t="s">
        <v>424</v>
      </c>
      <c r="F1271" s="20" t="s">
        <v>2810</v>
      </c>
      <c r="G1271" s="20" t="s">
        <v>4912</v>
      </c>
      <c r="H1271" s="20" t="s">
        <v>4913</v>
      </c>
      <c r="I1271" s="20">
        <v>1</v>
      </c>
      <c r="J1271" s="20" t="s">
        <v>4914</v>
      </c>
      <c r="K1271" s="20" t="s">
        <v>4915</v>
      </c>
      <c r="L1271" s="20" t="s">
        <v>4916</v>
      </c>
      <c r="M1271" s="20" t="s">
        <v>2810</v>
      </c>
      <c r="N1271" s="20" t="s">
        <v>4917</v>
      </c>
      <c r="P1271" s="20" t="s">
        <v>2810</v>
      </c>
      <c r="Q1271" s="20" t="s">
        <v>2817</v>
      </c>
      <c r="R1271" s="20" t="s">
        <v>84</v>
      </c>
      <c r="S1271" s="20">
        <v>5</v>
      </c>
      <c r="T1271" s="20" t="s">
        <v>244</v>
      </c>
      <c r="U1271" s="20" t="s">
        <v>245</v>
      </c>
      <c r="V1271" s="20" t="s">
        <v>87</v>
      </c>
      <c r="W1271" s="20">
        <v>628</v>
      </c>
      <c r="X1271" s="20">
        <v>628</v>
      </c>
      <c r="Y1271" s="20" t="s">
        <v>4918</v>
      </c>
      <c r="Z1271" s="20">
        <v>1</v>
      </c>
      <c r="AA1271" s="20" t="s">
        <v>4919</v>
      </c>
      <c r="AB1271" s="20" t="s">
        <v>101</v>
      </c>
      <c r="AC1271" s="20" t="s">
        <v>102</v>
      </c>
      <c r="AD1271" s="20" t="s">
        <v>4920</v>
      </c>
      <c r="AE1271" s="20" t="s">
        <v>400</v>
      </c>
      <c r="AF1271" s="20">
        <v>1</v>
      </c>
      <c r="AG1271" s="20">
        <v>0</v>
      </c>
      <c r="AH1271" s="20">
        <v>1</v>
      </c>
      <c r="AI1271" s="4" t="s">
        <v>251</v>
      </c>
      <c r="AJ1271" s="20">
        <v>150</v>
      </c>
      <c r="AK1271" s="4" t="s">
        <v>179</v>
      </c>
      <c r="AL1271" s="4">
        <v>31</v>
      </c>
      <c r="AM1271" s="4">
        <v>31</v>
      </c>
      <c r="AN1271" s="4" t="s">
        <v>95</v>
      </c>
      <c r="AO1271" s="4" t="s">
        <v>96</v>
      </c>
      <c r="AP1271" s="4">
        <v>1</v>
      </c>
      <c r="AQ1271" s="20">
        <v>39000</v>
      </c>
      <c r="AR1271" s="4">
        <v>41918</v>
      </c>
      <c r="AS1271" s="20">
        <v>5909.0909090909081</v>
      </c>
      <c r="AT1271" s="20">
        <v>0</v>
      </c>
      <c r="AU1271" s="20">
        <v>-5909.0909090909081</v>
      </c>
      <c r="AV1271" s="20">
        <v>0</v>
      </c>
      <c r="AW1271" s="20">
        <v>0</v>
      </c>
      <c r="AX1271" s="20" t="s">
        <v>91</v>
      </c>
      <c r="AY1271" s="20">
        <v>0</v>
      </c>
      <c r="AZ1271" s="20">
        <v>0</v>
      </c>
      <c r="BA1271" s="20">
        <v>0</v>
      </c>
      <c r="BB1271" s="6">
        <v>41918</v>
      </c>
      <c r="BC1271" s="6">
        <v>0</v>
      </c>
      <c r="BD1271" s="6">
        <v>41922</v>
      </c>
      <c r="BE1271" s="6">
        <v>0</v>
      </c>
      <c r="BF1271" s="6">
        <v>41922</v>
      </c>
      <c r="BG1271" s="6">
        <v>0</v>
      </c>
      <c r="BH1271" s="6">
        <v>0</v>
      </c>
      <c r="BI1271" s="6">
        <v>0</v>
      </c>
      <c r="BJ1271" s="6">
        <v>0</v>
      </c>
      <c r="BK1271" s="4">
        <v>0</v>
      </c>
      <c r="BL1271" s="4">
        <v>0</v>
      </c>
      <c r="BM1271" s="20">
        <v>149</v>
      </c>
      <c r="BN1271" s="20">
        <v>0</v>
      </c>
      <c r="BO1271" s="20">
        <v>0</v>
      </c>
      <c r="BP1271" s="20">
        <v>0</v>
      </c>
      <c r="BQ1271" s="20">
        <v>0</v>
      </c>
      <c r="BR1271" s="20">
        <v>0</v>
      </c>
      <c r="BS1271" s="20">
        <v>150</v>
      </c>
      <c r="BT1271" s="20">
        <v>886363.63636363624</v>
      </c>
      <c r="BU1271" s="20">
        <v>5850000</v>
      </c>
      <c r="BV1271" s="20">
        <v>6.0000000000000009</v>
      </c>
    </row>
    <row r="1272" spans="1:74">
      <c r="A1272" s="10">
        <f t="shared" si="78"/>
        <v>0</v>
      </c>
      <c r="B1272" s="10">
        <f t="shared" si="79"/>
        <v>0</v>
      </c>
      <c r="C1272" s="12">
        <f t="shared" si="80"/>
        <v>10</v>
      </c>
      <c r="D1272" s="12">
        <f t="shared" si="81"/>
        <v>10</v>
      </c>
      <c r="E1272" s="20" t="s">
        <v>424</v>
      </c>
      <c r="F1272" s="20" t="s">
        <v>2810</v>
      </c>
      <c r="G1272" s="20" t="s">
        <v>4912</v>
      </c>
      <c r="H1272" s="20" t="s">
        <v>4921</v>
      </c>
      <c r="I1272" s="20">
        <v>2</v>
      </c>
      <c r="J1272" s="20" t="s">
        <v>4922</v>
      </c>
      <c r="K1272" s="20" t="s">
        <v>4923</v>
      </c>
      <c r="L1272" s="20" t="s">
        <v>4924</v>
      </c>
      <c r="M1272" s="20" t="s">
        <v>2810</v>
      </c>
      <c r="N1272" s="20" t="s">
        <v>4917</v>
      </c>
      <c r="P1272" s="20" t="s">
        <v>2810</v>
      </c>
      <c r="Q1272" s="20" t="s">
        <v>2817</v>
      </c>
      <c r="R1272" s="20" t="s">
        <v>84</v>
      </c>
      <c r="S1272" s="20">
        <v>5</v>
      </c>
      <c r="T1272" s="20" t="s">
        <v>244</v>
      </c>
      <c r="U1272" s="20" t="s">
        <v>245</v>
      </c>
      <c r="V1272" s="20" t="s">
        <v>87</v>
      </c>
      <c r="W1272" s="20">
        <v>630</v>
      </c>
      <c r="X1272" s="20">
        <v>630</v>
      </c>
      <c r="Y1272" s="20" t="s">
        <v>4925</v>
      </c>
      <c r="Z1272" s="20">
        <v>1</v>
      </c>
      <c r="AA1272" s="20" t="s">
        <v>4926</v>
      </c>
      <c r="AB1272" s="20" t="s">
        <v>139</v>
      </c>
      <c r="AC1272" s="20" t="s">
        <v>140</v>
      </c>
      <c r="AD1272" s="20" t="s">
        <v>4927</v>
      </c>
      <c r="AE1272" s="20" t="s">
        <v>400</v>
      </c>
      <c r="AF1272" s="20">
        <v>1</v>
      </c>
      <c r="AG1272" s="20">
        <v>0</v>
      </c>
      <c r="AH1272" s="20">
        <v>1</v>
      </c>
      <c r="AI1272" s="4" t="s">
        <v>251</v>
      </c>
      <c r="AJ1272" s="20">
        <v>246</v>
      </c>
      <c r="AK1272" s="4" t="s">
        <v>179</v>
      </c>
      <c r="AL1272" s="4">
        <v>31</v>
      </c>
      <c r="AM1272" s="4">
        <v>31</v>
      </c>
      <c r="AN1272" s="4" t="s">
        <v>95</v>
      </c>
      <c r="AO1272" s="4" t="s">
        <v>96</v>
      </c>
      <c r="AP1272" s="4">
        <v>1</v>
      </c>
      <c r="AQ1272" s="20">
        <v>39000</v>
      </c>
      <c r="AR1272" s="4">
        <v>41918</v>
      </c>
      <c r="AS1272" s="20">
        <v>5909.0909090909081</v>
      </c>
      <c r="AT1272" s="20">
        <v>0</v>
      </c>
      <c r="AU1272" s="20">
        <v>-5909.0909090909081</v>
      </c>
      <c r="AV1272" s="20">
        <v>0</v>
      </c>
      <c r="AW1272" s="20">
        <v>0</v>
      </c>
      <c r="AX1272" s="20" t="s">
        <v>91</v>
      </c>
      <c r="AY1272" s="20">
        <v>0</v>
      </c>
      <c r="AZ1272" s="20">
        <v>0</v>
      </c>
      <c r="BA1272" s="20">
        <v>0</v>
      </c>
      <c r="BB1272" s="6">
        <v>41918</v>
      </c>
      <c r="BC1272" s="6">
        <v>0</v>
      </c>
      <c r="BD1272" s="6">
        <v>41922</v>
      </c>
      <c r="BE1272" s="6">
        <v>0</v>
      </c>
      <c r="BF1272" s="6">
        <v>41922</v>
      </c>
      <c r="BG1272" s="6">
        <v>0</v>
      </c>
      <c r="BH1272" s="6">
        <v>0</v>
      </c>
      <c r="BI1272" s="6">
        <v>0</v>
      </c>
      <c r="BJ1272" s="6">
        <v>0</v>
      </c>
      <c r="BK1272" s="4">
        <v>0</v>
      </c>
      <c r="BL1272" s="4">
        <v>0</v>
      </c>
      <c r="BM1272" s="20">
        <v>246</v>
      </c>
      <c r="BN1272" s="20">
        <v>0</v>
      </c>
      <c r="BO1272" s="20">
        <v>0</v>
      </c>
      <c r="BP1272" s="20">
        <v>0</v>
      </c>
      <c r="BQ1272" s="20">
        <v>0</v>
      </c>
      <c r="BR1272" s="20">
        <v>0</v>
      </c>
      <c r="BS1272" s="20">
        <v>246</v>
      </c>
      <c r="BT1272" s="20">
        <v>1453636.3636363633</v>
      </c>
      <c r="BU1272" s="20">
        <v>9594000</v>
      </c>
      <c r="BV1272" s="20">
        <v>6.0000000000000009</v>
      </c>
    </row>
    <row r="1273" spans="1:74">
      <c r="A1273" s="10">
        <f t="shared" si="78"/>
        <v>0</v>
      </c>
      <c r="B1273" s="10">
        <f t="shared" si="79"/>
        <v>0</v>
      </c>
      <c r="C1273" s="12" t="str">
        <f t="shared" si="80"/>
        <v/>
      </c>
      <c r="D1273" s="12" t="str">
        <f t="shared" si="81"/>
        <v/>
      </c>
      <c r="E1273" s="20" t="s">
        <v>91</v>
      </c>
      <c r="F1273" s="20" t="s">
        <v>91</v>
      </c>
      <c r="G1273" s="20" t="s">
        <v>91</v>
      </c>
      <c r="H1273" s="20" t="s">
        <v>91</v>
      </c>
      <c r="I1273" s="20">
        <v>0</v>
      </c>
      <c r="J1273" s="20" t="s">
        <v>103</v>
      </c>
      <c r="K1273" s="20" t="s">
        <v>104</v>
      </c>
      <c r="L1273" s="20">
        <v>0</v>
      </c>
      <c r="M1273" s="20" t="s">
        <v>105</v>
      </c>
      <c r="N1273" s="20" t="s">
        <v>91</v>
      </c>
      <c r="O1273" s="20" t="s">
        <v>4928</v>
      </c>
      <c r="Q1273" s="20" t="s">
        <v>91</v>
      </c>
      <c r="R1273" s="20" t="s">
        <v>91</v>
      </c>
      <c r="S1273" s="20" t="s">
        <v>91</v>
      </c>
      <c r="T1273" s="20" t="s">
        <v>91</v>
      </c>
      <c r="U1273" s="20" t="s">
        <v>91</v>
      </c>
      <c r="V1273" s="20" t="s">
        <v>87</v>
      </c>
      <c r="W1273" s="20" t="s">
        <v>91</v>
      </c>
      <c r="X1273" s="20" t="s">
        <v>91</v>
      </c>
      <c r="Y1273" s="20" t="s">
        <v>91</v>
      </c>
      <c r="Z1273" s="20">
        <v>2</v>
      </c>
      <c r="AB1273" s="20" t="s">
        <v>91</v>
      </c>
      <c r="AD1273" s="20" t="s">
        <v>91</v>
      </c>
      <c r="AE1273" s="20" t="s">
        <v>91</v>
      </c>
      <c r="AF1273" s="20">
        <v>2</v>
      </c>
      <c r="AG1273" s="20">
        <v>0</v>
      </c>
      <c r="AH1273" s="20">
        <v>1</v>
      </c>
      <c r="AM1273" s="4" t="s">
        <v>91</v>
      </c>
      <c r="AP1273" s="4" t="s">
        <v>91</v>
      </c>
      <c r="AQ1273" s="20">
        <v>0</v>
      </c>
      <c r="AR1273" s="4">
        <v>0</v>
      </c>
      <c r="AS1273" s="20">
        <v>0</v>
      </c>
      <c r="AT1273" s="20">
        <v>0</v>
      </c>
      <c r="AU1273" s="20">
        <v>0</v>
      </c>
      <c r="AV1273" s="20">
        <v>0</v>
      </c>
      <c r="AW1273" s="20">
        <v>0</v>
      </c>
      <c r="AX1273" s="20" t="s">
        <v>91</v>
      </c>
      <c r="AY1273" s="20">
        <v>0</v>
      </c>
      <c r="AZ1273" s="20">
        <v>0</v>
      </c>
      <c r="BA1273" s="20">
        <v>0</v>
      </c>
      <c r="BB1273" s="6">
        <v>0</v>
      </c>
      <c r="BC1273" s="6">
        <v>0</v>
      </c>
      <c r="BD1273" s="6">
        <v>0</v>
      </c>
      <c r="BE1273" s="6">
        <v>0</v>
      </c>
      <c r="BF1273" s="6">
        <v>0</v>
      </c>
      <c r="BG1273" s="6">
        <v>0</v>
      </c>
      <c r="BH1273" s="6">
        <v>0</v>
      </c>
      <c r="BI1273" s="6">
        <v>0</v>
      </c>
      <c r="BJ1273" s="6">
        <v>0</v>
      </c>
      <c r="BK1273" s="4">
        <v>0</v>
      </c>
      <c r="BL1273" s="4">
        <v>0</v>
      </c>
      <c r="BM1273" s="20">
        <v>395</v>
      </c>
      <c r="BN1273" s="20">
        <v>0</v>
      </c>
      <c r="BO1273" s="20">
        <v>0</v>
      </c>
      <c r="BP1273" s="20">
        <v>0</v>
      </c>
      <c r="BQ1273" s="20">
        <v>0</v>
      </c>
      <c r="BR1273" s="20">
        <v>0</v>
      </c>
      <c r="BS1273" s="20">
        <v>396</v>
      </c>
      <c r="BT1273" s="20">
        <v>2339999.9999999995</v>
      </c>
      <c r="BU1273" s="20">
        <v>15444000</v>
      </c>
      <c r="BV1273" s="20">
        <v>6.0000000000000009</v>
      </c>
    </row>
    <row r="1274" spans="1:74">
      <c r="A1274" s="10">
        <f t="shared" si="78"/>
        <v>0</v>
      </c>
      <c r="B1274" s="10">
        <f t="shared" si="79"/>
        <v>0</v>
      </c>
      <c r="C1274" s="12">
        <f t="shared" si="80"/>
        <v>10</v>
      </c>
      <c r="D1274" s="12">
        <f t="shared" si="81"/>
        <v>10</v>
      </c>
      <c r="E1274" s="20" t="s">
        <v>424</v>
      </c>
      <c r="F1274" s="20" t="s">
        <v>2870</v>
      </c>
      <c r="G1274" s="20" t="s">
        <v>4929</v>
      </c>
      <c r="H1274" s="20" t="s">
        <v>4930</v>
      </c>
      <c r="I1274" s="20">
        <v>1</v>
      </c>
      <c r="J1274" s="20" t="s">
        <v>4931</v>
      </c>
      <c r="K1274" s="20" t="s">
        <v>4932</v>
      </c>
      <c r="L1274" s="20" t="s">
        <v>4933</v>
      </c>
      <c r="M1274" s="20" t="s">
        <v>2870</v>
      </c>
      <c r="N1274" s="20" t="s">
        <v>2876</v>
      </c>
      <c r="P1274" s="20" t="s">
        <v>2870</v>
      </c>
      <c r="Q1274" s="20" t="s">
        <v>2877</v>
      </c>
      <c r="R1274" s="20" t="s">
        <v>84</v>
      </c>
      <c r="S1274" s="20">
        <v>5</v>
      </c>
      <c r="T1274" s="20" t="s">
        <v>172</v>
      </c>
      <c r="U1274" s="20" t="s">
        <v>173</v>
      </c>
      <c r="V1274" s="20" t="s">
        <v>87</v>
      </c>
      <c r="W1274" s="20">
        <v>802</v>
      </c>
      <c r="X1274" s="20">
        <v>802</v>
      </c>
      <c r="Y1274" s="20" t="s">
        <v>4934</v>
      </c>
      <c r="Z1274" s="20">
        <v>1</v>
      </c>
      <c r="AA1274" s="20" t="s">
        <v>4935</v>
      </c>
      <c r="AB1274" s="20" t="s">
        <v>248</v>
      </c>
      <c r="AC1274" s="20" t="s">
        <v>249</v>
      </c>
      <c r="AD1274" s="20" t="s">
        <v>4936</v>
      </c>
      <c r="AE1274" s="20" t="s">
        <v>400</v>
      </c>
      <c r="AF1274" s="20">
        <v>1</v>
      </c>
      <c r="AG1274" s="20">
        <v>0</v>
      </c>
      <c r="AH1274" s="20">
        <v>1</v>
      </c>
      <c r="AI1274" s="4" t="s">
        <v>251</v>
      </c>
      <c r="AJ1274" s="20">
        <v>50</v>
      </c>
      <c r="AK1274" s="4" t="s">
        <v>179</v>
      </c>
      <c r="AL1274" s="4">
        <v>32</v>
      </c>
      <c r="AM1274" s="4">
        <v>32</v>
      </c>
      <c r="AN1274" s="4" t="s">
        <v>95</v>
      </c>
      <c r="AO1274" s="4" t="s">
        <v>96</v>
      </c>
      <c r="AP1274" s="4">
        <v>1</v>
      </c>
      <c r="AQ1274" s="20">
        <v>45000</v>
      </c>
      <c r="AR1274" s="4">
        <v>41918</v>
      </c>
      <c r="AS1274" s="20">
        <v>6818.1818181818171</v>
      </c>
      <c r="AT1274" s="20">
        <v>0</v>
      </c>
      <c r="AU1274" s="20">
        <v>-6818.1818181818171</v>
      </c>
      <c r="AV1274" s="20">
        <v>0</v>
      </c>
      <c r="AW1274" s="20">
        <v>0</v>
      </c>
      <c r="AX1274" s="20" t="s">
        <v>91</v>
      </c>
      <c r="AY1274" s="20">
        <v>0</v>
      </c>
      <c r="AZ1274" s="20">
        <v>0</v>
      </c>
      <c r="BA1274" s="20">
        <v>0</v>
      </c>
      <c r="BB1274" s="6">
        <v>41918</v>
      </c>
      <c r="BC1274" s="6">
        <v>0</v>
      </c>
      <c r="BD1274" s="6">
        <v>41922</v>
      </c>
      <c r="BE1274" s="6">
        <v>0</v>
      </c>
      <c r="BF1274" s="6">
        <v>41922</v>
      </c>
      <c r="BG1274" s="6">
        <v>0</v>
      </c>
      <c r="BH1274" s="6">
        <v>0</v>
      </c>
      <c r="BI1274" s="6">
        <v>0</v>
      </c>
      <c r="BJ1274" s="6">
        <v>0</v>
      </c>
      <c r="BK1274" s="4">
        <v>0</v>
      </c>
      <c r="BL1274" s="4">
        <v>0</v>
      </c>
      <c r="BM1274" s="20">
        <v>50</v>
      </c>
      <c r="BN1274" s="20">
        <v>0</v>
      </c>
      <c r="BO1274" s="20">
        <v>0</v>
      </c>
      <c r="BP1274" s="20">
        <v>0</v>
      </c>
      <c r="BQ1274" s="20">
        <v>0</v>
      </c>
      <c r="BR1274" s="20">
        <v>0</v>
      </c>
      <c r="BS1274" s="20">
        <v>50</v>
      </c>
      <c r="BT1274" s="20">
        <v>340909.09090909088</v>
      </c>
      <c r="BU1274" s="20">
        <v>2250000</v>
      </c>
      <c r="BV1274" s="20">
        <v>6</v>
      </c>
    </row>
    <row r="1275" spans="1:74">
      <c r="A1275" s="10">
        <f t="shared" si="78"/>
        <v>0</v>
      </c>
      <c r="B1275" s="10">
        <f t="shared" si="79"/>
        <v>0</v>
      </c>
      <c r="C1275" s="12">
        <f t="shared" si="80"/>
        <v>10</v>
      </c>
      <c r="D1275" s="12">
        <f t="shared" si="81"/>
        <v>10</v>
      </c>
      <c r="E1275" s="20" t="s">
        <v>424</v>
      </c>
      <c r="F1275" s="20" t="s">
        <v>2870</v>
      </c>
      <c r="G1275" s="20" t="s">
        <v>4929</v>
      </c>
      <c r="H1275" s="20" t="s">
        <v>4937</v>
      </c>
      <c r="I1275" s="20">
        <v>2</v>
      </c>
      <c r="J1275" s="20" t="s">
        <v>4938</v>
      </c>
      <c r="K1275" s="20" t="s">
        <v>4939</v>
      </c>
      <c r="L1275" s="20" t="s">
        <v>4940</v>
      </c>
      <c r="M1275" s="20" t="s">
        <v>2870</v>
      </c>
      <c r="N1275" s="20" t="s">
        <v>4941</v>
      </c>
      <c r="P1275" s="20" t="s">
        <v>2870</v>
      </c>
      <c r="Q1275" s="20" t="s">
        <v>2877</v>
      </c>
      <c r="R1275" s="20" t="s">
        <v>84</v>
      </c>
      <c r="S1275" s="20">
        <v>5</v>
      </c>
      <c r="T1275" s="20" t="s">
        <v>106</v>
      </c>
      <c r="U1275" s="20" t="s">
        <v>107</v>
      </c>
      <c r="V1275" s="20" t="s">
        <v>87</v>
      </c>
      <c r="W1275" s="20">
        <v>814</v>
      </c>
      <c r="X1275" s="20">
        <v>814</v>
      </c>
      <c r="Y1275" s="20" t="s">
        <v>4942</v>
      </c>
      <c r="Z1275" s="20">
        <v>1</v>
      </c>
      <c r="AA1275" s="20" t="s">
        <v>4943</v>
      </c>
      <c r="AB1275" s="20" t="s">
        <v>248</v>
      </c>
      <c r="AC1275" s="20" t="s">
        <v>249</v>
      </c>
      <c r="AD1275" s="20" t="s">
        <v>4944</v>
      </c>
      <c r="AE1275" s="20" t="s">
        <v>400</v>
      </c>
      <c r="AF1275" s="20">
        <v>1</v>
      </c>
      <c r="AG1275" s="20">
        <v>0</v>
      </c>
      <c r="AH1275" s="20">
        <v>1</v>
      </c>
      <c r="AI1275" s="4" t="s">
        <v>251</v>
      </c>
      <c r="AJ1275" s="20">
        <v>50</v>
      </c>
      <c r="AK1275" s="4" t="s">
        <v>179</v>
      </c>
      <c r="AL1275" s="4">
        <v>32</v>
      </c>
      <c r="AM1275" s="4">
        <v>32</v>
      </c>
      <c r="AN1275" s="4" t="s">
        <v>95</v>
      </c>
      <c r="AO1275" s="4" t="s">
        <v>96</v>
      </c>
      <c r="AP1275" s="4">
        <v>1</v>
      </c>
      <c r="AQ1275" s="20">
        <v>53000</v>
      </c>
      <c r="AR1275" s="4">
        <v>41918</v>
      </c>
      <c r="AS1275" s="20">
        <v>8030.3030303030291</v>
      </c>
      <c r="AT1275" s="20">
        <v>0</v>
      </c>
      <c r="AU1275" s="20">
        <v>-8030.3030303030291</v>
      </c>
      <c r="AV1275" s="20">
        <v>0</v>
      </c>
      <c r="AW1275" s="20">
        <v>0</v>
      </c>
      <c r="AX1275" s="20" t="s">
        <v>91</v>
      </c>
      <c r="AY1275" s="20">
        <v>0</v>
      </c>
      <c r="AZ1275" s="20">
        <v>0</v>
      </c>
      <c r="BA1275" s="20">
        <v>0</v>
      </c>
      <c r="BB1275" s="6">
        <v>41918</v>
      </c>
      <c r="BC1275" s="6">
        <v>0</v>
      </c>
      <c r="BD1275" s="6">
        <v>41922</v>
      </c>
      <c r="BE1275" s="6">
        <v>0</v>
      </c>
      <c r="BF1275" s="6">
        <v>41922</v>
      </c>
      <c r="BG1275" s="6">
        <v>0</v>
      </c>
      <c r="BH1275" s="6">
        <v>0</v>
      </c>
      <c r="BI1275" s="6">
        <v>0</v>
      </c>
      <c r="BJ1275" s="6">
        <v>0</v>
      </c>
      <c r="BK1275" s="4">
        <v>0</v>
      </c>
      <c r="BL1275" s="4">
        <v>0</v>
      </c>
      <c r="BM1275" s="20">
        <v>50</v>
      </c>
      <c r="BN1275" s="20">
        <v>0</v>
      </c>
      <c r="BO1275" s="20">
        <v>0</v>
      </c>
      <c r="BP1275" s="20">
        <v>0</v>
      </c>
      <c r="BQ1275" s="20">
        <v>0</v>
      </c>
      <c r="BR1275" s="20">
        <v>0</v>
      </c>
      <c r="BS1275" s="20">
        <v>50</v>
      </c>
      <c r="BT1275" s="20">
        <v>401515.15151515143</v>
      </c>
      <c r="BU1275" s="20">
        <v>2650000</v>
      </c>
      <c r="BV1275" s="20">
        <v>6.0000000000000009</v>
      </c>
    </row>
    <row r="1276" spans="1:74">
      <c r="A1276" s="10">
        <f t="shared" si="78"/>
        <v>0</v>
      </c>
      <c r="B1276" s="10">
        <f t="shared" si="79"/>
        <v>0</v>
      </c>
      <c r="C1276" s="12" t="str">
        <f t="shared" si="80"/>
        <v/>
      </c>
      <c r="D1276" s="12" t="str">
        <f t="shared" si="81"/>
        <v/>
      </c>
      <c r="E1276" s="20" t="s">
        <v>91</v>
      </c>
      <c r="F1276" s="20" t="s">
        <v>91</v>
      </c>
      <c r="G1276" s="20" t="s">
        <v>91</v>
      </c>
      <c r="H1276" s="20" t="s">
        <v>91</v>
      </c>
      <c r="I1276" s="20">
        <v>0</v>
      </c>
      <c r="J1276" s="20" t="s">
        <v>103</v>
      </c>
      <c r="K1276" s="20" t="s">
        <v>104</v>
      </c>
      <c r="L1276" s="20">
        <v>0</v>
      </c>
      <c r="M1276" s="20" t="s">
        <v>105</v>
      </c>
      <c r="N1276" s="20" t="s">
        <v>91</v>
      </c>
      <c r="O1276" s="20" t="s">
        <v>4945</v>
      </c>
      <c r="Q1276" s="20" t="s">
        <v>91</v>
      </c>
      <c r="R1276" s="20" t="s">
        <v>91</v>
      </c>
      <c r="S1276" s="20" t="s">
        <v>91</v>
      </c>
      <c r="T1276" s="20" t="s">
        <v>91</v>
      </c>
      <c r="U1276" s="20" t="s">
        <v>91</v>
      </c>
      <c r="V1276" s="20" t="s">
        <v>87</v>
      </c>
      <c r="W1276" s="20" t="s">
        <v>91</v>
      </c>
      <c r="X1276" s="20" t="s">
        <v>91</v>
      </c>
      <c r="Y1276" s="20" t="s">
        <v>91</v>
      </c>
      <c r="Z1276" s="20">
        <v>2</v>
      </c>
      <c r="AB1276" s="20" t="s">
        <v>91</v>
      </c>
      <c r="AD1276" s="20" t="s">
        <v>91</v>
      </c>
      <c r="AE1276" s="20" t="s">
        <v>91</v>
      </c>
      <c r="AF1276" s="20">
        <v>2</v>
      </c>
      <c r="AG1276" s="20">
        <v>0</v>
      </c>
      <c r="AH1276" s="20">
        <v>1</v>
      </c>
      <c r="AM1276" s="4" t="s">
        <v>91</v>
      </c>
      <c r="AP1276" s="4" t="s">
        <v>91</v>
      </c>
      <c r="AQ1276" s="20">
        <v>0</v>
      </c>
      <c r="AR1276" s="4">
        <v>0</v>
      </c>
      <c r="AS1276" s="20">
        <v>0</v>
      </c>
      <c r="AT1276" s="20">
        <v>0</v>
      </c>
      <c r="AU1276" s="20">
        <v>0</v>
      </c>
      <c r="AV1276" s="20">
        <v>0</v>
      </c>
      <c r="AW1276" s="20">
        <v>0</v>
      </c>
      <c r="AX1276" s="20" t="s">
        <v>91</v>
      </c>
      <c r="AY1276" s="20">
        <v>0</v>
      </c>
      <c r="AZ1276" s="20">
        <v>0</v>
      </c>
      <c r="BA1276" s="20">
        <v>0</v>
      </c>
      <c r="BB1276" s="6">
        <v>0</v>
      </c>
      <c r="BC1276" s="6">
        <v>0</v>
      </c>
      <c r="BD1276" s="6">
        <v>0</v>
      </c>
      <c r="BE1276" s="6">
        <v>0</v>
      </c>
      <c r="BF1276" s="6">
        <v>0</v>
      </c>
      <c r="BG1276" s="6">
        <v>0</v>
      </c>
      <c r="BH1276" s="6">
        <v>0</v>
      </c>
      <c r="BI1276" s="6">
        <v>0</v>
      </c>
      <c r="BJ1276" s="6">
        <v>0</v>
      </c>
      <c r="BK1276" s="4">
        <v>0</v>
      </c>
      <c r="BL1276" s="4">
        <v>0</v>
      </c>
      <c r="BM1276" s="20">
        <v>100</v>
      </c>
      <c r="BN1276" s="20">
        <v>0</v>
      </c>
      <c r="BO1276" s="20">
        <v>0</v>
      </c>
      <c r="BP1276" s="20">
        <v>0</v>
      </c>
      <c r="BQ1276" s="20">
        <v>0</v>
      </c>
      <c r="BR1276" s="20">
        <v>0</v>
      </c>
      <c r="BS1276" s="20">
        <v>100</v>
      </c>
      <c r="BT1276" s="20">
        <v>742424.24242424231</v>
      </c>
      <c r="BU1276" s="20">
        <v>4900000</v>
      </c>
      <c r="BV1276" s="20">
        <v>6</v>
      </c>
    </row>
    <row r="1277" spans="1:74">
      <c r="A1277" s="10">
        <f t="shared" si="78"/>
        <v>0</v>
      </c>
      <c r="B1277" s="10">
        <f t="shared" si="79"/>
        <v>0</v>
      </c>
      <c r="C1277" s="12">
        <f t="shared" si="80"/>
        <v>10</v>
      </c>
      <c r="D1277" s="12">
        <f t="shared" si="81"/>
        <v>10</v>
      </c>
      <c r="E1277" s="20" t="s">
        <v>424</v>
      </c>
      <c r="F1277" s="20" t="s">
        <v>2870</v>
      </c>
      <c r="G1277" s="20" t="s">
        <v>4946</v>
      </c>
      <c r="H1277" s="20" t="s">
        <v>4947</v>
      </c>
      <c r="I1277" s="20">
        <v>1</v>
      </c>
      <c r="J1277" s="20" t="s">
        <v>4948</v>
      </c>
      <c r="K1277" s="20" t="s">
        <v>4949</v>
      </c>
      <c r="L1277" s="20" t="s">
        <v>4950</v>
      </c>
      <c r="M1277" s="20" t="s">
        <v>2870</v>
      </c>
      <c r="N1277" s="20" t="s">
        <v>4941</v>
      </c>
      <c r="P1277" s="20" t="s">
        <v>2870</v>
      </c>
      <c r="Q1277" s="20" t="s">
        <v>2877</v>
      </c>
      <c r="R1277" s="20" t="s">
        <v>84</v>
      </c>
      <c r="S1277" s="20">
        <v>5</v>
      </c>
      <c r="T1277" s="20" t="s">
        <v>106</v>
      </c>
      <c r="U1277" s="20" t="s">
        <v>107</v>
      </c>
      <c r="V1277" s="20" t="s">
        <v>87</v>
      </c>
      <c r="W1277" s="20">
        <v>801</v>
      </c>
      <c r="X1277" s="20">
        <v>801</v>
      </c>
      <c r="Y1277" s="20" t="s">
        <v>4951</v>
      </c>
      <c r="Z1277" s="20">
        <v>1</v>
      </c>
      <c r="AA1277" s="20" t="s">
        <v>4952</v>
      </c>
      <c r="AB1277" s="20" t="s">
        <v>718</v>
      </c>
      <c r="AC1277" s="20" t="s">
        <v>719</v>
      </c>
      <c r="AD1277" s="20" t="s">
        <v>4953</v>
      </c>
      <c r="AE1277" s="20" t="s">
        <v>400</v>
      </c>
      <c r="AF1277" s="20">
        <v>1</v>
      </c>
      <c r="AG1277" s="20">
        <v>0</v>
      </c>
      <c r="AH1277" s="20">
        <v>1</v>
      </c>
      <c r="AI1277" s="4" t="s">
        <v>251</v>
      </c>
      <c r="AJ1277" s="20">
        <v>50</v>
      </c>
      <c r="AK1277" s="4" t="s">
        <v>129</v>
      </c>
      <c r="AL1277" s="4">
        <v>7</v>
      </c>
      <c r="AM1277" s="4" t="s">
        <v>514</v>
      </c>
      <c r="AN1277" s="4" t="s">
        <v>95</v>
      </c>
      <c r="AO1277" s="4" t="s">
        <v>131</v>
      </c>
      <c r="AP1277" s="4">
        <v>2</v>
      </c>
      <c r="AQ1277" s="20">
        <v>63000</v>
      </c>
      <c r="AR1277" s="4">
        <v>41918</v>
      </c>
      <c r="AS1277" s="20">
        <v>14318.181818181816</v>
      </c>
      <c r="AT1277" s="20">
        <v>0</v>
      </c>
      <c r="AU1277" s="20">
        <v>-14318.181818181816</v>
      </c>
      <c r="AV1277" s="20">
        <v>0</v>
      </c>
      <c r="AW1277" s="20">
        <v>0</v>
      </c>
      <c r="AX1277" s="20" t="s">
        <v>91</v>
      </c>
      <c r="AY1277" s="20">
        <v>0</v>
      </c>
      <c r="AZ1277" s="20">
        <v>0</v>
      </c>
      <c r="BA1277" s="20">
        <v>0</v>
      </c>
      <c r="BB1277" s="6">
        <v>41918</v>
      </c>
      <c r="BC1277" s="6">
        <v>0</v>
      </c>
      <c r="BD1277" s="6">
        <v>41922</v>
      </c>
      <c r="BE1277" s="6">
        <v>0</v>
      </c>
      <c r="BF1277" s="6">
        <v>41922</v>
      </c>
      <c r="BG1277" s="6">
        <v>0</v>
      </c>
      <c r="BH1277" s="6">
        <v>0</v>
      </c>
      <c r="BI1277" s="6">
        <v>0</v>
      </c>
      <c r="BJ1277" s="6">
        <v>0</v>
      </c>
      <c r="BK1277" s="4">
        <v>0</v>
      </c>
      <c r="BL1277" s="4">
        <v>0</v>
      </c>
      <c r="BM1277" s="20">
        <v>50</v>
      </c>
      <c r="BN1277" s="20">
        <v>0</v>
      </c>
      <c r="BO1277" s="20">
        <v>0</v>
      </c>
      <c r="BP1277" s="20">
        <v>0</v>
      </c>
      <c r="BQ1277" s="20">
        <v>0</v>
      </c>
      <c r="BR1277" s="20">
        <v>0</v>
      </c>
      <c r="BS1277" s="20">
        <v>50</v>
      </c>
      <c r="BT1277" s="20">
        <v>715909.09090909082</v>
      </c>
      <c r="BU1277" s="20">
        <v>3150000</v>
      </c>
      <c r="BV1277" s="20">
        <v>4</v>
      </c>
    </row>
    <row r="1278" spans="1:74">
      <c r="A1278" s="10">
        <f t="shared" si="78"/>
        <v>0</v>
      </c>
      <c r="B1278" s="10">
        <f t="shared" si="79"/>
        <v>0</v>
      </c>
      <c r="C1278" s="12" t="str">
        <f t="shared" si="80"/>
        <v/>
      </c>
      <c r="D1278" s="12" t="str">
        <f t="shared" si="81"/>
        <v/>
      </c>
      <c r="E1278" s="20" t="s">
        <v>91</v>
      </c>
      <c r="F1278" s="20" t="s">
        <v>91</v>
      </c>
      <c r="G1278" s="20" t="s">
        <v>91</v>
      </c>
      <c r="H1278" s="20" t="s">
        <v>91</v>
      </c>
      <c r="I1278" s="20">
        <v>0</v>
      </c>
      <c r="J1278" s="20" t="s">
        <v>103</v>
      </c>
      <c r="K1278" s="20" t="s">
        <v>104</v>
      </c>
      <c r="L1278" s="20">
        <v>0</v>
      </c>
      <c r="M1278" s="20" t="s">
        <v>105</v>
      </c>
      <c r="N1278" s="20" t="s">
        <v>91</v>
      </c>
      <c r="O1278" s="20" t="s">
        <v>4954</v>
      </c>
      <c r="Q1278" s="20" t="s">
        <v>91</v>
      </c>
      <c r="R1278" s="20" t="s">
        <v>91</v>
      </c>
      <c r="S1278" s="20" t="s">
        <v>91</v>
      </c>
      <c r="T1278" s="20" t="s">
        <v>91</v>
      </c>
      <c r="U1278" s="20" t="s">
        <v>91</v>
      </c>
      <c r="V1278" s="20" t="s">
        <v>87</v>
      </c>
      <c r="W1278" s="20" t="s">
        <v>91</v>
      </c>
      <c r="X1278" s="20" t="s">
        <v>91</v>
      </c>
      <c r="Y1278" s="20" t="s">
        <v>91</v>
      </c>
      <c r="Z1278" s="20">
        <v>1</v>
      </c>
      <c r="AB1278" s="20" t="s">
        <v>91</v>
      </c>
      <c r="AD1278" s="20" t="s">
        <v>91</v>
      </c>
      <c r="AE1278" s="20" t="s">
        <v>91</v>
      </c>
      <c r="AF1278" s="20">
        <v>1</v>
      </c>
      <c r="AG1278" s="20">
        <v>0</v>
      </c>
      <c r="AH1278" s="20">
        <v>1</v>
      </c>
      <c r="AM1278" s="4" t="s">
        <v>91</v>
      </c>
      <c r="AP1278" s="4" t="s">
        <v>91</v>
      </c>
      <c r="AQ1278" s="20">
        <v>0</v>
      </c>
      <c r="AR1278" s="4">
        <v>0</v>
      </c>
      <c r="AS1278" s="20">
        <v>0</v>
      </c>
      <c r="AT1278" s="20">
        <v>0</v>
      </c>
      <c r="AU1278" s="20">
        <v>0</v>
      </c>
      <c r="AV1278" s="20">
        <v>0</v>
      </c>
      <c r="AW1278" s="20">
        <v>0</v>
      </c>
      <c r="AX1278" s="20" t="s">
        <v>91</v>
      </c>
      <c r="AY1278" s="20">
        <v>0</v>
      </c>
      <c r="AZ1278" s="20">
        <v>0</v>
      </c>
      <c r="BA1278" s="20">
        <v>0</v>
      </c>
      <c r="BB1278" s="6">
        <v>0</v>
      </c>
      <c r="BC1278" s="6">
        <v>0</v>
      </c>
      <c r="BD1278" s="6">
        <v>0</v>
      </c>
      <c r="BE1278" s="6">
        <v>0</v>
      </c>
      <c r="BF1278" s="6">
        <v>0</v>
      </c>
      <c r="BG1278" s="6">
        <v>0</v>
      </c>
      <c r="BH1278" s="6">
        <v>0</v>
      </c>
      <c r="BI1278" s="6">
        <v>0</v>
      </c>
      <c r="BJ1278" s="6">
        <v>0</v>
      </c>
      <c r="BK1278" s="4">
        <v>0</v>
      </c>
      <c r="BL1278" s="4">
        <v>0</v>
      </c>
      <c r="BM1278" s="20">
        <v>50</v>
      </c>
      <c r="BN1278" s="20">
        <v>0</v>
      </c>
      <c r="BO1278" s="20">
        <v>0</v>
      </c>
      <c r="BP1278" s="20">
        <v>0</v>
      </c>
      <c r="BQ1278" s="20">
        <v>0</v>
      </c>
      <c r="BR1278" s="20">
        <v>0</v>
      </c>
      <c r="BS1278" s="20">
        <v>50</v>
      </c>
      <c r="BT1278" s="20">
        <v>715909.09090909082</v>
      </c>
      <c r="BU1278" s="20">
        <v>3150000</v>
      </c>
      <c r="BV1278" s="20">
        <v>4</v>
      </c>
    </row>
    <row r="1279" spans="1:74">
      <c r="A1279" s="10">
        <f t="shared" si="78"/>
        <v>0</v>
      </c>
      <c r="B1279" s="10">
        <f t="shared" si="79"/>
        <v>0</v>
      </c>
      <c r="C1279" s="12">
        <f t="shared" si="80"/>
        <v>10</v>
      </c>
      <c r="D1279" s="12">
        <f t="shared" si="81"/>
        <v>10</v>
      </c>
      <c r="E1279" s="20" t="s">
        <v>386</v>
      </c>
      <c r="F1279" s="20" t="s">
        <v>4955</v>
      </c>
      <c r="G1279" s="20" t="s">
        <v>4956</v>
      </c>
      <c r="H1279" s="20" t="s">
        <v>4957</v>
      </c>
      <c r="I1279" s="20">
        <v>1</v>
      </c>
      <c r="J1279" s="20" t="s">
        <v>4958</v>
      </c>
      <c r="K1279" s="20" t="s">
        <v>4959</v>
      </c>
      <c r="L1279" s="20" t="s">
        <v>4960</v>
      </c>
      <c r="M1279" s="20" t="s">
        <v>4955</v>
      </c>
      <c r="N1279" s="20" t="s">
        <v>4961</v>
      </c>
      <c r="P1279" s="20" t="s">
        <v>4955</v>
      </c>
      <c r="Q1279" s="20" t="s">
        <v>4962</v>
      </c>
      <c r="R1279" s="20" t="s">
        <v>84</v>
      </c>
      <c r="S1279" s="20">
        <v>5</v>
      </c>
      <c r="T1279" s="20" t="s">
        <v>106</v>
      </c>
      <c r="U1279" s="20" t="s">
        <v>107</v>
      </c>
      <c r="V1279" s="20" t="s">
        <v>87</v>
      </c>
      <c r="W1279" s="20">
        <v>806</v>
      </c>
      <c r="X1279" s="20">
        <v>806</v>
      </c>
      <c r="Y1279" s="20" t="s">
        <v>4963</v>
      </c>
      <c r="Z1279" s="20">
        <v>1</v>
      </c>
      <c r="AA1279" s="20" t="s">
        <v>4964</v>
      </c>
      <c r="AB1279" s="20" t="s">
        <v>718</v>
      </c>
      <c r="AC1279" s="20" t="s">
        <v>719</v>
      </c>
      <c r="AD1279" s="20" t="s">
        <v>4965</v>
      </c>
      <c r="AE1279" s="20" t="s">
        <v>400</v>
      </c>
      <c r="AF1279" s="20">
        <v>1</v>
      </c>
      <c r="AG1279" s="20">
        <v>0</v>
      </c>
      <c r="AH1279" s="20">
        <v>1</v>
      </c>
      <c r="AI1279" s="4" t="s">
        <v>251</v>
      </c>
      <c r="AJ1279" s="20">
        <v>50</v>
      </c>
      <c r="AK1279" s="4" t="s">
        <v>129</v>
      </c>
      <c r="AL1279" s="4">
        <v>8</v>
      </c>
      <c r="AM1279" s="4" t="s">
        <v>180</v>
      </c>
      <c r="AN1279" s="4" t="s">
        <v>95</v>
      </c>
      <c r="AO1279" s="4" t="s">
        <v>131</v>
      </c>
      <c r="AP1279" s="4">
        <v>2</v>
      </c>
      <c r="AQ1279" s="20">
        <v>63000</v>
      </c>
      <c r="AR1279" s="4">
        <v>41918</v>
      </c>
      <c r="AS1279" s="20">
        <v>14318.181818181816</v>
      </c>
      <c r="AT1279" s="20">
        <v>0</v>
      </c>
      <c r="AU1279" s="20">
        <v>-14318.181818181816</v>
      </c>
      <c r="AV1279" s="20">
        <v>0</v>
      </c>
      <c r="AW1279" s="20">
        <v>0</v>
      </c>
      <c r="AX1279" s="20" t="s">
        <v>91</v>
      </c>
      <c r="AY1279" s="20">
        <v>0</v>
      </c>
      <c r="AZ1279" s="20">
        <v>0</v>
      </c>
      <c r="BA1279" s="20">
        <v>0</v>
      </c>
      <c r="BB1279" s="6">
        <v>41918</v>
      </c>
      <c r="BC1279" s="6">
        <v>0</v>
      </c>
      <c r="BD1279" s="6">
        <v>41922</v>
      </c>
      <c r="BE1279" s="6">
        <v>0</v>
      </c>
      <c r="BF1279" s="6">
        <v>41922</v>
      </c>
      <c r="BG1279" s="6">
        <v>0</v>
      </c>
      <c r="BH1279" s="6">
        <v>0</v>
      </c>
      <c r="BI1279" s="6">
        <v>0</v>
      </c>
      <c r="BJ1279" s="6">
        <v>0</v>
      </c>
      <c r="BK1279" s="4">
        <v>0</v>
      </c>
      <c r="BL1279" s="4">
        <v>0</v>
      </c>
      <c r="BM1279" s="20">
        <v>50</v>
      </c>
      <c r="BN1279" s="20">
        <v>0</v>
      </c>
      <c r="BO1279" s="20">
        <v>0</v>
      </c>
      <c r="BP1279" s="20">
        <v>0</v>
      </c>
      <c r="BQ1279" s="20">
        <v>0</v>
      </c>
      <c r="BR1279" s="20">
        <v>0</v>
      </c>
      <c r="BS1279" s="20">
        <v>50</v>
      </c>
      <c r="BT1279" s="20">
        <v>715909.09090909082</v>
      </c>
      <c r="BU1279" s="20">
        <v>3150000</v>
      </c>
      <c r="BV1279" s="20">
        <v>4</v>
      </c>
    </row>
    <row r="1280" spans="1:74">
      <c r="A1280" s="10">
        <f t="shared" si="78"/>
        <v>0</v>
      </c>
      <c r="B1280" s="10">
        <f t="shared" si="79"/>
        <v>0</v>
      </c>
      <c r="C1280" s="12" t="str">
        <f t="shared" si="80"/>
        <v/>
      </c>
      <c r="D1280" s="12" t="str">
        <f t="shared" si="81"/>
        <v/>
      </c>
      <c r="E1280" s="20" t="s">
        <v>91</v>
      </c>
      <c r="F1280" s="20" t="s">
        <v>91</v>
      </c>
      <c r="G1280" s="20" t="s">
        <v>91</v>
      </c>
      <c r="H1280" s="20" t="s">
        <v>91</v>
      </c>
      <c r="I1280" s="20">
        <v>0</v>
      </c>
      <c r="J1280" s="20" t="s">
        <v>103</v>
      </c>
      <c r="K1280" s="20" t="s">
        <v>104</v>
      </c>
      <c r="L1280" s="20">
        <v>0</v>
      </c>
      <c r="M1280" s="20" t="s">
        <v>105</v>
      </c>
      <c r="N1280" s="20" t="s">
        <v>91</v>
      </c>
      <c r="O1280" s="20" t="s">
        <v>4966</v>
      </c>
      <c r="Q1280" s="20" t="s">
        <v>91</v>
      </c>
      <c r="R1280" s="20" t="s">
        <v>91</v>
      </c>
      <c r="S1280" s="20" t="s">
        <v>91</v>
      </c>
      <c r="U1280" s="20" t="s">
        <v>91</v>
      </c>
      <c r="V1280" s="20" t="s">
        <v>87</v>
      </c>
      <c r="X1280" s="20" t="s">
        <v>91</v>
      </c>
      <c r="Y1280" s="20" t="s">
        <v>91</v>
      </c>
      <c r="Z1280" s="20">
        <v>1</v>
      </c>
      <c r="AB1280" s="20" t="s">
        <v>91</v>
      </c>
      <c r="AD1280" s="20" t="s">
        <v>91</v>
      </c>
      <c r="AE1280" s="20" t="s">
        <v>91</v>
      </c>
      <c r="AF1280" s="20">
        <v>1</v>
      </c>
      <c r="AG1280" s="20">
        <v>0</v>
      </c>
      <c r="AH1280" s="20">
        <v>1</v>
      </c>
      <c r="AM1280" s="4" t="s">
        <v>91</v>
      </c>
      <c r="AP1280" s="4" t="s">
        <v>91</v>
      </c>
      <c r="AQ1280" s="20">
        <v>0</v>
      </c>
      <c r="AR1280" s="4">
        <v>0</v>
      </c>
      <c r="AS1280" s="20">
        <v>0</v>
      </c>
      <c r="AT1280" s="20">
        <v>0</v>
      </c>
      <c r="AU1280" s="20">
        <v>0</v>
      </c>
      <c r="AV1280" s="20">
        <v>0</v>
      </c>
      <c r="AW1280" s="20">
        <v>0</v>
      </c>
      <c r="AX1280" s="20" t="s">
        <v>91</v>
      </c>
      <c r="AY1280" s="20">
        <v>0</v>
      </c>
      <c r="AZ1280" s="20">
        <v>0</v>
      </c>
      <c r="BA1280" s="20">
        <v>0</v>
      </c>
      <c r="BB1280" s="6">
        <v>0</v>
      </c>
      <c r="BC1280" s="6">
        <v>0</v>
      </c>
      <c r="BD1280" s="6">
        <v>0</v>
      </c>
      <c r="BE1280" s="6">
        <v>0</v>
      </c>
      <c r="BF1280" s="6">
        <v>0</v>
      </c>
      <c r="BG1280" s="6">
        <v>0</v>
      </c>
      <c r="BH1280" s="6">
        <v>0</v>
      </c>
      <c r="BI1280" s="6">
        <v>0</v>
      </c>
      <c r="BJ1280" s="6">
        <v>0</v>
      </c>
      <c r="BK1280" s="4">
        <v>0</v>
      </c>
      <c r="BL1280" s="4">
        <v>0</v>
      </c>
      <c r="BM1280" s="20">
        <v>50</v>
      </c>
      <c r="BN1280" s="20">
        <v>0</v>
      </c>
      <c r="BO1280" s="20">
        <v>0</v>
      </c>
      <c r="BP1280" s="20">
        <v>0</v>
      </c>
      <c r="BQ1280" s="20">
        <v>0</v>
      </c>
      <c r="BR1280" s="20">
        <v>0</v>
      </c>
      <c r="BS1280" s="20">
        <v>50</v>
      </c>
      <c r="BT1280" s="20">
        <v>715909.09090909082</v>
      </c>
      <c r="BU1280" s="20">
        <v>3150000</v>
      </c>
      <c r="BV1280" s="20">
        <v>4</v>
      </c>
    </row>
    <row r="1281" spans="1:74">
      <c r="A1281" s="10">
        <f t="shared" si="78"/>
        <v>0</v>
      </c>
      <c r="B1281" s="10">
        <f t="shared" si="79"/>
        <v>0</v>
      </c>
      <c r="C1281" s="12">
        <f t="shared" si="80"/>
        <v>10</v>
      </c>
      <c r="D1281" s="12">
        <f t="shared" si="81"/>
        <v>10</v>
      </c>
      <c r="E1281" s="20" t="s">
        <v>574</v>
      </c>
      <c r="F1281" s="20" t="s">
        <v>3089</v>
      </c>
      <c r="G1281" s="20" t="s">
        <v>4974</v>
      </c>
      <c r="H1281" s="20" t="s">
        <v>4975</v>
      </c>
      <c r="I1281" s="20">
        <v>1</v>
      </c>
      <c r="J1281" s="20" t="s">
        <v>4976</v>
      </c>
      <c r="K1281" s="20" t="s">
        <v>4977</v>
      </c>
      <c r="L1281" s="20" t="s">
        <v>4978</v>
      </c>
      <c r="M1281" s="20" t="s">
        <v>2667</v>
      </c>
      <c r="N1281" s="20" t="s">
        <v>4979</v>
      </c>
      <c r="P1281" s="20" t="s">
        <v>2667</v>
      </c>
      <c r="Q1281" s="20" t="s">
        <v>2674</v>
      </c>
      <c r="R1281" s="20" t="s">
        <v>84</v>
      </c>
      <c r="S1281" s="20">
        <v>5</v>
      </c>
      <c r="T1281" s="20" t="s">
        <v>860</v>
      </c>
      <c r="U1281" s="20" t="s">
        <v>861</v>
      </c>
      <c r="V1281" s="20" t="s">
        <v>87</v>
      </c>
      <c r="W1281" s="20">
        <v>636</v>
      </c>
      <c r="X1281" s="20">
        <v>636</v>
      </c>
      <c r="Y1281" s="20" t="s">
        <v>4980</v>
      </c>
      <c r="Z1281" s="20">
        <v>0.5</v>
      </c>
      <c r="AA1281" s="20" t="s">
        <v>4981</v>
      </c>
      <c r="AB1281" s="20" t="s">
        <v>457</v>
      </c>
      <c r="AC1281" s="20" t="s">
        <v>458</v>
      </c>
      <c r="AD1281" s="20" t="s">
        <v>4982</v>
      </c>
      <c r="AE1281" s="20" t="s">
        <v>400</v>
      </c>
      <c r="AF1281" s="20">
        <v>0.5</v>
      </c>
      <c r="AG1281" s="20">
        <v>0</v>
      </c>
      <c r="AH1281" s="20">
        <v>1</v>
      </c>
      <c r="AI1281" s="4" t="s">
        <v>645</v>
      </c>
      <c r="AJ1281" s="20">
        <v>100</v>
      </c>
      <c r="AK1281" s="4" t="s">
        <v>780</v>
      </c>
      <c r="AL1281" s="4">
        <v>14</v>
      </c>
      <c r="AM1281" s="4">
        <v>14</v>
      </c>
      <c r="AN1281" s="4" t="s">
        <v>95</v>
      </c>
      <c r="AO1281" s="4" t="s">
        <v>131</v>
      </c>
      <c r="AP1281" s="4">
        <v>2</v>
      </c>
      <c r="AQ1281" s="20">
        <v>119000</v>
      </c>
      <c r="AR1281" s="4">
        <v>41935</v>
      </c>
      <c r="AS1281" s="20">
        <v>30050.505050505049</v>
      </c>
      <c r="AT1281" s="20">
        <v>0</v>
      </c>
      <c r="AU1281" s="20">
        <v>-30050.505050505049</v>
      </c>
      <c r="AV1281" s="20">
        <v>0</v>
      </c>
      <c r="AW1281" s="20">
        <v>0</v>
      </c>
      <c r="AX1281" s="20" t="s">
        <v>91</v>
      </c>
      <c r="AY1281" s="20">
        <v>0</v>
      </c>
      <c r="AZ1281" s="20">
        <v>0</v>
      </c>
      <c r="BA1281" s="20">
        <v>0</v>
      </c>
      <c r="BB1281" s="6">
        <v>41935</v>
      </c>
      <c r="BC1281" s="6">
        <v>0</v>
      </c>
      <c r="BD1281" s="6">
        <v>41942</v>
      </c>
      <c r="BE1281" s="6">
        <v>0</v>
      </c>
      <c r="BF1281" s="6">
        <v>41939</v>
      </c>
      <c r="BG1281" s="6">
        <v>0</v>
      </c>
      <c r="BH1281" s="6">
        <v>0</v>
      </c>
      <c r="BI1281" s="6">
        <v>0</v>
      </c>
      <c r="BJ1281" s="6">
        <v>0</v>
      </c>
      <c r="BK1281" s="4">
        <v>0</v>
      </c>
      <c r="BL1281" s="4">
        <v>0</v>
      </c>
      <c r="BM1281" s="20">
        <v>100</v>
      </c>
      <c r="BN1281" s="20">
        <v>0</v>
      </c>
      <c r="BO1281" s="20">
        <v>0</v>
      </c>
      <c r="BP1281" s="20">
        <v>0</v>
      </c>
      <c r="BQ1281" s="20">
        <v>0</v>
      </c>
      <c r="BR1281" s="20">
        <v>0</v>
      </c>
      <c r="BS1281" s="20">
        <v>100</v>
      </c>
      <c r="BT1281" s="20">
        <v>3005050.505050505</v>
      </c>
      <c r="BU1281" s="20">
        <v>11900000</v>
      </c>
      <c r="BV1281" s="20">
        <v>3.5999999999999996</v>
      </c>
    </row>
    <row r="1282" spans="1:74">
      <c r="A1282" s="10">
        <f t="shared" si="78"/>
        <v>0</v>
      </c>
      <c r="B1282" s="10">
        <f t="shared" si="79"/>
        <v>0</v>
      </c>
      <c r="C1282" s="12">
        <f t="shared" si="80"/>
        <v>10</v>
      </c>
      <c r="D1282" s="12">
        <f t="shared" si="81"/>
        <v>10</v>
      </c>
      <c r="E1282" s="20" t="s">
        <v>574</v>
      </c>
      <c r="F1282" s="20" t="s">
        <v>3089</v>
      </c>
      <c r="G1282" s="20" t="s">
        <v>4974</v>
      </c>
      <c r="H1282" s="20" t="s">
        <v>4975</v>
      </c>
      <c r="I1282" s="20">
        <v>1</v>
      </c>
      <c r="J1282" s="20" t="s">
        <v>4976</v>
      </c>
      <c r="K1282" s="20" t="s">
        <v>4983</v>
      </c>
      <c r="L1282" s="20" t="s">
        <v>4978</v>
      </c>
      <c r="M1282" s="20" t="s">
        <v>2667</v>
      </c>
      <c r="N1282" s="20" t="s">
        <v>4979</v>
      </c>
      <c r="P1282" s="20" t="s">
        <v>2667</v>
      </c>
      <c r="Q1282" s="20" t="s">
        <v>2674</v>
      </c>
      <c r="R1282" s="20" t="s">
        <v>84</v>
      </c>
      <c r="S1282" s="20">
        <v>5</v>
      </c>
      <c r="T1282" s="20" t="s">
        <v>860</v>
      </c>
      <c r="U1282" s="20" t="s">
        <v>861</v>
      </c>
      <c r="V1282" s="20" t="s">
        <v>87</v>
      </c>
      <c r="W1282" s="20">
        <v>636</v>
      </c>
      <c r="X1282" s="20">
        <v>636</v>
      </c>
      <c r="Y1282" s="20" t="s">
        <v>4980</v>
      </c>
      <c r="Z1282" s="20">
        <v>0.5</v>
      </c>
      <c r="AA1282" s="20" t="s">
        <v>4984</v>
      </c>
      <c r="AB1282" s="20" t="s">
        <v>457</v>
      </c>
      <c r="AC1282" s="20" t="s">
        <v>458</v>
      </c>
      <c r="AD1282" s="20" t="s">
        <v>4982</v>
      </c>
      <c r="AE1282" s="20" t="s">
        <v>400</v>
      </c>
      <c r="AF1282" s="20">
        <v>0.5</v>
      </c>
      <c r="AG1282" s="20">
        <v>0</v>
      </c>
      <c r="AH1282" s="20">
        <v>1</v>
      </c>
      <c r="AI1282" s="4" t="s">
        <v>647</v>
      </c>
      <c r="AJ1282" s="20">
        <v>100</v>
      </c>
      <c r="AK1282" s="4" t="s">
        <v>780</v>
      </c>
      <c r="AL1282" s="4">
        <v>14</v>
      </c>
      <c r="AM1282" s="4">
        <v>14</v>
      </c>
      <c r="AN1282" s="4" t="s">
        <v>95</v>
      </c>
      <c r="AO1282" s="4" t="s">
        <v>131</v>
      </c>
      <c r="AP1282" s="4">
        <v>2</v>
      </c>
      <c r="AQ1282" s="20">
        <v>119000</v>
      </c>
      <c r="AR1282" s="4">
        <v>41935</v>
      </c>
      <c r="AS1282" s="20">
        <v>30050.505050505049</v>
      </c>
      <c r="AT1282" s="20">
        <v>0</v>
      </c>
      <c r="AU1282" s="20">
        <v>-30050.505050505049</v>
      </c>
      <c r="AV1282" s="20">
        <v>0</v>
      </c>
      <c r="AW1282" s="20">
        <v>0</v>
      </c>
      <c r="AX1282" s="20" t="s">
        <v>91</v>
      </c>
      <c r="AY1282" s="20">
        <v>0</v>
      </c>
      <c r="AZ1282" s="20">
        <v>0</v>
      </c>
      <c r="BA1282" s="20">
        <v>0</v>
      </c>
      <c r="BB1282" s="6">
        <v>41935</v>
      </c>
      <c r="BC1282" s="6">
        <v>0</v>
      </c>
      <c r="BD1282" s="6">
        <v>41942</v>
      </c>
      <c r="BE1282" s="6">
        <v>0</v>
      </c>
      <c r="BF1282" s="6">
        <v>41939</v>
      </c>
      <c r="BG1282" s="6">
        <v>0</v>
      </c>
      <c r="BH1282" s="6">
        <v>0</v>
      </c>
      <c r="BI1282" s="6">
        <v>0</v>
      </c>
      <c r="BJ1282" s="6">
        <v>0</v>
      </c>
      <c r="BK1282" s="4">
        <v>0</v>
      </c>
      <c r="BL1282" s="4">
        <v>0</v>
      </c>
      <c r="BM1282" s="20">
        <v>100</v>
      </c>
      <c r="BN1282" s="20">
        <v>0</v>
      </c>
      <c r="BO1282" s="20">
        <v>0</v>
      </c>
      <c r="BP1282" s="20">
        <v>0</v>
      </c>
      <c r="BQ1282" s="20">
        <v>0</v>
      </c>
      <c r="BR1282" s="20">
        <v>0</v>
      </c>
      <c r="BS1282" s="20">
        <v>100</v>
      </c>
      <c r="BT1282" s="20">
        <v>3005050.505050505</v>
      </c>
      <c r="BU1282" s="20">
        <v>11900000</v>
      </c>
      <c r="BV1282" s="20">
        <v>3.5999999999999996</v>
      </c>
    </row>
    <row r="1283" spans="1:74">
      <c r="A1283" s="10">
        <f t="shared" ref="A1283:A1346" si="82">IF($BL1283="공급",$Z1283,0)</f>
        <v>0</v>
      </c>
      <c r="B1283" s="10">
        <f t="shared" ref="B1283:B1346" si="83">IF($AV1283&gt;0,$Z1283,0)</f>
        <v>0</v>
      </c>
      <c r="C1283" s="12">
        <f t="shared" si="80"/>
        <v>10</v>
      </c>
      <c r="D1283" s="12">
        <f t="shared" si="81"/>
        <v>10</v>
      </c>
      <c r="E1283" s="20" t="s">
        <v>574</v>
      </c>
      <c r="F1283" s="20" t="s">
        <v>3089</v>
      </c>
      <c r="G1283" s="20" t="s">
        <v>4974</v>
      </c>
      <c r="H1283" s="20" t="s">
        <v>4985</v>
      </c>
      <c r="I1283" s="20">
        <v>2</v>
      </c>
      <c r="J1283" s="20" t="s">
        <v>4986</v>
      </c>
      <c r="K1283" s="20" t="s">
        <v>4987</v>
      </c>
      <c r="L1283" s="20" t="s">
        <v>4988</v>
      </c>
      <c r="M1283" s="20" t="s">
        <v>2667</v>
      </c>
      <c r="N1283" s="20" t="s">
        <v>4989</v>
      </c>
      <c r="P1283" s="20" t="s">
        <v>2667</v>
      </c>
      <c r="Q1283" s="20" t="s">
        <v>2674</v>
      </c>
      <c r="R1283" s="20" t="s">
        <v>84</v>
      </c>
      <c r="S1283" s="20">
        <v>5</v>
      </c>
      <c r="T1283" s="20" t="s">
        <v>922</v>
      </c>
      <c r="U1283" s="20" t="s">
        <v>923</v>
      </c>
      <c r="V1283" s="20" t="s">
        <v>87</v>
      </c>
      <c r="W1283" s="20">
        <v>635</v>
      </c>
      <c r="X1283" s="20">
        <v>635</v>
      </c>
      <c r="Y1283" s="20" t="s">
        <v>4990</v>
      </c>
      <c r="Z1283" s="20">
        <v>1</v>
      </c>
      <c r="AA1283" s="20" t="s">
        <v>4991</v>
      </c>
      <c r="AB1283" s="20" t="s">
        <v>718</v>
      </c>
      <c r="AC1283" s="20" t="s">
        <v>719</v>
      </c>
      <c r="AD1283" s="20" t="s">
        <v>4992</v>
      </c>
      <c r="AE1283" s="20" t="s">
        <v>400</v>
      </c>
      <c r="AF1283" s="20">
        <v>1</v>
      </c>
      <c r="AG1283" s="20">
        <v>0</v>
      </c>
      <c r="AH1283" s="20">
        <v>1</v>
      </c>
      <c r="AI1283" s="4" t="s">
        <v>645</v>
      </c>
      <c r="AJ1283" s="20">
        <v>100</v>
      </c>
      <c r="AK1283" s="4" t="s">
        <v>780</v>
      </c>
      <c r="AL1283" s="4">
        <v>14</v>
      </c>
      <c r="AM1283" s="4">
        <v>14</v>
      </c>
      <c r="AN1283" s="4" t="s">
        <v>95</v>
      </c>
      <c r="AO1283" s="4" t="s">
        <v>131</v>
      </c>
      <c r="AP1283" s="4">
        <v>2</v>
      </c>
      <c r="AQ1283" s="20">
        <v>89000</v>
      </c>
      <c r="AR1283" s="4">
        <v>41935</v>
      </c>
      <c r="AS1283" s="20">
        <v>22474.74747474747</v>
      </c>
      <c r="AT1283" s="20">
        <v>0</v>
      </c>
      <c r="AU1283" s="20">
        <v>-22474.74747474747</v>
      </c>
      <c r="AV1283" s="20">
        <v>0</v>
      </c>
      <c r="AW1283" s="20">
        <v>0</v>
      </c>
      <c r="AX1283" s="20" t="s">
        <v>91</v>
      </c>
      <c r="AY1283" s="20">
        <v>0</v>
      </c>
      <c r="AZ1283" s="20">
        <v>0</v>
      </c>
      <c r="BA1283" s="20">
        <v>0</v>
      </c>
      <c r="BB1283" s="6">
        <v>41935</v>
      </c>
      <c r="BC1283" s="6">
        <v>0</v>
      </c>
      <c r="BD1283" s="6">
        <v>41942</v>
      </c>
      <c r="BE1283" s="6">
        <v>0</v>
      </c>
      <c r="BF1283" s="6">
        <v>41939</v>
      </c>
      <c r="BG1283" s="6">
        <v>0</v>
      </c>
      <c r="BH1283" s="6">
        <v>0</v>
      </c>
      <c r="BI1283" s="6">
        <v>0</v>
      </c>
      <c r="BJ1283" s="6">
        <v>0</v>
      </c>
      <c r="BK1283" s="4">
        <v>0</v>
      </c>
      <c r="BL1283" s="4">
        <v>0</v>
      </c>
      <c r="BM1283" s="20">
        <v>100</v>
      </c>
      <c r="BN1283" s="20">
        <v>0</v>
      </c>
      <c r="BO1283" s="20">
        <v>0</v>
      </c>
      <c r="BP1283" s="20">
        <v>0</v>
      </c>
      <c r="BQ1283" s="20">
        <v>0</v>
      </c>
      <c r="BR1283" s="20">
        <v>0</v>
      </c>
      <c r="BS1283" s="20">
        <v>100</v>
      </c>
      <c r="BT1283" s="20">
        <v>2247474.7474747468</v>
      </c>
      <c r="BU1283" s="20">
        <v>8900000</v>
      </c>
      <c r="BV1283" s="20">
        <v>3.600000000000001</v>
      </c>
    </row>
    <row r="1284" spans="1:74">
      <c r="A1284" s="10">
        <f t="shared" si="82"/>
        <v>0</v>
      </c>
      <c r="B1284" s="10">
        <f t="shared" si="83"/>
        <v>0</v>
      </c>
      <c r="C1284" s="12">
        <f t="shared" ref="C1284:C1347" si="84">IF($BB1284=0,"",MONTH($BB1284))</f>
        <v>10</v>
      </c>
      <c r="D1284" s="12">
        <f t="shared" si="81"/>
        <v>10</v>
      </c>
      <c r="E1284" s="20" t="s">
        <v>574</v>
      </c>
      <c r="F1284" s="20" t="s">
        <v>3089</v>
      </c>
      <c r="G1284" s="20" t="s">
        <v>4974</v>
      </c>
      <c r="H1284" s="20" t="s">
        <v>4993</v>
      </c>
      <c r="I1284" s="20">
        <v>3</v>
      </c>
      <c r="J1284" s="20" t="s">
        <v>4994</v>
      </c>
      <c r="K1284" s="20" t="s">
        <v>4995</v>
      </c>
      <c r="L1284" s="20" t="s">
        <v>4996</v>
      </c>
      <c r="M1284" s="20" t="s">
        <v>2667</v>
      </c>
      <c r="N1284" s="20" t="s">
        <v>4997</v>
      </c>
      <c r="P1284" s="20" t="s">
        <v>2667</v>
      </c>
      <c r="Q1284" s="20" t="s">
        <v>2674</v>
      </c>
      <c r="R1284" s="20" t="s">
        <v>84</v>
      </c>
      <c r="S1284" s="20">
        <v>5</v>
      </c>
      <c r="T1284" s="20" t="s">
        <v>635</v>
      </c>
      <c r="U1284" s="20" t="s">
        <v>636</v>
      </c>
      <c r="V1284" s="20" t="s">
        <v>87</v>
      </c>
      <c r="W1284" s="20">
        <v>639</v>
      </c>
      <c r="X1284" s="20">
        <v>639</v>
      </c>
      <c r="Y1284" s="20" t="s">
        <v>4998</v>
      </c>
      <c r="Z1284" s="20">
        <v>0.5</v>
      </c>
      <c r="AA1284" s="20" t="s">
        <v>4999</v>
      </c>
      <c r="AB1284" s="20" t="s">
        <v>101</v>
      </c>
      <c r="AC1284" s="20" t="s">
        <v>102</v>
      </c>
      <c r="AD1284" s="20" t="s">
        <v>5000</v>
      </c>
      <c r="AE1284" s="20" t="s">
        <v>400</v>
      </c>
      <c r="AF1284" s="20">
        <v>0.5</v>
      </c>
      <c r="AG1284" s="20">
        <v>0</v>
      </c>
      <c r="AH1284" s="20">
        <v>1</v>
      </c>
      <c r="AI1284" s="4" t="s">
        <v>645</v>
      </c>
      <c r="AJ1284" s="20">
        <v>129</v>
      </c>
      <c r="AK1284" s="4" t="s">
        <v>780</v>
      </c>
      <c r="AL1284" s="4">
        <v>14</v>
      </c>
      <c r="AM1284" s="4">
        <v>14</v>
      </c>
      <c r="AN1284" s="4" t="s">
        <v>95</v>
      </c>
      <c r="AO1284" s="4" t="s">
        <v>131</v>
      </c>
      <c r="AP1284" s="4">
        <v>2</v>
      </c>
      <c r="AQ1284" s="20">
        <v>79000</v>
      </c>
      <c r="AR1284" s="4">
        <v>41935</v>
      </c>
      <c r="AS1284" s="20">
        <v>19949.494949494947</v>
      </c>
      <c r="AT1284" s="20">
        <v>0</v>
      </c>
      <c r="AU1284" s="20">
        <v>-19949.494949494947</v>
      </c>
      <c r="AV1284" s="20">
        <v>0</v>
      </c>
      <c r="AW1284" s="20">
        <v>0</v>
      </c>
      <c r="AX1284" s="20" t="s">
        <v>91</v>
      </c>
      <c r="AY1284" s="20">
        <v>0</v>
      </c>
      <c r="AZ1284" s="20">
        <v>0</v>
      </c>
      <c r="BA1284" s="20">
        <v>0</v>
      </c>
      <c r="BB1284" s="6">
        <v>41935</v>
      </c>
      <c r="BC1284" s="6">
        <v>0</v>
      </c>
      <c r="BD1284" s="6">
        <v>41942</v>
      </c>
      <c r="BE1284" s="6">
        <v>0</v>
      </c>
      <c r="BF1284" s="6">
        <v>41939</v>
      </c>
      <c r="BG1284" s="6">
        <v>0</v>
      </c>
      <c r="BH1284" s="6">
        <v>0</v>
      </c>
      <c r="BI1284" s="6">
        <v>0</v>
      </c>
      <c r="BJ1284" s="6">
        <v>0</v>
      </c>
      <c r="BK1284" s="4">
        <v>0</v>
      </c>
      <c r="BL1284" s="4">
        <v>0</v>
      </c>
      <c r="BM1284" s="20">
        <v>127</v>
      </c>
      <c r="BN1284" s="20">
        <v>0</v>
      </c>
      <c r="BO1284" s="20">
        <v>0</v>
      </c>
      <c r="BP1284" s="20">
        <v>0</v>
      </c>
      <c r="BQ1284" s="20">
        <v>0</v>
      </c>
      <c r="BR1284" s="20">
        <v>0</v>
      </c>
      <c r="BS1284" s="20">
        <v>129</v>
      </c>
      <c r="BT1284" s="20">
        <v>2573484.8484848482</v>
      </c>
      <c r="BU1284" s="20">
        <v>10191000</v>
      </c>
      <c r="BV1284" s="20">
        <v>3.6000000000000005</v>
      </c>
    </row>
    <row r="1285" spans="1:74">
      <c r="A1285" s="10">
        <f t="shared" si="82"/>
        <v>0</v>
      </c>
      <c r="B1285" s="10">
        <f t="shared" si="83"/>
        <v>0</v>
      </c>
      <c r="C1285" s="12" t="str">
        <f t="shared" si="84"/>
        <v/>
      </c>
      <c r="D1285" s="12" t="str">
        <f t="shared" ref="D1285:D1348" si="85">IF(AND(BD1285=0,BF1285=0),"",MONTH(IF($BF1285=0,$BD1285,$BF1285)))</f>
        <v/>
      </c>
      <c r="E1285" s="20" t="s">
        <v>91</v>
      </c>
      <c r="F1285" s="20" t="s">
        <v>91</v>
      </c>
      <c r="G1285" s="20" t="s">
        <v>91</v>
      </c>
      <c r="H1285" s="20" t="s">
        <v>91</v>
      </c>
      <c r="I1285" s="20">
        <v>0</v>
      </c>
      <c r="J1285" s="20" t="s">
        <v>103</v>
      </c>
      <c r="K1285" s="20" t="s">
        <v>104</v>
      </c>
      <c r="L1285" s="20">
        <v>0</v>
      </c>
      <c r="M1285" s="20" t="s">
        <v>105</v>
      </c>
      <c r="N1285" s="20" t="s">
        <v>91</v>
      </c>
      <c r="O1285" s="20" t="s">
        <v>5001</v>
      </c>
      <c r="Q1285" s="20" t="s">
        <v>91</v>
      </c>
      <c r="R1285" s="20" t="s">
        <v>91</v>
      </c>
      <c r="S1285" s="20" t="s">
        <v>91</v>
      </c>
      <c r="U1285" s="20" t="s">
        <v>91</v>
      </c>
      <c r="V1285" s="20" t="s">
        <v>87</v>
      </c>
      <c r="X1285" s="20" t="s">
        <v>91</v>
      </c>
      <c r="Y1285" s="20" t="s">
        <v>91</v>
      </c>
      <c r="Z1285" s="20">
        <v>2.5</v>
      </c>
      <c r="AB1285" s="20" t="s">
        <v>91</v>
      </c>
      <c r="AD1285" s="20" t="s">
        <v>91</v>
      </c>
      <c r="AE1285" s="20" t="s">
        <v>91</v>
      </c>
      <c r="AF1285" s="20">
        <v>2.5</v>
      </c>
      <c r="AG1285" s="20">
        <v>0</v>
      </c>
      <c r="AH1285" s="20">
        <v>1</v>
      </c>
      <c r="AM1285" s="4" t="s">
        <v>91</v>
      </c>
      <c r="AP1285" s="4" t="s">
        <v>91</v>
      </c>
      <c r="AQ1285" s="20">
        <v>0</v>
      </c>
      <c r="AR1285" s="4">
        <v>0</v>
      </c>
      <c r="AS1285" s="20">
        <v>0</v>
      </c>
      <c r="AT1285" s="20">
        <v>0</v>
      </c>
      <c r="AU1285" s="20">
        <v>0</v>
      </c>
      <c r="AV1285" s="20">
        <v>0</v>
      </c>
      <c r="AW1285" s="20">
        <v>0</v>
      </c>
      <c r="AX1285" s="20" t="s">
        <v>91</v>
      </c>
      <c r="AY1285" s="20">
        <v>0</v>
      </c>
      <c r="AZ1285" s="20">
        <v>0</v>
      </c>
      <c r="BA1285" s="20">
        <v>0</v>
      </c>
      <c r="BB1285" s="6">
        <v>0</v>
      </c>
      <c r="BC1285" s="6">
        <v>0</v>
      </c>
      <c r="BD1285" s="6">
        <v>0</v>
      </c>
      <c r="BE1285" s="6">
        <v>0</v>
      </c>
      <c r="BF1285" s="6">
        <v>0</v>
      </c>
      <c r="BG1285" s="6">
        <v>0</v>
      </c>
      <c r="BH1285" s="6">
        <v>0</v>
      </c>
      <c r="BI1285" s="6">
        <v>0</v>
      </c>
      <c r="BJ1285" s="6">
        <v>0</v>
      </c>
      <c r="BK1285" s="4">
        <v>0</v>
      </c>
      <c r="BL1285" s="4">
        <v>0</v>
      </c>
      <c r="BM1285" s="20">
        <v>427</v>
      </c>
      <c r="BN1285" s="20">
        <v>0</v>
      </c>
      <c r="BO1285" s="20">
        <v>0</v>
      </c>
      <c r="BP1285" s="20">
        <v>0</v>
      </c>
      <c r="BQ1285" s="20">
        <v>0</v>
      </c>
      <c r="BR1285" s="20">
        <v>0</v>
      </c>
      <c r="BS1285" s="20">
        <v>429</v>
      </c>
      <c r="BT1285" s="20">
        <v>10831060.606060605</v>
      </c>
      <c r="BU1285" s="20">
        <v>42891000</v>
      </c>
      <c r="BV1285" s="20">
        <v>3.5999999999999996</v>
      </c>
    </row>
    <row r="1286" spans="1:74">
      <c r="A1286" s="10">
        <f t="shared" si="82"/>
        <v>0</v>
      </c>
      <c r="B1286" s="10">
        <f t="shared" si="83"/>
        <v>0</v>
      </c>
      <c r="C1286" s="12">
        <f t="shared" si="84"/>
        <v>10</v>
      </c>
      <c r="D1286" s="12">
        <f t="shared" si="85"/>
        <v>10</v>
      </c>
      <c r="E1286" s="20" t="s">
        <v>574</v>
      </c>
      <c r="F1286" s="20" t="s">
        <v>3089</v>
      </c>
      <c r="G1286" s="20" t="s">
        <v>5002</v>
      </c>
      <c r="H1286" s="20" t="s">
        <v>5003</v>
      </c>
      <c r="I1286" s="20">
        <v>1</v>
      </c>
      <c r="J1286" s="20" t="s">
        <v>5004</v>
      </c>
      <c r="K1286" s="20" t="s">
        <v>5005</v>
      </c>
      <c r="L1286" s="20" t="s">
        <v>5006</v>
      </c>
      <c r="M1286" s="20" t="s">
        <v>2667</v>
      </c>
      <c r="N1286" s="20" t="s">
        <v>4989</v>
      </c>
      <c r="P1286" s="20" t="s">
        <v>2667</v>
      </c>
      <c r="Q1286" s="20" t="s">
        <v>2674</v>
      </c>
      <c r="R1286" s="20" t="s">
        <v>84</v>
      </c>
      <c r="S1286" s="20">
        <v>5</v>
      </c>
      <c r="T1286" s="20" t="s">
        <v>922</v>
      </c>
      <c r="U1286" s="20" t="s">
        <v>923</v>
      </c>
      <c r="V1286" s="20" t="s">
        <v>87</v>
      </c>
      <c r="W1286" s="20">
        <v>617</v>
      </c>
      <c r="X1286" s="20">
        <v>617</v>
      </c>
      <c r="Y1286" s="20" t="s">
        <v>5007</v>
      </c>
      <c r="Z1286" s="20">
        <v>0.33333333333333331</v>
      </c>
      <c r="AA1286" s="20" t="s">
        <v>5008</v>
      </c>
      <c r="AB1286" s="20" t="s">
        <v>109</v>
      </c>
      <c r="AC1286" s="20" t="s">
        <v>110</v>
      </c>
      <c r="AD1286" s="20" t="s">
        <v>5009</v>
      </c>
      <c r="AE1286" s="20" t="s">
        <v>400</v>
      </c>
      <c r="AF1286" s="20">
        <v>0.33333333333333331</v>
      </c>
      <c r="AG1286" s="20">
        <v>0</v>
      </c>
      <c r="AH1286" s="20">
        <v>1</v>
      </c>
      <c r="AI1286" s="4" t="s">
        <v>647</v>
      </c>
      <c r="AJ1286" s="20">
        <v>101</v>
      </c>
      <c r="AK1286" s="4" t="s">
        <v>641</v>
      </c>
      <c r="AL1286" s="4">
        <v>8</v>
      </c>
      <c r="AM1286" s="4" t="s">
        <v>180</v>
      </c>
      <c r="AN1286" s="4" t="s">
        <v>95</v>
      </c>
      <c r="AO1286" s="4" t="s">
        <v>96</v>
      </c>
      <c r="AP1286" s="4">
        <v>1</v>
      </c>
      <c r="AQ1286" s="20">
        <v>79000</v>
      </c>
      <c r="AR1286" s="4">
        <v>41935</v>
      </c>
      <c r="AS1286" s="20">
        <v>14363.636363636362</v>
      </c>
      <c r="AT1286" s="20">
        <v>0</v>
      </c>
      <c r="AU1286" s="20">
        <v>-14363.636363636362</v>
      </c>
      <c r="AV1286" s="20">
        <v>0</v>
      </c>
      <c r="AW1286" s="20">
        <v>0</v>
      </c>
      <c r="AX1286" s="20" t="s">
        <v>91</v>
      </c>
      <c r="AY1286" s="20">
        <v>0</v>
      </c>
      <c r="AZ1286" s="20">
        <v>0</v>
      </c>
      <c r="BA1286" s="20">
        <v>0</v>
      </c>
      <c r="BB1286" s="6">
        <v>41935</v>
      </c>
      <c r="BC1286" s="6">
        <v>0</v>
      </c>
      <c r="BD1286" s="6">
        <v>41942</v>
      </c>
      <c r="BE1286" s="6">
        <v>0</v>
      </c>
      <c r="BF1286" s="6">
        <v>41939</v>
      </c>
      <c r="BG1286" s="6">
        <v>0</v>
      </c>
      <c r="BH1286" s="6">
        <v>0</v>
      </c>
      <c r="BI1286" s="6">
        <v>0</v>
      </c>
      <c r="BJ1286" s="6">
        <v>0</v>
      </c>
      <c r="BK1286" s="4">
        <v>0</v>
      </c>
      <c r="BL1286" s="4">
        <v>0</v>
      </c>
      <c r="BM1286" s="20">
        <v>97</v>
      </c>
      <c r="BN1286" s="20">
        <v>0</v>
      </c>
      <c r="BO1286" s="20">
        <v>0</v>
      </c>
      <c r="BP1286" s="20">
        <v>0</v>
      </c>
      <c r="BQ1286" s="20">
        <v>0</v>
      </c>
      <c r="BR1286" s="20">
        <v>0</v>
      </c>
      <c r="BS1286" s="20">
        <v>101</v>
      </c>
      <c r="BT1286" s="20">
        <v>1450727.2727272725</v>
      </c>
      <c r="BU1286" s="20">
        <v>7979000</v>
      </c>
      <c r="BV1286" s="20">
        <v>5.0000000000000009</v>
      </c>
    </row>
    <row r="1287" spans="1:74">
      <c r="A1287" s="10">
        <f t="shared" si="82"/>
        <v>0</v>
      </c>
      <c r="B1287" s="10">
        <f t="shared" si="83"/>
        <v>0</v>
      </c>
      <c r="C1287" s="12">
        <f t="shared" si="84"/>
        <v>10</v>
      </c>
      <c r="D1287" s="12">
        <f t="shared" si="85"/>
        <v>10</v>
      </c>
      <c r="E1287" s="20" t="s">
        <v>574</v>
      </c>
      <c r="F1287" s="20" t="s">
        <v>3089</v>
      </c>
      <c r="G1287" s="20" t="s">
        <v>5002</v>
      </c>
      <c r="H1287" s="20" t="s">
        <v>5003</v>
      </c>
      <c r="I1287" s="20">
        <v>1</v>
      </c>
      <c r="J1287" s="20" t="s">
        <v>5004</v>
      </c>
      <c r="K1287" s="20" t="s">
        <v>5010</v>
      </c>
      <c r="L1287" s="20" t="s">
        <v>5006</v>
      </c>
      <c r="M1287" s="20" t="s">
        <v>2667</v>
      </c>
      <c r="N1287" s="20" t="s">
        <v>4989</v>
      </c>
      <c r="P1287" s="20" t="s">
        <v>2667</v>
      </c>
      <c r="Q1287" s="20" t="s">
        <v>2674</v>
      </c>
      <c r="R1287" s="20" t="s">
        <v>84</v>
      </c>
      <c r="S1287" s="20">
        <v>5</v>
      </c>
      <c r="T1287" s="20" t="s">
        <v>922</v>
      </c>
      <c r="U1287" s="20" t="s">
        <v>923</v>
      </c>
      <c r="V1287" s="20" t="s">
        <v>87</v>
      </c>
      <c r="W1287" s="20">
        <v>617</v>
      </c>
      <c r="X1287" s="20">
        <v>617</v>
      </c>
      <c r="Y1287" s="20" t="s">
        <v>5007</v>
      </c>
      <c r="Z1287" s="20">
        <v>0.33333333333333331</v>
      </c>
      <c r="AA1287" s="20" t="s">
        <v>5011</v>
      </c>
      <c r="AB1287" s="20" t="s">
        <v>109</v>
      </c>
      <c r="AC1287" s="20" t="s">
        <v>110</v>
      </c>
      <c r="AD1287" s="20" t="s">
        <v>5009</v>
      </c>
      <c r="AE1287" s="20" t="s">
        <v>400</v>
      </c>
      <c r="AF1287" s="20">
        <v>0.33333333333333331</v>
      </c>
      <c r="AG1287" s="20">
        <v>0</v>
      </c>
      <c r="AH1287" s="20">
        <v>1</v>
      </c>
      <c r="AI1287" s="4" t="s">
        <v>645</v>
      </c>
      <c r="AJ1287" s="20">
        <v>54</v>
      </c>
      <c r="AK1287" s="4" t="s">
        <v>641</v>
      </c>
      <c r="AL1287" s="4">
        <v>8</v>
      </c>
      <c r="AM1287" s="4" t="s">
        <v>180</v>
      </c>
      <c r="AN1287" s="4" t="s">
        <v>95</v>
      </c>
      <c r="AO1287" s="4" t="s">
        <v>96</v>
      </c>
      <c r="AP1287" s="4">
        <v>1</v>
      </c>
      <c r="AQ1287" s="20">
        <v>79000</v>
      </c>
      <c r="AR1287" s="4">
        <v>41935</v>
      </c>
      <c r="AS1287" s="20">
        <v>14363.636363636362</v>
      </c>
      <c r="AT1287" s="20">
        <v>0</v>
      </c>
      <c r="AU1287" s="20">
        <v>-14363.636363636362</v>
      </c>
      <c r="AV1287" s="20">
        <v>0</v>
      </c>
      <c r="AW1287" s="20">
        <v>0</v>
      </c>
      <c r="AX1287" s="20" t="s">
        <v>91</v>
      </c>
      <c r="AY1287" s="20">
        <v>0</v>
      </c>
      <c r="AZ1287" s="20">
        <v>0</v>
      </c>
      <c r="BA1287" s="20">
        <v>0</v>
      </c>
      <c r="BB1287" s="6">
        <v>41935</v>
      </c>
      <c r="BC1287" s="6">
        <v>0</v>
      </c>
      <c r="BD1287" s="6">
        <v>41942</v>
      </c>
      <c r="BE1287" s="6">
        <v>0</v>
      </c>
      <c r="BF1287" s="6">
        <v>41939</v>
      </c>
      <c r="BG1287" s="6">
        <v>0</v>
      </c>
      <c r="BH1287" s="6">
        <v>0</v>
      </c>
      <c r="BI1287" s="6">
        <v>0</v>
      </c>
      <c r="BJ1287" s="6">
        <v>0</v>
      </c>
      <c r="BK1287" s="4">
        <v>0</v>
      </c>
      <c r="BL1287" s="4">
        <v>0</v>
      </c>
      <c r="BM1287" s="20">
        <v>54</v>
      </c>
      <c r="BN1287" s="20">
        <v>0</v>
      </c>
      <c r="BO1287" s="20">
        <v>0</v>
      </c>
      <c r="BP1287" s="20">
        <v>0</v>
      </c>
      <c r="BQ1287" s="20">
        <v>0</v>
      </c>
      <c r="BR1287" s="20">
        <v>0</v>
      </c>
      <c r="BS1287" s="20">
        <v>54</v>
      </c>
      <c r="BT1287" s="20">
        <v>775636.36363636353</v>
      </c>
      <c r="BU1287" s="20">
        <v>4266000</v>
      </c>
      <c r="BV1287" s="20">
        <v>5</v>
      </c>
    </row>
    <row r="1288" spans="1:74">
      <c r="A1288" s="10">
        <f t="shared" si="82"/>
        <v>0</v>
      </c>
      <c r="B1288" s="10">
        <f t="shared" si="83"/>
        <v>0</v>
      </c>
      <c r="C1288" s="12">
        <f t="shared" si="84"/>
        <v>10</v>
      </c>
      <c r="D1288" s="12">
        <f t="shared" si="85"/>
        <v>10</v>
      </c>
      <c r="E1288" s="20" t="s">
        <v>574</v>
      </c>
      <c r="F1288" s="20" t="s">
        <v>3089</v>
      </c>
      <c r="G1288" s="20" t="s">
        <v>5002</v>
      </c>
      <c r="H1288" s="20" t="s">
        <v>5012</v>
      </c>
      <c r="I1288" s="20">
        <v>2</v>
      </c>
      <c r="J1288" s="20" t="s">
        <v>5013</v>
      </c>
      <c r="K1288" s="20" t="s">
        <v>5014</v>
      </c>
      <c r="L1288" s="20" t="s">
        <v>5006</v>
      </c>
      <c r="M1288" s="20" t="s">
        <v>2667</v>
      </c>
      <c r="N1288" s="20" t="s">
        <v>4989</v>
      </c>
      <c r="P1288" s="20" t="s">
        <v>2667</v>
      </c>
      <c r="Q1288" s="20" t="s">
        <v>2674</v>
      </c>
      <c r="R1288" s="20" t="s">
        <v>84</v>
      </c>
      <c r="S1288" s="20">
        <v>5</v>
      </c>
      <c r="T1288" s="20" t="s">
        <v>922</v>
      </c>
      <c r="U1288" s="20" t="s">
        <v>923</v>
      </c>
      <c r="V1288" s="20" t="s">
        <v>87</v>
      </c>
      <c r="W1288" s="20">
        <v>617</v>
      </c>
      <c r="X1288" s="20">
        <v>617</v>
      </c>
      <c r="Y1288" s="20" t="s">
        <v>5007</v>
      </c>
      <c r="Z1288" s="20">
        <v>0.5</v>
      </c>
      <c r="AA1288" s="20" t="s">
        <v>5015</v>
      </c>
      <c r="AB1288" s="20" t="s">
        <v>89</v>
      </c>
      <c r="AC1288" s="20" t="s">
        <v>90</v>
      </c>
      <c r="AD1288" s="20" t="s">
        <v>5016</v>
      </c>
      <c r="AE1288" s="20" t="s">
        <v>400</v>
      </c>
      <c r="AF1288" s="20">
        <v>0.5</v>
      </c>
      <c r="AG1288" s="20">
        <v>0</v>
      </c>
      <c r="AH1288" s="20">
        <v>1</v>
      </c>
      <c r="AI1288" s="4" t="s">
        <v>645</v>
      </c>
      <c r="AJ1288" s="20">
        <v>23</v>
      </c>
      <c r="AK1288" s="4" t="s">
        <v>641</v>
      </c>
      <c r="AL1288" s="4">
        <v>8</v>
      </c>
      <c r="AM1288" s="4" t="s">
        <v>180</v>
      </c>
      <c r="AN1288" s="4" t="s">
        <v>95</v>
      </c>
      <c r="AO1288" s="4" t="s">
        <v>96</v>
      </c>
      <c r="AP1288" s="4">
        <v>1</v>
      </c>
      <c r="AQ1288" s="20">
        <v>79000</v>
      </c>
      <c r="AR1288" s="4">
        <v>41935</v>
      </c>
      <c r="AS1288" s="20">
        <v>14363.636363636362</v>
      </c>
      <c r="AT1288" s="20">
        <v>0</v>
      </c>
      <c r="AU1288" s="20">
        <v>-14363.636363636362</v>
      </c>
      <c r="AV1288" s="20">
        <v>0</v>
      </c>
      <c r="AW1288" s="20">
        <v>0</v>
      </c>
      <c r="AX1288" s="20" t="s">
        <v>91</v>
      </c>
      <c r="AY1288" s="20">
        <v>0</v>
      </c>
      <c r="AZ1288" s="20">
        <v>0</v>
      </c>
      <c r="BA1288" s="20">
        <v>0</v>
      </c>
      <c r="BB1288" s="6">
        <v>41935</v>
      </c>
      <c r="BC1288" s="6">
        <v>0</v>
      </c>
      <c r="BD1288" s="6">
        <v>41942</v>
      </c>
      <c r="BE1288" s="6">
        <v>0</v>
      </c>
      <c r="BF1288" s="6">
        <v>41939</v>
      </c>
      <c r="BG1288" s="6">
        <v>0</v>
      </c>
      <c r="BH1288" s="6">
        <v>0</v>
      </c>
      <c r="BI1288" s="6">
        <v>0</v>
      </c>
      <c r="BJ1288" s="6">
        <v>0</v>
      </c>
      <c r="BK1288" s="4">
        <v>0</v>
      </c>
      <c r="BL1288" s="4">
        <v>0</v>
      </c>
      <c r="BM1288" s="20">
        <v>22</v>
      </c>
      <c r="BN1288" s="20">
        <v>0</v>
      </c>
      <c r="BO1288" s="20">
        <v>0</v>
      </c>
      <c r="BP1288" s="20">
        <v>0</v>
      </c>
      <c r="BQ1288" s="20">
        <v>0</v>
      </c>
      <c r="BR1288" s="20">
        <v>0</v>
      </c>
      <c r="BS1288" s="20">
        <v>23</v>
      </c>
      <c r="BT1288" s="20">
        <v>330363.63636363635</v>
      </c>
      <c r="BU1288" s="20">
        <v>1817000</v>
      </c>
      <c r="BV1288" s="20">
        <v>5</v>
      </c>
    </row>
    <row r="1289" spans="1:74">
      <c r="A1289" s="10">
        <f t="shared" si="82"/>
        <v>0</v>
      </c>
      <c r="B1289" s="10">
        <f t="shared" si="83"/>
        <v>0</v>
      </c>
      <c r="C1289" s="12">
        <f t="shared" si="84"/>
        <v>10</v>
      </c>
      <c r="D1289" s="12">
        <f t="shared" si="85"/>
        <v>10</v>
      </c>
      <c r="E1289" s="20" t="s">
        <v>574</v>
      </c>
      <c r="F1289" s="20" t="s">
        <v>3089</v>
      </c>
      <c r="G1289" s="20" t="s">
        <v>5002</v>
      </c>
      <c r="H1289" s="20" t="s">
        <v>5017</v>
      </c>
      <c r="I1289" s="20">
        <v>3</v>
      </c>
      <c r="J1289" s="20" t="s">
        <v>5018</v>
      </c>
      <c r="K1289" s="20" t="s">
        <v>5019</v>
      </c>
      <c r="L1289" s="20" t="s">
        <v>5020</v>
      </c>
      <c r="M1289" s="20" t="s">
        <v>2667</v>
      </c>
      <c r="N1289" s="20" t="s">
        <v>4989</v>
      </c>
      <c r="P1289" s="20" t="s">
        <v>2667</v>
      </c>
      <c r="Q1289" s="20" t="s">
        <v>2674</v>
      </c>
      <c r="R1289" s="20" t="s">
        <v>84</v>
      </c>
      <c r="S1289" s="20">
        <v>5</v>
      </c>
      <c r="T1289" s="20" t="s">
        <v>922</v>
      </c>
      <c r="U1289" s="20" t="s">
        <v>923</v>
      </c>
      <c r="V1289" s="20" t="s">
        <v>87</v>
      </c>
      <c r="W1289" s="20">
        <v>618</v>
      </c>
      <c r="X1289" s="20">
        <v>618</v>
      </c>
      <c r="Y1289" s="20" t="s">
        <v>5021</v>
      </c>
      <c r="Z1289" s="20">
        <v>0.5</v>
      </c>
      <c r="AA1289" s="20" t="s">
        <v>5022</v>
      </c>
      <c r="AB1289" s="20" t="s">
        <v>159</v>
      </c>
      <c r="AC1289" s="20" t="s">
        <v>160</v>
      </c>
      <c r="AD1289" s="20" t="s">
        <v>5023</v>
      </c>
      <c r="AE1289" s="20" t="s">
        <v>400</v>
      </c>
      <c r="AF1289" s="20">
        <v>0.5</v>
      </c>
      <c r="AG1289" s="20">
        <v>0</v>
      </c>
      <c r="AH1289" s="20">
        <v>1</v>
      </c>
      <c r="AI1289" s="4" t="s">
        <v>645</v>
      </c>
      <c r="AJ1289" s="20">
        <v>33</v>
      </c>
      <c r="AK1289" s="4" t="s">
        <v>641</v>
      </c>
      <c r="AL1289" s="4">
        <v>8</v>
      </c>
      <c r="AM1289" s="4" t="s">
        <v>180</v>
      </c>
      <c r="AN1289" s="4" t="s">
        <v>95</v>
      </c>
      <c r="AO1289" s="4" t="s">
        <v>96</v>
      </c>
      <c r="AP1289" s="4">
        <v>1</v>
      </c>
      <c r="AQ1289" s="20">
        <v>79000</v>
      </c>
      <c r="AR1289" s="4">
        <v>41935</v>
      </c>
      <c r="AS1289" s="20">
        <v>14363.636363636362</v>
      </c>
      <c r="AT1289" s="20">
        <v>0</v>
      </c>
      <c r="AU1289" s="20">
        <v>-14363.636363636362</v>
      </c>
      <c r="AV1289" s="20">
        <v>0</v>
      </c>
      <c r="AW1289" s="20">
        <v>0</v>
      </c>
      <c r="AX1289" s="20" t="s">
        <v>91</v>
      </c>
      <c r="AY1289" s="20">
        <v>0</v>
      </c>
      <c r="AZ1289" s="20">
        <v>0</v>
      </c>
      <c r="BA1289" s="20">
        <v>0</v>
      </c>
      <c r="BB1289" s="6">
        <v>41935</v>
      </c>
      <c r="BC1289" s="6">
        <v>0</v>
      </c>
      <c r="BD1289" s="6">
        <v>41942</v>
      </c>
      <c r="BE1289" s="6">
        <v>0</v>
      </c>
      <c r="BF1289" s="6">
        <v>41939</v>
      </c>
      <c r="BG1289" s="6">
        <v>0</v>
      </c>
      <c r="BH1289" s="6">
        <v>0</v>
      </c>
      <c r="BI1289" s="6">
        <v>0</v>
      </c>
      <c r="BJ1289" s="6">
        <v>0</v>
      </c>
      <c r="BK1289" s="4">
        <v>0</v>
      </c>
      <c r="BL1289" s="4">
        <v>0</v>
      </c>
      <c r="BM1289" s="20">
        <v>33</v>
      </c>
      <c r="BN1289" s="20">
        <v>0</v>
      </c>
      <c r="BO1289" s="20">
        <v>0</v>
      </c>
      <c r="BP1289" s="20">
        <v>0</v>
      </c>
      <c r="BQ1289" s="20">
        <v>0</v>
      </c>
      <c r="BR1289" s="20">
        <v>0</v>
      </c>
      <c r="BS1289" s="20">
        <v>33</v>
      </c>
      <c r="BT1289" s="20">
        <v>473999.99999999994</v>
      </c>
      <c r="BU1289" s="20">
        <v>2607000</v>
      </c>
      <c r="BV1289" s="20">
        <v>5</v>
      </c>
    </row>
    <row r="1290" spans="1:74">
      <c r="A1290" s="10">
        <f t="shared" si="82"/>
        <v>0</v>
      </c>
      <c r="B1290" s="10">
        <f t="shared" si="83"/>
        <v>0</v>
      </c>
      <c r="C1290" s="12">
        <f t="shared" si="84"/>
        <v>10</v>
      </c>
      <c r="D1290" s="12">
        <f t="shared" si="85"/>
        <v>10</v>
      </c>
      <c r="E1290" s="20" t="s">
        <v>574</v>
      </c>
      <c r="F1290" s="20" t="s">
        <v>3089</v>
      </c>
      <c r="G1290" s="20" t="s">
        <v>5002</v>
      </c>
      <c r="H1290" s="20" t="s">
        <v>5024</v>
      </c>
      <c r="I1290" s="20">
        <v>4</v>
      </c>
      <c r="J1290" s="20" t="s">
        <v>5025</v>
      </c>
      <c r="K1290" s="20" t="s">
        <v>5026</v>
      </c>
      <c r="L1290" s="20" t="s">
        <v>5027</v>
      </c>
      <c r="M1290" s="20" t="s">
        <v>2667</v>
      </c>
      <c r="N1290" s="20" t="s">
        <v>4989</v>
      </c>
      <c r="P1290" s="20" t="s">
        <v>2667</v>
      </c>
      <c r="Q1290" s="20" t="s">
        <v>2674</v>
      </c>
      <c r="R1290" s="20" t="s">
        <v>84</v>
      </c>
      <c r="S1290" s="20">
        <v>5</v>
      </c>
      <c r="T1290" s="20" t="s">
        <v>922</v>
      </c>
      <c r="U1290" s="20" t="s">
        <v>923</v>
      </c>
      <c r="V1290" s="20" t="s">
        <v>87</v>
      </c>
      <c r="W1290" s="20">
        <v>625</v>
      </c>
      <c r="X1290" s="20">
        <v>625</v>
      </c>
      <c r="Y1290" s="20" t="s">
        <v>5028</v>
      </c>
      <c r="Z1290" s="20">
        <v>0.5</v>
      </c>
      <c r="AA1290" s="20" t="s">
        <v>5029</v>
      </c>
      <c r="AB1290" s="20" t="s">
        <v>176</v>
      </c>
      <c r="AC1290" s="20" t="s">
        <v>177</v>
      </c>
      <c r="AD1290" s="20" t="s">
        <v>5030</v>
      </c>
      <c r="AE1290" s="20" t="s">
        <v>400</v>
      </c>
      <c r="AF1290" s="20">
        <v>0.5</v>
      </c>
      <c r="AG1290" s="20">
        <v>0</v>
      </c>
      <c r="AH1290" s="20">
        <v>1</v>
      </c>
      <c r="AI1290" s="4" t="s">
        <v>645</v>
      </c>
      <c r="AJ1290" s="20">
        <v>41</v>
      </c>
      <c r="AK1290" s="4" t="s">
        <v>641</v>
      </c>
      <c r="AL1290" s="4">
        <v>8</v>
      </c>
      <c r="AM1290" s="4" t="s">
        <v>180</v>
      </c>
      <c r="AN1290" s="4" t="s">
        <v>95</v>
      </c>
      <c r="AO1290" s="4" t="s">
        <v>96</v>
      </c>
      <c r="AP1290" s="4">
        <v>1</v>
      </c>
      <c r="AQ1290" s="20">
        <v>79000</v>
      </c>
      <c r="AR1290" s="4">
        <v>41935</v>
      </c>
      <c r="AS1290" s="20">
        <v>14363.636363636362</v>
      </c>
      <c r="AT1290" s="20">
        <v>0</v>
      </c>
      <c r="AU1290" s="20">
        <v>-14363.636363636362</v>
      </c>
      <c r="AV1290" s="20">
        <v>0</v>
      </c>
      <c r="AW1290" s="20">
        <v>0</v>
      </c>
      <c r="AX1290" s="20" t="s">
        <v>91</v>
      </c>
      <c r="AY1290" s="20">
        <v>0</v>
      </c>
      <c r="AZ1290" s="20">
        <v>0</v>
      </c>
      <c r="BA1290" s="20">
        <v>0</v>
      </c>
      <c r="BB1290" s="6">
        <v>41935</v>
      </c>
      <c r="BC1290" s="6">
        <v>0</v>
      </c>
      <c r="BD1290" s="6">
        <v>41942</v>
      </c>
      <c r="BE1290" s="6">
        <v>0</v>
      </c>
      <c r="BF1290" s="6">
        <v>41939</v>
      </c>
      <c r="BG1290" s="6">
        <v>0</v>
      </c>
      <c r="BH1290" s="6">
        <v>0</v>
      </c>
      <c r="BI1290" s="6">
        <v>0</v>
      </c>
      <c r="BJ1290" s="6">
        <v>0</v>
      </c>
      <c r="BK1290" s="4">
        <v>0</v>
      </c>
      <c r="BL1290" s="4">
        <v>0</v>
      </c>
      <c r="BM1290" s="20">
        <v>41</v>
      </c>
      <c r="BN1290" s="20">
        <v>0</v>
      </c>
      <c r="BO1290" s="20">
        <v>0</v>
      </c>
      <c r="BP1290" s="20">
        <v>0</v>
      </c>
      <c r="BQ1290" s="20">
        <v>0</v>
      </c>
      <c r="BR1290" s="20">
        <v>0</v>
      </c>
      <c r="BS1290" s="20">
        <v>41</v>
      </c>
      <c r="BT1290" s="20">
        <v>588909.09090909082</v>
      </c>
      <c r="BU1290" s="20">
        <v>3239000</v>
      </c>
      <c r="BV1290" s="20">
        <v>5</v>
      </c>
    </row>
    <row r="1291" spans="1:74">
      <c r="A1291" s="10">
        <f t="shared" si="82"/>
        <v>0</v>
      </c>
      <c r="B1291" s="10">
        <f t="shared" si="83"/>
        <v>0</v>
      </c>
      <c r="C1291" s="12">
        <f t="shared" si="84"/>
        <v>10</v>
      </c>
      <c r="D1291" s="12">
        <f t="shared" si="85"/>
        <v>10</v>
      </c>
      <c r="E1291" s="20" t="s">
        <v>574</v>
      </c>
      <c r="F1291" s="20" t="s">
        <v>3089</v>
      </c>
      <c r="G1291" s="20" t="s">
        <v>5002</v>
      </c>
      <c r="H1291" s="20" t="s">
        <v>5024</v>
      </c>
      <c r="I1291" s="20">
        <v>4</v>
      </c>
      <c r="J1291" s="20" t="s">
        <v>5025</v>
      </c>
      <c r="K1291" s="20" t="s">
        <v>5031</v>
      </c>
      <c r="L1291" s="20" t="s">
        <v>5027</v>
      </c>
      <c r="M1291" s="20" t="s">
        <v>2667</v>
      </c>
      <c r="N1291" s="20" t="s">
        <v>4989</v>
      </c>
      <c r="P1291" s="20" t="s">
        <v>2667</v>
      </c>
      <c r="Q1291" s="20" t="s">
        <v>2674</v>
      </c>
      <c r="R1291" s="20" t="s">
        <v>84</v>
      </c>
      <c r="S1291" s="20">
        <v>5</v>
      </c>
      <c r="T1291" s="20" t="s">
        <v>922</v>
      </c>
      <c r="U1291" s="20" t="s">
        <v>923</v>
      </c>
      <c r="V1291" s="20" t="s">
        <v>87</v>
      </c>
      <c r="W1291" s="20">
        <v>625</v>
      </c>
      <c r="X1291" s="20">
        <v>625</v>
      </c>
      <c r="Y1291" s="20" t="s">
        <v>5028</v>
      </c>
      <c r="Z1291" s="20">
        <v>0.5</v>
      </c>
      <c r="AA1291" s="20" t="s">
        <v>5032</v>
      </c>
      <c r="AB1291" s="20" t="s">
        <v>176</v>
      </c>
      <c r="AC1291" s="20" t="s">
        <v>177</v>
      </c>
      <c r="AD1291" s="20" t="s">
        <v>5030</v>
      </c>
      <c r="AE1291" s="20" t="s">
        <v>400</v>
      </c>
      <c r="AF1291" s="20">
        <v>0.5</v>
      </c>
      <c r="AG1291" s="20">
        <v>0</v>
      </c>
      <c r="AH1291" s="20">
        <v>1</v>
      </c>
      <c r="AI1291" s="4" t="s">
        <v>647</v>
      </c>
      <c r="AJ1291" s="20">
        <v>28</v>
      </c>
      <c r="AK1291" s="4" t="s">
        <v>641</v>
      </c>
      <c r="AL1291" s="4">
        <v>8</v>
      </c>
      <c r="AM1291" s="4" t="s">
        <v>180</v>
      </c>
      <c r="AN1291" s="4" t="s">
        <v>95</v>
      </c>
      <c r="AO1291" s="4" t="s">
        <v>96</v>
      </c>
      <c r="AP1291" s="4">
        <v>1</v>
      </c>
      <c r="AQ1291" s="20">
        <v>79000</v>
      </c>
      <c r="AR1291" s="4">
        <v>41935</v>
      </c>
      <c r="AS1291" s="20">
        <v>14363.636363636362</v>
      </c>
      <c r="AT1291" s="20">
        <v>0</v>
      </c>
      <c r="AU1291" s="20">
        <v>-14363.636363636362</v>
      </c>
      <c r="AV1291" s="20">
        <v>0</v>
      </c>
      <c r="AW1291" s="20">
        <v>0</v>
      </c>
      <c r="AX1291" s="20" t="s">
        <v>91</v>
      </c>
      <c r="AY1291" s="20">
        <v>0</v>
      </c>
      <c r="AZ1291" s="20">
        <v>0</v>
      </c>
      <c r="BA1291" s="20">
        <v>0</v>
      </c>
      <c r="BB1291" s="6">
        <v>41935</v>
      </c>
      <c r="BC1291" s="6">
        <v>0</v>
      </c>
      <c r="BD1291" s="6">
        <v>41942</v>
      </c>
      <c r="BE1291" s="6">
        <v>0</v>
      </c>
      <c r="BF1291" s="6">
        <v>41939</v>
      </c>
      <c r="BG1291" s="6">
        <v>0</v>
      </c>
      <c r="BH1291" s="6">
        <v>0</v>
      </c>
      <c r="BI1291" s="6">
        <v>0</v>
      </c>
      <c r="BJ1291" s="6">
        <v>0</v>
      </c>
      <c r="BK1291" s="4">
        <v>0</v>
      </c>
      <c r="BL1291" s="4">
        <v>0</v>
      </c>
      <c r="BM1291" s="20">
        <v>28</v>
      </c>
      <c r="BN1291" s="20">
        <v>0</v>
      </c>
      <c r="BO1291" s="20">
        <v>0</v>
      </c>
      <c r="BP1291" s="20">
        <v>0</v>
      </c>
      <c r="BQ1291" s="20">
        <v>0</v>
      </c>
      <c r="BR1291" s="20">
        <v>0</v>
      </c>
      <c r="BS1291" s="20">
        <v>28</v>
      </c>
      <c r="BT1291" s="20">
        <v>402181.81818181812</v>
      </c>
      <c r="BU1291" s="20">
        <v>2212000</v>
      </c>
      <c r="BV1291" s="20">
        <v>5.0000000000000009</v>
      </c>
    </row>
    <row r="1292" spans="1:74">
      <c r="A1292" s="10">
        <f t="shared" si="82"/>
        <v>0</v>
      </c>
      <c r="B1292" s="10">
        <f t="shared" si="83"/>
        <v>0</v>
      </c>
      <c r="C1292" s="12">
        <f t="shared" si="84"/>
        <v>10</v>
      </c>
      <c r="D1292" s="12">
        <f t="shared" si="85"/>
        <v>10</v>
      </c>
      <c r="E1292" s="20" t="s">
        <v>574</v>
      </c>
      <c r="F1292" s="20" t="s">
        <v>3089</v>
      </c>
      <c r="G1292" s="20" t="s">
        <v>5002</v>
      </c>
      <c r="H1292" s="20" t="s">
        <v>5033</v>
      </c>
      <c r="I1292" s="20">
        <v>5</v>
      </c>
      <c r="J1292" s="20" t="s">
        <v>5034</v>
      </c>
      <c r="K1292" s="20" t="s">
        <v>5035</v>
      </c>
      <c r="L1292" s="20" t="s">
        <v>5027</v>
      </c>
      <c r="M1292" s="20" t="s">
        <v>2667</v>
      </c>
      <c r="N1292" s="20" t="s">
        <v>4989</v>
      </c>
      <c r="P1292" s="20" t="s">
        <v>2667</v>
      </c>
      <c r="Q1292" s="20" t="s">
        <v>2674</v>
      </c>
      <c r="R1292" s="20" t="s">
        <v>84</v>
      </c>
      <c r="S1292" s="20">
        <v>5</v>
      </c>
      <c r="T1292" s="20" t="s">
        <v>922</v>
      </c>
      <c r="U1292" s="20" t="s">
        <v>923</v>
      </c>
      <c r="V1292" s="20" t="s">
        <v>87</v>
      </c>
      <c r="W1292" s="20">
        <v>625</v>
      </c>
      <c r="X1292" s="20">
        <v>625</v>
      </c>
      <c r="Y1292" s="20" t="s">
        <v>5028</v>
      </c>
      <c r="Z1292" s="20">
        <v>0.5</v>
      </c>
      <c r="AA1292" s="20" t="s">
        <v>5036</v>
      </c>
      <c r="AB1292" s="20" t="s">
        <v>101</v>
      </c>
      <c r="AC1292" s="20" t="s">
        <v>102</v>
      </c>
      <c r="AD1292" s="20" t="s">
        <v>5037</v>
      </c>
      <c r="AE1292" s="20" t="s">
        <v>400</v>
      </c>
      <c r="AF1292" s="20">
        <v>0.5</v>
      </c>
      <c r="AG1292" s="20">
        <v>0</v>
      </c>
      <c r="AH1292" s="20">
        <v>1</v>
      </c>
      <c r="AI1292" s="4" t="s">
        <v>645</v>
      </c>
      <c r="AJ1292" s="20">
        <v>26</v>
      </c>
      <c r="AK1292" s="4" t="s">
        <v>641</v>
      </c>
      <c r="AL1292" s="4">
        <v>8</v>
      </c>
      <c r="AM1292" s="4" t="s">
        <v>180</v>
      </c>
      <c r="AN1292" s="4" t="s">
        <v>95</v>
      </c>
      <c r="AO1292" s="4" t="s">
        <v>96</v>
      </c>
      <c r="AP1292" s="4">
        <v>1</v>
      </c>
      <c r="AQ1292" s="20">
        <v>79000</v>
      </c>
      <c r="AR1292" s="4">
        <v>41935</v>
      </c>
      <c r="AS1292" s="20">
        <v>14363.636363636362</v>
      </c>
      <c r="AT1292" s="20">
        <v>0</v>
      </c>
      <c r="AU1292" s="20">
        <v>-14363.636363636362</v>
      </c>
      <c r="AV1292" s="20">
        <v>0</v>
      </c>
      <c r="AW1292" s="20">
        <v>0</v>
      </c>
      <c r="AX1292" s="20" t="s">
        <v>91</v>
      </c>
      <c r="AY1292" s="20">
        <v>0</v>
      </c>
      <c r="AZ1292" s="20">
        <v>0</v>
      </c>
      <c r="BA1292" s="20">
        <v>0</v>
      </c>
      <c r="BB1292" s="6">
        <v>41935</v>
      </c>
      <c r="BC1292" s="6">
        <v>0</v>
      </c>
      <c r="BD1292" s="6">
        <v>41942</v>
      </c>
      <c r="BE1292" s="6">
        <v>0</v>
      </c>
      <c r="BF1292" s="6">
        <v>41939</v>
      </c>
      <c r="BG1292" s="6">
        <v>0</v>
      </c>
      <c r="BH1292" s="6">
        <v>0</v>
      </c>
      <c r="BI1292" s="6">
        <v>0</v>
      </c>
      <c r="BJ1292" s="6">
        <v>0</v>
      </c>
      <c r="BK1292" s="4">
        <v>0</v>
      </c>
      <c r="BL1292" s="4">
        <v>0</v>
      </c>
      <c r="BM1292" s="20">
        <v>21</v>
      </c>
      <c r="BN1292" s="20">
        <v>0</v>
      </c>
      <c r="BO1292" s="20">
        <v>0</v>
      </c>
      <c r="BP1292" s="20">
        <v>0</v>
      </c>
      <c r="BQ1292" s="20">
        <v>0</v>
      </c>
      <c r="BS1292" s="20">
        <v>26</v>
      </c>
      <c r="BT1292" s="20">
        <v>373454.54545454541</v>
      </c>
      <c r="BU1292" s="20">
        <v>2054000</v>
      </c>
      <c r="BV1292" s="20">
        <v>5</v>
      </c>
    </row>
    <row r="1293" spans="1:74">
      <c r="A1293" s="10">
        <f t="shared" si="82"/>
        <v>0</v>
      </c>
      <c r="B1293" s="10">
        <f t="shared" si="83"/>
        <v>0</v>
      </c>
      <c r="C1293" s="12">
        <f t="shared" si="84"/>
        <v>10</v>
      </c>
      <c r="D1293" s="12">
        <f t="shared" si="85"/>
        <v>10</v>
      </c>
      <c r="E1293" s="20" t="s">
        <v>574</v>
      </c>
      <c r="F1293" s="20" t="s">
        <v>3089</v>
      </c>
      <c r="G1293" s="20" t="s">
        <v>5002</v>
      </c>
      <c r="H1293" s="20" t="s">
        <v>5033</v>
      </c>
      <c r="I1293" s="20">
        <v>5</v>
      </c>
      <c r="J1293" s="20" t="s">
        <v>5034</v>
      </c>
      <c r="K1293" s="20" t="s">
        <v>5038</v>
      </c>
      <c r="L1293" s="20" t="s">
        <v>5027</v>
      </c>
      <c r="M1293" s="20" t="s">
        <v>2667</v>
      </c>
      <c r="N1293" s="20" t="s">
        <v>4989</v>
      </c>
      <c r="P1293" s="20" t="s">
        <v>2667</v>
      </c>
      <c r="Q1293" s="20" t="s">
        <v>2674</v>
      </c>
      <c r="R1293" s="20" t="s">
        <v>84</v>
      </c>
      <c r="S1293" s="20">
        <v>5</v>
      </c>
      <c r="T1293" s="20" t="s">
        <v>922</v>
      </c>
      <c r="U1293" s="20" t="s">
        <v>923</v>
      </c>
      <c r="V1293" s="20" t="s">
        <v>87</v>
      </c>
      <c r="W1293" s="20">
        <v>625</v>
      </c>
      <c r="X1293" s="20">
        <v>625</v>
      </c>
      <c r="Y1293" s="20" t="s">
        <v>5028</v>
      </c>
      <c r="Z1293" s="20">
        <v>0.5</v>
      </c>
      <c r="AA1293" s="20" t="s">
        <v>5039</v>
      </c>
      <c r="AB1293" s="20" t="s">
        <v>101</v>
      </c>
      <c r="AC1293" s="20" t="s">
        <v>102</v>
      </c>
      <c r="AD1293" s="20" t="s">
        <v>5037</v>
      </c>
      <c r="AE1293" s="20" t="s">
        <v>400</v>
      </c>
      <c r="AF1293" s="20">
        <v>0.5</v>
      </c>
      <c r="AG1293" s="20">
        <v>0</v>
      </c>
      <c r="AH1293" s="20">
        <v>1</v>
      </c>
      <c r="AI1293" s="4" t="s">
        <v>647</v>
      </c>
      <c r="AJ1293" s="20">
        <v>19</v>
      </c>
      <c r="AK1293" s="4" t="s">
        <v>641</v>
      </c>
      <c r="AL1293" s="4">
        <v>8</v>
      </c>
      <c r="AM1293" s="4" t="s">
        <v>180</v>
      </c>
      <c r="AN1293" s="4" t="s">
        <v>95</v>
      </c>
      <c r="AO1293" s="4" t="s">
        <v>96</v>
      </c>
      <c r="AP1293" s="4">
        <v>1</v>
      </c>
      <c r="AQ1293" s="20">
        <v>79000</v>
      </c>
      <c r="AR1293" s="4">
        <v>41935</v>
      </c>
      <c r="AS1293" s="20">
        <v>14363.636363636362</v>
      </c>
      <c r="AT1293" s="20">
        <v>0</v>
      </c>
      <c r="AU1293" s="20">
        <v>-14363.636363636362</v>
      </c>
      <c r="AV1293" s="20">
        <v>0</v>
      </c>
      <c r="AW1293" s="20">
        <v>0</v>
      </c>
      <c r="AX1293" s="20" t="s">
        <v>91</v>
      </c>
      <c r="AY1293" s="20">
        <v>0</v>
      </c>
      <c r="AZ1293" s="20">
        <v>0</v>
      </c>
      <c r="BA1293" s="20">
        <v>0</v>
      </c>
      <c r="BB1293" s="6">
        <v>41935</v>
      </c>
      <c r="BC1293" s="6">
        <v>0</v>
      </c>
      <c r="BD1293" s="6">
        <v>41942</v>
      </c>
      <c r="BE1293" s="6">
        <v>0</v>
      </c>
      <c r="BF1293" s="6">
        <v>41939</v>
      </c>
      <c r="BG1293" s="6">
        <v>0</v>
      </c>
      <c r="BH1293" s="6">
        <v>0</v>
      </c>
      <c r="BI1293" s="6">
        <v>0</v>
      </c>
      <c r="BJ1293" s="6">
        <v>0</v>
      </c>
      <c r="BK1293" s="4">
        <v>0</v>
      </c>
      <c r="BL1293" s="4">
        <v>0</v>
      </c>
      <c r="BM1293" s="20">
        <v>15</v>
      </c>
      <c r="BN1293" s="20">
        <v>0</v>
      </c>
      <c r="BO1293" s="20">
        <v>0</v>
      </c>
      <c r="BP1293" s="20">
        <v>0</v>
      </c>
      <c r="BQ1293" s="20">
        <v>0</v>
      </c>
      <c r="BS1293" s="20">
        <v>19</v>
      </c>
      <c r="BT1293" s="20">
        <v>272909.09090909088</v>
      </c>
      <c r="BU1293" s="20">
        <v>1501000</v>
      </c>
      <c r="BV1293" s="20">
        <v>5</v>
      </c>
    </row>
    <row r="1294" spans="1:74">
      <c r="A1294" s="10">
        <f t="shared" si="82"/>
        <v>0</v>
      </c>
      <c r="B1294" s="10">
        <f t="shared" si="83"/>
        <v>0</v>
      </c>
      <c r="C1294" s="12">
        <f t="shared" si="84"/>
        <v>10</v>
      </c>
      <c r="D1294" s="12">
        <f t="shared" si="85"/>
        <v>10</v>
      </c>
      <c r="E1294" s="20" t="s">
        <v>574</v>
      </c>
      <c r="F1294" s="20" t="s">
        <v>3089</v>
      </c>
      <c r="G1294" s="20" t="s">
        <v>5002</v>
      </c>
      <c r="H1294" s="20" t="s">
        <v>5040</v>
      </c>
      <c r="I1294" s="20">
        <v>6</v>
      </c>
      <c r="J1294" s="20" t="s">
        <v>5041</v>
      </c>
      <c r="K1294" s="20" t="s">
        <v>5042</v>
      </c>
      <c r="L1294" s="20" t="s">
        <v>5043</v>
      </c>
      <c r="M1294" s="20" t="s">
        <v>2667</v>
      </c>
      <c r="N1294" s="20" t="s">
        <v>4997</v>
      </c>
      <c r="P1294" s="20" t="s">
        <v>2667</v>
      </c>
      <c r="Q1294" s="20" t="s">
        <v>2674</v>
      </c>
      <c r="R1294" s="20" t="s">
        <v>84</v>
      </c>
      <c r="S1294" s="20">
        <v>5</v>
      </c>
      <c r="T1294" s="20" t="s">
        <v>635</v>
      </c>
      <c r="U1294" s="20" t="s">
        <v>636</v>
      </c>
      <c r="V1294" s="20" t="s">
        <v>87</v>
      </c>
      <c r="W1294" s="20">
        <v>607</v>
      </c>
      <c r="X1294" s="20">
        <v>607</v>
      </c>
      <c r="Y1294" s="20" t="s">
        <v>5044</v>
      </c>
      <c r="Z1294" s="20">
        <v>1</v>
      </c>
      <c r="AA1294" s="20" t="s">
        <v>5045</v>
      </c>
      <c r="AB1294" s="20" t="s">
        <v>279</v>
      </c>
      <c r="AC1294" s="20" t="s">
        <v>280</v>
      </c>
      <c r="AD1294" s="20" t="s">
        <v>5046</v>
      </c>
      <c r="AE1294" s="20" t="s">
        <v>400</v>
      </c>
      <c r="AF1294" s="20">
        <v>1</v>
      </c>
      <c r="AG1294" s="20">
        <v>0</v>
      </c>
      <c r="AH1294" s="20">
        <v>1</v>
      </c>
      <c r="AI1294" s="4" t="s">
        <v>647</v>
      </c>
      <c r="AJ1294" s="20">
        <v>23</v>
      </c>
      <c r="AK1294" s="4" t="s">
        <v>641</v>
      </c>
      <c r="AL1294" s="4">
        <v>8</v>
      </c>
      <c r="AM1294" s="4" t="s">
        <v>180</v>
      </c>
      <c r="AN1294" s="4" t="s">
        <v>95</v>
      </c>
      <c r="AO1294" s="4" t="s">
        <v>96</v>
      </c>
      <c r="AP1294" s="4">
        <v>1</v>
      </c>
      <c r="AQ1294" s="20">
        <v>59000</v>
      </c>
      <c r="AR1294" s="4">
        <v>41935</v>
      </c>
      <c r="AS1294" s="20">
        <v>10727.272727272726</v>
      </c>
      <c r="AT1294" s="20">
        <v>0</v>
      </c>
      <c r="AU1294" s="20">
        <v>-10727.272727272726</v>
      </c>
      <c r="AV1294" s="20">
        <v>0</v>
      </c>
      <c r="AW1294" s="20">
        <v>0</v>
      </c>
      <c r="AX1294" s="20" t="s">
        <v>91</v>
      </c>
      <c r="AY1294" s="20">
        <v>0</v>
      </c>
      <c r="AZ1294" s="20">
        <v>0</v>
      </c>
      <c r="BA1294" s="20">
        <v>0</v>
      </c>
      <c r="BB1294" s="6">
        <v>41935</v>
      </c>
      <c r="BC1294" s="6">
        <v>0</v>
      </c>
      <c r="BD1294" s="6">
        <v>41942</v>
      </c>
      <c r="BE1294" s="6">
        <v>0</v>
      </c>
      <c r="BF1294" s="6">
        <v>41939</v>
      </c>
      <c r="BG1294" s="6">
        <v>0</v>
      </c>
      <c r="BH1294" s="6">
        <v>0</v>
      </c>
      <c r="BI1294" s="6">
        <v>0</v>
      </c>
      <c r="BJ1294" s="6">
        <v>0</v>
      </c>
      <c r="BK1294" s="4">
        <v>0</v>
      </c>
      <c r="BL1294" s="4">
        <v>0</v>
      </c>
      <c r="BM1294" s="20">
        <v>21</v>
      </c>
      <c r="BN1294" s="20">
        <v>0</v>
      </c>
      <c r="BO1294" s="20">
        <v>0</v>
      </c>
      <c r="BP1294" s="20">
        <v>0</v>
      </c>
      <c r="BQ1294" s="20">
        <v>0</v>
      </c>
      <c r="BR1294" s="20">
        <v>0</v>
      </c>
      <c r="BS1294" s="20">
        <v>23</v>
      </c>
      <c r="BT1294" s="20">
        <v>246727.27272727271</v>
      </c>
      <c r="BU1294" s="20">
        <v>1357000</v>
      </c>
      <c r="BV1294" s="20">
        <v>5</v>
      </c>
    </row>
    <row r="1295" spans="1:74">
      <c r="A1295" s="10">
        <f t="shared" si="82"/>
        <v>0</v>
      </c>
      <c r="B1295" s="10">
        <f t="shared" si="83"/>
        <v>0</v>
      </c>
      <c r="C1295" s="12" t="str">
        <f t="shared" si="84"/>
        <v/>
      </c>
      <c r="D1295" s="12" t="str">
        <f t="shared" si="85"/>
        <v/>
      </c>
      <c r="E1295" s="20" t="s">
        <v>91</v>
      </c>
      <c r="F1295" s="20" t="s">
        <v>91</v>
      </c>
      <c r="G1295" s="20" t="s">
        <v>91</v>
      </c>
      <c r="H1295" s="20" t="s">
        <v>91</v>
      </c>
      <c r="I1295" s="20">
        <v>0</v>
      </c>
      <c r="J1295" s="20" t="s">
        <v>103</v>
      </c>
      <c r="K1295" s="20" t="s">
        <v>104</v>
      </c>
      <c r="L1295" s="20">
        <v>0</v>
      </c>
      <c r="M1295" s="20" t="s">
        <v>105</v>
      </c>
      <c r="N1295" s="20" t="s">
        <v>91</v>
      </c>
      <c r="O1295" s="20" t="s">
        <v>5047</v>
      </c>
      <c r="Q1295" s="20" t="s">
        <v>91</v>
      </c>
      <c r="R1295" s="20" t="s">
        <v>91</v>
      </c>
      <c r="S1295" s="20" t="s">
        <v>91</v>
      </c>
      <c r="U1295" s="20" t="s">
        <v>91</v>
      </c>
      <c r="V1295" s="20" t="s">
        <v>87</v>
      </c>
      <c r="X1295" s="20" t="s">
        <v>91</v>
      </c>
      <c r="Y1295" s="20" t="s">
        <v>91</v>
      </c>
      <c r="Z1295" s="20">
        <v>4.6666666666666661</v>
      </c>
      <c r="AB1295" s="20" t="s">
        <v>91</v>
      </c>
      <c r="AD1295" s="20" t="s">
        <v>91</v>
      </c>
      <c r="AE1295" s="20" t="s">
        <v>91</v>
      </c>
      <c r="AF1295" s="20">
        <v>4.6666666666666661</v>
      </c>
      <c r="AG1295" s="20">
        <v>0</v>
      </c>
      <c r="AH1295" s="20">
        <v>1</v>
      </c>
      <c r="AM1295" s="4" t="s">
        <v>91</v>
      </c>
      <c r="AP1295" s="4" t="s">
        <v>91</v>
      </c>
      <c r="AQ1295" s="20">
        <v>0</v>
      </c>
      <c r="AR1295" s="4">
        <v>0</v>
      </c>
      <c r="AS1295" s="20">
        <v>0</v>
      </c>
      <c r="AT1295" s="20">
        <v>0</v>
      </c>
      <c r="AU1295" s="20">
        <v>0</v>
      </c>
      <c r="AV1295" s="20">
        <v>0</v>
      </c>
      <c r="AW1295" s="20">
        <v>0</v>
      </c>
      <c r="AX1295" s="20" t="s">
        <v>91</v>
      </c>
      <c r="AY1295" s="20">
        <v>0</v>
      </c>
      <c r="AZ1295" s="20">
        <v>0</v>
      </c>
      <c r="BA1295" s="20">
        <v>0</v>
      </c>
      <c r="BB1295" s="6">
        <v>0</v>
      </c>
      <c r="BC1295" s="6">
        <v>0</v>
      </c>
      <c r="BD1295" s="6">
        <v>0</v>
      </c>
      <c r="BE1295" s="6">
        <v>0</v>
      </c>
      <c r="BF1295" s="6">
        <v>0</v>
      </c>
      <c r="BG1295" s="6">
        <v>0</v>
      </c>
      <c r="BH1295" s="6">
        <v>0</v>
      </c>
      <c r="BI1295" s="6">
        <v>0</v>
      </c>
      <c r="BJ1295" s="6">
        <v>0</v>
      </c>
      <c r="BK1295" s="4">
        <v>0</v>
      </c>
      <c r="BL1295" s="4">
        <v>0</v>
      </c>
      <c r="BM1295" s="20">
        <v>332</v>
      </c>
      <c r="BN1295" s="20">
        <v>0</v>
      </c>
      <c r="BO1295" s="20">
        <v>0</v>
      </c>
      <c r="BP1295" s="20">
        <v>0</v>
      </c>
      <c r="BQ1295" s="20">
        <v>0</v>
      </c>
      <c r="BR1295" s="20">
        <v>0</v>
      </c>
      <c r="BS1295" s="20">
        <v>348</v>
      </c>
      <c r="BT1295" s="20">
        <v>4914909.0909090899</v>
      </c>
      <c r="BU1295" s="20">
        <v>27032000</v>
      </c>
      <c r="BV1295" s="20">
        <v>5.0000000000000009</v>
      </c>
    </row>
    <row r="1296" spans="1:74">
      <c r="A1296" s="10">
        <f t="shared" si="82"/>
        <v>0</v>
      </c>
      <c r="B1296" s="10">
        <f t="shared" si="83"/>
        <v>0</v>
      </c>
      <c r="C1296" s="12">
        <f t="shared" si="84"/>
        <v>10</v>
      </c>
      <c r="D1296" s="12">
        <f t="shared" si="85"/>
        <v>10</v>
      </c>
      <c r="E1296" s="20" t="s">
        <v>574</v>
      </c>
      <c r="F1296" s="20" t="s">
        <v>3089</v>
      </c>
      <c r="G1296" s="20" t="s">
        <v>5048</v>
      </c>
      <c r="H1296" s="20" t="s">
        <v>5049</v>
      </c>
      <c r="I1296" s="20">
        <v>1</v>
      </c>
      <c r="J1296" s="20" t="s">
        <v>5050</v>
      </c>
      <c r="K1296" s="20" t="s">
        <v>5051</v>
      </c>
      <c r="L1296" s="20" t="s">
        <v>5052</v>
      </c>
      <c r="M1296" s="20" t="s">
        <v>2667</v>
      </c>
      <c r="N1296" s="20" t="s">
        <v>4989</v>
      </c>
      <c r="P1296" s="20" t="s">
        <v>2667</v>
      </c>
      <c r="Q1296" s="20" t="s">
        <v>2674</v>
      </c>
      <c r="R1296" s="20" t="s">
        <v>84</v>
      </c>
      <c r="S1296" s="20">
        <v>5</v>
      </c>
      <c r="T1296" s="20" t="s">
        <v>922</v>
      </c>
      <c r="U1296" s="20" t="s">
        <v>923</v>
      </c>
      <c r="V1296" s="20" t="s">
        <v>87</v>
      </c>
      <c r="W1296" s="20">
        <v>628</v>
      </c>
      <c r="X1296" s="20">
        <v>628</v>
      </c>
      <c r="Y1296" s="20" t="s">
        <v>5053</v>
      </c>
      <c r="Z1296" s="20">
        <v>0.5</v>
      </c>
      <c r="AA1296" s="20" t="s">
        <v>5054</v>
      </c>
      <c r="AB1296" s="20" t="s">
        <v>159</v>
      </c>
      <c r="AC1296" s="20" t="s">
        <v>160</v>
      </c>
      <c r="AD1296" s="20" t="s">
        <v>5055</v>
      </c>
      <c r="AE1296" s="20" t="s">
        <v>400</v>
      </c>
      <c r="AF1296" s="20">
        <v>0.5</v>
      </c>
      <c r="AG1296" s="20">
        <v>0</v>
      </c>
      <c r="AH1296" s="20">
        <v>1</v>
      </c>
      <c r="AI1296" s="4" t="s">
        <v>645</v>
      </c>
      <c r="AJ1296" s="20">
        <v>100</v>
      </c>
      <c r="AK1296" s="4" t="s">
        <v>5056</v>
      </c>
      <c r="AL1296" s="4">
        <v>1</v>
      </c>
      <c r="AM1296" s="4" t="s">
        <v>130</v>
      </c>
      <c r="AN1296" s="4" t="s">
        <v>95</v>
      </c>
      <c r="AO1296" s="4" t="s">
        <v>131</v>
      </c>
      <c r="AP1296" s="4">
        <v>2</v>
      </c>
      <c r="AQ1296" s="20">
        <v>89000</v>
      </c>
      <c r="AR1296" s="4">
        <v>41935</v>
      </c>
      <c r="AS1296" s="20">
        <v>22474.74747474747</v>
      </c>
      <c r="AT1296" s="20">
        <v>0</v>
      </c>
      <c r="AU1296" s="20">
        <v>-22474.74747474747</v>
      </c>
      <c r="AV1296" s="20">
        <v>0</v>
      </c>
      <c r="AW1296" s="20">
        <v>0</v>
      </c>
      <c r="AX1296" s="20" t="s">
        <v>91</v>
      </c>
      <c r="AY1296" s="20">
        <v>0</v>
      </c>
      <c r="AZ1296" s="20">
        <v>0</v>
      </c>
      <c r="BA1296" s="20">
        <v>0</v>
      </c>
      <c r="BB1296" s="6">
        <v>41935</v>
      </c>
      <c r="BC1296" s="6">
        <v>0</v>
      </c>
      <c r="BD1296" s="6">
        <v>41942</v>
      </c>
      <c r="BE1296" s="6">
        <v>0</v>
      </c>
      <c r="BF1296" s="6">
        <v>41939</v>
      </c>
      <c r="BG1296" s="6">
        <v>0</v>
      </c>
      <c r="BH1296" s="6">
        <v>0</v>
      </c>
      <c r="BI1296" s="6">
        <v>0</v>
      </c>
      <c r="BJ1296" s="6">
        <v>0</v>
      </c>
      <c r="BK1296" s="4">
        <v>0</v>
      </c>
      <c r="BL1296" s="4">
        <v>0</v>
      </c>
      <c r="BM1296" s="20">
        <v>100</v>
      </c>
      <c r="BN1296" s="20">
        <v>0</v>
      </c>
      <c r="BO1296" s="20">
        <v>0</v>
      </c>
      <c r="BP1296" s="20">
        <v>0</v>
      </c>
      <c r="BQ1296" s="20">
        <v>0</v>
      </c>
      <c r="BR1296" s="20">
        <v>0</v>
      </c>
      <c r="BS1296" s="20">
        <v>100</v>
      </c>
      <c r="BT1296" s="20">
        <v>2247474.7474747468</v>
      </c>
      <c r="BU1296" s="20">
        <v>8900000</v>
      </c>
      <c r="BV1296" s="20">
        <v>3.600000000000001</v>
      </c>
    </row>
    <row r="1297" spans="1:74">
      <c r="A1297" s="10">
        <f t="shared" si="82"/>
        <v>0</v>
      </c>
      <c r="B1297" s="10">
        <f t="shared" si="83"/>
        <v>0</v>
      </c>
      <c r="C1297" s="12">
        <f t="shared" si="84"/>
        <v>10</v>
      </c>
      <c r="D1297" s="12">
        <f t="shared" si="85"/>
        <v>10</v>
      </c>
      <c r="E1297" s="20" t="s">
        <v>574</v>
      </c>
      <c r="F1297" s="20" t="s">
        <v>3089</v>
      </c>
      <c r="G1297" s="20" t="s">
        <v>5048</v>
      </c>
      <c r="H1297" s="20" t="s">
        <v>5049</v>
      </c>
      <c r="I1297" s="20">
        <v>1</v>
      </c>
      <c r="J1297" s="20" t="s">
        <v>5050</v>
      </c>
      <c r="K1297" s="20" t="s">
        <v>5057</v>
      </c>
      <c r="L1297" s="20" t="s">
        <v>5052</v>
      </c>
      <c r="M1297" s="20" t="s">
        <v>2667</v>
      </c>
      <c r="N1297" s="20" t="s">
        <v>4989</v>
      </c>
      <c r="P1297" s="20" t="s">
        <v>2667</v>
      </c>
      <c r="Q1297" s="20" t="s">
        <v>2674</v>
      </c>
      <c r="R1297" s="20" t="s">
        <v>84</v>
      </c>
      <c r="S1297" s="20">
        <v>5</v>
      </c>
      <c r="T1297" s="20" t="s">
        <v>922</v>
      </c>
      <c r="U1297" s="20" t="s">
        <v>923</v>
      </c>
      <c r="V1297" s="20" t="s">
        <v>87</v>
      </c>
      <c r="W1297" s="20">
        <v>628</v>
      </c>
      <c r="X1297" s="20">
        <v>628</v>
      </c>
      <c r="Y1297" s="20" t="s">
        <v>5053</v>
      </c>
      <c r="Z1297" s="20">
        <v>0.5</v>
      </c>
      <c r="AA1297" s="20" t="s">
        <v>5058</v>
      </c>
      <c r="AB1297" s="20" t="s">
        <v>159</v>
      </c>
      <c r="AC1297" s="20" t="s">
        <v>160</v>
      </c>
      <c r="AD1297" s="20" t="s">
        <v>5055</v>
      </c>
      <c r="AE1297" s="20" t="s">
        <v>400</v>
      </c>
      <c r="AF1297" s="20">
        <v>0.5</v>
      </c>
      <c r="AG1297" s="20">
        <v>0</v>
      </c>
      <c r="AH1297" s="20">
        <v>1</v>
      </c>
      <c r="AI1297" s="4" t="s">
        <v>647</v>
      </c>
      <c r="AJ1297" s="20">
        <v>100</v>
      </c>
      <c r="AK1297" s="4" t="s">
        <v>5056</v>
      </c>
      <c r="AL1297" s="4">
        <v>1</v>
      </c>
      <c r="AM1297" s="4" t="s">
        <v>130</v>
      </c>
      <c r="AN1297" s="4" t="s">
        <v>95</v>
      </c>
      <c r="AO1297" s="4" t="s">
        <v>131</v>
      </c>
      <c r="AP1297" s="4">
        <v>2</v>
      </c>
      <c r="AQ1297" s="20">
        <v>89000</v>
      </c>
      <c r="AR1297" s="4">
        <v>41935</v>
      </c>
      <c r="AS1297" s="20">
        <v>22474.74747474747</v>
      </c>
      <c r="AT1297" s="20">
        <v>0</v>
      </c>
      <c r="AU1297" s="20">
        <v>-22474.74747474747</v>
      </c>
      <c r="AV1297" s="20">
        <v>0</v>
      </c>
      <c r="AW1297" s="20">
        <v>0</v>
      </c>
      <c r="AX1297" s="20" t="s">
        <v>91</v>
      </c>
      <c r="AY1297" s="20">
        <v>0</v>
      </c>
      <c r="AZ1297" s="20">
        <v>0</v>
      </c>
      <c r="BA1297" s="20">
        <v>0</v>
      </c>
      <c r="BB1297" s="6">
        <v>41935</v>
      </c>
      <c r="BC1297" s="6">
        <v>0</v>
      </c>
      <c r="BD1297" s="6">
        <v>41942</v>
      </c>
      <c r="BE1297" s="6">
        <v>0</v>
      </c>
      <c r="BF1297" s="6">
        <v>41939</v>
      </c>
      <c r="BG1297" s="6">
        <v>0</v>
      </c>
      <c r="BH1297" s="6">
        <v>0</v>
      </c>
      <c r="BI1297" s="6">
        <v>0</v>
      </c>
      <c r="BJ1297" s="6">
        <v>0</v>
      </c>
      <c r="BK1297" s="4">
        <v>0</v>
      </c>
      <c r="BL1297" s="4">
        <v>0</v>
      </c>
      <c r="BM1297" s="20">
        <v>100</v>
      </c>
      <c r="BN1297" s="20">
        <v>0</v>
      </c>
      <c r="BO1297" s="20">
        <v>0</v>
      </c>
      <c r="BP1297" s="20">
        <v>0</v>
      </c>
      <c r="BQ1297" s="20">
        <v>0</v>
      </c>
      <c r="BR1297" s="20">
        <v>0</v>
      </c>
      <c r="BS1297" s="20">
        <v>100</v>
      </c>
      <c r="BT1297" s="20">
        <v>2247474.7474747468</v>
      </c>
      <c r="BU1297" s="20">
        <v>8900000</v>
      </c>
      <c r="BV1297" s="20">
        <v>3.600000000000001</v>
      </c>
    </row>
    <row r="1298" spans="1:74">
      <c r="A1298" s="10">
        <f t="shared" si="82"/>
        <v>0</v>
      </c>
      <c r="B1298" s="10">
        <f t="shared" si="83"/>
        <v>0</v>
      </c>
      <c r="C1298" s="12">
        <f t="shared" si="84"/>
        <v>10</v>
      </c>
      <c r="D1298" s="12">
        <f t="shared" si="85"/>
        <v>10</v>
      </c>
      <c r="E1298" s="20" t="s">
        <v>574</v>
      </c>
      <c r="F1298" s="20" t="s">
        <v>3089</v>
      </c>
      <c r="G1298" s="20" t="s">
        <v>5048</v>
      </c>
      <c r="H1298" s="20" t="s">
        <v>5059</v>
      </c>
      <c r="I1298" s="20">
        <v>2</v>
      </c>
      <c r="J1298" s="20" t="s">
        <v>5060</v>
      </c>
      <c r="K1298" s="20" t="s">
        <v>5061</v>
      </c>
      <c r="L1298" s="20" t="s">
        <v>5062</v>
      </c>
      <c r="M1298" s="20" t="s">
        <v>2667</v>
      </c>
      <c r="N1298" s="20" t="s">
        <v>4989</v>
      </c>
      <c r="P1298" s="20" t="s">
        <v>2667</v>
      </c>
      <c r="Q1298" s="20" t="s">
        <v>2674</v>
      </c>
      <c r="R1298" s="20" t="s">
        <v>84</v>
      </c>
      <c r="S1298" s="20">
        <v>5</v>
      </c>
      <c r="T1298" s="20" t="s">
        <v>922</v>
      </c>
      <c r="U1298" s="20" t="s">
        <v>923</v>
      </c>
      <c r="V1298" s="20" t="s">
        <v>87</v>
      </c>
      <c r="W1298" s="20">
        <v>629</v>
      </c>
      <c r="X1298" s="20">
        <v>629</v>
      </c>
      <c r="Y1298" s="20" t="s">
        <v>5063</v>
      </c>
      <c r="Z1298" s="20">
        <v>0.33333333333333331</v>
      </c>
      <c r="AA1298" s="20" t="s">
        <v>5064</v>
      </c>
      <c r="AB1298" s="20" t="s">
        <v>101</v>
      </c>
      <c r="AC1298" s="20" t="s">
        <v>102</v>
      </c>
      <c r="AD1298" s="20" t="s">
        <v>5065</v>
      </c>
      <c r="AE1298" s="20" t="s">
        <v>400</v>
      </c>
      <c r="AF1298" s="20">
        <v>0.33333333333333331</v>
      </c>
      <c r="AG1298" s="20">
        <v>0</v>
      </c>
      <c r="AH1298" s="20">
        <v>1</v>
      </c>
      <c r="AI1298" s="4" t="s">
        <v>645</v>
      </c>
      <c r="AJ1298" s="20">
        <v>119</v>
      </c>
      <c r="AK1298" s="4" t="s">
        <v>5056</v>
      </c>
      <c r="AL1298" s="4">
        <v>1</v>
      </c>
      <c r="AM1298" s="4" t="s">
        <v>130</v>
      </c>
      <c r="AN1298" s="4" t="s">
        <v>95</v>
      </c>
      <c r="AO1298" s="4" t="s">
        <v>131</v>
      </c>
      <c r="AP1298" s="4">
        <v>2</v>
      </c>
      <c r="AQ1298" s="20">
        <v>89000</v>
      </c>
      <c r="AR1298" s="4">
        <v>41935</v>
      </c>
      <c r="AS1298" s="20">
        <v>22474.74747474747</v>
      </c>
      <c r="AT1298" s="20">
        <v>0</v>
      </c>
      <c r="AU1298" s="20">
        <v>-22474.74747474747</v>
      </c>
      <c r="AV1298" s="20">
        <v>0</v>
      </c>
      <c r="AW1298" s="20">
        <v>0</v>
      </c>
      <c r="AX1298" s="20" t="s">
        <v>91</v>
      </c>
      <c r="AY1298" s="20">
        <v>0</v>
      </c>
      <c r="AZ1298" s="20">
        <v>0</v>
      </c>
      <c r="BA1298" s="20">
        <v>0</v>
      </c>
      <c r="BB1298" s="6">
        <v>41935</v>
      </c>
      <c r="BC1298" s="6">
        <v>0</v>
      </c>
      <c r="BD1298" s="6">
        <v>41942</v>
      </c>
      <c r="BE1298" s="6">
        <v>0</v>
      </c>
      <c r="BF1298" s="6">
        <v>41939</v>
      </c>
      <c r="BG1298" s="6">
        <v>0</v>
      </c>
      <c r="BH1298" s="6">
        <v>0</v>
      </c>
      <c r="BI1298" s="6">
        <v>0</v>
      </c>
      <c r="BJ1298" s="6">
        <v>0</v>
      </c>
      <c r="BK1298" s="4">
        <v>0</v>
      </c>
      <c r="BL1298" s="4">
        <v>0</v>
      </c>
      <c r="BM1298" s="20">
        <v>119</v>
      </c>
      <c r="BN1298" s="20">
        <v>0</v>
      </c>
      <c r="BO1298" s="20">
        <v>0</v>
      </c>
      <c r="BP1298" s="20">
        <v>0</v>
      </c>
      <c r="BQ1298" s="20">
        <v>0</v>
      </c>
      <c r="BR1298" s="20">
        <v>0</v>
      </c>
      <c r="BS1298" s="20">
        <v>119</v>
      </c>
      <c r="BT1298" s="20">
        <v>2674494.9494949491</v>
      </c>
      <c r="BU1298" s="20">
        <v>10591000</v>
      </c>
      <c r="BV1298" s="20">
        <v>3.6000000000000005</v>
      </c>
    </row>
    <row r="1299" spans="1:74">
      <c r="A1299" s="10">
        <f t="shared" si="82"/>
        <v>0</v>
      </c>
      <c r="B1299" s="10">
        <f t="shared" si="83"/>
        <v>0</v>
      </c>
      <c r="C1299" s="12" t="str">
        <f t="shared" si="84"/>
        <v/>
      </c>
      <c r="D1299" s="12" t="str">
        <f t="shared" si="85"/>
        <v/>
      </c>
      <c r="E1299" s="20" t="s">
        <v>91</v>
      </c>
      <c r="F1299" s="20" t="s">
        <v>91</v>
      </c>
      <c r="G1299" s="20" t="s">
        <v>91</v>
      </c>
      <c r="H1299" s="20" t="s">
        <v>91</v>
      </c>
      <c r="I1299" s="20">
        <v>0</v>
      </c>
      <c r="J1299" s="20" t="s">
        <v>103</v>
      </c>
      <c r="K1299" s="20" t="s">
        <v>104</v>
      </c>
      <c r="L1299" s="20">
        <v>0</v>
      </c>
      <c r="M1299" s="20" t="s">
        <v>105</v>
      </c>
      <c r="N1299" s="20" t="s">
        <v>91</v>
      </c>
      <c r="O1299" s="20" t="s">
        <v>5066</v>
      </c>
      <c r="Q1299" s="20" t="s">
        <v>91</v>
      </c>
      <c r="R1299" s="20" t="s">
        <v>91</v>
      </c>
      <c r="S1299" s="20" t="s">
        <v>91</v>
      </c>
      <c r="U1299" s="20" t="s">
        <v>91</v>
      </c>
      <c r="V1299" s="20" t="s">
        <v>87</v>
      </c>
      <c r="X1299" s="20" t="s">
        <v>91</v>
      </c>
      <c r="Y1299" s="20" t="s">
        <v>91</v>
      </c>
      <c r="Z1299" s="20">
        <v>1.3333333333333333</v>
      </c>
      <c r="AB1299" s="20" t="s">
        <v>91</v>
      </c>
      <c r="AD1299" s="20" t="s">
        <v>91</v>
      </c>
      <c r="AE1299" s="20" t="s">
        <v>91</v>
      </c>
      <c r="AF1299" s="20">
        <v>1.3333333333333333</v>
      </c>
      <c r="AG1299" s="20">
        <v>0</v>
      </c>
      <c r="AH1299" s="20">
        <v>1</v>
      </c>
      <c r="AM1299" s="4" t="s">
        <v>91</v>
      </c>
      <c r="AP1299" s="4" t="s">
        <v>91</v>
      </c>
      <c r="AQ1299" s="20">
        <v>0</v>
      </c>
      <c r="AR1299" s="4">
        <v>0</v>
      </c>
      <c r="AS1299" s="20">
        <v>0</v>
      </c>
      <c r="AT1299" s="20">
        <v>0</v>
      </c>
      <c r="AU1299" s="20">
        <v>0</v>
      </c>
      <c r="AV1299" s="20">
        <v>0</v>
      </c>
      <c r="AW1299" s="20">
        <v>0</v>
      </c>
      <c r="AX1299" s="20" t="s">
        <v>91</v>
      </c>
      <c r="AY1299" s="20">
        <v>0</v>
      </c>
      <c r="AZ1299" s="20">
        <v>0</v>
      </c>
      <c r="BA1299" s="20">
        <v>0</v>
      </c>
      <c r="BB1299" s="6">
        <v>0</v>
      </c>
      <c r="BC1299" s="6">
        <v>0</v>
      </c>
      <c r="BD1299" s="6">
        <v>0</v>
      </c>
      <c r="BE1299" s="6">
        <v>0</v>
      </c>
      <c r="BF1299" s="6">
        <v>0</v>
      </c>
      <c r="BG1299" s="6">
        <v>0</v>
      </c>
      <c r="BH1299" s="6">
        <v>0</v>
      </c>
      <c r="BI1299" s="6">
        <v>0</v>
      </c>
      <c r="BJ1299" s="6">
        <v>0</v>
      </c>
      <c r="BK1299" s="4">
        <v>0</v>
      </c>
      <c r="BL1299" s="4">
        <v>0</v>
      </c>
      <c r="BM1299" s="20">
        <v>319</v>
      </c>
      <c r="BN1299" s="20">
        <v>0</v>
      </c>
      <c r="BO1299" s="20">
        <v>0</v>
      </c>
      <c r="BP1299" s="20">
        <v>0</v>
      </c>
      <c r="BQ1299" s="20">
        <v>0</v>
      </c>
      <c r="BR1299" s="20">
        <v>0</v>
      </c>
      <c r="BS1299" s="20">
        <v>319</v>
      </c>
      <c r="BT1299" s="20">
        <v>7169444.4444444422</v>
      </c>
      <c r="BU1299" s="20">
        <v>28391000</v>
      </c>
      <c r="BV1299" s="20">
        <v>3.600000000000001</v>
      </c>
    </row>
    <row r="1300" spans="1:74">
      <c r="A1300" s="10">
        <f t="shared" si="82"/>
        <v>0</v>
      </c>
      <c r="B1300" s="10">
        <f t="shared" si="83"/>
        <v>0</v>
      </c>
      <c r="C1300" s="12">
        <f t="shared" si="84"/>
        <v>10</v>
      </c>
      <c r="D1300" s="12">
        <f t="shared" si="85"/>
        <v>10</v>
      </c>
      <c r="E1300" s="20" t="s">
        <v>114</v>
      </c>
      <c r="F1300" s="20" t="s">
        <v>2667</v>
      </c>
      <c r="G1300" s="20" t="s">
        <v>5067</v>
      </c>
      <c r="H1300" s="20" t="s">
        <v>5068</v>
      </c>
      <c r="I1300" s="20">
        <v>1</v>
      </c>
      <c r="J1300" s="20" t="s">
        <v>5069</v>
      </c>
      <c r="K1300" s="20" t="s">
        <v>5070</v>
      </c>
      <c r="L1300" s="20" t="s">
        <v>4383</v>
      </c>
      <c r="M1300" s="20" t="s">
        <v>2667</v>
      </c>
      <c r="N1300" s="20" t="s">
        <v>4384</v>
      </c>
      <c r="P1300" s="20" t="s">
        <v>2667</v>
      </c>
      <c r="Q1300" s="20" t="s">
        <v>2674</v>
      </c>
      <c r="R1300" s="20" t="s">
        <v>84</v>
      </c>
      <c r="S1300" s="20">
        <v>5</v>
      </c>
      <c r="T1300" s="20" t="s">
        <v>480</v>
      </c>
      <c r="U1300" s="20" t="s">
        <v>481</v>
      </c>
      <c r="V1300" s="20" t="s">
        <v>87</v>
      </c>
      <c r="W1300" s="20">
        <v>608</v>
      </c>
      <c r="X1300" s="20">
        <v>608</v>
      </c>
      <c r="Y1300" s="20" t="s">
        <v>4385</v>
      </c>
      <c r="Z1300" s="20">
        <v>0</v>
      </c>
      <c r="AA1300" s="20" t="s">
        <v>4386</v>
      </c>
      <c r="AB1300" s="20" t="s">
        <v>656</v>
      </c>
      <c r="AC1300" s="20" t="s">
        <v>657</v>
      </c>
      <c r="AD1300" s="20" t="s">
        <v>4387</v>
      </c>
      <c r="AE1300" s="20" t="s">
        <v>5071</v>
      </c>
      <c r="AF1300" s="20">
        <v>0</v>
      </c>
      <c r="AG1300" s="20">
        <v>0</v>
      </c>
      <c r="AH1300" s="20">
        <v>1</v>
      </c>
      <c r="AI1300" s="4" t="s">
        <v>251</v>
      </c>
      <c r="AJ1300" s="20">
        <v>197</v>
      </c>
      <c r="AK1300" s="4" t="s">
        <v>179</v>
      </c>
      <c r="AL1300" s="4">
        <v>33</v>
      </c>
      <c r="AM1300" s="4">
        <v>33</v>
      </c>
      <c r="AN1300" s="4" t="s">
        <v>95</v>
      </c>
      <c r="AO1300" s="4" t="s">
        <v>96</v>
      </c>
      <c r="AP1300" s="4">
        <v>1</v>
      </c>
      <c r="AQ1300" s="20">
        <v>49000</v>
      </c>
      <c r="AR1300" s="4">
        <v>41935</v>
      </c>
      <c r="AS1300" s="20">
        <v>7424.242424242424</v>
      </c>
      <c r="AT1300" s="20">
        <v>0</v>
      </c>
      <c r="AU1300" s="20">
        <v>-7424.242424242424</v>
      </c>
      <c r="AV1300" s="20">
        <v>0</v>
      </c>
      <c r="AW1300" s="20">
        <v>0</v>
      </c>
      <c r="AX1300" s="20" t="s">
        <v>91</v>
      </c>
      <c r="AY1300" s="20">
        <v>0</v>
      </c>
      <c r="AZ1300" s="20">
        <v>0</v>
      </c>
      <c r="BA1300" s="20">
        <v>0</v>
      </c>
      <c r="BB1300" s="6">
        <v>41935</v>
      </c>
      <c r="BC1300" s="6">
        <v>0</v>
      </c>
      <c r="BD1300" s="6">
        <v>41942</v>
      </c>
      <c r="BE1300" s="6">
        <v>0</v>
      </c>
      <c r="BF1300" s="6">
        <v>41939</v>
      </c>
      <c r="BG1300" s="6">
        <v>0</v>
      </c>
      <c r="BH1300" s="6">
        <v>0</v>
      </c>
      <c r="BI1300" s="6">
        <v>0</v>
      </c>
      <c r="BJ1300" s="6">
        <v>0</v>
      </c>
      <c r="BK1300" s="4">
        <v>0</v>
      </c>
      <c r="BL1300" s="4">
        <v>0</v>
      </c>
      <c r="BM1300" s="20">
        <v>196</v>
      </c>
      <c r="BN1300" s="20">
        <v>0</v>
      </c>
      <c r="BO1300" s="20">
        <v>0</v>
      </c>
      <c r="BP1300" s="20">
        <v>0</v>
      </c>
      <c r="BQ1300" s="20">
        <v>0</v>
      </c>
      <c r="BR1300" s="20">
        <v>0</v>
      </c>
      <c r="BS1300" s="20">
        <v>197</v>
      </c>
      <c r="BT1300" s="20">
        <v>1462575.7575757576</v>
      </c>
      <c r="BU1300" s="20">
        <v>9653000</v>
      </c>
      <c r="BV1300" s="20">
        <v>5.9999999999999991</v>
      </c>
    </row>
    <row r="1301" spans="1:74">
      <c r="A1301" s="10">
        <f t="shared" si="82"/>
        <v>0</v>
      </c>
      <c r="B1301" s="10">
        <f t="shared" si="83"/>
        <v>0</v>
      </c>
      <c r="C1301" s="12">
        <f t="shared" si="84"/>
        <v>10</v>
      </c>
      <c r="D1301" s="12">
        <f t="shared" si="85"/>
        <v>10</v>
      </c>
      <c r="E1301" s="20" t="s">
        <v>114</v>
      </c>
      <c r="F1301" s="20" t="s">
        <v>2667</v>
      </c>
      <c r="G1301" s="20" t="s">
        <v>5067</v>
      </c>
      <c r="H1301" s="20" t="s">
        <v>5072</v>
      </c>
      <c r="I1301" s="20">
        <v>2</v>
      </c>
      <c r="J1301" s="20" t="s">
        <v>5073</v>
      </c>
      <c r="K1301" s="20" t="s">
        <v>5074</v>
      </c>
      <c r="L1301" s="20" t="s">
        <v>4391</v>
      </c>
      <c r="M1301" s="20" t="s">
        <v>2667</v>
      </c>
      <c r="N1301" s="20" t="s">
        <v>4384</v>
      </c>
      <c r="P1301" s="20" t="s">
        <v>2667</v>
      </c>
      <c r="Q1301" s="20" t="s">
        <v>2674</v>
      </c>
      <c r="R1301" s="20" t="s">
        <v>84</v>
      </c>
      <c r="S1301" s="20">
        <v>5</v>
      </c>
      <c r="T1301" s="20" t="s">
        <v>480</v>
      </c>
      <c r="U1301" s="20" t="s">
        <v>481</v>
      </c>
      <c r="V1301" s="20" t="s">
        <v>87</v>
      </c>
      <c r="W1301" s="20">
        <v>648</v>
      </c>
      <c r="X1301" s="20">
        <v>648</v>
      </c>
      <c r="Y1301" s="20" t="s">
        <v>4392</v>
      </c>
      <c r="Z1301" s="20">
        <v>0</v>
      </c>
      <c r="AA1301" s="20" t="s">
        <v>4393</v>
      </c>
      <c r="AB1301" s="20" t="s">
        <v>109</v>
      </c>
      <c r="AC1301" s="20" t="s">
        <v>110</v>
      </c>
      <c r="AD1301" s="20" t="s">
        <v>4394</v>
      </c>
      <c r="AE1301" s="20" t="s">
        <v>5071</v>
      </c>
      <c r="AF1301" s="20">
        <v>0</v>
      </c>
      <c r="AG1301" s="20">
        <v>0</v>
      </c>
      <c r="AH1301" s="20">
        <v>1</v>
      </c>
      <c r="AI1301" s="4" t="s">
        <v>251</v>
      </c>
      <c r="AJ1301" s="20">
        <v>159</v>
      </c>
      <c r="AK1301" s="4" t="s">
        <v>179</v>
      </c>
      <c r="AL1301" s="4">
        <v>33</v>
      </c>
      <c r="AM1301" s="4">
        <v>33</v>
      </c>
      <c r="AN1301" s="4" t="s">
        <v>95</v>
      </c>
      <c r="AO1301" s="4" t="s">
        <v>96</v>
      </c>
      <c r="AP1301" s="4">
        <v>1</v>
      </c>
      <c r="AQ1301" s="20">
        <v>59000</v>
      </c>
      <c r="AR1301" s="4">
        <v>41935</v>
      </c>
      <c r="AS1301" s="20">
        <v>8939.3939393939381</v>
      </c>
      <c r="AT1301" s="20">
        <v>0</v>
      </c>
      <c r="AU1301" s="20">
        <v>-8939.3939393939381</v>
      </c>
      <c r="AV1301" s="20">
        <v>0</v>
      </c>
      <c r="AW1301" s="20">
        <v>0</v>
      </c>
      <c r="AX1301" s="20" t="s">
        <v>91</v>
      </c>
      <c r="AY1301" s="20">
        <v>0</v>
      </c>
      <c r="AZ1301" s="20">
        <v>0</v>
      </c>
      <c r="BA1301" s="20">
        <v>0</v>
      </c>
      <c r="BB1301" s="6">
        <v>41935</v>
      </c>
      <c r="BC1301" s="6">
        <v>0</v>
      </c>
      <c r="BD1301" s="6">
        <v>41942</v>
      </c>
      <c r="BE1301" s="6">
        <v>0</v>
      </c>
      <c r="BF1301" s="6">
        <v>41939</v>
      </c>
      <c r="BG1301" s="6">
        <v>0</v>
      </c>
      <c r="BH1301" s="6">
        <v>0</v>
      </c>
      <c r="BI1301" s="6">
        <v>0</v>
      </c>
      <c r="BJ1301" s="6">
        <v>0</v>
      </c>
      <c r="BK1301" s="4">
        <v>0</v>
      </c>
      <c r="BL1301" s="4">
        <v>0</v>
      </c>
      <c r="BM1301" s="20">
        <v>158</v>
      </c>
      <c r="BN1301" s="20">
        <v>0</v>
      </c>
      <c r="BO1301" s="20">
        <v>0</v>
      </c>
      <c r="BP1301" s="20">
        <v>0</v>
      </c>
      <c r="BQ1301" s="20">
        <v>0</v>
      </c>
      <c r="BR1301" s="20">
        <v>0</v>
      </c>
      <c r="BS1301" s="20">
        <v>159</v>
      </c>
      <c r="BT1301" s="20">
        <v>1421363.6363636362</v>
      </c>
      <c r="BU1301" s="20">
        <v>9381000</v>
      </c>
      <c r="BV1301" s="20">
        <v>6</v>
      </c>
    </row>
    <row r="1302" spans="1:74">
      <c r="A1302" s="10">
        <f t="shared" si="82"/>
        <v>0</v>
      </c>
      <c r="B1302" s="10">
        <f t="shared" si="83"/>
        <v>0</v>
      </c>
      <c r="C1302" s="12" t="str">
        <f t="shared" si="84"/>
        <v/>
      </c>
      <c r="D1302" s="12" t="str">
        <f t="shared" si="85"/>
        <v/>
      </c>
      <c r="E1302" s="20" t="s">
        <v>91</v>
      </c>
      <c r="F1302" s="20" t="s">
        <v>91</v>
      </c>
      <c r="G1302" s="20" t="s">
        <v>91</v>
      </c>
      <c r="H1302" s="20" t="s">
        <v>91</v>
      </c>
      <c r="I1302" s="20">
        <v>0</v>
      </c>
      <c r="J1302" s="20" t="s">
        <v>103</v>
      </c>
      <c r="K1302" s="20" t="s">
        <v>104</v>
      </c>
      <c r="L1302" s="20">
        <v>0</v>
      </c>
      <c r="M1302" s="20" t="s">
        <v>105</v>
      </c>
      <c r="N1302" s="20" t="s">
        <v>91</v>
      </c>
      <c r="O1302" s="20" t="s">
        <v>5075</v>
      </c>
      <c r="Q1302" s="20" t="s">
        <v>91</v>
      </c>
      <c r="R1302" s="20" t="s">
        <v>91</v>
      </c>
      <c r="S1302" s="20" t="s">
        <v>91</v>
      </c>
      <c r="U1302" s="20" t="s">
        <v>91</v>
      </c>
      <c r="V1302" s="20" t="s">
        <v>87</v>
      </c>
      <c r="X1302" s="20" t="s">
        <v>91</v>
      </c>
      <c r="Y1302" s="20" t="s">
        <v>91</v>
      </c>
      <c r="Z1302" s="20">
        <v>0</v>
      </c>
      <c r="AB1302" s="20" t="s">
        <v>91</v>
      </c>
      <c r="AD1302" s="20" t="s">
        <v>91</v>
      </c>
      <c r="AE1302" s="20" t="s">
        <v>91</v>
      </c>
      <c r="AF1302" s="20">
        <v>0</v>
      </c>
      <c r="AG1302" s="20">
        <v>0</v>
      </c>
      <c r="AH1302" s="20">
        <v>1</v>
      </c>
      <c r="AM1302" s="4" t="s">
        <v>91</v>
      </c>
      <c r="AP1302" s="4" t="s">
        <v>91</v>
      </c>
      <c r="AQ1302" s="20">
        <v>0</v>
      </c>
      <c r="AR1302" s="4">
        <v>0</v>
      </c>
      <c r="AS1302" s="20">
        <v>0</v>
      </c>
      <c r="AT1302" s="20">
        <v>0</v>
      </c>
      <c r="AU1302" s="20">
        <v>0</v>
      </c>
      <c r="AV1302" s="20">
        <v>0</v>
      </c>
      <c r="AW1302" s="20">
        <v>0</v>
      </c>
      <c r="AX1302" s="20" t="s">
        <v>91</v>
      </c>
      <c r="AY1302" s="20">
        <v>0</v>
      </c>
      <c r="AZ1302" s="20">
        <v>0</v>
      </c>
      <c r="BA1302" s="20">
        <v>0</v>
      </c>
      <c r="BB1302" s="6">
        <v>0</v>
      </c>
      <c r="BC1302" s="6">
        <v>0</v>
      </c>
      <c r="BD1302" s="6">
        <v>0</v>
      </c>
      <c r="BE1302" s="6">
        <v>0</v>
      </c>
      <c r="BF1302" s="6">
        <v>0</v>
      </c>
      <c r="BG1302" s="6">
        <v>0</v>
      </c>
      <c r="BH1302" s="6">
        <v>0</v>
      </c>
      <c r="BI1302" s="6">
        <v>0</v>
      </c>
      <c r="BJ1302" s="6">
        <v>0</v>
      </c>
      <c r="BK1302" s="4">
        <v>0</v>
      </c>
      <c r="BL1302" s="4">
        <v>0</v>
      </c>
      <c r="BM1302" s="20">
        <v>354</v>
      </c>
      <c r="BN1302" s="20">
        <v>0</v>
      </c>
      <c r="BO1302" s="20">
        <v>0</v>
      </c>
      <c r="BP1302" s="20">
        <v>0</v>
      </c>
      <c r="BQ1302" s="20">
        <v>0</v>
      </c>
      <c r="BR1302" s="20">
        <v>0</v>
      </c>
      <c r="BS1302" s="20">
        <v>356</v>
      </c>
      <c r="BT1302" s="20">
        <v>2883939.3939393936</v>
      </c>
      <c r="BU1302" s="20">
        <v>19034000</v>
      </c>
      <c r="BV1302" s="20">
        <v>6.0000000000000009</v>
      </c>
    </row>
    <row r="1303" spans="1:74">
      <c r="A1303" s="10">
        <f t="shared" si="82"/>
        <v>0</v>
      </c>
      <c r="B1303" s="10">
        <f t="shared" si="83"/>
        <v>0</v>
      </c>
      <c r="C1303" s="12">
        <f t="shared" si="84"/>
        <v>11</v>
      </c>
      <c r="D1303" s="12">
        <f t="shared" si="85"/>
        <v>11</v>
      </c>
      <c r="E1303" s="20" t="s">
        <v>114</v>
      </c>
      <c r="F1303" s="20" t="s">
        <v>2667</v>
      </c>
      <c r="G1303" s="20" t="s">
        <v>5089</v>
      </c>
      <c r="H1303" s="20" t="s">
        <v>5090</v>
      </c>
      <c r="I1303" s="20">
        <v>1</v>
      </c>
      <c r="J1303" s="20" t="s">
        <v>5091</v>
      </c>
      <c r="K1303" s="20" t="s">
        <v>5092</v>
      </c>
      <c r="L1303" s="20" t="s">
        <v>4296</v>
      </c>
      <c r="M1303" s="20" t="s">
        <v>2667</v>
      </c>
      <c r="N1303" s="20" t="s">
        <v>4297</v>
      </c>
      <c r="P1303" s="20" t="s">
        <v>2667</v>
      </c>
      <c r="Q1303" s="20" t="s">
        <v>2674</v>
      </c>
      <c r="R1303" s="20" t="s">
        <v>84</v>
      </c>
      <c r="S1303" s="20">
        <v>5</v>
      </c>
      <c r="T1303" s="20" t="s">
        <v>244</v>
      </c>
      <c r="U1303" s="20" t="s">
        <v>245</v>
      </c>
      <c r="V1303" s="20" t="s">
        <v>87</v>
      </c>
      <c r="W1303" s="20">
        <v>802</v>
      </c>
      <c r="X1303" s="20">
        <v>802</v>
      </c>
      <c r="Y1303" s="20" t="s">
        <v>4298</v>
      </c>
      <c r="Z1303" s="20">
        <v>0</v>
      </c>
      <c r="AA1303" s="20" t="s">
        <v>4299</v>
      </c>
      <c r="AB1303" s="20" t="s">
        <v>296</v>
      </c>
      <c r="AC1303" s="20" t="s">
        <v>297</v>
      </c>
      <c r="AD1303" s="20" t="s">
        <v>4300</v>
      </c>
      <c r="AE1303" s="20" t="s">
        <v>5071</v>
      </c>
      <c r="AF1303" s="20">
        <v>0</v>
      </c>
      <c r="AG1303" s="20">
        <v>0</v>
      </c>
      <c r="AH1303" s="20">
        <v>1</v>
      </c>
      <c r="AI1303" s="4" t="s">
        <v>251</v>
      </c>
      <c r="AJ1303" s="20">
        <v>268</v>
      </c>
      <c r="AK1303" s="4" t="s">
        <v>179</v>
      </c>
      <c r="AL1303" s="4">
        <v>35</v>
      </c>
      <c r="AM1303" s="4">
        <v>35</v>
      </c>
      <c r="AN1303" s="4" t="s">
        <v>95</v>
      </c>
      <c r="AO1303" s="4" t="s">
        <v>96</v>
      </c>
      <c r="AP1303" s="4">
        <v>1</v>
      </c>
      <c r="AQ1303" s="20">
        <v>45000</v>
      </c>
      <c r="AR1303" s="4">
        <v>41918</v>
      </c>
      <c r="AS1303" s="20">
        <v>6818.1818181818171</v>
      </c>
      <c r="AT1303" s="20">
        <v>0</v>
      </c>
      <c r="AU1303" s="20">
        <v>-6818.1818181818171</v>
      </c>
      <c r="AV1303" s="20">
        <v>0</v>
      </c>
      <c r="AW1303" s="20">
        <v>0</v>
      </c>
      <c r="AX1303" s="20" t="s">
        <v>91</v>
      </c>
      <c r="AY1303" s="20">
        <v>0</v>
      </c>
      <c r="AZ1303" s="20">
        <v>0</v>
      </c>
      <c r="BA1303" s="20">
        <v>0</v>
      </c>
      <c r="BB1303" s="6">
        <v>41947</v>
      </c>
      <c r="BC1303" s="6">
        <v>0</v>
      </c>
      <c r="BD1303" s="6">
        <v>41948</v>
      </c>
      <c r="BE1303" s="6">
        <v>0</v>
      </c>
      <c r="BF1303" s="6">
        <v>41947</v>
      </c>
      <c r="BG1303" s="6">
        <v>0</v>
      </c>
      <c r="BH1303" s="6">
        <v>0</v>
      </c>
      <c r="BI1303" s="6">
        <v>0</v>
      </c>
      <c r="BJ1303" s="6">
        <v>0</v>
      </c>
      <c r="BK1303" s="4">
        <v>0</v>
      </c>
      <c r="BL1303" s="4">
        <v>0</v>
      </c>
      <c r="BM1303" s="20">
        <v>268</v>
      </c>
      <c r="BN1303" s="20">
        <v>0</v>
      </c>
      <c r="BO1303" s="20">
        <v>0</v>
      </c>
      <c r="BP1303" s="20">
        <v>0</v>
      </c>
      <c r="BQ1303" s="20">
        <v>0</v>
      </c>
      <c r="BR1303" s="20">
        <v>0</v>
      </c>
      <c r="BS1303" s="20">
        <v>268</v>
      </c>
      <c r="BT1303" s="20">
        <v>1827272.7272727271</v>
      </c>
      <c r="BU1303" s="20">
        <v>12060000</v>
      </c>
      <c r="BV1303" s="20">
        <v>6</v>
      </c>
    </row>
    <row r="1304" spans="1:74">
      <c r="A1304" s="10">
        <f t="shared" si="82"/>
        <v>0</v>
      </c>
      <c r="B1304" s="10">
        <f t="shared" si="83"/>
        <v>0</v>
      </c>
      <c r="C1304" s="12">
        <f t="shared" si="84"/>
        <v>11</v>
      </c>
      <c r="D1304" s="12">
        <f t="shared" si="85"/>
        <v>11</v>
      </c>
      <c r="E1304" s="20" t="s">
        <v>114</v>
      </c>
      <c r="F1304" s="20" t="s">
        <v>2667</v>
      </c>
      <c r="G1304" s="20" t="s">
        <v>5089</v>
      </c>
      <c r="H1304" s="20" t="s">
        <v>5093</v>
      </c>
      <c r="I1304" s="20">
        <v>2</v>
      </c>
      <c r="J1304" s="20" t="s">
        <v>5094</v>
      </c>
      <c r="K1304" s="20" t="s">
        <v>5095</v>
      </c>
      <c r="L1304" s="20" t="s">
        <v>4304</v>
      </c>
      <c r="M1304" s="20" t="s">
        <v>2667</v>
      </c>
      <c r="N1304" s="20" t="s">
        <v>4297</v>
      </c>
      <c r="P1304" s="20" t="s">
        <v>2667</v>
      </c>
      <c r="Q1304" s="20" t="s">
        <v>2674</v>
      </c>
      <c r="R1304" s="20" t="s">
        <v>84</v>
      </c>
      <c r="S1304" s="20">
        <v>5</v>
      </c>
      <c r="T1304" s="20" t="s">
        <v>244</v>
      </c>
      <c r="U1304" s="20" t="s">
        <v>245</v>
      </c>
      <c r="V1304" s="20" t="s">
        <v>87</v>
      </c>
      <c r="W1304" s="20">
        <v>803</v>
      </c>
      <c r="X1304" s="20">
        <v>803</v>
      </c>
      <c r="Y1304" s="20" t="s">
        <v>4305</v>
      </c>
      <c r="Z1304" s="20">
        <v>0</v>
      </c>
      <c r="AA1304" s="20" t="s">
        <v>4306</v>
      </c>
      <c r="AB1304" s="20" t="s">
        <v>139</v>
      </c>
      <c r="AC1304" s="20" t="s">
        <v>140</v>
      </c>
      <c r="AD1304" s="20" t="s">
        <v>4307</v>
      </c>
      <c r="AE1304" s="20" t="s">
        <v>5071</v>
      </c>
      <c r="AF1304" s="20">
        <v>0</v>
      </c>
      <c r="AG1304" s="20">
        <v>0</v>
      </c>
      <c r="AH1304" s="20">
        <v>1</v>
      </c>
      <c r="AI1304" s="4" t="s">
        <v>251</v>
      </c>
      <c r="AJ1304" s="20">
        <v>314</v>
      </c>
      <c r="AK1304" s="4" t="s">
        <v>179</v>
      </c>
      <c r="AL1304" s="4">
        <v>35</v>
      </c>
      <c r="AM1304" s="4">
        <v>35</v>
      </c>
      <c r="AN1304" s="4" t="s">
        <v>95</v>
      </c>
      <c r="AO1304" s="4" t="s">
        <v>96</v>
      </c>
      <c r="AP1304" s="4">
        <v>1</v>
      </c>
      <c r="AQ1304" s="20">
        <v>45000</v>
      </c>
      <c r="AR1304" s="4">
        <v>41918</v>
      </c>
      <c r="AS1304" s="20">
        <v>6818.1818181818171</v>
      </c>
      <c r="AT1304" s="20">
        <v>0</v>
      </c>
      <c r="AU1304" s="20">
        <v>-6818.1818181818171</v>
      </c>
      <c r="AV1304" s="20">
        <v>0</v>
      </c>
      <c r="AW1304" s="20">
        <v>0</v>
      </c>
      <c r="AX1304" s="20" t="s">
        <v>91</v>
      </c>
      <c r="AY1304" s="20">
        <v>0</v>
      </c>
      <c r="AZ1304" s="20">
        <v>0</v>
      </c>
      <c r="BA1304" s="20">
        <v>0</v>
      </c>
      <c r="BB1304" s="6">
        <v>41947</v>
      </c>
      <c r="BC1304" s="6">
        <v>0</v>
      </c>
      <c r="BD1304" s="6">
        <v>41948</v>
      </c>
      <c r="BE1304" s="6">
        <v>0</v>
      </c>
      <c r="BF1304" s="6">
        <v>41947</v>
      </c>
      <c r="BG1304" s="6">
        <v>0</v>
      </c>
      <c r="BH1304" s="6">
        <v>0</v>
      </c>
      <c r="BI1304" s="6">
        <v>0</v>
      </c>
      <c r="BJ1304" s="6">
        <v>0</v>
      </c>
      <c r="BK1304" s="4">
        <v>0</v>
      </c>
      <c r="BL1304" s="4">
        <v>0</v>
      </c>
      <c r="BM1304" s="20">
        <v>314</v>
      </c>
      <c r="BN1304" s="20">
        <v>0</v>
      </c>
      <c r="BO1304" s="20">
        <v>0</v>
      </c>
      <c r="BP1304" s="20">
        <v>0</v>
      </c>
      <c r="BQ1304" s="20">
        <v>0</v>
      </c>
      <c r="BR1304" s="20">
        <v>0</v>
      </c>
      <c r="BS1304" s="20">
        <v>314</v>
      </c>
      <c r="BT1304" s="20">
        <v>2140909.0909090904</v>
      </c>
      <c r="BU1304" s="20">
        <v>14130000</v>
      </c>
      <c r="BV1304" s="20">
        <v>6.0000000000000009</v>
      </c>
    </row>
    <row r="1305" spans="1:74">
      <c r="A1305" s="10">
        <f t="shared" si="82"/>
        <v>0</v>
      </c>
      <c r="B1305" s="10">
        <f t="shared" si="83"/>
        <v>0</v>
      </c>
      <c r="C1305" s="12">
        <f t="shared" si="84"/>
        <v>11</v>
      </c>
      <c r="D1305" s="12">
        <f t="shared" si="85"/>
        <v>11</v>
      </c>
      <c r="E1305" s="20" t="s">
        <v>114</v>
      </c>
      <c r="F1305" s="20" t="s">
        <v>2667</v>
      </c>
      <c r="G1305" s="20" t="s">
        <v>5089</v>
      </c>
      <c r="H1305" s="20" t="s">
        <v>5096</v>
      </c>
      <c r="I1305" s="20">
        <v>3</v>
      </c>
      <c r="J1305" s="20" t="s">
        <v>5097</v>
      </c>
      <c r="K1305" s="20" t="s">
        <v>5098</v>
      </c>
      <c r="L1305" s="20" t="s">
        <v>4311</v>
      </c>
      <c r="M1305" s="20" t="s">
        <v>2667</v>
      </c>
      <c r="N1305" s="20" t="s">
        <v>4297</v>
      </c>
      <c r="P1305" s="20" t="s">
        <v>2667</v>
      </c>
      <c r="Q1305" s="20" t="s">
        <v>2674</v>
      </c>
      <c r="R1305" s="20" t="s">
        <v>84</v>
      </c>
      <c r="S1305" s="20">
        <v>5</v>
      </c>
      <c r="T1305" s="20" t="s">
        <v>244</v>
      </c>
      <c r="U1305" s="20" t="s">
        <v>245</v>
      </c>
      <c r="V1305" s="20" t="s">
        <v>87</v>
      </c>
      <c r="W1305" s="20">
        <v>804</v>
      </c>
      <c r="X1305" s="20">
        <v>804</v>
      </c>
      <c r="Y1305" s="20" t="s">
        <v>4312</v>
      </c>
      <c r="Z1305" s="20">
        <v>0</v>
      </c>
      <c r="AA1305" s="20" t="s">
        <v>4313</v>
      </c>
      <c r="AB1305" s="20" t="s">
        <v>248</v>
      </c>
      <c r="AC1305" s="20" t="s">
        <v>249</v>
      </c>
      <c r="AD1305" s="20" t="s">
        <v>4314</v>
      </c>
      <c r="AE1305" s="20" t="s">
        <v>5071</v>
      </c>
      <c r="AF1305" s="20">
        <v>0</v>
      </c>
      <c r="AG1305" s="20">
        <v>0</v>
      </c>
      <c r="AH1305" s="20">
        <v>1</v>
      </c>
      <c r="AI1305" s="4" t="s">
        <v>251</v>
      </c>
      <c r="AJ1305" s="20">
        <v>308</v>
      </c>
      <c r="AK1305" s="4" t="s">
        <v>179</v>
      </c>
      <c r="AL1305" s="4">
        <v>35</v>
      </c>
      <c r="AM1305" s="4">
        <v>35</v>
      </c>
      <c r="AN1305" s="4" t="s">
        <v>95</v>
      </c>
      <c r="AO1305" s="4" t="s">
        <v>96</v>
      </c>
      <c r="AP1305" s="4">
        <v>1</v>
      </c>
      <c r="AQ1305" s="20">
        <v>35000</v>
      </c>
      <c r="AR1305" s="4">
        <v>41918</v>
      </c>
      <c r="AS1305" s="20">
        <v>5303.030303030303</v>
      </c>
      <c r="AT1305" s="20">
        <v>0</v>
      </c>
      <c r="AU1305" s="20">
        <v>-5303.030303030303</v>
      </c>
      <c r="AV1305" s="20">
        <v>0</v>
      </c>
      <c r="AW1305" s="20">
        <v>0</v>
      </c>
      <c r="AX1305" s="20" t="s">
        <v>91</v>
      </c>
      <c r="AY1305" s="20">
        <v>0</v>
      </c>
      <c r="AZ1305" s="20">
        <v>0</v>
      </c>
      <c r="BA1305" s="20">
        <v>0</v>
      </c>
      <c r="BB1305" s="6">
        <v>41947</v>
      </c>
      <c r="BC1305" s="6">
        <v>0</v>
      </c>
      <c r="BD1305" s="6">
        <v>41948</v>
      </c>
      <c r="BE1305" s="6">
        <v>0</v>
      </c>
      <c r="BF1305" s="6">
        <v>41947</v>
      </c>
      <c r="BG1305" s="6">
        <v>0</v>
      </c>
      <c r="BH1305" s="6">
        <v>0</v>
      </c>
      <c r="BI1305" s="6">
        <v>0</v>
      </c>
      <c r="BJ1305" s="6">
        <v>0</v>
      </c>
      <c r="BK1305" s="4">
        <v>0</v>
      </c>
      <c r="BL1305" s="4">
        <v>0</v>
      </c>
      <c r="BM1305" s="20">
        <v>308</v>
      </c>
      <c r="BN1305" s="20">
        <v>0</v>
      </c>
      <c r="BO1305" s="20">
        <v>0</v>
      </c>
      <c r="BP1305" s="20">
        <v>0</v>
      </c>
      <c r="BQ1305" s="20">
        <v>0</v>
      </c>
      <c r="BR1305" s="20">
        <v>0</v>
      </c>
      <c r="BS1305" s="20">
        <v>308</v>
      </c>
      <c r="BT1305" s="20">
        <v>1633333.3333333333</v>
      </c>
      <c r="BU1305" s="20">
        <v>10780000</v>
      </c>
      <c r="BV1305" s="20">
        <v>6</v>
      </c>
    </row>
    <row r="1306" spans="1:74">
      <c r="A1306" s="10">
        <f t="shared" si="82"/>
        <v>0</v>
      </c>
      <c r="B1306" s="10">
        <f t="shared" si="83"/>
        <v>0</v>
      </c>
      <c r="C1306" s="12">
        <f t="shared" si="84"/>
        <v>11</v>
      </c>
      <c r="D1306" s="12">
        <f t="shared" si="85"/>
        <v>11</v>
      </c>
      <c r="E1306" s="20" t="s">
        <v>114</v>
      </c>
      <c r="F1306" s="20" t="s">
        <v>2667</v>
      </c>
      <c r="G1306" s="20" t="s">
        <v>5089</v>
      </c>
      <c r="H1306" s="20" t="s">
        <v>5099</v>
      </c>
      <c r="I1306" s="20">
        <v>4</v>
      </c>
      <c r="J1306" s="20" t="s">
        <v>5100</v>
      </c>
      <c r="K1306" s="20" t="s">
        <v>5101</v>
      </c>
      <c r="L1306" s="20" t="s">
        <v>4311</v>
      </c>
      <c r="M1306" s="20" t="s">
        <v>2667</v>
      </c>
      <c r="N1306" s="20" t="s">
        <v>4297</v>
      </c>
      <c r="P1306" s="20" t="s">
        <v>2667</v>
      </c>
      <c r="Q1306" s="20" t="s">
        <v>2674</v>
      </c>
      <c r="R1306" s="20" t="s">
        <v>84</v>
      </c>
      <c r="S1306" s="20">
        <v>5</v>
      </c>
      <c r="T1306" s="20" t="s">
        <v>244</v>
      </c>
      <c r="U1306" s="20" t="s">
        <v>245</v>
      </c>
      <c r="V1306" s="20" t="s">
        <v>87</v>
      </c>
      <c r="W1306" s="20">
        <v>804</v>
      </c>
      <c r="X1306" s="20">
        <v>804</v>
      </c>
      <c r="Y1306" s="20" t="s">
        <v>4312</v>
      </c>
      <c r="Z1306" s="20">
        <v>0</v>
      </c>
      <c r="AA1306" s="20" t="s">
        <v>4318</v>
      </c>
      <c r="AB1306" s="20" t="s">
        <v>296</v>
      </c>
      <c r="AC1306" s="20" t="s">
        <v>297</v>
      </c>
      <c r="AD1306" s="20" t="s">
        <v>4319</v>
      </c>
      <c r="AE1306" s="20" t="s">
        <v>5071</v>
      </c>
      <c r="AF1306" s="20">
        <v>0</v>
      </c>
      <c r="AG1306" s="20">
        <v>0</v>
      </c>
      <c r="AH1306" s="20">
        <v>1</v>
      </c>
      <c r="AI1306" s="4" t="s">
        <v>251</v>
      </c>
      <c r="AJ1306" s="20">
        <v>356</v>
      </c>
      <c r="AK1306" s="4" t="s">
        <v>179</v>
      </c>
      <c r="AL1306" s="4">
        <v>35</v>
      </c>
      <c r="AM1306" s="4">
        <v>35</v>
      </c>
      <c r="AN1306" s="4" t="s">
        <v>95</v>
      </c>
      <c r="AO1306" s="4" t="s">
        <v>96</v>
      </c>
      <c r="AP1306" s="4">
        <v>1</v>
      </c>
      <c r="AQ1306" s="20">
        <v>35000</v>
      </c>
      <c r="AR1306" s="4">
        <v>41918</v>
      </c>
      <c r="AS1306" s="20">
        <v>5303.030303030303</v>
      </c>
      <c r="AT1306" s="20">
        <v>0</v>
      </c>
      <c r="AU1306" s="20">
        <v>-5303.030303030303</v>
      </c>
      <c r="AV1306" s="20">
        <v>0</v>
      </c>
      <c r="AW1306" s="20">
        <v>0</v>
      </c>
      <c r="AX1306" s="20" t="s">
        <v>91</v>
      </c>
      <c r="AY1306" s="20">
        <v>0</v>
      </c>
      <c r="AZ1306" s="20">
        <v>0</v>
      </c>
      <c r="BA1306" s="20">
        <v>0</v>
      </c>
      <c r="BB1306" s="6">
        <v>41947</v>
      </c>
      <c r="BC1306" s="6">
        <v>0</v>
      </c>
      <c r="BD1306" s="6">
        <v>41948</v>
      </c>
      <c r="BE1306" s="6">
        <v>0</v>
      </c>
      <c r="BF1306" s="6">
        <v>41947</v>
      </c>
      <c r="BG1306" s="6">
        <v>0</v>
      </c>
      <c r="BH1306" s="6">
        <v>0</v>
      </c>
      <c r="BI1306" s="6">
        <v>0</v>
      </c>
      <c r="BJ1306" s="6">
        <v>0</v>
      </c>
      <c r="BK1306" s="4">
        <v>0</v>
      </c>
      <c r="BL1306" s="4">
        <v>0</v>
      </c>
      <c r="BM1306" s="20">
        <v>356</v>
      </c>
      <c r="BN1306" s="20">
        <v>0</v>
      </c>
      <c r="BO1306" s="20">
        <v>0</v>
      </c>
      <c r="BP1306" s="20">
        <v>0</v>
      </c>
      <c r="BQ1306" s="20">
        <v>0</v>
      </c>
      <c r="BR1306" s="20">
        <v>0</v>
      </c>
      <c r="BS1306" s="20">
        <v>356</v>
      </c>
      <c r="BT1306" s="20">
        <v>1887878.7878787878</v>
      </c>
      <c r="BU1306" s="20">
        <v>12460000</v>
      </c>
      <c r="BV1306" s="20">
        <v>6</v>
      </c>
    </row>
    <row r="1307" spans="1:74">
      <c r="A1307" s="10">
        <f t="shared" si="82"/>
        <v>0</v>
      </c>
      <c r="B1307" s="10">
        <f t="shared" si="83"/>
        <v>0</v>
      </c>
      <c r="C1307" s="12">
        <f t="shared" si="84"/>
        <v>11</v>
      </c>
      <c r="D1307" s="12">
        <f t="shared" si="85"/>
        <v>11</v>
      </c>
      <c r="E1307" s="20" t="s">
        <v>114</v>
      </c>
      <c r="F1307" s="20" t="s">
        <v>2667</v>
      </c>
      <c r="G1307" s="20" t="s">
        <v>5089</v>
      </c>
      <c r="H1307" s="20" t="s">
        <v>5102</v>
      </c>
      <c r="I1307" s="20">
        <v>5</v>
      </c>
      <c r="J1307" s="20" t="s">
        <v>5103</v>
      </c>
      <c r="K1307" s="20" t="s">
        <v>5104</v>
      </c>
      <c r="L1307" s="20" t="s">
        <v>4311</v>
      </c>
      <c r="M1307" s="20" t="s">
        <v>2667</v>
      </c>
      <c r="N1307" s="20" t="s">
        <v>4297</v>
      </c>
      <c r="P1307" s="20" t="s">
        <v>2667</v>
      </c>
      <c r="Q1307" s="20" t="s">
        <v>2674</v>
      </c>
      <c r="R1307" s="20" t="s">
        <v>84</v>
      </c>
      <c r="S1307" s="20">
        <v>5</v>
      </c>
      <c r="T1307" s="20" t="s">
        <v>244</v>
      </c>
      <c r="U1307" s="20" t="s">
        <v>245</v>
      </c>
      <c r="V1307" s="20" t="s">
        <v>87</v>
      </c>
      <c r="W1307" s="20">
        <v>804</v>
      </c>
      <c r="X1307" s="20">
        <v>804</v>
      </c>
      <c r="Y1307" s="20" t="s">
        <v>4312</v>
      </c>
      <c r="Z1307" s="20">
        <v>0</v>
      </c>
      <c r="AA1307" s="20" t="s">
        <v>4323</v>
      </c>
      <c r="AB1307" s="20" t="s">
        <v>101</v>
      </c>
      <c r="AC1307" s="20" t="s">
        <v>102</v>
      </c>
      <c r="AD1307" s="20" t="s">
        <v>4324</v>
      </c>
      <c r="AE1307" s="20" t="s">
        <v>5071</v>
      </c>
      <c r="AF1307" s="20">
        <v>0</v>
      </c>
      <c r="AG1307" s="20">
        <v>0</v>
      </c>
      <c r="AH1307" s="20">
        <v>1</v>
      </c>
      <c r="AI1307" s="4" t="s">
        <v>251</v>
      </c>
      <c r="AJ1307" s="20">
        <v>311</v>
      </c>
      <c r="AK1307" s="4" t="s">
        <v>179</v>
      </c>
      <c r="AL1307" s="4">
        <v>35</v>
      </c>
      <c r="AM1307" s="4">
        <v>35</v>
      </c>
      <c r="AN1307" s="4" t="s">
        <v>95</v>
      </c>
      <c r="AO1307" s="4" t="s">
        <v>96</v>
      </c>
      <c r="AP1307" s="4">
        <v>1</v>
      </c>
      <c r="AQ1307" s="20">
        <v>35000</v>
      </c>
      <c r="AR1307" s="4">
        <v>41918</v>
      </c>
      <c r="AS1307" s="20">
        <v>5303.030303030303</v>
      </c>
      <c r="AT1307" s="20">
        <v>0</v>
      </c>
      <c r="AU1307" s="20">
        <v>-5303.030303030303</v>
      </c>
      <c r="AV1307" s="20">
        <v>0</v>
      </c>
      <c r="AW1307" s="20">
        <v>0</v>
      </c>
      <c r="AX1307" s="20" t="s">
        <v>91</v>
      </c>
      <c r="AY1307" s="20">
        <v>0</v>
      </c>
      <c r="AZ1307" s="20">
        <v>0</v>
      </c>
      <c r="BA1307" s="20">
        <v>0</v>
      </c>
      <c r="BB1307" s="6">
        <v>41947</v>
      </c>
      <c r="BC1307" s="6">
        <v>0</v>
      </c>
      <c r="BD1307" s="6">
        <v>41948</v>
      </c>
      <c r="BE1307" s="6">
        <v>0</v>
      </c>
      <c r="BF1307" s="6">
        <v>41947</v>
      </c>
      <c r="BG1307" s="6">
        <v>0</v>
      </c>
      <c r="BH1307" s="6">
        <v>0</v>
      </c>
      <c r="BI1307" s="6">
        <v>0</v>
      </c>
      <c r="BJ1307" s="6">
        <v>0</v>
      </c>
      <c r="BK1307" s="4">
        <v>0</v>
      </c>
      <c r="BL1307" s="4">
        <v>0</v>
      </c>
      <c r="BM1307" s="20">
        <v>311</v>
      </c>
      <c r="BN1307" s="20">
        <v>0</v>
      </c>
      <c r="BO1307" s="20">
        <v>0</v>
      </c>
      <c r="BP1307" s="20">
        <v>0</v>
      </c>
      <c r="BQ1307" s="20">
        <v>0</v>
      </c>
      <c r="BR1307" s="20">
        <v>0</v>
      </c>
      <c r="BS1307" s="20">
        <v>311</v>
      </c>
      <c r="BT1307" s="20">
        <v>1649242.4242424243</v>
      </c>
      <c r="BU1307" s="20">
        <v>10885000</v>
      </c>
      <c r="BV1307" s="20">
        <v>5.9999999999999991</v>
      </c>
    </row>
    <row r="1308" spans="1:74">
      <c r="A1308" s="10">
        <f t="shared" si="82"/>
        <v>0</v>
      </c>
      <c r="B1308" s="10">
        <f t="shared" si="83"/>
        <v>0</v>
      </c>
      <c r="C1308" s="12">
        <f t="shared" si="84"/>
        <v>11</v>
      </c>
      <c r="D1308" s="12">
        <f t="shared" si="85"/>
        <v>11</v>
      </c>
      <c r="E1308" s="20" t="s">
        <v>114</v>
      </c>
      <c r="F1308" s="20" t="s">
        <v>2667</v>
      </c>
      <c r="G1308" s="20" t="s">
        <v>5089</v>
      </c>
      <c r="H1308" s="20" t="s">
        <v>5105</v>
      </c>
      <c r="I1308" s="20">
        <v>6</v>
      </c>
      <c r="J1308" s="20" t="s">
        <v>5106</v>
      </c>
      <c r="K1308" s="20" t="s">
        <v>5107</v>
      </c>
      <c r="L1308" s="20" t="s">
        <v>4328</v>
      </c>
      <c r="M1308" s="20" t="s">
        <v>2667</v>
      </c>
      <c r="N1308" s="20" t="s">
        <v>4297</v>
      </c>
      <c r="P1308" s="20" t="s">
        <v>2667</v>
      </c>
      <c r="Q1308" s="20" t="s">
        <v>2674</v>
      </c>
      <c r="R1308" s="20" t="s">
        <v>84</v>
      </c>
      <c r="S1308" s="20">
        <v>5</v>
      </c>
      <c r="T1308" s="20" t="s">
        <v>244</v>
      </c>
      <c r="U1308" s="20" t="s">
        <v>245</v>
      </c>
      <c r="V1308" s="20" t="s">
        <v>87</v>
      </c>
      <c r="W1308" s="20">
        <v>838</v>
      </c>
      <c r="X1308" s="20">
        <v>838</v>
      </c>
      <c r="Y1308" s="20" t="s">
        <v>4329</v>
      </c>
      <c r="Z1308" s="20">
        <v>0</v>
      </c>
      <c r="AA1308" s="20" t="s">
        <v>4330</v>
      </c>
      <c r="AB1308" s="20" t="s">
        <v>159</v>
      </c>
      <c r="AC1308" s="20" t="s">
        <v>160</v>
      </c>
      <c r="AD1308" s="20" t="s">
        <v>4331</v>
      </c>
      <c r="AE1308" s="20" t="s">
        <v>5071</v>
      </c>
      <c r="AF1308" s="20">
        <v>0</v>
      </c>
      <c r="AG1308" s="20">
        <v>0</v>
      </c>
      <c r="AH1308" s="20">
        <v>1</v>
      </c>
      <c r="AI1308" s="4" t="s">
        <v>251</v>
      </c>
      <c r="AJ1308" s="20">
        <v>314</v>
      </c>
      <c r="AK1308" s="4" t="s">
        <v>179</v>
      </c>
      <c r="AL1308" s="4">
        <v>35</v>
      </c>
      <c r="AM1308" s="4">
        <v>35</v>
      </c>
      <c r="AN1308" s="4" t="s">
        <v>95</v>
      </c>
      <c r="AO1308" s="4" t="s">
        <v>96</v>
      </c>
      <c r="AP1308" s="4">
        <v>1</v>
      </c>
      <c r="AQ1308" s="20">
        <v>45000</v>
      </c>
      <c r="AR1308" s="4">
        <v>41918</v>
      </c>
      <c r="AS1308" s="20">
        <v>6818.1818181818171</v>
      </c>
      <c r="AT1308" s="20">
        <v>0</v>
      </c>
      <c r="AU1308" s="20">
        <v>-6818.1818181818171</v>
      </c>
      <c r="AV1308" s="20">
        <v>0</v>
      </c>
      <c r="AW1308" s="20">
        <v>0</v>
      </c>
      <c r="AX1308" s="20" t="s">
        <v>91</v>
      </c>
      <c r="AY1308" s="20">
        <v>0</v>
      </c>
      <c r="AZ1308" s="20">
        <v>0</v>
      </c>
      <c r="BA1308" s="20">
        <v>0</v>
      </c>
      <c r="BB1308" s="6">
        <v>41947</v>
      </c>
      <c r="BC1308" s="6">
        <v>0</v>
      </c>
      <c r="BD1308" s="6">
        <v>41948</v>
      </c>
      <c r="BE1308" s="6">
        <v>0</v>
      </c>
      <c r="BF1308" s="6">
        <v>41947</v>
      </c>
      <c r="BG1308" s="6">
        <v>0</v>
      </c>
      <c r="BH1308" s="6">
        <v>0</v>
      </c>
      <c r="BI1308" s="6">
        <v>0</v>
      </c>
      <c r="BJ1308" s="6">
        <v>0</v>
      </c>
      <c r="BK1308" s="4">
        <v>0</v>
      </c>
      <c r="BL1308" s="4">
        <v>0</v>
      </c>
      <c r="BM1308" s="20">
        <v>314</v>
      </c>
      <c r="BN1308" s="20">
        <v>0</v>
      </c>
      <c r="BO1308" s="20">
        <v>0</v>
      </c>
      <c r="BP1308" s="20">
        <v>0</v>
      </c>
      <c r="BQ1308" s="20">
        <v>0</v>
      </c>
      <c r="BR1308" s="20">
        <v>0</v>
      </c>
      <c r="BS1308" s="20">
        <v>314</v>
      </c>
      <c r="BT1308" s="20">
        <v>2140909.0909090904</v>
      </c>
      <c r="BU1308" s="20">
        <v>14130000</v>
      </c>
      <c r="BV1308" s="20">
        <v>6.0000000000000009</v>
      </c>
    </row>
    <row r="1309" spans="1:74">
      <c r="A1309" s="10">
        <f t="shared" si="82"/>
        <v>0</v>
      </c>
      <c r="B1309" s="10">
        <f t="shared" si="83"/>
        <v>0</v>
      </c>
      <c r="C1309" s="12">
        <f t="shared" si="84"/>
        <v>11</v>
      </c>
      <c r="D1309" s="12">
        <f t="shared" si="85"/>
        <v>11</v>
      </c>
      <c r="E1309" s="20" t="s">
        <v>114</v>
      </c>
      <c r="F1309" s="20" t="s">
        <v>2667</v>
      </c>
      <c r="G1309" s="20" t="s">
        <v>5089</v>
      </c>
      <c r="H1309" s="20" t="s">
        <v>5108</v>
      </c>
      <c r="I1309" s="20">
        <v>7</v>
      </c>
      <c r="J1309" s="20" t="s">
        <v>5109</v>
      </c>
      <c r="K1309" s="20" t="s">
        <v>5110</v>
      </c>
      <c r="L1309" s="20" t="s">
        <v>4333</v>
      </c>
      <c r="M1309" s="20" t="s">
        <v>2667</v>
      </c>
      <c r="N1309" s="20" t="s">
        <v>4297</v>
      </c>
      <c r="P1309" s="20" t="s">
        <v>2667</v>
      </c>
      <c r="Q1309" s="20" t="s">
        <v>2674</v>
      </c>
      <c r="R1309" s="20" t="s">
        <v>84</v>
      </c>
      <c r="S1309" s="20">
        <v>5</v>
      </c>
      <c r="T1309" s="20" t="s">
        <v>244</v>
      </c>
      <c r="U1309" s="20" t="s">
        <v>245</v>
      </c>
      <c r="V1309" s="20" t="s">
        <v>87</v>
      </c>
      <c r="W1309" s="20">
        <v>839</v>
      </c>
      <c r="X1309" s="20">
        <v>839</v>
      </c>
      <c r="Y1309" s="20" t="s">
        <v>4334</v>
      </c>
      <c r="Z1309" s="20">
        <v>0</v>
      </c>
      <c r="AA1309" s="20" t="s">
        <v>4335</v>
      </c>
      <c r="AB1309" s="20" t="s">
        <v>139</v>
      </c>
      <c r="AC1309" s="20" t="s">
        <v>140</v>
      </c>
      <c r="AD1309" s="20" t="s">
        <v>4973</v>
      </c>
      <c r="AE1309" s="20" t="s">
        <v>5071</v>
      </c>
      <c r="AF1309" s="20">
        <v>0</v>
      </c>
      <c r="AG1309" s="20">
        <v>0</v>
      </c>
      <c r="AH1309" s="20">
        <v>1</v>
      </c>
      <c r="AI1309" s="4" t="s">
        <v>251</v>
      </c>
      <c r="AJ1309" s="20">
        <v>365</v>
      </c>
      <c r="AK1309" s="4" t="s">
        <v>179</v>
      </c>
      <c r="AL1309" s="4">
        <v>35</v>
      </c>
      <c r="AM1309" s="4">
        <v>35</v>
      </c>
      <c r="AN1309" s="4" t="s">
        <v>95</v>
      </c>
      <c r="AO1309" s="4" t="s">
        <v>96</v>
      </c>
      <c r="AP1309" s="4">
        <v>1</v>
      </c>
      <c r="AQ1309" s="20">
        <v>45000</v>
      </c>
      <c r="AR1309" s="4">
        <v>41918</v>
      </c>
      <c r="AS1309" s="20">
        <v>6818.1818181818171</v>
      </c>
      <c r="AT1309" s="20">
        <v>0</v>
      </c>
      <c r="AU1309" s="20">
        <v>-6818.1818181818171</v>
      </c>
      <c r="AV1309" s="20">
        <v>0</v>
      </c>
      <c r="AW1309" s="20">
        <v>0</v>
      </c>
      <c r="AX1309" s="20" t="s">
        <v>91</v>
      </c>
      <c r="AY1309" s="20">
        <v>0</v>
      </c>
      <c r="AZ1309" s="20">
        <v>0</v>
      </c>
      <c r="BA1309" s="20">
        <v>0</v>
      </c>
      <c r="BB1309" s="6">
        <v>41947</v>
      </c>
      <c r="BC1309" s="6">
        <v>0</v>
      </c>
      <c r="BD1309" s="6">
        <v>41948</v>
      </c>
      <c r="BE1309" s="6">
        <v>0</v>
      </c>
      <c r="BF1309" s="6">
        <v>41947</v>
      </c>
      <c r="BG1309" s="6">
        <v>0</v>
      </c>
      <c r="BH1309" s="6">
        <v>0</v>
      </c>
      <c r="BI1309" s="6">
        <v>0</v>
      </c>
      <c r="BJ1309" s="6">
        <v>0</v>
      </c>
      <c r="BK1309" s="4">
        <v>0</v>
      </c>
      <c r="BL1309" s="4">
        <v>0</v>
      </c>
      <c r="BM1309" s="20">
        <v>365</v>
      </c>
      <c r="BN1309" s="20">
        <v>0</v>
      </c>
      <c r="BO1309" s="20">
        <v>0</v>
      </c>
      <c r="BP1309" s="20">
        <v>0</v>
      </c>
      <c r="BQ1309" s="20">
        <v>0</v>
      </c>
      <c r="BR1309" s="20">
        <v>0</v>
      </c>
      <c r="BS1309" s="20">
        <v>365</v>
      </c>
      <c r="BT1309" s="20">
        <v>2488636.3636363633</v>
      </c>
      <c r="BU1309" s="20">
        <v>16425000</v>
      </c>
      <c r="BV1309" s="20">
        <v>6</v>
      </c>
    </row>
    <row r="1310" spans="1:74">
      <c r="A1310" s="10">
        <f t="shared" si="82"/>
        <v>0</v>
      </c>
      <c r="B1310" s="10">
        <f t="shared" si="83"/>
        <v>0</v>
      </c>
      <c r="C1310" s="12">
        <f t="shared" si="84"/>
        <v>11</v>
      </c>
      <c r="D1310" s="12">
        <f t="shared" si="85"/>
        <v>11</v>
      </c>
      <c r="E1310" s="20" t="s">
        <v>114</v>
      </c>
      <c r="F1310" s="20" t="s">
        <v>2667</v>
      </c>
      <c r="G1310" s="20" t="s">
        <v>5089</v>
      </c>
      <c r="H1310" s="20" t="s">
        <v>5111</v>
      </c>
      <c r="I1310" s="20">
        <v>8</v>
      </c>
      <c r="J1310" s="20" t="s">
        <v>5112</v>
      </c>
      <c r="K1310" s="20" t="s">
        <v>5113</v>
      </c>
      <c r="L1310" s="20" t="s">
        <v>4339</v>
      </c>
      <c r="M1310" s="20" t="s">
        <v>2667</v>
      </c>
      <c r="N1310" s="20" t="s">
        <v>4340</v>
      </c>
      <c r="P1310" s="20" t="s">
        <v>2667</v>
      </c>
      <c r="Q1310" s="20" t="s">
        <v>2674</v>
      </c>
      <c r="R1310" s="20" t="s">
        <v>84</v>
      </c>
      <c r="S1310" s="20">
        <v>5</v>
      </c>
      <c r="T1310" s="20" t="s">
        <v>395</v>
      </c>
      <c r="U1310" s="20" t="s">
        <v>396</v>
      </c>
      <c r="V1310" s="20" t="s">
        <v>87</v>
      </c>
      <c r="W1310" s="20">
        <v>828</v>
      </c>
      <c r="X1310" s="20">
        <v>828</v>
      </c>
      <c r="Y1310" s="20" t="s">
        <v>4341</v>
      </c>
      <c r="Z1310" s="20">
        <v>0</v>
      </c>
      <c r="AA1310" s="20" t="s">
        <v>4342</v>
      </c>
      <c r="AB1310" s="20" t="s">
        <v>176</v>
      </c>
      <c r="AC1310" s="20" t="s">
        <v>177</v>
      </c>
      <c r="AD1310" s="20" t="s">
        <v>4343</v>
      </c>
      <c r="AE1310" s="20" t="s">
        <v>5071</v>
      </c>
      <c r="AF1310" s="20">
        <v>0</v>
      </c>
      <c r="AG1310" s="20">
        <v>0</v>
      </c>
      <c r="AH1310" s="20">
        <v>1</v>
      </c>
      <c r="AI1310" s="4" t="s">
        <v>251</v>
      </c>
      <c r="AJ1310" s="20">
        <v>300</v>
      </c>
      <c r="AK1310" s="4" t="s">
        <v>179</v>
      </c>
      <c r="AL1310" s="4">
        <v>35</v>
      </c>
      <c r="AM1310" s="4">
        <v>35</v>
      </c>
      <c r="AN1310" s="4" t="s">
        <v>95</v>
      </c>
      <c r="AO1310" s="4" t="s">
        <v>96</v>
      </c>
      <c r="AP1310" s="4">
        <v>1</v>
      </c>
      <c r="AQ1310" s="20">
        <v>45000</v>
      </c>
      <c r="AR1310" s="4">
        <v>41918</v>
      </c>
      <c r="AS1310" s="20">
        <v>6818.1818181818171</v>
      </c>
      <c r="AT1310" s="20">
        <v>0</v>
      </c>
      <c r="AU1310" s="20">
        <v>-6818.1818181818171</v>
      </c>
      <c r="AV1310" s="20">
        <v>0</v>
      </c>
      <c r="AW1310" s="20">
        <v>0</v>
      </c>
      <c r="AX1310" s="20" t="s">
        <v>91</v>
      </c>
      <c r="AY1310" s="20">
        <v>0</v>
      </c>
      <c r="AZ1310" s="20">
        <v>0</v>
      </c>
      <c r="BA1310" s="20">
        <v>0</v>
      </c>
      <c r="BB1310" s="6">
        <v>41947</v>
      </c>
      <c r="BC1310" s="6">
        <v>0</v>
      </c>
      <c r="BD1310" s="6">
        <v>41948</v>
      </c>
      <c r="BE1310" s="6">
        <v>0</v>
      </c>
      <c r="BF1310" s="6">
        <v>41947</v>
      </c>
      <c r="BG1310" s="6">
        <v>0</v>
      </c>
      <c r="BH1310" s="6">
        <v>0</v>
      </c>
      <c r="BI1310" s="6">
        <v>0</v>
      </c>
      <c r="BJ1310" s="6">
        <v>0</v>
      </c>
      <c r="BK1310" s="4">
        <v>0</v>
      </c>
      <c r="BL1310" s="4">
        <v>0</v>
      </c>
      <c r="BM1310" s="20">
        <v>300</v>
      </c>
      <c r="BN1310" s="20">
        <v>0</v>
      </c>
      <c r="BO1310" s="20">
        <v>0</v>
      </c>
      <c r="BP1310" s="20">
        <v>0</v>
      </c>
      <c r="BQ1310" s="20">
        <v>0</v>
      </c>
      <c r="BR1310" s="20">
        <v>0</v>
      </c>
      <c r="BS1310" s="20">
        <v>300</v>
      </c>
      <c r="BT1310" s="20">
        <v>2045454.5454545452</v>
      </c>
      <c r="BU1310" s="20">
        <v>13500000</v>
      </c>
      <c r="BV1310" s="20">
        <v>6</v>
      </c>
    </row>
    <row r="1311" spans="1:74">
      <c r="A1311" s="10">
        <f t="shared" si="82"/>
        <v>0</v>
      </c>
      <c r="B1311" s="10">
        <f t="shared" si="83"/>
        <v>0</v>
      </c>
      <c r="C1311" s="12">
        <f t="shared" si="84"/>
        <v>11</v>
      </c>
      <c r="D1311" s="12">
        <f t="shared" si="85"/>
        <v>11</v>
      </c>
      <c r="E1311" s="20" t="s">
        <v>114</v>
      </c>
      <c r="F1311" s="20" t="s">
        <v>2667</v>
      </c>
      <c r="G1311" s="20" t="s">
        <v>5089</v>
      </c>
      <c r="H1311" s="20" t="s">
        <v>5114</v>
      </c>
      <c r="I1311" s="20">
        <v>9</v>
      </c>
      <c r="J1311" s="20" t="s">
        <v>5115</v>
      </c>
      <c r="K1311" s="20" t="s">
        <v>5116</v>
      </c>
      <c r="L1311" s="20" t="s">
        <v>4339</v>
      </c>
      <c r="M1311" s="20" t="s">
        <v>2667</v>
      </c>
      <c r="N1311" s="20" t="s">
        <v>4340</v>
      </c>
      <c r="P1311" s="20" t="s">
        <v>2667</v>
      </c>
      <c r="Q1311" s="20" t="s">
        <v>2674</v>
      </c>
      <c r="R1311" s="20" t="s">
        <v>84</v>
      </c>
      <c r="S1311" s="20">
        <v>5</v>
      </c>
      <c r="T1311" s="20" t="s">
        <v>395</v>
      </c>
      <c r="U1311" s="20" t="s">
        <v>396</v>
      </c>
      <c r="V1311" s="20" t="s">
        <v>87</v>
      </c>
      <c r="W1311" s="20">
        <v>828</v>
      </c>
      <c r="X1311" s="20">
        <v>828</v>
      </c>
      <c r="Y1311" s="20" t="s">
        <v>4341</v>
      </c>
      <c r="Z1311" s="20">
        <v>0</v>
      </c>
      <c r="AA1311" s="20" t="s">
        <v>4347</v>
      </c>
      <c r="AB1311" s="20" t="s">
        <v>159</v>
      </c>
      <c r="AC1311" s="20" t="s">
        <v>160</v>
      </c>
      <c r="AD1311" s="20" t="s">
        <v>4348</v>
      </c>
      <c r="AE1311" s="20" t="s">
        <v>5071</v>
      </c>
      <c r="AF1311" s="20">
        <v>0</v>
      </c>
      <c r="AG1311" s="20">
        <v>0</v>
      </c>
      <c r="AH1311" s="20">
        <v>1</v>
      </c>
      <c r="AI1311" s="4" t="s">
        <v>251</v>
      </c>
      <c r="AJ1311" s="20">
        <v>300</v>
      </c>
      <c r="AK1311" s="4" t="s">
        <v>179</v>
      </c>
      <c r="AL1311" s="4">
        <v>35</v>
      </c>
      <c r="AM1311" s="4">
        <v>35</v>
      </c>
      <c r="AN1311" s="4" t="s">
        <v>95</v>
      </c>
      <c r="AO1311" s="4" t="s">
        <v>96</v>
      </c>
      <c r="AP1311" s="4">
        <v>1</v>
      </c>
      <c r="AQ1311" s="20">
        <v>45000</v>
      </c>
      <c r="AR1311" s="4">
        <v>41918</v>
      </c>
      <c r="AS1311" s="20">
        <v>6818.1818181818171</v>
      </c>
      <c r="AT1311" s="20">
        <v>0</v>
      </c>
      <c r="AU1311" s="20">
        <v>-6818.1818181818171</v>
      </c>
      <c r="AV1311" s="20">
        <v>0</v>
      </c>
      <c r="AW1311" s="20">
        <v>0</v>
      </c>
      <c r="AX1311" s="20" t="s">
        <v>91</v>
      </c>
      <c r="AY1311" s="20">
        <v>0</v>
      </c>
      <c r="AZ1311" s="20">
        <v>0</v>
      </c>
      <c r="BA1311" s="20">
        <v>0</v>
      </c>
      <c r="BB1311" s="6">
        <v>41947</v>
      </c>
      <c r="BC1311" s="6">
        <v>0</v>
      </c>
      <c r="BD1311" s="6">
        <v>41948</v>
      </c>
      <c r="BE1311" s="6">
        <v>0</v>
      </c>
      <c r="BF1311" s="6">
        <v>41947</v>
      </c>
      <c r="BG1311" s="6">
        <v>0</v>
      </c>
      <c r="BH1311" s="6">
        <v>0</v>
      </c>
      <c r="BI1311" s="6">
        <v>0</v>
      </c>
      <c r="BJ1311" s="6">
        <v>0</v>
      </c>
      <c r="BK1311" s="4">
        <v>0</v>
      </c>
      <c r="BL1311" s="4">
        <v>0</v>
      </c>
      <c r="BM1311" s="20">
        <v>300</v>
      </c>
      <c r="BN1311" s="20">
        <v>0</v>
      </c>
      <c r="BO1311" s="20">
        <v>0</v>
      </c>
      <c r="BP1311" s="20">
        <v>0</v>
      </c>
      <c r="BQ1311" s="20">
        <v>0</v>
      </c>
      <c r="BR1311" s="20">
        <v>0</v>
      </c>
      <c r="BS1311" s="20">
        <v>300</v>
      </c>
      <c r="BT1311" s="20">
        <v>2045454.5454545452</v>
      </c>
      <c r="BU1311" s="20">
        <v>13500000</v>
      </c>
      <c r="BV1311" s="20">
        <v>6</v>
      </c>
    </row>
    <row r="1312" spans="1:74">
      <c r="A1312" s="10">
        <f t="shared" si="82"/>
        <v>0</v>
      </c>
      <c r="B1312" s="10">
        <f t="shared" si="83"/>
        <v>0</v>
      </c>
      <c r="C1312" s="12">
        <f t="shared" si="84"/>
        <v>11</v>
      </c>
      <c r="D1312" s="12">
        <f t="shared" si="85"/>
        <v>11</v>
      </c>
      <c r="E1312" s="20" t="s">
        <v>114</v>
      </c>
      <c r="F1312" s="20" t="s">
        <v>2667</v>
      </c>
      <c r="G1312" s="20" t="s">
        <v>5089</v>
      </c>
      <c r="H1312" s="20" t="s">
        <v>5117</v>
      </c>
      <c r="I1312" s="20">
        <v>10</v>
      </c>
      <c r="J1312" s="20" t="s">
        <v>5118</v>
      </c>
      <c r="K1312" s="20" t="s">
        <v>5119</v>
      </c>
      <c r="L1312" s="20" t="s">
        <v>4352</v>
      </c>
      <c r="M1312" s="20" t="s">
        <v>2667</v>
      </c>
      <c r="N1312" s="20" t="s">
        <v>4340</v>
      </c>
      <c r="P1312" s="20" t="s">
        <v>2667</v>
      </c>
      <c r="Q1312" s="20" t="s">
        <v>2674</v>
      </c>
      <c r="R1312" s="20" t="s">
        <v>84</v>
      </c>
      <c r="S1312" s="20">
        <v>5</v>
      </c>
      <c r="T1312" s="20" t="s">
        <v>395</v>
      </c>
      <c r="U1312" s="20" t="s">
        <v>396</v>
      </c>
      <c r="V1312" s="20" t="s">
        <v>87</v>
      </c>
      <c r="W1312" s="20">
        <v>829</v>
      </c>
      <c r="X1312" s="20">
        <v>829</v>
      </c>
      <c r="Y1312" s="20" t="s">
        <v>4353</v>
      </c>
      <c r="Z1312" s="20">
        <v>0</v>
      </c>
      <c r="AA1312" s="20" t="s">
        <v>4354</v>
      </c>
      <c r="AB1312" s="20" t="s">
        <v>139</v>
      </c>
      <c r="AC1312" s="20" t="s">
        <v>140</v>
      </c>
      <c r="AD1312" s="20" t="s">
        <v>4355</v>
      </c>
      <c r="AE1312" s="20" t="s">
        <v>5071</v>
      </c>
      <c r="AF1312" s="20">
        <v>0</v>
      </c>
      <c r="AG1312" s="20">
        <v>0</v>
      </c>
      <c r="AH1312" s="20">
        <v>1</v>
      </c>
      <c r="AI1312" s="4" t="s">
        <v>251</v>
      </c>
      <c r="AJ1312" s="20">
        <v>245</v>
      </c>
      <c r="AK1312" s="4" t="s">
        <v>179</v>
      </c>
      <c r="AL1312" s="4">
        <v>35</v>
      </c>
      <c r="AM1312" s="4">
        <v>35</v>
      </c>
      <c r="AN1312" s="4" t="s">
        <v>95</v>
      </c>
      <c r="AO1312" s="4" t="s">
        <v>96</v>
      </c>
      <c r="AP1312" s="4">
        <v>1</v>
      </c>
      <c r="AQ1312" s="20">
        <v>43000</v>
      </c>
      <c r="AR1312" s="4">
        <v>41918</v>
      </c>
      <c r="AS1312" s="20">
        <v>6515.151515151515</v>
      </c>
      <c r="AT1312" s="20">
        <v>0</v>
      </c>
      <c r="AU1312" s="20">
        <v>-6515.151515151515</v>
      </c>
      <c r="AV1312" s="20">
        <v>0</v>
      </c>
      <c r="AW1312" s="20">
        <v>0</v>
      </c>
      <c r="AX1312" s="20" t="s">
        <v>91</v>
      </c>
      <c r="AY1312" s="20">
        <v>0</v>
      </c>
      <c r="AZ1312" s="20">
        <v>0</v>
      </c>
      <c r="BA1312" s="20">
        <v>0</v>
      </c>
      <c r="BB1312" s="6">
        <v>41947</v>
      </c>
      <c r="BC1312" s="6">
        <v>0</v>
      </c>
      <c r="BD1312" s="6">
        <v>41948</v>
      </c>
      <c r="BE1312" s="6">
        <v>0</v>
      </c>
      <c r="BF1312" s="6">
        <v>41947</v>
      </c>
      <c r="BG1312" s="6">
        <v>0</v>
      </c>
      <c r="BH1312" s="6">
        <v>0</v>
      </c>
      <c r="BI1312" s="6">
        <v>0</v>
      </c>
      <c r="BJ1312" s="6">
        <v>0</v>
      </c>
      <c r="BK1312" s="4">
        <v>0</v>
      </c>
      <c r="BL1312" s="4">
        <v>0</v>
      </c>
      <c r="BM1312" s="20">
        <v>245</v>
      </c>
      <c r="BN1312" s="20">
        <v>0</v>
      </c>
      <c r="BO1312" s="20">
        <v>0</v>
      </c>
      <c r="BP1312" s="20">
        <v>0</v>
      </c>
      <c r="BQ1312" s="20">
        <v>0</v>
      </c>
      <c r="BR1312" s="20">
        <v>0</v>
      </c>
      <c r="BS1312" s="20">
        <v>245</v>
      </c>
      <c r="BT1312" s="20">
        <v>1596212.1212121211</v>
      </c>
      <c r="BU1312" s="20">
        <v>10535000</v>
      </c>
      <c r="BV1312" s="20">
        <v>6</v>
      </c>
    </row>
    <row r="1313" spans="1:74">
      <c r="A1313" s="10">
        <f t="shared" si="82"/>
        <v>0</v>
      </c>
      <c r="B1313" s="10">
        <f t="shared" si="83"/>
        <v>0</v>
      </c>
      <c r="C1313" s="12">
        <f t="shared" si="84"/>
        <v>11</v>
      </c>
      <c r="D1313" s="12">
        <f t="shared" si="85"/>
        <v>11</v>
      </c>
      <c r="E1313" s="20" t="s">
        <v>114</v>
      </c>
      <c r="F1313" s="20" t="s">
        <v>2667</v>
      </c>
      <c r="G1313" s="20" t="s">
        <v>5089</v>
      </c>
      <c r="H1313" s="20" t="s">
        <v>5120</v>
      </c>
      <c r="I1313" s="20">
        <v>11</v>
      </c>
      <c r="J1313" s="20" t="s">
        <v>5121</v>
      </c>
      <c r="K1313" s="20" t="s">
        <v>5122</v>
      </c>
      <c r="L1313" s="20" t="s">
        <v>4352</v>
      </c>
      <c r="M1313" s="20" t="s">
        <v>2667</v>
      </c>
      <c r="N1313" s="20" t="s">
        <v>4340</v>
      </c>
      <c r="P1313" s="20" t="s">
        <v>2667</v>
      </c>
      <c r="Q1313" s="20" t="s">
        <v>2674</v>
      </c>
      <c r="R1313" s="20" t="s">
        <v>84</v>
      </c>
      <c r="S1313" s="20">
        <v>5</v>
      </c>
      <c r="T1313" s="20" t="s">
        <v>395</v>
      </c>
      <c r="U1313" s="20" t="s">
        <v>396</v>
      </c>
      <c r="V1313" s="20" t="s">
        <v>87</v>
      </c>
      <c r="W1313" s="20">
        <v>829</v>
      </c>
      <c r="X1313" s="20">
        <v>829</v>
      </c>
      <c r="Y1313" s="20" t="s">
        <v>4353</v>
      </c>
      <c r="Z1313" s="20">
        <v>0</v>
      </c>
      <c r="AA1313" s="20" t="s">
        <v>4359</v>
      </c>
      <c r="AB1313" s="20" t="s">
        <v>159</v>
      </c>
      <c r="AC1313" s="20" t="s">
        <v>160</v>
      </c>
      <c r="AD1313" s="20" t="s">
        <v>4360</v>
      </c>
      <c r="AE1313" s="20" t="s">
        <v>5071</v>
      </c>
      <c r="AF1313" s="20">
        <v>0</v>
      </c>
      <c r="AG1313" s="20">
        <v>0</v>
      </c>
      <c r="AH1313" s="20">
        <v>1</v>
      </c>
      <c r="AI1313" s="4" t="s">
        <v>251</v>
      </c>
      <c r="AJ1313" s="20">
        <v>67</v>
      </c>
      <c r="AK1313" s="4" t="s">
        <v>179</v>
      </c>
      <c r="AL1313" s="4">
        <v>35</v>
      </c>
      <c r="AM1313" s="4">
        <v>35</v>
      </c>
      <c r="AN1313" s="4" t="s">
        <v>95</v>
      </c>
      <c r="AO1313" s="4" t="s">
        <v>96</v>
      </c>
      <c r="AP1313" s="4">
        <v>1</v>
      </c>
      <c r="AQ1313" s="20">
        <v>43000</v>
      </c>
      <c r="AR1313" s="4">
        <v>41918</v>
      </c>
      <c r="AS1313" s="20">
        <v>6515.151515151515</v>
      </c>
      <c r="AT1313" s="20">
        <v>0</v>
      </c>
      <c r="AU1313" s="20">
        <v>-6515.151515151515</v>
      </c>
      <c r="AV1313" s="20">
        <v>0</v>
      </c>
      <c r="AW1313" s="20">
        <v>0</v>
      </c>
      <c r="AX1313" s="20" t="s">
        <v>91</v>
      </c>
      <c r="AY1313" s="20">
        <v>0</v>
      </c>
      <c r="AZ1313" s="20">
        <v>0</v>
      </c>
      <c r="BA1313" s="20">
        <v>0</v>
      </c>
      <c r="BB1313" s="6">
        <v>41947</v>
      </c>
      <c r="BC1313" s="6">
        <v>0</v>
      </c>
      <c r="BD1313" s="6">
        <v>41948</v>
      </c>
      <c r="BE1313" s="6">
        <v>0</v>
      </c>
      <c r="BF1313" s="6">
        <v>41947</v>
      </c>
      <c r="BG1313" s="6">
        <v>0</v>
      </c>
      <c r="BH1313" s="6">
        <v>0</v>
      </c>
      <c r="BI1313" s="6">
        <v>0</v>
      </c>
      <c r="BJ1313" s="6">
        <v>0</v>
      </c>
      <c r="BK1313" s="4">
        <v>0</v>
      </c>
      <c r="BL1313" s="4">
        <v>0</v>
      </c>
      <c r="BM1313" s="20">
        <v>67</v>
      </c>
      <c r="BN1313" s="20">
        <v>0</v>
      </c>
      <c r="BO1313" s="20">
        <v>0</v>
      </c>
      <c r="BP1313" s="20">
        <v>0</v>
      </c>
      <c r="BQ1313" s="20">
        <v>0</v>
      </c>
      <c r="BR1313" s="20">
        <v>0</v>
      </c>
      <c r="BS1313" s="20">
        <v>67</v>
      </c>
      <c r="BT1313" s="20">
        <v>436515.15151515149</v>
      </c>
      <c r="BU1313" s="20">
        <v>2881000</v>
      </c>
      <c r="BV1313" s="20">
        <v>6</v>
      </c>
    </row>
    <row r="1314" spans="1:74">
      <c r="A1314" s="10">
        <f t="shared" si="82"/>
        <v>0</v>
      </c>
      <c r="B1314" s="10">
        <f t="shared" si="83"/>
        <v>0</v>
      </c>
      <c r="C1314" s="12">
        <f t="shared" si="84"/>
        <v>11</v>
      </c>
      <c r="D1314" s="12">
        <f t="shared" si="85"/>
        <v>11</v>
      </c>
      <c r="E1314" s="20" t="s">
        <v>114</v>
      </c>
      <c r="F1314" s="20" t="s">
        <v>2667</v>
      </c>
      <c r="G1314" s="20" t="s">
        <v>5089</v>
      </c>
      <c r="H1314" s="20" t="s">
        <v>5123</v>
      </c>
      <c r="I1314" s="20">
        <v>12</v>
      </c>
      <c r="J1314" s="20" t="s">
        <v>5124</v>
      </c>
      <c r="K1314" s="20" t="s">
        <v>5125</v>
      </c>
      <c r="L1314" s="20" t="s">
        <v>4352</v>
      </c>
      <c r="M1314" s="20" t="s">
        <v>2667</v>
      </c>
      <c r="N1314" s="20" t="s">
        <v>4340</v>
      </c>
      <c r="P1314" s="20" t="s">
        <v>2667</v>
      </c>
      <c r="Q1314" s="20" t="s">
        <v>2674</v>
      </c>
      <c r="R1314" s="20" t="s">
        <v>84</v>
      </c>
      <c r="S1314" s="20">
        <v>5</v>
      </c>
      <c r="T1314" s="20" t="s">
        <v>395</v>
      </c>
      <c r="U1314" s="20" t="s">
        <v>396</v>
      </c>
      <c r="V1314" s="20" t="s">
        <v>87</v>
      </c>
      <c r="W1314" s="20">
        <v>829</v>
      </c>
      <c r="X1314" s="20">
        <v>829</v>
      </c>
      <c r="Y1314" s="20" t="s">
        <v>4353</v>
      </c>
      <c r="Z1314" s="20">
        <v>0</v>
      </c>
      <c r="AA1314" s="20" t="s">
        <v>4364</v>
      </c>
      <c r="AB1314" s="20" t="s">
        <v>109</v>
      </c>
      <c r="AC1314" s="20" t="s">
        <v>110</v>
      </c>
      <c r="AD1314" s="20" t="s">
        <v>4365</v>
      </c>
      <c r="AE1314" s="20" t="s">
        <v>5071</v>
      </c>
      <c r="AF1314" s="20">
        <v>0</v>
      </c>
      <c r="AG1314" s="20">
        <v>0</v>
      </c>
      <c r="AH1314" s="20">
        <v>1</v>
      </c>
      <c r="AI1314" s="4" t="s">
        <v>251</v>
      </c>
      <c r="AJ1314" s="20">
        <v>86</v>
      </c>
      <c r="AK1314" s="4" t="s">
        <v>179</v>
      </c>
      <c r="AL1314" s="4">
        <v>35</v>
      </c>
      <c r="AM1314" s="4">
        <v>35</v>
      </c>
      <c r="AN1314" s="4" t="s">
        <v>95</v>
      </c>
      <c r="AO1314" s="4" t="s">
        <v>96</v>
      </c>
      <c r="AP1314" s="4">
        <v>1</v>
      </c>
      <c r="AQ1314" s="20">
        <v>43000</v>
      </c>
      <c r="AR1314" s="4">
        <v>41918</v>
      </c>
      <c r="AS1314" s="20">
        <v>6515.151515151515</v>
      </c>
      <c r="AT1314" s="20">
        <v>0</v>
      </c>
      <c r="AU1314" s="20">
        <v>-6515.151515151515</v>
      </c>
      <c r="AV1314" s="20">
        <v>0</v>
      </c>
      <c r="AW1314" s="20">
        <v>0</v>
      </c>
      <c r="AX1314" s="20" t="s">
        <v>91</v>
      </c>
      <c r="AY1314" s="20">
        <v>0</v>
      </c>
      <c r="AZ1314" s="20">
        <v>0</v>
      </c>
      <c r="BA1314" s="20">
        <v>0</v>
      </c>
      <c r="BB1314" s="6">
        <v>41947</v>
      </c>
      <c r="BC1314" s="6">
        <v>0</v>
      </c>
      <c r="BD1314" s="6">
        <v>41948</v>
      </c>
      <c r="BE1314" s="6">
        <v>0</v>
      </c>
      <c r="BF1314" s="6">
        <v>41947</v>
      </c>
      <c r="BG1314" s="6">
        <v>0</v>
      </c>
      <c r="BH1314" s="6">
        <v>0</v>
      </c>
      <c r="BI1314" s="6">
        <v>0</v>
      </c>
      <c r="BJ1314" s="6">
        <v>0</v>
      </c>
      <c r="BK1314" s="4">
        <v>0</v>
      </c>
      <c r="BL1314" s="4">
        <v>0</v>
      </c>
      <c r="BM1314" s="20">
        <v>86</v>
      </c>
      <c r="BN1314" s="20">
        <v>0</v>
      </c>
      <c r="BO1314" s="20">
        <v>0</v>
      </c>
      <c r="BP1314" s="20">
        <v>0</v>
      </c>
      <c r="BQ1314" s="20">
        <v>0</v>
      </c>
      <c r="BR1314" s="20">
        <v>0</v>
      </c>
      <c r="BS1314" s="20">
        <v>86</v>
      </c>
      <c r="BT1314" s="20">
        <v>560303.03030303027</v>
      </c>
      <c r="BU1314" s="20">
        <v>3698000</v>
      </c>
      <c r="BV1314" s="20">
        <v>6</v>
      </c>
    </row>
    <row r="1315" spans="1:74">
      <c r="A1315" s="10">
        <f t="shared" si="82"/>
        <v>0</v>
      </c>
      <c r="B1315" s="10">
        <f t="shared" si="83"/>
        <v>0</v>
      </c>
      <c r="C1315" s="12">
        <f t="shared" si="84"/>
        <v>11</v>
      </c>
      <c r="D1315" s="12">
        <f t="shared" si="85"/>
        <v>11</v>
      </c>
      <c r="E1315" s="20" t="s">
        <v>114</v>
      </c>
      <c r="F1315" s="20" t="s">
        <v>2667</v>
      </c>
      <c r="G1315" s="20" t="s">
        <v>5089</v>
      </c>
      <c r="H1315" s="20" t="s">
        <v>5126</v>
      </c>
      <c r="I1315" s="20">
        <v>13</v>
      </c>
      <c r="J1315" s="20" t="s">
        <v>5127</v>
      </c>
      <c r="K1315" s="20" t="s">
        <v>5128</v>
      </c>
      <c r="L1315" s="20" t="s">
        <v>4369</v>
      </c>
      <c r="M1315" s="20" t="s">
        <v>2667</v>
      </c>
      <c r="N1315" s="20" t="s">
        <v>4340</v>
      </c>
      <c r="P1315" s="20" t="s">
        <v>2667</v>
      </c>
      <c r="Q1315" s="20" t="s">
        <v>2674</v>
      </c>
      <c r="R1315" s="20" t="s">
        <v>84</v>
      </c>
      <c r="S1315" s="20">
        <v>5</v>
      </c>
      <c r="T1315" s="20" t="s">
        <v>395</v>
      </c>
      <c r="U1315" s="20" t="s">
        <v>396</v>
      </c>
      <c r="V1315" s="20" t="s">
        <v>87</v>
      </c>
      <c r="W1315" s="20">
        <v>830</v>
      </c>
      <c r="X1315" s="20">
        <v>830</v>
      </c>
      <c r="Y1315" s="20" t="s">
        <v>4370</v>
      </c>
      <c r="Z1315" s="20">
        <v>0</v>
      </c>
      <c r="AA1315" s="20" t="s">
        <v>4371</v>
      </c>
      <c r="AB1315" s="20" t="s">
        <v>139</v>
      </c>
      <c r="AC1315" s="20" t="s">
        <v>140</v>
      </c>
      <c r="AD1315" s="20" t="s">
        <v>4372</v>
      </c>
      <c r="AE1315" s="20" t="s">
        <v>5071</v>
      </c>
      <c r="AF1315" s="20">
        <v>0</v>
      </c>
      <c r="AG1315" s="20">
        <v>0</v>
      </c>
      <c r="AH1315" s="20">
        <v>1</v>
      </c>
      <c r="AI1315" s="4" t="s">
        <v>251</v>
      </c>
      <c r="AJ1315" s="20">
        <v>484</v>
      </c>
      <c r="AK1315" s="4" t="s">
        <v>179</v>
      </c>
      <c r="AL1315" s="4">
        <v>35</v>
      </c>
      <c r="AM1315" s="4">
        <v>35</v>
      </c>
      <c r="AN1315" s="4" t="s">
        <v>95</v>
      </c>
      <c r="AO1315" s="4" t="s">
        <v>96</v>
      </c>
      <c r="AP1315" s="4">
        <v>1</v>
      </c>
      <c r="AQ1315" s="20">
        <v>45000</v>
      </c>
      <c r="AR1315" s="4">
        <v>41918</v>
      </c>
      <c r="AS1315" s="20">
        <v>6818.1818181818171</v>
      </c>
      <c r="AT1315" s="20">
        <v>0</v>
      </c>
      <c r="AU1315" s="20">
        <v>-6818.1818181818171</v>
      </c>
      <c r="AV1315" s="20">
        <v>0</v>
      </c>
      <c r="AW1315" s="20">
        <v>0</v>
      </c>
      <c r="AX1315" s="20" t="s">
        <v>91</v>
      </c>
      <c r="AY1315" s="20">
        <v>0</v>
      </c>
      <c r="AZ1315" s="20">
        <v>0</v>
      </c>
      <c r="BA1315" s="20">
        <v>0</v>
      </c>
      <c r="BB1315" s="6">
        <v>41947</v>
      </c>
      <c r="BC1315" s="6">
        <v>0</v>
      </c>
      <c r="BD1315" s="6">
        <v>41948</v>
      </c>
      <c r="BE1315" s="6">
        <v>0</v>
      </c>
      <c r="BF1315" s="6">
        <v>41947</v>
      </c>
      <c r="BG1315" s="6">
        <v>0</v>
      </c>
      <c r="BH1315" s="6">
        <v>0</v>
      </c>
      <c r="BI1315" s="6">
        <v>0</v>
      </c>
      <c r="BJ1315" s="6">
        <v>0</v>
      </c>
      <c r="BK1315" s="4">
        <v>0</v>
      </c>
      <c r="BL1315" s="4">
        <v>0</v>
      </c>
      <c r="BM1315" s="20">
        <v>484</v>
      </c>
      <c r="BN1315" s="20">
        <v>0</v>
      </c>
      <c r="BO1315" s="20">
        <v>0</v>
      </c>
      <c r="BP1315" s="20">
        <v>0</v>
      </c>
      <c r="BQ1315" s="20">
        <v>0</v>
      </c>
      <c r="BR1315" s="20">
        <v>0</v>
      </c>
      <c r="BS1315" s="20">
        <v>484</v>
      </c>
      <c r="BT1315" s="20">
        <v>3299999.9999999995</v>
      </c>
      <c r="BU1315" s="20">
        <v>21780000</v>
      </c>
      <c r="BV1315" s="20">
        <v>6</v>
      </c>
    </row>
    <row r="1316" spans="1:74">
      <c r="A1316" s="10">
        <f t="shared" si="82"/>
        <v>0</v>
      </c>
      <c r="B1316" s="10">
        <f t="shared" si="83"/>
        <v>0</v>
      </c>
      <c r="C1316" s="12">
        <f t="shared" si="84"/>
        <v>11</v>
      </c>
      <c r="D1316" s="12">
        <f t="shared" si="85"/>
        <v>11</v>
      </c>
      <c r="E1316" s="20" t="s">
        <v>114</v>
      </c>
      <c r="F1316" s="20" t="s">
        <v>2667</v>
      </c>
      <c r="G1316" s="20" t="s">
        <v>5089</v>
      </c>
      <c r="H1316" s="20" t="s">
        <v>5129</v>
      </c>
      <c r="I1316" s="20">
        <v>14</v>
      </c>
      <c r="J1316" s="20" t="s">
        <v>5130</v>
      </c>
      <c r="K1316" s="20" t="s">
        <v>5131</v>
      </c>
      <c r="L1316" s="20" t="s">
        <v>4376</v>
      </c>
      <c r="M1316" s="20" t="s">
        <v>2667</v>
      </c>
      <c r="N1316" s="20" t="s">
        <v>4340</v>
      </c>
      <c r="P1316" s="20" t="s">
        <v>2667</v>
      </c>
      <c r="Q1316" s="20" t="s">
        <v>2674</v>
      </c>
      <c r="R1316" s="20" t="s">
        <v>84</v>
      </c>
      <c r="S1316" s="20">
        <v>5</v>
      </c>
      <c r="T1316" s="20" t="s">
        <v>395</v>
      </c>
      <c r="U1316" s="20" t="s">
        <v>396</v>
      </c>
      <c r="V1316" s="20" t="s">
        <v>87</v>
      </c>
      <c r="W1316" s="20">
        <v>840</v>
      </c>
      <c r="X1316" s="20">
        <v>840</v>
      </c>
      <c r="Y1316" s="20" t="s">
        <v>4377</v>
      </c>
      <c r="Z1316" s="20">
        <v>0</v>
      </c>
      <c r="AA1316" s="20" t="s">
        <v>4378</v>
      </c>
      <c r="AB1316" s="20" t="s">
        <v>101</v>
      </c>
      <c r="AC1316" s="20" t="s">
        <v>102</v>
      </c>
      <c r="AD1316" s="20" t="s">
        <v>4379</v>
      </c>
      <c r="AE1316" s="20" t="s">
        <v>5071</v>
      </c>
      <c r="AF1316" s="20">
        <v>0</v>
      </c>
      <c r="AG1316" s="20">
        <v>0</v>
      </c>
      <c r="AH1316" s="20">
        <v>1</v>
      </c>
      <c r="AI1316" s="4" t="s">
        <v>251</v>
      </c>
      <c r="AJ1316" s="20">
        <v>145</v>
      </c>
      <c r="AK1316" s="4" t="s">
        <v>179</v>
      </c>
      <c r="AL1316" s="4">
        <v>35</v>
      </c>
      <c r="AM1316" s="4">
        <v>35</v>
      </c>
      <c r="AN1316" s="4" t="s">
        <v>95</v>
      </c>
      <c r="AO1316" s="4" t="s">
        <v>96</v>
      </c>
      <c r="AP1316" s="4">
        <v>1</v>
      </c>
      <c r="AQ1316" s="20">
        <v>45000</v>
      </c>
      <c r="AR1316" s="4">
        <v>41918</v>
      </c>
      <c r="AS1316" s="20">
        <v>6818.1818181818171</v>
      </c>
      <c r="AT1316" s="20">
        <v>0</v>
      </c>
      <c r="AU1316" s="20">
        <v>-6818.1818181818171</v>
      </c>
      <c r="AV1316" s="20">
        <v>0</v>
      </c>
      <c r="AW1316" s="20">
        <v>0</v>
      </c>
      <c r="AX1316" s="20" t="s">
        <v>91</v>
      </c>
      <c r="AY1316" s="20">
        <v>0</v>
      </c>
      <c r="AZ1316" s="20">
        <v>0</v>
      </c>
      <c r="BA1316" s="20">
        <v>0</v>
      </c>
      <c r="BB1316" s="6">
        <v>41947</v>
      </c>
      <c r="BC1316" s="6">
        <v>0</v>
      </c>
      <c r="BD1316" s="6">
        <v>41948</v>
      </c>
      <c r="BE1316" s="6">
        <v>0</v>
      </c>
      <c r="BF1316" s="6">
        <v>41947</v>
      </c>
      <c r="BG1316" s="6">
        <v>0</v>
      </c>
      <c r="BH1316" s="6">
        <v>0</v>
      </c>
      <c r="BI1316" s="6">
        <v>0</v>
      </c>
      <c r="BJ1316" s="6">
        <v>0</v>
      </c>
      <c r="BK1316" s="4">
        <v>0</v>
      </c>
      <c r="BL1316" s="4">
        <v>0</v>
      </c>
      <c r="BM1316" s="20">
        <v>145</v>
      </c>
      <c r="BN1316" s="20">
        <v>0</v>
      </c>
      <c r="BO1316" s="20">
        <v>0</v>
      </c>
      <c r="BP1316" s="20">
        <v>0</v>
      </c>
      <c r="BQ1316" s="20">
        <v>0</v>
      </c>
      <c r="BR1316" s="20">
        <v>0</v>
      </c>
      <c r="BS1316" s="20">
        <v>145</v>
      </c>
      <c r="BT1316" s="20">
        <v>988636.36363636353</v>
      </c>
      <c r="BU1316" s="20">
        <v>6525000</v>
      </c>
      <c r="BV1316" s="20">
        <v>6</v>
      </c>
    </row>
    <row r="1317" spans="1:74">
      <c r="A1317" s="10">
        <f t="shared" si="82"/>
        <v>0</v>
      </c>
      <c r="B1317" s="10">
        <f t="shared" si="83"/>
        <v>0</v>
      </c>
      <c r="C1317" s="12">
        <f t="shared" si="84"/>
        <v>11</v>
      </c>
      <c r="D1317" s="12">
        <f t="shared" si="85"/>
        <v>11</v>
      </c>
      <c r="E1317" s="20" t="s">
        <v>114</v>
      </c>
      <c r="F1317" s="20" t="s">
        <v>2667</v>
      </c>
      <c r="G1317" s="20" t="s">
        <v>5089</v>
      </c>
      <c r="H1317" s="20" t="s">
        <v>5132</v>
      </c>
      <c r="I1317" s="20">
        <v>15</v>
      </c>
      <c r="J1317" s="20" t="s">
        <v>5133</v>
      </c>
      <c r="K1317" s="20" t="s">
        <v>5134</v>
      </c>
      <c r="L1317" s="20" t="s">
        <v>4410</v>
      </c>
      <c r="M1317" s="20" t="s">
        <v>2667</v>
      </c>
      <c r="N1317" s="20" t="s">
        <v>4384</v>
      </c>
      <c r="P1317" s="20" t="s">
        <v>2667</v>
      </c>
      <c r="Q1317" s="20" t="s">
        <v>2674</v>
      </c>
      <c r="R1317" s="20" t="s">
        <v>84</v>
      </c>
      <c r="S1317" s="20">
        <v>5</v>
      </c>
      <c r="T1317" s="20" t="s">
        <v>480</v>
      </c>
      <c r="U1317" s="20" t="s">
        <v>481</v>
      </c>
      <c r="V1317" s="20" t="s">
        <v>87</v>
      </c>
      <c r="W1317" s="20">
        <v>831</v>
      </c>
      <c r="X1317" s="20">
        <v>831</v>
      </c>
      <c r="Y1317" s="20" t="s">
        <v>4411</v>
      </c>
      <c r="Z1317" s="20">
        <v>0</v>
      </c>
      <c r="AA1317" s="20" t="s">
        <v>4412</v>
      </c>
      <c r="AB1317" s="20" t="s">
        <v>109</v>
      </c>
      <c r="AC1317" s="20" t="s">
        <v>110</v>
      </c>
      <c r="AD1317" s="20" t="s">
        <v>4413</v>
      </c>
      <c r="AE1317" s="20" t="s">
        <v>5071</v>
      </c>
      <c r="AF1317" s="20">
        <v>0</v>
      </c>
      <c r="AG1317" s="20">
        <v>0</v>
      </c>
      <c r="AH1317" s="20">
        <v>1</v>
      </c>
      <c r="AI1317" s="4" t="s">
        <v>251</v>
      </c>
      <c r="AJ1317" s="20">
        <v>200</v>
      </c>
      <c r="AK1317" s="4" t="s">
        <v>179</v>
      </c>
      <c r="AL1317" s="4">
        <v>35</v>
      </c>
      <c r="AM1317" s="4">
        <v>35</v>
      </c>
      <c r="AN1317" s="4" t="s">
        <v>95</v>
      </c>
      <c r="AO1317" s="4" t="s">
        <v>96</v>
      </c>
      <c r="AP1317" s="4">
        <v>1</v>
      </c>
      <c r="AQ1317" s="20">
        <v>49000</v>
      </c>
      <c r="AR1317" s="4">
        <v>41918</v>
      </c>
      <c r="AS1317" s="20">
        <v>7424.242424242424</v>
      </c>
      <c r="AT1317" s="20">
        <v>0</v>
      </c>
      <c r="AU1317" s="20">
        <v>-7424.242424242424</v>
      </c>
      <c r="AV1317" s="20">
        <v>0</v>
      </c>
      <c r="AW1317" s="20">
        <v>0</v>
      </c>
      <c r="AX1317" s="20" t="s">
        <v>91</v>
      </c>
      <c r="AY1317" s="20">
        <v>0</v>
      </c>
      <c r="AZ1317" s="20">
        <v>0</v>
      </c>
      <c r="BA1317" s="20">
        <v>0</v>
      </c>
      <c r="BB1317" s="6">
        <v>41947</v>
      </c>
      <c r="BC1317" s="6">
        <v>0</v>
      </c>
      <c r="BD1317" s="6">
        <v>41948</v>
      </c>
      <c r="BE1317" s="6">
        <v>0</v>
      </c>
      <c r="BF1317" s="6">
        <v>41947</v>
      </c>
      <c r="BG1317" s="6">
        <v>0</v>
      </c>
      <c r="BH1317" s="6">
        <v>0</v>
      </c>
      <c r="BI1317" s="6">
        <v>0</v>
      </c>
      <c r="BJ1317" s="6">
        <v>0</v>
      </c>
      <c r="BK1317" s="4">
        <v>0</v>
      </c>
      <c r="BL1317" s="4">
        <v>0</v>
      </c>
      <c r="BM1317" s="20">
        <v>200</v>
      </c>
      <c r="BN1317" s="20">
        <v>0</v>
      </c>
      <c r="BO1317" s="20">
        <v>0</v>
      </c>
      <c r="BP1317" s="20">
        <v>0</v>
      </c>
      <c r="BQ1317" s="20">
        <v>0</v>
      </c>
      <c r="BR1317" s="20">
        <v>0</v>
      </c>
      <c r="BS1317" s="20">
        <v>200</v>
      </c>
      <c r="BT1317" s="20">
        <v>1484848.4848484849</v>
      </c>
      <c r="BU1317" s="20">
        <v>9800000</v>
      </c>
      <c r="BV1317" s="20">
        <v>5.9999999999999991</v>
      </c>
    </row>
    <row r="1318" spans="1:74">
      <c r="A1318" s="10">
        <f t="shared" si="82"/>
        <v>0</v>
      </c>
      <c r="B1318" s="10">
        <f t="shared" si="83"/>
        <v>0</v>
      </c>
      <c r="C1318" s="12">
        <f t="shared" si="84"/>
        <v>11</v>
      </c>
      <c r="D1318" s="12">
        <f t="shared" si="85"/>
        <v>11</v>
      </c>
      <c r="E1318" s="20" t="s">
        <v>114</v>
      </c>
      <c r="F1318" s="20" t="s">
        <v>2667</v>
      </c>
      <c r="G1318" s="20" t="s">
        <v>5089</v>
      </c>
      <c r="H1318" s="20" t="s">
        <v>5135</v>
      </c>
      <c r="I1318" s="20">
        <v>16</v>
      </c>
      <c r="J1318" s="20" t="s">
        <v>5136</v>
      </c>
      <c r="K1318" s="20" t="s">
        <v>5137</v>
      </c>
      <c r="L1318" s="20" t="s">
        <v>4410</v>
      </c>
      <c r="M1318" s="20" t="s">
        <v>2667</v>
      </c>
      <c r="N1318" s="20" t="s">
        <v>4384</v>
      </c>
      <c r="P1318" s="20" t="s">
        <v>2667</v>
      </c>
      <c r="Q1318" s="20" t="s">
        <v>2674</v>
      </c>
      <c r="R1318" s="20" t="s">
        <v>84</v>
      </c>
      <c r="S1318" s="20">
        <v>5</v>
      </c>
      <c r="T1318" s="20" t="s">
        <v>480</v>
      </c>
      <c r="U1318" s="20" t="s">
        <v>481</v>
      </c>
      <c r="V1318" s="20" t="s">
        <v>87</v>
      </c>
      <c r="W1318" s="20">
        <v>831</v>
      </c>
      <c r="X1318" s="20">
        <v>831</v>
      </c>
      <c r="Y1318" s="20" t="s">
        <v>4411</v>
      </c>
      <c r="Z1318" s="20">
        <v>0</v>
      </c>
      <c r="AA1318" s="20" t="s">
        <v>4417</v>
      </c>
      <c r="AB1318" s="20" t="s">
        <v>718</v>
      </c>
      <c r="AC1318" s="20" t="s">
        <v>719</v>
      </c>
      <c r="AD1318" s="20" t="s">
        <v>4418</v>
      </c>
      <c r="AE1318" s="20" t="s">
        <v>5071</v>
      </c>
      <c r="AF1318" s="20">
        <v>0</v>
      </c>
      <c r="AG1318" s="20">
        <v>0</v>
      </c>
      <c r="AH1318" s="20">
        <v>1</v>
      </c>
      <c r="AI1318" s="4" t="s">
        <v>251</v>
      </c>
      <c r="AJ1318" s="20">
        <v>200</v>
      </c>
      <c r="AK1318" s="4" t="s">
        <v>179</v>
      </c>
      <c r="AL1318" s="4">
        <v>35</v>
      </c>
      <c r="AM1318" s="4">
        <v>35</v>
      </c>
      <c r="AN1318" s="4" t="s">
        <v>95</v>
      </c>
      <c r="AO1318" s="4" t="s">
        <v>96</v>
      </c>
      <c r="AP1318" s="4">
        <v>1</v>
      </c>
      <c r="AQ1318" s="20">
        <v>49000</v>
      </c>
      <c r="AR1318" s="4">
        <v>41918</v>
      </c>
      <c r="AS1318" s="20">
        <v>7424.242424242424</v>
      </c>
      <c r="AT1318" s="20">
        <v>0</v>
      </c>
      <c r="AU1318" s="20">
        <v>-7424.242424242424</v>
      </c>
      <c r="AV1318" s="20">
        <v>0</v>
      </c>
      <c r="AW1318" s="20">
        <v>0</v>
      </c>
      <c r="AX1318" s="20" t="s">
        <v>91</v>
      </c>
      <c r="AY1318" s="20">
        <v>0</v>
      </c>
      <c r="AZ1318" s="20">
        <v>0</v>
      </c>
      <c r="BA1318" s="20">
        <v>0</v>
      </c>
      <c r="BB1318" s="6">
        <v>41947</v>
      </c>
      <c r="BC1318" s="6">
        <v>0</v>
      </c>
      <c r="BD1318" s="6">
        <v>41948</v>
      </c>
      <c r="BE1318" s="6">
        <v>0</v>
      </c>
      <c r="BF1318" s="6">
        <v>41947</v>
      </c>
      <c r="BG1318" s="6">
        <v>0</v>
      </c>
      <c r="BH1318" s="6">
        <v>0</v>
      </c>
      <c r="BI1318" s="6">
        <v>0</v>
      </c>
      <c r="BJ1318" s="6">
        <v>0</v>
      </c>
      <c r="BK1318" s="4">
        <v>0</v>
      </c>
      <c r="BL1318" s="4">
        <v>0</v>
      </c>
      <c r="BM1318" s="20">
        <v>200</v>
      </c>
      <c r="BN1318" s="20">
        <v>0</v>
      </c>
      <c r="BO1318" s="20">
        <v>0</v>
      </c>
      <c r="BP1318" s="20">
        <v>0</v>
      </c>
      <c r="BQ1318" s="20">
        <v>0</v>
      </c>
      <c r="BR1318" s="20">
        <v>0</v>
      </c>
      <c r="BS1318" s="20">
        <v>200</v>
      </c>
      <c r="BT1318" s="20">
        <v>1484848.4848484849</v>
      </c>
      <c r="BU1318" s="20">
        <v>9800000</v>
      </c>
      <c r="BV1318" s="20">
        <v>5.9999999999999991</v>
      </c>
    </row>
    <row r="1319" spans="1:74">
      <c r="A1319" s="10">
        <f t="shared" si="82"/>
        <v>0</v>
      </c>
      <c r="B1319" s="10">
        <f t="shared" si="83"/>
        <v>0</v>
      </c>
      <c r="C1319" s="12">
        <f t="shared" si="84"/>
        <v>11</v>
      </c>
      <c r="D1319" s="12">
        <f t="shared" si="85"/>
        <v>11</v>
      </c>
      <c r="E1319" s="20" t="s">
        <v>114</v>
      </c>
      <c r="F1319" s="20" t="s">
        <v>2667</v>
      </c>
      <c r="G1319" s="20" t="s">
        <v>5089</v>
      </c>
      <c r="H1319" s="20" t="s">
        <v>5138</v>
      </c>
      <c r="I1319" s="20">
        <v>17</v>
      </c>
      <c r="J1319" s="20" t="s">
        <v>5139</v>
      </c>
      <c r="K1319" s="20" t="s">
        <v>5140</v>
      </c>
      <c r="L1319" s="20" t="s">
        <v>4422</v>
      </c>
      <c r="M1319" s="20" t="s">
        <v>2667</v>
      </c>
      <c r="N1319" s="20" t="s">
        <v>4423</v>
      </c>
      <c r="P1319" s="20" t="s">
        <v>2667</v>
      </c>
      <c r="Q1319" s="20" t="s">
        <v>2674</v>
      </c>
      <c r="R1319" s="20" t="s">
        <v>84</v>
      </c>
      <c r="S1319" s="20">
        <v>5</v>
      </c>
      <c r="T1319" s="20" t="s">
        <v>413</v>
      </c>
      <c r="U1319" s="20" t="s">
        <v>414</v>
      </c>
      <c r="V1319" s="20" t="s">
        <v>87</v>
      </c>
      <c r="W1319" s="20">
        <v>822</v>
      </c>
      <c r="X1319" s="20">
        <v>822</v>
      </c>
      <c r="Y1319" s="20" t="s">
        <v>4424</v>
      </c>
      <c r="Z1319" s="20">
        <v>0</v>
      </c>
      <c r="AA1319" s="20" t="s">
        <v>4425</v>
      </c>
      <c r="AB1319" s="20" t="s">
        <v>718</v>
      </c>
      <c r="AC1319" s="20" t="s">
        <v>719</v>
      </c>
      <c r="AD1319" s="20" t="s">
        <v>4426</v>
      </c>
      <c r="AE1319" s="20" t="s">
        <v>5071</v>
      </c>
      <c r="AF1319" s="20">
        <v>0</v>
      </c>
      <c r="AG1319" s="20">
        <v>0</v>
      </c>
      <c r="AH1319" s="20">
        <v>1</v>
      </c>
      <c r="AI1319" s="4" t="s">
        <v>251</v>
      </c>
      <c r="AJ1319" s="20">
        <v>152</v>
      </c>
      <c r="AK1319" s="4" t="s">
        <v>179</v>
      </c>
      <c r="AL1319" s="4">
        <v>35</v>
      </c>
      <c r="AM1319" s="4">
        <v>35</v>
      </c>
      <c r="AN1319" s="4" t="s">
        <v>95</v>
      </c>
      <c r="AO1319" s="4" t="s">
        <v>96</v>
      </c>
      <c r="AP1319" s="4">
        <v>1</v>
      </c>
      <c r="AQ1319" s="20">
        <v>45000</v>
      </c>
      <c r="AR1319" s="4">
        <v>41918</v>
      </c>
      <c r="AS1319" s="20">
        <v>6818.1818181818171</v>
      </c>
      <c r="AT1319" s="20">
        <v>0</v>
      </c>
      <c r="AU1319" s="20">
        <v>-6818.1818181818171</v>
      </c>
      <c r="AV1319" s="20">
        <v>0</v>
      </c>
      <c r="AW1319" s="20">
        <v>0</v>
      </c>
      <c r="AX1319" s="20" t="s">
        <v>91</v>
      </c>
      <c r="AY1319" s="20">
        <v>0</v>
      </c>
      <c r="AZ1319" s="20">
        <v>0</v>
      </c>
      <c r="BA1319" s="20">
        <v>0</v>
      </c>
      <c r="BB1319" s="6">
        <v>41947</v>
      </c>
      <c r="BC1319" s="6">
        <v>0</v>
      </c>
      <c r="BD1319" s="6">
        <v>41948</v>
      </c>
      <c r="BE1319" s="6">
        <v>0</v>
      </c>
      <c r="BF1319" s="6">
        <v>41947</v>
      </c>
      <c r="BG1319" s="6">
        <v>0</v>
      </c>
      <c r="BH1319" s="6">
        <v>0</v>
      </c>
      <c r="BI1319" s="6">
        <v>0</v>
      </c>
      <c r="BJ1319" s="6">
        <v>0</v>
      </c>
      <c r="BK1319" s="4">
        <v>0</v>
      </c>
      <c r="BL1319" s="4">
        <v>0</v>
      </c>
      <c r="BM1319" s="20">
        <v>152</v>
      </c>
      <c r="BN1319" s="20">
        <v>0</v>
      </c>
      <c r="BO1319" s="20">
        <v>0</v>
      </c>
      <c r="BP1319" s="20">
        <v>0</v>
      </c>
      <c r="BQ1319" s="20">
        <v>0</v>
      </c>
      <c r="BR1319" s="20">
        <v>0</v>
      </c>
      <c r="BS1319" s="20">
        <v>152</v>
      </c>
      <c r="BT1319" s="20">
        <v>1036363.6363636362</v>
      </c>
      <c r="BU1319" s="20">
        <v>6840000</v>
      </c>
      <c r="BV1319" s="20">
        <v>6</v>
      </c>
    </row>
    <row r="1320" spans="1:74">
      <c r="A1320" s="10">
        <f t="shared" si="82"/>
        <v>0</v>
      </c>
      <c r="B1320" s="10">
        <f t="shared" si="83"/>
        <v>0</v>
      </c>
      <c r="C1320" s="12" t="str">
        <f t="shared" si="84"/>
        <v/>
      </c>
      <c r="D1320" s="12" t="str">
        <f t="shared" si="85"/>
        <v/>
      </c>
      <c r="E1320" s="20" t="s">
        <v>91</v>
      </c>
      <c r="F1320" s="20" t="s">
        <v>91</v>
      </c>
      <c r="G1320" s="20" t="s">
        <v>91</v>
      </c>
      <c r="H1320" s="20" t="s">
        <v>91</v>
      </c>
      <c r="I1320" s="20">
        <v>0</v>
      </c>
      <c r="J1320" s="20" t="s">
        <v>103</v>
      </c>
      <c r="K1320" s="20" t="s">
        <v>104</v>
      </c>
      <c r="L1320" s="20">
        <v>0</v>
      </c>
      <c r="M1320" s="20" t="s">
        <v>105</v>
      </c>
      <c r="N1320" s="20" t="s">
        <v>91</v>
      </c>
      <c r="O1320" s="20" t="s">
        <v>5141</v>
      </c>
      <c r="Q1320" s="20" t="s">
        <v>91</v>
      </c>
      <c r="R1320" s="20" t="s">
        <v>91</v>
      </c>
      <c r="S1320" s="20" t="s">
        <v>91</v>
      </c>
      <c r="T1320" s="20" t="s">
        <v>91</v>
      </c>
      <c r="U1320" s="20" t="s">
        <v>91</v>
      </c>
      <c r="V1320" s="20" t="s">
        <v>87</v>
      </c>
      <c r="W1320" s="20" t="s">
        <v>91</v>
      </c>
      <c r="X1320" s="20" t="s">
        <v>91</v>
      </c>
      <c r="Y1320" s="20" t="s">
        <v>91</v>
      </c>
      <c r="Z1320" s="20">
        <v>0</v>
      </c>
      <c r="AB1320" s="20" t="s">
        <v>91</v>
      </c>
      <c r="AD1320" s="20" t="s">
        <v>91</v>
      </c>
      <c r="AE1320" s="20" t="s">
        <v>91</v>
      </c>
      <c r="AF1320" s="20">
        <v>0</v>
      </c>
      <c r="AG1320" s="20">
        <v>0</v>
      </c>
      <c r="AH1320" s="20">
        <v>1</v>
      </c>
      <c r="AM1320" s="4" t="s">
        <v>91</v>
      </c>
      <c r="AP1320" s="4" t="s">
        <v>91</v>
      </c>
      <c r="AQ1320" s="20">
        <v>0</v>
      </c>
      <c r="AR1320" s="4">
        <v>0</v>
      </c>
      <c r="AS1320" s="20">
        <v>0</v>
      </c>
      <c r="AT1320" s="20">
        <v>0</v>
      </c>
      <c r="AU1320" s="20">
        <v>0</v>
      </c>
      <c r="AV1320" s="20">
        <v>0</v>
      </c>
      <c r="AW1320" s="20">
        <v>0</v>
      </c>
      <c r="AX1320" s="20" t="s">
        <v>91</v>
      </c>
      <c r="AY1320" s="20">
        <v>0</v>
      </c>
      <c r="AZ1320" s="20">
        <v>0</v>
      </c>
      <c r="BA1320" s="20">
        <v>0</v>
      </c>
      <c r="BB1320" s="6">
        <v>0</v>
      </c>
      <c r="BC1320" s="6">
        <v>0</v>
      </c>
      <c r="BD1320" s="6">
        <v>0</v>
      </c>
      <c r="BE1320" s="6">
        <v>0</v>
      </c>
      <c r="BF1320" s="6">
        <v>0</v>
      </c>
      <c r="BG1320" s="6">
        <v>0</v>
      </c>
      <c r="BH1320" s="6">
        <v>0</v>
      </c>
      <c r="BI1320" s="6">
        <v>0</v>
      </c>
      <c r="BJ1320" s="6">
        <v>0</v>
      </c>
      <c r="BK1320" s="4">
        <v>0</v>
      </c>
      <c r="BL1320" s="4">
        <v>0</v>
      </c>
      <c r="BM1320" s="20">
        <v>4415</v>
      </c>
      <c r="BN1320" s="20">
        <v>0</v>
      </c>
      <c r="BO1320" s="20">
        <v>0</v>
      </c>
      <c r="BP1320" s="20">
        <v>0</v>
      </c>
      <c r="BQ1320" s="20">
        <v>0</v>
      </c>
      <c r="BR1320" s="20">
        <v>0</v>
      </c>
      <c r="BS1320" s="20">
        <v>4415</v>
      </c>
      <c r="BT1320" s="20">
        <v>28746818.18181818</v>
      </c>
      <c r="BU1320" s="20">
        <v>189729000</v>
      </c>
      <c r="BV1320" s="20">
        <v>6</v>
      </c>
    </row>
    <row r="1321" spans="1:74">
      <c r="A1321" s="10">
        <f t="shared" si="82"/>
        <v>0</v>
      </c>
      <c r="B1321" s="10">
        <f t="shared" si="83"/>
        <v>0</v>
      </c>
      <c r="C1321" s="12">
        <f t="shared" si="84"/>
        <v>11</v>
      </c>
      <c r="D1321" s="12">
        <f t="shared" si="85"/>
        <v>11</v>
      </c>
      <c r="E1321" s="20" t="s">
        <v>114</v>
      </c>
      <c r="F1321" s="20" t="s">
        <v>2667</v>
      </c>
      <c r="G1321" s="20" t="s">
        <v>5142</v>
      </c>
      <c r="H1321" s="20" t="s">
        <v>5143</v>
      </c>
      <c r="I1321" s="20">
        <v>1</v>
      </c>
      <c r="J1321" s="20" t="s">
        <v>5144</v>
      </c>
      <c r="K1321" s="20" t="s">
        <v>5145</v>
      </c>
      <c r="L1321" s="20" t="s">
        <v>4454</v>
      </c>
      <c r="M1321" s="20" t="s">
        <v>2667</v>
      </c>
      <c r="N1321" s="20" t="s">
        <v>4433</v>
      </c>
      <c r="P1321" s="20" t="s">
        <v>2667</v>
      </c>
      <c r="Q1321" s="20" t="s">
        <v>2674</v>
      </c>
      <c r="R1321" s="20" t="s">
        <v>84</v>
      </c>
      <c r="S1321" s="20">
        <v>5</v>
      </c>
      <c r="T1321" s="20" t="s">
        <v>106</v>
      </c>
      <c r="U1321" s="20" t="s">
        <v>107</v>
      </c>
      <c r="V1321" s="20" t="s">
        <v>87</v>
      </c>
      <c r="W1321" s="20">
        <v>833</v>
      </c>
      <c r="X1321" s="20">
        <v>833</v>
      </c>
      <c r="Y1321" s="20" t="s">
        <v>4455</v>
      </c>
      <c r="Z1321" s="20">
        <v>0</v>
      </c>
      <c r="AA1321" s="20" t="s">
        <v>4456</v>
      </c>
      <c r="AB1321" s="20" t="s">
        <v>109</v>
      </c>
      <c r="AC1321" s="20" t="s">
        <v>110</v>
      </c>
      <c r="AD1321" s="20" t="s">
        <v>4457</v>
      </c>
      <c r="AE1321" s="20" t="s">
        <v>5071</v>
      </c>
      <c r="AF1321" s="20">
        <v>0</v>
      </c>
      <c r="AG1321" s="20">
        <v>0</v>
      </c>
      <c r="AH1321" s="20">
        <v>1</v>
      </c>
      <c r="AI1321" s="4" t="s">
        <v>251</v>
      </c>
      <c r="AJ1321" s="20">
        <v>214</v>
      </c>
      <c r="AK1321" s="4" t="s">
        <v>111</v>
      </c>
      <c r="AL1321" s="4">
        <v>27</v>
      </c>
      <c r="AM1321" s="4">
        <v>27</v>
      </c>
      <c r="AN1321" s="4" t="s">
        <v>95</v>
      </c>
      <c r="AO1321" s="4" t="s">
        <v>96</v>
      </c>
      <c r="AP1321" s="4">
        <v>1</v>
      </c>
      <c r="AQ1321" s="20">
        <v>55000</v>
      </c>
      <c r="AR1321" s="4">
        <v>41918</v>
      </c>
      <c r="AS1321" s="20">
        <v>8333.3333333333321</v>
      </c>
      <c r="AT1321" s="20">
        <v>0</v>
      </c>
      <c r="AU1321" s="20">
        <v>-8333.3333333333321</v>
      </c>
      <c r="AV1321" s="20">
        <v>0</v>
      </c>
      <c r="AW1321" s="20">
        <v>0</v>
      </c>
      <c r="AX1321" s="20" t="s">
        <v>91</v>
      </c>
      <c r="AY1321" s="20">
        <v>0</v>
      </c>
      <c r="AZ1321" s="20">
        <v>0</v>
      </c>
      <c r="BA1321" s="20">
        <v>0</v>
      </c>
      <c r="BB1321" s="6">
        <v>41947</v>
      </c>
      <c r="BC1321" s="6">
        <v>0</v>
      </c>
      <c r="BD1321" s="6">
        <v>41948</v>
      </c>
      <c r="BE1321" s="6">
        <v>0</v>
      </c>
      <c r="BF1321" s="6">
        <v>41947</v>
      </c>
      <c r="BG1321" s="6">
        <v>0</v>
      </c>
      <c r="BH1321" s="6">
        <v>0</v>
      </c>
      <c r="BI1321" s="6">
        <v>0</v>
      </c>
      <c r="BJ1321" s="6">
        <v>0</v>
      </c>
      <c r="BK1321" s="4">
        <v>0</v>
      </c>
      <c r="BL1321" s="4">
        <v>0</v>
      </c>
      <c r="BM1321" s="20">
        <v>194</v>
      </c>
      <c r="BN1321" s="20">
        <v>0</v>
      </c>
      <c r="BO1321" s="20">
        <v>0</v>
      </c>
      <c r="BP1321" s="20">
        <v>0</v>
      </c>
      <c r="BQ1321" s="20">
        <v>0</v>
      </c>
      <c r="BR1321" s="20">
        <v>0</v>
      </c>
      <c r="BS1321" s="20">
        <v>214</v>
      </c>
      <c r="BT1321" s="20">
        <v>1783333.333333333</v>
      </c>
      <c r="BU1321" s="20">
        <v>11770000</v>
      </c>
      <c r="BV1321" s="20">
        <v>6.0000000000000009</v>
      </c>
    </row>
    <row r="1322" spans="1:74">
      <c r="A1322" s="10">
        <f t="shared" si="82"/>
        <v>0</v>
      </c>
      <c r="B1322" s="10">
        <f t="shared" si="83"/>
        <v>0</v>
      </c>
      <c r="C1322" s="12">
        <f t="shared" si="84"/>
        <v>11</v>
      </c>
      <c r="D1322" s="12">
        <f t="shared" si="85"/>
        <v>11</v>
      </c>
      <c r="E1322" s="20" t="s">
        <v>114</v>
      </c>
      <c r="F1322" s="20" t="s">
        <v>2667</v>
      </c>
      <c r="G1322" s="20" t="s">
        <v>5142</v>
      </c>
      <c r="H1322" s="20" t="s">
        <v>5146</v>
      </c>
      <c r="I1322" s="20">
        <v>2</v>
      </c>
      <c r="J1322" s="20" t="s">
        <v>5147</v>
      </c>
      <c r="K1322" s="20" t="s">
        <v>5148</v>
      </c>
      <c r="L1322" s="20" t="s">
        <v>4461</v>
      </c>
      <c r="M1322" s="20" t="s">
        <v>2667</v>
      </c>
      <c r="N1322" s="20" t="s">
        <v>4433</v>
      </c>
      <c r="P1322" s="20" t="s">
        <v>2667</v>
      </c>
      <c r="Q1322" s="20" t="s">
        <v>2674</v>
      </c>
      <c r="R1322" s="20" t="s">
        <v>84</v>
      </c>
      <c r="S1322" s="20">
        <v>5</v>
      </c>
      <c r="T1322" s="20" t="s">
        <v>106</v>
      </c>
      <c r="U1322" s="20" t="s">
        <v>107</v>
      </c>
      <c r="V1322" s="20" t="s">
        <v>87</v>
      </c>
      <c r="W1322" s="20">
        <v>834</v>
      </c>
      <c r="X1322" s="20">
        <v>834</v>
      </c>
      <c r="Y1322" s="20" t="s">
        <v>4462</v>
      </c>
      <c r="Z1322" s="20">
        <v>0</v>
      </c>
      <c r="AA1322" s="20" t="s">
        <v>4463</v>
      </c>
      <c r="AB1322" s="20" t="s">
        <v>279</v>
      </c>
      <c r="AC1322" s="20" t="s">
        <v>280</v>
      </c>
      <c r="AD1322" s="20" t="s">
        <v>4464</v>
      </c>
      <c r="AE1322" s="20" t="s">
        <v>5071</v>
      </c>
      <c r="AF1322" s="20">
        <v>0</v>
      </c>
      <c r="AG1322" s="20">
        <v>0</v>
      </c>
      <c r="AH1322" s="20">
        <v>1</v>
      </c>
      <c r="AI1322" s="4" t="s">
        <v>251</v>
      </c>
      <c r="AJ1322" s="20">
        <v>79</v>
      </c>
      <c r="AK1322" s="4" t="s">
        <v>111</v>
      </c>
      <c r="AL1322" s="4">
        <v>27</v>
      </c>
      <c r="AM1322" s="4">
        <v>27</v>
      </c>
      <c r="AN1322" s="4" t="s">
        <v>95</v>
      </c>
      <c r="AO1322" s="4" t="s">
        <v>96</v>
      </c>
      <c r="AP1322" s="4">
        <v>1</v>
      </c>
      <c r="AQ1322" s="20">
        <v>55000</v>
      </c>
      <c r="AR1322" s="4">
        <v>41918</v>
      </c>
      <c r="AS1322" s="20">
        <v>8333.3333333333321</v>
      </c>
      <c r="AT1322" s="20">
        <v>0</v>
      </c>
      <c r="AU1322" s="20">
        <v>-8333.3333333333321</v>
      </c>
      <c r="AV1322" s="20">
        <v>0</v>
      </c>
      <c r="AW1322" s="20">
        <v>0</v>
      </c>
      <c r="AX1322" s="20" t="s">
        <v>91</v>
      </c>
      <c r="AY1322" s="20">
        <v>0</v>
      </c>
      <c r="AZ1322" s="20">
        <v>0</v>
      </c>
      <c r="BA1322" s="20">
        <v>0</v>
      </c>
      <c r="BB1322" s="6">
        <v>41947</v>
      </c>
      <c r="BC1322" s="6">
        <v>0</v>
      </c>
      <c r="BD1322" s="6">
        <v>41948</v>
      </c>
      <c r="BE1322" s="6">
        <v>0</v>
      </c>
      <c r="BF1322" s="6">
        <v>41947</v>
      </c>
      <c r="BG1322" s="6">
        <v>0</v>
      </c>
      <c r="BH1322" s="6">
        <v>0</v>
      </c>
      <c r="BI1322" s="6">
        <v>0</v>
      </c>
      <c r="BJ1322" s="6">
        <v>0</v>
      </c>
      <c r="BK1322" s="4">
        <v>0</v>
      </c>
      <c r="BL1322" s="4">
        <v>0</v>
      </c>
      <c r="BM1322" s="20">
        <v>79</v>
      </c>
      <c r="BN1322" s="20">
        <v>0</v>
      </c>
      <c r="BO1322" s="20">
        <v>0</v>
      </c>
      <c r="BP1322" s="20">
        <v>0</v>
      </c>
      <c r="BQ1322" s="20">
        <v>0</v>
      </c>
      <c r="BR1322" s="20">
        <v>0</v>
      </c>
      <c r="BS1322" s="20">
        <v>79</v>
      </c>
      <c r="BT1322" s="20">
        <v>658333.33333333326</v>
      </c>
      <c r="BU1322" s="20">
        <v>4345000</v>
      </c>
      <c r="BV1322" s="20">
        <v>6</v>
      </c>
    </row>
    <row r="1323" spans="1:74">
      <c r="A1323" s="10">
        <f t="shared" si="82"/>
        <v>0</v>
      </c>
      <c r="B1323" s="10">
        <f t="shared" si="83"/>
        <v>0</v>
      </c>
      <c r="C1323" s="12" t="str">
        <f t="shared" si="84"/>
        <v/>
      </c>
      <c r="D1323" s="12" t="str">
        <f t="shared" si="85"/>
        <v/>
      </c>
      <c r="E1323" s="20" t="s">
        <v>91</v>
      </c>
      <c r="F1323" s="20" t="s">
        <v>91</v>
      </c>
      <c r="G1323" s="20" t="s">
        <v>91</v>
      </c>
      <c r="H1323" s="20" t="s">
        <v>91</v>
      </c>
      <c r="I1323" s="20">
        <v>0</v>
      </c>
      <c r="J1323" s="20" t="s">
        <v>103</v>
      </c>
      <c r="K1323" s="20" t="s">
        <v>104</v>
      </c>
      <c r="L1323" s="20">
        <v>0</v>
      </c>
      <c r="M1323" s="20" t="s">
        <v>105</v>
      </c>
      <c r="N1323" s="20" t="s">
        <v>91</v>
      </c>
      <c r="O1323" s="20" t="s">
        <v>5149</v>
      </c>
      <c r="Q1323" s="20" t="s">
        <v>91</v>
      </c>
      <c r="R1323" s="20" t="s">
        <v>91</v>
      </c>
      <c r="S1323" s="20" t="s">
        <v>91</v>
      </c>
      <c r="T1323" s="20" t="s">
        <v>91</v>
      </c>
      <c r="U1323" s="20" t="s">
        <v>91</v>
      </c>
      <c r="V1323" s="20" t="s">
        <v>87</v>
      </c>
      <c r="W1323" s="20" t="s">
        <v>91</v>
      </c>
      <c r="X1323" s="20" t="s">
        <v>91</v>
      </c>
      <c r="Y1323" s="20" t="s">
        <v>91</v>
      </c>
      <c r="Z1323" s="20">
        <v>0</v>
      </c>
      <c r="AB1323" s="20" t="s">
        <v>91</v>
      </c>
      <c r="AD1323" s="20" t="s">
        <v>91</v>
      </c>
      <c r="AE1323" s="20" t="s">
        <v>91</v>
      </c>
      <c r="AF1323" s="20">
        <v>0</v>
      </c>
      <c r="AG1323" s="20">
        <v>0</v>
      </c>
      <c r="AH1323" s="20">
        <v>1</v>
      </c>
      <c r="AM1323" s="4" t="s">
        <v>91</v>
      </c>
      <c r="AP1323" s="4" t="s">
        <v>91</v>
      </c>
      <c r="AQ1323" s="20">
        <v>0</v>
      </c>
      <c r="AR1323" s="4">
        <v>0</v>
      </c>
      <c r="AS1323" s="20">
        <v>0</v>
      </c>
      <c r="AT1323" s="20">
        <v>0</v>
      </c>
      <c r="AU1323" s="20">
        <v>0</v>
      </c>
      <c r="AV1323" s="20">
        <v>0</v>
      </c>
      <c r="AW1323" s="20">
        <v>0</v>
      </c>
      <c r="AX1323" s="20" t="s">
        <v>91</v>
      </c>
      <c r="AY1323" s="20">
        <v>0</v>
      </c>
      <c r="AZ1323" s="20">
        <v>0</v>
      </c>
      <c r="BA1323" s="20">
        <v>0</v>
      </c>
      <c r="BB1323" s="6">
        <v>0</v>
      </c>
      <c r="BC1323" s="6">
        <v>0</v>
      </c>
      <c r="BD1323" s="6">
        <v>0</v>
      </c>
      <c r="BE1323" s="6">
        <v>0</v>
      </c>
      <c r="BF1323" s="6">
        <v>0</v>
      </c>
      <c r="BG1323" s="6">
        <v>0</v>
      </c>
      <c r="BH1323" s="6">
        <v>0</v>
      </c>
      <c r="BI1323" s="6">
        <v>0</v>
      </c>
      <c r="BJ1323" s="6">
        <v>0</v>
      </c>
      <c r="BK1323" s="4">
        <v>0</v>
      </c>
      <c r="BL1323" s="4">
        <v>0</v>
      </c>
      <c r="BM1323" s="20">
        <v>273</v>
      </c>
      <c r="BN1323" s="20">
        <v>0</v>
      </c>
      <c r="BO1323" s="20">
        <v>0</v>
      </c>
      <c r="BP1323" s="20">
        <v>0</v>
      </c>
      <c r="BQ1323" s="20">
        <v>0</v>
      </c>
      <c r="BR1323" s="20">
        <v>0</v>
      </c>
      <c r="BS1323" s="20">
        <v>293</v>
      </c>
      <c r="BT1323" s="20">
        <v>2441666.666666666</v>
      </c>
      <c r="BU1323" s="20">
        <v>16115000</v>
      </c>
      <c r="BV1323" s="20">
        <v>6.0000000000000009</v>
      </c>
    </row>
    <row r="1324" spans="1:74">
      <c r="A1324" s="10">
        <f t="shared" si="82"/>
        <v>0</v>
      </c>
      <c r="B1324" s="10">
        <f t="shared" si="83"/>
        <v>0</v>
      </c>
      <c r="C1324" s="12">
        <f t="shared" si="84"/>
        <v>11</v>
      </c>
      <c r="D1324" s="12">
        <f t="shared" si="85"/>
        <v>11</v>
      </c>
      <c r="E1324" s="20" t="s">
        <v>114</v>
      </c>
      <c r="F1324" s="20" t="s">
        <v>2667</v>
      </c>
      <c r="G1324" s="20" t="s">
        <v>5150</v>
      </c>
      <c r="H1324" s="20" t="s">
        <v>5151</v>
      </c>
      <c r="I1324" s="20">
        <v>1</v>
      </c>
      <c r="J1324" s="20" t="s">
        <v>5152</v>
      </c>
      <c r="K1324" s="20" t="s">
        <v>5153</v>
      </c>
      <c r="L1324" s="20" t="s">
        <v>4470</v>
      </c>
      <c r="M1324" s="20" t="s">
        <v>2667</v>
      </c>
      <c r="N1324" s="20" t="s">
        <v>4433</v>
      </c>
      <c r="P1324" s="20" t="s">
        <v>2667</v>
      </c>
      <c r="Q1324" s="20" t="s">
        <v>2674</v>
      </c>
      <c r="R1324" s="20" t="s">
        <v>84</v>
      </c>
      <c r="S1324" s="20">
        <v>5</v>
      </c>
      <c r="T1324" s="20" t="s">
        <v>106</v>
      </c>
      <c r="U1324" s="20" t="s">
        <v>107</v>
      </c>
      <c r="V1324" s="20" t="s">
        <v>87</v>
      </c>
      <c r="W1324" s="20">
        <v>810</v>
      </c>
      <c r="X1324" s="20">
        <v>810</v>
      </c>
      <c r="Y1324" s="20" t="s">
        <v>4471</v>
      </c>
      <c r="Z1324" s="20">
        <v>0</v>
      </c>
      <c r="AA1324" s="20" t="s">
        <v>4477</v>
      </c>
      <c r="AB1324" s="20" t="s">
        <v>279</v>
      </c>
      <c r="AC1324" s="20" t="s">
        <v>280</v>
      </c>
      <c r="AD1324" s="20" t="s">
        <v>4478</v>
      </c>
      <c r="AE1324" s="20" t="s">
        <v>5071</v>
      </c>
      <c r="AF1324" s="20">
        <v>0</v>
      </c>
      <c r="AG1324" s="20">
        <v>0</v>
      </c>
      <c r="AH1324" s="20">
        <v>1</v>
      </c>
      <c r="AI1324" s="4" t="s">
        <v>251</v>
      </c>
      <c r="AJ1324" s="20">
        <v>278</v>
      </c>
      <c r="AK1324" s="4" t="s">
        <v>93</v>
      </c>
      <c r="AL1324" s="4">
        <v>18</v>
      </c>
      <c r="AM1324" s="4">
        <v>18</v>
      </c>
      <c r="AN1324" s="4" t="s">
        <v>95</v>
      </c>
      <c r="AO1324" s="4" t="s">
        <v>96</v>
      </c>
      <c r="AP1324" s="4">
        <v>1</v>
      </c>
      <c r="AQ1324" s="20">
        <v>55000</v>
      </c>
      <c r="AR1324" s="4">
        <v>41918</v>
      </c>
      <c r="AS1324" s="20">
        <v>8333.3333333333321</v>
      </c>
      <c r="AT1324" s="20">
        <v>0</v>
      </c>
      <c r="AU1324" s="20">
        <v>-8333.3333333333321</v>
      </c>
      <c r="AV1324" s="20">
        <v>0</v>
      </c>
      <c r="AW1324" s="20">
        <v>0</v>
      </c>
      <c r="AX1324" s="20" t="s">
        <v>91</v>
      </c>
      <c r="AY1324" s="20">
        <v>0</v>
      </c>
      <c r="AZ1324" s="20">
        <v>0</v>
      </c>
      <c r="BA1324" s="20">
        <v>0</v>
      </c>
      <c r="BB1324" s="6">
        <v>41947</v>
      </c>
      <c r="BC1324" s="6">
        <v>0</v>
      </c>
      <c r="BD1324" s="6">
        <v>41948</v>
      </c>
      <c r="BE1324" s="6">
        <v>0</v>
      </c>
      <c r="BF1324" s="6">
        <v>41947</v>
      </c>
      <c r="BG1324" s="6">
        <v>0</v>
      </c>
      <c r="BH1324" s="6">
        <v>0</v>
      </c>
      <c r="BI1324" s="6">
        <v>0</v>
      </c>
      <c r="BJ1324" s="6">
        <v>0</v>
      </c>
      <c r="BK1324" s="4">
        <v>0</v>
      </c>
      <c r="BL1324" s="4">
        <v>0</v>
      </c>
      <c r="BM1324" s="20">
        <v>258</v>
      </c>
      <c r="BN1324" s="20">
        <v>0</v>
      </c>
      <c r="BO1324" s="20">
        <v>0</v>
      </c>
      <c r="BP1324" s="20">
        <v>0</v>
      </c>
      <c r="BQ1324" s="20">
        <v>0</v>
      </c>
      <c r="BR1324" s="20">
        <v>0</v>
      </c>
      <c r="BS1324" s="20">
        <v>278</v>
      </c>
      <c r="BT1324" s="20">
        <v>2316666.6666666665</v>
      </c>
      <c r="BU1324" s="20">
        <v>15290000</v>
      </c>
      <c r="BV1324" s="20">
        <v>6</v>
      </c>
    </row>
    <row r="1325" spans="1:74">
      <c r="A1325" s="10">
        <f t="shared" si="82"/>
        <v>0</v>
      </c>
      <c r="B1325" s="10">
        <f t="shared" si="83"/>
        <v>0</v>
      </c>
      <c r="C1325" s="12" t="str">
        <f t="shared" si="84"/>
        <v/>
      </c>
      <c r="D1325" s="12" t="str">
        <f t="shared" si="85"/>
        <v/>
      </c>
      <c r="E1325" s="20" t="s">
        <v>91</v>
      </c>
      <c r="F1325" s="20" t="s">
        <v>91</v>
      </c>
      <c r="G1325" s="20" t="s">
        <v>91</v>
      </c>
      <c r="H1325" s="20" t="s">
        <v>91</v>
      </c>
      <c r="I1325" s="20">
        <v>0</v>
      </c>
      <c r="J1325" s="20" t="s">
        <v>103</v>
      </c>
      <c r="K1325" s="20" t="s">
        <v>104</v>
      </c>
      <c r="L1325" s="20">
        <v>0</v>
      </c>
      <c r="M1325" s="20" t="s">
        <v>105</v>
      </c>
      <c r="N1325" s="20" t="s">
        <v>91</v>
      </c>
      <c r="O1325" s="20" t="s">
        <v>5154</v>
      </c>
      <c r="Q1325" s="20" t="s">
        <v>91</v>
      </c>
      <c r="R1325" s="20" t="s">
        <v>91</v>
      </c>
      <c r="S1325" s="20" t="s">
        <v>91</v>
      </c>
      <c r="T1325" s="20" t="s">
        <v>91</v>
      </c>
      <c r="U1325" s="20" t="s">
        <v>91</v>
      </c>
      <c r="V1325" s="20" t="s">
        <v>87</v>
      </c>
      <c r="W1325" s="20" t="s">
        <v>91</v>
      </c>
      <c r="X1325" s="20" t="s">
        <v>91</v>
      </c>
      <c r="Y1325" s="20" t="s">
        <v>91</v>
      </c>
      <c r="Z1325" s="20">
        <v>0</v>
      </c>
      <c r="AB1325" s="20" t="s">
        <v>91</v>
      </c>
      <c r="AD1325" s="20" t="s">
        <v>91</v>
      </c>
      <c r="AE1325" s="20" t="s">
        <v>91</v>
      </c>
      <c r="AF1325" s="20">
        <v>0</v>
      </c>
      <c r="AG1325" s="20">
        <v>0</v>
      </c>
      <c r="AH1325" s="20">
        <v>1</v>
      </c>
      <c r="AM1325" s="4" t="s">
        <v>91</v>
      </c>
      <c r="AP1325" s="4" t="s">
        <v>91</v>
      </c>
      <c r="AQ1325" s="20">
        <v>0</v>
      </c>
      <c r="AR1325" s="4">
        <v>0</v>
      </c>
      <c r="AS1325" s="20">
        <v>0</v>
      </c>
      <c r="AT1325" s="20">
        <v>0</v>
      </c>
      <c r="AU1325" s="20">
        <v>0</v>
      </c>
      <c r="AV1325" s="20">
        <v>0</v>
      </c>
      <c r="AW1325" s="20">
        <v>0</v>
      </c>
      <c r="AX1325" s="20" t="s">
        <v>91</v>
      </c>
      <c r="AY1325" s="20">
        <v>0</v>
      </c>
      <c r="AZ1325" s="20">
        <v>0</v>
      </c>
      <c r="BA1325" s="20">
        <v>0</v>
      </c>
      <c r="BB1325" s="6">
        <v>0</v>
      </c>
      <c r="BC1325" s="6">
        <v>0</v>
      </c>
      <c r="BD1325" s="6">
        <v>0</v>
      </c>
      <c r="BE1325" s="6">
        <v>0</v>
      </c>
      <c r="BF1325" s="6">
        <v>0</v>
      </c>
      <c r="BG1325" s="6">
        <v>0</v>
      </c>
      <c r="BH1325" s="6">
        <v>0</v>
      </c>
      <c r="BI1325" s="6">
        <v>0</v>
      </c>
      <c r="BJ1325" s="6">
        <v>0</v>
      </c>
      <c r="BK1325" s="4">
        <v>0</v>
      </c>
      <c r="BL1325" s="4">
        <v>0</v>
      </c>
      <c r="BM1325" s="20">
        <v>258</v>
      </c>
      <c r="BN1325" s="20">
        <v>0</v>
      </c>
      <c r="BO1325" s="20">
        <v>0</v>
      </c>
      <c r="BP1325" s="20">
        <v>0</v>
      </c>
      <c r="BQ1325" s="20">
        <v>0</v>
      </c>
      <c r="BR1325" s="20">
        <v>0</v>
      </c>
      <c r="BS1325" s="20">
        <v>278</v>
      </c>
      <c r="BT1325" s="20">
        <v>2316666.6666666665</v>
      </c>
      <c r="BU1325" s="20">
        <v>15290000</v>
      </c>
      <c r="BV1325" s="20">
        <v>6</v>
      </c>
    </row>
    <row r="1326" spans="1:74">
      <c r="A1326" s="10">
        <f t="shared" si="82"/>
        <v>0</v>
      </c>
      <c r="B1326" s="10">
        <f t="shared" si="83"/>
        <v>0</v>
      </c>
      <c r="C1326" s="12">
        <f t="shared" si="84"/>
        <v>11</v>
      </c>
      <c r="D1326" s="12">
        <f t="shared" si="85"/>
        <v>11</v>
      </c>
      <c r="E1326" s="20" t="s">
        <v>114</v>
      </c>
      <c r="F1326" s="20" t="s">
        <v>2667</v>
      </c>
      <c r="G1326" s="20" t="s">
        <v>5155</v>
      </c>
      <c r="H1326" s="20" t="s">
        <v>5156</v>
      </c>
      <c r="I1326" s="20">
        <v>1</v>
      </c>
      <c r="J1326" s="20" t="s">
        <v>5157</v>
      </c>
      <c r="K1326" s="20" t="s">
        <v>5158</v>
      </c>
      <c r="L1326" s="20" t="s">
        <v>4484</v>
      </c>
      <c r="M1326" s="20" t="s">
        <v>2667</v>
      </c>
      <c r="N1326" s="20" t="s">
        <v>4433</v>
      </c>
      <c r="P1326" s="20" t="s">
        <v>2667</v>
      </c>
      <c r="Q1326" s="20" t="s">
        <v>2674</v>
      </c>
      <c r="R1326" s="20" t="s">
        <v>84</v>
      </c>
      <c r="S1326" s="20">
        <v>5</v>
      </c>
      <c r="T1326" s="20" t="s">
        <v>106</v>
      </c>
      <c r="U1326" s="20" t="s">
        <v>107</v>
      </c>
      <c r="V1326" s="20" t="s">
        <v>87</v>
      </c>
      <c r="W1326" s="20">
        <v>816</v>
      </c>
      <c r="X1326" s="20">
        <v>816</v>
      </c>
      <c r="Y1326" s="20" t="s">
        <v>4485</v>
      </c>
      <c r="Z1326" s="20">
        <v>0</v>
      </c>
      <c r="AA1326" s="20" t="s">
        <v>4486</v>
      </c>
      <c r="AB1326" s="20" t="s">
        <v>139</v>
      </c>
      <c r="AC1326" s="20" t="s">
        <v>140</v>
      </c>
      <c r="AD1326" s="20" t="s">
        <v>4487</v>
      </c>
      <c r="AE1326" s="20" t="s">
        <v>5071</v>
      </c>
      <c r="AF1326" s="20">
        <v>0</v>
      </c>
      <c r="AG1326" s="20">
        <v>0</v>
      </c>
      <c r="AH1326" s="20">
        <v>1</v>
      </c>
      <c r="AI1326" s="4" t="s">
        <v>251</v>
      </c>
      <c r="AJ1326" s="20">
        <v>616</v>
      </c>
      <c r="AK1326" s="4" t="s">
        <v>129</v>
      </c>
      <c r="AL1326" s="4">
        <v>9</v>
      </c>
      <c r="AM1326" s="4" t="s">
        <v>235</v>
      </c>
      <c r="AN1326" s="4" t="s">
        <v>95</v>
      </c>
      <c r="AO1326" s="4" t="s">
        <v>131</v>
      </c>
      <c r="AP1326" s="4">
        <v>2</v>
      </c>
      <c r="AQ1326" s="20">
        <v>65000</v>
      </c>
      <c r="AR1326" s="4">
        <v>41918</v>
      </c>
      <c r="AS1326" s="20">
        <v>14772.727272727272</v>
      </c>
      <c r="AT1326" s="20">
        <v>0</v>
      </c>
      <c r="AU1326" s="20">
        <v>-14772.727272727272</v>
      </c>
      <c r="AV1326" s="20">
        <v>0</v>
      </c>
      <c r="AW1326" s="20">
        <v>0</v>
      </c>
      <c r="AX1326" s="20" t="s">
        <v>91</v>
      </c>
      <c r="AY1326" s="20">
        <v>0</v>
      </c>
      <c r="AZ1326" s="20">
        <v>0</v>
      </c>
      <c r="BA1326" s="20">
        <v>0</v>
      </c>
      <c r="BB1326" s="6">
        <v>41947</v>
      </c>
      <c r="BC1326" s="6">
        <v>0</v>
      </c>
      <c r="BD1326" s="6">
        <v>41948</v>
      </c>
      <c r="BE1326" s="6">
        <v>0</v>
      </c>
      <c r="BF1326" s="6">
        <v>41947</v>
      </c>
      <c r="BG1326" s="6">
        <v>0</v>
      </c>
      <c r="BH1326" s="6">
        <v>0</v>
      </c>
      <c r="BI1326" s="6">
        <v>0</v>
      </c>
      <c r="BJ1326" s="6">
        <v>0</v>
      </c>
      <c r="BK1326" s="4">
        <v>0</v>
      </c>
      <c r="BL1326" s="4">
        <v>0</v>
      </c>
      <c r="BM1326" s="20">
        <v>596</v>
      </c>
      <c r="BN1326" s="20">
        <v>0</v>
      </c>
      <c r="BO1326" s="20">
        <v>0</v>
      </c>
      <c r="BP1326" s="20">
        <v>0</v>
      </c>
      <c r="BQ1326" s="20">
        <v>0</v>
      </c>
      <c r="BR1326" s="20">
        <v>0</v>
      </c>
      <c r="BS1326" s="20">
        <v>616</v>
      </c>
      <c r="BT1326" s="20">
        <v>9100000</v>
      </c>
      <c r="BU1326" s="20">
        <v>40040000</v>
      </c>
      <c r="BV1326" s="20">
        <v>4</v>
      </c>
    </row>
    <row r="1327" spans="1:74">
      <c r="A1327" s="10">
        <f t="shared" si="82"/>
        <v>0</v>
      </c>
      <c r="B1327" s="10">
        <f t="shared" si="83"/>
        <v>0</v>
      </c>
      <c r="C1327" s="12">
        <f t="shared" si="84"/>
        <v>11</v>
      </c>
      <c r="D1327" s="12">
        <f t="shared" si="85"/>
        <v>11</v>
      </c>
      <c r="E1327" s="20" t="s">
        <v>114</v>
      </c>
      <c r="F1327" s="20" t="s">
        <v>2667</v>
      </c>
      <c r="G1327" s="20" t="s">
        <v>5155</v>
      </c>
      <c r="H1327" s="20" t="s">
        <v>5159</v>
      </c>
      <c r="I1327" s="20">
        <v>2</v>
      </c>
      <c r="J1327" s="20" t="s">
        <v>5160</v>
      </c>
      <c r="K1327" s="20" t="s">
        <v>5161</v>
      </c>
      <c r="L1327" s="20" t="s">
        <v>4491</v>
      </c>
      <c r="M1327" s="20" t="s">
        <v>2667</v>
      </c>
      <c r="N1327" s="20" t="s">
        <v>2738</v>
      </c>
      <c r="P1327" s="20" t="s">
        <v>2667</v>
      </c>
      <c r="Q1327" s="20" t="s">
        <v>2674</v>
      </c>
      <c r="R1327" s="20" t="s">
        <v>84</v>
      </c>
      <c r="S1327" s="20">
        <v>5</v>
      </c>
      <c r="T1327" s="20" t="s">
        <v>1401</v>
      </c>
      <c r="U1327" s="20" t="s">
        <v>1402</v>
      </c>
      <c r="V1327" s="20" t="s">
        <v>87</v>
      </c>
      <c r="W1327" s="20">
        <v>647</v>
      </c>
      <c r="X1327" s="20">
        <v>647</v>
      </c>
      <c r="Y1327" s="20" t="s">
        <v>4492</v>
      </c>
      <c r="Z1327" s="20">
        <v>0</v>
      </c>
      <c r="AA1327" s="20" t="s">
        <v>4493</v>
      </c>
      <c r="AB1327" s="20" t="s">
        <v>248</v>
      </c>
      <c r="AC1327" s="20" t="s">
        <v>249</v>
      </c>
      <c r="AD1327" s="20" t="s">
        <v>4494</v>
      </c>
      <c r="AE1327" s="20" t="s">
        <v>5071</v>
      </c>
      <c r="AF1327" s="20">
        <v>0</v>
      </c>
      <c r="AG1327" s="20">
        <v>0</v>
      </c>
      <c r="AH1327" s="20">
        <v>1</v>
      </c>
      <c r="AI1327" s="4" t="s">
        <v>251</v>
      </c>
      <c r="AJ1327" s="20">
        <v>217</v>
      </c>
      <c r="AK1327" s="4" t="s">
        <v>129</v>
      </c>
      <c r="AL1327" s="4">
        <v>9</v>
      </c>
      <c r="AM1327" s="4" t="s">
        <v>235</v>
      </c>
      <c r="AN1327" s="4" t="s">
        <v>95</v>
      </c>
      <c r="AO1327" s="4" t="s">
        <v>131</v>
      </c>
      <c r="AP1327" s="4">
        <v>2</v>
      </c>
      <c r="AQ1327" s="20">
        <v>53000</v>
      </c>
      <c r="AR1327" s="4">
        <v>41918</v>
      </c>
      <c r="AS1327" s="20">
        <v>12045.454545454544</v>
      </c>
      <c r="AT1327" s="20">
        <v>0</v>
      </c>
      <c r="AU1327" s="20">
        <v>-12045.454545454544</v>
      </c>
      <c r="AV1327" s="20">
        <v>0</v>
      </c>
      <c r="AW1327" s="20">
        <v>0</v>
      </c>
      <c r="AX1327" s="20" t="s">
        <v>91</v>
      </c>
      <c r="AY1327" s="20">
        <v>0</v>
      </c>
      <c r="AZ1327" s="20">
        <v>0</v>
      </c>
      <c r="BA1327" s="20">
        <v>0</v>
      </c>
      <c r="BB1327" s="6">
        <v>41947</v>
      </c>
      <c r="BC1327" s="6">
        <v>0</v>
      </c>
      <c r="BD1327" s="6">
        <v>41948</v>
      </c>
      <c r="BE1327" s="6">
        <v>0</v>
      </c>
      <c r="BF1327" s="6">
        <v>41947</v>
      </c>
      <c r="BG1327" s="6">
        <v>0</v>
      </c>
      <c r="BH1327" s="6">
        <v>0</v>
      </c>
      <c r="BI1327" s="6">
        <v>0</v>
      </c>
      <c r="BJ1327" s="6">
        <v>0</v>
      </c>
      <c r="BK1327" s="4">
        <v>0</v>
      </c>
      <c r="BL1327" s="4">
        <v>0</v>
      </c>
      <c r="BM1327" s="20">
        <v>217</v>
      </c>
      <c r="BN1327" s="20">
        <v>0</v>
      </c>
      <c r="BO1327" s="20">
        <v>0</v>
      </c>
      <c r="BP1327" s="20">
        <v>0</v>
      </c>
      <c r="BQ1327" s="20">
        <v>0</v>
      </c>
      <c r="BR1327" s="20">
        <v>0</v>
      </c>
      <c r="BS1327" s="20">
        <v>217</v>
      </c>
      <c r="BT1327" s="20">
        <v>2613863.6363636362</v>
      </c>
      <c r="BU1327" s="20">
        <v>11501000</v>
      </c>
      <c r="BV1327" s="20">
        <v>4</v>
      </c>
    </row>
    <row r="1328" spans="1:74">
      <c r="A1328" s="10">
        <f t="shared" si="82"/>
        <v>0</v>
      </c>
      <c r="B1328" s="10">
        <f t="shared" si="83"/>
        <v>0</v>
      </c>
      <c r="C1328" s="12" t="str">
        <f t="shared" si="84"/>
        <v/>
      </c>
      <c r="D1328" s="12" t="str">
        <f t="shared" si="85"/>
        <v/>
      </c>
      <c r="E1328" s="20" t="s">
        <v>91</v>
      </c>
      <c r="F1328" s="20" t="s">
        <v>91</v>
      </c>
      <c r="G1328" s="20" t="s">
        <v>91</v>
      </c>
      <c r="H1328" s="20" t="s">
        <v>91</v>
      </c>
      <c r="I1328" s="20">
        <v>0</v>
      </c>
      <c r="J1328" s="20" t="s">
        <v>103</v>
      </c>
      <c r="K1328" s="20" t="s">
        <v>104</v>
      </c>
      <c r="L1328" s="20">
        <v>0</v>
      </c>
      <c r="M1328" s="20" t="s">
        <v>105</v>
      </c>
      <c r="N1328" s="20" t="s">
        <v>91</v>
      </c>
      <c r="O1328" s="20" t="s">
        <v>5162</v>
      </c>
      <c r="Q1328" s="20" t="s">
        <v>91</v>
      </c>
      <c r="R1328" s="20" t="s">
        <v>91</v>
      </c>
      <c r="S1328" s="20" t="s">
        <v>91</v>
      </c>
      <c r="T1328" s="20" t="s">
        <v>91</v>
      </c>
      <c r="U1328" s="20" t="s">
        <v>91</v>
      </c>
      <c r="V1328" s="20" t="s">
        <v>87</v>
      </c>
      <c r="W1328" s="20" t="s">
        <v>91</v>
      </c>
      <c r="X1328" s="20" t="s">
        <v>91</v>
      </c>
      <c r="Y1328" s="20" t="s">
        <v>91</v>
      </c>
      <c r="Z1328" s="20">
        <v>0</v>
      </c>
      <c r="AB1328" s="20" t="s">
        <v>91</v>
      </c>
      <c r="AD1328" s="20" t="s">
        <v>91</v>
      </c>
      <c r="AE1328" s="20" t="s">
        <v>91</v>
      </c>
      <c r="AF1328" s="20">
        <v>0</v>
      </c>
      <c r="AG1328" s="20">
        <v>0</v>
      </c>
      <c r="AH1328" s="20">
        <v>1</v>
      </c>
      <c r="AM1328" s="4" t="s">
        <v>91</v>
      </c>
      <c r="AP1328" s="4" t="s">
        <v>91</v>
      </c>
      <c r="AQ1328" s="20">
        <v>0</v>
      </c>
      <c r="AR1328" s="4">
        <v>0</v>
      </c>
      <c r="AS1328" s="20">
        <v>0</v>
      </c>
      <c r="AT1328" s="20">
        <v>0</v>
      </c>
      <c r="AU1328" s="20">
        <v>0</v>
      </c>
      <c r="AV1328" s="20">
        <v>0</v>
      </c>
      <c r="AW1328" s="20">
        <v>0</v>
      </c>
      <c r="AX1328" s="20" t="s">
        <v>91</v>
      </c>
      <c r="AY1328" s="20">
        <v>0</v>
      </c>
      <c r="AZ1328" s="20">
        <v>0</v>
      </c>
      <c r="BA1328" s="20">
        <v>0</v>
      </c>
      <c r="BB1328" s="6">
        <v>0</v>
      </c>
      <c r="BC1328" s="6">
        <v>0</v>
      </c>
      <c r="BD1328" s="6">
        <v>0</v>
      </c>
      <c r="BE1328" s="6">
        <v>0</v>
      </c>
      <c r="BF1328" s="6">
        <v>0</v>
      </c>
      <c r="BG1328" s="6">
        <v>0</v>
      </c>
      <c r="BH1328" s="6">
        <v>0</v>
      </c>
      <c r="BI1328" s="6">
        <v>0</v>
      </c>
      <c r="BJ1328" s="6">
        <v>0</v>
      </c>
      <c r="BK1328" s="4">
        <v>0</v>
      </c>
      <c r="BL1328" s="4">
        <v>0</v>
      </c>
      <c r="BM1328" s="20">
        <v>813</v>
      </c>
      <c r="BN1328" s="20">
        <v>0</v>
      </c>
      <c r="BO1328" s="20">
        <v>0</v>
      </c>
      <c r="BP1328" s="20">
        <v>0</v>
      </c>
      <c r="BQ1328" s="20">
        <v>0</v>
      </c>
      <c r="BR1328" s="20">
        <v>0</v>
      </c>
      <c r="BS1328" s="20">
        <v>833</v>
      </c>
      <c r="BT1328" s="20">
        <v>11713863.636363637</v>
      </c>
      <c r="BU1328" s="20">
        <v>51541000</v>
      </c>
      <c r="BV1328" s="20">
        <v>3.9999999999999996</v>
      </c>
    </row>
    <row r="1329" spans="1:74">
      <c r="A1329" s="10">
        <f t="shared" si="82"/>
        <v>0</v>
      </c>
      <c r="B1329" s="10">
        <f t="shared" si="83"/>
        <v>0</v>
      </c>
      <c r="C1329" s="12">
        <f t="shared" si="84"/>
        <v>11</v>
      </c>
      <c r="D1329" s="12">
        <f t="shared" si="85"/>
        <v>11</v>
      </c>
      <c r="E1329" s="20" t="s">
        <v>386</v>
      </c>
      <c r="F1329" s="20" t="s">
        <v>2960</v>
      </c>
      <c r="G1329" s="20" t="s">
        <v>5163</v>
      </c>
      <c r="H1329" s="20" t="s">
        <v>5164</v>
      </c>
      <c r="I1329" s="20">
        <v>1</v>
      </c>
      <c r="J1329" s="20" t="s">
        <v>5165</v>
      </c>
      <c r="K1329" s="20" t="s">
        <v>5166</v>
      </c>
      <c r="L1329" s="20" t="s">
        <v>4622</v>
      </c>
      <c r="M1329" s="20" t="s">
        <v>2960</v>
      </c>
      <c r="N1329" s="20" t="s">
        <v>4545</v>
      </c>
      <c r="P1329" s="20" t="s">
        <v>2960</v>
      </c>
      <c r="Q1329" s="20" t="s">
        <v>2967</v>
      </c>
      <c r="R1329" s="20" t="s">
        <v>84</v>
      </c>
      <c r="S1329" s="20">
        <v>5</v>
      </c>
      <c r="T1329" s="20" t="s">
        <v>244</v>
      </c>
      <c r="U1329" s="20" t="s">
        <v>245</v>
      </c>
      <c r="V1329" s="20" t="s">
        <v>87</v>
      </c>
      <c r="W1329" s="20">
        <v>842</v>
      </c>
      <c r="X1329" s="20">
        <v>842</v>
      </c>
      <c r="Y1329" s="20" t="s">
        <v>4623</v>
      </c>
      <c r="Z1329" s="20">
        <v>0</v>
      </c>
      <c r="AA1329" s="20" t="s">
        <v>4624</v>
      </c>
      <c r="AB1329" s="20" t="s">
        <v>296</v>
      </c>
      <c r="AC1329" s="20" t="s">
        <v>297</v>
      </c>
      <c r="AD1329" s="20" t="s">
        <v>4625</v>
      </c>
      <c r="AE1329" s="20" t="s">
        <v>5071</v>
      </c>
      <c r="AF1329" s="20">
        <v>0</v>
      </c>
      <c r="AG1329" s="20">
        <v>0</v>
      </c>
      <c r="AH1329" s="20">
        <v>1</v>
      </c>
      <c r="AI1329" s="4" t="s">
        <v>251</v>
      </c>
      <c r="AJ1329" s="20">
        <v>349</v>
      </c>
      <c r="AK1329" s="4" t="s">
        <v>4626</v>
      </c>
      <c r="AL1329" s="4">
        <v>2</v>
      </c>
      <c r="AM1329" s="4" t="s">
        <v>94</v>
      </c>
      <c r="AN1329" s="4" t="s">
        <v>95</v>
      </c>
      <c r="AO1329" s="4" t="s">
        <v>96</v>
      </c>
      <c r="AP1329" s="4">
        <v>1</v>
      </c>
      <c r="AQ1329" s="20">
        <v>25000</v>
      </c>
      <c r="AR1329" s="4">
        <v>41918</v>
      </c>
      <c r="AS1329" s="20">
        <v>3246.7532467532465</v>
      </c>
      <c r="AT1329" s="20">
        <v>0</v>
      </c>
      <c r="AU1329" s="20">
        <v>-3246.7532467532465</v>
      </c>
      <c r="AV1329" s="20">
        <v>0</v>
      </c>
      <c r="AW1329" s="20">
        <v>0</v>
      </c>
      <c r="AX1329" s="20" t="s">
        <v>91</v>
      </c>
      <c r="AY1329" s="20">
        <v>0</v>
      </c>
      <c r="AZ1329" s="20">
        <v>0</v>
      </c>
      <c r="BA1329" s="20">
        <v>0</v>
      </c>
      <c r="BB1329" s="6">
        <v>41947</v>
      </c>
      <c r="BC1329" s="6">
        <v>0</v>
      </c>
      <c r="BD1329" s="6">
        <v>41948</v>
      </c>
      <c r="BE1329" s="6">
        <v>0</v>
      </c>
      <c r="BF1329" s="6">
        <v>41947</v>
      </c>
      <c r="BG1329" s="6">
        <v>0</v>
      </c>
      <c r="BH1329" s="6">
        <v>0</v>
      </c>
      <c r="BI1329" s="6">
        <v>0</v>
      </c>
      <c r="BJ1329" s="6">
        <v>0</v>
      </c>
      <c r="BK1329" s="4">
        <v>0</v>
      </c>
      <c r="BL1329" s="4">
        <v>0</v>
      </c>
      <c r="BM1329" s="20">
        <v>349</v>
      </c>
      <c r="BN1329" s="20">
        <v>0</v>
      </c>
      <c r="BO1329" s="20">
        <v>0</v>
      </c>
      <c r="BP1329" s="20">
        <v>0</v>
      </c>
      <c r="BQ1329" s="20">
        <v>0</v>
      </c>
      <c r="BR1329" s="20">
        <v>0</v>
      </c>
      <c r="BS1329" s="20">
        <v>349</v>
      </c>
      <c r="BT1329" s="20">
        <v>1133116.883116883</v>
      </c>
      <c r="BU1329" s="20">
        <v>8725000</v>
      </c>
      <c r="BV1329" s="20">
        <v>7</v>
      </c>
    </row>
    <row r="1330" spans="1:74">
      <c r="A1330" s="10">
        <f t="shared" si="82"/>
        <v>0</v>
      </c>
      <c r="B1330" s="10">
        <f t="shared" si="83"/>
        <v>0</v>
      </c>
      <c r="C1330" s="12">
        <f t="shared" si="84"/>
        <v>11</v>
      </c>
      <c r="D1330" s="12">
        <f t="shared" si="85"/>
        <v>11</v>
      </c>
      <c r="E1330" s="20" t="s">
        <v>386</v>
      </c>
      <c r="F1330" s="20" t="s">
        <v>2960</v>
      </c>
      <c r="G1330" s="20" t="s">
        <v>5163</v>
      </c>
      <c r="H1330" s="20" t="s">
        <v>5167</v>
      </c>
      <c r="I1330" s="20">
        <v>2</v>
      </c>
      <c r="J1330" s="20" t="s">
        <v>5168</v>
      </c>
      <c r="K1330" s="20" t="s">
        <v>5169</v>
      </c>
      <c r="L1330" s="20" t="s">
        <v>4622</v>
      </c>
      <c r="M1330" s="20" t="s">
        <v>2960</v>
      </c>
      <c r="N1330" s="20" t="s">
        <v>4545</v>
      </c>
      <c r="P1330" s="20" t="s">
        <v>2960</v>
      </c>
      <c r="Q1330" s="20" t="s">
        <v>2967</v>
      </c>
      <c r="R1330" s="20" t="s">
        <v>84</v>
      </c>
      <c r="S1330" s="20">
        <v>5</v>
      </c>
      <c r="T1330" s="20" t="s">
        <v>244</v>
      </c>
      <c r="U1330" s="20" t="s">
        <v>245</v>
      </c>
      <c r="V1330" s="20" t="s">
        <v>87</v>
      </c>
      <c r="W1330" s="20">
        <v>842</v>
      </c>
      <c r="X1330" s="20">
        <v>842</v>
      </c>
      <c r="Y1330" s="20" t="s">
        <v>4623</v>
      </c>
      <c r="Z1330" s="20">
        <v>0</v>
      </c>
      <c r="AA1330" s="20" t="s">
        <v>4630</v>
      </c>
      <c r="AB1330" s="20" t="s">
        <v>109</v>
      </c>
      <c r="AC1330" s="20" t="s">
        <v>110</v>
      </c>
      <c r="AD1330" s="20" t="s">
        <v>4631</v>
      </c>
      <c r="AE1330" s="20" t="s">
        <v>5071</v>
      </c>
      <c r="AF1330" s="20">
        <v>0</v>
      </c>
      <c r="AG1330" s="20">
        <v>0</v>
      </c>
      <c r="AH1330" s="20">
        <v>1</v>
      </c>
      <c r="AI1330" s="4" t="s">
        <v>251</v>
      </c>
      <c r="AJ1330" s="20">
        <v>227</v>
      </c>
      <c r="AK1330" s="4" t="s">
        <v>4626</v>
      </c>
      <c r="AL1330" s="4">
        <v>2</v>
      </c>
      <c r="AM1330" s="4" t="s">
        <v>94</v>
      </c>
      <c r="AN1330" s="4" t="s">
        <v>95</v>
      </c>
      <c r="AO1330" s="4" t="s">
        <v>96</v>
      </c>
      <c r="AP1330" s="4">
        <v>1</v>
      </c>
      <c r="AQ1330" s="20">
        <v>25000</v>
      </c>
      <c r="AR1330" s="4">
        <v>41918</v>
      </c>
      <c r="AS1330" s="20">
        <v>3246.7532467532465</v>
      </c>
      <c r="AT1330" s="20">
        <v>0</v>
      </c>
      <c r="AU1330" s="20">
        <v>-3246.7532467532465</v>
      </c>
      <c r="AV1330" s="20">
        <v>0</v>
      </c>
      <c r="AW1330" s="20">
        <v>0</v>
      </c>
      <c r="AX1330" s="20" t="s">
        <v>91</v>
      </c>
      <c r="AY1330" s="20">
        <v>0</v>
      </c>
      <c r="AZ1330" s="20">
        <v>0</v>
      </c>
      <c r="BA1330" s="20">
        <v>0</v>
      </c>
      <c r="BB1330" s="6">
        <v>41947</v>
      </c>
      <c r="BC1330" s="6">
        <v>0</v>
      </c>
      <c r="BD1330" s="6">
        <v>41948</v>
      </c>
      <c r="BE1330" s="6">
        <v>0</v>
      </c>
      <c r="BF1330" s="6">
        <v>41947</v>
      </c>
      <c r="BG1330" s="6">
        <v>0</v>
      </c>
      <c r="BH1330" s="6">
        <v>0</v>
      </c>
      <c r="BI1330" s="6">
        <v>0</v>
      </c>
      <c r="BJ1330" s="6">
        <v>0</v>
      </c>
      <c r="BK1330" s="4">
        <v>0</v>
      </c>
      <c r="BL1330" s="4">
        <v>0</v>
      </c>
      <c r="BM1330" s="20">
        <v>227</v>
      </c>
      <c r="BN1330" s="20">
        <v>0</v>
      </c>
      <c r="BO1330" s="20">
        <v>0</v>
      </c>
      <c r="BP1330" s="20">
        <v>0</v>
      </c>
      <c r="BQ1330" s="20">
        <v>0</v>
      </c>
      <c r="BR1330" s="20">
        <v>0</v>
      </c>
      <c r="BS1330" s="20">
        <v>227</v>
      </c>
      <c r="BT1330" s="20">
        <v>737012.98701298691</v>
      </c>
      <c r="BU1330" s="20">
        <v>5675000</v>
      </c>
      <c r="BV1330" s="20">
        <v>7</v>
      </c>
    </row>
    <row r="1331" spans="1:74">
      <c r="A1331" s="10">
        <f t="shared" si="82"/>
        <v>0</v>
      </c>
      <c r="B1331" s="10">
        <f t="shared" si="83"/>
        <v>0</v>
      </c>
      <c r="C1331" s="12" t="str">
        <f t="shared" si="84"/>
        <v/>
      </c>
      <c r="D1331" s="12" t="str">
        <f t="shared" si="85"/>
        <v/>
      </c>
      <c r="E1331" s="20" t="s">
        <v>91</v>
      </c>
      <c r="F1331" s="20" t="s">
        <v>91</v>
      </c>
      <c r="G1331" s="20" t="s">
        <v>91</v>
      </c>
      <c r="H1331" s="20" t="s">
        <v>91</v>
      </c>
      <c r="I1331" s="20">
        <v>0</v>
      </c>
      <c r="J1331" s="20" t="s">
        <v>103</v>
      </c>
      <c r="K1331" s="20" t="s">
        <v>104</v>
      </c>
      <c r="L1331" s="20">
        <v>0</v>
      </c>
      <c r="M1331" s="20" t="s">
        <v>105</v>
      </c>
      <c r="N1331" s="20" t="s">
        <v>91</v>
      </c>
      <c r="O1331" s="20" t="s">
        <v>5170</v>
      </c>
      <c r="Q1331" s="20" t="s">
        <v>91</v>
      </c>
      <c r="R1331" s="20" t="s">
        <v>91</v>
      </c>
      <c r="S1331" s="20" t="s">
        <v>91</v>
      </c>
      <c r="T1331" s="20" t="s">
        <v>91</v>
      </c>
      <c r="U1331" s="20" t="s">
        <v>91</v>
      </c>
      <c r="V1331" s="20" t="s">
        <v>87</v>
      </c>
      <c r="W1331" s="20" t="s">
        <v>91</v>
      </c>
      <c r="X1331" s="20" t="s">
        <v>91</v>
      </c>
      <c r="Y1331" s="20" t="s">
        <v>91</v>
      </c>
      <c r="Z1331" s="20">
        <v>0</v>
      </c>
      <c r="AB1331" s="20" t="s">
        <v>91</v>
      </c>
      <c r="AD1331" s="20" t="s">
        <v>91</v>
      </c>
      <c r="AE1331" s="20" t="s">
        <v>91</v>
      </c>
      <c r="AF1331" s="20">
        <v>0</v>
      </c>
      <c r="AG1331" s="20">
        <v>0</v>
      </c>
      <c r="AH1331" s="20">
        <v>1</v>
      </c>
      <c r="AM1331" s="4" t="s">
        <v>91</v>
      </c>
      <c r="AP1331" s="4" t="s">
        <v>91</v>
      </c>
      <c r="AQ1331" s="20">
        <v>0</v>
      </c>
      <c r="AR1331" s="4">
        <v>0</v>
      </c>
      <c r="AS1331" s="20">
        <v>0</v>
      </c>
      <c r="AT1331" s="20">
        <v>0</v>
      </c>
      <c r="AU1331" s="20">
        <v>0</v>
      </c>
      <c r="AV1331" s="20">
        <v>0</v>
      </c>
      <c r="AW1331" s="20">
        <v>0</v>
      </c>
      <c r="AX1331" s="20" t="s">
        <v>91</v>
      </c>
      <c r="AY1331" s="20">
        <v>0</v>
      </c>
      <c r="AZ1331" s="20">
        <v>0</v>
      </c>
      <c r="BA1331" s="20">
        <v>0</v>
      </c>
      <c r="BB1331" s="6">
        <v>0</v>
      </c>
      <c r="BC1331" s="6">
        <v>0</v>
      </c>
      <c r="BD1331" s="6">
        <v>0</v>
      </c>
      <c r="BE1331" s="6">
        <v>0</v>
      </c>
      <c r="BF1331" s="6">
        <v>0</v>
      </c>
      <c r="BG1331" s="6">
        <v>0</v>
      </c>
      <c r="BH1331" s="6">
        <v>0</v>
      </c>
      <c r="BI1331" s="6">
        <v>0</v>
      </c>
      <c r="BJ1331" s="6">
        <v>0</v>
      </c>
      <c r="BK1331" s="4">
        <v>0</v>
      </c>
      <c r="BL1331" s="4">
        <v>0</v>
      </c>
      <c r="BM1331" s="20">
        <v>576</v>
      </c>
      <c r="BN1331" s="20">
        <v>0</v>
      </c>
      <c r="BO1331" s="20">
        <v>0</v>
      </c>
      <c r="BP1331" s="20">
        <v>0</v>
      </c>
      <c r="BQ1331" s="20">
        <v>0</v>
      </c>
      <c r="BR1331" s="20">
        <v>0</v>
      </c>
      <c r="BS1331" s="20">
        <v>576</v>
      </c>
      <c r="BT1331" s="20">
        <v>1870129.8701298698</v>
      </c>
      <c r="BU1331" s="20">
        <v>14400000</v>
      </c>
      <c r="BV1331" s="20">
        <v>7</v>
      </c>
    </row>
    <row r="1332" spans="1:74">
      <c r="A1332" s="10">
        <f t="shared" si="82"/>
        <v>0</v>
      </c>
      <c r="B1332" s="10">
        <f t="shared" si="83"/>
        <v>0</v>
      </c>
      <c r="C1332" s="12">
        <f t="shared" si="84"/>
        <v>11</v>
      </c>
      <c r="D1332" s="12">
        <f t="shared" si="85"/>
        <v>11</v>
      </c>
      <c r="E1332" s="20" t="s">
        <v>386</v>
      </c>
      <c r="F1332" s="20" t="s">
        <v>2960</v>
      </c>
      <c r="G1332" s="20" t="s">
        <v>5171</v>
      </c>
      <c r="H1332" s="20" t="s">
        <v>5172</v>
      </c>
      <c r="I1332" s="20">
        <v>1</v>
      </c>
      <c r="J1332" s="20" t="s">
        <v>5173</v>
      </c>
      <c r="K1332" s="20" t="s">
        <v>5174</v>
      </c>
      <c r="L1332" s="20" t="s">
        <v>4637</v>
      </c>
      <c r="M1332" s="20" t="s">
        <v>2960</v>
      </c>
      <c r="N1332" s="20" t="s">
        <v>4545</v>
      </c>
      <c r="P1332" s="20" t="s">
        <v>2960</v>
      </c>
      <c r="Q1332" s="20" t="s">
        <v>2967</v>
      </c>
      <c r="R1332" s="20" t="s">
        <v>84</v>
      </c>
      <c r="S1332" s="20">
        <v>5</v>
      </c>
      <c r="T1332" s="20" t="s">
        <v>244</v>
      </c>
      <c r="U1332" s="20" t="s">
        <v>245</v>
      </c>
      <c r="V1332" s="20" t="s">
        <v>87</v>
      </c>
      <c r="W1332" s="20">
        <v>844</v>
      </c>
      <c r="X1332" s="20">
        <v>844</v>
      </c>
      <c r="Y1332" s="20" t="s">
        <v>4638</v>
      </c>
      <c r="Z1332" s="20">
        <v>0</v>
      </c>
      <c r="AA1332" s="20" t="s">
        <v>4639</v>
      </c>
      <c r="AB1332" s="20" t="s">
        <v>159</v>
      </c>
      <c r="AC1332" s="20" t="s">
        <v>160</v>
      </c>
      <c r="AD1332" s="20" t="s">
        <v>4640</v>
      </c>
      <c r="AE1332" s="20" t="s">
        <v>5071</v>
      </c>
      <c r="AF1332" s="20">
        <v>0</v>
      </c>
      <c r="AG1332" s="20">
        <v>0</v>
      </c>
      <c r="AH1332" s="20">
        <v>1</v>
      </c>
      <c r="AI1332" s="4" t="s">
        <v>251</v>
      </c>
      <c r="AJ1332" s="20">
        <v>280</v>
      </c>
      <c r="AK1332" s="4" t="s">
        <v>252</v>
      </c>
      <c r="AL1332" s="4">
        <v>7</v>
      </c>
      <c r="AM1332" s="4" t="s">
        <v>514</v>
      </c>
      <c r="AN1332" s="4" t="s">
        <v>95</v>
      </c>
      <c r="AO1332" s="4" t="s">
        <v>96</v>
      </c>
      <c r="AP1332" s="4">
        <v>1</v>
      </c>
      <c r="AQ1332" s="20">
        <v>35000</v>
      </c>
      <c r="AR1332" s="4">
        <v>41918</v>
      </c>
      <c r="AS1332" s="20">
        <v>4545.454545454545</v>
      </c>
      <c r="AT1332" s="20">
        <v>0</v>
      </c>
      <c r="AU1332" s="20">
        <v>-4545.454545454545</v>
      </c>
      <c r="AV1332" s="20">
        <v>0</v>
      </c>
      <c r="AW1332" s="20">
        <v>0</v>
      </c>
      <c r="AX1332" s="20" t="s">
        <v>91</v>
      </c>
      <c r="AY1332" s="20">
        <v>0</v>
      </c>
      <c r="AZ1332" s="20">
        <v>0</v>
      </c>
      <c r="BA1332" s="20">
        <v>0</v>
      </c>
      <c r="BB1332" s="6">
        <v>41947</v>
      </c>
      <c r="BC1332" s="6">
        <v>0</v>
      </c>
      <c r="BD1332" s="6">
        <v>41948</v>
      </c>
      <c r="BE1332" s="6">
        <v>0</v>
      </c>
      <c r="BF1332" s="6">
        <v>41947</v>
      </c>
      <c r="BG1332" s="6">
        <v>0</v>
      </c>
      <c r="BH1332" s="6">
        <v>0</v>
      </c>
      <c r="BI1332" s="6">
        <v>0</v>
      </c>
      <c r="BJ1332" s="6">
        <v>0</v>
      </c>
      <c r="BK1332" s="4">
        <v>0</v>
      </c>
      <c r="BL1332" s="4">
        <v>0</v>
      </c>
      <c r="BM1332" s="20">
        <v>280</v>
      </c>
      <c r="BN1332" s="20">
        <v>0</v>
      </c>
      <c r="BO1332" s="20">
        <v>0</v>
      </c>
      <c r="BP1332" s="20">
        <v>0</v>
      </c>
      <c r="BQ1332" s="20">
        <v>0</v>
      </c>
      <c r="BR1332" s="20">
        <v>0</v>
      </c>
      <c r="BS1332" s="20">
        <v>280</v>
      </c>
      <c r="BT1332" s="20">
        <v>1272727.2727272727</v>
      </c>
      <c r="BU1332" s="20">
        <v>9800000</v>
      </c>
      <c r="BV1332" s="20">
        <v>7</v>
      </c>
    </row>
    <row r="1333" spans="1:74">
      <c r="A1333" s="10">
        <f t="shared" si="82"/>
        <v>0</v>
      </c>
      <c r="B1333" s="10">
        <f t="shared" si="83"/>
        <v>0</v>
      </c>
      <c r="C1333" s="12">
        <f t="shared" si="84"/>
        <v>11</v>
      </c>
      <c r="D1333" s="12">
        <f t="shared" si="85"/>
        <v>11</v>
      </c>
      <c r="E1333" s="20" t="s">
        <v>386</v>
      </c>
      <c r="F1333" s="20" t="s">
        <v>2960</v>
      </c>
      <c r="G1333" s="20" t="s">
        <v>5171</v>
      </c>
      <c r="H1333" s="20" t="s">
        <v>5175</v>
      </c>
      <c r="I1333" s="20">
        <v>2</v>
      </c>
      <c r="J1333" s="20" t="s">
        <v>5176</v>
      </c>
      <c r="K1333" s="20" t="s">
        <v>5177</v>
      </c>
      <c r="L1333" s="20" t="s">
        <v>4637</v>
      </c>
      <c r="M1333" s="20" t="s">
        <v>2960</v>
      </c>
      <c r="N1333" s="20" t="s">
        <v>4545</v>
      </c>
      <c r="P1333" s="20" t="s">
        <v>2960</v>
      </c>
      <c r="Q1333" s="20" t="s">
        <v>2967</v>
      </c>
      <c r="R1333" s="20" t="s">
        <v>84</v>
      </c>
      <c r="S1333" s="20">
        <v>5</v>
      </c>
      <c r="T1333" s="20" t="s">
        <v>244</v>
      </c>
      <c r="U1333" s="20" t="s">
        <v>245</v>
      </c>
      <c r="V1333" s="20" t="s">
        <v>87</v>
      </c>
      <c r="W1333" s="20">
        <v>844</v>
      </c>
      <c r="X1333" s="20">
        <v>844</v>
      </c>
      <c r="Y1333" s="20" t="s">
        <v>4638</v>
      </c>
      <c r="Z1333" s="20">
        <v>0</v>
      </c>
      <c r="AA1333" s="20" t="s">
        <v>4644</v>
      </c>
      <c r="AB1333" s="20" t="s">
        <v>89</v>
      </c>
      <c r="AC1333" s="20" t="s">
        <v>90</v>
      </c>
      <c r="AD1333" s="20" t="s">
        <v>4645</v>
      </c>
      <c r="AE1333" s="20" t="s">
        <v>5071</v>
      </c>
      <c r="AF1333" s="20">
        <v>0</v>
      </c>
      <c r="AG1333" s="20">
        <v>0</v>
      </c>
      <c r="AH1333" s="20">
        <v>1</v>
      </c>
      <c r="AI1333" s="4" t="s">
        <v>251</v>
      </c>
      <c r="AJ1333" s="20">
        <v>63</v>
      </c>
      <c r="AK1333" s="4" t="s">
        <v>252</v>
      </c>
      <c r="AL1333" s="4">
        <v>7</v>
      </c>
      <c r="AM1333" s="4" t="s">
        <v>514</v>
      </c>
      <c r="AN1333" s="4" t="s">
        <v>95</v>
      </c>
      <c r="AO1333" s="4" t="s">
        <v>96</v>
      </c>
      <c r="AP1333" s="4">
        <v>1</v>
      </c>
      <c r="AQ1333" s="20">
        <v>35000</v>
      </c>
      <c r="AR1333" s="4">
        <v>41918</v>
      </c>
      <c r="AS1333" s="20">
        <v>4545.454545454545</v>
      </c>
      <c r="AT1333" s="20">
        <v>0</v>
      </c>
      <c r="AU1333" s="20">
        <v>-4545.454545454545</v>
      </c>
      <c r="AV1333" s="20">
        <v>0</v>
      </c>
      <c r="AW1333" s="20">
        <v>0</v>
      </c>
      <c r="AX1333" s="20" t="s">
        <v>91</v>
      </c>
      <c r="AY1333" s="20">
        <v>0</v>
      </c>
      <c r="AZ1333" s="20">
        <v>0</v>
      </c>
      <c r="BA1333" s="20">
        <v>0</v>
      </c>
      <c r="BB1333" s="6">
        <v>41947</v>
      </c>
      <c r="BC1333" s="6">
        <v>0</v>
      </c>
      <c r="BD1333" s="6">
        <v>41948</v>
      </c>
      <c r="BE1333" s="6">
        <v>0</v>
      </c>
      <c r="BF1333" s="6">
        <v>41947</v>
      </c>
      <c r="BG1333" s="6">
        <v>0</v>
      </c>
      <c r="BH1333" s="6">
        <v>0</v>
      </c>
      <c r="BI1333" s="6">
        <v>0</v>
      </c>
      <c r="BJ1333" s="6">
        <v>0</v>
      </c>
      <c r="BK1333" s="4">
        <v>0</v>
      </c>
      <c r="BL1333" s="4">
        <v>0</v>
      </c>
      <c r="BM1333" s="20">
        <v>62</v>
      </c>
      <c r="BN1333" s="20">
        <v>0</v>
      </c>
      <c r="BO1333" s="20">
        <v>0</v>
      </c>
      <c r="BP1333" s="20">
        <v>0</v>
      </c>
      <c r="BQ1333" s="20">
        <v>0</v>
      </c>
      <c r="BR1333" s="20">
        <v>0</v>
      </c>
      <c r="BS1333" s="20">
        <v>63</v>
      </c>
      <c r="BT1333" s="20">
        <v>286363.63636363635</v>
      </c>
      <c r="BU1333" s="20">
        <v>2205000</v>
      </c>
      <c r="BV1333" s="20">
        <v>7</v>
      </c>
    </row>
    <row r="1334" spans="1:74">
      <c r="A1334" s="10">
        <f t="shared" si="82"/>
        <v>0</v>
      </c>
      <c r="B1334" s="10">
        <f t="shared" si="83"/>
        <v>0</v>
      </c>
      <c r="C1334" s="12">
        <f t="shared" si="84"/>
        <v>11</v>
      </c>
      <c r="D1334" s="12">
        <f t="shared" si="85"/>
        <v>11</v>
      </c>
      <c r="E1334" s="20" t="s">
        <v>386</v>
      </c>
      <c r="F1334" s="20" t="s">
        <v>2960</v>
      </c>
      <c r="G1334" s="20" t="s">
        <v>5171</v>
      </c>
      <c r="H1334" s="20" t="s">
        <v>5178</v>
      </c>
      <c r="I1334" s="20">
        <v>3</v>
      </c>
      <c r="J1334" s="20" t="s">
        <v>5179</v>
      </c>
      <c r="K1334" s="20" t="s">
        <v>5180</v>
      </c>
      <c r="L1334" s="20" t="s">
        <v>4649</v>
      </c>
      <c r="M1334" s="20" t="s">
        <v>2960</v>
      </c>
      <c r="N1334" s="20" t="s">
        <v>4545</v>
      </c>
      <c r="P1334" s="20" t="s">
        <v>2960</v>
      </c>
      <c r="Q1334" s="20" t="s">
        <v>2967</v>
      </c>
      <c r="R1334" s="20" t="s">
        <v>84</v>
      </c>
      <c r="S1334" s="20">
        <v>5</v>
      </c>
      <c r="T1334" s="20" t="s">
        <v>244</v>
      </c>
      <c r="U1334" s="20" t="s">
        <v>245</v>
      </c>
      <c r="V1334" s="20" t="s">
        <v>87</v>
      </c>
      <c r="W1334" s="20">
        <v>849</v>
      </c>
      <c r="X1334" s="20">
        <v>849</v>
      </c>
      <c r="Y1334" s="20" t="s">
        <v>4650</v>
      </c>
      <c r="Z1334" s="20">
        <v>0</v>
      </c>
      <c r="AA1334" s="20" t="s">
        <v>4651</v>
      </c>
      <c r="AB1334" s="20" t="s">
        <v>248</v>
      </c>
      <c r="AC1334" s="20" t="s">
        <v>249</v>
      </c>
      <c r="AD1334" s="20" t="s">
        <v>4652</v>
      </c>
      <c r="AE1334" s="20" t="s">
        <v>5071</v>
      </c>
      <c r="AF1334" s="20">
        <v>0</v>
      </c>
      <c r="AG1334" s="20">
        <v>0</v>
      </c>
      <c r="AH1334" s="20">
        <v>1</v>
      </c>
      <c r="AI1334" s="4" t="s">
        <v>251</v>
      </c>
      <c r="AJ1334" s="20">
        <v>347</v>
      </c>
      <c r="AK1334" s="4" t="s">
        <v>252</v>
      </c>
      <c r="AL1334" s="4">
        <v>7</v>
      </c>
      <c r="AM1334" s="4" t="s">
        <v>514</v>
      </c>
      <c r="AN1334" s="4" t="s">
        <v>95</v>
      </c>
      <c r="AO1334" s="4" t="s">
        <v>96</v>
      </c>
      <c r="AP1334" s="4">
        <v>1</v>
      </c>
      <c r="AQ1334" s="20">
        <v>35000</v>
      </c>
      <c r="AR1334" s="4">
        <v>41918</v>
      </c>
      <c r="AS1334" s="20">
        <v>4545.454545454545</v>
      </c>
      <c r="AT1334" s="20">
        <v>0</v>
      </c>
      <c r="AU1334" s="20">
        <v>-4545.454545454545</v>
      </c>
      <c r="AV1334" s="20">
        <v>0</v>
      </c>
      <c r="AW1334" s="20">
        <v>0</v>
      </c>
      <c r="AX1334" s="20" t="s">
        <v>91</v>
      </c>
      <c r="AY1334" s="20">
        <v>0</v>
      </c>
      <c r="AZ1334" s="20">
        <v>0</v>
      </c>
      <c r="BA1334" s="20">
        <v>0</v>
      </c>
      <c r="BB1334" s="6">
        <v>41947</v>
      </c>
      <c r="BC1334" s="6">
        <v>0</v>
      </c>
      <c r="BD1334" s="6">
        <v>41948</v>
      </c>
      <c r="BE1334" s="6">
        <v>0</v>
      </c>
      <c r="BF1334" s="6">
        <v>41947</v>
      </c>
      <c r="BG1334" s="6">
        <v>0</v>
      </c>
      <c r="BH1334" s="6">
        <v>0</v>
      </c>
      <c r="BI1334" s="6">
        <v>0</v>
      </c>
      <c r="BJ1334" s="6">
        <v>0</v>
      </c>
      <c r="BK1334" s="4">
        <v>0</v>
      </c>
      <c r="BL1334" s="4">
        <v>0</v>
      </c>
      <c r="BM1334" s="20">
        <v>347</v>
      </c>
      <c r="BN1334" s="20">
        <v>0</v>
      </c>
      <c r="BO1334" s="20">
        <v>0</v>
      </c>
      <c r="BP1334" s="20">
        <v>0</v>
      </c>
      <c r="BQ1334" s="20">
        <v>0</v>
      </c>
      <c r="BR1334" s="20">
        <v>0</v>
      </c>
      <c r="BS1334" s="20">
        <v>347</v>
      </c>
      <c r="BT1334" s="20">
        <v>1577272.7272727271</v>
      </c>
      <c r="BU1334" s="20">
        <v>12145000</v>
      </c>
      <c r="BV1334" s="20">
        <v>7</v>
      </c>
    </row>
    <row r="1335" spans="1:74">
      <c r="A1335" s="10">
        <f t="shared" si="82"/>
        <v>0</v>
      </c>
      <c r="B1335" s="10">
        <f t="shared" si="83"/>
        <v>0</v>
      </c>
      <c r="C1335" s="12">
        <f t="shared" si="84"/>
        <v>11</v>
      </c>
      <c r="D1335" s="12">
        <f t="shared" si="85"/>
        <v>11</v>
      </c>
      <c r="E1335" s="20" t="s">
        <v>386</v>
      </c>
      <c r="F1335" s="20" t="s">
        <v>2960</v>
      </c>
      <c r="G1335" s="20" t="s">
        <v>5171</v>
      </c>
      <c r="H1335" s="20" t="s">
        <v>5181</v>
      </c>
      <c r="I1335" s="20">
        <v>4</v>
      </c>
      <c r="J1335" s="20" t="s">
        <v>5182</v>
      </c>
      <c r="K1335" s="20" t="s">
        <v>5183</v>
      </c>
      <c r="L1335" s="20" t="s">
        <v>4656</v>
      </c>
      <c r="M1335" s="20" t="s">
        <v>2960</v>
      </c>
      <c r="N1335" s="20" t="s">
        <v>4575</v>
      </c>
      <c r="P1335" s="20" t="s">
        <v>2960</v>
      </c>
      <c r="Q1335" s="20" t="s">
        <v>2967</v>
      </c>
      <c r="R1335" s="20" t="s">
        <v>84</v>
      </c>
      <c r="S1335" s="20">
        <v>5</v>
      </c>
      <c r="T1335" s="20" t="s">
        <v>395</v>
      </c>
      <c r="U1335" s="20" t="s">
        <v>396</v>
      </c>
      <c r="V1335" s="20" t="s">
        <v>87</v>
      </c>
      <c r="W1335" s="20">
        <v>843</v>
      </c>
      <c r="X1335" s="20">
        <v>843</v>
      </c>
      <c r="Y1335" s="20" t="s">
        <v>4657</v>
      </c>
      <c r="Z1335" s="20">
        <v>0</v>
      </c>
      <c r="AA1335" s="20" t="s">
        <v>4658</v>
      </c>
      <c r="AB1335" s="20" t="s">
        <v>89</v>
      </c>
      <c r="AC1335" s="20" t="s">
        <v>90</v>
      </c>
      <c r="AD1335" s="20" t="s">
        <v>4659</v>
      </c>
      <c r="AE1335" s="20" t="s">
        <v>5071</v>
      </c>
      <c r="AF1335" s="20">
        <v>0</v>
      </c>
      <c r="AG1335" s="20">
        <v>0</v>
      </c>
      <c r="AH1335" s="20">
        <v>1</v>
      </c>
      <c r="AI1335" s="4" t="s">
        <v>251</v>
      </c>
      <c r="AJ1335" s="20">
        <v>500</v>
      </c>
      <c r="AK1335" s="4" t="s">
        <v>252</v>
      </c>
      <c r="AL1335" s="4">
        <v>7</v>
      </c>
      <c r="AM1335" s="4" t="s">
        <v>514</v>
      </c>
      <c r="AN1335" s="4" t="s">
        <v>95</v>
      </c>
      <c r="AO1335" s="4" t="s">
        <v>96</v>
      </c>
      <c r="AP1335" s="4">
        <v>1</v>
      </c>
      <c r="AQ1335" s="20">
        <v>39000</v>
      </c>
      <c r="AR1335" s="4">
        <v>41918</v>
      </c>
      <c r="AS1335" s="20">
        <v>5064.9350649350645</v>
      </c>
      <c r="AT1335" s="20">
        <v>0</v>
      </c>
      <c r="AU1335" s="20">
        <v>-5064.9350649350645</v>
      </c>
      <c r="AV1335" s="20">
        <v>0</v>
      </c>
      <c r="AW1335" s="20">
        <v>0</v>
      </c>
      <c r="AX1335" s="20" t="s">
        <v>91</v>
      </c>
      <c r="AY1335" s="20">
        <v>0</v>
      </c>
      <c r="AZ1335" s="20">
        <v>0</v>
      </c>
      <c r="BA1335" s="20">
        <v>0</v>
      </c>
      <c r="BB1335" s="6">
        <v>41947</v>
      </c>
      <c r="BC1335" s="6">
        <v>0</v>
      </c>
      <c r="BD1335" s="6">
        <v>41948</v>
      </c>
      <c r="BE1335" s="6">
        <v>0</v>
      </c>
      <c r="BF1335" s="6">
        <v>41947</v>
      </c>
      <c r="BG1335" s="6">
        <v>0</v>
      </c>
      <c r="BH1335" s="6">
        <v>0</v>
      </c>
      <c r="BI1335" s="6">
        <v>0</v>
      </c>
      <c r="BJ1335" s="6">
        <v>0</v>
      </c>
      <c r="BK1335" s="4">
        <v>0</v>
      </c>
      <c r="BL1335" s="4">
        <v>0</v>
      </c>
      <c r="BM1335" s="20">
        <v>500</v>
      </c>
      <c r="BN1335" s="20">
        <v>0</v>
      </c>
      <c r="BO1335" s="20">
        <v>0</v>
      </c>
      <c r="BP1335" s="20">
        <v>0</v>
      </c>
      <c r="BQ1335" s="20">
        <v>0</v>
      </c>
      <c r="BR1335" s="20">
        <v>0</v>
      </c>
      <c r="BS1335" s="20">
        <v>500</v>
      </c>
      <c r="BT1335" s="20">
        <v>2532467.5324675324</v>
      </c>
      <c r="BU1335" s="20">
        <v>19500000</v>
      </c>
      <c r="BV1335" s="20">
        <v>6.9999999999999991</v>
      </c>
    </row>
    <row r="1336" spans="1:74">
      <c r="A1336" s="10">
        <f t="shared" si="82"/>
        <v>0</v>
      </c>
      <c r="B1336" s="10">
        <f t="shared" si="83"/>
        <v>0</v>
      </c>
      <c r="C1336" s="12" t="str">
        <f t="shared" si="84"/>
        <v/>
      </c>
      <c r="D1336" s="12" t="str">
        <f t="shared" si="85"/>
        <v/>
      </c>
      <c r="E1336" s="20" t="s">
        <v>91</v>
      </c>
      <c r="F1336" s="20" t="s">
        <v>91</v>
      </c>
      <c r="G1336" s="20" t="s">
        <v>91</v>
      </c>
      <c r="H1336" s="20" t="s">
        <v>91</v>
      </c>
      <c r="I1336" s="20">
        <v>0</v>
      </c>
      <c r="J1336" s="20" t="s">
        <v>103</v>
      </c>
      <c r="K1336" s="20" t="s">
        <v>104</v>
      </c>
      <c r="L1336" s="20">
        <v>0</v>
      </c>
      <c r="M1336" s="20" t="s">
        <v>105</v>
      </c>
      <c r="N1336" s="20" t="s">
        <v>91</v>
      </c>
      <c r="O1336" s="20" t="s">
        <v>5184</v>
      </c>
      <c r="Q1336" s="20" t="s">
        <v>91</v>
      </c>
      <c r="R1336" s="20" t="s">
        <v>91</v>
      </c>
      <c r="S1336" s="20" t="s">
        <v>91</v>
      </c>
      <c r="T1336" s="20" t="s">
        <v>91</v>
      </c>
      <c r="U1336" s="20" t="s">
        <v>91</v>
      </c>
      <c r="V1336" s="20" t="s">
        <v>87</v>
      </c>
      <c r="W1336" s="20" t="s">
        <v>91</v>
      </c>
      <c r="X1336" s="20" t="s">
        <v>91</v>
      </c>
      <c r="Y1336" s="20" t="s">
        <v>91</v>
      </c>
      <c r="Z1336" s="20">
        <v>0</v>
      </c>
      <c r="AB1336" s="20" t="s">
        <v>91</v>
      </c>
      <c r="AD1336" s="20" t="s">
        <v>91</v>
      </c>
      <c r="AE1336" s="20" t="s">
        <v>91</v>
      </c>
      <c r="AF1336" s="20">
        <v>0</v>
      </c>
      <c r="AG1336" s="20">
        <v>0</v>
      </c>
      <c r="AH1336" s="20">
        <v>1</v>
      </c>
      <c r="AM1336" s="4" t="s">
        <v>91</v>
      </c>
      <c r="AP1336" s="4" t="s">
        <v>91</v>
      </c>
      <c r="AQ1336" s="20">
        <v>0</v>
      </c>
      <c r="AR1336" s="4">
        <v>0</v>
      </c>
      <c r="AS1336" s="20">
        <v>0</v>
      </c>
      <c r="AT1336" s="20">
        <v>0</v>
      </c>
      <c r="AU1336" s="20">
        <v>0</v>
      </c>
      <c r="AV1336" s="20">
        <v>0</v>
      </c>
      <c r="AW1336" s="20">
        <v>0</v>
      </c>
      <c r="AX1336" s="20" t="s">
        <v>91</v>
      </c>
      <c r="AY1336" s="20">
        <v>0</v>
      </c>
      <c r="AZ1336" s="20">
        <v>0</v>
      </c>
      <c r="BA1336" s="20">
        <v>0</v>
      </c>
      <c r="BB1336" s="6">
        <v>0</v>
      </c>
      <c r="BC1336" s="6">
        <v>0</v>
      </c>
      <c r="BD1336" s="6">
        <v>0</v>
      </c>
      <c r="BE1336" s="6">
        <v>0</v>
      </c>
      <c r="BF1336" s="6">
        <v>0</v>
      </c>
      <c r="BG1336" s="6">
        <v>0</v>
      </c>
      <c r="BH1336" s="6">
        <v>0</v>
      </c>
      <c r="BI1336" s="6">
        <v>0</v>
      </c>
      <c r="BJ1336" s="6">
        <v>0</v>
      </c>
      <c r="BK1336" s="4">
        <v>0</v>
      </c>
      <c r="BL1336" s="4">
        <v>0</v>
      </c>
      <c r="BM1336" s="20">
        <v>1189</v>
      </c>
      <c r="BN1336" s="20">
        <v>0</v>
      </c>
      <c r="BO1336" s="20">
        <v>0</v>
      </c>
      <c r="BP1336" s="20">
        <v>0</v>
      </c>
      <c r="BQ1336" s="20">
        <v>0</v>
      </c>
      <c r="BR1336" s="20">
        <v>0</v>
      </c>
      <c r="BS1336" s="20">
        <v>1190</v>
      </c>
      <c r="BT1336" s="20">
        <v>5668831.1688311687</v>
      </c>
      <c r="BU1336" s="20">
        <v>43650000</v>
      </c>
      <c r="BV1336" s="20">
        <v>6.9999999999999991</v>
      </c>
    </row>
    <row r="1337" spans="1:74">
      <c r="A1337" s="10">
        <f t="shared" si="82"/>
        <v>0</v>
      </c>
      <c r="B1337" s="10">
        <f t="shared" si="83"/>
        <v>0</v>
      </c>
      <c r="C1337" s="12">
        <f t="shared" si="84"/>
        <v>11</v>
      </c>
      <c r="D1337" s="12">
        <f t="shared" si="85"/>
        <v>11</v>
      </c>
      <c r="E1337" s="20" t="s">
        <v>386</v>
      </c>
      <c r="F1337" s="20" t="s">
        <v>2960</v>
      </c>
      <c r="G1337" s="20" t="s">
        <v>5185</v>
      </c>
      <c r="H1337" s="20" t="s">
        <v>5186</v>
      </c>
      <c r="I1337" s="20">
        <v>1</v>
      </c>
      <c r="J1337" s="20" t="s">
        <v>5187</v>
      </c>
      <c r="K1337" s="20" t="s">
        <v>5188</v>
      </c>
      <c r="L1337" s="20" t="s">
        <v>4544</v>
      </c>
      <c r="M1337" s="20" t="s">
        <v>2960</v>
      </c>
      <c r="N1337" s="20" t="s">
        <v>4545</v>
      </c>
      <c r="P1337" s="20" t="s">
        <v>2960</v>
      </c>
      <c r="Q1337" s="20" t="s">
        <v>2967</v>
      </c>
      <c r="R1337" s="20" t="s">
        <v>84</v>
      </c>
      <c r="S1337" s="20">
        <v>5</v>
      </c>
      <c r="T1337" s="20" t="s">
        <v>244</v>
      </c>
      <c r="U1337" s="20" t="s">
        <v>245</v>
      </c>
      <c r="V1337" s="20" t="s">
        <v>87</v>
      </c>
      <c r="W1337" s="20">
        <v>855</v>
      </c>
      <c r="X1337" s="20">
        <v>855</v>
      </c>
      <c r="Y1337" s="20" t="s">
        <v>4546</v>
      </c>
      <c r="Z1337" s="20">
        <v>0</v>
      </c>
      <c r="AA1337" s="20" t="s">
        <v>4547</v>
      </c>
      <c r="AB1337" s="20" t="s">
        <v>221</v>
      </c>
      <c r="AC1337" s="20" t="s">
        <v>222</v>
      </c>
      <c r="AD1337" s="20" t="s">
        <v>4548</v>
      </c>
      <c r="AE1337" s="20" t="s">
        <v>5071</v>
      </c>
      <c r="AF1337" s="20">
        <v>0</v>
      </c>
      <c r="AG1337" s="20">
        <v>0</v>
      </c>
      <c r="AH1337" s="20">
        <v>1</v>
      </c>
      <c r="AI1337" s="4" t="s">
        <v>251</v>
      </c>
      <c r="AJ1337" s="20">
        <v>300</v>
      </c>
      <c r="AK1337" s="4" t="s">
        <v>179</v>
      </c>
      <c r="AL1337" s="4">
        <v>36</v>
      </c>
      <c r="AM1337" s="4">
        <v>36</v>
      </c>
      <c r="AN1337" s="4" t="s">
        <v>95</v>
      </c>
      <c r="AO1337" s="4" t="s">
        <v>96</v>
      </c>
      <c r="AP1337" s="4">
        <v>1</v>
      </c>
      <c r="AQ1337" s="20">
        <v>35000</v>
      </c>
      <c r="AR1337" s="4">
        <v>41918</v>
      </c>
      <c r="AS1337" s="20">
        <v>5303.030303030303</v>
      </c>
      <c r="AT1337" s="20">
        <v>0</v>
      </c>
      <c r="AU1337" s="20">
        <v>-5303.030303030303</v>
      </c>
      <c r="AV1337" s="20">
        <v>0</v>
      </c>
      <c r="AW1337" s="20">
        <v>0</v>
      </c>
      <c r="AX1337" s="20" t="s">
        <v>91</v>
      </c>
      <c r="AY1337" s="20">
        <v>0</v>
      </c>
      <c r="AZ1337" s="20">
        <v>0</v>
      </c>
      <c r="BA1337" s="20">
        <v>0</v>
      </c>
      <c r="BB1337" s="6">
        <v>41947</v>
      </c>
      <c r="BC1337" s="6">
        <v>0</v>
      </c>
      <c r="BD1337" s="6">
        <v>41948</v>
      </c>
      <c r="BE1337" s="6">
        <v>0</v>
      </c>
      <c r="BF1337" s="6">
        <v>41947</v>
      </c>
      <c r="BG1337" s="6">
        <v>0</v>
      </c>
      <c r="BH1337" s="6">
        <v>0</v>
      </c>
      <c r="BI1337" s="6">
        <v>0</v>
      </c>
      <c r="BJ1337" s="6">
        <v>0</v>
      </c>
      <c r="BK1337" s="4">
        <v>0</v>
      </c>
      <c r="BL1337" s="4">
        <v>0</v>
      </c>
      <c r="BM1337" s="20">
        <v>300</v>
      </c>
      <c r="BN1337" s="20">
        <v>0</v>
      </c>
      <c r="BO1337" s="20">
        <v>0</v>
      </c>
      <c r="BP1337" s="20">
        <v>0</v>
      </c>
      <c r="BQ1337" s="20">
        <v>0</v>
      </c>
      <c r="BR1337" s="20">
        <v>0</v>
      </c>
      <c r="BS1337" s="20">
        <v>300</v>
      </c>
      <c r="BT1337" s="20">
        <v>1590909.0909090908</v>
      </c>
      <c r="BU1337" s="20">
        <v>10500000</v>
      </c>
      <c r="BV1337" s="20">
        <v>6</v>
      </c>
    </row>
    <row r="1338" spans="1:74">
      <c r="A1338" s="10">
        <f t="shared" si="82"/>
        <v>0</v>
      </c>
      <c r="B1338" s="10">
        <f t="shared" si="83"/>
        <v>0</v>
      </c>
      <c r="C1338" s="12">
        <f t="shared" si="84"/>
        <v>11</v>
      </c>
      <c r="D1338" s="12">
        <f t="shared" si="85"/>
        <v>11</v>
      </c>
      <c r="E1338" s="20" t="s">
        <v>386</v>
      </c>
      <c r="F1338" s="20" t="s">
        <v>2960</v>
      </c>
      <c r="G1338" s="20" t="s">
        <v>5185</v>
      </c>
      <c r="H1338" s="20" t="s">
        <v>5189</v>
      </c>
      <c r="I1338" s="20">
        <v>2</v>
      </c>
      <c r="J1338" s="20" t="s">
        <v>5190</v>
      </c>
      <c r="K1338" s="20" t="s">
        <v>5191</v>
      </c>
      <c r="L1338" s="20" t="s">
        <v>4544</v>
      </c>
      <c r="M1338" s="20" t="s">
        <v>2960</v>
      </c>
      <c r="N1338" s="20" t="s">
        <v>4545</v>
      </c>
      <c r="P1338" s="20" t="s">
        <v>2960</v>
      </c>
      <c r="Q1338" s="20" t="s">
        <v>2967</v>
      </c>
      <c r="R1338" s="20" t="s">
        <v>84</v>
      </c>
      <c r="S1338" s="20">
        <v>5</v>
      </c>
      <c r="T1338" s="20" t="s">
        <v>244</v>
      </c>
      <c r="U1338" s="20" t="s">
        <v>245</v>
      </c>
      <c r="V1338" s="20" t="s">
        <v>87</v>
      </c>
      <c r="W1338" s="20">
        <v>855</v>
      </c>
      <c r="X1338" s="20">
        <v>855</v>
      </c>
      <c r="Y1338" s="20" t="s">
        <v>4546</v>
      </c>
      <c r="Z1338" s="20">
        <v>0</v>
      </c>
      <c r="AA1338" s="20" t="s">
        <v>4552</v>
      </c>
      <c r="AB1338" s="20" t="s">
        <v>89</v>
      </c>
      <c r="AC1338" s="20" t="s">
        <v>90</v>
      </c>
      <c r="AD1338" s="20" t="s">
        <v>4553</v>
      </c>
      <c r="AE1338" s="20" t="s">
        <v>5071</v>
      </c>
      <c r="AF1338" s="20">
        <v>0</v>
      </c>
      <c r="AG1338" s="20">
        <v>0</v>
      </c>
      <c r="AH1338" s="20">
        <v>1</v>
      </c>
      <c r="AI1338" s="4" t="s">
        <v>251</v>
      </c>
      <c r="AJ1338" s="20">
        <v>300</v>
      </c>
      <c r="AK1338" s="4" t="s">
        <v>179</v>
      </c>
      <c r="AL1338" s="4">
        <v>36</v>
      </c>
      <c r="AM1338" s="4">
        <v>36</v>
      </c>
      <c r="AN1338" s="4" t="s">
        <v>95</v>
      </c>
      <c r="AO1338" s="4" t="s">
        <v>96</v>
      </c>
      <c r="AP1338" s="4">
        <v>1</v>
      </c>
      <c r="AQ1338" s="20">
        <v>35000</v>
      </c>
      <c r="AR1338" s="4">
        <v>41918</v>
      </c>
      <c r="AS1338" s="20">
        <v>5303.030303030303</v>
      </c>
      <c r="AT1338" s="20">
        <v>0</v>
      </c>
      <c r="AU1338" s="20">
        <v>-5303.030303030303</v>
      </c>
      <c r="AV1338" s="20">
        <v>0</v>
      </c>
      <c r="AW1338" s="20">
        <v>0</v>
      </c>
      <c r="AX1338" s="20" t="s">
        <v>91</v>
      </c>
      <c r="AY1338" s="20">
        <v>0</v>
      </c>
      <c r="AZ1338" s="20">
        <v>0</v>
      </c>
      <c r="BA1338" s="20">
        <v>0</v>
      </c>
      <c r="BB1338" s="6">
        <v>41947</v>
      </c>
      <c r="BC1338" s="6">
        <v>0</v>
      </c>
      <c r="BD1338" s="6">
        <v>41948</v>
      </c>
      <c r="BE1338" s="6">
        <v>0</v>
      </c>
      <c r="BF1338" s="6">
        <v>41947</v>
      </c>
      <c r="BG1338" s="6">
        <v>0</v>
      </c>
      <c r="BH1338" s="6">
        <v>0</v>
      </c>
      <c r="BI1338" s="6">
        <v>0</v>
      </c>
      <c r="BJ1338" s="6">
        <v>0</v>
      </c>
      <c r="BK1338" s="4">
        <v>0</v>
      </c>
      <c r="BL1338" s="4">
        <v>0</v>
      </c>
      <c r="BM1338" s="20">
        <v>300</v>
      </c>
      <c r="BN1338" s="20">
        <v>0</v>
      </c>
      <c r="BO1338" s="20">
        <v>0</v>
      </c>
      <c r="BP1338" s="20">
        <v>0</v>
      </c>
      <c r="BQ1338" s="20">
        <v>0</v>
      </c>
      <c r="BR1338" s="20">
        <v>0</v>
      </c>
      <c r="BS1338" s="20">
        <v>300</v>
      </c>
      <c r="BT1338" s="20">
        <v>1590909.0909090908</v>
      </c>
      <c r="BU1338" s="20">
        <v>10500000</v>
      </c>
      <c r="BV1338" s="20">
        <v>6</v>
      </c>
    </row>
    <row r="1339" spans="1:74">
      <c r="A1339" s="10">
        <f t="shared" si="82"/>
        <v>0</v>
      </c>
      <c r="B1339" s="10">
        <f t="shared" si="83"/>
        <v>0</v>
      </c>
      <c r="C1339" s="12">
        <f t="shared" si="84"/>
        <v>11</v>
      </c>
      <c r="D1339" s="12">
        <f t="shared" si="85"/>
        <v>11</v>
      </c>
      <c r="E1339" s="20" t="s">
        <v>386</v>
      </c>
      <c r="F1339" s="20" t="s">
        <v>2960</v>
      </c>
      <c r="G1339" s="20" t="s">
        <v>5185</v>
      </c>
      <c r="H1339" s="20" t="s">
        <v>5192</v>
      </c>
      <c r="I1339" s="20">
        <v>3</v>
      </c>
      <c r="J1339" s="20" t="s">
        <v>5193</v>
      </c>
      <c r="K1339" s="20" t="s">
        <v>5194</v>
      </c>
      <c r="L1339" s="20" t="s">
        <v>4557</v>
      </c>
      <c r="M1339" s="20" t="s">
        <v>2960</v>
      </c>
      <c r="N1339" s="20" t="s">
        <v>4545</v>
      </c>
      <c r="P1339" s="20" t="s">
        <v>2960</v>
      </c>
      <c r="Q1339" s="20" t="s">
        <v>2967</v>
      </c>
      <c r="R1339" s="20" t="s">
        <v>84</v>
      </c>
      <c r="S1339" s="20">
        <v>5</v>
      </c>
      <c r="T1339" s="20" t="s">
        <v>244</v>
      </c>
      <c r="U1339" s="20" t="s">
        <v>245</v>
      </c>
      <c r="V1339" s="20" t="s">
        <v>87</v>
      </c>
      <c r="W1339" s="20">
        <v>856</v>
      </c>
      <c r="X1339" s="20">
        <v>856</v>
      </c>
      <c r="Y1339" s="20" t="s">
        <v>4558</v>
      </c>
      <c r="Z1339" s="20">
        <v>0</v>
      </c>
      <c r="AA1339" s="20" t="s">
        <v>4559</v>
      </c>
      <c r="AB1339" s="20" t="s">
        <v>248</v>
      </c>
      <c r="AC1339" s="20" t="s">
        <v>249</v>
      </c>
      <c r="AD1339" s="20" t="s">
        <v>4560</v>
      </c>
      <c r="AE1339" s="20" t="s">
        <v>5071</v>
      </c>
      <c r="AF1339" s="20">
        <v>0</v>
      </c>
      <c r="AG1339" s="20">
        <v>0</v>
      </c>
      <c r="AH1339" s="20">
        <v>1</v>
      </c>
      <c r="AI1339" s="4" t="s">
        <v>251</v>
      </c>
      <c r="AJ1339" s="20">
        <v>500</v>
      </c>
      <c r="AK1339" s="4" t="s">
        <v>179</v>
      </c>
      <c r="AL1339" s="4">
        <v>36</v>
      </c>
      <c r="AM1339" s="4">
        <v>36</v>
      </c>
      <c r="AN1339" s="4" t="s">
        <v>95</v>
      </c>
      <c r="AO1339" s="4" t="s">
        <v>96</v>
      </c>
      <c r="AP1339" s="4">
        <v>1</v>
      </c>
      <c r="AQ1339" s="20">
        <v>35000</v>
      </c>
      <c r="AR1339" s="4">
        <v>41918</v>
      </c>
      <c r="AS1339" s="20">
        <v>5303.030303030303</v>
      </c>
      <c r="AT1339" s="20">
        <v>0</v>
      </c>
      <c r="AU1339" s="20">
        <v>-5303.030303030303</v>
      </c>
      <c r="AV1339" s="20">
        <v>0</v>
      </c>
      <c r="AW1339" s="20">
        <v>0</v>
      </c>
      <c r="AX1339" s="20" t="s">
        <v>91</v>
      </c>
      <c r="AY1339" s="20">
        <v>0</v>
      </c>
      <c r="AZ1339" s="20">
        <v>0</v>
      </c>
      <c r="BA1339" s="20">
        <v>0</v>
      </c>
      <c r="BB1339" s="6">
        <v>41947</v>
      </c>
      <c r="BC1339" s="6">
        <v>0</v>
      </c>
      <c r="BD1339" s="6">
        <v>41948</v>
      </c>
      <c r="BE1339" s="6">
        <v>0</v>
      </c>
      <c r="BF1339" s="6">
        <v>41947</v>
      </c>
      <c r="BG1339" s="6">
        <v>0</v>
      </c>
      <c r="BH1339" s="6">
        <v>0</v>
      </c>
      <c r="BI1339" s="6">
        <v>0</v>
      </c>
      <c r="BJ1339" s="6">
        <v>0</v>
      </c>
      <c r="BK1339" s="4">
        <v>0</v>
      </c>
      <c r="BL1339" s="4">
        <v>0</v>
      </c>
      <c r="BM1339" s="20">
        <v>500</v>
      </c>
      <c r="BN1339" s="20">
        <v>0</v>
      </c>
      <c r="BO1339" s="20">
        <v>0</v>
      </c>
      <c r="BP1339" s="20">
        <v>0</v>
      </c>
      <c r="BQ1339" s="20">
        <v>0</v>
      </c>
      <c r="BR1339" s="20">
        <v>0</v>
      </c>
      <c r="BS1339" s="20">
        <v>500</v>
      </c>
      <c r="BT1339" s="20">
        <v>2651515.1515151514</v>
      </c>
      <c r="BU1339" s="20">
        <v>17500000</v>
      </c>
      <c r="BV1339" s="20">
        <v>5.9999999999999991</v>
      </c>
    </row>
    <row r="1340" spans="1:74">
      <c r="A1340" s="10">
        <f t="shared" si="82"/>
        <v>0</v>
      </c>
      <c r="B1340" s="10">
        <f t="shared" si="83"/>
        <v>0</v>
      </c>
      <c r="C1340" s="12">
        <f t="shared" si="84"/>
        <v>11</v>
      </c>
      <c r="D1340" s="12">
        <f t="shared" si="85"/>
        <v>11</v>
      </c>
      <c r="E1340" s="20" t="s">
        <v>386</v>
      </c>
      <c r="F1340" s="20" t="s">
        <v>2960</v>
      </c>
      <c r="G1340" s="20" t="s">
        <v>5185</v>
      </c>
      <c r="H1340" s="20" t="s">
        <v>5195</v>
      </c>
      <c r="I1340" s="20">
        <v>4</v>
      </c>
      <c r="J1340" s="20" t="s">
        <v>5196</v>
      </c>
      <c r="K1340" s="20" t="s">
        <v>5197</v>
      </c>
      <c r="L1340" s="20" t="s">
        <v>4557</v>
      </c>
      <c r="M1340" s="20" t="s">
        <v>2960</v>
      </c>
      <c r="N1340" s="20" t="s">
        <v>4545</v>
      </c>
      <c r="P1340" s="20" t="s">
        <v>2960</v>
      </c>
      <c r="Q1340" s="20" t="s">
        <v>2967</v>
      </c>
      <c r="R1340" s="20" t="s">
        <v>84</v>
      </c>
      <c r="S1340" s="20">
        <v>5</v>
      </c>
      <c r="T1340" s="20" t="s">
        <v>244</v>
      </c>
      <c r="U1340" s="20" t="s">
        <v>245</v>
      </c>
      <c r="V1340" s="20" t="s">
        <v>87</v>
      </c>
      <c r="W1340" s="20">
        <v>856</v>
      </c>
      <c r="X1340" s="20">
        <v>856</v>
      </c>
      <c r="Y1340" s="20" t="s">
        <v>4558</v>
      </c>
      <c r="Z1340" s="20">
        <v>0</v>
      </c>
      <c r="AA1340" s="20" t="s">
        <v>4564</v>
      </c>
      <c r="AB1340" s="20" t="s">
        <v>159</v>
      </c>
      <c r="AC1340" s="20" t="s">
        <v>160</v>
      </c>
      <c r="AD1340" s="20" t="s">
        <v>4565</v>
      </c>
      <c r="AE1340" s="20" t="s">
        <v>5071</v>
      </c>
      <c r="AF1340" s="20">
        <v>0</v>
      </c>
      <c r="AG1340" s="20">
        <v>0</v>
      </c>
      <c r="AH1340" s="20">
        <v>1</v>
      </c>
      <c r="AI1340" s="4" t="s">
        <v>251</v>
      </c>
      <c r="AJ1340" s="20">
        <v>500</v>
      </c>
      <c r="AK1340" s="4" t="s">
        <v>179</v>
      </c>
      <c r="AL1340" s="4">
        <v>36</v>
      </c>
      <c r="AM1340" s="4">
        <v>36</v>
      </c>
      <c r="AN1340" s="4" t="s">
        <v>95</v>
      </c>
      <c r="AO1340" s="4" t="s">
        <v>96</v>
      </c>
      <c r="AP1340" s="4">
        <v>1</v>
      </c>
      <c r="AQ1340" s="20">
        <v>35000</v>
      </c>
      <c r="AR1340" s="4">
        <v>41918</v>
      </c>
      <c r="AS1340" s="20">
        <v>5303.030303030303</v>
      </c>
      <c r="AT1340" s="20">
        <v>0</v>
      </c>
      <c r="AU1340" s="20">
        <v>-5303.030303030303</v>
      </c>
      <c r="AV1340" s="20">
        <v>0</v>
      </c>
      <c r="AW1340" s="20">
        <v>0</v>
      </c>
      <c r="AX1340" s="20" t="s">
        <v>91</v>
      </c>
      <c r="AY1340" s="20">
        <v>0</v>
      </c>
      <c r="AZ1340" s="20">
        <v>0</v>
      </c>
      <c r="BA1340" s="20">
        <v>0</v>
      </c>
      <c r="BB1340" s="6">
        <v>41947</v>
      </c>
      <c r="BC1340" s="6">
        <v>0</v>
      </c>
      <c r="BD1340" s="6">
        <v>41948</v>
      </c>
      <c r="BE1340" s="6">
        <v>0</v>
      </c>
      <c r="BF1340" s="6">
        <v>41947</v>
      </c>
      <c r="BG1340" s="6">
        <v>0</v>
      </c>
      <c r="BH1340" s="6">
        <v>0</v>
      </c>
      <c r="BI1340" s="6">
        <v>0</v>
      </c>
      <c r="BJ1340" s="6">
        <v>0</v>
      </c>
      <c r="BK1340" s="4">
        <v>0</v>
      </c>
      <c r="BL1340" s="4">
        <v>0</v>
      </c>
      <c r="BM1340" s="20">
        <v>500</v>
      </c>
      <c r="BN1340" s="20">
        <v>0</v>
      </c>
      <c r="BO1340" s="20">
        <v>0</v>
      </c>
      <c r="BP1340" s="20">
        <v>0</v>
      </c>
      <c r="BQ1340" s="20">
        <v>0</v>
      </c>
      <c r="BR1340" s="20">
        <v>0</v>
      </c>
      <c r="BS1340" s="20">
        <v>500</v>
      </c>
      <c r="BT1340" s="20">
        <v>2651515.1515151514</v>
      </c>
      <c r="BU1340" s="20">
        <v>17500000</v>
      </c>
      <c r="BV1340" s="20">
        <v>5.9999999999999991</v>
      </c>
    </row>
    <row r="1341" spans="1:74">
      <c r="A1341" s="10">
        <f t="shared" si="82"/>
        <v>0</v>
      </c>
      <c r="B1341" s="10">
        <f t="shared" si="83"/>
        <v>0</v>
      </c>
      <c r="C1341" s="12">
        <f t="shared" si="84"/>
        <v>11</v>
      </c>
      <c r="D1341" s="12">
        <f t="shared" si="85"/>
        <v>11</v>
      </c>
      <c r="E1341" s="20" t="s">
        <v>386</v>
      </c>
      <c r="F1341" s="20" t="s">
        <v>2960</v>
      </c>
      <c r="G1341" s="20" t="s">
        <v>5185</v>
      </c>
      <c r="H1341" s="20" t="s">
        <v>5198</v>
      </c>
      <c r="I1341" s="20">
        <v>5</v>
      </c>
      <c r="J1341" s="20" t="s">
        <v>5199</v>
      </c>
      <c r="K1341" s="20" t="s">
        <v>5200</v>
      </c>
      <c r="L1341" s="20" t="s">
        <v>4557</v>
      </c>
      <c r="M1341" s="20" t="s">
        <v>2960</v>
      </c>
      <c r="N1341" s="20" t="s">
        <v>4545</v>
      </c>
      <c r="P1341" s="20" t="s">
        <v>2960</v>
      </c>
      <c r="Q1341" s="20" t="s">
        <v>2967</v>
      </c>
      <c r="R1341" s="20" t="s">
        <v>84</v>
      </c>
      <c r="S1341" s="20">
        <v>5</v>
      </c>
      <c r="T1341" s="20" t="s">
        <v>244</v>
      </c>
      <c r="U1341" s="20" t="s">
        <v>245</v>
      </c>
      <c r="V1341" s="20" t="s">
        <v>87</v>
      </c>
      <c r="W1341" s="20">
        <v>856</v>
      </c>
      <c r="X1341" s="20">
        <v>856</v>
      </c>
      <c r="Y1341" s="20" t="s">
        <v>4558</v>
      </c>
      <c r="Z1341" s="20">
        <v>0</v>
      </c>
      <c r="AA1341" s="20" t="s">
        <v>4569</v>
      </c>
      <c r="AB1341" s="20" t="s">
        <v>109</v>
      </c>
      <c r="AC1341" s="20" t="s">
        <v>110</v>
      </c>
      <c r="AD1341" s="20" t="s">
        <v>4570</v>
      </c>
      <c r="AE1341" s="20" t="s">
        <v>5071</v>
      </c>
      <c r="AF1341" s="20">
        <v>0</v>
      </c>
      <c r="AG1341" s="20">
        <v>0</v>
      </c>
      <c r="AH1341" s="20">
        <v>1</v>
      </c>
      <c r="AI1341" s="4" t="s">
        <v>251</v>
      </c>
      <c r="AJ1341" s="20">
        <v>500</v>
      </c>
      <c r="AK1341" s="4" t="s">
        <v>179</v>
      </c>
      <c r="AL1341" s="4">
        <v>36</v>
      </c>
      <c r="AM1341" s="4">
        <v>36</v>
      </c>
      <c r="AN1341" s="4" t="s">
        <v>95</v>
      </c>
      <c r="AO1341" s="4" t="s">
        <v>96</v>
      </c>
      <c r="AP1341" s="4">
        <v>1</v>
      </c>
      <c r="AQ1341" s="20">
        <v>35000</v>
      </c>
      <c r="AR1341" s="4">
        <v>41918</v>
      </c>
      <c r="AS1341" s="20">
        <v>5303.030303030303</v>
      </c>
      <c r="AT1341" s="20">
        <v>0</v>
      </c>
      <c r="AU1341" s="20">
        <v>-5303.030303030303</v>
      </c>
      <c r="AV1341" s="20">
        <v>0</v>
      </c>
      <c r="AW1341" s="20">
        <v>0</v>
      </c>
      <c r="AX1341" s="20" t="s">
        <v>91</v>
      </c>
      <c r="AY1341" s="20">
        <v>0</v>
      </c>
      <c r="AZ1341" s="20">
        <v>0</v>
      </c>
      <c r="BA1341" s="20">
        <v>0</v>
      </c>
      <c r="BB1341" s="6">
        <v>41947</v>
      </c>
      <c r="BC1341" s="6">
        <v>0</v>
      </c>
      <c r="BD1341" s="6">
        <v>41948</v>
      </c>
      <c r="BE1341" s="6">
        <v>0</v>
      </c>
      <c r="BF1341" s="6">
        <v>41947</v>
      </c>
      <c r="BG1341" s="6">
        <v>0</v>
      </c>
      <c r="BH1341" s="6">
        <v>0</v>
      </c>
      <c r="BI1341" s="6">
        <v>0</v>
      </c>
      <c r="BJ1341" s="6">
        <v>0</v>
      </c>
      <c r="BK1341" s="4">
        <v>0</v>
      </c>
      <c r="BL1341" s="4">
        <v>0</v>
      </c>
      <c r="BM1341" s="20">
        <v>500</v>
      </c>
      <c r="BN1341" s="20">
        <v>0</v>
      </c>
      <c r="BO1341" s="20">
        <v>0</v>
      </c>
      <c r="BP1341" s="20">
        <v>0</v>
      </c>
      <c r="BQ1341" s="20">
        <v>0</v>
      </c>
      <c r="BR1341" s="20">
        <v>0</v>
      </c>
      <c r="BS1341" s="20">
        <v>500</v>
      </c>
      <c r="BT1341" s="20">
        <v>2651515.1515151514</v>
      </c>
      <c r="BU1341" s="20">
        <v>17500000</v>
      </c>
      <c r="BV1341" s="20">
        <v>5.9999999999999991</v>
      </c>
    </row>
    <row r="1342" spans="1:74">
      <c r="A1342" s="10">
        <f t="shared" si="82"/>
        <v>0</v>
      </c>
      <c r="B1342" s="10">
        <f t="shared" si="83"/>
        <v>0</v>
      </c>
      <c r="C1342" s="12">
        <f t="shared" si="84"/>
        <v>11</v>
      </c>
      <c r="D1342" s="12">
        <f t="shared" si="85"/>
        <v>11</v>
      </c>
      <c r="E1342" s="20" t="s">
        <v>386</v>
      </c>
      <c r="F1342" s="20" t="s">
        <v>2960</v>
      </c>
      <c r="G1342" s="20" t="s">
        <v>5185</v>
      </c>
      <c r="H1342" s="20" t="s">
        <v>5201</v>
      </c>
      <c r="I1342" s="20">
        <v>6</v>
      </c>
      <c r="J1342" s="20" t="s">
        <v>5202</v>
      </c>
      <c r="K1342" s="20" t="s">
        <v>5203</v>
      </c>
      <c r="L1342" s="20" t="s">
        <v>4574</v>
      </c>
      <c r="M1342" s="20" t="s">
        <v>2960</v>
      </c>
      <c r="N1342" s="20" t="s">
        <v>4575</v>
      </c>
      <c r="P1342" s="20" t="s">
        <v>2960</v>
      </c>
      <c r="Q1342" s="20" t="s">
        <v>2967</v>
      </c>
      <c r="R1342" s="20" t="s">
        <v>84</v>
      </c>
      <c r="S1342" s="20">
        <v>5</v>
      </c>
      <c r="T1342" s="20" t="s">
        <v>395</v>
      </c>
      <c r="U1342" s="20" t="s">
        <v>396</v>
      </c>
      <c r="V1342" s="20" t="s">
        <v>87</v>
      </c>
      <c r="W1342" s="20">
        <v>850</v>
      </c>
      <c r="X1342" s="20">
        <v>850</v>
      </c>
      <c r="Y1342" s="20" t="s">
        <v>4576</v>
      </c>
      <c r="Z1342" s="20">
        <v>0</v>
      </c>
      <c r="AA1342" s="20" t="s">
        <v>4577</v>
      </c>
      <c r="AB1342" s="20" t="s">
        <v>457</v>
      </c>
      <c r="AC1342" s="20" t="s">
        <v>458</v>
      </c>
      <c r="AD1342" s="20" t="s">
        <v>4578</v>
      </c>
      <c r="AE1342" s="20" t="s">
        <v>5071</v>
      </c>
      <c r="AF1342" s="20">
        <v>0</v>
      </c>
      <c r="AG1342" s="20">
        <v>0</v>
      </c>
      <c r="AH1342" s="20">
        <v>1</v>
      </c>
      <c r="AI1342" s="4" t="s">
        <v>251</v>
      </c>
      <c r="AJ1342" s="20">
        <v>28</v>
      </c>
      <c r="AK1342" s="4" t="s">
        <v>179</v>
      </c>
      <c r="AL1342" s="4">
        <v>36</v>
      </c>
      <c r="AM1342" s="4">
        <v>36</v>
      </c>
      <c r="AN1342" s="4" t="s">
        <v>95</v>
      </c>
      <c r="AO1342" s="4" t="s">
        <v>96</v>
      </c>
      <c r="AP1342" s="4">
        <v>1</v>
      </c>
      <c r="AQ1342" s="20">
        <v>39000</v>
      </c>
      <c r="AR1342" s="4">
        <v>41918</v>
      </c>
      <c r="AS1342" s="20">
        <v>5909.0909090909081</v>
      </c>
      <c r="AT1342" s="20">
        <v>0</v>
      </c>
      <c r="AU1342" s="20">
        <v>-5909.0909090909081</v>
      </c>
      <c r="AV1342" s="20">
        <v>0</v>
      </c>
      <c r="AW1342" s="20">
        <v>0</v>
      </c>
      <c r="AX1342" s="20" t="s">
        <v>91</v>
      </c>
      <c r="AY1342" s="20">
        <v>0</v>
      </c>
      <c r="AZ1342" s="20">
        <v>0</v>
      </c>
      <c r="BA1342" s="20">
        <v>0</v>
      </c>
      <c r="BB1342" s="6">
        <v>41947</v>
      </c>
      <c r="BC1342" s="6">
        <v>0</v>
      </c>
      <c r="BD1342" s="6">
        <v>41948</v>
      </c>
      <c r="BE1342" s="6">
        <v>0</v>
      </c>
      <c r="BF1342" s="6">
        <v>41947</v>
      </c>
      <c r="BG1342" s="6">
        <v>0</v>
      </c>
      <c r="BH1342" s="6">
        <v>0</v>
      </c>
      <c r="BI1342" s="6">
        <v>0</v>
      </c>
      <c r="BJ1342" s="6">
        <v>0</v>
      </c>
      <c r="BK1342" s="4">
        <v>0</v>
      </c>
      <c r="BL1342" s="4">
        <v>0</v>
      </c>
      <c r="BM1342" s="20">
        <v>28</v>
      </c>
      <c r="BN1342" s="20">
        <v>0</v>
      </c>
      <c r="BO1342" s="20">
        <v>0</v>
      </c>
      <c r="BP1342" s="20">
        <v>0</v>
      </c>
      <c r="BQ1342" s="20">
        <v>0</v>
      </c>
      <c r="BR1342" s="20">
        <v>0</v>
      </c>
      <c r="BS1342" s="20">
        <v>28</v>
      </c>
      <c r="BT1342" s="20">
        <v>165454.54545454541</v>
      </c>
      <c r="BU1342" s="20">
        <v>1092000</v>
      </c>
      <c r="BV1342" s="20">
        <v>6.0000000000000009</v>
      </c>
    </row>
    <row r="1343" spans="1:74">
      <c r="A1343" s="10">
        <f t="shared" si="82"/>
        <v>0</v>
      </c>
      <c r="B1343" s="10">
        <f t="shared" si="83"/>
        <v>0</v>
      </c>
      <c r="C1343" s="12">
        <f t="shared" si="84"/>
        <v>11</v>
      </c>
      <c r="D1343" s="12">
        <f t="shared" si="85"/>
        <v>11</v>
      </c>
      <c r="E1343" s="20" t="s">
        <v>386</v>
      </c>
      <c r="F1343" s="20" t="s">
        <v>2960</v>
      </c>
      <c r="G1343" s="20" t="s">
        <v>5185</v>
      </c>
      <c r="H1343" s="20" t="s">
        <v>5204</v>
      </c>
      <c r="I1343" s="20">
        <v>7</v>
      </c>
      <c r="J1343" s="20" t="s">
        <v>5205</v>
      </c>
      <c r="K1343" s="20" t="s">
        <v>5206</v>
      </c>
      <c r="L1343" s="20" t="s">
        <v>4574</v>
      </c>
      <c r="M1343" s="20" t="s">
        <v>2960</v>
      </c>
      <c r="N1343" s="20" t="s">
        <v>4575</v>
      </c>
      <c r="P1343" s="20" t="s">
        <v>2960</v>
      </c>
      <c r="Q1343" s="20" t="s">
        <v>2967</v>
      </c>
      <c r="R1343" s="20" t="s">
        <v>84</v>
      </c>
      <c r="S1343" s="20">
        <v>5</v>
      </c>
      <c r="T1343" s="20" t="s">
        <v>395</v>
      </c>
      <c r="U1343" s="20" t="s">
        <v>396</v>
      </c>
      <c r="V1343" s="20" t="s">
        <v>87</v>
      </c>
      <c r="W1343" s="20">
        <v>850</v>
      </c>
      <c r="X1343" s="20">
        <v>850</v>
      </c>
      <c r="Y1343" s="20" t="s">
        <v>4576</v>
      </c>
      <c r="Z1343" s="20">
        <v>0</v>
      </c>
      <c r="AA1343" s="20" t="s">
        <v>4582</v>
      </c>
      <c r="AB1343" s="20" t="s">
        <v>109</v>
      </c>
      <c r="AC1343" s="20" t="s">
        <v>110</v>
      </c>
      <c r="AD1343" s="20" t="s">
        <v>4583</v>
      </c>
      <c r="AE1343" s="20" t="s">
        <v>5071</v>
      </c>
      <c r="AF1343" s="20">
        <v>0</v>
      </c>
      <c r="AG1343" s="20">
        <v>0</v>
      </c>
      <c r="AH1343" s="20">
        <v>1</v>
      </c>
      <c r="AI1343" s="4" t="s">
        <v>251</v>
      </c>
      <c r="AJ1343" s="20">
        <v>165</v>
      </c>
      <c r="AK1343" s="4" t="s">
        <v>179</v>
      </c>
      <c r="AL1343" s="4">
        <v>36</v>
      </c>
      <c r="AM1343" s="4">
        <v>36</v>
      </c>
      <c r="AN1343" s="4" t="s">
        <v>95</v>
      </c>
      <c r="AO1343" s="4" t="s">
        <v>96</v>
      </c>
      <c r="AP1343" s="4">
        <v>1</v>
      </c>
      <c r="AQ1343" s="20">
        <v>39000</v>
      </c>
      <c r="AR1343" s="4">
        <v>41918</v>
      </c>
      <c r="AS1343" s="20">
        <v>5909.0909090909081</v>
      </c>
      <c r="AT1343" s="20">
        <v>0</v>
      </c>
      <c r="AU1343" s="20">
        <v>-5909.0909090909081</v>
      </c>
      <c r="AV1343" s="20">
        <v>0</v>
      </c>
      <c r="AW1343" s="20">
        <v>0</v>
      </c>
      <c r="AX1343" s="20" t="s">
        <v>91</v>
      </c>
      <c r="AY1343" s="20">
        <v>0</v>
      </c>
      <c r="AZ1343" s="20">
        <v>0</v>
      </c>
      <c r="BA1343" s="20">
        <v>0</v>
      </c>
      <c r="BB1343" s="6">
        <v>41947</v>
      </c>
      <c r="BC1343" s="6">
        <v>0</v>
      </c>
      <c r="BD1343" s="6">
        <v>41948</v>
      </c>
      <c r="BE1343" s="6">
        <v>0</v>
      </c>
      <c r="BF1343" s="6">
        <v>41947</v>
      </c>
      <c r="BG1343" s="6">
        <v>0</v>
      </c>
      <c r="BH1343" s="6">
        <v>0</v>
      </c>
      <c r="BI1343" s="6">
        <v>0</v>
      </c>
      <c r="BJ1343" s="6">
        <v>0</v>
      </c>
      <c r="BK1343" s="4">
        <v>0</v>
      </c>
      <c r="BL1343" s="4">
        <v>0</v>
      </c>
      <c r="BM1343" s="20">
        <v>165</v>
      </c>
      <c r="BN1343" s="20">
        <v>0</v>
      </c>
      <c r="BO1343" s="20">
        <v>0</v>
      </c>
      <c r="BP1343" s="20">
        <v>0</v>
      </c>
      <c r="BQ1343" s="20">
        <v>0</v>
      </c>
      <c r="BR1343" s="20">
        <v>0</v>
      </c>
      <c r="BS1343" s="20">
        <v>165</v>
      </c>
      <c r="BT1343" s="20">
        <v>974999.99999999988</v>
      </c>
      <c r="BU1343" s="20">
        <v>6435000</v>
      </c>
      <c r="BV1343" s="20">
        <v>6</v>
      </c>
    </row>
    <row r="1344" spans="1:74">
      <c r="A1344" s="10">
        <f t="shared" si="82"/>
        <v>0</v>
      </c>
      <c r="B1344" s="10">
        <f t="shared" si="83"/>
        <v>0</v>
      </c>
      <c r="C1344" s="12">
        <f t="shared" si="84"/>
        <v>11</v>
      </c>
      <c r="D1344" s="12">
        <f t="shared" si="85"/>
        <v>11</v>
      </c>
      <c r="E1344" s="20" t="s">
        <v>386</v>
      </c>
      <c r="F1344" s="20" t="s">
        <v>2960</v>
      </c>
      <c r="G1344" s="20" t="s">
        <v>5185</v>
      </c>
      <c r="H1344" s="20" t="s">
        <v>5207</v>
      </c>
      <c r="I1344" s="20">
        <v>8</v>
      </c>
      <c r="J1344" s="20" t="s">
        <v>5208</v>
      </c>
      <c r="K1344" s="20" t="s">
        <v>5209</v>
      </c>
      <c r="L1344" s="20" t="s">
        <v>4587</v>
      </c>
      <c r="M1344" s="20" t="s">
        <v>2960</v>
      </c>
      <c r="N1344" s="20" t="s">
        <v>4588</v>
      </c>
      <c r="P1344" s="20" t="s">
        <v>2960</v>
      </c>
      <c r="Q1344" s="20" t="s">
        <v>2967</v>
      </c>
      <c r="R1344" s="20" t="s">
        <v>84</v>
      </c>
      <c r="S1344" s="20">
        <v>5</v>
      </c>
      <c r="T1344" s="20" t="s">
        <v>106</v>
      </c>
      <c r="U1344" s="20" t="s">
        <v>107</v>
      </c>
      <c r="V1344" s="20" t="s">
        <v>87</v>
      </c>
      <c r="W1344" s="20">
        <v>806</v>
      </c>
      <c r="X1344" s="20">
        <v>806</v>
      </c>
      <c r="Y1344" s="20" t="s">
        <v>4589</v>
      </c>
      <c r="Z1344" s="20">
        <v>0</v>
      </c>
      <c r="AA1344" s="20" t="s">
        <v>4590</v>
      </c>
      <c r="AB1344" s="20" t="s">
        <v>159</v>
      </c>
      <c r="AC1344" s="20" t="s">
        <v>160</v>
      </c>
      <c r="AD1344" s="20" t="s">
        <v>4591</v>
      </c>
      <c r="AE1344" s="20" t="s">
        <v>5071</v>
      </c>
      <c r="AF1344" s="20">
        <v>0</v>
      </c>
      <c r="AG1344" s="20">
        <v>0</v>
      </c>
      <c r="AH1344" s="20">
        <v>1</v>
      </c>
      <c r="AI1344" s="4" t="s">
        <v>251</v>
      </c>
      <c r="AJ1344" s="20">
        <v>353</v>
      </c>
      <c r="AK1344" s="4" t="s">
        <v>179</v>
      </c>
      <c r="AL1344" s="4">
        <v>36</v>
      </c>
      <c r="AM1344" s="4">
        <v>36</v>
      </c>
      <c r="AN1344" s="4" t="s">
        <v>95</v>
      </c>
      <c r="AO1344" s="4" t="s">
        <v>96</v>
      </c>
      <c r="AP1344" s="4">
        <v>1</v>
      </c>
      <c r="AQ1344" s="20">
        <v>55000</v>
      </c>
      <c r="AR1344" s="4">
        <v>41918</v>
      </c>
      <c r="AS1344" s="20">
        <v>8333.3333333333321</v>
      </c>
      <c r="AT1344" s="20">
        <v>0</v>
      </c>
      <c r="AU1344" s="20">
        <v>-8333.3333333333321</v>
      </c>
      <c r="AV1344" s="20">
        <v>0</v>
      </c>
      <c r="AW1344" s="20">
        <v>0</v>
      </c>
      <c r="AX1344" s="20" t="s">
        <v>91</v>
      </c>
      <c r="AY1344" s="20">
        <v>0</v>
      </c>
      <c r="AZ1344" s="20">
        <v>0</v>
      </c>
      <c r="BA1344" s="20">
        <v>0</v>
      </c>
      <c r="BB1344" s="6">
        <v>41947</v>
      </c>
      <c r="BC1344" s="6">
        <v>0</v>
      </c>
      <c r="BD1344" s="6">
        <v>41948</v>
      </c>
      <c r="BE1344" s="6">
        <v>0</v>
      </c>
      <c r="BF1344" s="6">
        <v>41947</v>
      </c>
      <c r="BG1344" s="6">
        <v>0</v>
      </c>
      <c r="BH1344" s="6">
        <v>0</v>
      </c>
      <c r="BI1344" s="6">
        <v>0</v>
      </c>
      <c r="BJ1344" s="6">
        <v>0</v>
      </c>
      <c r="BK1344" s="4">
        <v>0</v>
      </c>
      <c r="BL1344" s="4">
        <v>0</v>
      </c>
      <c r="BM1344" s="20">
        <v>353</v>
      </c>
      <c r="BN1344" s="20">
        <v>0</v>
      </c>
      <c r="BO1344" s="20">
        <v>0</v>
      </c>
      <c r="BP1344" s="20">
        <v>0</v>
      </c>
      <c r="BQ1344" s="20">
        <v>0</v>
      </c>
      <c r="BR1344" s="20">
        <v>0</v>
      </c>
      <c r="BS1344" s="20">
        <v>353</v>
      </c>
      <c r="BT1344" s="20">
        <v>2941666.666666666</v>
      </c>
      <c r="BU1344" s="20">
        <v>19415000</v>
      </c>
      <c r="BV1344" s="20">
        <v>6.0000000000000009</v>
      </c>
    </row>
    <row r="1345" spans="1:74">
      <c r="A1345" s="10">
        <f t="shared" si="82"/>
        <v>0</v>
      </c>
      <c r="B1345" s="10">
        <f t="shared" si="83"/>
        <v>0</v>
      </c>
      <c r="C1345" s="12">
        <f t="shared" si="84"/>
        <v>11</v>
      </c>
      <c r="D1345" s="12">
        <f t="shared" si="85"/>
        <v>11</v>
      </c>
      <c r="E1345" s="20" t="s">
        <v>386</v>
      </c>
      <c r="F1345" s="20" t="s">
        <v>2960</v>
      </c>
      <c r="G1345" s="20" t="s">
        <v>5185</v>
      </c>
      <c r="H1345" s="20" t="s">
        <v>5210</v>
      </c>
      <c r="I1345" s="20">
        <v>9</v>
      </c>
      <c r="J1345" s="20" t="s">
        <v>5211</v>
      </c>
      <c r="K1345" s="20" t="s">
        <v>5212</v>
      </c>
      <c r="L1345" s="20" t="s">
        <v>4587</v>
      </c>
      <c r="M1345" s="20" t="s">
        <v>2960</v>
      </c>
      <c r="N1345" s="20" t="s">
        <v>4588</v>
      </c>
      <c r="P1345" s="20" t="s">
        <v>2960</v>
      </c>
      <c r="Q1345" s="20" t="s">
        <v>2967</v>
      </c>
      <c r="R1345" s="20" t="s">
        <v>84</v>
      </c>
      <c r="S1345" s="20">
        <v>5</v>
      </c>
      <c r="T1345" s="20" t="s">
        <v>106</v>
      </c>
      <c r="U1345" s="20" t="s">
        <v>107</v>
      </c>
      <c r="V1345" s="20" t="s">
        <v>87</v>
      </c>
      <c r="W1345" s="20">
        <v>806</v>
      </c>
      <c r="X1345" s="20">
        <v>806</v>
      </c>
      <c r="Y1345" s="20" t="s">
        <v>4589</v>
      </c>
      <c r="Z1345" s="20">
        <v>0</v>
      </c>
      <c r="AA1345" s="20" t="s">
        <v>4595</v>
      </c>
      <c r="AB1345" s="20" t="s">
        <v>279</v>
      </c>
      <c r="AC1345" s="20" t="s">
        <v>280</v>
      </c>
      <c r="AD1345" s="20" t="s">
        <v>4596</v>
      </c>
      <c r="AE1345" s="20" t="s">
        <v>5071</v>
      </c>
      <c r="AF1345" s="20">
        <v>0</v>
      </c>
      <c r="AG1345" s="20">
        <v>0</v>
      </c>
      <c r="AH1345" s="20">
        <v>1</v>
      </c>
      <c r="AI1345" s="4" t="s">
        <v>251</v>
      </c>
      <c r="AJ1345" s="20">
        <v>355</v>
      </c>
      <c r="AK1345" s="4" t="s">
        <v>179</v>
      </c>
      <c r="AL1345" s="4">
        <v>36</v>
      </c>
      <c r="AM1345" s="4">
        <v>36</v>
      </c>
      <c r="AN1345" s="4" t="s">
        <v>95</v>
      </c>
      <c r="AO1345" s="4" t="s">
        <v>96</v>
      </c>
      <c r="AP1345" s="4">
        <v>1</v>
      </c>
      <c r="AQ1345" s="20">
        <v>55000</v>
      </c>
      <c r="AR1345" s="4">
        <v>41918</v>
      </c>
      <c r="AS1345" s="20">
        <v>8333.3333333333321</v>
      </c>
      <c r="AT1345" s="20">
        <v>0</v>
      </c>
      <c r="AU1345" s="20">
        <v>-8333.3333333333321</v>
      </c>
      <c r="AV1345" s="20">
        <v>0</v>
      </c>
      <c r="AW1345" s="20">
        <v>0</v>
      </c>
      <c r="AX1345" s="20" t="s">
        <v>91</v>
      </c>
      <c r="AY1345" s="20">
        <v>0</v>
      </c>
      <c r="AZ1345" s="20">
        <v>0</v>
      </c>
      <c r="BA1345" s="20">
        <v>0</v>
      </c>
      <c r="BB1345" s="6">
        <v>41947</v>
      </c>
      <c r="BC1345" s="6">
        <v>0</v>
      </c>
      <c r="BD1345" s="6">
        <v>41948</v>
      </c>
      <c r="BE1345" s="6">
        <v>0</v>
      </c>
      <c r="BF1345" s="6">
        <v>41947</v>
      </c>
      <c r="BG1345" s="6">
        <v>0</v>
      </c>
      <c r="BH1345" s="6">
        <v>0</v>
      </c>
      <c r="BI1345" s="6">
        <v>0</v>
      </c>
      <c r="BJ1345" s="6">
        <v>0</v>
      </c>
      <c r="BK1345" s="4">
        <v>0</v>
      </c>
      <c r="BL1345" s="4">
        <v>0</v>
      </c>
      <c r="BM1345" s="20">
        <v>355</v>
      </c>
      <c r="BN1345" s="20">
        <v>0</v>
      </c>
      <c r="BO1345" s="20">
        <v>0</v>
      </c>
      <c r="BP1345" s="20">
        <v>0</v>
      </c>
      <c r="BQ1345" s="20">
        <v>0</v>
      </c>
      <c r="BR1345" s="20">
        <v>0</v>
      </c>
      <c r="BS1345" s="20">
        <v>355</v>
      </c>
      <c r="BT1345" s="20">
        <v>2958333.333333333</v>
      </c>
      <c r="BU1345" s="20">
        <v>19525000</v>
      </c>
      <c r="BV1345" s="20">
        <v>6</v>
      </c>
    </row>
    <row r="1346" spans="1:74">
      <c r="A1346" s="10">
        <f t="shared" si="82"/>
        <v>0</v>
      </c>
      <c r="B1346" s="10">
        <f t="shared" si="83"/>
        <v>0</v>
      </c>
      <c r="C1346" s="12">
        <f t="shared" si="84"/>
        <v>11</v>
      </c>
      <c r="D1346" s="12">
        <f t="shared" si="85"/>
        <v>11</v>
      </c>
      <c r="E1346" s="20" t="s">
        <v>386</v>
      </c>
      <c r="F1346" s="20" t="s">
        <v>2960</v>
      </c>
      <c r="G1346" s="20" t="s">
        <v>5185</v>
      </c>
      <c r="H1346" s="20" t="s">
        <v>5213</v>
      </c>
      <c r="I1346" s="20">
        <v>10</v>
      </c>
      <c r="J1346" s="20" t="s">
        <v>5214</v>
      </c>
      <c r="K1346" s="20" t="s">
        <v>5215</v>
      </c>
      <c r="L1346" s="20" t="s">
        <v>4600</v>
      </c>
      <c r="M1346" s="20" t="s">
        <v>2960</v>
      </c>
      <c r="N1346" s="20" t="s">
        <v>4601</v>
      </c>
      <c r="P1346" s="20" t="s">
        <v>2960</v>
      </c>
      <c r="Q1346" s="20" t="s">
        <v>2967</v>
      </c>
      <c r="R1346" s="20" t="s">
        <v>84</v>
      </c>
      <c r="S1346" s="20">
        <v>5</v>
      </c>
      <c r="T1346" s="20" t="s">
        <v>480</v>
      </c>
      <c r="U1346" s="20" t="s">
        <v>481</v>
      </c>
      <c r="V1346" s="20" t="s">
        <v>87</v>
      </c>
      <c r="W1346" s="20">
        <v>833</v>
      </c>
      <c r="X1346" s="20">
        <v>833</v>
      </c>
      <c r="Y1346" s="20" t="s">
        <v>4602</v>
      </c>
      <c r="Z1346" s="20">
        <v>0</v>
      </c>
      <c r="AA1346" s="20" t="s">
        <v>4603</v>
      </c>
      <c r="AB1346" s="20" t="s">
        <v>296</v>
      </c>
      <c r="AC1346" s="20" t="s">
        <v>297</v>
      </c>
      <c r="AD1346" s="20" t="s">
        <v>4604</v>
      </c>
      <c r="AE1346" s="20" t="s">
        <v>5071</v>
      </c>
      <c r="AF1346" s="20">
        <v>0</v>
      </c>
      <c r="AG1346" s="20">
        <v>0</v>
      </c>
      <c r="AH1346" s="20">
        <v>1</v>
      </c>
      <c r="AI1346" s="4" t="s">
        <v>251</v>
      </c>
      <c r="AJ1346" s="20">
        <v>220</v>
      </c>
      <c r="AK1346" s="4" t="s">
        <v>179</v>
      </c>
      <c r="AL1346" s="4">
        <v>36</v>
      </c>
      <c r="AM1346" s="4">
        <v>36</v>
      </c>
      <c r="AN1346" s="4" t="s">
        <v>95</v>
      </c>
      <c r="AO1346" s="4" t="s">
        <v>96</v>
      </c>
      <c r="AP1346" s="4">
        <v>1</v>
      </c>
      <c r="AQ1346" s="20">
        <v>65000</v>
      </c>
      <c r="AR1346" s="4">
        <v>41918</v>
      </c>
      <c r="AS1346" s="20">
        <v>9848.484848484848</v>
      </c>
      <c r="AT1346" s="20">
        <v>0</v>
      </c>
      <c r="AU1346" s="20">
        <v>-9848.484848484848</v>
      </c>
      <c r="AV1346" s="20">
        <v>0</v>
      </c>
      <c r="AW1346" s="20">
        <v>0</v>
      </c>
      <c r="AX1346" s="20" t="s">
        <v>91</v>
      </c>
      <c r="AY1346" s="20">
        <v>0</v>
      </c>
      <c r="AZ1346" s="20">
        <v>0</v>
      </c>
      <c r="BA1346" s="20">
        <v>0</v>
      </c>
      <c r="BB1346" s="6">
        <v>41947</v>
      </c>
      <c r="BC1346" s="6">
        <v>0</v>
      </c>
      <c r="BD1346" s="6">
        <v>41948</v>
      </c>
      <c r="BE1346" s="6">
        <v>0</v>
      </c>
      <c r="BF1346" s="6">
        <v>41947</v>
      </c>
      <c r="BG1346" s="6">
        <v>0</v>
      </c>
      <c r="BH1346" s="6">
        <v>0</v>
      </c>
      <c r="BI1346" s="6">
        <v>0</v>
      </c>
      <c r="BJ1346" s="6">
        <v>0</v>
      </c>
      <c r="BK1346" s="4">
        <v>0</v>
      </c>
      <c r="BL1346" s="4">
        <v>0</v>
      </c>
      <c r="BM1346" s="20">
        <v>220</v>
      </c>
      <c r="BN1346" s="20">
        <v>0</v>
      </c>
      <c r="BO1346" s="20">
        <v>0</v>
      </c>
      <c r="BP1346" s="20">
        <v>0</v>
      </c>
      <c r="BQ1346" s="20">
        <v>0</v>
      </c>
      <c r="BR1346" s="20">
        <v>0</v>
      </c>
      <c r="BS1346" s="20">
        <v>220</v>
      </c>
      <c r="BT1346" s="20">
        <v>2166666.6666666665</v>
      </c>
      <c r="BU1346" s="20">
        <v>14300000</v>
      </c>
      <c r="BV1346" s="20">
        <v>6</v>
      </c>
    </row>
    <row r="1347" spans="1:74">
      <c r="A1347" s="10">
        <f t="shared" ref="A1347:A1410" si="86">IF($BL1347="공급",$Z1347,0)</f>
        <v>0</v>
      </c>
      <c r="B1347" s="10">
        <f t="shared" ref="B1347:B1410" si="87">IF($AV1347&gt;0,$Z1347,0)</f>
        <v>0</v>
      </c>
      <c r="C1347" s="12">
        <f t="shared" si="84"/>
        <v>11</v>
      </c>
      <c r="D1347" s="12">
        <f t="shared" si="85"/>
        <v>11</v>
      </c>
      <c r="E1347" s="20" t="s">
        <v>386</v>
      </c>
      <c r="F1347" s="20" t="s">
        <v>2960</v>
      </c>
      <c r="G1347" s="20" t="s">
        <v>5185</v>
      </c>
      <c r="H1347" s="20" t="s">
        <v>5216</v>
      </c>
      <c r="I1347" s="20">
        <v>11</v>
      </c>
      <c r="J1347" s="20" t="s">
        <v>5217</v>
      </c>
      <c r="K1347" s="20" t="s">
        <v>5218</v>
      </c>
      <c r="L1347" s="20" t="s">
        <v>4600</v>
      </c>
      <c r="M1347" s="20" t="s">
        <v>2960</v>
      </c>
      <c r="N1347" s="20" t="s">
        <v>4601</v>
      </c>
      <c r="P1347" s="20" t="s">
        <v>2960</v>
      </c>
      <c r="Q1347" s="20" t="s">
        <v>2967</v>
      </c>
      <c r="R1347" s="20" t="s">
        <v>84</v>
      </c>
      <c r="S1347" s="20">
        <v>5</v>
      </c>
      <c r="T1347" s="20" t="s">
        <v>480</v>
      </c>
      <c r="U1347" s="20" t="s">
        <v>481</v>
      </c>
      <c r="V1347" s="20" t="s">
        <v>87</v>
      </c>
      <c r="W1347" s="20">
        <v>833</v>
      </c>
      <c r="X1347" s="20">
        <v>833</v>
      </c>
      <c r="Y1347" s="20" t="s">
        <v>4602</v>
      </c>
      <c r="Z1347" s="20">
        <v>0</v>
      </c>
      <c r="AA1347" s="20" t="s">
        <v>4608</v>
      </c>
      <c r="AB1347" s="20" t="s">
        <v>89</v>
      </c>
      <c r="AC1347" s="20" t="s">
        <v>90</v>
      </c>
      <c r="AD1347" s="20" t="s">
        <v>4609</v>
      </c>
      <c r="AE1347" s="20" t="s">
        <v>5071</v>
      </c>
      <c r="AF1347" s="20">
        <v>0</v>
      </c>
      <c r="AG1347" s="20">
        <v>0</v>
      </c>
      <c r="AH1347" s="20">
        <v>1</v>
      </c>
      <c r="AI1347" s="4" t="s">
        <v>251</v>
      </c>
      <c r="AJ1347" s="20">
        <v>170</v>
      </c>
      <c r="AK1347" s="4" t="s">
        <v>179</v>
      </c>
      <c r="AL1347" s="4">
        <v>36</v>
      </c>
      <c r="AM1347" s="4">
        <v>36</v>
      </c>
      <c r="AN1347" s="4" t="s">
        <v>95</v>
      </c>
      <c r="AO1347" s="4" t="s">
        <v>96</v>
      </c>
      <c r="AP1347" s="4">
        <v>1</v>
      </c>
      <c r="AQ1347" s="20">
        <v>65000</v>
      </c>
      <c r="AR1347" s="4">
        <v>41918</v>
      </c>
      <c r="AS1347" s="20">
        <v>9848.484848484848</v>
      </c>
      <c r="AT1347" s="20">
        <v>0</v>
      </c>
      <c r="AU1347" s="20">
        <v>-9848.484848484848</v>
      </c>
      <c r="AV1347" s="20">
        <v>0</v>
      </c>
      <c r="AW1347" s="20">
        <v>0</v>
      </c>
      <c r="AX1347" s="20" t="s">
        <v>91</v>
      </c>
      <c r="AY1347" s="20">
        <v>0</v>
      </c>
      <c r="AZ1347" s="20">
        <v>0</v>
      </c>
      <c r="BA1347" s="20">
        <v>0</v>
      </c>
      <c r="BB1347" s="6">
        <v>41947</v>
      </c>
      <c r="BC1347" s="6">
        <v>0</v>
      </c>
      <c r="BD1347" s="6">
        <v>41948</v>
      </c>
      <c r="BE1347" s="6">
        <v>0</v>
      </c>
      <c r="BF1347" s="6">
        <v>41947</v>
      </c>
      <c r="BG1347" s="6">
        <v>0</v>
      </c>
      <c r="BH1347" s="6">
        <v>0</v>
      </c>
      <c r="BI1347" s="6">
        <v>0</v>
      </c>
      <c r="BJ1347" s="6">
        <v>0</v>
      </c>
      <c r="BK1347" s="4">
        <v>0</v>
      </c>
      <c r="BL1347" s="4">
        <v>0</v>
      </c>
      <c r="BM1347" s="20">
        <v>170</v>
      </c>
      <c r="BN1347" s="20">
        <v>0</v>
      </c>
      <c r="BO1347" s="20">
        <v>0</v>
      </c>
      <c r="BP1347" s="20">
        <v>0</v>
      </c>
      <c r="BQ1347" s="20">
        <v>0</v>
      </c>
      <c r="BR1347" s="20">
        <v>0</v>
      </c>
      <c r="BS1347" s="20">
        <v>170</v>
      </c>
      <c r="BT1347" s="20">
        <v>1674242.4242424241</v>
      </c>
      <c r="BU1347" s="20">
        <v>11050000</v>
      </c>
      <c r="BV1347" s="20">
        <v>6</v>
      </c>
    </row>
    <row r="1348" spans="1:74">
      <c r="A1348" s="10">
        <f t="shared" si="86"/>
        <v>0</v>
      </c>
      <c r="B1348" s="10">
        <f t="shared" si="87"/>
        <v>0</v>
      </c>
      <c r="C1348" s="12">
        <f t="shared" ref="C1348:C1411" si="88">IF($BB1348=0,"",MONTH($BB1348))</f>
        <v>11</v>
      </c>
      <c r="D1348" s="12">
        <f t="shared" si="85"/>
        <v>11</v>
      </c>
      <c r="E1348" s="20" t="s">
        <v>386</v>
      </c>
      <c r="F1348" s="20" t="s">
        <v>2960</v>
      </c>
      <c r="G1348" s="20" t="s">
        <v>5185</v>
      </c>
      <c r="H1348" s="20" t="s">
        <v>5219</v>
      </c>
      <c r="I1348" s="20">
        <v>12</v>
      </c>
      <c r="J1348" s="20" t="s">
        <v>5220</v>
      </c>
      <c r="K1348" s="20" t="s">
        <v>5221</v>
      </c>
      <c r="L1348" s="20" t="s">
        <v>4613</v>
      </c>
      <c r="M1348" s="20" t="s">
        <v>2960</v>
      </c>
      <c r="N1348" s="20" t="s">
        <v>4601</v>
      </c>
      <c r="P1348" s="20" t="s">
        <v>2960</v>
      </c>
      <c r="Q1348" s="20" t="s">
        <v>2967</v>
      </c>
      <c r="R1348" s="20" t="s">
        <v>84</v>
      </c>
      <c r="S1348" s="20">
        <v>5</v>
      </c>
      <c r="T1348" s="20" t="s">
        <v>480</v>
      </c>
      <c r="U1348" s="20" t="s">
        <v>481</v>
      </c>
      <c r="V1348" s="20" t="s">
        <v>87</v>
      </c>
      <c r="W1348" s="20">
        <v>834</v>
      </c>
      <c r="X1348" s="20">
        <v>834</v>
      </c>
      <c r="Y1348" s="20" t="s">
        <v>4614</v>
      </c>
      <c r="Z1348" s="20">
        <v>0</v>
      </c>
      <c r="AA1348" s="20" t="s">
        <v>4615</v>
      </c>
      <c r="AB1348" s="20" t="s">
        <v>248</v>
      </c>
      <c r="AC1348" s="20" t="s">
        <v>249</v>
      </c>
      <c r="AD1348" s="20" t="s">
        <v>4616</v>
      </c>
      <c r="AE1348" s="20" t="s">
        <v>5071</v>
      </c>
      <c r="AF1348" s="20">
        <v>0</v>
      </c>
      <c r="AG1348" s="20">
        <v>0</v>
      </c>
      <c r="AH1348" s="20">
        <v>1</v>
      </c>
      <c r="AI1348" s="4" t="s">
        <v>251</v>
      </c>
      <c r="AJ1348" s="20">
        <v>200</v>
      </c>
      <c r="AK1348" s="4" t="s">
        <v>179</v>
      </c>
      <c r="AL1348" s="4">
        <v>36</v>
      </c>
      <c r="AM1348" s="4">
        <v>36</v>
      </c>
      <c r="AN1348" s="4" t="s">
        <v>95</v>
      </c>
      <c r="AO1348" s="4" t="s">
        <v>96</v>
      </c>
      <c r="AP1348" s="4">
        <v>1</v>
      </c>
      <c r="AQ1348" s="20">
        <v>55000</v>
      </c>
      <c r="AR1348" s="4">
        <v>41918</v>
      </c>
      <c r="AS1348" s="20">
        <v>8333.3333333333321</v>
      </c>
      <c r="AT1348" s="20">
        <v>0</v>
      </c>
      <c r="AU1348" s="20">
        <v>-8333.3333333333321</v>
      </c>
      <c r="AV1348" s="20">
        <v>0</v>
      </c>
      <c r="AW1348" s="20">
        <v>0</v>
      </c>
      <c r="AX1348" s="20" t="s">
        <v>91</v>
      </c>
      <c r="AY1348" s="20">
        <v>0</v>
      </c>
      <c r="AZ1348" s="20">
        <v>0</v>
      </c>
      <c r="BA1348" s="20">
        <v>0</v>
      </c>
      <c r="BB1348" s="6">
        <v>41947</v>
      </c>
      <c r="BC1348" s="6">
        <v>0</v>
      </c>
      <c r="BD1348" s="6">
        <v>41948</v>
      </c>
      <c r="BE1348" s="6">
        <v>0</v>
      </c>
      <c r="BF1348" s="6">
        <v>41947</v>
      </c>
      <c r="BG1348" s="6">
        <v>0</v>
      </c>
      <c r="BH1348" s="6">
        <v>0</v>
      </c>
      <c r="BI1348" s="6">
        <v>0</v>
      </c>
      <c r="BJ1348" s="6">
        <v>0</v>
      </c>
      <c r="BK1348" s="4">
        <v>0</v>
      </c>
      <c r="BL1348" s="4">
        <v>0</v>
      </c>
      <c r="BM1348" s="20">
        <v>200</v>
      </c>
      <c r="BN1348" s="20">
        <v>0</v>
      </c>
      <c r="BO1348" s="20">
        <v>0</v>
      </c>
      <c r="BP1348" s="20">
        <v>0</v>
      </c>
      <c r="BQ1348" s="20">
        <v>0</v>
      </c>
      <c r="BR1348" s="20">
        <v>0</v>
      </c>
      <c r="BS1348" s="20">
        <v>200</v>
      </c>
      <c r="BT1348" s="20">
        <v>1666666.6666666665</v>
      </c>
      <c r="BU1348" s="20">
        <v>11000000</v>
      </c>
      <c r="BV1348" s="20">
        <v>6</v>
      </c>
    </row>
    <row r="1349" spans="1:74">
      <c r="A1349" s="10">
        <f t="shared" si="86"/>
        <v>0</v>
      </c>
      <c r="B1349" s="10">
        <f t="shared" si="87"/>
        <v>0</v>
      </c>
      <c r="C1349" s="12" t="str">
        <f t="shared" si="88"/>
        <v/>
      </c>
      <c r="D1349" s="12" t="str">
        <f t="shared" ref="D1349:D1412" si="89">IF(AND(BD1349=0,BF1349=0),"",MONTH(IF($BF1349=0,$BD1349,$BF1349)))</f>
        <v/>
      </c>
      <c r="E1349" s="20" t="s">
        <v>91</v>
      </c>
      <c r="F1349" s="20" t="s">
        <v>91</v>
      </c>
      <c r="G1349" s="20" t="s">
        <v>91</v>
      </c>
      <c r="H1349" s="20" t="s">
        <v>91</v>
      </c>
      <c r="I1349" s="20">
        <v>0</v>
      </c>
      <c r="J1349" s="20" t="s">
        <v>103</v>
      </c>
      <c r="K1349" s="20" t="s">
        <v>104</v>
      </c>
      <c r="L1349" s="20">
        <v>0</v>
      </c>
      <c r="M1349" s="20" t="s">
        <v>105</v>
      </c>
      <c r="N1349" s="20" t="s">
        <v>91</v>
      </c>
      <c r="O1349" s="20" t="s">
        <v>5222</v>
      </c>
      <c r="Q1349" s="20" t="s">
        <v>91</v>
      </c>
      <c r="R1349" s="20" t="s">
        <v>91</v>
      </c>
      <c r="S1349" s="20" t="s">
        <v>91</v>
      </c>
      <c r="T1349" s="20" t="s">
        <v>91</v>
      </c>
      <c r="U1349" s="20" t="s">
        <v>91</v>
      </c>
      <c r="V1349" s="20" t="s">
        <v>87</v>
      </c>
      <c r="W1349" s="20" t="s">
        <v>91</v>
      </c>
      <c r="X1349" s="20" t="s">
        <v>91</v>
      </c>
      <c r="Y1349" s="20" t="s">
        <v>91</v>
      </c>
      <c r="Z1349" s="20">
        <v>0</v>
      </c>
      <c r="AB1349" s="20" t="s">
        <v>91</v>
      </c>
      <c r="AD1349" s="20" t="s">
        <v>91</v>
      </c>
      <c r="AE1349" s="20" t="s">
        <v>91</v>
      </c>
      <c r="AF1349" s="20">
        <v>0</v>
      </c>
      <c r="AG1349" s="20">
        <v>0</v>
      </c>
      <c r="AH1349" s="20">
        <v>1</v>
      </c>
      <c r="AM1349" s="4" t="s">
        <v>91</v>
      </c>
      <c r="AP1349" s="4" t="s">
        <v>91</v>
      </c>
      <c r="AQ1349" s="20">
        <v>0</v>
      </c>
      <c r="AR1349" s="4">
        <v>0</v>
      </c>
      <c r="AS1349" s="20">
        <v>0</v>
      </c>
      <c r="AT1349" s="20">
        <v>0</v>
      </c>
      <c r="AU1349" s="20">
        <v>0</v>
      </c>
      <c r="AV1349" s="20">
        <v>0</v>
      </c>
      <c r="AW1349" s="20">
        <v>0</v>
      </c>
      <c r="AX1349" s="20" t="s">
        <v>91</v>
      </c>
      <c r="AY1349" s="20">
        <v>0</v>
      </c>
      <c r="AZ1349" s="20">
        <v>0</v>
      </c>
      <c r="BA1349" s="20">
        <v>0</v>
      </c>
      <c r="BB1349" s="6">
        <v>0</v>
      </c>
      <c r="BC1349" s="6">
        <v>0</v>
      </c>
      <c r="BD1349" s="6">
        <v>0</v>
      </c>
      <c r="BE1349" s="6">
        <v>0</v>
      </c>
      <c r="BF1349" s="6">
        <v>0</v>
      </c>
      <c r="BG1349" s="6">
        <v>0</v>
      </c>
      <c r="BH1349" s="6">
        <v>0</v>
      </c>
      <c r="BI1349" s="6">
        <v>0</v>
      </c>
      <c r="BJ1349" s="6">
        <v>0</v>
      </c>
      <c r="BK1349" s="4">
        <v>0</v>
      </c>
      <c r="BL1349" s="4">
        <v>0</v>
      </c>
      <c r="BM1349" s="20">
        <v>3591</v>
      </c>
      <c r="BN1349" s="20">
        <v>0</v>
      </c>
      <c r="BO1349" s="20">
        <v>0</v>
      </c>
      <c r="BP1349" s="20">
        <v>0</v>
      </c>
      <c r="BQ1349" s="20">
        <v>0</v>
      </c>
      <c r="BR1349" s="20">
        <v>0</v>
      </c>
      <c r="BS1349" s="20">
        <v>3591</v>
      </c>
      <c r="BT1349" s="20">
        <v>23684393.939393941</v>
      </c>
      <c r="BU1349" s="20">
        <v>156317000</v>
      </c>
      <c r="BV1349" s="20">
        <v>5.9999999999999991</v>
      </c>
    </row>
    <row r="1350" spans="1:74">
      <c r="A1350" s="10">
        <f t="shared" si="86"/>
        <v>0</v>
      </c>
      <c r="B1350" s="10">
        <f t="shared" si="87"/>
        <v>0</v>
      </c>
      <c r="C1350" s="12">
        <f t="shared" si="88"/>
        <v>11</v>
      </c>
      <c r="D1350" s="12">
        <f t="shared" si="89"/>
        <v>11</v>
      </c>
      <c r="E1350" s="20" t="s">
        <v>386</v>
      </c>
      <c r="F1350" s="20" t="s">
        <v>2999</v>
      </c>
      <c r="G1350" s="20" t="s">
        <v>5223</v>
      </c>
      <c r="H1350" s="20" t="s">
        <v>5224</v>
      </c>
      <c r="I1350" s="20">
        <v>1</v>
      </c>
      <c r="J1350" s="20" t="s">
        <v>5225</v>
      </c>
      <c r="K1350" s="20" t="s">
        <v>5226</v>
      </c>
      <c r="L1350" s="20" t="s">
        <v>4691</v>
      </c>
      <c r="M1350" s="20" t="s">
        <v>2999</v>
      </c>
      <c r="N1350" s="20" t="s">
        <v>4677</v>
      </c>
      <c r="P1350" s="20" t="s">
        <v>2999</v>
      </c>
      <c r="Q1350" s="20" t="s">
        <v>3006</v>
      </c>
      <c r="R1350" s="20" t="s">
        <v>84</v>
      </c>
      <c r="S1350" s="20">
        <v>5</v>
      </c>
      <c r="T1350" s="20" t="s">
        <v>395</v>
      </c>
      <c r="U1350" s="20" t="s">
        <v>396</v>
      </c>
      <c r="V1350" s="20" t="s">
        <v>87</v>
      </c>
      <c r="W1350" s="20">
        <v>805</v>
      </c>
      <c r="X1350" s="20">
        <v>805</v>
      </c>
      <c r="Y1350" s="20" t="s">
        <v>4692</v>
      </c>
      <c r="Z1350" s="20">
        <v>0</v>
      </c>
      <c r="AA1350" s="20" t="s">
        <v>4693</v>
      </c>
      <c r="AB1350" s="20" t="s">
        <v>176</v>
      </c>
      <c r="AC1350" s="20" t="s">
        <v>177</v>
      </c>
      <c r="AD1350" s="20" t="s">
        <v>4694</v>
      </c>
      <c r="AE1350" s="20" t="s">
        <v>5071</v>
      </c>
      <c r="AF1350" s="20">
        <v>0</v>
      </c>
      <c r="AG1350" s="20">
        <v>0</v>
      </c>
      <c r="AH1350" s="20">
        <v>1</v>
      </c>
      <c r="AI1350" s="4" t="s">
        <v>251</v>
      </c>
      <c r="AJ1350" s="20">
        <v>247</v>
      </c>
      <c r="AK1350" s="4" t="s">
        <v>179</v>
      </c>
      <c r="AL1350" s="4">
        <v>37</v>
      </c>
      <c r="AM1350" s="4">
        <v>37</v>
      </c>
      <c r="AN1350" s="4" t="s">
        <v>95</v>
      </c>
      <c r="AO1350" s="4" t="s">
        <v>96</v>
      </c>
      <c r="AP1350" s="4">
        <v>1</v>
      </c>
      <c r="AQ1350" s="20">
        <v>59000</v>
      </c>
      <c r="AR1350" s="4">
        <v>41918</v>
      </c>
      <c r="AS1350" s="20">
        <v>8939.3939393939381</v>
      </c>
      <c r="AT1350" s="20">
        <v>0</v>
      </c>
      <c r="AU1350" s="20">
        <v>-8939.3939393939381</v>
      </c>
      <c r="AV1350" s="20">
        <v>0</v>
      </c>
      <c r="AW1350" s="20">
        <v>0</v>
      </c>
      <c r="AX1350" s="20" t="s">
        <v>91</v>
      </c>
      <c r="AY1350" s="20">
        <v>0</v>
      </c>
      <c r="AZ1350" s="20">
        <v>0</v>
      </c>
      <c r="BA1350" s="20">
        <v>0</v>
      </c>
      <c r="BB1350" s="6">
        <v>41947</v>
      </c>
      <c r="BC1350" s="6">
        <v>0</v>
      </c>
      <c r="BD1350" s="6">
        <v>41948</v>
      </c>
      <c r="BE1350" s="6">
        <v>0</v>
      </c>
      <c r="BF1350" s="6">
        <v>41947</v>
      </c>
      <c r="BG1350" s="6">
        <v>0</v>
      </c>
      <c r="BH1350" s="6">
        <v>0</v>
      </c>
      <c r="BI1350" s="6">
        <v>0</v>
      </c>
      <c r="BJ1350" s="6">
        <v>0</v>
      </c>
      <c r="BK1350" s="4">
        <v>0</v>
      </c>
      <c r="BL1350" s="4">
        <v>0</v>
      </c>
      <c r="BM1350" s="20">
        <v>247</v>
      </c>
      <c r="BN1350" s="20">
        <v>0</v>
      </c>
      <c r="BO1350" s="20">
        <v>0</v>
      </c>
      <c r="BP1350" s="20">
        <v>0</v>
      </c>
      <c r="BQ1350" s="20">
        <v>0</v>
      </c>
      <c r="BR1350" s="20">
        <v>0</v>
      </c>
      <c r="BS1350" s="20">
        <v>247</v>
      </c>
      <c r="BT1350" s="20">
        <v>2208030.3030303027</v>
      </c>
      <c r="BU1350" s="20">
        <v>14573000</v>
      </c>
      <c r="BV1350" s="20">
        <v>6.0000000000000009</v>
      </c>
    </row>
    <row r="1351" spans="1:74">
      <c r="A1351" s="10">
        <f t="shared" si="86"/>
        <v>0</v>
      </c>
      <c r="B1351" s="10">
        <f t="shared" si="87"/>
        <v>0</v>
      </c>
      <c r="C1351" s="12">
        <f t="shared" si="88"/>
        <v>11</v>
      </c>
      <c r="D1351" s="12">
        <f t="shared" si="89"/>
        <v>11</v>
      </c>
      <c r="E1351" s="20" t="s">
        <v>386</v>
      </c>
      <c r="F1351" s="20" t="s">
        <v>2999</v>
      </c>
      <c r="G1351" s="20" t="s">
        <v>5223</v>
      </c>
      <c r="H1351" s="20" t="s">
        <v>5227</v>
      </c>
      <c r="I1351" s="20">
        <v>2</v>
      </c>
      <c r="J1351" s="20" t="s">
        <v>5228</v>
      </c>
      <c r="K1351" s="20" t="s">
        <v>5229</v>
      </c>
      <c r="L1351" s="20" t="s">
        <v>4698</v>
      </c>
      <c r="M1351" s="20" t="s">
        <v>2999</v>
      </c>
      <c r="N1351" s="20" t="s">
        <v>4677</v>
      </c>
      <c r="P1351" s="20" t="s">
        <v>2999</v>
      </c>
      <c r="Q1351" s="20" t="s">
        <v>3006</v>
      </c>
      <c r="R1351" s="20" t="s">
        <v>84</v>
      </c>
      <c r="S1351" s="20">
        <v>5</v>
      </c>
      <c r="T1351" s="20" t="s">
        <v>395</v>
      </c>
      <c r="U1351" s="20" t="s">
        <v>396</v>
      </c>
      <c r="V1351" s="20" t="s">
        <v>87</v>
      </c>
      <c r="W1351" s="20">
        <v>807</v>
      </c>
      <c r="X1351" s="20">
        <v>807</v>
      </c>
      <c r="Y1351" s="20" t="s">
        <v>4699</v>
      </c>
      <c r="Z1351" s="20">
        <v>0</v>
      </c>
      <c r="AA1351" s="20" t="s">
        <v>4700</v>
      </c>
      <c r="AB1351" s="20" t="s">
        <v>139</v>
      </c>
      <c r="AC1351" s="20" t="s">
        <v>140</v>
      </c>
      <c r="AD1351" s="20" t="s">
        <v>4701</v>
      </c>
      <c r="AE1351" s="20" t="s">
        <v>5071</v>
      </c>
      <c r="AF1351" s="20">
        <v>0</v>
      </c>
      <c r="AG1351" s="20">
        <v>0</v>
      </c>
      <c r="AH1351" s="20">
        <v>1</v>
      </c>
      <c r="AI1351" s="4" t="s">
        <v>251</v>
      </c>
      <c r="AJ1351" s="20">
        <v>85</v>
      </c>
      <c r="AK1351" s="4" t="s">
        <v>179</v>
      </c>
      <c r="AL1351" s="4">
        <v>37</v>
      </c>
      <c r="AM1351" s="4">
        <v>37</v>
      </c>
      <c r="AN1351" s="4" t="s">
        <v>95</v>
      </c>
      <c r="AO1351" s="4" t="s">
        <v>96</v>
      </c>
      <c r="AP1351" s="4">
        <v>1</v>
      </c>
      <c r="AQ1351" s="20">
        <v>55000</v>
      </c>
      <c r="AR1351" s="4">
        <v>41918</v>
      </c>
      <c r="AS1351" s="20">
        <v>8333.3333333333321</v>
      </c>
      <c r="AT1351" s="20">
        <v>0</v>
      </c>
      <c r="AU1351" s="20">
        <v>-8333.3333333333321</v>
      </c>
      <c r="AV1351" s="20">
        <v>0</v>
      </c>
      <c r="AW1351" s="20">
        <v>0</v>
      </c>
      <c r="AX1351" s="20" t="s">
        <v>91</v>
      </c>
      <c r="AY1351" s="20">
        <v>0</v>
      </c>
      <c r="AZ1351" s="20">
        <v>0</v>
      </c>
      <c r="BA1351" s="20">
        <v>0</v>
      </c>
      <c r="BB1351" s="6">
        <v>41947</v>
      </c>
      <c r="BC1351" s="6">
        <v>0</v>
      </c>
      <c r="BD1351" s="6">
        <v>41948</v>
      </c>
      <c r="BE1351" s="6">
        <v>0</v>
      </c>
      <c r="BF1351" s="6">
        <v>41947</v>
      </c>
      <c r="BG1351" s="6">
        <v>0</v>
      </c>
      <c r="BH1351" s="6">
        <v>0</v>
      </c>
      <c r="BI1351" s="6">
        <v>0</v>
      </c>
      <c r="BJ1351" s="6">
        <v>0</v>
      </c>
      <c r="BK1351" s="4">
        <v>0</v>
      </c>
      <c r="BL1351" s="4">
        <v>0</v>
      </c>
      <c r="BM1351" s="20">
        <v>85</v>
      </c>
      <c r="BN1351" s="20">
        <v>0</v>
      </c>
      <c r="BO1351" s="20">
        <v>0</v>
      </c>
      <c r="BP1351" s="20">
        <v>0</v>
      </c>
      <c r="BQ1351" s="20">
        <v>0</v>
      </c>
      <c r="BR1351" s="20">
        <v>0</v>
      </c>
      <c r="BS1351" s="20">
        <v>85</v>
      </c>
      <c r="BT1351" s="20">
        <v>708333.33333333326</v>
      </c>
      <c r="BU1351" s="20">
        <v>4675000</v>
      </c>
      <c r="BV1351" s="20">
        <v>6</v>
      </c>
    </row>
    <row r="1352" spans="1:74">
      <c r="A1352" s="10">
        <f t="shared" si="86"/>
        <v>0</v>
      </c>
      <c r="B1352" s="10">
        <f t="shared" si="87"/>
        <v>0</v>
      </c>
      <c r="C1352" s="12">
        <f t="shared" si="88"/>
        <v>11</v>
      </c>
      <c r="D1352" s="12">
        <f t="shared" si="89"/>
        <v>11</v>
      </c>
      <c r="E1352" s="20" t="s">
        <v>386</v>
      </c>
      <c r="F1352" s="20" t="s">
        <v>2999</v>
      </c>
      <c r="G1352" s="20" t="s">
        <v>5223</v>
      </c>
      <c r="H1352" s="20" t="s">
        <v>5230</v>
      </c>
      <c r="I1352" s="20">
        <v>3</v>
      </c>
      <c r="J1352" s="20" t="s">
        <v>5231</v>
      </c>
      <c r="K1352" s="20" t="s">
        <v>5232</v>
      </c>
      <c r="L1352" s="20" t="s">
        <v>4705</v>
      </c>
      <c r="M1352" s="20" t="s">
        <v>2999</v>
      </c>
      <c r="N1352" s="20" t="s">
        <v>4677</v>
      </c>
      <c r="P1352" s="20" t="s">
        <v>2999</v>
      </c>
      <c r="Q1352" s="20" t="s">
        <v>3006</v>
      </c>
      <c r="R1352" s="20" t="s">
        <v>84</v>
      </c>
      <c r="S1352" s="20">
        <v>5</v>
      </c>
      <c r="T1352" s="20" t="s">
        <v>395</v>
      </c>
      <c r="U1352" s="20" t="s">
        <v>396</v>
      </c>
      <c r="V1352" s="20" t="s">
        <v>87</v>
      </c>
      <c r="W1352" s="20">
        <v>817</v>
      </c>
      <c r="X1352" s="20">
        <v>817</v>
      </c>
      <c r="Y1352" s="20" t="s">
        <v>4706</v>
      </c>
      <c r="Z1352" s="20">
        <v>0</v>
      </c>
      <c r="AA1352" s="20" t="s">
        <v>4707</v>
      </c>
      <c r="AB1352" s="20" t="s">
        <v>159</v>
      </c>
      <c r="AC1352" s="20" t="s">
        <v>160</v>
      </c>
      <c r="AD1352" s="20" t="s">
        <v>4708</v>
      </c>
      <c r="AE1352" s="20" t="s">
        <v>5071</v>
      </c>
      <c r="AF1352" s="20">
        <v>0</v>
      </c>
      <c r="AG1352" s="20">
        <v>0</v>
      </c>
      <c r="AH1352" s="20">
        <v>1</v>
      </c>
      <c r="AI1352" s="4" t="s">
        <v>251</v>
      </c>
      <c r="AJ1352" s="20">
        <v>56</v>
      </c>
      <c r="AK1352" s="4" t="s">
        <v>179</v>
      </c>
      <c r="AL1352" s="4">
        <v>37</v>
      </c>
      <c r="AM1352" s="4">
        <v>37</v>
      </c>
      <c r="AN1352" s="4" t="s">
        <v>95</v>
      </c>
      <c r="AO1352" s="4" t="s">
        <v>96</v>
      </c>
      <c r="AP1352" s="4">
        <v>1</v>
      </c>
      <c r="AQ1352" s="20">
        <v>55000</v>
      </c>
      <c r="AR1352" s="4">
        <v>41918</v>
      </c>
      <c r="AS1352" s="20">
        <v>8333.3333333333321</v>
      </c>
      <c r="AT1352" s="20">
        <v>0</v>
      </c>
      <c r="AU1352" s="20">
        <v>-8333.3333333333321</v>
      </c>
      <c r="AV1352" s="20">
        <v>0</v>
      </c>
      <c r="AW1352" s="20">
        <v>0</v>
      </c>
      <c r="AX1352" s="20" t="s">
        <v>91</v>
      </c>
      <c r="AY1352" s="20">
        <v>0</v>
      </c>
      <c r="AZ1352" s="20">
        <v>0</v>
      </c>
      <c r="BA1352" s="20">
        <v>0</v>
      </c>
      <c r="BB1352" s="6">
        <v>41947</v>
      </c>
      <c r="BC1352" s="6">
        <v>0</v>
      </c>
      <c r="BD1352" s="6">
        <v>41948</v>
      </c>
      <c r="BE1352" s="6">
        <v>0</v>
      </c>
      <c r="BF1352" s="6">
        <v>41947</v>
      </c>
      <c r="BG1352" s="6">
        <v>0</v>
      </c>
      <c r="BH1352" s="6">
        <v>0</v>
      </c>
      <c r="BI1352" s="6">
        <v>0</v>
      </c>
      <c r="BJ1352" s="6">
        <v>0</v>
      </c>
      <c r="BK1352" s="4">
        <v>0</v>
      </c>
      <c r="BL1352" s="4">
        <v>0</v>
      </c>
      <c r="BM1352" s="20">
        <v>56</v>
      </c>
      <c r="BN1352" s="20">
        <v>0</v>
      </c>
      <c r="BO1352" s="20">
        <v>0</v>
      </c>
      <c r="BP1352" s="20">
        <v>0</v>
      </c>
      <c r="BQ1352" s="20">
        <v>0</v>
      </c>
      <c r="BR1352" s="20">
        <v>0</v>
      </c>
      <c r="BS1352" s="20">
        <v>56</v>
      </c>
      <c r="BT1352" s="20">
        <v>466666.66666666663</v>
      </c>
      <c r="BU1352" s="20">
        <v>3080000</v>
      </c>
      <c r="BV1352" s="20">
        <v>6</v>
      </c>
    </row>
    <row r="1353" spans="1:74">
      <c r="A1353" s="10">
        <f t="shared" si="86"/>
        <v>0</v>
      </c>
      <c r="B1353" s="10">
        <f t="shared" si="87"/>
        <v>0</v>
      </c>
      <c r="C1353" s="12">
        <f t="shared" si="88"/>
        <v>11</v>
      </c>
      <c r="D1353" s="12">
        <f t="shared" si="89"/>
        <v>11</v>
      </c>
      <c r="E1353" s="20" t="s">
        <v>574</v>
      </c>
      <c r="F1353" s="20" t="s">
        <v>4709</v>
      </c>
      <c r="G1353" s="20" t="s">
        <v>5223</v>
      </c>
      <c r="H1353" s="20" t="s">
        <v>5233</v>
      </c>
      <c r="I1353" s="20">
        <v>4</v>
      </c>
      <c r="J1353" s="20" t="s">
        <v>5234</v>
      </c>
      <c r="K1353" s="20" t="s">
        <v>5235</v>
      </c>
      <c r="L1353" s="20" t="s">
        <v>4728</v>
      </c>
      <c r="M1353" s="20" t="s">
        <v>2999</v>
      </c>
      <c r="N1353" s="20" t="s">
        <v>4714</v>
      </c>
      <c r="P1353" s="20" t="s">
        <v>2999</v>
      </c>
      <c r="Q1353" s="20" t="s">
        <v>3006</v>
      </c>
      <c r="R1353" s="20" t="s">
        <v>84</v>
      </c>
      <c r="S1353" s="20">
        <v>5</v>
      </c>
      <c r="T1353" s="20" t="s">
        <v>63</v>
      </c>
      <c r="U1353" s="20" t="s">
        <v>580</v>
      </c>
      <c r="V1353" s="20" t="s">
        <v>87</v>
      </c>
      <c r="W1353" s="20">
        <v>818</v>
      </c>
      <c r="X1353" s="20">
        <v>818</v>
      </c>
      <c r="Y1353" s="20" t="s">
        <v>4729</v>
      </c>
      <c r="Z1353" s="20">
        <v>0</v>
      </c>
      <c r="AA1353" s="20" t="s">
        <v>4730</v>
      </c>
      <c r="AB1353" s="20" t="s">
        <v>139</v>
      </c>
      <c r="AC1353" s="20" t="s">
        <v>140</v>
      </c>
      <c r="AD1353" s="20" t="s">
        <v>4731</v>
      </c>
      <c r="AE1353" s="20" t="s">
        <v>5071</v>
      </c>
      <c r="AF1353" s="20">
        <v>0</v>
      </c>
      <c r="AG1353" s="20">
        <v>0</v>
      </c>
      <c r="AH1353" s="20">
        <v>1</v>
      </c>
      <c r="AI1353" s="4" t="s">
        <v>251</v>
      </c>
      <c r="AJ1353" s="20">
        <v>120</v>
      </c>
      <c r="AK1353" s="4" t="s">
        <v>179</v>
      </c>
      <c r="AL1353" s="4">
        <v>37</v>
      </c>
      <c r="AM1353" s="4">
        <v>37</v>
      </c>
      <c r="AN1353" s="4" t="s">
        <v>95</v>
      </c>
      <c r="AO1353" s="4" t="s">
        <v>96</v>
      </c>
      <c r="AP1353" s="4">
        <v>1</v>
      </c>
      <c r="AQ1353" s="20">
        <v>55000</v>
      </c>
      <c r="AR1353" s="4">
        <v>41918</v>
      </c>
      <c r="AS1353" s="20">
        <v>8333.3333333333321</v>
      </c>
      <c r="AT1353" s="20">
        <v>0</v>
      </c>
      <c r="AU1353" s="20">
        <v>-8333.3333333333321</v>
      </c>
      <c r="AV1353" s="20">
        <v>0</v>
      </c>
      <c r="AW1353" s="20">
        <v>0</v>
      </c>
      <c r="AX1353" s="20" t="s">
        <v>91</v>
      </c>
      <c r="AY1353" s="20">
        <v>0</v>
      </c>
      <c r="AZ1353" s="20">
        <v>0</v>
      </c>
      <c r="BA1353" s="20">
        <v>0</v>
      </c>
      <c r="BB1353" s="6">
        <v>41947</v>
      </c>
      <c r="BC1353" s="6">
        <v>0</v>
      </c>
      <c r="BD1353" s="6">
        <v>41948</v>
      </c>
      <c r="BE1353" s="6">
        <v>0</v>
      </c>
      <c r="BF1353" s="6">
        <v>41947</v>
      </c>
      <c r="BG1353" s="6">
        <v>0</v>
      </c>
      <c r="BH1353" s="6">
        <v>0</v>
      </c>
      <c r="BI1353" s="6">
        <v>0</v>
      </c>
      <c r="BJ1353" s="6">
        <v>0</v>
      </c>
      <c r="BK1353" s="4">
        <v>0</v>
      </c>
      <c r="BL1353" s="4">
        <v>0</v>
      </c>
      <c r="BM1353" s="20">
        <v>120</v>
      </c>
      <c r="BN1353" s="20">
        <v>0</v>
      </c>
      <c r="BO1353" s="20">
        <v>0</v>
      </c>
      <c r="BP1353" s="20">
        <v>0</v>
      </c>
      <c r="BQ1353" s="20">
        <v>0</v>
      </c>
      <c r="BR1353" s="20">
        <v>0</v>
      </c>
      <c r="BS1353" s="20">
        <v>120</v>
      </c>
      <c r="BT1353" s="20">
        <v>999999.99999999988</v>
      </c>
      <c r="BU1353" s="20">
        <v>6600000</v>
      </c>
      <c r="BV1353" s="20">
        <v>6</v>
      </c>
    </row>
    <row r="1354" spans="1:74">
      <c r="A1354" s="10">
        <f t="shared" si="86"/>
        <v>0</v>
      </c>
      <c r="B1354" s="10">
        <f t="shared" si="87"/>
        <v>0</v>
      </c>
      <c r="C1354" s="12" t="str">
        <f t="shared" si="88"/>
        <v/>
      </c>
      <c r="D1354" s="12" t="str">
        <f t="shared" si="89"/>
        <v/>
      </c>
      <c r="E1354" s="20" t="s">
        <v>91</v>
      </c>
      <c r="F1354" s="20" t="s">
        <v>91</v>
      </c>
      <c r="G1354" s="20" t="s">
        <v>91</v>
      </c>
      <c r="H1354" s="20" t="s">
        <v>91</v>
      </c>
      <c r="I1354" s="20">
        <v>0</v>
      </c>
      <c r="J1354" s="20" t="s">
        <v>103</v>
      </c>
      <c r="K1354" s="20" t="s">
        <v>104</v>
      </c>
      <c r="L1354" s="20">
        <v>0</v>
      </c>
      <c r="M1354" s="20" t="s">
        <v>105</v>
      </c>
      <c r="N1354" s="20" t="s">
        <v>91</v>
      </c>
      <c r="O1354" s="20" t="s">
        <v>5236</v>
      </c>
      <c r="Q1354" s="20" t="s">
        <v>91</v>
      </c>
      <c r="R1354" s="20" t="s">
        <v>91</v>
      </c>
      <c r="S1354" s="20" t="s">
        <v>91</v>
      </c>
      <c r="T1354" s="20" t="s">
        <v>91</v>
      </c>
      <c r="U1354" s="20" t="s">
        <v>91</v>
      </c>
      <c r="V1354" s="20" t="s">
        <v>87</v>
      </c>
      <c r="W1354" s="20" t="s">
        <v>91</v>
      </c>
      <c r="X1354" s="20" t="s">
        <v>91</v>
      </c>
      <c r="Y1354" s="20" t="s">
        <v>91</v>
      </c>
      <c r="Z1354" s="20">
        <v>0</v>
      </c>
      <c r="AB1354" s="20" t="s">
        <v>91</v>
      </c>
      <c r="AD1354" s="20" t="s">
        <v>91</v>
      </c>
      <c r="AE1354" s="20" t="s">
        <v>91</v>
      </c>
      <c r="AF1354" s="20">
        <v>0</v>
      </c>
      <c r="AG1354" s="20">
        <v>0</v>
      </c>
      <c r="AH1354" s="20">
        <v>1</v>
      </c>
      <c r="AM1354" s="4" t="s">
        <v>91</v>
      </c>
      <c r="AP1354" s="4" t="s">
        <v>91</v>
      </c>
      <c r="AQ1354" s="20">
        <v>0</v>
      </c>
      <c r="AR1354" s="4">
        <v>0</v>
      </c>
      <c r="AS1354" s="20">
        <v>0</v>
      </c>
      <c r="AT1354" s="20">
        <v>0</v>
      </c>
      <c r="AU1354" s="20">
        <v>0</v>
      </c>
      <c r="AV1354" s="20">
        <v>0</v>
      </c>
      <c r="AW1354" s="20">
        <v>0</v>
      </c>
      <c r="AX1354" s="20" t="s">
        <v>91</v>
      </c>
      <c r="AY1354" s="20">
        <v>0</v>
      </c>
      <c r="AZ1354" s="20">
        <v>0</v>
      </c>
      <c r="BA1354" s="20">
        <v>0</v>
      </c>
      <c r="BB1354" s="6">
        <v>0</v>
      </c>
      <c r="BC1354" s="6">
        <v>0</v>
      </c>
      <c r="BD1354" s="6">
        <v>0</v>
      </c>
      <c r="BE1354" s="6">
        <v>0</v>
      </c>
      <c r="BF1354" s="6">
        <v>0</v>
      </c>
      <c r="BG1354" s="6">
        <v>0</v>
      </c>
      <c r="BH1354" s="6">
        <v>0</v>
      </c>
      <c r="BI1354" s="6">
        <v>0</v>
      </c>
      <c r="BJ1354" s="6">
        <v>0</v>
      </c>
      <c r="BK1354" s="4">
        <v>0</v>
      </c>
      <c r="BL1354" s="4">
        <v>0</v>
      </c>
      <c r="BM1354" s="20">
        <v>508</v>
      </c>
      <c r="BN1354" s="20">
        <v>0</v>
      </c>
      <c r="BO1354" s="20">
        <v>0</v>
      </c>
      <c r="BP1354" s="20">
        <v>0</v>
      </c>
      <c r="BQ1354" s="20">
        <v>0</v>
      </c>
      <c r="BR1354" s="20">
        <v>0</v>
      </c>
      <c r="BS1354" s="20">
        <v>508</v>
      </c>
      <c r="BT1354" s="20">
        <v>4383030.3030303018</v>
      </c>
      <c r="BU1354" s="20">
        <v>28928000</v>
      </c>
      <c r="BV1354" s="20">
        <v>6.0000000000000018</v>
      </c>
    </row>
    <row r="1355" spans="1:74">
      <c r="A1355" s="10">
        <f t="shared" si="86"/>
        <v>0</v>
      </c>
      <c r="B1355" s="10">
        <f t="shared" si="87"/>
        <v>0</v>
      </c>
      <c r="C1355" s="12">
        <f t="shared" si="88"/>
        <v>11</v>
      </c>
      <c r="D1355" s="12">
        <f t="shared" si="89"/>
        <v>11</v>
      </c>
      <c r="E1355" s="20" t="s">
        <v>386</v>
      </c>
      <c r="F1355" s="20" t="s">
        <v>2999</v>
      </c>
      <c r="G1355" s="20" t="s">
        <v>5237</v>
      </c>
      <c r="H1355" s="20" t="s">
        <v>5238</v>
      </c>
      <c r="I1355" s="20">
        <v>1</v>
      </c>
      <c r="J1355" s="20" t="s">
        <v>5239</v>
      </c>
      <c r="K1355" s="20" t="s">
        <v>5240</v>
      </c>
      <c r="L1355" s="20" t="s">
        <v>4774</v>
      </c>
      <c r="M1355" s="20" t="s">
        <v>2999</v>
      </c>
      <c r="N1355" s="20" t="s">
        <v>4677</v>
      </c>
      <c r="P1355" s="20" t="s">
        <v>2999</v>
      </c>
      <c r="Q1355" s="20" t="s">
        <v>3006</v>
      </c>
      <c r="R1355" s="20" t="s">
        <v>84</v>
      </c>
      <c r="S1355" s="20">
        <v>5</v>
      </c>
      <c r="T1355" s="20" t="s">
        <v>395</v>
      </c>
      <c r="U1355" s="20" t="s">
        <v>396</v>
      </c>
      <c r="V1355" s="20" t="s">
        <v>87</v>
      </c>
      <c r="W1355" s="20">
        <v>809</v>
      </c>
      <c r="X1355" s="20">
        <v>809</v>
      </c>
      <c r="Y1355" s="20" t="s">
        <v>4775</v>
      </c>
      <c r="Z1355" s="20">
        <v>0</v>
      </c>
      <c r="AA1355" s="20" t="s">
        <v>4776</v>
      </c>
      <c r="AB1355" s="20" t="s">
        <v>139</v>
      </c>
      <c r="AC1355" s="20" t="s">
        <v>140</v>
      </c>
      <c r="AD1355" s="20" t="s">
        <v>4777</v>
      </c>
      <c r="AE1355" s="20" t="s">
        <v>5071</v>
      </c>
      <c r="AF1355" s="20">
        <v>0</v>
      </c>
      <c r="AG1355" s="20">
        <v>0</v>
      </c>
      <c r="AH1355" s="20">
        <v>1</v>
      </c>
      <c r="AI1355" s="4" t="s">
        <v>251</v>
      </c>
      <c r="AJ1355" s="20">
        <v>305</v>
      </c>
      <c r="AK1355" s="4" t="s">
        <v>572</v>
      </c>
      <c r="AL1355" s="4">
        <v>4</v>
      </c>
      <c r="AM1355" s="4" t="s">
        <v>470</v>
      </c>
      <c r="AN1355" s="4" t="s">
        <v>95</v>
      </c>
      <c r="AO1355" s="4" t="s">
        <v>96</v>
      </c>
      <c r="AP1355" s="4">
        <v>1</v>
      </c>
      <c r="AQ1355" s="20">
        <v>49000</v>
      </c>
      <c r="AR1355" s="4">
        <v>41918</v>
      </c>
      <c r="AS1355" s="20">
        <v>7424.242424242424</v>
      </c>
      <c r="AT1355" s="20">
        <v>0</v>
      </c>
      <c r="AU1355" s="20">
        <v>-7424.242424242424</v>
      </c>
      <c r="AV1355" s="20">
        <v>0</v>
      </c>
      <c r="AW1355" s="20">
        <v>0</v>
      </c>
      <c r="AX1355" s="20" t="s">
        <v>91</v>
      </c>
      <c r="AY1355" s="20">
        <v>0</v>
      </c>
      <c r="AZ1355" s="20">
        <v>0</v>
      </c>
      <c r="BA1355" s="20">
        <v>0</v>
      </c>
      <c r="BB1355" s="6">
        <v>41947</v>
      </c>
      <c r="BC1355" s="6">
        <v>0</v>
      </c>
      <c r="BD1355" s="6">
        <v>41948</v>
      </c>
      <c r="BE1355" s="6">
        <v>0</v>
      </c>
      <c r="BF1355" s="6">
        <v>41947</v>
      </c>
      <c r="BG1355" s="6">
        <v>0</v>
      </c>
      <c r="BH1355" s="6">
        <v>0</v>
      </c>
      <c r="BI1355" s="6">
        <v>0</v>
      </c>
      <c r="BJ1355" s="6">
        <v>0</v>
      </c>
      <c r="BK1355" s="4">
        <v>0</v>
      </c>
      <c r="BL1355" s="4">
        <v>0</v>
      </c>
      <c r="BM1355" s="20">
        <v>305</v>
      </c>
      <c r="BN1355" s="20">
        <v>0</v>
      </c>
      <c r="BO1355" s="20">
        <v>0</v>
      </c>
      <c r="BP1355" s="20">
        <v>0</v>
      </c>
      <c r="BQ1355" s="20">
        <v>0</v>
      </c>
      <c r="BR1355" s="20">
        <v>0</v>
      </c>
      <c r="BS1355" s="20">
        <v>305</v>
      </c>
      <c r="BT1355" s="20">
        <v>2264393.9393939395</v>
      </c>
      <c r="BU1355" s="20">
        <v>14945000</v>
      </c>
      <c r="BV1355" s="20">
        <v>6</v>
      </c>
    </row>
    <row r="1356" spans="1:74">
      <c r="A1356" s="10">
        <f t="shared" si="86"/>
        <v>0</v>
      </c>
      <c r="B1356" s="10">
        <f t="shared" si="87"/>
        <v>0</v>
      </c>
      <c r="C1356" s="12" t="str">
        <f t="shared" si="88"/>
        <v/>
      </c>
      <c r="D1356" s="12" t="str">
        <f t="shared" si="89"/>
        <v/>
      </c>
      <c r="E1356" s="20" t="s">
        <v>91</v>
      </c>
      <c r="F1356" s="20" t="s">
        <v>91</v>
      </c>
      <c r="G1356" s="20" t="s">
        <v>91</v>
      </c>
      <c r="H1356" s="20" t="s">
        <v>91</v>
      </c>
      <c r="I1356" s="20">
        <v>0</v>
      </c>
      <c r="J1356" s="20" t="s">
        <v>103</v>
      </c>
      <c r="K1356" s="20" t="s">
        <v>104</v>
      </c>
      <c r="L1356" s="20">
        <v>0</v>
      </c>
      <c r="M1356" s="20" t="s">
        <v>105</v>
      </c>
      <c r="N1356" s="20" t="s">
        <v>91</v>
      </c>
      <c r="O1356" s="20" t="s">
        <v>5241</v>
      </c>
      <c r="Q1356" s="20" t="s">
        <v>91</v>
      </c>
      <c r="R1356" s="20" t="s">
        <v>91</v>
      </c>
      <c r="S1356" s="20" t="s">
        <v>91</v>
      </c>
      <c r="T1356" s="20" t="s">
        <v>91</v>
      </c>
      <c r="U1356" s="20" t="s">
        <v>91</v>
      </c>
      <c r="V1356" s="20" t="s">
        <v>87</v>
      </c>
      <c r="W1356" s="20" t="s">
        <v>91</v>
      </c>
      <c r="X1356" s="20" t="s">
        <v>91</v>
      </c>
      <c r="Y1356" s="20" t="s">
        <v>91</v>
      </c>
      <c r="Z1356" s="20">
        <v>0</v>
      </c>
      <c r="AB1356" s="20" t="s">
        <v>91</v>
      </c>
      <c r="AD1356" s="20" t="s">
        <v>91</v>
      </c>
      <c r="AE1356" s="20" t="s">
        <v>91</v>
      </c>
      <c r="AF1356" s="20">
        <v>0</v>
      </c>
      <c r="AG1356" s="20">
        <v>0</v>
      </c>
      <c r="AH1356" s="20">
        <v>1</v>
      </c>
      <c r="AM1356" s="4" t="s">
        <v>91</v>
      </c>
      <c r="AP1356" s="4" t="s">
        <v>91</v>
      </c>
      <c r="AQ1356" s="20">
        <v>0</v>
      </c>
      <c r="AR1356" s="4">
        <v>0</v>
      </c>
      <c r="AS1356" s="20">
        <v>0</v>
      </c>
      <c r="AT1356" s="20">
        <v>0</v>
      </c>
      <c r="AU1356" s="20">
        <v>0</v>
      </c>
      <c r="AV1356" s="20">
        <v>0</v>
      </c>
      <c r="AW1356" s="20">
        <v>0</v>
      </c>
      <c r="AX1356" s="20" t="s">
        <v>91</v>
      </c>
      <c r="AY1356" s="20">
        <v>0</v>
      </c>
      <c r="AZ1356" s="20">
        <v>0</v>
      </c>
      <c r="BA1356" s="20">
        <v>0</v>
      </c>
      <c r="BB1356" s="6">
        <v>0</v>
      </c>
      <c r="BC1356" s="6">
        <v>0</v>
      </c>
      <c r="BD1356" s="6">
        <v>0</v>
      </c>
      <c r="BE1356" s="6">
        <v>0</v>
      </c>
      <c r="BF1356" s="6">
        <v>0</v>
      </c>
      <c r="BG1356" s="6">
        <v>0</v>
      </c>
      <c r="BH1356" s="6">
        <v>0</v>
      </c>
      <c r="BI1356" s="6">
        <v>0</v>
      </c>
      <c r="BJ1356" s="6">
        <v>0</v>
      </c>
      <c r="BK1356" s="4">
        <v>0</v>
      </c>
      <c r="BL1356" s="4">
        <v>0</v>
      </c>
      <c r="BM1356" s="20">
        <v>305</v>
      </c>
      <c r="BN1356" s="20">
        <v>0</v>
      </c>
      <c r="BO1356" s="20">
        <v>0</v>
      </c>
      <c r="BP1356" s="20">
        <v>0</v>
      </c>
      <c r="BQ1356" s="20">
        <v>0</v>
      </c>
      <c r="BR1356" s="20">
        <v>0</v>
      </c>
      <c r="BS1356" s="20">
        <v>305</v>
      </c>
      <c r="BT1356" s="20">
        <v>2264393.9393939395</v>
      </c>
      <c r="BU1356" s="20">
        <v>14945000</v>
      </c>
      <c r="BV1356" s="20">
        <v>6</v>
      </c>
    </row>
    <row r="1357" spans="1:74">
      <c r="A1357" s="10">
        <f t="shared" si="86"/>
        <v>0</v>
      </c>
      <c r="B1357" s="10">
        <f t="shared" si="87"/>
        <v>0</v>
      </c>
      <c r="C1357" s="12">
        <f t="shared" si="88"/>
        <v>11</v>
      </c>
      <c r="D1357" s="12">
        <f t="shared" si="89"/>
        <v>11</v>
      </c>
      <c r="E1357" s="20" t="s">
        <v>386</v>
      </c>
      <c r="F1357" s="20" t="s">
        <v>2999</v>
      </c>
      <c r="G1357" s="20" t="s">
        <v>5242</v>
      </c>
      <c r="H1357" s="20" t="s">
        <v>5243</v>
      </c>
      <c r="I1357" s="20">
        <v>1</v>
      </c>
      <c r="J1357" s="20" t="s">
        <v>5244</v>
      </c>
      <c r="K1357" s="20" t="s">
        <v>5245</v>
      </c>
      <c r="L1357" s="20" t="s">
        <v>4813</v>
      </c>
      <c r="M1357" s="20" t="s">
        <v>2999</v>
      </c>
      <c r="N1357" s="20" t="s">
        <v>4806</v>
      </c>
      <c r="P1357" s="20" t="s">
        <v>2999</v>
      </c>
      <c r="Q1357" s="20" t="s">
        <v>3006</v>
      </c>
      <c r="R1357" s="20" t="s">
        <v>84</v>
      </c>
      <c r="S1357" s="20">
        <v>5</v>
      </c>
      <c r="T1357" s="20" t="s">
        <v>106</v>
      </c>
      <c r="U1357" s="20" t="s">
        <v>107</v>
      </c>
      <c r="V1357" s="20" t="s">
        <v>87</v>
      </c>
      <c r="W1357" s="20">
        <v>802</v>
      </c>
      <c r="X1357" s="20">
        <v>802</v>
      </c>
      <c r="Y1357" s="20" t="s">
        <v>4814</v>
      </c>
      <c r="Z1357" s="20">
        <v>0</v>
      </c>
      <c r="AA1357" s="20" t="s">
        <v>4815</v>
      </c>
      <c r="AB1357" s="20" t="s">
        <v>718</v>
      </c>
      <c r="AC1357" s="20" t="s">
        <v>719</v>
      </c>
      <c r="AD1357" s="20" t="s">
        <v>4816</v>
      </c>
      <c r="AE1357" s="20" t="s">
        <v>5071</v>
      </c>
      <c r="AF1357" s="20">
        <v>0</v>
      </c>
      <c r="AG1357" s="20">
        <v>0</v>
      </c>
      <c r="AH1357" s="20">
        <v>1</v>
      </c>
      <c r="AI1357" s="4" t="s">
        <v>251</v>
      </c>
      <c r="AJ1357" s="20">
        <v>145</v>
      </c>
      <c r="AK1357" s="4" t="s">
        <v>111</v>
      </c>
      <c r="AL1357" s="4">
        <v>28</v>
      </c>
      <c r="AM1357" s="4">
        <v>28</v>
      </c>
      <c r="AN1357" s="4" t="s">
        <v>95</v>
      </c>
      <c r="AO1357" s="4" t="s">
        <v>96</v>
      </c>
      <c r="AP1357" s="4">
        <v>1</v>
      </c>
      <c r="AQ1357" s="20">
        <v>59000</v>
      </c>
      <c r="AR1357" s="4">
        <v>41918</v>
      </c>
      <c r="AS1357" s="20">
        <v>8939.3939393939381</v>
      </c>
      <c r="AT1357" s="20">
        <v>0</v>
      </c>
      <c r="AU1357" s="20">
        <v>-8939.3939393939381</v>
      </c>
      <c r="AV1357" s="20">
        <v>0</v>
      </c>
      <c r="AW1357" s="20">
        <v>0</v>
      </c>
      <c r="AX1357" s="20" t="s">
        <v>91</v>
      </c>
      <c r="AY1357" s="20">
        <v>0</v>
      </c>
      <c r="AZ1357" s="20">
        <v>0</v>
      </c>
      <c r="BA1357" s="20">
        <v>0</v>
      </c>
      <c r="BB1357" s="6">
        <v>41947</v>
      </c>
      <c r="BC1357" s="6">
        <v>0</v>
      </c>
      <c r="BD1357" s="6">
        <v>41948</v>
      </c>
      <c r="BE1357" s="6">
        <v>0</v>
      </c>
      <c r="BF1357" s="6">
        <v>41947</v>
      </c>
      <c r="BG1357" s="6">
        <v>0</v>
      </c>
      <c r="BH1357" s="6">
        <v>0</v>
      </c>
      <c r="BI1357" s="6">
        <v>0</v>
      </c>
      <c r="BJ1357" s="6">
        <v>0</v>
      </c>
      <c r="BK1357" s="4">
        <v>0</v>
      </c>
      <c r="BL1357" s="4">
        <v>0</v>
      </c>
      <c r="BM1357" s="20">
        <v>145</v>
      </c>
      <c r="BN1357" s="20">
        <v>0</v>
      </c>
      <c r="BO1357" s="20">
        <v>0</v>
      </c>
      <c r="BP1357" s="20">
        <v>0</v>
      </c>
      <c r="BQ1357" s="20">
        <v>0</v>
      </c>
      <c r="BR1357" s="20">
        <v>0</v>
      </c>
      <c r="BS1357" s="20">
        <v>145</v>
      </c>
      <c r="BT1357" s="20">
        <v>1296212.1212121211</v>
      </c>
      <c r="BU1357" s="20">
        <v>8555000</v>
      </c>
      <c r="BV1357" s="20">
        <v>6</v>
      </c>
    </row>
    <row r="1358" spans="1:74">
      <c r="A1358" s="10">
        <f t="shared" si="86"/>
        <v>0</v>
      </c>
      <c r="B1358" s="10">
        <f t="shared" si="87"/>
        <v>0</v>
      </c>
      <c r="C1358" s="12" t="str">
        <f t="shared" si="88"/>
        <v/>
      </c>
      <c r="D1358" s="12" t="str">
        <f t="shared" si="89"/>
        <v/>
      </c>
      <c r="E1358" s="20" t="s">
        <v>91</v>
      </c>
      <c r="F1358" s="20" t="s">
        <v>91</v>
      </c>
      <c r="G1358" s="20" t="s">
        <v>91</v>
      </c>
      <c r="H1358" s="20" t="s">
        <v>91</v>
      </c>
      <c r="I1358" s="20">
        <v>0</v>
      </c>
      <c r="J1358" s="20" t="s">
        <v>103</v>
      </c>
      <c r="K1358" s="20" t="s">
        <v>104</v>
      </c>
      <c r="L1358" s="20">
        <v>0</v>
      </c>
      <c r="M1358" s="20" t="s">
        <v>105</v>
      </c>
      <c r="N1358" s="20" t="s">
        <v>91</v>
      </c>
      <c r="O1358" s="20" t="s">
        <v>5246</v>
      </c>
      <c r="Q1358" s="20" t="s">
        <v>91</v>
      </c>
      <c r="R1358" s="20" t="s">
        <v>91</v>
      </c>
      <c r="S1358" s="20" t="s">
        <v>91</v>
      </c>
      <c r="T1358" s="20" t="s">
        <v>91</v>
      </c>
      <c r="U1358" s="20" t="s">
        <v>91</v>
      </c>
      <c r="V1358" s="20" t="s">
        <v>87</v>
      </c>
      <c r="W1358" s="20" t="s">
        <v>91</v>
      </c>
      <c r="X1358" s="20" t="s">
        <v>91</v>
      </c>
      <c r="Y1358" s="20" t="s">
        <v>91</v>
      </c>
      <c r="Z1358" s="20">
        <v>0</v>
      </c>
      <c r="AB1358" s="20" t="s">
        <v>91</v>
      </c>
      <c r="AD1358" s="20" t="s">
        <v>91</v>
      </c>
      <c r="AE1358" s="20" t="s">
        <v>91</v>
      </c>
      <c r="AF1358" s="20">
        <v>0</v>
      </c>
      <c r="AG1358" s="20">
        <v>0</v>
      </c>
      <c r="AH1358" s="20">
        <v>1</v>
      </c>
      <c r="AM1358" s="4" t="s">
        <v>91</v>
      </c>
      <c r="AP1358" s="4" t="s">
        <v>91</v>
      </c>
      <c r="AQ1358" s="20">
        <v>0</v>
      </c>
      <c r="AR1358" s="4">
        <v>0</v>
      </c>
      <c r="AS1358" s="20">
        <v>0</v>
      </c>
      <c r="AT1358" s="20">
        <v>0</v>
      </c>
      <c r="AU1358" s="20">
        <v>0</v>
      </c>
      <c r="AV1358" s="20">
        <v>0</v>
      </c>
      <c r="AW1358" s="20">
        <v>0</v>
      </c>
      <c r="AX1358" s="20" t="s">
        <v>91</v>
      </c>
      <c r="AY1358" s="20">
        <v>0</v>
      </c>
      <c r="AZ1358" s="20">
        <v>0</v>
      </c>
      <c r="BA1358" s="20">
        <v>0</v>
      </c>
      <c r="BB1358" s="6">
        <v>0</v>
      </c>
      <c r="BC1358" s="6">
        <v>0</v>
      </c>
      <c r="BD1358" s="6">
        <v>0</v>
      </c>
      <c r="BE1358" s="6">
        <v>0</v>
      </c>
      <c r="BF1358" s="6">
        <v>0</v>
      </c>
      <c r="BG1358" s="6">
        <v>0</v>
      </c>
      <c r="BH1358" s="6">
        <v>0</v>
      </c>
      <c r="BI1358" s="6">
        <v>0</v>
      </c>
      <c r="BJ1358" s="6">
        <v>0</v>
      </c>
      <c r="BK1358" s="4">
        <v>0</v>
      </c>
      <c r="BL1358" s="4">
        <v>0</v>
      </c>
      <c r="BM1358" s="20">
        <v>145</v>
      </c>
      <c r="BN1358" s="20">
        <v>0</v>
      </c>
      <c r="BO1358" s="20">
        <v>0</v>
      </c>
      <c r="BP1358" s="20">
        <v>0</v>
      </c>
      <c r="BQ1358" s="20">
        <v>0</v>
      </c>
      <c r="BR1358" s="20">
        <v>0</v>
      </c>
      <c r="BS1358" s="20">
        <v>145</v>
      </c>
      <c r="BT1358" s="20">
        <v>1296212.1212121211</v>
      </c>
      <c r="BU1358" s="20">
        <v>8555000</v>
      </c>
      <c r="BV1358" s="20">
        <v>6</v>
      </c>
    </row>
    <row r="1359" spans="1:74">
      <c r="A1359" s="10">
        <f t="shared" si="86"/>
        <v>0</v>
      </c>
      <c r="B1359" s="10">
        <f t="shared" si="87"/>
        <v>0</v>
      </c>
      <c r="C1359" s="12">
        <f t="shared" si="88"/>
        <v>11</v>
      </c>
      <c r="D1359" s="12">
        <f t="shared" si="89"/>
        <v>11</v>
      </c>
      <c r="E1359" s="20" t="s">
        <v>424</v>
      </c>
      <c r="F1359" s="20" t="s">
        <v>2790</v>
      </c>
      <c r="G1359" s="20" t="s">
        <v>5247</v>
      </c>
      <c r="H1359" s="20" t="s">
        <v>5248</v>
      </c>
      <c r="I1359" s="20">
        <v>1</v>
      </c>
      <c r="J1359" s="20" t="s">
        <v>5249</v>
      </c>
      <c r="K1359" s="20" t="s">
        <v>5250</v>
      </c>
      <c r="L1359" s="20" t="s">
        <v>4822</v>
      </c>
      <c r="M1359" s="20" t="s">
        <v>2790</v>
      </c>
      <c r="N1359" s="20" t="s">
        <v>4823</v>
      </c>
      <c r="P1359" s="20" t="s">
        <v>2790</v>
      </c>
      <c r="Q1359" s="20" t="s">
        <v>2797</v>
      </c>
      <c r="R1359" s="20" t="s">
        <v>84</v>
      </c>
      <c r="S1359" s="20">
        <v>5</v>
      </c>
      <c r="T1359" s="20" t="s">
        <v>172</v>
      </c>
      <c r="U1359" s="20" t="s">
        <v>173</v>
      </c>
      <c r="V1359" s="20" t="s">
        <v>87</v>
      </c>
      <c r="W1359" s="20">
        <v>803</v>
      </c>
      <c r="X1359" s="20">
        <v>803</v>
      </c>
      <c r="Y1359" s="20" t="s">
        <v>4824</v>
      </c>
      <c r="Z1359" s="20">
        <v>0</v>
      </c>
      <c r="AA1359" s="20" t="s">
        <v>4825</v>
      </c>
      <c r="AB1359" s="20" t="s">
        <v>718</v>
      </c>
      <c r="AC1359" s="20" t="s">
        <v>719</v>
      </c>
      <c r="AD1359" s="20" t="s">
        <v>4826</v>
      </c>
      <c r="AE1359" s="20" t="s">
        <v>5071</v>
      </c>
      <c r="AF1359" s="20">
        <v>0</v>
      </c>
      <c r="AG1359" s="20">
        <v>0</v>
      </c>
      <c r="AH1359" s="20">
        <v>1</v>
      </c>
      <c r="AI1359" s="4" t="s">
        <v>251</v>
      </c>
      <c r="AJ1359" s="20">
        <v>100</v>
      </c>
      <c r="AK1359" s="4" t="s">
        <v>179</v>
      </c>
      <c r="AL1359" s="4">
        <v>38</v>
      </c>
      <c r="AM1359" s="4">
        <v>38</v>
      </c>
      <c r="AN1359" s="4" t="s">
        <v>95</v>
      </c>
      <c r="AO1359" s="4" t="s">
        <v>96</v>
      </c>
      <c r="AP1359" s="4">
        <v>1</v>
      </c>
      <c r="AQ1359" s="20">
        <v>45000</v>
      </c>
      <c r="AR1359" s="4">
        <v>41918</v>
      </c>
      <c r="AS1359" s="20">
        <v>6818.1818181818171</v>
      </c>
      <c r="AT1359" s="20">
        <v>0</v>
      </c>
      <c r="AU1359" s="20">
        <v>-6818.1818181818171</v>
      </c>
      <c r="AV1359" s="20">
        <v>0</v>
      </c>
      <c r="AW1359" s="20">
        <v>0</v>
      </c>
      <c r="AX1359" s="20" t="s">
        <v>91</v>
      </c>
      <c r="AY1359" s="20">
        <v>0</v>
      </c>
      <c r="AZ1359" s="20">
        <v>0</v>
      </c>
      <c r="BA1359" s="20">
        <v>0</v>
      </c>
      <c r="BB1359" s="6">
        <v>41947</v>
      </c>
      <c r="BC1359" s="6">
        <v>0</v>
      </c>
      <c r="BD1359" s="6">
        <v>41948</v>
      </c>
      <c r="BE1359" s="6">
        <v>0</v>
      </c>
      <c r="BF1359" s="6">
        <v>41947</v>
      </c>
      <c r="BG1359" s="6">
        <v>0</v>
      </c>
      <c r="BH1359" s="6">
        <v>0</v>
      </c>
      <c r="BI1359" s="6">
        <v>0</v>
      </c>
      <c r="BJ1359" s="6">
        <v>0</v>
      </c>
      <c r="BK1359" s="4">
        <v>0</v>
      </c>
      <c r="BL1359" s="4">
        <v>0</v>
      </c>
      <c r="BM1359" s="20">
        <v>100</v>
      </c>
      <c r="BN1359" s="20">
        <v>0</v>
      </c>
      <c r="BO1359" s="20">
        <v>0</v>
      </c>
      <c r="BP1359" s="20">
        <v>0</v>
      </c>
      <c r="BQ1359" s="20">
        <v>0</v>
      </c>
      <c r="BR1359" s="20">
        <v>0</v>
      </c>
      <c r="BS1359" s="20">
        <v>100</v>
      </c>
      <c r="BT1359" s="20">
        <v>681818.18181818177</v>
      </c>
      <c r="BU1359" s="20">
        <v>4500000</v>
      </c>
      <c r="BV1359" s="20">
        <v>6</v>
      </c>
    </row>
    <row r="1360" spans="1:74">
      <c r="A1360" s="10">
        <f t="shared" si="86"/>
        <v>0</v>
      </c>
      <c r="B1360" s="10">
        <f t="shared" si="87"/>
        <v>0</v>
      </c>
      <c r="C1360" s="12">
        <f t="shared" si="88"/>
        <v>11</v>
      </c>
      <c r="D1360" s="12">
        <f t="shared" si="89"/>
        <v>11</v>
      </c>
      <c r="E1360" s="20" t="s">
        <v>424</v>
      </c>
      <c r="F1360" s="20" t="s">
        <v>2790</v>
      </c>
      <c r="G1360" s="20" t="s">
        <v>5247</v>
      </c>
      <c r="H1360" s="20" t="s">
        <v>5251</v>
      </c>
      <c r="I1360" s="20">
        <v>2</v>
      </c>
      <c r="J1360" s="20" t="s">
        <v>5252</v>
      </c>
      <c r="K1360" s="20" t="s">
        <v>5253</v>
      </c>
      <c r="L1360" s="20" t="s">
        <v>4830</v>
      </c>
      <c r="M1360" s="20" t="s">
        <v>2790</v>
      </c>
      <c r="N1360" s="20" t="s">
        <v>4823</v>
      </c>
      <c r="P1360" s="20" t="s">
        <v>2790</v>
      </c>
      <c r="Q1360" s="20" t="s">
        <v>2797</v>
      </c>
      <c r="R1360" s="20" t="s">
        <v>84</v>
      </c>
      <c r="S1360" s="20">
        <v>5</v>
      </c>
      <c r="T1360" s="20" t="s">
        <v>172</v>
      </c>
      <c r="U1360" s="20" t="s">
        <v>173</v>
      </c>
      <c r="V1360" s="20" t="s">
        <v>87</v>
      </c>
      <c r="W1360" s="20">
        <v>804</v>
      </c>
      <c r="X1360" s="20">
        <v>804</v>
      </c>
      <c r="Y1360" s="20" t="s">
        <v>4831</v>
      </c>
      <c r="Z1360" s="20">
        <v>0</v>
      </c>
      <c r="AA1360" s="20" t="s">
        <v>4832</v>
      </c>
      <c r="AB1360" s="20" t="s">
        <v>139</v>
      </c>
      <c r="AC1360" s="20" t="s">
        <v>140</v>
      </c>
      <c r="AD1360" s="20" t="s">
        <v>4833</v>
      </c>
      <c r="AE1360" s="20" t="s">
        <v>5071</v>
      </c>
      <c r="AF1360" s="20">
        <v>0</v>
      </c>
      <c r="AG1360" s="20">
        <v>0</v>
      </c>
      <c r="AH1360" s="20">
        <v>1</v>
      </c>
      <c r="AI1360" s="4" t="s">
        <v>251</v>
      </c>
      <c r="AJ1360" s="20">
        <v>100</v>
      </c>
      <c r="AK1360" s="4" t="s">
        <v>179</v>
      </c>
      <c r="AL1360" s="4">
        <v>38</v>
      </c>
      <c r="AM1360" s="4">
        <v>38</v>
      </c>
      <c r="AN1360" s="4" t="s">
        <v>95</v>
      </c>
      <c r="AO1360" s="4" t="s">
        <v>96</v>
      </c>
      <c r="AP1360" s="4">
        <v>1</v>
      </c>
      <c r="AQ1360" s="20">
        <v>45000</v>
      </c>
      <c r="AR1360" s="4">
        <v>41918</v>
      </c>
      <c r="AS1360" s="20">
        <v>6818.1818181818171</v>
      </c>
      <c r="AT1360" s="20">
        <v>0</v>
      </c>
      <c r="AU1360" s="20">
        <v>-6818.1818181818171</v>
      </c>
      <c r="AV1360" s="20">
        <v>0</v>
      </c>
      <c r="AW1360" s="20">
        <v>0</v>
      </c>
      <c r="AX1360" s="20" t="s">
        <v>91</v>
      </c>
      <c r="AY1360" s="20">
        <v>0</v>
      </c>
      <c r="AZ1360" s="20">
        <v>0</v>
      </c>
      <c r="BA1360" s="20">
        <v>0</v>
      </c>
      <c r="BB1360" s="6">
        <v>41947</v>
      </c>
      <c r="BC1360" s="6">
        <v>0</v>
      </c>
      <c r="BD1360" s="6">
        <v>41948</v>
      </c>
      <c r="BE1360" s="6">
        <v>0</v>
      </c>
      <c r="BF1360" s="6">
        <v>41947</v>
      </c>
      <c r="BG1360" s="6">
        <v>0</v>
      </c>
      <c r="BH1360" s="6">
        <v>0</v>
      </c>
      <c r="BI1360" s="6">
        <v>0</v>
      </c>
      <c r="BJ1360" s="6">
        <v>0</v>
      </c>
      <c r="BK1360" s="4">
        <v>0</v>
      </c>
      <c r="BL1360" s="4">
        <v>0</v>
      </c>
      <c r="BM1360" s="20">
        <v>100</v>
      </c>
      <c r="BN1360" s="20">
        <v>0</v>
      </c>
      <c r="BO1360" s="20">
        <v>0</v>
      </c>
      <c r="BP1360" s="20">
        <v>0</v>
      </c>
      <c r="BQ1360" s="20">
        <v>0</v>
      </c>
      <c r="BR1360" s="20">
        <v>0</v>
      </c>
      <c r="BS1360" s="20">
        <v>100</v>
      </c>
      <c r="BT1360" s="20">
        <v>681818.18181818177</v>
      </c>
      <c r="BU1360" s="20">
        <v>4500000</v>
      </c>
      <c r="BV1360" s="20">
        <v>6</v>
      </c>
    </row>
    <row r="1361" spans="1:74">
      <c r="A1361" s="10">
        <f t="shared" si="86"/>
        <v>0</v>
      </c>
      <c r="B1361" s="10">
        <f t="shared" si="87"/>
        <v>0</v>
      </c>
      <c r="C1361" s="12">
        <f t="shared" si="88"/>
        <v>11</v>
      </c>
      <c r="D1361" s="12">
        <f t="shared" si="89"/>
        <v>11</v>
      </c>
      <c r="E1361" s="20" t="s">
        <v>424</v>
      </c>
      <c r="F1361" s="20" t="s">
        <v>2790</v>
      </c>
      <c r="G1361" s="20" t="s">
        <v>5247</v>
      </c>
      <c r="H1361" s="20" t="s">
        <v>5254</v>
      </c>
      <c r="I1361" s="20">
        <v>3</v>
      </c>
      <c r="J1361" s="20" t="s">
        <v>5255</v>
      </c>
      <c r="K1361" s="20" t="s">
        <v>5256</v>
      </c>
      <c r="L1361" s="20" t="s">
        <v>4837</v>
      </c>
      <c r="M1361" s="20" t="s">
        <v>2790</v>
      </c>
      <c r="N1361" s="20" t="s">
        <v>4823</v>
      </c>
      <c r="P1361" s="20" t="s">
        <v>2790</v>
      </c>
      <c r="Q1361" s="20" t="s">
        <v>2797</v>
      </c>
      <c r="R1361" s="20" t="s">
        <v>84</v>
      </c>
      <c r="S1361" s="20">
        <v>5</v>
      </c>
      <c r="T1361" s="20" t="s">
        <v>172</v>
      </c>
      <c r="U1361" s="20" t="s">
        <v>173</v>
      </c>
      <c r="V1361" s="20" t="s">
        <v>87</v>
      </c>
      <c r="W1361" s="20">
        <v>819</v>
      </c>
      <c r="X1361" s="20">
        <v>819</v>
      </c>
      <c r="Y1361" s="20" t="s">
        <v>4838</v>
      </c>
      <c r="Z1361" s="20">
        <v>0</v>
      </c>
      <c r="AA1361" s="20" t="s">
        <v>4839</v>
      </c>
      <c r="AB1361" s="20" t="s">
        <v>109</v>
      </c>
      <c r="AC1361" s="20" t="s">
        <v>110</v>
      </c>
      <c r="AD1361" s="20" t="s">
        <v>4840</v>
      </c>
      <c r="AE1361" s="20" t="s">
        <v>5071</v>
      </c>
      <c r="AF1361" s="20">
        <v>0</v>
      </c>
      <c r="AG1361" s="20">
        <v>0</v>
      </c>
      <c r="AH1361" s="20">
        <v>1</v>
      </c>
      <c r="AI1361" s="4" t="s">
        <v>251</v>
      </c>
      <c r="AJ1361" s="20">
        <v>100</v>
      </c>
      <c r="AK1361" s="4" t="s">
        <v>179</v>
      </c>
      <c r="AL1361" s="4">
        <v>38</v>
      </c>
      <c r="AM1361" s="4">
        <v>38</v>
      </c>
      <c r="AN1361" s="4" t="s">
        <v>95</v>
      </c>
      <c r="AO1361" s="4" t="s">
        <v>96</v>
      </c>
      <c r="AP1361" s="4">
        <v>1</v>
      </c>
      <c r="AQ1361" s="20">
        <v>45000</v>
      </c>
      <c r="AR1361" s="4">
        <v>41918</v>
      </c>
      <c r="AS1361" s="20">
        <v>6818.1818181818171</v>
      </c>
      <c r="AT1361" s="20">
        <v>0</v>
      </c>
      <c r="AU1361" s="20">
        <v>-6818.1818181818171</v>
      </c>
      <c r="AV1361" s="20">
        <v>0</v>
      </c>
      <c r="AW1361" s="20">
        <v>0</v>
      </c>
      <c r="AX1361" s="20" t="s">
        <v>91</v>
      </c>
      <c r="AY1361" s="20">
        <v>0</v>
      </c>
      <c r="AZ1361" s="20">
        <v>0</v>
      </c>
      <c r="BA1361" s="20">
        <v>0</v>
      </c>
      <c r="BB1361" s="6">
        <v>41947</v>
      </c>
      <c r="BC1361" s="6">
        <v>0</v>
      </c>
      <c r="BD1361" s="6">
        <v>41948</v>
      </c>
      <c r="BE1361" s="6">
        <v>0</v>
      </c>
      <c r="BF1361" s="6">
        <v>41947</v>
      </c>
      <c r="BG1361" s="6">
        <v>0</v>
      </c>
      <c r="BH1361" s="6">
        <v>0</v>
      </c>
      <c r="BI1361" s="6">
        <v>0</v>
      </c>
      <c r="BJ1361" s="6">
        <v>0</v>
      </c>
      <c r="BK1361" s="4">
        <v>0</v>
      </c>
      <c r="BL1361" s="4">
        <v>0</v>
      </c>
      <c r="BM1361" s="20">
        <v>100</v>
      </c>
      <c r="BN1361" s="20">
        <v>0</v>
      </c>
      <c r="BO1361" s="20">
        <v>0</v>
      </c>
      <c r="BP1361" s="20">
        <v>0</v>
      </c>
      <c r="BQ1361" s="20">
        <v>0</v>
      </c>
      <c r="BR1361" s="20">
        <v>0</v>
      </c>
      <c r="BS1361" s="20">
        <v>100</v>
      </c>
      <c r="BT1361" s="20">
        <v>681818.18181818177</v>
      </c>
      <c r="BU1361" s="20">
        <v>4500000</v>
      </c>
      <c r="BV1361" s="20">
        <v>6</v>
      </c>
    </row>
    <row r="1362" spans="1:74">
      <c r="A1362" s="10">
        <f t="shared" si="86"/>
        <v>0</v>
      </c>
      <c r="B1362" s="10">
        <f t="shared" si="87"/>
        <v>0</v>
      </c>
      <c r="C1362" s="12">
        <f t="shared" si="88"/>
        <v>11</v>
      </c>
      <c r="D1362" s="12">
        <f t="shared" si="89"/>
        <v>11</v>
      </c>
      <c r="E1362" s="20" t="s">
        <v>424</v>
      </c>
      <c r="F1362" s="20" t="s">
        <v>2790</v>
      </c>
      <c r="G1362" s="20" t="s">
        <v>5247</v>
      </c>
      <c r="H1362" s="20" t="s">
        <v>5257</v>
      </c>
      <c r="I1362" s="20">
        <v>4</v>
      </c>
      <c r="J1362" s="20" t="s">
        <v>5258</v>
      </c>
      <c r="K1362" s="20" t="s">
        <v>5259</v>
      </c>
      <c r="L1362" s="20" t="s">
        <v>4844</v>
      </c>
      <c r="M1362" s="20" t="s">
        <v>2790</v>
      </c>
      <c r="N1362" s="20" t="s">
        <v>2807</v>
      </c>
      <c r="P1362" s="20" t="s">
        <v>2790</v>
      </c>
      <c r="Q1362" s="20" t="s">
        <v>2797</v>
      </c>
      <c r="R1362" s="20" t="s">
        <v>84</v>
      </c>
      <c r="S1362" s="20">
        <v>5</v>
      </c>
      <c r="T1362" s="20" t="s">
        <v>198</v>
      </c>
      <c r="U1362" s="20" t="s">
        <v>199</v>
      </c>
      <c r="V1362" s="20" t="s">
        <v>87</v>
      </c>
      <c r="W1362" s="20">
        <v>820</v>
      </c>
      <c r="X1362" s="20">
        <v>820</v>
      </c>
      <c r="Y1362" s="20" t="s">
        <v>4845</v>
      </c>
      <c r="Z1362" s="20">
        <v>0</v>
      </c>
      <c r="AA1362" s="20" t="s">
        <v>4846</v>
      </c>
      <c r="AB1362" s="20" t="s">
        <v>221</v>
      </c>
      <c r="AC1362" s="20" t="s">
        <v>222</v>
      </c>
      <c r="AD1362" s="20" t="s">
        <v>4847</v>
      </c>
      <c r="AE1362" s="20" t="s">
        <v>5071</v>
      </c>
      <c r="AF1362" s="20">
        <v>0</v>
      </c>
      <c r="AG1362" s="20">
        <v>0</v>
      </c>
      <c r="AH1362" s="20">
        <v>1</v>
      </c>
      <c r="AI1362" s="4" t="s">
        <v>251</v>
      </c>
      <c r="AJ1362" s="20">
        <v>100</v>
      </c>
      <c r="AK1362" s="4" t="s">
        <v>179</v>
      </c>
      <c r="AL1362" s="4">
        <v>38</v>
      </c>
      <c r="AM1362" s="4">
        <v>38</v>
      </c>
      <c r="AN1362" s="4" t="s">
        <v>95</v>
      </c>
      <c r="AO1362" s="4" t="s">
        <v>96</v>
      </c>
      <c r="AP1362" s="4">
        <v>1</v>
      </c>
      <c r="AQ1362" s="20">
        <v>45000</v>
      </c>
      <c r="AR1362" s="4">
        <v>41918</v>
      </c>
      <c r="AS1362" s="20">
        <v>6818.1818181818171</v>
      </c>
      <c r="AT1362" s="20">
        <v>0</v>
      </c>
      <c r="AU1362" s="20">
        <v>-6818.1818181818171</v>
      </c>
      <c r="AV1362" s="20">
        <v>0</v>
      </c>
      <c r="AW1362" s="20">
        <v>0</v>
      </c>
      <c r="AX1362" s="20" t="s">
        <v>91</v>
      </c>
      <c r="AY1362" s="20">
        <v>0</v>
      </c>
      <c r="AZ1362" s="20">
        <v>0</v>
      </c>
      <c r="BA1362" s="20">
        <v>0</v>
      </c>
      <c r="BB1362" s="6">
        <v>41947</v>
      </c>
      <c r="BC1362" s="6">
        <v>0</v>
      </c>
      <c r="BD1362" s="6">
        <v>41948</v>
      </c>
      <c r="BE1362" s="6">
        <v>0</v>
      </c>
      <c r="BF1362" s="6">
        <v>41947</v>
      </c>
      <c r="BG1362" s="6">
        <v>0</v>
      </c>
      <c r="BH1362" s="6">
        <v>0</v>
      </c>
      <c r="BI1362" s="6">
        <v>0</v>
      </c>
      <c r="BJ1362" s="6">
        <v>0</v>
      </c>
      <c r="BK1362" s="4">
        <v>0</v>
      </c>
      <c r="BL1362" s="4">
        <v>0</v>
      </c>
      <c r="BM1362" s="20">
        <v>100</v>
      </c>
      <c r="BN1362" s="20">
        <v>0</v>
      </c>
      <c r="BO1362" s="20">
        <v>0</v>
      </c>
      <c r="BP1362" s="20">
        <v>0</v>
      </c>
      <c r="BQ1362" s="20">
        <v>0</v>
      </c>
      <c r="BR1362" s="20">
        <v>0</v>
      </c>
      <c r="BS1362" s="20">
        <v>100</v>
      </c>
      <c r="BT1362" s="20">
        <v>681818.18181818177</v>
      </c>
      <c r="BU1362" s="20">
        <v>4500000</v>
      </c>
      <c r="BV1362" s="20">
        <v>6</v>
      </c>
    </row>
    <row r="1363" spans="1:74">
      <c r="A1363" s="10">
        <f t="shared" si="86"/>
        <v>0</v>
      </c>
      <c r="B1363" s="10">
        <f t="shared" si="87"/>
        <v>0</v>
      </c>
      <c r="C1363" s="12">
        <f t="shared" si="88"/>
        <v>11</v>
      </c>
      <c r="D1363" s="12">
        <f t="shared" si="89"/>
        <v>11</v>
      </c>
      <c r="E1363" s="20" t="s">
        <v>424</v>
      </c>
      <c r="F1363" s="20" t="s">
        <v>2790</v>
      </c>
      <c r="G1363" s="20" t="s">
        <v>5247</v>
      </c>
      <c r="H1363" s="20" t="s">
        <v>5260</v>
      </c>
      <c r="I1363" s="20">
        <v>5</v>
      </c>
      <c r="J1363" s="20" t="s">
        <v>5261</v>
      </c>
      <c r="K1363" s="20" t="s">
        <v>5262</v>
      </c>
      <c r="L1363" s="20" t="s">
        <v>4851</v>
      </c>
      <c r="M1363" s="20" t="s">
        <v>2790</v>
      </c>
      <c r="N1363" s="20" t="s">
        <v>4852</v>
      </c>
      <c r="P1363" s="20" t="s">
        <v>2790</v>
      </c>
      <c r="Q1363" s="20" t="s">
        <v>2797</v>
      </c>
      <c r="R1363" s="20" t="s">
        <v>84</v>
      </c>
      <c r="S1363" s="20">
        <v>5</v>
      </c>
      <c r="T1363" s="20" t="s">
        <v>480</v>
      </c>
      <c r="U1363" s="20" t="s">
        <v>481</v>
      </c>
      <c r="V1363" s="20" t="s">
        <v>87</v>
      </c>
      <c r="W1363" s="20">
        <v>807</v>
      </c>
      <c r="X1363" s="20">
        <v>807</v>
      </c>
      <c r="Y1363" s="20" t="s">
        <v>4853</v>
      </c>
      <c r="Z1363" s="20">
        <v>0</v>
      </c>
      <c r="AA1363" s="20" t="s">
        <v>4854</v>
      </c>
      <c r="AB1363" s="20" t="s">
        <v>149</v>
      </c>
      <c r="AC1363" s="20" t="s">
        <v>150</v>
      </c>
      <c r="AD1363" s="20" t="s">
        <v>4855</v>
      </c>
      <c r="AE1363" s="20" t="s">
        <v>5071</v>
      </c>
      <c r="AF1363" s="20">
        <v>0</v>
      </c>
      <c r="AG1363" s="20">
        <v>0</v>
      </c>
      <c r="AH1363" s="20">
        <v>1</v>
      </c>
      <c r="AI1363" s="4" t="s">
        <v>251</v>
      </c>
      <c r="AJ1363" s="20">
        <v>127</v>
      </c>
      <c r="AK1363" s="4" t="s">
        <v>179</v>
      </c>
      <c r="AL1363" s="4">
        <v>38</v>
      </c>
      <c r="AM1363" s="4">
        <v>38</v>
      </c>
      <c r="AN1363" s="4" t="s">
        <v>95</v>
      </c>
      <c r="AO1363" s="4" t="s">
        <v>96</v>
      </c>
      <c r="AP1363" s="4">
        <v>1</v>
      </c>
      <c r="AQ1363" s="20">
        <v>65000</v>
      </c>
      <c r="AR1363" s="4">
        <v>41918</v>
      </c>
      <c r="AS1363" s="20">
        <v>9848.484848484848</v>
      </c>
      <c r="AT1363" s="20">
        <v>0</v>
      </c>
      <c r="AU1363" s="20">
        <v>-9848.484848484848</v>
      </c>
      <c r="AV1363" s="20">
        <v>0</v>
      </c>
      <c r="AW1363" s="20">
        <v>0</v>
      </c>
      <c r="AX1363" s="20" t="s">
        <v>91</v>
      </c>
      <c r="AY1363" s="20">
        <v>0</v>
      </c>
      <c r="AZ1363" s="20">
        <v>0</v>
      </c>
      <c r="BA1363" s="20">
        <v>0</v>
      </c>
      <c r="BB1363" s="6">
        <v>41947</v>
      </c>
      <c r="BC1363" s="6">
        <v>0</v>
      </c>
      <c r="BD1363" s="6">
        <v>41948</v>
      </c>
      <c r="BE1363" s="6">
        <v>0</v>
      </c>
      <c r="BF1363" s="6">
        <v>41947</v>
      </c>
      <c r="BG1363" s="6">
        <v>0</v>
      </c>
      <c r="BH1363" s="6">
        <v>0</v>
      </c>
      <c r="BI1363" s="6">
        <v>0</v>
      </c>
      <c r="BJ1363" s="6">
        <v>0</v>
      </c>
      <c r="BK1363" s="4">
        <v>0</v>
      </c>
      <c r="BL1363" s="4">
        <v>0</v>
      </c>
      <c r="BM1363" s="20">
        <v>129</v>
      </c>
      <c r="BN1363" s="20">
        <v>0</v>
      </c>
      <c r="BO1363" s="20">
        <v>0</v>
      </c>
      <c r="BP1363" s="20">
        <v>0</v>
      </c>
      <c r="BQ1363" s="20">
        <v>0</v>
      </c>
      <c r="BR1363" s="20">
        <v>0</v>
      </c>
      <c r="BS1363" s="20">
        <v>127</v>
      </c>
      <c r="BT1363" s="20">
        <v>1250757.5757575757</v>
      </c>
      <c r="BU1363" s="20">
        <v>8255000</v>
      </c>
      <c r="BV1363" s="20">
        <v>6</v>
      </c>
    </row>
    <row r="1364" spans="1:74">
      <c r="A1364" s="10">
        <f t="shared" si="86"/>
        <v>0</v>
      </c>
      <c r="B1364" s="10">
        <f t="shared" si="87"/>
        <v>0</v>
      </c>
      <c r="C1364" s="12">
        <f t="shared" si="88"/>
        <v>11</v>
      </c>
      <c r="D1364" s="12">
        <f t="shared" si="89"/>
        <v>11</v>
      </c>
      <c r="E1364" s="20" t="s">
        <v>424</v>
      </c>
      <c r="F1364" s="20" t="s">
        <v>2790</v>
      </c>
      <c r="G1364" s="20" t="s">
        <v>5247</v>
      </c>
      <c r="H1364" s="20" t="s">
        <v>5263</v>
      </c>
      <c r="I1364" s="20">
        <v>6</v>
      </c>
      <c r="J1364" s="20" t="s">
        <v>5264</v>
      </c>
      <c r="K1364" s="20" t="s">
        <v>5265</v>
      </c>
      <c r="L1364" s="20" t="s">
        <v>4859</v>
      </c>
      <c r="M1364" s="20" t="s">
        <v>2790</v>
      </c>
      <c r="N1364" s="20" t="s">
        <v>4852</v>
      </c>
      <c r="P1364" s="20" t="s">
        <v>2790</v>
      </c>
      <c r="Q1364" s="20" t="s">
        <v>2797</v>
      </c>
      <c r="R1364" s="20" t="s">
        <v>84</v>
      </c>
      <c r="S1364" s="20">
        <v>5</v>
      </c>
      <c r="T1364" s="20" t="s">
        <v>480</v>
      </c>
      <c r="U1364" s="20" t="s">
        <v>481</v>
      </c>
      <c r="V1364" s="20" t="s">
        <v>87</v>
      </c>
      <c r="W1364" s="20">
        <v>809</v>
      </c>
      <c r="X1364" s="20">
        <v>809</v>
      </c>
      <c r="Y1364" s="20" t="s">
        <v>4860</v>
      </c>
      <c r="Z1364" s="20">
        <v>0</v>
      </c>
      <c r="AA1364" s="20" t="s">
        <v>4861</v>
      </c>
      <c r="AB1364" s="20" t="s">
        <v>718</v>
      </c>
      <c r="AC1364" s="20" t="s">
        <v>719</v>
      </c>
      <c r="AD1364" s="20" t="s">
        <v>4862</v>
      </c>
      <c r="AE1364" s="20" t="s">
        <v>5071</v>
      </c>
      <c r="AF1364" s="20">
        <v>0</v>
      </c>
      <c r="AG1364" s="20">
        <v>0</v>
      </c>
      <c r="AH1364" s="20">
        <v>1</v>
      </c>
      <c r="AI1364" s="4" t="s">
        <v>251</v>
      </c>
      <c r="AJ1364" s="20">
        <v>170</v>
      </c>
      <c r="AK1364" s="4" t="s">
        <v>179</v>
      </c>
      <c r="AL1364" s="4">
        <v>38</v>
      </c>
      <c r="AM1364" s="4">
        <v>38</v>
      </c>
      <c r="AN1364" s="4" t="s">
        <v>95</v>
      </c>
      <c r="AO1364" s="4" t="s">
        <v>96</v>
      </c>
      <c r="AP1364" s="4">
        <v>1</v>
      </c>
      <c r="AQ1364" s="20">
        <v>65000</v>
      </c>
      <c r="AR1364" s="4">
        <v>41918</v>
      </c>
      <c r="AS1364" s="20">
        <v>9848.484848484848</v>
      </c>
      <c r="AT1364" s="20">
        <v>0</v>
      </c>
      <c r="AU1364" s="20">
        <v>-9848.484848484848</v>
      </c>
      <c r="AV1364" s="20">
        <v>0</v>
      </c>
      <c r="AW1364" s="20">
        <v>0</v>
      </c>
      <c r="AX1364" s="20" t="s">
        <v>91</v>
      </c>
      <c r="AY1364" s="20">
        <v>0</v>
      </c>
      <c r="AZ1364" s="20">
        <v>0</v>
      </c>
      <c r="BA1364" s="20">
        <v>0</v>
      </c>
      <c r="BB1364" s="6">
        <v>41947</v>
      </c>
      <c r="BC1364" s="6">
        <v>0</v>
      </c>
      <c r="BD1364" s="6">
        <v>41948</v>
      </c>
      <c r="BE1364" s="6">
        <v>0</v>
      </c>
      <c r="BF1364" s="6">
        <v>41947</v>
      </c>
      <c r="BG1364" s="6">
        <v>0</v>
      </c>
      <c r="BH1364" s="6">
        <v>0</v>
      </c>
      <c r="BI1364" s="6">
        <v>0</v>
      </c>
      <c r="BJ1364" s="6">
        <v>0</v>
      </c>
      <c r="BK1364" s="4">
        <v>0</v>
      </c>
      <c r="BL1364" s="4">
        <v>0</v>
      </c>
      <c r="BM1364" s="20">
        <v>170</v>
      </c>
      <c r="BN1364" s="20">
        <v>0</v>
      </c>
      <c r="BO1364" s="20">
        <v>0</v>
      </c>
      <c r="BP1364" s="20">
        <v>0</v>
      </c>
      <c r="BQ1364" s="20">
        <v>0</v>
      </c>
      <c r="BR1364" s="20">
        <v>0</v>
      </c>
      <c r="BS1364" s="20">
        <v>170</v>
      </c>
      <c r="BT1364" s="20">
        <v>1674242.4242424241</v>
      </c>
      <c r="BU1364" s="20">
        <v>11050000</v>
      </c>
      <c r="BV1364" s="20">
        <v>6</v>
      </c>
    </row>
    <row r="1365" spans="1:74">
      <c r="A1365" s="10">
        <f t="shared" si="86"/>
        <v>0</v>
      </c>
      <c r="B1365" s="10">
        <f t="shared" si="87"/>
        <v>0</v>
      </c>
      <c r="C1365" s="12" t="str">
        <f t="shared" si="88"/>
        <v/>
      </c>
      <c r="D1365" s="12" t="str">
        <f t="shared" si="89"/>
        <v/>
      </c>
      <c r="E1365" s="20" t="s">
        <v>91</v>
      </c>
      <c r="F1365" s="20" t="s">
        <v>91</v>
      </c>
      <c r="G1365" s="20" t="s">
        <v>91</v>
      </c>
      <c r="H1365" s="20" t="s">
        <v>91</v>
      </c>
      <c r="I1365" s="20">
        <v>0</v>
      </c>
      <c r="J1365" s="20" t="s">
        <v>103</v>
      </c>
      <c r="K1365" s="20" t="s">
        <v>104</v>
      </c>
      <c r="L1365" s="20">
        <v>0</v>
      </c>
      <c r="M1365" s="20" t="s">
        <v>105</v>
      </c>
      <c r="N1365" s="20" t="s">
        <v>91</v>
      </c>
      <c r="O1365" s="20" t="s">
        <v>5266</v>
      </c>
      <c r="Q1365" s="20" t="s">
        <v>91</v>
      </c>
      <c r="R1365" s="20" t="s">
        <v>91</v>
      </c>
      <c r="S1365" s="20" t="s">
        <v>91</v>
      </c>
      <c r="T1365" s="20" t="s">
        <v>91</v>
      </c>
      <c r="U1365" s="20" t="s">
        <v>91</v>
      </c>
      <c r="V1365" s="20" t="s">
        <v>87</v>
      </c>
      <c r="W1365" s="20" t="s">
        <v>91</v>
      </c>
      <c r="X1365" s="20" t="s">
        <v>91</v>
      </c>
      <c r="Y1365" s="20" t="s">
        <v>91</v>
      </c>
      <c r="Z1365" s="20">
        <v>0</v>
      </c>
      <c r="AB1365" s="20" t="s">
        <v>91</v>
      </c>
      <c r="AD1365" s="20" t="s">
        <v>91</v>
      </c>
      <c r="AE1365" s="20" t="s">
        <v>91</v>
      </c>
      <c r="AF1365" s="20">
        <v>0</v>
      </c>
      <c r="AG1365" s="20">
        <v>0</v>
      </c>
      <c r="AH1365" s="20">
        <v>1</v>
      </c>
      <c r="AM1365" s="4" t="s">
        <v>91</v>
      </c>
      <c r="AP1365" s="4" t="s">
        <v>91</v>
      </c>
      <c r="AQ1365" s="20">
        <v>0</v>
      </c>
      <c r="AR1365" s="4">
        <v>0</v>
      </c>
      <c r="AS1365" s="20">
        <v>0</v>
      </c>
      <c r="AT1365" s="20">
        <v>0</v>
      </c>
      <c r="AU1365" s="20">
        <v>0</v>
      </c>
      <c r="AV1365" s="20">
        <v>0</v>
      </c>
      <c r="AW1365" s="20">
        <v>0</v>
      </c>
      <c r="AX1365" s="20" t="s">
        <v>91</v>
      </c>
      <c r="AY1365" s="20">
        <v>0</v>
      </c>
      <c r="AZ1365" s="20">
        <v>0</v>
      </c>
      <c r="BA1365" s="20">
        <v>0</v>
      </c>
      <c r="BB1365" s="6">
        <v>0</v>
      </c>
      <c r="BC1365" s="6">
        <v>0</v>
      </c>
      <c r="BD1365" s="6">
        <v>0</v>
      </c>
      <c r="BE1365" s="6">
        <v>0</v>
      </c>
      <c r="BF1365" s="6">
        <v>0</v>
      </c>
      <c r="BG1365" s="6">
        <v>0</v>
      </c>
      <c r="BH1365" s="6">
        <v>0</v>
      </c>
      <c r="BI1365" s="6">
        <v>0</v>
      </c>
      <c r="BJ1365" s="6">
        <v>0</v>
      </c>
      <c r="BK1365" s="4">
        <v>0</v>
      </c>
      <c r="BL1365" s="4">
        <v>0</v>
      </c>
      <c r="BM1365" s="20">
        <v>699</v>
      </c>
      <c r="BN1365" s="20">
        <v>0</v>
      </c>
      <c r="BO1365" s="20">
        <v>0</v>
      </c>
      <c r="BP1365" s="20">
        <v>0</v>
      </c>
      <c r="BQ1365" s="20">
        <v>0</v>
      </c>
      <c r="BR1365" s="20">
        <v>0</v>
      </c>
      <c r="BS1365" s="20">
        <v>697</v>
      </c>
      <c r="BT1365" s="20">
        <v>5652272.7272727266</v>
      </c>
      <c r="BU1365" s="20">
        <v>37305000</v>
      </c>
      <c r="BV1365" s="20">
        <v>6</v>
      </c>
    </row>
    <row r="1366" spans="1:74">
      <c r="A1366" s="10">
        <f t="shared" si="86"/>
        <v>0</v>
      </c>
      <c r="B1366" s="10">
        <f t="shared" si="87"/>
        <v>0</v>
      </c>
      <c r="C1366" s="12">
        <f t="shared" si="88"/>
        <v>11</v>
      </c>
      <c r="D1366" s="12">
        <f t="shared" si="89"/>
        <v>11</v>
      </c>
      <c r="E1366" s="20" t="s">
        <v>424</v>
      </c>
      <c r="F1366" s="20" t="s">
        <v>2810</v>
      </c>
      <c r="G1366" s="20" t="s">
        <v>5267</v>
      </c>
      <c r="H1366" s="20" t="s">
        <v>5268</v>
      </c>
      <c r="I1366" s="20">
        <v>1</v>
      </c>
      <c r="J1366" s="20" t="s">
        <v>5269</v>
      </c>
      <c r="K1366" s="20" t="s">
        <v>5270</v>
      </c>
      <c r="L1366" s="20" t="s">
        <v>4873</v>
      </c>
      <c r="M1366" s="20" t="s">
        <v>2810</v>
      </c>
      <c r="N1366" s="20" t="s">
        <v>4874</v>
      </c>
      <c r="P1366" s="20" t="s">
        <v>2810</v>
      </c>
      <c r="Q1366" s="20" t="s">
        <v>2817</v>
      </c>
      <c r="R1366" s="20" t="s">
        <v>84</v>
      </c>
      <c r="S1366" s="20">
        <v>5</v>
      </c>
      <c r="T1366" s="20" t="s">
        <v>244</v>
      </c>
      <c r="U1366" s="20" t="s">
        <v>245</v>
      </c>
      <c r="V1366" s="20" t="s">
        <v>87</v>
      </c>
      <c r="W1366" s="20">
        <v>863</v>
      </c>
      <c r="X1366" s="20">
        <v>863</v>
      </c>
      <c r="Y1366" s="20" t="s">
        <v>4875</v>
      </c>
      <c r="Z1366" s="20">
        <v>0</v>
      </c>
      <c r="AA1366" s="20" t="s">
        <v>4876</v>
      </c>
      <c r="AB1366" s="20" t="s">
        <v>89</v>
      </c>
      <c r="AC1366" s="20" t="s">
        <v>90</v>
      </c>
      <c r="AD1366" s="20" t="s">
        <v>4877</v>
      </c>
      <c r="AE1366" s="20" t="s">
        <v>5071</v>
      </c>
      <c r="AF1366" s="20">
        <v>0</v>
      </c>
      <c r="AG1366" s="20">
        <v>0</v>
      </c>
      <c r="AH1366" s="20">
        <v>1</v>
      </c>
      <c r="AI1366" s="4" t="s">
        <v>251</v>
      </c>
      <c r="AJ1366" s="20">
        <v>333</v>
      </c>
      <c r="AK1366" s="4" t="s">
        <v>252</v>
      </c>
      <c r="AL1366" s="4">
        <v>8</v>
      </c>
      <c r="AM1366" s="4" t="s">
        <v>180</v>
      </c>
      <c r="AN1366" s="4" t="s">
        <v>95</v>
      </c>
      <c r="AO1366" s="4" t="s">
        <v>96</v>
      </c>
      <c r="AP1366" s="4">
        <v>1</v>
      </c>
      <c r="AQ1366" s="20">
        <v>45000</v>
      </c>
      <c r="AR1366" s="4">
        <v>41918</v>
      </c>
      <c r="AS1366" s="20">
        <v>5844.1558441558436</v>
      </c>
      <c r="AT1366" s="20">
        <v>0</v>
      </c>
      <c r="AU1366" s="20">
        <v>-5844.1558441558436</v>
      </c>
      <c r="AV1366" s="20">
        <v>0</v>
      </c>
      <c r="AW1366" s="20">
        <v>0</v>
      </c>
      <c r="AX1366" s="20" t="s">
        <v>91</v>
      </c>
      <c r="AY1366" s="20">
        <v>0</v>
      </c>
      <c r="AZ1366" s="20">
        <v>0</v>
      </c>
      <c r="BA1366" s="20">
        <v>0</v>
      </c>
      <c r="BB1366" s="6">
        <v>41947</v>
      </c>
      <c r="BC1366" s="6">
        <v>0</v>
      </c>
      <c r="BD1366" s="6">
        <v>41948</v>
      </c>
      <c r="BE1366" s="6">
        <v>0</v>
      </c>
      <c r="BF1366" s="6">
        <v>41947</v>
      </c>
      <c r="BG1366" s="6">
        <v>0</v>
      </c>
      <c r="BH1366" s="6">
        <v>0</v>
      </c>
      <c r="BI1366" s="6">
        <v>0</v>
      </c>
      <c r="BJ1366" s="6">
        <v>0</v>
      </c>
      <c r="BK1366" s="4">
        <v>0</v>
      </c>
      <c r="BL1366" s="4">
        <v>0</v>
      </c>
      <c r="BM1366" s="20">
        <v>333</v>
      </c>
      <c r="BN1366" s="20">
        <v>0</v>
      </c>
      <c r="BO1366" s="20">
        <v>0</v>
      </c>
      <c r="BP1366" s="20">
        <v>0</v>
      </c>
      <c r="BQ1366" s="20">
        <v>0</v>
      </c>
      <c r="BR1366" s="20">
        <v>0</v>
      </c>
      <c r="BS1366" s="20">
        <v>333</v>
      </c>
      <c r="BT1366" s="20">
        <v>1946103.896103896</v>
      </c>
      <c r="BU1366" s="20">
        <v>14985000</v>
      </c>
      <c r="BV1366" s="20">
        <v>6.9999999999999991</v>
      </c>
    </row>
    <row r="1367" spans="1:74">
      <c r="A1367" s="10">
        <f t="shared" si="86"/>
        <v>0</v>
      </c>
      <c r="B1367" s="10">
        <f t="shared" si="87"/>
        <v>0</v>
      </c>
      <c r="C1367" s="12" t="str">
        <f t="shared" si="88"/>
        <v/>
      </c>
      <c r="D1367" s="12" t="str">
        <f t="shared" si="89"/>
        <v/>
      </c>
      <c r="E1367" s="20" t="s">
        <v>91</v>
      </c>
      <c r="F1367" s="20" t="s">
        <v>91</v>
      </c>
      <c r="G1367" s="20" t="s">
        <v>91</v>
      </c>
      <c r="H1367" s="20" t="s">
        <v>91</v>
      </c>
      <c r="I1367" s="20">
        <v>0</v>
      </c>
      <c r="J1367" s="20" t="s">
        <v>103</v>
      </c>
      <c r="K1367" s="20" t="s">
        <v>104</v>
      </c>
      <c r="L1367" s="20">
        <v>0</v>
      </c>
      <c r="M1367" s="20" t="s">
        <v>105</v>
      </c>
      <c r="N1367" s="20" t="s">
        <v>91</v>
      </c>
      <c r="O1367" s="20" t="s">
        <v>5271</v>
      </c>
      <c r="Q1367" s="20" t="s">
        <v>91</v>
      </c>
      <c r="R1367" s="20" t="s">
        <v>91</v>
      </c>
      <c r="S1367" s="20" t="s">
        <v>91</v>
      </c>
      <c r="T1367" s="20" t="s">
        <v>91</v>
      </c>
      <c r="U1367" s="20" t="s">
        <v>91</v>
      </c>
      <c r="V1367" s="20" t="s">
        <v>87</v>
      </c>
      <c r="W1367" s="20" t="s">
        <v>91</v>
      </c>
      <c r="X1367" s="20" t="s">
        <v>91</v>
      </c>
      <c r="Y1367" s="20" t="s">
        <v>91</v>
      </c>
      <c r="Z1367" s="20">
        <v>0</v>
      </c>
      <c r="AB1367" s="20" t="s">
        <v>91</v>
      </c>
      <c r="AD1367" s="20" t="s">
        <v>91</v>
      </c>
      <c r="AE1367" s="20" t="s">
        <v>91</v>
      </c>
      <c r="AF1367" s="20">
        <v>0</v>
      </c>
      <c r="AG1367" s="20">
        <v>0</v>
      </c>
      <c r="AH1367" s="20">
        <v>1</v>
      </c>
      <c r="AM1367" s="4" t="s">
        <v>91</v>
      </c>
      <c r="AP1367" s="4" t="s">
        <v>91</v>
      </c>
      <c r="AQ1367" s="20">
        <v>0</v>
      </c>
      <c r="AR1367" s="4">
        <v>0</v>
      </c>
      <c r="AS1367" s="20">
        <v>0</v>
      </c>
      <c r="AT1367" s="20">
        <v>0</v>
      </c>
      <c r="AU1367" s="20">
        <v>0</v>
      </c>
      <c r="AV1367" s="20">
        <v>0</v>
      </c>
      <c r="AW1367" s="20">
        <v>0</v>
      </c>
      <c r="AX1367" s="20" t="s">
        <v>91</v>
      </c>
      <c r="AY1367" s="20">
        <v>0</v>
      </c>
      <c r="AZ1367" s="20">
        <v>0</v>
      </c>
      <c r="BA1367" s="20">
        <v>0</v>
      </c>
      <c r="BB1367" s="6">
        <v>0</v>
      </c>
      <c r="BC1367" s="6">
        <v>0</v>
      </c>
      <c r="BD1367" s="6">
        <v>0</v>
      </c>
      <c r="BE1367" s="6">
        <v>0</v>
      </c>
      <c r="BF1367" s="6">
        <v>0</v>
      </c>
      <c r="BG1367" s="6">
        <v>0</v>
      </c>
      <c r="BH1367" s="6">
        <v>0</v>
      </c>
      <c r="BI1367" s="6">
        <v>0</v>
      </c>
      <c r="BJ1367" s="6">
        <v>0</v>
      </c>
      <c r="BK1367" s="4">
        <v>0</v>
      </c>
      <c r="BL1367" s="4">
        <v>0</v>
      </c>
      <c r="BM1367" s="20">
        <v>333</v>
      </c>
      <c r="BN1367" s="20">
        <v>0</v>
      </c>
      <c r="BO1367" s="20">
        <v>0</v>
      </c>
      <c r="BP1367" s="20">
        <v>0</v>
      </c>
      <c r="BQ1367" s="20">
        <v>0</v>
      </c>
      <c r="BR1367" s="20">
        <v>0</v>
      </c>
      <c r="BS1367" s="20">
        <v>333</v>
      </c>
      <c r="BT1367" s="20">
        <v>1946103.896103896</v>
      </c>
      <c r="BU1367" s="20">
        <v>14985000</v>
      </c>
      <c r="BV1367" s="20">
        <v>6.9999999999999991</v>
      </c>
    </row>
    <row r="1368" spans="1:74">
      <c r="A1368" s="10">
        <f t="shared" si="86"/>
        <v>0</v>
      </c>
      <c r="B1368" s="10">
        <f t="shared" si="87"/>
        <v>0</v>
      </c>
      <c r="C1368" s="12">
        <f t="shared" si="88"/>
        <v>11</v>
      </c>
      <c r="D1368" s="12">
        <f t="shared" si="89"/>
        <v>11</v>
      </c>
      <c r="E1368" s="20" t="s">
        <v>424</v>
      </c>
      <c r="F1368" s="20" t="s">
        <v>2810</v>
      </c>
      <c r="G1368" s="20" t="s">
        <v>5272</v>
      </c>
      <c r="H1368" s="20" t="s">
        <v>5273</v>
      </c>
      <c r="I1368" s="20">
        <v>1</v>
      </c>
      <c r="J1368" s="20" t="s">
        <v>5274</v>
      </c>
      <c r="K1368" s="20" t="s">
        <v>5275</v>
      </c>
      <c r="L1368" s="20" t="s">
        <v>4883</v>
      </c>
      <c r="M1368" s="20" t="s">
        <v>2810</v>
      </c>
      <c r="N1368" s="20" t="s">
        <v>2816</v>
      </c>
      <c r="P1368" s="20" t="s">
        <v>2810</v>
      </c>
      <c r="Q1368" s="20" t="s">
        <v>2817</v>
      </c>
      <c r="R1368" s="20" t="s">
        <v>84</v>
      </c>
      <c r="S1368" s="20">
        <v>5</v>
      </c>
      <c r="T1368" s="20" t="s">
        <v>1401</v>
      </c>
      <c r="U1368" s="20" t="s">
        <v>1402</v>
      </c>
      <c r="V1368" s="20" t="s">
        <v>87</v>
      </c>
      <c r="W1368" s="20">
        <v>855</v>
      </c>
      <c r="X1368" s="20">
        <v>855</v>
      </c>
      <c r="Y1368" s="20" t="s">
        <v>4884</v>
      </c>
      <c r="Z1368" s="20">
        <v>0</v>
      </c>
      <c r="AA1368" s="20" t="s">
        <v>4885</v>
      </c>
      <c r="AB1368" s="20" t="s">
        <v>718</v>
      </c>
      <c r="AC1368" s="20" t="s">
        <v>719</v>
      </c>
      <c r="AD1368" s="20" t="s">
        <v>4886</v>
      </c>
      <c r="AE1368" s="20" t="s">
        <v>5071</v>
      </c>
      <c r="AF1368" s="20">
        <v>0</v>
      </c>
      <c r="AG1368" s="20">
        <v>0</v>
      </c>
      <c r="AH1368" s="20">
        <v>1</v>
      </c>
      <c r="AI1368" s="4" t="s">
        <v>251</v>
      </c>
      <c r="AJ1368" s="20">
        <v>100</v>
      </c>
      <c r="AK1368" s="4" t="s">
        <v>1047</v>
      </c>
      <c r="AL1368" s="4">
        <v>14</v>
      </c>
      <c r="AM1368" s="4">
        <v>14</v>
      </c>
      <c r="AN1368" s="4" t="s">
        <v>95</v>
      </c>
      <c r="AO1368" s="4" t="s">
        <v>96</v>
      </c>
      <c r="AP1368" s="4">
        <v>1</v>
      </c>
      <c r="AQ1368" s="20">
        <v>55000</v>
      </c>
      <c r="AR1368" s="4">
        <v>41918</v>
      </c>
      <c r="AS1368" s="20">
        <v>5555.5555555555547</v>
      </c>
      <c r="AT1368" s="20">
        <v>0</v>
      </c>
      <c r="AU1368" s="20">
        <v>-5555.5555555555547</v>
      </c>
      <c r="AV1368" s="20">
        <v>0</v>
      </c>
      <c r="AW1368" s="20">
        <v>0</v>
      </c>
      <c r="AX1368" s="20" t="s">
        <v>91</v>
      </c>
      <c r="AY1368" s="20">
        <v>0</v>
      </c>
      <c r="AZ1368" s="20">
        <v>0</v>
      </c>
      <c r="BA1368" s="20">
        <v>0</v>
      </c>
      <c r="BB1368" s="6">
        <v>41947</v>
      </c>
      <c r="BC1368" s="6">
        <v>0</v>
      </c>
      <c r="BD1368" s="6">
        <v>41948</v>
      </c>
      <c r="BE1368" s="6">
        <v>0</v>
      </c>
      <c r="BF1368" s="6">
        <v>41947</v>
      </c>
      <c r="BG1368" s="6">
        <v>0</v>
      </c>
      <c r="BH1368" s="6">
        <v>0</v>
      </c>
      <c r="BI1368" s="6">
        <v>0</v>
      </c>
      <c r="BJ1368" s="6">
        <v>0</v>
      </c>
      <c r="BK1368" s="4">
        <v>0</v>
      </c>
      <c r="BL1368" s="4">
        <v>0</v>
      </c>
      <c r="BM1368" s="20">
        <v>100</v>
      </c>
      <c r="BN1368" s="20">
        <v>0</v>
      </c>
      <c r="BO1368" s="20">
        <v>0</v>
      </c>
      <c r="BP1368" s="20">
        <v>0</v>
      </c>
      <c r="BQ1368" s="20">
        <v>0</v>
      </c>
      <c r="BR1368" s="20">
        <v>0</v>
      </c>
      <c r="BS1368" s="20">
        <v>100</v>
      </c>
      <c r="BT1368" s="20">
        <v>555555.5555555555</v>
      </c>
      <c r="BU1368" s="20">
        <v>5500000</v>
      </c>
      <c r="BV1368" s="20">
        <v>9</v>
      </c>
    </row>
    <row r="1369" spans="1:74">
      <c r="A1369" s="10">
        <f t="shared" si="86"/>
        <v>0</v>
      </c>
      <c r="B1369" s="10">
        <f t="shared" si="87"/>
        <v>0</v>
      </c>
      <c r="C1369" s="12">
        <f t="shared" si="88"/>
        <v>11</v>
      </c>
      <c r="D1369" s="12">
        <f t="shared" si="89"/>
        <v>11</v>
      </c>
      <c r="E1369" s="20" t="s">
        <v>424</v>
      </c>
      <c r="F1369" s="20" t="s">
        <v>2810</v>
      </c>
      <c r="G1369" s="20" t="s">
        <v>5272</v>
      </c>
      <c r="H1369" s="20" t="s">
        <v>5276</v>
      </c>
      <c r="I1369" s="20">
        <v>2</v>
      </c>
      <c r="J1369" s="20" t="s">
        <v>5277</v>
      </c>
      <c r="K1369" s="20" t="s">
        <v>5278</v>
      </c>
      <c r="L1369" s="20" t="s">
        <v>4890</v>
      </c>
      <c r="M1369" s="20" t="s">
        <v>2810</v>
      </c>
      <c r="N1369" s="20" t="s">
        <v>2816</v>
      </c>
      <c r="P1369" s="20" t="s">
        <v>2810</v>
      </c>
      <c r="Q1369" s="20" t="s">
        <v>2817</v>
      </c>
      <c r="R1369" s="20" t="s">
        <v>84</v>
      </c>
      <c r="S1369" s="20">
        <v>5</v>
      </c>
      <c r="T1369" s="20" t="s">
        <v>1401</v>
      </c>
      <c r="U1369" s="20" t="s">
        <v>1402</v>
      </c>
      <c r="V1369" s="20" t="s">
        <v>87</v>
      </c>
      <c r="W1369" s="20">
        <v>860</v>
      </c>
      <c r="X1369" s="20">
        <v>860</v>
      </c>
      <c r="Y1369" s="20" t="s">
        <v>4891</v>
      </c>
      <c r="Z1369" s="20">
        <v>0</v>
      </c>
      <c r="AA1369" s="20" t="s">
        <v>4892</v>
      </c>
      <c r="AB1369" s="20" t="s">
        <v>279</v>
      </c>
      <c r="AC1369" s="20" t="s">
        <v>280</v>
      </c>
      <c r="AD1369" s="20" t="s">
        <v>4893</v>
      </c>
      <c r="AE1369" s="20" t="s">
        <v>5071</v>
      </c>
      <c r="AF1369" s="20">
        <v>0</v>
      </c>
      <c r="AG1369" s="20">
        <v>0</v>
      </c>
      <c r="AH1369" s="20">
        <v>1</v>
      </c>
      <c r="AI1369" s="4" t="s">
        <v>251</v>
      </c>
      <c r="AJ1369" s="20">
        <v>100</v>
      </c>
      <c r="AK1369" s="4" t="s">
        <v>1047</v>
      </c>
      <c r="AL1369" s="4">
        <v>14</v>
      </c>
      <c r="AM1369" s="4">
        <v>14</v>
      </c>
      <c r="AN1369" s="4" t="s">
        <v>95</v>
      </c>
      <c r="AO1369" s="4" t="s">
        <v>96</v>
      </c>
      <c r="AP1369" s="4">
        <v>1</v>
      </c>
      <c r="AQ1369" s="20">
        <v>45000</v>
      </c>
      <c r="AR1369" s="4">
        <v>41918</v>
      </c>
      <c r="AS1369" s="20">
        <v>4545.454545454545</v>
      </c>
      <c r="AT1369" s="20">
        <v>0</v>
      </c>
      <c r="AU1369" s="20">
        <v>-4545.454545454545</v>
      </c>
      <c r="AV1369" s="20">
        <v>0</v>
      </c>
      <c r="AW1369" s="20">
        <v>0</v>
      </c>
      <c r="AX1369" s="20" t="s">
        <v>91</v>
      </c>
      <c r="AY1369" s="20">
        <v>0</v>
      </c>
      <c r="AZ1369" s="20">
        <v>0</v>
      </c>
      <c r="BA1369" s="20">
        <v>0</v>
      </c>
      <c r="BB1369" s="6">
        <v>41947</v>
      </c>
      <c r="BC1369" s="6">
        <v>0</v>
      </c>
      <c r="BD1369" s="6">
        <v>41948</v>
      </c>
      <c r="BE1369" s="6">
        <v>0</v>
      </c>
      <c r="BF1369" s="6">
        <v>41947</v>
      </c>
      <c r="BG1369" s="6">
        <v>0</v>
      </c>
      <c r="BH1369" s="6">
        <v>0</v>
      </c>
      <c r="BI1369" s="6">
        <v>0</v>
      </c>
      <c r="BJ1369" s="6">
        <v>0</v>
      </c>
      <c r="BK1369" s="4">
        <v>0</v>
      </c>
      <c r="BL1369" s="4">
        <v>0</v>
      </c>
      <c r="BM1369" s="20">
        <v>100</v>
      </c>
      <c r="BN1369" s="20">
        <v>0</v>
      </c>
      <c r="BO1369" s="20">
        <v>0</v>
      </c>
      <c r="BP1369" s="20">
        <v>0</v>
      </c>
      <c r="BQ1369" s="20">
        <v>0</v>
      </c>
      <c r="BR1369" s="20">
        <v>0</v>
      </c>
      <c r="BS1369" s="20">
        <v>100</v>
      </c>
      <c r="BT1369" s="20">
        <v>454545.45454545453</v>
      </c>
      <c r="BU1369" s="20">
        <v>4500000</v>
      </c>
      <c r="BV1369" s="20">
        <v>9</v>
      </c>
    </row>
    <row r="1370" spans="1:74">
      <c r="A1370" s="10">
        <f t="shared" si="86"/>
        <v>0</v>
      </c>
      <c r="B1370" s="10">
        <f t="shared" si="87"/>
        <v>0</v>
      </c>
      <c r="C1370" s="12" t="str">
        <f t="shared" si="88"/>
        <v/>
      </c>
      <c r="D1370" s="12" t="str">
        <f t="shared" si="89"/>
        <v/>
      </c>
      <c r="E1370" s="20" t="s">
        <v>91</v>
      </c>
      <c r="F1370" s="20" t="s">
        <v>91</v>
      </c>
      <c r="G1370" s="20" t="s">
        <v>91</v>
      </c>
      <c r="H1370" s="20" t="s">
        <v>91</v>
      </c>
      <c r="I1370" s="20">
        <v>0</v>
      </c>
      <c r="J1370" s="20" t="s">
        <v>103</v>
      </c>
      <c r="K1370" s="20" t="s">
        <v>104</v>
      </c>
      <c r="L1370" s="20">
        <v>0</v>
      </c>
      <c r="M1370" s="20" t="s">
        <v>105</v>
      </c>
      <c r="N1370" s="20" t="s">
        <v>91</v>
      </c>
      <c r="O1370" s="20" t="s">
        <v>5279</v>
      </c>
      <c r="Q1370" s="20" t="s">
        <v>91</v>
      </c>
      <c r="R1370" s="20" t="s">
        <v>91</v>
      </c>
      <c r="S1370" s="20" t="s">
        <v>91</v>
      </c>
      <c r="T1370" s="20" t="s">
        <v>91</v>
      </c>
      <c r="U1370" s="20" t="s">
        <v>91</v>
      </c>
      <c r="V1370" s="20" t="s">
        <v>87</v>
      </c>
      <c r="W1370" s="20" t="s">
        <v>91</v>
      </c>
      <c r="X1370" s="20" t="s">
        <v>91</v>
      </c>
      <c r="Y1370" s="20" t="s">
        <v>91</v>
      </c>
      <c r="Z1370" s="20">
        <v>0</v>
      </c>
      <c r="AB1370" s="20" t="s">
        <v>91</v>
      </c>
      <c r="AD1370" s="20" t="s">
        <v>91</v>
      </c>
      <c r="AE1370" s="20" t="s">
        <v>91</v>
      </c>
      <c r="AF1370" s="20">
        <v>0</v>
      </c>
      <c r="AG1370" s="20">
        <v>0</v>
      </c>
      <c r="AH1370" s="20">
        <v>1</v>
      </c>
      <c r="AM1370" s="4" t="s">
        <v>91</v>
      </c>
      <c r="AP1370" s="4" t="s">
        <v>91</v>
      </c>
      <c r="AQ1370" s="20">
        <v>0</v>
      </c>
      <c r="AR1370" s="4">
        <v>0</v>
      </c>
      <c r="AS1370" s="20">
        <v>0</v>
      </c>
      <c r="AT1370" s="20">
        <v>0</v>
      </c>
      <c r="AU1370" s="20">
        <v>0</v>
      </c>
      <c r="AV1370" s="20">
        <v>0</v>
      </c>
      <c r="AW1370" s="20">
        <v>0</v>
      </c>
      <c r="AX1370" s="20" t="s">
        <v>91</v>
      </c>
      <c r="AY1370" s="20">
        <v>0</v>
      </c>
      <c r="AZ1370" s="20">
        <v>0</v>
      </c>
      <c r="BA1370" s="20">
        <v>0</v>
      </c>
      <c r="BB1370" s="6">
        <v>0</v>
      </c>
      <c r="BC1370" s="6">
        <v>0</v>
      </c>
      <c r="BD1370" s="6">
        <v>0</v>
      </c>
      <c r="BE1370" s="6">
        <v>0</v>
      </c>
      <c r="BF1370" s="6">
        <v>0</v>
      </c>
      <c r="BG1370" s="6">
        <v>0</v>
      </c>
      <c r="BH1370" s="6">
        <v>0</v>
      </c>
      <c r="BI1370" s="6">
        <v>0</v>
      </c>
      <c r="BJ1370" s="6">
        <v>0</v>
      </c>
      <c r="BK1370" s="4">
        <v>0</v>
      </c>
      <c r="BL1370" s="4">
        <v>0</v>
      </c>
      <c r="BM1370" s="20">
        <v>200</v>
      </c>
      <c r="BN1370" s="20">
        <v>0</v>
      </c>
      <c r="BO1370" s="20">
        <v>0</v>
      </c>
      <c r="BP1370" s="20">
        <v>0</v>
      </c>
      <c r="BQ1370" s="20">
        <v>0</v>
      </c>
      <c r="BR1370" s="20">
        <v>0</v>
      </c>
      <c r="BS1370" s="20">
        <v>200</v>
      </c>
      <c r="BT1370" s="20">
        <v>1010101.0101010101</v>
      </c>
      <c r="BU1370" s="20">
        <v>10000000</v>
      </c>
      <c r="BV1370" s="20">
        <v>8.9999999999999982</v>
      </c>
    </row>
    <row r="1371" spans="1:74">
      <c r="A1371" s="10">
        <f t="shared" si="86"/>
        <v>0</v>
      </c>
      <c r="B1371" s="10">
        <f t="shared" si="87"/>
        <v>0</v>
      </c>
      <c r="C1371" s="12">
        <f t="shared" si="88"/>
        <v>11</v>
      </c>
      <c r="D1371" s="12">
        <f t="shared" si="89"/>
        <v>11</v>
      </c>
      <c r="E1371" s="20" t="s">
        <v>424</v>
      </c>
      <c r="F1371" s="20" t="s">
        <v>2870</v>
      </c>
      <c r="G1371" s="20" t="s">
        <v>5280</v>
      </c>
      <c r="H1371" s="20" t="s">
        <v>5281</v>
      </c>
      <c r="I1371" s="20">
        <v>1</v>
      </c>
      <c r="J1371" s="20" t="s">
        <v>5282</v>
      </c>
      <c r="K1371" s="20" t="s">
        <v>5283</v>
      </c>
      <c r="L1371" s="20" t="s">
        <v>4933</v>
      </c>
      <c r="M1371" s="20" t="s">
        <v>2870</v>
      </c>
      <c r="N1371" s="20" t="s">
        <v>2876</v>
      </c>
      <c r="P1371" s="20" t="s">
        <v>2870</v>
      </c>
      <c r="Q1371" s="20" t="s">
        <v>2877</v>
      </c>
      <c r="R1371" s="20" t="s">
        <v>84</v>
      </c>
      <c r="S1371" s="20">
        <v>5</v>
      </c>
      <c r="T1371" s="20" t="s">
        <v>172</v>
      </c>
      <c r="U1371" s="20" t="s">
        <v>173</v>
      </c>
      <c r="V1371" s="20" t="s">
        <v>87</v>
      </c>
      <c r="W1371" s="20">
        <v>802</v>
      </c>
      <c r="X1371" s="20">
        <v>802</v>
      </c>
      <c r="Y1371" s="20" t="s">
        <v>4934</v>
      </c>
      <c r="Z1371" s="20">
        <v>0</v>
      </c>
      <c r="AA1371" s="20" t="s">
        <v>4935</v>
      </c>
      <c r="AB1371" s="20" t="s">
        <v>248</v>
      </c>
      <c r="AC1371" s="20" t="s">
        <v>249</v>
      </c>
      <c r="AD1371" s="20" t="s">
        <v>4936</v>
      </c>
      <c r="AE1371" s="20" t="s">
        <v>5071</v>
      </c>
      <c r="AF1371" s="20">
        <v>0</v>
      </c>
      <c r="AG1371" s="20">
        <v>0</v>
      </c>
      <c r="AH1371" s="20">
        <v>1</v>
      </c>
      <c r="AI1371" s="4" t="s">
        <v>251</v>
      </c>
      <c r="AJ1371" s="20">
        <v>100</v>
      </c>
      <c r="AK1371" s="4" t="s">
        <v>179</v>
      </c>
      <c r="AL1371" s="4">
        <v>39</v>
      </c>
      <c r="AM1371" s="4">
        <v>39</v>
      </c>
      <c r="AN1371" s="4" t="s">
        <v>95</v>
      </c>
      <c r="AO1371" s="4" t="s">
        <v>96</v>
      </c>
      <c r="AP1371" s="4">
        <v>1</v>
      </c>
      <c r="AQ1371" s="20">
        <v>45000</v>
      </c>
      <c r="AR1371" s="4">
        <v>41918</v>
      </c>
      <c r="AS1371" s="20">
        <v>6818.1818181818171</v>
      </c>
      <c r="AT1371" s="20">
        <v>0</v>
      </c>
      <c r="AU1371" s="20">
        <v>-6818.1818181818171</v>
      </c>
      <c r="AV1371" s="20">
        <v>0</v>
      </c>
      <c r="AW1371" s="20">
        <v>0</v>
      </c>
      <c r="AX1371" s="20" t="s">
        <v>91</v>
      </c>
      <c r="AY1371" s="20">
        <v>0</v>
      </c>
      <c r="AZ1371" s="20">
        <v>0</v>
      </c>
      <c r="BA1371" s="20">
        <v>0</v>
      </c>
      <c r="BB1371" s="6">
        <v>41947</v>
      </c>
      <c r="BC1371" s="6">
        <v>0</v>
      </c>
      <c r="BD1371" s="6">
        <v>41948</v>
      </c>
      <c r="BE1371" s="6">
        <v>0</v>
      </c>
      <c r="BF1371" s="6">
        <v>41947</v>
      </c>
      <c r="BG1371" s="6">
        <v>0</v>
      </c>
      <c r="BH1371" s="6">
        <v>0</v>
      </c>
      <c r="BI1371" s="6">
        <v>0</v>
      </c>
      <c r="BJ1371" s="6">
        <v>0</v>
      </c>
      <c r="BK1371" s="4">
        <v>0</v>
      </c>
      <c r="BL1371" s="4">
        <v>0</v>
      </c>
      <c r="BM1371" s="20">
        <v>100</v>
      </c>
      <c r="BN1371" s="20">
        <v>0</v>
      </c>
      <c r="BO1371" s="20">
        <v>0</v>
      </c>
      <c r="BP1371" s="20">
        <v>0</v>
      </c>
      <c r="BQ1371" s="20">
        <v>0</v>
      </c>
      <c r="BR1371" s="20">
        <v>0</v>
      </c>
      <c r="BS1371" s="20">
        <v>100</v>
      </c>
      <c r="BT1371" s="20">
        <v>681818.18181818177</v>
      </c>
      <c r="BU1371" s="20">
        <v>4500000</v>
      </c>
      <c r="BV1371" s="20">
        <v>6</v>
      </c>
    </row>
    <row r="1372" spans="1:74">
      <c r="A1372" s="10">
        <f t="shared" si="86"/>
        <v>0</v>
      </c>
      <c r="B1372" s="10">
        <f t="shared" si="87"/>
        <v>0</v>
      </c>
      <c r="C1372" s="12">
        <f t="shared" si="88"/>
        <v>11</v>
      </c>
      <c r="D1372" s="12">
        <f t="shared" si="89"/>
        <v>11</v>
      </c>
      <c r="E1372" s="20" t="s">
        <v>424</v>
      </c>
      <c r="F1372" s="20" t="s">
        <v>2870</v>
      </c>
      <c r="G1372" s="20" t="s">
        <v>5280</v>
      </c>
      <c r="H1372" s="20" t="s">
        <v>5284</v>
      </c>
      <c r="I1372" s="20">
        <v>2</v>
      </c>
      <c r="J1372" s="20" t="s">
        <v>5285</v>
      </c>
      <c r="K1372" s="20" t="s">
        <v>5286</v>
      </c>
      <c r="L1372" s="20" t="s">
        <v>4940</v>
      </c>
      <c r="M1372" s="20" t="s">
        <v>2870</v>
      </c>
      <c r="N1372" s="20" t="s">
        <v>4941</v>
      </c>
      <c r="P1372" s="20" t="s">
        <v>2870</v>
      </c>
      <c r="Q1372" s="20" t="s">
        <v>2877</v>
      </c>
      <c r="R1372" s="20" t="s">
        <v>84</v>
      </c>
      <c r="S1372" s="20">
        <v>5</v>
      </c>
      <c r="T1372" s="20" t="s">
        <v>106</v>
      </c>
      <c r="U1372" s="20" t="s">
        <v>107</v>
      </c>
      <c r="V1372" s="20" t="s">
        <v>87</v>
      </c>
      <c r="W1372" s="20">
        <v>814</v>
      </c>
      <c r="X1372" s="20">
        <v>814</v>
      </c>
      <c r="Y1372" s="20" t="s">
        <v>4942</v>
      </c>
      <c r="Z1372" s="20">
        <v>0</v>
      </c>
      <c r="AA1372" s="20" t="s">
        <v>4943</v>
      </c>
      <c r="AB1372" s="20" t="s">
        <v>248</v>
      </c>
      <c r="AC1372" s="20" t="s">
        <v>249</v>
      </c>
      <c r="AD1372" s="20" t="s">
        <v>4944</v>
      </c>
      <c r="AE1372" s="20" t="s">
        <v>5071</v>
      </c>
      <c r="AF1372" s="20">
        <v>0</v>
      </c>
      <c r="AG1372" s="20">
        <v>0</v>
      </c>
      <c r="AH1372" s="20">
        <v>1</v>
      </c>
      <c r="AI1372" s="4" t="s">
        <v>251</v>
      </c>
      <c r="AJ1372" s="20">
        <v>100</v>
      </c>
      <c r="AK1372" s="4" t="s">
        <v>179</v>
      </c>
      <c r="AL1372" s="4">
        <v>39</v>
      </c>
      <c r="AM1372" s="4">
        <v>39</v>
      </c>
      <c r="AN1372" s="4" t="s">
        <v>95</v>
      </c>
      <c r="AO1372" s="4" t="s">
        <v>96</v>
      </c>
      <c r="AP1372" s="4">
        <v>1</v>
      </c>
      <c r="AQ1372" s="20">
        <v>53000</v>
      </c>
      <c r="AR1372" s="4">
        <v>41918</v>
      </c>
      <c r="AS1372" s="20">
        <v>8030.3030303030291</v>
      </c>
      <c r="AT1372" s="20">
        <v>0</v>
      </c>
      <c r="AU1372" s="20">
        <v>-8030.3030303030291</v>
      </c>
      <c r="AV1372" s="20">
        <v>0</v>
      </c>
      <c r="AW1372" s="20">
        <v>0</v>
      </c>
      <c r="AX1372" s="20" t="s">
        <v>91</v>
      </c>
      <c r="AY1372" s="20">
        <v>0</v>
      </c>
      <c r="AZ1372" s="20">
        <v>0</v>
      </c>
      <c r="BA1372" s="20">
        <v>0</v>
      </c>
      <c r="BB1372" s="6">
        <v>41947</v>
      </c>
      <c r="BC1372" s="6">
        <v>0</v>
      </c>
      <c r="BD1372" s="6">
        <v>41948</v>
      </c>
      <c r="BE1372" s="6">
        <v>0</v>
      </c>
      <c r="BF1372" s="6">
        <v>41947</v>
      </c>
      <c r="BG1372" s="6">
        <v>0</v>
      </c>
      <c r="BH1372" s="6">
        <v>0</v>
      </c>
      <c r="BI1372" s="6">
        <v>0</v>
      </c>
      <c r="BJ1372" s="6">
        <v>0</v>
      </c>
      <c r="BK1372" s="4">
        <v>0</v>
      </c>
      <c r="BL1372" s="4">
        <v>0</v>
      </c>
      <c r="BM1372" s="20">
        <v>72</v>
      </c>
      <c r="BN1372" s="20">
        <v>0</v>
      </c>
      <c r="BO1372" s="20">
        <v>0</v>
      </c>
      <c r="BP1372" s="20">
        <v>0</v>
      </c>
      <c r="BQ1372" s="20">
        <v>0</v>
      </c>
      <c r="BS1372" s="20">
        <v>100</v>
      </c>
      <c r="BT1372" s="20">
        <v>803030.30303030286</v>
      </c>
      <c r="BU1372" s="20">
        <v>5300000</v>
      </c>
      <c r="BV1372" s="20">
        <v>6.0000000000000009</v>
      </c>
    </row>
    <row r="1373" spans="1:74">
      <c r="A1373" s="10">
        <f t="shared" si="86"/>
        <v>0</v>
      </c>
      <c r="B1373" s="10">
        <f t="shared" si="87"/>
        <v>0</v>
      </c>
      <c r="C1373" s="12" t="str">
        <f t="shared" si="88"/>
        <v/>
      </c>
      <c r="D1373" s="12" t="str">
        <f t="shared" si="89"/>
        <v/>
      </c>
      <c r="E1373" s="20" t="s">
        <v>91</v>
      </c>
      <c r="F1373" s="20" t="s">
        <v>91</v>
      </c>
      <c r="G1373" s="20" t="s">
        <v>91</v>
      </c>
      <c r="H1373" s="20" t="s">
        <v>91</v>
      </c>
      <c r="I1373" s="20">
        <v>0</v>
      </c>
      <c r="J1373" s="20" t="s">
        <v>103</v>
      </c>
      <c r="K1373" s="20" t="s">
        <v>104</v>
      </c>
      <c r="L1373" s="20">
        <v>0</v>
      </c>
      <c r="M1373" s="20" t="s">
        <v>105</v>
      </c>
      <c r="N1373" s="20" t="s">
        <v>91</v>
      </c>
      <c r="O1373" s="20" t="s">
        <v>5287</v>
      </c>
      <c r="Q1373" s="20" t="s">
        <v>91</v>
      </c>
      <c r="R1373" s="20" t="s">
        <v>91</v>
      </c>
      <c r="S1373" s="20" t="s">
        <v>91</v>
      </c>
      <c r="T1373" s="20" t="s">
        <v>91</v>
      </c>
      <c r="U1373" s="20" t="s">
        <v>91</v>
      </c>
      <c r="V1373" s="20" t="s">
        <v>87</v>
      </c>
      <c r="W1373" s="20" t="s">
        <v>91</v>
      </c>
      <c r="X1373" s="20" t="s">
        <v>91</v>
      </c>
      <c r="Y1373" s="20" t="s">
        <v>91</v>
      </c>
      <c r="Z1373" s="20">
        <v>0</v>
      </c>
      <c r="AB1373" s="20" t="s">
        <v>91</v>
      </c>
      <c r="AD1373" s="20" t="s">
        <v>91</v>
      </c>
      <c r="AE1373" s="20" t="s">
        <v>91</v>
      </c>
      <c r="AF1373" s="20">
        <v>0</v>
      </c>
      <c r="AG1373" s="20">
        <v>0</v>
      </c>
      <c r="AH1373" s="20">
        <v>1</v>
      </c>
      <c r="AM1373" s="4" t="s">
        <v>91</v>
      </c>
      <c r="AP1373" s="4" t="s">
        <v>91</v>
      </c>
      <c r="AQ1373" s="20">
        <v>0</v>
      </c>
      <c r="AR1373" s="4">
        <v>0</v>
      </c>
      <c r="AS1373" s="20">
        <v>0</v>
      </c>
      <c r="AT1373" s="20">
        <v>0</v>
      </c>
      <c r="AU1373" s="20">
        <v>0</v>
      </c>
      <c r="AV1373" s="20">
        <v>0</v>
      </c>
      <c r="AW1373" s="20">
        <v>0</v>
      </c>
      <c r="AX1373" s="20" t="s">
        <v>91</v>
      </c>
      <c r="AY1373" s="20">
        <v>0</v>
      </c>
      <c r="AZ1373" s="20">
        <v>0</v>
      </c>
      <c r="BA1373" s="20">
        <v>0</v>
      </c>
      <c r="BB1373" s="6">
        <v>0</v>
      </c>
      <c r="BC1373" s="6">
        <v>0</v>
      </c>
      <c r="BD1373" s="6">
        <v>0</v>
      </c>
      <c r="BE1373" s="6">
        <v>0</v>
      </c>
      <c r="BF1373" s="6">
        <v>0</v>
      </c>
      <c r="BG1373" s="6">
        <v>0</v>
      </c>
      <c r="BH1373" s="6">
        <v>0</v>
      </c>
      <c r="BI1373" s="6">
        <v>0</v>
      </c>
      <c r="BJ1373" s="6">
        <v>0</v>
      </c>
      <c r="BK1373" s="4">
        <v>0</v>
      </c>
      <c r="BL1373" s="4">
        <v>0</v>
      </c>
      <c r="BM1373" s="20">
        <v>172</v>
      </c>
      <c r="BN1373" s="20">
        <v>0</v>
      </c>
      <c r="BO1373" s="20">
        <v>0</v>
      </c>
      <c r="BP1373" s="20">
        <v>0</v>
      </c>
      <c r="BQ1373" s="20">
        <v>0</v>
      </c>
      <c r="BR1373" s="20">
        <v>0</v>
      </c>
      <c r="BS1373" s="20">
        <v>200</v>
      </c>
      <c r="BT1373" s="20">
        <v>1484848.4848484846</v>
      </c>
      <c r="BU1373" s="20">
        <v>9800000</v>
      </c>
      <c r="BV1373" s="20">
        <v>6</v>
      </c>
    </row>
    <row r="1374" spans="1:74">
      <c r="A1374" s="10">
        <f t="shared" si="86"/>
        <v>0</v>
      </c>
      <c r="B1374" s="10">
        <f t="shared" si="87"/>
        <v>0</v>
      </c>
      <c r="C1374" s="12">
        <f t="shared" si="88"/>
        <v>11</v>
      </c>
      <c r="D1374" s="12">
        <f t="shared" si="89"/>
        <v>11</v>
      </c>
      <c r="E1374" s="20" t="s">
        <v>424</v>
      </c>
      <c r="F1374" s="20" t="s">
        <v>2870</v>
      </c>
      <c r="G1374" s="20" t="s">
        <v>5288</v>
      </c>
      <c r="H1374" s="20" t="s">
        <v>5289</v>
      </c>
      <c r="I1374" s="20">
        <v>1</v>
      </c>
      <c r="J1374" s="20" t="s">
        <v>5290</v>
      </c>
      <c r="K1374" s="20" t="s">
        <v>5291</v>
      </c>
      <c r="L1374" s="20" t="s">
        <v>4950</v>
      </c>
      <c r="M1374" s="20" t="s">
        <v>2870</v>
      </c>
      <c r="N1374" s="20" t="s">
        <v>4941</v>
      </c>
      <c r="P1374" s="20" t="s">
        <v>2870</v>
      </c>
      <c r="Q1374" s="20" t="s">
        <v>2877</v>
      </c>
      <c r="R1374" s="20" t="s">
        <v>84</v>
      </c>
      <c r="S1374" s="20">
        <v>5</v>
      </c>
      <c r="T1374" s="20" t="s">
        <v>106</v>
      </c>
      <c r="U1374" s="20" t="s">
        <v>107</v>
      </c>
      <c r="V1374" s="20" t="s">
        <v>87</v>
      </c>
      <c r="W1374" s="20">
        <v>801</v>
      </c>
      <c r="X1374" s="20">
        <v>801</v>
      </c>
      <c r="Y1374" s="20" t="s">
        <v>4951</v>
      </c>
      <c r="Z1374" s="20">
        <v>0</v>
      </c>
      <c r="AA1374" s="20" t="s">
        <v>4952</v>
      </c>
      <c r="AB1374" s="20" t="s">
        <v>718</v>
      </c>
      <c r="AC1374" s="20" t="s">
        <v>719</v>
      </c>
      <c r="AD1374" s="20" t="s">
        <v>4953</v>
      </c>
      <c r="AE1374" s="20" t="s">
        <v>5071</v>
      </c>
      <c r="AF1374" s="20">
        <v>0</v>
      </c>
      <c r="AG1374" s="20">
        <v>0</v>
      </c>
      <c r="AH1374" s="20">
        <v>1</v>
      </c>
      <c r="AI1374" s="4" t="s">
        <v>251</v>
      </c>
      <c r="AJ1374" s="20">
        <v>100</v>
      </c>
      <c r="AK1374" s="4" t="s">
        <v>129</v>
      </c>
      <c r="AL1374" s="4">
        <v>10</v>
      </c>
      <c r="AM1374" s="4">
        <v>10</v>
      </c>
      <c r="AN1374" s="4" t="s">
        <v>95</v>
      </c>
      <c r="AO1374" s="4" t="s">
        <v>131</v>
      </c>
      <c r="AP1374" s="4">
        <v>2</v>
      </c>
      <c r="AQ1374" s="20">
        <v>63000</v>
      </c>
      <c r="AR1374" s="4">
        <v>41918</v>
      </c>
      <c r="AS1374" s="20">
        <v>14318.181818181816</v>
      </c>
      <c r="AT1374" s="20">
        <v>0</v>
      </c>
      <c r="AU1374" s="20">
        <v>-14318.181818181816</v>
      </c>
      <c r="AV1374" s="20">
        <v>0</v>
      </c>
      <c r="AW1374" s="20">
        <v>0</v>
      </c>
      <c r="AX1374" s="20" t="s">
        <v>91</v>
      </c>
      <c r="AY1374" s="20">
        <v>0</v>
      </c>
      <c r="AZ1374" s="20">
        <v>0</v>
      </c>
      <c r="BA1374" s="20">
        <v>0</v>
      </c>
      <c r="BB1374" s="6">
        <v>41947</v>
      </c>
      <c r="BC1374" s="6">
        <v>0</v>
      </c>
      <c r="BD1374" s="6">
        <v>41948</v>
      </c>
      <c r="BE1374" s="6">
        <v>0</v>
      </c>
      <c r="BF1374" s="6">
        <v>41947</v>
      </c>
      <c r="BG1374" s="6">
        <v>0</v>
      </c>
      <c r="BH1374" s="6">
        <v>0</v>
      </c>
      <c r="BI1374" s="6">
        <v>0</v>
      </c>
      <c r="BJ1374" s="6">
        <v>0</v>
      </c>
      <c r="BK1374" s="4">
        <v>0</v>
      </c>
      <c r="BL1374" s="4">
        <v>0</v>
      </c>
      <c r="BM1374" s="20">
        <v>100</v>
      </c>
      <c r="BN1374" s="20">
        <v>0</v>
      </c>
      <c r="BO1374" s="20">
        <v>0</v>
      </c>
      <c r="BP1374" s="20">
        <v>0</v>
      </c>
      <c r="BQ1374" s="20">
        <v>0</v>
      </c>
      <c r="BR1374" s="20">
        <v>0</v>
      </c>
      <c r="BS1374" s="20">
        <v>100</v>
      </c>
      <c r="BT1374" s="20">
        <v>1431818.1818181816</v>
      </c>
      <c r="BU1374" s="20">
        <v>6300000</v>
      </c>
      <c r="BV1374" s="20">
        <v>4</v>
      </c>
    </row>
    <row r="1375" spans="1:74">
      <c r="A1375" s="10">
        <f t="shared" si="86"/>
        <v>0</v>
      </c>
      <c r="B1375" s="10">
        <f t="shared" si="87"/>
        <v>0</v>
      </c>
      <c r="C1375" s="12" t="str">
        <f t="shared" si="88"/>
        <v/>
      </c>
      <c r="D1375" s="12" t="str">
        <f t="shared" si="89"/>
        <v/>
      </c>
      <c r="E1375" s="20" t="s">
        <v>91</v>
      </c>
      <c r="F1375" s="20" t="s">
        <v>91</v>
      </c>
      <c r="G1375" s="20" t="s">
        <v>91</v>
      </c>
      <c r="H1375" s="20" t="s">
        <v>91</v>
      </c>
      <c r="I1375" s="20">
        <v>0</v>
      </c>
      <c r="J1375" s="20" t="s">
        <v>103</v>
      </c>
      <c r="K1375" s="20" t="s">
        <v>104</v>
      </c>
      <c r="L1375" s="20">
        <v>0</v>
      </c>
      <c r="M1375" s="20" t="s">
        <v>105</v>
      </c>
      <c r="N1375" s="20" t="s">
        <v>91</v>
      </c>
      <c r="O1375" s="20" t="s">
        <v>5292</v>
      </c>
      <c r="Q1375" s="20" t="s">
        <v>91</v>
      </c>
      <c r="R1375" s="20" t="s">
        <v>91</v>
      </c>
      <c r="S1375" s="20" t="s">
        <v>91</v>
      </c>
      <c r="T1375" s="20" t="s">
        <v>91</v>
      </c>
      <c r="U1375" s="20" t="s">
        <v>91</v>
      </c>
      <c r="V1375" s="20" t="s">
        <v>87</v>
      </c>
      <c r="W1375" s="20" t="s">
        <v>91</v>
      </c>
      <c r="X1375" s="20" t="s">
        <v>91</v>
      </c>
      <c r="Y1375" s="20" t="s">
        <v>91</v>
      </c>
      <c r="Z1375" s="20">
        <v>0</v>
      </c>
      <c r="AB1375" s="20" t="s">
        <v>91</v>
      </c>
      <c r="AD1375" s="20" t="s">
        <v>91</v>
      </c>
      <c r="AE1375" s="20" t="s">
        <v>91</v>
      </c>
      <c r="AF1375" s="20">
        <v>0</v>
      </c>
      <c r="AG1375" s="20">
        <v>0</v>
      </c>
      <c r="AH1375" s="20">
        <v>1</v>
      </c>
      <c r="AM1375" s="4" t="s">
        <v>91</v>
      </c>
      <c r="AP1375" s="4" t="s">
        <v>91</v>
      </c>
      <c r="AQ1375" s="20">
        <v>0</v>
      </c>
      <c r="AR1375" s="4">
        <v>0</v>
      </c>
      <c r="AS1375" s="20">
        <v>0</v>
      </c>
      <c r="AT1375" s="20">
        <v>0</v>
      </c>
      <c r="AU1375" s="20">
        <v>0</v>
      </c>
      <c r="AV1375" s="20">
        <v>0</v>
      </c>
      <c r="AW1375" s="20">
        <v>0</v>
      </c>
      <c r="AX1375" s="20" t="s">
        <v>91</v>
      </c>
      <c r="AY1375" s="20">
        <v>0</v>
      </c>
      <c r="AZ1375" s="20">
        <v>0</v>
      </c>
      <c r="BA1375" s="20">
        <v>0</v>
      </c>
      <c r="BB1375" s="6">
        <v>0</v>
      </c>
      <c r="BC1375" s="6">
        <v>0</v>
      </c>
      <c r="BD1375" s="6">
        <v>0</v>
      </c>
      <c r="BE1375" s="6">
        <v>0</v>
      </c>
      <c r="BF1375" s="6">
        <v>0</v>
      </c>
      <c r="BG1375" s="6">
        <v>0</v>
      </c>
      <c r="BH1375" s="6">
        <v>0</v>
      </c>
      <c r="BI1375" s="6">
        <v>0</v>
      </c>
      <c r="BJ1375" s="6">
        <v>0</v>
      </c>
      <c r="BK1375" s="4">
        <v>0</v>
      </c>
      <c r="BL1375" s="4">
        <v>0</v>
      </c>
      <c r="BM1375" s="20">
        <v>100</v>
      </c>
      <c r="BN1375" s="20">
        <v>0</v>
      </c>
      <c r="BO1375" s="20">
        <v>0</v>
      </c>
      <c r="BP1375" s="20">
        <v>0</v>
      </c>
      <c r="BQ1375" s="20">
        <v>0</v>
      </c>
      <c r="BR1375" s="20">
        <v>0</v>
      </c>
      <c r="BS1375" s="20">
        <v>100</v>
      </c>
      <c r="BT1375" s="20">
        <v>1431818.1818181816</v>
      </c>
      <c r="BU1375" s="20">
        <v>6300000</v>
      </c>
      <c r="BV1375" s="20">
        <v>4</v>
      </c>
    </row>
    <row r="1376" spans="1:74">
      <c r="A1376" s="10">
        <f t="shared" si="86"/>
        <v>0</v>
      </c>
      <c r="B1376" s="10">
        <f t="shared" si="87"/>
        <v>0</v>
      </c>
      <c r="C1376" s="12">
        <f t="shared" si="88"/>
        <v>11</v>
      </c>
      <c r="D1376" s="12">
        <f t="shared" si="89"/>
        <v>11</v>
      </c>
      <c r="E1376" s="20" t="s">
        <v>386</v>
      </c>
      <c r="F1376" s="20" t="s">
        <v>4955</v>
      </c>
      <c r="G1376" s="20" t="s">
        <v>5293</v>
      </c>
      <c r="H1376" s="20" t="s">
        <v>5294</v>
      </c>
      <c r="I1376" s="20">
        <v>1</v>
      </c>
      <c r="J1376" s="20" t="s">
        <v>5295</v>
      </c>
      <c r="K1376" s="20" t="s">
        <v>5296</v>
      </c>
      <c r="L1376" s="20" t="s">
        <v>4960</v>
      </c>
      <c r="M1376" s="20" t="s">
        <v>4955</v>
      </c>
      <c r="N1376" s="20" t="s">
        <v>4961</v>
      </c>
      <c r="P1376" s="20" t="s">
        <v>4955</v>
      </c>
      <c r="Q1376" s="20" t="s">
        <v>4962</v>
      </c>
      <c r="R1376" s="20" t="s">
        <v>84</v>
      </c>
      <c r="S1376" s="20">
        <v>5</v>
      </c>
      <c r="T1376" s="20" t="s">
        <v>106</v>
      </c>
      <c r="U1376" s="20" t="s">
        <v>107</v>
      </c>
      <c r="V1376" s="20" t="s">
        <v>87</v>
      </c>
      <c r="W1376" s="20">
        <v>806</v>
      </c>
      <c r="X1376" s="20">
        <v>806</v>
      </c>
      <c r="Y1376" s="20" t="s">
        <v>4963</v>
      </c>
      <c r="Z1376" s="20">
        <v>0</v>
      </c>
      <c r="AA1376" s="20" t="s">
        <v>4964</v>
      </c>
      <c r="AB1376" s="20" t="s">
        <v>718</v>
      </c>
      <c r="AC1376" s="20" t="s">
        <v>719</v>
      </c>
      <c r="AD1376" s="20" t="s">
        <v>4965</v>
      </c>
      <c r="AE1376" s="20" t="s">
        <v>5071</v>
      </c>
      <c r="AF1376" s="20">
        <v>0</v>
      </c>
      <c r="AG1376" s="20">
        <v>0</v>
      </c>
      <c r="AH1376" s="20">
        <v>1</v>
      </c>
      <c r="AI1376" s="4" t="s">
        <v>251</v>
      </c>
      <c r="AJ1376" s="20">
        <v>100</v>
      </c>
      <c r="AK1376" s="4" t="s">
        <v>129</v>
      </c>
      <c r="AL1376" s="4">
        <v>11</v>
      </c>
      <c r="AM1376" s="4">
        <v>11</v>
      </c>
      <c r="AN1376" s="4" t="s">
        <v>95</v>
      </c>
      <c r="AO1376" s="4" t="s">
        <v>131</v>
      </c>
      <c r="AP1376" s="4">
        <v>2</v>
      </c>
      <c r="AQ1376" s="20">
        <v>63000</v>
      </c>
      <c r="AR1376" s="4">
        <v>41918</v>
      </c>
      <c r="AS1376" s="20">
        <v>14318.181818181816</v>
      </c>
      <c r="AT1376" s="20">
        <v>0</v>
      </c>
      <c r="AU1376" s="20">
        <v>-14318.181818181816</v>
      </c>
      <c r="AV1376" s="20">
        <v>0</v>
      </c>
      <c r="AW1376" s="20">
        <v>0</v>
      </c>
      <c r="AX1376" s="20" t="s">
        <v>91</v>
      </c>
      <c r="AY1376" s="20">
        <v>0</v>
      </c>
      <c r="AZ1376" s="20">
        <v>0</v>
      </c>
      <c r="BA1376" s="20">
        <v>0</v>
      </c>
      <c r="BB1376" s="6">
        <v>41947</v>
      </c>
      <c r="BC1376" s="6">
        <v>0</v>
      </c>
      <c r="BD1376" s="6">
        <v>41948</v>
      </c>
      <c r="BE1376" s="6">
        <v>0</v>
      </c>
      <c r="BF1376" s="6">
        <v>41947</v>
      </c>
      <c r="BG1376" s="6">
        <v>0</v>
      </c>
      <c r="BH1376" s="6">
        <v>0</v>
      </c>
      <c r="BI1376" s="6">
        <v>0</v>
      </c>
      <c r="BJ1376" s="6">
        <v>0</v>
      </c>
      <c r="BK1376" s="4">
        <v>0</v>
      </c>
      <c r="BL1376" s="4">
        <v>0</v>
      </c>
      <c r="BM1376" s="20">
        <v>100</v>
      </c>
      <c r="BN1376" s="20">
        <v>0</v>
      </c>
      <c r="BO1376" s="20">
        <v>0</v>
      </c>
      <c r="BP1376" s="20">
        <v>0</v>
      </c>
      <c r="BQ1376" s="20">
        <v>0</v>
      </c>
      <c r="BR1376" s="20">
        <v>0</v>
      </c>
      <c r="BS1376" s="20">
        <v>100</v>
      </c>
      <c r="BT1376" s="20">
        <v>1431818.1818181816</v>
      </c>
      <c r="BU1376" s="20">
        <v>6300000</v>
      </c>
      <c r="BV1376" s="20">
        <v>4</v>
      </c>
    </row>
    <row r="1377" spans="1:74">
      <c r="A1377" s="10">
        <f t="shared" si="86"/>
        <v>0</v>
      </c>
      <c r="B1377" s="10">
        <f t="shared" si="87"/>
        <v>0</v>
      </c>
      <c r="C1377" s="12" t="str">
        <f t="shared" si="88"/>
        <v/>
      </c>
      <c r="D1377" s="12" t="str">
        <f t="shared" si="89"/>
        <v/>
      </c>
      <c r="E1377" s="20" t="s">
        <v>91</v>
      </c>
      <c r="F1377" s="20" t="s">
        <v>91</v>
      </c>
      <c r="G1377" s="20" t="s">
        <v>91</v>
      </c>
      <c r="H1377" s="20" t="s">
        <v>91</v>
      </c>
      <c r="I1377" s="20">
        <v>0</v>
      </c>
      <c r="J1377" s="20" t="s">
        <v>103</v>
      </c>
      <c r="K1377" s="20" t="s">
        <v>104</v>
      </c>
      <c r="L1377" s="20">
        <v>0</v>
      </c>
      <c r="M1377" s="20" t="s">
        <v>105</v>
      </c>
      <c r="N1377" s="20" t="s">
        <v>91</v>
      </c>
      <c r="O1377" s="20" t="s">
        <v>5297</v>
      </c>
      <c r="Q1377" s="20" t="s">
        <v>91</v>
      </c>
      <c r="R1377" s="20" t="s">
        <v>91</v>
      </c>
      <c r="S1377" s="20" t="s">
        <v>91</v>
      </c>
      <c r="U1377" s="20" t="s">
        <v>91</v>
      </c>
      <c r="V1377" s="20" t="s">
        <v>87</v>
      </c>
      <c r="X1377" s="20" t="s">
        <v>91</v>
      </c>
      <c r="Y1377" s="20" t="s">
        <v>91</v>
      </c>
      <c r="Z1377" s="20">
        <v>0</v>
      </c>
      <c r="AB1377" s="20" t="s">
        <v>91</v>
      </c>
      <c r="AD1377" s="20" t="s">
        <v>91</v>
      </c>
      <c r="AE1377" s="20" t="s">
        <v>91</v>
      </c>
      <c r="AF1377" s="20">
        <v>0</v>
      </c>
      <c r="AG1377" s="20">
        <v>0</v>
      </c>
      <c r="AH1377" s="20">
        <v>1</v>
      </c>
      <c r="AM1377" s="4" t="s">
        <v>91</v>
      </c>
      <c r="AP1377" s="4" t="s">
        <v>91</v>
      </c>
      <c r="AQ1377" s="20">
        <v>0</v>
      </c>
      <c r="AR1377" s="4">
        <v>0</v>
      </c>
      <c r="AS1377" s="20">
        <v>0</v>
      </c>
      <c r="AT1377" s="20">
        <v>0</v>
      </c>
      <c r="AU1377" s="20">
        <v>0</v>
      </c>
      <c r="AV1377" s="20">
        <v>0</v>
      </c>
      <c r="AW1377" s="20">
        <v>0</v>
      </c>
      <c r="AX1377" s="20" t="s">
        <v>91</v>
      </c>
      <c r="AY1377" s="20">
        <v>0</v>
      </c>
      <c r="AZ1377" s="20">
        <v>0</v>
      </c>
      <c r="BA1377" s="20">
        <v>0</v>
      </c>
      <c r="BB1377" s="6">
        <v>0</v>
      </c>
      <c r="BC1377" s="6">
        <v>0</v>
      </c>
      <c r="BD1377" s="6">
        <v>0</v>
      </c>
      <c r="BE1377" s="6">
        <v>0</v>
      </c>
      <c r="BF1377" s="6">
        <v>0</v>
      </c>
      <c r="BG1377" s="6">
        <v>0</v>
      </c>
      <c r="BH1377" s="6">
        <v>0</v>
      </c>
      <c r="BI1377" s="6">
        <v>0</v>
      </c>
      <c r="BJ1377" s="6">
        <v>0</v>
      </c>
      <c r="BK1377" s="4">
        <v>0</v>
      </c>
      <c r="BL1377" s="4">
        <v>0</v>
      </c>
      <c r="BM1377" s="20">
        <v>100</v>
      </c>
      <c r="BN1377" s="20">
        <v>0</v>
      </c>
      <c r="BO1377" s="20">
        <v>0</v>
      </c>
      <c r="BP1377" s="20">
        <v>0</v>
      </c>
      <c r="BQ1377" s="20">
        <v>0</v>
      </c>
      <c r="BR1377" s="20">
        <v>0</v>
      </c>
      <c r="BS1377" s="20">
        <v>100</v>
      </c>
      <c r="BT1377" s="20">
        <v>1431818.1818181816</v>
      </c>
      <c r="BU1377" s="20">
        <v>6300000</v>
      </c>
      <c r="BV1377" s="20">
        <v>4</v>
      </c>
    </row>
    <row r="1378" spans="1:74">
      <c r="A1378" s="10">
        <f t="shared" si="86"/>
        <v>0</v>
      </c>
      <c r="B1378" s="10">
        <f t="shared" si="87"/>
        <v>0</v>
      </c>
      <c r="C1378" s="12">
        <f t="shared" si="88"/>
        <v>11</v>
      </c>
      <c r="D1378" s="12">
        <f t="shared" si="89"/>
        <v>11</v>
      </c>
      <c r="E1378" s="20" t="s">
        <v>574</v>
      </c>
      <c r="F1378" s="20" t="s">
        <v>3089</v>
      </c>
      <c r="G1378" s="20" t="s">
        <v>5298</v>
      </c>
      <c r="H1378" s="20" t="s">
        <v>5299</v>
      </c>
      <c r="I1378" s="20">
        <v>1</v>
      </c>
      <c r="J1378" s="20" t="s">
        <v>5300</v>
      </c>
      <c r="K1378" s="20" t="s">
        <v>5301</v>
      </c>
      <c r="L1378" s="20" t="s">
        <v>4988</v>
      </c>
      <c r="M1378" s="20" t="s">
        <v>2667</v>
      </c>
      <c r="N1378" s="20" t="s">
        <v>4989</v>
      </c>
      <c r="P1378" s="20" t="s">
        <v>2667</v>
      </c>
      <c r="Q1378" s="20" t="s">
        <v>2674</v>
      </c>
      <c r="R1378" s="20" t="s">
        <v>84</v>
      </c>
      <c r="S1378" s="20">
        <v>5</v>
      </c>
      <c r="T1378" s="20" t="s">
        <v>922</v>
      </c>
      <c r="U1378" s="20" t="s">
        <v>923</v>
      </c>
      <c r="V1378" s="20" t="s">
        <v>87</v>
      </c>
      <c r="W1378" s="20">
        <v>635</v>
      </c>
      <c r="X1378" s="20">
        <v>635</v>
      </c>
      <c r="Y1378" s="20" t="s">
        <v>4990</v>
      </c>
      <c r="Z1378" s="20">
        <v>0</v>
      </c>
      <c r="AA1378" s="20" t="s">
        <v>4991</v>
      </c>
      <c r="AB1378" s="20" t="s">
        <v>718</v>
      </c>
      <c r="AC1378" s="20" t="s">
        <v>719</v>
      </c>
      <c r="AD1378" s="20" t="s">
        <v>4992</v>
      </c>
      <c r="AE1378" s="20" t="s">
        <v>5071</v>
      </c>
      <c r="AF1378" s="20">
        <v>0</v>
      </c>
      <c r="AG1378" s="20">
        <v>0</v>
      </c>
      <c r="AH1378" s="20">
        <v>1</v>
      </c>
      <c r="AI1378" s="4" t="s">
        <v>645</v>
      </c>
      <c r="AJ1378" s="20">
        <v>67</v>
      </c>
      <c r="AK1378" s="4" t="s">
        <v>780</v>
      </c>
      <c r="AL1378" s="4">
        <v>15</v>
      </c>
      <c r="AM1378" s="4">
        <v>15</v>
      </c>
      <c r="AN1378" s="4" t="s">
        <v>95</v>
      </c>
      <c r="AO1378" s="4" t="s">
        <v>131</v>
      </c>
      <c r="AP1378" s="4">
        <v>2</v>
      </c>
      <c r="AQ1378" s="20">
        <v>89000</v>
      </c>
      <c r="AR1378" s="4">
        <v>41935</v>
      </c>
      <c r="AS1378" s="20">
        <v>22474.74747474747</v>
      </c>
      <c r="AT1378" s="20">
        <v>0</v>
      </c>
      <c r="AU1378" s="20">
        <v>-22474.74747474747</v>
      </c>
      <c r="AV1378" s="20">
        <v>0</v>
      </c>
      <c r="AW1378" s="20">
        <v>0</v>
      </c>
      <c r="AX1378" s="20" t="s">
        <v>91</v>
      </c>
      <c r="AY1378" s="20">
        <v>0</v>
      </c>
      <c r="AZ1378" s="20">
        <v>0</v>
      </c>
      <c r="BA1378" s="20">
        <v>0</v>
      </c>
      <c r="BB1378" s="6">
        <v>41947</v>
      </c>
      <c r="BC1378" s="6">
        <v>0</v>
      </c>
      <c r="BD1378" s="6">
        <v>41948</v>
      </c>
      <c r="BE1378" s="6">
        <v>0</v>
      </c>
      <c r="BF1378" s="6">
        <v>41947</v>
      </c>
      <c r="BG1378" s="6">
        <v>0</v>
      </c>
      <c r="BH1378" s="6">
        <v>0</v>
      </c>
      <c r="BI1378" s="6">
        <v>0</v>
      </c>
      <c r="BJ1378" s="6">
        <v>0</v>
      </c>
      <c r="BK1378" s="4">
        <v>0</v>
      </c>
      <c r="BL1378" s="4">
        <v>0</v>
      </c>
      <c r="BM1378" s="20">
        <v>67</v>
      </c>
      <c r="BN1378" s="20">
        <v>0</v>
      </c>
      <c r="BO1378" s="20">
        <v>0</v>
      </c>
      <c r="BP1378" s="20">
        <v>0</v>
      </c>
      <c r="BQ1378" s="20">
        <v>0</v>
      </c>
      <c r="BR1378" s="20">
        <v>0</v>
      </c>
      <c r="BS1378" s="20">
        <v>67</v>
      </c>
      <c r="BT1378" s="20">
        <v>1505808.0808080805</v>
      </c>
      <c r="BU1378" s="20">
        <v>5963000</v>
      </c>
      <c r="BV1378" s="20">
        <v>3.6</v>
      </c>
    </row>
    <row r="1379" spans="1:74">
      <c r="A1379" s="10">
        <f t="shared" si="86"/>
        <v>0</v>
      </c>
      <c r="B1379" s="10">
        <f t="shared" si="87"/>
        <v>0</v>
      </c>
      <c r="C1379" s="12">
        <f t="shared" si="88"/>
        <v>11</v>
      </c>
      <c r="D1379" s="12">
        <f t="shared" si="89"/>
        <v>11</v>
      </c>
      <c r="E1379" s="20" t="s">
        <v>574</v>
      </c>
      <c r="F1379" s="20" t="s">
        <v>3089</v>
      </c>
      <c r="G1379" s="20" t="s">
        <v>5298</v>
      </c>
      <c r="H1379" s="20" t="s">
        <v>5302</v>
      </c>
      <c r="I1379" s="20">
        <v>2</v>
      </c>
      <c r="J1379" s="20" t="s">
        <v>5303</v>
      </c>
      <c r="K1379" s="20" t="s">
        <v>5304</v>
      </c>
      <c r="L1379" s="20" t="s">
        <v>4996</v>
      </c>
      <c r="M1379" s="20" t="s">
        <v>2667</v>
      </c>
      <c r="N1379" s="20" t="s">
        <v>4997</v>
      </c>
      <c r="P1379" s="20" t="s">
        <v>2667</v>
      </c>
      <c r="Q1379" s="20" t="s">
        <v>2674</v>
      </c>
      <c r="R1379" s="20" t="s">
        <v>84</v>
      </c>
      <c r="S1379" s="20">
        <v>5</v>
      </c>
      <c r="T1379" s="20" t="s">
        <v>635</v>
      </c>
      <c r="U1379" s="20" t="s">
        <v>636</v>
      </c>
      <c r="V1379" s="20" t="s">
        <v>87</v>
      </c>
      <c r="W1379" s="20">
        <v>639</v>
      </c>
      <c r="X1379" s="20">
        <v>639</v>
      </c>
      <c r="Y1379" s="20" t="s">
        <v>4998</v>
      </c>
      <c r="Z1379" s="20">
        <v>0</v>
      </c>
      <c r="AA1379" s="20" t="s">
        <v>4999</v>
      </c>
      <c r="AB1379" s="20" t="s">
        <v>101</v>
      </c>
      <c r="AC1379" s="20" t="s">
        <v>102</v>
      </c>
      <c r="AD1379" s="20" t="s">
        <v>5000</v>
      </c>
      <c r="AE1379" s="20" t="s">
        <v>5071</v>
      </c>
      <c r="AF1379" s="20">
        <v>0</v>
      </c>
      <c r="AG1379" s="20">
        <v>0</v>
      </c>
      <c r="AH1379" s="20">
        <v>1</v>
      </c>
      <c r="AI1379" s="4" t="s">
        <v>645</v>
      </c>
      <c r="AJ1379" s="20">
        <v>8</v>
      </c>
      <c r="AK1379" s="4" t="s">
        <v>780</v>
      </c>
      <c r="AL1379" s="4">
        <v>15</v>
      </c>
      <c r="AM1379" s="4">
        <v>15</v>
      </c>
      <c r="AN1379" s="4" t="s">
        <v>95</v>
      </c>
      <c r="AO1379" s="4" t="s">
        <v>131</v>
      </c>
      <c r="AP1379" s="4">
        <v>2</v>
      </c>
      <c r="AQ1379" s="20">
        <v>79000</v>
      </c>
      <c r="AR1379" s="4">
        <v>41935</v>
      </c>
      <c r="AS1379" s="20">
        <v>19949.494949494947</v>
      </c>
      <c r="AT1379" s="20">
        <v>0</v>
      </c>
      <c r="AU1379" s="20">
        <v>-19949.494949494947</v>
      </c>
      <c r="AV1379" s="20">
        <v>0</v>
      </c>
      <c r="AW1379" s="20">
        <v>0</v>
      </c>
      <c r="AX1379" s="20" t="s">
        <v>91</v>
      </c>
      <c r="AY1379" s="20">
        <v>0</v>
      </c>
      <c r="AZ1379" s="20">
        <v>0</v>
      </c>
      <c r="BA1379" s="20">
        <v>0</v>
      </c>
      <c r="BB1379" s="6">
        <v>41947</v>
      </c>
      <c r="BC1379" s="6">
        <v>0</v>
      </c>
      <c r="BD1379" s="6">
        <v>41948</v>
      </c>
      <c r="BE1379" s="6">
        <v>0</v>
      </c>
      <c r="BF1379" s="6">
        <v>41953</v>
      </c>
      <c r="BG1379" s="6">
        <v>0</v>
      </c>
      <c r="BH1379" s="6">
        <v>0</v>
      </c>
      <c r="BI1379" s="6">
        <v>0</v>
      </c>
      <c r="BJ1379" s="6">
        <v>0</v>
      </c>
      <c r="BK1379" s="4">
        <v>0</v>
      </c>
      <c r="BL1379" s="4">
        <v>0</v>
      </c>
      <c r="BM1379" s="20">
        <v>6</v>
      </c>
      <c r="BN1379" s="20">
        <v>0</v>
      </c>
      <c r="BO1379" s="20">
        <v>0</v>
      </c>
      <c r="BP1379" s="20">
        <v>0</v>
      </c>
      <c r="BQ1379" s="20">
        <v>0</v>
      </c>
      <c r="BS1379" s="20">
        <v>8</v>
      </c>
      <c r="BT1379" s="20">
        <v>159595.95959595958</v>
      </c>
      <c r="BU1379" s="20">
        <v>632000</v>
      </c>
      <c r="BV1379" s="20">
        <v>3.6000000000000005</v>
      </c>
    </row>
    <row r="1380" spans="1:74">
      <c r="A1380" s="10">
        <f t="shared" si="86"/>
        <v>0</v>
      </c>
      <c r="B1380" s="10">
        <f t="shared" si="87"/>
        <v>0</v>
      </c>
      <c r="C1380" s="12" t="str">
        <f t="shared" si="88"/>
        <v/>
      </c>
      <c r="D1380" s="12" t="str">
        <f t="shared" si="89"/>
        <v/>
      </c>
      <c r="E1380" s="20" t="s">
        <v>91</v>
      </c>
      <c r="F1380" s="20" t="s">
        <v>91</v>
      </c>
      <c r="G1380" s="20" t="s">
        <v>91</v>
      </c>
      <c r="H1380" s="20" t="s">
        <v>91</v>
      </c>
      <c r="I1380" s="20">
        <v>0</v>
      </c>
      <c r="J1380" s="20" t="s">
        <v>103</v>
      </c>
      <c r="K1380" s="20" t="s">
        <v>104</v>
      </c>
      <c r="L1380" s="20">
        <v>0</v>
      </c>
      <c r="M1380" s="20" t="s">
        <v>105</v>
      </c>
      <c r="N1380" s="20" t="s">
        <v>91</v>
      </c>
      <c r="O1380" s="20" t="s">
        <v>5305</v>
      </c>
      <c r="Q1380" s="20" t="s">
        <v>91</v>
      </c>
      <c r="R1380" s="20" t="s">
        <v>91</v>
      </c>
      <c r="S1380" s="20" t="s">
        <v>91</v>
      </c>
      <c r="U1380" s="20" t="s">
        <v>91</v>
      </c>
      <c r="V1380" s="20" t="s">
        <v>87</v>
      </c>
      <c r="X1380" s="20" t="s">
        <v>91</v>
      </c>
      <c r="Y1380" s="20" t="s">
        <v>91</v>
      </c>
      <c r="Z1380" s="20">
        <v>0</v>
      </c>
      <c r="AB1380" s="20" t="s">
        <v>91</v>
      </c>
      <c r="AD1380" s="20" t="s">
        <v>91</v>
      </c>
      <c r="AE1380" s="20" t="s">
        <v>91</v>
      </c>
      <c r="AF1380" s="20">
        <v>0</v>
      </c>
      <c r="AG1380" s="20">
        <v>0</v>
      </c>
      <c r="AH1380" s="20">
        <v>1</v>
      </c>
      <c r="AM1380" s="4" t="s">
        <v>91</v>
      </c>
      <c r="AP1380" s="4" t="s">
        <v>91</v>
      </c>
      <c r="AQ1380" s="20">
        <v>0</v>
      </c>
      <c r="AR1380" s="4">
        <v>0</v>
      </c>
      <c r="AS1380" s="20">
        <v>0</v>
      </c>
      <c r="AT1380" s="20">
        <v>0</v>
      </c>
      <c r="AU1380" s="20">
        <v>0</v>
      </c>
      <c r="AV1380" s="20">
        <v>0</v>
      </c>
      <c r="AW1380" s="20">
        <v>0</v>
      </c>
      <c r="AX1380" s="20" t="s">
        <v>91</v>
      </c>
      <c r="AY1380" s="20">
        <v>0</v>
      </c>
      <c r="AZ1380" s="20">
        <v>0</v>
      </c>
      <c r="BA1380" s="20">
        <v>0</v>
      </c>
      <c r="BB1380" s="6">
        <v>0</v>
      </c>
      <c r="BC1380" s="6">
        <v>0</v>
      </c>
      <c r="BD1380" s="6">
        <v>0</v>
      </c>
      <c r="BE1380" s="6">
        <v>0</v>
      </c>
      <c r="BF1380" s="6">
        <v>0</v>
      </c>
      <c r="BG1380" s="6">
        <v>0</v>
      </c>
      <c r="BH1380" s="6">
        <v>0</v>
      </c>
      <c r="BI1380" s="6">
        <v>0</v>
      </c>
      <c r="BJ1380" s="6">
        <v>0</v>
      </c>
      <c r="BK1380" s="4">
        <v>0</v>
      </c>
      <c r="BL1380" s="4">
        <v>0</v>
      </c>
      <c r="BM1380" s="20">
        <v>73</v>
      </c>
      <c r="BN1380" s="20">
        <v>0</v>
      </c>
      <c r="BO1380" s="20">
        <v>0</v>
      </c>
      <c r="BP1380" s="20">
        <v>0</v>
      </c>
      <c r="BQ1380" s="20">
        <v>0</v>
      </c>
      <c r="BR1380" s="20">
        <v>0</v>
      </c>
      <c r="BS1380" s="20">
        <v>75</v>
      </c>
      <c r="BT1380" s="20">
        <v>1665404.0404040401</v>
      </c>
      <c r="BU1380" s="20">
        <v>6595000</v>
      </c>
      <c r="BV1380" s="20">
        <v>3.6000000000000005</v>
      </c>
    </row>
    <row r="1381" spans="1:74">
      <c r="A1381" s="10">
        <f t="shared" si="86"/>
        <v>0</v>
      </c>
      <c r="B1381" s="10">
        <f t="shared" si="87"/>
        <v>0</v>
      </c>
      <c r="C1381" s="12">
        <f t="shared" si="88"/>
        <v>11</v>
      </c>
      <c r="D1381" s="12">
        <f t="shared" si="89"/>
        <v>11</v>
      </c>
      <c r="E1381" s="20" t="s">
        <v>574</v>
      </c>
      <c r="F1381" s="20" t="s">
        <v>3089</v>
      </c>
      <c r="G1381" s="20" t="s">
        <v>5306</v>
      </c>
      <c r="H1381" s="20" t="s">
        <v>5307</v>
      </c>
      <c r="I1381" s="20">
        <v>1</v>
      </c>
      <c r="J1381" s="20" t="s">
        <v>5308</v>
      </c>
      <c r="K1381" s="20" t="s">
        <v>5309</v>
      </c>
      <c r="L1381" s="20" t="s">
        <v>5006</v>
      </c>
      <c r="M1381" s="20" t="s">
        <v>2667</v>
      </c>
      <c r="N1381" s="20" t="s">
        <v>4989</v>
      </c>
      <c r="P1381" s="20" t="s">
        <v>2667</v>
      </c>
      <c r="Q1381" s="20" t="s">
        <v>2674</v>
      </c>
      <c r="R1381" s="20" t="s">
        <v>84</v>
      </c>
      <c r="S1381" s="20">
        <v>5</v>
      </c>
      <c r="T1381" s="20" t="s">
        <v>922</v>
      </c>
      <c r="U1381" s="20" t="s">
        <v>923</v>
      </c>
      <c r="V1381" s="20" t="s">
        <v>87</v>
      </c>
      <c r="W1381" s="20">
        <v>617</v>
      </c>
      <c r="X1381" s="20">
        <v>617</v>
      </c>
      <c r="Y1381" s="20" t="s">
        <v>5007</v>
      </c>
      <c r="Z1381" s="20">
        <v>0</v>
      </c>
      <c r="AA1381" s="20" t="s">
        <v>5008</v>
      </c>
      <c r="AB1381" s="20" t="s">
        <v>109</v>
      </c>
      <c r="AC1381" s="20" t="s">
        <v>110</v>
      </c>
      <c r="AD1381" s="20" t="s">
        <v>5009</v>
      </c>
      <c r="AE1381" s="20" t="s">
        <v>5071</v>
      </c>
      <c r="AF1381" s="20">
        <v>0</v>
      </c>
      <c r="AG1381" s="20">
        <v>0</v>
      </c>
      <c r="AH1381" s="20">
        <v>1</v>
      </c>
      <c r="AI1381" s="4" t="s">
        <v>647</v>
      </c>
      <c r="AJ1381" s="20">
        <v>11</v>
      </c>
      <c r="AK1381" s="4" t="s">
        <v>641</v>
      </c>
      <c r="AL1381" s="4">
        <v>9</v>
      </c>
      <c r="AM1381" s="4" t="s">
        <v>235</v>
      </c>
      <c r="AN1381" s="4" t="s">
        <v>95</v>
      </c>
      <c r="AO1381" s="4" t="s">
        <v>96</v>
      </c>
      <c r="AP1381" s="4">
        <v>1</v>
      </c>
      <c r="AQ1381" s="20">
        <v>79000</v>
      </c>
      <c r="AR1381" s="4">
        <v>41935</v>
      </c>
      <c r="AS1381" s="20">
        <v>14363.636363636362</v>
      </c>
      <c r="AT1381" s="20">
        <v>0</v>
      </c>
      <c r="AU1381" s="20">
        <v>-14363.636363636362</v>
      </c>
      <c r="AV1381" s="20">
        <v>0</v>
      </c>
      <c r="AW1381" s="20">
        <v>0</v>
      </c>
      <c r="AX1381" s="20" t="s">
        <v>91</v>
      </c>
      <c r="AY1381" s="20">
        <v>0</v>
      </c>
      <c r="AZ1381" s="20">
        <v>0</v>
      </c>
      <c r="BA1381" s="20">
        <v>0</v>
      </c>
      <c r="BB1381" s="6">
        <v>41947</v>
      </c>
      <c r="BC1381" s="6">
        <v>0</v>
      </c>
      <c r="BD1381" s="6">
        <v>41948</v>
      </c>
      <c r="BE1381" s="6">
        <v>0</v>
      </c>
      <c r="BF1381" s="6">
        <v>41953</v>
      </c>
      <c r="BG1381" s="6">
        <v>0</v>
      </c>
      <c r="BH1381" s="6">
        <v>0</v>
      </c>
      <c r="BI1381" s="6">
        <v>0</v>
      </c>
      <c r="BJ1381" s="6">
        <v>0</v>
      </c>
      <c r="BK1381" s="4">
        <v>0</v>
      </c>
      <c r="BL1381" s="4">
        <v>0</v>
      </c>
      <c r="BM1381" s="20">
        <v>10</v>
      </c>
      <c r="BN1381" s="20">
        <v>0</v>
      </c>
      <c r="BO1381" s="20">
        <v>0</v>
      </c>
      <c r="BP1381" s="20">
        <v>0</v>
      </c>
      <c r="BQ1381" s="20">
        <v>0</v>
      </c>
      <c r="BR1381" s="20">
        <v>0</v>
      </c>
      <c r="BS1381" s="20">
        <v>11</v>
      </c>
      <c r="BT1381" s="20">
        <v>157999.99999999997</v>
      </c>
      <c r="BU1381" s="20">
        <v>869000</v>
      </c>
      <c r="BV1381" s="20">
        <v>5.0000000000000009</v>
      </c>
    </row>
    <row r="1382" spans="1:74">
      <c r="A1382" s="10">
        <f t="shared" si="86"/>
        <v>0</v>
      </c>
      <c r="B1382" s="10">
        <f t="shared" si="87"/>
        <v>0</v>
      </c>
      <c r="C1382" s="12">
        <f t="shared" si="88"/>
        <v>11</v>
      </c>
      <c r="D1382" s="12">
        <f t="shared" si="89"/>
        <v>11</v>
      </c>
      <c r="E1382" s="20" t="s">
        <v>574</v>
      </c>
      <c r="F1382" s="20" t="s">
        <v>3089</v>
      </c>
      <c r="G1382" s="20" t="s">
        <v>5306</v>
      </c>
      <c r="H1382" s="20" t="s">
        <v>5307</v>
      </c>
      <c r="I1382" s="20">
        <v>1</v>
      </c>
      <c r="J1382" s="20" t="s">
        <v>5308</v>
      </c>
      <c r="K1382" s="20" t="s">
        <v>5310</v>
      </c>
      <c r="L1382" s="20" t="s">
        <v>5006</v>
      </c>
      <c r="M1382" s="20" t="s">
        <v>2667</v>
      </c>
      <c r="N1382" s="20" t="s">
        <v>4989</v>
      </c>
      <c r="P1382" s="20" t="s">
        <v>2667</v>
      </c>
      <c r="Q1382" s="20" t="s">
        <v>2674</v>
      </c>
      <c r="R1382" s="20" t="s">
        <v>84</v>
      </c>
      <c r="S1382" s="20">
        <v>5</v>
      </c>
      <c r="T1382" s="20" t="s">
        <v>922</v>
      </c>
      <c r="U1382" s="20" t="s">
        <v>923</v>
      </c>
      <c r="V1382" s="20" t="s">
        <v>87</v>
      </c>
      <c r="W1382" s="20">
        <v>617</v>
      </c>
      <c r="X1382" s="20">
        <v>617</v>
      </c>
      <c r="Y1382" s="20" t="s">
        <v>5007</v>
      </c>
      <c r="Z1382" s="20">
        <v>0</v>
      </c>
      <c r="AA1382" s="20" t="s">
        <v>5011</v>
      </c>
      <c r="AB1382" s="20" t="s">
        <v>109</v>
      </c>
      <c r="AC1382" s="20" t="s">
        <v>110</v>
      </c>
      <c r="AD1382" s="20" t="s">
        <v>5009</v>
      </c>
      <c r="AE1382" s="20" t="s">
        <v>5071</v>
      </c>
      <c r="AF1382" s="20">
        <v>0</v>
      </c>
      <c r="AG1382" s="20">
        <v>0</v>
      </c>
      <c r="AH1382" s="20">
        <v>1</v>
      </c>
      <c r="AI1382" s="4" t="s">
        <v>645</v>
      </c>
      <c r="AJ1382" s="20">
        <v>17</v>
      </c>
      <c r="AK1382" s="4" t="s">
        <v>641</v>
      </c>
      <c r="AL1382" s="4">
        <v>9</v>
      </c>
      <c r="AM1382" s="4" t="s">
        <v>235</v>
      </c>
      <c r="AN1382" s="4" t="s">
        <v>95</v>
      </c>
      <c r="AO1382" s="4" t="s">
        <v>96</v>
      </c>
      <c r="AP1382" s="4">
        <v>1</v>
      </c>
      <c r="AQ1382" s="20">
        <v>79000</v>
      </c>
      <c r="AR1382" s="4">
        <v>41935</v>
      </c>
      <c r="AS1382" s="20">
        <v>14363.636363636362</v>
      </c>
      <c r="AT1382" s="20">
        <v>0</v>
      </c>
      <c r="AU1382" s="20">
        <v>-14363.636363636362</v>
      </c>
      <c r="AV1382" s="20">
        <v>0</v>
      </c>
      <c r="AW1382" s="20">
        <v>0</v>
      </c>
      <c r="AX1382" s="20" t="s">
        <v>91</v>
      </c>
      <c r="AY1382" s="20">
        <v>0</v>
      </c>
      <c r="AZ1382" s="20">
        <v>0</v>
      </c>
      <c r="BA1382" s="20">
        <v>0</v>
      </c>
      <c r="BB1382" s="6">
        <v>41947</v>
      </c>
      <c r="BC1382" s="6">
        <v>0</v>
      </c>
      <c r="BD1382" s="6">
        <v>41948</v>
      </c>
      <c r="BE1382" s="6">
        <v>0</v>
      </c>
      <c r="BF1382" s="6">
        <v>41953</v>
      </c>
      <c r="BG1382" s="6">
        <v>0</v>
      </c>
      <c r="BH1382" s="6">
        <v>0</v>
      </c>
      <c r="BI1382" s="6">
        <v>0</v>
      </c>
      <c r="BJ1382" s="6">
        <v>0</v>
      </c>
      <c r="BK1382" s="4">
        <v>0</v>
      </c>
      <c r="BL1382" s="4">
        <v>0</v>
      </c>
      <c r="BM1382" s="20">
        <v>17</v>
      </c>
      <c r="BN1382" s="20">
        <v>0</v>
      </c>
      <c r="BO1382" s="20">
        <v>0</v>
      </c>
      <c r="BP1382" s="20">
        <v>0</v>
      </c>
      <c r="BQ1382" s="20">
        <v>0</v>
      </c>
      <c r="BR1382" s="20">
        <v>0</v>
      </c>
      <c r="BS1382" s="20">
        <v>17</v>
      </c>
      <c r="BT1382" s="20">
        <v>244181.81818181815</v>
      </c>
      <c r="BU1382" s="20">
        <v>1343000</v>
      </c>
      <c r="BV1382" s="20">
        <v>5</v>
      </c>
    </row>
    <row r="1383" spans="1:74">
      <c r="A1383" s="10">
        <f t="shared" si="86"/>
        <v>0</v>
      </c>
      <c r="B1383" s="10">
        <f t="shared" si="87"/>
        <v>0</v>
      </c>
      <c r="C1383" s="12">
        <f t="shared" si="88"/>
        <v>11</v>
      </c>
      <c r="D1383" s="12">
        <f t="shared" si="89"/>
        <v>11</v>
      </c>
      <c r="E1383" s="20" t="s">
        <v>574</v>
      </c>
      <c r="F1383" s="20" t="s">
        <v>3089</v>
      </c>
      <c r="G1383" s="20" t="s">
        <v>5306</v>
      </c>
      <c r="H1383" s="20" t="s">
        <v>5311</v>
      </c>
      <c r="I1383" s="20">
        <v>2</v>
      </c>
      <c r="J1383" s="20" t="s">
        <v>5312</v>
      </c>
      <c r="K1383" s="20" t="s">
        <v>5313</v>
      </c>
      <c r="L1383" s="20" t="s">
        <v>5006</v>
      </c>
      <c r="M1383" s="20" t="s">
        <v>2667</v>
      </c>
      <c r="N1383" s="20" t="s">
        <v>4989</v>
      </c>
      <c r="P1383" s="20" t="s">
        <v>2667</v>
      </c>
      <c r="Q1383" s="20" t="s">
        <v>2674</v>
      </c>
      <c r="R1383" s="20" t="s">
        <v>84</v>
      </c>
      <c r="S1383" s="20">
        <v>5</v>
      </c>
      <c r="T1383" s="20" t="s">
        <v>922</v>
      </c>
      <c r="U1383" s="20" t="s">
        <v>923</v>
      </c>
      <c r="V1383" s="20" t="s">
        <v>87</v>
      </c>
      <c r="W1383" s="20">
        <v>617</v>
      </c>
      <c r="X1383" s="20">
        <v>617</v>
      </c>
      <c r="Y1383" s="20" t="s">
        <v>5007</v>
      </c>
      <c r="Z1383" s="20">
        <v>0</v>
      </c>
      <c r="AA1383" s="20" t="s">
        <v>5015</v>
      </c>
      <c r="AB1383" s="20" t="s">
        <v>89</v>
      </c>
      <c r="AC1383" s="20" t="s">
        <v>90</v>
      </c>
      <c r="AD1383" s="20" t="s">
        <v>5016</v>
      </c>
      <c r="AE1383" s="20" t="s">
        <v>5071</v>
      </c>
      <c r="AF1383" s="20">
        <v>0</v>
      </c>
      <c r="AG1383" s="20">
        <v>0</v>
      </c>
      <c r="AH1383" s="20">
        <v>1</v>
      </c>
      <c r="AI1383" s="4" t="s">
        <v>645</v>
      </c>
      <c r="AJ1383" s="20">
        <v>14</v>
      </c>
      <c r="AK1383" s="4" t="s">
        <v>641</v>
      </c>
      <c r="AL1383" s="4">
        <v>9</v>
      </c>
      <c r="AM1383" s="4" t="s">
        <v>235</v>
      </c>
      <c r="AN1383" s="4" t="s">
        <v>95</v>
      </c>
      <c r="AO1383" s="4" t="s">
        <v>96</v>
      </c>
      <c r="AP1383" s="4">
        <v>1</v>
      </c>
      <c r="AQ1383" s="20">
        <v>79000</v>
      </c>
      <c r="AR1383" s="4">
        <v>41935</v>
      </c>
      <c r="AS1383" s="20">
        <v>14363.636363636362</v>
      </c>
      <c r="AT1383" s="20">
        <v>0</v>
      </c>
      <c r="AU1383" s="20">
        <v>-14363.636363636362</v>
      </c>
      <c r="AV1383" s="20">
        <v>0</v>
      </c>
      <c r="AW1383" s="20">
        <v>0</v>
      </c>
      <c r="AX1383" s="20" t="s">
        <v>91</v>
      </c>
      <c r="AY1383" s="20">
        <v>0</v>
      </c>
      <c r="AZ1383" s="20">
        <v>0</v>
      </c>
      <c r="BA1383" s="20">
        <v>0</v>
      </c>
      <c r="BB1383" s="6">
        <v>41947</v>
      </c>
      <c r="BC1383" s="6">
        <v>0</v>
      </c>
      <c r="BD1383" s="6">
        <v>41948</v>
      </c>
      <c r="BE1383" s="6">
        <v>0</v>
      </c>
      <c r="BF1383" s="6">
        <v>41953</v>
      </c>
      <c r="BG1383" s="6">
        <v>0</v>
      </c>
      <c r="BH1383" s="6">
        <v>0</v>
      </c>
      <c r="BI1383" s="6">
        <v>0</v>
      </c>
      <c r="BJ1383" s="6">
        <v>0</v>
      </c>
      <c r="BK1383" s="4">
        <v>0</v>
      </c>
      <c r="BL1383" s="4">
        <v>0</v>
      </c>
      <c r="BM1383" s="20">
        <v>11</v>
      </c>
      <c r="BN1383" s="20">
        <v>0</v>
      </c>
      <c r="BO1383" s="20">
        <v>0</v>
      </c>
      <c r="BP1383" s="20">
        <v>0</v>
      </c>
      <c r="BQ1383" s="20">
        <v>0</v>
      </c>
      <c r="BS1383" s="20">
        <v>14</v>
      </c>
      <c r="BT1383" s="20">
        <v>201090.90909090906</v>
      </c>
      <c r="BU1383" s="20">
        <v>1106000</v>
      </c>
      <c r="BV1383" s="20">
        <v>5.0000000000000009</v>
      </c>
    </row>
    <row r="1384" spans="1:74">
      <c r="A1384" s="10">
        <f t="shared" si="86"/>
        <v>0</v>
      </c>
      <c r="B1384" s="10">
        <f t="shared" si="87"/>
        <v>0</v>
      </c>
      <c r="C1384" s="12">
        <f t="shared" si="88"/>
        <v>11</v>
      </c>
      <c r="D1384" s="12">
        <f t="shared" si="89"/>
        <v>11</v>
      </c>
      <c r="E1384" s="20" t="s">
        <v>574</v>
      </c>
      <c r="F1384" s="20" t="s">
        <v>3089</v>
      </c>
      <c r="G1384" s="20" t="s">
        <v>5306</v>
      </c>
      <c r="H1384" s="20" t="s">
        <v>5314</v>
      </c>
      <c r="I1384" s="20">
        <v>3</v>
      </c>
      <c r="J1384" s="20" t="s">
        <v>5315</v>
      </c>
      <c r="K1384" s="20" t="s">
        <v>5316</v>
      </c>
      <c r="L1384" s="20" t="s">
        <v>5020</v>
      </c>
      <c r="M1384" s="20" t="s">
        <v>2667</v>
      </c>
      <c r="N1384" s="20" t="s">
        <v>4989</v>
      </c>
      <c r="P1384" s="20" t="s">
        <v>2667</v>
      </c>
      <c r="Q1384" s="20" t="s">
        <v>2674</v>
      </c>
      <c r="R1384" s="20" t="s">
        <v>84</v>
      </c>
      <c r="S1384" s="20">
        <v>5</v>
      </c>
      <c r="T1384" s="20" t="s">
        <v>922</v>
      </c>
      <c r="U1384" s="20" t="s">
        <v>923</v>
      </c>
      <c r="V1384" s="20" t="s">
        <v>87</v>
      </c>
      <c r="W1384" s="20">
        <v>618</v>
      </c>
      <c r="X1384" s="20">
        <v>618</v>
      </c>
      <c r="Y1384" s="20" t="s">
        <v>5021</v>
      </c>
      <c r="Z1384" s="20">
        <v>0</v>
      </c>
      <c r="AA1384" s="20" t="s">
        <v>5022</v>
      </c>
      <c r="AB1384" s="20" t="s">
        <v>159</v>
      </c>
      <c r="AC1384" s="20" t="s">
        <v>160</v>
      </c>
      <c r="AD1384" s="20" t="s">
        <v>5023</v>
      </c>
      <c r="AE1384" s="20" t="s">
        <v>5071</v>
      </c>
      <c r="AF1384" s="20">
        <v>0</v>
      </c>
      <c r="AG1384" s="20">
        <v>0</v>
      </c>
      <c r="AH1384" s="20">
        <v>1</v>
      </c>
      <c r="AI1384" s="4" t="s">
        <v>645</v>
      </c>
      <c r="AJ1384" s="20">
        <v>24</v>
      </c>
      <c r="AK1384" s="4" t="s">
        <v>641</v>
      </c>
      <c r="AL1384" s="4">
        <v>9</v>
      </c>
      <c r="AM1384" s="4" t="s">
        <v>235</v>
      </c>
      <c r="AN1384" s="4" t="s">
        <v>95</v>
      </c>
      <c r="AO1384" s="4" t="s">
        <v>96</v>
      </c>
      <c r="AP1384" s="4">
        <v>1</v>
      </c>
      <c r="AQ1384" s="20">
        <v>79000</v>
      </c>
      <c r="AR1384" s="4">
        <v>41935</v>
      </c>
      <c r="AS1384" s="20">
        <v>14363.636363636362</v>
      </c>
      <c r="AT1384" s="20">
        <v>0</v>
      </c>
      <c r="AU1384" s="20">
        <v>-14363.636363636362</v>
      </c>
      <c r="AV1384" s="20">
        <v>0</v>
      </c>
      <c r="AW1384" s="20">
        <v>0</v>
      </c>
      <c r="AX1384" s="20" t="s">
        <v>91</v>
      </c>
      <c r="AY1384" s="20">
        <v>0</v>
      </c>
      <c r="AZ1384" s="20">
        <v>0</v>
      </c>
      <c r="BA1384" s="20">
        <v>0</v>
      </c>
      <c r="BB1384" s="6">
        <v>41947</v>
      </c>
      <c r="BC1384" s="6">
        <v>0</v>
      </c>
      <c r="BD1384" s="6">
        <v>41948</v>
      </c>
      <c r="BE1384" s="6">
        <v>0</v>
      </c>
      <c r="BF1384" s="6">
        <v>41953</v>
      </c>
      <c r="BG1384" s="6">
        <v>0</v>
      </c>
      <c r="BH1384" s="6">
        <v>0</v>
      </c>
      <c r="BI1384" s="6">
        <v>0</v>
      </c>
      <c r="BJ1384" s="6">
        <v>0</v>
      </c>
      <c r="BK1384" s="4">
        <v>0</v>
      </c>
      <c r="BL1384" s="4">
        <v>0</v>
      </c>
      <c r="BM1384" s="20">
        <v>22</v>
      </c>
      <c r="BN1384" s="20">
        <v>0</v>
      </c>
      <c r="BO1384" s="20">
        <v>0</v>
      </c>
      <c r="BP1384" s="20">
        <v>0</v>
      </c>
      <c r="BQ1384" s="20">
        <v>0</v>
      </c>
      <c r="BR1384" s="20">
        <v>0</v>
      </c>
      <c r="BS1384" s="20">
        <v>24</v>
      </c>
      <c r="BT1384" s="20">
        <v>344727.27272727271</v>
      </c>
      <c r="BU1384" s="20">
        <v>1896000</v>
      </c>
      <c r="BV1384" s="20">
        <v>5</v>
      </c>
    </row>
    <row r="1385" spans="1:74">
      <c r="A1385" s="10">
        <f t="shared" si="86"/>
        <v>0</v>
      </c>
      <c r="B1385" s="10">
        <f t="shared" si="87"/>
        <v>0</v>
      </c>
      <c r="C1385" s="12">
        <f t="shared" si="88"/>
        <v>11</v>
      </c>
      <c r="D1385" s="12">
        <f t="shared" si="89"/>
        <v>11</v>
      </c>
      <c r="E1385" s="20" t="s">
        <v>574</v>
      </c>
      <c r="F1385" s="20" t="s">
        <v>3089</v>
      </c>
      <c r="G1385" s="20" t="s">
        <v>5306</v>
      </c>
      <c r="H1385" s="20" t="s">
        <v>5317</v>
      </c>
      <c r="I1385" s="20">
        <v>4</v>
      </c>
      <c r="J1385" s="20" t="s">
        <v>5318</v>
      </c>
      <c r="K1385" s="20" t="s">
        <v>5319</v>
      </c>
      <c r="L1385" s="20" t="s">
        <v>5027</v>
      </c>
      <c r="M1385" s="20" t="s">
        <v>2667</v>
      </c>
      <c r="N1385" s="20" t="s">
        <v>4989</v>
      </c>
      <c r="P1385" s="20" t="s">
        <v>2667</v>
      </c>
      <c r="Q1385" s="20" t="s">
        <v>2674</v>
      </c>
      <c r="R1385" s="20" t="s">
        <v>84</v>
      </c>
      <c r="S1385" s="20">
        <v>5</v>
      </c>
      <c r="T1385" s="20" t="s">
        <v>922</v>
      </c>
      <c r="U1385" s="20" t="s">
        <v>923</v>
      </c>
      <c r="V1385" s="20" t="s">
        <v>87</v>
      </c>
      <c r="W1385" s="20">
        <v>625</v>
      </c>
      <c r="X1385" s="20">
        <v>625</v>
      </c>
      <c r="Y1385" s="20" t="s">
        <v>5028</v>
      </c>
      <c r="Z1385" s="20">
        <v>0</v>
      </c>
      <c r="AA1385" s="20" t="s">
        <v>5029</v>
      </c>
      <c r="AB1385" s="20" t="s">
        <v>176</v>
      </c>
      <c r="AC1385" s="20" t="s">
        <v>177</v>
      </c>
      <c r="AD1385" s="20" t="s">
        <v>5030</v>
      </c>
      <c r="AE1385" s="20" t="s">
        <v>5071</v>
      </c>
      <c r="AF1385" s="20">
        <v>0</v>
      </c>
      <c r="AG1385" s="20">
        <v>0</v>
      </c>
      <c r="AH1385" s="20">
        <v>1</v>
      </c>
      <c r="AI1385" s="4" t="s">
        <v>645</v>
      </c>
      <c r="AJ1385" s="20">
        <v>25</v>
      </c>
      <c r="AK1385" s="4" t="s">
        <v>641</v>
      </c>
      <c r="AL1385" s="4">
        <v>9</v>
      </c>
      <c r="AM1385" s="4" t="s">
        <v>235</v>
      </c>
      <c r="AN1385" s="4" t="s">
        <v>95</v>
      </c>
      <c r="AO1385" s="4" t="s">
        <v>96</v>
      </c>
      <c r="AP1385" s="4">
        <v>1</v>
      </c>
      <c r="AQ1385" s="20">
        <v>79000</v>
      </c>
      <c r="AR1385" s="4">
        <v>41935</v>
      </c>
      <c r="AS1385" s="20">
        <v>14363.636363636362</v>
      </c>
      <c r="AT1385" s="20">
        <v>0</v>
      </c>
      <c r="AU1385" s="20">
        <v>-14363.636363636362</v>
      </c>
      <c r="AV1385" s="20">
        <v>0</v>
      </c>
      <c r="AW1385" s="20">
        <v>0</v>
      </c>
      <c r="AX1385" s="20" t="s">
        <v>91</v>
      </c>
      <c r="AY1385" s="20">
        <v>0</v>
      </c>
      <c r="AZ1385" s="20">
        <v>0</v>
      </c>
      <c r="BA1385" s="20">
        <v>0</v>
      </c>
      <c r="BB1385" s="6">
        <v>41947</v>
      </c>
      <c r="BC1385" s="6">
        <v>0</v>
      </c>
      <c r="BD1385" s="6">
        <v>41948</v>
      </c>
      <c r="BE1385" s="6">
        <v>0</v>
      </c>
      <c r="BF1385" s="6">
        <v>41953</v>
      </c>
      <c r="BG1385" s="6">
        <v>0</v>
      </c>
      <c r="BH1385" s="6">
        <v>0</v>
      </c>
      <c r="BI1385" s="6">
        <v>0</v>
      </c>
      <c r="BJ1385" s="6">
        <v>0</v>
      </c>
      <c r="BK1385" s="4">
        <v>0</v>
      </c>
      <c r="BL1385" s="4">
        <v>0</v>
      </c>
      <c r="BM1385" s="20">
        <v>23</v>
      </c>
      <c r="BN1385" s="20">
        <v>0</v>
      </c>
      <c r="BO1385" s="20">
        <v>0</v>
      </c>
      <c r="BP1385" s="20">
        <v>0</v>
      </c>
      <c r="BQ1385" s="20">
        <v>0</v>
      </c>
      <c r="BR1385" s="20">
        <v>0</v>
      </c>
      <c r="BS1385" s="20">
        <v>25</v>
      </c>
      <c r="BT1385" s="20">
        <v>359090.90909090906</v>
      </c>
      <c r="BU1385" s="20">
        <v>1975000</v>
      </c>
      <c r="BV1385" s="20">
        <v>5</v>
      </c>
    </row>
    <row r="1386" spans="1:74">
      <c r="A1386" s="10">
        <f t="shared" si="86"/>
        <v>0</v>
      </c>
      <c r="B1386" s="10">
        <f t="shared" si="87"/>
        <v>0</v>
      </c>
      <c r="C1386" s="12">
        <f t="shared" si="88"/>
        <v>11</v>
      </c>
      <c r="D1386" s="12">
        <f t="shared" si="89"/>
        <v>11</v>
      </c>
      <c r="E1386" s="20" t="s">
        <v>574</v>
      </c>
      <c r="F1386" s="20" t="s">
        <v>3089</v>
      </c>
      <c r="G1386" s="20" t="s">
        <v>5306</v>
      </c>
      <c r="H1386" s="20" t="s">
        <v>5317</v>
      </c>
      <c r="I1386" s="20">
        <v>4</v>
      </c>
      <c r="J1386" s="20" t="s">
        <v>5318</v>
      </c>
      <c r="K1386" s="20" t="s">
        <v>5320</v>
      </c>
      <c r="L1386" s="20" t="s">
        <v>5027</v>
      </c>
      <c r="M1386" s="20" t="s">
        <v>2667</v>
      </c>
      <c r="N1386" s="20" t="s">
        <v>4989</v>
      </c>
      <c r="P1386" s="20" t="s">
        <v>2667</v>
      </c>
      <c r="Q1386" s="20" t="s">
        <v>2674</v>
      </c>
      <c r="R1386" s="20" t="s">
        <v>84</v>
      </c>
      <c r="S1386" s="20">
        <v>5</v>
      </c>
      <c r="T1386" s="20" t="s">
        <v>922</v>
      </c>
      <c r="U1386" s="20" t="s">
        <v>923</v>
      </c>
      <c r="V1386" s="20" t="s">
        <v>87</v>
      </c>
      <c r="W1386" s="20">
        <v>625</v>
      </c>
      <c r="X1386" s="20">
        <v>625</v>
      </c>
      <c r="Y1386" s="20" t="s">
        <v>5028</v>
      </c>
      <c r="Z1386" s="20">
        <v>0</v>
      </c>
      <c r="AA1386" s="20" t="s">
        <v>5032</v>
      </c>
      <c r="AB1386" s="20" t="s">
        <v>176</v>
      </c>
      <c r="AC1386" s="20" t="s">
        <v>177</v>
      </c>
      <c r="AD1386" s="20" t="s">
        <v>5030</v>
      </c>
      <c r="AE1386" s="20" t="s">
        <v>5071</v>
      </c>
      <c r="AF1386" s="20">
        <v>0</v>
      </c>
      <c r="AG1386" s="20">
        <v>0</v>
      </c>
      <c r="AH1386" s="20">
        <v>1</v>
      </c>
      <c r="AI1386" s="4" t="s">
        <v>647</v>
      </c>
      <c r="AJ1386" s="20">
        <v>4</v>
      </c>
      <c r="AK1386" s="4" t="s">
        <v>641</v>
      </c>
      <c r="AL1386" s="4">
        <v>9</v>
      </c>
      <c r="AM1386" s="4" t="s">
        <v>235</v>
      </c>
      <c r="AN1386" s="4" t="s">
        <v>95</v>
      </c>
      <c r="AO1386" s="4" t="s">
        <v>96</v>
      </c>
      <c r="AP1386" s="4">
        <v>1</v>
      </c>
      <c r="AQ1386" s="20">
        <v>79000</v>
      </c>
      <c r="AR1386" s="4">
        <v>41935</v>
      </c>
      <c r="AS1386" s="20">
        <v>14363.636363636362</v>
      </c>
      <c r="AT1386" s="20">
        <v>0</v>
      </c>
      <c r="AU1386" s="20">
        <v>-14363.636363636362</v>
      </c>
      <c r="AV1386" s="20">
        <v>0</v>
      </c>
      <c r="AW1386" s="20">
        <v>0</v>
      </c>
      <c r="AX1386" s="20" t="s">
        <v>91</v>
      </c>
      <c r="AY1386" s="20">
        <v>0</v>
      </c>
      <c r="AZ1386" s="20">
        <v>0</v>
      </c>
      <c r="BA1386" s="20">
        <v>0</v>
      </c>
      <c r="BB1386" s="6">
        <v>41947</v>
      </c>
      <c r="BC1386" s="6">
        <v>0</v>
      </c>
      <c r="BD1386" s="6">
        <v>41948</v>
      </c>
      <c r="BE1386" s="6">
        <v>0</v>
      </c>
      <c r="BF1386" s="6">
        <v>41953</v>
      </c>
      <c r="BG1386" s="6">
        <v>0</v>
      </c>
      <c r="BH1386" s="6">
        <v>0</v>
      </c>
      <c r="BI1386" s="6">
        <v>0</v>
      </c>
      <c r="BJ1386" s="6">
        <v>0</v>
      </c>
      <c r="BK1386" s="4">
        <v>0</v>
      </c>
      <c r="BL1386" s="4">
        <v>0</v>
      </c>
      <c r="BM1386" s="20">
        <v>3</v>
      </c>
      <c r="BN1386" s="20">
        <v>0</v>
      </c>
      <c r="BO1386" s="20">
        <v>0</v>
      </c>
      <c r="BP1386" s="20">
        <v>0</v>
      </c>
      <c r="BQ1386" s="20">
        <v>0</v>
      </c>
      <c r="BS1386" s="20">
        <v>4</v>
      </c>
      <c r="BT1386" s="20">
        <v>57454.545454545449</v>
      </c>
      <c r="BU1386" s="20">
        <v>316000</v>
      </c>
      <c r="BV1386" s="20">
        <v>5</v>
      </c>
    </row>
    <row r="1387" spans="1:74">
      <c r="A1387" s="10">
        <f t="shared" si="86"/>
        <v>0</v>
      </c>
      <c r="B1387" s="10">
        <f t="shared" si="87"/>
        <v>0</v>
      </c>
      <c r="C1387" s="12">
        <f t="shared" si="88"/>
        <v>11</v>
      </c>
      <c r="D1387" s="12">
        <f t="shared" si="89"/>
        <v>11</v>
      </c>
      <c r="E1387" s="20" t="s">
        <v>574</v>
      </c>
      <c r="F1387" s="20" t="s">
        <v>3089</v>
      </c>
      <c r="G1387" s="20" t="s">
        <v>5306</v>
      </c>
      <c r="H1387" s="20" t="s">
        <v>5321</v>
      </c>
      <c r="I1387" s="20">
        <v>5</v>
      </c>
      <c r="J1387" s="20" t="s">
        <v>5322</v>
      </c>
      <c r="K1387" s="20" t="s">
        <v>5323</v>
      </c>
      <c r="L1387" s="20" t="s">
        <v>5027</v>
      </c>
      <c r="M1387" s="20" t="s">
        <v>2667</v>
      </c>
      <c r="N1387" s="20" t="s">
        <v>4989</v>
      </c>
      <c r="P1387" s="20" t="s">
        <v>2667</v>
      </c>
      <c r="Q1387" s="20" t="s">
        <v>2674</v>
      </c>
      <c r="R1387" s="20" t="s">
        <v>84</v>
      </c>
      <c r="S1387" s="20">
        <v>5</v>
      </c>
      <c r="T1387" s="20" t="s">
        <v>922</v>
      </c>
      <c r="U1387" s="20" t="s">
        <v>923</v>
      </c>
      <c r="V1387" s="20" t="s">
        <v>87</v>
      </c>
      <c r="W1387" s="20">
        <v>625</v>
      </c>
      <c r="X1387" s="20">
        <v>625</v>
      </c>
      <c r="Y1387" s="20" t="s">
        <v>5028</v>
      </c>
      <c r="Z1387" s="20">
        <v>0</v>
      </c>
      <c r="AA1387" s="20" t="s">
        <v>5036</v>
      </c>
      <c r="AB1387" s="20" t="s">
        <v>101</v>
      </c>
      <c r="AC1387" s="20" t="s">
        <v>102</v>
      </c>
      <c r="AD1387" s="20" t="s">
        <v>5037</v>
      </c>
      <c r="AE1387" s="20" t="s">
        <v>5071</v>
      </c>
      <c r="AF1387" s="20">
        <v>0</v>
      </c>
      <c r="AG1387" s="20">
        <v>0</v>
      </c>
      <c r="AH1387" s="20">
        <v>1</v>
      </c>
      <c r="AI1387" s="4" t="s">
        <v>645</v>
      </c>
      <c r="AJ1387" s="20">
        <v>30</v>
      </c>
      <c r="AK1387" s="4" t="s">
        <v>641</v>
      </c>
      <c r="AL1387" s="4">
        <v>9</v>
      </c>
      <c r="AM1387" s="4" t="s">
        <v>235</v>
      </c>
      <c r="AN1387" s="4" t="s">
        <v>95</v>
      </c>
      <c r="AO1387" s="4" t="s">
        <v>96</v>
      </c>
      <c r="AP1387" s="4">
        <v>1</v>
      </c>
      <c r="AQ1387" s="20">
        <v>79000</v>
      </c>
      <c r="AR1387" s="4">
        <v>41935</v>
      </c>
      <c r="AS1387" s="20">
        <v>14363.636363636362</v>
      </c>
      <c r="AT1387" s="20">
        <v>0</v>
      </c>
      <c r="AU1387" s="20">
        <v>-14363.636363636362</v>
      </c>
      <c r="AV1387" s="20">
        <v>0</v>
      </c>
      <c r="AW1387" s="20">
        <v>0</v>
      </c>
      <c r="AX1387" s="20" t="s">
        <v>91</v>
      </c>
      <c r="AY1387" s="20">
        <v>0</v>
      </c>
      <c r="AZ1387" s="20">
        <v>0</v>
      </c>
      <c r="BA1387" s="20">
        <v>0</v>
      </c>
      <c r="BB1387" s="6">
        <v>41947</v>
      </c>
      <c r="BC1387" s="6">
        <v>0</v>
      </c>
      <c r="BD1387" s="6">
        <v>41948</v>
      </c>
      <c r="BE1387" s="6">
        <v>0</v>
      </c>
      <c r="BF1387" s="6">
        <v>41953</v>
      </c>
      <c r="BG1387" s="6">
        <v>0</v>
      </c>
      <c r="BH1387" s="6">
        <v>0</v>
      </c>
      <c r="BI1387" s="6">
        <v>0</v>
      </c>
      <c r="BJ1387" s="6">
        <v>0</v>
      </c>
      <c r="BK1387" s="4">
        <v>0</v>
      </c>
      <c r="BL1387" s="4">
        <v>0</v>
      </c>
      <c r="BM1387" s="20">
        <v>18</v>
      </c>
      <c r="BN1387" s="20">
        <v>0</v>
      </c>
      <c r="BO1387" s="20">
        <v>0</v>
      </c>
      <c r="BP1387" s="20">
        <v>0</v>
      </c>
      <c r="BQ1387" s="20">
        <v>0</v>
      </c>
      <c r="BS1387" s="20">
        <v>30</v>
      </c>
      <c r="BT1387" s="20">
        <v>430909.09090909088</v>
      </c>
      <c r="BU1387" s="20">
        <v>2370000</v>
      </c>
      <c r="BV1387" s="20">
        <v>5</v>
      </c>
    </row>
    <row r="1388" spans="1:74">
      <c r="A1388" s="10">
        <f t="shared" si="86"/>
        <v>0</v>
      </c>
      <c r="B1388" s="10">
        <f t="shared" si="87"/>
        <v>0</v>
      </c>
      <c r="C1388" s="12">
        <f t="shared" si="88"/>
        <v>11</v>
      </c>
      <c r="D1388" s="12">
        <f t="shared" si="89"/>
        <v>11</v>
      </c>
      <c r="E1388" s="20" t="s">
        <v>574</v>
      </c>
      <c r="F1388" s="20" t="s">
        <v>3089</v>
      </c>
      <c r="G1388" s="20" t="s">
        <v>5306</v>
      </c>
      <c r="H1388" s="20" t="s">
        <v>5321</v>
      </c>
      <c r="I1388" s="20">
        <v>5</v>
      </c>
      <c r="J1388" s="20" t="s">
        <v>5322</v>
      </c>
      <c r="K1388" s="20" t="s">
        <v>5324</v>
      </c>
      <c r="L1388" s="20" t="s">
        <v>5027</v>
      </c>
      <c r="M1388" s="20" t="s">
        <v>2667</v>
      </c>
      <c r="N1388" s="20" t="s">
        <v>4989</v>
      </c>
      <c r="P1388" s="20" t="s">
        <v>2667</v>
      </c>
      <c r="Q1388" s="20" t="s">
        <v>2674</v>
      </c>
      <c r="R1388" s="20" t="s">
        <v>84</v>
      </c>
      <c r="S1388" s="20">
        <v>5</v>
      </c>
      <c r="T1388" s="20" t="s">
        <v>922</v>
      </c>
      <c r="U1388" s="20" t="s">
        <v>923</v>
      </c>
      <c r="V1388" s="20" t="s">
        <v>87</v>
      </c>
      <c r="W1388" s="20">
        <v>625</v>
      </c>
      <c r="X1388" s="20">
        <v>625</v>
      </c>
      <c r="Y1388" s="20" t="s">
        <v>5028</v>
      </c>
      <c r="Z1388" s="20">
        <v>0</v>
      </c>
      <c r="AA1388" s="20" t="s">
        <v>5039</v>
      </c>
      <c r="AB1388" s="20" t="s">
        <v>101</v>
      </c>
      <c r="AC1388" s="20" t="s">
        <v>102</v>
      </c>
      <c r="AD1388" s="20" t="s">
        <v>5037</v>
      </c>
      <c r="AE1388" s="20" t="s">
        <v>5071</v>
      </c>
      <c r="AF1388" s="20">
        <v>0</v>
      </c>
      <c r="AG1388" s="20">
        <v>0</v>
      </c>
      <c r="AH1388" s="20">
        <v>1</v>
      </c>
      <c r="AI1388" s="4" t="s">
        <v>647</v>
      </c>
      <c r="AJ1388" s="20">
        <v>11</v>
      </c>
      <c r="AK1388" s="4" t="s">
        <v>641</v>
      </c>
      <c r="AL1388" s="4">
        <v>9</v>
      </c>
      <c r="AM1388" s="4" t="s">
        <v>235</v>
      </c>
      <c r="AN1388" s="4" t="s">
        <v>95</v>
      </c>
      <c r="AO1388" s="4" t="s">
        <v>96</v>
      </c>
      <c r="AP1388" s="4">
        <v>1</v>
      </c>
      <c r="AQ1388" s="20">
        <v>79000</v>
      </c>
      <c r="AR1388" s="4">
        <v>41935</v>
      </c>
      <c r="AS1388" s="20">
        <v>14363.636363636362</v>
      </c>
      <c r="AT1388" s="20">
        <v>0</v>
      </c>
      <c r="AU1388" s="20">
        <v>-14363.636363636362</v>
      </c>
      <c r="AV1388" s="20">
        <v>0</v>
      </c>
      <c r="AW1388" s="20">
        <v>0</v>
      </c>
      <c r="AX1388" s="20" t="s">
        <v>91</v>
      </c>
      <c r="AY1388" s="20">
        <v>0</v>
      </c>
      <c r="AZ1388" s="20">
        <v>0</v>
      </c>
      <c r="BA1388" s="20">
        <v>0</v>
      </c>
      <c r="BB1388" s="6">
        <v>41947</v>
      </c>
      <c r="BC1388" s="6">
        <v>0</v>
      </c>
      <c r="BD1388" s="6">
        <v>41948</v>
      </c>
      <c r="BE1388" s="6">
        <v>0</v>
      </c>
      <c r="BF1388" s="6">
        <v>41953</v>
      </c>
      <c r="BG1388" s="6">
        <v>0</v>
      </c>
      <c r="BH1388" s="6">
        <v>0</v>
      </c>
      <c r="BI1388" s="6">
        <v>0</v>
      </c>
      <c r="BJ1388" s="6">
        <v>0</v>
      </c>
      <c r="BK1388" s="4">
        <v>0</v>
      </c>
      <c r="BL1388" s="4">
        <v>0</v>
      </c>
      <c r="BM1388" s="20">
        <v>4</v>
      </c>
      <c r="BN1388" s="20">
        <v>0</v>
      </c>
      <c r="BO1388" s="20">
        <v>0</v>
      </c>
      <c r="BP1388" s="20">
        <v>0</v>
      </c>
      <c r="BQ1388" s="20">
        <v>0</v>
      </c>
      <c r="BS1388" s="20">
        <v>11</v>
      </c>
      <c r="BT1388" s="20">
        <v>157999.99999999997</v>
      </c>
      <c r="BU1388" s="20">
        <v>869000</v>
      </c>
      <c r="BV1388" s="20">
        <v>5.0000000000000009</v>
      </c>
    </row>
    <row r="1389" spans="1:74">
      <c r="A1389" s="10">
        <f t="shared" si="86"/>
        <v>0</v>
      </c>
      <c r="B1389" s="10">
        <f t="shared" si="87"/>
        <v>0</v>
      </c>
      <c r="C1389" s="12">
        <f t="shared" si="88"/>
        <v>11</v>
      </c>
      <c r="D1389" s="12">
        <f t="shared" si="89"/>
        <v>11</v>
      </c>
      <c r="E1389" s="20" t="s">
        <v>574</v>
      </c>
      <c r="F1389" s="20" t="s">
        <v>3089</v>
      </c>
      <c r="G1389" s="20" t="s">
        <v>5306</v>
      </c>
      <c r="H1389" s="20" t="s">
        <v>5325</v>
      </c>
      <c r="I1389" s="20">
        <v>6</v>
      </c>
      <c r="J1389" s="20" t="s">
        <v>5326</v>
      </c>
      <c r="K1389" s="20" t="s">
        <v>5327</v>
      </c>
      <c r="L1389" s="20" t="s">
        <v>5043</v>
      </c>
      <c r="M1389" s="20" t="s">
        <v>2667</v>
      </c>
      <c r="N1389" s="20" t="s">
        <v>4997</v>
      </c>
      <c r="P1389" s="20" t="s">
        <v>2667</v>
      </c>
      <c r="Q1389" s="20" t="s">
        <v>2674</v>
      </c>
      <c r="R1389" s="20" t="s">
        <v>84</v>
      </c>
      <c r="S1389" s="20">
        <v>5</v>
      </c>
      <c r="T1389" s="20" t="s">
        <v>635</v>
      </c>
      <c r="U1389" s="20" t="s">
        <v>636</v>
      </c>
      <c r="V1389" s="20" t="s">
        <v>87</v>
      </c>
      <c r="W1389" s="20">
        <v>607</v>
      </c>
      <c r="X1389" s="20">
        <v>607</v>
      </c>
      <c r="Y1389" s="20" t="s">
        <v>5044</v>
      </c>
      <c r="Z1389" s="20">
        <v>0</v>
      </c>
      <c r="AA1389" s="20" t="s">
        <v>5045</v>
      </c>
      <c r="AB1389" s="20" t="s">
        <v>279</v>
      </c>
      <c r="AC1389" s="20" t="s">
        <v>280</v>
      </c>
      <c r="AD1389" s="20" t="s">
        <v>5046</v>
      </c>
      <c r="AE1389" s="20" t="s">
        <v>5071</v>
      </c>
      <c r="AF1389" s="20">
        <v>0</v>
      </c>
      <c r="AG1389" s="20">
        <v>0</v>
      </c>
      <c r="AH1389" s="20">
        <v>1</v>
      </c>
      <c r="AI1389" s="4" t="s">
        <v>647</v>
      </c>
      <c r="AJ1389" s="20">
        <v>15</v>
      </c>
      <c r="AK1389" s="4" t="s">
        <v>641</v>
      </c>
      <c r="AL1389" s="4">
        <v>9</v>
      </c>
      <c r="AM1389" s="4" t="s">
        <v>235</v>
      </c>
      <c r="AN1389" s="4" t="s">
        <v>95</v>
      </c>
      <c r="AO1389" s="4" t="s">
        <v>96</v>
      </c>
      <c r="AP1389" s="4">
        <v>1</v>
      </c>
      <c r="AQ1389" s="20">
        <v>59000</v>
      </c>
      <c r="AR1389" s="4">
        <v>41935</v>
      </c>
      <c r="AS1389" s="20">
        <v>10727.272727272726</v>
      </c>
      <c r="AT1389" s="20">
        <v>0</v>
      </c>
      <c r="AU1389" s="20">
        <v>-10727.272727272726</v>
      </c>
      <c r="AV1389" s="20">
        <v>0</v>
      </c>
      <c r="AW1389" s="20">
        <v>0</v>
      </c>
      <c r="AX1389" s="20" t="s">
        <v>91</v>
      </c>
      <c r="AY1389" s="20">
        <v>0</v>
      </c>
      <c r="AZ1389" s="20">
        <v>0</v>
      </c>
      <c r="BA1389" s="20">
        <v>0</v>
      </c>
      <c r="BB1389" s="6">
        <v>41947</v>
      </c>
      <c r="BC1389" s="6">
        <v>0</v>
      </c>
      <c r="BD1389" s="6">
        <v>41948</v>
      </c>
      <c r="BE1389" s="6">
        <v>0</v>
      </c>
      <c r="BF1389" s="6">
        <v>41953</v>
      </c>
      <c r="BG1389" s="6">
        <v>0</v>
      </c>
      <c r="BH1389" s="6">
        <v>0</v>
      </c>
      <c r="BI1389" s="6">
        <v>0</v>
      </c>
      <c r="BJ1389" s="6">
        <v>0</v>
      </c>
      <c r="BK1389" s="4">
        <v>0</v>
      </c>
      <c r="BL1389" s="4">
        <v>0</v>
      </c>
      <c r="BM1389" s="20">
        <v>13</v>
      </c>
      <c r="BN1389" s="20">
        <v>0</v>
      </c>
      <c r="BO1389" s="20">
        <v>0</v>
      </c>
      <c r="BP1389" s="20">
        <v>0</v>
      </c>
      <c r="BQ1389" s="20">
        <v>0</v>
      </c>
      <c r="BS1389" s="20">
        <v>15</v>
      </c>
      <c r="BT1389" s="20">
        <v>160909.09090909088</v>
      </c>
      <c r="BU1389" s="20">
        <v>885000</v>
      </c>
      <c r="BV1389" s="20">
        <v>5.0000000000000009</v>
      </c>
    </row>
    <row r="1390" spans="1:74">
      <c r="A1390" s="10">
        <f t="shared" si="86"/>
        <v>0</v>
      </c>
      <c r="B1390" s="10">
        <f t="shared" si="87"/>
        <v>0</v>
      </c>
      <c r="C1390" s="12" t="str">
        <f t="shared" si="88"/>
        <v/>
      </c>
      <c r="D1390" s="12" t="str">
        <f t="shared" si="89"/>
        <v/>
      </c>
      <c r="E1390" s="20" t="s">
        <v>91</v>
      </c>
      <c r="F1390" s="20" t="s">
        <v>91</v>
      </c>
      <c r="G1390" s="20" t="s">
        <v>91</v>
      </c>
      <c r="H1390" s="20" t="s">
        <v>91</v>
      </c>
      <c r="I1390" s="20">
        <v>0</v>
      </c>
      <c r="J1390" s="20" t="s">
        <v>103</v>
      </c>
      <c r="K1390" s="20" t="s">
        <v>104</v>
      </c>
      <c r="L1390" s="20">
        <v>0</v>
      </c>
      <c r="M1390" s="20" t="s">
        <v>105</v>
      </c>
      <c r="N1390" s="20" t="s">
        <v>91</v>
      </c>
      <c r="O1390" s="20" t="s">
        <v>5328</v>
      </c>
      <c r="Q1390" s="20" t="s">
        <v>91</v>
      </c>
      <c r="R1390" s="20" t="s">
        <v>91</v>
      </c>
      <c r="S1390" s="20" t="s">
        <v>91</v>
      </c>
      <c r="U1390" s="20" t="s">
        <v>91</v>
      </c>
      <c r="V1390" s="20" t="s">
        <v>87</v>
      </c>
      <c r="X1390" s="20" t="s">
        <v>91</v>
      </c>
      <c r="Y1390" s="20" t="s">
        <v>91</v>
      </c>
      <c r="Z1390" s="20">
        <v>0</v>
      </c>
      <c r="AB1390" s="20" t="s">
        <v>91</v>
      </c>
      <c r="AD1390" s="20" t="s">
        <v>91</v>
      </c>
      <c r="AE1390" s="20" t="s">
        <v>91</v>
      </c>
      <c r="AF1390" s="20">
        <v>0</v>
      </c>
      <c r="AG1390" s="20">
        <v>0</v>
      </c>
      <c r="AH1390" s="20">
        <v>1</v>
      </c>
      <c r="AM1390" s="4" t="s">
        <v>91</v>
      </c>
      <c r="AP1390" s="4" t="s">
        <v>91</v>
      </c>
      <c r="AQ1390" s="20">
        <v>0</v>
      </c>
      <c r="AR1390" s="4">
        <v>0</v>
      </c>
      <c r="AS1390" s="20">
        <v>0</v>
      </c>
      <c r="AT1390" s="20">
        <v>0</v>
      </c>
      <c r="AU1390" s="20">
        <v>0</v>
      </c>
      <c r="AV1390" s="20">
        <v>0</v>
      </c>
      <c r="AW1390" s="20">
        <v>0</v>
      </c>
      <c r="AX1390" s="20" t="s">
        <v>91</v>
      </c>
      <c r="AY1390" s="20">
        <v>0</v>
      </c>
      <c r="AZ1390" s="20">
        <v>0</v>
      </c>
      <c r="BA1390" s="20">
        <v>0</v>
      </c>
      <c r="BB1390" s="6">
        <v>0</v>
      </c>
      <c r="BC1390" s="6">
        <v>0</v>
      </c>
      <c r="BD1390" s="6">
        <v>0</v>
      </c>
      <c r="BE1390" s="6">
        <v>0</v>
      </c>
      <c r="BF1390" s="6">
        <v>0</v>
      </c>
      <c r="BG1390" s="6">
        <v>0</v>
      </c>
      <c r="BH1390" s="6">
        <v>0</v>
      </c>
      <c r="BI1390" s="6">
        <v>0</v>
      </c>
      <c r="BJ1390" s="6">
        <v>0</v>
      </c>
      <c r="BK1390" s="4">
        <v>0</v>
      </c>
      <c r="BL1390" s="4">
        <v>0</v>
      </c>
      <c r="BM1390" s="20">
        <v>121</v>
      </c>
      <c r="BN1390" s="20">
        <v>0</v>
      </c>
      <c r="BO1390" s="20">
        <v>0</v>
      </c>
      <c r="BP1390" s="20">
        <v>0</v>
      </c>
      <c r="BQ1390" s="20">
        <v>0</v>
      </c>
      <c r="BR1390" s="20">
        <v>0</v>
      </c>
      <c r="BS1390" s="20">
        <v>151</v>
      </c>
      <c r="BT1390" s="20">
        <v>2114363.6363636362</v>
      </c>
      <c r="BU1390" s="20">
        <v>11629000</v>
      </c>
      <c r="BV1390" s="20">
        <v>5</v>
      </c>
    </row>
    <row r="1391" spans="1:74">
      <c r="A1391" s="10">
        <f t="shared" si="86"/>
        <v>0</v>
      </c>
      <c r="B1391" s="10">
        <f t="shared" si="87"/>
        <v>0</v>
      </c>
      <c r="C1391" s="12">
        <f t="shared" si="88"/>
        <v>11</v>
      </c>
      <c r="D1391" s="12">
        <f t="shared" si="89"/>
        <v>11</v>
      </c>
      <c r="E1391" s="20" t="s">
        <v>574</v>
      </c>
      <c r="F1391" s="20" t="s">
        <v>3089</v>
      </c>
      <c r="G1391" s="20" t="s">
        <v>5329</v>
      </c>
      <c r="H1391" s="20" t="s">
        <v>5330</v>
      </c>
      <c r="I1391" s="20">
        <v>1</v>
      </c>
      <c r="J1391" s="20" t="s">
        <v>5331</v>
      </c>
      <c r="K1391" s="20" t="s">
        <v>5332</v>
      </c>
      <c r="L1391" s="20" t="s">
        <v>5052</v>
      </c>
      <c r="M1391" s="20" t="s">
        <v>2667</v>
      </c>
      <c r="N1391" s="20" t="s">
        <v>4989</v>
      </c>
      <c r="P1391" s="20" t="s">
        <v>2667</v>
      </c>
      <c r="Q1391" s="20" t="s">
        <v>2674</v>
      </c>
      <c r="R1391" s="20" t="s">
        <v>84</v>
      </c>
      <c r="S1391" s="20">
        <v>5</v>
      </c>
      <c r="T1391" s="20" t="s">
        <v>922</v>
      </c>
      <c r="U1391" s="20" t="s">
        <v>923</v>
      </c>
      <c r="V1391" s="20" t="s">
        <v>87</v>
      </c>
      <c r="W1391" s="20">
        <v>628</v>
      </c>
      <c r="X1391" s="20">
        <v>628</v>
      </c>
      <c r="Y1391" s="20" t="s">
        <v>5053</v>
      </c>
      <c r="Z1391" s="20">
        <v>0</v>
      </c>
      <c r="AA1391" s="20" t="s">
        <v>5054</v>
      </c>
      <c r="AB1391" s="20" t="s">
        <v>159</v>
      </c>
      <c r="AC1391" s="20" t="s">
        <v>160</v>
      </c>
      <c r="AD1391" s="20" t="s">
        <v>5055</v>
      </c>
      <c r="AE1391" s="20" t="s">
        <v>5071</v>
      </c>
      <c r="AF1391" s="20">
        <v>0</v>
      </c>
      <c r="AG1391" s="20">
        <v>0</v>
      </c>
      <c r="AH1391" s="20">
        <v>1</v>
      </c>
      <c r="AI1391" s="4" t="s">
        <v>645</v>
      </c>
      <c r="AJ1391" s="20">
        <v>284</v>
      </c>
      <c r="AK1391" s="4" t="s">
        <v>5056</v>
      </c>
      <c r="AL1391" s="4">
        <v>2</v>
      </c>
      <c r="AM1391" s="4" t="s">
        <v>94</v>
      </c>
      <c r="AN1391" s="4" t="s">
        <v>95</v>
      </c>
      <c r="AO1391" s="4" t="s">
        <v>131</v>
      </c>
      <c r="AP1391" s="4">
        <v>2</v>
      </c>
      <c r="AQ1391" s="20">
        <v>89000</v>
      </c>
      <c r="AR1391" s="4">
        <v>41935</v>
      </c>
      <c r="AS1391" s="20">
        <v>22474.74747474747</v>
      </c>
      <c r="AT1391" s="20">
        <v>0</v>
      </c>
      <c r="AU1391" s="20">
        <v>-22474.74747474747</v>
      </c>
      <c r="AV1391" s="20">
        <v>0</v>
      </c>
      <c r="AW1391" s="20">
        <v>0</v>
      </c>
      <c r="AX1391" s="20" t="s">
        <v>91</v>
      </c>
      <c r="AY1391" s="20">
        <v>0</v>
      </c>
      <c r="AZ1391" s="20">
        <v>0</v>
      </c>
      <c r="BA1391" s="20">
        <v>0</v>
      </c>
      <c r="BB1391" s="6">
        <v>41947</v>
      </c>
      <c r="BC1391" s="6">
        <v>0</v>
      </c>
      <c r="BD1391" s="6">
        <v>41948</v>
      </c>
      <c r="BE1391" s="6">
        <v>0</v>
      </c>
      <c r="BF1391" s="6">
        <v>41947</v>
      </c>
      <c r="BG1391" s="6">
        <v>0</v>
      </c>
      <c r="BH1391" s="6">
        <v>0</v>
      </c>
      <c r="BI1391" s="6">
        <v>0</v>
      </c>
      <c r="BJ1391" s="6">
        <v>0</v>
      </c>
      <c r="BK1391" s="4">
        <v>0</v>
      </c>
      <c r="BL1391" s="4">
        <v>0</v>
      </c>
      <c r="BM1391" s="20">
        <v>279</v>
      </c>
      <c r="BN1391" s="20">
        <v>0</v>
      </c>
      <c r="BO1391" s="20">
        <v>0</v>
      </c>
      <c r="BP1391" s="20">
        <v>0</v>
      </c>
      <c r="BQ1391" s="20">
        <v>0</v>
      </c>
      <c r="BR1391" s="20">
        <v>0</v>
      </c>
      <c r="BS1391" s="20">
        <v>284</v>
      </c>
      <c r="BT1391" s="20">
        <v>6382828.2828282816</v>
      </c>
      <c r="BU1391" s="20">
        <v>25276000</v>
      </c>
      <c r="BV1391" s="20">
        <v>3.6000000000000005</v>
      </c>
    </row>
    <row r="1392" spans="1:74">
      <c r="A1392" s="10">
        <f t="shared" si="86"/>
        <v>0</v>
      </c>
      <c r="B1392" s="10">
        <f t="shared" si="87"/>
        <v>0</v>
      </c>
      <c r="C1392" s="12">
        <f t="shared" si="88"/>
        <v>11</v>
      </c>
      <c r="D1392" s="12">
        <f t="shared" si="89"/>
        <v>11</v>
      </c>
      <c r="E1392" s="20" t="s">
        <v>574</v>
      </c>
      <c r="F1392" s="20" t="s">
        <v>3089</v>
      </c>
      <c r="G1392" s="20" t="s">
        <v>5329</v>
      </c>
      <c r="H1392" s="20" t="s">
        <v>5330</v>
      </c>
      <c r="I1392" s="20">
        <v>1</v>
      </c>
      <c r="J1392" s="20" t="s">
        <v>5331</v>
      </c>
      <c r="K1392" s="20" t="s">
        <v>5333</v>
      </c>
      <c r="L1392" s="20" t="s">
        <v>5052</v>
      </c>
      <c r="M1392" s="20" t="s">
        <v>2667</v>
      </c>
      <c r="N1392" s="20" t="s">
        <v>4989</v>
      </c>
      <c r="P1392" s="20" t="s">
        <v>2667</v>
      </c>
      <c r="Q1392" s="20" t="s">
        <v>2674</v>
      </c>
      <c r="R1392" s="20" t="s">
        <v>84</v>
      </c>
      <c r="S1392" s="20">
        <v>5</v>
      </c>
      <c r="T1392" s="20" t="s">
        <v>922</v>
      </c>
      <c r="U1392" s="20" t="s">
        <v>923</v>
      </c>
      <c r="V1392" s="20" t="s">
        <v>87</v>
      </c>
      <c r="W1392" s="20">
        <v>628</v>
      </c>
      <c r="X1392" s="20">
        <v>628</v>
      </c>
      <c r="Y1392" s="20" t="s">
        <v>5053</v>
      </c>
      <c r="Z1392" s="20">
        <v>0</v>
      </c>
      <c r="AA1392" s="20" t="s">
        <v>5058</v>
      </c>
      <c r="AB1392" s="20" t="s">
        <v>159</v>
      </c>
      <c r="AC1392" s="20" t="s">
        <v>160</v>
      </c>
      <c r="AD1392" s="20" t="s">
        <v>5055</v>
      </c>
      <c r="AE1392" s="20" t="s">
        <v>5071</v>
      </c>
      <c r="AF1392" s="20">
        <v>0</v>
      </c>
      <c r="AG1392" s="20">
        <v>0</v>
      </c>
      <c r="AH1392" s="20">
        <v>1</v>
      </c>
      <c r="AI1392" s="4" t="s">
        <v>647</v>
      </c>
      <c r="AJ1392" s="20">
        <v>54</v>
      </c>
      <c r="AK1392" s="4" t="s">
        <v>5056</v>
      </c>
      <c r="AL1392" s="4">
        <v>2</v>
      </c>
      <c r="AM1392" s="4" t="s">
        <v>94</v>
      </c>
      <c r="AN1392" s="4" t="s">
        <v>95</v>
      </c>
      <c r="AO1392" s="4" t="s">
        <v>131</v>
      </c>
      <c r="AP1392" s="4">
        <v>2</v>
      </c>
      <c r="AQ1392" s="20">
        <v>89000</v>
      </c>
      <c r="AR1392" s="4">
        <v>41935</v>
      </c>
      <c r="AS1392" s="20">
        <v>22474.74747474747</v>
      </c>
      <c r="AT1392" s="20">
        <v>0</v>
      </c>
      <c r="AU1392" s="20">
        <v>-22474.74747474747</v>
      </c>
      <c r="AV1392" s="20">
        <v>0</v>
      </c>
      <c r="AW1392" s="20">
        <v>0</v>
      </c>
      <c r="AX1392" s="20" t="s">
        <v>91</v>
      </c>
      <c r="AY1392" s="20">
        <v>0</v>
      </c>
      <c r="AZ1392" s="20">
        <v>0</v>
      </c>
      <c r="BA1392" s="20">
        <v>0</v>
      </c>
      <c r="BB1392" s="6">
        <v>41947</v>
      </c>
      <c r="BC1392" s="6">
        <v>0</v>
      </c>
      <c r="BD1392" s="6">
        <v>41948</v>
      </c>
      <c r="BE1392" s="6">
        <v>0</v>
      </c>
      <c r="BF1392" s="6">
        <v>41947</v>
      </c>
      <c r="BG1392" s="6">
        <v>0</v>
      </c>
      <c r="BH1392" s="6">
        <v>0</v>
      </c>
      <c r="BI1392" s="6">
        <v>0</v>
      </c>
      <c r="BJ1392" s="6">
        <v>0</v>
      </c>
      <c r="BK1392" s="4">
        <v>0</v>
      </c>
      <c r="BL1392" s="4">
        <v>0</v>
      </c>
      <c r="BM1392" s="20">
        <v>48</v>
      </c>
      <c r="BN1392" s="20">
        <v>0</v>
      </c>
      <c r="BO1392" s="20">
        <v>0</v>
      </c>
      <c r="BP1392" s="20">
        <v>0</v>
      </c>
      <c r="BQ1392" s="20">
        <v>0</v>
      </c>
      <c r="BS1392" s="20">
        <v>54</v>
      </c>
      <c r="BT1392" s="20">
        <v>1213636.3636363633</v>
      </c>
      <c r="BU1392" s="20">
        <v>4806000</v>
      </c>
      <c r="BV1392" s="20">
        <v>3.6000000000000005</v>
      </c>
    </row>
    <row r="1393" spans="1:74">
      <c r="A1393" s="10">
        <f t="shared" si="86"/>
        <v>0</v>
      </c>
      <c r="B1393" s="10">
        <f t="shared" si="87"/>
        <v>0</v>
      </c>
      <c r="C1393" s="12">
        <f t="shared" si="88"/>
        <v>11</v>
      </c>
      <c r="D1393" s="12">
        <f t="shared" si="89"/>
        <v>11</v>
      </c>
      <c r="E1393" s="20" t="s">
        <v>574</v>
      </c>
      <c r="F1393" s="20" t="s">
        <v>3089</v>
      </c>
      <c r="G1393" s="20" t="s">
        <v>5329</v>
      </c>
      <c r="H1393" s="20" t="s">
        <v>5334</v>
      </c>
      <c r="I1393" s="20">
        <v>2</v>
      </c>
      <c r="J1393" s="20" t="s">
        <v>5335</v>
      </c>
      <c r="K1393" s="20" t="s">
        <v>5336</v>
      </c>
      <c r="L1393" s="20" t="s">
        <v>5062</v>
      </c>
      <c r="M1393" s="20" t="s">
        <v>2667</v>
      </c>
      <c r="N1393" s="20" t="s">
        <v>4989</v>
      </c>
      <c r="P1393" s="20" t="s">
        <v>2667</v>
      </c>
      <c r="Q1393" s="20" t="s">
        <v>2674</v>
      </c>
      <c r="R1393" s="20" t="s">
        <v>84</v>
      </c>
      <c r="S1393" s="20">
        <v>5</v>
      </c>
      <c r="T1393" s="20" t="s">
        <v>922</v>
      </c>
      <c r="U1393" s="20" t="s">
        <v>923</v>
      </c>
      <c r="V1393" s="20" t="s">
        <v>87</v>
      </c>
      <c r="W1393" s="20">
        <v>629</v>
      </c>
      <c r="X1393" s="20">
        <v>629</v>
      </c>
      <c r="Y1393" s="20" t="s">
        <v>5063</v>
      </c>
      <c r="Z1393" s="20">
        <v>0</v>
      </c>
      <c r="AA1393" s="20" t="s">
        <v>5064</v>
      </c>
      <c r="AB1393" s="20" t="s">
        <v>101</v>
      </c>
      <c r="AC1393" s="20" t="s">
        <v>102</v>
      </c>
      <c r="AD1393" s="20" t="s">
        <v>5065</v>
      </c>
      <c r="AE1393" s="20" t="s">
        <v>5071</v>
      </c>
      <c r="AF1393" s="20">
        <v>0</v>
      </c>
      <c r="AG1393" s="20">
        <v>0</v>
      </c>
      <c r="AH1393" s="20">
        <v>1</v>
      </c>
      <c r="AI1393" s="4" t="s">
        <v>645</v>
      </c>
      <c r="AJ1393" s="20">
        <v>24</v>
      </c>
      <c r="AK1393" s="4" t="s">
        <v>5056</v>
      </c>
      <c r="AL1393" s="4">
        <v>2</v>
      </c>
      <c r="AM1393" s="4" t="s">
        <v>94</v>
      </c>
      <c r="AN1393" s="4" t="s">
        <v>95</v>
      </c>
      <c r="AO1393" s="4" t="s">
        <v>131</v>
      </c>
      <c r="AP1393" s="4">
        <v>2</v>
      </c>
      <c r="AQ1393" s="20">
        <v>89000</v>
      </c>
      <c r="AR1393" s="4">
        <v>41935</v>
      </c>
      <c r="AS1393" s="20">
        <v>22474.74747474747</v>
      </c>
      <c r="AT1393" s="20">
        <v>0</v>
      </c>
      <c r="AU1393" s="20">
        <v>-22474.74747474747</v>
      </c>
      <c r="AV1393" s="20">
        <v>0</v>
      </c>
      <c r="AW1393" s="20">
        <v>0</v>
      </c>
      <c r="AX1393" s="20" t="s">
        <v>91</v>
      </c>
      <c r="AY1393" s="20">
        <v>0</v>
      </c>
      <c r="AZ1393" s="20">
        <v>0</v>
      </c>
      <c r="BA1393" s="20">
        <v>0</v>
      </c>
      <c r="BB1393" s="6">
        <v>41947</v>
      </c>
      <c r="BC1393" s="6">
        <v>0</v>
      </c>
      <c r="BD1393" s="6">
        <v>41948</v>
      </c>
      <c r="BE1393" s="6">
        <v>0</v>
      </c>
      <c r="BF1393" s="6">
        <v>41953</v>
      </c>
      <c r="BG1393" s="6">
        <v>0</v>
      </c>
      <c r="BH1393" s="6">
        <v>0</v>
      </c>
      <c r="BI1393" s="6">
        <v>0</v>
      </c>
      <c r="BJ1393" s="6">
        <v>0</v>
      </c>
      <c r="BK1393" s="4">
        <v>0</v>
      </c>
      <c r="BL1393" s="4">
        <v>0</v>
      </c>
      <c r="BM1393" s="20">
        <v>26</v>
      </c>
      <c r="BN1393" s="20">
        <v>0</v>
      </c>
      <c r="BO1393" s="20">
        <v>0</v>
      </c>
      <c r="BP1393" s="20">
        <v>0</v>
      </c>
      <c r="BQ1393" s="20">
        <v>0</v>
      </c>
      <c r="BR1393" s="20">
        <v>0</v>
      </c>
      <c r="BS1393" s="20">
        <v>24</v>
      </c>
      <c r="BT1393" s="20">
        <v>539393.93939393922</v>
      </c>
      <c r="BU1393" s="20">
        <v>2136000</v>
      </c>
      <c r="BV1393" s="20">
        <v>3.600000000000001</v>
      </c>
    </row>
    <row r="1394" spans="1:74">
      <c r="A1394" s="10">
        <f t="shared" si="86"/>
        <v>0</v>
      </c>
      <c r="B1394" s="10">
        <f t="shared" si="87"/>
        <v>0</v>
      </c>
      <c r="C1394" s="12" t="str">
        <f t="shared" si="88"/>
        <v/>
      </c>
      <c r="D1394" s="12" t="str">
        <f t="shared" si="89"/>
        <v/>
      </c>
      <c r="E1394" s="20" t="s">
        <v>91</v>
      </c>
      <c r="F1394" s="20" t="s">
        <v>91</v>
      </c>
      <c r="G1394" s="20" t="s">
        <v>91</v>
      </c>
      <c r="H1394" s="20" t="s">
        <v>91</v>
      </c>
      <c r="I1394" s="20">
        <v>0</v>
      </c>
      <c r="J1394" s="20" t="s">
        <v>103</v>
      </c>
      <c r="K1394" s="20" t="s">
        <v>104</v>
      </c>
      <c r="L1394" s="20">
        <v>0</v>
      </c>
      <c r="M1394" s="20" t="s">
        <v>105</v>
      </c>
      <c r="N1394" s="20" t="s">
        <v>91</v>
      </c>
      <c r="O1394" s="20" t="s">
        <v>5337</v>
      </c>
      <c r="Q1394" s="20" t="s">
        <v>91</v>
      </c>
      <c r="R1394" s="20" t="s">
        <v>91</v>
      </c>
      <c r="S1394" s="20" t="s">
        <v>91</v>
      </c>
      <c r="U1394" s="20" t="s">
        <v>91</v>
      </c>
      <c r="V1394" s="20" t="s">
        <v>87</v>
      </c>
      <c r="X1394" s="20" t="s">
        <v>91</v>
      </c>
      <c r="Y1394" s="20" t="s">
        <v>91</v>
      </c>
      <c r="Z1394" s="20">
        <v>0</v>
      </c>
      <c r="AB1394" s="20" t="s">
        <v>91</v>
      </c>
      <c r="AD1394" s="20" t="s">
        <v>91</v>
      </c>
      <c r="AE1394" s="20" t="s">
        <v>91</v>
      </c>
      <c r="AF1394" s="20">
        <v>0</v>
      </c>
      <c r="AG1394" s="20">
        <v>0</v>
      </c>
      <c r="AH1394" s="20">
        <v>1</v>
      </c>
      <c r="AM1394" s="4" t="s">
        <v>91</v>
      </c>
      <c r="AP1394" s="4" t="s">
        <v>91</v>
      </c>
      <c r="AQ1394" s="20">
        <v>0</v>
      </c>
      <c r="AR1394" s="4">
        <v>0</v>
      </c>
      <c r="AS1394" s="20">
        <v>0</v>
      </c>
      <c r="AT1394" s="20">
        <v>0</v>
      </c>
      <c r="AU1394" s="20">
        <v>0</v>
      </c>
      <c r="AV1394" s="20">
        <v>0</v>
      </c>
      <c r="AW1394" s="20">
        <v>0</v>
      </c>
      <c r="AX1394" s="20" t="s">
        <v>91</v>
      </c>
      <c r="AY1394" s="20">
        <v>0</v>
      </c>
      <c r="AZ1394" s="20">
        <v>0</v>
      </c>
      <c r="BA1394" s="20">
        <v>0</v>
      </c>
      <c r="BB1394" s="6">
        <v>0</v>
      </c>
      <c r="BC1394" s="6">
        <v>0</v>
      </c>
      <c r="BD1394" s="6">
        <v>0</v>
      </c>
      <c r="BE1394" s="6">
        <v>0</v>
      </c>
      <c r="BF1394" s="6">
        <v>0</v>
      </c>
      <c r="BG1394" s="6">
        <v>0</v>
      </c>
      <c r="BH1394" s="6">
        <v>0</v>
      </c>
      <c r="BI1394" s="6">
        <v>0</v>
      </c>
      <c r="BJ1394" s="6">
        <v>0</v>
      </c>
      <c r="BK1394" s="4">
        <v>0</v>
      </c>
      <c r="BL1394" s="4">
        <v>0</v>
      </c>
      <c r="BM1394" s="20">
        <v>353</v>
      </c>
      <c r="BN1394" s="20">
        <v>0</v>
      </c>
      <c r="BO1394" s="20">
        <v>0</v>
      </c>
      <c r="BP1394" s="20">
        <v>0</v>
      </c>
      <c r="BQ1394" s="20">
        <v>0</v>
      </c>
      <c r="BR1394" s="20">
        <v>0</v>
      </c>
      <c r="BS1394" s="20">
        <v>362</v>
      </c>
      <c r="BT1394" s="20">
        <v>8135858.5858585844</v>
      </c>
      <c r="BU1394" s="20">
        <v>32218000</v>
      </c>
      <c r="BV1394" s="20">
        <v>3.6</v>
      </c>
    </row>
    <row r="1395" spans="1:74">
      <c r="A1395" s="10">
        <f t="shared" si="86"/>
        <v>0</v>
      </c>
      <c r="B1395" s="10">
        <f t="shared" si="87"/>
        <v>0</v>
      </c>
      <c r="C1395" s="12">
        <f t="shared" si="88"/>
        <v>11</v>
      </c>
      <c r="D1395" s="12">
        <f t="shared" si="89"/>
        <v>11</v>
      </c>
      <c r="E1395" s="20" t="s">
        <v>574</v>
      </c>
      <c r="F1395" s="20" t="s">
        <v>3089</v>
      </c>
      <c r="G1395" s="20" t="s">
        <v>5348</v>
      </c>
      <c r="H1395" s="20" t="s">
        <v>5349</v>
      </c>
      <c r="I1395" s="20">
        <v>1</v>
      </c>
      <c r="J1395" s="20" t="s">
        <v>5350</v>
      </c>
      <c r="K1395" s="20" t="s">
        <v>5351</v>
      </c>
      <c r="L1395" s="20" t="s">
        <v>5006</v>
      </c>
      <c r="M1395" s="20" t="s">
        <v>2667</v>
      </c>
      <c r="N1395" s="20" t="s">
        <v>4989</v>
      </c>
      <c r="P1395" s="20" t="s">
        <v>2667</v>
      </c>
      <c r="Q1395" s="20" t="s">
        <v>2674</v>
      </c>
      <c r="R1395" s="20" t="s">
        <v>84</v>
      </c>
      <c r="S1395" s="20">
        <v>5</v>
      </c>
      <c r="T1395" s="20" t="s">
        <v>922</v>
      </c>
      <c r="U1395" s="20" t="s">
        <v>923</v>
      </c>
      <c r="V1395" s="20" t="s">
        <v>87</v>
      </c>
      <c r="W1395" s="20">
        <v>617</v>
      </c>
      <c r="X1395" s="20">
        <v>617</v>
      </c>
      <c r="Y1395" s="20" t="s">
        <v>5007</v>
      </c>
      <c r="Z1395" s="20">
        <v>0.33333333333333331</v>
      </c>
      <c r="AA1395" s="20" t="s">
        <v>5352</v>
      </c>
      <c r="AB1395" s="20" t="s">
        <v>109</v>
      </c>
      <c r="AC1395" s="20" t="s">
        <v>110</v>
      </c>
      <c r="AD1395" s="20" t="s">
        <v>5009</v>
      </c>
      <c r="AE1395" s="20" t="s">
        <v>400</v>
      </c>
      <c r="AF1395" s="20">
        <v>0.33333333333333331</v>
      </c>
      <c r="AG1395" s="20">
        <v>0</v>
      </c>
      <c r="AH1395" s="20">
        <v>1</v>
      </c>
      <c r="AI1395" s="4" t="s">
        <v>649</v>
      </c>
      <c r="AJ1395" s="20">
        <v>1</v>
      </c>
      <c r="AK1395" s="4" t="s">
        <v>641</v>
      </c>
      <c r="AL1395" s="4">
        <v>10</v>
      </c>
      <c r="AM1395" s="4">
        <v>10</v>
      </c>
      <c r="AN1395" s="4" t="s">
        <v>95</v>
      </c>
      <c r="AO1395" s="4" t="s">
        <v>96</v>
      </c>
      <c r="AP1395" s="4">
        <v>1</v>
      </c>
      <c r="AQ1395" s="20">
        <v>79000</v>
      </c>
      <c r="AR1395" s="4">
        <v>41935</v>
      </c>
      <c r="AS1395" s="20">
        <v>14363.636363636362</v>
      </c>
      <c r="AT1395" s="20">
        <v>0</v>
      </c>
      <c r="AU1395" s="20">
        <v>-14363.636363636362</v>
      </c>
      <c r="AV1395" s="20">
        <v>0</v>
      </c>
      <c r="AW1395" s="20">
        <v>0</v>
      </c>
      <c r="AX1395" s="20" t="s">
        <v>91</v>
      </c>
      <c r="AY1395" s="20">
        <v>0</v>
      </c>
      <c r="AZ1395" s="20">
        <v>0</v>
      </c>
      <c r="BA1395" s="20">
        <v>0</v>
      </c>
      <c r="BB1395" s="6">
        <v>41953</v>
      </c>
      <c r="BC1395" s="6">
        <v>0</v>
      </c>
      <c r="BD1395" s="6">
        <v>41956</v>
      </c>
      <c r="BE1395" s="6">
        <v>0</v>
      </c>
      <c r="BF1395" s="6">
        <v>41953</v>
      </c>
      <c r="BG1395" s="6">
        <v>0</v>
      </c>
      <c r="BH1395" s="6">
        <v>0</v>
      </c>
      <c r="BI1395" s="6">
        <v>0</v>
      </c>
      <c r="BJ1395" s="6">
        <v>0</v>
      </c>
      <c r="BK1395" s="4">
        <v>0</v>
      </c>
      <c r="BL1395" s="4">
        <v>0</v>
      </c>
      <c r="BM1395" s="20">
        <v>1</v>
      </c>
      <c r="BN1395" s="20">
        <v>0</v>
      </c>
      <c r="BO1395" s="20">
        <v>0</v>
      </c>
      <c r="BP1395" s="20">
        <v>0</v>
      </c>
      <c r="BQ1395" s="20">
        <v>0</v>
      </c>
      <c r="BR1395" s="20">
        <v>0</v>
      </c>
      <c r="BS1395" s="20">
        <v>1</v>
      </c>
      <c r="BT1395" s="20">
        <v>14363.636363636362</v>
      </c>
      <c r="BU1395" s="20">
        <v>79000</v>
      </c>
      <c r="BV1395" s="20">
        <v>5</v>
      </c>
    </row>
    <row r="1396" spans="1:74">
      <c r="A1396" s="10">
        <f t="shared" si="86"/>
        <v>0</v>
      </c>
      <c r="B1396" s="10">
        <f t="shared" si="87"/>
        <v>0</v>
      </c>
      <c r="C1396" s="12">
        <f t="shared" si="88"/>
        <v>11</v>
      </c>
      <c r="D1396" s="12">
        <f t="shared" si="89"/>
        <v>11</v>
      </c>
      <c r="E1396" s="20" t="s">
        <v>574</v>
      </c>
      <c r="F1396" s="20" t="s">
        <v>3089</v>
      </c>
      <c r="G1396" s="20" t="s">
        <v>5348</v>
      </c>
      <c r="H1396" s="20" t="s">
        <v>5353</v>
      </c>
      <c r="I1396" s="20">
        <v>2</v>
      </c>
      <c r="J1396" s="20" t="s">
        <v>5354</v>
      </c>
      <c r="K1396" s="20" t="s">
        <v>5355</v>
      </c>
      <c r="L1396" s="20" t="s">
        <v>5006</v>
      </c>
      <c r="M1396" s="20" t="s">
        <v>2667</v>
      </c>
      <c r="N1396" s="20" t="s">
        <v>4989</v>
      </c>
      <c r="P1396" s="20" t="s">
        <v>2667</v>
      </c>
      <c r="Q1396" s="20" t="s">
        <v>2674</v>
      </c>
      <c r="R1396" s="20" t="s">
        <v>84</v>
      </c>
      <c r="S1396" s="20">
        <v>5</v>
      </c>
      <c r="T1396" s="20" t="s">
        <v>922</v>
      </c>
      <c r="U1396" s="20" t="s">
        <v>923</v>
      </c>
      <c r="V1396" s="20" t="s">
        <v>87</v>
      </c>
      <c r="W1396" s="20">
        <v>617</v>
      </c>
      <c r="X1396" s="20">
        <v>617</v>
      </c>
      <c r="Y1396" s="20" t="s">
        <v>5007</v>
      </c>
      <c r="Z1396" s="20">
        <v>0.5</v>
      </c>
      <c r="AA1396" s="20" t="s">
        <v>5356</v>
      </c>
      <c r="AB1396" s="20" t="s">
        <v>89</v>
      </c>
      <c r="AC1396" s="20" t="s">
        <v>90</v>
      </c>
      <c r="AD1396" s="20" t="s">
        <v>5016</v>
      </c>
      <c r="AE1396" s="20" t="s">
        <v>400</v>
      </c>
      <c r="AF1396" s="20">
        <v>0.5</v>
      </c>
      <c r="AG1396" s="20">
        <v>0</v>
      </c>
      <c r="AH1396" s="20">
        <v>1</v>
      </c>
      <c r="AI1396" s="4" t="s">
        <v>647</v>
      </c>
      <c r="AJ1396" s="20">
        <v>1</v>
      </c>
      <c r="AK1396" s="4" t="s">
        <v>641</v>
      </c>
      <c r="AL1396" s="4">
        <v>10</v>
      </c>
      <c r="AM1396" s="4">
        <v>10</v>
      </c>
      <c r="AN1396" s="4" t="s">
        <v>95</v>
      </c>
      <c r="AO1396" s="4" t="s">
        <v>96</v>
      </c>
      <c r="AP1396" s="4">
        <v>1</v>
      </c>
      <c r="AQ1396" s="20">
        <v>79000</v>
      </c>
      <c r="AR1396" s="4">
        <v>41935</v>
      </c>
      <c r="AS1396" s="20">
        <v>14363.636363636362</v>
      </c>
      <c r="AT1396" s="20">
        <v>0</v>
      </c>
      <c r="AU1396" s="20">
        <v>-14363.636363636362</v>
      </c>
      <c r="AV1396" s="20">
        <v>0</v>
      </c>
      <c r="AW1396" s="20">
        <v>0</v>
      </c>
      <c r="AX1396" s="20" t="s">
        <v>91</v>
      </c>
      <c r="AY1396" s="20">
        <v>0</v>
      </c>
      <c r="AZ1396" s="20">
        <v>0</v>
      </c>
      <c r="BA1396" s="20">
        <v>0</v>
      </c>
      <c r="BB1396" s="6">
        <v>41953</v>
      </c>
      <c r="BC1396" s="6">
        <v>0</v>
      </c>
      <c r="BD1396" s="6">
        <v>41956</v>
      </c>
      <c r="BE1396" s="6">
        <v>0</v>
      </c>
      <c r="BF1396" s="6">
        <v>41953</v>
      </c>
      <c r="BG1396" s="6">
        <v>0</v>
      </c>
      <c r="BH1396" s="6">
        <v>0</v>
      </c>
      <c r="BI1396" s="6">
        <v>0</v>
      </c>
      <c r="BJ1396" s="6">
        <v>0</v>
      </c>
      <c r="BK1396" s="4">
        <v>0</v>
      </c>
      <c r="BL1396" s="4">
        <v>0</v>
      </c>
      <c r="BM1396" s="20">
        <v>1</v>
      </c>
      <c r="BN1396" s="20">
        <v>0</v>
      </c>
      <c r="BO1396" s="20">
        <v>0</v>
      </c>
      <c r="BP1396" s="20">
        <v>0</v>
      </c>
      <c r="BQ1396" s="20">
        <v>0</v>
      </c>
      <c r="BR1396" s="20">
        <v>0</v>
      </c>
      <c r="BS1396" s="20">
        <v>1</v>
      </c>
      <c r="BT1396" s="20">
        <v>14363.636363636362</v>
      </c>
      <c r="BU1396" s="20">
        <v>79000</v>
      </c>
      <c r="BV1396" s="20">
        <v>5</v>
      </c>
    </row>
    <row r="1397" spans="1:74">
      <c r="A1397" s="10">
        <f t="shared" si="86"/>
        <v>0</v>
      </c>
      <c r="B1397" s="10">
        <f t="shared" si="87"/>
        <v>0</v>
      </c>
      <c r="C1397" s="12">
        <f t="shared" si="88"/>
        <v>11</v>
      </c>
      <c r="D1397" s="12">
        <f t="shared" si="89"/>
        <v>11</v>
      </c>
      <c r="E1397" s="20" t="s">
        <v>574</v>
      </c>
      <c r="F1397" s="20" t="s">
        <v>3089</v>
      </c>
      <c r="G1397" s="20" t="s">
        <v>5348</v>
      </c>
      <c r="H1397" s="20" t="s">
        <v>5357</v>
      </c>
      <c r="I1397" s="20">
        <v>3</v>
      </c>
      <c r="J1397" s="20" t="s">
        <v>5358</v>
      </c>
      <c r="K1397" s="20" t="s">
        <v>5359</v>
      </c>
      <c r="L1397" s="20" t="s">
        <v>5020</v>
      </c>
      <c r="M1397" s="20" t="s">
        <v>2667</v>
      </c>
      <c r="N1397" s="20" t="s">
        <v>4989</v>
      </c>
      <c r="P1397" s="20" t="s">
        <v>2667</v>
      </c>
      <c r="Q1397" s="20" t="s">
        <v>2674</v>
      </c>
      <c r="R1397" s="20" t="s">
        <v>84</v>
      </c>
      <c r="S1397" s="20">
        <v>5</v>
      </c>
      <c r="T1397" s="20" t="s">
        <v>922</v>
      </c>
      <c r="U1397" s="20" t="s">
        <v>923</v>
      </c>
      <c r="V1397" s="20" t="s">
        <v>87</v>
      </c>
      <c r="W1397" s="20">
        <v>618</v>
      </c>
      <c r="X1397" s="20">
        <v>618</v>
      </c>
      <c r="Y1397" s="20" t="s">
        <v>5021</v>
      </c>
      <c r="Z1397" s="20">
        <v>0.5</v>
      </c>
      <c r="AA1397" s="20" t="s">
        <v>5360</v>
      </c>
      <c r="AB1397" s="20" t="s">
        <v>248</v>
      </c>
      <c r="AC1397" s="20" t="s">
        <v>249</v>
      </c>
      <c r="AD1397" s="20" t="s">
        <v>5361</v>
      </c>
      <c r="AE1397" s="20" t="s">
        <v>400</v>
      </c>
      <c r="AF1397" s="20">
        <v>0.5</v>
      </c>
      <c r="AG1397" s="20">
        <v>0</v>
      </c>
      <c r="AH1397" s="20">
        <v>1</v>
      </c>
      <c r="AI1397" s="4" t="s">
        <v>645</v>
      </c>
      <c r="AJ1397" s="20">
        <v>3</v>
      </c>
      <c r="AK1397" s="4" t="s">
        <v>641</v>
      </c>
      <c r="AL1397" s="4">
        <v>10</v>
      </c>
      <c r="AM1397" s="4">
        <v>10</v>
      </c>
      <c r="AN1397" s="4" t="s">
        <v>95</v>
      </c>
      <c r="AO1397" s="4" t="s">
        <v>96</v>
      </c>
      <c r="AP1397" s="4">
        <v>1</v>
      </c>
      <c r="AQ1397" s="20">
        <v>79000</v>
      </c>
      <c r="AR1397" s="4">
        <v>41935</v>
      </c>
      <c r="AS1397" s="20">
        <v>14363.636363636362</v>
      </c>
      <c r="AT1397" s="20">
        <v>0</v>
      </c>
      <c r="AU1397" s="20">
        <v>-14363.636363636362</v>
      </c>
      <c r="AV1397" s="20">
        <v>0</v>
      </c>
      <c r="AW1397" s="20">
        <v>0</v>
      </c>
      <c r="AX1397" s="20" t="s">
        <v>91</v>
      </c>
      <c r="AY1397" s="20">
        <v>0</v>
      </c>
      <c r="AZ1397" s="20">
        <v>0</v>
      </c>
      <c r="BA1397" s="20">
        <v>0</v>
      </c>
      <c r="BB1397" s="6">
        <v>41953</v>
      </c>
      <c r="BC1397" s="6">
        <v>0</v>
      </c>
      <c r="BD1397" s="6">
        <v>41956</v>
      </c>
      <c r="BE1397" s="6">
        <v>0</v>
      </c>
      <c r="BF1397" s="6">
        <v>41953</v>
      </c>
      <c r="BG1397" s="6">
        <v>0</v>
      </c>
      <c r="BH1397" s="6">
        <v>0</v>
      </c>
      <c r="BI1397" s="6">
        <v>0</v>
      </c>
      <c r="BJ1397" s="6">
        <v>0</v>
      </c>
      <c r="BK1397" s="4">
        <v>0</v>
      </c>
      <c r="BL1397" s="4">
        <v>0</v>
      </c>
      <c r="BM1397" s="20">
        <v>3</v>
      </c>
      <c r="BN1397" s="20">
        <v>0</v>
      </c>
      <c r="BO1397" s="20">
        <v>0</v>
      </c>
      <c r="BP1397" s="20">
        <v>0</v>
      </c>
      <c r="BQ1397" s="20">
        <v>0</v>
      </c>
      <c r="BR1397" s="20">
        <v>0</v>
      </c>
      <c r="BS1397" s="20">
        <v>3</v>
      </c>
      <c r="BT1397" s="20">
        <v>43090.909090909088</v>
      </c>
      <c r="BU1397" s="20">
        <v>237000</v>
      </c>
      <c r="BV1397" s="20">
        <v>5</v>
      </c>
    </row>
    <row r="1398" spans="1:74">
      <c r="A1398" s="10">
        <f t="shared" si="86"/>
        <v>0</v>
      </c>
      <c r="B1398" s="10">
        <f t="shared" si="87"/>
        <v>0</v>
      </c>
      <c r="C1398" s="12">
        <f t="shared" si="88"/>
        <v>11</v>
      </c>
      <c r="D1398" s="12">
        <f t="shared" si="89"/>
        <v>11</v>
      </c>
      <c r="E1398" s="20" t="s">
        <v>574</v>
      </c>
      <c r="F1398" s="20" t="s">
        <v>3089</v>
      </c>
      <c r="G1398" s="20" t="s">
        <v>5348</v>
      </c>
      <c r="H1398" s="20" t="s">
        <v>5357</v>
      </c>
      <c r="I1398" s="20">
        <v>3</v>
      </c>
      <c r="J1398" s="20" t="s">
        <v>5358</v>
      </c>
      <c r="K1398" s="20" t="s">
        <v>5362</v>
      </c>
      <c r="L1398" s="20" t="s">
        <v>5020</v>
      </c>
      <c r="M1398" s="20" t="s">
        <v>2667</v>
      </c>
      <c r="N1398" s="20" t="s">
        <v>4989</v>
      </c>
      <c r="P1398" s="20" t="s">
        <v>2667</v>
      </c>
      <c r="Q1398" s="20" t="s">
        <v>2674</v>
      </c>
      <c r="R1398" s="20" t="s">
        <v>84</v>
      </c>
      <c r="S1398" s="20">
        <v>5</v>
      </c>
      <c r="T1398" s="20" t="s">
        <v>922</v>
      </c>
      <c r="U1398" s="20" t="s">
        <v>923</v>
      </c>
      <c r="V1398" s="20" t="s">
        <v>87</v>
      </c>
      <c r="W1398" s="20">
        <v>618</v>
      </c>
      <c r="X1398" s="20">
        <v>618</v>
      </c>
      <c r="Y1398" s="20" t="s">
        <v>5021</v>
      </c>
      <c r="Z1398" s="20">
        <v>0.5</v>
      </c>
      <c r="AA1398" s="20" t="s">
        <v>5363</v>
      </c>
      <c r="AB1398" s="20" t="s">
        <v>248</v>
      </c>
      <c r="AC1398" s="20" t="s">
        <v>249</v>
      </c>
      <c r="AD1398" s="20" t="s">
        <v>5361</v>
      </c>
      <c r="AE1398" s="20" t="s">
        <v>400</v>
      </c>
      <c r="AF1398" s="20">
        <v>0.5</v>
      </c>
      <c r="AG1398" s="20">
        <v>0</v>
      </c>
      <c r="AH1398" s="20">
        <v>1</v>
      </c>
      <c r="AI1398" s="4" t="s">
        <v>647</v>
      </c>
      <c r="AJ1398" s="20">
        <v>2</v>
      </c>
      <c r="AK1398" s="4" t="s">
        <v>641</v>
      </c>
      <c r="AL1398" s="4">
        <v>10</v>
      </c>
      <c r="AM1398" s="4">
        <v>10</v>
      </c>
      <c r="AN1398" s="4" t="s">
        <v>95</v>
      </c>
      <c r="AO1398" s="4" t="s">
        <v>96</v>
      </c>
      <c r="AP1398" s="4">
        <v>1</v>
      </c>
      <c r="AQ1398" s="20">
        <v>79000</v>
      </c>
      <c r="AR1398" s="4">
        <v>41935</v>
      </c>
      <c r="AS1398" s="20">
        <v>14363.636363636362</v>
      </c>
      <c r="AT1398" s="20">
        <v>0</v>
      </c>
      <c r="AU1398" s="20">
        <v>-14363.636363636362</v>
      </c>
      <c r="AV1398" s="20">
        <v>0</v>
      </c>
      <c r="AW1398" s="20">
        <v>0</v>
      </c>
      <c r="AX1398" s="20" t="s">
        <v>91</v>
      </c>
      <c r="AY1398" s="20">
        <v>0</v>
      </c>
      <c r="AZ1398" s="20">
        <v>0</v>
      </c>
      <c r="BA1398" s="20">
        <v>0</v>
      </c>
      <c r="BB1398" s="6">
        <v>41953</v>
      </c>
      <c r="BC1398" s="6">
        <v>0</v>
      </c>
      <c r="BD1398" s="6">
        <v>41956</v>
      </c>
      <c r="BE1398" s="6">
        <v>0</v>
      </c>
      <c r="BF1398" s="6">
        <v>41953</v>
      </c>
      <c r="BG1398" s="6">
        <v>0</v>
      </c>
      <c r="BH1398" s="6">
        <v>0</v>
      </c>
      <c r="BI1398" s="6">
        <v>0</v>
      </c>
      <c r="BJ1398" s="6">
        <v>0</v>
      </c>
      <c r="BK1398" s="4">
        <v>0</v>
      </c>
      <c r="BL1398" s="4">
        <v>0</v>
      </c>
      <c r="BM1398" s="20">
        <v>2</v>
      </c>
      <c r="BN1398" s="20">
        <v>0</v>
      </c>
      <c r="BO1398" s="20">
        <v>0</v>
      </c>
      <c r="BP1398" s="20">
        <v>0</v>
      </c>
      <c r="BQ1398" s="20">
        <v>0</v>
      </c>
      <c r="BR1398" s="20">
        <v>0</v>
      </c>
      <c r="BS1398" s="20">
        <v>2</v>
      </c>
      <c r="BT1398" s="20">
        <v>28727.272727272724</v>
      </c>
      <c r="BU1398" s="20">
        <v>158000</v>
      </c>
      <c r="BV1398" s="20">
        <v>5</v>
      </c>
    </row>
    <row r="1399" spans="1:74">
      <c r="A1399" s="10">
        <f t="shared" si="86"/>
        <v>0</v>
      </c>
      <c r="B1399" s="10">
        <f t="shared" si="87"/>
        <v>0</v>
      </c>
      <c r="C1399" s="12">
        <f t="shared" si="88"/>
        <v>11</v>
      </c>
      <c r="D1399" s="12">
        <f t="shared" si="89"/>
        <v>11</v>
      </c>
      <c r="E1399" s="20" t="s">
        <v>574</v>
      </c>
      <c r="F1399" s="20" t="s">
        <v>3089</v>
      </c>
      <c r="G1399" s="20" t="s">
        <v>5348</v>
      </c>
      <c r="H1399" s="20" t="s">
        <v>5364</v>
      </c>
      <c r="I1399" s="20">
        <v>4</v>
      </c>
      <c r="J1399" s="20" t="s">
        <v>5365</v>
      </c>
      <c r="K1399" s="20" t="s">
        <v>5366</v>
      </c>
      <c r="L1399" s="20" t="s">
        <v>5020</v>
      </c>
      <c r="M1399" s="20" t="s">
        <v>2667</v>
      </c>
      <c r="N1399" s="20" t="s">
        <v>4989</v>
      </c>
      <c r="P1399" s="20" t="s">
        <v>2667</v>
      </c>
      <c r="Q1399" s="20" t="s">
        <v>2674</v>
      </c>
      <c r="R1399" s="20" t="s">
        <v>84</v>
      </c>
      <c r="S1399" s="20">
        <v>5</v>
      </c>
      <c r="T1399" s="20" t="s">
        <v>922</v>
      </c>
      <c r="U1399" s="20" t="s">
        <v>923</v>
      </c>
      <c r="V1399" s="20" t="s">
        <v>87</v>
      </c>
      <c r="W1399" s="20">
        <v>618</v>
      </c>
      <c r="X1399" s="20">
        <v>618</v>
      </c>
      <c r="Y1399" s="20" t="s">
        <v>5021</v>
      </c>
      <c r="Z1399" s="20">
        <v>0.5</v>
      </c>
      <c r="AA1399" s="20" t="s">
        <v>5367</v>
      </c>
      <c r="AB1399" s="20" t="s">
        <v>159</v>
      </c>
      <c r="AC1399" s="20" t="s">
        <v>160</v>
      </c>
      <c r="AD1399" s="20" t="s">
        <v>5023</v>
      </c>
      <c r="AE1399" s="20" t="s">
        <v>400</v>
      </c>
      <c r="AF1399" s="20">
        <v>0.5</v>
      </c>
      <c r="AG1399" s="20">
        <v>0</v>
      </c>
      <c r="AH1399" s="20">
        <v>1</v>
      </c>
      <c r="AI1399" s="4" t="s">
        <v>647</v>
      </c>
      <c r="AJ1399" s="20">
        <v>6</v>
      </c>
      <c r="AK1399" s="4" t="s">
        <v>641</v>
      </c>
      <c r="AL1399" s="4">
        <v>10</v>
      </c>
      <c r="AM1399" s="4">
        <v>10</v>
      </c>
      <c r="AN1399" s="4" t="s">
        <v>95</v>
      </c>
      <c r="AO1399" s="4" t="s">
        <v>96</v>
      </c>
      <c r="AP1399" s="4">
        <v>1</v>
      </c>
      <c r="AQ1399" s="20">
        <v>79000</v>
      </c>
      <c r="AR1399" s="4">
        <v>41935</v>
      </c>
      <c r="AS1399" s="20">
        <v>14363.636363636362</v>
      </c>
      <c r="AT1399" s="20">
        <v>0</v>
      </c>
      <c r="AU1399" s="20">
        <v>-14363.636363636362</v>
      </c>
      <c r="AV1399" s="20">
        <v>0</v>
      </c>
      <c r="AW1399" s="20">
        <v>0</v>
      </c>
      <c r="AX1399" s="20" t="s">
        <v>91</v>
      </c>
      <c r="AY1399" s="20">
        <v>0</v>
      </c>
      <c r="AZ1399" s="20">
        <v>0</v>
      </c>
      <c r="BA1399" s="20">
        <v>0</v>
      </c>
      <c r="BB1399" s="6">
        <v>41953</v>
      </c>
      <c r="BC1399" s="6">
        <v>0</v>
      </c>
      <c r="BD1399" s="6">
        <v>41956</v>
      </c>
      <c r="BE1399" s="6">
        <v>0</v>
      </c>
      <c r="BF1399" s="6">
        <v>41953</v>
      </c>
      <c r="BG1399" s="6">
        <v>0</v>
      </c>
      <c r="BH1399" s="6">
        <v>0</v>
      </c>
      <c r="BI1399" s="6">
        <v>0</v>
      </c>
      <c r="BJ1399" s="6">
        <v>0</v>
      </c>
      <c r="BK1399" s="4">
        <v>0</v>
      </c>
      <c r="BL1399" s="4">
        <v>0</v>
      </c>
      <c r="BM1399" s="20">
        <v>6</v>
      </c>
      <c r="BN1399" s="20">
        <v>0</v>
      </c>
      <c r="BO1399" s="20">
        <v>0</v>
      </c>
      <c r="BP1399" s="20">
        <v>0</v>
      </c>
      <c r="BQ1399" s="20">
        <v>0</v>
      </c>
      <c r="BR1399" s="20">
        <v>0</v>
      </c>
      <c r="BS1399" s="20">
        <v>6</v>
      </c>
      <c r="BT1399" s="20">
        <v>86181.818181818177</v>
      </c>
      <c r="BU1399" s="20">
        <v>474000</v>
      </c>
      <c r="BV1399" s="20">
        <v>5</v>
      </c>
    </row>
    <row r="1400" spans="1:74">
      <c r="A1400" s="10">
        <f t="shared" si="86"/>
        <v>0</v>
      </c>
      <c r="B1400" s="10">
        <f t="shared" si="87"/>
        <v>0</v>
      </c>
      <c r="C1400" s="12" t="str">
        <f t="shared" si="88"/>
        <v/>
      </c>
      <c r="D1400" s="12" t="str">
        <f t="shared" si="89"/>
        <v/>
      </c>
      <c r="E1400" s="20" t="s">
        <v>91</v>
      </c>
      <c r="F1400" s="20" t="s">
        <v>91</v>
      </c>
      <c r="G1400" s="20" t="s">
        <v>91</v>
      </c>
      <c r="H1400" s="20" t="s">
        <v>91</v>
      </c>
      <c r="I1400" s="20">
        <v>0</v>
      </c>
      <c r="J1400" s="20" t="s">
        <v>103</v>
      </c>
      <c r="K1400" s="20" t="s">
        <v>104</v>
      </c>
      <c r="L1400" s="20">
        <v>0</v>
      </c>
      <c r="M1400" s="20" t="s">
        <v>105</v>
      </c>
      <c r="N1400" s="20" t="s">
        <v>91</v>
      </c>
      <c r="O1400" s="20" t="s">
        <v>5368</v>
      </c>
      <c r="Q1400" s="20" t="s">
        <v>91</v>
      </c>
      <c r="R1400" s="20" t="s">
        <v>91</v>
      </c>
      <c r="S1400" s="20" t="s">
        <v>91</v>
      </c>
      <c r="U1400" s="20" t="s">
        <v>91</v>
      </c>
      <c r="V1400" s="20" t="s">
        <v>87</v>
      </c>
      <c r="X1400" s="20" t="s">
        <v>91</v>
      </c>
      <c r="Y1400" s="20" t="s">
        <v>91</v>
      </c>
      <c r="Z1400" s="20">
        <v>2.333333333333333</v>
      </c>
      <c r="AB1400" s="20" t="s">
        <v>91</v>
      </c>
      <c r="AD1400" s="20" t="s">
        <v>91</v>
      </c>
      <c r="AE1400" s="20" t="s">
        <v>91</v>
      </c>
      <c r="AF1400" s="20">
        <v>2.333333333333333</v>
      </c>
      <c r="AG1400" s="20">
        <v>0</v>
      </c>
      <c r="AH1400" s="20">
        <v>1</v>
      </c>
      <c r="AM1400" s="4" t="s">
        <v>91</v>
      </c>
      <c r="AP1400" s="4" t="s">
        <v>91</v>
      </c>
      <c r="AQ1400" s="20">
        <v>0</v>
      </c>
      <c r="AR1400" s="4">
        <v>0</v>
      </c>
      <c r="AS1400" s="20">
        <v>0</v>
      </c>
      <c r="AT1400" s="20">
        <v>0</v>
      </c>
      <c r="AU1400" s="20">
        <v>0</v>
      </c>
      <c r="AV1400" s="20">
        <v>0</v>
      </c>
      <c r="AW1400" s="20">
        <v>0</v>
      </c>
      <c r="AX1400" s="20" t="s">
        <v>91</v>
      </c>
      <c r="AY1400" s="20">
        <v>0</v>
      </c>
      <c r="AZ1400" s="20">
        <v>0</v>
      </c>
      <c r="BA1400" s="20">
        <v>0</v>
      </c>
      <c r="BB1400" s="6">
        <v>0</v>
      </c>
      <c r="BC1400" s="6">
        <v>0</v>
      </c>
      <c r="BD1400" s="6">
        <v>0</v>
      </c>
      <c r="BE1400" s="6">
        <v>0</v>
      </c>
      <c r="BF1400" s="6">
        <v>0</v>
      </c>
      <c r="BG1400" s="6">
        <v>0</v>
      </c>
      <c r="BH1400" s="6">
        <v>0</v>
      </c>
      <c r="BI1400" s="6">
        <v>0</v>
      </c>
      <c r="BJ1400" s="6">
        <v>0</v>
      </c>
      <c r="BK1400" s="4">
        <v>0</v>
      </c>
      <c r="BL1400" s="4">
        <v>0</v>
      </c>
      <c r="BM1400" s="20">
        <v>13</v>
      </c>
      <c r="BN1400" s="20">
        <v>0</v>
      </c>
      <c r="BO1400" s="20">
        <v>0</v>
      </c>
      <c r="BP1400" s="20">
        <v>0</v>
      </c>
      <c r="BQ1400" s="20">
        <v>0</v>
      </c>
      <c r="BR1400" s="20">
        <v>0</v>
      </c>
      <c r="BS1400" s="20">
        <v>13</v>
      </c>
      <c r="BT1400" s="20">
        <v>186727.27272727271</v>
      </c>
      <c r="BU1400" s="20">
        <v>1027000</v>
      </c>
      <c r="BV1400" s="20">
        <v>5</v>
      </c>
    </row>
    <row r="1401" spans="1:74">
      <c r="A1401" s="10">
        <f t="shared" si="86"/>
        <v>0</v>
      </c>
      <c r="B1401" s="10">
        <f t="shared" si="87"/>
        <v>0</v>
      </c>
      <c r="C1401" s="12">
        <f t="shared" si="88"/>
        <v>11</v>
      </c>
      <c r="D1401" s="12">
        <f t="shared" si="89"/>
        <v>11</v>
      </c>
      <c r="E1401" s="20" t="s">
        <v>574</v>
      </c>
      <c r="F1401" s="20" t="s">
        <v>3089</v>
      </c>
      <c r="G1401" s="20" t="s">
        <v>5369</v>
      </c>
      <c r="H1401" s="20" t="s">
        <v>5370</v>
      </c>
      <c r="I1401" s="20">
        <v>1</v>
      </c>
      <c r="J1401" s="20" t="s">
        <v>5371</v>
      </c>
      <c r="K1401" s="20" t="s">
        <v>5372</v>
      </c>
      <c r="L1401" s="20" t="s">
        <v>5062</v>
      </c>
      <c r="M1401" s="20" t="s">
        <v>2667</v>
      </c>
      <c r="N1401" s="20" t="s">
        <v>4989</v>
      </c>
      <c r="P1401" s="20" t="s">
        <v>2667</v>
      </c>
      <c r="Q1401" s="20" t="s">
        <v>2674</v>
      </c>
      <c r="R1401" s="20" t="s">
        <v>84</v>
      </c>
      <c r="S1401" s="20">
        <v>5</v>
      </c>
      <c r="T1401" s="20" t="s">
        <v>922</v>
      </c>
      <c r="U1401" s="20" t="s">
        <v>923</v>
      </c>
      <c r="V1401" s="20" t="s">
        <v>87</v>
      </c>
      <c r="W1401" s="20">
        <v>629</v>
      </c>
      <c r="X1401" s="20">
        <v>629</v>
      </c>
      <c r="Y1401" s="20" t="s">
        <v>5063</v>
      </c>
      <c r="Z1401" s="20">
        <v>0.33333333333333331</v>
      </c>
      <c r="AA1401" s="20" t="s">
        <v>5373</v>
      </c>
      <c r="AB1401" s="20" t="s">
        <v>101</v>
      </c>
      <c r="AC1401" s="20" t="s">
        <v>102</v>
      </c>
      <c r="AD1401" s="20" t="s">
        <v>5065</v>
      </c>
      <c r="AE1401" s="20" t="s">
        <v>400</v>
      </c>
      <c r="AF1401" s="20">
        <v>0.33333333333333331</v>
      </c>
      <c r="AG1401" s="20">
        <v>0</v>
      </c>
      <c r="AH1401" s="20">
        <v>1</v>
      </c>
      <c r="AI1401" s="4" t="s">
        <v>647</v>
      </c>
      <c r="AJ1401" s="20">
        <v>12</v>
      </c>
      <c r="AK1401" s="4" t="s">
        <v>5056</v>
      </c>
      <c r="AL1401" s="4">
        <v>3</v>
      </c>
      <c r="AM1401" s="4" t="s">
        <v>438</v>
      </c>
      <c r="AN1401" s="4" t="s">
        <v>95</v>
      </c>
      <c r="AO1401" s="4" t="s">
        <v>131</v>
      </c>
      <c r="AP1401" s="4">
        <v>2</v>
      </c>
      <c r="AQ1401" s="20">
        <v>89000</v>
      </c>
      <c r="AR1401" s="4">
        <v>41935</v>
      </c>
      <c r="AS1401" s="20">
        <v>22474.74747474747</v>
      </c>
      <c r="AT1401" s="20">
        <v>0</v>
      </c>
      <c r="AU1401" s="20">
        <v>-22474.74747474747</v>
      </c>
      <c r="AV1401" s="20">
        <v>0</v>
      </c>
      <c r="AW1401" s="20">
        <v>0</v>
      </c>
      <c r="AX1401" s="20" t="s">
        <v>91</v>
      </c>
      <c r="AY1401" s="20">
        <v>0</v>
      </c>
      <c r="AZ1401" s="20">
        <v>0</v>
      </c>
      <c r="BA1401" s="20">
        <v>0</v>
      </c>
      <c r="BB1401" s="6">
        <v>41953</v>
      </c>
      <c r="BC1401" s="6">
        <v>0</v>
      </c>
      <c r="BD1401" s="6">
        <v>41956</v>
      </c>
      <c r="BE1401" s="6">
        <v>0</v>
      </c>
      <c r="BF1401" s="6">
        <v>41953</v>
      </c>
      <c r="BG1401" s="6">
        <v>0</v>
      </c>
      <c r="BH1401" s="6">
        <v>0</v>
      </c>
      <c r="BI1401" s="6">
        <v>0</v>
      </c>
      <c r="BJ1401" s="6">
        <v>0</v>
      </c>
      <c r="BK1401" s="4">
        <v>0</v>
      </c>
      <c r="BL1401" s="4">
        <v>0</v>
      </c>
      <c r="BM1401" s="20">
        <v>12</v>
      </c>
      <c r="BN1401" s="20">
        <v>0</v>
      </c>
      <c r="BO1401" s="20">
        <v>0</v>
      </c>
      <c r="BP1401" s="20">
        <v>0</v>
      </c>
      <c r="BQ1401" s="20">
        <v>0</v>
      </c>
      <c r="BR1401" s="20">
        <v>0</v>
      </c>
      <c r="BS1401" s="20">
        <v>12</v>
      </c>
      <c r="BT1401" s="20">
        <v>269696.96969696961</v>
      </c>
      <c r="BU1401" s="20">
        <v>1068000</v>
      </c>
      <c r="BV1401" s="20">
        <v>3.600000000000001</v>
      </c>
    </row>
    <row r="1402" spans="1:74">
      <c r="A1402" s="10">
        <f t="shared" si="86"/>
        <v>0</v>
      </c>
      <c r="B1402" s="10">
        <f t="shared" si="87"/>
        <v>0</v>
      </c>
      <c r="C1402" s="12">
        <f t="shared" si="88"/>
        <v>11</v>
      </c>
      <c r="D1402" s="12">
        <f t="shared" si="89"/>
        <v>11</v>
      </c>
      <c r="E1402" s="20" t="s">
        <v>574</v>
      </c>
      <c r="F1402" s="20" t="s">
        <v>3089</v>
      </c>
      <c r="G1402" s="20" t="s">
        <v>5369</v>
      </c>
      <c r="H1402" s="20" t="s">
        <v>5370</v>
      </c>
      <c r="I1402" s="20">
        <v>1</v>
      </c>
      <c r="J1402" s="20" t="s">
        <v>5371</v>
      </c>
      <c r="K1402" s="20" t="s">
        <v>5374</v>
      </c>
      <c r="L1402" s="20" t="s">
        <v>5062</v>
      </c>
      <c r="M1402" s="20" t="s">
        <v>2667</v>
      </c>
      <c r="N1402" s="20" t="s">
        <v>4989</v>
      </c>
      <c r="P1402" s="20" t="s">
        <v>2667</v>
      </c>
      <c r="Q1402" s="20" t="s">
        <v>2674</v>
      </c>
      <c r="R1402" s="20" t="s">
        <v>84</v>
      </c>
      <c r="S1402" s="20">
        <v>5</v>
      </c>
      <c r="T1402" s="20" t="s">
        <v>922</v>
      </c>
      <c r="U1402" s="20" t="s">
        <v>923</v>
      </c>
      <c r="V1402" s="20" t="s">
        <v>87</v>
      </c>
      <c r="W1402" s="20">
        <v>629</v>
      </c>
      <c r="X1402" s="20">
        <v>629</v>
      </c>
      <c r="Y1402" s="20" t="s">
        <v>5063</v>
      </c>
      <c r="Z1402" s="20">
        <v>0.33333333333333331</v>
      </c>
      <c r="AA1402" s="20" t="s">
        <v>5375</v>
      </c>
      <c r="AB1402" s="20" t="s">
        <v>101</v>
      </c>
      <c r="AC1402" s="20" t="s">
        <v>102</v>
      </c>
      <c r="AD1402" s="20" t="s">
        <v>5065</v>
      </c>
      <c r="AE1402" s="20" t="s">
        <v>400</v>
      </c>
      <c r="AF1402" s="20">
        <v>0.33333333333333331</v>
      </c>
      <c r="AG1402" s="20">
        <v>0</v>
      </c>
      <c r="AH1402" s="20">
        <v>1</v>
      </c>
      <c r="AI1402" s="4" t="s">
        <v>649</v>
      </c>
      <c r="AJ1402" s="20">
        <v>1</v>
      </c>
      <c r="AK1402" s="4" t="s">
        <v>5056</v>
      </c>
      <c r="AL1402" s="4">
        <v>3</v>
      </c>
      <c r="AM1402" s="4" t="s">
        <v>438</v>
      </c>
      <c r="AN1402" s="4" t="s">
        <v>95</v>
      </c>
      <c r="AO1402" s="4" t="s">
        <v>131</v>
      </c>
      <c r="AP1402" s="4">
        <v>2</v>
      </c>
      <c r="AQ1402" s="20">
        <v>89000</v>
      </c>
      <c r="AR1402" s="4">
        <v>41935</v>
      </c>
      <c r="AS1402" s="20">
        <v>22474.74747474747</v>
      </c>
      <c r="AT1402" s="20">
        <v>0</v>
      </c>
      <c r="AU1402" s="20">
        <v>-22474.74747474747</v>
      </c>
      <c r="AV1402" s="20">
        <v>0</v>
      </c>
      <c r="AW1402" s="20">
        <v>0</v>
      </c>
      <c r="AX1402" s="20" t="s">
        <v>91</v>
      </c>
      <c r="AY1402" s="20">
        <v>0</v>
      </c>
      <c r="AZ1402" s="20">
        <v>0</v>
      </c>
      <c r="BA1402" s="20">
        <v>0</v>
      </c>
      <c r="BB1402" s="6">
        <v>41953</v>
      </c>
      <c r="BC1402" s="6">
        <v>0</v>
      </c>
      <c r="BD1402" s="6">
        <v>41956</v>
      </c>
      <c r="BE1402" s="6">
        <v>0</v>
      </c>
      <c r="BF1402" s="6">
        <v>41953</v>
      </c>
      <c r="BG1402" s="6">
        <v>0</v>
      </c>
      <c r="BH1402" s="6">
        <v>0</v>
      </c>
      <c r="BI1402" s="6">
        <v>0</v>
      </c>
      <c r="BJ1402" s="6">
        <v>0</v>
      </c>
      <c r="BK1402" s="4">
        <v>0</v>
      </c>
      <c r="BL1402" s="4">
        <v>0</v>
      </c>
      <c r="BM1402" s="20">
        <v>1</v>
      </c>
      <c r="BN1402" s="20">
        <v>0</v>
      </c>
      <c r="BO1402" s="20">
        <v>0</v>
      </c>
      <c r="BP1402" s="20">
        <v>0</v>
      </c>
      <c r="BQ1402" s="20">
        <v>0</v>
      </c>
      <c r="BR1402" s="20">
        <v>0</v>
      </c>
      <c r="BS1402" s="20">
        <v>1</v>
      </c>
      <c r="BT1402" s="20">
        <v>22474.74747474747</v>
      </c>
      <c r="BU1402" s="20">
        <v>89000</v>
      </c>
      <c r="BV1402" s="20">
        <v>3.6000000000000005</v>
      </c>
    </row>
    <row r="1403" spans="1:74">
      <c r="A1403" s="10">
        <f t="shared" si="86"/>
        <v>0</v>
      </c>
      <c r="B1403" s="10">
        <f t="shared" si="87"/>
        <v>0</v>
      </c>
      <c r="C1403" s="12" t="str">
        <f t="shared" si="88"/>
        <v/>
      </c>
      <c r="D1403" s="12" t="str">
        <f t="shared" si="89"/>
        <v/>
      </c>
      <c r="E1403" s="20" t="s">
        <v>91</v>
      </c>
      <c r="F1403" s="20" t="s">
        <v>91</v>
      </c>
      <c r="G1403" s="20" t="s">
        <v>91</v>
      </c>
      <c r="H1403" s="20" t="s">
        <v>91</v>
      </c>
      <c r="I1403" s="20">
        <v>0</v>
      </c>
      <c r="J1403" s="20" t="s">
        <v>103</v>
      </c>
      <c r="K1403" s="20" t="s">
        <v>104</v>
      </c>
      <c r="L1403" s="20">
        <v>0</v>
      </c>
      <c r="M1403" s="20" t="s">
        <v>105</v>
      </c>
      <c r="N1403" s="20" t="s">
        <v>91</v>
      </c>
      <c r="O1403" s="20" t="s">
        <v>5376</v>
      </c>
      <c r="Q1403" s="20" t="s">
        <v>91</v>
      </c>
      <c r="R1403" s="20" t="s">
        <v>91</v>
      </c>
      <c r="S1403" s="20" t="s">
        <v>91</v>
      </c>
      <c r="U1403" s="20" t="s">
        <v>91</v>
      </c>
      <c r="V1403" s="20" t="s">
        <v>87</v>
      </c>
      <c r="X1403" s="20" t="s">
        <v>91</v>
      </c>
      <c r="Y1403" s="20" t="s">
        <v>91</v>
      </c>
      <c r="Z1403" s="20">
        <v>0.66666666666666663</v>
      </c>
      <c r="AB1403" s="20" t="s">
        <v>91</v>
      </c>
      <c r="AD1403" s="20" t="s">
        <v>91</v>
      </c>
      <c r="AE1403" s="20" t="s">
        <v>91</v>
      </c>
      <c r="AF1403" s="20">
        <v>0.66666666666666663</v>
      </c>
      <c r="AG1403" s="20">
        <v>0</v>
      </c>
      <c r="AH1403" s="20">
        <v>1</v>
      </c>
      <c r="AM1403" s="4" t="s">
        <v>91</v>
      </c>
      <c r="AP1403" s="4" t="s">
        <v>91</v>
      </c>
      <c r="AQ1403" s="20">
        <v>0</v>
      </c>
      <c r="AR1403" s="4">
        <v>0</v>
      </c>
      <c r="AS1403" s="20">
        <v>0</v>
      </c>
      <c r="AT1403" s="20">
        <v>0</v>
      </c>
      <c r="AU1403" s="20">
        <v>0</v>
      </c>
      <c r="AV1403" s="20">
        <v>0</v>
      </c>
      <c r="AW1403" s="20">
        <v>0</v>
      </c>
      <c r="AX1403" s="20" t="s">
        <v>91</v>
      </c>
      <c r="AY1403" s="20">
        <v>0</v>
      </c>
      <c r="AZ1403" s="20">
        <v>0</v>
      </c>
      <c r="BA1403" s="20">
        <v>0</v>
      </c>
      <c r="BB1403" s="6">
        <v>0</v>
      </c>
      <c r="BC1403" s="6">
        <v>0</v>
      </c>
      <c r="BD1403" s="6">
        <v>0</v>
      </c>
      <c r="BE1403" s="6">
        <v>0</v>
      </c>
      <c r="BF1403" s="6">
        <v>0</v>
      </c>
      <c r="BG1403" s="6">
        <v>0</v>
      </c>
      <c r="BH1403" s="6">
        <v>0</v>
      </c>
      <c r="BI1403" s="6">
        <v>0</v>
      </c>
      <c r="BJ1403" s="6">
        <v>0</v>
      </c>
      <c r="BK1403" s="4">
        <v>0</v>
      </c>
      <c r="BL1403" s="4">
        <v>0</v>
      </c>
      <c r="BM1403" s="20">
        <v>13</v>
      </c>
      <c r="BN1403" s="20">
        <v>0</v>
      </c>
      <c r="BO1403" s="20">
        <v>0</v>
      </c>
      <c r="BP1403" s="20">
        <v>0</v>
      </c>
      <c r="BQ1403" s="20">
        <v>0</v>
      </c>
      <c r="BR1403" s="20">
        <v>0</v>
      </c>
      <c r="BS1403" s="20">
        <v>13</v>
      </c>
      <c r="BT1403" s="20">
        <v>292171.71717171709</v>
      </c>
      <c r="BU1403" s="20">
        <v>1157000</v>
      </c>
      <c r="BV1403" s="20">
        <v>3.600000000000001</v>
      </c>
    </row>
    <row r="1404" spans="1:74">
      <c r="A1404" s="10">
        <f t="shared" si="86"/>
        <v>0</v>
      </c>
      <c r="B1404" s="10">
        <f t="shared" si="87"/>
        <v>0</v>
      </c>
      <c r="C1404" s="12">
        <f t="shared" si="88"/>
        <v>11</v>
      </c>
      <c r="D1404" s="12">
        <f t="shared" si="89"/>
        <v>11</v>
      </c>
      <c r="E1404" s="20" t="s">
        <v>574</v>
      </c>
      <c r="F1404" s="20" t="s">
        <v>3089</v>
      </c>
      <c r="G1404" s="20" t="s">
        <v>5377</v>
      </c>
      <c r="H1404" s="20" t="s">
        <v>5378</v>
      </c>
      <c r="I1404" s="20">
        <v>1</v>
      </c>
      <c r="J1404" s="20" t="s">
        <v>5379</v>
      </c>
      <c r="K1404" s="20" t="s">
        <v>5380</v>
      </c>
      <c r="L1404" s="20" t="s">
        <v>4996</v>
      </c>
      <c r="M1404" s="20" t="s">
        <v>2667</v>
      </c>
      <c r="N1404" s="20" t="s">
        <v>4997</v>
      </c>
      <c r="P1404" s="20" t="s">
        <v>2667</v>
      </c>
      <c r="Q1404" s="20" t="s">
        <v>2674</v>
      </c>
      <c r="R1404" s="20" t="s">
        <v>84</v>
      </c>
      <c r="S1404" s="20">
        <v>5</v>
      </c>
      <c r="T1404" s="20" t="s">
        <v>635</v>
      </c>
      <c r="U1404" s="20" t="s">
        <v>636</v>
      </c>
      <c r="V1404" s="20" t="s">
        <v>87</v>
      </c>
      <c r="W1404" s="20">
        <v>639</v>
      </c>
      <c r="X1404" s="20">
        <v>639</v>
      </c>
      <c r="Y1404" s="20" t="s">
        <v>4998</v>
      </c>
      <c r="Z1404" s="20">
        <v>0.5</v>
      </c>
      <c r="AA1404" s="20" t="s">
        <v>5381</v>
      </c>
      <c r="AB1404" s="20" t="s">
        <v>101</v>
      </c>
      <c r="AC1404" s="20" t="s">
        <v>102</v>
      </c>
      <c r="AD1404" s="20" t="s">
        <v>5000</v>
      </c>
      <c r="AE1404" s="20" t="s">
        <v>400</v>
      </c>
      <c r="AF1404" s="20">
        <v>0.5</v>
      </c>
      <c r="AG1404" s="20">
        <v>0</v>
      </c>
      <c r="AH1404" s="20">
        <v>1</v>
      </c>
      <c r="AI1404" s="4" t="s">
        <v>649</v>
      </c>
      <c r="AJ1404" s="20">
        <v>1</v>
      </c>
      <c r="AK1404" s="4" t="s">
        <v>780</v>
      </c>
      <c r="AL1404" s="4">
        <v>16</v>
      </c>
      <c r="AM1404" s="4">
        <v>16</v>
      </c>
      <c r="AN1404" s="4" t="s">
        <v>95</v>
      </c>
      <c r="AO1404" s="4" t="s">
        <v>131</v>
      </c>
      <c r="AP1404" s="4">
        <v>2</v>
      </c>
      <c r="AQ1404" s="20">
        <v>79000</v>
      </c>
      <c r="AR1404" s="4">
        <v>41935</v>
      </c>
      <c r="AS1404" s="20">
        <v>19949.494949494947</v>
      </c>
      <c r="AT1404" s="20">
        <v>0</v>
      </c>
      <c r="AU1404" s="20">
        <v>-19949.494949494947</v>
      </c>
      <c r="AV1404" s="20">
        <v>0</v>
      </c>
      <c r="AW1404" s="20">
        <v>0</v>
      </c>
      <c r="AX1404" s="20" t="s">
        <v>91</v>
      </c>
      <c r="AY1404" s="20">
        <v>0</v>
      </c>
      <c r="AZ1404" s="20">
        <v>0</v>
      </c>
      <c r="BA1404" s="20">
        <v>0</v>
      </c>
      <c r="BB1404" s="6">
        <v>41953</v>
      </c>
      <c r="BC1404" s="6">
        <v>0</v>
      </c>
      <c r="BD1404" s="6">
        <v>41956</v>
      </c>
      <c r="BE1404" s="6">
        <v>0</v>
      </c>
      <c r="BF1404" s="6">
        <v>41953</v>
      </c>
      <c r="BG1404" s="6">
        <v>0</v>
      </c>
      <c r="BH1404" s="6">
        <v>0</v>
      </c>
      <c r="BI1404" s="6">
        <v>0</v>
      </c>
      <c r="BJ1404" s="6">
        <v>0</v>
      </c>
      <c r="BK1404" s="4">
        <v>0</v>
      </c>
      <c r="BL1404" s="4">
        <v>0</v>
      </c>
      <c r="BM1404" s="20">
        <v>1</v>
      </c>
      <c r="BN1404" s="20">
        <v>0</v>
      </c>
      <c r="BO1404" s="20">
        <v>0</v>
      </c>
      <c r="BP1404" s="20">
        <v>0</v>
      </c>
      <c r="BQ1404" s="20">
        <v>0</v>
      </c>
      <c r="BR1404" s="20">
        <v>0</v>
      </c>
      <c r="BS1404" s="20">
        <v>1</v>
      </c>
      <c r="BT1404" s="20">
        <v>19949.494949494947</v>
      </c>
      <c r="BU1404" s="20">
        <v>79000</v>
      </c>
      <c r="BV1404" s="20">
        <v>3.6000000000000005</v>
      </c>
    </row>
    <row r="1405" spans="1:74">
      <c r="A1405" s="10">
        <f t="shared" si="86"/>
        <v>0</v>
      </c>
      <c r="B1405" s="10">
        <f t="shared" si="87"/>
        <v>0</v>
      </c>
      <c r="C1405" s="12" t="str">
        <f t="shared" si="88"/>
        <v/>
      </c>
      <c r="D1405" s="12" t="str">
        <f t="shared" si="89"/>
        <v/>
      </c>
      <c r="E1405" s="20" t="s">
        <v>91</v>
      </c>
      <c r="F1405" s="20" t="s">
        <v>91</v>
      </c>
      <c r="G1405" s="20" t="s">
        <v>91</v>
      </c>
      <c r="H1405" s="20" t="s">
        <v>91</v>
      </c>
      <c r="I1405" s="20">
        <v>0</v>
      </c>
      <c r="J1405" s="20" t="s">
        <v>103</v>
      </c>
      <c r="K1405" s="20" t="s">
        <v>104</v>
      </c>
      <c r="L1405" s="20">
        <v>0</v>
      </c>
      <c r="M1405" s="20" t="s">
        <v>105</v>
      </c>
      <c r="N1405" s="20" t="s">
        <v>91</v>
      </c>
      <c r="O1405" s="20" t="s">
        <v>5382</v>
      </c>
      <c r="Q1405" s="20" t="s">
        <v>91</v>
      </c>
      <c r="R1405" s="20" t="s">
        <v>91</v>
      </c>
      <c r="S1405" s="20" t="s">
        <v>91</v>
      </c>
      <c r="U1405" s="20" t="s">
        <v>91</v>
      </c>
      <c r="V1405" s="20" t="s">
        <v>87</v>
      </c>
      <c r="X1405" s="20" t="s">
        <v>91</v>
      </c>
      <c r="Y1405" s="20" t="s">
        <v>91</v>
      </c>
      <c r="Z1405" s="20">
        <v>0.5</v>
      </c>
      <c r="AB1405" s="20" t="s">
        <v>91</v>
      </c>
      <c r="AD1405" s="20" t="s">
        <v>91</v>
      </c>
      <c r="AE1405" s="20" t="s">
        <v>91</v>
      </c>
      <c r="AF1405" s="20">
        <v>0.5</v>
      </c>
      <c r="AG1405" s="20">
        <v>0</v>
      </c>
      <c r="AH1405" s="20">
        <v>1</v>
      </c>
      <c r="AM1405" s="4" t="s">
        <v>91</v>
      </c>
      <c r="AP1405" s="4" t="s">
        <v>91</v>
      </c>
      <c r="AQ1405" s="20">
        <v>0</v>
      </c>
      <c r="AR1405" s="4">
        <v>0</v>
      </c>
      <c r="AS1405" s="20">
        <v>0</v>
      </c>
      <c r="AT1405" s="20">
        <v>0</v>
      </c>
      <c r="AU1405" s="20">
        <v>0</v>
      </c>
      <c r="AV1405" s="20">
        <v>0</v>
      </c>
      <c r="AW1405" s="20">
        <v>0</v>
      </c>
      <c r="AX1405" s="20" t="s">
        <v>91</v>
      </c>
      <c r="AY1405" s="20">
        <v>0</v>
      </c>
      <c r="AZ1405" s="20">
        <v>0</v>
      </c>
      <c r="BA1405" s="20">
        <v>0</v>
      </c>
      <c r="BB1405" s="6">
        <v>0</v>
      </c>
      <c r="BC1405" s="6">
        <v>0</v>
      </c>
      <c r="BD1405" s="6">
        <v>0</v>
      </c>
      <c r="BE1405" s="6">
        <v>0</v>
      </c>
      <c r="BF1405" s="6">
        <v>0</v>
      </c>
      <c r="BG1405" s="6">
        <v>0</v>
      </c>
      <c r="BH1405" s="6">
        <v>0</v>
      </c>
      <c r="BI1405" s="6">
        <v>0</v>
      </c>
      <c r="BJ1405" s="6">
        <v>0</v>
      </c>
      <c r="BK1405" s="4">
        <v>0</v>
      </c>
      <c r="BL1405" s="4">
        <v>0</v>
      </c>
      <c r="BM1405" s="20">
        <v>1</v>
      </c>
      <c r="BN1405" s="20">
        <v>0</v>
      </c>
      <c r="BO1405" s="20">
        <v>0</v>
      </c>
      <c r="BP1405" s="20">
        <v>0</v>
      </c>
      <c r="BQ1405" s="20">
        <v>0</v>
      </c>
      <c r="BR1405" s="20">
        <v>0</v>
      </c>
      <c r="BS1405" s="20">
        <v>1</v>
      </c>
      <c r="BT1405" s="20">
        <v>19949.494949494947</v>
      </c>
      <c r="BU1405" s="20">
        <v>79000</v>
      </c>
      <c r="BV1405" s="20">
        <v>3.6000000000000005</v>
      </c>
    </row>
    <row r="1406" spans="1:74">
      <c r="A1406" s="10">
        <f t="shared" si="86"/>
        <v>0</v>
      </c>
      <c r="B1406" s="10">
        <f t="shared" si="87"/>
        <v>0</v>
      </c>
      <c r="C1406" s="12">
        <f t="shared" si="88"/>
        <v>11</v>
      </c>
      <c r="D1406" s="12">
        <f t="shared" si="89"/>
        <v>12</v>
      </c>
      <c r="E1406" s="20" t="s">
        <v>5398</v>
      </c>
      <c r="F1406" s="20" t="s">
        <v>5399</v>
      </c>
      <c r="G1406" s="20" t="s">
        <v>5400</v>
      </c>
      <c r="H1406" s="20" t="s">
        <v>5401</v>
      </c>
      <c r="I1406" s="20">
        <v>1</v>
      </c>
      <c r="J1406" s="20" t="s">
        <v>5402</v>
      </c>
      <c r="K1406" s="20" t="s">
        <v>5403</v>
      </c>
      <c r="L1406" s="20" t="s">
        <v>5404</v>
      </c>
      <c r="M1406" s="20" t="s">
        <v>5399</v>
      </c>
      <c r="N1406" s="20" t="s">
        <v>5405</v>
      </c>
      <c r="P1406" s="20" t="s">
        <v>5399</v>
      </c>
      <c r="Q1406" s="20" t="s">
        <v>5406</v>
      </c>
      <c r="R1406" s="20" t="s">
        <v>84</v>
      </c>
      <c r="S1406" s="20">
        <v>5</v>
      </c>
      <c r="T1406" s="20" t="s">
        <v>106</v>
      </c>
      <c r="U1406" s="20" t="s">
        <v>107</v>
      </c>
      <c r="V1406" s="20" t="s">
        <v>87</v>
      </c>
      <c r="W1406" s="20">
        <v>504</v>
      </c>
      <c r="X1406" s="20">
        <v>504</v>
      </c>
      <c r="Y1406" s="20" t="s">
        <v>5407</v>
      </c>
      <c r="Z1406" s="20">
        <v>0.5</v>
      </c>
      <c r="AA1406" s="20" t="s">
        <v>5408</v>
      </c>
      <c r="AB1406" s="20" t="s">
        <v>532</v>
      </c>
      <c r="AC1406" s="20" t="s">
        <v>533</v>
      </c>
      <c r="AD1406" s="20" t="s">
        <v>5409</v>
      </c>
      <c r="AE1406" s="20" t="s">
        <v>91</v>
      </c>
      <c r="AF1406" s="20">
        <v>0.5</v>
      </c>
      <c r="AG1406" s="20">
        <v>0</v>
      </c>
      <c r="AH1406" s="20">
        <v>1</v>
      </c>
      <c r="AI1406" s="4" t="s">
        <v>97</v>
      </c>
      <c r="AJ1406" s="20">
        <v>50</v>
      </c>
      <c r="AK1406" s="4" t="s">
        <v>111</v>
      </c>
      <c r="AL1406" s="4">
        <v>30</v>
      </c>
      <c r="AM1406" s="4">
        <v>30</v>
      </c>
      <c r="AN1406" s="4" t="s">
        <v>95</v>
      </c>
      <c r="AO1406" s="4" t="s">
        <v>96</v>
      </c>
      <c r="AP1406" s="4">
        <v>1</v>
      </c>
      <c r="AQ1406" s="20">
        <v>55000</v>
      </c>
      <c r="AR1406" s="4">
        <v>41971</v>
      </c>
      <c r="AS1406" s="20">
        <v>8333.3333333333321</v>
      </c>
      <c r="AT1406" s="20">
        <v>0</v>
      </c>
      <c r="AU1406" s="20">
        <v>-8333.3333333333321</v>
      </c>
      <c r="AV1406" s="20">
        <v>0</v>
      </c>
      <c r="AW1406" s="20">
        <v>0</v>
      </c>
      <c r="AX1406" s="20" t="s">
        <v>91</v>
      </c>
      <c r="AY1406" s="20">
        <v>0</v>
      </c>
      <c r="AZ1406" s="20">
        <v>0</v>
      </c>
      <c r="BA1406" s="20">
        <v>0</v>
      </c>
      <c r="BB1406" s="6">
        <v>41971</v>
      </c>
      <c r="BC1406" s="6">
        <v>0</v>
      </c>
      <c r="BD1406" s="6">
        <v>41976</v>
      </c>
      <c r="BE1406" s="6">
        <v>0</v>
      </c>
      <c r="BF1406" s="6">
        <v>41975</v>
      </c>
      <c r="BG1406" s="6">
        <v>0</v>
      </c>
      <c r="BH1406" s="6">
        <v>0</v>
      </c>
      <c r="BI1406" s="6">
        <v>0</v>
      </c>
      <c r="BJ1406" s="6">
        <v>0</v>
      </c>
      <c r="BK1406" s="4">
        <v>0</v>
      </c>
      <c r="BL1406" s="4">
        <v>0</v>
      </c>
      <c r="BM1406" s="20">
        <v>50</v>
      </c>
      <c r="BN1406" s="20">
        <v>0</v>
      </c>
      <c r="BO1406" s="20">
        <v>0</v>
      </c>
      <c r="BP1406" s="20">
        <v>0</v>
      </c>
      <c r="BQ1406" s="20">
        <v>0</v>
      </c>
      <c r="BR1406" s="20">
        <v>0</v>
      </c>
      <c r="BS1406" s="20">
        <v>50</v>
      </c>
      <c r="BT1406" s="20">
        <v>416666.66666666663</v>
      </c>
      <c r="BU1406" s="20">
        <v>2750000</v>
      </c>
      <c r="BV1406" s="20">
        <v>6</v>
      </c>
    </row>
    <row r="1407" spans="1:74">
      <c r="A1407" s="10">
        <f t="shared" si="86"/>
        <v>0</v>
      </c>
      <c r="B1407" s="10">
        <f t="shared" si="87"/>
        <v>0</v>
      </c>
      <c r="C1407" s="12">
        <f t="shared" si="88"/>
        <v>11</v>
      </c>
      <c r="D1407" s="12">
        <f t="shared" si="89"/>
        <v>12</v>
      </c>
      <c r="E1407" s="20" t="s">
        <v>5398</v>
      </c>
      <c r="F1407" s="20" t="s">
        <v>5399</v>
      </c>
      <c r="G1407" s="20" t="s">
        <v>5400</v>
      </c>
      <c r="H1407" s="20" t="s">
        <v>5401</v>
      </c>
      <c r="I1407" s="20">
        <v>1</v>
      </c>
      <c r="J1407" s="20" t="s">
        <v>5402</v>
      </c>
      <c r="K1407" s="20" t="s">
        <v>5410</v>
      </c>
      <c r="L1407" s="20" t="s">
        <v>5404</v>
      </c>
      <c r="M1407" s="20" t="s">
        <v>5399</v>
      </c>
      <c r="N1407" s="20" t="s">
        <v>5405</v>
      </c>
      <c r="P1407" s="20" t="s">
        <v>5399</v>
      </c>
      <c r="Q1407" s="20" t="s">
        <v>5406</v>
      </c>
      <c r="R1407" s="20" t="s">
        <v>84</v>
      </c>
      <c r="S1407" s="20">
        <v>5</v>
      </c>
      <c r="T1407" s="20" t="s">
        <v>106</v>
      </c>
      <c r="U1407" s="20" t="s">
        <v>107</v>
      </c>
      <c r="V1407" s="20" t="s">
        <v>87</v>
      </c>
      <c r="W1407" s="20">
        <v>504</v>
      </c>
      <c r="X1407" s="20">
        <v>504</v>
      </c>
      <c r="Y1407" s="20" t="s">
        <v>5407</v>
      </c>
      <c r="Z1407" s="20">
        <v>0.5</v>
      </c>
      <c r="AA1407" s="20" t="s">
        <v>5411</v>
      </c>
      <c r="AB1407" s="20" t="s">
        <v>532</v>
      </c>
      <c r="AC1407" s="20" t="s">
        <v>533</v>
      </c>
      <c r="AD1407" s="20" t="s">
        <v>5409</v>
      </c>
      <c r="AE1407" s="20" t="s">
        <v>91</v>
      </c>
      <c r="AF1407" s="20">
        <v>0.5</v>
      </c>
      <c r="AG1407" s="20">
        <v>0</v>
      </c>
      <c r="AH1407" s="20">
        <v>1</v>
      </c>
      <c r="AI1407" s="4" t="s">
        <v>98</v>
      </c>
      <c r="AJ1407" s="20">
        <v>30</v>
      </c>
      <c r="AK1407" s="4" t="s">
        <v>111</v>
      </c>
      <c r="AL1407" s="4">
        <v>30</v>
      </c>
      <c r="AM1407" s="4">
        <v>30</v>
      </c>
      <c r="AN1407" s="4" t="s">
        <v>95</v>
      </c>
      <c r="AO1407" s="4" t="s">
        <v>96</v>
      </c>
      <c r="AP1407" s="4">
        <v>1</v>
      </c>
      <c r="AQ1407" s="20">
        <v>55000</v>
      </c>
      <c r="AR1407" s="4">
        <v>41971</v>
      </c>
      <c r="AS1407" s="20">
        <v>8333.3333333333321</v>
      </c>
      <c r="AT1407" s="20">
        <v>0</v>
      </c>
      <c r="AU1407" s="20">
        <v>-8333.3333333333321</v>
      </c>
      <c r="AV1407" s="20">
        <v>0</v>
      </c>
      <c r="AW1407" s="20">
        <v>0</v>
      </c>
      <c r="AX1407" s="20" t="s">
        <v>91</v>
      </c>
      <c r="AY1407" s="20">
        <v>0</v>
      </c>
      <c r="AZ1407" s="20">
        <v>0</v>
      </c>
      <c r="BA1407" s="20">
        <v>0</v>
      </c>
      <c r="BB1407" s="6">
        <v>41971</v>
      </c>
      <c r="BC1407" s="6">
        <v>0</v>
      </c>
      <c r="BD1407" s="6">
        <v>41976</v>
      </c>
      <c r="BE1407" s="6">
        <v>0</v>
      </c>
      <c r="BF1407" s="6">
        <v>41975</v>
      </c>
      <c r="BG1407" s="6">
        <v>0</v>
      </c>
      <c r="BH1407" s="6">
        <v>0</v>
      </c>
      <c r="BI1407" s="6">
        <v>0</v>
      </c>
      <c r="BJ1407" s="6">
        <v>0</v>
      </c>
      <c r="BK1407" s="4">
        <v>0</v>
      </c>
      <c r="BL1407" s="4">
        <v>0</v>
      </c>
      <c r="BM1407" s="20">
        <v>30</v>
      </c>
      <c r="BN1407" s="20">
        <v>0</v>
      </c>
      <c r="BO1407" s="20">
        <v>0</v>
      </c>
      <c r="BP1407" s="20">
        <v>0</v>
      </c>
      <c r="BQ1407" s="20">
        <v>0</v>
      </c>
      <c r="BR1407" s="20">
        <v>0</v>
      </c>
      <c r="BS1407" s="20">
        <v>30</v>
      </c>
      <c r="BT1407" s="20">
        <v>249999.99999999997</v>
      </c>
      <c r="BU1407" s="20">
        <v>1650000</v>
      </c>
      <c r="BV1407" s="20">
        <v>6</v>
      </c>
    </row>
    <row r="1408" spans="1:74">
      <c r="A1408" s="10">
        <f t="shared" si="86"/>
        <v>0</v>
      </c>
      <c r="B1408" s="10">
        <f t="shared" si="87"/>
        <v>0</v>
      </c>
      <c r="C1408" s="12" t="str">
        <f t="shared" si="88"/>
        <v/>
      </c>
      <c r="D1408" s="12" t="str">
        <f t="shared" si="89"/>
        <v/>
      </c>
      <c r="E1408" s="20" t="s">
        <v>91</v>
      </c>
      <c r="F1408" s="20" t="s">
        <v>91</v>
      </c>
      <c r="G1408" s="20" t="s">
        <v>91</v>
      </c>
      <c r="H1408" s="20" t="s">
        <v>91</v>
      </c>
      <c r="I1408" s="20">
        <v>0</v>
      </c>
      <c r="J1408" s="20" t="s">
        <v>103</v>
      </c>
      <c r="K1408" s="20" t="s">
        <v>104</v>
      </c>
      <c r="L1408" s="20">
        <v>0</v>
      </c>
      <c r="M1408" s="20" t="s">
        <v>105</v>
      </c>
      <c r="N1408" s="20" t="s">
        <v>91</v>
      </c>
      <c r="O1408" s="20" t="s">
        <v>5412</v>
      </c>
      <c r="Q1408" s="20" t="s">
        <v>91</v>
      </c>
      <c r="R1408" s="20" t="s">
        <v>91</v>
      </c>
      <c r="S1408" s="20" t="s">
        <v>91</v>
      </c>
      <c r="U1408" s="20" t="s">
        <v>91</v>
      </c>
      <c r="V1408" s="20" t="s">
        <v>87</v>
      </c>
      <c r="X1408" s="20" t="s">
        <v>91</v>
      </c>
      <c r="Y1408" s="20" t="s">
        <v>91</v>
      </c>
      <c r="Z1408" s="20">
        <v>1</v>
      </c>
      <c r="AB1408" s="20" t="s">
        <v>91</v>
      </c>
      <c r="AD1408" s="20" t="s">
        <v>91</v>
      </c>
      <c r="AE1408" s="20" t="s">
        <v>91</v>
      </c>
      <c r="AF1408" s="20">
        <v>1</v>
      </c>
      <c r="AG1408" s="20">
        <v>0</v>
      </c>
      <c r="AH1408" s="20">
        <v>1</v>
      </c>
      <c r="AM1408" s="4" t="s">
        <v>91</v>
      </c>
      <c r="AP1408" s="4" t="s">
        <v>91</v>
      </c>
      <c r="AQ1408" s="20">
        <v>0</v>
      </c>
      <c r="AR1408" s="4">
        <v>0</v>
      </c>
      <c r="AS1408" s="20">
        <v>0</v>
      </c>
      <c r="AT1408" s="20">
        <v>0</v>
      </c>
      <c r="AU1408" s="20">
        <v>0</v>
      </c>
      <c r="AV1408" s="20">
        <v>0</v>
      </c>
      <c r="AW1408" s="20">
        <v>0</v>
      </c>
      <c r="AX1408" s="20" t="s">
        <v>91</v>
      </c>
      <c r="AY1408" s="20">
        <v>0</v>
      </c>
      <c r="AZ1408" s="20">
        <v>0</v>
      </c>
      <c r="BA1408" s="20">
        <v>0</v>
      </c>
      <c r="BB1408" s="6">
        <v>0</v>
      </c>
      <c r="BC1408" s="6">
        <v>0</v>
      </c>
      <c r="BD1408" s="6">
        <v>0</v>
      </c>
      <c r="BE1408" s="6">
        <v>0</v>
      </c>
      <c r="BF1408" s="6">
        <v>0</v>
      </c>
      <c r="BG1408" s="6">
        <v>0</v>
      </c>
      <c r="BH1408" s="6">
        <v>0</v>
      </c>
      <c r="BI1408" s="6">
        <v>0</v>
      </c>
      <c r="BJ1408" s="6">
        <v>0</v>
      </c>
      <c r="BK1408" s="4">
        <v>0</v>
      </c>
      <c r="BL1408" s="4">
        <v>0</v>
      </c>
      <c r="BM1408" s="20">
        <v>80</v>
      </c>
      <c r="BN1408" s="20">
        <v>0</v>
      </c>
      <c r="BO1408" s="20">
        <v>0</v>
      </c>
      <c r="BP1408" s="20">
        <v>0</v>
      </c>
      <c r="BQ1408" s="20">
        <v>0</v>
      </c>
      <c r="BR1408" s="20">
        <v>0</v>
      </c>
      <c r="BS1408" s="20">
        <v>80</v>
      </c>
      <c r="BT1408" s="20">
        <v>666666.66666666663</v>
      </c>
      <c r="BU1408" s="20">
        <v>4400000</v>
      </c>
      <c r="BV1408" s="20">
        <v>6</v>
      </c>
    </row>
    <row r="1409" spans="1:74">
      <c r="A1409" s="10">
        <f t="shared" si="86"/>
        <v>0</v>
      </c>
      <c r="B1409" s="10">
        <f t="shared" si="87"/>
        <v>0</v>
      </c>
      <c r="C1409" s="12">
        <f t="shared" si="88"/>
        <v>11</v>
      </c>
      <c r="D1409" s="12">
        <f t="shared" si="89"/>
        <v>12</v>
      </c>
      <c r="E1409" s="20" t="s">
        <v>114</v>
      </c>
      <c r="F1409" s="20" t="s">
        <v>2667</v>
      </c>
      <c r="G1409" s="20" t="s">
        <v>5413</v>
      </c>
      <c r="H1409" s="20" t="s">
        <v>5414</v>
      </c>
      <c r="I1409" s="20">
        <v>1</v>
      </c>
      <c r="J1409" s="20" t="s">
        <v>5415</v>
      </c>
      <c r="K1409" s="20" t="s">
        <v>5416</v>
      </c>
      <c r="L1409" s="20" t="s">
        <v>5417</v>
      </c>
      <c r="M1409" s="20" t="s">
        <v>2667</v>
      </c>
      <c r="N1409" s="20" t="s">
        <v>5418</v>
      </c>
      <c r="P1409" s="20" t="s">
        <v>2667</v>
      </c>
      <c r="Q1409" s="20" t="s">
        <v>2674</v>
      </c>
      <c r="R1409" s="20" t="s">
        <v>84</v>
      </c>
      <c r="S1409" s="20">
        <v>5</v>
      </c>
      <c r="T1409" s="20" t="s">
        <v>106</v>
      </c>
      <c r="U1409" s="20" t="s">
        <v>107</v>
      </c>
      <c r="V1409" s="20" t="s">
        <v>87</v>
      </c>
      <c r="W1409" s="20">
        <v>511</v>
      </c>
      <c r="X1409" s="20">
        <v>511</v>
      </c>
      <c r="Y1409" s="20" t="s">
        <v>5419</v>
      </c>
      <c r="Z1409" s="20">
        <v>1</v>
      </c>
      <c r="AA1409" s="20" t="s">
        <v>5420</v>
      </c>
      <c r="AB1409" s="20" t="s">
        <v>296</v>
      </c>
      <c r="AC1409" s="20" t="s">
        <v>297</v>
      </c>
      <c r="AD1409" s="20" t="s">
        <v>5421</v>
      </c>
      <c r="AE1409" s="20" t="s">
        <v>91</v>
      </c>
      <c r="AF1409" s="20">
        <v>1</v>
      </c>
      <c r="AG1409" s="20">
        <v>0</v>
      </c>
      <c r="AH1409" s="20">
        <v>1</v>
      </c>
      <c r="AI1409" s="4" t="s">
        <v>97</v>
      </c>
      <c r="AJ1409" s="20">
        <v>50</v>
      </c>
      <c r="AK1409" s="4" t="s">
        <v>111</v>
      </c>
      <c r="AL1409" s="4">
        <v>31</v>
      </c>
      <c r="AM1409" s="4">
        <v>31</v>
      </c>
      <c r="AN1409" s="4" t="s">
        <v>95</v>
      </c>
      <c r="AO1409" s="4" t="s">
        <v>96</v>
      </c>
      <c r="AP1409" s="4">
        <v>1</v>
      </c>
      <c r="AQ1409" s="20">
        <v>55000</v>
      </c>
      <c r="AR1409" s="4">
        <v>41971</v>
      </c>
      <c r="AS1409" s="20">
        <v>8333.3333333333321</v>
      </c>
      <c r="AT1409" s="20">
        <v>0</v>
      </c>
      <c r="AU1409" s="20">
        <v>-8333.3333333333321</v>
      </c>
      <c r="AV1409" s="20">
        <v>0</v>
      </c>
      <c r="AW1409" s="20">
        <v>0</v>
      </c>
      <c r="AX1409" s="20" t="s">
        <v>91</v>
      </c>
      <c r="AY1409" s="20">
        <v>0</v>
      </c>
      <c r="AZ1409" s="20">
        <v>0</v>
      </c>
      <c r="BA1409" s="20">
        <v>0</v>
      </c>
      <c r="BB1409" s="6">
        <v>41971</v>
      </c>
      <c r="BC1409" s="6">
        <v>0</v>
      </c>
      <c r="BD1409" s="6">
        <v>41976</v>
      </c>
      <c r="BE1409" s="6">
        <v>0</v>
      </c>
      <c r="BF1409" s="6">
        <v>41975</v>
      </c>
      <c r="BG1409" s="6">
        <v>0</v>
      </c>
      <c r="BH1409" s="6">
        <v>0</v>
      </c>
      <c r="BI1409" s="6">
        <v>0</v>
      </c>
      <c r="BJ1409" s="6">
        <v>0</v>
      </c>
      <c r="BK1409" s="4">
        <v>0</v>
      </c>
      <c r="BL1409" s="4">
        <v>0</v>
      </c>
      <c r="BM1409" s="20">
        <v>50</v>
      </c>
      <c r="BN1409" s="20">
        <v>0</v>
      </c>
      <c r="BO1409" s="20">
        <v>0</v>
      </c>
      <c r="BP1409" s="20">
        <v>0</v>
      </c>
      <c r="BQ1409" s="20">
        <v>0</v>
      </c>
      <c r="BR1409" s="20">
        <v>0</v>
      </c>
      <c r="BS1409" s="20">
        <v>50</v>
      </c>
      <c r="BT1409" s="20">
        <v>416666.66666666663</v>
      </c>
      <c r="BU1409" s="20">
        <v>2750000</v>
      </c>
      <c r="BV1409" s="20">
        <v>6</v>
      </c>
    </row>
    <row r="1410" spans="1:74">
      <c r="A1410" s="10">
        <f t="shared" si="86"/>
        <v>0</v>
      </c>
      <c r="B1410" s="10">
        <f t="shared" si="87"/>
        <v>0</v>
      </c>
      <c r="C1410" s="12">
        <f t="shared" si="88"/>
        <v>11</v>
      </c>
      <c r="D1410" s="12">
        <f t="shared" si="89"/>
        <v>12</v>
      </c>
      <c r="E1410" s="20" t="s">
        <v>114</v>
      </c>
      <c r="F1410" s="20" t="s">
        <v>2667</v>
      </c>
      <c r="G1410" s="20" t="s">
        <v>5413</v>
      </c>
      <c r="H1410" s="20" t="s">
        <v>5422</v>
      </c>
      <c r="I1410" s="20">
        <v>2</v>
      </c>
      <c r="J1410" s="20" t="s">
        <v>5423</v>
      </c>
      <c r="K1410" s="20" t="s">
        <v>5424</v>
      </c>
      <c r="L1410" s="20" t="s">
        <v>5425</v>
      </c>
      <c r="M1410" s="20" t="s">
        <v>2667</v>
      </c>
      <c r="N1410" s="20" t="s">
        <v>5418</v>
      </c>
      <c r="P1410" s="20" t="s">
        <v>2667</v>
      </c>
      <c r="Q1410" s="20" t="s">
        <v>2674</v>
      </c>
      <c r="R1410" s="20" t="s">
        <v>84</v>
      </c>
      <c r="S1410" s="20">
        <v>5</v>
      </c>
      <c r="T1410" s="20" t="s">
        <v>106</v>
      </c>
      <c r="U1410" s="20" t="s">
        <v>107</v>
      </c>
      <c r="V1410" s="20" t="s">
        <v>87</v>
      </c>
      <c r="W1410" s="20">
        <v>512</v>
      </c>
      <c r="X1410" s="20">
        <v>512</v>
      </c>
      <c r="Y1410" s="20" t="s">
        <v>5426</v>
      </c>
      <c r="Z1410" s="20">
        <v>1</v>
      </c>
      <c r="AA1410" s="20" t="s">
        <v>5427</v>
      </c>
      <c r="AB1410" s="20" t="s">
        <v>89</v>
      </c>
      <c r="AC1410" s="20" t="s">
        <v>90</v>
      </c>
      <c r="AD1410" s="20" t="s">
        <v>5428</v>
      </c>
      <c r="AE1410" s="20" t="s">
        <v>91</v>
      </c>
      <c r="AF1410" s="20">
        <v>1</v>
      </c>
      <c r="AG1410" s="20">
        <v>0</v>
      </c>
      <c r="AH1410" s="20">
        <v>1</v>
      </c>
      <c r="AI1410" s="4" t="s">
        <v>97</v>
      </c>
      <c r="AJ1410" s="20">
        <v>50</v>
      </c>
      <c r="AK1410" s="4" t="s">
        <v>111</v>
      </c>
      <c r="AL1410" s="4">
        <v>31</v>
      </c>
      <c r="AM1410" s="4">
        <v>31</v>
      </c>
      <c r="AN1410" s="4" t="s">
        <v>95</v>
      </c>
      <c r="AO1410" s="4" t="s">
        <v>96</v>
      </c>
      <c r="AP1410" s="4">
        <v>1</v>
      </c>
      <c r="AQ1410" s="20">
        <v>55000</v>
      </c>
      <c r="AR1410" s="4">
        <v>41971</v>
      </c>
      <c r="AS1410" s="20">
        <v>8333.3333333333321</v>
      </c>
      <c r="AT1410" s="20">
        <v>0</v>
      </c>
      <c r="AU1410" s="20">
        <v>-8333.3333333333321</v>
      </c>
      <c r="AV1410" s="20">
        <v>0</v>
      </c>
      <c r="AW1410" s="20">
        <v>0</v>
      </c>
      <c r="AX1410" s="20" t="s">
        <v>91</v>
      </c>
      <c r="AY1410" s="20">
        <v>0</v>
      </c>
      <c r="AZ1410" s="20">
        <v>0</v>
      </c>
      <c r="BA1410" s="20">
        <v>0</v>
      </c>
      <c r="BB1410" s="6">
        <v>41971</v>
      </c>
      <c r="BC1410" s="6">
        <v>0</v>
      </c>
      <c r="BD1410" s="6">
        <v>41976</v>
      </c>
      <c r="BE1410" s="6">
        <v>0</v>
      </c>
      <c r="BF1410" s="6">
        <v>41975</v>
      </c>
      <c r="BG1410" s="6">
        <v>0</v>
      </c>
      <c r="BH1410" s="6">
        <v>0</v>
      </c>
      <c r="BI1410" s="6">
        <v>0</v>
      </c>
      <c r="BJ1410" s="6">
        <v>0</v>
      </c>
      <c r="BK1410" s="4">
        <v>0</v>
      </c>
      <c r="BL1410" s="4">
        <v>0</v>
      </c>
      <c r="BM1410" s="20">
        <v>50</v>
      </c>
      <c r="BN1410" s="20">
        <v>0</v>
      </c>
      <c r="BO1410" s="20">
        <v>0</v>
      </c>
      <c r="BP1410" s="20">
        <v>0</v>
      </c>
      <c r="BQ1410" s="20">
        <v>0</v>
      </c>
      <c r="BR1410" s="20">
        <v>0</v>
      </c>
      <c r="BS1410" s="20">
        <v>50</v>
      </c>
      <c r="BT1410" s="20">
        <v>416666.66666666663</v>
      </c>
      <c r="BU1410" s="20">
        <v>2750000</v>
      </c>
      <c r="BV1410" s="20">
        <v>6</v>
      </c>
    </row>
    <row r="1411" spans="1:74">
      <c r="A1411" s="10">
        <f t="shared" ref="A1411:A1474" si="90">IF($BL1411="공급",$Z1411,0)</f>
        <v>0</v>
      </c>
      <c r="B1411" s="10">
        <f t="shared" ref="B1411:B1474" si="91">IF($AV1411&gt;0,$Z1411,0)</f>
        <v>0</v>
      </c>
      <c r="C1411" s="12">
        <f t="shared" si="88"/>
        <v>11</v>
      </c>
      <c r="D1411" s="12">
        <f t="shared" si="89"/>
        <v>12</v>
      </c>
      <c r="E1411" s="20" t="s">
        <v>114</v>
      </c>
      <c r="F1411" s="20" t="s">
        <v>2667</v>
      </c>
      <c r="G1411" s="20" t="s">
        <v>5413</v>
      </c>
      <c r="H1411" s="20" t="s">
        <v>5429</v>
      </c>
      <c r="I1411" s="20">
        <v>3</v>
      </c>
      <c r="J1411" s="20" t="s">
        <v>5430</v>
      </c>
      <c r="K1411" s="20" t="s">
        <v>5431</v>
      </c>
      <c r="L1411" s="20" t="s">
        <v>5432</v>
      </c>
      <c r="M1411" s="20" t="s">
        <v>2667</v>
      </c>
      <c r="N1411" s="20" t="s">
        <v>5418</v>
      </c>
      <c r="P1411" s="20" t="s">
        <v>2667</v>
      </c>
      <c r="Q1411" s="20" t="s">
        <v>2674</v>
      </c>
      <c r="R1411" s="20" t="s">
        <v>84</v>
      </c>
      <c r="S1411" s="20">
        <v>5</v>
      </c>
      <c r="T1411" s="20" t="s">
        <v>106</v>
      </c>
      <c r="U1411" s="20" t="s">
        <v>107</v>
      </c>
      <c r="V1411" s="20" t="s">
        <v>87</v>
      </c>
      <c r="W1411" s="20">
        <v>513</v>
      </c>
      <c r="X1411" s="20">
        <v>513</v>
      </c>
      <c r="Y1411" s="20" t="s">
        <v>5433</v>
      </c>
      <c r="Z1411" s="20">
        <v>1</v>
      </c>
      <c r="AA1411" s="20" t="s">
        <v>5434</v>
      </c>
      <c r="AB1411" s="20" t="s">
        <v>101</v>
      </c>
      <c r="AC1411" s="20" t="s">
        <v>102</v>
      </c>
      <c r="AD1411" s="20" t="s">
        <v>5435</v>
      </c>
      <c r="AE1411" s="20" t="s">
        <v>91</v>
      </c>
      <c r="AF1411" s="20">
        <v>1</v>
      </c>
      <c r="AG1411" s="20">
        <v>0</v>
      </c>
      <c r="AH1411" s="20">
        <v>1</v>
      </c>
      <c r="AI1411" s="4" t="s">
        <v>98</v>
      </c>
      <c r="AJ1411" s="20">
        <v>20</v>
      </c>
      <c r="AK1411" s="4" t="s">
        <v>111</v>
      </c>
      <c r="AL1411" s="4">
        <v>31</v>
      </c>
      <c r="AM1411" s="4">
        <v>31</v>
      </c>
      <c r="AN1411" s="4" t="s">
        <v>95</v>
      </c>
      <c r="AO1411" s="4" t="s">
        <v>96</v>
      </c>
      <c r="AP1411" s="4">
        <v>1</v>
      </c>
      <c r="AQ1411" s="20">
        <v>55000</v>
      </c>
      <c r="AR1411" s="4">
        <v>41971</v>
      </c>
      <c r="AS1411" s="20">
        <v>8333.3333333333321</v>
      </c>
      <c r="AT1411" s="20">
        <v>0</v>
      </c>
      <c r="AU1411" s="20">
        <v>-8333.3333333333321</v>
      </c>
      <c r="AV1411" s="20">
        <v>0</v>
      </c>
      <c r="AW1411" s="20">
        <v>0</v>
      </c>
      <c r="AX1411" s="20" t="s">
        <v>91</v>
      </c>
      <c r="AY1411" s="20">
        <v>0</v>
      </c>
      <c r="AZ1411" s="20">
        <v>0</v>
      </c>
      <c r="BA1411" s="20">
        <v>0</v>
      </c>
      <c r="BB1411" s="6">
        <v>41971</v>
      </c>
      <c r="BC1411" s="6">
        <v>0</v>
      </c>
      <c r="BD1411" s="6">
        <v>41976</v>
      </c>
      <c r="BE1411" s="6">
        <v>0</v>
      </c>
      <c r="BF1411" s="6">
        <v>41975</v>
      </c>
      <c r="BG1411" s="6">
        <v>0</v>
      </c>
      <c r="BH1411" s="6">
        <v>0</v>
      </c>
      <c r="BI1411" s="6">
        <v>0</v>
      </c>
      <c r="BJ1411" s="6">
        <v>0</v>
      </c>
      <c r="BK1411" s="4">
        <v>0</v>
      </c>
      <c r="BL1411" s="4">
        <v>0</v>
      </c>
      <c r="BM1411" s="20">
        <v>20</v>
      </c>
      <c r="BN1411" s="20">
        <v>0</v>
      </c>
      <c r="BO1411" s="20">
        <v>0</v>
      </c>
      <c r="BP1411" s="20">
        <v>0</v>
      </c>
      <c r="BQ1411" s="20">
        <v>0</v>
      </c>
      <c r="BR1411" s="20">
        <v>0</v>
      </c>
      <c r="BS1411" s="20">
        <v>20</v>
      </c>
      <c r="BT1411" s="20">
        <v>166666.66666666663</v>
      </c>
      <c r="BU1411" s="20">
        <v>1100000</v>
      </c>
      <c r="BV1411" s="20">
        <v>6.0000000000000009</v>
      </c>
    </row>
    <row r="1412" spans="1:74">
      <c r="A1412" s="10">
        <f t="shared" si="90"/>
        <v>0</v>
      </c>
      <c r="B1412" s="10">
        <f t="shared" si="91"/>
        <v>0</v>
      </c>
      <c r="C1412" s="12">
        <f t="shared" ref="C1412:C1475" si="92">IF($BB1412=0,"",MONTH($BB1412))</f>
        <v>11</v>
      </c>
      <c r="D1412" s="12">
        <f t="shared" si="89"/>
        <v>12</v>
      </c>
      <c r="E1412" s="20" t="s">
        <v>114</v>
      </c>
      <c r="F1412" s="20" t="s">
        <v>2667</v>
      </c>
      <c r="G1412" s="20" t="s">
        <v>5413</v>
      </c>
      <c r="H1412" s="20" t="s">
        <v>5436</v>
      </c>
      <c r="I1412" s="20">
        <v>4</v>
      </c>
      <c r="J1412" s="20" t="s">
        <v>5437</v>
      </c>
      <c r="K1412" s="20" t="s">
        <v>5438</v>
      </c>
      <c r="L1412" s="20" t="s">
        <v>5439</v>
      </c>
      <c r="M1412" s="20" t="s">
        <v>2667</v>
      </c>
      <c r="N1412" s="20" t="s">
        <v>5418</v>
      </c>
      <c r="P1412" s="20" t="s">
        <v>2667</v>
      </c>
      <c r="Q1412" s="20" t="s">
        <v>2674</v>
      </c>
      <c r="R1412" s="20" t="s">
        <v>84</v>
      </c>
      <c r="S1412" s="20">
        <v>5</v>
      </c>
      <c r="T1412" s="20" t="s">
        <v>106</v>
      </c>
      <c r="U1412" s="20" t="s">
        <v>107</v>
      </c>
      <c r="V1412" s="20" t="s">
        <v>87</v>
      </c>
      <c r="W1412" s="20">
        <v>519</v>
      </c>
      <c r="X1412" s="20">
        <v>519</v>
      </c>
      <c r="Y1412" s="20" t="s">
        <v>5440</v>
      </c>
      <c r="Z1412" s="20">
        <v>0.5</v>
      </c>
      <c r="AA1412" s="20" t="s">
        <v>5441</v>
      </c>
      <c r="AB1412" s="20" t="s">
        <v>89</v>
      </c>
      <c r="AC1412" s="20" t="s">
        <v>90</v>
      </c>
      <c r="AD1412" s="20" t="s">
        <v>5442</v>
      </c>
      <c r="AE1412" s="20" t="s">
        <v>91</v>
      </c>
      <c r="AF1412" s="20">
        <v>0.5</v>
      </c>
      <c r="AG1412" s="20">
        <v>0</v>
      </c>
      <c r="AH1412" s="20">
        <v>1</v>
      </c>
      <c r="AI1412" s="4" t="s">
        <v>97</v>
      </c>
      <c r="AJ1412" s="20">
        <v>30</v>
      </c>
      <c r="AK1412" s="4" t="s">
        <v>111</v>
      </c>
      <c r="AL1412" s="4">
        <v>31</v>
      </c>
      <c r="AM1412" s="4">
        <v>31</v>
      </c>
      <c r="AN1412" s="4" t="s">
        <v>95</v>
      </c>
      <c r="AO1412" s="4" t="s">
        <v>96</v>
      </c>
      <c r="AP1412" s="4">
        <v>1</v>
      </c>
      <c r="AQ1412" s="20">
        <v>55000</v>
      </c>
      <c r="AR1412" s="4">
        <v>41971</v>
      </c>
      <c r="AS1412" s="20">
        <v>8333.3333333333321</v>
      </c>
      <c r="AT1412" s="20">
        <v>0</v>
      </c>
      <c r="AU1412" s="20">
        <v>-8333.3333333333321</v>
      </c>
      <c r="AV1412" s="20">
        <v>0</v>
      </c>
      <c r="AW1412" s="20">
        <v>0</v>
      </c>
      <c r="AX1412" s="20" t="s">
        <v>91</v>
      </c>
      <c r="AY1412" s="20">
        <v>0</v>
      </c>
      <c r="AZ1412" s="20">
        <v>0</v>
      </c>
      <c r="BA1412" s="20">
        <v>0</v>
      </c>
      <c r="BB1412" s="6">
        <v>41971</v>
      </c>
      <c r="BC1412" s="6">
        <v>0</v>
      </c>
      <c r="BD1412" s="6">
        <v>41976</v>
      </c>
      <c r="BE1412" s="6">
        <v>0</v>
      </c>
      <c r="BF1412" s="6">
        <v>41975</v>
      </c>
      <c r="BG1412" s="6">
        <v>0</v>
      </c>
      <c r="BH1412" s="6">
        <v>0</v>
      </c>
      <c r="BI1412" s="6">
        <v>0</v>
      </c>
      <c r="BJ1412" s="6">
        <v>0</v>
      </c>
      <c r="BK1412" s="4">
        <v>0</v>
      </c>
      <c r="BL1412" s="4">
        <v>0</v>
      </c>
      <c r="BM1412" s="20">
        <v>30</v>
      </c>
      <c r="BN1412" s="20">
        <v>0</v>
      </c>
      <c r="BO1412" s="20">
        <v>0</v>
      </c>
      <c r="BP1412" s="20">
        <v>0</v>
      </c>
      <c r="BQ1412" s="20">
        <v>0</v>
      </c>
      <c r="BR1412" s="20">
        <v>0</v>
      </c>
      <c r="BS1412" s="20">
        <v>30</v>
      </c>
      <c r="BT1412" s="20">
        <v>249999.99999999997</v>
      </c>
      <c r="BU1412" s="20">
        <v>1650000</v>
      </c>
      <c r="BV1412" s="20">
        <v>6</v>
      </c>
    </row>
    <row r="1413" spans="1:74">
      <c r="A1413" s="10">
        <f t="shared" si="90"/>
        <v>0</v>
      </c>
      <c r="B1413" s="10">
        <f t="shared" si="91"/>
        <v>0</v>
      </c>
      <c r="C1413" s="12">
        <f t="shared" si="92"/>
        <v>11</v>
      </c>
      <c r="D1413" s="12">
        <f t="shared" ref="D1413:D1476" si="93">IF(AND(BD1413=0,BF1413=0),"",MONTH(IF($BF1413=0,$BD1413,$BF1413)))</f>
        <v>12</v>
      </c>
      <c r="E1413" s="20" t="s">
        <v>114</v>
      </c>
      <c r="F1413" s="20" t="s">
        <v>2667</v>
      </c>
      <c r="G1413" s="20" t="s">
        <v>5413</v>
      </c>
      <c r="H1413" s="20" t="s">
        <v>5436</v>
      </c>
      <c r="I1413" s="20">
        <v>4</v>
      </c>
      <c r="J1413" s="20" t="s">
        <v>5437</v>
      </c>
      <c r="K1413" s="20" t="s">
        <v>5443</v>
      </c>
      <c r="L1413" s="20" t="s">
        <v>5439</v>
      </c>
      <c r="M1413" s="20" t="s">
        <v>2667</v>
      </c>
      <c r="N1413" s="20" t="s">
        <v>5418</v>
      </c>
      <c r="P1413" s="20" t="s">
        <v>2667</v>
      </c>
      <c r="Q1413" s="20" t="s">
        <v>2674</v>
      </c>
      <c r="R1413" s="20" t="s">
        <v>84</v>
      </c>
      <c r="S1413" s="20">
        <v>5</v>
      </c>
      <c r="T1413" s="20" t="s">
        <v>106</v>
      </c>
      <c r="U1413" s="20" t="s">
        <v>107</v>
      </c>
      <c r="V1413" s="20" t="s">
        <v>87</v>
      </c>
      <c r="W1413" s="20">
        <v>519</v>
      </c>
      <c r="X1413" s="20">
        <v>519</v>
      </c>
      <c r="Y1413" s="20" t="s">
        <v>5440</v>
      </c>
      <c r="Z1413" s="20">
        <v>0.5</v>
      </c>
      <c r="AA1413" s="20" t="s">
        <v>5444</v>
      </c>
      <c r="AB1413" s="20" t="s">
        <v>89</v>
      </c>
      <c r="AC1413" s="20" t="s">
        <v>90</v>
      </c>
      <c r="AD1413" s="20" t="s">
        <v>5442</v>
      </c>
      <c r="AE1413" s="20" t="s">
        <v>91</v>
      </c>
      <c r="AF1413" s="20">
        <v>0.5</v>
      </c>
      <c r="AG1413" s="20">
        <v>0</v>
      </c>
      <c r="AH1413" s="20">
        <v>1</v>
      </c>
      <c r="AI1413" s="4" t="s">
        <v>98</v>
      </c>
      <c r="AJ1413" s="20">
        <v>10</v>
      </c>
      <c r="AK1413" s="4" t="s">
        <v>111</v>
      </c>
      <c r="AL1413" s="4">
        <v>31</v>
      </c>
      <c r="AM1413" s="4">
        <v>31</v>
      </c>
      <c r="AN1413" s="4" t="s">
        <v>95</v>
      </c>
      <c r="AO1413" s="4" t="s">
        <v>96</v>
      </c>
      <c r="AP1413" s="4">
        <v>1</v>
      </c>
      <c r="AQ1413" s="20">
        <v>55000</v>
      </c>
      <c r="AR1413" s="4">
        <v>41971</v>
      </c>
      <c r="AS1413" s="20">
        <v>8333.3333333333321</v>
      </c>
      <c r="AT1413" s="20">
        <v>0</v>
      </c>
      <c r="AU1413" s="20">
        <v>-8333.3333333333321</v>
      </c>
      <c r="AV1413" s="20">
        <v>0</v>
      </c>
      <c r="AW1413" s="20">
        <v>0</v>
      </c>
      <c r="AX1413" s="20" t="s">
        <v>91</v>
      </c>
      <c r="AY1413" s="20">
        <v>0</v>
      </c>
      <c r="AZ1413" s="20">
        <v>0</v>
      </c>
      <c r="BA1413" s="20">
        <v>0</v>
      </c>
      <c r="BB1413" s="6">
        <v>41971</v>
      </c>
      <c r="BC1413" s="6">
        <v>0</v>
      </c>
      <c r="BD1413" s="6">
        <v>41976</v>
      </c>
      <c r="BE1413" s="6">
        <v>0</v>
      </c>
      <c r="BF1413" s="6">
        <v>41975</v>
      </c>
      <c r="BG1413" s="6">
        <v>0</v>
      </c>
      <c r="BH1413" s="6">
        <v>0</v>
      </c>
      <c r="BI1413" s="6">
        <v>0</v>
      </c>
      <c r="BJ1413" s="6">
        <v>0</v>
      </c>
      <c r="BK1413" s="4">
        <v>0</v>
      </c>
      <c r="BL1413" s="4">
        <v>0</v>
      </c>
      <c r="BM1413" s="20">
        <v>10</v>
      </c>
      <c r="BN1413" s="20">
        <v>0</v>
      </c>
      <c r="BO1413" s="20">
        <v>0</v>
      </c>
      <c r="BP1413" s="20">
        <v>0</v>
      </c>
      <c r="BQ1413" s="20">
        <v>0</v>
      </c>
      <c r="BR1413" s="20">
        <v>0</v>
      </c>
      <c r="BS1413" s="20">
        <v>10</v>
      </c>
      <c r="BT1413" s="20">
        <v>83333.333333333314</v>
      </c>
      <c r="BU1413" s="20">
        <v>550000</v>
      </c>
      <c r="BV1413" s="20">
        <v>6.0000000000000009</v>
      </c>
    </row>
    <row r="1414" spans="1:74">
      <c r="A1414" s="10">
        <f t="shared" si="90"/>
        <v>0</v>
      </c>
      <c r="B1414" s="10">
        <f t="shared" si="91"/>
        <v>0</v>
      </c>
      <c r="C1414" s="12" t="str">
        <f t="shared" si="92"/>
        <v/>
      </c>
      <c r="D1414" s="12" t="str">
        <f t="shared" si="93"/>
        <v/>
      </c>
      <c r="E1414" s="20" t="s">
        <v>91</v>
      </c>
      <c r="F1414" s="20" t="s">
        <v>91</v>
      </c>
      <c r="G1414" s="20" t="s">
        <v>91</v>
      </c>
      <c r="H1414" s="20" t="s">
        <v>91</v>
      </c>
      <c r="I1414" s="20">
        <v>0</v>
      </c>
      <c r="J1414" s="20" t="s">
        <v>103</v>
      </c>
      <c r="K1414" s="20" t="s">
        <v>104</v>
      </c>
      <c r="L1414" s="20">
        <v>0</v>
      </c>
      <c r="M1414" s="20" t="s">
        <v>105</v>
      </c>
      <c r="N1414" s="20" t="s">
        <v>91</v>
      </c>
      <c r="O1414" s="20" t="s">
        <v>5445</v>
      </c>
      <c r="Q1414" s="20" t="s">
        <v>91</v>
      </c>
      <c r="R1414" s="20" t="s">
        <v>91</v>
      </c>
      <c r="S1414" s="20" t="s">
        <v>91</v>
      </c>
      <c r="U1414" s="20" t="s">
        <v>91</v>
      </c>
      <c r="V1414" s="20" t="s">
        <v>87</v>
      </c>
      <c r="X1414" s="20" t="s">
        <v>91</v>
      </c>
      <c r="Y1414" s="20" t="s">
        <v>91</v>
      </c>
      <c r="Z1414" s="20">
        <v>4</v>
      </c>
      <c r="AB1414" s="20" t="s">
        <v>91</v>
      </c>
      <c r="AD1414" s="20" t="s">
        <v>91</v>
      </c>
      <c r="AE1414" s="20" t="s">
        <v>91</v>
      </c>
      <c r="AF1414" s="20">
        <v>4</v>
      </c>
      <c r="AG1414" s="20">
        <v>0</v>
      </c>
      <c r="AH1414" s="20">
        <v>1</v>
      </c>
      <c r="AM1414" s="4" t="s">
        <v>91</v>
      </c>
      <c r="AP1414" s="4" t="s">
        <v>91</v>
      </c>
      <c r="AQ1414" s="20">
        <v>0</v>
      </c>
      <c r="AR1414" s="4">
        <v>0</v>
      </c>
      <c r="AS1414" s="20">
        <v>0</v>
      </c>
      <c r="AT1414" s="20">
        <v>0</v>
      </c>
      <c r="AU1414" s="20">
        <v>0</v>
      </c>
      <c r="AV1414" s="20">
        <v>0</v>
      </c>
      <c r="AW1414" s="20">
        <v>0</v>
      </c>
      <c r="AX1414" s="20" t="s">
        <v>91</v>
      </c>
      <c r="AY1414" s="20">
        <v>0</v>
      </c>
      <c r="AZ1414" s="20">
        <v>0</v>
      </c>
      <c r="BA1414" s="20">
        <v>0</v>
      </c>
      <c r="BB1414" s="6">
        <v>0</v>
      </c>
      <c r="BC1414" s="6">
        <v>0</v>
      </c>
      <c r="BD1414" s="6">
        <v>0</v>
      </c>
      <c r="BE1414" s="6">
        <v>0</v>
      </c>
      <c r="BF1414" s="6">
        <v>0</v>
      </c>
      <c r="BG1414" s="6">
        <v>0</v>
      </c>
      <c r="BH1414" s="6">
        <v>0</v>
      </c>
      <c r="BI1414" s="6">
        <v>0</v>
      </c>
      <c r="BJ1414" s="6">
        <v>0</v>
      </c>
      <c r="BK1414" s="4">
        <v>0</v>
      </c>
      <c r="BL1414" s="4">
        <v>0</v>
      </c>
      <c r="BM1414" s="20">
        <v>160</v>
      </c>
      <c r="BN1414" s="20">
        <v>0</v>
      </c>
      <c r="BO1414" s="20">
        <v>0</v>
      </c>
      <c r="BP1414" s="20">
        <v>0</v>
      </c>
      <c r="BQ1414" s="20">
        <v>0</v>
      </c>
      <c r="BR1414" s="20">
        <v>0</v>
      </c>
      <c r="BS1414" s="20">
        <v>160</v>
      </c>
      <c r="BT1414" s="20">
        <v>1333333.333333333</v>
      </c>
      <c r="BU1414" s="20">
        <v>8800000</v>
      </c>
      <c r="BV1414" s="20">
        <v>6.0000000000000009</v>
      </c>
    </row>
    <row r="1415" spans="1:74">
      <c r="A1415" s="10">
        <f t="shared" si="90"/>
        <v>0</v>
      </c>
      <c r="B1415" s="10">
        <f t="shared" si="91"/>
        <v>0</v>
      </c>
      <c r="C1415" s="12">
        <f t="shared" si="92"/>
        <v>11</v>
      </c>
      <c r="D1415" s="12">
        <f t="shared" si="93"/>
        <v>12</v>
      </c>
      <c r="E1415" s="20" t="s">
        <v>114</v>
      </c>
      <c r="F1415" s="20" t="s">
        <v>2667</v>
      </c>
      <c r="G1415" s="20" t="s">
        <v>5446</v>
      </c>
      <c r="H1415" s="20" t="s">
        <v>5447</v>
      </c>
      <c r="I1415" s="20">
        <v>1</v>
      </c>
      <c r="J1415" s="20" t="s">
        <v>5448</v>
      </c>
      <c r="K1415" s="20" t="s">
        <v>5449</v>
      </c>
      <c r="L1415" s="20" t="s">
        <v>5450</v>
      </c>
      <c r="M1415" s="20" t="s">
        <v>2667</v>
      </c>
      <c r="N1415" s="20" t="s">
        <v>5418</v>
      </c>
      <c r="P1415" s="20" t="s">
        <v>2667</v>
      </c>
      <c r="Q1415" s="20" t="s">
        <v>2674</v>
      </c>
      <c r="R1415" s="20" t="s">
        <v>84</v>
      </c>
      <c r="S1415" s="20">
        <v>5</v>
      </c>
      <c r="T1415" s="20" t="s">
        <v>106</v>
      </c>
      <c r="U1415" s="20" t="s">
        <v>107</v>
      </c>
      <c r="V1415" s="20" t="s">
        <v>87</v>
      </c>
      <c r="W1415" s="20">
        <v>516</v>
      </c>
      <c r="X1415" s="20">
        <v>516</v>
      </c>
      <c r="Y1415" s="20" t="s">
        <v>5451</v>
      </c>
      <c r="Z1415" s="20">
        <v>1</v>
      </c>
      <c r="AA1415" s="20" t="s">
        <v>5452</v>
      </c>
      <c r="AB1415" s="20" t="s">
        <v>718</v>
      </c>
      <c r="AC1415" s="20" t="s">
        <v>719</v>
      </c>
      <c r="AD1415" s="20" t="s">
        <v>5453</v>
      </c>
      <c r="AE1415" s="20" t="s">
        <v>91</v>
      </c>
      <c r="AF1415" s="20">
        <v>1</v>
      </c>
      <c r="AG1415" s="20">
        <v>0</v>
      </c>
      <c r="AH1415" s="20">
        <v>1</v>
      </c>
      <c r="AI1415" s="4" t="s">
        <v>97</v>
      </c>
      <c r="AJ1415" s="20">
        <v>30</v>
      </c>
      <c r="AK1415" s="4" t="s">
        <v>179</v>
      </c>
      <c r="AL1415" s="4">
        <v>41</v>
      </c>
      <c r="AM1415" s="4">
        <v>41</v>
      </c>
      <c r="AN1415" s="4" t="s">
        <v>95</v>
      </c>
      <c r="AO1415" s="4" t="s">
        <v>96</v>
      </c>
      <c r="AP1415" s="4">
        <v>1</v>
      </c>
      <c r="AQ1415" s="20">
        <v>45000</v>
      </c>
      <c r="AR1415" s="4">
        <v>41971</v>
      </c>
      <c r="AS1415" s="20">
        <v>6818.1818181818171</v>
      </c>
      <c r="AT1415" s="20">
        <v>0</v>
      </c>
      <c r="AU1415" s="20">
        <v>-6818.1818181818171</v>
      </c>
      <c r="AV1415" s="20">
        <v>0</v>
      </c>
      <c r="AW1415" s="20">
        <v>0</v>
      </c>
      <c r="AX1415" s="20" t="s">
        <v>91</v>
      </c>
      <c r="AY1415" s="20">
        <v>0</v>
      </c>
      <c r="AZ1415" s="20">
        <v>0</v>
      </c>
      <c r="BA1415" s="20">
        <v>0</v>
      </c>
      <c r="BB1415" s="6">
        <v>41971</v>
      </c>
      <c r="BC1415" s="6">
        <v>0</v>
      </c>
      <c r="BD1415" s="6">
        <v>41976</v>
      </c>
      <c r="BE1415" s="6">
        <v>0</v>
      </c>
      <c r="BF1415" s="6">
        <v>41975</v>
      </c>
      <c r="BG1415" s="6">
        <v>0</v>
      </c>
      <c r="BH1415" s="6">
        <v>0</v>
      </c>
      <c r="BI1415" s="6">
        <v>0</v>
      </c>
      <c r="BJ1415" s="6">
        <v>0</v>
      </c>
      <c r="BK1415" s="4">
        <v>0</v>
      </c>
      <c r="BL1415" s="4">
        <v>0</v>
      </c>
      <c r="BM1415" s="20">
        <v>30</v>
      </c>
      <c r="BN1415" s="20">
        <v>0</v>
      </c>
      <c r="BO1415" s="20">
        <v>0</v>
      </c>
      <c r="BP1415" s="20">
        <v>0</v>
      </c>
      <c r="BQ1415" s="20">
        <v>0</v>
      </c>
      <c r="BR1415" s="20">
        <v>0</v>
      </c>
      <c r="BS1415" s="20">
        <v>30</v>
      </c>
      <c r="BT1415" s="20">
        <v>204545.4545454545</v>
      </c>
      <c r="BU1415" s="20">
        <v>1350000</v>
      </c>
      <c r="BV1415" s="20">
        <v>6.0000000000000009</v>
      </c>
    </row>
    <row r="1416" spans="1:74">
      <c r="A1416" s="10">
        <f t="shared" si="90"/>
        <v>0</v>
      </c>
      <c r="B1416" s="10">
        <f t="shared" si="91"/>
        <v>0</v>
      </c>
      <c r="C1416" s="12" t="str">
        <f t="shared" si="92"/>
        <v/>
      </c>
      <c r="D1416" s="12" t="str">
        <f t="shared" si="93"/>
        <v/>
      </c>
      <c r="E1416" s="20" t="s">
        <v>91</v>
      </c>
      <c r="F1416" s="20" t="s">
        <v>91</v>
      </c>
      <c r="G1416" s="20" t="s">
        <v>91</v>
      </c>
      <c r="H1416" s="20" t="s">
        <v>91</v>
      </c>
      <c r="I1416" s="20">
        <v>0</v>
      </c>
      <c r="J1416" s="20" t="s">
        <v>103</v>
      </c>
      <c r="K1416" s="20" t="s">
        <v>104</v>
      </c>
      <c r="L1416" s="20">
        <v>0</v>
      </c>
      <c r="M1416" s="20" t="s">
        <v>105</v>
      </c>
      <c r="N1416" s="20" t="s">
        <v>91</v>
      </c>
      <c r="O1416" s="20" t="s">
        <v>5454</v>
      </c>
      <c r="Q1416" s="20" t="s">
        <v>91</v>
      </c>
      <c r="R1416" s="20" t="s">
        <v>91</v>
      </c>
      <c r="S1416" s="20" t="s">
        <v>91</v>
      </c>
      <c r="U1416" s="20" t="s">
        <v>91</v>
      </c>
      <c r="V1416" s="20" t="s">
        <v>87</v>
      </c>
      <c r="X1416" s="20" t="s">
        <v>91</v>
      </c>
      <c r="Y1416" s="20" t="s">
        <v>91</v>
      </c>
      <c r="Z1416" s="20">
        <v>1</v>
      </c>
      <c r="AB1416" s="20" t="s">
        <v>91</v>
      </c>
      <c r="AD1416" s="20" t="s">
        <v>91</v>
      </c>
      <c r="AE1416" s="20" t="s">
        <v>91</v>
      </c>
      <c r="AF1416" s="20">
        <v>1</v>
      </c>
      <c r="AG1416" s="20">
        <v>0</v>
      </c>
      <c r="AH1416" s="20">
        <v>1</v>
      </c>
      <c r="AM1416" s="4" t="s">
        <v>91</v>
      </c>
      <c r="AP1416" s="4" t="s">
        <v>91</v>
      </c>
      <c r="AQ1416" s="20">
        <v>0</v>
      </c>
      <c r="AR1416" s="4">
        <v>0</v>
      </c>
      <c r="AS1416" s="20">
        <v>0</v>
      </c>
      <c r="AT1416" s="20">
        <v>0</v>
      </c>
      <c r="AU1416" s="20">
        <v>0</v>
      </c>
      <c r="AV1416" s="20">
        <v>0</v>
      </c>
      <c r="AW1416" s="20">
        <v>0</v>
      </c>
      <c r="AX1416" s="20" t="s">
        <v>91</v>
      </c>
      <c r="AY1416" s="20">
        <v>0</v>
      </c>
      <c r="AZ1416" s="20">
        <v>0</v>
      </c>
      <c r="BA1416" s="20">
        <v>0</v>
      </c>
      <c r="BB1416" s="6">
        <v>0</v>
      </c>
      <c r="BC1416" s="6">
        <v>0</v>
      </c>
      <c r="BD1416" s="6">
        <v>0</v>
      </c>
      <c r="BE1416" s="6">
        <v>0</v>
      </c>
      <c r="BF1416" s="6">
        <v>0</v>
      </c>
      <c r="BG1416" s="6">
        <v>0</v>
      </c>
      <c r="BH1416" s="6">
        <v>0</v>
      </c>
      <c r="BI1416" s="6">
        <v>0</v>
      </c>
      <c r="BJ1416" s="6">
        <v>0</v>
      </c>
      <c r="BK1416" s="4">
        <v>0</v>
      </c>
      <c r="BL1416" s="4">
        <v>0</v>
      </c>
      <c r="BM1416" s="20">
        <v>30</v>
      </c>
      <c r="BN1416" s="20">
        <v>0</v>
      </c>
      <c r="BO1416" s="20">
        <v>0</v>
      </c>
      <c r="BP1416" s="20">
        <v>0</v>
      </c>
      <c r="BQ1416" s="20">
        <v>0</v>
      </c>
      <c r="BR1416" s="20">
        <v>0</v>
      </c>
      <c r="BS1416" s="20">
        <v>30</v>
      </c>
      <c r="BT1416" s="20">
        <v>204545.4545454545</v>
      </c>
      <c r="BU1416" s="20">
        <v>1350000</v>
      </c>
      <c r="BV1416" s="20">
        <v>6.0000000000000009</v>
      </c>
    </row>
    <row r="1417" spans="1:74">
      <c r="A1417" s="10">
        <f t="shared" si="90"/>
        <v>0</v>
      </c>
      <c r="B1417" s="10">
        <f t="shared" si="91"/>
        <v>0</v>
      </c>
      <c r="C1417" s="12">
        <f t="shared" si="92"/>
        <v>11</v>
      </c>
      <c r="D1417" s="12">
        <f t="shared" si="93"/>
        <v>12</v>
      </c>
      <c r="E1417" s="20" t="s">
        <v>114</v>
      </c>
      <c r="F1417" s="20" t="s">
        <v>5455</v>
      </c>
      <c r="G1417" s="20" t="s">
        <v>5456</v>
      </c>
      <c r="H1417" s="20" t="s">
        <v>5457</v>
      </c>
      <c r="I1417" s="20">
        <v>1</v>
      </c>
      <c r="J1417" s="20" t="s">
        <v>5458</v>
      </c>
      <c r="K1417" s="20" t="s">
        <v>5459</v>
      </c>
      <c r="L1417" s="20" t="s">
        <v>5460</v>
      </c>
      <c r="M1417" s="20" t="s">
        <v>5455</v>
      </c>
      <c r="N1417" s="20" t="s">
        <v>5461</v>
      </c>
      <c r="P1417" s="20" t="s">
        <v>5455</v>
      </c>
      <c r="Q1417" s="20" t="s">
        <v>5462</v>
      </c>
      <c r="R1417" s="20" t="s">
        <v>84</v>
      </c>
      <c r="S1417" s="20">
        <v>5</v>
      </c>
      <c r="T1417" s="20" t="s">
        <v>172</v>
      </c>
      <c r="U1417" s="20" t="s">
        <v>173</v>
      </c>
      <c r="V1417" s="20" t="s">
        <v>87</v>
      </c>
      <c r="W1417" s="20">
        <v>512</v>
      </c>
      <c r="X1417" s="20">
        <v>512</v>
      </c>
      <c r="Y1417" s="20" t="s">
        <v>5463</v>
      </c>
      <c r="Z1417" s="20">
        <v>0.5</v>
      </c>
      <c r="AA1417" s="20" t="s">
        <v>5464</v>
      </c>
      <c r="AB1417" s="20" t="s">
        <v>189</v>
      </c>
      <c r="AC1417" s="20" t="s">
        <v>190</v>
      </c>
      <c r="AD1417" s="20" t="s">
        <v>5465</v>
      </c>
      <c r="AE1417" s="20" t="s">
        <v>91</v>
      </c>
      <c r="AF1417" s="20">
        <v>0.5</v>
      </c>
      <c r="AG1417" s="20">
        <v>0</v>
      </c>
      <c r="AH1417" s="20">
        <v>1</v>
      </c>
      <c r="AI1417" s="4" t="s">
        <v>97</v>
      </c>
      <c r="AJ1417" s="20">
        <v>70</v>
      </c>
      <c r="AK1417" s="4" t="s">
        <v>179</v>
      </c>
      <c r="AL1417" s="4">
        <v>42</v>
      </c>
      <c r="AM1417" s="4">
        <v>42</v>
      </c>
      <c r="AN1417" s="4" t="s">
        <v>95</v>
      </c>
      <c r="AO1417" s="4" t="s">
        <v>96</v>
      </c>
      <c r="AP1417" s="4">
        <v>1</v>
      </c>
      <c r="AQ1417" s="20">
        <v>45000</v>
      </c>
      <c r="AR1417" s="4">
        <v>41971</v>
      </c>
      <c r="AS1417" s="20">
        <v>6818.1818181818171</v>
      </c>
      <c r="AT1417" s="20">
        <v>0</v>
      </c>
      <c r="AU1417" s="20">
        <v>-6818.1818181818171</v>
      </c>
      <c r="AV1417" s="20">
        <v>0</v>
      </c>
      <c r="AW1417" s="20">
        <v>0</v>
      </c>
      <c r="AX1417" s="20" t="s">
        <v>91</v>
      </c>
      <c r="AY1417" s="20">
        <v>0</v>
      </c>
      <c r="AZ1417" s="20">
        <v>0</v>
      </c>
      <c r="BA1417" s="20">
        <v>0</v>
      </c>
      <c r="BB1417" s="6">
        <v>41971</v>
      </c>
      <c r="BC1417" s="6">
        <v>0</v>
      </c>
      <c r="BD1417" s="6">
        <v>41976</v>
      </c>
      <c r="BE1417" s="6">
        <v>0</v>
      </c>
      <c r="BF1417" s="6">
        <v>41975</v>
      </c>
      <c r="BG1417" s="6">
        <v>0</v>
      </c>
      <c r="BH1417" s="6">
        <v>0</v>
      </c>
      <c r="BI1417" s="6">
        <v>0</v>
      </c>
      <c r="BJ1417" s="6">
        <v>0</v>
      </c>
      <c r="BK1417" s="4">
        <v>0</v>
      </c>
      <c r="BL1417" s="4">
        <v>0</v>
      </c>
      <c r="BM1417" s="20">
        <v>70</v>
      </c>
      <c r="BN1417" s="20">
        <v>0</v>
      </c>
      <c r="BO1417" s="20">
        <v>0</v>
      </c>
      <c r="BP1417" s="20">
        <v>0</v>
      </c>
      <c r="BQ1417" s="20">
        <v>0</v>
      </c>
      <c r="BR1417" s="20">
        <v>0</v>
      </c>
      <c r="BS1417" s="20">
        <v>70</v>
      </c>
      <c r="BT1417" s="20">
        <v>477272.72727272718</v>
      </c>
      <c r="BU1417" s="20">
        <v>3150000</v>
      </c>
      <c r="BV1417" s="20">
        <v>6.0000000000000009</v>
      </c>
    </row>
    <row r="1418" spans="1:74">
      <c r="A1418" s="10">
        <f t="shared" si="90"/>
        <v>0</v>
      </c>
      <c r="B1418" s="10">
        <f t="shared" si="91"/>
        <v>0</v>
      </c>
      <c r="C1418" s="12">
        <f t="shared" si="92"/>
        <v>11</v>
      </c>
      <c r="D1418" s="12">
        <f t="shared" si="93"/>
        <v>12</v>
      </c>
      <c r="E1418" s="20" t="s">
        <v>114</v>
      </c>
      <c r="F1418" s="20" t="s">
        <v>5455</v>
      </c>
      <c r="G1418" s="20" t="s">
        <v>5456</v>
      </c>
      <c r="H1418" s="20" t="s">
        <v>5457</v>
      </c>
      <c r="I1418" s="20">
        <v>1</v>
      </c>
      <c r="J1418" s="20" t="s">
        <v>5458</v>
      </c>
      <c r="K1418" s="20" t="s">
        <v>5466</v>
      </c>
      <c r="L1418" s="20" t="s">
        <v>5460</v>
      </c>
      <c r="M1418" s="20" t="s">
        <v>5455</v>
      </c>
      <c r="N1418" s="20" t="s">
        <v>5461</v>
      </c>
      <c r="P1418" s="20" t="s">
        <v>5455</v>
      </c>
      <c r="Q1418" s="20" t="s">
        <v>5462</v>
      </c>
      <c r="R1418" s="20" t="s">
        <v>84</v>
      </c>
      <c r="S1418" s="20">
        <v>5</v>
      </c>
      <c r="T1418" s="20" t="s">
        <v>172</v>
      </c>
      <c r="U1418" s="20" t="s">
        <v>173</v>
      </c>
      <c r="V1418" s="20" t="s">
        <v>87</v>
      </c>
      <c r="W1418" s="20">
        <v>512</v>
      </c>
      <c r="X1418" s="20">
        <v>512</v>
      </c>
      <c r="Y1418" s="20" t="s">
        <v>5463</v>
      </c>
      <c r="Z1418" s="20">
        <v>0.5</v>
      </c>
      <c r="AA1418" s="20" t="s">
        <v>5467</v>
      </c>
      <c r="AB1418" s="20" t="s">
        <v>189</v>
      </c>
      <c r="AC1418" s="20" t="s">
        <v>190</v>
      </c>
      <c r="AD1418" s="20" t="s">
        <v>5465</v>
      </c>
      <c r="AE1418" s="20" t="s">
        <v>91</v>
      </c>
      <c r="AF1418" s="20">
        <v>0.5</v>
      </c>
      <c r="AG1418" s="20">
        <v>0</v>
      </c>
      <c r="AH1418" s="20">
        <v>1</v>
      </c>
      <c r="AI1418" s="4" t="s">
        <v>98</v>
      </c>
      <c r="AJ1418" s="20">
        <v>20</v>
      </c>
      <c r="AK1418" s="4" t="s">
        <v>179</v>
      </c>
      <c r="AL1418" s="4">
        <v>42</v>
      </c>
      <c r="AM1418" s="4">
        <v>42</v>
      </c>
      <c r="AN1418" s="4" t="s">
        <v>95</v>
      </c>
      <c r="AO1418" s="4" t="s">
        <v>96</v>
      </c>
      <c r="AP1418" s="4">
        <v>1</v>
      </c>
      <c r="AQ1418" s="20">
        <v>45000</v>
      </c>
      <c r="AR1418" s="4">
        <v>41971</v>
      </c>
      <c r="AS1418" s="20">
        <v>6818.1818181818171</v>
      </c>
      <c r="AT1418" s="20">
        <v>0</v>
      </c>
      <c r="AU1418" s="20">
        <v>-6818.1818181818171</v>
      </c>
      <c r="AV1418" s="20">
        <v>0</v>
      </c>
      <c r="AW1418" s="20">
        <v>0</v>
      </c>
      <c r="AX1418" s="20" t="s">
        <v>91</v>
      </c>
      <c r="AY1418" s="20">
        <v>0</v>
      </c>
      <c r="AZ1418" s="20">
        <v>0</v>
      </c>
      <c r="BA1418" s="20">
        <v>0</v>
      </c>
      <c r="BB1418" s="6">
        <v>41971</v>
      </c>
      <c r="BC1418" s="6">
        <v>0</v>
      </c>
      <c r="BD1418" s="6">
        <v>41976</v>
      </c>
      <c r="BE1418" s="6">
        <v>0</v>
      </c>
      <c r="BF1418" s="6">
        <v>41975</v>
      </c>
      <c r="BG1418" s="6">
        <v>0</v>
      </c>
      <c r="BH1418" s="6">
        <v>0</v>
      </c>
      <c r="BI1418" s="6">
        <v>0</v>
      </c>
      <c r="BJ1418" s="6">
        <v>0</v>
      </c>
      <c r="BK1418" s="4">
        <v>0</v>
      </c>
      <c r="BL1418" s="4">
        <v>0</v>
      </c>
      <c r="BM1418" s="20">
        <v>20</v>
      </c>
      <c r="BN1418" s="20">
        <v>0</v>
      </c>
      <c r="BO1418" s="20">
        <v>0</v>
      </c>
      <c r="BP1418" s="20">
        <v>0</v>
      </c>
      <c r="BQ1418" s="20">
        <v>0</v>
      </c>
      <c r="BR1418" s="20">
        <v>0</v>
      </c>
      <c r="BS1418" s="20">
        <v>20</v>
      </c>
      <c r="BT1418" s="20">
        <v>136363.63636363635</v>
      </c>
      <c r="BU1418" s="20">
        <v>900000</v>
      </c>
      <c r="BV1418" s="20">
        <v>6</v>
      </c>
    </row>
    <row r="1419" spans="1:74">
      <c r="A1419" s="10">
        <f t="shared" si="90"/>
        <v>0</v>
      </c>
      <c r="B1419" s="10">
        <f t="shared" si="91"/>
        <v>0</v>
      </c>
      <c r="C1419" s="12" t="str">
        <f t="shared" si="92"/>
        <v/>
      </c>
      <c r="D1419" s="12" t="str">
        <f t="shared" si="93"/>
        <v/>
      </c>
      <c r="E1419" s="20" t="s">
        <v>91</v>
      </c>
      <c r="F1419" s="20" t="s">
        <v>91</v>
      </c>
      <c r="G1419" s="20" t="s">
        <v>91</v>
      </c>
      <c r="H1419" s="20" t="s">
        <v>91</v>
      </c>
      <c r="I1419" s="20">
        <v>0</v>
      </c>
      <c r="J1419" s="20" t="s">
        <v>103</v>
      </c>
      <c r="K1419" s="20" t="s">
        <v>104</v>
      </c>
      <c r="L1419" s="20">
        <v>0</v>
      </c>
      <c r="M1419" s="20" t="s">
        <v>105</v>
      </c>
      <c r="N1419" s="20" t="s">
        <v>91</v>
      </c>
      <c r="O1419" s="20" t="s">
        <v>5468</v>
      </c>
      <c r="Q1419" s="20" t="s">
        <v>91</v>
      </c>
      <c r="R1419" s="20" t="s">
        <v>91</v>
      </c>
      <c r="S1419" s="20" t="s">
        <v>91</v>
      </c>
      <c r="U1419" s="20" t="s">
        <v>91</v>
      </c>
      <c r="V1419" s="20" t="s">
        <v>87</v>
      </c>
      <c r="X1419" s="20" t="s">
        <v>91</v>
      </c>
      <c r="Y1419" s="20" t="s">
        <v>91</v>
      </c>
      <c r="Z1419" s="20">
        <v>1</v>
      </c>
      <c r="AB1419" s="20" t="s">
        <v>91</v>
      </c>
      <c r="AD1419" s="20" t="s">
        <v>91</v>
      </c>
      <c r="AE1419" s="20" t="s">
        <v>91</v>
      </c>
      <c r="AF1419" s="20">
        <v>1</v>
      </c>
      <c r="AG1419" s="20">
        <v>0</v>
      </c>
      <c r="AH1419" s="20">
        <v>1</v>
      </c>
      <c r="AM1419" s="4" t="s">
        <v>91</v>
      </c>
      <c r="AP1419" s="4" t="s">
        <v>91</v>
      </c>
      <c r="AQ1419" s="20">
        <v>0</v>
      </c>
      <c r="AR1419" s="4">
        <v>0</v>
      </c>
      <c r="AS1419" s="20">
        <v>0</v>
      </c>
      <c r="AT1419" s="20">
        <v>0</v>
      </c>
      <c r="AU1419" s="20">
        <v>0</v>
      </c>
      <c r="AV1419" s="20">
        <v>0</v>
      </c>
      <c r="AW1419" s="20">
        <v>0</v>
      </c>
      <c r="AX1419" s="20" t="s">
        <v>91</v>
      </c>
      <c r="AY1419" s="20">
        <v>0</v>
      </c>
      <c r="AZ1419" s="20">
        <v>0</v>
      </c>
      <c r="BA1419" s="20">
        <v>0</v>
      </c>
      <c r="BB1419" s="6">
        <v>0</v>
      </c>
      <c r="BC1419" s="6">
        <v>0</v>
      </c>
      <c r="BD1419" s="6">
        <v>0</v>
      </c>
      <c r="BE1419" s="6">
        <v>0</v>
      </c>
      <c r="BF1419" s="6">
        <v>0</v>
      </c>
      <c r="BG1419" s="6">
        <v>0</v>
      </c>
      <c r="BH1419" s="6">
        <v>0</v>
      </c>
      <c r="BI1419" s="6">
        <v>0</v>
      </c>
      <c r="BJ1419" s="6">
        <v>0</v>
      </c>
      <c r="BK1419" s="4">
        <v>0</v>
      </c>
      <c r="BL1419" s="4">
        <v>0</v>
      </c>
      <c r="BM1419" s="20">
        <v>90</v>
      </c>
      <c r="BN1419" s="20">
        <v>0</v>
      </c>
      <c r="BO1419" s="20">
        <v>0</v>
      </c>
      <c r="BP1419" s="20">
        <v>0</v>
      </c>
      <c r="BQ1419" s="20">
        <v>0</v>
      </c>
      <c r="BR1419" s="20">
        <v>0</v>
      </c>
      <c r="BS1419" s="20">
        <v>90</v>
      </c>
      <c r="BT1419" s="20">
        <v>613636.36363636353</v>
      </c>
      <c r="BU1419" s="20">
        <v>4050000</v>
      </c>
      <c r="BV1419" s="20">
        <v>6.0000000000000009</v>
      </c>
    </row>
    <row r="1420" spans="1:74">
      <c r="A1420" s="10">
        <f t="shared" si="90"/>
        <v>0</v>
      </c>
      <c r="B1420" s="10">
        <f t="shared" si="91"/>
        <v>0</v>
      </c>
      <c r="C1420" s="12">
        <f t="shared" si="92"/>
        <v>11</v>
      </c>
      <c r="D1420" s="12">
        <f t="shared" si="93"/>
        <v>12</v>
      </c>
      <c r="E1420" s="20" t="s">
        <v>424</v>
      </c>
      <c r="F1420" s="20" t="s">
        <v>5469</v>
      </c>
      <c r="G1420" s="20" t="s">
        <v>5470</v>
      </c>
      <c r="H1420" s="20" t="s">
        <v>5471</v>
      </c>
      <c r="I1420" s="20">
        <v>1</v>
      </c>
      <c r="J1420" s="20" t="s">
        <v>5472</v>
      </c>
      <c r="K1420" s="20" t="s">
        <v>5473</v>
      </c>
      <c r="L1420" s="20" t="s">
        <v>5474</v>
      </c>
      <c r="M1420" s="20" t="s">
        <v>5469</v>
      </c>
      <c r="N1420" s="20" t="s">
        <v>5475</v>
      </c>
      <c r="P1420" s="20" t="s">
        <v>5469</v>
      </c>
      <c r="Q1420" s="20" t="s">
        <v>5476</v>
      </c>
      <c r="R1420" s="20" t="s">
        <v>84</v>
      </c>
      <c r="S1420" s="20">
        <v>5</v>
      </c>
      <c r="T1420" s="20" t="s">
        <v>106</v>
      </c>
      <c r="U1420" s="20" t="s">
        <v>107</v>
      </c>
      <c r="V1420" s="20" t="s">
        <v>87</v>
      </c>
      <c r="W1420" s="20">
        <v>514</v>
      </c>
      <c r="X1420" s="20">
        <v>514</v>
      </c>
      <c r="Y1420" s="20" t="s">
        <v>5477</v>
      </c>
      <c r="Z1420" s="20">
        <v>1</v>
      </c>
      <c r="AA1420" s="20" t="s">
        <v>5478</v>
      </c>
      <c r="AB1420" s="20" t="s">
        <v>101</v>
      </c>
      <c r="AC1420" s="20" t="s">
        <v>102</v>
      </c>
      <c r="AD1420" s="20" t="s">
        <v>5479</v>
      </c>
      <c r="AE1420" s="20" t="s">
        <v>91</v>
      </c>
      <c r="AF1420" s="20">
        <v>1</v>
      </c>
      <c r="AG1420" s="20">
        <v>0</v>
      </c>
      <c r="AH1420" s="20">
        <v>1</v>
      </c>
      <c r="AI1420" s="4" t="s">
        <v>97</v>
      </c>
      <c r="AJ1420" s="20">
        <v>50</v>
      </c>
      <c r="AK1420" s="4" t="s">
        <v>1047</v>
      </c>
      <c r="AL1420" s="4">
        <v>15</v>
      </c>
      <c r="AM1420" s="4">
        <v>15</v>
      </c>
      <c r="AN1420" s="4" t="s">
        <v>95</v>
      </c>
      <c r="AO1420" s="4" t="s">
        <v>96</v>
      </c>
      <c r="AP1420" s="4">
        <v>1</v>
      </c>
      <c r="AQ1420" s="20">
        <v>55000</v>
      </c>
      <c r="AR1420" s="4">
        <v>41971</v>
      </c>
      <c r="AS1420" s="20">
        <v>5555.5555555555547</v>
      </c>
      <c r="AT1420" s="20">
        <v>0</v>
      </c>
      <c r="AU1420" s="20">
        <v>-5555.5555555555547</v>
      </c>
      <c r="AV1420" s="20">
        <v>0</v>
      </c>
      <c r="AW1420" s="20">
        <v>0</v>
      </c>
      <c r="AX1420" s="20" t="s">
        <v>91</v>
      </c>
      <c r="AY1420" s="20">
        <v>0</v>
      </c>
      <c r="AZ1420" s="20">
        <v>0</v>
      </c>
      <c r="BA1420" s="20">
        <v>0</v>
      </c>
      <c r="BB1420" s="6">
        <v>41971</v>
      </c>
      <c r="BC1420" s="6">
        <v>0</v>
      </c>
      <c r="BD1420" s="6">
        <v>41976</v>
      </c>
      <c r="BE1420" s="6">
        <v>0</v>
      </c>
      <c r="BF1420" s="6">
        <v>41975</v>
      </c>
      <c r="BG1420" s="6">
        <v>0</v>
      </c>
      <c r="BH1420" s="6">
        <v>0</v>
      </c>
      <c r="BI1420" s="6">
        <v>0</v>
      </c>
      <c r="BJ1420" s="6">
        <v>0</v>
      </c>
      <c r="BK1420" s="4">
        <v>0</v>
      </c>
      <c r="BL1420" s="4">
        <v>0</v>
      </c>
      <c r="BM1420" s="20">
        <v>50</v>
      </c>
      <c r="BN1420" s="20">
        <v>0</v>
      </c>
      <c r="BO1420" s="20">
        <v>0</v>
      </c>
      <c r="BP1420" s="20">
        <v>0</v>
      </c>
      <c r="BQ1420" s="20">
        <v>0</v>
      </c>
      <c r="BR1420" s="20">
        <v>0</v>
      </c>
      <c r="BS1420" s="20">
        <v>50</v>
      </c>
      <c r="BT1420" s="20">
        <v>277777.77777777775</v>
      </c>
      <c r="BU1420" s="20">
        <v>2750000</v>
      </c>
      <c r="BV1420" s="20">
        <v>9</v>
      </c>
    </row>
    <row r="1421" spans="1:74">
      <c r="A1421" s="10">
        <f t="shared" si="90"/>
        <v>0</v>
      </c>
      <c r="B1421" s="10">
        <f t="shared" si="91"/>
        <v>0</v>
      </c>
      <c r="C1421" s="12" t="str">
        <f t="shared" si="92"/>
        <v/>
      </c>
      <c r="D1421" s="12" t="str">
        <f t="shared" si="93"/>
        <v/>
      </c>
      <c r="E1421" s="20" t="s">
        <v>91</v>
      </c>
      <c r="F1421" s="20" t="s">
        <v>91</v>
      </c>
      <c r="G1421" s="20" t="s">
        <v>91</v>
      </c>
      <c r="H1421" s="20" t="s">
        <v>91</v>
      </c>
      <c r="I1421" s="20">
        <v>0</v>
      </c>
      <c r="J1421" s="20" t="s">
        <v>103</v>
      </c>
      <c r="K1421" s="20" t="s">
        <v>104</v>
      </c>
      <c r="L1421" s="20">
        <v>0</v>
      </c>
      <c r="M1421" s="20" t="s">
        <v>105</v>
      </c>
      <c r="N1421" s="20" t="s">
        <v>91</v>
      </c>
      <c r="O1421" s="20" t="s">
        <v>5480</v>
      </c>
      <c r="Q1421" s="20" t="s">
        <v>91</v>
      </c>
      <c r="R1421" s="20" t="s">
        <v>91</v>
      </c>
      <c r="S1421" s="20" t="s">
        <v>91</v>
      </c>
      <c r="U1421" s="20" t="s">
        <v>91</v>
      </c>
      <c r="V1421" s="20" t="s">
        <v>87</v>
      </c>
      <c r="X1421" s="20" t="s">
        <v>91</v>
      </c>
      <c r="Y1421" s="20" t="s">
        <v>91</v>
      </c>
      <c r="Z1421" s="20">
        <v>1</v>
      </c>
      <c r="AB1421" s="20" t="s">
        <v>91</v>
      </c>
      <c r="AD1421" s="20" t="s">
        <v>91</v>
      </c>
      <c r="AE1421" s="20" t="s">
        <v>91</v>
      </c>
      <c r="AF1421" s="20">
        <v>1</v>
      </c>
      <c r="AG1421" s="20">
        <v>0</v>
      </c>
      <c r="AH1421" s="20">
        <v>1</v>
      </c>
      <c r="AM1421" s="4" t="s">
        <v>91</v>
      </c>
      <c r="AP1421" s="4" t="s">
        <v>91</v>
      </c>
      <c r="AQ1421" s="20">
        <v>0</v>
      </c>
      <c r="AR1421" s="4">
        <v>0</v>
      </c>
      <c r="AS1421" s="20">
        <v>0</v>
      </c>
      <c r="AT1421" s="20">
        <v>0</v>
      </c>
      <c r="AU1421" s="20">
        <v>0</v>
      </c>
      <c r="AV1421" s="20">
        <v>0</v>
      </c>
      <c r="AW1421" s="20">
        <v>0</v>
      </c>
      <c r="AX1421" s="20" t="s">
        <v>91</v>
      </c>
      <c r="AY1421" s="20">
        <v>0</v>
      </c>
      <c r="AZ1421" s="20">
        <v>0</v>
      </c>
      <c r="BA1421" s="20">
        <v>0</v>
      </c>
      <c r="BB1421" s="6">
        <v>0</v>
      </c>
      <c r="BC1421" s="6">
        <v>0</v>
      </c>
      <c r="BD1421" s="6">
        <v>0</v>
      </c>
      <c r="BE1421" s="6">
        <v>0</v>
      </c>
      <c r="BF1421" s="6">
        <v>0</v>
      </c>
      <c r="BG1421" s="6">
        <v>0</v>
      </c>
      <c r="BH1421" s="6">
        <v>0</v>
      </c>
      <c r="BI1421" s="6">
        <v>0</v>
      </c>
      <c r="BJ1421" s="6">
        <v>0</v>
      </c>
      <c r="BK1421" s="4">
        <v>0</v>
      </c>
      <c r="BL1421" s="4">
        <v>0</v>
      </c>
      <c r="BM1421" s="20">
        <v>50</v>
      </c>
      <c r="BN1421" s="20">
        <v>0</v>
      </c>
      <c r="BO1421" s="20">
        <v>0</v>
      </c>
      <c r="BP1421" s="20">
        <v>0</v>
      </c>
      <c r="BQ1421" s="20">
        <v>0</v>
      </c>
      <c r="BR1421" s="20">
        <v>0</v>
      </c>
      <c r="BS1421" s="20">
        <v>50</v>
      </c>
      <c r="BT1421" s="20">
        <v>277777.77777777775</v>
      </c>
      <c r="BU1421" s="20">
        <v>2750000</v>
      </c>
      <c r="BV1421" s="20">
        <v>9</v>
      </c>
    </row>
    <row r="1422" spans="1:74">
      <c r="A1422" s="10">
        <f t="shared" si="90"/>
        <v>0</v>
      </c>
      <c r="B1422" s="10">
        <f t="shared" si="91"/>
        <v>0</v>
      </c>
      <c r="C1422" s="12">
        <f t="shared" si="92"/>
        <v>11</v>
      </c>
      <c r="D1422" s="12">
        <f t="shared" si="93"/>
        <v>12</v>
      </c>
      <c r="E1422" s="20" t="s">
        <v>424</v>
      </c>
      <c r="F1422" s="20" t="s">
        <v>5469</v>
      </c>
      <c r="G1422" s="20" t="s">
        <v>5481</v>
      </c>
      <c r="H1422" s="20" t="s">
        <v>5482</v>
      </c>
      <c r="I1422" s="20">
        <v>1</v>
      </c>
      <c r="J1422" s="20" t="s">
        <v>5483</v>
      </c>
      <c r="K1422" s="20" t="s">
        <v>5484</v>
      </c>
      <c r="L1422" s="20" t="s">
        <v>5485</v>
      </c>
      <c r="M1422" s="20" t="s">
        <v>5469</v>
      </c>
      <c r="N1422" s="20" t="s">
        <v>5475</v>
      </c>
      <c r="P1422" s="20" t="s">
        <v>5469</v>
      </c>
      <c r="Q1422" s="20" t="s">
        <v>5476</v>
      </c>
      <c r="R1422" s="20" t="s">
        <v>84</v>
      </c>
      <c r="S1422" s="20">
        <v>5</v>
      </c>
      <c r="T1422" s="20" t="s">
        <v>106</v>
      </c>
      <c r="U1422" s="20" t="s">
        <v>107</v>
      </c>
      <c r="V1422" s="20" t="s">
        <v>87</v>
      </c>
      <c r="W1422" s="20">
        <v>517</v>
      </c>
      <c r="X1422" s="20">
        <v>517</v>
      </c>
      <c r="Y1422" s="20" t="s">
        <v>5486</v>
      </c>
      <c r="Z1422" s="20">
        <v>0.5</v>
      </c>
      <c r="AA1422" s="20" t="s">
        <v>5487</v>
      </c>
      <c r="AB1422" s="20" t="s">
        <v>101</v>
      </c>
      <c r="AC1422" s="20" t="s">
        <v>102</v>
      </c>
      <c r="AD1422" s="20" t="s">
        <v>5488</v>
      </c>
      <c r="AE1422" s="20" t="s">
        <v>91</v>
      </c>
      <c r="AF1422" s="20">
        <v>0.5</v>
      </c>
      <c r="AG1422" s="20">
        <v>0</v>
      </c>
      <c r="AH1422" s="20">
        <v>1</v>
      </c>
      <c r="AI1422" s="4" t="s">
        <v>97</v>
      </c>
      <c r="AJ1422" s="20">
        <v>20</v>
      </c>
      <c r="AK1422" s="4" t="s">
        <v>93</v>
      </c>
      <c r="AL1422" s="4">
        <v>19</v>
      </c>
      <c r="AM1422" s="4">
        <v>19</v>
      </c>
      <c r="AN1422" s="4" t="s">
        <v>95</v>
      </c>
      <c r="AO1422" s="4" t="s">
        <v>189</v>
      </c>
      <c r="AP1422" s="4">
        <v>1</v>
      </c>
      <c r="AQ1422" s="20">
        <v>55000</v>
      </c>
      <c r="AR1422" s="4">
        <v>41971</v>
      </c>
      <c r="AS1422" s="20">
        <v>8333.3333333333321</v>
      </c>
      <c r="AT1422" s="20">
        <v>0</v>
      </c>
      <c r="AU1422" s="20">
        <v>-8333.3333333333321</v>
      </c>
      <c r="AV1422" s="20">
        <v>0</v>
      </c>
      <c r="AW1422" s="20">
        <v>0</v>
      </c>
      <c r="AX1422" s="20" t="s">
        <v>91</v>
      </c>
      <c r="AY1422" s="20">
        <v>0</v>
      </c>
      <c r="AZ1422" s="20">
        <v>0</v>
      </c>
      <c r="BA1422" s="20">
        <v>0</v>
      </c>
      <c r="BB1422" s="6">
        <v>41971</v>
      </c>
      <c r="BC1422" s="6">
        <v>0</v>
      </c>
      <c r="BD1422" s="6">
        <v>41976</v>
      </c>
      <c r="BE1422" s="6">
        <v>0</v>
      </c>
      <c r="BF1422" s="6">
        <v>41975</v>
      </c>
      <c r="BG1422" s="6">
        <v>0</v>
      </c>
      <c r="BH1422" s="6">
        <v>0</v>
      </c>
      <c r="BI1422" s="6">
        <v>0</v>
      </c>
      <c r="BJ1422" s="6">
        <v>0</v>
      </c>
      <c r="BK1422" s="4">
        <v>0</v>
      </c>
      <c r="BL1422" s="4">
        <v>0</v>
      </c>
      <c r="BM1422" s="20">
        <v>20</v>
      </c>
      <c r="BN1422" s="20">
        <v>0</v>
      </c>
      <c r="BO1422" s="20">
        <v>0</v>
      </c>
      <c r="BP1422" s="20">
        <v>0</v>
      </c>
      <c r="BQ1422" s="20">
        <v>0</v>
      </c>
      <c r="BR1422" s="20">
        <v>0</v>
      </c>
      <c r="BS1422" s="20">
        <v>20</v>
      </c>
      <c r="BT1422" s="20">
        <v>166666.66666666663</v>
      </c>
      <c r="BU1422" s="20">
        <v>1100000</v>
      </c>
      <c r="BV1422" s="20">
        <v>6.0000000000000009</v>
      </c>
    </row>
    <row r="1423" spans="1:74">
      <c r="A1423" s="10">
        <f t="shared" si="90"/>
        <v>0</v>
      </c>
      <c r="B1423" s="10">
        <f t="shared" si="91"/>
        <v>0</v>
      </c>
      <c r="C1423" s="12">
        <f t="shared" si="92"/>
        <v>11</v>
      </c>
      <c r="D1423" s="12">
        <f t="shared" si="93"/>
        <v>12</v>
      </c>
      <c r="E1423" s="20" t="s">
        <v>424</v>
      </c>
      <c r="F1423" s="20" t="s">
        <v>5469</v>
      </c>
      <c r="G1423" s="20" t="s">
        <v>5481</v>
      </c>
      <c r="H1423" s="20" t="s">
        <v>5482</v>
      </c>
      <c r="I1423" s="20">
        <v>1</v>
      </c>
      <c r="J1423" s="20" t="s">
        <v>5483</v>
      </c>
      <c r="K1423" s="20" t="s">
        <v>5489</v>
      </c>
      <c r="L1423" s="20" t="s">
        <v>5485</v>
      </c>
      <c r="M1423" s="20" t="s">
        <v>5469</v>
      </c>
      <c r="N1423" s="20" t="s">
        <v>5475</v>
      </c>
      <c r="P1423" s="20" t="s">
        <v>5469</v>
      </c>
      <c r="Q1423" s="20" t="s">
        <v>5476</v>
      </c>
      <c r="R1423" s="20" t="s">
        <v>84</v>
      </c>
      <c r="S1423" s="20">
        <v>5</v>
      </c>
      <c r="T1423" s="20" t="s">
        <v>106</v>
      </c>
      <c r="U1423" s="20" t="s">
        <v>107</v>
      </c>
      <c r="V1423" s="20" t="s">
        <v>87</v>
      </c>
      <c r="W1423" s="20">
        <v>517</v>
      </c>
      <c r="X1423" s="20">
        <v>517</v>
      </c>
      <c r="Y1423" s="20" t="s">
        <v>5486</v>
      </c>
      <c r="Z1423" s="20">
        <v>0.5</v>
      </c>
      <c r="AA1423" s="20" t="s">
        <v>5490</v>
      </c>
      <c r="AB1423" s="20" t="s">
        <v>101</v>
      </c>
      <c r="AC1423" s="20" t="s">
        <v>102</v>
      </c>
      <c r="AD1423" s="20" t="s">
        <v>5488</v>
      </c>
      <c r="AE1423" s="20" t="s">
        <v>91</v>
      </c>
      <c r="AF1423" s="20">
        <v>0.5</v>
      </c>
      <c r="AG1423" s="20">
        <v>0</v>
      </c>
      <c r="AH1423" s="20">
        <v>1</v>
      </c>
      <c r="AI1423" s="4" t="s">
        <v>98</v>
      </c>
      <c r="AJ1423" s="20">
        <v>30</v>
      </c>
      <c r="AK1423" s="4" t="s">
        <v>93</v>
      </c>
      <c r="AL1423" s="4">
        <v>19</v>
      </c>
      <c r="AM1423" s="4">
        <v>19</v>
      </c>
      <c r="AN1423" s="4" t="s">
        <v>95</v>
      </c>
      <c r="AO1423" s="4" t="s">
        <v>189</v>
      </c>
      <c r="AP1423" s="4">
        <v>1</v>
      </c>
      <c r="AQ1423" s="20">
        <v>55000</v>
      </c>
      <c r="AR1423" s="4">
        <v>41971</v>
      </c>
      <c r="AS1423" s="20">
        <v>8333.3333333333321</v>
      </c>
      <c r="AT1423" s="20">
        <v>0</v>
      </c>
      <c r="AU1423" s="20">
        <v>-8333.3333333333321</v>
      </c>
      <c r="AV1423" s="20">
        <v>0</v>
      </c>
      <c r="AW1423" s="20">
        <v>0</v>
      </c>
      <c r="AX1423" s="20" t="s">
        <v>91</v>
      </c>
      <c r="AY1423" s="20">
        <v>0</v>
      </c>
      <c r="AZ1423" s="20">
        <v>0</v>
      </c>
      <c r="BA1423" s="20">
        <v>0</v>
      </c>
      <c r="BB1423" s="6">
        <v>41971</v>
      </c>
      <c r="BC1423" s="6">
        <v>0</v>
      </c>
      <c r="BD1423" s="6">
        <v>41976</v>
      </c>
      <c r="BE1423" s="6">
        <v>0</v>
      </c>
      <c r="BF1423" s="6">
        <v>41975</v>
      </c>
      <c r="BG1423" s="6">
        <v>0</v>
      </c>
      <c r="BH1423" s="6">
        <v>0</v>
      </c>
      <c r="BI1423" s="6">
        <v>0</v>
      </c>
      <c r="BJ1423" s="6">
        <v>0</v>
      </c>
      <c r="BK1423" s="4">
        <v>0</v>
      </c>
      <c r="BL1423" s="4">
        <v>0</v>
      </c>
      <c r="BM1423" s="20">
        <v>30</v>
      </c>
      <c r="BN1423" s="20">
        <v>0</v>
      </c>
      <c r="BO1423" s="20">
        <v>0</v>
      </c>
      <c r="BP1423" s="20">
        <v>0</v>
      </c>
      <c r="BQ1423" s="20">
        <v>0</v>
      </c>
      <c r="BR1423" s="20">
        <v>0</v>
      </c>
      <c r="BS1423" s="20">
        <v>30</v>
      </c>
      <c r="BT1423" s="20">
        <v>249999.99999999997</v>
      </c>
      <c r="BU1423" s="20">
        <v>1650000</v>
      </c>
      <c r="BV1423" s="20">
        <v>6</v>
      </c>
    </row>
    <row r="1424" spans="1:74">
      <c r="A1424" s="10">
        <f t="shared" si="90"/>
        <v>0</v>
      </c>
      <c r="B1424" s="10">
        <f t="shared" si="91"/>
        <v>0</v>
      </c>
      <c r="C1424" s="12" t="str">
        <f t="shared" si="92"/>
        <v/>
      </c>
      <c r="D1424" s="12" t="str">
        <f t="shared" si="93"/>
        <v/>
      </c>
      <c r="E1424" s="20" t="s">
        <v>91</v>
      </c>
      <c r="F1424" s="20" t="s">
        <v>91</v>
      </c>
      <c r="G1424" s="20" t="s">
        <v>91</v>
      </c>
      <c r="H1424" s="20" t="s">
        <v>91</v>
      </c>
      <c r="I1424" s="20">
        <v>0</v>
      </c>
      <c r="J1424" s="20" t="s">
        <v>103</v>
      </c>
      <c r="K1424" s="20" t="s">
        <v>104</v>
      </c>
      <c r="L1424" s="20">
        <v>0</v>
      </c>
      <c r="M1424" s="20" t="s">
        <v>105</v>
      </c>
      <c r="N1424" s="20" t="s">
        <v>91</v>
      </c>
      <c r="O1424" s="20" t="s">
        <v>5491</v>
      </c>
      <c r="Q1424" s="20" t="s">
        <v>91</v>
      </c>
      <c r="R1424" s="20" t="s">
        <v>91</v>
      </c>
      <c r="S1424" s="20" t="s">
        <v>91</v>
      </c>
      <c r="U1424" s="20" t="s">
        <v>91</v>
      </c>
      <c r="V1424" s="20" t="s">
        <v>87</v>
      </c>
      <c r="X1424" s="20" t="s">
        <v>91</v>
      </c>
      <c r="Y1424" s="20" t="s">
        <v>91</v>
      </c>
      <c r="Z1424" s="20">
        <v>1</v>
      </c>
      <c r="AB1424" s="20" t="s">
        <v>91</v>
      </c>
      <c r="AD1424" s="20" t="s">
        <v>91</v>
      </c>
      <c r="AE1424" s="20" t="s">
        <v>91</v>
      </c>
      <c r="AF1424" s="20">
        <v>1</v>
      </c>
      <c r="AG1424" s="20">
        <v>0</v>
      </c>
      <c r="AH1424" s="20">
        <v>1</v>
      </c>
      <c r="AM1424" s="4" t="s">
        <v>91</v>
      </c>
      <c r="AP1424" s="4" t="s">
        <v>91</v>
      </c>
      <c r="AQ1424" s="20">
        <v>0</v>
      </c>
      <c r="AR1424" s="4">
        <v>0</v>
      </c>
      <c r="AS1424" s="20">
        <v>0</v>
      </c>
      <c r="AT1424" s="20">
        <v>0</v>
      </c>
      <c r="AU1424" s="20">
        <v>0</v>
      </c>
      <c r="AV1424" s="20">
        <v>0</v>
      </c>
      <c r="AW1424" s="20">
        <v>0</v>
      </c>
      <c r="AX1424" s="20" t="s">
        <v>91</v>
      </c>
      <c r="AY1424" s="20">
        <v>0</v>
      </c>
      <c r="AZ1424" s="20">
        <v>0</v>
      </c>
      <c r="BA1424" s="20">
        <v>0</v>
      </c>
      <c r="BB1424" s="6">
        <v>0</v>
      </c>
      <c r="BC1424" s="6">
        <v>0</v>
      </c>
      <c r="BD1424" s="6">
        <v>0</v>
      </c>
      <c r="BE1424" s="6">
        <v>0</v>
      </c>
      <c r="BF1424" s="6">
        <v>0</v>
      </c>
      <c r="BG1424" s="6">
        <v>0</v>
      </c>
      <c r="BH1424" s="6">
        <v>0</v>
      </c>
      <c r="BI1424" s="6">
        <v>0</v>
      </c>
      <c r="BJ1424" s="6">
        <v>0</v>
      </c>
      <c r="BK1424" s="4">
        <v>0</v>
      </c>
      <c r="BL1424" s="4">
        <v>0</v>
      </c>
      <c r="BM1424" s="20">
        <v>50</v>
      </c>
      <c r="BN1424" s="20">
        <v>0</v>
      </c>
      <c r="BO1424" s="20">
        <v>0</v>
      </c>
      <c r="BP1424" s="20">
        <v>0</v>
      </c>
      <c r="BQ1424" s="20">
        <v>0</v>
      </c>
      <c r="BR1424" s="20">
        <v>0</v>
      </c>
      <c r="BS1424" s="20">
        <v>50</v>
      </c>
      <c r="BT1424" s="20">
        <v>416666.66666666663</v>
      </c>
      <c r="BU1424" s="20">
        <v>2750000</v>
      </c>
      <c r="BV1424" s="20">
        <v>6</v>
      </c>
    </row>
    <row r="1425" spans="1:74">
      <c r="A1425" s="10">
        <f t="shared" si="90"/>
        <v>0</v>
      </c>
      <c r="B1425" s="10">
        <f t="shared" si="91"/>
        <v>0</v>
      </c>
      <c r="C1425" s="12">
        <f t="shared" si="92"/>
        <v>11</v>
      </c>
      <c r="D1425" s="12">
        <f t="shared" si="93"/>
        <v>12</v>
      </c>
      <c r="E1425" s="20" t="s">
        <v>386</v>
      </c>
      <c r="F1425" s="20" t="s">
        <v>5492</v>
      </c>
      <c r="G1425" s="20" t="s">
        <v>5493</v>
      </c>
      <c r="H1425" s="20" t="s">
        <v>5494</v>
      </c>
      <c r="I1425" s="20">
        <v>1</v>
      </c>
      <c r="J1425" s="20" t="s">
        <v>5495</v>
      </c>
      <c r="K1425" s="20" t="s">
        <v>5496</v>
      </c>
      <c r="L1425" s="20" t="s">
        <v>5497</v>
      </c>
      <c r="M1425" s="20" t="s">
        <v>5492</v>
      </c>
      <c r="N1425" s="20" t="s">
        <v>5498</v>
      </c>
      <c r="P1425" s="20" t="s">
        <v>5492</v>
      </c>
      <c r="Q1425" s="20" t="s">
        <v>5499</v>
      </c>
      <c r="R1425" s="20" t="s">
        <v>84</v>
      </c>
      <c r="S1425" s="20">
        <v>5</v>
      </c>
      <c r="T1425" s="20" t="s">
        <v>5500</v>
      </c>
      <c r="U1425" s="20" t="s">
        <v>5501</v>
      </c>
      <c r="V1425" s="20" t="s">
        <v>5502</v>
      </c>
      <c r="W1425" s="20">
        <v>3</v>
      </c>
      <c r="X1425" s="20" t="s">
        <v>5503</v>
      </c>
      <c r="Y1425" s="20" t="s">
        <v>5504</v>
      </c>
      <c r="Z1425" s="20">
        <v>1</v>
      </c>
      <c r="AA1425" s="20" t="s">
        <v>5505</v>
      </c>
      <c r="AB1425" s="20" t="s">
        <v>248</v>
      </c>
      <c r="AC1425" s="20" t="s">
        <v>249</v>
      </c>
      <c r="AD1425" s="20" t="s">
        <v>5506</v>
      </c>
      <c r="AE1425" s="20" t="s">
        <v>91</v>
      </c>
      <c r="AF1425" s="20">
        <v>1</v>
      </c>
      <c r="AG1425" s="20">
        <v>0</v>
      </c>
      <c r="AH1425" s="20">
        <v>1</v>
      </c>
      <c r="AI1425" s="4" t="s">
        <v>251</v>
      </c>
      <c r="AJ1425" s="20">
        <v>5</v>
      </c>
      <c r="AK1425" s="4" t="s">
        <v>179</v>
      </c>
      <c r="AL1425" s="4">
        <v>43</v>
      </c>
      <c r="AM1425" s="4">
        <v>43</v>
      </c>
      <c r="AN1425" s="4" t="s">
        <v>95</v>
      </c>
      <c r="AO1425" s="4" t="s">
        <v>96</v>
      </c>
      <c r="AP1425" s="4">
        <v>1</v>
      </c>
      <c r="AQ1425" s="20">
        <v>69000</v>
      </c>
      <c r="AR1425" s="4">
        <v>41971</v>
      </c>
      <c r="AS1425" s="20">
        <v>10454.545454545454</v>
      </c>
      <c r="AT1425" s="20">
        <v>0</v>
      </c>
      <c r="AU1425" s="20">
        <v>-10454.545454545454</v>
      </c>
      <c r="AV1425" s="20">
        <v>0</v>
      </c>
      <c r="AW1425" s="20">
        <v>0</v>
      </c>
      <c r="AX1425" s="20" t="s">
        <v>91</v>
      </c>
      <c r="AY1425" s="20">
        <v>0</v>
      </c>
      <c r="AZ1425" s="20">
        <v>0</v>
      </c>
      <c r="BA1425" s="20">
        <v>0</v>
      </c>
      <c r="BB1425" s="6">
        <v>41971</v>
      </c>
      <c r="BC1425" s="6">
        <v>0</v>
      </c>
      <c r="BD1425" s="6">
        <v>41976</v>
      </c>
      <c r="BE1425" s="6">
        <v>0</v>
      </c>
      <c r="BF1425" s="6">
        <v>41975</v>
      </c>
      <c r="BG1425" s="6">
        <v>0</v>
      </c>
      <c r="BH1425" s="6">
        <v>0</v>
      </c>
      <c r="BI1425" s="6">
        <v>0</v>
      </c>
      <c r="BJ1425" s="6">
        <v>0</v>
      </c>
      <c r="BK1425" s="4">
        <v>0</v>
      </c>
      <c r="BL1425" s="4">
        <v>0</v>
      </c>
      <c r="BM1425" s="20">
        <v>5</v>
      </c>
      <c r="BN1425" s="20">
        <v>0</v>
      </c>
      <c r="BO1425" s="20">
        <v>0</v>
      </c>
      <c r="BP1425" s="20">
        <v>0</v>
      </c>
      <c r="BQ1425" s="20">
        <v>0</v>
      </c>
      <c r="BR1425" s="20">
        <v>0</v>
      </c>
      <c r="BS1425" s="20">
        <v>5</v>
      </c>
      <c r="BT1425" s="20">
        <v>52272.727272727272</v>
      </c>
      <c r="BU1425" s="20">
        <v>345000</v>
      </c>
      <c r="BV1425" s="20">
        <v>5.9999999999999991</v>
      </c>
    </row>
    <row r="1426" spans="1:74">
      <c r="A1426" s="10">
        <f t="shared" si="90"/>
        <v>0</v>
      </c>
      <c r="B1426" s="10">
        <f t="shared" si="91"/>
        <v>0</v>
      </c>
      <c r="C1426" s="12" t="str">
        <f t="shared" si="92"/>
        <v/>
      </c>
      <c r="D1426" s="12" t="str">
        <f t="shared" si="93"/>
        <v/>
      </c>
      <c r="E1426" s="20" t="s">
        <v>91</v>
      </c>
      <c r="F1426" s="20" t="s">
        <v>91</v>
      </c>
      <c r="G1426" s="20" t="s">
        <v>91</v>
      </c>
      <c r="H1426" s="20" t="s">
        <v>91</v>
      </c>
      <c r="I1426" s="20">
        <v>0</v>
      </c>
      <c r="J1426" s="20" t="s">
        <v>103</v>
      </c>
      <c r="K1426" s="20" t="s">
        <v>104</v>
      </c>
      <c r="L1426" s="20">
        <v>0</v>
      </c>
      <c r="M1426" s="20" t="s">
        <v>105</v>
      </c>
      <c r="N1426" s="20" t="s">
        <v>91</v>
      </c>
      <c r="O1426" s="20" t="s">
        <v>5507</v>
      </c>
      <c r="Q1426" s="20" t="s">
        <v>91</v>
      </c>
      <c r="R1426" s="20" t="s">
        <v>91</v>
      </c>
      <c r="S1426" s="20" t="s">
        <v>91</v>
      </c>
      <c r="U1426" s="20" t="s">
        <v>91</v>
      </c>
      <c r="X1426" s="20" t="s">
        <v>91</v>
      </c>
      <c r="Y1426" s="20" t="s">
        <v>91</v>
      </c>
      <c r="Z1426" s="20">
        <v>1</v>
      </c>
      <c r="AB1426" s="20" t="s">
        <v>91</v>
      </c>
      <c r="AD1426" s="20" t="s">
        <v>91</v>
      </c>
      <c r="AE1426" s="20" t="s">
        <v>91</v>
      </c>
      <c r="AF1426" s="20">
        <v>1</v>
      </c>
      <c r="AG1426" s="20">
        <v>0</v>
      </c>
      <c r="AH1426" s="20">
        <v>1</v>
      </c>
      <c r="AM1426" s="4" t="s">
        <v>91</v>
      </c>
      <c r="AN1426" s="4" t="s">
        <v>95</v>
      </c>
      <c r="AP1426" s="4" t="s">
        <v>91</v>
      </c>
      <c r="AQ1426" s="20">
        <v>0</v>
      </c>
      <c r="AR1426" s="4">
        <v>0</v>
      </c>
      <c r="AS1426" s="20">
        <v>0</v>
      </c>
      <c r="AT1426" s="20">
        <v>0</v>
      </c>
      <c r="AU1426" s="20">
        <v>0</v>
      </c>
      <c r="AV1426" s="20">
        <v>0</v>
      </c>
      <c r="AW1426" s="20">
        <v>0</v>
      </c>
      <c r="AX1426" s="20" t="s">
        <v>91</v>
      </c>
      <c r="AY1426" s="20">
        <v>0</v>
      </c>
      <c r="AZ1426" s="20">
        <v>0</v>
      </c>
      <c r="BA1426" s="20">
        <v>0</v>
      </c>
      <c r="BB1426" s="6">
        <v>0</v>
      </c>
      <c r="BC1426" s="6">
        <v>0</v>
      </c>
      <c r="BD1426" s="6">
        <v>0</v>
      </c>
      <c r="BE1426" s="6">
        <v>0</v>
      </c>
      <c r="BF1426" s="6">
        <v>0</v>
      </c>
      <c r="BG1426" s="6">
        <v>0</v>
      </c>
      <c r="BH1426" s="6">
        <v>0</v>
      </c>
      <c r="BI1426" s="6">
        <v>0</v>
      </c>
      <c r="BJ1426" s="6">
        <v>0</v>
      </c>
      <c r="BK1426" s="4">
        <v>0</v>
      </c>
      <c r="BL1426" s="4">
        <v>0</v>
      </c>
      <c r="BM1426" s="20">
        <v>5</v>
      </c>
      <c r="BN1426" s="20">
        <v>0</v>
      </c>
      <c r="BO1426" s="20">
        <v>0</v>
      </c>
      <c r="BP1426" s="20">
        <v>0</v>
      </c>
      <c r="BQ1426" s="20">
        <v>0</v>
      </c>
      <c r="BR1426" s="20">
        <v>0</v>
      </c>
      <c r="BS1426" s="20">
        <v>5</v>
      </c>
      <c r="BT1426" s="20">
        <v>52272.727272727272</v>
      </c>
      <c r="BU1426" s="20">
        <v>345000</v>
      </c>
      <c r="BV1426" s="20">
        <v>5.9999999999999991</v>
      </c>
    </row>
    <row r="1427" spans="1:74">
      <c r="A1427" s="10">
        <f t="shared" si="90"/>
        <v>0</v>
      </c>
      <c r="B1427" s="10">
        <f t="shared" si="91"/>
        <v>0</v>
      </c>
      <c r="C1427" s="12">
        <f t="shared" si="92"/>
        <v>11</v>
      </c>
      <c r="D1427" s="12">
        <f t="shared" si="93"/>
        <v>12</v>
      </c>
      <c r="E1427" s="20" t="s">
        <v>574</v>
      </c>
      <c r="F1427" s="20" t="s">
        <v>3089</v>
      </c>
      <c r="G1427" s="20" t="s">
        <v>5508</v>
      </c>
      <c r="H1427" s="20" t="s">
        <v>5509</v>
      </c>
      <c r="I1427" s="20">
        <v>1</v>
      </c>
      <c r="J1427" s="20" t="s">
        <v>5510</v>
      </c>
      <c r="K1427" s="20" t="s">
        <v>5511</v>
      </c>
      <c r="L1427" s="20" t="s">
        <v>5512</v>
      </c>
      <c r="M1427" s="20" t="s">
        <v>2667</v>
      </c>
      <c r="N1427" s="20" t="s">
        <v>3584</v>
      </c>
      <c r="P1427" s="20" t="s">
        <v>2667</v>
      </c>
      <c r="Q1427" s="20" t="s">
        <v>2674</v>
      </c>
      <c r="R1427" s="20" t="s">
        <v>84</v>
      </c>
      <c r="S1427" s="20">
        <v>5</v>
      </c>
      <c r="T1427" s="20" t="s">
        <v>674</v>
      </c>
      <c r="U1427" s="20" t="s">
        <v>675</v>
      </c>
      <c r="V1427" s="20" t="s">
        <v>5502</v>
      </c>
      <c r="W1427" s="20">
        <v>1</v>
      </c>
      <c r="X1427" s="20" t="s">
        <v>5513</v>
      </c>
      <c r="Y1427" s="20" t="s">
        <v>5514</v>
      </c>
      <c r="Z1427" s="20">
        <v>0.2</v>
      </c>
      <c r="AA1427" s="20" t="s">
        <v>5515</v>
      </c>
      <c r="AB1427" s="20" t="s">
        <v>248</v>
      </c>
      <c r="AC1427" s="20" t="s">
        <v>249</v>
      </c>
      <c r="AD1427" s="20" t="s">
        <v>5516</v>
      </c>
      <c r="AE1427" s="20" t="s">
        <v>91</v>
      </c>
      <c r="AF1427" s="20">
        <v>0.2</v>
      </c>
      <c r="AG1427" s="20">
        <v>0</v>
      </c>
      <c r="AH1427" s="20">
        <v>1</v>
      </c>
      <c r="AI1427" s="4" t="s">
        <v>643</v>
      </c>
      <c r="AJ1427" s="20">
        <v>2</v>
      </c>
      <c r="AK1427" s="4" t="s">
        <v>679</v>
      </c>
      <c r="AL1427" s="4">
        <v>9</v>
      </c>
      <c r="AM1427" s="4" t="s">
        <v>235</v>
      </c>
      <c r="AN1427" s="4" t="s">
        <v>95</v>
      </c>
      <c r="AO1427" s="4" t="s">
        <v>680</v>
      </c>
      <c r="AP1427" s="4">
        <v>1</v>
      </c>
      <c r="AQ1427" s="20">
        <v>238000</v>
      </c>
      <c r="AR1427" s="4">
        <v>41971</v>
      </c>
      <c r="AS1427" s="20">
        <v>48080.808080808078</v>
      </c>
      <c r="AT1427" s="20">
        <v>0</v>
      </c>
      <c r="AU1427" s="20">
        <v>-48080.808080808078</v>
      </c>
      <c r="AV1427" s="20">
        <v>0</v>
      </c>
      <c r="AW1427" s="20">
        <v>0</v>
      </c>
      <c r="AX1427" s="20" t="s">
        <v>91</v>
      </c>
      <c r="AY1427" s="20">
        <v>0</v>
      </c>
      <c r="AZ1427" s="20">
        <v>0</v>
      </c>
      <c r="BA1427" s="20">
        <v>0</v>
      </c>
      <c r="BB1427" s="6">
        <v>41971</v>
      </c>
      <c r="BC1427" s="6">
        <v>0</v>
      </c>
      <c r="BD1427" s="6">
        <v>41976</v>
      </c>
      <c r="BE1427" s="6">
        <v>0</v>
      </c>
      <c r="BF1427" s="6">
        <v>41975</v>
      </c>
      <c r="BG1427" s="6">
        <v>0</v>
      </c>
      <c r="BH1427" s="6">
        <v>0</v>
      </c>
      <c r="BI1427" s="6">
        <v>0</v>
      </c>
      <c r="BJ1427" s="6">
        <v>0</v>
      </c>
      <c r="BK1427" s="4">
        <v>0</v>
      </c>
      <c r="BL1427" s="4">
        <v>0</v>
      </c>
      <c r="BM1427" s="20">
        <v>2</v>
      </c>
      <c r="BN1427" s="20">
        <v>0</v>
      </c>
      <c r="BO1427" s="20">
        <v>0</v>
      </c>
      <c r="BP1427" s="20">
        <v>0</v>
      </c>
      <c r="BQ1427" s="20">
        <v>0</v>
      </c>
      <c r="BR1427" s="20">
        <v>0</v>
      </c>
      <c r="BS1427" s="20">
        <v>2</v>
      </c>
      <c r="BT1427" s="20">
        <v>96161.616161616155</v>
      </c>
      <c r="BU1427" s="20">
        <v>476000</v>
      </c>
      <c r="BV1427" s="20">
        <v>4.5</v>
      </c>
    </row>
    <row r="1428" spans="1:74">
      <c r="A1428" s="10">
        <f t="shared" si="90"/>
        <v>0</v>
      </c>
      <c r="B1428" s="10">
        <f t="shared" si="91"/>
        <v>0</v>
      </c>
      <c r="C1428" s="12">
        <f t="shared" si="92"/>
        <v>11</v>
      </c>
      <c r="D1428" s="12">
        <f t="shared" si="93"/>
        <v>12</v>
      </c>
      <c r="E1428" s="20" t="s">
        <v>574</v>
      </c>
      <c r="F1428" s="20" t="s">
        <v>3089</v>
      </c>
      <c r="G1428" s="20" t="s">
        <v>5508</v>
      </c>
      <c r="H1428" s="20" t="s">
        <v>5509</v>
      </c>
      <c r="I1428" s="20">
        <v>1</v>
      </c>
      <c r="J1428" s="20" t="s">
        <v>5510</v>
      </c>
      <c r="K1428" s="20" t="s">
        <v>5517</v>
      </c>
      <c r="L1428" s="20" t="s">
        <v>5512</v>
      </c>
      <c r="M1428" s="20" t="s">
        <v>2667</v>
      </c>
      <c r="N1428" s="20" t="s">
        <v>3584</v>
      </c>
      <c r="P1428" s="20" t="s">
        <v>2667</v>
      </c>
      <c r="Q1428" s="20" t="s">
        <v>2674</v>
      </c>
      <c r="R1428" s="20" t="s">
        <v>84</v>
      </c>
      <c r="S1428" s="20">
        <v>5</v>
      </c>
      <c r="T1428" s="20" t="s">
        <v>674</v>
      </c>
      <c r="U1428" s="20" t="s">
        <v>675</v>
      </c>
      <c r="V1428" s="20" t="s">
        <v>5502</v>
      </c>
      <c r="W1428" s="20">
        <v>1</v>
      </c>
      <c r="X1428" s="20" t="s">
        <v>5513</v>
      </c>
      <c r="Y1428" s="20" t="s">
        <v>5514</v>
      </c>
      <c r="Z1428" s="20">
        <v>0.2</v>
      </c>
      <c r="AA1428" s="20" t="s">
        <v>5518</v>
      </c>
      <c r="AB1428" s="20" t="s">
        <v>248</v>
      </c>
      <c r="AC1428" s="20" t="s">
        <v>249</v>
      </c>
      <c r="AD1428" s="20" t="s">
        <v>5516</v>
      </c>
      <c r="AE1428" s="20" t="s">
        <v>91</v>
      </c>
      <c r="AF1428" s="20">
        <v>0.2</v>
      </c>
      <c r="AG1428" s="20">
        <v>0</v>
      </c>
      <c r="AH1428" s="20">
        <v>1</v>
      </c>
      <c r="AI1428" s="4" t="s">
        <v>645</v>
      </c>
      <c r="AJ1428" s="20">
        <v>2</v>
      </c>
      <c r="AK1428" s="4" t="s">
        <v>679</v>
      </c>
      <c r="AL1428" s="4">
        <v>9</v>
      </c>
      <c r="AM1428" s="4" t="s">
        <v>235</v>
      </c>
      <c r="AN1428" s="4" t="s">
        <v>95</v>
      </c>
      <c r="AO1428" s="4" t="s">
        <v>680</v>
      </c>
      <c r="AP1428" s="4">
        <v>1</v>
      </c>
      <c r="AQ1428" s="20">
        <v>238000</v>
      </c>
      <c r="AR1428" s="4">
        <v>41971</v>
      </c>
      <c r="AS1428" s="20">
        <v>48080.808080808078</v>
      </c>
      <c r="AT1428" s="20">
        <v>0</v>
      </c>
      <c r="AU1428" s="20">
        <v>-48080.808080808078</v>
      </c>
      <c r="AV1428" s="20">
        <v>0</v>
      </c>
      <c r="AW1428" s="20">
        <v>0</v>
      </c>
      <c r="AX1428" s="20" t="s">
        <v>91</v>
      </c>
      <c r="AY1428" s="20">
        <v>0</v>
      </c>
      <c r="AZ1428" s="20">
        <v>0</v>
      </c>
      <c r="BA1428" s="20">
        <v>0</v>
      </c>
      <c r="BB1428" s="6">
        <v>41971</v>
      </c>
      <c r="BC1428" s="6">
        <v>0</v>
      </c>
      <c r="BD1428" s="6">
        <v>41976</v>
      </c>
      <c r="BE1428" s="6">
        <v>0</v>
      </c>
      <c r="BF1428" s="6">
        <v>41975</v>
      </c>
      <c r="BG1428" s="6">
        <v>0</v>
      </c>
      <c r="BH1428" s="6">
        <v>0</v>
      </c>
      <c r="BI1428" s="6">
        <v>0</v>
      </c>
      <c r="BJ1428" s="6">
        <v>0</v>
      </c>
      <c r="BK1428" s="4">
        <v>0</v>
      </c>
      <c r="BL1428" s="4">
        <v>0</v>
      </c>
      <c r="BM1428" s="20">
        <v>2</v>
      </c>
      <c r="BN1428" s="20">
        <v>0</v>
      </c>
      <c r="BO1428" s="20">
        <v>0</v>
      </c>
      <c r="BP1428" s="20">
        <v>0</v>
      </c>
      <c r="BQ1428" s="20">
        <v>0</v>
      </c>
      <c r="BR1428" s="20">
        <v>0</v>
      </c>
      <c r="BS1428" s="20">
        <v>2</v>
      </c>
      <c r="BT1428" s="20">
        <v>96161.616161616155</v>
      </c>
      <c r="BU1428" s="20">
        <v>476000</v>
      </c>
      <c r="BV1428" s="20">
        <v>4.5</v>
      </c>
    </row>
    <row r="1429" spans="1:74">
      <c r="A1429" s="10">
        <f t="shared" si="90"/>
        <v>0</v>
      </c>
      <c r="B1429" s="10">
        <f t="shared" si="91"/>
        <v>0</v>
      </c>
      <c r="C1429" s="12">
        <f t="shared" si="92"/>
        <v>11</v>
      </c>
      <c r="D1429" s="12">
        <f t="shared" si="93"/>
        <v>12</v>
      </c>
      <c r="E1429" s="20" t="s">
        <v>574</v>
      </c>
      <c r="F1429" s="20" t="s">
        <v>3089</v>
      </c>
      <c r="G1429" s="20" t="s">
        <v>5508</v>
      </c>
      <c r="H1429" s="20" t="s">
        <v>5509</v>
      </c>
      <c r="I1429" s="20">
        <v>1</v>
      </c>
      <c r="J1429" s="20" t="s">
        <v>5510</v>
      </c>
      <c r="K1429" s="20" t="s">
        <v>5519</v>
      </c>
      <c r="L1429" s="20" t="s">
        <v>5512</v>
      </c>
      <c r="M1429" s="20" t="s">
        <v>2667</v>
      </c>
      <c r="N1429" s="20" t="s">
        <v>3584</v>
      </c>
      <c r="P1429" s="20" t="s">
        <v>2667</v>
      </c>
      <c r="Q1429" s="20" t="s">
        <v>2674</v>
      </c>
      <c r="R1429" s="20" t="s">
        <v>84</v>
      </c>
      <c r="S1429" s="20">
        <v>5</v>
      </c>
      <c r="T1429" s="20" t="s">
        <v>674</v>
      </c>
      <c r="U1429" s="20" t="s">
        <v>675</v>
      </c>
      <c r="V1429" s="20" t="s">
        <v>5502</v>
      </c>
      <c r="W1429" s="20">
        <v>1</v>
      </c>
      <c r="X1429" s="20" t="s">
        <v>5513</v>
      </c>
      <c r="Y1429" s="20" t="s">
        <v>5514</v>
      </c>
      <c r="Z1429" s="20">
        <v>0.2</v>
      </c>
      <c r="AA1429" s="20" t="s">
        <v>5520</v>
      </c>
      <c r="AB1429" s="20" t="s">
        <v>248</v>
      </c>
      <c r="AC1429" s="20" t="s">
        <v>249</v>
      </c>
      <c r="AD1429" s="20" t="s">
        <v>5516</v>
      </c>
      <c r="AE1429" s="20" t="s">
        <v>91</v>
      </c>
      <c r="AF1429" s="20">
        <v>0.2</v>
      </c>
      <c r="AG1429" s="20">
        <v>0</v>
      </c>
      <c r="AH1429" s="20">
        <v>1</v>
      </c>
      <c r="AI1429" s="4" t="s">
        <v>647</v>
      </c>
      <c r="AJ1429" s="20">
        <v>2</v>
      </c>
      <c r="AK1429" s="4" t="s">
        <v>679</v>
      </c>
      <c r="AL1429" s="4">
        <v>9</v>
      </c>
      <c r="AM1429" s="4" t="s">
        <v>235</v>
      </c>
      <c r="AN1429" s="4" t="s">
        <v>95</v>
      </c>
      <c r="AO1429" s="4" t="s">
        <v>680</v>
      </c>
      <c r="AP1429" s="4">
        <v>1</v>
      </c>
      <c r="AQ1429" s="20">
        <v>238000</v>
      </c>
      <c r="AR1429" s="4">
        <v>41971</v>
      </c>
      <c r="AS1429" s="20">
        <v>48080.808080808078</v>
      </c>
      <c r="AT1429" s="20">
        <v>0</v>
      </c>
      <c r="AU1429" s="20">
        <v>-48080.808080808078</v>
      </c>
      <c r="AV1429" s="20">
        <v>0</v>
      </c>
      <c r="AW1429" s="20">
        <v>0</v>
      </c>
      <c r="AX1429" s="20" t="s">
        <v>91</v>
      </c>
      <c r="AY1429" s="20">
        <v>0</v>
      </c>
      <c r="AZ1429" s="20">
        <v>0</v>
      </c>
      <c r="BA1429" s="20">
        <v>0</v>
      </c>
      <c r="BB1429" s="6">
        <v>41971</v>
      </c>
      <c r="BC1429" s="6">
        <v>0</v>
      </c>
      <c r="BD1429" s="6">
        <v>41976</v>
      </c>
      <c r="BE1429" s="6">
        <v>0</v>
      </c>
      <c r="BF1429" s="6">
        <v>41975</v>
      </c>
      <c r="BG1429" s="6">
        <v>0</v>
      </c>
      <c r="BH1429" s="6">
        <v>0</v>
      </c>
      <c r="BI1429" s="6">
        <v>0</v>
      </c>
      <c r="BJ1429" s="6">
        <v>0</v>
      </c>
      <c r="BK1429" s="4">
        <v>0</v>
      </c>
      <c r="BL1429" s="4">
        <v>0</v>
      </c>
      <c r="BM1429" s="20">
        <v>2</v>
      </c>
      <c r="BN1429" s="20">
        <v>0</v>
      </c>
      <c r="BO1429" s="20">
        <v>0</v>
      </c>
      <c r="BP1429" s="20">
        <v>0</v>
      </c>
      <c r="BQ1429" s="20">
        <v>0</v>
      </c>
      <c r="BR1429" s="20">
        <v>0</v>
      </c>
      <c r="BS1429" s="20">
        <v>2</v>
      </c>
      <c r="BT1429" s="20">
        <v>96161.616161616155</v>
      </c>
      <c r="BU1429" s="20">
        <v>476000</v>
      </c>
      <c r="BV1429" s="20">
        <v>4.5</v>
      </c>
    </row>
    <row r="1430" spans="1:74">
      <c r="A1430" s="10">
        <f t="shared" si="90"/>
        <v>0</v>
      </c>
      <c r="B1430" s="10">
        <f t="shared" si="91"/>
        <v>0</v>
      </c>
      <c r="C1430" s="12">
        <f t="shared" si="92"/>
        <v>11</v>
      </c>
      <c r="D1430" s="12">
        <f t="shared" si="93"/>
        <v>12</v>
      </c>
      <c r="E1430" s="20" t="s">
        <v>574</v>
      </c>
      <c r="F1430" s="20" t="s">
        <v>3089</v>
      </c>
      <c r="G1430" s="20" t="s">
        <v>5508</v>
      </c>
      <c r="H1430" s="20" t="s">
        <v>5509</v>
      </c>
      <c r="I1430" s="20">
        <v>1</v>
      </c>
      <c r="J1430" s="20" t="s">
        <v>5510</v>
      </c>
      <c r="K1430" s="20" t="s">
        <v>5521</v>
      </c>
      <c r="L1430" s="20" t="s">
        <v>5512</v>
      </c>
      <c r="M1430" s="20" t="s">
        <v>2667</v>
      </c>
      <c r="N1430" s="20" t="s">
        <v>3584</v>
      </c>
      <c r="P1430" s="20" t="s">
        <v>2667</v>
      </c>
      <c r="Q1430" s="20" t="s">
        <v>2674</v>
      </c>
      <c r="R1430" s="20" t="s">
        <v>84</v>
      </c>
      <c r="S1430" s="20">
        <v>5</v>
      </c>
      <c r="T1430" s="20" t="s">
        <v>674</v>
      </c>
      <c r="U1430" s="20" t="s">
        <v>675</v>
      </c>
      <c r="V1430" s="20" t="s">
        <v>5502</v>
      </c>
      <c r="W1430" s="20">
        <v>1</v>
      </c>
      <c r="X1430" s="20" t="s">
        <v>5513</v>
      </c>
      <c r="Y1430" s="20" t="s">
        <v>5514</v>
      </c>
      <c r="Z1430" s="20">
        <v>0.2</v>
      </c>
      <c r="AA1430" s="20" t="s">
        <v>5522</v>
      </c>
      <c r="AB1430" s="20" t="s">
        <v>248</v>
      </c>
      <c r="AC1430" s="20" t="s">
        <v>249</v>
      </c>
      <c r="AD1430" s="20" t="s">
        <v>5516</v>
      </c>
      <c r="AE1430" s="20" t="s">
        <v>91</v>
      </c>
      <c r="AF1430" s="20">
        <v>0.2</v>
      </c>
      <c r="AG1430" s="20">
        <v>0</v>
      </c>
      <c r="AH1430" s="20">
        <v>1</v>
      </c>
      <c r="AI1430" s="4" t="s">
        <v>649</v>
      </c>
      <c r="AJ1430" s="20">
        <v>2</v>
      </c>
      <c r="AK1430" s="4" t="s">
        <v>679</v>
      </c>
      <c r="AL1430" s="4">
        <v>9</v>
      </c>
      <c r="AM1430" s="4" t="s">
        <v>235</v>
      </c>
      <c r="AN1430" s="4" t="s">
        <v>95</v>
      </c>
      <c r="AO1430" s="4" t="s">
        <v>680</v>
      </c>
      <c r="AP1430" s="4">
        <v>1</v>
      </c>
      <c r="AQ1430" s="20">
        <v>238000</v>
      </c>
      <c r="AR1430" s="4">
        <v>41971</v>
      </c>
      <c r="AS1430" s="20">
        <v>48080.808080808078</v>
      </c>
      <c r="AT1430" s="20">
        <v>0</v>
      </c>
      <c r="AU1430" s="20">
        <v>-48080.808080808078</v>
      </c>
      <c r="AV1430" s="20">
        <v>0</v>
      </c>
      <c r="AW1430" s="20">
        <v>0</v>
      </c>
      <c r="AX1430" s="20" t="s">
        <v>91</v>
      </c>
      <c r="AY1430" s="20">
        <v>0</v>
      </c>
      <c r="AZ1430" s="20">
        <v>0</v>
      </c>
      <c r="BA1430" s="20">
        <v>0</v>
      </c>
      <c r="BB1430" s="6">
        <v>41971</v>
      </c>
      <c r="BC1430" s="6">
        <v>0</v>
      </c>
      <c r="BD1430" s="6">
        <v>41976</v>
      </c>
      <c r="BE1430" s="6">
        <v>0</v>
      </c>
      <c r="BF1430" s="6">
        <v>41975</v>
      </c>
      <c r="BG1430" s="6">
        <v>0</v>
      </c>
      <c r="BH1430" s="6">
        <v>0</v>
      </c>
      <c r="BI1430" s="6">
        <v>0</v>
      </c>
      <c r="BJ1430" s="6">
        <v>0</v>
      </c>
      <c r="BK1430" s="4">
        <v>0</v>
      </c>
      <c r="BL1430" s="4">
        <v>0</v>
      </c>
      <c r="BM1430" s="20">
        <v>2</v>
      </c>
      <c r="BN1430" s="20">
        <v>0</v>
      </c>
      <c r="BO1430" s="20">
        <v>0</v>
      </c>
      <c r="BP1430" s="20">
        <v>0</v>
      </c>
      <c r="BQ1430" s="20">
        <v>0</v>
      </c>
      <c r="BR1430" s="20">
        <v>0</v>
      </c>
      <c r="BS1430" s="20">
        <v>2</v>
      </c>
      <c r="BT1430" s="20">
        <v>96161.616161616155</v>
      </c>
      <c r="BU1430" s="20">
        <v>476000</v>
      </c>
      <c r="BV1430" s="20">
        <v>4.5</v>
      </c>
    </row>
    <row r="1431" spans="1:74">
      <c r="A1431" s="10">
        <f t="shared" si="90"/>
        <v>0</v>
      </c>
      <c r="B1431" s="10">
        <f t="shared" si="91"/>
        <v>0</v>
      </c>
      <c r="C1431" s="12">
        <f t="shared" si="92"/>
        <v>11</v>
      </c>
      <c r="D1431" s="12">
        <f t="shared" si="93"/>
        <v>12</v>
      </c>
      <c r="E1431" s="20" t="s">
        <v>574</v>
      </c>
      <c r="F1431" s="20" t="s">
        <v>3089</v>
      </c>
      <c r="G1431" s="20" t="s">
        <v>5508</v>
      </c>
      <c r="H1431" s="20" t="s">
        <v>5509</v>
      </c>
      <c r="I1431" s="20">
        <v>1</v>
      </c>
      <c r="J1431" s="20" t="s">
        <v>5510</v>
      </c>
      <c r="K1431" s="20" t="s">
        <v>5523</v>
      </c>
      <c r="L1431" s="20" t="s">
        <v>5512</v>
      </c>
      <c r="M1431" s="20" t="s">
        <v>2667</v>
      </c>
      <c r="N1431" s="20" t="s">
        <v>3584</v>
      </c>
      <c r="P1431" s="20" t="s">
        <v>2667</v>
      </c>
      <c r="Q1431" s="20" t="s">
        <v>2674</v>
      </c>
      <c r="R1431" s="20" t="s">
        <v>84</v>
      </c>
      <c r="S1431" s="20">
        <v>5</v>
      </c>
      <c r="T1431" s="20" t="s">
        <v>674</v>
      </c>
      <c r="U1431" s="20" t="s">
        <v>675</v>
      </c>
      <c r="V1431" s="20" t="s">
        <v>5502</v>
      </c>
      <c r="W1431" s="20">
        <v>1</v>
      </c>
      <c r="X1431" s="20" t="s">
        <v>5513</v>
      </c>
      <c r="Y1431" s="20" t="s">
        <v>5514</v>
      </c>
      <c r="Z1431" s="20">
        <v>0.2</v>
      </c>
      <c r="AA1431" s="20" t="s">
        <v>5524</v>
      </c>
      <c r="AB1431" s="20" t="s">
        <v>248</v>
      </c>
      <c r="AC1431" s="20" t="s">
        <v>249</v>
      </c>
      <c r="AD1431" s="20" t="s">
        <v>5516</v>
      </c>
      <c r="AE1431" s="20" t="s">
        <v>91</v>
      </c>
      <c r="AF1431" s="20">
        <v>0.2</v>
      </c>
      <c r="AG1431" s="20">
        <v>0</v>
      </c>
      <c r="AH1431" s="20">
        <v>1</v>
      </c>
      <c r="AI1431" s="4" t="s">
        <v>651</v>
      </c>
      <c r="AJ1431" s="20">
        <v>2</v>
      </c>
      <c r="AK1431" s="4" t="s">
        <v>679</v>
      </c>
      <c r="AL1431" s="4">
        <v>9</v>
      </c>
      <c r="AM1431" s="4" t="s">
        <v>235</v>
      </c>
      <c r="AN1431" s="4" t="s">
        <v>95</v>
      </c>
      <c r="AO1431" s="4" t="s">
        <v>680</v>
      </c>
      <c r="AP1431" s="4">
        <v>1</v>
      </c>
      <c r="AQ1431" s="20">
        <v>238000</v>
      </c>
      <c r="AR1431" s="4">
        <v>41971</v>
      </c>
      <c r="AS1431" s="20">
        <v>48080.808080808078</v>
      </c>
      <c r="AT1431" s="20">
        <v>0</v>
      </c>
      <c r="AU1431" s="20">
        <v>-48080.808080808078</v>
      </c>
      <c r="AV1431" s="20">
        <v>0</v>
      </c>
      <c r="AW1431" s="20">
        <v>0</v>
      </c>
      <c r="AX1431" s="20" t="s">
        <v>91</v>
      </c>
      <c r="AY1431" s="20">
        <v>0</v>
      </c>
      <c r="AZ1431" s="20">
        <v>0</v>
      </c>
      <c r="BA1431" s="20">
        <v>0</v>
      </c>
      <c r="BB1431" s="6">
        <v>41971</v>
      </c>
      <c r="BC1431" s="6">
        <v>0</v>
      </c>
      <c r="BD1431" s="6">
        <v>41976</v>
      </c>
      <c r="BE1431" s="6">
        <v>0</v>
      </c>
      <c r="BF1431" s="6">
        <v>41975</v>
      </c>
      <c r="BG1431" s="6">
        <v>0</v>
      </c>
      <c r="BH1431" s="6">
        <v>0</v>
      </c>
      <c r="BI1431" s="6">
        <v>0</v>
      </c>
      <c r="BJ1431" s="6">
        <v>0</v>
      </c>
      <c r="BK1431" s="4">
        <v>0</v>
      </c>
      <c r="BL1431" s="4">
        <v>0</v>
      </c>
      <c r="BM1431" s="20">
        <v>2</v>
      </c>
      <c r="BN1431" s="20">
        <v>0</v>
      </c>
      <c r="BO1431" s="20">
        <v>0</v>
      </c>
      <c r="BP1431" s="20">
        <v>0</v>
      </c>
      <c r="BQ1431" s="20">
        <v>0</v>
      </c>
      <c r="BR1431" s="20">
        <v>0</v>
      </c>
      <c r="BS1431" s="20">
        <v>2</v>
      </c>
      <c r="BT1431" s="20">
        <v>96161.616161616155</v>
      </c>
      <c r="BU1431" s="20">
        <v>476000</v>
      </c>
      <c r="BV1431" s="20">
        <v>4.5</v>
      </c>
    </row>
    <row r="1432" spans="1:74">
      <c r="A1432" s="10">
        <f t="shared" si="90"/>
        <v>0</v>
      </c>
      <c r="B1432" s="10">
        <f t="shared" si="91"/>
        <v>0</v>
      </c>
      <c r="C1432" s="12">
        <f t="shared" si="92"/>
        <v>11</v>
      </c>
      <c r="D1432" s="12">
        <f t="shared" si="93"/>
        <v>12</v>
      </c>
      <c r="E1432" s="20" t="s">
        <v>574</v>
      </c>
      <c r="F1432" s="20" t="s">
        <v>3089</v>
      </c>
      <c r="G1432" s="20" t="s">
        <v>5508</v>
      </c>
      <c r="H1432" s="20" t="s">
        <v>5525</v>
      </c>
      <c r="I1432" s="20">
        <v>2</v>
      </c>
      <c r="J1432" s="20" t="s">
        <v>5526</v>
      </c>
      <c r="K1432" s="20" t="s">
        <v>5527</v>
      </c>
      <c r="L1432" s="20" t="s">
        <v>5512</v>
      </c>
      <c r="M1432" s="20" t="s">
        <v>2667</v>
      </c>
      <c r="N1432" s="20" t="s">
        <v>3584</v>
      </c>
      <c r="P1432" s="20" t="s">
        <v>2667</v>
      </c>
      <c r="Q1432" s="20" t="s">
        <v>2674</v>
      </c>
      <c r="R1432" s="20" t="s">
        <v>84</v>
      </c>
      <c r="S1432" s="20">
        <v>5</v>
      </c>
      <c r="T1432" s="20" t="s">
        <v>674</v>
      </c>
      <c r="U1432" s="20" t="s">
        <v>675</v>
      </c>
      <c r="V1432" s="20" t="s">
        <v>5502</v>
      </c>
      <c r="W1432" s="20">
        <v>1</v>
      </c>
      <c r="X1432" s="20" t="s">
        <v>5513</v>
      </c>
      <c r="Y1432" s="20" t="s">
        <v>5514</v>
      </c>
      <c r="Z1432" s="20">
        <v>0.2</v>
      </c>
      <c r="AA1432" s="20" t="s">
        <v>5528</v>
      </c>
      <c r="AB1432" s="20" t="s">
        <v>89</v>
      </c>
      <c r="AC1432" s="20" t="s">
        <v>90</v>
      </c>
      <c r="AD1432" s="20" t="s">
        <v>5529</v>
      </c>
      <c r="AE1432" s="20" t="s">
        <v>91</v>
      </c>
      <c r="AF1432" s="20">
        <v>0.2</v>
      </c>
      <c r="AG1432" s="20">
        <v>0</v>
      </c>
      <c r="AH1432" s="20">
        <v>1</v>
      </c>
      <c r="AI1432" s="4" t="s">
        <v>643</v>
      </c>
      <c r="AJ1432" s="20">
        <v>2</v>
      </c>
      <c r="AK1432" s="4" t="s">
        <v>679</v>
      </c>
      <c r="AL1432" s="4">
        <v>9</v>
      </c>
      <c r="AM1432" s="4" t="s">
        <v>235</v>
      </c>
      <c r="AN1432" s="4" t="s">
        <v>95</v>
      </c>
      <c r="AO1432" s="4" t="s">
        <v>680</v>
      </c>
      <c r="AP1432" s="4">
        <v>1</v>
      </c>
      <c r="AQ1432" s="20">
        <v>238000</v>
      </c>
      <c r="AR1432" s="4">
        <v>41971</v>
      </c>
      <c r="AS1432" s="20">
        <v>48080.808080808078</v>
      </c>
      <c r="AT1432" s="20">
        <v>0</v>
      </c>
      <c r="AU1432" s="20">
        <v>-48080.808080808078</v>
      </c>
      <c r="AV1432" s="20">
        <v>0</v>
      </c>
      <c r="AW1432" s="20">
        <v>0</v>
      </c>
      <c r="AX1432" s="20" t="s">
        <v>91</v>
      </c>
      <c r="AY1432" s="20">
        <v>0</v>
      </c>
      <c r="AZ1432" s="20">
        <v>0</v>
      </c>
      <c r="BA1432" s="20">
        <v>0</v>
      </c>
      <c r="BB1432" s="6">
        <v>41971</v>
      </c>
      <c r="BC1432" s="6">
        <v>0</v>
      </c>
      <c r="BD1432" s="6">
        <v>41976</v>
      </c>
      <c r="BE1432" s="6">
        <v>0</v>
      </c>
      <c r="BF1432" s="6">
        <v>41975</v>
      </c>
      <c r="BG1432" s="6">
        <v>0</v>
      </c>
      <c r="BH1432" s="6">
        <v>0</v>
      </c>
      <c r="BI1432" s="6">
        <v>0</v>
      </c>
      <c r="BJ1432" s="6">
        <v>0</v>
      </c>
      <c r="BK1432" s="4">
        <v>0</v>
      </c>
      <c r="BL1432" s="4">
        <v>0</v>
      </c>
      <c r="BM1432" s="20">
        <v>2</v>
      </c>
      <c r="BN1432" s="20">
        <v>0</v>
      </c>
      <c r="BO1432" s="20">
        <v>0</v>
      </c>
      <c r="BP1432" s="20">
        <v>0</v>
      </c>
      <c r="BQ1432" s="20">
        <v>0</v>
      </c>
      <c r="BR1432" s="20">
        <v>0</v>
      </c>
      <c r="BS1432" s="20">
        <v>2</v>
      </c>
      <c r="BT1432" s="20">
        <v>96161.616161616155</v>
      </c>
      <c r="BU1432" s="20">
        <v>476000</v>
      </c>
      <c r="BV1432" s="20">
        <v>4.5</v>
      </c>
    </row>
    <row r="1433" spans="1:74">
      <c r="A1433" s="10">
        <f t="shared" si="90"/>
        <v>0</v>
      </c>
      <c r="B1433" s="10">
        <f t="shared" si="91"/>
        <v>0</v>
      </c>
      <c r="C1433" s="12">
        <f t="shared" si="92"/>
        <v>11</v>
      </c>
      <c r="D1433" s="12">
        <f t="shared" si="93"/>
        <v>12</v>
      </c>
      <c r="E1433" s="20" t="s">
        <v>574</v>
      </c>
      <c r="F1433" s="20" t="s">
        <v>3089</v>
      </c>
      <c r="G1433" s="20" t="s">
        <v>5508</v>
      </c>
      <c r="H1433" s="20" t="s">
        <v>5525</v>
      </c>
      <c r="I1433" s="20">
        <v>2</v>
      </c>
      <c r="J1433" s="20" t="s">
        <v>5526</v>
      </c>
      <c r="K1433" s="20" t="s">
        <v>5530</v>
      </c>
      <c r="L1433" s="20" t="s">
        <v>5512</v>
      </c>
      <c r="M1433" s="20" t="s">
        <v>2667</v>
      </c>
      <c r="N1433" s="20" t="s">
        <v>3584</v>
      </c>
      <c r="P1433" s="20" t="s">
        <v>2667</v>
      </c>
      <c r="Q1433" s="20" t="s">
        <v>2674</v>
      </c>
      <c r="R1433" s="20" t="s">
        <v>84</v>
      </c>
      <c r="S1433" s="20">
        <v>5</v>
      </c>
      <c r="T1433" s="20" t="s">
        <v>674</v>
      </c>
      <c r="U1433" s="20" t="s">
        <v>675</v>
      </c>
      <c r="V1433" s="20" t="s">
        <v>5502</v>
      </c>
      <c r="W1433" s="20">
        <v>1</v>
      </c>
      <c r="X1433" s="20" t="s">
        <v>5513</v>
      </c>
      <c r="Y1433" s="20" t="s">
        <v>5514</v>
      </c>
      <c r="Z1433" s="20">
        <v>0.2</v>
      </c>
      <c r="AA1433" s="20" t="s">
        <v>5531</v>
      </c>
      <c r="AB1433" s="20" t="s">
        <v>89</v>
      </c>
      <c r="AC1433" s="20" t="s">
        <v>90</v>
      </c>
      <c r="AD1433" s="20" t="s">
        <v>5529</v>
      </c>
      <c r="AE1433" s="20" t="s">
        <v>91</v>
      </c>
      <c r="AF1433" s="20">
        <v>0.2</v>
      </c>
      <c r="AG1433" s="20">
        <v>0</v>
      </c>
      <c r="AH1433" s="20">
        <v>1</v>
      </c>
      <c r="AI1433" s="4" t="s">
        <v>645</v>
      </c>
      <c r="AJ1433" s="20">
        <v>2</v>
      </c>
      <c r="AK1433" s="4" t="s">
        <v>679</v>
      </c>
      <c r="AL1433" s="4">
        <v>9</v>
      </c>
      <c r="AM1433" s="4" t="s">
        <v>235</v>
      </c>
      <c r="AN1433" s="4" t="s">
        <v>95</v>
      </c>
      <c r="AO1433" s="4" t="s">
        <v>680</v>
      </c>
      <c r="AP1433" s="4">
        <v>1</v>
      </c>
      <c r="AQ1433" s="20">
        <v>238000</v>
      </c>
      <c r="AR1433" s="4">
        <v>41971</v>
      </c>
      <c r="AS1433" s="20">
        <v>48080.808080808078</v>
      </c>
      <c r="AT1433" s="20">
        <v>0</v>
      </c>
      <c r="AU1433" s="20">
        <v>-48080.808080808078</v>
      </c>
      <c r="AV1433" s="20">
        <v>0</v>
      </c>
      <c r="AW1433" s="20">
        <v>0</v>
      </c>
      <c r="AX1433" s="20" t="s">
        <v>91</v>
      </c>
      <c r="AY1433" s="20">
        <v>0</v>
      </c>
      <c r="AZ1433" s="20">
        <v>0</v>
      </c>
      <c r="BA1433" s="20">
        <v>0</v>
      </c>
      <c r="BB1433" s="6">
        <v>41971</v>
      </c>
      <c r="BC1433" s="6">
        <v>0</v>
      </c>
      <c r="BD1433" s="6">
        <v>41976</v>
      </c>
      <c r="BE1433" s="6">
        <v>0</v>
      </c>
      <c r="BF1433" s="6">
        <v>41975</v>
      </c>
      <c r="BG1433" s="6">
        <v>0</v>
      </c>
      <c r="BH1433" s="6">
        <v>0</v>
      </c>
      <c r="BI1433" s="6">
        <v>0</v>
      </c>
      <c r="BJ1433" s="6">
        <v>0</v>
      </c>
      <c r="BK1433" s="4">
        <v>0</v>
      </c>
      <c r="BL1433" s="4">
        <v>0</v>
      </c>
      <c r="BM1433" s="20">
        <v>2</v>
      </c>
      <c r="BN1433" s="20">
        <v>0</v>
      </c>
      <c r="BO1433" s="20">
        <v>0</v>
      </c>
      <c r="BP1433" s="20">
        <v>0</v>
      </c>
      <c r="BQ1433" s="20">
        <v>0</v>
      </c>
      <c r="BR1433" s="20">
        <v>0</v>
      </c>
      <c r="BS1433" s="20">
        <v>2</v>
      </c>
      <c r="BT1433" s="20">
        <v>96161.616161616155</v>
      </c>
      <c r="BU1433" s="20">
        <v>476000</v>
      </c>
      <c r="BV1433" s="20">
        <v>4.5</v>
      </c>
    </row>
    <row r="1434" spans="1:74">
      <c r="A1434" s="10">
        <f t="shared" si="90"/>
        <v>0</v>
      </c>
      <c r="B1434" s="10">
        <f t="shared" si="91"/>
        <v>0</v>
      </c>
      <c r="C1434" s="12">
        <f t="shared" si="92"/>
        <v>11</v>
      </c>
      <c r="D1434" s="12">
        <f t="shared" si="93"/>
        <v>12</v>
      </c>
      <c r="E1434" s="20" t="s">
        <v>574</v>
      </c>
      <c r="F1434" s="20" t="s">
        <v>3089</v>
      </c>
      <c r="G1434" s="20" t="s">
        <v>5508</v>
      </c>
      <c r="H1434" s="20" t="s">
        <v>5525</v>
      </c>
      <c r="I1434" s="20">
        <v>2</v>
      </c>
      <c r="J1434" s="20" t="s">
        <v>5526</v>
      </c>
      <c r="K1434" s="20" t="s">
        <v>5532</v>
      </c>
      <c r="L1434" s="20" t="s">
        <v>5512</v>
      </c>
      <c r="M1434" s="20" t="s">
        <v>2667</v>
      </c>
      <c r="N1434" s="20" t="s">
        <v>3584</v>
      </c>
      <c r="P1434" s="20" t="s">
        <v>2667</v>
      </c>
      <c r="Q1434" s="20" t="s">
        <v>2674</v>
      </c>
      <c r="R1434" s="20" t="s">
        <v>84</v>
      </c>
      <c r="S1434" s="20">
        <v>5</v>
      </c>
      <c r="T1434" s="20" t="s">
        <v>674</v>
      </c>
      <c r="U1434" s="20" t="s">
        <v>675</v>
      </c>
      <c r="V1434" s="20" t="s">
        <v>5502</v>
      </c>
      <c r="W1434" s="20">
        <v>1</v>
      </c>
      <c r="X1434" s="20" t="s">
        <v>5513</v>
      </c>
      <c r="Y1434" s="20" t="s">
        <v>5514</v>
      </c>
      <c r="Z1434" s="20">
        <v>0.2</v>
      </c>
      <c r="AA1434" s="20" t="s">
        <v>5533</v>
      </c>
      <c r="AB1434" s="20" t="s">
        <v>89</v>
      </c>
      <c r="AC1434" s="20" t="s">
        <v>90</v>
      </c>
      <c r="AD1434" s="20" t="s">
        <v>5529</v>
      </c>
      <c r="AE1434" s="20" t="s">
        <v>91</v>
      </c>
      <c r="AF1434" s="20">
        <v>0.2</v>
      </c>
      <c r="AG1434" s="20">
        <v>0</v>
      </c>
      <c r="AH1434" s="20">
        <v>1</v>
      </c>
      <c r="AI1434" s="4" t="s">
        <v>647</v>
      </c>
      <c r="AJ1434" s="20">
        <v>2</v>
      </c>
      <c r="AK1434" s="4" t="s">
        <v>679</v>
      </c>
      <c r="AL1434" s="4">
        <v>9</v>
      </c>
      <c r="AM1434" s="4" t="s">
        <v>235</v>
      </c>
      <c r="AN1434" s="4" t="s">
        <v>95</v>
      </c>
      <c r="AO1434" s="4" t="s">
        <v>680</v>
      </c>
      <c r="AP1434" s="4">
        <v>1</v>
      </c>
      <c r="AQ1434" s="20">
        <v>238000</v>
      </c>
      <c r="AR1434" s="4">
        <v>41971</v>
      </c>
      <c r="AS1434" s="20">
        <v>48080.808080808078</v>
      </c>
      <c r="AT1434" s="20">
        <v>0</v>
      </c>
      <c r="AU1434" s="20">
        <v>-48080.808080808078</v>
      </c>
      <c r="AV1434" s="20">
        <v>0</v>
      </c>
      <c r="AW1434" s="20">
        <v>0</v>
      </c>
      <c r="AX1434" s="20" t="s">
        <v>91</v>
      </c>
      <c r="AY1434" s="20">
        <v>0</v>
      </c>
      <c r="AZ1434" s="20">
        <v>0</v>
      </c>
      <c r="BA1434" s="20">
        <v>0</v>
      </c>
      <c r="BB1434" s="6">
        <v>41971</v>
      </c>
      <c r="BC1434" s="6">
        <v>0</v>
      </c>
      <c r="BD1434" s="6">
        <v>41976</v>
      </c>
      <c r="BE1434" s="6">
        <v>0</v>
      </c>
      <c r="BF1434" s="6">
        <v>41975</v>
      </c>
      <c r="BG1434" s="6">
        <v>0</v>
      </c>
      <c r="BH1434" s="6">
        <v>0</v>
      </c>
      <c r="BI1434" s="6">
        <v>0</v>
      </c>
      <c r="BJ1434" s="6">
        <v>0</v>
      </c>
      <c r="BK1434" s="4">
        <v>0</v>
      </c>
      <c r="BL1434" s="4">
        <v>0</v>
      </c>
      <c r="BM1434" s="20">
        <v>2</v>
      </c>
      <c r="BN1434" s="20">
        <v>0</v>
      </c>
      <c r="BO1434" s="20">
        <v>0</v>
      </c>
      <c r="BP1434" s="20">
        <v>0</v>
      </c>
      <c r="BQ1434" s="20">
        <v>0</v>
      </c>
      <c r="BR1434" s="20">
        <v>0</v>
      </c>
      <c r="BS1434" s="20">
        <v>2</v>
      </c>
      <c r="BT1434" s="20">
        <v>96161.616161616155</v>
      </c>
      <c r="BU1434" s="20">
        <v>476000</v>
      </c>
      <c r="BV1434" s="20">
        <v>4.5</v>
      </c>
    </row>
    <row r="1435" spans="1:74">
      <c r="A1435" s="10">
        <f t="shared" si="90"/>
        <v>0</v>
      </c>
      <c r="B1435" s="10">
        <f t="shared" si="91"/>
        <v>0</v>
      </c>
      <c r="C1435" s="12">
        <f t="shared" si="92"/>
        <v>11</v>
      </c>
      <c r="D1435" s="12">
        <f t="shared" si="93"/>
        <v>12</v>
      </c>
      <c r="E1435" s="20" t="s">
        <v>574</v>
      </c>
      <c r="F1435" s="20" t="s">
        <v>3089</v>
      </c>
      <c r="G1435" s="20" t="s">
        <v>5508</v>
      </c>
      <c r="H1435" s="20" t="s">
        <v>5525</v>
      </c>
      <c r="I1435" s="20">
        <v>2</v>
      </c>
      <c r="J1435" s="20" t="s">
        <v>5526</v>
      </c>
      <c r="K1435" s="20" t="s">
        <v>5534</v>
      </c>
      <c r="L1435" s="20" t="s">
        <v>5512</v>
      </c>
      <c r="M1435" s="20" t="s">
        <v>2667</v>
      </c>
      <c r="N1435" s="20" t="s">
        <v>3584</v>
      </c>
      <c r="P1435" s="20" t="s">
        <v>2667</v>
      </c>
      <c r="Q1435" s="20" t="s">
        <v>2674</v>
      </c>
      <c r="R1435" s="20" t="s">
        <v>84</v>
      </c>
      <c r="S1435" s="20">
        <v>5</v>
      </c>
      <c r="T1435" s="20" t="s">
        <v>674</v>
      </c>
      <c r="U1435" s="20" t="s">
        <v>675</v>
      </c>
      <c r="V1435" s="20" t="s">
        <v>5502</v>
      </c>
      <c r="W1435" s="20">
        <v>1</v>
      </c>
      <c r="X1435" s="20" t="s">
        <v>5513</v>
      </c>
      <c r="Y1435" s="20" t="s">
        <v>5514</v>
      </c>
      <c r="Z1435" s="20">
        <v>0.2</v>
      </c>
      <c r="AA1435" s="20" t="s">
        <v>5535</v>
      </c>
      <c r="AB1435" s="20" t="s">
        <v>89</v>
      </c>
      <c r="AC1435" s="20" t="s">
        <v>90</v>
      </c>
      <c r="AD1435" s="20" t="s">
        <v>5529</v>
      </c>
      <c r="AE1435" s="20" t="s">
        <v>91</v>
      </c>
      <c r="AF1435" s="20">
        <v>0.2</v>
      </c>
      <c r="AG1435" s="20">
        <v>0</v>
      </c>
      <c r="AH1435" s="20">
        <v>1</v>
      </c>
      <c r="AI1435" s="4" t="s">
        <v>649</v>
      </c>
      <c r="AJ1435" s="20">
        <v>2</v>
      </c>
      <c r="AK1435" s="4" t="s">
        <v>679</v>
      </c>
      <c r="AL1435" s="4">
        <v>9</v>
      </c>
      <c r="AM1435" s="4" t="s">
        <v>235</v>
      </c>
      <c r="AN1435" s="4" t="s">
        <v>95</v>
      </c>
      <c r="AO1435" s="4" t="s">
        <v>680</v>
      </c>
      <c r="AP1435" s="4">
        <v>1</v>
      </c>
      <c r="AQ1435" s="20">
        <v>238000</v>
      </c>
      <c r="AR1435" s="4">
        <v>41971</v>
      </c>
      <c r="AS1435" s="20">
        <v>48080.808080808078</v>
      </c>
      <c r="AT1435" s="20">
        <v>0</v>
      </c>
      <c r="AU1435" s="20">
        <v>-48080.808080808078</v>
      </c>
      <c r="AV1435" s="20">
        <v>0</v>
      </c>
      <c r="AW1435" s="20">
        <v>0</v>
      </c>
      <c r="AX1435" s="20" t="s">
        <v>91</v>
      </c>
      <c r="AY1435" s="20">
        <v>0</v>
      </c>
      <c r="AZ1435" s="20">
        <v>0</v>
      </c>
      <c r="BA1435" s="20">
        <v>0</v>
      </c>
      <c r="BB1435" s="6">
        <v>41971</v>
      </c>
      <c r="BC1435" s="6">
        <v>0</v>
      </c>
      <c r="BD1435" s="6">
        <v>41976</v>
      </c>
      <c r="BE1435" s="6">
        <v>0</v>
      </c>
      <c r="BF1435" s="6">
        <v>41975</v>
      </c>
      <c r="BG1435" s="6">
        <v>0</v>
      </c>
      <c r="BH1435" s="6">
        <v>0</v>
      </c>
      <c r="BI1435" s="6">
        <v>0</v>
      </c>
      <c r="BJ1435" s="6">
        <v>0</v>
      </c>
      <c r="BK1435" s="4">
        <v>0</v>
      </c>
      <c r="BL1435" s="4">
        <v>0</v>
      </c>
      <c r="BM1435" s="20">
        <v>2</v>
      </c>
      <c r="BN1435" s="20">
        <v>0</v>
      </c>
      <c r="BO1435" s="20">
        <v>0</v>
      </c>
      <c r="BP1435" s="20">
        <v>0</v>
      </c>
      <c r="BQ1435" s="20">
        <v>0</v>
      </c>
      <c r="BR1435" s="20">
        <v>0</v>
      </c>
      <c r="BS1435" s="20">
        <v>2</v>
      </c>
      <c r="BT1435" s="20">
        <v>96161.616161616155</v>
      </c>
      <c r="BU1435" s="20">
        <v>476000</v>
      </c>
      <c r="BV1435" s="20">
        <v>4.5</v>
      </c>
    </row>
    <row r="1436" spans="1:74">
      <c r="A1436" s="10">
        <f t="shared" si="90"/>
        <v>0</v>
      </c>
      <c r="B1436" s="10">
        <f t="shared" si="91"/>
        <v>0</v>
      </c>
      <c r="C1436" s="12">
        <f t="shared" si="92"/>
        <v>11</v>
      </c>
      <c r="D1436" s="12">
        <f t="shared" si="93"/>
        <v>12</v>
      </c>
      <c r="E1436" s="20" t="s">
        <v>574</v>
      </c>
      <c r="F1436" s="20" t="s">
        <v>3089</v>
      </c>
      <c r="G1436" s="20" t="s">
        <v>5508</v>
      </c>
      <c r="H1436" s="20" t="s">
        <v>5525</v>
      </c>
      <c r="I1436" s="20">
        <v>2</v>
      </c>
      <c r="J1436" s="20" t="s">
        <v>5526</v>
      </c>
      <c r="K1436" s="20" t="s">
        <v>5536</v>
      </c>
      <c r="L1436" s="20" t="s">
        <v>5512</v>
      </c>
      <c r="M1436" s="20" t="s">
        <v>2667</v>
      </c>
      <c r="N1436" s="20" t="s">
        <v>3584</v>
      </c>
      <c r="P1436" s="20" t="s">
        <v>2667</v>
      </c>
      <c r="Q1436" s="20" t="s">
        <v>2674</v>
      </c>
      <c r="R1436" s="20" t="s">
        <v>84</v>
      </c>
      <c r="S1436" s="20">
        <v>5</v>
      </c>
      <c r="T1436" s="20" t="s">
        <v>674</v>
      </c>
      <c r="U1436" s="20" t="s">
        <v>675</v>
      </c>
      <c r="V1436" s="20" t="s">
        <v>5502</v>
      </c>
      <c r="W1436" s="20">
        <v>1</v>
      </c>
      <c r="X1436" s="20" t="s">
        <v>5513</v>
      </c>
      <c r="Y1436" s="20" t="s">
        <v>5514</v>
      </c>
      <c r="Z1436" s="20">
        <v>0.2</v>
      </c>
      <c r="AA1436" s="20" t="s">
        <v>5537</v>
      </c>
      <c r="AB1436" s="20" t="s">
        <v>89</v>
      </c>
      <c r="AC1436" s="20" t="s">
        <v>90</v>
      </c>
      <c r="AD1436" s="20" t="s">
        <v>5529</v>
      </c>
      <c r="AE1436" s="20" t="s">
        <v>91</v>
      </c>
      <c r="AF1436" s="20">
        <v>0.2</v>
      </c>
      <c r="AG1436" s="20">
        <v>0</v>
      </c>
      <c r="AH1436" s="20">
        <v>1</v>
      </c>
      <c r="AI1436" s="4" t="s">
        <v>651</v>
      </c>
      <c r="AJ1436" s="20">
        <v>2</v>
      </c>
      <c r="AK1436" s="4" t="s">
        <v>679</v>
      </c>
      <c r="AL1436" s="4">
        <v>9</v>
      </c>
      <c r="AM1436" s="4" t="s">
        <v>235</v>
      </c>
      <c r="AN1436" s="4" t="s">
        <v>95</v>
      </c>
      <c r="AO1436" s="4" t="s">
        <v>680</v>
      </c>
      <c r="AP1436" s="4">
        <v>1</v>
      </c>
      <c r="AQ1436" s="20">
        <v>238000</v>
      </c>
      <c r="AR1436" s="4">
        <v>41971</v>
      </c>
      <c r="AS1436" s="20">
        <v>48080.808080808078</v>
      </c>
      <c r="AT1436" s="20">
        <v>0</v>
      </c>
      <c r="AU1436" s="20">
        <v>-48080.808080808078</v>
      </c>
      <c r="AV1436" s="20">
        <v>0</v>
      </c>
      <c r="AW1436" s="20">
        <v>0</v>
      </c>
      <c r="AX1436" s="20" t="s">
        <v>91</v>
      </c>
      <c r="AY1436" s="20">
        <v>0</v>
      </c>
      <c r="AZ1436" s="20">
        <v>0</v>
      </c>
      <c r="BA1436" s="20">
        <v>0</v>
      </c>
      <c r="BB1436" s="6">
        <v>41971</v>
      </c>
      <c r="BC1436" s="6">
        <v>0</v>
      </c>
      <c r="BD1436" s="6">
        <v>41976</v>
      </c>
      <c r="BE1436" s="6">
        <v>0</v>
      </c>
      <c r="BF1436" s="6">
        <v>41975</v>
      </c>
      <c r="BG1436" s="6">
        <v>0</v>
      </c>
      <c r="BH1436" s="6">
        <v>0</v>
      </c>
      <c r="BI1436" s="6">
        <v>0</v>
      </c>
      <c r="BJ1436" s="6">
        <v>0</v>
      </c>
      <c r="BK1436" s="4">
        <v>0</v>
      </c>
      <c r="BL1436" s="4">
        <v>0</v>
      </c>
      <c r="BM1436" s="20">
        <v>2</v>
      </c>
      <c r="BN1436" s="20">
        <v>0</v>
      </c>
      <c r="BO1436" s="20">
        <v>0</v>
      </c>
      <c r="BP1436" s="20">
        <v>0</v>
      </c>
      <c r="BQ1436" s="20">
        <v>0</v>
      </c>
      <c r="BR1436" s="20">
        <v>0</v>
      </c>
      <c r="BS1436" s="20">
        <v>2</v>
      </c>
      <c r="BT1436" s="20">
        <v>96161.616161616155</v>
      </c>
      <c r="BU1436" s="20">
        <v>476000</v>
      </c>
      <c r="BV1436" s="20">
        <v>4.5</v>
      </c>
    </row>
    <row r="1437" spans="1:74">
      <c r="A1437" s="10">
        <f t="shared" si="90"/>
        <v>0</v>
      </c>
      <c r="B1437" s="10">
        <f t="shared" si="91"/>
        <v>0</v>
      </c>
      <c r="C1437" s="12">
        <f t="shared" si="92"/>
        <v>11</v>
      </c>
      <c r="D1437" s="12">
        <f t="shared" si="93"/>
        <v>12</v>
      </c>
      <c r="E1437" s="20" t="s">
        <v>574</v>
      </c>
      <c r="F1437" s="20" t="s">
        <v>3089</v>
      </c>
      <c r="G1437" s="20" t="s">
        <v>5508</v>
      </c>
      <c r="H1437" s="20" t="s">
        <v>5538</v>
      </c>
      <c r="I1437" s="20">
        <v>3</v>
      </c>
      <c r="J1437" s="20" t="s">
        <v>5539</v>
      </c>
      <c r="K1437" s="20" t="s">
        <v>5540</v>
      </c>
      <c r="L1437" s="20" t="s">
        <v>5541</v>
      </c>
      <c r="M1437" s="20" t="s">
        <v>2667</v>
      </c>
      <c r="N1437" s="20" t="s">
        <v>3584</v>
      </c>
      <c r="P1437" s="20" t="s">
        <v>2667</v>
      </c>
      <c r="Q1437" s="20" t="s">
        <v>2674</v>
      </c>
      <c r="R1437" s="20" t="s">
        <v>84</v>
      </c>
      <c r="S1437" s="20">
        <v>5</v>
      </c>
      <c r="T1437" s="20" t="s">
        <v>674</v>
      </c>
      <c r="U1437" s="20" t="s">
        <v>675</v>
      </c>
      <c r="V1437" s="20" t="s">
        <v>5502</v>
      </c>
      <c r="W1437" s="20">
        <v>28</v>
      </c>
      <c r="X1437" s="20" t="s">
        <v>5542</v>
      </c>
      <c r="Y1437" s="20" t="s">
        <v>5543</v>
      </c>
      <c r="Z1437" s="20">
        <v>0.2</v>
      </c>
      <c r="AA1437" s="20" t="s">
        <v>5544</v>
      </c>
      <c r="AB1437" s="20" t="s">
        <v>248</v>
      </c>
      <c r="AC1437" s="20" t="s">
        <v>249</v>
      </c>
      <c r="AD1437" s="20" t="s">
        <v>5545</v>
      </c>
      <c r="AE1437" s="20" t="s">
        <v>91</v>
      </c>
      <c r="AF1437" s="20">
        <v>0.2</v>
      </c>
      <c r="AG1437" s="20">
        <v>0</v>
      </c>
      <c r="AH1437" s="20">
        <v>1</v>
      </c>
      <c r="AI1437" s="4" t="s">
        <v>643</v>
      </c>
      <c r="AJ1437" s="20">
        <v>2</v>
      </c>
      <c r="AK1437" s="4" t="s">
        <v>679</v>
      </c>
      <c r="AL1437" s="4">
        <v>9</v>
      </c>
      <c r="AM1437" s="4" t="s">
        <v>235</v>
      </c>
      <c r="AN1437" s="4" t="s">
        <v>95</v>
      </c>
      <c r="AO1437" s="4" t="s">
        <v>680</v>
      </c>
      <c r="AP1437" s="4">
        <v>1</v>
      </c>
      <c r="AQ1437" s="20">
        <v>218000</v>
      </c>
      <c r="AR1437" s="4">
        <v>41971</v>
      </c>
      <c r="AS1437" s="20">
        <v>44040.404040404042</v>
      </c>
      <c r="AT1437" s="20">
        <v>0</v>
      </c>
      <c r="AU1437" s="20">
        <v>-44040.404040404042</v>
      </c>
      <c r="AV1437" s="20">
        <v>0</v>
      </c>
      <c r="AW1437" s="20">
        <v>0</v>
      </c>
      <c r="AX1437" s="20" t="s">
        <v>91</v>
      </c>
      <c r="AY1437" s="20">
        <v>0</v>
      </c>
      <c r="AZ1437" s="20">
        <v>0</v>
      </c>
      <c r="BA1437" s="20">
        <v>0</v>
      </c>
      <c r="BB1437" s="6">
        <v>41971</v>
      </c>
      <c r="BC1437" s="6">
        <v>0</v>
      </c>
      <c r="BD1437" s="6">
        <v>41976</v>
      </c>
      <c r="BE1437" s="6">
        <v>0</v>
      </c>
      <c r="BF1437" s="6">
        <v>41975</v>
      </c>
      <c r="BG1437" s="6">
        <v>0</v>
      </c>
      <c r="BH1437" s="6">
        <v>0</v>
      </c>
      <c r="BI1437" s="6">
        <v>0</v>
      </c>
      <c r="BJ1437" s="6">
        <v>0</v>
      </c>
      <c r="BK1437" s="4">
        <v>0</v>
      </c>
      <c r="BL1437" s="4">
        <v>0</v>
      </c>
      <c r="BM1437" s="20">
        <v>2</v>
      </c>
      <c r="BN1437" s="20">
        <v>0</v>
      </c>
      <c r="BO1437" s="20">
        <v>0</v>
      </c>
      <c r="BP1437" s="20">
        <v>0</v>
      </c>
      <c r="BQ1437" s="20">
        <v>0</v>
      </c>
      <c r="BR1437" s="20">
        <v>0</v>
      </c>
      <c r="BS1437" s="20">
        <v>2</v>
      </c>
      <c r="BT1437" s="20">
        <v>88080.808080808085</v>
      </c>
      <c r="BU1437" s="20">
        <v>436000</v>
      </c>
      <c r="BV1437" s="20">
        <v>4.4999999999999991</v>
      </c>
    </row>
    <row r="1438" spans="1:74">
      <c r="A1438" s="10">
        <f t="shared" si="90"/>
        <v>0</v>
      </c>
      <c r="B1438" s="10">
        <f t="shared" si="91"/>
        <v>0</v>
      </c>
      <c r="C1438" s="12">
        <f t="shared" si="92"/>
        <v>11</v>
      </c>
      <c r="D1438" s="12">
        <f t="shared" si="93"/>
        <v>12</v>
      </c>
      <c r="E1438" s="20" t="s">
        <v>574</v>
      </c>
      <c r="F1438" s="20" t="s">
        <v>3089</v>
      </c>
      <c r="G1438" s="20" t="s">
        <v>5508</v>
      </c>
      <c r="H1438" s="20" t="s">
        <v>5538</v>
      </c>
      <c r="I1438" s="20">
        <v>3</v>
      </c>
      <c r="J1438" s="20" t="s">
        <v>5539</v>
      </c>
      <c r="K1438" s="20" t="s">
        <v>5546</v>
      </c>
      <c r="L1438" s="20" t="s">
        <v>5541</v>
      </c>
      <c r="M1438" s="20" t="s">
        <v>2667</v>
      </c>
      <c r="N1438" s="20" t="s">
        <v>3584</v>
      </c>
      <c r="P1438" s="20" t="s">
        <v>2667</v>
      </c>
      <c r="Q1438" s="20" t="s">
        <v>2674</v>
      </c>
      <c r="R1438" s="20" t="s">
        <v>84</v>
      </c>
      <c r="S1438" s="20">
        <v>5</v>
      </c>
      <c r="T1438" s="20" t="s">
        <v>674</v>
      </c>
      <c r="U1438" s="20" t="s">
        <v>675</v>
      </c>
      <c r="V1438" s="20" t="s">
        <v>5502</v>
      </c>
      <c r="W1438" s="20">
        <v>28</v>
      </c>
      <c r="X1438" s="20" t="s">
        <v>5542</v>
      </c>
      <c r="Y1438" s="20" t="s">
        <v>5543</v>
      </c>
      <c r="Z1438" s="20">
        <v>0.2</v>
      </c>
      <c r="AA1438" s="20" t="s">
        <v>5547</v>
      </c>
      <c r="AB1438" s="20" t="s">
        <v>248</v>
      </c>
      <c r="AC1438" s="20" t="s">
        <v>249</v>
      </c>
      <c r="AD1438" s="20" t="s">
        <v>5545</v>
      </c>
      <c r="AE1438" s="20" t="s">
        <v>91</v>
      </c>
      <c r="AF1438" s="20">
        <v>0.2</v>
      </c>
      <c r="AG1438" s="20">
        <v>0</v>
      </c>
      <c r="AH1438" s="20">
        <v>1</v>
      </c>
      <c r="AI1438" s="4" t="s">
        <v>645</v>
      </c>
      <c r="AJ1438" s="20">
        <v>2</v>
      </c>
      <c r="AK1438" s="4" t="s">
        <v>679</v>
      </c>
      <c r="AL1438" s="4">
        <v>9</v>
      </c>
      <c r="AM1438" s="4" t="s">
        <v>235</v>
      </c>
      <c r="AN1438" s="4" t="s">
        <v>95</v>
      </c>
      <c r="AO1438" s="4" t="s">
        <v>680</v>
      </c>
      <c r="AP1438" s="4">
        <v>1</v>
      </c>
      <c r="AQ1438" s="20">
        <v>218000</v>
      </c>
      <c r="AR1438" s="4">
        <v>41971</v>
      </c>
      <c r="AS1438" s="20">
        <v>44040.404040404042</v>
      </c>
      <c r="AT1438" s="20">
        <v>0</v>
      </c>
      <c r="AU1438" s="20">
        <v>-44040.404040404042</v>
      </c>
      <c r="AV1438" s="20">
        <v>0</v>
      </c>
      <c r="AW1438" s="20">
        <v>0</v>
      </c>
      <c r="AX1438" s="20" t="s">
        <v>91</v>
      </c>
      <c r="AY1438" s="20">
        <v>0</v>
      </c>
      <c r="AZ1438" s="20">
        <v>0</v>
      </c>
      <c r="BA1438" s="20">
        <v>0</v>
      </c>
      <c r="BB1438" s="6">
        <v>41971</v>
      </c>
      <c r="BC1438" s="6">
        <v>0</v>
      </c>
      <c r="BD1438" s="6">
        <v>41976</v>
      </c>
      <c r="BE1438" s="6">
        <v>0</v>
      </c>
      <c r="BF1438" s="6">
        <v>41975</v>
      </c>
      <c r="BG1438" s="6">
        <v>0</v>
      </c>
      <c r="BH1438" s="6">
        <v>0</v>
      </c>
      <c r="BI1438" s="6">
        <v>0</v>
      </c>
      <c r="BJ1438" s="6">
        <v>0</v>
      </c>
      <c r="BK1438" s="4">
        <v>0</v>
      </c>
      <c r="BL1438" s="4">
        <v>0</v>
      </c>
      <c r="BM1438" s="20">
        <v>2</v>
      </c>
      <c r="BN1438" s="20">
        <v>0</v>
      </c>
      <c r="BO1438" s="20">
        <v>0</v>
      </c>
      <c r="BP1438" s="20">
        <v>0</v>
      </c>
      <c r="BQ1438" s="20">
        <v>0</v>
      </c>
      <c r="BR1438" s="20">
        <v>0</v>
      </c>
      <c r="BS1438" s="20">
        <v>2</v>
      </c>
      <c r="BT1438" s="20">
        <v>88080.808080808085</v>
      </c>
      <c r="BU1438" s="20">
        <v>436000</v>
      </c>
      <c r="BV1438" s="20">
        <v>4.4999999999999991</v>
      </c>
    </row>
    <row r="1439" spans="1:74">
      <c r="A1439" s="10">
        <f t="shared" si="90"/>
        <v>0</v>
      </c>
      <c r="B1439" s="10">
        <f t="shared" si="91"/>
        <v>0</v>
      </c>
      <c r="C1439" s="12">
        <f t="shared" si="92"/>
        <v>11</v>
      </c>
      <c r="D1439" s="12">
        <f t="shared" si="93"/>
        <v>12</v>
      </c>
      <c r="E1439" s="20" t="s">
        <v>574</v>
      </c>
      <c r="F1439" s="20" t="s">
        <v>3089</v>
      </c>
      <c r="G1439" s="20" t="s">
        <v>5508</v>
      </c>
      <c r="H1439" s="20" t="s">
        <v>5538</v>
      </c>
      <c r="I1439" s="20">
        <v>3</v>
      </c>
      <c r="J1439" s="20" t="s">
        <v>5539</v>
      </c>
      <c r="K1439" s="20" t="s">
        <v>5548</v>
      </c>
      <c r="L1439" s="20" t="s">
        <v>5541</v>
      </c>
      <c r="M1439" s="20" t="s">
        <v>2667</v>
      </c>
      <c r="N1439" s="20" t="s">
        <v>3584</v>
      </c>
      <c r="P1439" s="20" t="s">
        <v>2667</v>
      </c>
      <c r="Q1439" s="20" t="s">
        <v>2674</v>
      </c>
      <c r="R1439" s="20" t="s">
        <v>84</v>
      </c>
      <c r="S1439" s="20">
        <v>5</v>
      </c>
      <c r="T1439" s="20" t="s">
        <v>674</v>
      </c>
      <c r="U1439" s="20" t="s">
        <v>675</v>
      </c>
      <c r="V1439" s="20" t="s">
        <v>5502</v>
      </c>
      <c r="W1439" s="20">
        <v>28</v>
      </c>
      <c r="X1439" s="20" t="s">
        <v>5542</v>
      </c>
      <c r="Y1439" s="20" t="s">
        <v>5543</v>
      </c>
      <c r="Z1439" s="20">
        <v>0.2</v>
      </c>
      <c r="AA1439" s="20" t="s">
        <v>5549</v>
      </c>
      <c r="AB1439" s="20" t="s">
        <v>248</v>
      </c>
      <c r="AC1439" s="20" t="s">
        <v>249</v>
      </c>
      <c r="AD1439" s="20" t="s">
        <v>5545</v>
      </c>
      <c r="AE1439" s="20" t="s">
        <v>91</v>
      </c>
      <c r="AF1439" s="20">
        <v>0.2</v>
      </c>
      <c r="AG1439" s="20">
        <v>0</v>
      </c>
      <c r="AH1439" s="20">
        <v>1</v>
      </c>
      <c r="AI1439" s="4" t="s">
        <v>647</v>
      </c>
      <c r="AJ1439" s="20">
        <v>2</v>
      </c>
      <c r="AK1439" s="4" t="s">
        <v>679</v>
      </c>
      <c r="AL1439" s="4">
        <v>9</v>
      </c>
      <c r="AM1439" s="4" t="s">
        <v>235</v>
      </c>
      <c r="AN1439" s="4" t="s">
        <v>95</v>
      </c>
      <c r="AO1439" s="4" t="s">
        <v>680</v>
      </c>
      <c r="AP1439" s="4">
        <v>1</v>
      </c>
      <c r="AQ1439" s="20">
        <v>218000</v>
      </c>
      <c r="AR1439" s="4">
        <v>41971</v>
      </c>
      <c r="AS1439" s="20">
        <v>44040.404040404042</v>
      </c>
      <c r="AT1439" s="20">
        <v>0</v>
      </c>
      <c r="AU1439" s="20">
        <v>-44040.404040404042</v>
      </c>
      <c r="AV1439" s="20">
        <v>0</v>
      </c>
      <c r="AW1439" s="20">
        <v>0</v>
      </c>
      <c r="AX1439" s="20" t="s">
        <v>91</v>
      </c>
      <c r="AY1439" s="20">
        <v>0</v>
      </c>
      <c r="AZ1439" s="20">
        <v>0</v>
      </c>
      <c r="BA1439" s="20">
        <v>0</v>
      </c>
      <c r="BB1439" s="6">
        <v>41971</v>
      </c>
      <c r="BC1439" s="6">
        <v>0</v>
      </c>
      <c r="BD1439" s="6">
        <v>41976</v>
      </c>
      <c r="BE1439" s="6">
        <v>0</v>
      </c>
      <c r="BF1439" s="6">
        <v>41975</v>
      </c>
      <c r="BG1439" s="6">
        <v>0</v>
      </c>
      <c r="BH1439" s="6">
        <v>0</v>
      </c>
      <c r="BI1439" s="6">
        <v>0</v>
      </c>
      <c r="BJ1439" s="6">
        <v>0</v>
      </c>
      <c r="BK1439" s="4">
        <v>0</v>
      </c>
      <c r="BL1439" s="4">
        <v>0</v>
      </c>
      <c r="BM1439" s="20">
        <v>2</v>
      </c>
      <c r="BN1439" s="20">
        <v>0</v>
      </c>
      <c r="BO1439" s="20">
        <v>0</v>
      </c>
      <c r="BP1439" s="20">
        <v>0</v>
      </c>
      <c r="BQ1439" s="20">
        <v>0</v>
      </c>
      <c r="BR1439" s="20">
        <v>0</v>
      </c>
      <c r="BS1439" s="20">
        <v>2</v>
      </c>
      <c r="BT1439" s="20">
        <v>88080.808080808085</v>
      </c>
      <c r="BU1439" s="20">
        <v>436000</v>
      </c>
      <c r="BV1439" s="20">
        <v>4.4999999999999991</v>
      </c>
    </row>
    <row r="1440" spans="1:74">
      <c r="A1440" s="10">
        <f t="shared" si="90"/>
        <v>0</v>
      </c>
      <c r="B1440" s="10">
        <f t="shared" si="91"/>
        <v>0</v>
      </c>
      <c r="C1440" s="12">
        <f t="shared" si="92"/>
        <v>11</v>
      </c>
      <c r="D1440" s="12">
        <f t="shared" si="93"/>
        <v>12</v>
      </c>
      <c r="E1440" s="20" t="s">
        <v>574</v>
      </c>
      <c r="F1440" s="20" t="s">
        <v>3089</v>
      </c>
      <c r="G1440" s="20" t="s">
        <v>5508</v>
      </c>
      <c r="H1440" s="20" t="s">
        <v>5538</v>
      </c>
      <c r="I1440" s="20">
        <v>3</v>
      </c>
      <c r="J1440" s="20" t="s">
        <v>5539</v>
      </c>
      <c r="K1440" s="20" t="s">
        <v>5550</v>
      </c>
      <c r="L1440" s="20" t="s">
        <v>5541</v>
      </c>
      <c r="M1440" s="20" t="s">
        <v>2667</v>
      </c>
      <c r="N1440" s="20" t="s">
        <v>3584</v>
      </c>
      <c r="P1440" s="20" t="s">
        <v>2667</v>
      </c>
      <c r="Q1440" s="20" t="s">
        <v>2674</v>
      </c>
      <c r="R1440" s="20" t="s">
        <v>84</v>
      </c>
      <c r="S1440" s="20">
        <v>5</v>
      </c>
      <c r="T1440" s="20" t="s">
        <v>674</v>
      </c>
      <c r="U1440" s="20" t="s">
        <v>675</v>
      </c>
      <c r="V1440" s="20" t="s">
        <v>5502</v>
      </c>
      <c r="W1440" s="20">
        <v>28</v>
      </c>
      <c r="X1440" s="20" t="s">
        <v>5542</v>
      </c>
      <c r="Y1440" s="20" t="s">
        <v>5543</v>
      </c>
      <c r="Z1440" s="20">
        <v>0.2</v>
      </c>
      <c r="AA1440" s="20" t="s">
        <v>5551</v>
      </c>
      <c r="AB1440" s="20" t="s">
        <v>248</v>
      </c>
      <c r="AC1440" s="20" t="s">
        <v>249</v>
      </c>
      <c r="AD1440" s="20" t="s">
        <v>5545</v>
      </c>
      <c r="AE1440" s="20" t="s">
        <v>91</v>
      </c>
      <c r="AF1440" s="20">
        <v>0.2</v>
      </c>
      <c r="AG1440" s="20">
        <v>0</v>
      </c>
      <c r="AH1440" s="20">
        <v>1</v>
      </c>
      <c r="AI1440" s="4" t="s">
        <v>649</v>
      </c>
      <c r="AJ1440" s="20">
        <v>2</v>
      </c>
      <c r="AK1440" s="4" t="s">
        <v>679</v>
      </c>
      <c r="AL1440" s="4">
        <v>9</v>
      </c>
      <c r="AM1440" s="4" t="s">
        <v>235</v>
      </c>
      <c r="AN1440" s="4" t="s">
        <v>95</v>
      </c>
      <c r="AO1440" s="4" t="s">
        <v>680</v>
      </c>
      <c r="AP1440" s="4">
        <v>1</v>
      </c>
      <c r="AQ1440" s="20">
        <v>218000</v>
      </c>
      <c r="AR1440" s="4">
        <v>41971</v>
      </c>
      <c r="AS1440" s="20">
        <v>44040.404040404042</v>
      </c>
      <c r="AT1440" s="20">
        <v>0</v>
      </c>
      <c r="AU1440" s="20">
        <v>-44040.404040404042</v>
      </c>
      <c r="AV1440" s="20">
        <v>0</v>
      </c>
      <c r="AW1440" s="20">
        <v>0</v>
      </c>
      <c r="AX1440" s="20" t="s">
        <v>91</v>
      </c>
      <c r="AY1440" s="20">
        <v>0</v>
      </c>
      <c r="AZ1440" s="20">
        <v>0</v>
      </c>
      <c r="BA1440" s="20">
        <v>0</v>
      </c>
      <c r="BB1440" s="6">
        <v>41971</v>
      </c>
      <c r="BC1440" s="6">
        <v>0</v>
      </c>
      <c r="BD1440" s="6">
        <v>41976</v>
      </c>
      <c r="BE1440" s="6">
        <v>0</v>
      </c>
      <c r="BF1440" s="6">
        <v>41975</v>
      </c>
      <c r="BG1440" s="6">
        <v>0</v>
      </c>
      <c r="BH1440" s="6">
        <v>0</v>
      </c>
      <c r="BI1440" s="6">
        <v>0</v>
      </c>
      <c r="BJ1440" s="6">
        <v>0</v>
      </c>
      <c r="BK1440" s="4">
        <v>0</v>
      </c>
      <c r="BL1440" s="4">
        <v>0</v>
      </c>
      <c r="BM1440" s="20">
        <v>2</v>
      </c>
      <c r="BN1440" s="20">
        <v>0</v>
      </c>
      <c r="BO1440" s="20">
        <v>0</v>
      </c>
      <c r="BP1440" s="20">
        <v>0</v>
      </c>
      <c r="BQ1440" s="20">
        <v>0</v>
      </c>
      <c r="BR1440" s="20">
        <v>0</v>
      </c>
      <c r="BS1440" s="20">
        <v>2</v>
      </c>
      <c r="BT1440" s="20">
        <v>88080.808080808085</v>
      </c>
      <c r="BU1440" s="20">
        <v>436000</v>
      </c>
      <c r="BV1440" s="20">
        <v>4.4999999999999991</v>
      </c>
    </row>
    <row r="1441" spans="1:74">
      <c r="A1441" s="10">
        <f t="shared" si="90"/>
        <v>0</v>
      </c>
      <c r="B1441" s="10">
        <f t="shared" si="91"/>
        <v>0</v>
      </c>
      <c r="C1441" s="12">
        <f t="shared" si="92"/>
        <v>11</v>
      </c>
      <c r="D1441" s="12">
        <f t="shared" si="93"/>
        <v>12</v>
      </c>
      <c r="E1441" s="20" t="s">
        <v>574</v>
      </c>
      <c r="F1441" s="20" t="s">
        <v>3089</v>
      </c>
      <c r="G1441" s="20" t="s">
        <v>5508</v>
      </c>
      <c r="H1441" s="20" t="s">
        <v>5538</v>
      </c>
      <c r="I1441" s="20">
        <v>3</v>
      </c>
      <c r="J1441" s="20" t="s">
        <v>5539</v>
      </c>
      <c r="K1441" s="20" t="s">
        <v>5552</v>
      </c>
      <c r="L1441" s="20" t="s">
        <v>5541</v>
      </c>
      <c r="M1441" s="20" t="s">
        <v>2667</v>
      </c>
      <c r="N1441" s="20" t="s">
        <v>3584</v>
      </c>
      <c r="P1441" s="20" t="s">
        <v>2667</v>
      </c>
      <c r="Q1441" s="20" t="s">
        <v>2674</v>
      </c>
      <c r="R1441" s="20" t="s">
        <v>84</v>
      </c>
      <c r="S1441" s="20">
        <v>5</v>
      </c>
      <c r="T1441" s="20" t="s">
        <v>674</v>
      </c>
      <c r="U1441" s="20" t="s">
        <v>675</v>
      </c>
      <c r="V1441" s="20" t="s">
        <v>5502</v>
      </c>
      <c r="W1441" s="20">
        <v>28</v>
      </c>
      <c r="X1441" s="20" t="s">
        <v>5542</v>
      </c>
      <c r="Y1441" s="20" t="s">
        <v>5543</v>
      </c>
      <c r="Z1441" s="20">
        <v>0.2</v>
      </c>
      <c r="AA1441" s="20" t="s">
        <v>5553</v>
      </c>
      <c r="AB1441" s="20" t="s">
        <v>248</v>
      </c>
      <c r="AC1441" s="20" t="s">
        <v>249</v>
      </c>
      <c r="AD1441" s="20" t="s">
        <v>5545</v>
      </c>
      <c r="AE1441" s="20" t="s">
        <v>91</v>
      </c>
      <c r="AF1441" s="20">
        <v>0.2</v>
      </c>
      <c r="AG1441" s="20">
        <v>0</v>
      </c>
      <c r="AH1441" s="20">
        <v>1</v>
      </c>
      <c r="AI1441" s="4" t="s">
        <v>651</v>
      </c>
      <c r="AJ1441" s="20">
        <v>2</v>
      </c>
      <c r="AK1441" s="4" t="s">
        <v>679</v>
      </c>
      <c r="AL1441" s="4">
        <v>9</v>
      </c>
      <c r="AM1441" s="4" t="s">
        <v>235</v>
      </c>
      <c r="AN1441" s="4" t="s">
        <v>95</v>
      </c>
      <c r="AO1441" s="4" t="s">
        <v>680</v>
      </c>
      <c r="AP1441" s="4">
        <v>1</v>
      </c>
      <c r="AQ1441" s="20">
        <v>218000</v>
      </c>
      <c r="AR1441" s="4">
        <v>41971</v>
      </c>
      <c r="AS1441" s="20">
        <v>44040.404040404042</v>
      </c>
      <c r="AT1441" s="20">
        <v>0</v>
      </c>
      <c r="AU1441" s="20">
        <v>-44040.404040404042</v>
      </c>
      <c r="AV1441" s="20">
        <v>0</v>
      </c>
      <c r="AW1441" s="20">
        <v>0</v>
      </c>
      <c r="AX1441" s="20" t="s">
        <v>91</v>
      </c>
      <c r="AY1441" s="20">
        <v>0</v>
      </c>
      <c r="AZ1441" s="20">
        <v>0</v>
      </c>
      <c r="BA1441" s="20">
        <v>0</v>
      </c>
      <c r="BB1441" s="6">
        <v>41971</v>
      </c>
      <c r="BC1441" s="6">
        <v>0</v>
      </c>
      <c r="BD1441" s="6">
        <v>41976</v>
      </c>
      <c r="BE1441" s="6">
        <v>0</v>
      </c>
      <c r="BF1441" s="6">
        <v>41975</v>
      </c>
      <c r="BG1441" s="6">
        <v>0</v>
      </c>
      <c r="BH1441" s="6">
        <v>0</v>
      </c>
      <c r="BI1441" s="6">
        <v>0</v>
      </c>
      <c r="BJ1441" s="6">
        <v>0</v>
      </c>
      <c r="BK1441" s="4">
        <v>0</v>
      </c>
      <c r="BL1441" s="4">
        <v>0</v>
      </c>
      <c r="BM1441" s="20">
        <v>2</v>
      </c>
      <c r="BN1441" s="20">
        <v>0</v>
      </c>
      <c r="BO1441" s="20">
        <v>0</v>
      </c>
      <c r="BP1441" s="20">
        <v>0</v>
      </c>
      <c r="BQ1441" s="20">
        <v>0</v>
      </c>
      <c r="BR1441" s="20">
        <v>0</v>
      </c>
      <c r="BS1441" s="20">
        <v>2</v>
      </c>
      <c r="BT1441" s="20">
        <v>88080.808080808085</v>
      </c>
      <c r="BU1441" s="20">
        <v>436000</v>
      </c>
      <c r="BV1441" s="20">
        <v>4.4999999999999991</v>
      </c>
    </row>
    <row r="1442" spans="1:74">
      <c r="A1442" s="10">
        <f t="shared" si="90"/>
        <v>0</v>
      </c>
      <c r="B1442" s="10">
        <f t="shared" si="91"/>
        <v>0</v>
      </c>
      <c r="C1442" s="12" t="str">
        <f t="shared" si="92"/>
        <v/>
      </c>
      <c r="D1442" s="12" t="str">
        <f t="shared" si="93"/>
        <v/>
      </c>
      <c r="E1442" s="20" t="s">
        <v>91</v>
      </c>
      <c r="F1442" s="20" t="s">
        <v>91</v>
      </c>
      <c r="G1442" s="20" t="s">
        <v>91</v>
      </c>
      <c r="H1442" s="20" t="s">
        <v>91</v>
      </c>
      <c r="I1442" s="20">
        <v>0</v>
      </c>
      <c r="J1442" s="20" t="s">
        <v>103</v>
      </c>
      <c r="K1442" s="20" t="s">
        <v>104</v>
      </c>
      <c r="L1442" s="20">
        <v>0</v>
      </c>
      <c r="M1442" s="20" t="s">
        <v>105</v>
      </c>
      <c r="N1442" s="20" t="s">
        <v>91</v>
      </c>
      <c r="O1442" s="20" t="s">
        <v>5554</v>
      </c>
      <c r="Q1442" s="20" t="s">
        <v>91</v>
      </c>
      <c r="R1442" s="20" t="s">
        <v>91</v>
      </c>
      <c r="S1442" s="20" t="s">
        <v>91</v>
      </c>
      <c r="U1442" s="20" t="s">
        <v>91</v>
      </c>
      <c r="X1442" s="20" t="s">
        <v>91</v>
      </c>
      <c r="Y1442" s="20" t="s">
        <v>91</v>
      </c>
      <c r="Z1442" s="20">
        <v>3.0000000000000004</v>
      </c>
      <c r="AB1442" s="20" t="s">
        <v>91</v>
      </c>
      <c r="AD1442" s="20" t="s">
        <v>91</v>
      </c>
      <c r="AE1442" s="20" t="s">
        <v>91</v>
      </c>
      <c r="AF1442" s="20">
        <v>3.0000000000000004</v>
      </c>
      <c r="AG1442" s="20">
        <v>0</v>
      </c>
      <c r="AH1442" s="20">
        <v>1</v>
      </c>
      <c r="AM1442" s="4" t="s">
        <v>91</v>
      </c>
      <c r="AN1442" s="4" t="s">
        <v>95</v>
      </c>
      <c r="AP1442" s="4" t="s">
        <v>91</v>
      </c>
      <c r="AQ1442" s="20">
        <v>0</v>
      </c>
      <c r="AR1442" s="4">
        <v>0</v>
      </c>
      <c r="AS1442" s="20">
        <v>0</v>
      </c>
      <c r="AT1442" s="20">
        <v>0</v>
      </c>
      <c r="AU1442" s="20">
        <v>0</v>
      </c>
      <c r="AV1442" s="20">
        <v>0</v>
      </c>
      <c r="AW1442" s="20">
        <v>0</v>
      </c>
      <c r="AX1442" s="20" t="s">
        <v>91</v>
      </c>
      <c r="AY1442" s="20">
        <v>0</v>
      </c>
      <c r="AZ1442" s="20">
        <v>0</v>
      </c>
      <c r="BA1442" s="20">
        <v>0</v>
      </c>
      <c r="BB1442" s="6">
        <v>0</v>
      </c>
      <c r="BC1442" s="6">
        <v>0</v>
      </c>
      <c r="BD1442" s="6">
        <v>0</v>
      </c>
      <c r="BE1442" s="6">
        <v>0</v>
      </c>
      <c r="BF1442" s="6">
        <v>0</v>
      </c>
      <c r="BG1442" s="6">
        <v>0</v>
      </c>
      <c r="BH1442" s="6">
        <v>0</v>
      </c>
      <c r="BI1442" s="6">
        <v>0</v>
      </c>
      <c r="BJ1442" s="6">
        <v>0</v>
      </c>
      <c r="BK1442" s="4">
        <v>0</v>
      </c>
      <c r="BL1442" s="4">
        <v>0</v>
      </c>
      <c r="BM1442" s="20">
        <v>30</v>
      </c>
      <c r="BN1442" s="20">
        <v>0</v>
      </c>
      <c r="BO1442" s="20">
        <v>0</v>
      </c>
      <c r="BP1442" s="20">
        <v>0</v>
      </c>
      <c r="BQ1442" s="20">
        <v>0</v>
      </c>
      <c r="BR1442" s="20">
        <v>0</v>
      </c>
      <c r="BS1442" s="20">
        <v>30</v>
      </c>
      <c r="BT1442" s="20">
        <v>1402020.2020202018</v>
      </c>
      <c r="BU1442" s="20">
        <v>6940000</v>
      </c>
      <c r="BV1442" s="20">
        <v>4.5</v>
      </c>
    </row>
    <row r="1443" spans="1:74">
      <c r="A1443" s="10">
        <f t="shared" si="90"/>
        <v>0</v>
      </c>
      <c r="B1443" s="10">
        <f t="shared" si="91"/>
        <v>0</v>
      </c>
      <c r="C1443" s="12">
        <f t="shared" si="92"/>
        <v>11</v>
      </c>
      <c r="D1443" s="12">
        <f t="shared" si="93"/>
        <v>12</v>
      </c>
      <c r="E1443" s="20" t="s">
        <v>574</v>
      </c>
      <c r="F1443" s="20" t="s">
        <v>3089</v>
      </c>
      <c r="G1443" s="20" t="s">
        <v>5555</v>
      </c>
      <c r="H1443" s="20" t="s">
        <v>5556</v>
      </c>
      <c r="I1443" s="20">
        <v>1</v>
      </c>
      <c r="J1443" s="20" t="s">
        <v>5557</v>
      </c>
      <c r="K1443" s="20" t="s">
        <v>5558</v>
      </c>
      <c r="L1443" s="20" t="s">
        <v>5559</v>
      </c>
      <c r="M1443" s="20" t="s">
        <v>2667</v>
      </c>
      <c r="N1443" s="20" t="s">
        <v>3505</v>
      </c>
      <c r="P1443" s="20" t="s">
        <v>2667</v>
      </c>
      <c r="Q1443" s="20" t="s">
        <v>2674</v>
      </c>
      <c r="R1443" s="20" t="s">
        <v>84</v>
      </c>
      <c r="S1443" s="20">
        <v>5</v>
      </c>
      <c r="T1443" s="20" t="s">
        <v>922</v>
      </c>
      <c r="U1443" s="20" t="s">
        <v>923</v>
      </c>
      <c r="V1443" s="20" t="s">
        <v>5502</v>
      </c>
      <c r="W1443" s="20">
        <v>17</v>
      </c>
      <c r="X1443" s="20" t="s">
        <v>5560</v>
      </c>
      <c r="Y1443" s="20" t="s">
        <v>5561</v>
      </c>
      <c r="Z1443" s="20">
        <v>0.25</v>
      </c>
      <c r="AA1443" s="20" t="s">
        <v>5562</v>
      </c>
      <c r="AB1443" s="20" t="s">
        <v>248</v>
      </c>
      <c r="AC1443" s="20" t="s">
        <v>249</v>
      </c>
      <c r="AD1443" s="20" t="s">
        <v>5563</v>
      </c>
      <c r="AE1443" s="20" t="s">
        <v>91</v>
      </c>
      <c r="AF1443" s="20">
        <v>0.25</v>
      </c>
      <c r="AG1443" s="20">
        <v>0</v>
      </c>
      <c r="AH1443" s="20">
        <v>1</v>
      </c>
      <c r="AI1443" s="4" t="s">
        <v>645</v>
      </c>
      <c r="AJ1443" s="20">
        <v>2</v>
      </c>
      <c r="AK1443" s="4" t="s">
        <v>780</v>
      </c>
      <c r="AL1443" s="4">
        <v>17</v>
      </c>
      <c r="AM1443" s="4">
        <v>17</v>
      </c>
      <c r="AN1443" s="4" t="s">
        <v>95</v>
      </c>
      <c r="AO1443" s="4" t="s">
        <v>131</v>
      </c>
      <c r="AP1443" s="4">
        <v>2</v>
      </c>
      <c r="AQ1443" s="20">
        <v>109000</v>
      </c>
      <c r="AR1443" s="4">
        <v>41971</v>
      </c>
      <c r="AS1443" s="20">
        <v>27525.252525252523</v>
      </c>
      <c r="AT1443" s="20">
        <v>0</v>
      </c>
      <c r="AU1443" s="20">
        <v>-27525.252525252523</v>
      </c>
      <c r="AV1443" s="20">
        <v>0</v>
      </c>
      <c r="AW1443" s="20">
        <v>0</v>
      </c>
      <c r="AX1443" s="20" t="s">
        <v>91</v>
      </c>
      <c r="AY1443" s="20">
        <v>0</v>
      </c>
      <c r="AZ1443" s="20">
        <v>0</v>
      </c>
      <c r="BA1443" s="20">
        <v>0</v>
      </c>
      <c r="BB1443" s="6">
        <v>41971</v>
      </c>
      <c r="BC1443" s="6">
        <v>0</v>
      </c>
      <c r="BD1443" s="6">
        <v>41976</v>
      </c>
      <c r="BE1443" s="6">
        <v>0</v>
      </c>
      <c r="BF1443" s="6">
        <v>41975</v>
      </c>
      <c r="BG1443" s="6">
        <v>0</v>
      </c>
      <c r="BH1443" s="6">
        <v>0</v>
      </c>
      <c r="BI1443" s="6">
        <v>0</v>
      </c>
      <c r="BJ1443" s="6">
        <v>0</v>
      </c>
      <c r="BK1443" s="4">
        <v>0</v>
      </c>
      <c r="BL1443" s="4">
        <v>0</v>
      </c>
      <c r="BM1443" s="20">
        <v>2</v>
      </c>
      <c r="BN1443" s="20">
        <v>0</v>
      </c>
      <c r="BO1443" s="20">
        <v>0</v>
      </c>
      <c r="BP1443" s="20">
        <v>0</v>
      </c>
      <c r="BQ1443" s="20">
        <v>0</v>
      </c>
      <c r="BR1443" s="20">
        <v>0</v>
      </c>
      <c r="BS1443" s="20">
        <v>2</v>
      </c>
      <c r="BT1443" s="20">
        <v>55050.505050505046</v>
      </c>
      <c r="BU1443" s="20">
        <v>218000</v>
      </c>
      <c r="BV1443" s="20">
        <v>3.6</v>
      </c>
    </row>
    <row r="1444" spans="1:74">
      <c r="A1444" s="10">
        <f t="shared" si="90"/>
        <v>0</v>
      </c>
      <c r="B1444" s="10">
        <f t="shared" si="91"/>
        <v>0</v>
      </c>
      <c r="C1444" s="12">
        <f t="shared" si="92"/>
        <v>11</v>
      </c>
      <c r="D1444" s="12">
        <f t="shared" si="93"/>
        <v>12</v>
      </c>
      <c r="E1444" s="20" t="s">
        <v>574</v>
      </c>
      <c r="F1444" s="20" t="s">
        <v>3089</v>
      </c>
      <c r="G1444" s="20" t="s">
        <v>5555</v>
      </c>
      <c r="H1444" s="20" t="s">
        <v>5556</v>
      </c>
      <c r="I1444" s="20">
        <v>1</v>
      </c>
      <c r="J1444" s="20" t="s">
        <v>5557</v>
      </c>
      <c r="K1444" s="20" t="s">
        <v>5564</v>
      </c>
      <c r="L1444" s="20" t="s">
        <v>5559</v>
      </c>
      <c r="M1444" s="20" t="s">
        <v>2667</v>
      </c>
      <c r="N1444" s="20" t="s">
        <v>3505</v>
      </c>
      <c r="P1444" s="20" t="s">
        <v>2667</v>
      </c>
      <c r="Q1444" s="20" t="s">
        <v>2674</v>
      </c>
      <c r="R1444" s="20" t="s">
        <v>84</v>
      </c>
      <c r="S1444" s="20">
        <v>5</v>
      </c>
      <c r="T1444" s="20" t="s">
        <v>922</v>
      </c>
      <c r="U1444" s="20" t="s">
        <v>923</v>
      </c>
      <c r="V1444" s="20" t="s">
        <v>5502</v>
      </c>
      <c r="W1444" s="20">
        <v>17</v>
      </c>
      <c r="X1444" s="20" t="s">
        <v>5560</v>
      </c>
      <c r="Y1444" s="20" t="s">
        <v>5561</v>
      </c>
      <c r="Z1444" s="20">
        <v>0.25</v>
      </c>
      <c r="AA1444" s="20" t="s">
        <v>5565</v>
      </c>
      <c r="AB1444" s="20" t="s">
        <v>248</v>
      </c>
      <c r="AC1444" s="20" t="s">
        <v>249</v>
      </c>
      <c r="AD1444" s="20" t="s">
        <v>5563</v>
      </c>
      <c r="AE1444" s="20" t="s">
        <v>91</v>
      </c>
      <c r="AF1444" s="20">
        <v>0.25</v>
      </c>
      <c r="AG1444" s="20">
        <v>0</v>
      </c>
      <c r="AH1444" s="20">
        <v>1</v>
      </c>
      <c r="AI1444" s="4" t="s">
        <v>647</v>
      </c>
      <c r="AJ1444" s="20">
        <v>2</v>
      </c>
      <c r="AK1444" s="4" t="s">
        <v>780</v>
      </c>
      <c r="AL1444" s="4">
        <v>17</v>
      </c>
      <c r="AM1444" s="4">
        <v>17</v>
      </c>
      <c r="AN1444" s="4" t="s">
        <v>95</v>
      </c>
      <c r="AO1444" s="4" t="s">
        <v>131</v>
      </c>
      <c r="AP1444" s="4">
        <v>2</v>
      </c>
      <c r="AQ1444" s="20">
        <v>109000</v>
      </c>
      <c r="AR1444" s="4">
        <v>41971</v>
      </c>
      <c r="AS1444" s="20">
        <v>27525.252525252523</v>
      </c>
      <c r="AT1444" s="20">
        <v>0</v>
      </c>
      <c r="AU1444" s="20">
        <v>-27525.252525252523</v>
      </c>
      <c r="AV1444" s="20">
        <v>0</v>
      </c>
      <c r="AW1444" s="20">
        <v>0</v>
      </c>
      <c r="AX1444" s="20" t="s">
        <v>91</v>
      </c>
      <c r="AY1444" s="20">
        <v>0</v>
      </c>
      <c r="AZ1444" s="20">
        <v>0</v>
      </c>
      <c r="BA1444" s="20">
        <v>0</v>
      </c>
      <c r="BB1444" s="6">
        <v>41971</v>
      </c>
      <c r="BC1444" s="6">
        <v>0</v>
      </c>
      <c r="BD1444" s="6">
        <v>41976</v>
      </c>
      <c r="BE1444" s="6">
        <v>0</v>
      </c>
      <c r="BF1444" s="6">
        <v>41975</v>
      </c>
      <c r="BG1444" s="6">
        <v>0</v>
      </c>
      <c r="BH1444" s="6">
        <v>0</v>
      </c>
      <c r="BI1444" s="6">
        <v>0</v>
      </c>
      <c r="BJ1444" s="6">
        <v>0</v>
      </c>
      <c r="BK1444" s="4">
        <v>0</v>
      </c>
      <c r="BL1444" s="4">
        <v>0</v>
      </c>
      <c r="BM1444" s="20">
        <v>2</v>
      </c>
      <c r="BN1444" s="20">
        <v>0</v>
      </c>
      <c r="BO1444" s="20">
        <v>0</v>
      </c>
      <c r="BP1444" s="20">
        <v>0</v>
      </c>
      <c r="BQ1444" s="20">
        <v>0</v>
      </c>
      <c r="BR1444" s="20">
        <v>0</v>
      </c>
      <c r="BS1444" s="20">
        <v>2</v>
      </c>
      <c r="BT1444" s="20">
        <v>55050.505050505046</v>
      </c>
      <c r="BU1444" s="20">
        <v>218000</v>
      </c>
      <c r="BV1444" s="20">
        <v>3.6</v>
      </c>
    </row>
    <row r="1445" spans="1:74">
      <c r="A1445" s="10">
        <f t="shared" si="90"/>
        <v>0</v>
      </c>
      <c r="B1445" s="10">
        <f t="shared" si="91"/>
        <v>0</v>
      </c>
      <c r="C1445" s="12">
        <f t="shared" si="92"/>
        <v>11</v>
      </c>
      <c r="D1445" s="12">
        <f t="shared" si="93"/>
        <v>12</v>
      </c>
      <c r="E1445" s="20" t="s">
        <v>574</v>
      </c>
      <c r="F1445" s="20" t="s">
        <v>3089</v>
      </c>
      <c r="G1445" s="20" t="s">
        <v>5555</v>
      </c>
      <c r="H1445" s="20" t="s">
        <v>5556</v>
      </c>
      <c r="I1445" s="20">
        <v>1</v>
      </c>
      <c r="J1445" s="20" t="s">
        <v>5557</v>
      </c>
      <c r="K1445" s="20" t="s">
        <v>5566</v>
      </c>
      <c r="L1445" s="20" t="s">
        <v>5559</v>
      </c>
      <c r="M1445" s="20" t="s">
        <v>2667</v>
      </c>
      <c r="N1445" s="20" t="s">
        <v>3505</v>
      </c>
      <c r="P1445" s="20" t="s">
        <v>2667</v>
      </c>
      <c r="Q1445" s="20" t="s">
        <v>2674</v>
      </c>
      <c r="R1445" s="20" t="s">
        <v>84</v>
      </c>
      <c r="S1445" s="20">
        <v>5</v>
      </c>
      <c r="T1445" s="20" t="s">
        <v>922</v>
      </c>
      <c r="U1445" s="20" t="s">
        <v>923</v>
      </c>
      <c r="V1445" s="20" t="s">
        <v>5502</v>
      </c>
      <c r="W1445" s="20">
        <v>17</v>
      </c>
      <c r="X1445" s="20" t="s">
        <v>5560</v>
      </c>
      <c r="Y1445" s="20" t="s">
        <v>5561</v>
      </c>
      <c r="Z1445" s="20">
        <v>0.25</v>
      </c>
      <c r="AA1445" s="20" t="s">
        <v>5567</v>
      </c>
      <c r="AB1445" s="20" t="s">
        <v>248</v>
      </c>
      <c r="AC1445" s="20" t="s">
        <v>249</v>
      </c>
      <c r="AD1445" s="20" t="s">
        <v>5563</v>
      </c>
      <c r="AE1445" s="20" t="s">
        <v>91</v>
      </c>
      <c r="AF1445" s="20">
        <v>0.25</v>
      </c>
      <c r="AG1445" s="20">
        <v>0</v>
      </c>
      <c r="AH1445" s="20">
        <v>1</v>
      </c>
      <c r="AI1445" s="4" t="s">
        <v>649</v>
      </c>
      <c r="AJ1445" s="20">
        <v>2</v>
      </c>
      <c r="AK1445" s="4" t="s">
        <v>780</v>
      </c>
      <c r="AL1445" s="4">
        <v>17</v>
      </c>
      <c r="AM1445" s="4">
        <v>17</v>
      </c>
      <c r="AN1445" s="4" t="s">
        <v>95</v>
      </c>
      <c r="AO1445" s="4" t="s">
        <v>131</v>
      </c>
      <c r="AP1445" s="4">
        <v>2</v>
      </c>
      <c r="AQ1445" s="20">
        <v>109000</v>
      </c>
      <c r="AR1445" s="4">
        <v>41971</v>
      </c>
      <c r="AS1445" s="20">
        <v>27525.252525252523</v>
      </c>
      <c r="AT1445" s="20">
        <v>0</v>
      </c>
      <c r="AU1445" s="20">
        <v>-27525.252525252523</v>
      </c>
      <c r="AV1445" s="20">
        <v>0</v>
      </c>
      <c r="AW1445" s="20">
        <v>0</v>
      </c>
      <c r="AX1445" s="20" t="s">
        <v>91</v>
      </c>
      <c r="AY1445" s="20">
        <v>0</v>
      </c>
      <c r="AZ1445" s="20">
        <v>0</v>
      </c>
      <c r="BA1445" s="20">
        <v>0</v>
      </c>
      <c r="BB1445" s="6">
        <v>41971</v>
      </c>
      <c r="BC1445" s="6">
        <v>0</v>
      </c>
      <c r="BD1445" s="6">
        <v>41976</v>
      </c>
      <c r="BE1445" s="6">
        <v>0</v>
      </c>
      <c r="BF1445" s="6">
        <v>41975</v>
      </c>
      <c r="BG1445" s="6">
        <v>0</v>
      </c>
      <c r="BH1445" s="6">
        <v>0</v>
      </c>
      <c r="BI1445" s="6">
        <v>0</v>
      </c>
      <c r="BJ1445" s="6">
        <v>0</v>
      </c>
      <c r="BK1445" s="4">
        <v>0</v>
      </c>
      <c r="BL1445" s="4">
        <v>0</v>
      </c>
      <c r="BM1445" s="20">
        <v>2</v>
      </c>
      <c r="BN1445" s="20">
        <v>0</v>
      </c>
      <c r="BO1445" s="20">
        <v>0</v>
      </c>
      <c r="BP1445" s="20">
        <v>0</v>
      </c>
      <c r="BQ1445" s="20">
        <v>0</v>
      </c>
      <c r="BR1445" s="20">
        <v>0</v>
      </c>
      <c r="BS1445" s="20">
        <v>2</v>
      </c>
      <c r="BT1445" s="20">
        <v>55050.505050505046</v>
      </c>
      <c r="BU1445" s="20">
        <v>218000</v>
      </c>
      <c r="BV1445" s="20">
        <v>3.6</v>
      </c>
    </row>
    <row r="1446" spans="1:74">
      <c r="A1446" s="10">
        <f t="shared" si="90"/>
        <v>0</v>
      </c>
      <c r="B1446" s="10">
        <f t="shared" si="91"/>
        <v>0</v>
      </c>
      <c r="C1446" s="12">
        <f t="shared" si="92"/>
        <v>11</v>
      </c>
      <c r="D1446" s="12">
        <f t="shared" si="93"/>
        <v>12</v>
      </c>
      <c r="E1446" s="20" t="s">
        <v>574</v>
      </c>
      <c r="F1446" s="20" t="s">
        <v>3089</v>
      </c>
      <c r="G1446" s="20" t="s">
        <v>5555</v>
      </c>
      <c r="H1446" s="20" t="s">
        <v>5556</v>
      </c>
      <c r="I1446" s="20">
        <v>1</v>
      </c>
      <c r="J1446" s="20" t="s">
        <v>5557</v>
      </c>
      <c r="K1446" s="20" t="s">
        <v>5568</v>
      </c>
      <c r="L1446" s="20" t="s">
        <v>5559</v>
      </c>
      <c r="M1446" s="20" t="s">
        <v>2667</v>
      </c>
      <c r="N1446" s="20" t="s">
        <v>3505</v>
      </c>
      <c r="P1446" s="20" t="s">
        <v>2667</v>
      </c>
      <c r="Q1446" s="20" t="s">
        <v>2674</v>
      </c>
      <c r="R1446" s="20" t="s">
        <v>84</v>
      </c>
      <c r="S1446" s="20">
        <v>5</v>
      </c>
      <c r="T1446" s="20" t="s">
        <v>922</v>
      </c>
      <c r="U1446" s="20" t="s">
        <v>923</v>
      </c>
      <c r="V1446" s="20" t="s">
        <v>5502</v>
      </c>
      <c r="W1446" s="20">
        <v>17</v>
      </c>
      <c r="X1446" s="20" t="s">
        <v>5560</v>
      </c>
      <c r="Y1446" s="20" t="s">
        <v>5561</v>
      </c>
      <c r="Z1446" s="20">
        <v>0.25</v>
      </c>
      <c r="AA1446" s="20" t="s">
        <v>5569</v>
      </c>
      <c r="AB1446" s="20" t="s">
        <v>248</v>
      </c>
      <c r="AC1446" s="20" t="s">
        <v>249</v>
      </c>
      <c r="AD1446" s="20" t="s">
        <v>5563</v>
      </c>
      <c r="AE1446" s="20" t="s">
        <v>91</v>
      </c>
      <c r="AF1446" s="20">
        <v>0.25</v>
      </c>
      <c r="AG1446" s="20">
        <v>0</v>
      </c>
      <c r="AH1446" s="20">
        <v>1</v>
      </c>
      <c r="AI1446" s="4" t="s">
        <v>651</v>
      </c>
      <c r="AJ1446" s="20">
        <v>2</v>
      </c>
      <c r="AK1446" s="4" t="s">
        <v>780</v>
      </c>
      <c r="AL1446" s="4">
        <v>17</v>
      </c>
      <c r="AM1446" s="4">
        <v>17</v>
      </c>
      <c r="AN1446" s="4" t="s">
        <v>95</v>
      </c>
      <c r="AO1446" s="4" t="s">
        <v>131</v>
      </c>
      <c r="AP1446" s="4">
        <v>2</v>
      </c>
      <c r="AQ1446" s="20">
        <v>109000</v>
      </c>
      <c r="AR1446" s="4">
        <v>41971</v>
      </c>
      <c r="AS1446" s="20">
        <v>27525.252525252523</v>
      </c>
      <c r="AT1446" s="20">
        <v>0</v>
      </c>
      <c r="AU1446" s="20">
        <v>-27525.252525252523</v>
      </c>
      <c r="AV1446" s="20">
        <v>0</v>
      </c>
      <c r="AW1446" s="20">
        <v>0</v>
      </c>
      <c r="AX1446" s="20" t="s">
        <v>91</v>
      </c>
      <c r="AY1446" s="20">
        <v>0</v>
      </c>
      <c r="AZ1446" s="20">
        <v>0</v>
      </c>
      <c r="BA1446" s="20">
        <v>0</v>
      </c>
      <c r="BB1446" s="6">
        <v>41971</v>
      </c>
      <c r="BC1446" s="6">
        <v>0</v>
      </c>
      <c r="BD1446" s="6">
        <v>41976</v>
      </c>
      <c r="BE1446" s="6">
        <v>0</v>
      </c>
      <c r="BF1446" s="6">
        <v>41975</v>
      </c>
      <c r="BG1446" s="6">
        <v>0</v>
      </c>
      <c r="BH1446" s="6">
        <v>0</v>
      </c>
      <c r="BI1446" s="6">
        <v>0</v>
      </c>
      <c r="BJ1446" s="6">
        <v>0</v>
      </c>
      <c r="BK1446" s="4">
        <v>0</v>
      </c>
      <c r="BL1446" s="4">
        <v>0</v>
      </c>
      <c r="BM1446" s="20">
        <v>2</v>
      </c>
      <c r="BN1446" s="20">
        <v>0</v>
      </c>
      <c r="BO1446" s="20">
        <v>0</v>
      </c>
      <c r="BP1446" s="20">
        <v>0</v>
      </c>
      <c r="BQ1446" s="20">
        <v>0</v>
      </c>
      <c r="BR1446" s="20">
        <v>0</v>
      </c>
      <c r="BS1446" s="20">
        <v>2</v>
      </c>
      <c r="BT1446" s="20">
        <v>55050.505050505046</v>
      </c>
      <c r="BU1446" s="20">
        <v>218000</v>
      </c>
      <c r="BV1446" s="20">
        <v>3.6</v>
      </c>
    </row>
    <row r="1447" spans="1:74">
      <c r="A1447" s="10">
        <f t="shared" si="90"/>
        <v>0</v>
      </c>
      <c r="B1447" s="10">
        <f t="shared" si="91"/>
        <v>0</v>
      </c>
      <c r="C1447" s="12">
        <f t="shared" si="92"/>
        <v>11</v>
      </c>
      <c r="D1447" s="12">
        <f t="shared" si="93"/>
        <v>12</v>
      </c>
      <c r="E1447" s="20" t="s">
        <v>574</v>
      </c>
      <c r="F1447" s="20" t="s">
        <v>3089</v>
      </c>
      <c r="G1447" s="20" t="s">
        <v>5555</v>
      </c>
      <c r="H1447" s="20" t="s">
        <v>5570</v>
      </c>
      <c r="I1447" s="20">
        <v>2</v>
      </c>
      <c r="J1447" s="20" t="s">
        <v>5571</v>
      </c>
      <c r="K1447" s="20" t="s">
        <v>5572</v>
      </c>
      <c r="L1447" s="20" t="s">
        <v>5559</v>
      </c>
      <c r="M1447" s="20" t="s">
        <v>2667</v>
      </c>
      <c r="N1447" s="20" t="s">
        <v>3505</v>
      </c>
      <c r="P1447" s="20" t="s">
        <v>2667</v>
      </c>
      <c r="Q1447" s="20" t="s">
        <v>2674</v>
      </c>
      <c r="R1447" s="20" t="s">
        <v>84</v>
      </c>
      <c r="S1447" s="20">
        <v>5</v>
      </c>
      <c r="T1447" s="20" t="s">
        <v>922</v>
      </c>
      <c r="U1447" s="20" t="s">
        <v>923</v>
      </c>
      <c r="V1447" s="20" t="s">
        <v>5502</v>
      </c>
      <c r="W1447" s="20">
        <v>17</v>
      </c>
      <c r="X1447" s="20" t="s">
        <v>5560</v>
      </c>
      <c r="Y1447" s="20" t="s">
        <v>5561</v>
      </c>
      <c r="Z1447" s="20">
        <v>0.25</v>
      </c>
      <c r="AA1447" s="20" t="s">
        <v>5573</v>
      </c>
      <c r="AB1447" s="20" t="s">
        <v>89</v>
      </c>
      <c r="AC1447" s="20" t="s">
        <v>90</v>
      </c>
      <c r="AD1447" s="20" t="s">
        <v>5574</v>
      </c>
      <c r="AE1447" s="20" t="s">
        <v>91</v>
      </c>
      <c r="AF1447" s="20">
        <v>0.25</v>
      </c>
      <c r="AG1447" s="20">
        <v>0</v>
      </c>
      <c r="AH1447" s="20">
        <v>1</v>
      </c>
      <c r="AI1447" s="4" t="s">
        <v>643</v>
      </c>
      <c r="AJ1447" s="20">
        <v>2</v>
      </c>
      <c r="AK1447" s="4" t="s">
        <v>780</v>
      </c>
      <c r="AL1447" s="4">
        <v>17</v>
      </c>
      <c r="AM1447" s="4">
        <v>17</v>
      </c>
      <c r="AN1447" s="4" t="s">
        <v>95</v>
      </c>
      <c r="AO1447" s="4" t="s">
        <v>131</v>
      </c>
      <c r="AP1447" s="4">
        <v>2</v>
      </c>
      <c r="AQ1447" s="20">
        <v>109000</v>
      </c>
      <c r="AR1447" s="4">
        <v>41971</v>
      </c>
      <c r="AS1447" s="20">
        <v>27525.252525252523</v>
      </c>
      <c r="AT1447" s="20">
        <v>0</v>
      </c>
      <c r="AU1447" s="20">
        <v>-27525.252525252523</v>
      </c>
      <c r="AV1447" s="20">
        <v>0</v>
      </c>
      <c r="AW1447" s="20">
        <v>0</v>
      </c>
      <c r="AX1447" s="20" t="s">
        <v>91</v>
      </c>
      <c r="AY1447" s="20">
        <v>0</v>
      </c>
      <c r="AZ1447" s="20">
        <v>0</v>
      </c>
      <c r="BA1447" s="20">
        <v>0</v>
      </c>
      <c r="BB1447" s="6">
        <v>41971</v>
      </c>
      <c r="BC1447" s="6">
        <v>0</v>
      </c>
      <c r="BD1447" s="6">
        <v>41976</v>
      </c>
      <c r="BE1447" s="6">
        <v>0</v>
      </c>
      <c r="BF1447" s="6">
        <v>41975</v>
      </c>
      <c r="BG1447" s="6">
        <v>0</v>
      </c>
      <c r="BH1447" s="6">
        <v>0</v>
      </c>
      <c r="BI1447" s="6">
        <v>0</v>
      </c>
      <c r="BJ1447" s="6">
        <v>0</v>
      </c>
      <c r="BK1447" s="4">
        <v>0</v>
      </c>
      <c r="BL1447" s="4">
        <v>0</v>
      </c>
      <c r="BM1447" s="20">
        <v>2</v>
      </c>
      <c r="BN1447" s="20">
        <v>0</v>
      </c>
      <c r="BO1447" s="20">
        <v>0</v>
      </c>
      <c r="BP1447" s="20">
        <v>0</v>
      </c>
      <c r="BQ1447" s="20">
        <v>0</v>
      </c>
      <c r="BR1447" s="20">
        <v>0</v>
      </c>
      <c r="BS1447" s="20">
        <v>2</v>
      </c>
      <c r="BT1447" s="20">
        <v>55050.505050505046</v>
      </c>
      <c r="BU1447" s="20">
        <v>218000</v>
      </c>
      <c r="BV1447" s="20">
        <v>3.6</v>
      </c>
    </row>
    <row r="1448" spans="1:74">
      <c r="A1448" s="10">
        <f t="shared" si="90"/>
        <v>0</v>
      </c>
      <c r="B1448" s="10">
        <f t="shared" si="91"/>
        <v>0</v>
      </c>
      <c r="C1448" s="12">
        <f t="shared" si="92"/>
        <v>11</v>
      </c>
      <c r="D1448" s="12">
        <f t="shared" si="93"/>
        <v>12</v>
      </c>
      <c r="E1448" s="20" t="s">
        <v>574</v>
      </c>
      <c r="F1448" s="20" t="s">
        <v>3089</v>
      </c>
      <c r="G1448" s="20" t="s">
        <v>5555</v>
      </c>
      <c r="H1448" s="20" t="s">
        <v>5570</v>
      </c>
      <c r="I1448" s="20">
        <v>2</v>
      </c>
      <c r="J1448" s="20" t="s">
        <v>5571</v>
      </c>
      <c r="K1448" s="20" t="s">
        <v>5575</v>
      </c>
      <c r="L1448" s="20" t="s">
        <v>5559</v>
      </c>
      <c r="M1448" s="20" t="s">
        <v>2667</v>
      </c>
      <c r="N1448" s="20" t="s">
        <v>3505</v>
      </c>
      <c r="P1448" s="20" t="s">
        <v>2667</v>
      </c>
      <c r="Q1448" s="20" t="s">
        <v>2674</v>
      </c>
      <c r="R1448" s="20" t="s">
        <v>84</v>
      </c>
      <c r="S1448" s="20">
        <v>5</v>
      </c>
      <c r="T1448" s="20" t="s">
        <v>922</v>
      </c>
      <c r="U1448" s="20" t="s">
        <v>923</v>
      </c>
      <c r="V1448" s="20" t="s">
        <v>5502</v>
      </c>
      <c r="W1448" s="20">
        <v>17</v>
      </c>
      <c r="X1448" s="20" t="s">
        <v>5560</v>
      </c>
      <c r="Y1448" s="20" t="s">
        <v>5561</v>
      </c>
      <c r="Z1448" s="20">
        <v>0.25</v>
      </c>
      <c r="AA1448" s="20" t="s">
        <v>5576</v>
      </c>
      <c r="AB1448" s="20" t="s">
        <v>89</v>
      </c>
      <c r="AC1448" s="20" t="s">
        <v>90</v>
      </c>
      <c r="AD1448" s="20" t="s">
        <v>5574</v>
      </c>
      <c r="AE1448" s="20" t="s">
        <v>91</v>
      </c>
      <c r="AF1448" s="20">
        <v>0.25</v>
      </c>
      <c r="AG1448" s="20">
        <v>0</v>
      </c>
      <c r="AH1448" s="20">
        <v>1</v>
      </c>
      <c r="AI1448" s="4" t="s">
        <v>645</v>
      </c>
      <c r="AJ1448" s="20">
        <v>2</v>
      </c>
      <c r="AK1448" s="4" t="s">
        <v>780</v>
      </c>
      <c r="AL1448" s="4">
        <v>17</v>
      </c>
      <c r="AM1448" s="4">
        <v>17</v>
      </c>
      <c r="AN1448" s="4" t="s">
        <v>95</v>
      </c>
      <c r="AO1448" s="4" t="s">
        <v>131</v>
      </c>
      <c r="AP1448" s="4">
        <v>2</v>
      </c>
      <c r="AQ1448" s="20">
        <v>109000</v>
      </c>
      <c r="AR1448" s="4">
        <v>41971</v>
      </c>
      <c r="AS1448" s="20">
        <v>27525.252525252523</v>
      </c>
      <c r="AT1448" s="20">
        <v>0</v>
      </c>
      <c r="AU1448" s="20">
        <v>-27525.252525252523</v>
      </c>
      <c r="AV1448" s="20">
        <v>0</v>
      </c>
      <c r="AW1448" s="20">
        <v>0</v>
      </c>
      <c r="AX1448" s="20" t="s">
        <v>91</v>
      </c>
      <c r="AY1448" s="20">
        <v>0</v>
      </c>
      <c r="AZ1448" s="20">
        <v>0</v>
      </c>
      <c r="BA1448" s="20">
        <v>0</v>
      </c>
      <c r="BB1448" s="6">
        <v>41971</v>
      </c>
      <c r="BC1448" s="6">
        <v>0</v>
      </c>
      <c r="BD1448" s="6">
        <v>41976</v>
      </c>
      <c r="BE1448" s="6">
        <v>0</v>
      </c>
      <c r="BF1448" s="6">
        <v>41975</v>
      </c>
      <c r="BG1448" s="6">
        <v>0</v>
      </c>
      <c r="BH1448" s="6">
        <v>0</v>
      </c>
      <c r="BI1448" s="6">
        <v>0</v>
      </c>
      <c r="BJ1448" s="6">
        <v>0</v>
      </c>
      <c r="BK1448" s="4">
        <v>0</v>
      </c>
      <c r="BL1448" s="4">
        <v>0</v>
      </c>
      <c r="BM1448" s="20">
        <v>2</v>
      </c>
      <c r="BN1448" s="20">
        <v>0</v>
      </c>
      <c r="BO1448" s="20">
        <v>0</v>
      </c>
      <c r="BP1448" s="20">
        <v>0</v>
      </c>
      <c r="BQ1448" s="20">
        <v>0</v>
      </c>
      <c r="BR1448" s="20">
        <v>0</v>
      </c>
      <c r="BS1448" s="20">
        <v>2</v>
      </c>
      <c r="BT1448" s="20">
        <v>55050.505050505046</v>
      </c>
      <c r="BU1448" s="20">
        <v>218000</v>
      </c>
      <c r="BV1448" s="20">
        <v>3.6</v>
      </c>
    </row>
    <row r="1449" spans="1:74">
      <c r="A1449" s="10">
        <f t="shared" si="90"/>
        <v>0</v>
      </c>
      <c r="B1449" s="10">
        <f t="shared" si="91"/>
        <v>0</v>
      </c>
      <c r="C1449" s="12">
        <f t="shared" si="92"/>
        <v>11</v>
      </c>
      <c r="D1449" s="12">
        <f t="shared" si="93"/>
        <v>12</v>
      </c>
      <c r="E1449" s="20" t="s">
        <v>574</v>
      </c>
      <c r="F1449" s="20" t="s">
        <v>3089</v>
      </c>
      <c r="G1449" s="20" t="s">
        <v>5555</v>
      </c>
      <c r="H1449" s="20" t="s">
        <v>5570</v>
      </c>
      <c r="I1449" s="20">
        <v>2</v>
      </c>
      <c r="J1449" s="20" t="s">
        <v>5571</v>
      </c>
      <c r="K1449" s="20" t="s">
        <v>5577</v>
      </c>
      <c r="L1449" s="20" t="s">
        <v>5559</v>
      </c>
      <c r="M1449" s="20" t="s">
        <v>2667</v>
      </c>
      <c r="N1449" s="20" t="s">
        <v>3505</v>
      </c>
      <c r="P1449" s="20" t="s">
        <v>2667</v>
      </c>
      <c r="Q1449" s="20" t="s">
        <v>2674</v>
      </c>
      <c r="R1449" s="20" t="s">
        <v>84</v>
      </c>
      <c r="S1449" s="20">
        <v>5</v>
      </c>
      <c r="T1449" s="20" t="s">
        <v>922</v>
      </c>
      <c r="U1449" s="20" t="s">
        <v>923</v>
      </c>
      <c r="V1449" s="20" t="s">
        <v>5502</v>
      </c>
      <c r="W1449" s="20">
        <v>17</v>
      </c>
      <c r="X1449" s="20" t="s">
        <v>5560</v>
      </c>
      <c r="Y1449" s="20" t="s">
        <v>5561</v>
      </c>
      <c r="Z1449" s="20">
        <v>0.25</v>
      </c>
      <c r="AA1449" s="20" t="s">
        <v>5578</v>
      </c>
      <c r="AB1449" s="20" t="s">
        <v>89</v>
      </c>
      <c r="AC1449" s="20" t="s">
        <v>90</v>
      </c>
      <c r="AD1449" s="20" t="s">
        <v>5574</v>
      </c>
      <c r="AE1449" s="20" t="s">
        <v>91</v>
      </c>
      <c r="AF1449" s="20">
        <v>0.25</v>
      </c>
      <c r="AG1449" s="20">
        <v>0</v>
      </c>
      <c r="AH1449" s="20">
        <v>1</v>
      </c>
      <c r="AI1449" s="4" t="s">
        <v>647</v>
      </c>
      <c r="AJ1449" s="20">
        <v>2</v>
      </c>
      <c r="AK1449" s="4" t="s">
        <v>780</v>
      </c>
      <c r="AL1449" s="4">
        <v>17</v>
      </c>
      <c r="AM1449" s="4">
        <v>17</v>
      </c>
      <c r="AN1449" s="4" t="s">
        <v>95</v>
      </c>
      <c r="AO1449" s="4" t="s">
        <v>131</v>
      </c>
      <c r="AP1449" s="4">
        <v>2</v>
      </c>
      <c r="AQ1449" s="20">
        <v>109000</v>
      </c>
      <c r="AR1449" s="4">
        <v>41971</v>
      </c>
      <c r="AS1449" s="20">
        <v>27525.252525252523</v>
      </c>
      <c r="AT1449" s="20">
        <v>0</v>
      </c>
      <c r="AU1449" s="20">
        <v>-27525.252525252523</v>
      </c>
      <c r="AV1449" s="20">
        <v>0</v>
      </c>
      <c r="AW1449" s="20">
        <v>0</v>
      </c>
      <c r="AX1449" s="20" t="s">
        <v>91</v>
      </c>
      <c r="AY1449" s="20">
        <v>0</v>
      </c>
      <c r="AZ1449" s="20">
        <v>0</v>
      </c>
      <c r="BA1449" s="20">
        <v>0</v>
      </c>
      <c r="BB1449" s="6">
        <v>41971</v>
      </c>
      <c r="BC1449" s="6">
        <v>0</v>
      </c>
      <c r="BD1449" s="6">
        <v>41976</v>
      </c>
      <c r="BE1449" s="6">
        <v>0</v>
      </c>
      <c r="BF1449" s="6">
        <v>41975</v>
      </c>
      <c r="BG1449" s="6">
        <v>0</v>
      </c>
      <c r="BH1449" s="6">
        <v>0</v>
      </c>
      <c r="BI1449" s="6">
        <v>0</v>
      </c>
      <c r="BJ1449" s="6">
        <v>0</v>
      </c>
      <c r="BK1449" s="4">
        <v>0</v>
      </c>
      <c r="BL1449" s="4">
        <v>0</v>
      </c>
      <c r="BM1449" s="20">
        <v>2</v>
      </c>
      <c r="BN1449" s="20">
        <v>0</v>
      </c>
      <c r="BO1449" s="20">
        <v>0</v>
      </c>
      <c r="BP1449" s="20">
        <v>0</v>
      </c>
      <c r="BQ1449" s="20">
        <v>0</v>
      </c>
      <c r="BR1449" s="20">
        <v>0</v>
      </c>
      <c r="BS1449" s="20">
        <v>2</v>
      </c>
      <c r="BT1449" s="20">
        <v>55050.505050505046</v>
      </c>
      <c r="BU1449" s="20">
        <v>218000</v>
      </c>
      <c r="BV1449" s="20">
        <v>3.6</v>
      </c>
    </row>
    <row r="1450" spans="1:74">
      <c r="A1450" s="10">
        <f t="shared" si="90"/>
        <v>0</v>
      </c>
      <c r="B1450" s="10">
        <f t="shared" si="91"/>
        <v>0</v>
      </c>
      <c r="C1450" s="12">
        <f t="shared" si="92"/>
        <v>11</v>
      </c>
      <c r="D1450" s="12">
        <f t="shared" si="93"/>
        <v>12</v>
      </c>
      <c r="E1450" s="20" t="s">
        <v>574</v>
      </c>
      <c r="F1450" s="20" t="s">
        <v>3089</v>
      </c>
      <c r="G1450" s="20" t="s">
        <v>5555</v>
      </c>
      <c r="H1450" s="20" t="s">
        <v>5570</v>
      </c>
      <c r="I1450" s="20">
        <v>2</v>
      </c>
      <c r="J1450" s="20" t="s">
        <v>5571</v>
      </c>
      <c r="K1450" s="20" t="s">
        <v>5579</v>
      </c>
      <c r="L1450" s="20" t="s">
        <v>5559</v>
      </c>
      <c r="M1450" s="20" t="s">
        <v>2667</v>
      </c>
      <c r="N1450" s="20" t="s">
        <v>3505</v>
      </c>
      <c r="P1450" s="20" t="s">
        <v>2667</v>
      </c>
      <c r="Q1450" s="20" t="s">
        <v>2674</v>
      </c>
      <c r="R1450" s="20" t="s">
        <v>84</v>
      </c>
      <c r="S1450" s="20">
        <v>5</v>
      </c>
      <c r="T1450" s="20" t="s">
        <v>922</v>
      </c>
      <c r="U1450" s="20" t="s">
        <v>923</v>
      </c>
      <c r="V1450" s="20" t="s">
        <v>5502</v>
      </c>
      <c r="W1450" s="20">
        <v>17</v>
      </c>
      <c r="X1450" s="20" t="s">
        <v>5560</v>
      </c>
      <c r="Y1450" s="20" t="s">
        <v>5561</v>
      </c>
      <c r="Z1450" s="20">
        <v>0.25</v>
      </c>
      <c r="AA1450" s="20" t="s">
        <v>5580</v>
      </c>
      <c r="AB1450" s="20" t="s">
        <v>89</v>
      </c>
      <c r="AC1450" s="20" t="s">
        <v>90</v>
      </c>
      <c r="AD1450" s="20" t="s">
        <v>5574</v>
      </c>
      <c r="AE1450" s="20" t="s">
        <v>91</v>
      </c>
      <c r="AF1450" s="20">
        <v>0.25</v>
      </c>
      <c r="AG1450" s="20">
        <v>0</v>
      </c>
      <c r="AH1450" s="20">
        <v>1</v>
      </c>
      <c r="AI1450" s="4" t="s">
        <v>649</v>
      </c>
      <c r="AJ1450" s="20">
        <v>2</v>
      </c>
      <c r="AK1450" s="4" t="s">
        <v>780</v>
      </c>
      <c r="AL1450" s="4">
        <v>17</v>
      </c>
      <c r="AM1450" s="4">
        <v>17</v>
      </c>
      <c r="AN1450" s="4" t="s">
        <v>95</v>
      </c>
      <c r="AO1450" s="4" t="s">
        <v>131</v>
      </c>
      <c r="AP1450" s="4">
        <v>2</v>
      </c>
      <c r="AQ1450" s="20">
        <v>109000</v>
      </c>
      <c r="AR1450" s="4">
        <v>41971</v>
      </c>
      <c r="AS1450" s="20">
        <v>27525.252525252523</v>
      </c>
      <c r="AT1450" s="20">
        <v>0</v>
      </c>
      <c r="AU1450" s="20">
        <v>-27525.252525252523</v>
      </c>
      <c r="AV1450" s="20">
        <v>0</v>
      </c>
      <c r="AW1450" s="20">
        <v>0</v>
      </c>
      <c r="AX1450" s="20" t="s">
        <v>91</v>
      </c>
      <c r="AY1450" s="20">
        <v>0</v>
      </c>
      <c r="AZ1450" s="20">
        <v>0</v>
      </c>
      <c r="BA1450" s="20">
        <v>0</v>
      </c>
      <c r="BB1450" s="6">
        <v>41971</v>
      </c>
      <c r="BC1450" s="6">
        <v>0</v>
      </c>
      <c r="BD1450" s="6">
        <v>41976</v>
      </c>
      <c r="BE1450" s="6">
        <v>0</v>
      </c>
      <c r="BF1450" s="6">
        <v>41975</v>
      </c>
      <c r="BG1450" s="6">
        <v>0</v>
      </c>
      <c r="BH1450" s="6">
        <v>0</v>
      </c>
      <c r="BI1450" s="6">
        <v>0</v>
      </c>
      <c r="BJ1450" s="6">
        <v>0</v>
      </c>
      <c r="BK1450" s="4">
        <v>0</v>
      </c>
      <c r="BL1450" s="4">
        <v>0</v>
      </c>
      <c r="BM1450" s="20">
        <v>2</v>
      </c>
      <c r="BN1450" s="20">
        <v>0</v>
      </c>
      <c r="BO1450" s="20">
        <v>0</v>
      </c>
      <c r="BP1450" s="20">
        <v>0</v>
      </c>
      <c r="BQ1450" s="20">
        <v>0</v>
      </c>
      <c r="BR1450" s="20">
        <v>0</v>
      </c>
      <c r="BS1450" s="20">
        <v>2</v>
      </c>
      <c r="BT1450" s="20">
        <v>55050.505050505046</v>
      </c>
      <c r="BU1450" s="20">
        <v>218000</v>
      </c>
      <c r="BV1450" s="20">
        <v>3.6</v>
      </c>
    </row>
    <row r="1451" spans="1:74">
      <c r="A1451" s="10">
        <f t="shared" si="90"/>
        <v>0</v>
      </c>
      <c r="B1451" s="10">
        <f t="shared" si="91"/>
        <v>0</v>
      </c>
      <c r="C1451" s="12" t="str">
        <f t="shared" si="92"/>
        <v/>
      </c>
      <c r="D1451" s="12" t="str">
        <f t="shared" si="93"/>
        <v/>
      </c>
      <c r="E1451" s="20" t="s">
        <v>91</v>
      </c>
      <c r="F1451" s="20" t="s">
        <v>91</v>
      </c>
      <c r="G1451" s="20" t="s">
        <v>91</v>
      </c>
      <c r="H1451" s="20" t="s">
        <v>91</v>
      </c>
      <c r="I1451" s="20">
        <v>0</v>
      </c>
      <c r="J1451" s="20" t="s">
        <v>103</v>
      </c>
      <c r="K1451" s="20" t="s">
        <v>104</v>
      </c>
      <c r="L1451" s="20">
        <v>0</v>
      </c>
      <c r="M1451" s="20" t="s">
        <v>105</v>
      </c>
      <c r="N1451" s="20" t="s">
        <v>91</v>
      </c>
      <c r="O1451" s="20" t="s">
        <v>5581</v>
      </c>
      <c r="Q1451" s="20" t="s">
        <v>91</v>
      </c>
      <c r="R1451" s="20" t="s">
        <v>91</v>
      </c>
      <c r="S1451" s="20" t="s">
        <v>91</v>
      </c>
      <c r="U1451" s="20" t="s">
        <v>91</v>
      </c>
      <c r="X1451" s="20" t="s">
        <v>91</v>
      </c>
      <c r="Y1451" s="20" t="s">
        <v>91</v>
      </c>
      <c r="Z1451" s="20">
        <v>2</v>
      </c>
      <c r="AB1451" s="20" t="s">
        <v>91</v>
      </c>
      <c r="AD1451" s="20" t="s">
        <v>91</v>
      </c>
      <c r="AE1451" s="20" t="s">
        <v>91</v>
      </c>
      <c r="AF1451" s="20">
        <v>2</v>
      </c>
      <c r="AG1451" s="20">
        <v>0</v>
      </c>
      <c r="AH1451" s="20">
        <v>1</v>
      </c>
      <c r="AM1451" s="4" t="s">
        <v>91</v>
      </c>
      <c r="AN1451" s="4" t="s">
        <v>95</v>
      </c>
      <c r="AP1451" s="4" t="s">
        <v>91</v>
      </c>
      <c r="AQ1451" s="20">
        <v>0</v>
      </c>
      <c r="AR1451" s="4">
        <v>0</v>
      </c>
      <c r="AS1451" s="20">
        <v>0</v>
      </c>
      <c r="AT1451" s="20">
        <v>0</v>
      </c>
      <c r="AU1451" s="20">
        <v>0</v>
      </c>
      <c r="AV1451" s="20">
        <v>0</v>
      </c>
      <c r="AW1451" s="20">
        <v>0</v>
      </c>
      <c r="AX1451" s="20" t="s">
        <v>91</v>
      </c>
      <c r="AY1451" s="20">
        <v>0</v>
      </c>
      <c r="AZ1451" s="20">
        <v>0</v>
      </c>
      <c r="BA1451" s="20">
        <v>0</v>
      </c>
      <c r="BB1451" s="6">
        <v>0</v>
      </c>
      <c r="BC1451" s="6">
        <v>0</v>
      </c>
      <c r="BD1451" s="6">
        <v>0</v>
      </c>
      <c r="BE1451" s="6">
        <v>0</v>
      </c>
      <c r="BF1451" s="6">
        <v>0</v>
      </c>
      <c r="BG1451" s="6">
        <v>0</v>
      </c>
      <c r="BH1451" s="6">
        <v>0</v>
      </c>
      <c r="BI1451" s="6">
        <v>0</v>
      </c>
      <c r="BJ1451" s="6">
        <v>0</v>
      </c>
      <c r="BK1451" s="4">
        <v>0</v>
      </c>
      <c r="BL1451" s="4">
        <v>0</v>
      </c>
      <c r="BM1451" s="20">
        <v>16</v>
      </c>
      <c r="BN1451" s="20">
        <v>0</v>
      </c>
      <c r="BO1451" s="20">
        <v>0</v>
      </c>
      <c r="BP1451" s="20">
        <v>0</v>
      </c>
      <c r="BQ1451" s="20">
        <v>0</v>
      </c>
      <c r="BR1451" s="20">
        <v>0</v>
      </c>
      <c r="BS1451" s="20">
        <v>16</v>
      </c>
      <c r="BT1451" s="20">
        <v>440404.04040404037</v>
      </c>
      <c r="BU1451" s="20">
        <v>1744000</v>
      </c>
      <c r="BV1451" s="20">
        <v>3.6</v>
      </c>
    </row>
    <row r="1452" spans="1:74">
      <c r="A1452" s="10">
        <f t="shared" si="90"/>
        <v>0</v>
      </c>
      <c r="B1452" s="10">
        <f t="shared" si="91"/>
        <v>0</v>
      </c>
      <c r="C1452" s="12">
        <f t="shared" si="92"/>
        <v>11</v>
      </c>
      <c r="D1452" s="12">
        <f t="shared" si="93"/>
        <v>12</v>
      </c>
      <c r="E1452" s="20" t="s">
        <v>114</v>
      </c>
      <c r="F1452" s="20" t="s">
        <v>2667</v>
      </c>
      <c r="G1452" s="20" t="s">
        <v>5582</v>
      </c>
      <c r="H1452" s="20" t="s">
        <v>5583</v>
      </c>
      <c r="I1452" s="20">
        <v>1</v>
      </c>
      <c r="J1452" s="20" t="s">
        <v>5584</v>
      </c>
      <c r="K1452" s="20" t="s">
        <v>5585</v>
      </c>
      <c r="L1452" s="20" t="s">
        <v>5586</v>
      </c>
      <c r="M1452" s="20" t="s">
        <v>2667</v>
      </c>
      <c r="N1452" s="20" t="s">
        <v>5587</v>
      </c>
      <c r="P1452" s="20" t="s">
        <v>2667</v>
      </c>
      <c r="Q1452" s="20" t="s">
        <v>2674</v>
      </c>
      <c r="R1452" s="20" t="s">
        <v>84</v>
      </c>
      <c r="S1452" s="20" t="s">
        <v>123</v>
      </c>
      <c r="T1452" s="20" t="s">
        <v>124</v>
      </c>
      <c r="U1452" s="20" t="s">
        <v>125</v>
      </c>
      <c r="V1452" s="20" t="s">
        <v>5502</v>
      </c>
      <c r="W1452" s="20">
        <v>1</v>
      </c>
      <c r="X1452" s="20" t="s">
        <v>5513</v>
      </c>
      <c r="Y1452" s="20" t="s">
        <v>5588</v>
      </c>
      <c r="Z1452" s="20">
        <v>1</v>
      </c>
      <c r="AA1452" s="20" t="s">
        <v>5589</v>
      </c>
      <c r="AB1452" s="20" t="s">
        <v>248</v>
      </c>
      <c r="AC1452" s="20" t="s">
        <v>249</v>
      </c>
      <c r="AD1452" s="20" t="s">
        <v>5590</v>
      </c>
      <c r="AE1452" s="20" t="s">
        <v>91</v>
      </c>
      <c r="AF1452" s="20">
        <v>1</v>
      </c>
      <c r="AG1452" s="20">
        <v>0</v>
      </c>
      <c r="AH1452" s="20">
        <v>1</v>
      </c>
      <c r="AI1452" s="4" t="s">
        <v>251</v>
      </c>
      <c r="AJ1452" s="20">
        <v>10</v>
      </c>
      <c r="AK1452" s="4" t="s">
        <v>93</v>
      </c>
      <c r="AL1452" s="4">
        <v>20</v>
      </c>
      <c r="AM1452" s="4">
        <v>20</v>
      </c>
      <c r="AN1452" s="4" t="s">
        <v>95</v>
      </c>
      <c r="AO1452" s="4" t="s">
        <v>1018</v>
      </c>
      <c r="AP1452" s="4">
        <v>1</v>
      </c>
      <c r="AQ1452" s="20">
        <v>45000</v>
      </c>
      <c r="AR1452" s="4">
        <v>41971</v>
      </c>
      <c r="AS1452" s="20">
        <v>6818.1818181818171</v>
      </c>
      <c r="AT1452" s="20">
        <v>0</v>
      </c>
      <c r="AU1452" s="20">
        <v>-6818.1818181818171</v>
      </c>
      <c r="AV1452" s="20">
        <v>0</v>
      </c>
      <c r="AW1452" s="20">
        <v>0</v>
      </c>
      <c r="AX1452" s="20" t="s">
        <v>91</v>
      </c>
      <c r="AY1452" s="20">
        <v>0</v>
      </c>
      <c r="AZ1452" s="20">
        <v>0</v>
      </c>
      <c r="BA1452" s="20">
        <v>0</v>
      </c>
      <c r="BB1452" s="6">
        <v>41971</v>
      </c>
      <c r="BC1452" s="6">
        <v>0</v>
      </c>
      <c r="BD1452" s="6">
        <v>41976</v>
      </c>
      <c r="BE1452" s="6">
        <v>0</v>
      </c>
      <c r="BF1452" s="6">
        <v>41975</v>
      </c>
      <c r="BG1452" s="6">
        <v>0</v>
      </c>
      <c r="BH1452" s="6">
        <v>0</v>
      </c>
      <c r="BI1452" s="6">
        <v>0</v>
      </c>
      <c r="BJ1452" s="6">
        <v>0</v>
      </c>
      <c r="BK1452" s="4">
        <v>0</v>
      </c>
      <c r="BL1452" s="4">
        <v>0</v>
      </c>
      <c r="BM1452" s="20">
        <v>10</v>
      </c>
      <c r="BN1452" s="20">
        <v>0</v>
      </c>
      <c r="BO1452" s="20">
        <v>0</v>
      </c>
      <c r="BP1452" s="20">
        <v>0</v>
      </c>
      <c r="BQ1452" s="20">
        <v>0</v>
      </c>
      <c r="BR1452" s="20">
        <v>0</v>
      </c>
      <c r="BS1452" s="20">
        <v>10</v>
      </c>
      <c r="BT1452" s="20">
        <v>68181.818181818177</v>
      </c>
      <c r="BU1452" s="20">
        <v>450000</v>
      </c>
      <c r="BV1452" s="20">
        <v>6</v>
      </c>
    </row>
    <row r="1453" spans="1:74">
      <c r="A1453" s="10">
        <f t="shared" si="90"/>
        <v>0</v>
      </c>
      <c r="B1453" s="10">
        <f t="shared" si="91"/>
        <v>0</v>
      </c>
      <c r="C1453" s="12">
        <f t="shared" si="92"/>
        <v>11</v>
      </c>
      <c r="D1453" s="12">
        <f t="shared" si="93"/>
        <v>12</v>
      </c>
      <c r="E1453" s="20" t="s">
        <v>114</v>
      </c>
      <c r="F1453" s="20" t="s">
        <v>2667</v>
      </c>
      <c r="G1453" s="20" t="s">
        <v>5582</v>
      </c>
      <c r="H1453" s="20" t="s">
        <v>5591</v>
      </c>
      <c r="I1453" s="20">
        <v>2</v>
      </c>
      <c r="J1453" s="20" t="s">
        <v>5592</v>
      </c>
      <c r="K1453" s="20" t="s">
        <v>5593</v>
      </c>
      <c r="L1453" s="20" t="s">
        <v>5594</v>
      </c>
      <c r="M1453" s="20" t="s">
        <v>2667</v>
      </c>
      <c r="N1453" s="20" t="s">
        <v>5587</v>
      </c>
      <c r="P1453" s="20" t="s">
        <v>2667</v>
      </c>
      <c r="Q1453" s="20" t="s">
        <v>2674</v>
      </c>
      <c r="R1453" s="20" t="s">
        <v>84</v>
      </c>
      <c r="S1453" s="20">
        <v>5</v>
      </c>
      <c r="T1453" s="20" t="s">
        <v>124</v>
      </c>
      <c r="U1453" s="20" t="s">
        <v>125</v>
      </c>
      <c r="V1453" s="20" t="s">
        <v>5502</v>
      </c>
      <c r="W1453" s="20">
        <v>3</v>
      </c>
      <c r="X1453" s="20" t="s">
        <v>5503</v>
      </c>
      <c r="Y1453" s="20" t="s">
        <v>5595</v>
      </c>
      <c r="Z1453" s="20">
        <v>1</v>
      </c>
      <c r="AA1453" s="20" t="s">
        <v>5596</v>
      </c>
      <c r="AB1453" s="20" t="s">
        <v>89</v>
      </c>
      <c r="AC1453" s="20" t="s">
        <v>90</v>
      </c>
      <c r="AD1453" s="20" t="s">
        <v>5597</v>
      </c>
      <c r="AE1453" s="20" t="s">
        <v>91</v>
      </c>
      <c r="AF1453" s="20">
        <v>1</v>
      </c>
      <c r="AG1453" s="20">
        <v>0</v>
      </c>
      <c r="AH1453" s="20">
        <v>1</v>
      </c>
      <c r="AI1453" s="4" t="s">
        <v>251</v>
      </c>
      <c r="AJ1453" s="20">
        <v>5</v>
      </c>
      <c r="AK1453" s="4" t="s">
        <v>93</v>
      </c>
      <c r="AL1453" s="4">
        <v>20</v>
      </c>
      <c r="AM1453" s="4">
        <v>20</v>
      </c>
      <c r="AN1453" s="4" t="s">
        <v>95</v>
      </c>
      <c r="AO1453" s="4" t="s">
        <v>189</v>
      </c>
      <c r="AP1453" s="4">
        <v>1</v>
      </c>
      <c r="AQ1453" s="20">
        <v>49000</v>
      </c>
      <c r="AR1453" s="4">
        <v>41971</v>
      </c>
      <c r="AS1453" s="20">
        <v>7424.242424242424</v>
      </c>
      <c r="AT1453" s="20">
        <v>0</v>
      </c>
      <c r="AU1453" s="20">
        <v>-7424.242424242424</v>
      </c>
      <c r="AV1453" s="20">
        <v>0</v>
      </c>
      <c r="AW1453" s="20">
        <v>0</v>
      </c>
      <c r="AX1453" s="20" t="s">
        <v>91</v>
      </c>
      <c r="AY1453" s="20">
        <v>0</v>
      </c>
      <c r="AZ1453" s="20">
        <v>0</v>
      </c>
      <c r="BA1453" s="20">
        <v>0</v>
      </c>
      <c r="BB1453" s="6">
        <v>41971</v>
      </c>
      <c r="BC1453" s="6">
        <v>0</v>
      </c>
      <c r="BD1453" s="6">
        <v>41976</v>
      </c>
      <c r="BE1453" s="6">
        <v>0</v>
      </c>
      <c r="BF1453" s="6">
        <v>41975</v>
      </c>
      <c r="BG1453" s="6">
        <v>0</v>
      </c>
      <c r="BH1453" s="6">
        <v>0</v>
      </c>
      <c r="BI1453" s="6">
        <v>0</v>
      </c>
      <c r="BJ1453" s="6">
        <v>0</v>
      </c>
      <c r="BK1453" s="4">
        <v>0</v>
      </c>
      <c r="BL1453" s="4">
        <v>0</v>
      </c>
      <c r="BM1453" s="20">
        <v>5</v>
      </c>
      <c r="BN1453" s="20">
        <v>0</v>
      </c>
      <c r="BO1453" s="20">
        <v>0</v>
      </c>
      <c r="BP1453" s="20">
        <v>0</v>
      </c>
      <c r="BQ1453" s="20">
        <v>0</v>
      </c>
      <c r="BR1453" s="20">
        <v>0</v>
      </c>
      <c r="BS1453" s="20">
        <v>5</v>
      </c>
      <c r="BT1453" s="20">
        <v>37121.21212121212</v>
      </c>
      <c r="BU1453" s="20">
        <v>245000</v>
      </c>
      <c r="BV1453" s="20">
        <v>6</v>
      </c>
    </row>
    <row r="1454" spans="1:74">
      <c r="A1454" s="10">
        <f t="shared" si="90"/>
        <v>0</v>
      </c>
      <c r="B1454" s="10">
        <f t="shared" si="91"/>
        <v>0</v>
      </c>
      <c r="C1454" s="12" t="str">
        <f t="shared" si="92"/>
        <v/>
      </c>
      <c r="D1454" s="12" t="str">
        <f t="shared" si="93"/>
        <v/>
      </c>
      <c r="E1454" s="20" t="s">
        <v>91</v>
      </c>
      <c r="F1454" s="20" t="s">
        <v>91</v>
      </c>
      <c r="G1454" s="20" t="s">
        <v>91</v>
      </c>
      <c r="H1454" s="20" t="s">
        <v>91</v>
      </c>
      <c r="I1454" s="20">
        <v>0</v>
      </c>
      <c r="J1454" s="20" t="s">
        <v>103</v>
      </c>
      <c r="K1454" s="20" t="s">
        <v>104</v>
      </c>
      <c r="L1454" s="20">
        <v>0</v>
      </c>
      <c r="M1454" s="20" t="s">
        <v>105</v>
      </c>
      <c r="N1454" s="20" t="s">
        <v>91</v>
      </c>
      <c r="O1454" s="20" t="s">
        <v>5598</v>
      </c>
      <c r="Q1454" s="20" t="s">
        <v>91</v>
      </c>
      <c r="R1454" s="20" t="s">
        <v>91</v>
      </c>
      <c r="S1454" s="20" t="s">
        <v>91</v>
      </c>
      <c r="U1454" s="20" t="s">
        <v>91</v>
      </c>
      <c r="X1454" s="20" t="s">
        <v>91</v>
      </c>
      <c r="Y1454" s="20" t="s">
        <v>91</v>
      </c>
      <c r="Z1454" s="20">
        <v>2</v>
      </c>
      <c r="AB1454" s="20" t="s">
        <v>91</v>
      </c>
      <c r="AD1454" s="20" t="s">
        <v>91</v>
      </c>
      <c r="AE1454" s="20" t="s">
        <v>91</v>
      </c>
      <c r="AF1454" s="20">
        <v>2</v>
      </c>
      <c r="AG1454" s="20">
        <v>0</v>
      </c>
      <c r="AH1454" s="20">
        <v>1</v>
      </c>
      <c r="AM1454" s="4" t="s">
        <v>91</v>
      </c>
      <c r="AN1454" s="4" t="s">
        <v>95</v>
      </c>
      <c r="AP1454" s="4" t="s">
        <v>91</v>
      </c>
      <c r="AQ1454" s="20">
        <v>0</v>
      </c>
      <c r="AR1454" s="4">
        <v>0</v>
      </c>
      <c r="AS1454" s="20">
        <v>0</v>
      </c>
      <c r="AT1454" s="20">
        <v>0</v>
      </c>
      <c r="AU1454" s="20">
        <v>0</v>
      </c>
      <c r="AV1454" s="20">
        <v>0</v>
      </c>
      <c r="AW1454" s="20">
        <v>0</v>
      </c>
      <c r="AX1454" s="20" t="s">
        <v>91</v>
      </c>
      <c r="AY1454" s="20">
        <v>0</v>
      </c>
      <c r="AZ1454" s="20">
        <v>0</v>
      </c>
      <c r="BA1454" s="20">
        <v>0</v>
      </c>
      <c r="BB1454" s="6">
        <v>0</v>
      </c>
      <c r="BC1454" s="6">
        <v>0</v>
      </c>
      <c r="BD1454" s="6">
        <v>0</v>
      </c>
      <c r="BE1454" s="6">
        <v>0</v>
      </c>
      <c r="BF1454" s="6">
        <v>0</v>
      </c>
      <c r="BG1454" s="6">
        <v>0</v>
      </c>
      <c r="BH1454" s="6">
        <v>0</v>
      </c>
      <c r="BI1454" s="6">
        <v>0</v>
      </c>
      <c r="BJ1454" s="6">
        <v>0</v>
      </c>
      <c r="BK1454" s="4">
        <v>0</v>
      </c>
      <c r="BL1454" s="4">
        <v>0</v>
      </c>
      <c r="BM1454" s="20">
        <v>15</v>
      </c>
      <c r="BN1454" s="20">
        <v>0</v>
      </c>
      <c r="BO1454" s="20">
        <v>0</v>
      </c>
      <c r="BP1454" s="20">
        <v>0</v>
      </c>
      <c r="BQ1454" s="20">
        <v>0</v>
      </c>
      <c r="BR1454" s="20">
        <v>0</v>
      </c>
      <c r="BS1454" s="20">
        <v>15</v>
      </c>
      <c r="BT1454" s="20">
        <v>105303.0303030303</v>
      </c>
      <c r="BU1454" s="20">
        <v>695000</v>
      </c>
      <c r="BV1454" s="20">
        <v>5.9999999999999991</v>
      </c>
    </row>
    <row r="1455" spans="1:74">
      <c r="A1455" s="10">
        <f t="shared" si="90"/>
        <v>0</v>
      </c>
      <c r="B1455" s="10">
        <f t="shared" si="91"/>
        <v>0</v>
      </c>
      <c r="C1455" s="12">
        <f t="shared" si="92"/>
        <v>11</v>
      </c>
      <c r="D1455" s="12">
        <f t="shared" si="93"/>
        <v>12</v>
      </c>
      <c r="E1455" s="20" t="s">
        <v>114</v>
      </c>
      <c r="F1455" s="20" t="s">
        <v>2667</v>
      </c>
      <c r="G1455" s="20" t="s">
        <v>5599</v>
      </c>
      <c r="H1455" s="20" t="s">
        <v>5600</v>
      </c>
      <c r="I1455" s="20">
        <v>1</v>
      </c>
      <c r="J1455" s="20" t="s">
        <v>5601</v>
      </c>
      <c r="K1455" s="20" t="s">
        <v>5602</v>
      </c>
      <c r="L1455" s="20" t="s">
        <v>5603</v>
      </c>
      <c r="M1455" s="20" t="s">
        <v>2667</v>
      </c>
      <c r="N1455" s="20" t="s">
        <v>5587</v>
      </c>
      <c r="P1455" s="20" t="s">
        <v>2667</v>
      </c>
      <c r="Q1455" s="20" t="s">
        <v>2674</v>
      </c>
      <c r="R1455" s="20" t="s">
        <v>84</v>
      </c>
      <c r="S1455" s="20">
        <v>5</v>
      </c>
      <c r="T1455" s="20" t="s">
        <v>124</v>
      </c>
      <c r="U1455" s="20" t="s">
        <v>125</v>
      </c>
      <c r="V1455" s="20" t="s">
        <v>5502</v>
      </c>
      <c r="W1455" s="20">
        <v>28</v>
      </c>
      <c r="X1455" s="20" t="s">
        <v>5542</v>
      </c>
      <c r="Y1455" s="20" t="s">
        <v>5604</v>
      </c>
      <c r="Z1455" s="20">
        <v>1</v>
      </c>
      <c r="AA1455" s="20" t="s">
        <v>5605</v>
      </c>
      <c r="AB1455" s="20" t="s">
        <v>176</v>
      </c>
      <c r="AC1455" s="20" t="s">
        <v>177</v>
      </c>
      <c r="AD1455" s="20" t="s">
        <v>5606</v>
      </c>
      <c r="AE1455" s="20" t="s">
        <v>91</v>
      </c>
      <c r="AF1455" s="20">
        <v>1</v>
      </c>
      <c r="AG1455" s="20">
        <v>0</v>
      </c>
      <c r="AH1455" s="20">
        <v>1</v>
      </c>
      <c r="AI1455" s="4" t="s">
        <v>251</v>
      </c>
      <c r="AJ1455" s="20">
        <v>15</v>
      </c>
      <c r="AK1455" s="4" t="s">
        <v>111</v>
      </c>
      <c r="AL1455" s="4">
        <v>32</v>
      </c>
      <c r="AM1455" s="4">
        <v>32</v>
      </c>
      <c r="AN1455" s="4" t="s">
        <v>95</v>
      </c>
      <c r="AO1455" s="4" t="s">
        <v>96</v>
      </c>
      <c r="AP1455" s="4">
        <v>1</v>
      </c>
      <c r="AQ1455" s="20">
        <v>45000</v>
      </c>
      <c r="AR1455" s="4">
        <v>41971</v>
      </c>
      <c r="AS1455" s="20">
        <v>6818.1818181818171</v>
      </c>
      <c r="AT1455" s="20">
        <v>0</v>
      </c>
      <c r="AU1455" s="20">
        <v>-6818.1818181818171</v>
      </c>
      <c r="AV1455" s="20">
        <v>0</v>
      </c>
      <c r="AW1455" s="20">
        <v>0</v>
      </c>
      <c r="AX1455" s="20" t="s">
        <v>91</v>
      </c>
      <c r="AY1455" s="20">
        <v>0</v>
      </c>
      <c r="AZ1455" s="20">
        <v>0</v>
      </c>
      <c r="BA1455" s="20">
        <v>0</v>
      </c>
      <c r="BB1455" s="6">
        <v>41971</v>
      </c>
      <c r="BC1455" s="6">
        <v>0</v>
      </c>
      <c r="BD1455" s="6">
        <v>41976</v>
      </c>
      <c r="BE1455" s="6">
        <v>0</v>
      </c>
      <c r="BF1455" s="6">
        <v>41975</v>
      </c>
      <c r="BG1455" s="6">
        <v>0</v>
      </c>
      <c r="BH1455" s="6">
        <v>0</v>
      </c>
      <c r="BI1455" s="6">
        <v>0</v>
      </c>
      <c r="BJ1455" s="6">
        <v>0</v>
      </c>
      <c r="BK1455" s="4">
        <v>0</v>
      </c>
      <c r="BL1455" s="4">
        <v>0</v>
      </c>
      <c r="BM1455" s="20">
        <v>15</v>
      </c>
      <c r="BN1455" s="20">
        <v>0</v>
      </c>
      <c r="BO1455" s="20">
        <v>0</v>
      </c>
      <c r="BP1455" s="20">
        <v>0</v>
      </c>
      <c r="BQ1455" s="20">
        <v>0</v>
      </c>
      <c r="BR1455" s="20">
        <v>0</v>
      </c>
      <c r="BS1455" s="20">
        <v>15</v>
      </c>
      <c r="BT1455" s="20">
        <v>102272.72727272725</v>
      </c>
      <c r="BU1455" s="20">
        <v>675000</v>
      </c>
      <c r="BV1455" s="20">
        <v>6.0000000000000009</v>
      </c>
    </row>
    <row r="1456" spans="1:74">
      <c r="A1456" s="10">
        <f t="shared" si="90"/>
        <v>0</v>
      </c>
      <c r="B1456" s="10">
        <f t="shared" si="91"/>
        <v>0</v>
      </c>
      <c r="C1456" s="12" t="str">
        <f t="shared" si="92"/>
        <v/>
      </c>
      <c r="D1456" s="12" t="str">
        <f t="shared" si="93"/>
        <v/>
      </c>
      <c r="E1456" s="20" t="s">
        <v>91</v>
      </c>
      <c r="F1456" s="20" t="s">
        <v>91</v>
      </c>
      <c r="G1456" s="20" t="s">
        <v>91</v>
      </c>
      <c r="H1456" s="20" t="s">
        <v>91</v>
      </c>
      <c r="I1456" s="20">
        <v>0</v>
      </c>
      <c r="J1456" s="20" t="s">
        <v>103</v>
      </c>
      <c r="K1456" s="20" t="s">
        <v>104</v>
      </c>
      <c r="L1456" s="20">
        <v>0</v>
      </c>
      <c r="M1456" s="20" t="s">
        <v>105</v>
      </c>
      <c r="N1456" s="20" t="s">
        <v>91</v>
      </c>
      <c r="O1456" s="20" t="s">
        <v>5607</v>
      </c>
      <c r="Q1456" s="20" t="s">
        <v>91</v>
      </c>
      <c r="R1456" s="20" t="s">
        <v>91</v>
      </c>
      <c r="S1456" s="20" t="s">
        <v>91</v>
      </c>
      <c r="U1456" s="20" t="s">
        <v>91</v>
      </c>
      <c r="X1456" s="20" t="s">
        <v>91</v>
      </c>
      <c r="Y1456" s="20" t="s">
        <v>91</v>
      </c>
      <c r="Z1456" s="20">
        <v>1</v>
      </c>
      <c r="AB1456" s="20" t="s">
        <v>91</v>
      </c>
      <c r="AD1456" s="20" t="s">
        <v>91</v>
      </c>
      <c r="AE1456" s="20" t="s">
        <v>91</v>
      </c>
      <c r="AF1456" s="20">
        <v>1</v>
      </c>
      <c r="AG1456" s="20">
        <v>0</v>
      </c>
      <c r="AH1456" s="20">
        <v>1</v>
      </c>
      <c r="AM1456" s="4" t="s">
        <v>91</v>
      </c>
      <c r="AN1456" s="4" t="s">
        <v>95</v>
      </c>
      <c r="AP1456" s="4" t="s">
        <v>91</v>
      </c>
      <c r="AQ1456" s="20">
        <v>0</v>
      </c>
      <c r="AR1456" s="4">
        <v>0</v>
      </c>
      <c r="AS1456" s="20">
        <v>0</v>
      </c>
      <c r="AT1456" s="20">
        <v>0</v>
      </c>
      <c r="AU1456" s="20">
        <v>0</v>
      </c>
      <c r="AV1456" s="20">
        <v>0</v>
      </c>
      <c r="AW1456" s="20">
        <v>0</v>
      </c>
      <c r="AX1456" s="20" t="s">
        <v>91</v>
      </c>
      <c r="AY1456" s="20">
        <v>0</v>
      </c>
      <c r="AZ1456" s="20">
        <v>0</v>
      </c>
      <c r="BA1456" s="20">
        <v>0</v>
      </c>
      <c r="BB1456" s="6">
        <v>0</v>
      </c>
      <c r="BC1456" s="6">
        <v>0</v>
      </c>
      <c r="BD1456" s="6">
        <v>0</v>
      </c>
      <c r="BE1456" s="6">
        <v>0</v>
      </c>
      <c r="BF1456" s="6">
        <v>0</v>
      </c>
      <c r="BG1456" s="6">
        <v>0</v>
      </c>
      <c r="BH1456" s="6">
        <v>0</v>
      </c>
      <c r="BI1456" s="6">
        <v>0</v>
      </c>
      <c r="BJ1456" s="6">
        <v>0</v>
      </c>
      <c r="BK1456" s="4">
        <v>0</v>
      </c>
      <c r="BL1456" s="4">
        <v>0</v>
      </c>
      <c r="BM1456" s="20">
        <v>15</v>
      </c>
      <c r="BN1456" s="20">
        <v>0</v>
      </c>
      <c r="BO1456" s="20">
        <v>0</v>
      </c>
      <c r="BP1456" s="20">
        <v>0</v>
      </c>
      <c r="BQ1456" s="20">
        <v>0</v>
      </c>
      <c r="BR1456" s="20">
        <v>0</v>
      </c>
      <c r="BS1456" s="20">
        <v>15</v>
      </c>
      <c r="BT1456" s="20">
        <v>102272.72727272725</v>
      </c>
      <c r="BU1456" s="20">
        <v>675000</v>
      </c>
      <c r="BV1456" s="20">
        <v>6.0000000000000009</v>
      </c>
    </row>
    <row r="1457" spans="1:74">
      <c r="A1457" s="10">
        <f t="shared" si="90"/>
        <v>0</v>
      </c>
      <c r="B1457" s="10">
        <f t="shared" si="91"/>
        <v>0</v>
      </c>
      <c r="C1457" s="12">
        <f t="shared" si="92"/>
        <v>11</v>
      </c>
      <c r="D1457" s="12">
        <f t="shared" si="93"/>
        <v>12</v>
      </c>
      <c r="E1457" s="20" t="s">
        <v>114</v>
      </c>
      <c r="F1457" s="20" t="s">
        <v>2667</v>
      </c>
      <c r="G1457" s="20" t="s">
        <v>5608</v>
      </c>
      <c r="H1457" s="20" t="s">
        <v>5609</v>
      </c>
      <c r="I1457" s="20">
        <v>1</v>
      </c>
      <c r="J1457" s="20" t="s">
        <v>5610</v>
      </c>
      <c r="K1457" s="20" t="s">
        <v>5611</v>
      </c>
      <c r="L1457" s="20" t="s">
        <v>5612</v>
      </c>
      <c r="M1457" s="20" t="s">
        <v>2667</v>
      </c>
      <c r="N1457" s="20" t="s">
        <v>5613</v>
      </c>
      <c r="P1457" s="20" t="s">
        <v>2667</v>
      </c>
      <c r="Q1457" s="20" t="s">
        <v>2674</v>
      </c>
      <c r="R1457" s="20" t="s">
        <v>84</v>
      </c>
      <c r="S1457" s="20">
        <v>5</v>
      </c>
      <c r="T1457" s="20" t="s">
        <v>480</v>
      </c>
      <c r="U1457" s="20" t="s">
        <v>481</v>
      </c>
      <c r="V1457" s="20" t="s">
        <v>5502</v>
      </c>
      <c r="W1457" s="20">
        <v>301</v>
      </c>
      <c r="X1457" s="20">
        <v>301</v>
      </c>
      <c r="Y1457" s="20" t="s">
        <v>5614</v>
      </c>
      <c r="Z1457" s="20">
        <v>1</v>
      </c>
      <c r="AA1457" s="20" t="s">
        <v>5615</v>
      </c>
      <c r="AB1457" s="20" t="s">
        <v>109</v>
      </c>
      <c r="AC1457" s="20" t="s">
        <v>110</v>
      </c>
      <c r="AD1457" s="20" t="s">
        <v>5616</v>
      </c>
      <c r="AE1457" s="20" t="s">
        <v>400</v>
      </c>
      <c r="AF1457" s="20">
        <v>1</v>
      </c>
      <c r="AG1457" s="20">
        <v>0</v>
      </c>
      <c r="AH1457" s="20">
        <v>1</v>
      </c>
      <c r="AI1457" s="4" t="s">
        <v>251</v>
      </c>
      <c r="AJ1457" s="20">
        <v>10</v>
      </c>
      <c r="AK1457" s="4" t="s">
        <v>179</v>
      </c>
      <c r="AL1457" s="4">
        <v>44</v>
      </c>
      <c r="AM1457" s="4">
        <v>44</v>
      </c>
      <c r="AN1457" s="4" t="s">
        <v>95</v>
      </c>
      <c r="AO1457" s="4" t="s">
        <v>96</v>
      </c>
      <c r="AP1457" s="4">
        <v>1</v>
      </c>
      <c r="AQ1457" s="20">
        <v>59000</v>
      </c>
      <c r="AR1457" s="4">
        <v>41971</v>
      </c>
      <c r="AS1457" s="20">
        <v>8939.3939393939381</v>
      </c>
      <c r="AT1457" s="20">
        <v>0</v>
      </c>
      <c r="AU1457" s="20">
        <v>-8939.3939393939381</v>
      </c>
      <c r="AV1457" s="20">
        <v>0</v>
      </c>
      <c r="AW1457" s="20">
        <v>0</v>
      </c>
      <c r="AX1457" s="20" t="s">
        <v>91</v>
      </c>
      <c r="AY1457" s="20">
        <v>0</v>
      </c>
      <c r="AZ1457" s="20">
        <v>0</v>
      </c>
      <c r="BA1457" s="20">
        <v>0</v>
      </c>
      <c r="BB1457" s="6">
        <v>41971</v>
      </c>
      <c r="BC1457" s="6">
        <v>0</v>
      </c>
      <c r="BD1457" s="6">
        <v>41976</v>
      </c>
      <c r="BE1457" s="6">
        <v>0</v>
      </c>
      <c r="BF1457" s="6">
        <v>41975</v>
      </c>
      <c r="BG1457" s="6">
        <v>0</v>
      </c>
      <c r="BH1457" s="6">
        <v>0</v>
      </c>
      <c r="BI1457" s="6">
        <v>0</v>
      </c>
      <c r="BJ1457" s="6">
        <v>0</v>
      </c>
      <c r="BK1457" s="4">
        <v>0</v>
      </c>
      <c r="BL1457" s="4">
        <v>0</v>
      </c>
      <c r="BM1457" s="20">
        <v>10</v>
      </c>
      <c r="BN1457" s="20">
        <v>0</v>
      </c>
      <c r="BO1457" s="20">
        <v>0</v>
      </c>
      <c r="BP1457" s="20">
        <v>0</v>
      </c>
      <c r="BQ1457" s="20">
        <v>0</v>
      </c>
      <c r="BR1457" s="20">
        <v>0</v>
      </c>
      <c r="BS1457" s="20">
        <v>10</v>
      </c>
      <c r="BT1457" s="20">
        <v>89393.939393939378</v>
      </c>
      <c r="BU1457" s="20">
        <v>590000</v>
      </c>
      <c r="BV1457" s="20">
        <v>6</v>
      </c>
    </row>
    <row r="1458" spans="1:74">
      <c r="A1458" s="10">
        <f t="shared" si="90"/>
        <v>0</v>
      </c>
      <c r="B1458" s="10">
        <f t="shared" si="91"/>
        <v>0</v>
      </c>
      <c r="C1458" s="12" t="str">
        <f t="shared" si="92"/>
        <v/>
      </c>
      <c r="D1458" s="12" t="str">
        <f t="shared" si="93"/>
        <v/>
      </c>
      <c r="E1458" s="20" t="s">
        <v>91</v>
      </c>
      <c r="F1458" s="20" t="s">
        <v>91</v>
      </c>
      <c r="G1458" s="20" t="s">
        <v>91</v>
      </c>
      <c r="H1458" s="20" t="s">
        <v>91</v>
      </c>
      <c r="I1458" s="20">
        <v>0</v>
      </c>
      <c r="J1458" s="20" t="s">
        <v>103</v>
      </c>
      <c r="K1458" s="20" t="s">
        <v>104</v>
      </c>
      <c r="L1458" s="20">
        <v>0</v>
      </c>
      <c r="M1458" s="20" t="s">
        <v>105</v>
      </c>
      <c r="N1458" s="20" t="s">
        <v>91</v>
      </c>
      <c r="O1458" s="20" t="s">
        <v>5617</v>
      </c>
      <c r="Q1458" s="20" t="s">
        <v>91</v>
      </c>
      <c r="R1458" s="20" t="s">
        <v>91</v>
      </c>
      <c r="S1458" s="20" t="s">
        <v>91</v>
      </c>
      <c r="U1458" s="20" t="s">
        <v>91</v>
      </c>
      <c r="X1458" s="20" t="s">
        <v>91</v>
      </c>
      <c r="Y1458" s="20" t="s">
        <v>91</v>
      </c>
      <c r="Z1458" s="20">
        <v>1</v>
      </c>
      <c r="AB1458" s="20" t="s">
        <v>91</v>
      </c>
      <c r="AD1458" s="20" t="s">
        <v>91</v>
      </c>
      <c r="AE1458" s="20" t="s">
        <v>91</v>
      </c>
      <c r="AF1458" s="20">
        <v>1</v>
      </c>
      <c r="AG1458" s="20">
        <v>0</v>
      </c>
      <c r="AH1458" s="20">
        <v>1</v>
      </c>
      <c r="AM1458" s="4" t="s">
        <v>91</v>
      </c>
      <c r="AN1458" s="4" t="s">
        <v>95</v>
      </c>
      <c r="AP1458" s="4" t="s">
        <v>91</v>
      </c>
      <c r="AQ1458" s="20">
        <v>0</v>
      </c>
      <c r="AR1458" s="4">
        <v>0</v>
      </c>
      <c r="AS1458" s="20">
        <v>0</v>
      </c>
      <c r="AT1458" s="20">
        <v>0</v>
      </c>
      <c r="AU1458" s="20">
        <v>0</v>
      </c>
      <c r="AV1458" s="20">
        <v>0</v>
      </c>
      <c r="AW1458" s="20">
        <v>0</v>
      </c>
      <c r="AX1458" s="20" t="s">
        <v>91</v>
      </c>
      <c r="AY1458" s="20">
        <v>0</v>
      </c>
      <c r="AZ1458" s="20">
        <v>0</v>
      </c>
      <c r="BA1458" s="20">
        <v>0</v>
      </c>
      <c r="BB1458" s="6">
        <v>0</v>
      </c>
      <c r="BC1458" s="6">
        <v>0</v>
      </c>
      <c r="BD1458" s="6">
        <v>0</v>
      </c>
      <c r="BE1458" s="6">
        <v>0</v>
      </c>
      <c r="BF1458" s="6">
        <v>0</v>
      </c>
      <c r="BG1458" s="6">
        <v>0</v>
      </c>
      <c r="BH1458" s="6">
        <v>0</v>
      </c>
      <c r="BI1458" s="6">
        <v>0</v>
      </c>
      <c r="BJ1458" s="6">
        <v>0</v>
      </c>
      <c r="BK1458" s="4">
        <v>0</v>
      </c>
      <c r="BL1458" s="4">
        <v>0</v>
      </c>
      <c r="BM1458" s="20">
        <v>10</v>
      </c>
      <c r="BN1458" s="20">
        <v>0</v>
      </c>
      <c r="BO1458" s="20">
        <v>0</v>
      </c>
      <c r="BP1458" s="20">
        <v>0</v>
      </c>
      <c r="BQ1458" s="20">
        <v>0</v>
      </c>
      <c r="BR1458" s="20">
        <v>0</v>
      </c>
      <c r="BS1458" s="20">
        <v>10</v>
      </c>
      <c r="BT1458" s="20">
        <v>89393.939393939378</v>
      </c>
      <c r="BU1458" s="20">
        <v>590000</v>
      </c>
      <c r="BV1458" s="20">
        <v>6</v>
      </c>
    </row>
    <row r="1459" spans="1:74">
      <c r="A1459" s="10">
        <f t="shared" si="90"/>
        <v>0</v>
      </c>
      <c r="B1459" s="10">
        <f t="shared" si="91"/>
        <v>0</v>
      </c>
      <c r="C1459" s="12">
        <f t="shared" si="92"/>
        <v>11</v>
      </c>
      <c r="D1459" s="12">
        <f t="shared" si="93"/>
        <v>12</v>
      </c>
      <c r="E1459" s="20" t="s">
        <v>386</v>
      </c>
      <c r="F1459" s="20" t="s">
        <v>5618</v>
      </c>
      <c r="G1459" s="20" t="s">
        <v>5619</v>
      </c>
      <c r="H1459" s="20" t="s">
        <v>5620</v>
      </c>
      <c r="I1459" s="20">
        <v>1</v>
      </c>
      <c r="J1459" s="20" t="s">
        <v>5621</v>
      </c>
      <c r="K1459" s="20" t="s">
        <v>5622</v>
      </c>
      <c r="L1459" s="20" t="s">
        <v>5623</v>
      </c>
      <c r="M1459" s="20" t="s">
        <v>5618</v>
      </c>
      <c r="N1459" s="20" t="s">
        <v>5624</v>
      </c>
      <c r="P1459" s="20" t="s">
        <v>5618</v>
      </c>
      <c r="Q1459" s="20" t="s">
        <v>5625</v>
      </c>
      <c r="R1459" s="20" t="s">
        <v>84</v>
      </c>
      <c r="S1459" s="20" t="s">
        <v>123</v>
      </c>
      <c r="T1459" s="20" t="s">
        <v>198</v>
      </c>
      <c r="U1459" s="20" t="s">
        <v>199</v>
      </c>
      <c r="V1459" s="20" t="s">
        <v>5502</v>
      </c>
      <c r="W1459" s="20">
        <v>7</v>
      </c>
      <c r="X1459" s="20" t="s">
        <v>5626</v>
      </c>
      <c r="Y1459" s="20" t="s">
        <v>5627</v>
      </c>
      <c r="Z1459" s="20">
        <v>1</v>
      </c>
      <c r="AA1459" s="20" t="s">
        <v>5628</v>
      </c>
      <c r="AB1459" s="20" t="s">
        <v>248</v>
      </c>
      <c r="AC1459" s="20" t="s">
        <v>249</v>
      </c>
      <c r="AD1459" s="20" t="s">
        <v>5629</v>
      </c>
      <c r="AE1459" s="20" t="s">
        <v>91</v>
      </c>
      <c r="AF1459" s="20">
        <v>1</v>
      </c>
      <c r="AG1459" s="20">
        <v>0</v>
      </c>
      <c r="AH1459" s="20">
        <v>1</v>
      </c>
      <c r="AI1459" s="4" t="s">
        <v>251</v>
      </c>
      <c r="AJ1459" s="20">
        <v>5</v>
      </c>
      <c r="AK1459" s="4" t="s">
        <v>111</v>
      </c>
      <c r="AL1459" s="4">
        <v>33</v>
      </c>
      <c r="AM1459" s="4">
        <v>33</v>
      </c>
      <c r="AN1459" s="4" t="s">
        <v>95</v>
      </c>
      <c r="AO1459" s="4" t="s">
        <v>96</v>
      </c>
      <c r="AP1459" s="4">
        <v>1</v>
      </c>
      <c r="AQ1459" s="20">
        <v>49000</v>
      </c>
      <c r="AR1459" s="4">
        <v>41971</v>
      </c>
      <c r="AS1459" s="20">
        <v>7424.242424242424</v>
      </c>
      <c r="AT1459" s="20">
        <v>0</v>
      </c>
      <c r="AU1459" s="20">
        <v>-7424.242424242424</v>
      </c>
      <c r="AV1459" s="20">
        <v>0</v>
      </c>
      <c r="AW1459" s="20">
        <v>0</v>
      </c>
      <c r="AX1459" s="20" t="s">
        <v>91</v>
      </c>
      <c r="AY1459" s="20">
        <v>0</v>
      </c>
      <c r="AZ1459" s="20">
        <v>0</v>
      </c>
      <c r="BA1459" s="20">
        <v>0</v>
      </c>
      <c r="BB1459" s="6">
        <v>41971</v>
      </c>
      <c r="BC1459" s="6">
        <v>0</v>
      </c>
      <c r="BD1459" s="6">
        <v>41976</v>
      </c>
      <c r="BE1459" s="6">
        <v>0</v>
      </c>
      <c r="BF1459" s="6">
        <v>41975</v>
      </c>
      <c r="BG1459" s="6">
        <v>0</v>
      </c>
      <c r="BH1459" s="6">
        <v>0</v>
      </c>
      <c r="BI1459" s="6">
        <v>0</v>
      </c>
      <c r="BJ1459" s="6">
        <v>0</v>
      </c>
      <c r="BK1459" s="4">
        <v>0</v>
      </c>
      <c r="BL1459" s="4">
        <v>0</v>
      </c>
      <c r="BM1459" s="20">
        <v>5</v>
      </c>
      <c r="BN1459" s="20">
        <v>0</v>
      </c>
      <c r="BO1459" s="20">
        <v>0</v>
      </c>
      <c r="BP1459" s="20">
        <v>0</v>
      </c>
      <c r="BQ1459" s="20">
        <v>0</v>
      </c>
      <c r="BR1459" s="20">
        <v>0</v>
      </c>
      <c r="BS1459" s="20">
        <v>5</v>
      </c>
      <c r="BT1459" s="20">
        <v>37121.21212121212</v>
      </c>
      <c r="BU1459" s="20">
        <v>245000</v>
      </c>
      <c r="BV1459" s="20">
        <v>6</v>
      </c>
    </row>
    <row r="1460" spans="1:74">
      <c r="A1460" s="10">
        <f t="shared" si="90"/>
        <v>0</v>
      </c>
      <c r="B1460" s="10">
        <f t="shared" si="91"/>
        <v>0</v>
      </c>
      <c r="C1460" s="12">
        <f t="shared" si="92"/>
        <v>11</v>
      </c>
      <c r="D1460" s="12">
        <f t="shared" si="93"/>
        <v>12</v>
      </c>
      <c r="E1460" s="20" t="s">
        <v>386</v>
      </c>
      <c r="F1460" s="20" t="s">
        <v>5618</v>
      </c>
      <c r="G1460" s="20" t="s">
        <v>5619</v>
      </c>
      <c r="H1460" s="20" t="s">
        <v>5630</v>
      </c>
      <c r="I1460" s="20">
        <v>2</v>
      </c>
      <c r="J1460" s="20" t="s">
        <v>5631</v>
      </c>
      <c r="K1460" s="20" t="s">
        <v>5632</v>
      </c>
      <c r="L1460" s="20" t="s">
        <v>5633</v>
      </c>
      <c r="M1460" s="20" t="s">
        <v>5618</v>
      </c>
      <c r="N1460" s="20" t="s">
        <v>5624</v>
      </c>
      <c r="P1460" s="20" t="s">
        <v>5618</v>
      </c>
      <c r="Q1460" s="20" t="s">
        <v>5625</v>
      </c>
      <c r="R1460" s="20" t="s">
        <v>84</v>
      </c>
      <c r="S1460" s="20" t="s">
        <v>123</v>
      </c>
      <c r="T1460" s="20" t="s">
        <v>198</v>
      </c>
      <c r="U1460" s="20" t="s">
        <v>199</v>
      </c>
      <c r="V1460" s="20" t="s">
        <v>5502</v>
      </c>
      <c r="W1460" s="20">
        <v>306</v>
      </c>
      <c r="X1460" s="20">
        <v>306</v>
      </c>
      <c r="Y1460" s="20" t="s">
        <v>5634</v>
      </c>
      <c r="Z1460" s="20">
        <v>1</v>
      </c>
      <c r="AA1460" s="20" t="s">
        <v>5635</v>
      </c>
      <c r="AB1460" s="20" t="s">
        <v>221</v>
      </c>
      <c r="AC1460" s="20" t="s">
        <v>222</v>
      </c>
      <c r="AD1460" s="20" t="s">
        <v>5636</v>
      </c>
      <c r="AE1460" s="20" t="s">
        <v>400</v>
      </c>
      <c r="AF1460" s="20">
        <v>1</v>
      </c>
      <c r="AG1460" s="20">
        <v>0</v>
      </c>
      <c r="AH1460" s="20">
        <v>1</v>
      </c>
      <c r="AI1460" s="4" t="s">
        <v>251</v>
      </c>
      <c r="AJ1460" s="20">
        <v>5</v>
      </c>
      <c r="AK1460" s="4" t="s">
        <v>111</v>
      </c>
      <c r="AL1460" s="4">
        <v>33</v>
      </c>
      <c r="AM1460" s="4">
        <v>33</v>
      </c>
      <c r="AN1460" s="4" t="s">
        <v>95</v>
      </c>
      <c r="AO1460" s="4" t="s">
        <v>96</v>
      </c>
      <c r="AP1460" s="4">
        <v>1</v>
      </c>
      <c r="AQ1460" s="20">
        <v>55000</v>
      </c>
      <c r="AR1460" s="4">
        <v>41971</v>
      </c>
      <c r="AS1460" s="20">
        <v>8333.3333333333321</v>
      </c>
      <c r="AT1460" s="20">
        <v>0</v>
      </c>
      <c r="AU1460" s="20">
        <v>-8333.3333333333321</v>
      </c>
      <c r="AV1460" s="20">
        <v>0</v>
      </c>
      <c r="AW1460" s="20">
        <v>0</v>
      </c>
      <c r="AX1460" s="20" t="s">
        <v>91</v>
      </c>
      <c r="AY1460" s="20">
        <v>0</v>
      </c>
      <c r="AZ1460" s="20">
        <v>0</v>
      </c>
      <c r="BA1460" s="20">
        <v>0</v>
      </c>
      <c r="BB1460" s="6">
        <v>41971</v>
      </c>
      <c r="BC1460" s="6">
        <v>0</v>
      </c>
      <c r="BD1460" s="6">
        <v>41976</v>
      </c>
      <c r="BE1460" s="6">
        <v>0</v>
      </c>
      <c r="BF1460" s="6">
        <v>41975</v>
      </c>
      <c r="BG1460" s="6">
        <v>0</v>
      </c>
      <c r="BH1460" s="6">
        <v>0</v>
      </c>
      <c r="BI1460" s="6">
        <v>0</v>
      </c>
      <c r="BJ1460" s="6">
        <v>0</v>
      </c>
      <c r="BK1460" s="4">
        <v>0</v>
      </c>
      <c r="BL1460" s="4">
        <v>0</v>
      </c>
      <c r="BM1460" s="20">
        <v>5</v>
      </c>
      <c r="BN1460" s="20">
        <v>0</v>
      </c>
      <c r="BO1460" s="20">
        <v>0</v>
      </c>
      <c r="BP1460" s="20">
        <v>0</v>
      </c>
      <c r="BQ1460" s="20">
        <v>0</v>
      </c>
      <c r="BR1460" s="20">
        <v>0</v>
      </c>
      <c r="BS1460" s="20">
        <v>5</v>
      </c>
      <c r="BT1460" s="20">
        <v>41666.666666666657</v>
      </c>
      <c r="BU1460" s="20">
        <v>275000</v>
      </c>
      <c r="BV1460" s="20">
        <v>6.0000000000000009</v>
      </c>
    </row>
    <row r="1461" spans="1:74">
      <c r="A1461" s="10">
        <f t="shared" si="90"/>
        <v>0</v>
      </c>
      <c r="B1461" s="10">
        <f t="shared" si="91"/>
        <v>0</v>
      </c>
      <c r="C1461" s="12" t="str">
        <f t="shared" si="92"/>
        <v/>
      </c>
      <c r="D1461" s="12" t="str">
        <f t="shared" si="93"/>
        <v/>
      </c>
      <c r="E1461" s="20" t="s">
        <v>91</v>
      </c>
      <c r="F1461" s="20" t="s">
        <v>91</v>
      </c>
      <c r="G1461" s="20" t="s">
        <v>91</v>
      </c>
      <c r="H1461" s="20" t="s">
        <v>91</v>
      </c>
      <c r="I1461" s="20">
        <v>0</v>
      </c>
      <c r="J1461" s="20" t="s">
        <v>103</v>
      </c>
      <c r="K1461" s="20" t="s">
        <v>104</v>
      </c>
      <c r="L1461" s="20">
        <v>0</v>
      </c>
      <c r="M1461" s="20" t="s">
        <v>105</v>
      </c>
      <c r="N1461" s="20" t="s">
        <v>91</v>
      </c>
      <c r="O1461" s="20" t="s">
        <v>5637</v>
      </c>
      <c r="Q1461" s="20" t="s">
        <v>91</v>
      </c>
      <c r="R1461" s="20" t="s">
        <v>91</v>
      </c>
      <c r="S1461" s="20" t="s">
        <v>91</v>
      </c>
      <c r="U1461" s="20" t="s">
        <v>91</v>
      </c>
      <c r="X1461" s="20" t="s">
        <v>91</v>
      </c>
      <c r="Y1461" s="20" t="s">
        <v>91</v>
      </c>
      <c r="Z1461" s="20">
        <v>2</v>
      </c>
      <c r="AB1461" s="20" t="s">
        <v>91</v>
      </c>
      <c r="AD1461" s="20" t="s">
        <v>91</v>
      </c>
      <c r="AE1461" s="20" t="s">
        <v>91</v>
      </c>
      <c r="AF1461" s="20">
        <v>2</v>
      </c>
      <c r="AG1461" s="20">
        <v>0</v>
      </c>
      <c r="AH1461" s="20">
        <v>1</v>
      </c>
      <c r="AM1461" s="4" t="s">
        <v>91</v>
      </c>
      <c r="AN1461" s="4" t="s">
        <v>95</v>
      </c>
      <c r="AP1461" s="4" t="s">
        <v>91</v>
      </c>
      <c r="AQ1461" s="20">
        <v>0</v>
      </c>
      <c r="AR1461" s="4">
        <v>0</v>
      </c>
      <c r="AS1461" s="20">
        <v>0</v>
      </c>
      <c r="AT1461" s="20">
        <v>0</v>
      </c>
      <c r="AU1461" s="20">
        <v>0</v>
      </c>
      <c r="AV1461" s="20">
        <v>0</v>
      </c>
      <c r="AW1461" s="20">
        <v>0</v>
      </c>
      <c r="AX1461" s="20" t="s">
        <v>91</v>
      </c>
      <c r="AY1461" s="20">
        <v>0</v>
      </c>
      <c r="AZ1461" s="20">
        <v>0</v>
      </c>
      <c r="BA1461" s="20">
        <v>0</v>
      </c>
      <c r="BB1461" s="6">
        <v>0</v>
      </c>
      <c r="BC1461" s="6">
        <v>0</v>
      </c>
      <c r="BD1461" s="6">
        <v>0</v>
      </c>
      <c r="BE1461" s="6">
        <v>0</v>
      </c>
      <c r="BF1461" s="6">
        <v>0</v>
      </c>
      <c r="BG1461" s="6">
        <v>0</v>
      </c>
      <c r="BH1461" s="6">
        <v>0</v>
      </c>
      <c r="BI1461" s="6">
        <v>0</v>
      </c>
      <c r="BJ1461" s="6">
        <v>0</v>
      </c>
      <c r="BK1461" s="4">
        <v>0</v>
      </c>
      <c r="BL1461" s="4">
        <v>0</v>
      </c>
      <c r="BM1461" s="20">
        <v>10</v>
      </c>
      <c r="BN1461" s="20">
        <v>0</v>
      </c>
      <c r="BO1461" s="20">
        <v>0</v>
      </c>
      <c r="BP1461" s="20">
        <v>0</v>
      </c>
      <c r="BQ1461" s="20">
        <v>0</v>
      </c>
      <c r="BR1461" s="20">
        <v>0</v>
      </c>
      <c r="BS1461" s="20">
        <v>10</v>
      </c>
      <c r="BT1461" s="20">
        <v>78787.878787878784</v>
      </c>
      <c r="BU1461" s="20">
        <v>520000</v>
      </c>
      <c r="BV1461" s="20">
        <v>6</v>
      </c>
    </row>
    <row r="1462" spans="1:74">
      <c r="A1462" s="10">
        <f t="shared" si="90"/>
        <v>0</v>
      </c>
      <c r="B1462" s="10">
        <f t="shared" si="91"/>
        <v>0</v>
      </c>
      <c r="C1462" s="12">
        <f t="shared" si="92"/>
        <v>11</v>
      </c>
      <c r="D1462" s="12">
        <f t="shared" si="93"/>
        <v>12</v>
      </c>
      <c r="E1462" s="20" t="s">
        <v>386</v>
      </c>
      <c r="F1462" s="20" t="s">
        <v>5618</v>
      </c>
      <c r="G1462" s="20" t="s">
        <v>5638</v>
      </c>
      <c r="H1462" s="20" t="s">
        <v>5639</v>
      </c>
      <c r="I1462" s="20">
        <v>1</v>
      </c>
      <c r="J1462" s="20" t="s">
        <v>5640</v>
      </c>
      <c r="K1462" s="20" t="s">
        <v>5641</v>
      </c>
      <c r="L1462" s="20" t="s">
        <v>5642</v>
      </c>
      <c r="M1462" s="20" t="s">
        <v>5618</v>
      </c>
      <c r="N1462" s="20" t="s">
        <v>5624</v>
      </c>
      <c r="P1462" s="20" t="s">
        <v>5618</v>
      </c>
      <c r="Q1462" s="20" t="s">
        <v>5625</v>
      </c>
      <c r="R1462" s="20" t="s">
        <v>84</v>
      </c>
      <c r="S1462" s="20" t="s">
        <v>123</v>
      </c>
      <c r="T1462" s="20" t="s">
        <v>198</v>
      </c>
      <c r="U1462" s="20" t="s">
        <v>199</v>
      </c>
      <c r="V1462" s="20" t="s">
        <v>5502</v>
      </c>
      <c r="W1462" s="20">
        <v>10</v>
      </c>
      <c r="X1462" s="20" t="s">
        <v>5643</v>
      </c>
      <c r="Y1462" s="20" t="s">
        <v>5644</v>
      </c>
      <c r="Z1462" s="20">
        <v>1</v>
      </c>
      <c r="AA1462" s="20" t="s">
        <v>5645</v>
      </c>
      <c r="AB1462" s="20" t="s">
        <v>248</v>
      </c>
      <c r="AC1462" s="20" t="s">
        <v>249</v>
      </c>
      <c r="AD1462" s="20" t="s">
        <v>5646</v>
      </c>
      <c r="AE1462" s="20" t="s">
        <v>91</v>
      </c>
      <c r="AF1462" s="20">
        <v>1</v>
      </c>
      <c r="AG1462" s="20">
        <v>0</v>
      </c>
      <c r="AH1462" s="20">
        <v>1</v>
      </c>
      <c r="AI1462" s="4" t="s">
        <v>251</v>
      </c>
      <c r="AJ1462" s="20">
        <v>5</v>
      </c>
      <c r="AK1462" s="4" t="s">
        <v>179</v>
      </c>
      <c r="AL1462" s="4">
        <v>45</v>
      </c>
      <c r="AM1462" s="4">
        <v>45</v>
      </c>
      <c r="AN1462" s="4" t="s">
        <v>95</v>
      </c>
      <c r="AO1462" s="4" t="s">
        <v>96</v>
      </c>
      <c r="AP1462" s="4">
        <v>1</v>
      </c>
      <c r="AQ1462" s="20">
        <v>45000</v>
      </c>
      <c r="AR1462" s="4">
        <v>41971</v>
      </c>
      <c r="AS1462" s="20">
        <v>6818.1818181818171</v>
      </c>
      <c r="AT1462" s="20">
        <v>0</v>
      </c>
      <c r="AU1462" s="20">
        <v>-6818.1818181818171</v>
      </c>
      <c r="AV1462" s="20">
        <v>0</v>
      </c>
      <c r="AW1462" s="20">
        <v>0</v>
      </c>
      <c r="AX1462" s="20" t="s">
        <v>91</v>
      </c>
      <c r="AY1462" s="20">
        <v>0</v>
      </c>
      <c r="AZ1462" s="20">
        <v>0</v>
      </c>
      <c r="BA1462" s="20">
        <v>0</v>
      </c>
      <c r="BB1462" s="6">
        <v>41971</v>
      </c>
      <c r="BC1462" s="6">
        <v>0</v>
      </c>
      <c r="BD1462" s="6">
        <v>41976</v>
      </c>
      <c r="BE1462" s="6">
        <v>0</v>
      </c>
      <c r="BF1462" s="6">
        <v>41975</v>
      </c>
      <c r="BG1462" s="6">
        <v>0</v>
      </c>
      <c r="BH1462" s="6">
        <v>0</v>
      </c>
      <c r="BI1462" s="6">
        <v>0</v>
      </c>
      <c r="BJ1462" s="6">
        <v>0</v>
      </c>
      <c r="BK1462" s="4">
        <v>0</v>
      </c>
      <c r="BL1462" s="4">
        <v>0</v>
      </c>
      <c r="BM1462" s="20">
        <v>5</v>
      </c>
      <c r="BN1462" s="20">
        <v>0</v>
      </c>
      <c r="BO1462" s="20">
        <v>0</v>
      </c>
      <c r="BP1462" s="20">
        <v>0</v>
      </c>
      <c r="BQ1462" s="20">
        <v>0</v>
      </c>
      <c r="BR1462" s="20">
        <v>0</v>
      </c>
      <c r="BS1462" s="20">
        <v>5</v>
      </c>
      <c r="BT1462" s="20">
        <v>34090.909090909088</v>
      </c>
      <c r="BU1462" s="20">
        <v>225000</v>
      </c>
      <c r="BV1462" s="20">
        <v>6</v>
      </c>
    </row>
    <row r="1463" spans="1:74">
      <c r="A1463" s="10">
        <f t="shared" si="90"/>
        <v>0</v>
      </c>
      <c r="B1463" s="10">
        <f t="shared" si="91"/>
        <v>0</v>
      </c>
      <c r="C1463" s="12">
        <f t="shared" si="92"/>
        <v>11</v>
      </c>
      <c r="D1463" s="12">
        <f t="shared" si="93"/>
        <v>12</v>
      </c>
      <c r="E1463" s="20" t="s">
        <v>386</v>
      </c>
      <c r="F1463" s="20" t="s">
        <v>5618</v>
      </c>
      <c r="G1463" s="20" t="s">
        <v>5638</v>
      </c>
      <c r="H1463" s="20" t="s">
        <v>5647</v>
      </c>
      <c r="I1463" s="20">
        <v>2</v>
      </c>
      <c r="J1463" s="20" t="s">
        <v>5648</v>
      </c>
      <c r="K1463" s="20" t="s">
        <v>5649</v>
      </c>
      <c r="L1463" s="20" t="s">
        <v>5650</v>
      </c>
      <c r="M1463" s="20" t="s">
        <v>5618</v>
      </c>
      <c r="N1463" s="20" t="s">
        <v>5624</v>
      </c>
      <c r="P1463" s="20" t="s">
        <v>5618</v>
      </c>
      <c r="Q1463" s="20" t="s">
        <v>5625</v>
      </c>
      <c r="R1463" s="20" t="s">
        <v>84</v>
      </c>
      <c r="S1463" s="20" t="s">
        <v>123</v>
      </c>
      <c r="T1463" s="20" t="s">
        <v>198</v>
      </c>
      <c r="U1463" s="20" t="s">
        <v>199</v>
      </c>
      <c r="V1463" s="20" t="s">
        <v>5502</v>
      </c>
      <c r="W1463" s="20">
        <v>210</v>
      </c>
      <c r="X1463" s="20">
        <v>210</v>
      </c>
      <c r="Y1463" s="20" t="s">
        <v>5651</v>
      </c>
      <c r="Z1463" s="20">
        <v>1</v>
      </c>
      <c r="AA1463" s="20" t="s">
        <v>5652</v>
      </c>
      <c r="AB1463" s="20" t="s">
        <v>248</v>
      </c>
      <c r="AC1463" s="20" t="s">
        <v>249</v>
      </c>
      <c r="AD1463" s="20" t="s">
        <v>5653</v>
      </c>
      <c r="AE1463" s="20" t="s">
        <v>400</v>
      </c>
      <c r="AF1463" s="20">
        <v>1</v>
      </c>
      <c r="AG1463" s="20">
        <v>0</v>
      </c>
      <c r="AH1463" s="20">
        <v>1</v>
      </c>
      <c r="AI1463" s="4" t="s">
        <v>251</v>
      </c>
      <c r="AJ1463" s="20">
        <v>5</v>
      </c>
      <c r="AK1463" s="4" t="s">
        <v>179</v>
      </c>
      <c r="AL1463" s="4">
        <v>45</v>
      </c>
      <c r="AM1463" s="4">
        <v>45</v>
      </c>
      <c r="AN1463" s="4" t="s">
        <v>95</v>
      </c>
      <c r="AO1463" s="4" t="s">
        <v>96</v>
      </c>
      <c r="AP1463" s="4">
        <v>1</v>
      </c>
      <c r="AQ1463" s="20">
        <v>53000</v>
      </c>
      <c r="AR1463" s="4">
        <v>41971</v>
      </c>
      <c r="AS1463" s="20">
        <v>8030.3030303030291</v>
      </c>
      <c r="AT1463" s="20">
        <v>0</v>
      </c>
      <c r="AU1463" s="20">
        <v>-8030.3030303030291</v>
      </c>
      <c r="AV1463" s="20">
        <v>0</v>
      </c>
      <c r="AW1463" s="20">
        <v>0</v>
      </c>
      <c r="AX1463" s="20" t="s">
        <v>91</v>
      </c>
      <c r="AY1463" s="20">
        <v>0</v>
      </c>
      <c r="AZ1463" s="20">
        <v>0</v>
      </c>
      <c r="BA1463" s="20">
        <v>0</v>
      </c>
      <c r="BB1463" s="6">
        <v>41971</v>
      </c>
      <c r="BC1463" s="6">
        <v>0</v>
      </c>
      <c r="BD1463" s="6">
        <v>41976</v>
      </c>
      <c r="BE1463" s="6">
        <v>0</v>
      </c>
      <c r="BF1463" s="6">
        <v>41975</v>
      </c>
      <c r="BG1463" s="6">
        <v>0</v>
      </c>
      <c r="BH1463" s="6">
        <v>0</v>
      </c>
      <c r="BI1463" s="6">
        <v>0</v>
      </c>
      <c r="BJ1463" s="6">
        <v>0</v>
      </c>
      <c r="BK1463" s="4">
        <v>0</v>
      </c>
      <c r="BL1463" s="4">
        <v>0</v>
      </c>
      <c r="BM1463" s="20">
        <v>5</v>
      </c>
      <c r="BN1463" s="20">
        <v>0</v>
      </c>
      <c r="BO1463" s="20">
        <v>0</v>
      </c>
      <c r="BP1463" s="20">
        <v>0</v>
      </c>
      <c r="BQ1463" s="20">
        <v>0</v>
      </c>
      <c r="BR1463" s="20">
        <v>0</v>
      </c>
      <c r="BS1463" s="20">
        <v>5</v>
      </c>
      <c r="BT1463" s="20">
        <v>40151.515151515145</v>
      </c>
      <c r="BU1463" s="20">
        <v>265000</v>
      </c>
      <c r="BV1463" s="20">
        <v>6</v>
      </c>
    </row>
    <row r="1464" spans="1:74">
      <c r="A1464" s="10">
        <f t="shared" si="90"/>
        <v>0</v>
      </c>
      <c r="B1464" s="10">
        <f t="shared" si="91"/>
        <v>0</v>
      </c>
      <c r="C1464" s="12" t="str">
        <f t="shared" si="92"/>
        <v/>
      </c>
      <c r="D1464" s="12" t="str">
        <f t="shared" si="93"/>
        <v/>
      </c>
      <c r="E1464" s="20" t="s">
        <v>91</v>
      </c>
      <c r="F1464" s="20" t="s">
        <v>91</v>
      </c>
      <c r="G1464" s="20" t="s">
        <v>91</v>
      </c>
      <c r="H1464" s="20" t="s">
        <v>91</v>
      </c>
      <c r="I1464" s="20">
        <v>0</v>
      </c>
      <c r="J1464" s="20" t="s">
        <v>103</v>
      </c>
      <c r="K1464" s="20" t="s">
        <v>104</v>
      </c>
      <c r="L1464" s="20">
        <v>0</v>
      </c>
      <c r="M1464" s="20" t="s">
        <v>105</v>
      </c>
      <c r="N1464" s="20" t="s">
        <v>91</v>
      </c>
      <c r="O1464" s="20" t="s">
        <v>5654</v>
      </c>
      <c r="Q1464" s="20" t="s">
        <v>91</v>
      </c>
      <c r="R1464" s="20" t="s">
        <v>91</v>
      </c>
      <c r="S1464" s="20" t="s">
        <v>91</v>
      </c>
      <c r="U1464" s="20" t="s">
        <v>91</v>
      </c>
      <c r="X1464" s="20" t="s">
        <v>91</v>
      </c>
      <c r="Y1464" s="20" t="s">
        <v>91</v>
      </c>
      <c r="Z1464" s="20">
        <v>2</v>
      </c>
      <c r="AB1464" s="20" t="s">
        <v>91</v>
      </c>
      <c r="AD1464" s="20" t="s">
        <v>91</v>
      </c>
      <c r="AE1464" s="20" t="s">
        <v>91</v>
      </c>
      <c r="AF1464" s="20">
        <v>2</v>
      </c>
      <c r="AG1464" s="20">
        <v>0</v>
      </c>
      <c r="AH1464" s="20">
        <v>1</v>
      </c>
      <c r="AM1464" s="4" t="s">
        <v>91</v>
      </c>
      <c r="AN1464" s="4" t="s">
        <v>95</v>
      </c>
      <c r="AP1464" s="4" t="s">
        <v>91</v>
      </c>
      <c r="AQ1464" s="20">
        <v>0</v>
      </c>
      <c r="AR1464" s="4">
        <v>0</v>
      </c>
      <c r="AS1464" s="20">
        <v>0</v>
      </c>
      <c r="AT1464" s="20">
        <v>0</v>
      </c>
      <c r="AU1464" s="20">
        <v>0</v>
      </c>
      <c r="AV1464" s="20">
        <v>0</v>
      </c>
      <c r="AW1464" s="20">
        <v>0</v>
      </c>
      <c r="AX1464" s="20" t="s">
        <v>91</v>
      </c>
      <c r="AY1464" s="20">
        <v>0</v>
      </c>
      <c r="AZ1464" s="20">
        <v>0</v>
      </c>
      <c r="BA1464" s="20">
        <v>0</v>
      </c>
      <c r="BB1464" s="6">
        <v>0</v>
      </c>
      <c r="BC1464" s="6">
        <v>0</v>
      </c>
      <c r="BD1464" s="6">
        <v>0</v>
      </c>
      <c r="BE1464" s="6">
        <v>0</v>
      </c>
      <c r="BF1464" s="6">
        <v>0</v>
      </c>
      <c r="BG1464" s="6">
        <v>0</v>
      </c>
      <c r="BH1464" s="6">
        <v>0</v>
      </c>
      <c r="BI1464" s="6">
        <v>0</v>
      </c>
      <c r="BJ1464" s="6">
        <v>0</v>
      </c>
      <c r="BK1464" s="4">
        <v>0</v>
      </c>
      <c r="BL1464" s="4">
        <v>0</v>
      </c>
      <c r="BM1464" s="20">
        <v>10</v>
      </c>
      <c r="BN1464" s="20">
        <v>0</v>
      </c>
      <c r="BO1464" s="20">
        <v>0</v>
      </c>
      <c r="BP1464" s="20">
        <v>0</v>
      </c>
      <c r="BQ1464" s="20">
        <v>0</v>
      </c>
      <c r="BR1464" s="20">
        <v>0</v>
      </c>
      <c r="BS1464" s="20">
        <v>10</v>
      </c>
      <c r="BT1464" s="20">
        <v>74242.424242424226</v>
      </c>
      <c r="BU1464" s="20">
        <v>490000</v>
      </c>
      <c r="BV1464" s="20">
        <v>6.0000000000000009</v>
      </c>
    </row>
    <row r="1465" spans="1:74">
      <c r="A1465" s="10">
        <f t="shared" si="90"/>
        <v>0</v>
      </c>
      <c r="B1465" s="10">
        <f t="shared" si="91"/>
        <v>0</v>
      </c>
      <c r="C1465" s="12">
        <f t="shared" si="92"/>
        <v>11</v>
      </c>
      <c r="D1465" s="12">
        <f t="shared" si="93"/>
        <v>12</v>
      </c>
      <c r="E1465" s="20" t="s">
        <v>114</v>
      </c>
      <c r="F1465" s="20" t="s">
        <v>5655</v>
      </c>
      <c r="G1465" s="20" t="s">
        <v>5656</v>
      </c>
      <c r="H1465" s="20" t="s">
        <v>5657</v>
      </c>
      <c r="I1465" s="20">
        <v>1</v>
      </c>
      <c r="J1465" s="20" t="s">
        <v>5658</v>
      </c>
      <c r="K1465" s="20" t="s">
        <v>5659</v>
      </c>
      <c r="L1465" s="20" t="s">
        <v>5660</v>
      </c>
      <c r="M1465" s="20" t="s">
        <v>5655</v>
      </c>
      <c r="N1465" s="20" t="s">
        <v>5661</v>
      </c>
      <c r="P1465" s="20" t="s">
        <v>5655</v>
      </c>
      <c r="Q1465" s="20" t="s">
        <v>5662</v>
      </c>
      <c r="R1465" s="20" t="s">
        <v>84</v>
      </c>
      <c r="S1465" s="20" t="s">
        <v>123</v>
      </c>
      <c r="T1465" s="20" t="s">
        <v>124</v>
      </c>
      <c r="U1465" s="20" t="s">
        <v>125</v>
      </c>
      <c r="V1465" s="20" t="s">
        <v>5502</v>
      </c>
      <c r="W1465" s="20">
        <v>1</v>
      </c>
      <c r="X1465" s="20" t="s">
        <v>5513</v>
      </c>
      <c r="Y1465" s="20" t="s">
        <v>5663</v>
      </c>
      <c r="Z1465" s="20">
        <v>1</v>
      </c>
      <c r="AA1465" s="20" t="s">
        <v>5664</v>
      </c>
      <c r="AB1465" s="20" t="s">
        <v>248</v>
      </c>
      <c r="AC1465" s="20" t="s">
        <v>249</v>
      </c>
      <c r="AD1465" s="20" t="s">
        <v>5665</v>
      </c>
      <c r="AE1465" s="20" t="s">
        <v>91</v>
      </c>
      <c r="AF1465" s="20">
        <v>1</v>
      </c>
      <c r="AG1465" s="20">
        <v>0</v>
      </c>
      <c r="AH1465" s="20">
        <v>1</v>
      </c>
      <c r="AI1465" s="4" t="s">
        <v>251</v>
      </c>
      <c r="AJ1465" s="20">
        <v>5</v>
      </c>
      <c r="AK1465" s="4" t="s">
        <v>1113</v>
      </c>
      <c r="AL1465" s="4">
        <v>5</v>
      </c>
      <c r="AM1465" s="4" t="s">
        <v>485</v>
      </c>
      <c r="AN1465" s="4" t="s">
        <v>95</v>
      </c>
      <c r="AO1465" s="4" t="s">
        <v>1018</v>
      </c>
      <c r="AP1465" s="4">
        <v>1</v>
      </c>
      <c r="AQ1465" s="20">
        <v>45000</v>
      </c>
      <c r="AR1465" s="4">
        <v>41971</v>
      </c>
      <c r="AS1465" s="20">
        <v>8181.8181818181811</v>
      </c>
      <c r="AT1465" s="20">
        <v>0</v>
      </c>
      <c r="AU1465" s="20">
        <v>-8181.8181818181811</v>
      </c>
      <c r="AV1465" s="20">
        <v>0</v>
      </c>
      <c r="AW1465" s="20">
        <v>0</v>
      </c>
      <c r="AX1465" s="20" t="s">
        <v>91</v>
      </c>
      <c r="AY1465" s="20">
        <v>0</v>
      </c>
      <c r="AZ1465" s="20">
        <v>0</v>
      </c>
      <c r="BA1465" s="20">
        <v>0</v>
      </c>
      <c r="BB1465" s="6">
        <v>41971</v>
      </c>
      <c r="BC1465" s="6">
        <v>0</v>
      </c>
      <c r="BD1465" s="6">
        <v>41976</v>
      </c>
      <c r="BE1465" s="6">
        <v>0</v>
      </c>
      <c r="BF1465" s="6">
        <v>41975</v>
      </c>
      <c r="BG1465" s="6">
        <v>0</v>
      </c>
      <c r="BH1465" s="6">
        <v>0</v>
      </c>
      <c r="BI1465" s="6">
        <v>0</v>
      </c>
      <c r="BJ1465" s="6">
        <v>0</v>
      </c>
      <c r="BK1465" s="4">
        <v>0</v>
      </c>
      <c r="BL1465" s="4">
        <v>0</v>
      </c>
      <c r="BM1465" s="20">
        <v>5</v>
      </c>
      <c r="BN1465" s="20">
        <v>0</v>
      </c>
      <c r="BO1465" s="20">
        <v>0</v>
      </c>
      <c r="BP1465" s="20">
        <v>0</v>
      </c>
      <c r="BQ1465" s="20">
        <v>0</v>
      </c>
      <c r="BR1465" s="20">
        <v>0</v>
      </c>
      <c r="BS1465" s="20">
        <v>5</v>
      </c>
      <c r="BT1465" s="20">
        <v>40909.090909090904</v>
      </c>
      <c r="BU1465" s="20">
        <v>225000</v>
      </c>
      <c r="BV1465" s="20">
        <v>5</v>
      </c>
    </row>
    <row r="1466" spans="1:74">
      <c r="A1466" s="10">
        <f t="shared" si="90"/>
        <v>0</v>
      </c>
      <c r="B1466" s="10">
        <f t="shared" si="91"/>
        <v>0</v>
      </c>
      <c r="C1466" s="12">
        <f t="shared" si="92"/>
        <v>11</v>
      </c>
      <c r="D1466" s="12">
        <f t="shared" si="93"/>
        <v>12</v>
      </c>
      <c r="E1466" s="20" t="s">
        <v>114</v>
      </c>
      <c r="F1466" s="20" t="s">
        <v>5655</v>
      </c>
      <c r="G1466" s="20" t="s">
        <v>5656</v>
      </c>
      <c r="H1466" s="20" t="s">
        <v>5666</v>
      </c>
      <c r="I1466" s="20">
        <v>2</v>
      </c>
      <c r="J1466" s="20" t="s">
        <v>5667</v>
      </c>
      <c r="K1466" s="20" t="s">
        <v>5668</v>
      </c>
      <c r="L1466" s="20" t="s">
        <v>5669</v>
      </c>
      <c r="M1466" s="20" t="s">
        <v>5655</v>
      </c>
      <c r="N1466" s="20" t="s">
        <v>5661</v>
      </c>
      <c r="P1466" s="20" t="s">
        <v>5655</v>
      </c>
      <c r="Q1466" s="20" t="s">
        <v>5662</v>
      </c>
      <c r="R1466" s="20" t="s">
        <v>84</v>
      </c>
      <c r="S1466" s="20" t="s">
        <v>123</v>
      </c>
      <c r="T1466" s="20" t="s">
        <v>124</v>
      </c>
      <c r="U1466" s="20" t="s">
        <v>125</v>
      </c>
      <c r="V1466" s="20" t="s">
        <v>5502</v>
      </c>
      <c r="W1466" s="20">
        <v>4</v>
      </c>
      <c r="X1466" s="20" t="s">
        <v>5670</v>
      </c>
      <c r="Y1466" s="20" t="s">
        <v>5671</v>
      </c>
      <c r="Z1466" s="20">
        <v>1</v>
      </c>
      <c r="AA1466" s="20" t="s">
        <v>5672</v>
      </c>
      <c r="AB1466" s="20" t="s">
        <v>176</v>
      </c>
      <c r="AC1466" s="20" t="s">
        <v>177</v>
      </c>
      <c r="AD1466" s="20" t="s">
        <v>5673</v>
      </c>
      <c r="AE1466" s="20" t="s">
        <v>91</v>
      </c>
      <c r="AF1466" s="20">
        <v>1</v>
      </c>
      <c r="AG1466" s="20">
        <v>0</v>
      </c>
      <c r="AH1466" s="20">
        <v>1</v>
      </c>
      <c r="AI1466" s="4" t="s">
        <v>251</v>
      </c>
      <c r="AJ1466" s="20">
        <v>7</v>
      </c>
      <c r="AK1466" s="4" t="s">
        <v>1113</v>
      </c>
      <c r="AL1466" s="4">
        <v>5</v>
      </c>
      <c r="AM1466" s="4" t="s">
        <v>485</v>
      </c>
      <c r="AN1466" s="4" t="s">
        <v>95</v>
      </c>
      <c r="AO1466" s="4" t="s">
        <v>1018</v>
      </c>
      <c r="AP1466" s="4">
        <v>1</v>
      </c>
      <c r="AQ1466" s="20">
        <v>45000</v>
      </c>
      <c r="AR1466" s="4">
        <v>41971</v>
      </c>
      <c r="AS1466" s="20">
        <v>8181.8181818181811</v>
      </c>
      <c r="AT1466" s="20">
        <v>0</v>
      </c>
      <c r="AU1466" s="20">
        <v>-8181.8181818181811</v>
      </c>
      <c r="AV1466" s="20">
        <v>0</v>
      </c>
      <c r="AW1466" s="20">
        <v>0</v>
      </c>
      <c r="AX1466" s="20" t="s">
        <v>91</v>
      </c>
      <c r="AY1466" s="20">
        <v>0</v>
      </c>
      <c r="AZ1466" s="20">
        <v>0</v>
      </c>
      <c r="BA1466" s="20">
        <v>0</v>
      </c>
      <c r="BB1466" s="6">
        <v>41971</v>
      </c>
      <c r="BC1466" s="6">
        <v>0</v>
      </c>
      <c r="BD1466" s="6">
        <v>41976</v>
      </c>
      <c r="BE1466" s="6">
        <v>0</v>
      </c>
      <c r="BF1466" s="6">
        <v>41975</v>
      </c>
      <c r="BG1466" s="6">
        <v>0</v>
      </c>
      <c r="BH1466" s="6">
        <v>0</v>
      </c>
      <c r="BI1466" s="6">
        <v>0</v>
      </c>
      <c r="BJ1466" s="6">
        <v>0</v>
      </c>
      <c r="BK1466" s="4">
        <v>0</v>
      </c>
      <c r="BL1466" s="4">
        <v>0</v>
      </c>
      <c r="BM1466" s="20">
        <v>7</v>
      </c>
      <c r="BN1466" s="20">
        <v>0</v>
      </c>
      <c r="BO1466" s="20">
        <v>0</v>
      </c>
      <c r="BP1466" s="20">
        <v>0</v>
      </c>
      <c r="BQ1466" s="20">
        <v>0</v>
      </c>
      <c r="BR1466" s="20">
        <v>0</v>
      </c>
      <c r="BS1466" s="20">
        <v>7</v>
      </c>
      <c r="BT1466" s="20">
        <v>57272.727272727265</v>
      </c>
      <c r="BU1466" s="20">
        <v>315000</v>
      </c>
      <c r="BV1466" s="20">
        <v>5.0000000000000009</v>
      </c>
    </row>
    <row r="1467" spans="1:74">
      <c r="A1467" s="10">
        <f t="shared" si="90"/>
        <v>0</v>
      </c>
      <c r="B1467" s="10">
        <f t="shared" si="91"/>
        <v>0</v>
      </c>
      <c r="C1467" s="12" t="str">
        <f t="shared" si="92"/>
        <v/>
      </c>
      <c r="D1467" s="12" t="str">
        <f t="shared" si="93"/>
        <v/>
      </c>
      <c r="E1467" s="20" t="s">
        <v>91</v>
      </c>
      <c r="F1467" s="20" t="s">
        <v>91</v>
      </c>
      <c r="G1467" s="20" t="s">
        <v>91</v>
      </c>
      <c r="H1467" s="20" t="s">
        <v>91</v>
      </c>
      <c r="I1467" s="20">
        <v>0</v>
      </c>
      <c r="J1467" s="20" t="s">
        <v>103</v>
      </c>
      <c r="K1467" s="20" t="s">
        <v>104</v>
      </c>
      <c r="L1467" s="20">
        <v>0</v>
      </c>
      <c r="M1467" s="20" t="s">
        <v>105</v>
      </c>
      <c r="N1467" s="20" t="s">
        <v>91</v>
      </c>
      <c r="O1467" s="20" t="s">
        <v>5674</v>
      </c>
      <c r="Q1467" s="20" t="s">
        <v>91</v>
      </c>
      <c r="R1467" s="20" t="s">
        <v>91</v>
      </c>
      <c r="S1467" s="20" t="s">
        <v>91</v>
      </c>
      <c r="U1467" s="20" t="s">
        <v>91</v>
      </c>
      <c r="X1467" s="20" t="s">
        <v>91</v>
      </c>
      <c r="Y1467" s="20" t="s">
        <v>91</v>
      </c>
      <c r="Z1467" s="20">
        <v>2</v>
      </c>
      <c r="AB1467" s="20" t="s">
        <v>91</v>
      </c>
      <c r="AD1467" s="20" t="s">
        <v>91</v>
      </c>
      <c r="AE1467" s="20" t="s">
        <v>91</v>
      </c>
      <c r="AF1467" s="20">
        <v>2</v>
      </c>
      <c r="AG1467" s="20">
        <v>0</v>
      </c>
      <c r="AH1467" s="20">
        <v>1</v>
      </c>
      <c r="AM1467" s="4" t="s">
        <v>91</v>
      </c>
      <c r="AN1467" s="4" t="s">
        <v>95</v>
      </c>
      <c r="AP1467" s="4" t="s">
        <v>91</v>
      </c>
      <c r="AQ1467" s="20">
        <v>0</v>
      </c>
      <c r="AR1467" s="4">
        <v>0</v>
      </c>
      <c r="AS1467" s="20">
        <v>0</v>
      </c>
      <c r="AT1467" s="20">
        <v>0</v>
      </c>
      <c r="AU1467" s="20">
        <v>0</v>
      </c>
      <c r="AV1467" s="20">
        <v>0</v>
      </c>
      <c r="AW1467" s="20">
        <v>0</v>
      </c>
      <c r="AX1467" s="20" t="s">
        <v>91</v>
      </c>
      <c r="AY1467" s="20">
        <v>0</v>
      </c>
      <c r="AZ1467" s="20">
        <v>0</v>
      </c>
      <c r="BA1467" s="20">
        <v>0</v>
      </c>
      <c r="BB1467" s="6">
        <v>0</v>
      </c>
      <c r="BC1467" s="6">
        <v>0</v>
      </c>
      <c r="BD1467" s="6">
        <v>0</v>
      </c>
      <c r="BE1467" s="6">
        <v>0</v>
      </c>
      <c r="BF1467" s="6">
        <v>0</v>
      </c>
      <c r="BG1467" s="6">
        <v>0</v>
      </c>
      <c r="BH1467" s="6">
        <v>0</v>
      </c>
      <c r="BI1467" s="6">
        <v>0</v>
      </c>
      <c r="BJ1467" s="6">
        <v>0</v>
      </c>
      <c r="BK1467" s="4">
        <v>0</v>
      </c>
      <c r="BL1467" s="4">
        <v>0</v>
      </c>
      <c r="BM1467" s="20">
        <v>12</v>
      </c>
      <c r="BN1467" s="20">
        <v>0</v>
      </c>
      <c r="BO1467" s="20">
        <v>0</v>
      </c>
      <c r="BP1467" s="20">
        <v>0</v>
      </c>
      <c r="BQ1467" s="20">
        <v>0</v>
      </c>
      <c r="BR1467" s="20">
        <v>0</v>
      </c>
      <c r="BS1467" s="20">
        <v>12</v>
      </c>
      <c r="BT1467" s="20">
        <v>98181.818181818177</v>
      </c>
      <c r="BU1467" s="20">
        <v>540000</v>
      </c>
      <c r="BV1467" s="20">
        <v>5</v>
      </c>
    </row>
    <row r="1468" spans="1:74">
      <c r="A1468" s="10">
        <f t="shared" si="90"/>
        <v>0</v>
      </c>
      <c r="B1468" s="10">
        <f t="shared" si="91"/>
        <v>0</v>
      </c>
      <c r="C1468" s="12">
        <f t="shared" si="92"/>
        <v>11</v>
      </c>
      <c r="D1468" s="12">
        <f t="shared" si="93"/>
        <v>12</v>
      </c>
      <c r="E1468" s="20" t="s">
        <v>114</v>
      </c>
      <c r="F1468" s="20" t="s">
        <v>5655</v>
      </c>
      <c r="G1468" s="20" t="s">
        <v>5675</v>
      </c>
      <c r="H1468" s="20" t="s">
        <v>5676</v>
      </c>
      <c r="I1468" s="20">
        <v>1</v>
      </c>
      <c r="J1468" s="20" t="s">
        <v>5677</v>
      </c>
      <c r="K1468" s="20" t="s">
        <v>5678</v>
      </c>
      <c r="L1468" s="20" t="s">
        <v>5679</v>
      </c>
      <c r="M1468" s="20" t="s">
        <v>5655</v>
      </c>
      <c r="N1468" s="20" t="s">
        <v>5661</v>
      </c>
      <c r="P1468" s="20" t="s">
        <v>5655</v>
      </c>
      <c r="Q1468" s="20" t="s">
        <v>5662</v>
      </c>
      <c r="R1468" s="20" t="s">
        <v>84</v>
      </c>
      <c r="S1468" s="20" t="s">
        <v>123</v>
      </c>
      <c r="T1468" s="20" t="s">
        <v>124</v>
      </c>
      <c r="U1468" s="20" t="s">
        <v>125</v>
      </c>
      <c r="V1468" s="20" t="s">
        <v>5502</v>
      </c>
      <c r="W1468" s="20">
        <v>16</v>
      </c>
      <c r="X1468" s="20" t="s">
        <v>5680</v>
      </c>
      <c r="Y1468" s="20" t="s">
        <v>5681</v>
      </c>
      <c r="Z1468" s="20">
        <v>1</v>
      </c>
      <c r="AA1468" s="20" t="s">
        <v>5682</v>
      </c>
      <c r="AB1468" s="20" t="s">
        <v>109</v>
      </c>
      <c r="AC1468" s="20" t="s">
        <v>110</v>
      </c>
      <c r="AD1468" s="20" t="s">
        <v>5683</v>
      </c>
      <c r="AE1468" s="20" t="s">
        <v>91</v>
      </c>
      <c r="AF1468" s="20">
        <v>1</v>
      </c>
      <c r="AG1468" s="20">
        <v>0</v>
      </c>
      <c r="AH1468" s="20">
        <v>1</v>
      </c>
      <c r="AI1468" s="4" t="s">
        <v>251</v>
      </c>
      <c r="AJ1468" s="20">
        <v>5</v>
      </c>
      <c r="AK1468" s="4" t="s">
        <v>1030</v>
      </c>
      <c r="AL1468" s="4">
        <v>2</v>
      </c>
      <c r="AM1468" s="4" t="s">
        <v>94</v>
      </c>
      <c r="AN1468" s="4" t="s">
        <v>95</v>
      </c>
      <c r="AO1468" s="4" t="s">
        <v>96</v>
      </c>
      <c r="AP1468" s="4">
        <v>1</v>
      </c>
      <c r="AQ1468" s="20">
        <v>45000</v>
      </c>
      <c r="AR1468" s="4">
        <v>41971</v>
      </c>
      <c r="AS1468" s="20">
        <v>4545.454545454545</v>
      </c>
      <c r="AT1468" s="20">
        <v>0</v>
      </c>
      <c r="AU1468" s="20">
        <v>-4545.454545454545</v>
      </c>
      <c r="AV1468" s="20">
        <v>0</v>
      </c>
      <c r="AW1468" s="20">
        <v>0</v>
      </c>
      <c r="AX1468" s="20" t="s">
        <v>91</v>
      </c>
      <c r="AY1468" s="20">
        <v>0</v>
      </c>
      <c r="AZ1468" s="20">
        <v>0</v>
      </c>
      <c r="BA1468" s="20">
        <v>0</v>
      </c>
      <c r="BB1468" s="6">
        <v>41971</v>
      </c>
      <c r="BC1468" s="6">
        <v>0</v>
      </c>
      <c r="BD1468" s="6">
        <v>41976</v>
      </c>
      <c r="BE1468" s="6">
        <v>0</v>
      </c>
      <c r="BF1468" s="6">
        <v>41975</v>
      </c>
      <c r="BG1468" s="6">
        <v>0</v>
      </c>
      <c r="BH1468" s="6">
        <v>0</v>
      </c>
      <c r="BI1468" s="6">
        <v>0</v>
      </c>
      <c r="BJ1468" s="6">
        <v>0</v>
      </c>
      <c r="BK1468" s="4">
        <v>0</v>
      </c>
      <c r="BL1468" s="4">
        <v>0</v>
      </c>
      <c r="BM1468" s="20">
        <v>5</v>
      </c>
      <c r="BN1468" s="20">
        <v>0</v>
      </c>
      <c r="BO1468" s="20">
        <v>0</v>
      </c>
      <c r="BP1468" s="20">
        <v>0</v>
      </c>
      <c r="BQ1468" s="20">
        <v>0</v>
      </c>
      <c r="BR1468" s="20">
        <v>0</v>
      </c>
      <c r="BS1468" s="20">
        <v>5</v>
      </c>
      <c r="BT1468" s="20">
        <v>22727.272727272724</v>
      </c>
      <c r="BU1468" s="20">
        <v>225000</v>
      </c>
      <c r="BV1468" s="20">
        <v>9</v>
      </c>
    </row>
    <row r="1469" spans="1:74">
      <c r="A1469" s="10">
        <f t="shared" si="90"/>
        <v>0</v>
      </c>
      <c r="B1469" s="10">
        <f t="shared" si="91"/>
        <v>0</v>
      </c>
      <c r="C1469" s="12" t="str">
        <f t="shared" si="92"/>
        <v/>
      </c>
      <c r="D1469" s="12" t="str">
        <f t="shared" si="93"/>
        <v/>
      </c>
      <c r="E1469" s="20" t="s">
        <v>91</v>
      </c>
      <c r="F1469" s="20" t="s">
        <v>91</v>
      </c>
      <c r="G1469" s="20" t="s">
        <v>91</v>
      </c>
      <c r="H1469" s="20" t="s">
        <v>91</v>
      </c>
      <c r="I1469" s="20">
        <v>0</v>
      </c>
      <c r="J1469" s="20" t="s">
        <v>103</v>
      </c>
      <c r="K1469" s="20" t="s">
        <v>104</v>
      </c>
      <c r="L1469" s="20">
        <v>0</v>
      </c>
      <c r="M1469" s="20" t="s">
        <v>105</v>
      </c>
      <c r="N1469" s="20" t="s">
        <v>91</v>
      </c>
      <c r="O1469" s="20" t="s">
        <v>5684</v>
      </c>
      <c r="Q1469" s="20" t="s">
        <v>91</v>
      </c>
      <c r="R1469" s="20" t="s">
        <v>91</v>
      </c>
      <c r="S1469" s="20" t="s">
        <v>91</v>
      </c>
      <c r="U1469" s="20" t="s">
        <v>91</v>
      </c>
      <c r="X1469" s="20" t="s">
        <v>91</v>
      </c>
      <c r="Y1469" s="20" t="s">
        <v>91</v>
      </c>
      <c r="Z1469" s="20">
        <v>1</v>
      </c>
      <c r="AB1469" s="20" t="s">
        <v>91</v>
      </c>
      <c r="AD1469" s="20" t="s">
        <v>91</v>
      </c>
      <c r="AE1469" s="20" t="s">
        <v>91</v>
      </c>
      <c r="AF1469" s="20">
        <v>1</v>
      </c>
      <c r="AG1469" s="20">
        <v>0</v>
      </c>
      <c r="AH1469" s="20">
        <v>1</v>
      </c>
      <c r="AM1469" s="4" t="s">
        <v>91</v>
      </c>
      <c r="AN1469" s="4" t="s">
        <v>95</v>
      </c>
      <c r="AP1469" s="4" t="s">
        <v>91</v>
      </c>
      <c r="AQ1469" s="20">
        <v>0</v>
      </c>
      <c r="AR1469" s="4">
        <v>0</v>
      </c>
      <c r="AS1469" s="20">
        <v>0</v>
      </c>
      <c r="AT1469" s="20">
        <v>0</v>
      </c>
      <c r="AU1469" s="20">
        <v>0</v>
      </c>
      <c r="AV1469" s="20">
        <v>0</v>
      </c>
      <c r="AW1469" s="20">
        <v>0</v>
      </c>
      <c r="AX1469" s="20" t="s">
        <v>91</v>
      </c>
      <c r="AY1469" s="20">
        <v>0</v>
      </c>
      <c r="AZ1469" s="20">
        <v>0</v>
      </c>
      <c r="BA1469" s="20">
        <v>0</v>
      </c>
      <c r="BB1469" s="6">
        <v>0</v>
      </c>
      <c r="BC1469" s="6">
        <v>0</v>
      </c>
      <c r="BD1469" s="6">
        <v>0</v>
      </c>
      <c r="BE1469" s="6">
        <v>0</v>
      </c>
      <c r="BF1469" s="6">
        <v>0</v>
      </c>
      <c r="BG1469" s="6">
        <v>0</v>
      </c>
      <c r="BH1469" s="6">
        <v>0</v>
      </c>
      <c r="BI1469" s="6">
        <v>0</v>
      </c>
      <c r="BJ1469" s="6">
        <v>0</v>
      </c>
      <c r="BK1469" s="4">
        <v>0</v>
      </c>
      <c r="BL1469" s="4">
        <v>0</v>
      </c>
      <c r="BM1469" s="20">
        <v>5</v>
      </c>
      <c r="BN1469" s="20">
        <v>0</v>
      </c>
      <c r="BO1469" s="20">
        <v>0</v>
      </c>
      <c r="BP1469" s="20">
        <v>0</v>
      </c>
      <c r="BQ1469" s="20">
        <v>0</v>
      </c>
      <c r="BR1469" s="20">
        <v>0</v>
      </c>
      <c r="BS1469" s="20">
        <v>5</v>
      </c>
      <c r="BT1469" s="20">
        <v>22727.272727272724</v>
      </c>
      <c r="BU1469" s="20">
        <v>225000</v>
      </c>
      <c r="BV1469" s="20">
        <v>9</v>
      </c>
    </row>
    <row r="1470" spans="1:74">
      <c r="A1470" s="10">
        <f t="shared" si="90"/>
        <v>0</v>
      </c>
      <c r="B1470" s="10">
        <f t="shared" si="91"/>
        <v>0</v>
      </c>
      <c r="C1470" s="12">
        <f t="shared" si="92"/>
        <v>11</v>
      </c>
      <c r="D1470" s="12">
        <f t="shared" si="93"/>
        <v>12</v>
      </c>
      <c r="E1470" s="20" t="s">
        <v>424</v>
      </c>
      <c r="F1470" s="20" t="s">
        <v>2790</v>
      </c>
      <c r="G1470" s="20" t="s">
        <v>5685</v>
      </c>
      <c r="H1470" s="20" t="s">
        <v>5686</v>
      </c>
      <c r="I1470" s="20">
        <v>1</v>
      </c>
      <c r="J1470" s="20" t="s">
        <v>5687</v>
      </c>
      <c r="K1470" s="20" t="s">
        <v>5688</v>
      </c>
      <c r="L1470" s="20" t="s">
        <v>5689</v>
      </c>
      <c r="M1470" s="20" t="s">
        <v>2790</v>
      </c>
      <c r="N1470" s="20" t="s">
        <v>5690</v>
      </c>
      <c r="P1470" s="20" t="s">
        <v>2790</v>
      </c>
      <c r="Q1470" s="20" t="s">
        <v>2797</v>
      </c>
      <c r="R1470" s="20" t="s">
        <v>84</v>
      </c>
      <c r="S1470" s="20">
        <v>5</v>
      </c>
      <c r="T1470" s="20" t="s">
        <v>106</v>
      </c>
      <c r="U1470" s="20" t="s">
        <v>107</v>
      </c>
      <c r="V1470" s="20" t="s">
        <v>5502</v>
      </c>
      <c r="W1470" s="20">
        <v>4</v>
      </c>
      <c r="X1470" s="20" t="s">
        <v>5670</v>
      </c>
      <c r="Y1470" s="20" t="s">
        <v>5691</v>
      </c>
      <c r="Z1470" s="20">
        <v>1</v>
      </c>
      <c r="AA1470" s="20" t="s">
        <v>5692</v>
      </c>
      <c r="AB1470" s="20" t="s">
        <v>248</v>
      </c>
      <c r="AC1470" s="20" t="s">
        <v>249</v>
      </c>
      <c r="AD1470" s="20" t="s">
        <v>5693</v>
      </c>
      <c r="AE1470" s="20" t="s">
        <v>91</v>
      </c>
      <c r="AF1470" s="20">
        <v>1</v>
      </c>
      <c r="AG1470" s="20">
        <v>0</v>
      </c>
      <c r="AH1470" s="20">
        <v>1</v>
      </c>
      <c r="AI1470" s="4" t="s">
        <v>251</v>
      </c>
      <c r="AJ1470" s="20">
        <v>5</v>
      </c>
      <c r="AK1470" s="4" t="s">
        <v>179</v>
      </c>
      <c r="AL1470" s="4">
        <v>46</v>
      </c>
      <c r="AM1470" s="4">
        <v>46</v>
      </c>
      <c r="AN1470" s="4" t="s">
        <v>95</v>
      </c>
      <c r="AO1470" s="4" t="s">
        <v>96</v>
      </c>
      <c r="AP1470" s="4">
        <v>1</v>
      </c>
      <c r="AQ1470" s="20">
        <v>69000</v>
      </c>
      <c r="AR1470" s="4">
        <v>41971</v>
      </c>
      <c r="AS1470" s="20">
        <v>10454.545454545454</v>
      </c>
      <c r="AT1470" s="20">
        <v>0</v>
      </c>
      <c r="AU1470" s="20">
        <v>-10454.545454545454</v>
      </c>
      <c r="AV1470" s="20">
        <v>0</v>
      </c>
      <c r="AW1470" s="20">
        <v>0</v>
      </c>
      <c r="AX1470" s="20" t="s">
        <v>91</v>
      </c>
      <c r="AY1470" s="20">
        <v>0</v>
      </c>
      <c r="AZ1470" s="20">
        <v>0</v>
      </c>
      <c r="BA1470" s="20">
        <v>0</v>
      </c>
      <c r="BB1470" s="6">
        <v>41971</v>
      </c>
      <c r="BC1470" s="6">
        <v>0</v>
      </c>
      <c r="BD1470" s="6">
        <v>41976</v>
      </c>
      <c r="BE1470" s="6">
        <v>0</v>
      </c>
      <c r="BF1470" s="6">
        <v>41975</v>
      </c>
      <c r="BG1470" s="6">
        <v>0</v>
      </c>
      <c r="BH1470" s="6">
        <v>0</v>
      </c>
      <c r="BI1470" s="6">
        <v>0</v>
      </c>
      <c r="BJ1470" s="6">
        <v>0</v>
      </c>
      <c r="BK1470" s="4">
        <v>0</v>
      </c>
      <c r="BL1470" s="4">
        <v>0</v>
      </c>
      <c r="BM1470" s="20">
        <v>5</v>
      </c>
      <c r="BN1470" s="20">
        <v>0</v>
      </c>
      <c r="BO1470" s="20">
        <v>0</v>
      </c>
      <c r="BP1470" s="20">
        <v>0</v>
      </c>
      <c r="BQ1470" s="20">
        <v>0</v>
      </c>
      <c r="BR1470" s="20">
        <v>0</v>
      </c>
      <c r="BS1470" s="20">
        <v>5</v>
      </c>
      <c r="BT1470" s="20">
        <v>52272.727272727272</v>
      </c>
      <c r="BU1470" s="20">
        <v>345000</v>
      </c>
      <c r="BV1470" s="20">
        <v>5.9999999999999991</v>
      </c>
    </row>
    <row r="1471" spans="1:74">
      <c r="A1471" s="10">
        <f t="shared" si="90"/>
        <v>0</v>
      </c>
      <c r="B1471" s="10">
        <f t="shared" si="91"/>
        <v>0</v>
      </c>
      <c r="C1471" s="12">
        <f t="shared" si="92"/>
        <v>11</v>
      </c>
      <c r="D1471" s="12">
        <f t="shared" si="93"/>
        <v>12</v>
      </c>
      <c r="E1471" s="20" t="s">
        <v>424</v>
      </c>
      <c r="F1471" s="20" t="s">
        <v>2790</v>
      </c>
      <c r="G1471" s="20" t="s">
        <v>5685</v>
      </c>
      <c r="H1471" s="20" t="s">
        <v>5694</v>
      </c>
      <c r="I1471" s="20">
        <v>2</v>
      </c>
      <c r="J1471" s="20" t="s">
        <v>5695</v>
      </c>
      <c r="K1471" s="20" t="s">
        <v>5696</v>
      </c>
      <c r="L1471" s="20" t="s">
        <v>5689</v>
      </c>
      <c r="M1471" s="20" t="s">
        <v>2790</v>
      </c>
      <c r="N1471" s="20" t="s">
        <v>5690</v>
      </c>
      <c r="P1471" s="20" t="s">
        <v>2790</v>
      </c>
      <c r="Q1471" s="20" t="s">
        <v>2797</v>
      </c>
      <c r="R1471" s="20" t="s">
        <v>84</v>
      </c>
      <c r="S1471" s="20">
        <v>5</v>
      </c>
      <c r="T1471" s="20" t="s">
        <v>106</v>
      </c>
      <c r="U1471" s="20" t="s">
        <v>107</v>
      </c>
      <c r="V1471" s="20" t="s">
        <v>5502</v>
      </c>
      <c r="W1471" s="20">
        <v>4</v>
      </c>
      <c r="X1471" s="20" t="s">
        <v>5670</v>
      </c>
      <c r="Y1471" s="20" t="s">
        <v>5691</v>
      </c>
      <c r="Z1471" s="20">
        <v>1</v>
      </c>
      <c r="AA1471" s="20" t="s">
        <v>5697</v>
      </c>
      <c r="AB1471" s="20" t="s">
        <v>89</v>
      </c>
      <c r="AC1471" s="20" t="s">
        <v>90</v>
      </c>
      <c r="AD1471" s="20" t="s">
        <v>5698</v>
      </c>
      <c r="AE1471" s="20" t="s">
        <v>91</v>
      </c>
      <c r="AF1471" s="20">
        <v>1</v>
      </c>
      <c r="AG1471" s="20">
        <v>0</v>
      </c>
      <c r="AH1471" s="20">
        <v>1</v>
      </c>
      <c r="AI1471" s="4" t="s">
        <v>251</v>
      </c>
      <c r="AJ1471" s="20">
        <v>5</v>
      </c>
      <c r="AK1471" s="4" t="s">
        <v>179</v>
      </c>
      <c r="AL1471" s="4">
        <v>46</v>
      </c>
      <c r="AM1471" s="4">
        <v>46</v>
      </c>
      <c r="AN1471" s="4" t="s">
        <v>95</v>
      </c>
      <c r="AO1471" s="4" t="s">
        <v>96</v>
      </c>
      <c r="AP1471" s="4">
        <v>1</v>
      </c>
      <c r="AQ1471" s="20">
        <v>69000</v>
      </c>
      <c r="AR1471" s="4">
        <v>41971</v>
      </c>
      <c r="AS1471" s="20">
        <v>10454.545454545454</v>
      </c>
      <c r="AT1471" s="20">
        <v>0</v>
      </c>
      <c r="AU1471" s="20">
        <v>-10454.545454545454</v>
      </c>
      <c r="AV1471" s="20">
        <v>0</v>
      </c>
      <c r="AW1471" s="20">
        <v>0</v>
      </c>
      <c r="AX1471" s="20" t="s">
        <v>91</v>
      </c>
      <c r="AY1471" s="20">
        <v>0</v>
      </c>
      <c r="AZ1471" s="20">
        <v>0</v>
      </c>
      <c r="BA1471" s="20">
        <v>0</v>
      </c>
      <c r="BB1471" s="6">
        <v>41971</v>
      </c>
      <c r="BC1471" s="6">
        <v>0</v>
      </c>
      <c r="BD1471" s="6">
        <v>41976</v>
      </c>
      <c r="BE1471" s="6">
        <v>0</v>
      </c>
      <c r="BF1471" s="6">
        <v>41975</v>
      </c>
      <c r="BG1471" s="6">
        <v>0</v>
      </c>
      <c r="BH1471" s="6">
        <v>0</v>
      </c>
      <c r="BI1471" s="6">
        <v>0</v>
      </c>
      <c r="BJ1471" s="6">
        <v>0</v>
      </c>
      <c r="BK1471" s="4">
        <v>0</v>
      </c>
      <c r="BL1471" s="4">
        <v>0</v>
      </c>
      <c r="BM1471" s="20">
        <v>5</v>
      </c>
      <c r="BN1471" s="20">
        <v>0</v>
      </c>
      <c r="BO1471" s="20">
        <v>0</v>
      </c>
      <c r="BP1471" s="20">
        <v>0</v>
      </c>
      <c r="BQ1471" s="20">
        <v>0</v>
      </c>
      <c r="BR1471" s="20">
        <v>0</v>
      </c>
      <c r="BS1471" s="20">
        <v>5</v>
      </c>
      <c r="BT1471" s="20">
        <v>52272.727272727272</v>
      </c>
      <c r="BU1471" s="20">
        <v>345000</v>
      </c>
      <c r="BV1471" s="20">
        <v>5.9999999999999991</v>
      </c>
    </row>
    <row r="1472" spans="1:74">
      <c r="A1472" s="10">
        <f t="shared" si="90"/>
        <v>0</v>
      </c>
      <c r="B1472" s="10">
        <f t="shared" si="91"/>
        <v>0</v>
      </c>
      <c r="C1472" s="12" t="str">
        <f t="shared" si="92"/>
        <v/>
      </c>
      <c r="D1472" s="12" t="str">
        <f t="shared" si="93"/>
        <v/>
      </c>
      <c r="E1472" s="20" t="s">
        <v>91</v>
      </c>
      <c r="F1472" s="20" t="s">
        <v>91</v>
      </c>
      <c r="G1472" s="20" t="s">
        <v>91</v>
      </c>
      <c r="H1472" s="20" t="s">
        <v>91</v>
      </c>
      <c r="I1472" s="20">
        <v>0</v>
      </c>
      <c r="J1472" s="20" t="s">
        <v>103</v>
      </c>
      <c r="K1472" s="20" t="s">
        <v>104</v>
      </c>
      <c r="L1472" s="20">
        <v>0</v>
      </c>
      <c r="M1472" s="20" t="s">
        <v>105</v>
      </c>
      <c r="N1472" s="20" t="s">
        <v>91</v>
      </c>
      <c r="O1472" s="20" t="s">
        <v>5699</v>
      </c>
      <c r="Q1472" s="20" t="s">
        <v>91</v>
      </c>
      <c r="R1472" s="20" t="s">
        <v>91</v>
      </c>
      <c r="S1472" s="20" t="s">
        <v>91</v>
      </c>
      <c r="U1472" s="20" t="s">
        <v>91</v>
      </c>
      <c r="X1472" s="20" t="s">
        <v>91</v>
      </c>
      <c r="Y1472" s="20" t="s">
        <v>91</v>
      </c>
      <c r="Z1472" s="20">
        <v>2</v>
      </c>
      <c r="AB1472" s="20" t="s">
        <v>91</v>
      </c>
      <c r="AD1472" s="20" t="s">
        <v>91</v>
      </c>
      <c r="AE1472" s="20" t="s">
        <v>91</v>
      </c>
      <c r="AF1472" s="20">
        <v>2</v>
      </c>
      <c r="AG1472" s="20">
        <v>0</v>
      </c>
      <c r="AH1472" s="20">
        <v>1</v>
      </c>
      <c r="AM1472" s="4" t="s">
        <v>91</v>
      </c>
      <c r="AN1472" s="4" t="s">
        <v>95</v>
      </c>
      <c r="AP1472" s="4" t="s">
        <v>91</v>
      </c>
      <c r="AQ1472" s="20">
        <v>0</v>
      </c>
      <c r="AR1472" s="4">
        <v>0</v>
      </c>
      <c r="AS1472" s="20">
        <v>0</v>
      </c>
      <c r="AT1472" s="20">
        <v>0</v>
      </c>
      <c r="AU1472" s="20">
        <v>0</v>
      </c>
      <c r="AV1472" s="20">
        <v>0</v>
      </c>
      <c r="AW1472" s="20">
        <v>0</v>
      </c>
      <c r="AX1472" s="20" t="s">
        <v>91</v>
      </c>
      <c r="AY1472" s="20">
        <v>0</v>
      </c>
      <c r="AZ1472" s="20">
        <v>0</v>
      </c>
      <c r="BA1472" s="20">
        <v>0</v>
      </c>
      <c r="BB1472" s="6">
        <v>0</v>
      </c>
      <c r="BC1472" s="6">
        <v>0</v>
      </c>
      <c r="BD1472" s="6">
        <v>0</v>
      </c>
      <c r="BE1472" s="6">
        <v>0</v>
      </c>
      <c r="BF1472" s="6">
        <v>0</v>
      </c>
      <c r="BG1472" s="6">
        <v>0</v>
      </c>
      <c r="BH1472" s="6">
        <v>0</v>
      </c>
      <c r="BI1472" s="6">
        <v>0</v>
      </c>
      <c r="BJ1472" s="6">
        <v>0</v>
      </c>
      <c r="BK1472" s="4">
        <v>0</v>
      </c>
      <c r="BL1472" s="4">
        <v>0</v>
      </c>
      <c r="BM1472" s="20">
        <v>10</v>
      </c>
      <c r="BN1472" s="20">
        <v>0</v>
      </c>
      <c r="BO1472" s="20">
        <v>0</v>
      </c>
      <c r="BP1472" s="20">
        <v>0</v>
      </c>
      <c r="BQ1472" s="20">
        <v>0</v>
      </c>
      <c r="BR1472" s="20">
        <v>0</v>
      </c>
      <c r="BS1472" s="20">
        <v>10</v>
      </c>
      <c r="BT1472" s="20">
        <v>104545.45454545454</v>
      </c>
      <c r="BU1472" s="20">
        <v>690000</v>
      </c>
      <c r="BV1472" s="20">
        <v>5.9999999999999991</v>
      </c>
    </row>
    <row r="1473" spans="1:74">
      <c r="A1473" s="10">
        <f t="shared" si="90"/>
        <v>0</v>
      </c>
      <c r="B1473" s="10">
        <f t="shared" si="91"/>
        <v>0</v>
      </c>
      <c r="C1473" s="12">
        <f t="shared" si="92"/>
        <v>11</v>
      </c>
      <c r="D1473" s="12">
        <f t="shared" si="93"/>
        <v>12</v>
      </c>
      <c r="E1473" s="20">
        <v>0</v>
      </c>
      <c r="F1473" s="20" t="s">
        <v>3741</v>
      </c>
      <c r="G1473" s="20" t="s">
        <v>5700</v>
      </c>
      <c r="H1473" s="20" t="s">
        <v>5701</v>
      </c>
      <c r="I1473" s="20">
        <v>1</v>
      </c>
      <c r="J1473" s="20" t="s">
        <v>5702</v>
      </c>
      <c r="K1473" s="20" t="s">
        <v>5703</v>
      </c>
      <c r="L1473" s="20" t="s">
        <v>5704</v>
      </c>
      <c r="M1473" s="20" t="s">
        <v>3741</v>
      </c>
      <c r="N1473" s="20" t="s">
        <v>5705</v>
      </c>
      <c r="P1473" s="20" t="s">
        <v>3741</v>
      </c>
      <c r="Q1473" s="20" t="s">
        <v>3743</v>
      </c>
      <c r="R1473" s="20" t="s">
        <v>84</v>
      </c>
      <c r="S1473" s="20" t="s">
        <v>123</v>
      </c>
      <c r="T1473" s="20" t="s">
        <v>85</v>
      </c>
      <c r="U1473" s="20" t="s">
        <v>86</v>
      </c>
      <c r="V1473" s="20" t="s">
        <v>5502</v>
      </c>
      <c r="W1473" s="20">
        <v>407</v>
      </c>
      <c r="X1473" s="20">
        <v>407</v>
      </c>
      <c r="Y1473" s="20" t="s">
        <v>5706</v>
      </c>
      <c r="Z1473" s="20">
        <v>1</v>
      </c>
      <c r="AA1473" s="20" t="s">
        <v>5707</v>
      </c>
      <c r="AB1473" s="20" t="s">
        <v>248</v>
      </c>
      <c r="AC1473" s="20" t="s">
        <v>249</v>
      </c>
      <c r="AD1473" s="20" t="s">
        <v>5708</v>
      </c>
      <c r="AE1473" s="20" t="s">
        <v>400</v>
      </c>
      <c r="AF1473" s="20">
        <v>1</v>
      </c>
      <c r="AG1473" s="20">
        <v>0</v>
      </c>
      <c r="AH1473" s="20">
        <v>1</v>
      </c>
      <c r="AI1473" s="4" t="s">
        <v>251</v>
      </c>
      <c r="AJ1473" s="20">
        <v>7</v>
      </c>
      <c r="AK1473" s="4" t="s">
        <v>93</v>
      </c>
      <c r="AL1473" s="4">
        <v>21</v>
      </c>
      <c r="AM1473" s="4">
        <v>21</v>
      </c>
      <c r="AN1473" s="4" t="s">
        <v>95</v>
      </c>
      <c r="AO1473" s="4" t="s">
        <v>96</v>
      </c>
      <c r="AP1473" s="4">
        <v>1</v>
      </c>
      <c r="AQ1473" s="20">
        <v>59000</v>
      </c>
      <c r="AR1473" s="4">
        <v>41971</v>
      </c>
      <c r="AS1473" s="20">
        <v>8939.3939393939381</v>
      </c>
      <c r="AT1473" s="20">
        <v>0</v>
      </c>
      <c r="AU1473" s="20">
        <v>-8939.3939393939381</v>
      </c>
      <c r="AV1473" s="20">
        <v>0</v>
      </c>
      <c r="AW1473" s="20">
        <v>0</v>
      </c>
      <c r="AX1473" s="20" t="s">
        <v>91</v>
      </c>
      <c r="AY1473" s="20">
        <v>0</v>
      </c>
      <c r="AZ1473" s="20">
        <v>0</v>
      </c>
      <c r="BA1473" s="20">
        <v>0</v>
      </c>
      <c r="BB1473" s="6">
        <v>41971</v>
      </c>
      <c r="BC1473" s="6">
        <v>0</v>
      </c>
      <c r="BD1473" s="6">
        <v>41976</v>
      </c>
      <c r="BE1473" s="6">
        <v>0</v>
      </c>
      <c r="BF1473" s="6">
        <v>41975</v>
      </c>
      <c r="BG1473" s="6">
        <v>0</v>
      </c>
      <c r="BH1473" s="6">
        <v>0</v>
      </c>
      <c r="BI1473" s="6">
        <v>0</v>
      </c>
      <c r="BJ1473" s="6">
        <v>0</v>
      </c>
      <c r="BK1473" s="4">
        <v>0</v>
      </c>
      <c r="BL1473" s="4">
        <v>0</v>
      </c>
      <c r="BM1473" s="20">
        <v>7</v>
      </c>
      <c r="BN1473" s="20">
        <v>0</v>
      </c>
      <c r="BO1473" s="20">
        <v>0</v>
      </c>
      <c r="BP1473" s="20">
        <v>0</v>
      </c>
      <c r="BQ1473" s="20">
        <v>0</v>
      </c>
      <c r="BR1473" s="20">
        <v>0</v>
      </c>
      <c r="BS1473" s="20">
        <v>7</v>
      </c>
      <c r="BT1473" s="20">
        <v>62575.757575757569</v>
      </c>
      <c r="BU1473" s="20">
        <v>413000</v>
      </c>
      <c r="BV1473" s="20">
        <v>6</v>
      </c>
    </row>
    <row r="1474" spans="1:74">
      <c r="A1474" s="10">
        <f t="shared" si="90"/>
        <v>0</v>
      </c>
      <c r="B1474" s="10">
        <f t="shared" si="91"/>
        <v>0</v>
      </c>
      <c r="C1474" s="12">
        <f t="shared" si="92"/>
        <v>11</v>
      </c>
      <c r="D1474" s="12">
        <f t="shared" si="93"/>
        <v>12</v>
      </c>
      <c r="E1474" s="20">
        <v>0</v>
      </c>
      <c r="F1474" s="20" t="s">
        <v>3741</v>
      </c>
      <c r="G1474" s="20" t="s">
        <v>5700</v>
      </c>
      <c r="H1474" s="20" t="s">
        <v>5709</v>
      </c>
      <c r="I1474" s="20">
        <v>2</v>
      </c>
      <c r="J1474" s="20" t="s">
        <v>5710</v>
      </c>
      <c r="K1474" s="20" t="s">
        <v>5711</v>
      </c>
      <c r="L1474" s="20" t="s">
        <v>5712</v>
      </c>
      <c r="M1474" s="20" t="s">
        <v>3741</v>
      </c>
      <c r="N1474" s="20" t="s">
        <v>5705</v>
      </c>
      <c r="P1474" s="20" t="s">
        <v>3741</v>
      </c>
      <c r="Q1474" s="20" t="s">
        <v>3743</v>
      </c>
      <c r="R1474" s="20" t="s">
        <v>84</v>
      </c>
      <c r="S1474" s="20" t="s">
        <v>123</v>
      </c>
      <c r="T1474" s="20" t="s">
        <v>85</v>
      </c>
      <c r="U1474" s="20" t="s">
        <v>86</v>
      </c>
      <c r="V1474" s="20" t="s">
        <v>5502</v>
      </c>
      <c r="W1474" s="20">
        <v>409</v>
      </c>
      <c r="X1474" s="20">
        <v>409</v>
      </c>
      <c r="Y1474" s="20" t="s">
        <v>5713</v>
      </c>
      <c r="Z1474" s="20">
        <v>1</v>
      </c>
      <c r="AA1474" s="20" t="s">
        <v>5714</v>
      </c>
      <c r="AB1474" s="20" t="s">
        <v>248</v>
      </c>
      <c r="AC1474" s="20" t="s">
        <v>249</v>
      </c>
      <c r="AD1474" s="20" t="s">
        <v>5715</v>
      </c>
      <c r="AE1474" s="20" t="s">
        <v>400</v>
      </c>
      <c r="AF1474" s="20">
        <v>1</v>
      </c>
      <c r="AG1474" s="20">
        <v>0</v>
      </c>
      <c r="AH1474" s="20">
        <v>1</v>
      </c>
      <c r="AI1474" s="4" t="s">
        <v>251</v>
      </c>
      <c r="AJ1474" s="20">
        <v>5</v>
      </c>
      <c r="AK1474" s="4" t="s">
        <v>93</v>
      </c>
      <c r="AL1474" s="4">
        <v>21</v>
      </c>
      <c r="AM1474" s="4">
        <v>21</v>
      </c>
      <c r="AN1474" s="4" t="s">
        <v>95</v>
      </c>
      <c r="AO1474" s="4" t="s">
        <v>96</v>
      </c>
      <c r="AP1474" s="4">
        <v>1</v>
      </c>
      <c r="AQ1474" s="20">
        <v>59000</v>
      </c>
      <c r="AR1474" s="4">
        <v>41971</v>
      </c>
      <c r="AS1474" s="20">
        <v>8939.3939393939381</v>
      </c>
      <c r="AT1474" s="20">
        <v>0</v>
      </c>
      <c r="AU1474" s="20">
        <v>-8939.3939393939381</v>
      </c>
      <c r="AV1474" s="20">
        <v>0</v>
      </c>
      <c r="AW1474" s="20">
        <v>0</v>
      </c>
      <c r="AX1474" s="20" t="s">
        <v>91</v>
      </c>
      <c r="AY1474" s="20">
        <v>0</v>
      </c>
      <c r="AZ1474" s="20">
        <v>0</v>
      </c>
      <c r="BA1474" s="20">
        <v>0</v>
      </c>
      <c r="BB1474" s="6">
        <v>41971</v>
      </c>
      <c r="BC1474" s="6">
        <v>0</v>
      </c>
      <c r="BD1474" s="6">
        <v>41976</v>
      </c>
      <c r="BE1474" s="6">
        <v>0</v>
      </c>
      <c r="BF1474" s="6">
        <v>41975</v>
      </c>
      <c r="BG1474" s="6">
        <v>0</v>
      </c>
      <c r="BH1474" s="6">
        <v>0</v>
      </c>
      <c r="BI1474" s="6">
        <v>0</v>
      </c>
      <c r="BJ1474" s="6">
        <v>0</v>
      </c>
      <c r="BK1474" s="4">
        <v>0</v>
      </c>
      <c r="BL1474" s="4">
        <v>0</v>
      </c>
      <c r="BM1474" s="20">
        <v>5</v>
      </c>
      <c r="BN1474" s="20">
        <v>0</v>
      </c>
      <c r="BO1474" s="20">
        <v>0</v>
      </c>
      <c r="BP1474" s="20">
        <v>0</v>
      </c>
      <c r="BQ1474" s="20">
        <v>0</v>
      </c>
      <c r="BR1474" s="20">
        <v>0</v>
      </c>
      <c r="BS1474" s="20">
        <v>5</v>
      </c>
      <c r="BT1474" s="20">
        <v>44696.969696969689</v>
      </c>
      <c r="BU1474" s="20">
        <v>295000</v>
      </c>
      <c r="BV1474" s="20">
        <v>6</v>
      </c>
    </row>
    <row r="1475" spans="1:74">
      <c r="A1475" s="10">
        <f t="shared" ref="A1475:A1538" si="94">IF($BL1475="공급",$Z1475,0)</f>
        <v>0</v>
      </c>
      <c r="B1475" s="10">
        <f t="shared" ref="B1475:B1538" si="95">IF($AV1475&gt;0,$Z1475,0)</f>
        <v>0</v>
      </c>
      <c r="C1475" s="12">
        <f t="shared" si="92"/>
        <v>11</v>
      </c>
      <c r="D1475" s="12">
        <f t="shared" si="93"/>
        <v>12</v>
      </c>
      <c r="E1475" s="20">
        <v>0</v>
      </c>
      <c r="F1475" s="20" t="s">
        <v>3741</v>
      </c>
      <c r="G1475" s="20" t="s">
        <v>5700</v>
      </c>
      <c r="H1475" s="20" t="s">
        <v>5716</v>
      </c>
      <c r="I1475" s="20">
        <v>3</v>
      </c>
      <c r="J1475" s="20" t="s">
        <v>5717</v>
      </c>
      <c r="K1475" s="20" t="s">
        <v>5718</v>
      </c>
      <c r="L1475" s="20" t="s">
        <v>5719</v>
      </c>
      <c r="M1475" s="20" t="s">
        <v>3741</v>
      </c>
      <c r="N1475" s="20" t="s">
        <v>5705</v>
      </c>
      <c r="P1475" s="20" t="s">
        <v>3741</v>
      </c>
      <c r="Q1475" s="20" t="s">
        <v>3743</v>
      </c>
      <c r="R1475" s="20" t="s">
        <v>84</v>
      </c>
      <c r="S1475" s="20" t="s">
        <v>123</v>
      </c>
      <c r="T1475" s="20" t="s">
        <v>85</v>
      </c>
      <c r="U1475" s="20" t="s">
        <v>86</v>
      </c>
      <c r="V1475" s="20" t="s">
        <v>5502</v>
      </c>
      <c r="W1475" s="20">
        <v>411</v>
      </c>
      <c r="X1475" s="20">
        <v>411</v>
      </c>
      <c r="Y1475" s="20" t="s">
        <v>5720</v>
      </c>
      <c r="Z1475" s="20">
        <v>1</v>
      </c>
      <c r="AA1475" s="20" t="s">
        <v>5721</v>
      </c>
      <c r="AB1475" s="20" t="s">
        <v>248</v>
      </c>
      <c r="AC1475" s="20" t="s">
        <v>249</v>
      </c>
      <c r="AD1475" s="20" t="s">
        <v>5722</v>
      </c>
      <c r="AE1475" s="20" t="s">
        <v>400</v>
      </c>
      <c r="AF1475" s="20">
        <v>1</v>
      </c>
      <c r="AG1475" s="20">
        <v>0</v>
      </c>
      <c r="AH1475" s="20">
        <v>1</v>
      </c>
      <c r="AI1475" s="4" t="s">
        <v>251</v>
      </c>
      <c r="AJ1475" s="20">
        <v>7</v>
      </c>
      <c r="AK1475" s="4" t="s">
        <v>93</v>
      </c>
      <c r="AL1475" s="4">
        <v>21</v>
      </c>
      <c r="AM1475" s="4">
        <v>21</v>
      </c>
      <c r="AN1475" s="4" t="s">
        <v>95</v>
      </c>
      <c r="AO1475" s="4" t="s">
        <v>96</v>
      </c>
      <c r="AP1475" s="4">
        <v>1</v>
      </c>
      <c r="AQ1475" s="20">
        <v>59000</v>
      </c>
      <c r="AR1475" s="4">
        <v>41971</v>
      </c>
      <c r="AS1475" s="20">
        <v>8939.3939393939381</v>
      </c>
      <c r="AT1475" s="20">
        <v>0</v>
      </c>
      <c r="AU1475" s="20">
        <v>-8939.3939393939381</v>
      </c>
      <c r="AV1475" s="20">
        <v>0</v>
      </c>
      <c r="AW1475" s="20">
        <v>0</v>
      </c>
      <c r="AX1475" s="20" t="s">
        <v>91</v>
      </c>
      <c r="AY1475" s="20">
        <v>0</v>
      </c>
      <c r="AZ1475" s="20">
        <v>0</v>
      </c>
      <c r="BA1475" s="20">
        <v>0</v>
      </c>
      <c r="BB1475" s="6">
        <v>41971</v>
      </c>
      <c r="BC1475" s="6">
        <v>0</v>
      </c>
      <c r="BD1475" s="6">
        <v>41976</v>
      </c>
      <c r="BE1475" s="6">
        <v>0</v>
      </c>
      <c r="BF1475" s="6">
        <v>41975</v>
      </c>
      <c r="BG1475" s="6">
        <v>0</v>
      </c>
      <c r="BH1475" s="6">
        <v>0</v>
      </c>
      <c r="BI1475" s="6">
        <v>0</v>
      </c>
      <c r="BJ1475" s="6">
        <v>0</v>
      </c>
      <c r="BK1475" s="4">
        <v>0</v>
      </c>
      <c r="BL1475" s="4">
        <v>0</v>
      </c>
      <c r="BM1475" s="20">
        <v>7</v>
      </c>
      <c r="BN1475" s="20">
        <v>0</v>
      </c>
      <c r="BO1475" s="20">
        <v>0</v>
      </c>
      <c r="BP1475" s="20">
        <v>0</v>
      </c>
      <c r="BQ1475" s="20">
        <v>0</v>
      </c>
      <c r="BR1475" s="20">
        <v>0</v>
      </c>
      <c r="BS1475" s="20">
        <v>7</v>
      </c>
      <c r="BT1475" s="20">
        <v>62575.757575757569</v>
      </c>
      <c r="BU1475" s="20">
        <v>413000</v>
      </c>
      <c r="BV1475" s="20">
        <v>6</v>
      </c>
    </row>
    <row r="1476" spans="1:74">
      <c r="A1476" s="10">
        <f t="shared" si="94"/>
        <v>0</v>
      </c>
      <c r="B1476" s="10">
        <f t="shared" si="95"/>
        <v>0</v>
      </c>
      <c r="C1476" s="12">
        <f t="shared" ref="C1476:C1539" si="96">IF($BB1476=0,"",MONTH($BB1476))</f>
        <v>11</v>
      </c>
      <c r="D1476" s="12">
        <f t="shared" si="93"/>
        <v>12</v>
      </c>
      <c r="E1476" s="20">
        <v>0</v>
      </c>
      <c r="F1476" s="20" t="s">
        <v>3741</v>
      </c>
      <c r="G1476" s="20" t="s">
        <v>5700</v>
      </c>
      <c r="H1476" s="20" t="s">
        <v>5723</v>
      </c>
      <c r="I1476" s="20">
        <v>4</v>
      </c>
      <c r="J1476" s="20" t="s">
        <v>5724</v>
      </c>
      <c r="K1476" s="20" t="s">
        <v>5725</v>
      </c>
      <c r="L1476" s="20" t="s">
        <v>5726</v>
      </c>
      <c r="M1476" s="20" t="s">
        <v>3741</v>
      </c>
      <c r="N1476" s="20" t="s">
        <v>5705</v>
      </c>
      <c r="P1476" s="20" t="s">
        <v>3741</v>
      </c>
      <c r="Q1476" s="20" t="s">
        <v>3743</v>
      </c>
      <c r="R1476" s="20" t="s">
        <v>84</v>
      </c>
      <c r="S1476" s="20">
        <v>5</v>
      </c>
      <c r="T1476" s="20" t="s">
        <v>85</v>
      </c>
      <c r="U1476" s="20" t="s">
        <v>86</v>
      </c>
      <c r="V1476" s="20" t="s">
        <v>5502</v>
      </c>
      <c r="W1476" s="20">
        <v>1</v>
      </c>
      <c r="X1476" s="20" t="s">
        <v>5513</v>
      </c>
      <c r="Y1476" s="20" t="s">
        <v>5727</v>
      </c>
      <c r="Z1476" s="20">
        <v>1</v>
      </c>
      <c r="AA1476" s="20" t="s">
        <v>5728</v>
      </c>
      <c r="AB1476" s="20" t="s">
        <v>248</v>
      </c>
      <c r="AC1476" s="20" t="s">
        <v>249</v>
      </c>
      <c r="AD1476" s="20" t="s">
        <v>5729</v>
      </c>
      <c r="AE1476" s="20" t="s">
        <v>91</v>
      </c>
      <c r="AF1476" s="20">
        <v>1</v>
      </c>
      <c r="AG1476" s="20">
        <v>0</v>
      </c>
      <c r="AH1476" s="20">
        <v>1</v>
      </c>
      <c r="AI1476" s="4" t="s">
        <v>251</v>
      </c>
      <c r="AJ1476" s="20">
        <v>5</v>
      </c>
      <c r="AK1476" s="4" t="s">
        <v>93</v>
      </c>
      <c r="AL1476" s="4">
        <v>21</v>
      </c>
      <c r="AM1476" s="4">
        <v>21</v>
      </c>
      <c r="AN1476" s="4" t="s">
        <v>95</v>
      </c>
      <c r="AO1476" s="4" t="s">
        <v>96</v>
      </c>
      <c r="AP1476" s="4">
        <v>1</v>
      </c>
      <c r="AQ1476" s="20">
        <v>55000</v>
      </c>
      <c r="AR1476" s="4">
        <v>41971</v>
      </c>
      <c r="AS1476" s="20">
        <v>8333.3333333333321</v>
      </c>
      <c r="AT1476" s="20">
        <v>0</v>
      </c>
      <c r="AU1476" s="20">
        <v>-8333.3333333333321</v>
      </c>
      <c r="AV1476" s="20">
        <v>0</v>
      </c>
      <c r="AW1476" s="20">
        <v>0</v>
      </c>
      <c r="AX1476" s="20" t="s">
        <v>91</v>
      </c>
      <c r="AY1476" s="20">
        <v>0</v>
      </c>
      <c r="AZ1476" s="20">
        <v>0</v>
      </c>
      <c r="BA1476" s="20">
        <v>0</v>
      </c>
      <c r="BB1476" s="6">
        <v>41971</v>
      </c>
      <c r="BC1476" s="6">
        <v>0</v>
      </c>
      <c r="BD1476" s="6">
        <v>41976</v>
      </c>
      <c r="BE1476" s="6">
        <v>0</v>
      </c>
      <c r="BF1476" s="6">
        <v>41975</v>
      </c>
      <c r="BG1476" s="6">
        <v>0</v>
      </c>
      <c r="BH1476" s="6">
        <v>0</v>
      </c>
      <c r="BI1476" s="6">
        <v>0</v>
      </c>
      <c r="BJ1476" s="6">
        <v>0</v>
      </c>
      <c r="BK1476" s="4">
        <v>0</v>
      </c>
      <c r="BL1476" s="4">
        <v>0</v>
      </c>
      <c r="BM1476" s="20">
        <v>5</v>
      </c>
      <c r="BN1476" s="20">
        <v>0</v>
      </c>
      <c r="BO1476" s="20">
        <v>0</v>
      </c>
      <c r="BP1476" s="20">
        <v>0</v>
      </c>
      <c r="BQ1476" s="20">
        <v>0</v>
      </c>
      <c r="BR1476" s="20">
        <v>0</v>
      </c>
      <c r="BS1476" s="20">
        <v>5</v>
      </c>
      <c r="BT1476" s="20">
        <v>41666.666666666657</v>
      </c>
      <c r="BU1476" s="20">
        <v>275000</v>
      </c>
      <c r="BV1476" s="20">
        <v>6.0000000000000009</v>
      </c>
    </row>
    <row r="1477" spans="1:74">
      <c r="A1477" s="10">
        <f t="shared" si="94"/>
        <v>0</v>
      </c>
      <c r="B1477" s="10">
        <f t="shared" si="95"/>
        <v>0</v>
      </c>
      <c r="C1477" s="12">
        <f t="shared" si="96"/>
        <v>11</v>
      </c>
      <c r="D1477" s="12">
        <f t="shared" ref="D1477:D1540" si="97">IF(AND(BD1477=0,BF1477=0),"",MONTH(IF($BF1477=0,$BD1477,$BF1477)))</f>
        <v>12</v>
      </c>
      <c r="E1477" s="20">
        <v>0</v>
      </c>
      <c r="F1477" s="20" t="s">
        <v>3741</v>
      </c>
      <c r="G1477" s="20" t="s">
        <v>5700</v>
      </c>
      <c r="H1477" s="20" t="s">
        <v>5730</v>
      </c>
      <c r="I1477" s="20">
        <v>5</v>
      </c>
      <c r="J1477" s="20" t="s">
        <v>5731</v>
      </c>
      <c r="K1477" s="20" t="s">
        <v>5732</v>
      </c>
      <c r="L1477" s="20" t="s">
        <v>5726</v>
      </c>
      <c r="M1477" s="20" t="s">
        <v>3741</v>
      </c>
      <c r="N1477" s="20" t="s">
        <v>5705</v>
      </c>
      <c r="P1477" s="20" t="s">
        <v>3741</v>
      </c>
      <c r="Q1477" s="20" t="s">
        <v>3743</v>
      </c>
      <c r="R1477" s="20" t="s">
        <v>84</v>
      </c>
      <c r="S1477" s="20">
        <v>5</v>
      </c>
      <c r="T1477" s="20" t="s">
        <v>85</v>
      </c>
      <c r="U1477" s="20" t="s">
        <v>86</v>
      </c>
      <c r="V1477" s="20" t="s">
        <v>5502</v>
      </c>
      <c r="W1477" s="20">
        <v>1</v>
      </c>
      <c r="X1477" s="20" t="s">
        <v>5513</v>
      </c>
      <c r="Y1477" s="20" t="s">
        <v>5727</v>
      </c>
      <c r="Z1477" s="20">
        <v>1</v>
      </c>
      <c r="AA1477" s="20" t="s">
        <v>5733</v>
      </c>
      <c r="AB1477" s="20" t="s">
        <v>176</v>
      </c>
      <c r="AC1477" s="20" t="s">
        <v>177</v>
      </c>
      <c r="AD1477" s="20" t="s">
        <v>5734</v>
      </c>
      <c r="AE1477" s="20" t="s">
        <v>91</v>
      </c>
      <c r="AF1477" s="20">
        <v>1</v>
      </c>
      <c r="AG1477" s="20">
        <v>0</v>
      </c>
      <c r="AH1477" s="20">
        <v>1</v>
      </c>
      <c r="AI1477" s="4" t="s">
        <v>251</v>
      </c>
      <c r="AJ1477" s="20">
        <v>5</v>
      </c>
      <c r="AK1477" s="4" t="s">
        <v>93</v>
      </c>
      <c r="AL1477" s="4">
        <v>21</v>
      </c>
      <c r="AM1477" s="4">
        <v>21</v>
      </c>
      <c r="AN1477" s="4" t="s">
        <v>95</v>
      </c>
      <c r="AO1477" s="4" t="s">
        <v>96</v>
      </c>
      <c r="AP1477" s="4">
        <v>1</v>
      </c>
      <c r="AQ1477" s="20">
        <v>55000</v>
      </c>
      <c r="AR1477" s="4">
        <v>41971</v>
      </c>
      <c r="AS1477" s="20">
        <v>8333.3333333333321</v>
      </c>
      <c r="AT1477" s="20">
        <v>0</v>
      </c>
      <c r="AU1477" s="20">
        <v>-8333.3333333333321</v>
      </c>
      <c r="AV1477" s="20">
        <v>0</v>
      </c>
      <c r="AW1477" s="20">
        <v>0</v>
      </c>
      <c r="AX1477" s="20" t="s">
        <v>91</v>
      </c>
      <c r="AY1477" s="20">
        <v>0</v>
      </c>
      <c r="AZ1477" s="20">
        <v>0</v>
      </c>
      <c r="BA1477" s="20">
        <v>0</v>
      </c>
      <c r="BB1477" s="6">
        <v>41971</v>
      </c>
      <c r="BC1477" s="6">
        <v>0</v>
      </c>
      <c r="BD1477" s="6">
        <v>41976</v>
      </c>
      <c r="BE1477" s="6">
        <v>0</v>
      </c>
      <c r="BF1477" s="6">
        <v>41975</v>
      </c>
      <c r="BG1477" s="6">
        <v>0</v>
      </c>
      <c r="BH1477" s="6">
        <v>0</v>
      </c>
      <c r="BI1477" s="6">
        <v>0</v>
      </c>
      <c r="BJ1477" s="6">
        <v>0</v>
      </c>
      <c r="BK1477" s="4">
        <v>0</v>
      </c>
      <c r="BL1477" s="4">
        <v>0</v>
      </c>
      <c r="BM1477" s="20">
        <v>5</v>
      </c>
      <c r="BN1477" s="20">
        <v>0</v>
      </c>
      <c r="BO1477" s="20">
        <v>0</v>
      </c>
      <c r="BP1477" s="20">
        <v>0</v>
      </c>
      <c r="BQ1477" s="20">
        <v>0</v>
      </c>
      <c r="BR1477" s="20">
        <v>0</v>
      </c>
      <c r="BS1477" s="20">
        <v>5</v>
      </c>
      <c r="BT1477" s="20">
        <v>41666.666666666657</v>
      </c>
      <c r="BU1477" s="20">
        <v>275000</v>
      </c>
      <c r="BV1477" s="20">
        <v>6.0000000000000009</v>
      </c>
    </row>
    <row r="1478" spans="1:74">
      <c r="A1478" s="10">
        <f t="shared" si="94"/>
        <v>0</v>
      </c>
      <c r="B1478" s="10">
        <f t="shared" si="95"/>
        <v>0</v>
      </c>
      <c r="C1478" s="12">
        <f t="shared" si="96"/>
        <v>11</v>
      </c>
      <c r="D1478" s="12">
        <f t="shared" si="97"/>
        <v>12</v>
      </c>
      <c r="E1478" s="20">
        <v>0</v>
      </c>
      <c r="F1478" s="20" t="s">
        <v>3741</v>
      </c>
      <c r="G1478" s="20" t="s">
        <v>5700</v>
      </c>
      <c r="H1478" s="20" t="s">
        <v>5735</v>
      </c>
      <c r="I1478" s="20">
        <v>6</v>
      </c>
      <c r="J1478" s="20" t="s">
        <v>5736</v>
      </c>
      <c r="K1478" s="20" t="s">
        <v>5737</v>
      </c>
      <c r="L1478" s="20" t="s">
        <v>5726</v>
      </c>
      <c r="M1478" s="20" t="s">
        <v>3741</v>
      </c>
      <c r="N1478" s="20" t="s">
        <v>5705</v>
      </c>
      <c r="P1478" s="20" t="s">
        <v>3741</v>
      </c>
      <c r="Q1478" s="20" t="s">
        <v>3743</v>
      </c>
      <c r="R1478" s="20" t="s">
        <v>84</v>
      </c>
      <c r="S1478" s="20">
        <v>5</v>
      </c>
      <c r="T1478" s="20" t="s">
        <v>85</v>
      </c>
      <c r="U1478" s="20" t="s">
        <v>86</v>
      </c>
      <c r="V1478" s="20" t="s">
        <v>5502</v>
      </c>
      <c r="W1478" s="20">
        <v>1</v>
      </c>
      <c r="X1478" s="20" t="s">
        <v>5513</v>
      </c>
      <c r="Y1478" s="20" t="s">
        <v>5727</v>
      </c>
      <c r="Z1478" s="20">
        <v>1</v>
      </c>
      <c r="AA1478" s="20" t="s">
        <v>5738</v>
      </c>
      <c r="AB1478" s="20" t="s">
        <v>109</v>
      </c>
      <c r="AC1478" s="20" t="s">
        <v>110</v>
      </c>
      <c r="AD1478" s="20" t="s">
        <v>5739</v>
      </c>
      <c r="AE1478" s="20" t="s">
        <v>91</v>
      </c>
      <c r="AF1478" s="20">
        <v>1</v>
      </c>
      <c r="AG1478" s="20">
        <v>0</v>
      </c>
      <c r="AH1478" s="20">
        <v>1</v>
      </c>
      <c r="AI1478" s="4" t="s">
        <v>251</v>
      </c>
      <c r="AJ1478" s="20">
        <v>5</v>
      </c>
      <c r="AK1478" s="4" t="s">
        <v>93</v>
      </c>
      <c r="AL1478" s="4">
        <v>21</v>
      </c>
      <c r="AM1478" s="4">
        <v>21</v>
      </c>
      <c r="AN1478" s="4" t="s">
        <v>95</v>
      </c>
      <c r="AO1478" s="4" t="s">
        <v>96</v>
      </c>
      <c r="AP1478" s="4">
        <v>1</v>
      </c>
      <c r="AQ1478" s="20">
        <v>55000</v>
      </c>
      <c r="AR1478" s="4">
        <v>41971</v>
      </c>
      <c r="AS1478" s="20">
        <v>8333.3333333333321</v>
      </c>
      <c r="AT1478" s="20">
        <v>0</v>
      </c>
      <c r="AU1478" s="20">
        <v>-8333.3333333333321</v>
      </c>
      <c r="AV1478" s="20">
        <v>0</v>
      </c>
      <c r="AW1478" s="20">
        <v>0</v>
      </c>
      <c r="AX1478" s="20" t="s">
        <v>91</v>
      </c>
      <c r="AY1478" s="20">
        <v>0</v>
      </c>
      <c r="AZ1478" s="20">
        <v>0</v>
      </c>
      <c r="BA1478" s="20">
        <v>0</v>
      </c>
      <c r="BB1478" s="6">
        <v>41971</v>
      </c>
      <c r="BC1478" s="6">
        <v>0</v>
      </c>
      <c r="BD1478" s="6">
        <v>41976</v>
      </c>
      <c r="BE1478" s="6">
        <v>0</v>
      </c>
      <c r="BF1478" s="6">
        <v>41975</v>
      </c>
      <c r="BG1478" s="6">
        <v>0</v>
      </c>
      <c r="BH1478" s="6">
        <v>0</v>
      </c>
      <c r="BI1478" s="6">
        <v>0</v>
      </c>
      <c r="BJ1478" s="6">
        <v>0</v>
      </c>
      <c r="BK1478" s="4">
        <v>0</v>
      </c>
      <c r="BL1478" s="4">
        <v>0</v>
      </c>
      <c r="BM1478" s="20">
        <v>5</v>
      </c>
      <c r="BN1478" s="20">
        <v>0</v>
      </c>
      <c r="BO1478" s="20">
        <v>0</v>
      </c>
      <c r="BP1478" s="20">
        <v>0</v>
      </c>
      <c r="BQ1478" s="20">
        <v>0</v>
      </c>
      <c r="BR1478" s="20">
        <v>0</v>
      </c>
      <c r="BS1478" s="20">
        <v>5</v>
      </c>
      <c r="BT1478" s="20">
        <v>41666.666666666657</v>
      </c>
      <c r="BU1478" s="20">
        <v>275000</v>
      </c>
      <c r="BV1478" s="20">
        <v>6.0000000000000009</v>
      </c>
    </row>
    <row r="1479" spans="1:74">
      <c r="A1479" s="10">
        <f t="shared" si="94"/>
        <v>0</v>
      </c>
      <c r="B1479" s="10">
        <f t="shared" si="95"/>
        <v>0</v>
      </c>
      <c r="C1479" s="12">
        <f t="shared" si="96"/>
        <v>11</v>
      </c>
      <c r="D1479" s="12">
        <f t="shared" si="97"/>
        <v>12</v>
      </c>
      <c r="E1479" s="20">
        <v>0</v>
      </c>
      <c r="F1479" s="20" t="s">
        <v>3741</v>
      </c>
      <c r="G1479" s="20" t="s">
        <v>5700</v>
      </c>
      <c r="H1479" s="20" t="s">
        <v>5740</v>
      </c>
      <c r="I1479" s="20">
        <v>7</v>
      </c>
      <c r="J1479" s="20" t="s">
        <v>5741</v>
      </c>
      <c r="K1479" s="20" t="s">
        <v>5742</v>
      </c>
      <c r="L1479" s="20" t="s">
        <v>5726</v>
      </c>
      <c r="M1479" s="20" t="s">
        <v>3741</v>
      </c>
      <c r="N1479" s="20" t="s">
        <v>5705</v>
      </c>
      <c r="P1479" s="20" t="s">
        <v>3741</v>
      </c>
      <c r="Q1479" s="20" t="s">
        <v>3743</v>
      </c>
      <c r="R1479" s="20" t="s">
        <v>84</v>
      </c>
      <c r="S1479" s="20">
        <v>5</v>
      </c>
      <c r="T1479" s="20" t="s">
        <v>85</v>
      </c>
      <c r="U1479" s="20" t="s">
        <v>86</v>
      </c>
      <c r="V1479" s="20" t="s">
        <v>5502</v>
      </c>
      <c r="W1479" s="20">
        <v>1</v>
      </c>
      <c r="X1479" s="20" t="s">
        <v>5513</v>
      </c>
      <c r="Y1479" s="20" t="s">
        <v>5727</v>
      </c>
      <c r="Z1479" s="20">
        <v>1</v>
      </c>
      <c r="AA1479" s="20" t="s">
        <v>5743</v>
      </c>
      <c r="AB1479" s="20" t="s">
        <v>89</v>
      </c>
      <c r="AC1479" s="20" t="s">
        <v>90</v>
      </c>
      <c r="AD1479" s="20" t="s">
        <v>5744</v>
      </c>
      <c r="AE1479" s="20" t="s">
        <v>91</v>
      </c>
      <c r="AF1479" s="20">
        <v>1</v>
      </c>
      <c r="AG1479" s="20">
        <v>0</v>
      </c>
      <c r="AH1479" s="20">
        <v>1</v>
      </c>
      <c r="AI1479" s="4" t="s">
        <v>251</v>
      </c>
      <c r="AJ1479" s="20">
        <v>5</v>
      </c>
      <c r="AK1479" s="4" t="s">
        <v>93</v>
      </c>
      <c r="AL1479" s="4">
        <v>21</v>
      </c>
      <c r="AM1479" s="4">
        <v>21</v>
      </c>
      <c r="AN1479" s="4" t="s">
        <v>95</v>
      </c>
      <c r="AO1479" s="4" t="s">
        <v>96</v>
      </c>
      <c r="AP1479" s="4">
        <v>1</v>
      </c>
      <c r="AQ1479" s="20">
        <v>55000</v>
      </c>
      <c r="AR1479" s="4">
        <v>41971</v>
      </c>
      <c r="AS1479" s="20">
        <v>8333.3333333333321</v>
      </c>
      <c r="AT1479" s="20">
        <v>0</v>
      </c>
      <c r="AU1479" s="20">
        <v>-8333.3333333333321</v>
      </c>
      <c r="AV1479" s="20">
        <v>0</v>
      </c>
      <c r="AW1479" s="20">
        <v>0</v>
      </c>
      <c r="AX1479" s="20" t="s">
        <v>91</v>
      </c>
      <c r="AY1479" s="20">
        <v>0</v>
      </c>
      <c r="AZ1479" s="20">
        <v>0</v>
      </c>
      <c r="BA1479" s="20">
        <v>0</v>
      </c>
      <c r="BB1479" s="6">
        <v>41971</v>
      </c>
      <c r="BC1479" s="6">
        <v>0</v>
      </c>
      <c r="BD1479" s="6">
        <v>41976</v>
      </c>
      <c r="BE1479" s="6">
        <v>0</v>
      </c>
      <c r="BF1479" s="6">
        <v>41975</v>
      </c>
      <c r="BG1479" s="6">
        <v>0</v>
      </c>
      <c r="BH1479" s="6">
        <v>0</v>
      </c>
      <c r="BI1479" s="6">
        <v>0</v>
      </c>
      <c r="BJ1479" s="6">
        <v>0</v>
      </c>
      <c r="BK1479" s="4">
        <v>0</v>
      </c>
      <c r="BL1479" s="4">
        <v>0</v>
      </c>
      <c r="BM1479" s="20">
        <v>5</v>
      </c>
      <c r="BN1479" s="20">
        <v>0</v>
      </c>
      <c r="BO1479" s="20">
        <v>0</v>
      </c>
      <c r="BP1479" s="20">
        <v>0</v>
      </c>
      <c r="BQ1479" s="20">
        <v>0</v>
      </c>
      <c r="BR1479" s="20">
        <v>0</v>
      </c>
      <c r="BS1479" s="20">
        <v>5</v>
      </c>
      <c r="BT1479" s="20">
        <v>41666.666666666657</v>
      </c>
      <c r="BU1479" s="20">
        <v>275000</v>
      </c>
      <c r="BV1479" s="20">
        <v>6.0000000000000009</v>
      </c>
    </row>
    <row r="1480" spans="1:74">
      <c r="A1480" s="10">
        <f t="shared" si="94"/>
        <v>0</v>
      </c>
      <c r="B1480" s="10">
        <f t="shared" si="95"/>
        <v>0</v>
      </c>
      <c r="C1480" s="12" t="str">
        <f t="shared" si="96"/>
        <v/>
      </c>
      <c r="D1480" s="12" t="str">
        <f t="shared" si="97"/>
        <v/>
      </c>
      <c r="E1480" s="20" t="s">
        <v>91</v>
      </c>
      <c r="F1480" s="20" t="s">
        <v>91</v>
      </c>
      <c r="G1480" s="20" t="s">
        <v>91</v>
      </c>
      <c r="H1480" s="20" t="s">
        <v>91</v>
      </c>
      <c r="I1480" s="20">
        <v>0</v>
      </c>
      <c r="J1480" s="20" t="s">
        <v>103</v>
      </c>
      <c r="K1480" s="20" t="s">
        <v>104</v>
      </c>
      <c r="L1480" s="20">
        <v>0</v>
      </c>
      <c r="M1480" s="20" t="s">
        <v>105</v>
      </c>
      <c r="N1480" s="20" t="s">
        <v>91</v>
      </c>
      <c r="O1480" s="20" t="s">
        <v>5745</v>
      </c>
      <c r="Q1480" s="20" t="s">
        <v>91</v>
      </c>
      <c r="R1480" s="20" t="s">
        <v>91</v>
      </c>
      <c r="S1480" s="20" t="s">
        <v>91</v>
      </c>
      <c r="U1480" s="20" t="s">
        <v>91</v>
      </c>
      <c r="X1480" s="20" t="s">
        <v>91</v>
      </c>
      <c r="Y1480" s="20" t="s">
        <v>91</v>
      </c>
      <c r="Z1480" s="20">
        <v>7</v>
      </c>
      <c r="AB1480" s="20" t="s">
        <v>91</v>
      </c>
      <c r="AD1480" s="20" t="s">
        <v>91</v>
      </c>
      <c r="AE1480" s="20" t="s">
        <v>91</v>
      </c>
      <c r="AF1480" s="20">
        <v>7</v>
      </c>
      <c r="AG1480" s="20">
        <v>0</v>
      </c>
      <c r="AH1480" s="20">
        <v>1</v>
      </c>
      <c r="AM1480" s="4" t="s">
        <v>91</v>
      </c>
      <c r="AN1480" s="4" t="s">
        <v>95</v>
      </c>
      <c r="AP1480" s="4" t="s">
        <v>91</v>
      </c>
      <c r="AQ1480" s="20">
        <v>0</v>
      </c>
      <c r="AR1480" s="4">
        <v>0</v>
      </c>
      <c r="AS1480" s="20">
        <v>0</v>
      </c>
      <c r="AT1480" s="20">
        <v>0</v>
      </c>
      <c r="AU1480" s="20">
        <v>0</v>
      </c>
      <c r="AV1480" s="20">
        <v>0</v>
      </c>
      <c r="AW1480" s="20">
        <v>0</v>
      </c>
      <c r="AX1480" s="20" t="s">
        <v>91</v>
      </c>
      <c r="AY1480" s="20">
        <v>0</v>
      </c>
      <c r="AZ1480" s="20">
        <v>0</v>
      </c>
      <c r="BA1480" s="20">
        <v>0</v>
      </c>
      <c r="BB1480" s="6">
        <v>0</v>
      </c>
      <c r="BC1480" s="6">
        <v>0</v>
      </c>
      <c r="BD1480" s="6">
        <v>0</v>
      </c>
      <c r="BE1480" s="6">
        <v>0</v>
      </c>
      <c r="BF1480" s="6">
        <v>0</v>
      </c>
      <c r="BG1480" s="6">
        <v>0</v>
      </c>
      <c r="BH1480" s="6">
        <v>0</v>
      </c>
      <c r="BI1480" s="6">
        <v>0</v>
      </c>
      <c r="BJ1480" s="6">
        <v>0</v>
      </c>
      <c r="BK1480" s="4">
        <v>0</v>
      </c>
      <c r="BL1480" s="4">
        <v>0</v>
      </c>
      <c r="BM1480" s="20">
        <v>39</v>
      </c>
      <c r="BN1480" s="20">
        <v>0</v>
      </c>
      <c r="BO1480" s="20">
        <v>0</v>
      </c>
      <c r="BP1480" s="20">
        <v>0</v>
      </c>
      <c r="BQ1480" s="20">
        <v>0</v>
      </c>
      <c r="BR1480" s="20">
        <v>0</v>
      </c>
      <c r="BS1480" s="20">
        <v>39</v>
      </c>
      <c r="BT1480" s="20">
        <v>336515.15151515149</v>
      </c>
      <c r="BU1480" s="20">
        <v>2221000</v>
      </c>
      <c r="BV1480" s="20">
        <v>6</v>
      </c>
    </row>
    <row r="1481" spans="1:74">
      <c r="A1481" s="10">
        <f t="shared" si="94"/>
        <v>0</v>
      </c>
      <c r="B1481" s="10">
        <f t="shared" si="95"/>
        <v>0</v>
      </c>
      <c r="C1481" s="12">
        <f t="shared" si="96"/>
        <v>11</v>
      </c>
      <c r="D1481" s="12">
        <f t="shared" si="97"/>
        <v>12</v>
      </c>
      <c r="E1481" s="20" t="s">
        <v>574</v>
      </c>
      <c r="F1481" s="20" t="s">
        <v>5746</v>
      </c>
      <c r="G1481" s="20" t="s">
        <v>5747</v>
      </c>
      <c r="H1481" s="20" t="s">
        <v>5748</v>
      </c>
      <c r="I1481" s="20">
        <v>1</v>
      </c>
      <c r="J1481" s="20" t="s">
        <v>5749</v>
      </c>
      <c r="K1481" s="20" t="s">
        <v>5750</v>
      </c>
      <c r="L1481" s="20" t="s">
        <v>5751</v>
      </c>
      <c r="M1481" s="20" t="s">
        <v>5752</v>
      </c>
      <c r="N1481" s="20" t="s">
        <v>5753</v>
      </c>
      <c r="P1481" s="20" t="s">
        <v>5752</v>
      </c>
      <c r="Q1481" s="20" t="s">
        <v>5754</v>
      </c>
      <c r="R1481" s="20" t="s">
        <v>84</v>
      </c>
      <c r="S1481" s="20">
        <v>5</v>
      </c>
      <c r="T1481" s="20" t="s">
        <v>674</v>
      </c>
      <c r="U1481" s="20" t="s">
        <v>675</v>
      </c>
      <c r="V1481" s="20" t="s">
        <v>5502</v>
      </c>
      <c r="W1481" s="20">
        <v>7</v>
      </c>
      <c r="X1481" s="20" t="s">
        <v>5626</v>
      </c>
      <c r="Y1481" s="20" t="s">
        <v>5755</v>
      </c>
      <c r="Z1481" s="20">
        <v>0.5</v>
      </c>
      <c r="AA1481" s="20" t="s">
        <v>5756</v>
      </c>
      <c r="AB1481" s="20" t="s">
        <v>248</v>
      </c>
      <c r="AC1481" s="20" t="s">
        <v>249</v>
      </c>
      <c r="AD1481" s="20" t="s">
        <v>5757</v>
      </c>
      <c r="AE1481" s="20" t="s">
        <v>91</v>
      </c>
      <c r="AF1481" s="20">
        <v>0.5</v>
      </c>
      <c r="AG1481" s="20">
        <v>0</v>
      </c>
      <c r="AH1481" s="20">
        <v>1</v>
      </c>
      <c r="AI1481" s="4" t="s">
        <v>647</v>
      </c>
      <c r="AJ1481" s="20">
        <v>2</v>
      </c>
      <c r="AK1481" s="4" t="s">
        <v>5758</v>
      </c>
      <c r="AL1481" s="4">
        <v>1</v>
      </c>
      <c r="AM1481" s="4" t="s">
        <v>130</v>
      </c>
      <c r="AN1481" s="4" t="s">
        <v>95</v>
      </c>
      <c r="AO1481" s="4" t="s">
        <v>131</v>
      </c>
      <c r="AP1481" s="4">
        <v>2</v>
      </c>
      <c r="AQ1481" s="20">
        <v>298000</v>
      </c>
      <c r="AR1481" s="4">
        <v>41971</v>
      </c>
      <c r="AS1481" s="20">
        <v>75252.525252525244</v>
      </c>
      <c r="AT1481" s="20">
        <v>0</v>
      </c>
      <c r="AU1481" s="20">
        <v>-75252.525252525244</v>
      </c>
      <c r="AV1481" s="20">
        <v>0</v>
      </c>
      <c r="AW1481" s="20">
        <v>0</v>
      </c>
      <c r="AX1481" s="20" t="s">
        <v>91</v>
      </c>
      <c r="AY1481" s="20">
        <v>0</v>
      </c>
      <c r="AZ1481" s="20">
        <v>0</v>
      </c>
      <c r="BA1481" s="20">
        <v>0</v>
      </c>
      <c r="BB1481" s="6">
        <v>41971</v>
      </c>
      <c r="BC1481" s="6">
        <v>0</v>
      </c>
      <c r="BD1481" s="6">
        <v>41976</v>
      </c>
      <c r="BE1481" s="6">
        <v>0</v>
      </c>
      <c r="BF1481" s="6">
        <v>41975</v>
      </c>
      <c r="BG1481" s="6">
        <v>0</v>
      </c>
      <c r="BH1481" s="6">
        <v>0</v>
      </c>
      <c r="BI1481" s="6">
        <v>0</v>
      </c>
      <c r="BJ1481" s="6">
        <v>0</v>
      </c>
      <c r="BK1481" s="4">
        <v>0</v>
      </c>
      <c r="BL1481" s="4">
        <v>0</v>
      </c>
      <c r="BM1481" s="20">
        <v>2</v>
      </c>
      <c r="BN1481" s="20">
        <v>0</v>
      </c>
      <c r="BO1481" s="20">
        <v>0</v>
      </c>
      <c r="BP1481" s="20">
        <v>0</v>
      </c>
      <c r="BQ1481" s="20">
        <v>0</v>
      </c>
      <c r="BR1481" s="20">
        <v>0</v>
      </c>
      <c r="BS1481" s="20">
        <v>2</v>
      </c>
      <c r="BT1481" s="20">
        <v>150505.05050505049</v>
      </c>
      <c r="BU1481" s="20">
        <v>596000</v>
      </c>
      <c r="BV1481" s="20">
        <v>3.5999999999999996</v>
      </c>
    </row>
    <row r="1482" spans="1:74">
      <c r="A1482" s="10">
        <f t="shared" si="94"/>
        <v>0</v>
      </c>
      <c r="B1482" s="10">
        <f t="shared" si="95"/>
        <v>0</v>
      </c>
      <c r="C1482" s="12">
        <f t="shared" si="96"/>
        <v>11</v>
      </c>
      <c r="D1482" s="12">
        <f t="shared" si="97"/>
        <v>12</v>
      </c>
      <c r="E1482" s="20" t="s">
        <v>574</v>
      </c>
      <c r="F1482" s="20" t="s">
        <v>5746</v>
      </c>
      <c r="G1482" s="20" t="s">
        <v>5747</v>
      </c>
      <c r="H1482" s="20" t="s">
        <v>5748</v>
      </c>
      <c r="I1482" s="20">
        <v>1</v>
      </c>
      <c r="J1482" s="20" t="s">
        <v>5749</v>
      </c>
      <c r="K1482" s="20" t="s">
        <v>5759</v>
      </c>
      <c r="L1482" s="20" t="s">
        <v>5751</v>
      </c>
      <c r="M1482" s="20" t="s">
        <v>5752</v>
      </c>
      <c r="N1482" s="20" t="s">
        <v>5753</v>
      </c>
      <c r="P1482" s="20" t="s">
        <v>5752</v>
      </c>
      <c r="Q1482" s="20" t="s">
        <v>5754</v>
      </c>
      <c r="R1482" s="20" t="s">
        <v>84</v>
      </c>
      <c r="S1482" s="20">
        <v>5</v>
      </c>
      <c r="T1482" s="20" t="s">
        <v>674</v>
      </c>
      <c r="U1482" s="20" t="s">
        <v>675</v>
      </c>
      <c r="V1482" s="20" t="s">
        <v>5502</v>
      </c>
      <c r="W1482" s="20">
        <v>7</v>
      </c>
      <c r="X1482" s="20" t="s">
        <v>5626</v>
      </c>
      <c r="Y1482" s="20" t="s">
        <v>5755</v>
      </c>
      <c r="Z1482" s="20">
        <v>0.5</v>
      </c>
      <c r="AA1482" s="20" t="s">
        <v>5760</v>
      </c>
      <c r="AB1482" s="20" t="s">
        <v>248</v>
      </c>
      <c r="AC1482" s="20" t="s">
        <v>249</v>
      </c>
      <c r="AD1482" s="20" t="s">
        <v>5757</v>
      </c>
      <c r="AE1482" s="20" t="s">
        <v>91</v>
      </c>
      <c r="AF1482" s="20">
        <v>0.5</v>
      </c>
      <c r="AG1482" s="20">
        <v>0</v>
      </c>
      <c r="AH1482" s="20">
        <v>1</v>
      </c>
      <c r="AI1482" s="4" t="s">
        <v>649</v>
      </c>
      <c r="AJ1482" s="20">
        <v>2</v>
      </c>
      <c r="AK1482" s="4" t="s">
        <v>5758</v>
      </c>
      <c r="AL1482" s="4">
        <v>1</v>
      </c>
      <c r="AM1482" s="4" t="s">
        <v>130</v>
      </c>
      <c r="AN1482" s="4" t="s">
        <v>95</v>
      </c>
      <c r="AO1482" s="4" t="s">
        <v>131</v>
      </c>
      <c r="AP1482" s="4">
        <v>2</v>
      </c>
      <c r="AQ1482" s="20">
        <v>298000</v>
      </c>
      <c r="AR1482" s="4">
        <v>41971</v>
      </c>
      <c r="AS1482" s="20">
        <v>75252.525252525244</v>
      </c>
      <c r="AT1482" s="20">
        <v>0</v>
      </c>
      <c r="AU1482" s="20">
        <v>-75252.525252525244</v>
      </c>
      <c r="AV1482" s="20">
        <v>0</v>
      </c>
      <c r="AW1482" s="20">
        <v>0</v>
      </c>
      <c r="AX1482" s="20" t="s">
        <v>91</v>
      </c>
      <c r="AY1482" s="20">
        <v>0</v>
      </c>
      <c r="AZ1482" s="20">
        <v>0</v>
      </c>
      <c r="BA1482" s="20">
        <v>0</v>
      </c>
      <c r="BB1482" s="6">
        <v>41971</v>
      </c>
      <c r="BC1482" s="6">
        <v>0</v>
      </c>
      <c r="BD1482" s="6">
        <v>41976</v>
      </c>
      <c r="BE1482" s="6">
        <v>0</v>
      </c>
      <c r="BF1482" s="6">
        <v>41975</v>
      </c>
      <c r="BG1482" s="6">
        <v>0</v>
      </c>
      <c r="BH1482" s="6">
        <v>0</v>
      </c>
      <c r="BI1482" s="6">
        <v>0</v>
      </c>
      <c r="BJ1482" s="6">
        <v>0</v>
      </c>
      <c r="BK1482" s="4">
        <v>0</v>
      </c>
      <c r="BL1482" s="4">
        <v>0</v>
      </c>
      <c r="BM1482" s="20">
        <v>2</v>
      </c>
      <c r="BN1482" s="20">
        <v>0</v>
      </c>
      <c r="BO1482" s="20">
        <v>0</v>
      </c>
      <c r="BP1482" s="20">
        <v>0</v>
      </c>
      <c r="BQ1482" s="20">
        <v>0</v>
      </c>
      <c r="BR1482" s="20">
        <v>0</v>
      </c>
      <c r="BS1482" s="20">
        <v>2</v>
      </c>
      <c r="BT1482" s="20">
        <v>150505.05050505049</v>
      </c>
      <c r="BU1482" s="20">
        <v>596000</v>
      </c>
      <c r="BV1482" s="20">
        <v>3.5999999999999996</v>
      </c>
    </row>
    <row r="1483" spans="1:74">
      <c r="A1483" s="10">
        <f t="shared" si="94"/>
        <v>0</v>
      </c>
      <c r="B1483" s="10">
        <f t="shared" si="95"/>
        <v>0</v>
      </c>
      <c r="C1483" s="12" t="str">
        <f t="shared" si="96"/>
        <v/>
      </c>
      <c r="D1483" s="12" t="str">
        <f t="shared" si="97"/>
        <v/>
      </c>
      <c r="E1483" s="20" t="s">
        <v>91</v>
      </c>
      <c r="F1483" s="20" t="s">
        <v>91</v>
      </c>
      <c r="G1483" s="20" t="s">
        <v>91</v>
      </c>
      <c r="H1483" s="20" t="s">
        <v>91</v>
      </c>
      <c r="I1483" s="20">
        <v>0</v>
      </c>
      <c r="J1483" s="20" t="s">
        <v>103</v>
      </c>
      <c r="K1483" s="20" t="s">
        <v>104</v>
      </c>
      <c r="L1483" s="20">
        <v>0</v>
      </c>
      <c r="M1483" s="20" t="s">
        <v>105</v>
      </c>
      <c r="N1483" s="20" t="s">
        <v>91</v>
      </c>
      <c r="O1483" s="20" t="s">
        <v>5761</v>
      </c>
      <c r="Q1483" s="20" t="s">
        <v>91</v>
      </c>
      <c r="R1483" s="20" t="s">
        <v>91</v>
      </c>
      <c r="S1483" s="20" t="s">
        <v>91</v>
      </c>
      <c r="U1483" s="20" t="s">
        <v>91</v>
      </c>
      <c r="X1483" s="20" t="s">
        <v>91</v>
      </c>
      <c r="Y1483" s="20" t="s">
        <v>91</v>
      </c>
      <c r="Z1483" s="20">
        <v>1</v>
      </c>
      <c r="AB1483" s="20" t="s">
        <v>91</v>
      </c>
      <c r="AD1483" s="20" t="s">
        <v>91</v>
      </c>
      <c r="AE1483" s="20" t="s">
        <v>91</v>
      </c>
      <c r="AF1483" s="20">
        <v>1</v>
      </c>
      <c r="AG1483" s="20">
        <v>0</v>
      </c>
      <c r="AH1483" s="20">
        <v>1</v>
      </c>
      <c r="AM1483" s="4" t="s">
        <v>91</v>
      </c>
      <c r="AN1483" s="4" t="s">
        <v>95</v>
      </c>
      <c r="AP1483" s="4" t="s">
        <v>91</v>
      </c>
      <c r="AQ1483" s="20">
        <v>0</v>
      </c>
      <c r="AR1483" s="4">
        <v>0</v>
      </c>
      <c r="AS1483" s="20">
        <v>0</v>
      </c>
      <c r="AT1483" s="20">
        <v>0</v>
      </c>
      <c r="AU1483" s="20">
        <v>0</v>
      </c>
      <c r="AV1483" s="20">
        <v>0</v>
      </c>
      <c r="AW1483" s="20">
        <v>0</v>
      </c>
      <c r="AX1483" s="20" t="s">
        <v>91</v>
      </c>
      <c r="AY1483" s="20">
        <v>0</v>
      </c>
      <c r="AZ1483" s="20">
        <v>0</v>
      </c>
      <c r="BA1483" s="20">
        <v>0</v>
      </c>
      <c r="BB1483" s="6">
        <v>0</v>
      </c>
      <c r="BC1483" s="6">
        <v>0</v>
      </c>
      <c r="BD1483" s="6">
        <v>0</v>
      </c>
      <c r="BE1483" s="6">
        <v>0</v>
      </c>
      <c r="BF1483" s="6">
        <v>0</v>
      </c>
      <c r="BG1483" s="6">
        <v>0</v>
      </c>
      <c r="BH1483" s="6">
        <v>0</v>
      </c>
      <c r="BI1483" s="6">
        <v>0</v>
      </c>
      <c r="BJ1483" s="6">
        <v>0</v>
      </c>
      <c r="BK1483" s="4">
        <v>0</v>
      </c>
      <c r="BL1483" s="4">
        <v>0</v>
      </c>
      <c r="BM1483" s="20">
        <v>4</v>
      </c>
      <c r="BN1483" s="20">
        <v>0</v>
      </c>
      <c r="BO1483" s="20">
        <v>0</v>
      </c>
      <c r="BP1483" s="20">
        <v>0</v>
      </c>
      <c r="BQ1483" s="20">
        <v>0</v>
      </c>
      <c r="BR1483" s="20">
        <v>0</v>
      </c>
      <c r="BS1483" s="20">
        <v>4</v>
      </c>
      <c r="BT1483" s="20">
        <v>301010.10101010097</v>
      </c>
      <c r="BU1483" s="20">
        <v>1192000</v>
      </c>
      <c r="BV1483" s="20">
        <v>3.5999999999999996</v>
      </c>
    </row>
    <row r="1484" spans="1:74">
      <c r="A1484" s="10">
        <f t="shared" si="94"/>
        <v>0</v>
      </c>
      <c r="B1484" s="10">
        <f t="shared" si="95"/>
        <v>0</v>
      </c>
      <c r="C1484" s="12">
        <f t="shared" si="96"/>
        <v>11</v>
      </c>
      <c r="D1484" s="12">
        <f t="shared" si="97"/>
        <v>12</v>
      </c>
      <c r="E1484" s="20" t="s">
        <v>574</v>
      </c>
      <c r="F1484" s="20" t="s">
        <v>5746</v>
      </c>
      <c r="G1484" s="20" t="s">
        <v>5762</v>
      </c>
      <c r="H1484" s="20" t="s">
        <v>5763</v>
      </c>
      <c r="I1484" s="20">
        <v>1</v>
      </c>
      <c r="J1484" s="20" t="s">
        <v>5764</v>
      </c>
      <c r="K1484" s="20" t="s">
        <v>5765</v>
      </c>
      <c r="L1484" s="20" t="s">
        <v>5766</v>
      </c>
      <c r="M1484" s="20" t="s">
        <v>5752</v>
      </c>
      <c r="N1484" s="20" t="s">
        <v>5767</v>
      </c>
      <c r="P1484" s="20" t="s">
        <v>5752</v>
      </c>
      <c r="Q1484" s="20" t="s">
        <v>5754</v>
      </c>
      <c r="R1484" s="20" t="s">
        <v>84</v>
      </c>
      <c r="S1484" s="20">
        <v>5</v>
      </c>
      <c r="T1484" s="20" t="s">
        <v>922</v>
      </c>
      <c r="U1484" s="20" t="s">
        <v>923</v>
      </c>
      <c r="V1484" s="20" t="s">
        <v>5502</v>
      </c>
      <c r="W1484" s="20">
        <v>5</v>
      </c>
      <c r="X1484" s="20" t="s">
        <v>5768</v>
      </c>
      <c r="Y1484" s="20" t="s">
        <v>5769</v>
      </c>
      <c r="Z1484" s="20">
        <v>0.25</v>
      </c>
      <c r="AA1484" s="20" t="s">
        <v>5770</v>
      </c>
      <c r="AB1484" s="20" t="s">
        <v>248</v>
      </c>
      <c r="AC1484" s="20" t="s">
        <v>249</v>
      </c>
      <c r="AD1484" s="20" t="s">
        <v>5771</v>
      </c>
      <c r="AE1484" s="20" t="s">
        <v>91</v>
      </c>
      <c r="AF1484" s="20">
        <v>0.25</v>
      </c>
      <c r="AG1484" s="20">
        <v>0</v>
      </c>
      <c r="AH1484" s="20">
        <v>1</v>
      </c>
      <c r="AI1484" s="4" t="s">
        <v>645</v>
      </c>
      <c r="AJ1484" s="20">
        <v>2</v>
      </c>
      <c r="AK1484" s="4" t="s">
        <v>780</v>
      </c>
      <c r="AL1484" s="4">
        <v>18</v>
      </c>
      <c r="AM1484" s="4">
        <v>18</v>
      </c>
      <c r="AN1484" s="4" t="s">
        <v>95</v>
      </c>
      <c r="AO1484" s="4" t="s">
        <v>131</v>
      </c>
      <c r="AP1484" s="4">
        <v>2</v>
      </c>
      <c r="AQ1484" s="20">
        <v>109000</v>
      </c>
      <c r="AR1484" s="4">
        <v>41971</v>
      </c>
      <c r="AS1484" s="20">
        <v>27525.252525252523</v>
      </c>
      <c r="AT1484" s="20">
        <v>0</v>
      </c>
      <c r="AU1484" s="20">
        <v>-27525.252525252523</v>
      </c>
      <c r="AV1484" s="20">
        <v>0</v>
      </c>
      <c r="AW1484" s="20">
        <v>0</v>
      </c>
      <c r="AX1484" s="20" t="s">
        <v>91</v>
      </c>
      <c r="AY1484" s="20">
        <v>0</v>
      </c>
      <c r="AZ1484" s="20">
        <v>0</v>
      </c>
      <c r="BA1484" s="20">
        <v>0</v>
      </c>
      <c r="BB1484" s="6">
        <v>41971</v>
      </c>
      <c r="BC1484" s="6">
        <v>0</v>
      </c>
      <c r="BD1484" s="6">
        <v>41976</v>
      </c>
      <c r="BE1484" s="6">
        <v>0</v>
      </c>
      <c r="BF1484" s="6">
        <v>41975</v>
      </c>
      <c r="BG1484" s="6">
        <v>0</v>
      </c>
      <c r="BH1484" s="6">
        <v>0</v>
      </c>
      <c r="BI1484" s="6">
        <v>0</v>
      </c>
      <c r="BJ1484" s="6">
        <v>0</v>
      </c>
      <c r="BK1484" s="4">
        <v>0</v>
      </c>
      <c r="BL1484" s="4">
        <v>0</v>
      </c>
      <c r="BM1484" s="20">
        <v>2</v>
      </c>
      <c r="BN1484" s="20">
        <v>0</v>
      </c>
      <c r="BO1484" s="20">
        <v>0</v>
      </c>
      <c r="BP1484" s="20">
        <v>0</v>
      </c>
      <c r="BQ1484" s="20">
        <v>0</v>
      </c>
      <c r="BR1484" s="20">
        <v>0</v>
      </c>
      <c r="BS1484" s="20">
        <v>2</v>
      </c>
      <c r="BT1484" s="20">
        <v>55050.505050505046</v>
      </c>
      <c r="BU1484" s="20">
        <v>218000</v>
      </c>
      <c r="BV1484" s="20">
        <v>3.6</v>
      </c>
    </row>
    <row r="1485" spans="1:74">
      <c r="A1485" s="10">
        <f t="shared" si="94"/>
        <v>0</v>
      </c>
      <c r="B1485" s="10">
        <f t="shared" si="95"/>
        <v>0</v>
      </c>
      <c r="C1485" s="12">
        <f t="shared" si="96"/>
        <v>11</v>
      </c>
      <c r="D1485" s="12">
        <f t="shared" si="97"/>
        <v>12</v>
      </c>
      <c r="E1485" s="20" t="s">
        <v>574</v>
      </c>
      <c r="F1485" s="20" t="s">
        <v>5746</v>
      </c>
      <c r="G1485" s="20" t="s">
        <v>5762</v>
      </c>
      <c r="H1485" s="20" t="s">
        <v>5763</v>
      </c>
      <c r="I1485" s="20">
        <v>1</v>
      </c>
      <c r="J1485" s="20" t="s">
        <v>5764</v>
      </c>
      <c r="K1485" s="20" t="s">
        <v>5772</v>
      </c>
      <c r="L1485" s="20" t="s">
        <v>5766</v>
      </c>
      <c r="M1485" s="20" t="s">
        <v>5752</v>
      </c>
      <c r="N1485" s="20" t="s">
        <v>5767</v>
      </c>
      <c r="P1485" s="20" t="s">
        <v>5752</v>
      </c>
      <c r="Q1485" s="20" t="s">
        <v>5754</v>
      </c>
      <c r="R1485" s="20" t="s">
        <v>84</v>
      </c>
      <c r="S1485" s="20">
        <v>5</v>
      </c>
      <c r="T1485" s="20" t="s">
        <v>922</v>
      </c>
      <c r="U1485" s="20" t="s">
        <v>923</v>
      </c>
      <c r="V1485" s="20" t="s">
        <v>5502</v>
      </c>
      <c r="W1485" s="20">
        <v>5</v>
      </c>
      <c r="X1485" s="20" t="s">
        <v>5768</v>
      </c>
      <c r="Y1485" s="20" t="s">
        <v>5769</v>
      </c>
      <c r="Z1485" s="20">
        <v>0.25</v>
      </c>
      <c r="AA1485" s="20" t="s">
        <v>5773</v>
      </c>
      <c r="AB1485" s="20" t="s">
        <v>248</v>
      </c>
      <c r="AC1485" s="20" t="s">
        <v>249</v>
      </c>
      <c r="AD1485" s="20" t="s">
        <v>5771</v>
      </c>
      <c r="AE1485" s="20" t="s">
        <v>91</v>
      </c>
      <c r="AF1485" s="20">
        <v>0.25</v>
      </c>
      <c r="AG1485" s="20">
        <v>0</v>
      </c>
      <c r="AH1485" s="20">
        <v>1</v>
      </c>
      <c r="AI1485" s="4" t="s">
        <v>647</v>
      </c>
      <c r="AJ1485" s="20">
        <v>2</v>
      </c>
      <c r="AK1485" s="4" t="s">
        <v>780</v>
      </c>
      <c r="AL1485" s="4">
        <v>18</v>
      </c>
      <c r="AM1485" s="4">
        <v>18</v>
      </c>
      <c r="AN1485" s="4" t="s">
        <v>95</v>
      </c>
      <c r="AO1485" s="4" t="s">
        <v>131</v>
      </c>
      <c r="AP1485" s="4">
        <v>2</v>
      </c>
      <c r="AQ1485" s="20">
        <v>109000</v>
      </c>
      <c r="AR1485" s="4">
        <v>41971</v>
      </c>
      <c r="AS1485" s="20">
        <v>27525.252525252523</v>
      </c>
      <c r="AT1485" s="20">
        <v>0</v>
      </c>
      <c r="AU1485" s="20">
        <v>-27525.252525252523</v>
      </c>
      <c r="AV1485" s="20">
        <v>0</v>
      </c>
      <c r="AW1485" s="20">
        <v>0</v>
      </c>
      <c r="AX1485" s="20" t="s">
        <v>91</v>
      </c>
      <c r="AY1485" s="20">
        <v>0</v>
      </c>
      <c r="AZ1485" s="20">
        <v>0</v>
      </c>
      <c r="BA1485" s="20">
        <v>0</v>
      </c>
      <c r="BB1485" s="6">
        <v>41971</v>
      </c>
      <c r="BC1485" s="6">
        <v>0</v>
      </c>
      <c r="BD1485" s="6">
        <v>41976</v>
      </c>
      <c r="BE1485" s="6">
        <v>0</v>
      </c>
      <c r="BF1485" s="6">
        <v>41975</v>
      </c>
      <c r="BG1485" s="6">
        <v>0</v>
      </c>
      <c r="BH1485" s="6">
        <v>0</v>
      </c>
      <c r="BI1485" s="6">
        <v>0</v>
      </c>
      <c r="BJ1485" s="6">
        <v>0</v>
      </c>
      <c r="BK1485" s="4">
        <v>0</v>
      </c>
      <c r="BL1485" s="4">
        <v>0</v>
      </c>
      <c r="BM1485" s="20">
        <v>2</v>
      </c>
      <c r="BN1485" s="20">
        <v>0</v>
      </c>
      <c r="BO1485" s="20">
        <v>0</v>
      </c>
      <c r="BP1485" s="20">
        <v>0</v>
      </c>
      <c r="BQ1485" s="20">
        <v>0</v>
      </c>
      <c r="BR1485" s="20">
        <v>0</v>
      </c>
      <c r="BS1485" s="20">
        <v>2</v>
      </c>
      <c r="BT1485" s="20">
        <v>55050.505050505046</v>
      </c>
      <c r="BU1485" s="20">
        <v>218000</v>
      </c>
      <c r="BV1485" s="20">
        <v>3.6</v>
      </c>
    </row>
    <row r="1486" spans="1:74">
      <c r="A1486" s="10">
        <f t="shared" si="94"/>
        <v>0</v>
      </c>
      <c r="B1486" s="10">
        <f t="shared" si="95"/>
        <v>0</v>
      </c>
      <c r="C1486" s="12">
        <f t="shared" si="96"/>
        <v>11</v>
      </c>
      <c r="D1486" s="12">
        <f t="shared" si="97"/>
        <v>12</v>
      </c>
      <c r="E1486" s="20" t="s">
        <v>574</v>
      </c>
      <c r="F1486" s="20" t="s">
        <v>5746</v>
      </c>
      <c r="G1486" s="20" t="s">
        <v>5762</v>
      </c>
      <c r="H1486" s="20" t="s">
        <v>5763</v>
      </c>
      <c r="I1486" s="20">
        <v>1</v>
      </c>
      <c r="J1486" s="20" t="s">
        <v>5764</v>
      </c>
      <c r="K1486" s="20" t="s">
        <v>5774</v>
      </c>
      <c r="L1486" s="20" t="s">
        <v>5766</v>
      </c>
      <c r="M1486" s="20" t="s">
        <v>5752</v>
      </c>
      <c r="N1486" s="20" t="s">
        <v>5767</v>
      </c>
      <c r="P1486" s="20" t="s">
        <v>5752</v>
      </c>
      <c r="Q1486" s="20" t="s">
        <v>5754</v>
      </c>
      <c r="R1486" s="20" t="s">
        <v>84</v>
      </c>
      <c r="S1486" s="20">
        <v>5</v>
      </c>
      <c r="T1486" s="20" t="s">
        <v>922</v>
      </c>
      <c r="U1486" s="20" t="s">
        <v>923</v>
      </c>
      <c r="V1486" s="20" t="s">
        <v>5502</v>
      </c>
      <c r="W1486" s="20">
        <v>5</v>
      </c>
      <c r="X1486" s="20" t="s">
        <v>5768</v>
      </c>
      <c r="Y1486" s="20" t="s">
        <v>5769</v>
      </c>
      <c r="Z1486" s="20">
        <v>0.25</v>
      </c>
      <c r="AA1486" s="20" t="s">
        <v>5775</v>
      </c>
      <c r="AB1486" s="20" t="s">
        <v>248</v>
      </c>
      <c r="AC1486" s="20" t="s">
        <v>249</v>
      </c>
      <c r="AD1486" s="20" t="s">
        <v>5771</v>
      </c>
      <c r="AE1486" s="20" t="s">
        <v>91</v>
      </c>
      <c r="AF1486" s="20">
        <v>0.25</v>
      </c>
      <c r="AG1486" s="20">
        <v>0</v>
      </c>
      <c r="AH1486" s="20">
        <v>1</v>
      </c>
      <c r="AI1486" s="4" t="s">
        <v>649</v>
      </c>
      <c r="AJ1486" s="20">
        <v>2</v>
      </c>
      <c r="AK1486" s="4" t="s">
        <v>780</v>
      </c>
      <c r="AL1486" s="4">
        <v>18</v>
      </c>
      <c r="AM1486" s="4">
        <v>18</v>
      </c>
      <c r="AN1486" s="4" t="s">
        <v>95</v>
      </c>
      <c r="AO1486" s="4" t="s">
        <v>131</v>
      </c>
      <c r="AP1486" s="4">
        <v>2</v>
      </c>
      <c r="AQ1486" s="20">
        <v>109000</v>
      </c>
      <c r="AR1486" s="4">
        <v>41971</v>
      </c>
      <c r="AS1486" s="20">
        <v>27525.252525252523</v>
      </c>
      <c r="AT1486" s="20">
        <v>0</v>
      </c>
      <c r="AU1486" s="20">
        <v>-27525.252525252523</v>
      </c>
      <c r="AV1486" s="20">
        <v>0</v>
      </c>
      <c r="AW1486" s="20">
        <v>0</v>
      </c>
      <c r="AX1486" s="20" t="s">
        <v>91</v>
      </c>
      <c r="AY1486" s="20">
        <v>0</v>
      </c>
      <c r="AZ1486" s="20">
        <v>0</v>
      </c>
      <c r="BA1486" s="20">
        <v>0</v>
      </c>
      <c r="BB1486" s="6">
        <v>41971</v>
      </c>
      <c r="BC1486" s="6">
        <v>0</v>
      </c>
      <c r="BD1486" s="6">
        <v>41976</v>
      </c>
      <c r="BE1486" s="6">
        <v>0</v>
      </c>
      <c r="BF1486" s="6">
        <v>41975</v>
      </c>
      <c r="BG1486" s="6">
        <v>0</v>
      </c>
      <c r="BH1486" s="6">
        <v>0</v>
      </c>
      <c r="BI1486" s="6">
        <v>0</v>
      </c>
      <c r="BJ1486" s="6">
        <v>0</v>
      </c>
      <c r="BK1486" s="4">
        <v>0</v>
      </c>
      <c r="BL1486" s="4">
        <v>0</v>
      </c>
      <c r="BM1486" s="20">
        <v>2</v>
      </c>
      <c r="BN1486" s="20">
        <v>0</v>
      </c>
      <c r="BO1486" s="20">
        <v>0</v>
      </c>
      <c r="BP1486" s="20">
        <v>0</v>
      </c>
      <c r="BQ1486" s="20">
        <v>0</v>
      </c>
      <c r="BR1486" s="20">
        <v>0</v>
      </c>
      <c r="BS1486" s="20">
        <v>2</v>
      </c>
      <c r="BT1486" s="20">
        <v>55050.505050505046</v>
      </c>
      <c r="BU1486" s="20">
        <v>218000</v>
      </c>
      <c r="BV1486" s="20">
        <v>3.6</v>
      </c>
    </row>
    <row r="1487" spans="1:74">
      <c r="A1487" s="10">
        <f t="shared" si="94"/>
        <v>0</v>
      </c>
      <c r="B1487" s="10">
        <f t="shared" si="95"/>
        <v>0</v>
      </c>
      <c r="C1487" s="12">
        <f t="shared" si="96"/>
        <v>11</v>
      </c>
      <c r="D1487" s="12">
        <f t="shared" si="97"/>
        <v>12</v>
      </c>
      <c r="E1487" s="20" t="s">
        <v>574</v>
      </c>
      <c r="F1487" s="20" t="s">
        <v>5746</v>
      </c>
      <c r="G1487" s="20" t="s">
        <v>5762</v>
      </c>
      <c r="H1487" s="20" t="s">
        <v>5763</v>
      </c>
      <c r="I1487" s="20">
        <v>1</v>
      </c>
      <c r="J1487" s="20" t="s">
        <v>5764</v>
      </c>
      <c r="K1487" s="20" t="s">
        <v>5776</v>
      </c>
      <c r="L1487" s="20" t="s">
        <v>5766</v>
      </c>
      <c r="M1487" s="20" t="s">
        <v>5752</v>
      </c>
      <c r="N1487" s="20" t="s">
        <v>5767</v>
      </c>
      <c r="P1487" s="20" t="s">
        <v>5752</v>
      </c>
      <c r="Q1487" s="20" t="s">
        <v>5754</v>
      </c>
      <c r="R1487" s="20" t="s">
        <v>84</v>
      </c>
      <c r="S1487" s="20">
        <v>5</v>
      </c>
      <c r="T1487" s="20" t="s">
        <v>922</v>
      </c>
      <c r="U1487" s="20" t="s">
        <v>923</v>
      </c>
      <c r="V1487" s="20" t="s">
        <v>5502</v>
      </c>
      <c r="W1487" s="20">
        <v>5</v>
      </c>
      <c r="X1487" s="20" t="s">
        <v>5768</v>
      </c>
      <c r="Y1487" s="20" t="s">
        <v>5769</v>
      </c>
      <c r="Z1487" s="20">
        <v>0.25</v>
      </c>
      <c r="AA1487" s="20" t="s">
        <v>5777</v>
      </c>
      <c r="AB1487" s="20" t="s">
        <v>248</v>
      </c>
      <c r="AC1487" s="20" t="s">
        <v>249</v>
      </c>
      <c r="AD1487" s="20" t="s">
        <v>5771</v>
      </c>
      <c r="AE1487" s="20" t="s">
        <v>91</v>
      </c>
      <c r="AF1487" s="20">
        <v>0.25</v>
      </c>
      <c r="AG1487" s="20">
        <v>0</v>
      </c>
      <c r="AH1487" s="20">
        <v>1</v>
      </c>
      <c r="AI1487" s="4" t="s">
        <v>651</v>
      </c>
      <c r="AJ1487" s="20">
        <v>2</v>
      </c>
      <c r="AK1487" s="4" t="s">
        <v>780</v>
      </c>
      <c r="AL1487" s="4">
        <v>18</v>
      </c>
      <c r="AM1487" s="4">
        <v>18</v>
      </c>
      <c r="AN1487" s="4" t="s">
        <v>95</v>
      </c>
      <c r="AO1487" s="4" t="s">
        <v>131</v>
      </c>
      <c r="AP1487" s="4">
        <v>2</v>
      </c>
      <c r="AQ1487" s="20">
        <v>109000</v>
      </c>
      <c r="AR1487" s="4">
        <v>41971</v>
      </c>
      <c r="AS1487" s="20">
        <v>27525.252525252523</v>
      </c>
      <c r="AT1487" s="20">
        <v>0</v>
      </c>
      <c r="AU1487" s="20">
        <v>-27525.252525252523</v>
      </c>
      <c r="AV1487" s="20">
        <v>0</v>
      </c>
      <c r="AW1487" s="20">
        <v>0</v>
      </c>
      <c r="AX1487" s="20" t="s">
        <v>91</v>
      </c>
      <c r="AY1487" s="20">
        <v>0</v>
      </c>
      <c r="AZ1487" s="20">
        <v>0</v>
      </c>
      <c r="BA1487" s="20">
        <v>0</v>
      </c>
      <c r="BB1487" s="6">
        <v>41971</v>
      </c>
      <c r="BC1487" s="6">
        <v>0</v>
      </c>
      <c r="BD1487" s="6">
        <v>41976</v>
      </c>
      <c r="BE1487" s="6">
        <v>0</v>
      </c>
      <c r="BF1487" s="6">
        <v>41975</v>
      </c>
      <c r="BG1487" s="6">
        <v>0</v>
      </c>
      <c r="BH1487" s="6">
        <v>0</v>
      </c>
      <c r="BI1487" s="6">
        <v>0</v>
      </c>
      <c r="BJ1487" s="6">
        <v>0</v>
      </c>
      <c r="BK1487" s="4">
        <v>0</v>
      </c>
      <c r="BL1487" s="4">
        <v>0</v>
      </c>
      <c r="BM1487" s="20">
        <v>2</v>
      </c>
      <c r="BN1487" s="20">
        <v>0</v>
      </c>
      <c r="BO1487" s="20">
        <v>0</v>
      </c>
      <c r="BP1487" s="20">
        <v>0</v>
      </c>
      <c r="BQ1487" s="20">
        <v>0</v>
      </c>
      <c r="BR1487" s="20">
        <v>0</v>
      </c>
      <c r="BS1487" s="20">
        <v>2</v>
      </c>
      <c r="BT1487" s="20">
        <v>55050.505050505046</v>
      </c>
      <c r="BU1487" s="20">
        <v>218000</v>
      </c>
      <c r="BV1487" s="20">
        <v>3.6</v>
      </c>
    </row>
    <row r="1488" spans="1:74">
      <c r="A1488" s="10">
        <f t="shared" si="94"/>
        <v>0</v>
      </c>
      <c r="B1488" s="10">
        <f t="shared" si="95"/>
        <v>0</v>
      </c>
      <c r="C1488" s="12" t="str">
        <f t="shared" si="96"/>
        <v/>
      </c>
      <c r="D1488" s="12" t="str">
        <f t="shared" si="97"/>
        <v/>
      </c>
      <c r="E1488" s="20" t="s">
        <v>91</v>
      </c>
      <c r="F1488" s="20" t="s">
        <v>91</v>
      </c>
      <c r="G1488" s="20" t="s">
        <v>91</v>
      </c>
      <c r="H1488" s="20" t="s">
        <v>91</v>
      </c>
      <c r="I1488" s="20">
        <v>0</v>
      </c>
      <c r="J1488" s="20" t="s">
        <v>103</v>
      </c>
      <c r="K1488" s="20" t="s">
        <v>104</v>
      </c>
      <c r="L1488" s="20">
        <v>0</v>
      </c>
      <c r="M1488" s="20" t="s">
        <v>105</v>
      </c>
      <c r="N1488" s="20" t="s">
        <v>91</v>
      </c>
      <c r="O1488" s="20" t="s">
        <v>5778</v>
      </c>
      <c r="Q1488" s="20" t="s">
        <v>91</v>
      </c>
      <c r="R1488" s="20" t="s">
        <v>91</v>
      </c>
      <c r="S1488" s="20" t="s">
        <v>91</v>
      </c>
      <c r="U1488" s="20" t="s">
        <v>91</v>
      </c>
      <c r="X1488" s="20" t="s">
        <v>91</v>
      </c>
      <c r="Y1488" s="20" t="s">
        <v>91</v>
      </c>
      <c r="Z1488" s="20">
        <v>1</v>
      </c>
      <c r="AB1488" s="20" t="s">
        <v>91</v>
      </c>
      <c r="AD1488" s="20" t="s">
        <v>91</v>
      </c>
      <c r="AE1488" s="20" t="s">
        <v>91</v>
      </c>
      <c r="AF1488" s="20">
        <v>1</v>
      </c>
      <c r="AG1488" s="20">
        <v>0</v>
      </c>
      <c r="AH1488" s="20">
        <v>1</v>
      </c>
      <c r="AM1488" s="4" t="s">
        <v>91</v>
      </c>
      <c r="AN1488" s="4" t="s">
        <v>95</v>
      </c>
      <c r="AP1488" s="4" t="s">
        <v>91</v>
      </c>
      <c r="AQ1488" s="20">
        <v>0</v>
      </c>
      <c r="AR1488" s="4">
        <v>0</v>
      </c>
      <c r="AS1488" s="20">
        <v>0</v>
      </c>
      <c r="AT1488" s="20">
        <v>0</v>
      </c>
      <c r="AU1488" s="20">
        <v>0</v>
      </c>
      <c r="AV1488" s="20">
        <v>0</v>
      </c>
      <c r="AW1488" s="20">
        <v>0</v>
      </c>
      <c r="AX1488" s="20" t="s">
        <v>91</v>
      </c>
      <c r="AY1488" s="20">
        <v>0</v>
      </c>
      <c r="AZ1488" s="20">
        <v>0</v>
      </c>
      <c r="BA1488" s="20">
        <v>0</v>
      </c>
      <c r="BB1488" s="6">
        <v>0</v>
      </c>
      <c r="BC1488" s="6">
        <v>0</v>
      </c>
      <c r="BD1488" s="6">
        <v>0</v>
      </c>
      <c r="BE1488" s="6">
        <v>0</v>
      </c>
      <c r="BF1488" s="6">
        <v>0</v>
      </c>
      <c r="BG1488" s="6">
        <v>0</v>
      </c>
      <c r="BH1488" s="6">
        <v>0</v>
      </c>
      <c r="BI1488" s="6">
        <v>0</v>
      </c>
      <c r="BJ1488" s="6">
        <v>0</v>
      </c>
      <c r="BK1488" s="4">
        <v>0</v>
      </c>
      <c r="BL1488" s="4">
        <v>0</v>
      </c>
      <c r="BM1488" s="20">
        <v>8</v>
      </c>
      <c r="BN1488" s="20">
        <v>0</v>
      </c>
      <c r="BO1488" s="20">
        <v>0</v>
      </c>
      <c r="BP1488" s="20">
        <v>0</v>
      </c>
      <c r="BQ1488" s="20">
        <v>0</v>
      </c>
      <c r="BR1488" s="20">
        <v>0</v>
      </c>
      <c r="BS1488" s="20">
        <v>8</v>
      </c>
      <c r="BT1488" s="20">
        <v>220202.02020202018</v>
      </c>
      <c r="BU1488" s="20">
        <v>872000</v>
      </c>
      <c r="BV1488" s="20">
        <v>3.6</v>
      </c>
    </row>
    <row r="1489" spans="1:74">
      <c r="A1489" s="10">
        <f t="shared" si="94"/>
        <v>0</v>
      </c>
      <c r="B1489" s="10">
        <f t="shared" si="95"/>
        <v>0</v>
      </c>
      <c r="C1489" s="12">
        <f t="shared" si="96"/>
        <v>11</v>
      </c>
      <c r="D1489" s="12">
        <f t="shared" si="97"/>
        <v>12</v>
      </c>
      <c r="E1489" s="20" t="s">
        <v>114</v>
      </c>
      <c r="F1489" s="20" t="s">
        <v>5455</v>
      </c>
      <c r="G1489" s="20" t="s">
        <v>5779</v>
      </c>
      <c r="H1489" s="20" t="s">
        <v>5780</v>
      </c>
      <c r="I1489" s="20">
        <v>1</v>
      </c>
      <c r="J1489" s="20" t="s">
        <v>5781</v>
      </c>
      <c r="K1489" s="20" t="s">
        <v>5782</v>
      </c>
      <c r="L1489" s="20" t="s">
        <v>5783</v>
      </c>
      <c r="M1489" s="20" t="s">
        <v>5455</v>
      </c>
      <c r="N1489" s="20" t="s">
        <v>5461</v>
      </c>
      <c r="P1489" s="20" t="s">
        <v>5455</v>
      </c>
      <c r="Q1489" s="20" t="s">
        <v>5462</v>
      </c>
      <c r="R1489" s="20" t="s">
        <v>84</v>
      </c>
      <c r="S1489" s="20">
        <v>5</v>
      </c>
      <c r="T1489" s="20" t="s">
        <v>172</v>
      </c>
      <c r="U1489" s="20" t="s">
        <v>173</v>
      </c>
      <c r="V1489" s="20" t="s">
        <v>5502</v>
      </c>
      <c r="W1489" s="20">
        <v>8</v>
      </c>
      <c r="X1489" s="20" t="s">
        <v>5784</v>
      </c>
      <c r="Y1489" s="20" t="s">
        <v>5785</v>
      </c>
      <c r="Z1489" s="20">
        <v>1</v>
      </c>
      <c r="AA1489" s="20" t="s">
        <v>5786</v>
      </c>
      <c r="AB1489" s="20" t="s">
        <v>189</v>
      </c>
      <c r="AC1489" s="20" t="s">
        <v>190</v>
      </c>
      <c r="AD1489" s="20" t="s">
        <v>5787</v>
      </c>
      <c r="AE1489" s="20" t="s">
        <v>91</v>
      </c>
      <c r="AF1489" s="20">
        <v>1</v>
      </c>
      <c r="AG1489" s="20">
        <v>0</v>
      </c>
      <c r="AH1489" s="20">
        <v>1</v>
      </c>
      <c r="AI1489" s="4" t="s">
        <v>251</v>
      </c>
      <c r="AJ1489" s="20">
        <v>10</v>
      </c>
      <c r="AK1489" s="4" t="s">
        <v>179</v>
      </c>
      <c r="AL1489" s="4">
        <v>47</v>
      </c>
      <c r="AM1489" s="4">
        <v>47</v>
      </c>
      <c r="AN1489" s="4" t="s">
        <v>95</v>
      </c>
      <c r="AO1489" s="4" t="s">
        <v>96</v>
      </c>
      <c r="AP1489" s="4">
        <v>1</v>
      </c>
      <c r="AQ1489" s="20">
        <v>39000</v>
      </c>
      <c r="AR1489" s="4">
        <v>41971</v>
      </c>
      <c r="AS1489" s="20">
        <v>5909.0909090909081</v>
      </c>
      <c r="AT1489" s="20">
        <v>0</v>
      </c>
      <c r="AU1489" s="20">
        <v>-5909.0909090909081</v>
      </c>
      <c r="AV1489" s="20">
        <v>0</v>
      </c>
      <c r="AW1489" s="20">
        <v>0</v>
      </c>
      <c r="AX1489" s="20" t="s">
        <v>91</v>
      </c>
      <c r="AY1489" s="20">
        <v>0</v>
      </c>
      <c r="AZ1489" s="20">
        <v>0</v>
      </c>
      <c r="BA1489" s="20">
        <v>0</v>
      </c>
      <c r="BB1489" s="6">
        <v>41971</v>
      </c>
      <c r="BC1489" s="6">
        <v>0</v>
      </c>
      <c r="BD1489" s="6">
        <v>41976</v>
      </c>
      <c r="BE1489" s="6">
        <v>0</v>
      </c>
      <c r="BF1489" s="6">
        <v>41975</v>
      </c>
      <c r="BG1489" s="6">
        <v>0</v>
      </c>
      <c r="BH1489" s="6">
        <v>0</v>
      </c>
      <c r="BI1489" s="6">
        <v>0</v>
      </c>
      <c r="BJ1489" s="6">
        <v>0</v>
      </c>
      <c r="BK1489" s="4">
        <v>0</v>
      </c>
      <c r="BL1489" s="4">
        <v>0</v>
      </c>
      <c r="BM1489" s="20">
        <v>10</v>
      </c>
      <c r="BN1489" s="20">
        <v>0</v>
      </c>
      <c r="BO1489" s="20">
        <v>0</v>
      </c>
      <c r="BP1489" s="20">
        <v>0</v>
      </c>
      <c r="BQ1489" s="20">
        <v>0</v>
      </c>
      <c r="BR1489" s="20">
        <v>0</v>
      </c>
      <c r="BS1489" s="20">
        <v>10</v>
      </c>
      <c r="BT1489" s="20">
        <v>59090.909090909081</v>
      </c>
      <c r="BU1489" s="20">
        <v>390000</v>
      </c>
      <c r="BV1489" s="20">
        <v>6.0000000000000009</v>
      </c>
    </row>
    <row r="1490" spans="1:74">
      <c r="A1490" s="10">
        <f t="shared" si="94"/>
        <v>0</v>
      </c>
      <c r="B1490" s="10">
        <f t="shared" si="95"/>
        <v>0</v>
      </c>
      <c r="C1490" s="12">
        <f t="shared" si="96"/>
        <v>11</v>
      </c>
      <c r="D1490" s="12">
        <f t="shared" si="97"/>
        <v>12</v>
      </c>
      <c r="E1490" s="20" t="s">
        <v>114</v>
      </c>
      <c r="F1490" s="20" t="s">
        <v>5455</v>
      </c>
      <c r="G1490" s="20" t="s">
        <v>5779</v>
      </c>
      <c r="H1490" s="20" t="s">
        <v>5788</v>
      </c>
      <c r="I1490" s="20">
        <v>2</v>
      </c>
      <c r="J1490" s="20" t="s">
        <v>5789</v>
      </c>
      <c r="K1490" s="20" t="s">
        <v>5790</v>
      </c>
      <c r="L1490" s="20" t="s">
        <v>5791</v>
      </c>
      <c r="M1490" s="20" t="s">
        <v>5455</v>
      </c>
      <c r="N1490" s="20" t="s">
        <v>5461</v>
      </c>
      <c r="P1490" s="20" t="s">
        <v>5455</v>
      </c>
      <c r="Q1490" s="20" t="s">
        <v>5462</v>
      </c>
      <c r="R1490" s="20" t="s">
        <v>84</v>
      </c>
      <c r="S1490" s="20">
        <v>5</v>
      </c>
      <c r="T1490" s="20" t="s">
        <v>172</v>
      </c>
      <c r="U1490" s="20" t="s">
        <v>173</v>
      </c>
      <c r="V1490" s="20" t="s">
        <v>5502</v>
      </c>
      <c r="W1490" s="20">
        <v>11</v>
      </c>
      <c r="X1490" s="20" t="s">
        <v>5792</v>
      </c>
      <c r="Y1490" s="20" t="s">
        <v>5793</v>
      </c>
      <c r="Z1490" s="20">
        <v>1</v>
      </c>
      <c r="AA1490" s="20" t="s">
        <v>5794</v>
      </c>
      <c r="AB1490" s="20" t="s">
        <v>176</v>
      </c>
      <c r="AC1490" s="20" t="s">
        <v>177</v>
      </c>
      <c r="AD1490" s="20" t="s">
        <v>5795</v>
      </c>
      <c r="AE1490" s="20" t="s">
        <v>91</v>
      </c>
      <c r="AF1490" s="20">
        <v>1</v>
      </c>
      <c r="AG1490" s="20">
        <v>0</v>
      </c>
      <c r="AH1490" s="20">
        <v>1</v>
      </c>
      <c r="AI1490" s="4" t="s">
        <v>251</v>
      </c>
      <c r="AJ1490" s="20">
        <v>10</v>
      </c>
      <c r="AK1490" s="4" t="s">
        <v>179</v>
      </c>
      <c r="AL1490" s="4">
        <v>47</v>
      </c>
      <c r="AM1490" s="4">
        <v>47</v>
      </c>
      <c r="AN1490" s="4" t="s">
        <v>95</v>
      </c>
      <c r="AO1490" s="4" t="s">
        <v>96</v>
      </c>
      <c r="AP1490" s="4">
        <v>1</v>
      </c>
      <c r="AQ1490" s="20">
        <v>49000</v>
      </c>
      <c r="AR1490" s="4">
        <v>41971</v>
      </c>
      <c r="AS1490" s="20">
        <v>7424.242424242424</v>
      </c>
      <c r="AT1490" s="20">
        <v>0</v>
      </c>
      <c r="AU1490" s="20">
        <v>-7424.242424242424</v>
      </c>
      <c r="AV1490" s="20">
        <v>0</v>
      </c>
      <c r="AW1490" s="20">
        <v>0</v>
      </c>
      <c r="AX1490" s="20" t="s">
        <v>91</v>
      </c>
      <c r="AY1490" s="20">
        <v>0</v>
      </c>
      <c r="AZ1490" s="20">
        <v>0</v>
      </c>
      <c r="BA1490" s="20">
        <v>0</v>
      </c>
      <c r="BB1490" s="6">
        <v>41971</v>
      </c>
      <c r="BC1490" s="6">
        <v>0</v>
      </c>
      <c r="BD1490" s="6">
        <v>41976</v>
      </c>
      <c r="BE1490" s="6">
        <v>0</v>
      </c>
      <c r="BF1490" s="6">
        <v>41975</v>
      </c>
      <c r="BG1490" s="6">
        <v>0</v>
      </c>
      <c r="BH1490" s="6">
        <v>0</v>
      </c>
      <c r="BI1490" s="6">
        <v>0</v>
      </c>
      <c r="BJ1490" s="6">
        <v>0</v>
      </c>
      <c r="BK1490" s="4">
        <v>0</v>
      </c>
      <c r="BL1490" s="4">
        <v>0</v>
      </c>
      <c r="BM1490" s="20">
        <v>10</v>
      </c>
      <c r="BN1490" s="20">
        <v>0</v>
      </c>
      <c r="BO1490" s="20">
        <v>0</v>
      </c>
      <c r="BP1490" s="20">
        <v>0</v>
      </c>
      <c r="BQ1490" s="20">
        <v>0</v>
      </c>
      <c r="BR1490" s="20">
        <v>0</v>
      </c>
      <c r="BS1490" s="20">
        <v>10</v>
      </c>
      <c r="BT1490" s="20">
        <v>74242.42424242424</v>
      </c>
      <c r="BU1490" s="20">
        <v>490000</v>
      </c>
      <c r="BV1490" s="20">
        <v>6</v>
      </c>
    </row>
    <row r="1491" spans="1:74">
      <c r="A1491" s="10">
        <f t="shared" si="94"/>
        <v>0</v>
      </c>
      <c r="B1491" s="10">
        <f t="shared" si="95"/>
        <v>0</v>
      </c>
      <c r="C1491" s="12">
        <f t="shared" si="96"/>
        <v>11</v>
      </c>
      <c r="D1491" s="12">
        <f t="shared" si="97"/>
        <v>12</v>
      </c>
      <c r="E1491" s="20" t="s">
        <v>114</v>
      </c>
      <c r="F1491" s="20" t="s">
        <v>5455</v>
      </c>
      <c r="G1491" s="20" t="s">
        <v>5779</v>
      </c>
      <c r="H1491" s="20" t="s">
        <v>5796</v>
      </c>
      <c r="I1491" s="20">
        <v>3</v>
      </c>
      <c r="J1491" s="20" t="s">
        <v>5797</v>
      </c>
      <c r="K1491" s="20" t="s">
        <v>5798</v>
      </c>
      <c r="L1491" s="20" t="s">
        <v>5799</v>
      </c>
      <c r="M1491" s="20" t="s">
        <v>5455</v>
      </c>
      <c r="N1491" s="20" t="s">
        <v>5461</v>
      </c>
      <c r="P1491" s="20" t="s">
        <v>5455</v>
      </c>
      <c r="Q1491" s="20" t="s">
        <v>5462</v>
      </c>
      <c r="R1491" s="20" t="s">
        <v>84</v>
      </c>
      <c r="S1491" s="20">
        <v>5</v>
      </c>
      <c r="T1491" s="20" t="s">
        <v>172</v>
      </c>
      <c r="U1491" s="20" t="s">
        <v>173</v>
      </c>
      <c r="V1491" s="20" t="s">
        <v>5502</v>
      </c>
      <c r="W1491" s="20">
        <v>12</v>
      </c>
      <c r="X1491" s="20" t="s">
        <v>5800</v>
      </c>
      <c r="Y1491" s="20" t="s">
        <v>5801</v>
      </c>
      <c r="Z1491" s="20">
        <v>1</v>
      </c>
      <c r="AA1491" s="20" t="s">
        <v>5802</v>
      </c>
      <c r="AB1491" s="20" t="s">
        <v>189</v>
      </c>
      <c r="AC1491" s="20" t="s">
        <v>190</v>
      </c>
      <c r="AD1491" s="20" t="s">
        <v>5803</v>
      </c>
      <c r="AE1491" s="20" t="s">
        <v>91</v>
      </c>
      <c r="AF1491" s="20">
        <v>1</v>
      </c>
      <c r="AG1491" s="20">
        <v>0</v>
      </c>
      <c r="AH1491" s="20">
        <v>1</v>
      </c>
      <c r="AI1491" s="4" t="s">
        <v>251</v>
      </c>
      <c r="AJ1491" s="20">
        <v>15</v>
      </c>
      <c r="AK1491" s="4" t="s">
        <v>179</v>
      </c>
      <c r="AL1491" s="4">
        <v>47</v>
      </c>
      <c r="AM1491" s="4">
        <v>47</v>
      </c>
      <c r="AN1491" s="4" t="s">
        <v>95</v>
      </c>
      <c r="AO1491" s="4" t="s">
        <v>96</v>
      </c>
      <c r="AP1491" s="4">
        <v>1</v>
      </c>
      <c r="AQ1491" s="20">
        <v>49000</v>
      </c>
      <c r="AR1491" s="4">
        <v>41971</v>
      </c>
      <c r="AS1491" s="20">
        <v>7424.242424242424</v>
      </c>
      <c r="AT1491" s="20">
        <v>0</v>
      </c>
      <c r="AU1491" s="20">
        <v>-7424.242424242424</v>
      </c>
      <c r="AV1491" s="20">
        <v>0</v>
      </c>
      <c r="AW1491" s="20">
        <v>0</v>
      </c>
      <c r="AX1491" s="20" t="s">
        <v>91</v>
      </c>
      <c r="AY1491" s="20">
        <v>0</v>
      </c>
      <c r="AZ1491" s="20">
        <v>0</v>
      </c>
      <c r="BA1491" s="20">
        <v>0</v>
      </c>
      <c r="BB1491" s="6">
        <v>41971</v>
      </c>
      <c r="BC1491" s="6">
        <v>0</v>
      </c>
      <c r="BD1491" s="6">
        <v>41976</v>
      </c>
      <c r="BE1491" s="6">
        <v>0</v>
      </c>
      <c r="BF1491" s="6">
        <v>41975</v>
      </c>
      <c r="BG1491" s="6">
        <v>0</v>
      </c>
      <c r="BH1491" s="6">
        <v>0</v>
      </c>
      <c r="BI1491" s="6">
        <v>0</v>
      </c>
      <c r="BJ1491" s="6">
        <v>0</v>
      </c>
      <c r="BK1491" s="4">
        <v>0</v>
      </c>
      <c r="BL1491" s="4">
        <v>0</v>
      </c>
      <c r="BM1491" s="20">
        <v>15</v>
      </c>
      <c r="BN1491" s="20">
        <v>0</v>
      </c>
      <c r="BO1491" s="20">
        <v>0</v>
      </c>
      <c r="BP1491" s="20">
        <v>0</v>
      </c>
      <c r="BQ1491" s="20">
        <v>0</v>
      </c>
      <c r="BR1491" s="20">
        <v>0</v>
      </c>
      <c r="BS1491" s="20">
        <v>15</v>
      </c>
      <c r="BT1491" s="20">
        <v>111363.63636363635</v>
      </c>
      <c r="BU1491" s="20">
        <v>735000</v>
      </c>
      <c r="BV1491" s="20">
        <v>6</v>
      </c>
    </row>
    <row r="1492" spans="1:74">
      <c r="A1492" s="10">
        <f t="shared" si="94"/>
        <v>0</v>
      </c>
      <c r="B1492" s="10">
        <f t="shared" si="95"/>
        <v>0</v>
      </c>
      <c r="C1492" s="12">
        <f t="shared" si="96"/>
        <v>11</v>
      </c>
      <c r="D1492" s="12">
        <f t="shared" si="97"/>
        <v>12</v>
      </c>
      <c r="E1492" s="20" t="s">
        <v>114</v>
      </c>
      <c r="F1492" s="20" t="s">
        <v>5455</v>
      </c>
      <c r="G1492" s="20" t="s">
        <v>5779</v>
      </c>
      <c r="H1492" s="20" t="s">
        <v>5804</v>
      </c>
      <c r="I1492" s="20">
        <v>4</v>
      </c>
      <c r="J1492" s="20" t="s">
        <v>5805</v>
      </c>
      <c r="K1492" s="20" t="s">
        <v>5806</v>
      </c>
      <c r="L1492" s="20" t="s">
        <v>5799</v>
      </c>
      <c r="M1492" s="20" t="s">
        <v>5455</v>
      </c>
      <c r="N1492" s="20" t="s">
        <v>5461</v>
      </c>
      <c r="P1492" s="20" t="s">
        <v>5455</v>
      </c>
      <c r="Q1492" s="20" t="s">
        <v>5462</v>
      </c>
      <c r="R1492" s="20" t="s">
        <v>84</v>
      </c>
      <c r="S1492" s="20">
        <v>5</v>
      </c>
      <c r="T1492" s="20" t="s">
        <v>172</v>
      </c>
      <c r="U1492" s="20" t="s">
        <v>173</v>
      </c>
      <c r="V1492" s="20" t="s">
        <v>5502</v>
      </c>
      <c r="W1492" s="20">
        <v>12</v>
      </c>
      <c r="X1492" s="20" t="s">
        <v>5800</v>
      </c>
      <c r="Y1492" s="20" t="s">
        <v>5801</v>
      </c>
      <c r="Z1492" s="20">
        <v>1</v>
      </c>
      <c r="AA1492" s="20" t="s">
        <v>5807</v>
      </c>
      <c r="AB1492" s="20" t="s">
        <v>176</v>
      </c>
      <c r="AC1492" s="20" t="s">
        <v>177</v>
      </c>
      <c r="AD1492" s="20" t="s">
        <v>5808</v>
      </c>
      <c r="AE1492" s="20" t="s">
        <v>91</v>
      </c>
      <c r="AF1492" s="20">
        <v>1</v>
      </c>
      <c r="AG1492" s="20">
        <v>0</v>
      </c>
      <c r="AH1492" s="20">
        <v>1</v>
      </c>
      <c r="AI1492" s="4" t="s">
        <v>251</v>
      </c>
      <c r="AJ1492" s="20">
        <v>10</v>
      </c>
      <c r="AK1492" s="4" t="s">
        <v>179</v>
      </c>
      <c r="AL1492" s="4">
        <v>47</v>
      </c>
      <c r="AM1492" s="4">
        <v>47</v>
      </c>
      <c r="AN1492" s="4" t="s">
        <v>95</v>
      </c>
      <c r="AO1492" s="4" t="s">
        <v>96</v>
      </c>
      <c r="AP1492" s="4">
        <v>1</v>
      </c>
      <c r="AQ1492" s="20">
        <v>49000</v>
      </c>
      <c r="AR1492" s="4">
        <v>41971</v>
      </c>
      <c r="AS1492" s="20">
        <v>7424.242424242424</v>
      </c>
      <c r="AT1492" s="20">
        <v>0</v>
      </c>
      <c r="AU1492" s="20">
        <v>-7424.242424242424</v>
      </c>
      <c r="AV1492" s="20">
        <v>0</v>
      </c>
      <c r="AW1492" s="20">
        <v>0</v>
      </c>
      <c r="AX1492" s="20" t="s">
        <v>91</v>
      </c>
      <c r="AY1492" s="20">
        <v>0</v>
      </c>
      <c r="AZ1492" s="20">
        <v>0</v>
      </c>
      <c r="BA1492" s="20">
        <v>0</v>
      </c>
      <c r="BB1492" s="6">
        <v>41971</v>
      </c>
      <c r="BC1492" s="6">
        <v>0</v>
      </c>
      <c r="BD1492" s="6">
        <v>41976</v>
      </c>
      <c r="BE1492" s="6">
        <v>0</v>
      </c>
      <c r="BF1492" s="6">
        <v>41975</v>
      </c>
      <c r="BG1492" s="6">
        <v>0</v>
      </c>
      <c r="BH1492" s="6">
        <v>0</v>
      </c>
      <c r="BI1492" s="6">
        <v>0</v>
      </c>
      <c r="BJ1492" s="6">
        <v>0</v>
      </c>
      <c r="BK1492" s="4">
        <v>0</v>
      </c>
      <c r="BL1492" s="4">
        <v>0</v>
      </c>
      <c r="BM1492" s="20">
        <v>10</v>
      </c>
      <c r="BN1492" s="20">
        <v>0</v>
      </c>
      <c r="BO1492" s="20">
        <v>0</v>
      </c>
      <c r="BP1492" s="20">
        <v>0</v>
      </c>
      <c r="BQ1492" s="20">
        <v>0</v>
      </c>
      <c r="BR1492" s="20">
        <v>0</v>
      </c>
      <c r="BS1492" s="20">
        <v>10</v>
      </c>
      <c r="BT1492" s="20">
        <v>74242.42424242424</v>
      </c>
      <c r="BU1492" s="20">
        <v>490000</v>
      </c>
      <c r="BV1492" s="20">
        <v>6</v>
      </c>
    </row>
    <row r="1493" spans="1:74">
      <c r="A1493" s="10">
        <f t="shared" si="94"/>
        <v>0</v>
      </c>
      <c r="B1493" s="10">
        <f t="shared" si="95"/>
        <v>0</v>
      </c>
      <c r="C1493" s="12">
        <f t="shared" si="96"/>
        <v>11</v>
      </c>
      <c r="D1493" s="12">
        <f t="shared" si="97"/>
        <v>12</v>
      </c>
      <c r="E1493" s="20" t="s">
        <v>114</v>
      </c>
      <c r="F1493" s="20" t="s">
        <v>5455</v>
      </c>
      <c r="G1493" s="20" t="s">
        <v>5779</v>
      </c>
      <c r="H1493" s="20" t="s">
        <v>5809</v>
      </c>
      <c r="I1493" s="20">
        <v>5</v>
      </c>
      <c r="J1493" s="20" t="s">
        <v>5810</v>
      </c>
      <c r="K1493" s="20" t="s">
        <v>5811</v>
      </c>
      <c r="L1493" s="20" t="s">
        <v>5812</v>
      </c>
      <c r="M1493" s="20" t="s">
        <v>5455</v>
      </c>
      <c r="N1493" s="20" t="s">
        <v>5461</v>
      </c>
      <c r="P1493" s="20" t="s">
        <v>5455</v>
      </c>
      <c r="Q1493" s="20" t="s">
        <v>5462</v>
      </c>
      <c r="R1493" s="20" t="s">
        <v>84</v>
      </c>
      <c r="S1493" s="20">
        <v>5</v>
      </c>
      <c r="T1493" s="20" t="s">
        <v>172</v>
      </c>
      <c r="U1493" s="20" t="s">
        <v>173</v>
      </c>
      <c r="V1493" s="20" t="s">
        <v>5502</v>
      </c>
      <c r="W1493" s="20">
        <v>17</v>
      </c>
      <c r="X1493" s="20" t="s">
        <v>5560</v>
      </c>
      <c r="Y1493" s="20" t="s">
        <v>5813</v>
      </c>
      <c r="Z1493" s="20">
        <v>1</v>
      </c>
      <c r="AA1493" s="20" t="s">
        <v>5814</v>
      </c>
      <c r="AB1493" s="20" t="s">
        <v>248</v>
      </c>
      <c r="AC1493" s="20" t="s">
        <v>249</v>
      </c>
      <c r="AD1493" s="20" t="s">
        <v>5815</v>
      </c>
      <c r="AE1493" s="20" t="s">
        <v>91</v>
      </c>
      <c r="AF1493" s="20">
        <v>1</v>
      </c>
      <c r="AG1493" s="20">
        <v>0</v>
      </c>
      <c r="AH1493" s="20">
        <v>1</v>
      </c>
      <c r="AI1493" s="4" t="s">
        <v>251</v>
      </c>
      <c r="AJ1493" s="20">
        <v>5</v>
      </c>
      <c r="AK1493" s="4" t="s">
        <v>179</v>
      </c>
      <c r="AL1493" s="4">
        <v>47</v>
      </c>
      <c r="AM1493" s="4">
        <v>47</v>
      </c>
      <c r="AN1493" s="4" t="s">
        <v>95</v>
      </c>
      <c r="AO1493" s="4" t="s">
        <v>96</v>
      </c>
      <c r="AP1493" s="4">
        <v>1</v>
      </c>
      <c r="AQ1493" s="20">
        <v>39000</v>
      </c>
      <c r="AR1493" s="4">
        <v>41971</v>
      </c>
      <c r="AS1493" s="20">
        <v>5909.0909090909081</v>
      </c>
      <c r="AT1493" s="20">
        <v>0</v>
      </c>
      <c r="AU1493" s="20">
        <v>-5909.0909090909081</v>
      </c>
      <c r="AV1493" s="20">
        <v>0</v>
      </c>
      <c r="AW1493" s="20">
        <v>0</v>
      </c>
      <c r="AX1493" s="20" t="s">
        <v>91</v>
      </c>
      <c r="AY1493" s="20">
        <v>0</v>
      </c>
      <c r="AZ1493" s="20">
        <v>0</v>
      </c>
      <c r="BA1493" s="20">
        <v>0</v>
      </c>
      <c r="BB1493" s="6">
        <v>41971</v>
      </c>
      <c r="BC1493" s="6">
        <v>0</v>
      </c>
      <c r="BD1493" s="6">
        <v>41976</v>
      </c>
      <c r="BE1493" s="6">
        <v>0</v>
      </c>
      <c r="BF1493" s="6">
        <v>41975</v>
      </c>
      <c r="BG1493" s="6">
        <v>0</v>
      </c>
      <c r="BH1493" s="6">
        <v>0</v>
      </c>
      <c r="BI1493" s="6">
        <v>0</v>
      </c>
      <c r="BJ1493" s="6">
        <v>0</v>
      </c>
      <c r="BK1493" s="4">
        <v>0</v>
      </c>
      <c r="BL1493" s="4">
        <v>0</v>
      </c>
      <c r="BM1493" s="20">
        <v>5</v>
      </c>
      <c r="BN1493" s="20">
        <v>0</v>
      </c>
      <c r="BO1493" s="20">
        <v>0</v>
      </c>
      <c r="BP1493" s="20">
        <v>0</v>
      </c>
      <c r="BQ1493" s="20">
        <v>0</v>
      </c>
      <c r="BR1493" s="20">
        <v>0</v>
      </c>
      <c r="BS1493" s="20">
        <v>5</v>
      </c>
      <c r="BT1493" s="20">
        <v>29545.45454545454</v>
      </c>
      <c r="BU1493" s="20">
        <v>195000</v>
      </c>
      <c r="BV1493" s="20">
        <v>6.0000000000000009</v>
      </c>
    </row>
    <row r="1494" spans="1:74">
      <c r="A1494" s="10">
        <f t="shared" si="94"/>
        <v>0</v>
      </c>
      <c r="B1494" s="10">
        <f t="shared" si="95"/>
        <v>0</v>
      </c>
      <c r="C1494" s="12">
        <f t="shared" si="96"/>
        <v>11</v>
      </c>
      <c r="D1494" s="12">
        <f t="shared" si="97"/>
        <v>12</v>
      </c>
      <c r="E1494" s="20" t="s">
        <v>114</v>
      </c>
      <c r="F1494" s="20" t="s">
        <v>5455</v>
      </c>
      <c r="G1494" s="20" t="s">
        <v>5779</v>
      </c>
      <c r="H1494" s="20" t="s">
        <v>5816</v>
      </c>
      <c r="I1494" s="20">
        <v>6</v>
      </c>
      <c r="J1494" s="20" t="s">
        <v>5817</v>
      </c>
      <c r="K1494" s="20" t="s">
        <v>5818</v>
      </c>
      <c r="L1494" s="20" t="s">
        <v>5812</v>
      </c>
      <c r="M1494" s="20" t="s">
        <v>5455</v>
      </c>
      <c r="N1494" s="20" t="s">
        <v>5461</v>
      </c>
      <c r="P1494" s="20" t="s">
        <v>5455</v>
      </c>
      <c r="Q1494" s="20" t="s">
        <v>5462</v>
      </c>
      <c r="R1494" s="20" t="s">
        <v>84</v>
      </c>
      <c r="S1494" s="20">
        <v>5</v>
      </c>
      <c r="T1494" s="20" t="s">
        <v>172</v>
      </c>
      <c r="U1494" s="20" t="s">
        <v>173</v>
      </c>
      <c r="V1494" s="20" t="s">
        <v>5502</v>
      </c>
      <c r="W1494" s="20">
        <v>17</v>
      </c>
      <c r="X1494" s="20" t="s">
        <v>5560</v>
      </c>
      <c r="Y1494" s="20" t="s">
        <v>5813</v>
      </c>
      <c r="Z1494" s="20">
        <v>1</v>
      </c>
      <c r="AA1494" s="20" t="s">
        <v>5819</v>
      </c>
      <c r="AB1494" s="20" t="s">
        <v>457</v>
      </c>
      <c r="AC1494" s="20" t="s">
        <v>458</v>
      </c>
      <c r="AD1494" s="20" t="s">
        <v>5820</v>
      </c>
      <c r="AE1494" s="20" t="s">
        <v>91</v>
      </c>
      <c r="AF1494" s="20">
        <v>1</v>
      </c>
      <c r="AG1494" s="20">
        <v>0</v>
      </c>
      <c r="AH1494" s="20">
        <v>1</v>
      </c>
      <c r="AI1494" s="4" t="s">
        <v>251</v>
      </c>
      <c r="AJ1494" s="20">
        <v>5</v>
      </c>
      <c r="AK1494" s="4" t="s">
        <v>179</v>
      </c>
      <c r="AL1494" s="4">
        <v>47</v>
      </c>
      <c r="AM1494" s="4">
        <v>47</v>
      </c>
      <c r="AN1494" s="4" t="s">
        <v>95</v>
      </c>
      <c r="AO1494" s="4" t="s">
        <v>96</v>
      </c>
      <c r="AP1494" s="4">
        <v>1</v>
      </c>
      <c r="AQ1494" s="20">
        <v>39000</v>
      </c>
      <c r="AR1494" s="4">
        <v>41971</v>
      </c>
      <c r="AS1494" s="20">
        <v>5909.0909090909081</v>
      </c>
      <c r="AT1494" s="20">
        <v>0</v>
      </c>
      <c r="AU1494" s="20">
        <v>-5909.0909090909081</v>
      </c>
      <c r="AV1494" s="20">
        <v>0</v>
      </c>
      <c r="AW1494" s="20">
        <v>0</v>
      </c>
      <c r="AX1494" s="20" t="s">
        <v>91</v>
      </c>
      <c r="AY1494" s="20">
        <v>0</v>
      </c>
      <c r="AZ1494" s="20">
        <v>0</v>
      </c>
      <c r="BA1494" s="20">
        <v>0</v>
      </c>
      <c r="BB1494" s="6">
        <v>41971</v>
      </c>
      <c r="BC1494" s="6">
        <v>0</v>
      </c>
      <c r="BD1494" s="6">
        <v>41976</v>
      </c>
      <c r="BE1494" s="6">
        <v>0</v>
      </c>
      <c r="BF1494" s="6">
        <v>41975</v>
      </c>
      <c r="BG1494" s="6">
        <v>0</v>
      </c>
      <c r="BH1494" s="6">
        <v>0</v>
      </c>
      <c r="BI1494" s="6">
        <v>0</v>
      </c>
      <c r="BJ1494" s="6">
        <v>0</v>
      </c>
      <c r="BK1494" s="4">
        <v>0</v>
      </c>
      <c r="BL1494" s="4">
        <v>0</v>
      </c>
      <c r="BM1494" s="20">
        <v>5</v>
      </c>
      <c r="BN1494" s="20">
        <v>0</v>
      </c>
      <c r="BO1494" s="20">
        <v>0</v>
      </c>
      <c r="BP1494" s="20">
        <v>0</v>
      </c>
      <c r="BQ1494" s="20">
        <v>0</v>
      </c>
      <c r="BR1494" s="20">
        <v>0</v>
      </c>
      <c r="BS1494" s="20">
        <v>5</v>
      </c>
      <c r="BT1494" s="20">
        <v>29545.45454545454</v>
      </c>
      <c r="BU1494" s="20">
        <v>195000</v>
      </c>
      <c r="BV1494" s="20">
        <v>6.0000000000000009</v>
      </c>
    </row>
    <row r="1495" spans="1:74">
      <c r="A1495" s="10">
        <f t="shared" si="94"/>
        <v>0</v>
      </c>
      <c r="B1495" s="10">
        <f t="shared" si="95"/>
        <v>0</v>
      </c>
      <c r="C1495" s="12">
        <f t="shared" si="96"/>
        <v>11</v>
      </c>
      <c r="D1495" s="12">
        <f t="shared" si="97"/>
        <v>12</v>
      </c>
      <c r="E1495" s="20" t="s">
        <v>114</v>
      </c>
      <c r="F1495" s="20" t="s">
        <v>5455</v>
      </c>
      <c r="G1495" s="20" t="s">
        <v>5779</v>
      </c>
      <c r="H1495" s="20" t="s">
        <v>5821</v>
      </c>
      <c r="I1495" s="20">
        <v>7</v>
      </c>
      <c r="J1495" s="20" t="s">
        <v>5822</v>
      </c>
      <c r="K1495" s="20" t="s">
        <v>5823</v>
      </c>
      <c r="L1495" s="20" t="s">
        <v>5824</v>
      </c>
      <c r="M1495" s="20" t="s">
        <v>5455</v>
      </c>
      <c r="N1495" s="20" t="s">
        <v>5825</v>
      </c>
      <c r="P1495" s="20" t="s">
        <v>5455</v>
      </c>
      <c r="Q1495" s="20" t="s">
        <v>5462</v>
      </c>
      <c r="R1495" s="20" t="s">
        <v>84</v>
      </c>
      <c r="S1495" s="20">
        <v>5</v>
      </c>
      <c r="T1495" s="20" t="s">
        <v>244</v>
      </c>
      <c r="U1495" s="20" t="s">
        <v>245</v>
      </c>
      <c r="V1495" s="20" t="s">
        <v>5502</v>
      </c>
      <c r="W1495" s="20">
        <v>34</v>
      </c>
      <c r="X1495" s="20" t="s">
        <v>5826</v>
      </c>
      <c r="Y1495" s="20" t="s">
        <v>5827</v>
      </c>
      <c r="Z1495" s="20">
        <v>1</v>
      </c>
      <c r="AA1495" s="20" t="s">
        <v>5828</v>
      </c>
      <c r="AB1495" s="20" t="s">
        <v>248</v>
      </c>
      <c r="AC1495" s="20" t="s">
        <v>249</v>
      </c>
      <c r="AD1495" s="20" t="s">
        <v>5829</v>
      </c>
      <c r="AE1495" s="20" t="s">
        <v>91</v>
      </c>
      <c r="AF1495" s="20">
        <v>1</v>
      </c>
      <c r="AG1495" s="20">
        <v>0</v>
      </c>
      <c r="AH1495" s="20">
        <v>1</v>
      </c>
      <c r="AI1495" s="4" t="s">
        <v>251</v>
      </c>
      <c r="AJ1495" s="20">
        <v>15</v>
      </c>
      <c r="AK1495" s="4" t="s">
        <v>179</v>
      </c>
      <c r="AL1495" s="4">
        <v>47</v>
      </c>
      <c r="AM1495" s="4">
        <v>47</v>
      </c>
      <c r="AN1495" s="4" t="s">
        <v>95</v>
      </c>
      <c r="AO1495" s="4" t="s">
        <v>96</v>
      </c>
      <c r="AP1495" s="4">
        <v>1</v>
      </c>
      <c r="AQ1495" s="20">
        <v>35000</v>
      </c>
      <c r="AR1495" s="4">
        <v>41971</v>
      </c>
      <c r="AS1495" s="20">
        <v>5303.030303030303</v>
      </c>
      <c r="AT1495" s="20">
        <v>0</v>
      </c>
      <c r="AU1495" s="20">
        <v>-5303.030303030303</v>
      </c>
      <c r="AV1495" s="20">
        <v>0</v>
      </c>
      <c r="AW1495" s="20">
        <v>0</v>
      </c>
      <c r="AX1495" s="20" t="s">
        <v>91</v>
      </c>
      <c r="AY1495" s="20">
        <v>0</v>
      </c>
      <c r="AZ1495" s="20">
        <v>0</v>
      </c>
      <c r="BA1495" s="20">
        <v>0</v>
      </c>
      <c r="BB1495" s="6">
        <v>41971</v>
      </c>
      <c r="BC1495" s="6">
        <v>0</v>
      </c>
      <c r="BD1495" s="6">
        <v>41976</v>
      </c>
      <c r="BE1495" s="6">
        <v>0</v>
      </c>
      <c r="BF1495" s="6">
        <v>41975</v>
      </c>
      <c r="BG1495" s="6">
        <v>0</v>
      </c>
      <c r="BH1495" s="6">
        <v>0</v>
      </c>
      <c r="BI1495" s="6">
        <v>0</v>
      </c>
      <c r="BJ1495" s="6">
        <v>0</v>
      </c>
      <c r="BK1495" s="4">
        <v>0</v>
      </c>
      <c r="BL1495" s="4">
        <v>0</v>
      </c>
      <c r="BM1495" s="20">
        <v>15</v>
      </c>
      <c r="BN1495" s="20">
        <v>0</v>
      </c>
      <c r="BO1495" s="20">
        <v>0</v>
      </c>
      <c r="BP1495" s="20">
        <v>0</v>
      </c>
      <c r="BQ1495" s="20">
        <v>0</v>
      </c>
      <c r="BR1495" s="20">
        <v>0</v>
      </c>
      <c r="BS1495" s="20">
        <v>15</v>
      </c>
      <c r="BT1495" s="20">
        <v>79545.454545454544</v>
      </c>
      <c r="BU1495" s="20">
        <v>525000</v>
      </c>
      <c r="BV1495" s="20">
        <v>6</v>
      </c>
    </row>
    <row r="1496" spans="1:74">
      <c r="A1496" s="10">
        <f t="shared" si="94"/>
        <v>0</v>
      </c>
      <c r="B1496" s="10">
        <f t="shared" si="95"/>
        <v>0</v>
      </c>
      <c r="C1496" s="12">
        <f t="shared" si="96"/>
        <v>11</v>
      </c>
      <c r="D1496" s="12">
        <f t="shared" si="97"/>
        <v>12</v>
      </c>
      <c r="E1496" s="20" t="s">
        <v>114</v>
      </c>
      <c r="F1496" s="20" t="s">
        <v>5455</v>
      </c>
      <c r="G1496" s="20" t="s">
        <v>5779</v>
      </c>
      <c r="H1496" s="20" t="s">
        <v>5830</v>
      </c>
      <c r="I1496" s="20">
        <v>8</v>
      </c>
      <c r="J1496" s="20" t="s">
        <v>5831</v>
      </c>
      <c r="K1496" s="20" t="s">
        <v>5832</v>
      </c>
      <c r="L1496" s="20" t="s">
        <v>5824</v>
      </c>
      <c r="M1496" s="20" t="s">
        <v>5455</v>
      </c>
      <c r="N1496" s="20" t="s">
        <v>5825</v>
      </c>
      <c r="P1496" s="20" t="s">
        <v>5455</v>
      </c>
      <c r="Q1496" s="20" t="s">
        <v>5462</v>
      </c>
      <c r="R1496" s="20" t="s">
        <v>84</v>
      </c>
      <c r="S1496" s="20">
        <v>5</v>
      </c>
      <c r="T1496" s="20" t="s">
        <v>244</v>
      </c>
      <c r="U1496" s="20" t="s">
        <v>245</v>
      </c>
      <c r="V1496" s="20" t="s">
        <v>5502</v>
      </c>
      <c r="W1496" s="20">
        <v>34</v>
      </c>
      <c r="X1496" s="20" t="s">
        <v>5826</v>
      </c>
      <c r="Y1496" s="20" t="s">
        <v>5827</v>
      </c>
      <c r="Z1496" s="20">
        <v>1</v>
      </c>
      <c r="AA1496" s="20" t="s">
        <v>5833</v>
      </c>
      <c r="AB1496" s="20" t="s">
        <v>139</v>
      </c>
      <c r="AC1496" s="20" t="s">
        <v>140</v>
      </c>
      <c r="AD1496" s="20" t="s">
        <v>5834</v>
      </c>
      <c r="AE1496" s="20" t="s">
        <v>91</v>
      </c>
      <c r="AF1496" s="20">
        <v>1</v>
      </c>
      <c r="AG1496" s="20">
        <v>0</v>
      </c>
      <c r="AH1496" s="20">
        <v>1</v>
      </c>
      <c r="AI1496" s="4" t="s">
        <v>251</v>
      </c>
      <c r="AJ1496" s="20">
        <v>5</v>
      </c>
      <c r="AK1496" s="4" t="s">
        <v>179</v>
      </c>
      <c r="AL1496" s="4">
        <v>47</v>
      </c>
      <c r="AM1496" s="4">
        <v>47</v>
      </c>
      <c r="AN1496" s="4" t="s">
        <v>95</v>
      </c>
      <c r="AO1496" s="4" t="s">
        <v>96</v>
      </c>
      <c r="AP1496" s="4">
        <v>1</v>
      </c>
      <c r="AQ1496" s="20">
        <v>35000</v>
      </c>
      <c r="AR1496" s="4">
        <v>41971</v>
      </c>
      <c r="AS1496" s="20">
        <v>5303.030303030303</v>
      </c>
      <c r="AT1496" s="20">
        <v>0</v>
      </c>
      <c r="AU1496" s="20">
        <v>-5303.030303030303</v>
      </c>
      <c r="AV1496" s="20">
        <v>0</v>
      </c>
      <c r="AW1496" s="20">
        <v>0</v>
      </c>
      <c r="AX1496" s="20" t="s">
        <v>91</v>
      </c>
      <c r="AY1496" s="20">
        <v>0</v>
      </c>
      <c r="AZ1496" s="20">
        <v>0</v>
      </c>
      <c r="BA1496" s="20">
        <v>0</v>
      </c>
      <c r="BB1496" s="6">
        <v>41971</v>
      </c>
      <c r="BC1496" s="6">
        <v>0</v>
      </c>
      <c r="BD1496" s="6">
        <v>41976</v>
      </c>
      <c r="BE1496" s="6">
        <v>0</v>
      </c>
      <c r="BF1496" s="6">
        <v>41975</v>
      </c>
      <c r="BG1496" s="6">
        <v>0</v>
      </c>
      <c r="BH1496" s="6">
        <v>0</v>
      </c>
      <c r="BI1496" s="6">
        <v>0</v>
      </c>
      <c r="BJ1496" s="6">
        <v>0</v>
      </c>
      <c r="BK1496" s="4">
        <v>0</v>
      </c>
      <c r="BL1496" s="4">
        <v>0</v>
      </c>
      <c r="BM1496" s="20">
        <v>5</v>
      </c>
      <c r="BN1496" s="20">
        <v>0</v>
      </c>
      <c r="BO1496" s="20">
        <v>0</v>
      </c>
      <c r="BP1496" s="20">
        <v>0</v>
      </c>
      <c r="BQ1496" s="20">
        <v>0</v>
      </c>
      <c r="BR1496" s="20">
        <v>0</v>
      </c>
      <c r="BS1496" s="20">
        <v>5</v>
      </c>
      <c r="BT1496" s="20">
        <v>26515.151515151516</v>
      </c>
      <c r="BU1496" s="20">
        <v>175000</v>
      </c>
      <c r="BV1496" s="20">
        <v>5.9999999999999991</v>
      </c>
    </row>
    <row r="1497" spans="1:74">
      <c r="A1497" s="10">
        <f t="shared" si="94"/>
        <v>0</v>
      </c>
      <c r="B1497" s="10">
        <f t="shared" si="95"/>
        <v>0</v>
      </c>
      <c r="C1497" s="12">
        <f t="shared" si="96"/>
        <v>11</v>
      </c>
      <c r="D1497" s="12">
        <f t="shared" si="97"/>
        <v>12</v>
      </c>
      <c r="E1497" s="20" t="s">
        <v>114</v>
      </c>
      <c r="F1497" s="20" t="s">
        <v>5455</v>
      </c>
      <c r="G1497" s="20" t="s">
        <v>5779</v>
      </c>
      <c r="H1497" s="20" t="s">
        <v>5835</v>
      </c>
      <c r="I1497" s="20">
        <v>9</v>
      </c>
      <c r="J1497" s="20" t="s">
        <v>5836</v>
      </c>
      <c r="K1497" s="20" t="s">
        <v>5837</v>
      </c>
      <c r="L1497" s="20" t="s">
        <v>5824</v>
      </c>
      <c r="M1497" s="20" t="s">
        <v>5455</v>
      </c>
      <c r="N1497" s="20" t="s">
        <v>5825</v>
      </c>
      <c r="P1497" s="20" t="s">
        <v>5455</v>
      </c>
      <c r="Q1497" s="20" t="s">
        <v>5462</v>
      </c>
      <c r="R1497" s="20" t="s">
        <v>84</v>
      </c>
      <c r="S1497" s="20">
        <v>5</v>
      </c>
      <c r="T1497" s="20" t="s">
        <v>244</v>
      </c>
      <c r="U1497" s="20" t="s">
        <v>245</v>
      </c>
      <c r="V1497" s="20" t="s">
        <v>5502</v>
      </c>
      <c r="W1497" s="20">
        <v>34</v>
      </c>
      <c r="X1497" s="20" t="s">
        <v>5826</v>
      </c>
      <c r="Y1497" s="20" t="s">
        <v>5827</v>
      </c>
      <c r="Z1497" s="20">
        <v>1</v>
      </c>
      <c r="AA1497" s="20" t="s">
        <v>5838</v>
      </c>
      <c r="AB1497" s="20" t="s">
        <v>149</v>
      </c>
      <c r="AC1497" s="20" t="s">
        <v>150</v>
      </c>
      <c r="AD1497" s="20" t="s">
        <v>5839</v>
      </c>
      <c r="AE1497" s="20" t="s">
        <v>91</v>
      </c>
      <c r="AF1497" s="20">
        <v>1</v>
      </c>
      <c r="AG1497" s="20">
        <v>0</v>
      </c>
      <c r="AH1497" s="20">
        <v>1</v>
      </c>
      <c r="AI1497" s="4" t="s">
        <v>251</v>
      </c>
      <c r="AJ1497" s="20">
        <v>15</v>
      </c>
      <c r="AK1497" s="4" t="s">
        <v>179</v>
      </c>
      <c r="AL1497" s="4">
        <v>47</v>
      </c>
      <c r="AM1497" s="4">
        <v>47</v>
      </c>
      <c r="AN1497" s="4" t="s">
        <v>95</v>
      </c>
      <c r="AO1497" s="4" t="s">
        <v>96</v>
      </c>
      <c r="AP1497" s="4">
        <v>1</v>
      </c>
      <c r="AQ1497" s="20">
        <v>35000</v>
      </c>
      <c r="AR1497" s="4">
        <v>41971</v>
      </c>
      <c r="AS1497" s="20">
        <v>5303.030303030303</v>
      </c>
      <c r="AT1497" s="20">
        <v>0</v>
      </c>
      <c r="AU1497" s="20">
        <v>-5303.030303030303</v>
      </c>
      <c r="AV1497" s="20">
        <v>0</v>
      </c>
      <c r="AW1497" s="20">
        <v>0</v>
      </c>
      <c r="AX1497" s="20" t="s">
        <v>91</v>
      </c>
      <c r="AY1497" s="20">
        <v>0</v>
      </c>
      <c r="AZ1497" s="20">
        <v>0</v>
      </c>
      <c r="BA1497" s="20">
        <v>0</v>
      </c>
      <c r="BB1497" s="6">
        <v>41971</v>
      </c>
      <c r="BC1497" s="6">
        <v>0</v>
      </c>
      <c r="BD1497" s="6">
        <v>41976</v>
      </c>
      <c r="BE1497" s="6">
        <v>0</v>
      </c>
      <c r="BF1497" s="6">
        <v>41975</v>
      </c>
      <c r="BG1497" s="6">
        <v>0</v>
      </c>
      <c r="BH1497" s="6">
        <v>0</v>
      </c>
      <c r="BI1497" s="6">
        <v>0</v>
      </c>
      <c r="BJ1497" s="6">
        <v>0</v>
      </c>
      <c r="BK1497" s="4">
        <v>0</v>
      </c>
      <c r="BL1497" s="4">
        <v>0</v>
      </c>
      <c r="BM1497" s="20">
        <v>15</v>
      </c>
      <c r="BN1497" s="20">
        <v>0</v>
      </c>
      <c r="BO1497" s="20">
        <v>0</v>
      </c>
      <c r="BP1497" s="20">
        <v>0</v>
      </c>
      <c r="BQ1497" s="20">
        <v>0</v>
      </c>
      <c r="BR1497" s="20">
        <v>0</v>
      </c>
      <c r="BS1497" s="20">
        <v>15</v>
      </c>
      <c r="BT1497" s="20">
        <v>79545.454545454544</v>
      </c>
      <c r="BU1497" s="20">
        <v>525000</v>
      </c>
      <c r="BV1497" s="20">
        <v>6</v>
      </c>
    </row>
    <row r="1498" spans="1:74">
      <c r="A1498" s="10">
        <f t="shared" si="94"/>
        <v>0</v>
      </c>
      <c r="B1498" s="10">
        <f t="shared" si="95"/>
        <v>0</v>
      </c>
      <c r="C1498" s="12">
        <f t="shared" si="96"/>
        <v>11</v>
      </c>
      <c r="D1498" s="12">
        <f t="shared" si="97"/>
        <v>12</v>
      </c>
      <c r="E1498" s="20" t="s">
        <v>114</v>
      </c>
      <c r="F1498" s="20" t="s">
        <v>5455</v>
      </c>
      <c r="G1498" s="20" t="s">
        <v>5779</v>
      </c>
      <c r="H1498" s="20" t="s">
        <v>5840</v>
      </c>
      <c r="I1498" s="20">
        <v>10</v>
      </c>
      <c r="J1498" s="20" t="s">
        <v>5841</v>
      </c>
      <c r="K1498" s="20" t="s">
        <v>5842</v>
      </c>
      <c r="L1498" s="20" t="s">
        <v>5843</v>
      </c>
      <c r="M1498" s="20" t="s">
        <v>5455</v>
      </c>
      <c r="N1498" s="20" t="s">
        <v>5825</v>
      </c>
      <c r="P1498" s="20" t="s">
        <v>5455</v>
      </c>
      <c r="Q1498" s="20" t="s">
        <v>5462</v>
      </c>
      <c r="R1498" s="20" t="s">
        <v>84</v>
      </c>
      <c r="S1498" s="20">
        <v>5</v>
      </c>
      <c r="T1498" s="20" t="s">
        <v>244</v>
      </c>
      <c r="U1498" s="20" t="s">
        <v>245</v>
      </c>
      <c r="V1498" s="20" t="s">
        <v>5502</v>
      </c>
      <c r="W1498" s="20">
        <v>43</v>
      </c>
      <c r="X1498" s="20" t="s">
        <v>5844</v>
      </c>
      <c r="Y1498" s="20" t="s">
        <v>5845</v>
      </c>
      <c r="Z1498" s="20">
        <v>1</v>
      </c>
      <c r="AA1498" s="20" t="s">
        <v>5846</v>
      </c>
      <c r="AB1498" s="20" t="s">
        <v>109</v>
      </c>
      <c r="AC1498" s="20" t="s">
        <v>110</v>
      </c>
      <c r="AD1498" s="20" t="s">
        <v>5847</v>
      </c>
      <c r="AE1498" s="20" t="s">
        <v>91</v>
      </c>
      <c r="AF1498" s="20">
        <v>1</v>
      </c>
      <c r="AG1498" s="20">
        <v>0</v>
      </c>
      <c r="AH1498" s="20">
        <v>1</v>
      </c>
      <c r="AI1498" s="4" t="s">
        <v>251</v>
      </c>
      <c r="AJ1498" s="20">
        <v>10</v>
      </c>
      <c r="AK1498" s="4" t="s">
        <v>179</v>
      </c>
      <c r="AL1498" s="4">
        <v>47</v>
      </c>
      <c r="AM1498" s="4">
        <v>47</v>
      </c>
      <c r="AN1498" s="4" t="s">
        <v>95</v>
      </c>
      <c r="AO1498" s="4" t="s">
        <v>96</v>
      </c>
      <c r="AP1498" s="4">
        <v>1</v>
      </c>
      <c r="AQ1498" s="20">
        <v>39000</v>
      </c>
      <c r="AR1498" s="4">
        <v>41971</v>
      </c>
      <c r="AS1498" s="20">
        <v>5909.0909090909081</v>
      </c>
      <c r="AT1498" s="20">
        <v>0</v>
      </c>
      <c r="AU1498" s="20">
        <v>-5909.0909090909081</v>
      </c>
      <c r="AV1498" s="20">
        <v>0</v>
      </c>
      <c r="AW1498" s="20">
        <v>0</v>
      </c>
      <c r="AX1498" s="20" t="s">
        <v>91</v>
      </c>
      <c r="AY1498" s="20">
        <v>0</v>
      </c>
      <c r="AZ1498" s="20">
        <v>0</v>
      </c>
      <c r="BA1498" s="20">
        <v>0</v>
      </c>
      <c r="BB1498" s="6">
        <v>41971</v>
      </c>
      <c r="BC1498" s="6">
        <v>0</v>
      </c>
      <c r="BD1498" s="6">
        <v>41976</v>
      </c>
      <c r="BE1498" s="6">
        <v>0</v>
      </c>
      <c r="BF1498" s="6">
        <v>41975</v>
      </c>
      <c r="BG1498" s="6">
        <v>0</v>
      </c>
      <c r="BH1498" s="6">
        <v>0</v>
      </c>
      <c r="BI1498" s="6">
        <v>0</v>
      </c>
      <c r="BJ1498" s="6">
        <v>0</v>
      </c>
      <c r="BK1498" s="4">
        <v>0</v>
      </c>
      <c r="BL1498" s="4">
        <v>0</v>
      </c>
      <c r="BM1498" s="20">
        <v>10</v>
      </c>
      <c r="BN1498" s="20">
        <v>0</v>
      </c>
      <c r="BO1498" s="20">
        <v>0</v>
      </c>
      <c r="BP1498" s="20">
        <v>0</v>
      </c>
      <c r="BQ1498" s="20">
        <v>0</v>
      </c>
      <c r="BR1498" s="20">
        <v>0</v>
      </c>
      <c r="BS1498" s="20">
        <v>10</v>
      </c>
      <c r="BT1498" s="20">
        <v>59090.909090909081</v>
      </c>
      <c r="BU1498" s="20">
        <v>390000</v>
      </c>
      <c r="BV1498" s="20">
        <v>6.0000000000000009</v>
      </c>
    </row>
    <row r="1499" spans="1:74">
      <c r="A1499" s="10">
        <f t="shared" si="94"/>
        <v>0</v>
      </c>
      <c r="B1499" s="10">
        <f t="shared" si="95"/>
        <v>0</v>
      </c>
      <c r="C1499" s="12">
        <f t="shared" si="96"/>
        <v>11</v>
      </c>
      <c r="D1499" s="12">
        <f t="shared" si="97"/>
        <v>12</v>
      </c>
      <c r="E1499" s="20" t="s">
        <v>114</v>
      </c>
      <c r="F1499" s="20" t="s">
        <v>5455</v>
      </c>
      <c r="G1499" s="20" t="s">
        <v>5779</v>
      </c>
      <c r="H1499" s="20" t="s">
        <v>5848</v>
      </c>
      <c r="I1499" s="20">
        <v>11</v>
      </c>
      <c r="J1499" s="20" t="s">
        <v>5849</v>
      </c>
      <c r="K1499" s="20" t="s">
        <v>5850</v>
      </c>
      <c r="L1499" s="20" t="s">
        <v>5843</v>
      </c>
      <c r="M1499" s="20" t="s">
        <v>5455</v>
      </c>
      <c r="N1499" s="20" t="s">
        <v>5825</v>
      </c>
      <c r="P1499" s="20" t="s">
        <v>5455</v>
      </c>
      <c r="Q1499" s="20" t="s">
        <v>5462</v>
      </c>
      <c r="R1499" s="20" t="s">
        <v>84</v>
      </c>
      <c r="S1499" s="20">
        <v>5</v>
      </c>
      <c r="T1499" s="20" t="s">
        <v>244</v>
      </c>
      <c r="U1499" s="20" t="s">
        <v>245</v>
      </c>
      <c r="V1499" s="20" t="s">
        <v>5502</v>
      </c>
      <c r="W1499" s="20">
        <v>43</v>
      </c>
      <c r="X1499" s="20" t="s">
        <v>5844</v>
      </c>
      <c r="Y1499" s="20" t="s">
        <v>5845</v>
      </c>
      <c r="Z1499" s="20">
        <v>1</v>
      </c>
      <c r="AA1499" s="20" t="s">
        <v>5851</v>
      </c>
      <c r="AB1499" s="20" t="s">
        <v>149</v>
      </c>
      <c r="AC1499" s="20" t="s">
        <v>150</v>
      </c>
      <c r="AD1499" s="20" t="s">
        <v>5852</v>
      </c>
      <c r="AE1499" s="20" t="s">
        <v>91</v>
      </c>
      <c r="AF1499" s="20">
        <v>1</v>
      </c>
      <c r="AG1499" s="20">
        <v>0</v>
      </c>
      <c r="AH1499" s="20">
        <v>1</v>
      </c>
      <c r="AI1499" s="4" t="s">
        <v>251</v>
      </c>
      <c r="AJ1499" s="20">
        <v>5</v>
      </c>
      <c r="AK1499" s="4" t="s">
        <v>179</v>
      </c>
      <c r="AL1499" s="4">
        <v>47</v>
      </c>
      <c r="AM1499" s="4">
        <v>47</v>
      </c>
      <c r="AN1499" s="4" t="s">
        <v>95</v>
      </c>
      <c r="AO1499" s="4" t="s">
        <v>96</v>
      </c>
      <c r="AP1499" s="4">
        <v>1</v>
      </c>
      <c r="AQ1499" s="20">
        <v>39000</v>
      </c>
      <c r="AR1499" s="4">
        <v>41971</v>
      </c>
      <c r="AS1499" s="20">
        <v>5909.0909090909081</v>
      </c>
      <c r="AT1499" s="20">
        <v>0</v>
      </c>
      <c r="AU1499" s="20">
        <v>-5909.0909090909081</v>
      </c>
      <c r="AV1499" s="20">
        <v>0</v>
      </c>
      <c r="AW1499" s="20">
        <v>0</v>
      </c>
      <c r="AX1499" s="20" t="s">
        <v>91</v>
      </c>
      <c r="AY1499" s="20">
        <v>0</v>
      </c>
      <c r="AZ1499" s="20">
        <v>0</v>
      </c>
      <c r="BA1499" s="20">
        <v>0</v>
      </c>
      <c r="BB1499" s="6">
        <v>41971</v>
      </c>
      <c r="BC1499" s="6">
        <v>0</v>
      </c>
      <c r="BD1499" s="6">
        <v>41976</v>
      </c>
      <c r="BE1499" s="6">
        <v>0</v>
      </c>
      <c r="BF1499" s="6">
        <v>41975</v>
      </c>
      <c r="BG1499" s="6">
        <v>0</v>
      </c>
      <c r="BH1499" s="6">
        <v>0</v>
      </c>
      <c r="BI1499" s="6">
        <v>0</v>
      </c>
      <c r="BJ1499" s="6">
        <v>0</v>
      </c>
      <c r="BK1499" s="4">
        <v>0</v>
      </c>
      <c r="BL1499" s="4">
        <v>0</v>
      </c>
      <c r="BM1499" s="20">
        <v>5</v>
      </c>
      <c r="BN1499" s="20">
        <v>0</v>
      </c>
      <c r="BO1499" s="20">
        <v>0</v>
      </c>
      <c r="BP1499" s="20">
        <v>0</v>
      </c>
      <c r="BQ1499" s="20">
        <v>0</v>
      </c>
      <c r="BR1499" s="20">
        <v>0</v>
      </c>
      <c r="BS1499" s="20">
        <v>5</v>
      </c>
      <c r="BT1499" s="20">
        <v>29545.45454545454</v>
      </c>
      <c r="BU1499" s="20">
        <v>195000</v>
      </c>
      <c r="BV1499" s="20">
        <v>6.0000000000000009</v>
      </c>
    </row>
    <row r="1500" spans="1:74">
      <c r="A1500" s="10">
        <f t="shared" si="94"/>
        <v>0</v>
      </c>
      <c r="B1500" s="10">
        <f t="shared" si="95"/>
        <v>0</v>
      </c>
      <c r="C1500" s="12">
        <f t="shared" si="96"/>
        <v>11</v>
      </c>
      <c r="D1500" s="12">
        <f t="shared" si="97"/>
        <v>12</v>
      </c>
      <c r="E1500" s="20" t="s">
        <v>114</v>
      </c>
      <c r="F1500" s="20" t="s">
        <v>5455</v>
      </c>
      <c r="G1500" s="20" t="s">
        <v>5779</v>
      </c>
      <c r="H1500" s="20" t="s">
        <v>5853</v>
      </c>
      <c r="I1500" s="20">
        <v>12</v>
      </c>
      <c r="J1500" s="20" t="s">
        <v>5854</v>
      </c>
      <c r="K1500" s="20" t="s">
        <v>5855</v>
      </c>
      <c r="L1500" s="20" t="s">
        <v>5843</v>
      </c>
      <c r="M1500" s="20" t="s">
        <v>5455</v>
      </c>
      <c r="N1500" s="20" t="s">
        <v>5825</v>
      </c>
      <c r="P1500" s="20" t="s">
        <v>5455</v>
      </c>
      <c r="Q1500" s="20" t="s">
        <v>5462</v>
      </c>
      <c r="R1500" s="20" t="s">
        <v>84</v>
      </c>
      <c r="S1500" s="20">
        <v>5</v>
      </c>
      <c r="T1500" s="20" t="s">
        <v>244</v>
      </c>
      <c r="U1500" s="20" t="s">
        <v>245</v>
      </c>
      <c r="V1500" s="20" t="s">
        <v>5502</v>
      </c>
      <c r="W1500" s="20">
        <v>43</v>
      </c>
      <c r="X1500" s="20" t="s">
        <v>5844</v>
      </c>
      <c r="Y1500" s="20" t="s">
        <v>5845</v>
      </c>
      <c r="Z1500" s="20">
        <v>1</v>
      </c>
      <c r="AA1500" s="20" t="s">
        <v>5856</v>
      </c>
      <c r="AB1500" s="20" t="s">
        <v>89</v>
      </c>
      <c r="AC1500" s="20" t="s">
        <v>90</v>
      </c>
      <c r="AD1500" s="20" t="s">
        <v>5857</v>
      </c>
      <c r="AE1500" s="20" t="s">
        <v>91</v>
      </c>
      <c r="AF1500" s="20">
        <v>1</v>
      </c>
      <c r="AG1500" s="20">
        <v>0</v>
      </c>
      <c r="AH1500" s="20">
        <v>1</v>
      </c>
      <c r="AI1500" s="4" t="s">
        <v>251</v>
      </c>
      <c r="AJ1500" s="20">
        <v>10</v>
      </c>
      <c r="AK1500" s="4" t="s">
        <v>179</v>
      </c>
      <c r="AL1500" s="4">
        <v>47</v>
      </c>
      <c r="AM1500" s="4">
        <v>47</v>
      </c>
      <c r="AN1500" s="4" t="s">
        <v>95</v>
      </c>
      <c r="AO1500" s="4" t="s">
        <v>96</v>
      </c>
      <c r="AP1500" s="4">
        <v>1</v>
      </c>
      <c r="AQ1500" s="20">
        <v>39000</v>
      </c>
      <c r="AR1500" s="4">
        <v>41971</v>
      </c>
      <c r="AS1500" s="20">
        <v>5909.0909090909081</v>
      </c>
      <c r="AT1500" s="20">
        <v>0</v>
      </c>
      <c r="AU1500" s="20">
        <v>-5909.0909090909081</v>
      </c>
      <c r="AV1500" s="20">
        <v>0</v>
      </c>
      <c r="AW1500" s="20">
        <v>0</v>
      </c>
      <c r="AX1500" s="20" t="s">
        <v>91</v>
      </c>
      <c r="AY1500" s="20">
        <v>0</v>
      </c>
      <c r="AZ1500" s="20">
        <v>0</v>
      </c>
      <c r="BA1500" s="20">
        <v>0</v>
      </c>
      <c r="BB1500" s="6">
        <v>41971</v>
      </c>
      <c r="BC1500" s="6">
        <v>0</v>
      </c>
      <c r="BD1500" s="6">
        <v>41976</v>
      </c>
      <c r="BE1500" s="6">
        <v>0</v>
      </c>
      <c r="BF1500" s="6">
        <v>41975</v>
      </c>
      <c r="BG1500" s="6">
        <v>0</v>
      </c>
      <c r="BH1500" s="6">
        <v>0</v>
      </c>
      <c r="BI1500" s="6">
        <v>0</v>
      </c>
      <c r="BJ1500" s="6">
        <v>0</v>
      </c>
      <c r="BK1500" s="4">
        <v>0</v>
      </c>
      <c r="BL1500" s="4">
        <v>0</v>
      </c>
      <c r="BM1500" s="20">
        <v>10</v>
      </c>
      <c r="BN1500" s="20">
        <v>0</v>
      </c>
      <c r="BO1500" s="20">
        <v>0</v>
      </c>
      <c r="BP1500" s="20">
        <v>0</v>
      </c>
      <c r="BQ1500" s="20">
        <v>0</v>
      </c>
      <c r="BR1500" s="20">
        <v>0</v>
      </c>
      <c r="BS1500" s="20">
        <v>10</v>
      </c>
      <c r="BT1500" s="20">
        <v>59090.909090909081</v>
      </c>
      <c r="BU1500" s="20">
        <v>390000</v>
      </c>
      <c r="BV1500" s="20">
        <v>6.0000000000000009</v>
      </c>
    </row>
    <row r="1501" spans="1:74">
      <c r="A1501" s="10">
        <f t="shared" si="94"/>
        <v>0</v>
      </c>
      <c r="B1501" s="10">
        <f t="shared" si="95"/>
        <v>0</v>
      </c>
      <c r="C1501" s="12">
        <f t="shared" si="96"/>
        <v>11</v>
      </c>
      <c r="D1501" s="12">
        <f t="shared" si="97"/>
        <v>12</v>
      </c>
      <c r="E1501" s="20" t="s">
        <v>114</v>
      </c>
      <c r="F1501" s="20" t="s">
        <v>5455</v>
      </c>
      <c r="G1501" s="20" t="s">
        <v>5779</v>
      </c>
      <c r="H1501" s="20" t="s">
        <v>5858</v>
      </c>
      <c r="I1501" s="20">
        <v>13</v>
      </c>
      <c r="J1501" s="20" t="s">
        <v>5859</v>
      </c>
      <c r="K1501" s="20" t="s">
        <v>5860</v>
      </c>
      <c r="L1501" s="20" t="s">
        <v>5861</v>
      </c>
      <c r="M1501" s="20" t="s">
        <v>5455</v>
      </c>
      <c r="N1501" s="20" t="s">
        <v>5862</v>
      </c>
      <c r="P1501" s="20" t="s">
        <v>5455</v>
      </c>
      <c r="Q1501" s="20" t="s">
        <v>5462</v>
      </c>
      <c r="R1501" s="20" t="s">
        <v>84</v>
      </c>
      <c r="S1501" s="20">
        <v>5</v>
      </c>
      <c r="T1501" s="20" t="s">
        <v>395</v>
      </c>
      <c r="U1501" s="20" t="s">
        <v>396</v>
      </c>
      <c r="V1501" s="20" t="s">
        <v>5502</v>
      </c>
      <c r="W1501" s="20">
        <v>28</v>
      </c>
      <c r="X1501" s="20" t="s">
        <v>5542</v>
      </c>
      <c r="Y1501" s="20" t="s">
        <v>5863</v>
      </c>
      <c r="Z1501" s="20">
        <v>1</v>
      </c>
      <c r="AA1501" s="20" t="s">
        <v>5864</v>
      </c>
      <c r="AB1501" s="20" t="s">
        <v>176</v>
      </c>
      <c r="AC1501" s="20" t="s">
        <v>177</v>
      </c>
      <c r="AD1501" s="20" t="s">
        <v>5865</v>
      </c>
      <c r="AE1501" s="20" t="s">
        <v>91</v>
      </c>
      <c r="AF1501" s="20">
        <v>1</v>
      </c>
      <c r="AG1501" s="20">
        <v>0</v>
      </c>
      <c r="AH1501" s="20">
        <v>1</v>
      </c>
      <c r="AI1501" s="4" t="s">
        <v>251</v>
      </c>
      <c r="AJ1501" s="20">
        <v>10</v>
      </c>
      <c r="AK1501" s="4" t="s">
        <v>179</v>
      </c>
      <c r="AL1501" s="4">
        <v>47</v>
      </c>
      <c r="AM1501" s="4">
        <v>47</v>
      </c>
      <c r="AN1501" s="4" t="s">
        <v>95</v>
      </c>
      <c r="AO1501" s="4" t="s">
        <v>96</v>
      </c>
      <c r="AP1501" s="4">
        <v>1</v>
      </c>
      <c r="AQ1501" s="20">
        <v>49000</v>
      </c>
      <c r="AR1501" s="4">
        <v>41971</v>
      </c>
      <c r="AS1501" s="20">
        <v>7424.242424242424</v>
      </c>
      <c r="AT1501" s="20">
        <v>0</v>
      </c>
      <c r="AU1501" s="20">
        <v>-7424.242424242424</v>
      </c>
      <c r="AV1501" s="20">
        <v>0</v>
      </c>
      <c r="AW1501" s="20">
        <v>0</v>
      </c>
      <c r="AX1501" s="20" t="s">
        <v>91</v>
      </c>
      <c r="AY1501" s="20">
        <v>0</v>
      </c>
      <c r="AZ1501" s="20">
        <v>0</v>
      </c>
      <c r="BA1501" s="20">
        <v>0</v>
      </c>
      <c r="BB1501" s="6">
        <v>41971</v>
      </c>
      <c r="BC1501" s="6">
        <v>0</v>
      </c>
      <c r="BD1501" s="6">
        <v>41976</v>
      </c>
      <c r="BE1501" s="6">
        <v>0</v>
      </c>
      <c r="BF1501" s="6">
        <v>41975</v>
      </c>
      <c r="BG1501" s="6">
        <v>0</v>
      </c>
      <c r="BH1501" s="6">
        <v>0</v>
      </c>
      <c r="BI1501" s="6">
        <v>0</v>
      </c>
      <c r="BJ1501" s="6">
        <v>0</v>
      </c>
      <c r="BK1501" s="4">
        <v>0</v>
      </c>
      <c r="BL1501" s="4">
        <v>0</v>
      </c>
      <c r="BM1501" s="20">
        <v>10</v>
      </c>
      <c r="BN1501" s="20">
        <v>0</v>
      </c>
      <c r="BO1501" s="20">
        <v>0</v>
      </c>
      <c r="BP1501" s="20">
        <v>0</v>
      </c>
      <c r="BQ1501" s="20">
        <v>0</v>
      </c>
      <c r="BR1501" s="20">
        <v>0</v>
      </c>
      <c r="BS1501" s="20">
        <v>10</v>
      </c>
      <c r="BT1501" s="20">
        <v>74242.42424242424</v>
      </c>
      <c r="BU1501" s="20">
        <v>490000</v>
      </c>
      <c r="BV1501" s="20">
        <v>6</v>
      </c>
    </row>
    <row r="1502" spans="1:74">
      <c r="A1502" s="10">
        <f t="shared" si="94"/>
        <v>0</v>
      </c>
      <c r="B1502" s="10">
        <f t="shared" si="95"/>
        <v>0</v>
      </c>
      <c r="C1502" s="12">
        <f t="shared" si="96"/>
        <v>11</v>
      </c>
      <c r="D1502" s="12">
        <f t="shared" si="97"/>
        <v>12</v>
      </c>
      <c r="E1502" s="20" t="s">
        <v>114</v>
      </c>
      <c r="F1502" s="20" t="s">
        <v>5455</v>
      </c>
      <c r="G1502" s="20" t="s">
        <v>5779</v>
      </c>
      <c r="H1502" s="20" t="s">
        <v>5866</v>
      </c>
      <c r="I1502" s="20">
        <v>14</v>
      </c>
      <c r="J1502" s="20" t="s">
        <v>5867</v>
      </c>
      <c r="K1502" s="20" t="s">
        <v>5868</v>
      </c>
      <c r="L1502" s="20" t="s">
        <v>5861</v>
      </c>
      <c r="M1502" s="20" t="s">
        <v>5455</v>
      </c>
      <c r="N1502" s="20" t="s">
        <v>5862</v>
      </c>
      <c r="P1502" s="20" t="s">
        <v>5455</v>
      </c>
      <c r="Q1502" s="20" t="s">
        <v>5462</v>
      </c>
      <c r="R1502" s="20" t="s">
        <v>84</v>
      </c>
      <c r="S1502" s="20">
        <v>5</v>
      </c>
      <c r="T1502" s="20" t="s">
        <v>395</v>
      </c>
      <c r="U1502" s="20" t="s">
        <v>396</v>
      </c>
      <c r="V1502" s="20" t="s">
        <v>5502</v>
      </c>
      <c r="W1502" s="20">
        <v>28</v>
      </c>
      <c r="X1502" s="20" t="s">
        <v>5542</v>
      </c>
      <c r="Y1502" s="20" t="s">
        <v>5863</v>
      </c>
      <c r="Z1502" s="20">
        <v>1</v>
      </c>
      <c r="AA1502" s="20" t="s">
        <v>5869</v>
      </c>
      <c r="AB1502" s="20" t="s">
        <v>109</v>
      </c>
      <c r="AC1502" s="20" t="s">
        <v>110</v>
      </c>
      <c r="AD1502" s="20" t="s">
        <v>5870</v>
      </c>
      <c r="AE1502" s="20" t="s">
        <v>91</v>
      </c>
      <c r="AF1502" s="20">
        <v>1</v>
      </c>
      <c r="AG1502" s="20">
        <v>0</v>
      </c>
      <c r="AH1502" s="20">
        <v>1</v>
      </c>
      <c r="AI1502" s="4" t="s">
        <v>251</v>
      </c>
      <c r="AJ1502" s="20">
        <v>10</v>
      </c>
      <c r="AK1502" s="4" t="s">
        <v>179</v>
      </c>
      <c r="AL1502" s="4">
        <v>47</v>
      </c>
      <c r="AM1502" s="4">
        <v>47</v>
      </c>
      <c r="AN1502" s="4" t="s">
        <v>95</v>
      </c>
      <c r="AO1502" s="4" t="s">
        <v>96</v>
      </c>
      <c r="AP1502" s="4">
        <v>1</v>
      </c>
      <c r="AQ1502" s="20">
        <v>49000</v>
      </c>
      <c r="AR1502" s="4">
        <v>41971</v>
      </c>
      <c r="AS1502" s="20">
        <v>7424.242424242424</v>
      </c>
      <c r="AT1502" s="20">
        <v>0</v>
      </c>
      <c r="AU1502" s="20">
        <v>-7424.242424242424</v>
      </c>
      <c r="AV1502" s="20">
        <v>0</v>
      </c>
      <c r="AW1502" s="20">
        <v>0</v>
      </c>
      <c r="AX1502" s="20" t="s">
        <v>91</v>
      </c>
      <c r="AY1502" s="20">
        <v>0</v>
      </c>
      <c r="AZ1502" s="20">
        <v>0</v>
      </c>
      <c r="BA1502" s="20">
        <v>0</v>
      </c>
      <c r="BB1502" s="6">
        <v>41971</v>
      </c>
      <c r="BC1502" s="6">
        <v>0</v>
      </c>
      <c r="BD1502" s="6">
        <v>41976</v>
      </c>
      <c r="BE1502" s="6">
        <v>0</v>
      </c>
      <c r="BF1502" s="6">
        <v>41975</v>
      </c>
      <c r="BG1502" s="6">
        <v>0</v>
      </c>
      <c r="BH1502" s="6">
        <v>0</v>
      </c>
      <c r="BI1502" s="6">
        <v>0</v>
      </c>
      <c r="BJ1502" s="6">
        <v>0</v>
      </c>
      <c r="BK1502" s="4">
        <v>0</v>
      </c>
      <c r="BL1502" s="4">
        <v>0</v>
      </c>
      <c r="BM1502" s="20">
        <v>10</v>
      </c>
      <c r="BN1502" s="20">
        <v>0</v>
      </c>
      <c r="BO1502" s="20">
        <v>0</v>
      </c>
      <c r="BP1502" s="20">
        <v>0</v>
      </c>
      <c r="BQ1502" s="20">
        <v>0</v>
      </c>
      <c r="BR1502" s="20">
        <v>0</v>
      </c>
      <c r="BS1502" s="20">
        <v>10</v>
      </c>
      <c r="BT1502" s="20">
        <v>74242.42424242424</v>
      </c>
      <c r="BU1502" s="20">
        <v>490000</v>
      </c>
      <c r="BV1502" s="20">
        <v>6</v>
      </c>
    </row>
    <row r="1503" spans="1:74">
      <c r="A1503" s="10">
        <f t="shared" si="94"/>
        <v>0</v>
      </c>
      <c r="B1503" s="10">
        <f t="shared" si="95"/>
        <v>0</v>
      </c>
      <c r="C1503" s="12">
        <f t="shared" si="96"/>
        <v>11</v>
      </c>
      <c r="D1503" s="12">
        <f t="shared" si="97"/>
        <v>12</v>
      </c>
      <c r="E1503" s="20" t="s">
        <v>114</v>
      </c>
      <c r="F1503" s="20" t="s">
        <v>5455</v>
      </c>
      <c r="G1503" s="20" t="s">
        <v>5779</v>
      </c>
      <c r="H1503" s="20" t="s">
        <v>5871</v>
      </c>
      <c r="I1503" s="20">
        <v>15</v>
      </c>
      <c r="J1503" s="20" t="s">
        <v>5872</v>
      </c>
      <c r="K1503" s="20" t="s">
        <v>5873</v>
      </c>
      <c r="L1503" s="20" t="s">
        <v>5874</v>
      </c>
      <c r="M1503" s="20" t="s">
        <v>5455</v>
      </c>
      <c r="N1503" s="20" t="s">
        <v>5862</v>
      </c>
      <c r="P1503" s="20" t="s">
        <v>5455</v>
      </c>
      <c r="Q1503" s="20" t="s">
        <v>5462</v>
      </c>
      <c r="R1503" s="20" t="s">
        <v>84</v>
      </c>
      <c r="S1503" s="20">
        <v>5</v>
      </c>
      <c r="T1503" s="20" t="s">
        <v>395</v>
      </c>
      <c r="U1503" s="20" t="s">
        <v>396</v>
      </c>
      <c r="V1503" s="20" t="s">
        <v>5502</v>
      </c>
      <c r="W1503" s="20">
        <v>49</v>
      </c>
      <c r="X1503" s="20" t="s">
        <v>5875</v>
      </c>
      <c r="Y1503" s="20" t="s">
        <v>5876</v>
      </c>
      <c r="Z1503" s="20">
        <v>1</v>
      </c>
      <c r="AA1503" s="20" t="s">
        <v>5877</v>
      </c>
      <c r="AB1503" s="20" t="s">
        <v>189</v>
      </c>
      <c r="AC1503" s="20" t="s">
        <v>190</v>
      </c>
      <c r="AD1503" s="20" t="s">
        <v>5878</v>
      </c>
      <c r="AE1503" s="20" t="s">
        <v>91</v>
      </c>
      <c r="AF1503" s="20">
        <v>1</v>
      </c>
      <c r="AG1503" s="20">
        <v>0</v>
      </c>
      <c r="AH1503" s="20">
        <v>1</v>
      </c>
      <c r="AI1503" s="4" t="s">
        <v>251</v>
      </c>
      <c r="AJ1503" s="20">
        <v>10</v>
      </c>
      <c r="AK1503" s="4" t="s">
        <v>179</v>
      </c>
      <c r="AL1503" s="4">
        <v>47</v>
      </c>
      <c r="AM1503" s="4">
        <v>47</v>
      </c>
      <c r="AN1503" s="4" t="s">
        <v>95</v>
      </c>
      <c r="AO1503" s="4" t="s">
        <v>96</v>
      </c>
      <c r="AP1503" s="4">
        <v>1</v>
      </c>
      <c r="AQ1503" s="20">
        <v>45000</v>
      </c>
      <c r="AR1503" s="4">
        <v>41971</v>
      </c>
      <c r="AS1503" s="20">
        <v>6818.1818181818171</v>
      </c>
      <c r="AT1503" s="20">
        <v>0</v>
      </c>
      <c r="AU1503" s="20">
        <v>-6818.1818181818171</v>
      </c>
      <c r="AV1503" s="20">
        <v>0</v>
      </c>
      <c r="AW1503" s="20">
        <v>0</v>
      </c>
      <c r="AX1503" s="20" t="s">
        <v>91</v>
      </c>
      <c r="AY1503" s="20">
        <v>0</v>
      </c>
      <c r="AZ1503" s="20">
        <v>0</v>
      </c>
      <c r="BA1503" s="20">
        <v>0</v>
      </c>
      <c r="BB1503" s="6">
        <v>41971</v>
      </c>
      <c r="BC1503" s="6">
        <v>0</v>
      </c>
      <c r="BD1503" s="6">
        <v>41976</v>
      </c>
      <c r="BE1503" s="6">
        <v>0</v>
      </c>
      <c r="BF1503" s="6">
        <v>41975</v>
      </c>
      <c r="BG1503" s="6">
        <v>0</v>
      </c>
      <c r="BH1503" s="6">
        <v>0</v>
      </c>
      <c r="BI1503" s="6">
        <v>0</v>
      </c>
      <c r="BJ1503" s="6">
        <v>0</v>
      </c>
      <c r="BK1503" s="4">
        <v>0</v>
      </c>
      <c r="BL1503" s="4">
        <v>0</v>
      </c>
      <c r="BM1503" s="20">
        <v>10</v>
      </c>
      <c r="BN1503" s="20">
        <v>0</v>
      </c>
      <c r="BO1503" s="20">
        <v>0</v>
      </c>
      <c r="BP1503" s="20">
        <v>0</v>
      </c>
      <c r="BQ1503" s="20">
        <v>0</v>
      </c>
      <c r="BR1503" s="20">
        <v>0</v>
      </c>
      <c r="BS1503" s="20">
        <v>10</v>
      </c>
      <c r="BT1503" s="20">
        <v>68181.818181818177</v>
      </c>
      <c r="BU1503" s="20">
        <v>450000</v>
      </c>
      <c r="BV1503" s="20">
        <v>6</v>
      </c>
    </row>
    <row r="1504" spans="1:74">
      <c r="A1504" s="10">
        <f t="shared" si="94"/>
        <v>0</v>
      </c>
      <c r="B1504" s="10">
        <f t="shared" si="95"/>
        <v>0</v>
      </c>
      <c r="C1504" s="12">
        <f t="shared" si="96"/>
        <v>11</v>
      </c>
      <c r="D1504" s="12">
        <f t="shared" si="97"/>
        <v>12</v>
      </c>
      <c r="E1504" s="20" t="s">
        <v>114</v>
      </c>
      <c r="F1504" s="20" t="s">
        <v>5455</v>
      </c>
      <c r="G1504" s="20" t="s">
        <v>5779</v>
      </c>
      <c r="H1504" s="20" t="s">
        <v>5879</v>
      </c>
      <c r="I1504" s="20">
        <v>16</v>
      </c>
      <c r="J1504" s="20" t="s">
        <v>5880</v>
      </c>
      <c r="K1504" s="20" t="s">
        <v>5881</v>
      </c>
      <c r="L1504" s="20" t="s">
        <v>5874</v>
      </c>
      <c r="M1504" s="20" t="s">
        <v>5455</v>
      </c>
      <c r="N1504" s="20" t="s">
        <v>5862</v>
      </c>
      <c r="P1504" s="20" t="s">
        <v>5455</v>
      </c>
      <c r="Q1504" s="20" t="s">
        <v>5462</v>
      </c>
      <c r="R1504" s="20" t="s">
        <v>84</v>
      </c>
      <c r="S1504" s="20">
        <v>5</v>
      </c>
      <c r="T1504" s="20" t="s">
        <v>395</v>
      </c>
      <c r="U1504" s="20" t="s">
        <v>396</v>
      </c>
      <c r="V1504" s="20" t="s">
        <v>5502</v>
      </c>
      <c r="W1504" s="20">
        <v>49</v>
      </c>
      <c r="X1504" s="20" t="s">
        <v>5875</v>
      </c>
      <c r="Y1504" s="20" t="s">
        <v>5876</v>
      </c>
      <c r="Z1504" s="20">
        <v>1</v>
      </c>
      <c r="AA1504" s="20" t="s">
        <v>5882</v>
      </c>
      <c r="AB1504" s="20" t="s">
        <v>248</v>
      </c>
      <c r="AC1504" s="20" t="s">
        <v>249</v>
      </c>
      <c r="AD1504" s="20" t="s">
        <v>5883</v>
      </c>
      <c r="AE1504" s="20" t="s">
        <v>91</v>
      </c>
      <c r="AF1504" s="20">
        <v>1</v>
      </c>
      <c r="AG1504" s="20">
        <v>0</v>
      </c>
      <c r="AH1504" s="20">
        <v>1</v>
      </c>
      <c r="AI1504" s="4" t="s">
        <v>251</v>
      </c>
      <c r="AJ1504" s="20">
        <v>5</v>
      </c>
      <c r="AK1504" s="4" t="s">
        <v>179</v>
      </c>
      <c r="AL1504" s="4">
        <v>47</v>
      </c>
      <c r="AM1504" s="4">
        <v>47</v>
      </c>
      <c r="AN1504" s="4" t="s">
        <v>95</v>
      </c>
      <c r="AO1504" s="4" t="s">
        <v>96</v>
      </c>
      <c r="AP1504" s="4">
        <v>1</v>
      </c>
      <c r="AQ1504" s="20">
        <v>45000</v>
      </c>
      <c r="AR1504" s="4">
        <v>41971</v>
      </c>
      <c r="AS1504" s="20">
        <v>6818.1818181818171</v>
      </c>
      <c r="AT1504" s="20">
        <v>0</v>
      </c>
      <c r="AU1504" s="20">
        <v>-6818.1818181818171</v>
      </c>
      <c r="AV1504" s="20">
        <v>0</v>
      </c>
      <c r="AW1504" s="20">
        <v>0</v>
      </c>
      <c r="AX1504" s="20" t="s">
        <v>91</v>
      </c>
      <c r="AY1504" s="20">
        <v>0</v>
      </c>
      <c r="AZ1504" s="20">
        <v>0</v>
      </c>
      <c r="BA1504" s="20">
        <v>0</v>
      </c>
      <c r="BB1504" s="6">
        <v>41971</v>
      </c>
      <c r="BC1504" s="6">
        <v>0</v>
      </c>
      <c r="BD1504" s="6">
        <v>41976</v>
      </c>
      <c r="BE1504" s="6">
        <v>0</v>
      </c>
      <c r="BF1504" s="6">
        <v>41975</v>
      </c>
      <c r="BG1504" s="6">
        <v>0</v>
      </c>
      <c r="BH1504" s="6">
        <v>0</v>
      </c>
      <c r="BI1504" s="6">
        <v>0</v>
      </c>
      <c r="BJ1504" s="6">
        <v>0</v>
      </c>
      <c r="BK1504" s="4">
        <v>0</v>
      </c>
      <c r="BL1504" s="4">
        <v>0</v>
      </c>
      <c r="BM1504" s="20">
        <v>5</v>
      </c>
      <c r="BN1504" s="20">
        <v>0</v>
      </c>
      <c r="BO1504" s="20">
        <v>0</v>
      </c>
      <c r="BP1504" s="20">
        <v>0</v>
      </c>
      <c r="BQ1504" s="20">
        <v>0</v>
      </c>
      <c r="BR1504" s="20">
        <v>0</v>
      </c>
      <c r="BS1504" s="20">
        <v>5</v>
      </c>
      <c r="BT1504" s="20">
        <v>34090.909090909088</v>
      </c>
      <c r="BU1504" s="20">
        <v>225000</v>
      </c>
      <c r="BV1504" s="20">
        <v>6</v>
      </c>
    </row>
    <row r="1505" spans="1:74">
      <c r="A1505" s="10">
        <f t="shared" si="94"/>
        <v>0</v>
      </c>
      <c r="B1505" s="10">
        <f t="shared" si="95"/>
        <v>0</v>
      </c>
      <c r="C1505" s="12">
        <f t="shared" si="96"/>
        <v>11</v>
      </c>
      <c r="D1505" s="12">
        <f t="shared" si="97"/>
        <v>12</v>
      </c>
      <c r="E1505" s="20" t="s">
        <v>114</v>
      </c>
      <c r="F1505" s="20" t="s">
        <v>5455</v>
      </c>
      <c r="G1505" s="20" t="s">
        <v>5779</v>
      </c>
      <c r="H1505" s="20" t="s">
        <v>5884</v>
      </c>
      <c r="I1505" s="20">
        <v>17</v>
      </c>
      <c r="J1505" s="20" t="s">
        <v>5885</v>
      </c>
      <c r="K1505" s="20" t="s">
        <v>5886</v>
      </c>
      <c r="L1505" s="20" t="s">
        <v>5874</v>
      </c>
      <c r="M1505" s="20" t="s">
        <v>5455</v>
      </c>
      <c r="N1505" s="20" t="s">
        <v>5862</v>
      </c>
      <c r="P1505" s="20" t="s">
        <v>5455</v>
      </c>
      <c r="Q1505" s="20" t="s">
        <v>5462</v>
      </c>
      <c r="R1505" s="20" t="s">
        <v>84</v>
      </c>
      <c r="S1505" s="20">
        <v>5</v>
      </c>
      <c r="T1505" s="20" t="s">
        <v>395</v>
      </c>
      <c r="U1505" s="20" t="s">
        <v>396</v>
      </c>
      <c r="V1505" s="20" t="s">
        <v>5502</v>
      </c>
      <c r="W1505" s="20">
        <v>49</v>
      </c>
      <c r="X1505" s="20" t="s">
        <v>5875</v>
      </c>
      <c r="Y1505" s="20" t="s">
        <v>5876</v>
      </c>
      <c r="Z1505" s="20">
        <v>1</v>
      </c>
      <c r="AA1505" s="20" t="s">
        <v>5887</v>
      </c>
      <c r="AB1505" s="20" t="s">
        <v>176</v>
      </c>
      <c r="AC1505" s="20" t="s">
        <v>177</v>
      </c>
      <c r="AD1505" s="20" t="s">
        <v>5888</v>
      </c>
      <c r="AE1505" s="20" t="s">
        <v>91</v>
      </c>
      <c r="AF1505" s="20">
        <v>1</v>
      </c>
      <c r="AG1505" s="20">
        <v>0</v>
      </c>
      <c r="AH1505" s="20">
        <v>1</v>
      </c>
      <c r="AI1505" s="4" t="s">
        <v>251</v>
      </c>
      <c r="AJ1505" s="20">
        <v>5</v>
      </c>
      <c r="AK1505" s="4" t="s">
        <v>179</v>
      </c>
      <c r="AL1505" s="4">
        <v>47</v>
      </c>
      <c r="AM1505" s="4">
        <v>47</v>
      </c>
      <c r="AN1505" s="4" t="s">
        <v>95</v>
      </c>
      <c r="AO1505" s="4" t="s">
        <v>96</v>
      </c>
      <c r="AP1505" s="4">
        <v>1</v>
      </c>
      <c r="AQ1505" s="20">
        <v>45000</v>
      </c>
      <c r="AR1505" s="4">
        <v>41971</v>
      </c>
      <c r="AS1505" s="20">
        <v>6818.1818181818171</v>
      </c>
      <c r="AT1505" s="20">
        <v>0</v>
      </c>
      <c r="AU1505" s="20">
        <v>-6818.1818181818171</v>
      </c>
      <c r="AV1505" s="20">
        <v>0</v>
      </c>
      <c r="AW1505" s="20">
        <v>0</v>
      </c>
      <c r="AX1505" s="20" t="s">
        <v>91</v>
      </c>
      <c r="AY1505" s="20">
        <v>0</v>
      </c>
      <c r="AZ1505" s="20">
        <v>0</v>
      </c>
      <c r="BA1505" s="20">
        <v>0</v>
      </c>
      <c r="BB1505" s="6">
        <v>41971</v>
      </c>
      <c r="BC1505" s="6">
        <v>0</v>
      </c>
      <c r="BD1505" s="6">
        <v>41976</v>
      </c>
      <c r="BE1505" s="6">
        <v>0</v>
      </c>
      <c r="BF1505" s="6">
        <v>41975</v>
      </c>
      <c r="BG1505" s="6">
        <v>0</v>
      </c>
      <c r="BH1505" s="6">
        <v>0</v>
      </c>
      <c r="BI1505" s="6">
        <v>0</v>
      </c>
      <c r="BJ1505" s="6">
        <v>0</v>
      </c>
      <c r="BK1505" s="4">
        <v>0</v>
      </c>
      <c r="BL1505" s="4">
        <v>0</v>
      </c>
      <c r="BM1505" s="20">
        <v>5</v>
      </c>
      <c r="BN1505" s="20">
        <v>0</v>
      </c>
      <c r="BO1505" s="20">
        <v>0</v>
      </c>
      <c r="BP1505" s="20">
        <v>0</v>
      </c>
      <c r="BQ1505" s="20">
        <v>0</v>
      </c>
      <c r="BR1505" s="20">
        <v>0</v>
      </c>
      <c r="BS1505" s="20">
        <v>5</v>
      </c>
      <c r="BT1505" s="20">
        <v>34090.909090909088</v>
      </c>
      <c r="BU1505" s="20">
        <v>225000</v>
      </c>
      <c r="BV1505" s="20">
        <v>6</v>
      </c>
    </row>
    <row r="1506" spans="1:74">
      <c r="A1506" s="10">
        <f t="shared" si="94"/>
        <v>0</v>
      </c>
      <c r="B1506" s="10">
        <f t="shared" si="95"/>
        <v>0</v>
      </c>
      <c r="C1506" s="12">
        <f t="shared" si="96"/>
        <v>11</v>
      </c>
      <c r="D1506" s="12">
        <f t="shared" si="97"/>
        <v>12</v>
      </c>
      <c r="E1506" s="20" t="s">
        <v>114</v>
      </c>
      <c r="F1506" s="20" t="s">
        <v>5455</v>
      </c>
      <c r="G1506" s="20" t="s">
        <v>5779</v>
      </c>
      <c r="H1506" s="20" t="s">
        <v>5889</v>
      </c>
      <c r="I1506" s="20">
        <v>18</v>
      </c>
      <c r="J1506" s="20" t="s">
        <v>5890</v>
      </c>
      <c r="K1506" s="20" t="s">
        <v>5891</v>
      </c>
      <c r="L1506" s="20" t="s">
        <v>5874</v>
      </c>
      <c r="M1506" s="20" t="s">
        <v>5455</v>
      </c>
      <c r="N1506" s="20" t="s">
        <v>5862</v>
      </c>
      <c r="P1506" s="20" t="s">
        <v>5455</v>
      </c>
      <c r="Q1506" s="20" t="s">
        <v>5462</v>
      </c>
      <c r="R1506" s="20" t="s">
        <v>84</v>
      </c>
      <c r="S1506" s="20">
        <v>5</v>
      </c>
      <c r="T1506" s="20" t="s">
        <v>395</v>
      </c>
      <c r="U1506" s="20" t="s">
        <v>396</v>
      </c>
      <c r="V1506" s="20" t="s">
        <v>5502</v>
      </c>
      <c r="W1506" s="20">
        <v>49</v>
      </c>
      <c r="X1506" s="20" t="s">
        <v>5875</v>
      </c>
      <c r="Y1506" s="20" t="s">
        <v>5876</v>
      </c>
      <c r="Z1506" s="20">
        <v>1</v>
      </c>
      <c r="AA1506" s="20" t="s">
        <v>5892</v>
      </c>
      <c r="AB1506" s="20" t="s">
        <v>89</v>
      </c>
      <c r="AC1506" s="20" t="s">
        <v>90</v>
      </c>
      <c r="AD1506" s="20" t="s">
        <v>5893</v>
      </c>
      <c r="AE1506" s="20" t="s">
        <v>91</v>
      </c>
      <c r="AF1506" s="20">
        <v>1</v>
      </c>
      <c r="AG1506" s="20">
        <v>0</v>
      </c>
      <c r="AH1506" s="20">
        <v>1</v>
      </c>
      <c r="AI1506" s="4" t="s">
        <v>251</v>
      </c>
      <c r="AJ1506" s="20">
        <v>5</v>
      </c>
      <c r="AK1506" s="4" t="s">
        <v>179</v>
      </c>
      <c r="AL1506" s="4">
        <v>47</v>
      </c>
      <c r="AM1506" s="4">
        <v>47</v>
      </c>
      <c r="AN1506" s="4" t="s">
        <v>95</v>
      </c>
      <c r="AO1506" s="4" t="s">
        <v>96</v>
      </c>
      <c r="AP1506" s="4">
        <v>1</v>
      </c>
      <c r="AQ1506" s="20">
        <v>45000</v>
      </c>
      <c r="AR1506" s="4">
        <v>41971</v>
      </c>
      <c r="AS1506" s="20">
        <v>6818.1818181818171</v>
      </c>
      <c r="AT1506" s="20">
        <v>0</v>
      </c>
      <c r="AU1506" s="20">
        <v>-6818.1818181818171</v>
      </c>
      <c r="AV1506" s="20">
        <v>0</v>
      </c>
      <c r="AW1506" s="20">
        <v>0</v>
      </c>
      <c r="AX1506" s="20" t="s">
        <v>91</v>
      </c>
      <c r="AY1506" s="20">
        <v>0</v>
      </c>
      <c r="AZ1506" s="20">
        <v>0</v>
      </c>
      <c r="BA1506" s="20">
        <v>0</v>
      </c>
      <c r="BB1506" s="6">
        <v>41971</v>
      </c>
      <c r="BC1506" s="6">
        <v>0</v>
      </c>
      <c r="BD1506" s="6">
        <v>41976</v>
      </c>
      <c r="BE1506" s="6">
        <v>0</v>
      </c>
      <c r="BF1506" s="6">
        <v>41975</v>
      </c>
      <c r="BG1506" s="6">
        <v>0</v>
      </c>
      <c r="BH1506" s="6">
        <v>0</v>
      </c>
      <c r="BI1506" s="6">
        <v>0</v>
      </c>
      <c r="BJ1506" s="6">
        <v>0</v>
      </c>
      <c r="BK1506" s="4">
        <v>0</v>
      </c>
      <c r="BL1506" s="4">
        <v>0</v>
      </c>
      <c r="BM1506" s="20">
        <v>5</v>
      </c>
      <c r="BN1506" s="20">
        <v>0</v>
      </c>
      <c r="BO1506" s="20">
        <v>0</v>
      </c>
      <c r="BP1506" s="20">
        <v>0</v>
      </c>
      <c r="BQ1506" s="20">
        <v>0</v>
      </c>
      <c r="BR1506" s="20">
        <v>0</v>
      </c>
      <c r="BS1506" s="20">
        <v>5</v>
      </c>
      <c r="BT1506" s="20">
        <v>34090.909090909088</v>
      </c>
      <c r="BU1506" s="20">
        <v>225000</v>
      </c>
      <c r="BV1506" s="20">
        <v>6</v>
      </c>
    </row>
    <row r="1507" spans="1:74">
      <c r="A1507" s="10">
        <f t="shared" si="94"/>
        <v>0</v>
      </c>
      <c r="B1507" s="10">
        <f t="shared" si="95"/>
        <v>0</v>
      </c>
      <c r="C1507" s="12">
        <f t="shared" si="96"/>
        <v>11</v>
      </c>
      <c r="D1507" s="12">
        <f t="shared" si="97"/>
        <v>12</v>
      </c>
      <c r="E1507" s="20" t="s">
        <v>114</v>
      </c>
      <c r="F1507" s="20" t="s">
        <v>5455</v>
      </c>
      <c r="G1507" s="20" t="s">
        <v>5779</v>
      </c>
      <c r="H1507" s="20" t="s">
        <v>5894</v>
      </c>
      <c r="I1507" s="20">
        <v>19</v>
      </c>
      <c r="J1507" s="20" t="s">
        <v>5895</v>
      </c>
      <c r="K1507" s="20" t="s">
        <v>5896</v>
      </c>
      <c r="L1507" s="20" t="s">
        <v>5897</v>
      </c>
      <c r="M1507" s="20" t="s">
        <v>5455</v>
      </c>
      <c r="N1507" s="20" t="s">
        <v>5898</v>
      </c>
      <c r="P1507" s="20" t="s">
        <v>5455</v>
      </c>
      <c r="Q1507" s="20" t="s">
        <v>5462</v>
      </c>
      <c r="R1507" s="20" t="s">
        <v>84</v>
      </c>
      <c r="S1507" s="20">
        <v>5</v>
      </c>
      <c r="T1507" s="20" t="s">
        <v>106</v>
      </c>
      <c r="U1507" s="20" t="s">
        <v>107</v>
      </c>
      <c r="V1507" s="20" t="s">
        <v>5502</v>
      </c>
      <c r="W1507" s="20">
        <v>19</v>
      </c>
      <c r="X1507" s="20" t="s">
        <v>5899</v>
      </c>
      <c r="Y1507" s="20" t="s">
        <v>5900</v>
      </c>
      <c r="Z1507" s="20">
        <v>1</v>
      </c>
      <c r="AA1507" s="20" t="s">
        <v>5901</v>
      </c>
      <c r="AB1507" s="20" t="s">
        <v>101</v>
      </c>
      <c r="AC1507" s="20" t="s">
        <v>102</v>
      </c>
      <c r="AD1507" s="20" t="s">
        <v>5902</v>
      </c>
      <c r="AE1507" s="20" t="s">
        <v>91</v>
      </c>
      <c r="AF1507" s="20">
        <v>1</v>
      </c>
      <c r="AG1507" s="20">
        <v>0</v>
      </c>
      <c r="AH1507" s="20">
        <v>1</v>
      </c>
      <c r="AI1507" s="4" t="s">
        <v>251</v>
      </c>
      <c r="AJ1507" s="20">
        <v>20</v>
      </c>
      <c r="AK1507" s="4" t="s">
        <v>179</v>
      </c>
      <c r="AL1507" s="4">
        <v>47</v>
      </c>
      <c r="AM1507" s="4">
        <v>47</v>
      </c>
      <c r="AN1507" s="4" t="s">
        <v>95</v>
      </c>
      <c r="AO1507" s="4" t="s">
        <v>96</v>
      </c>
      <c r="AP1507" s="4">
        <v>1</v>
      </c>
      <c r="AQ1507" s="20">
        <v>49000</v>
      </c>
      <c r="AR1507" s="4">
        <v>41971</v>
      </c>
      <c r="AS1507" s="20">
        <v>7424.242424242424</v>
      </c>
      <c r="AT1507" s="20">
        <v>0</v>
      </c>
      <c r="AU1507" s="20">
        <v>-7424.242424242424</v>
      </c>
      <c r="AV1507" s="20">
        <v>0</v>
      </c>
      <c r="AW1507" s="20">
        <v>0</v>
      </c>
      <c r="AX1507" s="20" t="s">
        <v>91</v>
      </c>
      <c r="AY1507" s="20">
        <v>0</v>
      </c>
      <c r="AZ1507" s="20">
        <v>0</v>
      </c>
      <c r="BA1507" s="20">
        <v>0</v>
      </c>
      <c r="BB1507" s="6">
        <v>41971</v>
      </c>
      <c r="BC1507" s="6">
        <v>0</v>
      </c>
      <c r="BD1507" s="6">
        <v>41976</v>
      </c>
      <c r="BE1507" s="6">
        <v>0</v>
      </c>
      <c r="BF1507" s="6">
        <v>41975</v>
      </c>
      <c r="BG1507" s="6">
        <v>0</v>
      </c>
      <c r="BH1507" s="6">
        <v>0</v>
      </c>
      <c r="BI1507" s="6">
        <v>0</v>
      </c>
      <c r="BJ1507" s="6">
        <v>0</v>
      </c>
      <c r="BK1507" s="4">
        <v>0</v>
      </c>
      <c r="BL1507" s="4">
        <v>0</v>
      </c>
      <c r="BM1507" s="20">
        <v>20</v>
      </c>
      <c r="BN1507" s="20">
        <v>0</v>
      </c>
      <c r="BO1507" s="20">
        <v>0</v>
      </c>
      <c r="BP1507" s="20">
        <v>0</v>
      </c>
      <c r="BQ1507" s="20">
        <v>0</v>
      </c>
      <c r="BR1507" s="20">
        <v>0</v>
      </c>
      <c r="BS1507" s="20">
        <v>20</v>
      </c>
      <c r="BT1507" s="20">
        <v>148484.84848484848</v>
      </c>
      <c r="BU1507" s="20">
        <v>980000</v>
      </c>
      <c r="BV1507" s="20">
        <v>6</v>
      </c>
    </row>
    <row r="1508" spans="1:74">
      <c r="A1508" s="10">
        <f t="shared" si="94"/>
        <v>0</v>
      </c>
      <c r="B1508" s="10">
        <f t="shared" si="95"/>
        <v>0</v>
      </c>
      <c r="C1508" s="12">
        <f t="shared" si="96"/>
        <v>11</v>
      </c>
      <c r="D1508" s="12">
        <f t="shared" si="97"/>
        <v>12</v>
      </c>
      <c r="E1508" s="20" t="s">
        <v>114</v>
      </c>
      <c r="F1508" s="20" t="s">
        <v>5455</v>
      </c>
      <c r="G1508" s="20" t="s">
        <v>5779</v>
      </c>
      <c r="H1508" s="20" t="s">
        <v>5903</v>
      </c>
      <c r="I1508" s="20">
        <v>20</v>
      </c>
      <c r="J1508" s="20" t="s">
        <v>5904</v>
      </c>
      <c r="K1508" s="20" t="s">
        <v>5905</v>
      </c>
      <c r="L1508" s="20" t="s">
        <v>5906</v>
      </c>
      <c r="M1508" s="20" t="s">
        <v>5455</v>
      </c>
      <c r="N1508" s="20" t="s">
        <v>5898</v>
      </c>
      <c r="P1508" s="20" t="s">
        <v>5455</v>
      </c>
      <c r="Q1508" s="20" t="s">
        <v>5462</v>
      </c>
      <c r="R1508" s="20" t="s">
        <v>84</v>
      </c>
      <c r="S1508" s="20">
        <v>5</v>
      </c>
      <c r="T1508" s="20" t="s">
        <v>106</v>
      </c>
      <c r="U1508" s="20" t="s">
        <v>107</v>
      </c>
      <c r="V1508" s="20" t="s">
        <v>5502</v>
      </c>
      <c r="W1508" s="20">
        <v>22</v>
      </c>
      <c r="X1508" s="20" t="s">
        <v>5907</v>
      </c>
      <c r="Y1508" s="20" t="s">
        <v>5908</v>
      </c>
      <c r="Z1508" s="20">
        <v>1</v>
      </c>
      <c r="AA1508" s="20" t="s">
        <v>5909</v>
      </c>
      <c r="AB1508" s="20" t="s">
        <v>303</v>
      </c>
      <c r="AC1508" s="20" t="s">
        <v>304</v>
      </c>
      <c r="AD1508" s="20" t="s">
        <v>5910</v>
      </c>
      <c r="AE1508" s="20" t="s">
        <v>91</v>
      </c>
      <c r="AF1508" s="20">
        <v>1</v>
      </c>
      <c r="AG1508" s="20">
        <v>0</v>
      </c>
      <c r="AH1508" s="20">
        <v>1</v>
      </c>
      <c r="AI1508" s="4" t="s">
        <v>251</v>
      </c>
      <c r="AJ1508" s="20">
        <v>20</v>
      </c>
      <c r="AK1508" s="4" t="s">
        <v>179</v>
      </c>
      <c r="AL1508" s="4">
        <v>47</v>
      </c>
      <c r="AM1508" s="4">
        <v>47</v>
      </c>
      <c r="AN1508" s="4" t="s">
        <v>95</v>
      </c>
      <c r="AO1508" s="4" t="s">
        <v>96</v>
      </c>
      <c r="AP1508" s="4">
        <v>1</v>
      </c>
      <c r="AQ1508" s="20">
        <v>49000</v>
      </c>
      <c r="AR1508" s="4">
        <v>41971</v>
      </c>
      <c r="AS1508" s="20">
        <v>7424.242424242424</v>
      </c>
      <c r="AT1508" s="20">
        <v>0</v>
      </c>
      <c r="AU1508" s="20">
        <v>-7424.242424242424</v>
      </c>
      <c r="AV1508" s="20">
        <v>0</v>
      </c>
      <c r="AW1508" s="20">
        <v>0</v>
      </c>
      <c r="AX1508" s="20" t="s">
        <v>91</v>
      </c>
      <c r="AY1508" s="20">
        <v>0</v>
      </c>
      <c r="AZ1508" s="20">
        <v>0</v>
      </c>
      <c r="BA1508" s="20">
        <v>0</v>
      </c>
      <c r="BB1508" s="6">
        <v>41971</v>
      </c>
      <c r="BC1508" s="6">
        <v>0</v>
      </c>
      <c r="BD1508" s="6">
        <v>41976</v>
      </c>
      <c r="BE1508" s="6">
        <v>0</v>
      </c>
      <c r="BF1508" s="6">
        <v>41975</v>
      </c>
      <c r="BG1508" s="6">
        <v>0</v>
      </c>
      <c r="BH1508" s="6">
        <v>0</v>
      </c>
      <c r="BI1508" s="6">
        <v>0</v>
      </c>
      <c r="BJ1508" s="6">
        <v>0</v>
      </c>
      <c r="BK1508" s="4">
        <v>0</v>
      </c>
      <c r="BL1508" s="4">
        <v>0</v>
      </c>
      <c r="BM1508" s="20">
        <v>20</v>
      </c>
      <c r="BN1508" s="20">
        <v>0</v>
      </c>
      <c r="BO1508" s="20">
        <v>0</v>
      </c>
      <c r="BP1508" s="20">
        <v>0</v>
      </c>
      <c r="BQ1508" s="20">
        <v>0</v>
      </c>
      <c r="BR1508" s="20">
        <v>0</v>
      </c>
      <c r="BS1508" s="20">
        <v>20</v>
      </c>
      <c r="BT1508" s="20">
        <v>148484.84848484848</v>
      </c>
      <c r="BU1508" s="20">
        <v>980000</v>
      </c>
      <c r="BV1508" s="20">
        <v>6</v>
      </c>
    </row>
    <row r="1509" spans="1:74">
      <c r="A1509" s="10">
        <f t="shared" si="94"/>
        <v>0</v>
      </c>
      <c r="B1509" s="10">
        <f t="shared" si="95"/>
        <v>0</v>
      </c>
      <c r="C1509" s="12">
        <f t="shared" si="96"/>
        <v>11</v>
      </c>
      <c r="D1509" s="12">
        <f t="shared" si="97"/>
        <v>12</v>
      </c>
      <c r="E1509" s="20" t="s">
        <v>114</v>
      </c>
      <c r="F1509" s="20" t="s">
        <v>5455</v>
      </c>
      <c r="G1509" s="20" t="s">
        <v>5779</v>
      </c>
      <c r="H1509" s="20" t="s">
        <v>5911</v>
      </c>
      <c r="I1509" s="20">
        <v>21</v>
      </c>
      <c r="J1509" s="20" t="s">
        <v>5912</v>
      </c>
      <c r="K1509" s="20" t="s">
        <v>5913</v>
      </c>
      <c r="L1509" s="20" t="s">
        <v>5914</v>
      </c>
      <c r="M1509" s="20" t="s">
        <v>5455</v>
      </c>
      <c r="N1509" s="20" t="s">
        <v>5915</v>
      </c>
      <c r="P1509" s="20" t="s">
        <v>5455</v>
      </c>
      <c r="Q1509" s="20" t="s">
        <v>5462</v>
      </c>
      <c r="R1509" s="20" t="s">
        <v>84</v>
      </c>
      <c r="S1509" s="20" t="s">
        <v>123</v>
      </c>
      <c r="T1509" s="20" t="s">
        <v>198</v>
      </c>
      <c r="U1509" s="20" t="s">
        <v>199</v>
      </c>
      <c r="V1509" s="20" t="s">
        <v>5502</v>
      </c>
      <c r="W1509" s="20">
        <v>1</v>
      </c>
      <c r="X1509" s="20" t="s">
        <v>5513</v>
      </c>
      <c r="Y1509" s="20" t="s">
        <v>5916</v>
      </c>
      <c r="Z1509" s="20">
        <v>0.5</v>
      </c>
      <c r="AA1509" s="20" t="s">
        <v>5917</v>
      </c>
      <c r="AB1509" s="20" t="s">
        <v>248</v>
      </c>
      <c r="AC1509" s="20" t="s">
        <v>249</v>
      </c>
      <c r="AD1509" s="20" t="s">
        <v>5918</v>
      </c>
      <c r="AE1509" s="20" t="s">
        <v>91</v>
      </c>
      <c r="AF1509" s="20">
        <v>0.5</v>
      </c>
      <c r="AG1509" s="20">
        <v>0</v>
      </c>
      <c r="AH1509" s="20">
        <v>1</v>
      </c>
      <c r="AI1509" s="4" t="s">
        <v>643</v>
      </c>
      <c r="AJ1509" s="20">
        <v>7</v>
      </c>
      <c r="AK1509" s="4" t="s">
        <v>179</v>
      </c>
      <c r="AL1509" s="4">
        <v>47</v>
      </c>
      <c r="AM1509" s="4">
        <v>47</v>
      </c>
      <c r="AN1509" s="4" t="s">
        <v>95</v>
      </c>
      <c r="AO1509" s="4" t="s">
        <v>96</v>
      </c>
      <c r="AP1509" s="4">
        <v>1</v>
      </c>
      <c r="AQ1509" s="20">
        <v>45000</v>
      </c>
      <c r="AR1509" s="4">
        <v>41971</v>
      </c>
      <c r="AS1509" s="20">
        <v>6818.1818181818171</v>
      </c>
      <c r="AT1509" s="20">
        <v>0</v>
      </c>
      <c r="AU1509" s="20">
        <v>-6818.1818181818171</v>
      </c>
      <c r="AV1509" s="20">
        <v>0</v>
      </c>
      <c r="AW1509" s="20">
        <v>0</v>
      </c>
      <c r="AX1509" s="20" t="s">
        <v>91</v>
      </c>
      <c r="AY1509" s="20">
        <v>0</v>
      </c>
      <c r="AZ1509" s="20">
        <v>0</v>
      </c>
      <c r="BA1509" s="20">
        <v>0</v>
      </c>
      <c r="BB1509" s="6">
        <v>41971</v>
      </c>
      <c r="BC1509" s="6">
        <v>0</v>
      </c>
      <c r="BD1509" s="6">
        <v>41976</v>
      </c>
      <c r="BE1509" s="6">
        <v>0</v>
      </c>
      <c r="BF1509" s="6">
        <v>41975</v>
      </c>
      <c r="BG1509" s="6">
        <v>0</v>
      </c>
      <c r="BH1509" s="6">
        <v>0</v>
      </c>
      <c r="BI1509" s="6">
        <v>0</v>
      </c>
      <c r="BJ1509" s="6">
        <v>0</v>
      </c>
      <c r="BK1509" s="4">
        <v>0</v>
      </c>
      <c r="BL1509" s="4">
        <v>0</v>
      </c>
      <c r="BM1509" s="20">
        <v>7</v>
      </c>
      <c r="BN1509" s="20">
        <v>0</v>
      </c>
      <c r="BO1509" s="20">
        <v>0</v>
      </c>
      <c r="BP1509" s="20">
        <v>0</v>
      </c>
      <c r="BQ1509" s="20">
        <v>0</v>
      </c>
      <c r="BR1509" s="20">
        <v>0</v>
      </c>
      <c r="BS1509" s="20">
        <v>7</v>
      </c>
      <c r="BT1509" s="20">
        <v>47727.272727272721</v>
      </c>
      <c r="BU1509" s="20">
        <v>315000</v>
      </c>
      <c r="BV1509" s="20">
        <v>6</v>
      </c>
    </row>
    <row r="1510" spans="1:74">
      <c r="A1510" s="10">
        <f t="shared" si="94"/>
        <v>0</v>
      </c>
      <c r="B1510" s="10">
        <f t="shared" si="95"/>
        <v>0</v>
      </c>
      <c r="C1510" s="12">
        <f t="shared" si="96"/>
        <v>11</v>
      </c>
      <c r="D1510" s="12">
        <f t="shared" si="97"/>
        <v>12</v>
      </c>
      <c r="E1510" s="20" t="s">
        <v>114</v>
      </c>
      <c r="F1510" s="20" t="s">
        <v>5455</v>
      </c>
      <c r="G1510" s="20" t="s">
        <v>5779</v>
      </c>
      <c r="H1510" s="20" t="s">
        <v>5911</v>
      </c>
      <c r="I1510" s="20">
        <v>21</v>
      </c>
      <c r="J1510" s="20" t="s">
        <v>5912</v>
      </c>
      <c r="K1510" s="20" t="s">
        <v>5919</v>
      </c>
      <c r="L1510" s="20" t="s">
        <v>5914</v>
      </c>
      <c r="M1510" s="20" t="s">
        <v>5455</v>
      </c>
      <c r="N1510" s="20" t="s">
        <v>5915</v>
      </c>
      <c r="P1510" s="20" t="s">
        <v>5455</v>
      </c>
      <c r="Q1510" s="20" t="s">
        <v>5462</v>
      </c>
      <c r="R1510" s="20" t="s">
        <v>84</v>
      </c>
      <c r="S1510" s="20" t="s">
        <v>123</v>
      </c>
      <c r="T1510" s="20" t="s">
        <v>198</v>
      </c>
      <c r="U1510" s="20" t="s">
        <v>199</v>
      </c>
      <c r="V1510" s="20" t="s">
        <v>5502</v>
      </c>
      <c r="W1510" s="20">
        <v>1</v>
      </c>
      <c r="X1510" s="20" t="s">
        <v>5513</v>
      </c>
      <c r="Y1510" s="20" t="s">
        <v>5916</v>
      </c>
      <c r="Z1510" s="20">
        <v>0.5</v>
      </c>
      <c r="AA1510" s="20" t="s">
        <v>5920</v>
      </c>
      <c r="AB1510" s="20" t="s">
        <v>248</v>
      </c>
      <c r="AC1510" s="20" t="s">
        <v>249</v>
      </c>
      <c r="AD1510" s="20" t="s">
        <v>5918</v>
      </c>
      <c r="AE1510" s="20" t="s">
        <v>91</v>
      </c>
      <c r="AF1510" s="20">
        <v>0.5</v>
      </c>
      <c r="AG1510" s="20">
        <v>0</v>
      </c>
      <c r="AH1510" s="20">
        <v>1</v>
      </c>
      <c r="AI1510" s="4" t="s">
        <v>5921</v>
      </c>
      <c r="AJ1510" s="20">
        <v>7</v>
      </c>
      <c r="AK1510" s="4" t="s">
        <v>179</v>
      </c>
      <c r="AL1510" s="4">
        <v>47</v>
      </c>
      <c r="AM1510" s="4">
        <v>47</v>
      </c>
      <c r="AN1510" s="4" t="s">
        <v>95</v>
      </c>
      <c r="AO1510" s="4" t="s">
        <v>96</v>
      </c>
      <c r="AP1510" s="4">
        <v>1</v>
      </c>
      <c r="AQ1510" s="20">
        <v>45000</v>
      </c>
      <c r="AR1510" s="4">
        <v>41971</v>
      </c>
      <c r="AS1510" s="20">
        <v>6818.1818181818171</v>
      </c>
      <c r="AT1510" s="20">
        <v>0</v>
      </c>
      <c r="AU1510" s="20">
        <v>-6818.1818181818171</v>
      </c>
      <c r="AV1510" s="20">
        <v>0</v>
      </c>
      <c r="AW1510" s="20">
        <v>0</v>
      </c>
      <c r="AX1510" s="20" t="s">
        <v>91</v>
      </c>
      <c r="AY1510" s="20">
        <v>0</v>
      </c>
      <c r="AZ1510" s="20">
        <v>0</v>
      </c>
      <c r="BA1510" s="20">
        <v>0</v>
      </c>
      <c r="BB1510" s="6">
        <v>41971</v>
      </c>
      <c r="BC1510" s="6">
        <v>0</v>
      </c>
      <c r="BD1510" s="6">
        <v>41976</v>
      </c>
      <c r="BE1510" s="6">
        <v>0</v>
      </c>
      <c r="BF1510" s="6">
        <v>41975</v>
      </c>
      <c r="BG1510" s="6">
        <v>0</v>
      </c>
      <c r="BH1510" s="6">
        <v>0</v>
      </c>
      <c r="BI1510" s="6">
        <v>0</v>
      </c>
      <c r="BJ1510" s="6">
        <v>0</v>
      </c>
      <c r="BK1510" s="4">
        <v>0</v>
      </c>
      <c r="BL1510" s="4">
        <v>0</v>
      </c>
      <c r="BM1510" s="20">
        <v>7</v>
      </c>
      <c r="BN1510" s="20">
        <v>0</v>
      </c>
      <c r="BO1510" s="20">
        <v>0</v>
      </c>
      <c r="BP1510" s="20">
        <v>0</v>
      </c>
      <c r="BQ1510" s="20">
        <v>0</v>
      </c>
      <c r="BR1510" s="20">
        <v>0</v>
      </c>
      <c r="BS1510" s="20">
        <v>7</v>
      </c>
      <c r="BT1510" s="20">
        <v>47727.272727272721</v>
      </c>
      <c r="BU1510" s="20">
        <v>315000</v>
      </c>
      <c r="BV1510" s="20">
        <v>6</v>
      </c>
    </row>
    <row r="1511" spans="1:74">
      <c r="A1511" s="10">
        <f t="shared" si="94"/>
        <v>0</v>
      </c>
      <c r="B1511" s="10">
        <f t="shared" si="95"/>
        <v>0</v>
      </c>
      <c r="C1511" s="12">
        <f t="shared" si="96"/>
        <v>11</v>
      </c>
      <c r="D1511" s="12">
        <f t="shared" si="97"/>
        <v>12</v>
      </c>
      <c r="E1511" s="20" t="s">
        <v>114</v>
      </c>
      <c r="F1511" s="20" t="s">
        <v>5455</v>
      </c>
      <c r="G1511" s="20" t="s">
        <v>5779</v>
      </c>
      <c r="H1511" s="20" t="s">
        <v>5922</v>
      </c>
      <c r="I1511" s="20">
        <v>22</v>
      </c>
      <c r="J1511" s="20" t="s">
        <v>5923</v>
      </c>
      <c r="K1511" s="20" t="s">
        <v>5924</v>
      </c>
      <c r="L1511" s="20" t="s">
        <v>5914</v>
      </c>
      <c r="M1511" s="20" t="s">
        <v>5455</v>
      </c>
      <c r="N1511" s="20" t="s">
        <v>5915</v>
      </c>
      <c r="P1511" s="20" t="s">
        <v>5455</v>
      </c>
      <c r="Q1511" s="20" t="s">
        <v>5462</v>
      </c>
      <c r="R1511" s="20" t="s">
        <v>84</v>
      </c>
      <c r="S1511" s="20" t="s">
        <v>123</v>
      </c>
      <c r="T1511" s="20" t="s">
        <v>198</v>
      </c>
      <c r="U1511" s="20" t="s">
        <v>199</v>
      </c>
      <c r="V1511" s="20" t="s">
        <v>5502</v>
      </c>
      <c r="W1511" s="20">
        <v>1</v>
      </c>
      <c r="X1511" s="20" t="s">
        <v>5513</v>
      </c>
      <c r="Y1511" s="20" t="s">
        <v>5916</v>
      </c>
      <c r="Z1511" s="20">
        <v>1</v>
      </c>
      <c r="AA1511" s="20" t="s">
        <v>5925</v>
      </c>
      <c r="AB1511" s="20" t="s">
        <v>221</v>
      </c>
      <c r="AC1511" s="20" t="s">
        <v>222</v>
      </c>
      <c r="AD1511" s="20" t="s">
        <v>5926</v>
      </c>
      <c r="AE1511" s="20" t="s">
        <v>91</v>
      </c>
      <c r="AF1511" s="20">
        <v>1</v>
      </c>
      <c r="AG1511" s="20">
        <v>0</v>
      </c>
      <c r="AH1511" s="20">
        <v>1</v>
      </c>
      <c r="AI1511" s="4" t="s">
        <v>251</v>
      </c>
      <c r="AJ1511" s="20">
        <v>5</v>
      </c>
      <c r="AK1511" s="4" t="s">
        <v>179</v>
      </c>
      <c r="AL1511" s="4">
        <v>47</v>
      </c>
      <c r="AM1511" s="4">
        <v>47</v>
      </c>
      <c r="AN1511" s="4" t="s">
        <v>95</v>
      </c>
      <c r="AO1511" s="4" t="s">
        <v>96</v>
      </c>
      <c r="AP1511" s="4">
        <v>1</v>
      </c>
      <c r="AQ1511" s="20">
        <v>45000</v>
      </c>
      <c r="AR1511" s="4">
        <v>41971</v>
      </c>
      <c r="AS1511" s="20">
        <v>6818.1818181818171</v>
      </c>
      <c r="AT1511" s="20">
        <v>0</v>
      </c>
      <c r="AU1511" s="20">
        <v>-6818.1818181818171</v>
      </c>
      <c r="AV1511" s="20">
        <v>0</v>
      </c>
      <c r="AW1511" s="20">
        <v>0</v>
      </c>
      <c r="AX1511" s="20" t="s">
        <v>91</v>
      </c>
      <c r="AY1511" s="20">
        <v>0</v>
      </c>
      <c r="AZ1511" s="20">
        <v>0</v>
      </c>
      <c r="BA1511" s="20">
        <v>0</v>
      </c>
      <c r="BB1511" s="6">
        <v>41971</v>
      </c>
      <c r="BC1511" s="6">
        <v>0</v>
      </c>
      <c r="BD1511" s="6">
        <v>41976</v>
      </c>
      <c r="BE1511" s="6">
        <v>0</v>
      </c>
      <c r="BF1511" s="6">
        <v>41975</v>
      </c>
      <c r="BG1511" s="6">
        <v>0</v>
      </c>
      <c r="BH1511" s="6">
        <v>0</v>
      </c>
      <c r="BI1511" s="6">
        <v>0</v>
      </c>
      <c r="BJ1511" s="6">
        <v>0</v>
      </c>
      <c r="BK1511" s="4">
        <v>0</v>
      </c>
      <c r="BL1511" s="4">
        <v>0</v>
      </c>
      <c r="BM1511" s="20">
        <v>5</v>
      </c>
      <c r="BN1511" s="20">
        <v>0</v>
      </c>
      <c r="BO1511" s="20">
        <v>0</v>
      </c>
      <c r="BP1511" s="20">
        <v>0</v>
      </c>
      <c r="BQ1511" s="20">
        <v>0</v>
      </c>
      <c r="BR1511" s="20">
        <v>0</v>
      </c>
      <c r="BS1511" s="20">
        <v>5</v>
      </c>
      <c r="BT1511" s="20">
        <v>34090.909090909088</v>
      </c>
      <c r="BU1511" s="20">
        <v>225000</v>
      </c>
      <c r="BV1511" s="20">
        <v>6</v>
      </c>
    </row>
    <row r="1512" spans="1:74">
      <c r="A1512" s="10">
        <f t="shared" si="94"/>
        <v>0</v>
      </c>
      <c r="B1512" s="10">
        <f t="shared" si="95"/>
        <v>0</v>
      </c>
      <c r="C1512" s="12">
        <f t="shared" si="96"/>
        <v>11</v>
      </c>
      <c r="D1512" s="12">
        <f t="shared" si="97"/>
        <v>12</v>
      </c>
      <c r="E1512" s="20" t="s">
        <v>114</v>
      </c>
      <c r="F1512" s="20" t="s">
        <v>5455</v>
      </c>
      <c r="G1512" s="20" t="s">
        <v>5779</v>
      </c>
      <c r="H1512" s="20" t="s">
        <v>5927</v>
      </c>
      <c r="I1512" s="20">
        <v>23</v>
      </c>
      <c r="J1512" s="20" t="s">
        <v>5928</v>
      </c>
      <c r="K1512" s="20" t="s">
        <v>5929</v>
      </c>
      <c r="L1512" s="20" t="s">
        <v>5930</v>
      </c>
      <c r="M1512" s="20" t="s">
        <v>5455</v>
      </c>
      <c r="N1512" s="20" t="s">
        <v>5915</v>
      </c>
      <c r="P1512" s="20" t="s">
        <v>5455</v>
      </c>
      <c r="Q1512" s="20" t="s">
        <v>5462</v>
      </c>
      <c r="R1512" s="20" t="s">
        <v>84</v>
      </c>
      <c r="S1512" s="20" t="s">
        <v>123</v>
      </c>
      <c r="T1512" s="20" t="s">
        <v>198</v>
      </c>
      <c r="U1512" s="20" t="s">
        <v>199</v>
      </c>
      <c r="V1512" s="20" t="s">
        <v>5502</v>
      </c>
      <c r="W1512" s="20">
        <v>2</v>
      </c>
      <c r="X1512" s="20" t="s">
        <v>5931</v>
      </c>
      <c r="Y1512" s="20" t="s">
        <v>5932</v>
      </c>
      <c r="Z1512" s="20">
        <v>1</v>
      </c>
      <c r="AA1512" s="20" t="s">
        <v>5933</v>
      </c>
      <c r="AB1512" s="20" t="s">
        <v>248</v>
      </c>
      <c r="AC1512" s="20" t="s">
        <v>249</v>
      </c>
      <c r="AD1512" s="20" t="s">
        <v>5934</v>
      </c>
      <c r="AE1512" s="20" t="s">
        <v>91</v>
      </c>
      <c r="AF1512" s="20">
        <v>1</v>
      </c>
      <c r="AG1512" s="20">
        <v>0</v>
      </c>
      <c r="AH1512" s="20">
        <v>1</v>
      </c>
      <c r="AI1512" s="4" t="s">
        <v>251</v>
      </c>
      <c r="AJ1512" s="20">
        <v>7</v>
      </c>
      <c r="AK1512" s="4" t="s">
        <v>179</v>
      </c>
      <c r="AL1512" s="4">
        <v>47</v>
      </c>
      <c r="AM1512" s="4">
        <v>47</v>
      </c>
      <c r="AN1512" s="4" t="s">
        <v>95</v>
      </c>
      <c r="AO1512" s="4" t="s">
        <v>96</v>
      </c>
      <c r="AP1512" s="4">
        <v>1</v>
      </c>
      <c r="AQ1512" s="20">
        <v>29000</v>
      </c>
      <c r="AR1512" s="4">
        <v>41971</v>
      </c>
      <c r="AS1512" s="20">
        <v>4393.9393939393931</v>
      </c>
      <c r="AT1512" s="20">
        <v>0</v>
      </c>
      <c r="AU1512" s="20">
        <v>-4393.9393939393931</v>
      </c>
      <c r="AV1512" s="20">
        <v>0</v>
      </c>
      <c r="AW1512" s="20">
        <v>0</v>
      </c>
      <c r="AX1512" s="20" t="s">
        <v>91</v>
      </c>
      <c r="AY1512" s="20">
        <v>0</v>
      </c>
      <c r="AZ1512" s="20">
        <v>0</v>
      </c>
      <c r="BA1512" s="20">
        <v>0</v>
      </c>
      <c r="BB1512" s="6">
        <v>41971</v>
      </c>
      <c r="BC1512" s="6">
        <v>0</v>
      </c>
      <c r="BD1512" s="6">
        <v>41976</v>
      </c>
      <c r="BE1512" s="6">
        <v>0</v>
      </c>
      <c r="BF1512" s="6">
        <v>41975</v>
      </c>
      <c r="BG1512" s="6">
        <v>0</v>
      </c>
      <c r="BH1512" s="6">
        <v>0</v>
      </c>
      <c r="BI1512" s="6">
        <v>0</v>
      </c>
      <c r="BJ1512" s="6">
        <v>0</v>
      </c>
      <c r="BK1512" s="4">
        <v>0</v>
      </c>
      <c r="BL1512" s="4">
        <v>0</v>
      </c>
      <c r="BM1512" s="20">
        <v>7</v>
      </c>
      <c r="BN1512" s="20">
        <v>0</v>
      </c>
      <c r="BO1512" s="20">
        <v>0</v>
      </c>
      <c r="BP1512" s="20">
        <v>0</v>
      </c>
      <c r="BQ1512" s="20">
        <v>0</v>
      </c>
      <c r="BR1512" s="20">
        <v>0</v>
      </c>
      <c r="BS1512" s="20">
        <v>7</v>
      </c>
      <c r="BT1512" s="20">
        <v>30757.575757575753</v>
      </c>
      <c r="BU1512" s="20">
        <v>203000</v>
      </c>
      <c r="BV1512" s="20">
        <v>6.0000000000000009</v>
      </c>
    </row>
    <row r="1513" spans="1:74">
      <c r="A1513" s="10">
        <f t="shared" si="94"/>
        <v>0</v>
      </c>
      <c r="B1513" s="10">
        <f t="shared" si="95"/>
        <v>0</v>
      </c>
      <c r="C1513" s="12">
        <f t="shared" si="96"/>
        <v>11</v>
      </c>
      <c r="D1513" s="12">
        <f t="shared" si="97"/>
        <v>12</v>
      </c>
      <c r="E1513" s="20" t="s">
        <v>114</v>
      </c>
      <c r="F1513" s="20" t="s">
        <v>5455</v>
      </c>
      <c r="G1513" s="20" t="s">
        <v>5779</v>
      </c>
      <c r="H1513" s="20" t="s">
        <v>5935</v>
      </c>
      <c r="I1513" s="20">
        <v>24</v>
      </c>
      <c r="J1513" s="20" t="s">
        <v>5936</v>
      </c>
      <c r="K1513" s="20" t="s">
        <v>5937</v>
      </c>
      <c r="L1513" s="20" t="s">
        <v>5938</v>
      </c>
      <c r="M1513" s="20" t="s">
        <v>5455</v>
      </c>
      <c r="N1513" s="20" t="s">
        <v>5939</v>
      </c>
      <c r="P1513" s="20" t="s">
        <v>5455</v>
      </c>
      <c r="Q1513" s="20" t="s">
        <v>5462</v>
      </c>
      <c r="R1513" s="20" t="s">
        <v>84</v>
      </c>
      <c r="S1513" s="20">
        <v>5</v>
      </c>
      <c r="T1513" s="20" t="s">
        <v>480</v>
      </c>
      <c r="U1513" s="20" t="s">
        <v>481</v>
      </c>
      <c r="V1513" s="20" t="s">
        <v>5502</v>
      </c>
      <c r="W1513" s="20">
        <v>29</v>
      </c>
      <c r="X1513" s="20" t="s">
        <v>5940</v>
      </c>
      <c r="Y1513" s="20" t="s">
        <v>5941</v>
      </c>
      <c r="Z1513" s="20">
        <v>1</v>
      </c>
      <c r="AA1513" s="20" t="s">
        <v>5942</v>
      </c>
      <c r="AB1513" s="20" t="s">
        <v>248</v>
      </c>
      <c r="AC1513" s="20" t="s">
        <v>249</v>
      </c>
      <c r="AD1513" s="20" t="s">
        <v>5943</v>
      </c>
      <c r="AE1513" s="20" t="s">
        <v>91</v>
      </c>
      <c r="AF1513" s="20">
        <v>1</v>
      </c>
      <c r="AG1513" s="20">
        <v>0</v>
      </c>
      <c r="AH1513" s="20">
        <v>1</v>
      </c>
      <c r="AI1513" s="4" t="s">
        <v>251</v>
      </c>
      <c r="AJ1513" s="20">
        <v>10</v>
      </c>
      <c r="AK1513" s="4" t="s">
        <v>179</v>
      </c>
      <c r="AL1513" s="4">
        <v>47</v>
      </c>
      <c r="AM1513" s="4">
        <v>47</v>
      </c>
      <c r="AN1513" s="4" t="s">
        <v>95</v>
      </c>
      <c r="AO1513" s="4" t="s">
        <v>96</v>
      </c>
      <c r="AP1513" s="4">
        <v>1</v>
      </c>
      <c r="AQ1513" s="20">
        <v>65000</v>
      </c>
      <c r="AR1513" s="4">
        <v>41971</v>
      </c>
      <c r="AS1513" s="20">
        <v>9848.484848484848</v>
      </c>
      <c r="AT1513" s="20">
        <v>0</v>
      </c>
      <c r="AU1513" s="20">
        <v>-9848.484848484848</v>
      </c>
      <c r="AV1513" s="20">
        <v>0</v>
      </c>
      <c r="AW1513" s="20">
        <v>0</v>
      </c>
      <c r="AX1513" s="20" t="s">
        <v>91</v>
      </c>
      <c r="AY1513" s="20">
        <v>0</v>
      </c>
      <c r="AZ1513" s="20">
        <v>0</v>
      </c>
      <c r="BA1513" s="20">
        <v>0</v>
      </c>
      <c r="BB1513" s="6">
        <v>41971</v>
      </c>
      <c r="BC1513" s="6">
        <v>0</v>
      </c>
      <c r="BD1513" s="6">
        <v>41976</v>
      </c>
      <c r="BE1513" s="6">
        <v>0</v>
      </c>
      <c r="BF1513" s="6">
        <v>41975</v>
      </c>
      <c r="BG1513" s="6">
        <v>0</v>
      </c>
      <c r="BH1513" s="6">
        <v>0</v>
      </c>
      <c r="BI1513" s="6">
        <v>0</v>
      </c>
      <c r="BJ1513" s="6">
        <v>0</v>
      </c>
      <c r="BK1513" s="4">
        <v>0</v>
      </c>
      <c r="BL1513" s="4">
        <v>0</v>
      </c>
      <c r="BM1513" s="20">
        <v>10</v>
      </c>
      <c r="BN1513" s="20">
        <v>0</v>
      </c>
      <c r="BO1513" s="20">
        <v>0</v>
      </c>
      <c r="BP1513" s="20">
        <v>0</v>
      </c>
      <c r="BQ1513" s="20">
        <v>0</v>
      </c>
      <c r="BR1513" s="20">
        <v>0</v>
      </c>
      <c r="BS1513" s="20">
        <v>10</v>
      </c>
      <c r="BT1513" s="20">
        <v>98484.84848484848</v>
      </c>
      <c r="BU1513" s="20">
        <v>650000</v>
      </c>
      <c r="BV1513" s="20">
        <v>5.9999999999999991</v>
      </c>
    </row>
    <row r="1514" spans="1:74">
      <c r="A1514" s="10">
        <f t="shared" si="94"/>
        <v>0</v>
      </c>
      <c r="B1514" s="10">
        <f t="shared" si="95"/>
        <v>0</v>
      </c>
      <c r="C1514" s="12">
        <f t="shared" si="96"/>
        <v>11</v>
      </c>
      <c r="D1514" s="12">
        <f t="shared" si="97"/>
        <v>12</v>
      </c>
      <c r="E1514" s="20" t="s">
        <v>114</v>
      </c>
      <c r="F1514" s="20" t="s">
        <v>5455</v>
      </c>
      <c r="G1514" s="20" t="s">
        <v>5779</v>
      </c>
      <c r="H1514" s="20" t="s">
        <v>5944</v>
      </c>
      <c r="I1514" s="20">
        <v>25</v>
      </c>
      <c r="J1514" s="20" t="s">
        <v>5945</v>
      </c>
      <c r="K1514" s="20" t="s">
        <v>5946</v>
      </c>
      <c r="L1514" s="20" t="s">
        <v>5938</v>
      </c>
      <c r="M1514" s="20" t="s">
        <v>5455</v>
      </c>
      <c r="N1514" s="20" t="s">
        <v>5939</v>
      </c>
      <c r="P1514" s="20" t="s">
        <v>5455</v>
      </c>
      <c r="Q1514" s="20" t="s">
        <v>5462</v>
      </c>
      <c r="R1514" s="20" t="s">
        <v>84</v>
      </c>
      <c r="S1514" s="20">
        <v>5</v>
      </c>
      <c r="T1514" s="20" t="s">
        <v>480</v>
      </c>
      <c r="U1514" s="20" t="s">
        <v>481</v>
      </c>
      <c r="V1514" s="20" t="s">
        <v>5502</v>
      </c>
      <c r="W1514" s="20">
        <v>29</v>
      </c>
      <c r="X1514" s="20" t="s">
        <v>5940</v>
      </c>
      <c r="Y1514" s="20" t="s">
        <v>5941</v>
      </c>
      <c r="Z1514" s="20">
        <v>1</v>
      </c>
      <c r="AA1514" s="20" t="s">
        <v>5947</v>
      </c>
      <c r="AB1514" s="20" t="s">
        <v>89</v>
      </c>
      <c r="AC1514" s="20" t="s">
        <v>90</v>
      </c>
      <c r="AD1514" s="20" t="s">
        <v>5948</v>
      </c>
      <c r="AE1514" s="20" t="s">
        <v>91</v>
      </c>
      <c r="AF1514" s="20">
        <v>1</v>
      </c>
      <c r="AG1514" s="20">
        <v>0</v>
      </c>
      <c r="AH1514" s="20">
        <v>1</v>
      </c>
      <c r="AI1514" s="4" t="s">
        <v>251</v>
      </c>
      <c r="AJ1514" s="20">
        <v>10</v>
      </c>
      <c r="AK1514" s="4" t="s">
        <v>179</v>
      </c>
      <c r="AL1514" s="4">
        <v>47</v>
      </c>
      <c r="AM1514" s="4">
        <v>47</v>
      </c>
      <c r="AN1514" s="4" t="s">
        <v>95</v>
      </c>
      <c r="AO1514" s="4" t="s">
        <v>96</v>
      </c>
      <c r="AP1514" s="4">
        <v>1</v>
      </c>
      <c r="AQ1514" s="20">
        <v>65000</v>
      </c>
      <c r="AR1514" s="4">
        <v>41971</v>
      </c>
      <c r="AS1514" s="20">
        <v>9848.484848484848</v>
      </c>
      <c r="AT1514" s="20">
        <v>0</v>
      </c>
      <c r="AU1514" s="20">
        <v>-9848.484848484848</v>
      </c>
      <c r="AV1514" s="20">
        <v>0</v>
      </c>
      <c r="AW1514" s="20">
        <v>0</v>
      </c>
      <c r="AX1514" s="20" t="s">
        <v>91</v>
      </c>
      <c r="AY1514" s="20">
        <v>0</v>
      </c>
      <c r="AZ1514" s="20">
        <v>0</v>
      </c>
      <c r="BA1514" s="20">
        <v>0</v>
      </c>
      <c r="BB1514" s="6">
        <v>41971</v>
      </c>
      <c r="BC1514" s="6">
        <v>0</v>
      </c>
      <c r="BD1514" s="6">
        <v>41976</v>
      </c>
      <c r="BE1514" s="6">
        <v>0</v>
      </c>
      <c r="BF1514" s="6">
        <v>41975</v>
      </c>
      <c r="BG1514" s="6">
        <v>0</v>
      </c>
      <c r="BH1514" s="6">
        <v>0</v>
      </c>
      <c r="BI1514" s="6">
        <v>0</v>
      </c>
      <c r="BJ1514" s="6">
        <v>0</v>
      </c>
      <c r="BK1514" s="4">
        <v>0</v>
      </c>
      <c r="BL1514" s="4">
        <v>0</v>
      </c>
      <c r="BM1514" s="20">
        <v>10</v>
      </c>
      <c r="BN1514" s="20">
        <v>0</v>
      </c>
      <c r="BO1514" s="20">
        <v>0</v>
      </c>
      <c r="BP1514" s="20">
        <v>0</v>
      </c>
      <c r="BQ1514" s="20">
        <v>0</v>
      </c>
      <c r="BR1514" s="20">
        <v>0</v>
      </c>
      <c r="BS1514" s="20">
        <v>10</v>
      </c>
      <c r="BT1514" s="20">
        <v>98484.84848484848</v>
      </c>
      <c r="BU1514" s="20">
        <v>650000</v>
      </c>
      <c r="BV1514" s="20">
        <v>5.9999999999999991</v>
      </c>
    </row>
    <row r="1515" spans="1:74">
      <c r="A1515" s="10">
        <f t="shared" si="94"/>
        <v>0</v>
      </c>
      <c r="B1515" s="10">
        <f t="shared" si="95"/>
        <v>0</v>
      </c>
      <c r="C1515" s="12" t="str">
        <f t="shared" si="96"/>
        <v/>
      </c>
      <c r="D1515" s="12" t="str">
        <f t="shared" si="97"/>
        <v/>
      </c>
      <c r="E1515" s="20" t="s">
        <v>91</v>
      </c>
      <c r="F1515" s="20" t="s">
        <v>91</v>
      </c>
      <c r="G1515" s="20" t="s">
        <v>91</v>
      </c>
      <c r="H1515" s="20" t="s">
        <v>91</v>
      </c>
      <c r="I1515" s="20">
        <v>0</v>
      </c>
      <c r="J1515" s="20" t="s">
        <v>103</v>
      </c>
      <c r="K1515" s="20" t="s">
        <v>104</v>
      </c>
      <c r="L1515" s="20">
        <v>0</v>
      </c>
      <c r="M1515" s="20" t="s">
        <v>105</v>
      </c>
      <c r="N1515" s="20" t="s">
        <v>91</v>
      </c>
      <c r="O1515" s="20" t="s">
        <v>5949</v>
      </c>
      <c r="Q1515" s="20" t="s">
        <v>91</v>
      </c>
      <c r="R1515" s="20" t="s">
        <v>91</v>
      </c>
      <c r="S1515" s="20" t="s">
        <v>91</v>
      </c>
      <c r="U1515" s="20" t="s">
        <v>91</v>
      </c>
      <c r="X1515" s="20" t="s">
        <v>91</v>
      </c>
      <c r="Y1515" s="20" t="s">
        <v>91</v>
      </c>
      <c r="Z1515" s="20">
        <v>25</v>
      </c>
      <c r="AB1515" s="20" t="s">
        <v>91</v>
      </c>
      <c r="AD1515" s="20" t="s">
        <v>91</v>
      </c>
      <c r="AE1515" s="20" t="s">
        <v>91</v>
      </c>
      <c r="AF1515" s="20">
        <v>25</v>
      </c>
      <c r="AG1515" s="20">
        <v>0</v>
      </c>
      <c r="AH1515" s="20">
        <v>1</v>
      </c>
      <c r="AM1515" s="4" t="s">
        <v>91</v>
      </c>
      <c r="AN1515" s="4" t="s">
        <v>95</v>
      </c>
      <c r="AP1515" s="4" t="s">
        <v>91</v>
      </c>
      <c r="AQ1515" s="20">
        <v>0</v>
      </c>
      <c r="AR1515" s="4">
        <v>0</v>
      </c>
      <c r="AS1515" s="20">
        <v>0</v>
      </c>
      <c r="AT1515" s="20">
        <v>0</v>
      </c>
      <c r="AU1515" s="20">
        <v>0</v>
      </c>
      <c r="AV1515" s="20">
        <v>0</v>
      </c>
      <c r="AW1515" s="20">
        <v>0</v>
      </c>
      <c r="AX1515" s="20" t="s">
        <v>91</v>
      </c>
      <c r="AY1515" s="20">
        <v>0</v>
      </c>
      <c r="AZ1515" s="20">
        <v>0</v>
      </c>
      <c r="BA1515" s="20">
        <v>0</v>
      </c>
      <c r="BB1515" s="6">
        <v>0</v>
      </c>
      <c r="BC1515" s="6">
        <v>0</v>
      </c>
      <c r="BD1515" s="6">
        <v>0</v>
      </c>
      <c r="BE1515" s="6">
        <v>0</v>
      </c>
      <c r="BF1515" s="6">
        <v>0</v>
      </c>
      <c r="BG1515" s="6">
        <v>0</v>
      </c>
      <c r="BH1515" s="6">
        <v>0</v>
      </c>
      <c r="BI1515" s="6">
        <v>0</v>
      </c>
      <c r="BJ1515" s="6">
        <v>0</v>
      </c>
      <c r="BK1515" s="4">
        <v>0</v>
      </c>
      <c r="BL1515" s="4">
        <v>0</v>
      </c>
      <c r="BM1515" s="20">
        <v>246</v>
      </c>
      <c r="BN1515" s="20">
        <v>0</v>
      </c>
      <c r="BO1515" s="20">
        <v>0</v>
      </c>
      <c r="BP1515" s="20">
        <v>0</v>
      </c>
      <c r="BQ1515" s="20">
        <v>0</v>
      </c>
      <c r="BR1515" s="20">
        <v>0</v>
      </c>
      <c r="BS1515" s="20">
        <v>246</v>
      </c>
      <c r="BT1515" s="20">
        <v>1684545.4545454539</v>
      </c>
      <c r="BU1515" s="20">
        <v>11118000</v>
      </c>
      <c r="BV1515" s="20">
        <v>6.0000000000000018</v>
      </c>
    </row>
    <row r="1516" spans="1:74">
      <c r="A1516" s="10">
        <f t="shared" si="94"/>
        <v>0</v>
      </c>
      <c r="B1516" s="10">
        <f t="shared" si="95"/>
        <v>0</v>
      </c>
      <c r="C1516" s="12">
        <f t="shared" si="96"/>
        <v>11</v>
      </c>
      <c r="D1516" s="12">
        <f t="shared" si="97"/>
        <v>12</v>
      </c>
      <c r="E1516" s="20" t="s">
        <v>114</v>
      </c>
      <c r="F1516" s="20" t="s">
        <v>5455</v>
      </c>
      <c r="G1516" s="20" t="s">
        <v>5950</v>
      </c>
      <c r="H1516" s="20" t="s">
        <v>5951</v>
      </c>
      <c r="I1516" s="20">
        <v>1</v>
      </c>
      <c r="J1516" s="20" t="s">
        <v>5952</v>
      </c>
      <c r="K1516" s="20" t="s">
        <v>5953</v>
      </c>
      <c r="L1516" s="20" t="s">
        <v>5954</v>
      </c>
      <c r="M1516" s="20" t="s">
        <v>5455</v>
      </c>
      <c r="N1516" s="20" t="s">
        <v>5825</v>
      </c>
      <c r="P1516" s="20" t="s">
        <v>5455</v>
      </c>
      <c r="Q1516" s="20" t="s">
        <v>5462</v>
      </c>
      <c r="R1516" s="20" t="s">
        <v>84</v>
      </c>
      <c r="S1516" s="20">
        <v>5</v>
      </c>
      <c r="T1516" s="20" t="s">
        <v>244</v>
      </c>
      <c r="U1516" s="20" t="s">
        <v>245</v>
      </c>
      <c r="V1516" s="20" t="s">
        <v>5502</v>
      </c>
      <c r="W1516" s="20">
        <v>23</v>
      </c>
      <c r="X1516" s="20" t="s">
        <v>5955</v>
      </c>
      <c r="Y1516" s="20" t="s">
        <v>5956</v>
      </c>
      <c r="Z1516" s="20">
        <v>1</v>
      </c>
      <c r="AA1516" s="20" t="s">
        <v>5957</v>
      </c>
      <c r="AB1516" s="20" t="s">
        <v>248</v>
      </c>
      <c r="AC1516" s="20" t="s">
        <v>249</v>
      </c>
      <c r="AD1516" s="20" t="s">
        <v>5958</v>
      </c>
      <c r="AE1516" s="20" t="s">
        <v>91</v>
      </c>
      <c r="AF1516" s="20">
        <v>1</v>
      </c>
      <c r="AG1516" s="20">
        <v>0</v>
      </c>
      <c r="AH1516" s="20">
        <v>1</v>
      </c>
      <c r="AI1516" s="4" t="s">
        <v>251</v>
      </c>
      <c r="AJ1516" s="20">
        <v>20</v>
      </c>
      <c r="AK1516" s="4" t="s">
        <v>252</v>
      </c>
      <c r="AL1516" s="4">
        <v>10</v>
      </c>
      <c r="AM1516" s="4">
        <v>10</v>
      </c>
      <c r="AN1516" s="4" t="s">
        <v>95</v>
      </c>
      <c r="AO1516" s="4" t="s">
        <v>96</v>
      </c>
      <c r="AP1516" s="4">
        <v>1</v>
      </c>
      <c r="AQ1516" s="20">
        <v>39000</v>
      </c>
      <c r="AR1516" s="4">
        <v>41971</v>
      </c>
      <c r="AS1516" s="20">
        <v>5064.9350649350645</v>
      </c>
      <c r="AT1516" s="20">
        <v>0</v>
      </c>
      <c r="AU1516" s="20">
        <v>-5064.9350649350645</v>
      </c>
      <c r="AV1516" s="20">
        <v>0</v>
      </c>
      <c r="AW1516" s="20">
        <v>0</v>
      </c>
      <c r="AX1516" s="20" t="s">
        <v>91</v>
      </c>
      <c r="AY1516" s="20">
        <v>0</v>
      </c>
      <c r="AZ1516" s="20">
        <v>0</v>
      </c>
      <c r="BA1516" s="20">
        <v>0</v>
      </c>
      <c r="BB1516" s="6">
        <v>41971</v>
      </c>
      <c r="BC1516" s="6">
        <v>0</v>
      </c>
      <c r="BD1516" s="6">
        <v>41976</v>
      </c>
      <c r="BE1516" s="6">
        <v>0</v>
      </c>
      <c r="BF1516" s="6">
        <v>41975</v>
      </c>
      <c r="BG1516" s="6">
        <v>0</v>
      </c>
      <c r="BH1516" s="6">
        <v>0</v>
      </c>
      <c r="BI1516" s="6">
        <v>0</v>
      </c>
      <c r="BJ1516" s="6">
        <v>0</v>
      </c>
      <c r="BK1516" s="4">
        <v>0</v>
      </c>
      <c r="BL1516" s="4">
        <v>0</v>
      </c>
      <c r="BM1516" s="20">
        <v>20</v>
      </c>
      <c r="BN1516" s="20">
        <v>0</v>
      </c>
      <c r="BO1516" s="20">
        <v>0</v>
      </c>
      <c r="BP1516" s="20">
        <v>0</v>
      </c>
      <c r="BQ1516" s="20">
        <v>0</v>
      </c>
      <c r="BR1516" s="20">
        <v>0</v>
      </c>
      <c r="BS1516" s="20">
        <v>20</v>
      </c>
      <c r="BT1516" s="20">
        <v>101298.70129870129</v>
      </c>
      <c r="BU1516" s="20">
        <v>780000</v>
      </c>
      <c r="BV1516" s="20">
        <v>7.0000000000000009</v>
      </c>
    </row>
    <row r="1517" spans="1:74">
      <c r="A1517" s="10">
        <f t="shared" si="94"/>
        <v>0</v>
      </c>
      <c r="B1517" s="10">
        <f t="shared" si="95"/>
        <v>0</v>
      </c>
      <c r="C1517" s="12">
        <f t="shared" si="96"/>
        <v>11</v>
      </c>
      <c r="D1517" s="12">
        <f t="shared" si="97"/>
        <v>12</v>
      </c>
      <c r="E1517" s="20" t="s">
        <v>114</v>
      </c>
      <c r="F1517" s="20" t="s">
        <v>5455</v>
      </c>
      <c r="G1517" s="20" t="s">
        <v>5950</v>
      </c>
      <c r="H1517" s="20" t="s">
        <v>5959</v>
      </c>
      <c r="I1517" s="20">
        <v>2</v>
      </c>
      <c r="J1517" s="20" t="s">
        <v>5960</v>
      </c>
      <c r="K1517" s="20" t="s">
        <v>5961</v>
      </c>
      <c r="L1517" s="20" t="s">
        <v>5954</v>
      </c>
      <c r="M1517" s="20" t="s">
        <v>5455</v>
      </c>
      <c r="N1517" s="20" t="s">
        <v>5825</v>
      </c>
      <c r="P1517" s="20" t="s">
        <v>5455</v>
      </c>
      <c r="Q1517" s="20" t="s">
        <v>5462</v>
      </c>
      <c r="R1517" s="20" t="s">
        <v>84</v>
      </c>
      <c r="S1517" s="20">
        <v>5</v>
      </c>
      <c r="T1517" s="20" t="s">
        <v>244</v>
      </c>
      <c r="U1517" s="20" t="s">
        <v>245</v>
      </c>
      <c r="V1517" s="20" t="s">
        <v>5502</v>
      </c>
      <c r="W1517" s="20">
        <v>23</v>
      </c>
      <c r="X1517" s="20" t="s">
        <v>5955</v>
      </c>
      <c r="Y1517" s="20" t="s">
        <v>5956</v>
      </c>
      <c r="Z1517" s="20">
        <v>1</v>
      </c>
      <c r="AA1517" s="20" t="s">
        <v>5962</v>
      </c>
      <c r="AB1517" s="20" t="s">
        <v>89</v>
      </c>
      <c r="AC1517" s="20" t="s">
        <v>90</v>
      </c>
      <c r="AD1517" s="20" t="s">
        <v>5963</v>
      </c>
      <c r="AE1517" s="20" t="s">
        <v>91</v>
      </c>
      <c r="AF1517" s="20">
        <v>1</v>
      </c>
      <c r="AG1517" s="20">
        <v>0</v>
      </c>
      <c r="AH1517" s="20">
        <v>1</v>
      </c>
      <c r="AI1517" s="4" t="s">
        <v>251</v>
      </c>
      <c r="AJ1517" s="20">
        <v>20</v>
      </c>
      <c r="AK1517" s="4" t="s">
        <v>252</v>
      </c>
      <c r="AL1517" s="4">
        <v>10</v>
      </c>
      <c r="AM1517" s="4">
        <v>10</v>
      </c>
      <c r="AN1517" s="4" t="s">
        <v>95</v>
      </c>
      <c r="AO1517" s="4" t="s">
        <v>96</v>
      </c>
      <c r="AP1517" s="4">
        <v>1</v>
      </c>
      <c r="AQ1517" s="20">
        <v>39000</v>
      </c>
      <c r="AR1517" s="4">
        <v>41971</v>
      </c>
      <c r="AS1517" s="20">
        <v>5064.9350649350645</v>
      </c>
      <c r="AT1517" s="20">
        <v>0</v>
      </c>
      <c r="AU1517" s="20">
        <v>-5064.9350649350645</v>
      </c>
      <c r="AV1517" s="20">
        <v>0</v>
      </c>
      <c r="AW1517" s="20">
        <v>0</v>
      </c>
      <c r="AX1517" s="20" t="s">
        <v>91</v>
      </c>
      <c r="AY1517" s="20">
        <v>0</v>
      </c>
      <c r="AZ1517" s="20">
        <v>0</v>
      </c>
      <c r="BA1517" s="20">
        <v>0</v>
      </c>
      <c r="BB1517" s="6">
        <v>41971</v>
      </c>
      <c r="BC1517" s="6">
        <v>0</v>
      </c>
      <c r="BD1517" s="6">
        <v>41976</v>
      </c>
      <c r="BE1517" s="6">
        <v>0</v>
      </c>
      <c r="BF1517" s="6">
        <v>41975</v>
      </c>
      <c r="BG1517" s="6">
        <v>0</v>
      </c>
      <c r="BH1517" s="6">
        <v>0</v>
      </c>
      <c r="BI1517" s="6">
        <v>0</v>
      </c>
      <c r="BJ1517" s="6">
        <v>0</v>
      </c>
      <c r="BK1517" s="4">
        <v>0</v>
      </c>
      <c r="BL1517" s="4">
        <v>0</v>
      </c>
      <c r="BM1517" s="20">
        <v>20</v>
      </c>
      <c r="BN1517" s="20">
        <v>0</v>
      </c>
      <c r="BO1517" s="20">
        <v>0</v>
      </c>
      <c r="BP1517" s="20">
        <v>0</v>
      </c>
      <c r="BQ1517" s="20">
        <v>0</v>
      </c>
      <c r="BR1517" s="20">
        <v>0</v>
      </c>
      <c r="BS1517" s="20">
        <v>20</v>
      </c>
      <c r="BT1517" s="20">
        <v>101298.70129870129</v>
      </c>
      <c r="BU1517" s="20">
        <v>780000</v>
      </c>
      <c r="BV1517" s="20">
        <v>7.0000000000000009</v>
      </c>
    </row>
    <row r="1518" spans="1:74">
      <c r="A1518" s="10">
        <f t="shared" si="94"/>
        <v>0</v>
      </c>
      <c r="B1518" s="10">
        <f t="shared" si="95"/>
        <v>0</v>
      </c>
      <c r="C1518" s="12">
        <f t="shared" si="96"/>
        <v>11</v>
      </c>
      <c r="D1518" s="12">
        <f t="shared" si="97"/>
        <v>12</v>
      </c>
      <c r="E1518" s="20" t="s">
        <v>114</v>
      </c>
      <c r="F1518" s="20" t="s">
        <v>5455</v>
      </c>
      <c r="G1518" s="20" t="s">
        <v>5950</v>
      </c>
      <c r="H1518" s="20" t="s">
        <v>5964</v>
      </c>
      <c r="I1518" s="20">
        <v>3</v>
      </c>
      <c r="J1518" s="20" t="s">
        <v>5965</v>
      </c>
      <c r="K1518" s="20" t="s">
        <v>5966</v>
      </c>
      <c r="L1518" s="20" t="s">
        <v>5967</v>
      </c>
      <c r="M1518" s="20" t="s">
        <v>5455</v>
      </c>
      <c r="N1518" s="20" t="s">
        <v>5825</v>
      </c>
      <c r="P1518" s="20" t="s">
        <v>5455</v>
      </c>
      <c r="Q1518" s="20" t="s">
        <v>5462</v>
      </c>
      <c r="R1518" s="20" t="s">
        <v>84</v>
      </c>
      <c r="S1518" s="20">
        <v>5</v>
      </c>
      <c r="T1518" s="20" t="s">
        <v>244</v>
      </c>
      <c r="U1518" s="20" t="s">
        <v>245</v>
      </c>
      <c r="V1518" s="20" t="s">
        <v>5502</v>
      </c>
      <c r="W1518" s="20">
        <v>24</v>
      </c>
      <c r="X1518" s="20" t="s">
        <v>5968</v>
      </c>
      <c r="Y1518" s="20" t="s">
        <v>5969</v>
      </c>
      <c r="Z1518" s="20">
        <v>1</v>
      </c>
      <c r="AA1518" s="20" t="s">
        <v>5970</v>
      </c>
      <c r="AB1518" s="20" t="s">
        <v>109</v>
      </c>
      <c r="AC1518" s="20" t="s">
        <v>110</v>
      </c>
      <c r="AD1518" s="20" t="s">
        <v>5971</v>
      </c>
      <c r="AE1518" s="20" t="s">
        <v>91</v>
      </c>
      <c r="AF1518" s="20">
        <v>1</v>
      </c>
      <c r="AG1518" s="20">
        <v>0</v>
      </c>
      <c r="AH1518" s="20">
        <v>1</v>
      </c>
      <c r="AI1518" s="4" t="s">
        <v>251</v>
      </c>
      <c r="AJ1518" s="20">
        <v>15</v>
      </c>
      <c r="AK1518" s="4" t="s">
        <v>252</v>
      </c>
      <c r="AL1518" s="4">
        <v>10</v>
      </c>
      <c r="AM1518" s="4">
        <v>10</v>
      </c>
      <c r="AN1518" s="4" t="s">
        <v>95</v>
      </c>
      <c r="AO1518" s="4" t="s">
        <v>96</v>
      </c>
      <c r="AP1518" s="4">
        <v>1</v>
      </c>
      <c r="AQ1518" s="20">
        <v>39000</v>
      </c>
      <c r="AR1518" s="4">
        <v>41971</v>
      </c>
      <c r="AS1518" s="20">
        <v>5064.9350649350645</v>
      </c>
      <c r="AT1518" s="20">
        <v>0</v>
      </c>
      <c r="AU1518" s="20">
        <v>-5064.9350649350645</v>
      </c>
      <c r="AV1518" s="20">
        <v>0</v>
      </c>
      <c r="AW1518" s="20">
        <v>0</v>
      </c>
      <c r="AX1518" s="20" t="s">
        <v>91</v>
      </c>
      <c r="AY1518" s="20">
        <v>0</v>
      </c>
      <c r="AZ1518" s="20">
        <v>0</v>
      </c>
      <c r="BA1518" s="20">
        <v>0</v>
      </c>
      <c r="BB1518" s="6">
        <v>41971</v>
      </c>
      <c r="BC1518" s="6">
        <v>0</v>
      </c>
      <c r="BD1518" s="6">
        <v>41976</v>
      </c>
      <c r="BE1518" s="6">
        <v>0</v>
      </c>
      <c r="BF1518" s="6">
        <v>41975</v>
      </c>
      <c r="BG1518" s="6">
        <v>0</v>
      </c>
      <c r="BH1518" s="6">
        <v>0</v>
      </c>
      <c r="BI1518" s="6">
        <v>0</v>
      </c>
      <c r="BJ1518" s="6">
        <v>0</v>
      </c>
      <c r="BK1518" s="4">
        <v>0</v>
      </c>
      <c r="BL1518" s="4">
        <v>0</v>
      </c>
      <c r="BM1518" s="20">
        <v>15</v>
      </c>
      <c r="BN1518" s="20">
        <v>0</v>
      </c>
      <c r="BO1518" s="20">
        <v>0</v>
      </c>
      <c r="BP1518" s="20">
        <v>0</v>
      </c>
      <c r="BQ1518" s="20">
        <v>0</v>
      </c>
      <c r="BR1518" s="20">
        <v>0</v>
      </c>
      <c r="BS1518" s="20">
        <v>15</v>
      </c>
      <c r="BT1518" s="20">
        <v>75974.025974025964</v>
      </c>
      <c r="BU1518" s="20">
        <v>585000</v>
      </c>
      <c r="BV1518" s="20">
        <v>7.0000000000000009</v>
      </c>
    </row>
    <row r="1519" spans="1:74">
      <c r="A1519" s="10">
        <f t="shared" si="94"/>
        <v>0</v>
      </c>
      <c r="B1519" s="10">
        <f t="shared" si="95"/>
        <v>0</v>
      </c>
      <c r="C1519" s="12">
        <f t="shared" si="96"/>
        <v>11</v>
      </c>
      <c r="D1519" s="12">
        <f t="shared" si="97"/>
        <v>12</v>
      </c>
      <c r="E1519" s="20" t="s">
        <v>114</v>
      </c>
      <c r="F1519" s="20" t="s">
        <v>5455</v>
      </c>
      <c r="G1519" s="20" t="s">
        <v>5950</v>
      </c>
      <c r="H1519" s="20" t="s">
        <v>5972</v>
      </c>
      <c r="I1519" s="20">
        <v>4</v>
      </c>
      <c r="J1519" s="20" t="s">
        <v>5973</v>
      </c>
      <c r="K1519" s="20" t="s">
        <v>5974</v>
      </c>
      <c r="L1519" s="20" t="s">
        <v>5975</v>
      </c>
      <c r="M1519" s="20" t="s">
        <v>5455</v>
      </c>
      <c r="N1519" s="20" t="s">
        <v>5825</v>
      </c>
      <c r="P1519" s="20" t="s">
        <v>5455</v>
      </c>
      <c r="Q1519" s="20" t="s">
        <v>5462</v>
      </c>
      <c r="R1519" s="20" t="s">
        <v>84</v>
      </c>
      <c r="S1519" s="20">
        <v>5</v>
      </c>
      <c r="T1519" s="20" t="s">
        <v>244</v>
      </c>
      <c r="U1519" s="20" t="s">
        <v>245</v>
      </c>
      <c r="V1519" s="20" t="s">
        <v>5502</v>
      </c>
      <c r="W1519" s="20">
        <v>25</v>
      </c>
      <c r="X1519" s="20" t="s">
        <v>5976</v>
      </c>
      <c r="Y1519" s="20" t="s">
        <v>5977</v>
      </c>
      <c r="Z1519" s="20">
        <v>1</v>
      </c>
      <c r="AA1519" s="20" t="s">
        <v>5978</v>
      </c>
      <c r="AB1519" s="20" t="s">
        <v>248</v>
      </c>
      <c r="AC1519" s="20" t="s">
        <v>249</v>
      </c>
      <c r="AD1519" s="20" t="s">
        <v>5979</v>
      </c>
      <c r="AE1519" s="20" t="s">
        <v>91</v>
      </c>
      <c r="AF1519" s="20">
        <v>1</v>
      </c>
      <c r="AG1519" s="20">
        <v>0</v>
      </c>
      <c r="AH1519" s="20">
        <v>1</v>
      </c>
      <c r="AI1519" s="4" t="s">
        <v>251</v>
      </c>
      <c r="AJ1519" s="20">
        <v>5</v>
      </c>
      <c r="AK1519" s="4" t="s">
        <v>252</v>
      </c>
      <c r="AL1519" s="4">
        <v>10</v>
      </c>
      <c r="AM1519" s="4">
        <v>10</v>
      </c>
      <c r="AN1519" s="4" t="s">
        <v>95</v>
      </c>
      <c r="AO1519" s="4" t="s">
        <v>96</v>
      </c>
      <c r="AP1519" s="4">
        <v>1</v>
      </c>
      <c r="AQ1519" s="20">
        <v>39000</v>
      </c>
      <c r="AR1519" s="4">
        <v>41971</v>
      </c>
      <c r="AS1519" s="20">
        <v>5064.9350649350645</v>
      </c>
      <c r="AT1519" s="20">
        <v>0</v>
      </c>
      <c r="AU1519" s="20">
        <v>-5064.9350649350645</v>
      </c>
      <c r="AV1519" s="20">
        <v>0</v>
      </c>
      <c r="AW1519" s="20">
        <v>0</v>
      </c>
      <c r="AX1519" s="20" t="s">
        <v>91</v>
      </c>
      <c r="AY1519" s="20">
        <v>0</v>
      </c>
      <c r="AZ1519" s="20">
        <v>0</v>
      </c>
      <c r="BA1519" s="20">
        <v>0</v>
      </c>
      <c r="BB1519" s="6">
        <v>41971</v>
      </c>
      <c r="BC1519" s="6">
        <v>0</v>
      </c>
      <c r="BD1519" s="6">
        <v>41976</v>
      </c>
      <c r="BE1519" s="6">
        <v>0</v>
      </c>
      <c r="BF1519" s="6">
        <v>41975</v>
      </c>
      <c r="BG1519" s="6">
        <v>0</v>
      </c>
      <c r="BH1519" s="6">
        <v>0</v>
      </c>
      <c r="BI1519" s="6">
        <v>0</v>
      </c>
      <c r="BJ1519" s="6">
        <v>0</v>
      </c>
      <c r="BK1519" s="4">
        <v>0</v>
      </c>
      <c r="BL1519" s="4">
        <v>0</v>
      </c>
      <c r="BM1519" s="20">
        <v>5</v>
      </c>
      <c r="BN1519" s="20">
        <v>0</v>
      </c>
      <c r="BO1519" s="20">
        <v>0</v>
      </c>
      <c r="BP1519" s="20">
        <v>0</v>
      </c>
      <c r="BQ1519" s="20">
        <v>0</v>
      </c>
      <c r="BR1519" s="20">
        <v>0</v>
      </c>
      <c r="BS1519" s="20">
        <v>5</v>
      </c>
      <c r="BT1519" s="20">
        <v>25324.675324675321</v>
      </c>
      <c r="BU1519" s="20">
        <v>195000</v>
      </c>
      <c r="BV1519" s="20">
        <v>7.0000000000000009</v>
      </c>
    </row>
    <row r="1520" spans="1:74">
      <c r="A1520" s="10">
        <f t="shared" si="94"/>
        <v>0</v>
      </c>
      <c r="B1520" s="10">
        <f t="shared" si="95"/>
        <v>0</v>
      </c>
      <c r="C1520" s="12">
        <f t="shared" si="96"/>
        <v>11</v>
      </c>
      <c r="D1520" s="12">
        <f t="shared" si="97"/>
        <v>12</v>
      </c>
      <c r="E1520" s="20" t="s">
        <v>114</v>
      </c>
      <c r="F1520" s="20" t="s">
        <v>5455</v>
      </c>
      <c r="G1520" s="20" t="s">
        <v>5950</v>
      </c>
      <c r="H1520" s="20" t="s">
        <v>5980</v>
      </c>
      <c r="I1520" s="20">
        <v>5</v>
      </c>
      <c r="J1520" s="20" t="s">
        <v>5981</v>
      </c>
      <c r="K1520" s="20" t="s">
        <v>5982</v>
      </c>
      <c r="L1520" s="20" t="s">
        <v>5975</v>
      </c>
      <c r="M1520" s="20" t="s">
        <v>5455</v>
      </c>
      <c r="N1520" s="20" t="s">
        <v>5825</v>
      </c>
      <c r="P1520" s="20" t="s">
        <v>5455</v>
      </c>
      <c r="Q1520" s="20" t="s">
        <v>5462</v>
      </c>
      <c r="R1520" s="20" t="s">
        <v>84</v>
      </c>
      <c r="S1520" s="20">
        <v>5</v>
      </c>
      <c r="T1520" s="20" t="s">
        <v>244</v>
      </c>
      <c r="U1520" s="20" t="s">
        <v>245</v>
      </c>
      <c r="V1520" s="20" t="s">
        <v>5502</v>
      </c>
      <c r="W1520" s="20">
        <v>25</v>
      </c>
      <c r="X1520" s="20" t="s">
        <v>5976</v>
      </c>
      <c r="Y1520" s="20" t="s">
        <v>5977</v>
      </c>
      <c r="Z1520" s="20">
        <v>1</v>
      </c>
      <c r="AA1520" s="20" t="s">
        <v>5983</v>
      </c>
      <c r="AB1520" s="20" t="s">
        <v>221</v>
      </c>
      <c r="AC1520" s="20" t="s">
        <v>222</v>
      </c>
      <c r="AD1520" s="20" t="s">
        <v>5984</v>
      </c>
      <c r="AE1520" s="20" t="s">
        <v>91</v>
      </c>
      <c r="AF1520" s="20">
        <v>1</v>
      </c>
      <c r="AG1520" s="20">
        <v>0</v>
      </c>
      <c r="AH1520" s="20">
        <v>1</v>
      </c>
      <c r="AI1520" s="4" t="s">
        <v>251</v>
      </c>
      <c r="AJ1520" s="20">
        <v>5</v>
      </c>
      <c r="AK1520" s="4" t="s">
        <v>252</v>
      </c>
      <c r="AL1520" s="4">
        <v>10</v>
      </c>
      <c r="AM1520" s="4">
        <v>10</v>
      </c>
      <c r="AN1520" s="4" t="s">
        <v>95</v>
      </c>
      <c r="AO1520" s="4" t="s">
        <v>96</v>
      </c>
      <c r="AP1520" s="4">
        <v>1</v>
      </c>
      <c r="AQ1520" s="20">
        <v>39000</v>
      </c>
      <c r="AR1520" s="4">
        <v>41971</v>
      </c>
      <c r="AS1520" s="20">
        <v>5064.9350649350645</v>
      </c>
      <c r="AT1520" s="20">
        <v>0</v>
      </c>
      <c r="AU1520" s="20">
        <v>-5064.9350649350645</v>
      </c>
      <c r="AV1520" s="20">
        <v>0</v>
      </c>
      <c r="AW1520" s="20">
        <v>0</v>
      </c>
      <c r="AX1520" s="20" t="s">
        <v>91</v>
      </c>
      <c r="AY1520" s="20">
        <v>0</v>
      </c>
      <c r="AZ1520" s="20">
        <v>0</v>
      </c>
      <c r="BA1520" s="20">
        <v>0</v>
      </c>
      <c r="BB1520" s="6">
        <v>41971</v>
      </c>
      <c r="BC1520" s="6">
        <v>0</v>
      </c>
      <c r="BD1520" s="6">
        <v>41976</v>
      </c>
      <c r="BE1520" s="6">
        <v>0</v>
      </c>
      <c r="BF1520" s="6">
        <v>41975</v>
      </c>
      <c r="BG1520" s="6">
        <v>0</v>
      </c>
      <c r="BH1520" s="6">
        <v>0</v>
      </c>
      <c r="BI1520" s="6">
        <v>0</v>
      </c>
      <c r="BJ1520" s="6">
        <v>0</v>
      </c>
      <c r="BK1520" s="4">
        <v>0</v>
      </c>
      <c r="BL1520" s="4">
        <v>0</v>
      </c>
      <c r="BM1520" s="20">
        <v>5</v>
      </c>
      <c r="BN1520" s="20">
        <v>0</v>
      </c>
      <c r="BO1520" s="20">
        <v>0</v>
      </c>
      <c r="BP1520" s="20">
        <v>0</v>
      </c>
      <c r="BQ1520" s="20">
        <v>0</v>
      </c>
      <c r="BR1520" s="20">
        <v>0</v>
      </c>
      <c r="BS1520" s="20">
        <v>5</v>
      </c>
      <c r="BT1520" s="20">
        <v>25324.675324675321</v>
      </c>
      <c r="BU1520" s="20">
        <v>195000</v>
      </c>
      <c r="BV1520" s="20">
        <v>7.0000000000000009</v>
      </c>
    </row>
    <row r="1521" spans="1:74">
      <c r="A1521" s="10">
        <f t="shared" si="94"/>
        <v>0</v>
      </c>
      <c r="B1521" s="10">
        <f t="shared" si="95"/>
        <v>0</v>
      </c>
      <c r="C1521" s="12">
        <f t="shared" si="96"/>
        <v>11</v>
      </c>
      <c r="D1521" s="12">
        <f t="shared" si="97"/>
        <v>12</v>
      </c>
      <c r="E1521" s="20" t="s">
        <v>114</v>
      </c>
      <c r="F1521" s="20" t="s">
        <v>5455</v>
      </c>
      <c r="G1521" s="20" t="s">
        <v>5950</v>
      </c>
      <c r="H1521" s="20" t="s">
        <v>5985</v>
      </c>
      <c r="I1521" s="20">
        <v>6</v>
      </c>
      <c r="J1521" s="20" t="s">
        <v>5986</v>
      </c>
      <c r="K1521" s="20" t="s">
        <v>5987</v>
      </c>
      <c r="L1521" s="20" t="s">
        <v>5988</v>
      </c>
      <c r="M1521" s="20" t="s">
        <v>5455</v>
      </c>
      <c r="N1521" s="20" t="s">
        <v>5825</v>
      </c>
      <c r="P1521" s="20" t="s">
        <v>5455</v>
      </c>
      <c r="Q1521" s="20" t="s">
        <v>5462</v>
      </c>
      <c r="R1521" s="20" t="s">
        <v>84</v>
      </c>
      <c r="S1521" s="20">
        <v>5</v>
      </c>
      <c r="T1521" s="20" t="s">
        <v>244</v>
      </c>
      <c r="U1521" s="20" t="s">
        <v>245</v>
      </c>
      <c r="V1521" s="20" t="s">
        <v>5502</v>
      </c>
      <c r="W1521" s="20">
        <v>32</v>
      </c>
      <c r="X1521" s="20" t="s">
        <v>5989</v>
      </c>
      <c r="Y1521" s="20" t="s">
        <v>5990</v>
      </c>
      <c r="Z1521" s="20">
        <v>1</v>
      </c>
      <c r="AA1521" s="20" t="s">
        <v>5991</v>
      </c>
      <c r="AB1521" s="20" t="s">
        <v>248</v>
      </c>
      <c r="AC1521" s="20" t="s">
        <v>249</v>
      </c>
      <c r="AD1521" s="20" t="s">
        <v>5992</v>
      </c>
      <c r="AE1521" s="20" t="s">
        <v>91</v>
      </c>
      <c r="AF1521" s="20">
        <v>1</v>
      </c>
      <c r="AG1521" s="20">
        <v>0</v>
      </c>
      <c r="AH1521" s="20">
        <v>1</v>
      </c>
      <c r="AI1521" s="4" t="s">
        <v>251</v>
      </c>
      <c r="AJ1521" s="20">
        <v>15</v>
      </c>
      <c r="AK1521" s="4" t="s">
        <v>252</v>
      </c>
      <c r="AL1521" s="4">
        <v>10</v>
      </c>
      <c r="AM1521" s="4">
        <v>10</v>
      </c>
      <c r="AN1521" s="4" t="s">
        <v>95</v>
      </c>
      <c r="AO1521" s="4" t="s">
        <v>96</v>
      </c>
      <c r="AP1521" s="4">
        <v>1</v>
      </c>
      <c r="AQ1521" s="20">
        <v>35000</v>
      </c>
      <c r="AR1521" s="4">
        <v>41971</v>
      </c>
      <c r="AS1521" s="20">
        <v>4545.454545454545</v>
      </c>
      <c r="AT1521" s="20">
        <v>0</v>
      </c>
      <c r="AU1521" s="20">
        <v>-4545.454545454545</v>
      </c>
      <c r="AV1521" s="20">
        <v>0</v>
      </c>
      <c r="AW1521" s="20">
        <v>0</v>
      </c>
      <c r="AX1521" s="20" t="s">
        <v>91</v>
      </c>
      <c r="AY1521" s="20">
        <v>0</v>
      </c>
      <c r="AZ1521" s="20">
        <v>0</v>
      </c>
      <c r="BA1521" s="20">
        <v>0</v>
      </c>
      <c r="BB1521" s="6">
        <v>41971</v>
      </c>
      <c r="BC1521" s="6">
        <v>0</v>
      </c>
      <c r="BD1521" s="6">
        <v>41976</v>
      </c>
      <c r="BE1521" s="6">
        <v>0</v>
      </c>
      <c r="BF1521" s="6">
        <v>41975</v>
      </c>
      <c r="BG1521" s="6">
        <v>0</v>
      </c>
      <c r="BH1521" s="6">
        <v>0</v>
      </c>
      <c r="BI1521" s="6">
        <v>0</v>
      </c>
      <c r="BJ1521" s="6">
        <v>0</v>
      </c>
      <c r="BK1521" s="4">
        <v>0</v>
      </c>
      <c r="BL1521" s="4">
        <v>0</v>
      </c>
      <c r="BM1521" s="20">
        <v>15</v>
      </c>
      <c r="BN1521" s="20">
        <v>0</v>
      </c>
      <c r="BO1521" s="20">
        <v>0</v>
      </c>
      <c r="BP1521" s="20">
        <v>0</v>
      </c>
      <c r="BQ1521" s="20">
        <v>0</v>
      </c>
      <c r="BR1521" s="20">
        <v>0</v>
      </c>
      <c r="BS1521" s="20">
        <v>15</v>
      </c>
      <c r="BT1521" s="20">
        <v>68181.818181818177</v>
      </c>
      <c r="BU1521" s="20">
        <v>525000</v>
      </c>
      <c r="BV1521" s="20">
        <v>7</v>
      </c>
    </row>
    <row r="1522" spans="1:74">
      <c r="A1522" s="10">
        <f t="shared" si="94"/>
        <v>0</v>
      </c>
      <c r="B1522" s="10">
        <f t="shared" si="95"/>
        <v>0</v>
      </c>
      <c r="C1522" s="12">
        <f t="shared" si="96"/>
        <v>11</v>
      </c>
      <c r="D1522" s="12">
        <f t="shared" si="97"/>
        <v>12</v>
      </c>
      <c r="E1522" s="20" t="s">
        <v>114</v>
      </c>
      <c r="F1522" s="20" t="s">
        <v>5455</v>
      </c>
      <c r="G1522" s="20" t="s">
        <v>5950</v>
      </c>
      <c r="H1522" s="20" t="s">
        <v>5993</v>
      </c>
      <c r="I1522" s="20">
        <v>7</v>
      </c>
      <c r="J1522" s="20" t="s">
        <v>5994</v>
      </c>
      <c r="K1522" s="20" t="s">
        <v>5995</v>
      </c>
      <c r="L1522" s="20" t="s">
        <v>5988</v>
      </c>
      <c r="M1522" s="20" t="s">
        <v>5455</v>
      </c>
      <c r="N1522" s="20" t="s">
        <v>5825</v>
      </c>
      <c r="P1522" s="20" t="s">
        <v>5455</v>
      </c>
      <c r="Q1522" s="20" t="s">
        <v>5462</v>
      </c>
      <c r="R1522" s="20" t="s">
        <v>84</v>
      </c>
      <c r="S1522" s="20">
        <v>5</v>
      </c>
      <c r="T1522" s="20" t="s">
        <v>244</v>
      </c>
      <c r="U1522" s="20" t="s">
        <v>245</v>
      </c>
      <c r="V1522" s="20" t="s">
        <v>5502</v>
      </c>
      <c r="W1522" s="20">
        <v>32</v>
      </c>
      <c r="X1522" s="20" t="s">
        <v>5989</v>
      </c>
      <c r="Y1522" s="20" t="s">
        <v>5990</v>
      </c>
      <c r="Z1522" s="20">
        <v>1</v>
      </c>
      <c r="AA1522" s="20" t="s">
        <v>5996</v>
      </c>
      <c r="AB1522" s="20" t="s">
        <v>139</v>
      </c>
      <c r="AC1522" s="20" t="s">
        <v>140</v>
      </c>
      <c r="AD1522" s="20" t="s">
        <v>5997</v>
      </c>
      <c r="AE1522" s="20" t="s">
        <v>91</v>
      </c>
      <c r="AF1522" s="20">
        <v>1</v>
      </c>
      <c r="AG1522" s="20">
        <v>0</v>
      </c>
      <c r="AH1522" s="20">
        <v>1</v>
      </c>
      <c r="AI1522" s="4" t="s">
        <v>251</v>
      </c>
      <c r="AJ1522" s="20">
        <v>5</v>
      </c>
      <c r="AK1522" s="4" t="s">
        <v>252</v>
      </c>
      <c r="AL1522" s="4">
        <v>10</v>
      </c>
      <c r="AM1522" s="4">
        <v>10</v>
      </c>
      <c r="AN1522" s="4" t="s">
        <v>95</v>
      </c>
      <c r="AO1522" s="4" t="s">
        <v>96</v>
      </c>
      <c r="AP1522" s="4">
        <v>1</v>
      </c>
      <c r="AQ1522" s="20">
        <v>35000</v>
      </c>
      <c r="AR1522" s="4">
        <v>41971</v>
      </c>
      <c r="AS1522" s="20">
        <v>4545.454545454545</v>
      </c>
      <c r="AT1522" s="20">
        <v>0</v>
      </c>
      <c r="AU1522" s="20">
        <v>-4545.454545454545</v>
      </c>
      <c r="AV1522" s="20">
        <v>0</v>
      </c>
      <c r="AW1522" s="20">
        <v>0</v>
      </c>
      <c r="AX1522" s="20" t="s">
        <v>91</v>
      </c>
      <c r="AY1522" s="20">
        <v>0</v>
      </c>
      <c r="AZ1522" s="20">
        <v>0</v>
      </c>
      <c r="BA1522" s="20">
        <v>0</v>
      </c>
      <c r="BB1522" s="6">
        <v>41971</v>
      </c>
      <c r="BC1522" s="6">
        <v>0</v>
      </c>
      <c r="BD1522" s="6">
        <v>41976</v>
      </c>
      <c r="BE1522" s="6">
        <v>0</v>
      </c>
      <c r="BF1522" s="6">
        <v>41975</v>
      </c>
      <c r="BG1522" s="6">
        <v>0</v>
      </c>
      <c r="BH1522" s="6">
        <v>0</v>
      </c>
      <c r="BI1522" s="6">
        <v>0</v>
      </c>
      <c r="BJ1522" s="6">
        <v>0</v>
      </c>
      <c r="BK1522" s="4">
        <v>0</v>
      </c>
      <c r="BL1522" s="4">
        <v>0</v>
      </c>
      <c r="BM1522" s="20">
        <v>5</v>
      </c>
      <c r="BN1522" s="20">
        <v>0</v>
      </c>
      <c r="BO1522" s="20">
        <v>0</v>
      </c>
      <c r="BP1522" s="20">
        <v>0</v>
      </c>
      <c r="BQ1522" s="20">
        <v>0</v>
      </c>
      <c r="BR1522" s="20">
        <v>0</v>
      </c>
      <c r="BS1522" s="20">
        <v>5</v>
      </c>
      <c r="BT1522" s="20">
        <v>22727.272727272724</v>
      </c>
      <c r="BU1522" s="20">
        <v>175000</v>
      </c>
      <c r="BV1522" s="20">
        <v>7</v>
      </c>
    </row>
    <row r="1523" spans="1:74">
      <c r="A1523" s="10">
        <f t="shared" si="94"/>
        <v>0</v>
      </c>
      <c r="B1523" s="10">
        <f t="shared" si="95"/>
        <v>0</v>
      </c>
      <c r="C1523" s="12">
        <f t="shared" si="96"/>
        <v>11</v>
      </c>
      <c r="D1523" s="12">
        <f t="shared" si="97"/>
        <v>12</v>
      </c>
      <c r="E1523" s="20" t="s">
        <v>114</v>
      </c>
      <c r="F1523" s="20" t="s">
        <v>5455</v>
      </c>
      <c r="G1523" s="20" t="s">
        <v>5950</v>
      </c>
      <c r="H1523" s="20" t="s">
        <v>5998</v>
      </c>
      <c r="I1523" s="20">
        <v>8</v>
      </c>
      <c r="J1523" s="20" t="s">
        <v>5999</v>
      </c>
      <c r="K1523" s="20" t="s">
        <v>6000</v>
      </c>
      <c r="L1523" s="20" t="s">
        <v>5988</v>
      </c>
      <c r="M1523" s="20" t="s">
        <v>5455</v>
      </c>
      <c r="N1523" s="20" t="s">
        <v>5825</v>
      </c>
      <c r="P1523" s="20" t="s">
        <v>5455</v>
      </c>
      <c r="Q1523" s="20" t="s">
        <v>5462</v>
      </c>
      <c r="R1523" s="20" t="s">
        <v>84</v>
      </c>
      <c r="S1523" s="20">
        <v>5</v>
      </c>
      <c r="T1523" s="20" t="s">
        <v>244</v>
      </c>
      <c r="U1523" s="20" t="s">
        <v>245</v>
      </c>
      <c r="V1523" s="20" t="s">
        <v>5502</v>
      </c>
      <c r="W1523" s="20">
        <v>32</v>
      </c>
      <c r="X1523" s="20" t="s">
        <v>5989</v>
      </c>
      <c r="Y1523" s="20" t="s">
        <v>5990</v>
      </c>
      <c r="Z1523" s="20">
        <v>1</v>
      </c>
      <c r="AA1523" s="20" t="s">
        <v>6001</v>
      </c>
      <c r="AB1523" s="20" t="s">
        <v>296</v>
      </c>
      <c r="AC1523" s="20" t="s">
        <v>297</v>
      </c>
      <c r="AD1523" s="20" t="s">
        <v>6002</v>
      </c>
      <c r="AE1523" s="20" t="s">
        <v>91</v>
      </c>
      <c r="AF1523" s="20">
        <v>1</v>
      </c>
      <c r="AG1523" s="20">
        <v>0</v>
      </c>
      <c r="AH1523" s="20">
        <v>1</v>
      </c>
      <c r="AI1523" s="4" t="s">
        <v>251</v>
      </c>
      <c r="AJ1523" s="20">
        <v>5</v>
      </c>
      <c r="AK1523" s="4" t="s">
        <v>252</v>
      </c>
      <c r="AL1523" s="4">
        <v>10</v>
      </c>
      <c r="AM1523" s="4">
        <v>10</v>
      </c>
      <c r="AN1523" s="4" t="s">
        <v>95</v>
      </c>
      <c r="AO1523" s="4" t="s">
        <v>96</v>
      </c>
      <c r="AP1523" s="4">
        <v>1</v>
      </c>
      <c r="AQ1523" s="20">
        <v>35000</v>
      </c>
      <c r="AR1523" s="4">
        <v>41971</v>
      </c>
      <c r="AS1523" s="20">
        <v>4545.454545454545</v>
      </c>
      <c r="AT1523" s="20">
        <v>0</v>
      </c>
      <c r="AU1523" s="20">
        <v>-4545.454545454545</v>
      </c>
      <c r="AV1523" s="20">
        <v>0</v>
      </c>
      <c r="AW1523" s="20">
        <v>0</v>
      </c>
      <c r="AX1523" s="20" t="s">
        <v>91</v>
      </c>
      <c r="AY1523" s="20">
        <v>0</v>
      </c>
      <c r="AZ1523" s="20">
        <v>0</v>
      </c>
      <c r="BA1523" s="20">
        <v>0</v>
      </c>
      <c r="BB1523" s="6">
        <v>41971</v>
      </c>
      <c r="BC1523" s="6">
        <v>0</v>
      </c>
      <c r="BD1523" s="6">
        <v>41976</v>
      </c>
      <c r="BE1523" s="6">
        <v>0</v>
      </c>
      <c r="BF1523" s="6">
        <v>41975</v>
      </c>
      <c r="BG1523" s="6">
        <v>0</v>
      </c>
      <c r="BH1523" s="6">
        <v>0</v>
      </c>
      <c r="BI1523" s="6">
        <v>0</v>
      </c>
      <c r="BJ1523" s="6">
        <v>0</v>
      </c>
      <c r="BK1523" s="4">
        <v>0</v>
      </c>
      <c r="BL1523" s="4">
        <v>0</v>
      </c>
      <c r="BM1523" s="20">
        <v>5</v>
      </c>
      <c r="BN1523" s="20">
        <v>0</v>
      </c>
      <c r="BO1523" s="20">
        <v>0</v>
      </c>
      <c r="BP1523" s="20">
        <v>0</v>
      </c>
      <c r="BQ1523" s="20">
        <v>0</v>
      </c>
      <c r="BR1523" s="20">
        <v>0</v>
      </c>
      <c r="BS1523" s="20">
        <v>5</v>
      </c>
      <c r="BT1523" s="20">
        <v>22727.272727272724</v>
      </c>
      <c r="BU1523" s="20">
        <v>175000</v>
      </c>
      <c r="BV1523" s="20">
        <v>7</v>
      </c>
    </row>
    <row r="1524" spans="1:74">
      <c r="A1524" s="10">
        <f t="shared" si="94"/>
        <v>0</v>
      </c>
      <c r="B1524" s="10">
        <f t="shared" si="95"/>
        <v>0</v>
      </c>
      <c r="C1524" s="12">
        <f t="shared" si="96"/>
        <v>11</v>
      </c>
      <c r="D1524" s="12">
        <f t="shared" si="97"/>
        <v>12</v>
      </c>
      <c r="E1524" s="20" t="s">
        <v>114</v>
      </c>
      <c r="F1524" s="20" t="s">
        <v>5455</v>
      </c>
      <c r="G1524" s="20" t="s">
        <v>5950</v>
      </c>
      <c r="H1524" s="20" t="s">
        <v>6003</v>
      </c>
      <c r="I1524" s="20">
        <v>9</v>
      </c>
      <c r="J1524" s="20" t="s">
        <v>6004</v>
      </c>
      <c r="K1524" s="20" t="s">
        <v>6005</v>
      </c>
      <c r="L1524" s="20" t="s">
        <v>5988</v>
      </c>
      <c r="M1524" s="20" t="s">
        <v>5455</v>
      </c>
      <c r="N1524" s="20" t="s">
        <v>5825</v>
      </c>
      <c r="P1524" s="20" t="s">
        <v>5455</v>
      </c>
      <c r="Q1524" s="20" t="s">
        <v>5462</v>
      </c>
      <c r="R1524" s="20" t="s">
        <v>84</v>
      </c>
      <c r="S1524" s="20">
        <v>5</v>
      </c>
      <c r="T1524" s="20" t="s">
        <v>244</v>
      </c>
      <c r="U1524" s="20" t="s">
        <v>245</v>
      </c>
      <c r="V1524" s="20" t="s">
        <v>5502</v>
      </c>
      <c r="W1524" s="20">
        <v>32</v>
      </c>
      <c r="X1524" s="20" t="s">
        <v>5989</v>
      </c>
      <c r="Y1524" s="20" t="s">
        <v>5990</v>
      </c>
      <c r="Z1524" s="20">
        <v>1</v>
      </c>
      <c r="AA1524" s="20" t="s">
        <v>6006</v>
      </c>
      <c r="AB1524" s="20" t="s">
        <v>176</v>
      </c>
      <c r="AC1524" s="20" t="s">
        <v>177</v>
      </c>
      <c r="AD1524" s="20" t="s">
        <v>6007</v>
      </c>
      <c r="AE1524" s="20" t="s">
        <v>91</v>
      </c>
      <c r="AF1524" s="20">
        <v>1</v>
      </c>
      <c r="AG1524" s="20">
        <v>0</v>
      </c>
      <c r="AH1524" s="20">
        <v>1</v>
      </c>
      <c r="AI1524" s="4" t="s">
        <v>251</v>
      </c>
      <c r="AJ1524" s="20">
        <v>15</v>
      </c>
      <c r="AK1524" s="4" t="s">
        <v>252</v>
      </c>
      <c r="AL1524" s="4">
        <v>10</v>
      </c>
      <c r="AM1524" s="4">
        <v>10</v>
      </c>
      <c r="AN1524" s="4" t="s">
        <v>95</v>
      </c>
      <c r="AO1524" s="4" t="s">
        <v>96</v>
      </c>
      <c r="AP1524" s="4">
        <v>1</v>
      </c>
      <c r="AQ1524" s="20">
        <v>35000</v>
      </c>
      <c r="AR1524" s="4">
        <v>41971</v>
      </c>
      <c r="AS1524" s="20">
        <v>4545.454545454545</v>
      </c>
      <c r="AT1524" s="20">
        <v>0</v>
      </c>
      <c r="AU1524" s="20">
        <v>-4545.454545454545</v>
      </c>
      <c r="AV1524" s="20">
        <v>0</v>
      </c>
      <c r="AW1524" s="20">
        <v>0</v>
      </c>
      <c r="AX1524" s="20" t="s">
        <v>91</v>
      </c>
      <c r="AY1524" s="20">
        <v>0</v>
      </c>
      <c r="AZ1524" s="20">
        <v>0</v>
      </c>
      <c r="BA1524" s="20">
        <v>0</v>
      </c>
      <c r="BB1524" s="6">
        <v>41971</v>
      </c>
      <c r="BC1524" s="6">
        <v>0</v>
      </c>
      <c r="BD1524" s="6">
        <v>41976</v>
      </c>
      <c r="BE1524" s="6">
        <v>0</v>
      </c>
      <c r="BF1524" s="6">
        <v>41975</v>
      </c>
      <c r="BG1524" s="6">
        <v>0</v>
      </c>
      <c r="BH1524" s="6">
        <v>0</v>
      </c>
      <c r="BI1524" s="6">
        <v>0</v>
      </c>
      <c r="BJ1524" s="6">
        <v>0</v>
      </c>
      <c r="BK1524" s="4">
        <v>0</v>
      </c>
      <c r="BL1524" s="4">
        <v>0</v>
      </c>
      <c r="BM1524" s="20">
        <v>15</v>
      </c>
      <c r="BN1524" s="20">
        <v>0</v>
      </c>
      <c r="BO1524" s="20">
        <v>0</v>
      </c>
      <c r="BP1524" s="20">
        <v>0</v>
      </c>
      <c r="BQ1524" s="20">
        <v>0</v>
      </c>
      <c r="BR1524" s="20">
        <v>0</v>
      </c>
      <c r="BS1524" s="20">
        <v>15</v>
      </c>
      <c r="BT1524" s="20">
        <v>68181.818181818177</v>
      </c>
      <c r="BU1524" s="20">
        <v>525000</v>
      </c>
      <c r="BV1524" s="20">
        <v>7</v>
      </c>
    </row>
    <row r="1525" spans="1:74">
      <c r="A1525" s="10">
        <f t="shared" si="94"/>
        <v>0</v>
      </c>
      <c r="B1525" s="10">
        <f t="shared" si="95"/>
        <v>0</v>
      </c>
      <c r="C1525" s="12">
        <f t="shared" si="96"/>
        <v>11</v>
      </c>
      <c r="D1525" s="12">
        <f t="shared" si="97"/>
        <v>12</v>
      </c>
      <c r="E1525" s="20" t="s">
        <v>114</v>
      </c>
      <c r="F1525" s="20" t="s">
        <v>5455</v>
      </c>
      <c r="G1525" s="20" t="s">
        <v>5950</v>
      </c>
      <c r="H1525" s="20" t="s">
        <v>6008</v>
      </c>
      <c r="I1525" s="20">
        <v>10</v>
      </c>
      <c r="J1525" s="20" t="s">
        <v>6009</v>
      </c>
      <c r="K1525" s="20" t="s">
        <v>6010</v>
      </c>
      <c r="L1525" s="20" t="s">
        <v>5988</v>
      </c>
      <c r="M1525" s="20" t="s">
        <v>5455</v>
      </c>
      <c r="N1525" s="20" t="s">
        <v>5825</v>
      </c>
      <c r="P1525" s="20" t="s">
        <v>5455</v>
      </c>
      <c r="Q1525" s="20" t="s">
        <v>5462</v>
      </c>
      <c r="R1525" s="20" t="s">
        <v>84</v>
      </c>
      <c r="S1525" s="20">
        <v>5</v>
      </c>
      <c r="T1525" s="20" t="s">
        <v>244</v>
      </c>
      <c r="U1525" s="20" t="s">
        <v>245</v>
      </c>
      <c r="V1525" s="20" t="s">
        <v>5502</v>
      </c>
      <c r="W1525" s="20">
        <v>32</v>
      </c>
      <c r="X1525" s="20" t="s">
        <v>5989</v>
      </c>
      <c r="Y1525" s="20" t="s">
        <v>5990</v>
      </c>
      <c r="Z1525" s="20">
        <v>1</v>
      </c>
      <c r="AA1525" s="20" t="s">
        <v>6011</v>
      </c>
      <c r="AB1525" s="20" t="s">
        <v>303</v>
      </c>
      <c r="AC1525" s="20" t="s">
        <v>304</v>
      </c>
      <c r="AD1525" s="20" t="s">
        <v>6012</v>
      </c>
      <c r="AE1525" s="20" t="s">
        <v>91</v>
      </c>
      <c r="AF1525" s="20">
        <v>1</v>
      </c>
      <c r="AG1525" s="20">
        <v>0</v>
      </c>
      <c r="AH1525" s="20">
        <v>1</v>
      </c>
      <c r="AI1525" s="4" t="s">
        <v>251</v>
      </c>
      <c r="AJ1525" s="20">
        <v>5</v>
      </c>
      <c r="AK1525" s="4" t="s">
        <v>252</v>
      </c>
      <c r="AL1525" s="4">
        <v>10</v>
      </c>
      <c r="AM1525" s="4">
        <v>10</v>
      </c>
      <c r="AN1525" s="4" t="s">
        <v>95</v>
      </c>
      <c r="AO1525" s="4" t="s">
        <v>96</v>
      </c>
      <c r="AP1525" s="4">
        <v>1</v>
      </c>
      <c r="AQ1525" s="20">
        <v>35000</v>
      </c>
      <c r="AR1525" s="4">
        <v>41971</v>
      </c>
      <c r="AS1525" s="20">
        <v>4545.454545454545</v>
      </c>
      <c r="AT1525" s="20">
        <v>0</v>
      </c>
      <c r="AU1525" s="20">
        <v>-4545.454545454545</v>
      </c>
      <c r="AV1525" s="20">
        <v>0</v>
      </c>
      <c r="AW1525" s="20">
        <v>0</v>
      </c>
      <c r="AX1525" s="20" t="s">
        <v>91</v>
      </c>
      <c r="AY1525" s="20">
        <v>0</v>
      </c>
      <c r="AZ1525" s="20">
        <v>0</v>
      </c>
      <c r="BA1525" s="20">
        <v>0</v>
      </c>
      <c r="BB1525" s="6">
        <v>41971</v>
      </c>
      <c r="BC1525" s="6">
        <v>0</v>
      </c>
      <c r="BD1525" s="6">
        <v>41976</v>
      </c>
      <c r="BE1525" s="6">
        <v>0</v>
      </c>
      <c r="BF1525" s="6">
        <v>41975</v>
      </c>
      <c r="BG1525" s="6">
        <v>0</v>
      </c>
      <c r="BH1525" s="6">
        <v>0</v>
      </c>
      <c r="BI1525" s="6">
        <v>0</v>
      </c>
      <c r="BJ1525" s="6">
        <v>0</v>
      </c>
      <c r="BK1525" s="4">
        <v>0</v>
      </c>
      <c r="BL1525" s="4">
        <v>0</v>
      </c>
      <c r="BM1525" s="20">
        <v>5</v>
      </c>
      <c r="BN1525" s="20">
        <v>0</v>
      </c>
      <c r="BO1525" s="20">
        <v>0</v>
      </c>
      <c r="BP1525" s="20">
        <v>0</v>
      </c>
      <c r="BQ1525" s="20">
        <v>0</v>
      </c>
      <c r="BR1525" s="20">
        <v>0</v>
      </c>
      <c r="BS1525" s="20">
        <v>5</v>
      </c>
      <c r="BT1525" s="20">
        <v>22727.272727272724</v>
      </c>
      <c r="BU1525" s="20">
        <v>175000</v>
      </c>
      <c r="BV1525" s="20">
        <v>7</v>
      </c>
    </row>
    <row r="1526" spans="1:74">
      <c r="A1526" s="10">
        <f t="shared" si="94"/>
        <v>0</v>
      </c>
      <c r="B1526" s="10">
        <f t="shared" si="95"/>
        <v>0</v>
      </c>
      <c r="C1526" s="12">
        <f t="shared" si="96"/>
        <v>11</v>
      </c>
      <c r="D1526" s="12">
        <f t="shared" si="97"/>
        <v>12</v>
      </c>
      <c r="E1526" s="20" t="s">
        <v>114</v>
      </c>
      <c r="F1526" s="20" t="s">
        <v>5455</v>
      </c>
      <c r="G1526" s="20" t="s">
        <v>5950</v>
      </c>
      <c r="H1526" s="20" t="s">
        <v>6013</v>
      </c>
      <c r="I1526" s="20">
        <v>11</v>
      </c>
      <c r="J1526" s="20" t="s">
        <v>6014</v>
      </c>
      <c r="K1526" s="20" t="s">
        <v>6015</v>
      </c>
      <c r="L1526" s="20" t="s">
        <v>5988</v>
      </c>
      <c r="M1526" s="20" t="s">
        <v>5455</v>
      </c>
      <c r="N1526" s="20" t="s">
        <v>5825</v>
      </c>
      <c r="P1526" s="20" t="s">
        <v>5455</v>
      </c>
      <c r="Q1526" s="20" t="s">
        <v>5462</v>
      </c>
      <c r="R1526" s="20" t="s">
        <v>84</v>
      </c>
      <c r="S1526" s="20">
        <v>5</v>
      </c>
      <c r="T1526" s="20" t="s">
        <v>244</v>
      </c>
      <c r="U1526" s="20" t="s">
        <v>245</v>
      </c>
      <c r="V1526" s="20" t="s">
        <v>5502</v>
      </c>
      <c r="W1526" s="20">
        <v>32</v>
      </c>
      <c r="X1526" s="20" t="s">
        <v>5989</v>
      </c>
      <c r="Y1526" s="20" t="s">
        <v>5990</v>
      </c>
      <c r="Z1526" s="20">
        <v>1</v>
      </c>
      <c r="AA1526" s="20" t="s">
        <v>6016</v>
      </c>
      <c r="AB1526" s="20" t="s">
        <v>89</v>
      </c>
      <c r="AC1526" s="20" t="s">
        <v>90</v>
      </c>
      <c r="AD1526" s="20" t="s">
        <v>6017</v>
      </c>
      <c r="AE1526" s="20" t="s">
        <v>91</v>
      </c>
      <c r="AF1526" s="20">
        <v>1</v>
      </c>
      <c r="AG1526" s="20">
        <v>0</v>
      </c>
      <c r="AH1526" s="20">
        <v>1</v>
      </c>
      <c r="AI1526" s="4" t="s">
        <v>251</v>
      </c>
      <c r="AJ1526" s="20">
        <v>10</v>
      </c>
      <c r="AK1526" s="4" t="s">
        <v>252</v>
      </c>
      <c r="AL1526" s="4">
        <v>10</v>
      </c>
      <c r="AM1526" s="4">
        <v>10</v>
      </c>
      <c r="AN1526" s="4" t="s">
        <v>95</v>
      </c>
      <c r="AO1526" s="4" t="s">
        <v>96</v>
      </c>
      <c r="AP1526" s="4">
        <v>1</v>
      </c>
      <c r="AQ1526" s="20">
        <v>35000</v>
      </c>
      <c r="AR1526" s="4">
        <v>41971</v>
      </c>
      <c r="AS1526" s="20">
        <v>4545.454545454545</v>
      </c>
      <c r="AT1526" s="20">
        <v>0</v>
      </c>
      <c r="AU1526" s="20">
        <v>-4545.454545454545</v>
      </c>
      <c r="AV1526" s="20">
        <v>0</v>
      </c>
      <c r="AW1526" s="20">
        <v>0</v>
      </c>
      <c r="AX1526" s="20" t="s">
        <v>91</v>
      </c>
      <c r="AY1526" s="20">
        <v>0</v>
      </c>
      <c r="AZ1526" s="20">
        <v>0</v>
      </c>
      <c r="BA1526" s="20">
        <v>0</v>
      </c>
      <c r="BB1526" s="6">
        <v>41971</v>
      </c>
      <c r="BC1526" s="6">
        <v>0</v>
      </c>
      <c r="BD1526" s="6">
        <v>41976</v>
      </c>
      <c r="BE1526" s="6">
        <v>0</v>
      </c>
      <c r="BF1526" s="6">
        <v>41975</v>
      </c>
      <c r="BG1526" s="6">
        <v>0</v>
      </c>
      <c r="BH1526" s="6">
        <v>0</v>
      </c>
      <c r="BI1526" s="6">
        <v>0</v>
      </c>
      <c r="BJ1526" s="6">
        <v>0</v>
      </c>
      <c r="BK1526" s="4">
        <v>0</v>
      </c>
      <c r="BL1526" s="4">
        <v>0</v>
      </c>
      <c r="BM1526" s="20">
        <v>10</v>
      </c>
      <c r="BN1526" s="20">
        <v>0</v>
      </c>
      <c r="BO1526" s="20">
        <v>0</v>
      </c>
      <c r="BP1526" s="20">
        <v>0</v>
      </c>
      <c r="BQ1526" s="20">
        <v>0</v>
      </c>
      <c r="BR1526" s="20">
        <v>0</v>
      </c>
      <c r="BS1526" s="20">
        <v>10</v>
      </c>
      <c r="BT1526" s="20">
        <v>45454.545454545449</v>
      </c>
      <c r="BU1526" s="20">
        <v>350000</v>
      </c>
      <c r="BV1526" s="20">
        <v>7</v>
      </c>
    </row>
    <row r="1527" spans="1:74">
      <c r="A1527" s="10">
        <f t="shared" si="94"/>
        <v>0</v>
      </c>
      <c r="B1527" s="10">
        <f t="shared" si="95"/>
        <v>0</v>
      </c>
      <c r="C1527" s="12">
        <f t="shared" si="96"/>
        <v>11</v>
      </c>
      <c r="D1527" s="12">
        <f t="shared" si="97"/>
        <v>12</v>
      </c>
      <c r="E1527" s="20" t="s">
        <v>114</v>
      </c>
      <c r="F1527" s="20" t="s">
        <v>5455</v>
      </c>
      <c r="G1527" s="20" t="s">
        <v>5950</v>
      </c>
      <c r="H1527" s="20" t="s">
        <v>6018</v>
      </c>
      <c r="I1527" s="20">
        <v>12</v>
      </c>
      <c r="J1527" s="20" t="s">
        <v>6019</v>
      </c>
      <c r="K1527" s="20" t="s">
        <v>6020</v>
      </c>
      <c r="L1527" s="20" t="s">
        <v>5988</v>
      </c>
      <c r="M1527" s="20" t="s">
        <v>5455</v>
      </c>
      <c r="N1527" s="20" t="s">
        <v>5825</v>
      </c>
      <c r="P1527" s="20" t="s">
        <v>5455</v>
      </c>
      <c r="Q1527" s="20" t="s">
        <v>5462</v>
      </c>
      <c r="R1527" s="20" t="s">
        <v>84</v>
      </c>
      <c r="S1527" s="20">
        <v>5</v>
      </c>
      <c r="T1527" s="20" t="s">
        <v>244</v>
      </c>
      <c r="U1527" s="20" t="s">
        <v>245</v>
      </c>
      <c r="V1527" s="20" t="s">
        <v>5502</v>
      </c>
      <c r="W1527" s="20">
        <v>32</v>
      </c>
      <c r="X1527" s="20" t="s">
        <v>5989</v>
      </c>
      <c r="Y1527" s="20" t="s">
        <v>5990</v>
      </c>
      <c r="Z1527" s="20">
        <v>1</v>
      </c>
      <c r="AA1527" s="20" t="s">
        <v>6021</v>
      </c>
      <c r="AB1527" s="20" t="s">
        <v>279</v>
      </c>
      <c r="AC1527" s="20" t="s">
        <v>280</v>
      </c>
      <c r="AD1527" s="20" t="s">
        <v>6022</v>
      </c>
      <c r="AE1527" s="20" t="s">
        <v>91</v>
      </c>
      <c r="AF1527" s="20">
        <v>1</v>
      </c>
      <c r="AG1527" s="20">
        <v>0</v>
      </c>
      <c r="AH1527" s="20">
        <v>1</v>
      </c>
      <c r="AI1527" s="4" t="s">
        <v>251</v>
      </c>
      <c r="AJ1527" s="20">
        <v>20</v>
      </c>
      <c r="AK1527" s="4" t="s">
        <v>252</v>
      </c>
      <c r="AL1527" s="4">
        <v>10</v>
      </c>
      <c r="AM1527" s="4">
        <v>10</v>
      </c>
      <c r="AN1527" s="4" t="s">
        <v>95</v>
      </c>
      <c r="AO1527" s="4" t="s">
        <v>96</v>
      </c>
      <c r="AP1527" s="4">
        <v>1</v>
      </c>
      <c r="AQ1527" s="20">
        <v>35000</v>
      </c>
      <c r="AR1527" s="4">
        <v>41971</v>
      </c>
      <c r="AS1527" s="20">
        <v>4545.454545454545</v>
      </c>
      <c r="AT1527" s="20">
        <v>0</v>
      </c>
      <c r="AU1527" s="20">
        <v>-4545.454545454545</v>
      </c>
      <c r="AV1527" s="20">
        <v>0</v>
      </c>
      <c r="AW1527" s="20">
        <v>0</v>
      </c>
      <c r="AX1527" s="20" t="s">
        <v>91</v>
      </c>
      <c r="AY1527" s="20">
        <v>0</v>
      </c>
      <c r="AZ1527" s="20">
        <v>0</v>
      </c>
      <c r="BA1527" s="20">
        <v>0</v>
      </c>
      <c r="BB1527" s="6">
        <v>41971</v>
      </c>
      <c r="BC1527" s="6">
        <v>0</v>
      </c>
      <c r="BD1527" s="6">
        <v>41976</v>
      </c>
      <c r="BE1527" s="6">
        <v>0</v>
      </c>
      <c r="BF1527" s="6">
        <v>41975</v>
      </c>
      <c r="BG1527" s="6">
        <v>0</v>
      </c>
      <c r="BH1527" s="6">
        <v>0</v>
      </c>
      <c r="BI1527" s="6">
        <v>0</v>
      </c>
      <c r="BJ1527" s="6">
        <v>0</v>
      </c>
      <c r="BK1527" s="4">
        <v>0</v>
      </c>
      <c r="BL1527" s="4">
        <v>0</v>
      </c>
      <c r="BM1527" s="20">
        <v>20</v>
      </c>
      <c r="BN1527" s="20">
        <v>0</v>
      </c>
      <c r="BO1527" s="20">
        <v>0</v>
      </c>
      <c r="BP1527" s="20">
        <v>0</v>
      </c>
      <c r="BQ1527" s="20">
        <v>0</v>
      </c>
      <c r="BR1527" s="20">
        <v>0</v>
      </c>
      <c r="BS1527" s="20">
        <v>20</v>
      </c>
      <c r="BT1527" s="20">
        <v>90909.090909090897</v>
      </c>
      <c r="BU1527" s="20">
        <v>700000</v>
      </c>
      <c r="BV1527" s="20">
        <v>7</v>
      </c>
    </row>
    <row r="1528" spans="1:74">
      <c r="A1528" s="10">
        <f t="shared" si="94"/>
        <v>0</v>
      </c>
      <c r="B1528" s="10">
        <f t="shared" si="95"/>
        <v>0</v>
      </c>
      <c r="C1528" s="12">
        <f t="shared" si="96"/>
        <v>11</v>
      </c>
      <c r="D1528" s="12">
        <f t="shared" si="97"/>
        <v>12</v>
      </c>
      <c r="E1528" s="20" t="s">
        <v>114</v>
      </c>
      <c r="F1528" s="20" t="s">
        <v>5455</v>
      </c>
      <c r="G1528" s="20" t="s">
        <v>5950</v>
      </c>
      <c r="H1528" s="20" t="s">
        <v>6023</v>
      </c>
      <c r="I1528" s="20">
        <v>13</v>
      </c>
      <c r="J1528" s="20" t="s">
        <v>6024</v>
      </c>
      <c r="K1528" s="20" t="s">
        <v>6025</v>
      </c>
      <c r="L1528" s="20" t="s">
        <v>6026</v>
      </c>
      <c r="M1528" s="20" t="s">
        <v>5455</v>
      </c>
      <c r="N1528" s="20" t="s">
        <v>5825</v>
      </c>
      <c r="P1528" s="20" t="s">
        <v>5455</v>
      </c>
      <c r="Q1528" s="20" t="s">
        <v>5462</v>
      </c>
      <c r="R1528" s="20" t="s">
        <v>84</v>
      </c>
      <c r="S1528" s="20">
        <v>5</v>
      </c>
      <c r="T1528" s="20" t="s">
        <v>244</v>
      </c>
      <c r="U1528" s="20" t="s">
        <v>245</v>
      </c>
      <c r="V1528" s="20" t="s">
        <v>5502</v>
      </c>
      <c r="W1528" s="20">
        <v>52</v>
      </c>
      <c r="X1528" s="20" t="s">
        <v>6027</v>
      </c>
      <c r="Y1528" s="20" t="s">
        <v>6028</v>
      </c>
      <c r="Z1528" s="20">
        <v>1</v>
      </c>
      <c r="AA1528" s="20" t="s">
        <v>6029</v>
      </c>
      <c r="AB1528" s="20" t="s">
        <v>656</v>
      </c>
      <c r="AC1528" s="20" t="s">
        <v>657</v>
      </c>
      <c r="AD1528" s="20" t="s">
        <v>6030</v>
      </c>
      <c r="AE1528" s="20" t="s">
        <v>91</v>
      </c>
      <c r="AF1528" s="20">
        <v>1</v>
      </c>
      <c r="AG1528" s="20">
        <v>0</v>
      </c>
      <c r="AH1528" s="20">
        <v>1</v>
      </c>
      <c r="AI1528" s="4" t="s">
        <v>251</v>
      </c>
      <c r="AJ1528" s="20">
        <v>10</v>
      </c>
      <c r="AK1528" s="4" t="s">
        <v>252</v>
      </c>
      <c r="AL1528" s="4">
        <v>10</v>
      </c>
      <c r="AM1528" s="4">
        <v>10</v>
      </c>
      <c r="AN1528" s="4" t="s">
        <v>95</v>
      </c>
      <c r="AO1528" s="4" t="s">
        <v>96</v>
      </c>
      <c r="AP1528" s="4">
        <v>1</v>
      </c>
      <c r="AQ1528" s="20">
        <v>35000</v>
      </c>
      <c r="AR1528" s="4">
        <v>41971</v>
      </c>
      <c r="AS1528" s="20">
        <v>4545.454545454545</v>
      </c>
      <c r="AT1528" s="20">
        <v>0</v>
      </c>
      <c r="AU1528" s="20">
        <v>-4545.454545454545</v>
      </c>
      <c r="AV1528" s="20">
        <v>0</v>
      </c>
      <c r="AW1528" s="20">
        <v>0</v>
      </c>
      <c r="AX1528" s="20" t="s">
        <v>91</v>
      </c>
      <c r="AY1528" s="20">
        <v>0</v>
      </c>
      <c r="AZ1528" s="20">
        <v>0</v>
      </c>
      <c r="BA1528" s="20">
        <v>0</v>
      </c>
      <c r="BB1528" s="6">
        <v>41971</v>
      </c>
      <c r="BC1528" s="6">
        <v>0</v>
      </c>
      <c r="BD1528" s="6">
        <v>41976</v>
      </c>
      <c r="BE1528" s="6">
        <v>0</v>
      </c>
      <c r="BF1528" s="6">
        <v>41975</v>
      </c>
      <c r="BG1528" s="6">
        <v>0</v>
      </c>
      <c r="BH1528" s="6">
        <v>0</v>
      </c>
      <c r="BI1528" s="6">
        <v>0</v>
      </c>
      <c r="BJ1528" s="6">
        <v>0</v>
      </c>
      <c r="BK1528" s="4">
        <v>0</v>
      </c>
      <c r="BL1528" s="4">
        <v>0</v>
      </c>
      <c r="BM1528" s="20">
        <v>10</v>
      </c>
      <c r="BN1528" s="20">
        <v>0</v>
      </c>
      <c r="BO1528" s="20">
        <v>0</v>
      </c>
      <c r="BP1528" s="20">
        <v>0</v>
      </c>
      <c r="BQ1528" s="20">
        <v>0</v>
      </c>
      <c r="BR1528" s="20">
        <v>0</v>
      </c>
      <c r="BS1528" s="20">
        <v>10</v>
      </c>
      <c r="BT1528" s="20">
        <v>45454.545454545449</v>
      </c>
      <c r="BU1528" s="20">
        <v>350000</v>
      </c>
      <c r="BV1528" s="20">
        <v>7</v>
      </c>
    </row>
    <row r="1529" spans="1:74">
      <c r="A1529" s="10">
        <f t="shared" si="94"/>
        <v>0</v>
      </c>
      <c r="B1529" s="10">
        <f t="shared" si="95"/>
        <v>0</v>
      </c>
      <c r="C1529" s="12">
        <f t="shared" si="96"/>
        <v>11</v>
      </c>
      <c r="D1529" s="12">
        <f t="shared" si="97"/>
        <v>12</v>
      </c>
      <c r="E1529" s="20" t="s">
        <v>114</v>
      </c>
      <c r="F1529" s="20" t="s">
        <v>5455</v>
      </c>
      <c r="G1529" s="20" t="s">
        <v>5950</v>
      </c>
      <c r="H1529" s="20" t="s">
        <v>6031</v>
      </c>
      <c r="I1529" s="20">
        <v>14</v>
      </c>
      <c r="J1529" s="20" t="s">
        <v>6032</v>
      </c>
      <c r="K1529" s="20" t="s">
        <v>6033</v>
      </c>
      <c r="L1529" s="20" t="s">
        <v>6026</v>
      </c>
      <c r="M1529" s="20" t="s">
        <v>5455</v>
      </c>
      <c r="N1529" s="20" t="s">
        <v>5825</v>
      </c>
      <c r="P1529" s="20" t="s">
        <v>5455</v>
      </c>
      <c r="Q1529" s="20" t="s">
        <v>5462</v>
      </c>
      <c r="R1529" s="20" t="s">
        <v>84</v>
      </c>
      <c r="S1529" s="20">
        <v>5</v>
      </c>
      <c r="T1529" s="20" t="s">
        <v>244</v>
      </c>
      <c r="U1529" s="20" t="s">
        <v>245</v>
      </c>
      <c r="V1529" s="20" t="s">
        <v>5502</v>
      </c>
      <c r="W1529" s="20">
        <v>52</v>
      </c>
      <c r="X1529" s="20" t="s">
        <v>6027</v>
      </c>
      <c r="Y1529" s="20" t="s">
        <v>6028</v>
      </c>
      <c r="Z1529" s="20">
        <v>1</v>
      </c>
      <c r="AA1529" s="20" t="s">
        <v>6034</v>
      </c>
      <c r="AB1529" s="20" t="s">
        <v>176</v>
      </c>
      <c r="AC1529" s="20" t="s">
        <v>177</v>
      </c>
      <c r="AD1529" s="20" t="s">
        <v>6035</v>
      </c>
      <c r="AE1529" s="20" t="s">
        <v>91</v>
      </c>
      <c r="AF1529" s="20">
        <v>1</v>
      </c>
      <c r="AG1529" s="20">
        <v>0</v>
      </c>
      <c r="AH1529" s="20">
        <v>1</v>
      </c>
      <c r="AI1529" s="4" t="s">
        <v>251</v>
      </c>
      <c r="AJ1529" s="20">
        <v>10</v>
      </c>
      <c r="AK1529" s="4" t="s">
        <v>252</v>
      </c>
      <c r="AL1529" s="4">
        <v>10</v>
      </c>
      <c r="AM1529" s="4">
        <v>10</v>
      </c>
      <c r="AN1529" s="4" t="s">
        <v>95</v>
      </c>
      <c r="AO1529" s="4" t="s">
        <v>96</v>
      </c>
      <c r="AP1529" s="4">
        <v>1</v>
      </c>
      <c r="AQ1529" s="20">
        <v>35000</v>
      </c>
      <c r="AR1529" s="4">
        <v>41971</v>
      </c>
      <c r="AS1529" s="20">
        <v>4545.454545454545</v>
      </c>
      <c r="AT1529" s="20">
        <v>0</v>
      </c>
      <c r="AU1529" s="20">
        <v>-4545.454545454545</v>
      </c>
      <c r="AV1529" s="20">
        <v>0</v>
      </c>
      <c r="AW1529" s="20">
        <v>0</v>
      </c>
      <c r="AX1529" s="20" t="s">
        <v>91</v>
      </c>
      <c r="AY1529" s="20">
        <v>0</v>
      </c>
      <c r="AZ1529" s="20">
        <v>0</v>
      </c>
      <c r="BA1529" s="20">
        <v>0</v>
      </c>
      <c r="BB1529" s="6">
        <v>41971</v>
      </c>
      <c r="BC1529" s="6">
        <v>0</v>
      </c>
      <c r="BD1529" s="6">
        <v>41976</v>
      </c>
      <c r="BE1529" s="6">
        <v>0</v>
      </c>
      <c r="BF1529" s="6">
        <v>41975</v>
      </c>
      <c r="BG1529" s="6">
        <v>0</v>
      </c>
      <c r="BH1529" s="6">
        <v>0</v>
      </c>
      <c r="BI1529" s="6">
        <v>0</v>
      </c>
      <c r="BJ1529" s="6">
        <v>0</v>
      </c>
      <c r="BK1529" s="4">
        <v>0</v>
      </c>
      <c r="BL1529" s="4">
        <v>0</v>
      </c>
      <c r="BM1529" s="20">
        <v>10</v>
      </c>
      <c r="BN1529" s="20">
        <v>0</v>
      </c>
      <c r="BO1529" s="20">
        <v>0</v>
      </c>
      <c r="BP1529" s="20">
        <v>0</v>
      </c>
      <c r="BQ1529" s="20">
        <v>0</v>
      </c>
      <c r="BR1529" s="20">
        <v>0</v>
      </c>
      <c r="BS1529" s="20">
        <v>10</v>
      </c>
      <c r="BT1529" s="20">
        <v>45454.545454545449</v>
      </c>
      <c r="BU1529" s="20">
        <v>350000</v>
      </c>
      <c r="BV1529" s="20">
        <v>7</v>
      </c>
    </row>
    <row r="1530" spans="1:74">
      <c r="A1530" s="10">
        <f t="shared" si="94"/>
        <v>0</v>
      </c>
      <c r="B1530" s="10">
        <f t="shared" si="95"/>
        <v>0</v>
      </c>
      <c r="C1530" s="12">
        <f t="shared" si="96"/>
        <v>11</v>
      </c>
      <c r="D1530" s="12">
        <f t="shared" si="97"/>
        <v>12</v>
      </c>
      <c r="E1530" s="20" t="s">
        <v>114</v>
      </c>
      <c r="F1530" s="20" t="s">
        <v>5455</v>
      </c>
      <c r="G1530" s="20" t="s">
        <v>5950</v>
      </c>
      <c r="H1530" s="20" t="s">
        <v>6036</v>
      </c>
      <c r="I1530" s="20">
        <v>15</v>
      </c>
      <c r="J1530" s="20" t="s">
        <v>6037</v>
      </c>
      <c r="K1530" s="20" t="s">
        <v>6038</v>
      </c>
      <c r="L1530" s="20" t="s">
        <v>6026</v>
      </c>
      <c r="M1530" s="20" t="s">
        <v>5455</v>
      </c>
      <c r="N1530" s="20" t="s">
        <v>5825</v>
      </c>
      <c r="P1530" s="20" t="s">
        <v>5455</v>
      </c>
      <c r="Q1530" s="20" t="s">
        <v>5462</v>
      </c>
      <c r="R1530" s="20" t="s">
        <v>84</v>
      </c>
      <c r="S1530" s="20">
        <v>5</v>
      </c>
      <c r="T1530" s="20" t="s">
        <v>244</v>
      </c>
      <c r="U1530" s="20" t="s">
        <v>245</v>
      </c>
      <c r="V1530" s="20" t="s">
        <v>5502</v>
      </c>
      <c r="W1530" s="20">
        <v>52</v>
      </c>
      <c r="X1530" s="20" t="s">
        <v>6027</v>
      </c>
      <c r="Y1530" s="20" t="s">
        <v>6028</v>
      </c>
      <c r="Z1530" s="20">
        <v>1</v>
      </c>
      <c r="AA1530" s="20" t="s">
        <v>6039</v>
      </c>
      <c r="AB1530" s="20" t="s">
        <v>109</v>
      </c>
      <c r="AC1530" s="20" t="s">
        <v>110</v>
      </c>
      <c r="AD1530" s="20" t="s">
        <v>6040</v>
      </c>
      <c r="AE1530" s="20" t="s">
        <v>91</v>
      </c>
      <c r="AF1530" s="20">
        <v>1</v>
      </c>
      <c r="AG1530" s="20">
        <v>0</v>
      </c>
      <c r="AH1530" s="20">
        <v>1</v>
      </c>
      <c r="AI1530" s="4" t="s">
        <v>251</v>
      </c>
      <c r="AJ1530" s="20">
        <v>10</v>
      </c>
      <c r="AK1530" s="4" t="s">
        <v>252</v>
      </c>
      <c r="AL1530" s="4">
        <v>10</v>
      </c>
      <c r="AM1530" s="4">
        <v>10</v>
      </c>
      <c r="AN1530" s="4" t="s">
        <v>95</v>
      </c>
      <c r="AO1530" s="4" t="s">
        <v>96</v>
      </c>
      <c r="AP1530" s="4">
        <v>1</v>
      </c>
      <c r="AQ1530" s="20">
        <v>35000</v>
      </c>
      <c r="AR1530" s="4">
        <v>41971</v>
      </c>
      <c r="AS1530" s="20">
        <v>4545.454545454545</v>
      </c>
      <c r="AT1530" s="20">
        <v>0</v>
      </c>
      <c r="AU1530" s="20">
        <v>-4545.454545454545</v>
      </c>
      <c r="AV1530" s="20">
        <v>0</v>
      </c>
      <c r="AW1530" s="20">
        <v>0</v>
      </c>
      <c r="AX1530" s="20" t="s">
        <v>91</v>
      </c>
      <c r="AY1530" s="20">
        <v>0</v>
      </c>
      <c r="AZ1530" s="20">
        <v>0</v>
      </c>
      <c r="BA1530" s="20">
        <v>0</v>
      </c>
      <c r="BB1530" s="6">
        <v>41971</v>
      </c>
      <c r="BC1530" s="6">
        <v>0</v>
      </c>
      <c r="BD1530" s="6">
        <v>41976</v>
      </c>
      <c r="BE1530" s="6">
        <v>0</v>
      </c>
      <c r="BF1530" s="6">
        <v>41975</v>
      </c>
      <c r="BG1530" s="6">
        <v>0</v>
      </c>
      <c r="BH1530" s="6">
        <v>0</v>
      </c>
      <c r="BI1530" s="6">
        <v>0</v>
      </c>
      <c r="BJ1530" s="6">
        <v>0</v>
      </c>
      <c r="BK1530" s="4">
        <v>0</v>
      </c>
      <c r="BL1530" s="4">
        <v>0</v>
      </c>
      <c r="BM1530" s="20">
        <v>10</v>
      </c>
      <c r="BN1530" s="20">
        <v>0</v>
      </c>
      <c r="BO1530" s="20">
        <v>0</v>
      </c>
      <c r="BP1530" s="20">
        <v>0</v>
      </c>
      <c r="BQ1530" s="20">
        <v>0</v>
      </c>
      <c r="BR1530" s="20">
        <v>0</v>
      </c>
      <c r="BS1530" s="20">
        <v>10</v>
      </c>
      <c r="BT1530" s="20">
        <v>45454.545454545449</v>
      </c>
      <c r="BU1530" s="20">
        <v>350000</v>
      </c>
      <c r="BV1530" s="20">
        <v>7</v>
      </c>
    </row>
    <row r="1531" spans="1:74">
      <c r="A1531" s="10">
        <f t="shared" si="94"/>
        <v>0</v>
      </c>
      <c r="B1531" s="10">
        <f t="shared" si="95"/>
        <v>0</v>
      </c>
      <c r="C1531" s="12">
        <f t="shared" si="96"/>
        <v>11</v>
      </c>
      <c r="D1531" s="12">
        <f t="shared" si="97"/>
        <v>12</v>
      </c>
      <c r="E1531" s="20" t="s">
        <v>114</v>
      </c>
      <c r="F1531" s="20" t="s">
        <v>5455</v>
      </c>
      <c r="G1531" s="20" t="s">
        <v>5950</v>
      </c>
      <c r="H1531" s="20" t="s">
        <v>6041</v>
      </c>
      <c r="I1531" s="20">
        <v>16</v>
      </c>
      <c r="J1531" s="20" t="s">
        <v>6042</v>
      </c>
      <c r="K1531" s="20" t="s">
        <v>6043</v>
      </c>
      <c r="L1531" s="20" t="s">
        <v>6044</v>
      </c>
      <c r="M1531" s="20" t="s">
        <v>5455</v>
      </c>
      <c r="N1531" s="20" t="s">
        <v>5862</v>
      </c>
      <c r="P1531" s="20" t="s">
        <v>5455</v>
      </c>
      <c r="Q1531" s="20" t="s">
        <v>5462</v>
      </c>
      <c r="R1531" s="20" t="s">
        <v>84</v>
      </c>
      <c r="S1531" s="20">
        <v>5</v>
      </c>
      <c r="T1531" s="20" t="s">
        <v>395</v>
      </c>
      <c r="U1531" s="20" t="s">
        <v>396</v>
      </c>
      <c r="V1531" s="20" t="s">
        <v>5502</v>
      </c>
      <c r="W1531" s="20">
        <v>26</v>
      </c>
      <c r="X1531" s="20" t="s">
        <v>6045</v>
      </c>
      <c r="Y1531" s="20" t="s">
        <v>6046</v>
      </c>
      <c r="Z1531" s="20">
        <v>1</v>
      </c>
      <c r="AA1531" s="20" t="s">
        <v>6047</v>
      </c>
      <c r="AB1531" s="20" t="s">
        <v>435</v>
      </c>
      <c r="AC1531" s="20" t="s">
        <v>436</v>
      </c>
      <c r="AD1531" s="20" t="s">
        <v>6048</v>
      </c>
      <c r="AE1531" s="20" t="s">
        <v>91</v>
      </c>
      <c r="AF1531" s="20">
        <v>1</v>
      </c>
      <c r="AG1531" s="20">
        <v>0</v>
      </c>
      <c r="AH1531" s="20">
        <v>1</v>
      </c>
      <c r="AI1531" s="4" t="s">
        <v>251</v>
      </c>
      <c r="AJ1531" s="20">
        <v>10</v>
      </c>
      <c r="AK1531" s="4" t="s">
        <v>252</v>
      </c>
      <c r="AL1531" s="4">
        <v>10</v>
      </c>
      <c r="AM1531" s="4">
        <v>10</v>
      </c>
      <c r="AN1531" s="4" t="s">
        <v>95</v>
      </c>
      <c r="AO1531" s="4" t="s">
        <v>96</v>
      </c>
      <c r="AP1531" s="4">
        <v>1</v>
      </c>
      <c r="AQ1531" s="20">
        <v>45000</v>
      </c>
      <c r="AR1531" s="4">
        <v>41971</v>
      </c>
      <c r="AS1531" s="20">
        <v>5844.1558441558436</v>
      </c>
      <c r="AT1531" s="20">
        <v>0</v>
      </c>
      <c r="AU1531" s="20">
        <v>-5844.1558441558436</v>
      </c>
      <c r="AV1531" s="20">
        <v>0</v>
      </c>
      <c r="AW1531" s="20">
        <v>0</v>
      </c>
      <c r="AX1531" s="20" t="s">
        <v>91</v>
      </c>
      <c r="AY1531" s="20">
        <v>0</v>
      </c>
      <c r="AZ1531" s="20">
        <v>0</v>
      </c>
      <c r="BA1531" s="20">
        <v>0</v>
      </c>
      <c r="BB1531" s="6">
        <v>41971</v>
      </c>
      <c r="BC1531" s="6">
        <v>0</v>
      </c>
      <c r="BD1531" s="6">
        <v>41976</v>
      </c>
      <c r="BE1531" s="6">
        <v>0</v>
      </c>
      <c r="BF1531" s="6">
        <v>41975</v>
      </c>
      <c r="BG1531" s="6">
        <v>0</v>
      </c>
      <c r="BH1531" s="6">
        <v>0</v>
      </c>
      <c r="BI1531" s="6">
        <v>0</v>
      </c>
      <c r="BJ1531" s="6">
        <v>0</v>
      </c>
      <c r="BK1531" s="4">
        <v>0</v>
      </c>
      <c r="BL1531" s="4">
        <v>0</v>
      </c>
      <c r="BM1531" s="20">
        <v>10</v>
      </c>
      <c r="BN1531" s="20">
        <v>0</v>
      </c>
      <c r="BO1531" s="20">
        <v>0</v>
      </c>
      <c r="BP1531" s="20">
        <v>0</v>
      </c>
      <c r="BQ1531" s="20">
        <v>0</v>
      </c>
      <c r="BR1531" s="20">
        <v>0</v>
      </c>
      <c r="BS1531" s="20">
        <v>10</v>
      </c>
      <c r="BT1531" s="20">
        <v>58441.558441558438</v>
      </c>
      <c r="BU1531" s="20">
        <v>450000</v>
      </c>
      <c r="BV1531" s="20">
        <v>6.9999999999999991</v>
      </c>
    </row>
    <row r="1532" spans="1:74">
      <c r="A1532" s="10">
        <f t="shared" si="94"/>
        <v>0</v>
      </c>
      <c r="B1532" s="10">
        <f t="shared" si="95"/>
        <v>0</v>
      </c>
      <c r="C1532" s="12" t="str">
        <f t="shared" si="96"/>
        <v/>
      </c>
      <c r="D1532" s="12" t="str">
        <f t="shared" si="97"/>
        <v/>
      </c>
      <c r="E1532" s="20" t="s">
        <v>91</v>
      </c>
      <c r="F1532" s="20" t="s">
        <v>91</v>
      </c>
      <c r="G1532" s="20" t="s">
        <v>91</v>
      </c>
      <c r="H1532" s="20" t="s">
        <v>91</v>
      </c>
      <c r="I1532" s="20">
        <v>0</v>
      </c>
      <c r="J1532" s="20" t="s">
        <v>103</v>
      </c>
      <c r="K1532" s="20" t="s">
        <v>104</v>
      </c>
      <c r="L1532" s="20">
        <v>0</v>
      </c>
      <c r="M1532" s="20" t="s">
        <v>105</v>
      </c>
      <c r="N1532" s="20" t="s">
        <v>91</v>
      </c>
      <c r="O1532" s="20" t="s">
        <v>6049</v>
      </c>
      <c r="Q1532" s="20" t="s">
        <v>91</v>
      </c>
      <c r="R1532" s="20" t="s">
        <v>91</v>
      </c>
      <c r="S1532" s="20" t="s">
        <v>91</v>
      </c>
      <c r="U1532" s="20" t="s">
        <v>91</v>
      </c>
      <c r="X1532" s="20" t="s">
        <v>91</v>
      </c>
      <c r="Y1532" s="20" t="s">
        <v>91</v>
      </c>
      <c r="Z1532" s="20">
        <v>16</v>
      </c>
      <c r="AB1532" s="20" t="s">
        <v>91</v>
      </c>
      <c r="AD1532" s="20" t="s">
        <v>91</v>
      </c>
      <c r="AE1532" s="20" t="s">
        <v>91</v>
      </c>
      <c r="AF1532" s="20">
        <v>16</v>
      </c>
      <c r="AG1532" s="20">
        <v>0</v>
      </c>
      <c r="AH1532" s="20">
        <v>1</v>
      </c>
      <c r="AM1532" s="4" t="s">
        <v>91</v>
      </c>
      <c r="AN1532" s="4" t="s">
        <v>95</v>
      </c>
      <c r="AP1532" s="4" t="s">
        <v>91</v>
      </c>
      <c r="AQ1532" s="20">
        <v>0</v>
      </c>
      <c r="AR1532" s="4">
        <v>0</v>
      </c>
      <c r="AS1532" s="20">
        <v>0</v>
      </c>
      <c r="AT1532" s="20">
        <v>0</v>
      </c>
      <c r="AU1532" s="20">
        <v>0</v>
      </c>
      <c r="AV1532" s="20">
        <v>0</v>
      </c>
      <c r="AW1532" s="20">
        <v>0</v>
      </c>
      <c r="AX1532" s="20" t="s">
        <v>91</v>
      </c>
      <c r="AY1532" s="20">
        <v>0</v>
      </c>
      <c r="AZ1532" s="20">
        <v>0</v>
      </c>
      <c r="BA1532" s="20">
        <v>0</v>
      </c>
      <c r="BB1532" s="6">
        <v>0</v>
      </c>
      <c r="BC1532" s="6">
        <v>0</v>
      </c>
      <c r="BD1532" s="6">
        <v>0</v>
      </c>
      <c r="BE1532" s="6">
        <v>0</v>
      </c>
      <c r="BF1532" s="6">
        <v>0</v>
      </c>
      <c r="BG1532" s="6">
        <v>0</v>
      </c>
      <c r="BH1532" s="6">
        <v>0</v>
      </c>
      <c r="BI1532" s="6">
        <v>0</v>
      </c>
      <c r="BJ1532" s="6">
        <v>0</v>
      </c>
      <c r="BK1532" s="4">
        <v>0</v>
      </c>
      <c r="BL1532" s="4">
        <v>0</v>
      </c>
      <c r="BM1532" s="20">
        <v>180</v>
      </c>
      <c r="BN1532" s="20">
        <v>0</v>
      </c>
      <c r="BO1532" s="20">
        <v>0</v>
      </c>
      <c r="BP1532" s="20">
        <v>0</v>
      </c>
      <c r="BQ1532" s="20">
        <v>0</v>
      </c>
      <c r="BR1532" s="20">
        <v>0</v>
      </c>
      <c r="BS1532" s="20">
        <v>180</v>
      </c>
      <c r="BT1532" s="20">
        <v>864935.06493506464</v>
      </c>
      <c r="BU1532" s="20">
        <v>6660000</v>
      </c>
      <c r="BV1532" s="20">
        <v>7.0000000000000018</v>
      </c>
    </row>
    <row r="1533" spans="1:74">
      <c r="A1533" s="10">
        <f t="shared" si="94"/>
        <v>0</v>
      </c>
      <c r="B1533" s="10">
        <f t="shared" si="95"/>
        <v>0</v>
      </c>
      <c r="C1533" s="12">
        <f t="shared" si="96"/>
        <v>11</v>
      </c>
      <c r="D1533" s="12">
        <f t="shared" si="97"/>
        <v>12</v>
      </c>
      <c r="E1533" s="20" t="s">
        <v>114</v>
      </c>
      <c r="F1533" s="20" t="s">
        <v>5455</v>
      </c>
      <c r="G1533" s="20" t="s">
        <v>6050</v>
      </c>
      <c r="H1533" s="20" t="s">
        <v>6051</v>
      </c>
      <c r="I1533" s="20">
        <v>1</v>
      </c>
      <c r="J1533" s="20" t="s">
        <v>6052</v>
      </c>
      <c r="K1533" s="20" t="s">
        <v>6053</v>
      </c>
      <c r="L1533" s="20" t="s">
        <v>6054</v>
      </c>
      <c r="M1533" s="20" t="s">
        <v>5455</v>
      </c>
      <c r="N1533" s="20" t="s">
        <v>6055</v>
      </c>
      <c r="P1533" s="20" t="s">
        <v>5455</v>
      </c>
      <c r="Q1533" s="20" t="s">
        <v>5462</v>
      </c>
      <c r="R1533" s="20" t="s">
        <v>84</v>
      </c>
      <c r="S1533" s="20">
        <v>5</v>
      </c>
      <c r="T1533" s="20" t="s">
        <v>453</v>
      </c>
      <c r="U1533" s="20" t="s">
        <v>454</v>
      </c>
      <c r="V1533" s="20" t="s">
        <v>5502</v>
      </c>
      <c r="W1533" s="20">
        <v>79</v>
      </c>
      <c r="X1533" s="20" t="s">
        <v>6056</v>
      </c>
      <c r="Y1533" s="20" t="s">
        <v>6057</v>
      </c>
      <c r="Z1533" s="20">
        <v>1</v>
      </c>
      <c r="AA1533" s="20" t="s">
        <v>6058</v>
      </c>
      <c r="AB1533" s="20" t="s">
        <v>248</v>
      </c>
      <c r="AC1533" s="20" t="s">
        <v>249</v>
      </c>
      <c r="AD1533" s="20" t="s">
        <v>6059</v>
      </c>
      <c r="AE1533" s="20" t="s">
        <v>91</v>
      </c>
      <c r="AF1533" s="20">
        <v>1</v>
      </c>
      <c r="AG1533" s="20">
        <v>0</v>
      </c>
      <c r="AH1533" s="20">
        <v>1</v>
      </c>
      <c r="AI1533" s="4" t="s">
        <v>251</v>
      </c>
      <c r="AJ1533" s="20">
        <v>5</v>
      </c>
      <c r="AK1533" s="4" t="s">
        <v>6060</v>
      </c>
      <c r="AL1533" s="4">
        <v>1</v>
      </c>
      <c r="AM1533" s="4" t="s">
        <v>130</v>
      </c>
      <c r="AN1533" s="4" t="s">
        <v>95</v>
      </c>
      <c r="AO1533" s="4" t="s">
        <v>131</v>
      </c>
      <c r="AP1533" s="4">
        <v>2</v>
      </c>
      <c r="AQ1533" s="20">
        <v>49000</v>
      </c>
      <c r="AR1533" s="4">
        <v>41971</v>
      </c>
      <c r="AS1533" s="20">
        <v>11136.363636363636</v>
      </c>
      <c r="AT1533" s="20">
        <v>0</v>
      </c>
      <c r="AU1533" s="20">
        <v>-11136.363636363636</v>
      </c>
      <c r="AV1533" s="20">
        <v>0</v>
      </c>
      <c r="AW1533" s="20">
        <v>0</v>
      </c>
      <c r="AX1533" s="20" t="s">
        <v>91</v>
      </c>
      <c r="AY1533" s="20">
        <v>0</v>
      </c>
      <c r="AZ1533" s="20">
        <v>0</v>
      </c>
      <c r="BA1533" s="20">
        <v>0</v>
      </c>
      <c r="BB1533" s="6">
        <v>41971</v>
      </c>
      <c r="BC1533" s="6">
        <v>0</v>
      </c>
      <c r="BD1533" s="6">
        <v>41976</v>
      </c>
      <c r="BE1533" s="6">
        <v>0</v>
      </c>
      <c r="BF1533" s="6">
        <v>41975</v>
      </c>
      <c r="BG1533" s="6">
        <v>0</v>
      </c>
      <c r="BH1533" s="6">
        <v>0</v>
      </c>
      <c r="BI1533" s="6">
        <v>0</v>
      </c>
      <c r="BJ1533" s="6">
        <v>0</v>
      </c>
      <c r="BK1533" s="4">
        <v>0</v>
      </c>
      <c r="BL1533" s="4">
        <v>0</v>
      </c>
      <c r="BM1533" s="20">
        <v>5</v>
      </c>
      <c r="BN1533" s="20">
        <v>0</v>
      </c>
      <c r="BO1533" s="20">
        <v>0</v>
      </c>
      <c r="BP1533" s="20">
        <v>0</v>
      </c>
      <c r="BQ1533" s="20">
        <v>0</v>
      </c>
      <c r="BR1533" s="20">
        <v>0</v>
      </c>
      <c r="BS1533" s="20">
        <v>5</v>
      </c>
      <c r="BT1533" s="20">
        <v>55681.818181818177</v>
      </c>
      <c r="BU1533" s="20">
        <v>245000</v>
      </c>
      <c r="BV1533" s="20">
        <v>4</v>
      </c>
    </row>
    <row r="1534" spans="1:74">
      <c r="A1534" s="10">
        <f t="shared" si="94"/>
        <v>0</v>
      </c>
      <c r="B1534" s="10">
        <f t="shared" si="95"/>
        <v>0</v>
      </c>
      <c r="C1534" s="12" t="str">
        <f t="shared" si="96"/>
        <v/>
      </c>
      <c r="D1534" s="12" t="str">
        <f t="shared" si="97"/>
        <v/>
      </c>
      <c r="E1534" s="20" t="s">
        <v>91</v>
      </c>
      <c r="F1534" s="20" t="s">
        <v>91</v>
      </c>
      <c r="G1534" s="20" t="s">
        <v>91</v>
      </c>
      <c r="H1534" s="20" t="s">
        <v>91</v>
      </c>
      <c r="I1534" s="20">
        <v>0</v>
      </c>
      <c r="J1534" s="20" t="s">
        <v>103</v>
      </c>
      <c r="K1534" s="20" t="s">
        <v>104</v>
      </c>
      <c r="L1534" s="20">
        <v>0</v>
      </c>
      <c r="M1534" s="20" t="s">
        <v>105</v>
      </c>
      <c r="N1534" s="20" t="s">
        <v>91</v>
      </c>
      <c r="O1534" s="20" t="s">
        <v>6061</v>
      </c>
      <c r="Q1534" s="20" t="s">
        <v>91</v>
      </c>
      <c r="R1534" s="20" t="s">
        <v>91</v>
      </c>
      <c r="S1534" s="20" t="s">
        <v>91</v>
      </c>
      <c r="U1534" s="20" t="s">
        <v>91</v>
      </c>
      <c r="X1534" s="20" t="s">
        <v>91</v>
      </c>
      <c r="Y1534" s="20" t="s">
        <v>91</v>
      </c>
      <c r="Z1534" s="20">
        <v>1</v>
      </c>
      <c r="AB1534" s="20" t="s">
        <v>91</v>
      </c>
      <c r="AD1534" s="20" t="s">
        <v>91</v>
      </c>
      <c r="AE1534" s="20" t="s">
        <v>91</v>
      </c>
      <c r="AF1534" s="20">
        <v>1</v>
      </c>
      <c r="AG1534" s="20">
        <v>0</v>
      </c>
      <c r="AH1534" s="20">
        <v>1</v>
      </c>
      <c r="AM1534" s="4" t="s">
        <v>91</v>
      </c>
      <c r="AN1534" s="4" t="s">
        <v>95</v>
      </c>
      <c r="AP1534" s="4" t="s">
        <v>91</v>
      </c>
      <c r="AQ1534" s="20">
        <v>0</v>
      </c>
      <c r="AR1534" s="4">
        <v>0</v>
      </c>
      <c r="AS1534" s="20">
        <v>0</v>
      </c>
      <c r="AT1534" s="20">
        <v>0</v>
      </c>
      <c r="AU1534" s="20">
        <v>0</v>
      </c>
      <c r="AV1534" s="20">
        <v>0</v>
      </c>
      <c r="AW1534" s="20">
        <v>0</v>
      </c>
      <c r="AX1534" s="20" t="s">
        <v>91</v>
      </c>
      <c r="AY1534" s="20">
        <v>0</v>
      </c>
      <c r="AZ1534" s="20">
        <v>0</v>
      </c>
      <c r="BA1534" s="20">
        <v>0</v>
      </c>
      <c r="BB1534" s="6">
        <v>0</v>
      </c>
      <c r="BC1534" s="6">
        <v>0</v>
      </c>
      <c r="BD1534" s="6">
        <v>0</v>
      </c>
      <c r="BE1534" s="6">
        <v>0</v>
      </c>
      <c r="BF1534" s="6">
        <v>0</v>
      </c>
      <c r="BG1534" s="6">
        <v>0</v>
      </c>
      <c r="BH1534" s="6">
        <v>0</v>
      </c>
      <c r="BI1534" s="6">
        <v>0</v>
      </c>
      <c r="BJ1534" s="6">
        <v>0</v>
      </c>
      <c r="BK1534" s="4">
        <v>0</v>
      </c>
      <c r="BL1534" s="4">
        <v>0</v>
      </c>
      <c r="BM1534" s="20">
        <v>5</v>
      </c>
      <c r="BN1534" s="20">
        <v>0</v>
      </c>
      <c r="BO1534" s="20">
        <v>0</v>
      </c>
      <c r="BP1534" s="20">
        <v>0</v>
      </c>
      <c r="BQ1534" s="20">
        <v>0</v>
      </c>
      <c r="BR1534" s="20">
        <v>0</v>
      </c>
      <c r="BS1534" s="20">
        <v>5</v>
      </c>
      <c r="BT1534" s="20">
        <v>55681.818181818177</v>
      </c>
      <c r="BU1534" s="20">
        <v>245000</v>
      </c>
      <c r="BV1534" s="20">
        <v>4</v>
      </c>
    </row>
    <row r="1535" spans="1:74">
      <c r="A1535" s="10">
        <f t="shared" si="94"/>
        <v>0</v>
      </c>
      <c r="B1535" s="10">
        <f t="shared" si="95"/>
        <v>0</v>
      </c>
      <c r="C1535" s="12">
        <f t="shared" si="96"/>
        <v>11</v>
      </c>
      <c r="D1535" s="12">
        <f t="shared" si="97"/>
        <v>12</v>
      </c>
      <c r="E1535" s="20" t="s">
        <v>114</v>
      </c>
      <c r="F1535" s="20" t="s">
        <v>5455</v>
      </c>
      <c r="G1535" s="20" t="s">
        <v>6062</v>
      </c>
      <c r="H1535" s="20" t="s">
        <v>6063</v>
      </c>
      <c r="I1535" s="20">
        <v>1</v>
      </c>
      <c r="J1535" s="20" t="s">
        <v>6064</v>
      </c>
      <c r="K1535" s="20" t="s">
        <v>6065</v>
      </c>
      <c r="L1535" s="20" t="s">
        <v>6066</v>
      </c>
      <c r="M1535" s="20" t="s">
        <v>5455</v>
      </c>
      <c r="N1535" s="20" t="s">
        <v>5915</v>
      </c>
      <c r="P1535" s="20" t="s">
        <v>5455</v>
      </c>
      <c r="Q1535" s="20" t="s">
        <v>5462</v>
      </c>
      <c r="R1535" s="20" t="s">
        <v>84</v>
      </c>
      <c r="S1535" s="20">
        <v>5</v>
      </c>
      <c r="T1535" s="20" t="s">
        <v>198</v>
      </c>
      <c r="U1535" s="20" t="s">
        <v>199</v>
      </c>
      <c r="V1535" s="20" t="s">
        <v>5502</v>
      </c>
      <c r="W1535" s="20">
        <v>7</v>
      </c>
      <c r="X1535" s="20" t="s">
        <v>5626</v>
      </c>
      <c r="Y1535" s="20" t="s">
        <v>6067</v>
      </c>
      <c r="Z1535" s="20">
        <v>0.5</v>
      </c>
      <c r="AA1535" s="20" t="s">
        <v>6068</v>
      </c>
      <c r="AB1535" s="20" t="s">
        <v>248</v>
      </c>
      <c r="AC1535" s="20" t="s">
        <v>249</v>
      </c>
      <c r="AD1535" s="20" t="s">
        <v>6069</v>
      </c>
      <c r="AE1535" s="20" t="s">
        <v>91</v>
      </c>
      <c r="AF1535" s="20">
        <v>0.5</v>
      </c>
      <c r="AG1535" s="20">
        <v>0</v>
      </c>
      <c r="AH1535" s="20">
        <v>1</v>
      </c>
      <c r="AI1535" s="4" t="s">
        <v>97</v>
      </c>
      <c r="AJ1535" s="20">
        <v>4</v>
      </c>
      <c r="AK1535" s="4" t="s">
        <v>111</v>
      </c>
      <c r="AL1535" s="4">
        <v>34</v>
      </c>
      <c r="AM1535" s="4">
        <v>34</v>
      </c>
      <c r="AN1535" s="4" t="s">
        <v>95</v>
      </c>
      <c r="AO1535" s="4" t="s">
        <v>96</v>
      </c>
      <c r="AP1535" s="4">
        <v>1</v>
      </c>
      <c r="AQ1535" s="20">
        <v>39000</v>
      </c>
      <c r="AR1535" s="4">
        <v>41971</v>
      </c>
      <c r="AS1535" s="20">
        <v>5909.0909090909081</v>
      </c>
      <c r="AT1535" s="20">
        <v>0</v>
      </c>
      <c r="AU1535" s="20">
        <v>-5909.0909090909081</v>
      </c>
      <c r="AV1535" s="20">
        <v>0</v>
      </c>
      <c r="AW1535" s="20">
        <v>0</v>
      </c>
      <c r="AX1535" s="20" t="s">
        <v>91</v>
      </c>
      <c r="AY1535" s="20">
        <v>0</v>
      </c>
      <c r="AZ1535" s="20">
        <v>0</v>
      </c>
      <c r="BA1535" s="20">
        <v>0</v>
      </c>
      <c r="BB1535" s="6">
        <v>41971</v>
      </c>
      <c r="BC1535" s="6">
        <v>0</v>
      </c>
      <c r="BD1535" s="6">
        <v>41976</v>
      </c>
      <c r="BE1535" s="6">
        <v>0</v>
      </c>
      <c r="BF1535" s="6">
        <v>41975</v>
      </c>
      <c r="BG1535" s="6">
        <v>0</v>
      </c>
      <c r="BH1535" s="6">
        <v>0</v>
      </c>
      <c r="BI1535" s="6">
        <v>0</v>
      </c>
      <c r="BJ1535" s="6">
        <v>0</v>
      </c>
      <c r="BK1535" s="4">
        <v>0</v>
      </c>
      <c r="BL1535" s="4">
        <v>0</v>
      </c>
      <c r="BM1535" s="20">
        <v>4</v>
      </c>
      <c r="BN1535" s="20">
        <v>0</v>
      </c>
      <c r="BO1535" s="20">
        <v>0</v>
      </c>
      <c r="BP1535" s="20">
        <v>0</v>
      </c>
      <c r="BQ1535" s="20">
        <v>0</v>
      </c>
      <c r="BR1535" s="20">
        <v>0</v>
      </c>
      <c r="BS1535" s="20">
        <v>4</v>
      </c>
      <c r="BT1535" s="20">
        <v>23636.363636363632</v>
      </c>
      <c r="BU1535" s="20">
        <v>156000</v>
      </c>
      <c r="BV1535" s="20">
        <v>6.0000000000000009</v>
      </c>
    </row>
    <row r="1536" spans="1:74">
      <c r="A1536" s="10">
        <f t="shared" si="94"/>
        <v>0</v>
      </c>
      <c r="B1536" s="10">
        <f t="shared" si="95"/>
        <v>0</v>
      </c>
      <c r="C1536" s="12">
        <f t="shared" si="96"/>
        <v>11</v>
      </c>
      <c r="D1536" s="12">
        <f t="shared" si="97"/>
        <v>12</v>
      </c>
      <c r="E1536" s="20" t="s">
        <v>114</v>
      </c>
      <c r="F1536" s="20" t="s">
        <v>5455</v>
      </c>
      <c r="G1536" s="20" t="s">
        <v>6062</v>
      </c>
      <c r="H1536" s="20" t="s">
        <v>6063</v>
      </c>
      <c r="I1536" s="20">
        <v>1</v>
      </c>
      <c r="J1536" s="20" t="s">
        <v>6064</v>
      </c>
      <c r="K1536" s="20" t="s">
        <v>6070</v>
      </c>
      <c r="L1536" s="20" t="s">
        <v>6066</v>
      </c>
      <c r="M1536" s="20" t="s">
        <v>5455</v>
      </c>
      <c r="N1536" s="20" t="s">
        <v>5915</v>
      </c>
      <c r="P1536" s="20" t="s">
        <v>5455</v>
      </c>
      <c r="Q1536" s="20" t="s">
        <v>5462</v>
      </c>
      <c r="R1536" s="20" t="s">
        <v>84</v>
      </c>
      <c r="S1536" s="20">
        <v>5</v>
      </c>
      <c r="T1536" s="20" t="s">
        <v>198</v>
      </c>
      <c r="U1536" s="20" t="s">
        <v>199</v>
      </c>
      <c r="V1536" s="20" t="s">
        <v>5502</v>
      </c>
      <c r="W1536" s="20">
        <v>7</v>
      </c>
      <c r="X1536" s="20" t="s">
        <v>5626</v>
      </c>
      <c r="Y1536" s="20" t="s">
        <v>6067</v>
      </c>
      <c r="Z1536" s="20">
        <v>0.5</v>
      </c>
      <c r="AA1536" s="20" t="s">
        <v>6071</v>
      </c>
      <c r="AB1536" s="20" t="s">
        <v>248</v>
      </c>
      <c r="AC1536" s="20" t="s">
        <v>249</v>
      </c>
      <c r="AD1536" s="20" t="s">
        <v>6069</v>
      </c>
      <c r="AE1536" s="20" t="s">
        <v>91</v>
      </c>
      <c r="AF1536" s="20">
        <v>0.5</v>
      </c>
      <c r="AG1536" s="20">
        <v>0</v>
      </c>
      <c r="AH1536" s="20">
        <v>1</v>
      </c>
      <c r="AI1536" s="4" t="s">
        <v>98</v>
      </c>
      <c r="AJ1536" s="20">
        <v>3</v>
      </c>
      <c r="AK1536" s="4" t="s">
        <v>111</v>
      </c>
      <c r="AL1536" s="4">
        <v>34</v>
      </c>
      <c r="AM1536" s="4">
        <v>34</v>
      </c>
      <c r="AN1536" s="4" t="s">
        <v>95</v>
      </c>
      <c r="AO1536" s="4" t="s">
        <v>96</v>
      </c>
      <c r="AP1536" s="4">
        <v>1</v>
      </c>
      <c r="AQ1536" s="20">
        <v>39000</v>
      </c>
      <c r="AR1536" s="4">
        <v>41971</v>
      </c>
      <c r="AS1536" s="20">
        <v>5909.0909090909081</v>
      </c>
      <c r="AT1536" s="20">
        <v>0</v>
      </c>
      <c r="AU1536" s="20">
        <v>-5909.0909090909081</v>
      </c>
      <c r="AV1536" s="20">
        <v>0</v>
      </c>
      <c r="AW1536" s="20">
        <v>0</v>
      </c>
      <c r="AX1536" s="20" t="s">
        <v>91</v>
      </c>
      <c r="AY1536" s="20">
        <v>0</v>
      </c>
      <c r="AZ1536" s="20">
        <v>0</v>
      </c>
      <c r="BA1536" s="20">
        <v>0</v>
      </c>
      <c r="BB1536" s="6">
        <v>41971</v>
      </c>
      <c r="BC1536" s="6">
        <v>0</v>
      </c>
      <c r="BD1536" s="6">
        <v>41976</v>
      </c>
      <c r="BE1536" s="6">
        <v>0</v>
      </c>
      <c r="BF1536" s="6">
        <v>41975</v>
      </c>
      <c r="BG1536" s="6">
        <v>0</v>
      </c>
      <c r="BH1536" s="6">
        <v>0</v>
      </c>
      <c r="BI1536" s="6">
        <v>0</v>
      </c>
      <c r="BJ1536" s="6">
        <v>0</v>
      </c>
      <c r="BK1536" s="4">
        <v>0</v>
      </c>
      <c r="BL1536" s="4">
        <v>0</v>
      </c>
      <c r="BM1536" s="20">
        <v>3</v>
      </c>
      <c r="BN1536" s="20">
        <v>0</v>
      </c>
      <c r="BO1536" s="20">
        <v>0</v>
      </c>
      <c r="BP1536" s="20">
        <v>0</v>
      </c>
      <c r="BQ1536" s="20">
        <v>0</v>
      </c>
      <c r="BR1536" s="20">
        <v>0</v>
      </c>
      <c r="BS1536" s="20">
        <v>3</v>
      </c>
      <c r="BT1536" s="20">
        <v>17727.272727272724</v>
      </c>
      <c r="BU1536" s="20">
        <v>117000</v>
      </c>
      <c r="BV1536" s="20">
        <v>6</v>
      </c>
    </row>
    <row r="1537" spans="1:74">
      <c r="A1537" s="10">
        <f t="shared" si="94"/>
        <v>0</v>
      </c>
      <c r="B1537" s="10">
        <f t="shared" si="95"/>
        <v>0</v>
      </c>
      <c r="C1537" s="12">
        <f t="shared" si="96"/>
        <v>11</v>
      </c>
      <c r="D1537" s="12">
        <f t="shared" si="97"/>
        <v>12</v>
      </c>
      <c r="E1537" s="20" t="s">
        <v>114</v>
      </c>
      <c r="F1537" s="20" t="s">
        <v>5455</v>
      </c>
      <c r="G1537" s="20" t="s">
        <v>6062</v>
      </c>
      <c r="H1537" s="20" t="s">
        <v>6072</v>
      </c>
      <c r="I1537" s="20">
        <v>2</v>
      </c>
      <c r="J1537" s="20" t="s">
        <v>6073</v>
      </c>
      <c r="K1537" s="20" t="s">
        <v>6074</v>
      </c>
      <c r="L1537" s="20" t="s">
        <v>6066</v>
      </c>
      <c r="M1537" s="20" t="s">
        <v>5455</v>
      </c>
      <c r="N1537" s="20" t="s">
        <v>5915</v>
      </c>
      <c r="P1537" s="20" t="s">
        <v>5455</v>
      </c>
      <c r="Q1537" s="20" t="s">
        <v>5462</v>
      </c>
      <c r="R1537" s="20" t="s">
        <v>84</v>
      </c>
      <c r="S1537" s="20">
        <v>5</v>
      </c>
      <c r="T1537" s="20" t="s">
        <v>198</v>
      </c>
      <c r="U1537" s="20" t="s">
        <v>199</v>
      </c>
      <c r="V1537" s="20" t="s">
        <v>5502</v>
      </c>
      <c r="W1537" s="20">
        <v>7</v>
      </c>
      <c r="X1537" s="20" t="s">
        <v>5626</v>
      </c>
      <c r="Y1537" s="20" t="s">
        <v>6067</v>
      </c>
      <c r="Z1537" s="20">
        <v>0.5</v>
      </c>
      <c r="AA1537" s="20" t="s">
        <v>6075</v>
      </c>
      <c r="AB1537" s="20" t="s">
        <v>176</v>
      </c>
      <c r="AC1537" s="20" t="s">
        <v>177</v>
      </c>
      <c r="AD1537" s="20" t="s">
        <v>6076</v>
      </c>
      <c r="AE1537" s="20" t="s">
        <v>91</v>
      </c>
      <c r="AF1537" s="20">
        <v>0.5</v>
      </c>
      <c r="AG1537" s="20">
        <v>0</v>
      </c>
      <c r="AH1537" s="20">
        <v>1</v>
      </c>
      <c r="AI1537" s="4" t="s">
        <v>97</v>
      </c>
      <c r="AJ1537" s="20">
        <v>4</v>
      </c>
      <c r="AK1537" s="4" t="s">
        <v>111</v>
      </c>
      <c r="AL1537" s="4">
        <v>34</v>
      </c>
      <c r="AM1537" s="4">
        <v>34</v>
      </c>
      <c r="AN1537" s="4" t="s">
        <v>95</v>
      </c>
      <c r="AO1537" s="4" t="s">
        <v>96</v>
      </c>
      <c r="AP1537" s="4">
        <v>1</v>
      </c>
      <c r="AQ1537" s="20">
        <v>39000</v>
      </c>
      <c r="AR1537" s="4">
        <v>41971</v>
      </c>
      <c r="AS1537" s="20">
        <v>5909.0909090909081</v>
      </c>
      <c r="AT1537" s="20">
        <v>0</v>
      </c>
      <c r="AU1537" s="20">
        <v>-5909.0909090909081</v>
      </c>
      <c r="AV1537" s="20">
        <v>0</v>
      </c>
      <c r="AW1537" s="20">
        <v>0</v>
      </c>
      <c r="AX1537" s="20" t="s">
        <v>91</v>
      </c>
      <c r="AY1537" s="20">
        <v>0</v>
      </c>
      <c r="AZ1537" s="20">
        <v>0</v>
      </c>
      <c r="BA1537" s="20">
        <v>0</v>
      </c>
      <c r="BB1537" s="6">
        <v>41971</v>
      </c>
      <c r="BC1537" s="6">
        <v>0</v>
      </c>
      <c r="BD1537" s="6">
        <v>41976</v>
      </c>
      <c r="BE1537" s="6">
        <v>0</v>
      </c>
      <c r="BF1537" s="6">
        <v>41975</v>
      </c>
      <c r="BG1537" s="6">
        <v>0</v>
      </c>
      <c r="BH1537" s="6">
        <v>0</v>
      </c>
      <c r="BI1537" s="6">
        <v>0</v>
      </c>
      <c r="BJ1537" s="6">
        <v>0</v>
      </c>
      <c r="BK1537" s="4">
        <v>0</v>
      </c>
      <c r="BL1537" s="4">
        <v>0</v>
      </c>
      <c r="BM1537" s="20">
        <v>4</v>
      </c>
      <c r="BN1537" s="20">
        <v>0</v>
      </c>
      <c r="BO1537" s="20">
        <v>0</v>
      </c>
      <c r="BP1537" s="20">
        <v>0</v>
      </c>
      <c r="BQ1537" s="20">
        <v>0</v>
      </c>
      <c r="BR1537" s="20">
        <v>0</v>
      </c>
      <c r="BS1537" s="20">
        <v>4</v>
      </c>
      <c r="BT1537" s="20">
        <v>23636.363636363632</v>
      </c>
      <c r="BU1537" s="20">
        <v>156000</v>
      </c>
      <c r="BV1537" s="20">
        <v>6.0000000000000009</v>
      </c>
    </row>
    <row r="1538" spans="1:74">
      <c r="A1538" s="10">
        <f t="shared" si="94"/>
        <v>0</v>
      </c>
      <c r="B1538" s="10">
        <f t="shared" si="95"/>
        <v>0</v>
      </c>
      <c r="C1538" s="12">
        <f t="shared" si="96"/>
        <v>11</v>
      </c>
      <c r="D1538" s="12">
        <f t="shared" si="97"/>
        <v>12</v>
      </c>
      <c r="E1538" s="20" t="s">
        <v>114</v>
      </c>
      <c r="F1538" s="20" t="s">
        <v>5455</v>
      </c>
      <c r="G1538" s="20" t="s">
        <v>6062</v>
      </c>
      <c r="H1538" s="20" t="s">
        <v>6072</v>
      </c>
      <c r="I1538" s="20">
        <v>2</v>
      </c>
      <c r="J1538" s="20" t="s">
        <v>6073</v>
      </c>
      <c r="K1538" s="20" t="s">
        <v>6077</v>
      </c>
      <c r="L1538" s="20" t="s">
        <v>6066</v>
      </c>
      <c r="M1538" s="20" t="s">
        <v>5455</v>
      </c>
      <c r="N1538" s="20" t="s">
        <v>5915</v>
      </c>
      <c r="P1538" s="20" t="s">
        <v>5455</v>
      </c>
      <c r="Q1538" s="20" t="s">
        <v>5462</v>
      </c>
      <c r="R1538" s="20" t="s">
        <v>84</v>
      </c>
      <c r="S1538" s="20">
        <v>5</v>
      </c>
      <c r="T1538" s="20" t="s">
        <v>198</v>
      </c>
      <c r="U1538" s="20" t="s">
        <v>199</v>
      </c>
      <c r="V1538" s="20" t="s">
        <v>5502</v>
      </c>
      <c r="W1538" s="20">
        <v>7</v>
      </c>
      <c r="X1538" s="20" t="s">
        <v>5626</v>
      </c>
      <c r="Y1538" s="20" t="s">
        <v>6067</v>
      </c>
      <c r="Z1538" s="20">
        <v>0.5</v>
      </c>
      <c r="AA1538" s="20" t="s">
        <v>6078</v>
      </c>
      <c r="AB1538" s="20" t="s">
        <v>176</v>
      </c>
      <c r="AC1538" s="20" t="s">
        <v>177</v>
      </c>
      <c r="AD1538" s="20" t="s">
        <v>6076</v>
      </c>
      <c r="AE1538" s="20" t="s">
        <v>91</v>
      </c>
      <c r="AF1538" s="20">
        <v>0.5</v>
      </c>
      <c r="AG1538" s="20">
        <v>0</v>
      </c>
      <c r="AH1538" s="20">
        <v>1</v>
      </c>
      <c r="AI1538" s="4" t="s">
        <v>98</v>
      </c>
      <c r="AJ1538" s="20">
        <v>3</v>
      </c>
      <c r="AK1538" s="4" t="s">
        <v>111</v>
      </c>
      <c r="AL1538" s="4">
        <v>34</v>
      </c>
      <c r="AM1538" s="4">
        <v>34</v>
      </c>
      <c r="AN1538" s="4" t="s">
        <v>95</v>
      </c>
      <c r="AO1538" s="4" t="s">
        <v>96</v>
      </c>
      <c r="AP1538" s="4">
        <v>1</v>
      </c>
      <c r="AQ1538" s="20">
        <v>39000</v>
      </c>
      <c r="AR1538" s="4">
        <v>41971</v>
      </c>
      <c r="AS1538" s="20">
        <v>5909.0909090909081</v>
      </c>
      <c r="AT1538" s="20">
        <v>0</v>
      </c>
      <c r="AU1538" s="20">
        <v>-5909.0909090909081</v>
      </c>
      <c r="AV1538" s="20">
        <v>0</v>
      </c>
      <c r="AW1538" s="20">
        <v>0</v>
      </c>
      <c r="AX1538" s="20" t="s">
        <v>91</v>
      </c>
      <c r="AY1538" s="20">
        <v>0</v>
      </c>
      <c r="AZ1538" s="20">
        <v>0</v>
      </c>
      <c r="BA1538" s="20">
        <v>0</v>
      </c>
      <c r="BB1538" s="6">
        <v>41971</v>
      </c>
      <c r="BC1538" s="6">
        <v>0</v>
      </c>
      <c r="BD1538" s="6">
        <v>41976</v>
      </c>
      <c r="BE1538" s="6">
        <v>0</v>
      </c>
      <c r="BF1538" s="6">
        <v>41975</v>
      </c>
      <c r="BG1538" s="6">
        <v>0</v>
      </c>
      <c r="BH1538" s="6">
        <v>0</v>
      </c>
      <c r="BI1538" s="6">
        <v>0</v>
      </c>
      <c r="BJ1538" s="6">
        <v>0</v>
      </c>
      <c r="BK1538" s="4">
        <v>0</v>
      </c>
      <c r="BL1538" s="4">
        <v>0</v>
      </c>
      <c r="BM1538" s="20">
        <v>3</v>
      </c>
      <c r="BN1538" s="20">
        <v>0</v>
      </c>
      <c r="BO1538" s="20">
        <v>0</v>
      </c>
      <c r="BP1538" s="20">
        <v>0</v>
      </c>
      <c r="BQ1538" s="20">
        <v>0</v>
      </c>
      <c r="BR1538" s="20">
        <v>0</v>
      </c>
      <c r="BS1538" s="20">
        <v>3</v>
      </c>
      <c r="BT1538" s="20">
        <v>17727.272727272724</v>
      </c>
      <c r="BU1538" s="20">
        <v>117000</v>
      </c>
      <c r="BV1538" s="20">
        <v>6</v>
      </c>
    </row>
    <row r="1539" spans="1:74">
      <c r="A1539" s="10">
        <f t="shared" ref="A1539:A1593" si="98">IF($BL1539="공급",$Z1539,0)</f>
        <v>0</v>
      </c>
      <c r="B1539" s="10">
        <f t="shared" ref="B1539:B1593" si="99">IF($AV1539&gt;0,$Z1539,0)</f>
        <v>0</v>
      </c>
      <c r="C1539" s="12" t="str">
        <f t="shared" si="96"/>
        <v/>
      </c>
      <c r="D1539" s="12" t="str">
        <f t="shared" si="97"/>
        <v/>
      </c>
      <c r="E1539" s="20" t="s">
        <v>91</v>
      </c>
      <c r="F1539" s="20" t="s">
        <v>91</v>
      </c>
      <c r="G1539" s="20" t="s">
        <v>91</v>
      </c>
      <c r="H1539" s="20" t="s">
        <v>91</v>
      </c>
      <c r="I1539" s="20">
        <v>0</v>
      </c>
      <c r="J1539" s="20" t="s">
        <v>103</v>
      </c>
      <c r="K1539" s="20" t="s">
        <v>104</v>
      </c>
      <c r="L1539" s="20">
        <v>0</v>
      </c>
      <c r="M1539" s="20" t="s">
        <v>105</v>
      </c>
      <c r="N1539" s="20" t="s">
        <v>91</v>
      </c>
      <c r="O1539" s="20" t="s">
        <v>6079</v>
      </c>
      <c r="Q1539" s="20" t="s">
        <v>91</v>
      </c>
      <c r="R1539" s="20" t="s">
        <v>91</v>
      </c>
      <c r="S1539" s="20" t="s">
        <v>91</v>
      </c>
      <c r="U1539" s="20" t="s">
        <v>91</v>
      </c>
      <c r="X1539" s="20" t="s">
        <v>91</v>
      </c>
      <c r="Y1539" s="20" t="s">
        <v>91</v>
      </c>
      <c r="Z1539" s="20">
        <v>2</v>
      </c>
      <c r="AB1539" s="20" t="s">
        <v>91</v>
      </c>
      <c r="AD1539" s="20" t="s">
        <v>91</v>
      </c>
      <c r="AE1539" s="20" t="s">
        <v>91</v>
      </c>
      <c r="AF1539" s="20">
        <v>2</v>
      </c>
      <c r="AG1539" s="20">
        <v>0</v>
      </c>
      <c r="AH1539" s="20">
        <v>1</v>
      </c>
      <c r="AM1539" s="4" t="s">
        <v>91</v>
      </c>
      <c r="AN1539" s="4" t="s">
        <v>95</v>
      </c>
      <c r="AP1539" s="4" t="s">
        <v>91</v>
      </c>
      <c r="AQ1539" s="20">
        <v>0</v>
      </c>
      <c r="AR1539" s="4">
        <v>0</v>
      </c>
      <c r="AS1539" s="20">
        <v>0</v>
      </c>
      <c r="AT1539" s="20">
        <v>0</v>
      </c>
      <c r="AU1539" s="20">
        <v>0</v>
      </c>
      <c r="AV1539" s="20">
        <v>0</v>
      </c>
      <c r="AW1539" s="20">
        <v>0</v>
      </c>
      <c r="AX1539" s="20" t="s">
        <v>91</v>
      </c>
      <c r="AY1539" s="20">
        <v>0</v>
      </c>
      <c r="AZ1539" s="20">
        <v>0</v>
      </c>
      <c r="BA1539" s="20">
        <v>0</v>
      </c>
      <c r="BB1539" s="6">
        <v>0</v>
      </c>
      <c r="BC1539" s="6">
        <v>0</v>
      </c>
      <c r="BD1539" s="6">
        <v>0</v>
      </c>
      <c r="BE1539" s="6">
        <v>0</v>
      </c>
      <c r="BF1539" s="6">
        <v>0</v>
      </c>
      <c r="BG1539" s="6">
        <v>0</v>
      </c>
      <c r="BH1539" s="6">
        <v>0</v>
      </c>
      <c r="BI1539" s="6">
        <v>0</v>
      </c>
      <c r="BJ1539" s="6">
        <v>0</v>
      </c>
      <c r="BK1539" s="4">
        <v>0</v>
      </c>
      <c r="BL1539" s="4">
        <v>0</v>
      </c>
      <c r="BM1539" s="20">
        <v>14</v>
      </c>
      <c r="BN1539" s="20">
        <v>0</v>
      </c>
      <c r="BO1539" s="20">
        <v>0</v>
      </c>
      <c r="BP1539" s="20">
        <v>0</v>
      </c>
      <c r="BQ1539" s="20">
        <v>0</v>
      </c>
      <c r="BR1539" s="20">
        <v>0</v>
      </c>
      <c r="BS1539" s="20">
        <v>14</v>
      </c>
      <c r="BT1539" s="20">
        <v>82727.272727272706</v>
      </c>
      <c r="BU1539" s="20">
        <v>546000</v>
      </c>
      <c r="BV1539" s="20">
        <v>6.0000000000000009</v>
      </c>
    </row>
    <row r="1540" spans="1:74">
      <c r="A1540" s="10">
        <f t="shared" si="98"/>
        <v>0</v>
      </c>
      <c r="B1540" s="10">
        <f t="shared" si="99"/>
        <v>0</v>
      </c>
      <c r="C1540" s="12">
        <f t="shared" ref="C1540:C1593" si="100">IF($BB1540=0,"",MONTH($BB1540))</f>
        <v>11</v>
      </c>
      <c r="D1540" s="12">
        <f t="shared" si="97"/>
        <v>12</v>
      </c>
      <c r="E1540" s="20" t="s">
        <v>114</v>
      </c>
      <c r="F1540" s="20" t="s">
        <v>5455</v>
      </c>
      <c r="G1540" s="20" t="s">
        <v>6080</v>
      </c>
      <c r="H1540" s="20" t="s">
        <v>6081</v>
      </c>
      <c r="I1540" s="20">
        <v>1</v>
      </c>
      <c r="J1540" s="20" t="s">
        <v>6082</v>
      </c>
      <c r="K1540" s="20" t="s">
        <v>6083</v>
      </c>
      <c r="L1540" s="20" t="s">
        <v>6084</v>
      </c>
      <c r="M1540" s="20" t="s">
        <v>5455</v>
      </c>
      <c r="N1540" s="20" t="s">
        <v>6085</v>
      </c>
      <c r="P1540" s="20" t="s">
        <v>5455</v>
      </c>
      <c r="Q1540" s="20" t="s">
        <v>5462</v>
      </c>
      <c r="R1540" s="20" t="s">
        <v>84</v>
      </c>
      <c r="S1540" s="20" t="s">
        <v>123</v>
      </c>
      <c r="T1540" s="20" t="s">
        <v>124</v>
      </c>
      <c r="U1540" s="20" t="s">
        <v>125</v>
      </c>
      <c r="V1540" s="20" t="s">
        <v>5502</v>
      </c>
      <c r="W1540" s="20">
        <v>62</v>
      </c>
      <c r="X1540" s="20" t="s">
        <v>6086</v>
      </c>
      <c r="Y1540" s="20" t="s">
        <v>6087</v>
      </c>
      <c r="Z1540" s="20">
        <v>1</v>
      </c>
      <c r="AA1540" s="20" t="s">
        <v>6088</v>
      </c>
      <c r="AB1540" s="20" t="s">
        <v>109</v>
      </c>
      <c r="AC1540" s="20" t="s">
        <v>110</v>
      </c>
      <c r="AD1540" s="20" t="s">
        <v>6089</v>
      </c>
      <c r="AE1540" s="20" t="s">
        <v>91</v>
      </c>
      <c r="AF1540" s="20">
        <v>1</v>
      </c>
      <c r="AG1540" s="20">
        <v>0</v>
      </c>
      <c r="AH1540" s="20">
        <v>1</v>
      </c>
      <c r="AI1540" s="4" t="s">
        <v>251</v>
      </c>
      <c r="AJ1540" s="20">
        <v>5</v>
      </c>
      <c r="AK1540" s="4" t="s">
        <v>1047</v>
      </c>
      <c r="AL1540" s="4">
        <v>16</v>
      </c>
      <c r="AM1540" s="4">
        <v>16</v>
      </c>
      <c r="AN1540" s="4" t="s">
        <v>95</v>
      </c>
      <c r="AO1540" s="4" t="s">
        <v>96</v>
      </c>
      <c r="AP1540" s="4">
        <v>1</v>
      </c>
      <c r="AQ1540" s="20">
        <v>45000</v>
      </c>
      <c r="AR1540" s="4">
        <v>41971</v>
      </c>
      <c r="AS1540" s="20">
        <v>4545.454545454545</v>
      </c>
      <c r="AT1540" s="20">
        <v>0</v>
      </c>
      <c r="AU1540" s="20">
        <v>-4545.454545454545</v>
      </c>
      <c r="AV1540" s="20">
        <v>0</v>
      </c>
      <c r="AW1540" s="20">
        <v>0</v>
      </c>
      <c r="AX1540" s="20" t="s">
        <v>91</v>
      </c>
      <c r="AY1540" s="20">
        <v>0</v>
      </c>
      <c r="AZ1540" s="20">
        <v>0</v>
      </c>
      <c r="BA1540" s="20">
        <v>0</v>
      </c>
      <c r="BB1540" s="6">
        <v>41971</v>
      </c>
      <c r="BC1540" s="6">
        <v>0</v>
      </c>
      <c r="BD1540" s="6">
        <v>41976</v>
      </c>
      <c r="BE1540" s="6">
        <v>0</v>
      </c>
      <c r="BF1540" s="6">
        <v>41975</v>
      </c>
      <c r="BG1540" s="6">
        <v>0</v>
      </c>
      <c r="BH1540" s="6">
        <v>0</v>
      </c>
      <c r="BI1540" s="6">
        <v>0</v>
      </c>
      <c r="BJ1540" s="6">
        <v>0</v>
      </c>
      <c r="BK1540" s="4">
        <v>0</v>
      </c>
      <c r="BL1540" s="4">
        <v>0</v>
      </c>
      <c r="BM1540" s="20">
        <v>5</v>
      </c>
      <c r="BN1540" s="20">
        <v>0</v>
      </c>
      <c r="BO1540" s="20">
        <v>0</v>
      </c>
      <c r="BP1540" s="20">
        <v>0</v>
      </c>
      <c r="BQ1540" s="20">
        <v>0</v>
      </c>
      <c r="BR1540" s="20">
        <v>0</v>
      </c>
      <c r="BS1540" s="20">
        <v>5</v>
      </c>
      <c r="BT1540" s="20">
        <v>22727.272727272724</v>
      </c>
      <c r="BU1540" s="20">
        <v>225000</v>
      </c>
      <c r="BV1540" s="20">
        <v>9</v>
      </c>
    </row>
    <row r="1541" spans="1:74">
      <c r="A1541" s="10">
        <f t="shared" si="98"/>
        <v>0</v>
      </c>
      <c r="B1541" s="10">
        <f t="shared" si="99"/>
        <v>0</v>
      </c>
      <c r="C1541" s="12" t="str">
        <f t="shared" si="100"/>
        <v/>
      </c>
      <c r="D1541" s="12" t="str">
        <f t="shared" ref="D1541:D1593" si="101">IF(AND(BD1541=0,BF1541=0),"",MONTH(IF($BF1541=0,$BD1541,$BF1541)))</f>
        <v/>
      </c>
      <c r="E1541" s="20" t="s">
        <v>91</v>
      </c>
      <c r="F1541" s="20" t="s">
        <v>91</v>
      </c>
      <c r="G1541" s="20" t="s">
        <v>91</v>
      </c>
      <c r="H1541" s="20" t="s">
        <v>91</v>
      </c>
      <c r="I1541" s="20">
        <v>0</v>
      </c>
      <c r="J1541" s="20" t="s">
        <v>103</v>
      </c>
      <c r="K1541" s="20" t="s">
        <v>104</v>
      </c>
      <c r="L1541" s="20">
        <v>0</v>
      </c>
      <c r="M1541" s="20" t="s">
        <v>105</v>
      </c>
      <c r="N1541" s="20" t="s">
        <v>91</v>
      </c>
      <c r="O1541" s="20" t="s">
        <v>6090</v>
      </c>
      <c r="Q1541" s="20" t="s">
        <v>91</v>
      </c>
      <c r="R1541" s="20" t="s">
        <v>91</v>
      </c>
      <c r="S1541" s="20" t="s">
        <v>91</v>
      </c>
      <c r="U1541" s="20" t="s">
        <v>91</v>
      </c>
      <c r="X1541" s="20" t="s">
        <v>91</v>
      </c>
      <c r="Y1541" s="20" t="s">
        <v>91</v>
      </c>
      <c r="Z1541" s="20">
        <v>1</v>
      </c>
      <c r="AB1541" s="20" t="s">
        <v>91</v>
      </c>
      <c r="AD1541" s="20" t="s">
        <v>91</v>
      </c>
      <c r="AE1541" s="20" t="s">
        <v>91</v>
      </c>
      <c r="AF1541" s="20">
        <v>1</v>
      </c>
      <c r="AG1541" s="20">
        <v>0</v>
      </c>
      <c r="AH1541" s="20">
        <v>1</v>
      </c>
      <c r="AM1541" s="4" t="s">
        <v>91</v>
      </c>
      <c r="AN1541" s="4" t="s">
        <v>95</v>
      </c>
      <c r="AP1541" s="4" t="s">
        <v>91</v>
      </c>
      <c r="AQ1541" s="20">
        <v>0</v>
      </c>
      <c r="AR1541" s="4">
        <v>0</v>
      </c>
      <c r="AS1541" s="20">
        <v>0</v>
      </c>
      <c r="AT1541" s="20">
        <v>0</v>
      </c>
      <c r="AU1541" s="20">
        <v>0</v>
      </c>
      <c r="AV1541" s="20">
        <v>0</v>
      </c>
      <c r="AW1541" s="20">
        <v>0</v>
      </c>
      <c r="AX1541" s="20" t="s">
        <v>91</v>
      </c>
      <c r="AY1541" s="20">
        <v>0</v>
      </c>
      <c r="AZ1541" s="20">
        <v>0</v>
      </c>
      <c r="BA1541" s="20">
        <v>0</v>
      </c>
      <c r="BB1541" s="6">
        <v>0</v>
      </c>
      <c r="BC1541" s="6">
        <v>0</v>
      </c>
      <c r="BD1541" s="6">
        <v>0</v>
      </c>
      <c r="BE1541" s="6">
        <v>0</v>
      </c>
      <c r="BF1541" s="6">
        <v>0</v>
      </c>
      <c r="BG1541" s="6">
        <v>0</v>
      </c>
      <c r="BH1541" s="6">
        <v>0</v>
      </c>
      <c r="BI1541" s="6">
        <v>0</v>
      </c>
      <c r="BJ1541" s="6">
        <v>0</v>
      </c>
      <c r="BK1541" s="4">
        <v>0</v>
      </c>
      <c r="BL1541" s="4">
        <v>0</v>
      </c>
      <c r="BM1541" s="20">
        <v>5</v>
      </c>
      <c r="BN1541" s="20">
        <v>0</v>
      </c>
      <c r="BO1541" s="20">
        <v>0</v>
      </c>
      <c r="BP1541" s="20">
        <v>0</v>
      </c>
      <c r="BQ1541" s="20">
        <v>0</v>
      </c>
      <c r="BR1541" s="20">
        <v>0</v>
      </c>
      <c r="BS1541" s="20">
        <v>5</v>
      </c>
      <c r="BT1541" s="20">
        <v>22727.272727272724</v>
      </c>
      <c r="BU1541" s="20">
        <v>225000</v>
      </c>
      <c r="BV1541" s="20">
        <v>9</v>
      </c>
    </row>
    <row r="1542" spans="1:74">
      <c r="A1542" s="10">
        <f t="shared" si="98"/>
        <v>0</v>
      </c>
      <c r="B1542" s="10">
        <f t="shared" si="99"/>
        <v>0</v>
      </c>
      <c r="C1542" s="12">
        <f t="shared" si="100"/>
        <v>11</v>
      </c>
      <c r="D1542" s="12">
        <f t="shared" si="101"/>
        <v>12</v>
      </c>
      <c r="E1542" s="20" t="s">
        <v>424</v>
      </c>
      <c r="F1542" s="20" t="s">
        <v>2810</v>
      </c>
      <c r="G1542" s="20" t="s">
        <v>6091</v>
      </c>
      <c r="H1542" s="20" t="s">
        <v>6092</v>
      </c>
      <c r="I1542" s="20">
        <v>1</v>
      </c>
      <c r="J1542" s="20" t="s">
        <v>6093</v>
      </c>
      <c r="K1542" s="20" t="s">
        <v>6094</v>
      </c>
      <c r="L1542" s="20" t="s">
        <v>6095</v>
      </c>
      <c r="M1542" s="20" t="s">
        <v>2810</v>
      </c>
      <c r="N1542" s="20" t="s">
        <v>3016</v>
      </c>
      <c r="P1542" s="20" t="s">
        <v>2810</v>
      </c>
      <c r="Q1542" s="20" t="s">
        <v>2817</v>
      </c>
      <c r="R1542" s="20" t="s">
        <v>84</v>
      </c>
      <c r="S1542" s="20">
        <v>5</v>
      </c>
      <c r="T1542" s="20" t="s">
        <v>172</v>
      </c>
      <c r="U1542" s="20" t="s">
        <v>173</v>
      </c>
      <c r="V1542" s="20" t="s">
        <v>5502</v>
      </c>
      <c r="W1542" s="20">
        <v>26</v>
      </c>
      <c r="X1542" s="20" t="s">
        <v>6045</v>
      </c>
      <c r="Y1542" s="20" t="s">
        <v>6096</v>
      </c>
      <c r="Z1542" s="20">
        <v>1</v>
      </c>
      <c r="AA1542" s="20" t="s">
        <v>6097</v>
      </c>
      <c r="AB1542" s="20" t="s">
        <v>176</v>
      </c>
      <c r="AC1542" s="20" t="s">
        <v>177</v>
      </c>
      <c r="AD1542" s="20" t="s">
        <v>6098</v>
      </c>
      <c r="AE1542" s="20" t="s">
        <v>91</v>
      </c>
      <c r="AF1542" s="20">
        <v>1</v>
      </c>
      <c r="AG1542" s="20">
        <v>0</v>
      </c>
      <c r="AH1542" s="20">
        <v>1</v>
      </c>
      <c r="AI1542" s="4" t="s">
        <v>251</v>
      </c>
      <c r="AJ1542" s="20">
        <v>15</v>
      </c>
      <c r="AK1542" s="4" t="s">
        <v>111</v>
      </c>
      <c r="AL1542" s="4">
        <v>35</v>
      </c>
      <c r="AM1542" s="4">
        <v>35</v>
      </c>
      <c r="AN1542" s="4" t="s">
        <v>95</v>
      </c>
      <c r="AO1542" s="4" t="s">
        <v>96</v>
      </c>
      <c r="AP1542" s="4">
        <v>1</v>
      </c>
      <c r="AQ1542" s="20">
        <v>45000</v>
      </c>
      <c r="AR1542" s="4">
        <v>41971</v>
      </c>
      <c r="AS1542" s="20">
        <v>6818.1818181818171</v>
      </c>
      <c r="AT1542" s="20">
        <v>0</v>
      </c>
      <c r="AU1542" s="20">
        <v>-6818.1818181818171</v>
      </c>
      <c r="AV1542" s="20">
        <v>0</v>
      </c>
      <c r="AW1542" s="20">
        <v>0</v>
      </c>
      <c r="AX1542" s="20" t="s">
        <v>91</v>
      </c>
      <c r="AY1542" s="20">
        <v>0</v>
      </c>
      <c r="AZ1542" s="20">
        <v>0</v>
      </c>
      <c r="BA1542" s="20">
        <v>0</v>
      </c>
      <c r="BB1542" s="6">
        <v>41971</v>
      </c>
      <c r="BC1542" s="6">
        <v>0</v>
      </c>
      <c r="BD1542" s="6">
        <v>41976</v>
      </c>
      <c r="BE1542" s="6">
        <v>0</v>
      </c>
      <c r="BF1542" s="6">
        <v>41975</v>
      </c>
      <c r="BG1542" s="6">
        <v>0</v>
      </c>
      <c r="BH1542" s="6">
        <v>0</v>
      </c>
      <c r="BI1542" s="6">
        <v>0</v>
      </c>
      <c r="BJ1542" s="6">
        <v>0</v>
      </c>
      <c r="BK1542" s="4">
        <v>0</v>
      </c>
      <c r="BL1542" s="4">
        <v>0</v>
      </c>
      <c r="BM1542" s="20">
        <v>15</v>
      </c>
      <c r="BN1542" s="20">
        <v>0</v>
      </c>
      <c r="BO1542" s="20">
        <v>0</v>
      </c>
      <c r="BP1542" s="20">
        <v>0</v>
      </c>
      <c r="BQ1542" s="20">
        <v>0</v>
      </c>
      <c r="BR1542" s="20">
        <v>0</v>
      </c>
      <c r="BS1542" s="20">
        <v>15</v>
      </c>
      <c r="BT1542" s="20">
        <v>102272.72727272725</v>
      </c>
      <c r="BU1542" s="20">
        <v>675000</v>
      </c>
      <c r="BV1542" s="20">
        <v>6.0000000000000009</v>
      </c>
    </row>
    <row r="1543" spans="1:74">
      <c r="A1543" s="10">
        <f t="shared" si="98"/>
        <v>0</v>
      </c>
      <c r="B1543" s="10">
        <f t="shared" si="99"/>
        <v>0</v>
      </c>
      <c r="C1543" s="12" t="str">
        <f t="shared" si="100"/>
        <v/>
      </c>
      <c r="D1543" s="12" t="str">
        <f t="shared" si="101"/>
        <v/>
      </c>
      <c r="E1543" s="20" t="s">
        <v>91</v>
      </c>
      <c r="F1543" s="20" t="s">
        <v>91</v>
      </c>
      <c r="G1543" s="20" t="s">
        <v>91</v>
      </c>
      <c r="H1543" s="20" t="s">
        <v>91</v>
      </c>
      <c r="I1543" s="20">
        <v>0</v>
      </c>
      <c r="J1543" s="20" t="s">
        <v>103</v>
      </c>
      <c r="K1543" s="20" t="s">
        <v>104</v>
      </c>
      <c r="L1543" s="20">
        <v>0</v>
      </c>
      <c r="M1543" s="20" t="s">
        <v>105</v>
      </c>
      <c r="N1543" s="20" t="s">
        <v>91</v>
      </c>
      <c r="O1543" s="20" t="s">
        <v>6099</v>
      </c>
      <c r="Q1543" s="20" t="s">
        <v>91</v>
      </c>
      <c r="R1543" s="20" t="s">
        <v>91</v>
      </c>
      <c r="S1543" s="20" t="s">
        <v>91</v>
      </c>
      <c r="U1543" s="20" t="s">
        <v>91</v>
      </c>
      <c r="X1543" s="20" t="s">
        <v>91</v>
      </c>
      <c r="Y1543" s="20" t="s">
        <v>91</v>
      </c>
      <c r="Z1543" s="20">
        <v>1</v>
      </c>
      <c r="AB1543" s="20" t="s">
        <v>91</v>
      </c>
      <c r="AD1543" s="20" t="s">
        <v>91</v>
      </c>
      <c r="AE1543" s="20" t="s">
        <v>91</v>
      </c>
      <c r="AF1543" s="20">
        <v>1</v>
      </c>
      <c r="AG1543" s="20">
        <v>0</v>
      </c>
      <c r="AH1543" s="20">
        <v>1</v>
      </c>
      <c r="AM1543" s="4" t="s">
        <v>91</v>
      </c>
      <c r="AN1543" s="4" t="s">
        <v>95</v>
      </c>
      <c r="AP1543" s="4" t="s">
        <v>91</v>
      </c>
      <c r="AQ1543" s="20">
        <v>0</v>
      </c>
      <c r="AR1543" s="4">
        <v>0</v>
      </c>
      <c r="AS1543" s="20">
        <v>0</v>
      </c>
      <c r="AT1543" s="20">
        <v>0</v>
      </c>
      <c r="AU1543" s="20">
        <v>0</v>
      </c>
      <c r="AV1543" s="20">
        <v>0</v>
      </c>
      <c r="AW1543" s="20">
        <v>0</v>
      </c>
      <c r="AX1543" s="20" t="s">
        <v>91</v>
      </c>
      <c r="AY1543" s="20">
        <v>0</v>
      </c>
      <c r="AZ1543" s="20">
        <v>0</v>
      </c>
      <c r="BA1543" s="20">
        <v>0</v>
      </c>
      <c r="BB1543" s="6">
        <v>0</v>
      </c>
      <c r="BC1543" s="6">
        <v>0</v>
      </c>
      <c r="BD1543" s="6">
        <v>0</v>
      </c>
      <c r="BE1543" s="6">
        <v>0</v>
      </c>
      <c r="BF1543" s="6">
        <v>0</v>
      </c>
      <c r="BG1543" s="6">
        <v>0</v>
      </c>
      <c r="BH1543" s="6">
        <v>0</v>
      </c>
      <c r="BI1543" s="6">
        <v>0</v>
      </c>
      <c r="BJ1543" s="6">
        <v>0</v>
      </c>
      <c r="BK1543" s="4">
        <v>0</v>
      </c>
      <c r="BL1543" s="4">
        <v>0</v>
      </c>
      <c r="BM1543" s="20">
        <v>15</v>
      </c>
      <c r="BN1543" s="20">
        <v>0</v>
      </c>
      <c r="BO1543" s="20">
        <v>0</v>
      </c>
      <c r="BP1543" s="20">
        <v>0</v>
      </c>
      <c r="BQ1543" s="20">
        <v>0</v>
      </c>
      <c r="BR1543" s="20">
        <v>0</v>
      </c>
      <c r="BS1543" s="20">
        <v>15</v>
      </c>
      <c r="BT1543" s="20">
        <v>102272.72727272725</v>
      </c>
      <c r="BU1543" s="20">
        <v>675000</v>
      </c>
      <c r="BV1543" s="20">
        <v>6.0000000000000009</v>
      </c>
    </row>
    <row r="1544" spans="1:74">
      <c r="A1544" s="10">
        <f t="shared" si="98"/>
        <v>0</v>
      </c>
      <c r="B1544" s="10">
        <f t="shared" si="99"/>
        <v>0</v>
      </c>
      <c r="C1544" s="12">
        <f t="shared" si="100"/>
        <v>11</v>
      </c>
      <c r="D1544" s="12">
        <f t="shared" si="101"/>
        <v>12</v>
      </c>
      <c r="E1544" s="20" t="s">
        <v>424</v>
      </c>
      <c r="F1544" s="20" t="s">
        <v>2810</v>
      </c>
      <c r="G1544" s="20" t="s">
        <v>6100</v>
      </c>
      <c r="H1544" s="20" t="s">
        <v>6101</v>
      </c>
      <c r="I1544" s="20">
        <v>1</v>
      </c>
      <c r="J1544" s="20" t="s">
        <v>6102</v>
      </c>
      <c r="K1544" s="20" t="s">
        <v>6103</v>
      </c>
      <c r="L1544" s="20" t="s">
        <v>6104</v>
      </c>
      <c r="M1544" s="20" t="s">
        <v>2810</v>
      </c>
      <c r="N1544" s="20" t="s">
        <v>6105</v>
      </c>
      <c r="P1544" s="20" t="s">
        <v>2810</v>
      </c>
      <c r="Q1544" s="20" t="s">
        <v>2817</v>
      </c>
      <c r="R1544" s="20" t="s">
        <v>84</v>
      </c>
      <c r="S1544" s="20" t="s">
        <v>123</v>
      </c>
      <c r="T1544" s="20" t="s">
        <v>124</v>
      </c>
      <c r="U1544" s="20" t="s">
        <v>125</v>
      </c>
      <c r="V1544" s="20" t="s">
        <v>5502</v>
      </c>
      <c r="W1544" s="20">
        <v>10</v>
      </c>
      <c r="X1544" s="20" t="s">
        <v>5643</v>
      </c>
      <c r="Y1544" s="20" t="s">
        <v>6106</v>
      </c>
      <c r="Z1544" s="20">
        <v>1</v>
      </c>
      <c r="AA1544" s="20" t="s">
        <v>6107</v>
      </c>
      <c r="AB1544" s="20" t="s">
        <v>248</v>
      </c>
      <c r="AC1544" s="20" t="s">
        <v>249</v>
      </c>
      <c r="AD1544" s="20" t="s">
        <v>6108</v>
      </c>
      <c r="AE1544" s="20" t="s">
        <v>91</v>
      </c>
      <c r="AF1544" s="20">
        <v>1</v>
      </c>
      <c r="AG1544" s="20">
        <v>0</v>
      </c>
      <c r="AH1544" s="20">
        <v>1</v>
      </c>
      <c r="AI1544" s="4" t="s">
        <v>251</v>
      </c>
      <c r="AJ1544" s="20">
        <v>7</v>
      </c>
      <c r="AK1544" s="4" t="s">
        <v>93</v>
      </c>
      <c r="AL1544" s="4">
        <v>22</v>
      </c>
      <c r="AM1544" s="4">
        <v>22</v>
      </c>
      <c r="AN1544" s="4" t="s">
        <v>95</v>
      </c>
      <c r="AO1544" s="4" t="s">
        <v>189</v>
      </c>
      <c r="AP1544" s="4">
        <v>1</v>
      </c>
      <c r="AQ1544" s="20">
        <v>43000</v>
      </c>
      <c r="AR1544" s="4">
        <v>41971</v>
      </c>
      <c r="AS1544" s="20">
        <v>6515.151515151515</v>
      </c>
      <c r="AT1544" s="20">
        <v>0</v>
      </c>
      <c r="AU1544" s="20">
        <v>-6515.151515151515</v>
      </c>
      <c r="AV1544" s="20">
        <v>0</v>
      </c>
      <c r="AW1544" s="20">
        <v>0</v>
      </c>
      <c r="AX1544" s="20" t="s">
        <v>91</v>
      </c>
      <c r="AY1544" s="20">
        <v>0</v>
      </c>
      <c r="AZ1544" s="20">
        <v>0</v>
      </c>
      <c r="BA1544" s="20">
        <v>0</v>
      </c>
      <c r="BB1544" s="6">
        <v>41971</v>
      </c>
      <c r="BC1544" s="6">
        <v>0</v>
      </c>
      <c r="BD1544" s="6">
        <v>41976</v>
      </c>
      <c r="BE1544" s="6">
        <v>0</v>
      </c>
      <c r="BF1544" s="6">
        <v>41975</v>
      </c>
      <c r="BG1544" s="6">
        <v>0</v>
      </c>
      <c r="BH1544" s="6">
        <v>0</v>
      </c>
      <c r="BI1544" s="6">
        <v>0</v>
      </c>
      <c r="BJ1544" s="6">
        <v>0</v>
      </c>
      <c r="BK1544" s="4">
        <v>0</v>
      </c>
      <c r="BL1544" s="4">
        <v>0</v>
      </c>
      <c r="BM1544" s="20">
        <v>7</v>
      </c>
      <c r="BN1544" s="20">
        <v>0</v>
      </c>
      <c r="BO1544" s="20">
        <v>0</v>
      </c>
      <c r="BP1544" s="20">
        <v>0</v>
      </c>
      <c r="BQ1544" s="20">
        <v>0</v>
      </c>
      <c r="BR1544" s="20">
        <v>0</v>
      </c>
      <c r="BS1544" s="20">
        <v>7</v>
      </c>
      <c r="BT1544" s="20">
        <v>45606.060606060608</v>
      </c>
      <c r="BU1544" s="20">
        <v>301000</v>
      </c>
      <c r="BV1544" s="20">
        <v>5.9999999999999991</v>
      </c>
    </row>
    <row r="1545" spans="1:74">
      <c r="A1545" s="10">
        <f t="shared" si="98"/>
        <v>0</v>
      </c>
      <c r="B1545" s="10">
        <f t="shared" si="99"/>
        <v>0</v>
      </c>
      <c r="C1545" s="12" t="str">
        <f t="shared" si="100"/>
        <v/>
      </c>
      <c r="D1545" s="12" t="str">
        <f t="shared" si="101"/>
        <v/>
      </c>
      <c r="E1545" s="20" t="s">
        <v>91</v>
      </c>
      <c r="F1545" s="20" t="s">
        <v>91</v>
      </c>
      <c r="G1545" s="20" t="s">
        <v>91</v>
      </c>
      <c r="H1545" s="20" t="s">
        <v>91</v>
      </c>
      <c r="I1545" s="20">
        <v>0</v>
      </c>
      <c r="J1545" s="20" t="s">
        <v>103</v>
      </c>
      <c r="K1545" s="20" t="s">
        <v>104</v>
      </c>
      <c r="L1545" s="20">
        <v>0</v>
      </c>
      <c r="M1545" s="20" t="s">
        <v>105</v>
      </c>
      <c r="N1545" s="20" t="s">
        <v>91</v>
      </c>
      <c r="O1545" s="20" t="s">
        <v>6109</v>
      </c>
      <c r="Q1545" s="20" t="s">
        <v>91</v>
      </c>
      <c r="R1545" s="20" t="s">
        <v>91</v>
      </c>
      <c r="S1545" s="20" t="s">
        <v>91</v>
      </c>
      <c r="U1545" s="20" t="s">
        <v>91</v>
      </c>
      <c r="X1545" s="20" t="s">
        <v>91</v>
      </c>
      <c r="Y1545" s="20" t="s">
        <v>91</v>
      </c>
      <c r="Z1545" s="20">
        <v>1</v>
      </c>
      <c r="AB1545" s="20" t="s">
        <v>91</v>
      </c>
      <c r="AD1545" s="20" t="s">
        <v>91</v>
      </c>
      <c r="AE1545" s="20" t="s">
        <v>91</v>
      </c>
      <c r="AF1545" s="20">
        <v>1</v>
      </c>
      <c r="AG1545" s="20">
        <v>0</v>
      </c>
      <c r="AH1545" s="20">
        <v>1</v>
      </c>
      <c r="AM1545" s="4" t="s">
        <v>91</v>
      </c>
      <c r="AN1545" s="4" t="s">
        <v>95</v>
      </c>
      <c r="AP1545" s="4" t="s">
        <v>91</v>
      </c>
      <c r="AQ1545" s="20">
        <v>0</v>
      </c>
      <c r="AR1545" s="4">
        <v>0</v>
      </c>
      <c r="AS1545" s="20">
        <v>0</v>
      </c>
      <c r="AT1545" s="20">
        <v>0</v>
      </c>
      <c r="AU1545" s="20">
        <v>0</v>
      </c>
      <c r="AV1545" s="20">
        <v>0</v>
      </c>
      <c r="AW1545" s="20">
        <v>0</v>
      </c>
      <c r="AX1545" s="20" t="s">
        <v>91</v>
      </c>
      <c r="AY1545" s="20">
        <v>0</v>
      </c>
      <c r="AZ1545" s="20">
        <v>0</v>
      </c>
      <c r="BA1545" s="20">
        <v>0</v>
      </c>
      <c r="BB1545" s="6">
        <v>0</v>
      </c>
      <c r="BC1545" s="6">
        <v>0</v>
      </c>
      <c r="BD1545" s="6">
        <v>0</v>
      </c>
      <c r="BE1545" s="6">
        <v>0</v>
      </c>
      <c r="BF1545" s="6">
        <v>0</v>
      </c>
      <c r="BG1545" s="6">
        <v>0</v>
      </c>
      <c r="BH1545" s="6">
        <v>0</v>
      </c>
      <c r="BI1545" s="6">
        <v>0</v>
      </c>
      <c r="BJ1545" s="6">
        <v>0</v>
      </c>
      <c r="BK1545" s="4">
        <v>0</v>
      </c>
      <c r="BL1545" s="4">
        <v>0</v>
      </c>
      <c r="BM1545" s="20">
        <v>7</v>
      </c>
      <c r="BN1545" s="20">
        <v>0</v>
      </c>
      <c r="BO1545" s="20">
        <v>0</v>
      </c>
      <c r="BP1545" s="20">
        <v>0</v>
      </c>
      <c r="BQ1545" s="20">
        <v>0</v>
      </c>
      <c r="BR1545" s="20">
        <v>0</v>
      </c>
      <c r="BS1545" s="20">
        <v>7</v>
      </c>
      <c r="BT1545" s="20">
        <v>45606.060606060608</v>
      </c>
      <c r="BU1545" s="20">
        <v>301000</v>
      </c>
      <c r="BV1545" s="20">
        <v>5.9999999999999991</v>
      </c>
    </row>
    <row r="1546" spans="1:74">
      <c r="A1546" s="10">
        <f t="shared" si="98"/>
        <v>0</v>
      </c>
      <c r="B1546" s="10">
        <f t="shared" si="99"/>
        <v>0</v>
      </c>
      <c r="C1546" s="12">
        <f t="shared" si="100"/>
        <v>11</v>
      </c>
      <c r="D1546" s="12">
        <f t="shared" si="101"/>
        <v>12</v>
      </c>
      <c r="E1546" s="20" t="s">
        <v>114</v>
      </c>
      <c r="F1546" s="20" t="s">
        <v>3040</v>
      </c>
      <c r="G1546" s="20" t="s">
        <v>6110</v>
      </c>
      <c r="H1546" s="20" t="s">
        <v>6111</v>
      </c>
      <c r="I1546" s="20">
        <v>1</v>
      </c>
      <c r="J1546" s="20" t="s">
        <v>6112</v>
      </c>
      <c r="K1546" s="20" t="s">
        <v>6113</v>
      </c>
      <c r="L1546" s="20" t="s">
        <v>6114</v>
      </c>
      <c r="M1546" s="20" t="s">
        <v>3040</v>
      </c>
      <c r="N1546" s="20" t="s">
        <v>3046</v>
      </c>
      <c r="P1546" s="20" t="s">
        <v>3040</v>
      </c>
      <c r="Q1546" s="20" t="s">
        <v>3047</v>
      </c>
      <c r="R1546" s="20" t="s">
        <v>84</v>
      </c>
      <c r="S1546" s="20" t="s">
        <v>123</v>
      </c>
      <c r="T1546" s="20" t="s">
        <v>1401</v>
      </c>
      <c r="U1546" s="20" t="s">
        <v>1402</v>
      </c>
      <c r="V1546" s="20" t="s">
        <v>5502</v>
      </c>
      <c r="W1546" s="20">
        <v>408</v>
      </c>
      <c r="X1546" s="20">
        <v>408</v>
      </c>
      <c r="Y1546" s="20" t="s">
        <v>6115</v>
      </c>
      <c r="Z1546" s="20">
        <v>0.5</v>
      </c>
      <c r="AA1546" s="20" t="s">
        <v>6116</v>
      </c>
      <c r="AB1546" s="20" t="s">
        <v>248</v>
      </c>
      <c r="AC1546" s="20" t="s">
        <v>249</v>
      </c>
      <c r="AD1546" s="20" t="s">
        <v>6117</v>
      </c>
      <c r="AE1546" s="20" t="s">
        <v>400</v>
      </c>
      <c r="AF1546" s="20">
        <v>0.5</v>
      </c>
      <c r="AG1546" s="20">
        <v>0</v>
      </c>
      <c r="AH1546" s="20">
        <v>1</v>
      </c>
      <c r="AI1546" s="4" t="s">
        <v>251</v>
      </c>
      <c r="AJ1546" s="20">
        <v>5</v>
      </c>
      <c r="AK1546" s="4" t="s">
        <v>1047</v>
      </c>
      <c r="AL1546" s="4">
        <v>17</v>
      </c>
      <c r="AM1546" s="4">
        <v>17</v>
      </c>
      <c r="AN1546" s="4" t="s">
        <v>95</v>
      </c>
      <c r="AO1546" s="4" t="s">
        <v>96</v>
      </c>
      <c r="AP1546" s="4">
        <v>1</v>
      </c>
      <c r="AQ1546" s="20">
        <v>35000</v>
      </c>
      <c r="AR1546" s="4">
        <v>41971</v>
      </c>
      <c r="AS1546" s="20">
        <v>3535.3535353535353</v>
      </c>
      <c r="AT1546" s="20">
        <v>0</v>
      </c>
      <c r="AU1546" s="20">
        <v>-3535.3535353535353</v>
      </c>
      <c r="AV1546" s="20">
        <v>0</v>
      </c>
      <c r="AW1546" s="20">
        <v>0</v>
      </c>
      <c r="AX1546" s="20" t="s">
        <v>91</v>
      </c>
      <c r="AY1546" s="20">
        <v>0</v>
      </c>
      <c r="AZ1546" s="20">
        <v>0</v>
      </c>
      <c r="BA1546" s="20">
        <v>0</v>
      </c>
      <c r="BB1546" s="6">
        <v>41971</v>
      </c>
      <c r="BC1546" s="6">
        <v>0</v>
      </c>
      <c r="BD1546" s="6">
        <v>41976</v>
      </c>
      <c r="BE1546" s="6">
        <v>0</v>
      </c>
      <c r="BF1546" s="6">
        <v>41975</v>
      </c>
      <c r="BG1546" s="6">
        <v>0</v>
      </c>
      <c r="BH1546" s="6">
        <v>0</v>
      </c>
      <c r="BI1546" s="6">
        <v>0</v>
      </c>
      <c r="BJ1546" s="6">
        <v>0</v>
      </c>
      <c r="BK1546" s="4">
        <v>0</v>
      </c>
      <c r="BL1546" s="4">
        <v>0</v>
      </c>
      <c r="BM1546" s="20">
        <v>5</v>
      </c>
      <c r="BN1546" s="20">
        <v>0</v>
      </c>
      <c r="BO1546" s="20">
        <v>0</v>
      </c>
      <c r="BP1546" s="20">
        <v>0</v>
      </c>
      <c r="BQ1546" s="20">
        <v>0</v>
      </c>
      <c r="BR1546" s="20">
        <v>0</v>
      </c>
      <c r="BS1546" s="20">
        <v>5</v>
      </c>
      <c r="BT1546" s="20">
        <v>17676.767676767675</v>
      </c>
      <c r="BU1546" s="20">
        <v>175000</v>
      </c>
      <c r="BV1546" s="20">
        <v>9</v>
      </c>
    </row>
    <row r="1547" spans="1:74">
      <c r="A1547" s="10">
        <f t="shared" si="98"/>
        <v>0</v>
      </c>
      <c r="B1547" s="10">
        <f t="shared" si="99"/>
        <v>0</v>
      </c>
      <c r="C1547" s="12">
        <f t="shared" si="100"/>
        <v>11</v>
      </c>
      <c r="D1547" s="12">
        <f t="shared" si="101"/>
        <v>12</v>
      </c>
      <c r="E1547" s="20" t="s">
        <v>114</v>
      </c>
      <c r="F1547" s="20" t="s">
        <v>3040</v>
      </c>
      <c r="G1547" s="20" t="s">
        <v>6110</v>
      </c>
      <c r="H1547" s="20" t="s">
        <v>6111</v>
      </c>
      <c r="I1547" s="20">
        <v>1</v>
      </c>
      <c r="J1547" s="20" t="s">
        <v>6112</v>
      </c>
      <c r="K1547" s="20" t="s">
        <v>6118</v>
      </c>
      <c r="L1547" s="20" t="s">
        <v>6114</v>
      </c>
      <c r="M1547" s="20" t="s">
        <v>3040</v>
      </c>
      <c r="N1547" s="20" t="s">
        <v>3046</v>
      </c>
      <c r="P1547" s="20" t="s">
        <v>3040</v>
      </c>
      <c r="Q1547" s="20" t="s">
        <v>3047</v>
      </c>
      <c r="R1547" s="20" t="s">
        <v>84</v>
      </c>
      <c r="S1547" s="20" t="s">
        <v>123</v>
      </c>
      <c r="T1547" s="20" t="s">
        <v>1401</v>
      </c>
      <c r="U1547" s="20" t="s">
        <v>1402</v>
      </c>
      <c r="V1547" s="20" t="s">
        <v>5502</v>
      </c>
      <c r="W1547" s="20">
        <v>408</v>
      </c>
      <c r="X1547" s="20">
        <v>408</v>
      </c>
      <c r="Y1547" s="20" t="s">
        <v>6115</v>
      </c>
      <c r="Z1547" s="20">
        <v>0.5</v>
      </c>
      <c r="AA1547" s="20" t="s">
        <v>6119</v>
      </c>
      <c r="AB1547" s="20" t="s">
        <v>248</v>
      </c>
      <c r="AC1547" s="20" t="s">
        <v>249</v>
      </c>
      <c r="AD1547" s="20" t="s">
        <v>6117</v>
      </c>
      <c r="AE1547" s="20" t="s">
        <v>400</v>
      </c>
      <c r="AF1547" s="20">
        <v>0.5</v>
      </c>
      <c r="AG1547" s="20">
        <v>0</v>
      </c>
      <c r="AH1547" s="20">
        <v>1</v>
      </c>
      <c r="AI1547" s="4" t="s">
        <v>5921</v>
      </c>
      <c r="AJ1547" s="20">
        <v>5</v>
      </c>
      <c r="AK1547" s="4" t="s">
        <v>1047</v>
      </c>
      <c r="AL1547" s="4">
        <v>17</v>
      </c>
      <c r="AM1547" s="4">
        <v>17</v>
      </c>
      <c r="AN1547" s="4" t="s">
        <v>95</v>
      </c>
      <c r="AO1547" s="4" t="s">
        <v>96</v>
      </c>
      <c r="AP1547" s="4">
        <v>1</v>
      </c>
      <c r="AQ1547" s="20">
        <v>35000</v>
      </c>
      <c r="AR1547" s="4">
        <v>41971</v>
      </c>
      <c r="AS1547" s="20">
        <v>3535.3535353535353</v>
      </c>
      <c r="AT1547" s="20">
        <v>0</v>
      </c>
      <c r="AU1547" s="20">
        <v>-3535.3535353535353</v>
      </c>
      <c r="AV1547" s="20">
        <v>0</v>
      </c>
      <c r="AW1547" s="20">
        <v>0</v>
      </c>
      <c r="AX1547" s="20" t="s">
        <v>91</v>
      </c>
      <c r="AY1547" s="20">
        <v>0</v>
      </c>
      <c r="AZ1547" s="20">
        <v>0</v>
      </c>
      <c r="BA1547" s="20">
        <v>0</v>
      </c>
      <c r="BB1547" s="6">
        <v>41971</v>
      </c>
      <c r="BC1547" s="6">
        <v>0</v>
      </c>
      <c r="BD1547" s="6">
        <v>41976</v>
      </c>
      <c r="BE1547" s="6">
        <v>0</v>
      </c>
      <c r="BF1547" s="6">
        <v>41975</v>
      </c>
      <c r="BG1547" s="6">
        <v>0</v>
      </c>
      <c r="BH1547" s="6">
        <v>0</v>
      </c>
      <c r="BI1547" s="6">
        <v>0</v>
      </c>
      <c r="BJ1547" s="6">
        <v>0</v>
      </c>
      <c r="BK1547" s="4">
        <v>0</v>
      </c>
      <c r="BL1547" s="4">
        <v>0</v>
      </c>
      <c r="BM1547" s="20">
        <v>5</v>
      </c>
      <c r="BN1547" s="20">
        <v>0</v>
      </c>
      <c r="BO1547" s="20">
        <v>0</v>
      </c>
      <c r="BP1547" s="20">
        <v>0</v>
      </c>
      <c r="BQ1547" s="20">
        <v>0</v>
      </c>
      <c r="BR1547" s="20">
        <v>0</v>
      </c>
      <c r="BS1547" s="20">
        <v>5</v>
      </c>
      <c r="BT1547" s="20">
        <v>17676.767676767675</v>
      </c>
      <c r="BU1547" s="20">
        <v>175000</v>
      </c>
      <c r="BV1547" s="20">
        <v>9</v>
      </c>
    </row>
    <row r="1548" spans="1:74">
      <c r="A1548" s="10">
        <f t="shared" si="98"/>
        <v>0</v>
      </c>
      <c r="B1548" s="10">
        <f t="shared" si="99"/>
        <v>0</v>
      </c>
      <c r="C1548" s="12">
        <f t="shared" si="100"/>
        <v>11</v>
      </c>
      <c r="D1548" s="12">
        <f t="shared" si="101"/>
        <v>12</v>
      </c>
      <c r="E1548" s="20" t="s">
        <v>114</v>
      </c>
      <c r="F1548" s="20" t="s">
        <v>3040</v>
      </c>
      <c r="G1548" s="20" t="s">
        <v>6110</v>
      </c>
      <c r="H1548" s="20" t="s">
        <v>6120</v>
      </c>
      <c r="I1548" s="20">
        <v>2</v>
      </c>
      <c r="J1548" s="20" t="s">
        <v>6121</v>
      </c>
      <c r="K1548" s="20" t="s">
        <v>6122</v>
      </c>
      <c r="L1548" s="20" t="s">
        <v>6123</v>
      </c>
      <c r="M1548" s="20" t="s">
        <v>3040</v>
      </c>
      <c r="N1548" s="20" t="s">
        <v>3046</v>
      </c>
      <c r="P1548" s="20" t="s">
        <v>3040</v>
      </c>
      <c r="Q1548" s="20" t="s">
        <v>3047</v>
      </c>
      <c r="R1548" s="20" t="s">
        <v>84</v>
      </c>
      <c r="S1548" s="20" t="s">
        <v>123</v>
      </c>
      <c r="T1548" s="20" t="s">
        <v>1401</v>
      </c>
      <c r="U1548" s="20" t="s">
        <v>1402</v>
      </c>
      <c r="V1548" s="20" t="s">
        <v>5502</v>
      </c>
      <c r="W1548" s="20">
        <v>411</v>
      </c>
      <c r="X1548" s="20">
        <v>411</v>
      </c>
      <c r="Y1548" s="20" t="s">
        <v>6124</v>
      </c>
      <c r="Z1548" s="20">
        <v>0.25</v>
      </c>
      <c r="AA1548" s="20" t="s">
        <v>6125</v>
      </c>
      <c r="AB1548" s="20" t="s">
        <v>248</v>
      </c>
      <c r="AC1548" s="20" t="s">
        <v>249</v>
      </c>
      <c r="AD1548" s="20" t="s">
        <v>6126</v>
      </c>
      <c r="AE1548" s="20" t="s">
        <v>400</v>
      </c>
      <c r="AF1548" s="20">
        <v>0.25</v>
      </c>
      <c r="AG1548" s="20">
        <v>0</v>
      </c>
      <c r="AH1548" s="20">
        <v>1</v>
      </c>
      <c r="AI1548" s="4" t="s">
        <v>92</v>
      </c>
      <c r="AJ1548" s="20">
        <v>2</v>
      </c>
      <c r="AK1548" s="4" t="s">
        <v>1047</v>
      </c>
      <c r="AL1548" s="4">
        <v>17</v>
      </c>
      <c r="AM1548" s="4">
        <v>17</v>
      </c>
      <c r="AN1548" s="4" t="s">
        <v>95</v>
      </c>
      <c r="AO1548" s="4" t="s">
        <v>96</v>
      </c>
      <c r="AP1548" s="4">
        <v>1</v>
      </c>
      <c r="AQ1548" s="20">
        <v>43000</v>
      </c>
      <c r="AR1548" s="4">
        <v>41971</v>
      </c>
      <c r="AS1548" s="20">
        <v>4343.4343434343427</v>
      </c>
      <c r="AT1548" s="20">
        <v>0</v>
      </c>
      <c r="AU1548" s="20">
        <v>-4343.4343434343427</v>
      </c>
      <c r="AV1548" s="20">
        <v>0</v>
      </c>
      <c r="AW1548" s="20">
        <v>0</v>
      </c>
      <c r="AX1548" s="20" t="s">
        <v>91</v>
      </c>
      <c r="AY1548" s="20">
        <v>0</v>
      </c>
      <c r="AZ1548" s="20">
        <v>0</v>
      </c>
      <c r="BA1548" s="20">
        <v>0</v>
      </c>
      <c r="BB1548" s="6">
        <v>41971</v>
      </c>
      <c r="BC1548" s="6">
        <v>0</v>
      </c>
      <c r="BD1548" s="6">
        <v>41976</v>
      </c>
      <c r="BE1548" s="6">
        <v>0</v>
      </c>
      <c r="BF1548" s="6">
        <v>41975</v>
      </c>
      <c r="BG1548" s="6">
        <v>0</v>
      </c>
      <c r="BH1548" s="6">
        <v>0</v>
      </c>
      <c r="BI1548" s="6">
        <v>0</v>
      </c>
      <c r="BJ1548" s="6">
        <v>0</v>
      </c>
      <c r="BK1548" s="4">
        <v>0</v>
      </c>
      <c r="BL1548" s="4">
        <v>0</v>
      </c>
      <c r="BM1548" s="20">
        <v>2</v>
      </c>
      <c r="BN1548" s="20">
        <v>0</v>
      </c>
      <c r="BO1548" s="20">
        <v>0</v>
      </c>
      <c r="BP1548" s="20">
        <v>0</v>
      </c>
      <c r="BQ1548" s="20">
        <v>0</v>
      </c>
      <c r="BR1548" s="20">
        <v>0</v>
      </c>
      <c r="BS1548" s="20">
        <v>2</v>
      </c>
      <c r="BT1548" s="20">
        <v>8686.8686868686855</v>
      </c>
      <c r="BU1548" s="20">
        <v>86000</v>
      </c>
      <c r="BV1548" s="20">
        <v>9</v>
      </c>
    </row>
    <row r="1549" spans="1:74">
      <c r="A1549" s="10">
        <f t="shared" si="98"/>
        <v>0</v>
      </c>
      <c r="B1549" s="10">
        <f t="shared" si="99"/>
        <v>0</v>
      </c>
      <c r="C1549" s="12">
        <f t="shared" si="100"/>
        <v>11</v>
      </c>
      <c r="D1549" s="12">
        <f t="shared" si="101"/>
        <v>12</v>
      </c>
      <c r="E1549" s="20" t="s">
        <v>114</v>
      </c>
      <c r="F1549" s="20" t="s">
        <v>3040</v>
      </c>
      <c r="G1549" s="20" t="s">
        <v>6110</v>
      </c>
      <c r="H1549" s="20" t="s">
        <v>6120</v>
      </c>
      <c r="I1549" s="20">
        <v>2</v>
      </c>
      <c r="J1549" s="20" t="s">
        <v>6121</v>
      </c>
      <c r="K1549" s="20" t="s">
        <v>6127</v>
      </c>
      <c r="L1549" s="20" t="s">
        <v>6123</v>
      </c>
      <c r="M1549" s="20" t="s">
        <v>3040</v>
      </c>
      <c r="N1549" s="20" t="s">
        <v>3046</v>
      </c>
      <c r="P1549" s="20" t="s">
        <v>3040</v>
      </c>
      <c r="Q1549" s="20" t="s">
        <v>3047</v>
      </c>
      <c r="R1549" s="20" t="s">
        <v>84</v>
      </c>
      <c r="S1549" s="20" t="s">
        <v>123</v>
      </c>
      <c r="T1549" s="20" t="s">
        <v>1401</v>
      </c>
      <c r="U1549" s="20" t="s">
        <v>1402</v>
      </c>
      <c r="V1549" s="20" t="s">
        <v>5502</v>
      </c>
      <c r="W1549" s="20">
        <v>411</v>
      </c>
      <c r="X1549" s="20">
        <v>411</v>
      </c>
      <c r="Y1549" s="20" t="s">
        <v>6124</v>
      </c>
      <c r="Z1549" s="20">
        <v>0.25</v>
      </c>
      <c r="AA1549" s="20" t="s">
        <v>6128</v>
      </c>
      <c r="AB1549" s="20" t="s">
        <v>248</v>
      </c>
      <c r="AC1549" s="20" t="s">
        <v>249</v>
      </c>
      <c r="AD1549" s="20" t="s">
        <v>6126</v>
      </c>
      <c r="AE1549" s="20" t="s">
        <v>400</v>
      </c>
      <c r="AF1549" s="20">
        <v>0.25</v>
      </c>
      <c r="AG1549" s="20">
        <v>0</v>
      </c>
      <c r="AH1549" s="20">
        <v>1</v>
      </c>
      <c r="AI1549" s="4" t="s">
        <v>97</v>
      </c>
      <c r="AJ1549" s="20">
        <v>3</v>
      </c>
      <c r="AK1549" s="4" t="s">
        <v>1047</v>
      </c>
      <c r="AL1549" s="4">
        <v>17</v>
      </c>
      <c r="AM1549" s="4">
        <v>17</v>
      </c>
      <c r="AN1549" s="4" t="s">
        <v>95</v>
      </c>
      <c r="AO1549" s="4" t="s">
        <v>96</v>
      </c>
      <c r="AP1549" s="4">
        <v>1</v>
      </c>
      <c r="AQ1549" s="20">
        <v>43000</v>
      </c>
      <c r="AR1549" s="4">
        <v>41971</v>
      </c>
      <c r="AS1549" s="20">
        <v>4343.4343434343427</v>
      </c>
      <c r="AT1549" s="20">
        <v>0</v>
      </c>
      <c r="AU1549" s="20">
        <v>-4343.4343434343427</v>
      </c>
      <c r="AV1549" s="20">
        <v>0</v>
      </c>
      <c r="AW1549" s="20">
        <v>0</v>
      </c>
      <c r="AX1549" s="20" t="s">
        <v>91</v>
      </c>
      <c r="AY1549" s="20">
        <v>0</v>
      </c>
      <c r="AZ1549" s="20">
        <v>0</v>
      </c>
      <c r="BA1549" s="20">
        <v>0</v>
      </c>
      <c r="BB1549" s="6">
        <v>41971</v>
      </c>
      <c r="BC1549" s="6">
        <v>0</v>
      </c>
      <c r="BD1549" s="6">
        <v>41976</v>
      </c>
      <c r="BE1549" s="6">
        <v>0</v>
      </c>
      <c r="BF1549" s="6">
        <v>41975</v>
      </c>
      <c r="BG1549" s="6">
        <v>0</v>
      </c>
      <c r="BH1549" s="6">
        <v>0</v>
      </c>
      <c r="BI1549" s="6">
        <v>0</v>
      </c>
      <c r="BJ1549" s="6">
        <v>0</v>
      </c>
      <c r="BK1549" s="4">
        <v>0</v>
      </c>
      <c r="BL1549" s="4">
        <v>0</v>
      </c>
      <c r="BM1549" s="20">
        <v>3</v>
      </c>
      <c r="BN1549" s="20">
        <v>0</v>
      </c>
      <c r="BO1549" s="20">
        <v>0</v>
      </c>
      <c r="BP1549" s="20">
        <v>0</v>
      </c>
      <c r="BQ1549" s="20">
        <v>0</v>
      </c>
      <c r="BR1549" s="20">
        <v>0</v>
      </c>
      <c r="BS1549" s="20">
        <v>3</v>
      </c>
      <c r="BT1549" s="20">
        <v>13030.303030303028</v>
      </c>
      <c r="BU1549" s="20">
        <v>129000</v>
      </c>
      <c r="BV1549" s="20">
        <v>9</v>
      </c>
    </row>
    <row r="1550" spans="1:74">
      <c r="A1550" s="10">
        <f t="shared" si="98"/>
        <v>0</v>
      </c>
      <c r="B1550" s="10">
        <f t="shared" si="99"/>
        <v>0</v>
      </c>
      <c r="C1550" s="12">
        <f t="shared" si="100"/>
        <v>11</v>
      </c>
      <c r="D1550" s="12">
        <f t="shared" si="101"/>
        <v>12</v>
      </c>
      <c r="E1550" s="20" t="s">
        <v>114</v>
      </c>
      <c r="F1550" s="20" t="s">
        <v>3040</v>
      </c>
      <c r="G1550" s="20" t="s">
        <v>6110</v>
      </c>
      <c r="H1550" s="20" t="s">
        <v>6120</v>
      </c>
      <c r="I1550" s="20">
        <v>2</v>
      </c>
      <c r="J1550" s="20" t="s">
        <v>6121</v>
      </c>
      <c r="K1550" s="20" t="s">
        <v>6129</v>
      </c>
      <c r="L1550" s="20" t="s">
        <v>6123</v>
      </c>
      <c r="M1550" s="20" t="s">
        <v>3040</v>
      </c>
      <c r="N1550" s="20" t="s">
        <v>3046</v>
      </c>
      <c r="P1550" s="20" t="s">
        <v>3040</v>
      </c>
      <c r="Q1550" s="20" t="s">
        <v>3047</v>
      </c>
      <c r="R1550" s="20" t="s">
        <v>84</v>
      </c>
      <c r="S1550" s="20" t="s">
        <v>123</v>
      </c>
      <c r="T1550" s="20" t="s">
        <v>1401</v>
      </c>
      <c r="U1550" s="20" t="s">
        <v>1402</v>
      </c>
      <c r="V1550" s="20" t="s">
        <v>5502</v>
      </c>
      <c r="W1550" s="20">
        <v>411</v>
      </c>
      <c r="X1550" s="20">
        <v>411</v>
      </c>
      <c r="Y1550" s="20" t="s">
        <v>6124</v>
      </c>
      <c r="Z1550" s="20">
        <v>0.25</v>
      </c>
      <c r="AA1550" s="20" t="s">
        <v>6130</v>
      </c>
      <c r="AB1550" s="20" t="s">
        <v>248</v>
      </c>
      <c r="AC1550" s="20" t="s">
        <v>249</v>
      </c>
      <c r="AD1550" s="20" t="s">
        <v>6126</v>
      </c>
      <c r="AE1550" s="20" t="s">
        <v>400</v>
      </c>
      <c r="AF1550" s="20">
        <v>0.25</v>
      </c>
      <c r="AG1550" s="20">
        <v>0</v>
      </c>
      <c r="AH1550" s="20">
        <v>1</v>
      </c>
      <c r="AI1550" s="4" t="s">
        <v>98</v>
      </c>
      <c r="AJ1550" s="20">
        <v>3</v>
      </c>
      <c r="AK1550" s="4" t="s">
        <v>1047</v>
      </c>
      <c r="AL1550" s="4">
        <v>17</v>
      </c>
      <c r="AM1550" s="4">
        <v>17</v>
      </c>
      <c r="AN1550" s="4" t="s">
        <v>95</v>
      </c>
      <c r="AO1550" s="4" t="s">
        <v>96</v>
      </c>
      <c r="AP1550" s="4">
        <v>1</v>
      </c>
      <c r="AQ1550" s="20">
        <v>43000</v>
      </c>
      <c r="AR1550" s="4">
        <v>41971</v>
      </c>
      <c r="AS1550" s="20">
        <v>4343.4343434343427</v>
      </c>
      <c r="AT1550" s="20">
        <v>0</v>
      </c>
      <c r="AU1550" s="20">
        <v>-4343.4343434343427</v>
      </c>
      <c r="AV1550" s="20">
        <v>0</v>
      </c>
      <c r="AW1550" s="20">
        <v>0</v>
      </c>
      <c r="AX1550" s="20" t="s">
        <v>91</v>
      </c>
      <c r="AY1550" s="20">
        <v>0</v>
      </c>
      <c r="AZ1550" s="20">
        <v>0</v>
      </c>
      <c r="BA1550" s="20">
        <v>0</v>
      </c>
      <c r="BB1550" s="6">
        <v>41971</v>
      </c>
      <c r="BC1550" s="6">
        <v>0</v>
      </c>
      <c r="BD1550" s="6">
        <v>41976</v>
      </c>
      <c r="BE1550" s="6">
        <v>0</v>
      </c>
      <c r="BF1550" s="6">
        <v>41975</v>
      </c>
      <c r="BG1550" s="6">
        <v>0</v>
      </c>
      <c r="BH1550" s="6">
        <v>0</v>
      </c>
      <c r="BI1550" s="6">
        <v>0</v>
      </c>
      <c r="BJ1550" s="6">
        <v>0</v>
      </c>
      <c r="BK1550" s="4">
        <v>0</v>
      </c>
      <c r="BL1550" s="4">
        <v>0</v>
      </c>
      <c r="BM1550" s="20">
        <v>3</v>
      </c>
      <c r="BN1550" s="20">
        <v>0</v>
      </c>
      <c r="BO1550" s="20">
        <v>0</v>
      </c>
      <c r="BP1550" s="20">
        <v>0</v>
      </c>
      <c r="BQ1550" s="20">
        <v>0</v>
      </c>
      <c r="BR1550" s="20">
        <v>0</v>
      </c>
      <c r="BS1550" s="20">
        <v>3</v>
      </c>
      <c r="BT1550" s="20">
        <v>13030.303030303028</v>
      </c>
      <c r="BU1550" s="20">
        <v>129000</v>
      </c>
      <c r="BV1550" s="20">
        <v>9</v>
      </c>
    </row>
    <row r="1551" spans="1:74">
      <c r="A1551" s="10">
        <f t="shared" si="98"/>
        <v>0</v>
      </c>
      <c r="B1551" s="10">
        <f t="shared" si="99"/>
        <v>0</v>
      </c>
      <c r="C1551" s="12">
        <f t="shared" si="100"/>
        <v>11</v>
      </c>
      <c r="D1551" s="12">
        <f t="shared" si="101"/>
        <v>12</v>
      </c>
      <c r="E1551" s="20" t="s">
        <v>114</v>
      </c>
      <c r="F1551" s="20" t="s">
        <v>3040</v>
      </c>
      <c r="G1551" s="20" t="s">
        <v>6110</v>
      </c>
      <c r="H1551" s="20" t="s">
        <v>6120</v>
      </c>
      <c r="I1551" s="20">
        <v>2</v>
      </c>
      <c r="J1551" s="20" t="s">
        <v>6121</v>
      </c>
      <c r="K1551" s="20" t="s">
        <v>6131</v>
      </c>
      <c r="L1551" s="20" t="s">
        <v>6123</v>
      </c>
      <c r="M1551" s="20" t="s">
        <v>3040</v>
      </c>
      <c r="N1551" s="20" t="s">
        <v>3046</v>
      </c>
      <c r="P1551" s="20" t="s">
        <v>3040</v>
      </c>
      <c r="Q1551" s="20" t="s">
        <v>3047</v>
      </c>
      <c r="R1551" s="20" t="s">
        <v>84</v>
      </c>
      <c r="S1551" s="20" t="s">
        <v>123</v>
      </c>
      <c r="T1551" s="20" t="s">
        <v>1401</v>
      </c>
      <c r="U1551" s="20" t="s">
        <v>1402</v>
      </c>
      <c r="V1551" s="20" t="s">
        <v>5502</v>
      </c>
      <c r="W1551" s="20">
        <v>411</v>
      </c>
      <c r="X1551" s="20">
        <v>411</v>
      </c>
      <c r="Y1551" s="20" t="s">
        <v>6124</v>
      </c>
      <c r="Z1551" s="20">
        <v>0.25</v>
      </c>
      <c r="AA1551" s="20" t="s">
        <v>6132</v>
      </c>
      <c r="AB1551" s="20" t="s">
        <v>248</v>
      </c>
      <c r="AC1551" s="20" t="s">
        <v>249</v>
      </c>
      <c r="AD1551" s="20" t="s">
        <v>6126</v>
      </c>
      <c r="AE1551" s="20" t="s">
        <v>400</v>
      </c>
      <c r="AF1551" s="20">
        <v>0.25</v>
      </c>
      <c r="AG1551" s="20">
        <v>0</v>
      </c>
      <c r="AH1551" s="20">
        <v>1</v>
      </c>
      <c r="AI1551" s="4" t="s">
        <v>5921</v>
      </c>
      <c r="AJ1551" s="20">
        <v>2</v>
      </c>
      <c r="AK1551" s="4" t="s">
        <v>1047</v>
      </c>
      <c r="AL1551" s="4">
        <v>17</v>
      </c>
      <c r="AM1551" s="4">
        <v>17</v>
      </c>
      <c r="AN1551" s="4" t="s">
        <v>95</v>
      </c>
      <c r="AO1551" s="4" t="s">
        <v>96</v>
      </c>
      <c r="AP1551" s="4">
        <v>1</v>
      </c>
      <c r="AQ1551" s="20">
        <v>43000</v>
      </c>
      <c r="AR1551" s="4">
        <v>41971</v>
      </c>
      <c r="AS1551" s="20">
        <v>4343.4343434343427</v>
      </c>
      <c r="AT1551" s="20">
        <v>0</v>
      </c>
      <c r="AU1551" s="20">
        <v>-4343.4343434343427</v>
      </c>
      <c r="AV1551" s="20">
        <v>0</v>
      </c>
      <c r="AW1551" s="20">
        <v>0</v>
      </c>
      <c r="AX1551" s="20" t="s">
        <v>91</v>
      </c>
      <c r="AY1551" s="20">
        <v>0</v>
      </c>
      <c r="AZ1551" s="20">
        <v>0</v>
      </c>
      <c r="BA1551" s="20">
        <v>0</v>
      </c>
      <c r="BB1551" s="6">
        <v>41971</v>
      </c>
      <c r="BC1551" s="6">
        <v>0</v>
      </c>
      <c r="BD1551" s="6">
        <v>41976</v>
      </c>
      <c r="BE1551" s="6">
        <v>0</v>
      </c>
      <c r="BF1551" s="6">
        <v>41975</v>
      </c>
      <c r="BG1551" s="6">
        <v>0</v>
      </c>
      <c r="BH1551" s="6">
        <v>0</v>
      </c>
      <c r="BI1551" s="6">
        <v>0</v>
      </c>
      <c r="BJ1551" s="6">
        <v>0</v>
      </c>
      <c r="BK1551" s="4">
        <v>0</v>
      </c>
      <c r="BL1551" s="4">
        <v>0</v>
      </c>
      <c r="BM1551" s="20">
        <v>2</v>
      </c>
      <c r="BN1551" s="20">
        <v>0</v>
      </c>
      <c r="BO1551" s="20">
        <v>0</v>
      </c>
      <c r="BP1551" s="20">
        <v>0</v>
      </c>
      <c r="BQ1551" s="20">
        <v>0</v>
      </c>
      <c r="BR1551" s="20">
        <v>0</v>
      </c>
      <c r="BS1551" s="20">
        <v>2</v>
      </c>
      <c r="BT1551" s="20">
        <v>8686.8686868686855</v>
      </c>
      <c r="BU1551" s="20">
        <v>86000</v>
      </c>
      <c r="BV1551" s="20">
        <v>9</v>
      </c>
    </row>
    <row r="1552" spans="1:74">
      <c r="A1552" s="10">
        <f t="shared" si="98"/>
        <v>0</v>
      </c>
      <c r="B1552" s="10">
        <f t="shared" si="99"/>
        <v>0</v>
      </c>
      <c r="C1552" s="12">
        <f t="shared" si="100"/>
        <v>11</v>
      </c>
      <c r="D1552" s="12">
        <f t="shared" si="101"/>
        <v>12</v>
      </c>
      <c r="E1552" s="20" t="s">
        <v>114</v>
      </c>
      <c r="F1552" s="20" t="s">
        <v>3040</v>
      </c>
      <c r="G1552" s="20" t="s">
        <v>6110</v>
      </c>
      <c r="H1552" s="20" t="s">
        <v>6133</v>
      </c>
      <c r="I1552" s="20">
        <v>3</v>
      </c>
      <c r="J1552" s="20" t="s">
        <v>6134</v>
      </c>
      <c r="K1552" s="20" t="s">
        <v>6135</v>
      </c>
      <c r="L1552" s="20" t="s">
        <v>6136</v>
      </c>
      <c r="M1552" s="20" t="s">
        <v>3040</v>
      </c>
      <c r="N1552" s="20" t="s">
        <v>3046</v>
      </c>
      <c r="P1552" s="20" t="s">
        <v>3040</v>
      </c>
      <c r="Q1552" s="20" t="s">
        <v>3047</v>
      </c>
      <c r="R1552" s="20" t="s">
        <v>84</v>
      </c>
      <c r="S1552" s="20" t="s">
        <v>123</v>
      </c>
      <c r="T1552" s="20" t="s">
        <v>1401</v>
      </c>
      <c r="U1552" s="20" t="s">
        <v>1402</v>
      </c>
      <c r="V1552" s="20" t="s">
        <v>5502</v>
      </c>
      <c r="W1552" s="20">
        <v>454</v>
      </c>
      <c r="X1552" s="20">
        <v>454</v>
      </c>
      <c r="Y1552" s="20" t="s">
        <v>6137</v>
      </c>
      <c r="Z1552" s="20">
        <v>1</v>
      </c>
      <c r="AA1552" s="20" t="s">
        <v>6138</v>
      </c>
      <c r="AB1552" s="20" t="s">
        <v>159</v>
      </c>
      <c r="AC1552" s="20" t="s">
        <v>160</v>
      </c>
      <c r="AD1552" s="20" t="s">
        <v>6139</v>
      </c>
      <c r="AE1552" s="20" t="s">
        <v>400</v>
      </c>
      <c r="AF1552" s="20">
        <v>1</v>
      </c>
      <c r="AG1552" s="20">
        <v>0</v>
      </c>
      <c r="AH1552" s="20">
        <v>1</v>
      </c>
      <c r="AI1552" s="4" t="s">
        <v>251</v>
      </c>
      <c r="AJ1552" s="20">
        <v>5</v>
      </c>
      <c r="AK1552" s="4" t="s">
        <v>1047</v>
      </c>
      <c r="AL1552" s="4">
        <v>17</v>
      </c>
      <c r="AM1552" s="4">
        <v>17</v>
      </c>
      <c r="AN1552" s="4" t="s">
        <v>95</v>
      </c>
      <c r="AO1552" s="4" t="s">
        <v>96</v>
      </c>
      <c r="AP1552" s="4">
        <v>1</v>
      </c>
      <c r="AQ1552" s="20">
        <v>39000</v>
      </c>
      <c r="AR1552" s="4">
        <v>41971</v>
      </c>
      <c r="AS1552" s="20">
        <v>3939.3939393939386</v>
      </c>
      <c r="AT1552" s="20">
        <v>0</v>
      </c>
      <c r="AU1552" s="20">
        <v>-3939.3939393939386</v>
      </c>
      <c r="AV1552" s="20">
        <v>0</v>
      </c>
      <c r="AW1552" s="20">
        <v>0</v>
      </c>
      <c r="AX1552" s="20" t="s">
        <v>91</v>
      </c>
      <c r="AY1552" s="20">
        <v>0</v>
      </c>
      <c r="AZ1552" s="20">
        <v>0</v>
      </c>
      <c r="BA1552" s="20">
        <v>0</v>
      </c>
      <c r="BB1552" s="6">
        <v>41971</v>
      </c>
      <c r="BC1552" s="6">
        <v>0</v>
      </c>
      <c r="BD1552" s="6">
        <v>41976</v>
      </c>
      <c r="BE1552" s="6">
        <v>0</v>
      </c>
      <c r="BF1552" s="6">
        <v>41975</v>
      </c>
      <c r="BG1552" s="6">
        <v>0</v>
      </c>
      <c r="BH1552" s="6">
        <v>0</v>
      </c>
      <c r="BI1552" s="6">
        <v>0</v>
      </c>
      <c r="BJ1552" s="6">
        <v>0</v>
      </c>
      <c r="BK1552" s="4">
        <v>0</v>
      </c>
      <c r="BL1552" s="4">
        <v>0</v>
      </c>
      <c r="BM1552" s="20">
        <v>5</v>
      </c>
      <c r="BN1552" s="20">
        <v>0</v>
      </c>
      <c r="BO1552" s="20">
        <v>0</v>
      </c>
      <c r="BP1552" s="20">
        <v>0</v>
      </c>
      <c r="BQ1552" s="20">
        <v>0</v>
      </c>
      <c r="BR1552" s="20">
        <v>0</v>
      </c>
      <c r="BS1552" s="20">
        <v>5</v>
      </c>
      <c r="BT1552" s="20">
        <v>19696.969696969692</v>
      </c>
      <c r="BU1552" s="20">
        <v>195000</v>
      </c>
      <c r="BV1552" s="20">
        <v>9.0000000000000018</v>
      </c>
    </row>
    <row r="1553" spans="1:74">
      <c r="A1553" s="10">
        <f t="shared" si="98"/>
        <v>0</v>
      </c>
      <c r="B1553" s="10">
        <f t="shared" si="99"/>
        <v>0</v>
      </c>
      <c r="C1553" s="12">
        <f t="shared" si="100"/>
        <v>11</v>
      </c>
      <c r="D1553" s="12">
        <f t="shared" si="101"/>
        <v>12</v>
      </c>
      <c r="E1553" s="20" t="s">
        <v>114</v>
      </c>
      <c r="F1553" s="20" t="s">
        <v>3040</v>
      </c>
      <c r="G1553" s="20" t="s">
        <v>6110</v>
      </c>
      <c r="H1553" s="20" t="s">
        <v>6140</v>
      </c>
      <c r="I1553" s="20">
        <v>4</v>
      </c>
      <c r="J1553" s="20" t="s">
        <v>6141</v>
      </c>
      <c r="K1553" s="20" t="s">
        <v>6142</v>
      </c>
      <c r="L1553" s="20" t="s">
        <v>6143</v>
      </c>
      <c r="M1553" s="20" t="s">
        <v>3040</v>
      </c>
      <c r="N1553" s="20" t="s">
        <v>6144</v>
      </c>
      <c r="P1553" s="20" t="s">
        <v>3040</v>
      </c>
      <c r="Q1553" s="20" t="s">
        <v>3047</v>
      </c>
      <c r="R1553" s="20" t="s">
        <v>84</v>
      </c>
      <c r="S1553" s="20" t="s">
        <v>123</v>
      </c>
      <c r="T1553" s="20" t="s">
        <v>124</v>
      </c>
      <c r="U1553" s="20" t="s">
        <v>125</v>
      </c>
      <c r="V1553" s="20" t="s">
        <v>5502</v>
      </c>
      <c r="W1553" s="20">
        <v>24</v>
      </c>
      <c r="X1553" s="20" t="s">
        <v>5968</v>
      </c>
      <c r="Y1553" s="20" t="s">
        <v>6145</v>
      </c>
      <c r="Z1553" s="20">
        <v>1</v>
      </c>
      <c r="AA1553" s="20" t="s">
        <v>6146</v>
      </c>
      <c r="AB1553" s="20" t="s">
        <v>248</v>
      </c>
      <c r="AC1553" s="20" t="s">
        <v>249</v>
      </c>
      <c r="AD1553" s="20" t="s">
        <v>6147</v>
      </c>
      <c r="AE1553" s="20" t="s">
        <v>91</v>
      </c>
      <c r="AF1553" s="20">
        <v>1</v>
      </c>
      <c r="AG1553" s="20">
        <v>0</v>
      </c>
      <c r="AH1553" s="20">
        <v>1</v>
      </c>
      <c r="AI1553" s="4" t="s">
        <v>251</v>
      </c>
      <c r="AJ1553" s="20">
        <v>5</v>
      </c>
      <c r="AK1553" s="4" t="s">
        <v>1047</v>
      </c>
      <c r="AL1553" s="4">
        <v>17</v>
      </c>
      <c r="AM1553" s="4">
        <v>17</v>
      </c>
      <c r="AN1553" s="4" t="s">
        <v>95</v>
      </c>
      <c r="AO1553" s="4" t="s">
        <v>96</v>
      </c>
      <c r="AP1553" s="4">
        <v>1</v>
      </c>
      <c r="AQ1553" s="20">
        <v>43000</v>
      </c>
      <c r="AR1553" s="4">
        <v>41971</v>
      </c>
      <c r="AS1553" s="20">
        <v>4343.4343434343427</v>
      </c>
      <c r="AT1553" s="20">
        <v>0</v>
      </c>
      <c r="AU1553" s="20">
        <v>-4343.4343434343427</v>
      </c>
      <c r="AV1553" s="20">
        <v>0</v>
      </c>
      <c r="AW1553" s="20">
        <v>0</v>
      </c>
      <c r="AX1553" s="20" t="s">
        <v>91</v>
      </c>
      <c r="AY1553" s="20">
        <v>0</v>
      </c>
      <c r="AZ1553" s="20">
        <v>0</v>
      </c>
      <c r="BA1553" s="20">
        <v>0</v>
      </c>
      <c r="BB1553" s="6">
        <v>41971</v>
      </c>
      <c r="BC1553" s="6">
        <v>0</v>
      </c>
      <c r="BD1553" s="6">
        <v>41976</v>
      </c>
      <c r="BE1553" s="6">
        <v>0</v>
      </c>
      <c r="BF1553" s="6">
        <v>41975</v>
      </c>
      <c r="BG1553" s="6">
        <v>0</v>
      </c>
      <c r="BH1553" s="6">
        <v>0</v>
      </c>
      <c r="BI1553" s="6">
        <v>0</v>
      </c>
      <c r="BJ1553" s="6">
        <v>0</v>
      </c>
      <c r="BK1553" s="4">
        <v>0</v>
      </c>
      <c r="BL1553" s="4">
        <v>0</v>
      </c>
      <c r="BM1553" s="20">
        <v>5</v>
      </c>
      <c r="BN1553" s="20">
        <v>0</v>
      </c>
      <c r="BO1553" s="20">
        <v>0</v>
      </c>
      <c r="BP1553" s="20">
        <v>0</v>
      </c>
      <c r="BQ1553" s="20">
        <v>0</v>
      </c>
      <c r="BR1553" s="20">
        <v>0</v>
      </c>
      <c r="BS1553" s="20">
        <v>5</v>
      </c>
      <c r="BT1553" s="20">
        <v>21717.171717171714</v>
      </c>
      <c r="BU1553" s="20">
        <v>215000</v>
      </c>
      <c r="BV1553" s="20">
        <v>9</v>
      </c>
    </row>
    <row r="1554" spans="1:74">
      <c r="A1554" s="10">
        <f t="shared" si="98"/>
        <v>0</v>
      </c>
      <c r="B1554" s="10">
        <f t="shared" si="99"/>
        <v>0</v>
      </c>
      <c r="C1554" s="12">
        <f t="shared" si="100"/>
        <v>11</v>
      </c>
      <c r="D1554" s="12">
        <f t="shared" si="101"/>
        <v>12</v>
      </c>
      <c r="E1554" s="20" t="s">
        <v>114</v>
      </c>
      <c r="F1554" s="20" t="s">
        <v>3040</v>
      </c>
      <c r="G1554" s="20" t="s">
        <v>6110</v>
      </c>
      <c r="H1554" s="20" t="s">
        <v>6148</v>
      </c>
      <c r="I1554" s="20">
        <v>5</v>
      </c>
      <c r="J1554" s="20" t="s">
        <v>6149</v>
      </c>
      <c r="K1554" s="20" t="s">
        <v>6150</v>
      </c>
      <c r="L1554" s="20" t="s">
        <v>6151</v>
      </c>
      <c r="M1554" s="20" t="s">
        <v>3040</v>
      </c>
      <c r="N1554" s="20" t="s">
        <v>6144</v>
      </c>
      <c r="P1554" s="20" t="s">
        <v>3040</v>
      </c>
      <c r="Q1554" s="20" t="s">
        <v>3047</v>
      </c>
      <c r="R1554" s="20" t="s">
        <v>84</v>
      </c>
      <c r="S1554" s="20" t="s">
        <v>123</v>
      </c>
      <c r="T1554" s="20" t="s">
        <v>124</v>
      </c>
      <c r="U1554" s="20" t="s">
        <v>125</v>
      </c>
      <c r="V1554" s="20" t="s">
        <v>5502</v>
      </c>
      <c r="W1554" s="20">
        <v>403</v>
      </c>
      <c r="X1554" s="20">
        <v>403</v>
      </c>
      <c r="Y1554" s="20" t="s">
        <v>6152</v>
      </c>
      <c r="Z1554" s="20">
        <v>1</v>
      </c>
      <c r="AA1554" s="20" t="s">
        <v>6153</v>
      </c>
      <c r="AB1554" s="20" t="s">
        <v>248</v>
      </c>
      <c r="AC1554" s="20" t="s">
        <v>249</v>
      </c>
      <c r="AD1554" s="20" t="s">
        <v>6154</v>
      </c>
      <c r="AE1554" s="20" t="s">
        <v>400</v>
      </c>
      <c r="AF1554" s="20">
        <v>1</v>
      </c>
      <c r="AG1554" s="20">
        <v>0</v>
      </c>
      <c r="AH1554" s="20">
        <v>1</v>
      </c>
      <c r="AI1554" s="4" t="s">
        <v>251</v>
      </c>
      <c r="AJ1554" s="20">
        <v>10</v>
      </c>
      <c r="AK1554" s="4" t="s">
        <v>1047</v>
      </c>
      <c r="AL1554" s="4">
        <v>17</v>
      </c>
      <c r="AM1554" s="4">
        <v>17</v>
      </c>
      <c r="AN1554" s="4" t="s">
        <v>95</v>
      </c>
      <c r="AO1554" s="4" t="s">
        <v>96</v>
      </c>
      <c r="AP1554" s="4">
        <v>1</v>
      </c>
      <c r="AQ1554" s="20">
        <v>35000</v>
      </c>
      <c r="AR1554" s="4">
        <v>41971</v>
      </c>
      <c r="AS1554" s="20">
        <v>3535.3535353535353</v>
      </c>
      <c r="AT1554" s="20">
        <v>0</v>
      </c>
      <c r="AU1554" s="20">
        <v>-3535.3535353535353</v>
      </c>
      <c r="AV1554" s="20">
        <v>0</v>
      </c>
      <c r="AW1554" s="20">
        <v>0</v>
      </c>
      <c r="AX1554" s="20" t="s">
        <v>91</v>
      </c>
      <c r="AY1554" s="20">
        <v>0</v>
      </c>
      <c r="AZ1554" s="20">
        <v>0</v>
      </c>
      <c r="BA1554" s="20">
        <v>0</v>
      </c>
      <c r="BB1554" s="6">
        <v>41971</v>
      </c>
      <c r="BC1554" s="6">
        <v>0</v>
      </c>
      <c r="BD1554" s="6">
        <v>41976</v>
      </c>
      <c r="BE1554" s="6">
        <v>0</v>
      </c>
      <c r="BF1554" s="6">
        <v>41975</v>
      </c>
      <c r="BG1554" s="6">
        <v>0</v>
      </c>
      <c r="BH1554" s="6">
        <v>0</v>
      </c>
      <c r="BI1554" s="6">
        <v>0</v>
      </c>
      <c r="BJ1554" s="6">
        <v>0</v>
      </c>
      <c r="BK1554" s="4">
        <v>0</v>
      </c>
      <c r="BL1554" s="4">
        <v>0</v>
      </c>
      <c r="BM1554" s="20">
        <v>10</v>
      </c>
      <c r="BN1554" s="20">
        <v>0</v>
      </c>
      <c r="BO1554" s="20">
        <v>0</v>
      </c>
      <c r="BP1554" s="20">
        <v>0</v>
      </c>
      <c r="BQ1554" s="20">
        <v>0</v>
      </c>
      <c r="BR1554" s="20">
        <v>0</v>
      </c>
      <c r="BS1554" s="20">
        <v>10</v>
      </c>
      <c r="BT1554" s="20">
        <v>35353.53535353535</v>
      </c>
      <c r="BU1554" s="20">
        <v>350000</v>
      </c>
      <c r="BV1554" s="20">
        <v>9</v>
      </c>
    </row>
    <row r="1555" spans="1:74">
      <c r="A1555" s="10">
        <f t="shared" si="98"/>
        <v>0</v>
      </c>
      <c r="B1555" s="10">
        <f t="shared" si="99"/>
        <v>0</v>
      </c>
      <c r="C1555" s="12">
        <f t="shared" si="100"/>
        <v>11</v>
      </c>
      <c r="D1555" s="12">
        <f t="shared" si="101"/>
        <v>12</v>
      </c>
      <c r="E1555" s="20" t="s">
        <v>114</v>
      </c>
      <c r="F1555" s="20" t="s">
        <v>3040</v>
      </c>
      <c r="G1555" s="20" t="s">
        <v>6110</v>
      </c>
      <c r="H1555" s="20" t="s">
        <v>6155</v>
      </c>
      <c r="I1555" s="20">
        <v>6</v>
      </c>
      <c r="J1555" s="20" t="s">
        <v>6156</v>
      </c>
      <c r="K1555" s="20" t="s">
        <v>6157</v>
      </c>
      <c r="L1555" s="20" t="s">
        <v>6158</v>
      </c>
      <c r="M1555" s="20" t="s">
        <v>3040</v>
      </c>
      <c r="N1555" s="20" t="s">
        <v>6144</v>
      </c>
      <c r="P1555" s="20" t="s">
        <v>3040</v>
      </c>
      <c r="Q1555" s="20" t="s">
        <v>3047</v>
      </c>
      <c r="R1555" s="20" t="s">
        <v>84</v>
      </c>
      <c r="S1555" s="20" t="s">
        <v>123</v>
      </c>
      <c r="T1555" s="20" t="s">
        <v>124</v>
      </c>
      <c r="U1555" s="20" t="s">
        <v>125</v>
      </c>
      <c r="V1555" s="20" t="s">
        <v>5502</v>
      </c>
      <c r="W1555" s="20">
        <v>412</v>
      </c>
      <c r="X1555" s="20">
        <v>412</v>
      </c>
      <c r="Y1555" s="20" t="s">
        <v>6159</v>
      </c>
      <c r="Z1555" s="20">
        <v>1</v>
      </c>
      <c r="AA1555" s="20" t="s">
        <v>6160</v>
      </c>
      <c r="AB1555" s="20" t="s">
        <v>248</v>
      </c>
      <c r="AC1555" s="20" t="s">
        <v>249</v>
      </c>
      <c r="AD1555" s="20" t="s">
        <v>6161</v>
      </c>
      <c r="AE1555" s="20" t="s">
        <v>400</v>
      </c>
      <c r="AF1555" s="20">
        <v>1</v>
      </c>
      <c r="AG1555" s="20">
        <v>0</v>
      </c>
      <c r="AH1555" s="20">
        <v>1</v>
      </c>
      <c r="AI1555" s="4" t="s">
        <v>251</v>
      </c>
      <c r="AJ1555" s="20">
        <v>7</v>
      </c>
      <c r="AK1555" s="4" t="s">
        <v>1047</v>
      </c>
      <c r="AL1555" s="4">
        <v>17</v>
      </c>
      <c r="AM1555" s="4">
        <v>17</v>
      </c>
      <c r="AN1555" s="4" t="s">
        <v>95</v>
      </c>
      <c r="AO1555" s="4" t="s">
        <v>96</v>
      </c>
      <c r="AP1555" s="4">
        <v>1</v>
      </c>
      <c r="AQ1555" s="20">
        <v>43000</v>
      </c>
      <c r="AR1555" s="4">
        <v>41971</v>
      </c>
      <c r="AS1555" s="20">
        <v>4343.4343434343427</v>
      </c>
      <c r="AT1555" s="20">
        <v>0</v>
      </c>
      <c r="AU1555" s="20">
        <v>-4343.4343434343427</v>
      </c>
      <c r="AV1555" s="20">
        <v>0</v>
      </c>
      <c r="AW1555" s="20">
        <v>0</v>
      </c>
      <c r="AX1555" s="20" t="s">
        <v>91</v>
      </c>
      <c r="AY1555" s="20">
        <v>0</v>
      </c>
      <c r="AZ1555" s="20">
        <v>0</v>
      </c>
      <c r="BA1555" s="20">
        <v>0</v>
      </c>
      <c r="BB1555" s="6">
        <v>41971</v>
      </c>
      <c r="BC1555" s="6">
        <v>0</v>
      </c>
      <c r="BD1555" s="6">
        <v>41976</v>
      </c>
      <c r="BE1555" s="6">
        <v>0</v>
      </c>
      <c r="BF1555" s="6">
        <v>41975</v>
      </c>
      <c r="BG1555" s="6">
        <v>0</v>
      </c>
      <c r="BH1555" s="6">
        <v>0</v>
      </c>
      <c r="BI1555" s="6">
        <v>0</v>
      </c>
      <c r="BJ1555" s="6">
        <v>0</v>
      </c>
      <c r="BK1555" s="4">
        <v>0</v>
      </c>
      <c r="BL1555" s="4">
        <v>0</v>
      </c>
      <c r="BM1555" s="20">
        <v>7</v>
      </c>
      <c r="BN1555" s="20">
        <v>0</v>
      </c>
      <c r="BO1555" s="20">
        <v>0</v>
      </c>
      <c r="BP1555" s="20">
        <v>0</v>
      </c>
      <c r="BQ1555" s="20">
        <v>0</v>
      </c>
      <c r="BR1555" s="20">
        <v>0</v>
      </c>
      <c r="BS1555" s="20">
        <v>7</v>
      </c>
      <c r="BT1555" s="20">
        <v>30404.040404040399</v>
      </c>
      <c r="BU1555" s="20">
        <v>301000</v>
      </c>
      <c r="BV1555" s="20">
        <v>9</v>
      </c>
    </row>
    <row r="1556" spans="1:74">
      <c r="A1556" s="10">
        <f t="shared" si="98"/>
        <v>0</v>
      </c>
      <c r="B1556" s="10">
        <f t="shared" si="99"/>
        <v>0</v>
      </c>
      <c r="C1556" s="12">
        <f t="shared" si="100"/>
        <v>11</v>
      </c>
      <c r="D1556" s="12">
        <f t="shared" si="101"/>
        <v>12</v>
      </c>
      <c r="E1556" s="20" t="s">
        <v>114</v>
      </c>
      <c r="F1556" s="20" t="s">
        <v>3040</v>
      </c>
      <c r="G1556" s="20" t="s">
        <v>6110</v>
      </c>
      <c r="H1556" s="20" t="s">
        <v>6162</v>
      </c>
      <c r="I1556" s="20">
        <v>7</v>
      </c>
      <c r="J1556" s="20" t="s">
        <v>6163</v>
      </c>
      <c r="K1556" s="20" t="s">
        <v>6164</v>
      </c>
      <c r="L1556" s="20" t="s">
        <v>6165</v>
      </c>
      <c r="M1556" s="20" t="s">
        <v>3040</v>
      </c>
      <c r="N1556" s="20" t="s">
        <v>6144</v>
      </c>
      <c r="P1556" s="20" t="s">
        <v>3040</v>
      </c>
      <c r="Q1556" s="20" t="s">
        <v>3047</v>
      </c>
      <c r="R1556" s="20" t="s">
        <v>84</v>
      </c>
      <c r="S1556" s="20" t="s">
        <v>123</v>
      </c>
      <c r="T1556" s="20" t="s">
        <v>124</v>
      </c>
      <c r="U1556" s="20" t="s">
        <v>125</v>
      </c>
      <c r="V1556" s="20" t="s">
        <v>5502</v>
      </c>
      <c r="W1556" s="20">
        <v>413</v>
      </c>
      <c r="X1556" s="20">
        <v>413</v>
      </c>
      <c r="Y1556" s="20" t="s">
        <v>6166</v>
      </c>
      <c r="Z1556" s="20">
        <v>1</v>
      </c>
      <c r="AA1556" s="20" t="s">
        <v>6167</v>
      </c>
      <c r="AB1556" s="20" t="s">
        <v>248</v>
      </c>
      <c r="AC1556" s="20" t="s">
        <v>249</v>
      </c>
      <c r="AD1556" s="20" t="s">
        <v>6168</v>
      </c>
      <c r="AE1556" s="20" t="s">
        <v>400</v>
      </c>
      <c r="AF1556" s="20">
        <v>1</v>
      </c>
      <c r="AG1556" s="20">
        <v>0</v>
      </c>
      <c r="AH1556" s="20">
        <v>1</v>
      </c>
      <c r="AI1556" s="4" t="s">
        <v>251</v>
      </c>
      <c r="AJ1556" s="20">
        <v>5</v>
      </c>
      <c r="AK1556" s="4" t="s">
        <v>1047</v>
      </c>
      <c r="AL1556" s="4">
        <v>17</v>
      </c>
      <c r="AM1556" s="4">
        <v>17</v>
      </c>
      <c r="AN1556" s="4" t="s">
        <v>95</v>
      </c>
      <c r="AO1556" s="4" t="s">
        <v>96</v>
      </c>
      <c r="AP1556" s="4">
        <v>1</v>
      </c>
      <c r="AQ1556" s="20">
        <v>43000</v>
      </c>
      <c r="AR1556" s="4">
        <v>41971</v>
      </c>
      <c r="AS1556" s="20">
        <v>4343.4343434343427</v>
      </c>
      <c r="AT1556" s="20">
        <v>0</v>
      </c>
      <c r="AU1556" s="20">
        <v>-4343.4343434343427</v>
      </c>
      <c r="AV1556" s="20">
        <v>0</v>
      </c>
      <c r="AW1556" s="20">
        <v>0</v>
      </c>
      <c r="AX1556" s="20" t="s">
        <v>91</v>
      </c>
      <c r="AY1556" s="20">
        <v>0</v>
      </c>
      <c r="AZ1556" s="20">
        <v>0</v>
      </c>
      <c r="BA1556" s="20">
        <v>0</v>
      </c>
      <c r="BB1556" s="6">
        <v>41971</v>
      </c>
      <c r="BC1556" s="6">
        <v>0</v>
      </c>
      <c r="BD1556" s="6">
        <v>41976</v>
      </c>
      <c r="BE1556" s="6">
        <v>0</v>
      </c>
      <c r="BF1556" s="6">
        <v>41975</v>
      </c>
      <c r="BG1556" s="6">
        <v>0</v>
      </c>
      <c r="BH1556" s="6">
        <v>0</v>
      </c>
      <c r="BI1556" s="6">
        <v>0</v>
      </c>
      <c r="BJ1556" s="6">
        <v>0</v>
      </c>
      <c r="BK1556" s="4">
        <v>0</v>
      </c>
      <c r="BL1556" s="4">
        <v>0</v>
      </c>
      <c r="BM1556" s="20">
        <v>5</v>
      </c>
      <c r="BN1556" s="20">
        <v>0</v>
      </c>
      <c r="BO1556" s="20">
        <v>0</v>
      </c>
      <c r="BP1556" s="20">
        <v>0</v>
      </c>
      <c r="BQ1556" s="20">
        <v>0</v>
      </c>
      <c r="BR1556" s="20">
        <v>0</v>
      </c>
      <c r="BS1556" s="20">
        <v>5</v>
      </c>
      <c r="BT1556" s="20">
        <v>21717.171717171714</v>
      </c>
      <c r="BU1556" s="20">
        <v>215000</v>
      </c>
      <c r="BV1556" s="20">
        <v>9</v>
      </c>
    </row>
    <row r="1557" spans="1:74">
      <c r="A1557" s="10">
        <f t="shared" si="98"/>
        <v>0</v>
      </c>
      <c r="B1557" s="10">
        <f t="shared" si="99"/>
        <v>0</v>
      </c>
      <c r="C1557" s="12">
        <f t="shared" si="100"/>
        <v>11</v>
      </c>
      <c r="D1557" s="12">
        <f t="shared" si="101"/>
        <v>12</v>
      </c>
      <c r="E1557" s="20" t="s">
        <v>114</v>
      </c>
      <c r="F1557" s="20" t="s">
        <v>3040</v>
      </c>
      <c r="G1557" s="20" t="s">
        <v>6110</v>
      </c>
      <c r="H1557" s="20" t="s">
        <v>6169</v>
      </c>
      <c r="I1557" s="20">
        <v>8</v>
      </c>
      <c r="J1557" s="20" t="s">
        <v>6170</v>
      </c>
      <c r="K1557" s="20" t="s">
        <v>6171</v>
      </c>
      <c r="L1557" s="20" t="s">
        <v>6172</v>
      </c>
      <c r="M1557" s="20" t="s">
        <v>3040</v>
      </c>
      <c r="N1557" s="20" t="s">
        <v>6144</v>
      </c>
      <c r="P1557" s="20" t="s">
        <v>3040</v>
      </c>
      <c r="Q1557" s="20" t="s">
        <v>3047</v>
      </c>
      <c r="R1557" s="20" t="s">
        <v>84</v>
      </c>
      <c r="S1557" s="20" t="s">
        <v>123</v>
      </c>
      <c r="T1557" s="20" t="s">
        <v>124</v>
      </c>
      <c r="U1557" s="20" t="s">
        <v>125</v>
      </c>
      <c r="V1557" s="20" t="s">
        <v>5502</v>
      </c>
      <c r="W1557" s="20">
        <v>414</v>
      </c>
      <c r="X1557" s="20">
        <v>414</v>
      </c>
      <c r="Y1557" s="20" t="s">
        <v>6173</v>
      </c>
      <c r="Z1557" s="20">
        <v>1</v>
      </c>
      <c r="AA1557" s="20" t="s">
        <v>6174</v>
      </c>
      <c r="AB1557" s="20" t="s">
        <v>248</v>
      </c>
      <c r="AC1557" s="20" t="s">
        <v>249</v>
      </c>
      <c r="AD1557" s="20" t="s">
        <v>6175</v>
      </c>
      <c r="AE1557" s="20" t="s">
        <v>400</v>
      </c>
      <c r="AF1557" s="20">
        <v>1</v>
      </c>
      <c r="AG1557" s="20">
        <v>0</v>
      </c>
      <c r="AH1557" s="20">
        <v>1</v>
      </c>
      <c r="AI1557" s="4" t="s">
        <v>251</v>
      </c>
      <c r="AJ1557" s="20">
        <v>5</v>
      </c>
      <c r="AK1557" s="4" t="s">
        <v>1047</v>
      </c>
      <c r="AL1557" s="4">
        <v>17</v>
      </c>
      <c r="AM1557" s="4">
        <v>17</v>
      </c>
      <c r="AN1557" s="4" t="s">
        <v>95</v>
      </c>
      <c r="AO1557" s="4" t="s">
        <v>96</v>
      </c>
      <c r="AP1557" s="4">
        <v>1</v>
      </c>
      <c r="AQ1557" s="20">
        <v>43000</v>
      </c>
      <c r="AR1557" s="4">
        <v>41971</v>
      </c>
      <c r="AS1557" s="20">
        <v>4343.4343434343427</v>
      </c>
      <c r="AT1557" s="20">
        <v>0</v>
      </c>
      <c r="AU1557" s="20">
        <v>-4343.4343434343427</v>
      </c>
      <c r="AV1557" s="20">
        <v>0</v>
      </c>
      <c r="AW1557" s="20">
        <v>0</v>
      </c>
      <c r="AX1557" s="20" t="s">
        <v>91</v>
      </c>
      <c r="AY1557" s="20">
        <v>0</v>
      </c>
      <c r="AZ1557" s="20">
        <v>0</v>
      </c>
      <c r="BA1557" s="20">
        <v>0</v>
      </c>
      <c r="BB1557" s="6">
        <v>41971</v>
      </c>
      <c r="BC1557" s="6">
        <v>0</v>
      </c>
      <c r="BD1557" s="6">
        <v>41976</v>
      </c>
      <c r="BE1557" s="6">
        <v>0</v>
      </c>
      <c r="BF1557" s="6">
        <v>41975</v>
      </c>
      <c r="BG1557" s="6">
        <v>0</v>
      </c>
      <c r="BH1557" s="6">
        <v>0</v>
      </c>
      <c r="BI1557" s="6">
        <v>0</v>
      </c>
      <c r="BJ1557" s="6">
        <v>0</v>
      </c>
      <c r="BK1557" s="4">
        <v>0</v>
      </c>
      <c r="BL1557" s="4">
        <v>0</v>
      </c>
      <c r="BM1557" s="20">
        <v>5</v>
      </c>
      <c r="BN1557" s="20">
        <v>0</v>
      </c>
      <c r="BO1557" s="20">
        <v>0</v>
      </c>
      <c r="BP1557" s="20">
        <v>0</v>
      </c>
      <c r="BQ1557" s="20">
        <v>0</v>
      </c>
      <c r="BR1557" s="20">
        <v>0</v>
      </c>
      <c r="BS1557" s="20">
        <v>5</v>
      </c>
      <c r="BT1557" s="20">
        <v>21717.171717171714</v>
      </c>
      <c r="BU1557" s="20">
        <v>215000</v>
      </c>
      <c r="BV1557" s="20">
        <v>9</v>
      </c>
    </row>
    <row r="1558" spans="1:74">
      <c r="A1558" s="10">
        <f t="shared" si="98"/>
        <v>0</v>
      </c>
      <c r="B1558" s="10">
        <f t="shared" si="99"/>
        <v>0</v>
      </c>
      <c r="C1558" s="12">
        <f t="shared" si="100"/>
        <v>11</v>
      </c>
      <c r="D1558" s="12">
        <f t="shared" si="101"/>
        <v>12</v>
      </c>
      <c r="E1558" s="20" t="s">
        <v>114</v>
      </c>
      <c r="F1558" s="20" t="s">
        <v>3040</v>
      </c>
      <c r="G1558" s="20" t="s">
        <v>6110</v>
      </c>
      <c r="H1558" s="20" t="s">
        <v>6176</v>
      </c>
      <c r="I1558" s="20">
        <v>9</v>
      </c>
      <c r="J1558" s="20" t="s">
        <v>6177</v>
      </c>
      <c r="K1558" s="20" t="s">
        <v>6178</v>
      </c>
      <c r="L1558" s="20" t="s">
        <v>6172</v>
      </c>
      <c r="M1558" s="20" t="s">
        <v>3040</v>
      </c>
      <c r="N1558" s="20" t="s">
        <v>6144</v>
      </c>
      <c r="P1558" s="20" t="s">
        <v>3040</v>
      </c>
      <c r="Q1558" s="20" t="s">
        <v>3047</v>
      </c>
      <c r="R1558" s="20" t="s">
        <v>84</v>
      </c>
      <c r="S1558" s="20" t="s">
        <v>123</v>
      </c>
      <c r="T1558" s="20" t="s">
        <v>124</v>
      </c>
      <c r="U1558" s="20" t="s">
        <v>125</v>
      </c>
      <c r="V1558" s="20" t="s">
        <v>5502</v>
      </c>
      <c r="W1558" s="20">
        <v>414</v>
      </c>
      <c r="X1558" s="20">
        <v>414</v>
      </c>
      <c r="Y1558" s="20" t="s">
        <v>6173</v>
      </c>
      <c r="Z1558" s="20">
        <v>1</v>
      </c>
      <c r="AA1558" s="20" t="s">
        <v>6179</v>
      </c>
      <c r="AB1558" s="20" t="s">
        <v>532</v>
      </c>
      <c r="AC1558" s="20" t="s">
        <v>533</v>
      </c>
      <c r="AD1558" s="20" t="s">
        <v>6180</v>
      </c>
      <c r="AE1558" s="20" t="s">
        <v>400</v>
      </c>
      <c r="AF1558" s="20">
        <v>1</v>
      </c>
      <c r="AG1558" s="20">
        <v>0</v>
      </c>
      <c r="AH1558" s="20">
        <v>1</v>
      </c>
      <c r="AI1558" s="4" t="s">
        <v>251</v>
      </c>
      <c r="AJ1558" s="20">
        <v>5</v>
      </c>
      <c r="AK1558" s="4" t="s">
        <v>1047</v>
      </c>
      <c r="AL1558" s="4">
        <v>17</v>
      </c>
      <c r="AM1558" s="4">
        <v>17</v>
      </c>
      <c r="AN1558" s="4" t="s">
        <v>95</v>
      </c>
      <c r="AO1558" s="4" t="s">
        <v>96</v>
      </c>
      <c r="AP1558" s="4">
        <v>1</v>
      </c>
      <c r="AQ1558" s="20">
        <v>43000</v>
      </c>
      <c r="AR1558" s="4">
        <v>41971</v>
      </c>
      <c r="AS1558" s="20">
        <v>4343.4343434343427</v>
      </c>
      <c r="AT1558" s="20">
        <v>0</v>
      </c>
      <c r="AU1558" s="20">
        <v>-4343.4343434343427</v>
      </c>
      <c r="AV1558" s="20">
        <v>0</v>
      </c>
      <c r="AW1558" s="20">
        <v>0</v>
      </c>
      <c r="AX1558" s="20" t="s">
        <v>91</v>
      </c>
      <c r="AY1558" s="20">
        <v>0</v>
      </c>
      <c r="AZ1558" s="20">
        <v>0</v>
      </c>
      <c r="BA1558" s="20">
        <v>0</v>
      </c>
      <c r="BB1558" s="6">
        <v>41971</v>
      </c>
      <c r="BC1558" s="6">
        <v>0</v>
      </c>
      <c r="BD1558" s="6">
        <v>41976</v>
      </c>
      <c r="BE1558" s="6">
        <v>0</v>
      </c>
      <c r="BF1558" s="6">
        <v>41975</v>
      </c>
      <c r="BG1558" s="6">
        <v>0</v>
      </c>
      <c r="BH1558" s="6">
        <v>0</v>
      </c>
      <c r="BI1558" s="6">
        <v>0</v>
      </c>
      <c r="BJ1558" s="6">
        <v>0</v>
      </c>
      <c r="BK1558" s="4">
        <v>0</v>
      </c>
      <c r="BL1558" s="4">
        <v>0</v>
      </c>
      <c r="BM1558" s="20">
        <v>5</v>
      </c>
      <c r="BN1558" s="20">
        <v>0</v>
      </c>
      <c r="BO1558" s="20">
        <v>0</v>
      </c>
      <c r="BP1558" s="20">
        <v>0</v>
      </c>
      <c r="BQ1558" s="20">
        <v>0</v>
      </c>
      <c r="BR1558" s="20">
        <v>0</v>
      </c>
      <c r="BS1558" s="20">
        <v>5</v>
      </c>
      <c r="BT1558" s="20">
        <v>21717.171717171714</v>
      </c>
      <c r="BU1558" s="20">
        <v>215000</v>
      </c>
      <c r="BV1558" s="20">
        <v>9</v>
      </c>
    </row>
    <row r="1559" spans="1:74">
      <c r="A1559" s="10">
        <f t="shared" si="98"/>
        <v>0</v>
      </c>
      <c r="B1559" s="10">
        <f t="shared" si="99"/>
        <v>0</v>
      </c>
      <c r="C1559" s="12">
        <f t="shared" si="100"/>
        <v>11</v>
      </c>
      <c r="D1559" s="12">
        <f t="shared" si="101"/>
        <v>12</v>
      </c>
      <c r="E1559" s="20" t="s">
        <v>114</v>
      </c>
      <c r="F1559" s="20" t="s">
        <v>3040</v>
      </c>
      <c r="G1559" s="20" t="s">
        <v>6110</v>
      </c>
      <c r="H1559" s="20" t="s">
        <v>6181</v>
      </c>
      <c r="I1559" s="20">
        <v>10</v>
      </c>
      <c r="J1559" s="20" t="s">
        <v>6182</v>
      </c>
      <c r="K1559" s="20" t="s">
        <v>6183</v>
      </c>
      <c r="L1559" s="20" t="s">
        <v>6184</v>
      </c>
      <c r="M1559" s="20" t="s">
        <v>3040</v>
      </c>
      <c r="N1559" s="20" t="s">
        <v>6144</v>
      </c>
      <c r="P1559" s="20" t="s">
        <v>3040</v>
      </c>
      <c r="Q1559" s="20" t="s">
        <v>3047</v>
      </c>
      <c r="R1559" s="20" t="s">
        <v>84</v>
      </c>
      <c r="S1559" s="20">
        <v>5</v>
      </c>
      <c r="T1559" s="20" t="s">
        <v>124</v>
      </c>
      <c r="U1559" s="20" t="s">
        <v>125</v>
      </c>
      <c r="V1559" s="20" t="s">
        <v>5502</v>
      </c>
      <c r="W1559" s="20">
        <v>20</v>
      </c>
      <c r="X1559" s="20" t="s">
        <v>6185</v>
      </c>
      <c r="Y1559" s="20" t="s">
        <v>6186</v>
      </c>
      <c r="Z1559" s="20">
        <v>1</v>
      </c>
      <c r="AA1559" s="20" t="s">
        <v>6187</v>
      </c>
      <c r="AB1559" s="20" t="s">
        <v>248</v>
      </c>
      <c r="AC1559" s="20" t="s">
        <v>249</v>
      </c>
      <c r="AD1559" s="20" t="s">
        <v>6188</v>
      </c>
      <c r="AE1559" s="20" t="s">
        <v>91</v>
      </c>
      <c r="AF1559" s="20">
        <v>1</v>
      </c>
      <c r="AG1559" s="20">
        <v>0</v>
      </c>
      <c r="AH1559" s="20">
        <v>1</v>
      </c>
      <c r="AI1559" s="4" t="s">
        <v>251</v>
      </c>
      <c r="AJ1559" s="20">
        <v>7</v>
      </c>
      <c r="AK1559" s="4" t="s">
        <v>1047</v>
      </c>
      <c r="AL1559" s="4">
        <v>17</v>
      </c>
      <c r="AM1559" s="4">
        <v>17</v>
      </c>
      <c r="AN1559" s="4" t="s">
        <v>95</v>
      </c>
      <c r="AO1559" s="4" t="s">
        <v>96</v>
      </c>
      <c r="AP1559" s="4">
        <v>1</v>
      </c>
      <c r="AQ1559" s="20">
        <v>43000</v>
      </c>
      <c r="AR1559" s="4">
        <v>41971</v>
      </c>
      <c r="AS1559" s="20">
        <v>4343.4343434343427</v>
      </c>
      <c r="AT1559" s="20">
        <v>0</v>
      </c>
      <c r="AU1559" s="20">
        <v>-4343.4343434343427</v>
      </c>
      <c r="AV1559" s="20">
        <v>0</v>
      </c>
      <c r="AW1559" s="20">
        <v>0</v>
      </c>
      <c r="AX1559" s="20" t="s">
        <v>91</v>
      </c>
      <c r="AY1559" s="20">
        <v>0</v>
      </c>
      <c r="AZ1559" s="20">
        <v>0</v>
      </c>
      <c r="BA1559" s="20">
        <v>0</v>
      </c>
      <c r="BB1559" s="6">
        <v>41971</v>
      </c>
      <c r="BC1559" s="6">
        <v>0</v>
      </c>
      <c r="BD1559" s="6">
        <v>41976</v>
      </c>
      <c r="BE1559" s="6">
        <v>0</v>
      </c>
      <c r="BF1559" s="6">
        <v>41975</v>
      </c>
      <c r="BG1559" s="6">
        <v>0</v>
      </c>
      <c r="BH1559" s="6">
        <v>0</v>
      </c>
      <c r="BI1559" s="6">
        <v>0</v>
      </c>
      <c r="BJ1559" s="6">
        <v>0</v>
      </c>
      <c r="BK1559" s="4">
        <v>0</v>
      </c>
      <c r="BL1559" s="4">
        <v>0</v>
      </c>
      <c r="BM1559" s="20">
        <v>7</v>
      </c>
      <c r="BN1559" s="20">
        <v>0</v>
      </c>
      <c r="BO1559" s="20">
        <v>0</v>
      </c>
      <c r="BP1559" s="20">
        <v>0</v>
      </c>
      <c r="BQ1559" s="20">
        <v>0</v>
      </c>
      <c r="BR1559" s="20">
        <v>0</v>
      </c>
      <c r="BS1559" s="20">
        <v>7</v>
      </c>
      <c r="BT1559" s="20">
        <v>30404.040404040399</v>
      </c>
      <c r="BU1559" s="20">
        <v>301000</v>
      </c>
      <c r="BV1559" s="20">
        <v>9</v>
      </c>
    </row>
    <row r="1560" spans="1:74">
      <c r="A1560" s="10">
        <f t="shared" si="98"/>
        <v>0</v>
      </c>
      <c r="B1560" s="10">
        <f t="shared" si="99"/>
        <v>0</v>
      </c>
      <c r="C1560" s="12">
        <f t="shared" si="100"/>
        <v>11</v>
      </c>
      <c r="D1560" s="12">
        <f t="shared" si="101"/>
        <v>12</v>
      </c>
      <c r="E1560" s="20" t="s">
        <v>114</v>
      </c>
      <c r="F1560" s="20" t="s">
        <v>3040</v>
      </c>
      <c r="G1560" s="20" t="s">
        <v>6110</v>
      </c>
      <c r="H1560" s="20" t="s">
        <v>6189</v>
      </c>
      <c r="I1560" s="20">
        <v>11</v>
      </c>
      <c r="J1560" s="20" t="s">
        <v>6190</v>
      </c>
      <c r="K1560" s="20" t="s">
        <v>6191</v>
      </c>
      <c r="L1560" s="20" t="s">
        <v>6192</v>
      </c>
      <c r="M1560" s="20" t="s">
        <v>3040</v>
      </c>
      <c r="N1560" s="20" t="s">
        <v>6144</v>
      </c>
      <c r="P1560" s="20" t="s">
        <v>3040</v>
      </c>
      <c r="Q1560" s="20" t="s">
        <v>3047</v>
      </c>
      <c r="R1560" s="20" t="s">
        <v>84</v>
      </c>
      <c r="S1560" s="20">
        <v>5</v>
      </c>
      <c r="T1560" s="20" t="s">
        <v>124</v>
      </c>
      <c r="U1560" s="20" t="s">
        <v>125</v>
      </c>
      <c r="V1560" s="20" t="s">
        <v>5502</v>
      </c>
      <c r="W1560" s="20">
        <v>29</v>
      </c>
      <c r="X1560" s="20" t="s">
        <v>5940</v>
      </c>
      <c r="Y1560" s="20" t="s">
        <v>6193</v>
      </c>
      <c r="Z1560" s="20">
        <v>1</v>
      </c>
      <c r="AA1560" s="20" t="s">
        <v>6194</v>
      </c>
      <c r="AB1560" s="20" t="s">
        <v>176</v>
      </c>
      <c r="AC1560" s="20" t="s">
        <v>177</v>
      </c>
      <c r="AD1560" s="20" t="s">
        <v>6195</v>
      </c>
      <c r="AE1560" s="20" t="s">
        <v>91</v>
      </c>
      <c r="AF1560" s="20">
        <v>1</v>
      </c>
      <c r="AG1560" s="20">
        <v>0</v>
      </c>
      <c r="AH1560" s="20">
        <v>1</v>
      </c>
      <c r="AI1560" s="4" t="s">
        <v>251</v>
      </c>
      <c r="AJ1560" s="20">
        <v>15</v>
      </c>
      <c r="AK1560" s="4" t="s">
        <v>1047</v>
      </c>
      <c r="AL1560" s="4">
        <v>17</v>
      </c>
      <c r="AM1560" s="4">
        <v>17</v>
      </c>
      <c r="AN1560" s="4" t="s">
        <v>95</v>
      </c>
      <c r="AO1560" s="4" t="s">
        <v>96</v>
      </c>
      <c r="AP1560" s="4">
        <v>1</v>
      </c>
      <c r="AQ1560" s="20">
        <v>49000</v>
      </c>
      <c r="AR1560" s="4">
        <v>41971</v>
      </c>
      <c r="AS1560" s="20">
        <v>4949.4949494949497</v>
      </c>
      <c r="AT1560" s="20">
        <v>0</v>
      </c>
      <c r="AU1560" s="20">
        <v>-4949.4949494949497</v>
      </c>
      <c r="AV1560" s="20">
        <v>0</v>
      </c>
      <c r="AW1560" s="20">
        <v>0</v>
      </c>
      <c r="AX1560" s="20" t="s">
        <v>91</v>
      </c>
      <c r="AY1560" s="20">
        <v>0</v>
      </c>
      <c r="AZ1560" s="20">
        <v>0</v>
      </c>
      <c r="BA1560" s="20">
        <v>0</v>
      </c>
      <c r="BB1560" s="6">
        <v>41971</v>
      </c>
      <c r="BC1560" s="6">
        <v>0</v>
      </c>
      <c r="BD1560" s="6">
        <v>41976</v>
      </c>
      <c r="BE1560" s="6">
        <v>0</v>
      </c>
      <c r="BF1560" s="6">
        <v>41975</v>
      </c>
      <c r="BG1560" s="6">
        <v>0</v>
      </c>
      <c r="BH1560" s="6">
        <v>0</v>
      </c>
      <c r="BI1560" s="6">
        <v>0</v>
      </c>
      <c r="BJ1560" s="6">
        <v>0</v>
      </c>
      <c r="BK1560" s="4">
        <v>0</v>
      </c>
      <c r="BL1560" s="4">
        <v>0</v>
      </c>
      <c r="BM1560" s="20">
        <v>15</v>
      </c>
      <c r="BN1560" s="20">
        <v>0</v>
      </c>
      <c r="BO1560" s="20">
        <v>0</v>
      </c>
      <c r="BP1560" s="20">
        <v>0</v>
      </c>
      <c r="BQ1560" s="20">
        <v>0</v>
      </c>
      <c r="BR1560" s="20">
        <v>0</v>
      </c>
      <c r="BS1560" s="20">
        <v>15</v>
      </c>
      <c r="BT1560" s="20">
        <v>74242.42424242424</v>
      </c>
      <c r="BU1560" s="20">
        <v>735000</v>
      </c>
      <c r="BV1560" s="20">
        <v>9</v>
      </c>
    </row>
    <row r="1561" spans="1:74">
      <c r="A1561" s="10">
        <f t="shared" si="98"/>
        <v>0</v>
      </c>
      <c r="B1561" s="10">
        <f t="shared" si="99"/>
        <v>0</v>
      </c>
      <c r="C1561" s="12" t="str">
        <f t="shared" si="100"/>
        <v/>
      </c>
      <c r="D1561" s="12" t="str">
        <f t="shared" si="101"/>
        <v/>
      </c>
      <c r="E1561" s="20" t="s">
        <v>91</v>
      </c>
      <c r="F1561" s="20" t="s">
        <v>91</v>
      </c>
      <c r="G1561" s="20" t="s">
        <v>91</v>
      </c>
      <c r="H1561" s="20" t="s">
        <v>91</v>
      </c>
      <c r="I1561" s="20">
        <v>0</v>
      </c>
      <c r="J1561" s="20" t="s">
        <v>103</v>
      </c>
      <c r="K1561" s="20" t="s">
        <v>104</v>
      </c>
      <c r="L1561" s="20">
        <v>0</v>
      </c>
      <c r="M1561" s="20" t="s">
        <v>105</v>
      </c>
      <c r="N1561" s="20" t="s">
        <v>91</v>
      </c>
      <c r="O1561" s="20" t="s">
        <v>6196</v>
      </c>
      <c r="Q1561" s="20" t="s">
        <v>91</v>
      </c>
      <c r="R1561" s="20" t="s">
        <v>91</v>
      </c>
      <c r="S1561" s="20" t="s">
        <v>91</v>
      </c>
      <c r="U1561" s="20" t="s">
        <v>91</v>
      </c>
      <c r="X1561" s="20" t="s">
        <v>91</v>
      </c>
      <c r="Y1561" s="20" t="s">
        <v>91</v>
      </c>
      <c r="Z1561" s="20">
        <v>11</v>
      </c>
      <c r="AB1561" s="20" t="s">
        <v>91</v>
      </c>
      <c r="AD1561" s="20" t="s">
        <v>91</v>
      </c>
      <c r="AE1561" s="20" t="s">
        <v>91</v>
      </c>
      <c r="AF1561" s="20">
        <v>11</v>
      </c>
      <c r="AG1561" s="20">
        <v>0</v>
      </c>
      <c r="AH1561" s="20">
        <v>1</v>
      </c>
      <c r="AM1561" s="4" t="s">
        <v>91</v>
      </c>
      <c r="AN1561" s="4" t="s">
        <v>95</v>
      </c>
      <c r="AP1561" s="4" t="s">
        <v>91</v>
      </c>
      <c r="AQ1561" s="20">
        <v>0</v>
      </c>
      <c r="AR1561" s="4">
        <v>0</v>
      </c>
      <c r="AS1561" s="20">
        <v>0</v>
      </c>
      <c r="AT1561" s="20">
        <v>0</v>
      </c>
      <c r="AU1561" s="20">
        <v>0</v>
      </c>
      <c r="AV1561" s="20">
        <v>0</v>
      </c>
      <c r="AW1561" s="20">
        <v>0</v>
      </c>
      <c r="AX1561" s="20" t="s">
        <v>91</v>
      </c>
      <c r="AY1561" s="20">
        <v>0</v>
      </c>
      <c r="AZ1561" s="20">
        <v>0</v>
      </c>
      <c r="BA1561" s="20">
        <v>0</v>
      </c>
      <c r="BB1561" s="6">
        <v>0</v>
      </c>
      <c r="BC1561" s="6">
        <v>0</v>
      </c>
      <c r="BD1561" s="6">
        <v>0</v>
      </c>
      <c r="BE1561" s="6">
        <v>0</v>
      </c>
      <c r="BF1561" s="6">
        <v>0</v>
      </c>
      <c r="BG1561" s="6">
        <v>0</v>
      </c>
      <c r="BH1561" s="6">
        <v>0</v>
      </c>
      <c r="BI1561" s="6">
        <v>0</v>
      </c>
      <c r="BJ1561" s="6">
        <v>0</v>
      </c>
      <c r="BK1561" s="4">
        <v>0</v>
      </c>
      <c r="BL1561" s="4">
        <v>0</v>
      </c>
      <c r="BM1561" s="20">
        <v>84</v>
      </c>
      <c r="BN1561" s="20">
        <v>0</v>
      </c>
      <c r="BO1561" s="20">
        <v>0</v>
      </c>
      <c r="BP1561" s="20">
        <v>0</v>
      </c>
      <c r="BQ1561" s="20">
        <v>0</v>
      </c>
      <c r="BR1561" s="20">
        <v>0</v>
      </c>
      <c r="BS1561" s="20">
        <v>84</v>
      </c>
      <c r="BT1561" s="20">
        <v>355757.57575757575</v>
      </c>
      <c r="BU1561" s="20">
        <v>3522000</v>
      </c>
      <c r="BV1561" s="20">
        <v>8.9999999999999982</v>
      </c>
    </row>
    <row r="1562" spans="1:74">
      <c r="A1562" s="10">
        <f t="shared" si="98"/>
        <v>0</v>
      </c>
      <c r="B1562" s="10">
        <f t="shared" si="99"/>
        <v>0</v>
      </c>
      <c r="C1562" s="12">
        <f t="shared" si="100"/>
        <v>11</v>
      </c>
      <c r="D1562" s="12">
        <f t="shared" si="101"/>
        <v>12</v>
      </c>
      <c r="E1562" s="20" t="s">
        <v>114</v>
      </c>
      <c r="F1562" s="20" t="s">
        <v>3040</v>
      </c>
      <c r="G1562" s="20" t="s">
        <v>6197</v>
      </c>
      <c r="H1562" s="20" t="s">
        <v>6198</v>
      </c>
      <c r="I1562" s="20">
        <v>1</v>
      </c>
      <c r="J1562" s="20" t="s">
        <v>6199</v>
      </c>
      <c r="K1562" s="20" t="s">
        <v>6200</v>
      </c>
      <c r="L1562" s="20" t="s">
        <v>6201</v>
      </c>
      <c r="M1562" s="20" t="s">
        <v>3040</v>
      </c>
      <c r="N1562" s="20" t="s">
        <v>3046</v>
      </c>
      <c r="P1562" s="20" t="s">
        <v>3040</v>
      </c>
      <c r="Q1562" s="20" t="s">
        <v>3047</v>
      </c>
      <c r="R1562" s="20" t="s">
        <v>84</v>
      </c>
      <c r="S1562" s="20" t="s">
        <v>123</v>
      </c>
      <c r="T1562" s="20" t="s">
        <v>1401</v>
      </c>
      <c r="U1562" s="20" t="s">
        <v>1402</v>
      </c>
      <c r="V1562" s="20" t="s">
        <v>5502</v>
      </c>
      <c r="W1562" s="20">
        <v>451</v>
      </c>
      <c r="X1562" s="20">
        <v>451</v>
      </c>
      <c r="Y1562" s="20" t="s">
        <v>6202</v>
      </c>
      <c r="Z1562" s="20">
        <v>1</v>
      </c>
      <c r="AA1562" s="20" t="s">
        <v>6203</v>
      </c>
      <c r="AB1562" s="20" t="s">
        <v>248</v>
      </c>
      <c r="AC1562" s="20" t="s">
        <v>249</v>
      </c>
      <c r="AD1562" s="20" t="s">
        <v>6204</v>
      </c>
      <c r="AE1562" s="20" t="s">
        <v>400</v>
      </c>
      <c r="AF1562" s="20">
        <v>1</v>
      </c>
      <c r="AG1562" s="20">
        <v>0</v>
      </c>
      <c r="AH1562" s="20">
        <v>1</v>
      </c>
      <c r="AI1562" s="4" t="s">
        <v>251</v>
      </c>
      <c r="AJ1562" s="20">
        <v>5</v>
      </c>
      <c r="AK1562" s="4" t="s">
        <v>1030</v>
      </c>
      <c r="AL1562" s="4">
        <v>3</v>
      </c>
      <c r="AM1562" s="4" t="s">
        <v>438</v>
      </c>
      <c r="AN1562" s="4" t="s">
        <v>95</v>
      </c>
      <c r="AO1562" s="4" t="s">
        <v>96</v>
      </c>
      <c r="AP1562" s="4">
        <v>1</v>
      </c>
      <c r="AQ1562" s="20">
        <v>39000</v>
      </c>
      <c r="AR1562" s="4">
        <v>41971</v>
      </c>
      <c r="AS1562" s="20">
        <v>3939.3939393939386</v>
      </c>
      <c r="AT1562" s="20">
        <v>0</v>
      </c>
      <c r="AU1562" s="20">
        <v>-3939.3939393939386</v>
      </c>
      <c r="AV1562" s="20">
        <v>0</v>
      </c>
      <c r="AW1562" s="20">
        <v>0</v>
      </c>
      <c r="AX1562" s="20" t="s">
        <v>91</v>
      </c>
      <c r="AY1562" s="20">
        <v>0</v>
      </c>
      <c r="AZ1562" s="20">
        <v>0</v>
      </c>
      <c r="BA1562" s="20">
        <v>0</v>
      </c>
      <c r="BB1562" s="6">
        <v>41971</v>
      </c>
      <c r="BC1562" s="6">
        <v>0</v>
      </c>
      <c r="BD1562" s="6">
        <v>41976</v>
      </c>
      <c r="BE1562" s="6">
        <v>0</v>
      </c>
      <c r="BF1562" s="6">
        <v>41975</v>
      </c>
      <c r="BG1562" s="6">
        <v>0</v>
      </c>
      <c r="BH1562" s="6">
        <v>0</v>
      </c>
      <c r="BI1562" s="6">
        <v>0</v>
      </c>
      <c r="BJ1562" s="6">
        <v>0</v>
      </c>
      <c r="BK1562" s="4">
        <v>0</v>
      </c>
      <c r="BL1562" s="4">
        <v>0</v>
      </c>
      <c r="BM1562" s="20">
        <v>5</v>
      </c>
      <c r="BN1562" s="20">
        <v>0</v>
      </c>
      <c r="BO1562" s="20">
        <v>0</v>
      </c>
      <c r="BP1562" s="20">
        <v>0</v>
      </c>
      <c r="BQ1562" s="20">
        <v>0</v>
      </c>
      <c r="BR1562" s="20">
        <v>0</v>
      </c>
      <c r="BS1562" s="20">
        <v>5</v>
      </c>
      <c r="BT1562" s="20">
        <v>19696.969696969692</v>
      </c>
      <c r="BU1562" s="20">
        <v>195000</v>
      </c>
      <c r="BV1562" s="20">
        <v>9.0000000000000018</v>
      </c>
    </row>
    <row r="1563" spans="1:74">
      <c r="A1563" s="10">
        <f t="shared" si="98"/>
        <v>0</v>
      </c>
      <c r="B1563" s="10">
        <f t="shared" si="99"/>
        <v>0</v>
      </c>
      <c r="C1563" s="12">
        <f t="shared" si="100"/>
        <v>11</v>
      </c>
      <c r="D1563" s="12">
        <f t="shared" si="101"/>
        <v>12</v>
      </c>
      <c r="E1563" s="20" t="s">
        <v>114</v>
      </c>
      <c r="F1563" s="20" t="s">
        <v>3040</v>
      </c>
      <c r="G1563" s="20" t="s">
        <v>6197</v>
      </c>
      <c r="H1563" s="20" t="s">
        <v>6205</v>
      </c>
      <c r="I1563" s="20">
        <v>2</v>
      </c>
      <c r="J1563" s="20" t="s">
        <v>6206</v>
      </c>
      <c r="K1563" s="20" t="s">
        <v>6207</v>
      </c>
      <c r="L1563" s="20" t="s">
        <v>6201</v>
      </c>
      <c r="M1563" s="20" t="s">
        <v>3040</v>
      </c>
      <c r="N1563" s="20" t="s">
        <v>3046</v>
      </c>
      <c r="P1563" s="20" t="s">
        <v>3040</v>
      </c>
      <c r="Q1563" s="20" t="s">
        <v>3047</v>
      </c>
      <c r="R1563" s="20" t="s">
        <v>84</v>
      </c>
      <c r="S1563" s="20" t="s">
        <v>123</v>
      </c>
      <c r="T1563" s="20" t="s">
        <v>1401</v>
      </c>
      <c r="U1563" s="20" t="s">
        <v>1402</v>
      </c>
      <c r="V1563" s="20" t="s">
        <v>5502</v>
      </c>
      <c r="W1563" s="20">
        <v>451</v>
      </c>
      <c r="X1563" s="20">
        <v>451</v>
      </c>
      <c r="Y1563" s="20" t="s">
        <v>6202</v>
      </c>
      <c r="Z1563" s="20">
        <v>1</v>
      </c>
      <c r="AA1563" s="20" t="s">
        <v>6208</v>
      </c>
      <c r="AB1563" s="20" t="s">
        <v>176</v>
      </c>
      <c r="AC1563" s="20" t="s">
        <v>177</v>
      </c>
      <c r="AD1563" s="20" t="s">
        <v>6209</v>
      </c>
      <c r="AE1563" s="20" t="s">
        <v>400</v>
      </c>
      <c r="AF1563" s="20">
        <v>1</v>
      </c>
      <c r="AG1563" s="20">
        <v>0</v>
      </c>
      <c r="AH1563" s="20">
        <v>1</v>
      </c>
      <c r="AI1563" s="4" t="s">
        <v>251</v>
      </c>
      <c r="AJ1563" s="20">
        <v>5</v>
      </c>
      <c r="AK1563" s="4" t="s">
        <v>1030</v>
      </c>
      <c r="AL1563" s="4">
        <v>3</v>
      </c>
      <c r="AM1563" s="4" t="s">
        <v>438</v>
      </c>
      <c r="AN1563" s="4" t="s">
        <v>95</v>
      </c>
      <c r="AO1563" s="4" t="s">
        <v>96</v>
      </c>
      <c r="AP1563" s="4">
        <v>1</v>
      </c>
      <c r="AQ1563" s="20">
        <v>39000</v>
      </c>
      <c r="AR1563" s="4">
        <v>41971</v>
      </c>
      <c r="AS1563" s="20">
        <v>3939.3939393939386</v>
      </c>
      <c r="AT1563" s="20">
        <v>0</v>
      </c>
      <c r="AU1563" s="20">
        <v>-3939.3939393939386</v>
      </c>
      <c r="AV1563" s="20">
        <v>0</v>
      </c>
      <c r="AW1563" s="20">
        <v>0</v>
      </c>
      <c r="AX1563" s="20" t="s">
        <v>91</v>
      </c>
      <c r="AY1563" s="20">
        <v>0</v>
      </c>
      <c r="AZ1563" s="20">
        <v>0</v>
      </c>
      <c r="BA1563" s="20">
        <v>0</v>
      </c>
      <c r="BB1563" s="6">
        <v>41971</v>
      </c>
      <c r="BC1563" s="6">
        <v>0</v>
      </c>
      <c r="BD1563" s="6">
        <v>41976</v>
      </c>
      <c r="BE1563" s="6">
        <v>0</v>
      </c>
      <c r="BF1563" s="6">
        <v>41975</v>
      </c>
      <c r="BG1563" s="6">
        <v>0</v>
      </c>
      <c r="BH1563" s="6">
        <v>0</v>
      </c>
      <c r="BI1563" s="6">
        <v>0</v>
      </c>
      <c r="BJ1563" s="6">
        <v>0</v>
      </c>
      <c r="BK1563" s="4">
        <v>0</v>
      </c>
      <c r="BL1563" s="4">
        <v>0</v>
      </c>
      <c r="BM1563" s="20">
        <v>5</v>
      </c>
      <c r="BN1563" s="20">
        <v>0</v>
      </c>
      <c r="BO1563" s="20">
        <v>0</v>
      </c>
      <c r="BP1563" s="20">
        <v>0</v>
      </c>
      <c r="BQ1563" s="20">
        <v>0</v>
      </c>
      <c r="BR1563" s="20">
        <v>0</v>
      </c>
      <c r="BS1563" s="20">
        <v>5</v>
      </c>
      <c r="BT1563" s="20">
        <v>19696.969696969692</v>
      </c>
      <c r="BU1563" s="20">
        <v>195000</v>
      </c>
      <c r="BV1563" s="20">
        <v>9.0000000000000018</v>
      </c>
    </row>
    <row r="1564" spans="1:74">
      <c r="A1564" s="10">
        <f t="shared" si="98"/>
        <v>0</v>
      </c>
      <c r="B1564" s="10">
        <f t="shared" si="99"/>
        <v>0</v>
      </c>
      <c r="C1564" s="12" t="str">
        <f t="shared" si="100"/>
        <v/>
      </c>
      <c r="D1564" s="12" t="str">
        <f t="shared" si="101"/>
        <v/>
      </c>
      <c r="E1564" s="20" t="s">
        <v>91</v>
      </c>
      <c r="F1564" s="20" t="s">
        <v>91</v>
      </c>
      <c r="G1564" s="20" t="s">
        <v>91</v>
      </c>
      <c r="H1564" s="20" t="s">
        <v>91</v>
      </c>
      <c r="I1564" s="20">
        <v>0</v>
      </c>
      <c r="J1564" s="20" t="s">
        <v>103</v>
      </c>
      <c r="K1564" s="20" t="s">
        <v>104</v>
      </c>
      <c r="L1564" s="20">
        <v>0</v>
      </c>
      <c r="M1564" s="20" t="s">
        <v>105</v>
      </c>
      <c r="N1564" s="20" t="s">
        <v>91</v>
      </c>
      <c r="O1564" s="20" t="s">
        <v>6210</v>
      </c>
      <c r="Q1564" s="20" t="s">
        <v>91</v>
      </c>
      <c r="R1564" s="20" t="s">
        <v>91</v>
      </c>
      <c r="S1564" s="20" t="s">
        <v>91</v>
      </c>
      <c r="U1564" s="20" t="s">
        <v>91</v>
      </c>
      <c r="X1564" s="20" t="s">
        <v>91</v>
      </c>
      <c r="Y1564" s="20" t="s">
        <v>91</v>
      </c>
      <c r="Z1564" s="20">
        <v>2</v>
      </c>
      <c r="AB1564" s="20" t="s">
        <v>91</v>
      </c>
      <c r="AD1564" s="20" t="s">
        <v>91</v>
      </c>
      <c r="AE1564" s="20" t="s">
        <v>91</v>
      </c>
      <c r="AF1564" s="20">
        <v>2</v>
      </c>
      <c r="AG1564" s="20">
        <v>0</v>
      </c>
      <c r="AH1564" s="20">
        <v>1</v>
      </c>
      <c r="AM1564" s="4" t="s">
        <v>91</v>
      </c>
      <c r="AN1564" s="4" t="s">
        <v>95</v>
      </c>
      <c r="AP1564" s="4" t="s">
        <v>91</v>
      </c>
      <c r="AQ1564" s="20">
        <v>0</v>
      </c>
      <c r="AR1564" s="4">
        <v>0</v>
      </c>
      <c r="AS1564" s="20">
        <v>0</v>
      </c>
      <c r="AT1564" s="20">
        <v>0</v>
      </c>
      <c r="AU1564" s="20">
        <v>0</v>
      </c>
      <c r="AV1564" s="20">
        <v>0</v>
      </c>
      <c r="AW1564" s="20">
        <v>0</v>
      </c>
      <c r="AX1564" s="20" t="s">
        <v>91</v>
      </c>
      <c r="AY1564" s="20">
        <v>0</v>
      </c>
      <c r="AZ1564" s="20">
        <v>0</v>
      </c>
      <c r="BA1564" s="20">
        <v>0</v>
      </c>
      <c r="BB1564" s="6">
        <v>0</v>
      </c>
      <c r="BC1564" s="6">
        <v>0</v>
      </c>
      <c r="BD1564" s="6">
        <v>0</v>
      </c>
      <c r="BE1564" s="6">
        <v>0</v>
      </c>
      <c r="BF1564" s="6">
        <v>0</v>
      </c>
      <c r="BG1564" s="6">
        <v>0</v>
      </c>
      <c r="BH1564" s="6">
        <v>0</v>
      </c>
      <c r="BI1564" s="6">
        <v>0</v>
      </c>
      <c r="BJ1564" s="6">
        <v>0</v>
      </c>
      <c r="BK1564" s="4">
        <v>0</v>
      </c>
      <c r="BL1564" s="4">
        <v>0</v>
      </c>
      <c r="BM1564" s="20">
        <v>10</v>
      </c>
      <c r="BN1564" s="20">
        <v>0</v>
      </c>
      <c r="BO1564" s="20">
        <v>0</v>
      </c>
      <c r="BP1564" s="20">
        <v>0</v>
      </c>
      <c r="BQ1564" s="20">
        <v>0</v>
      </c>
      <c r="BR1564" s="20">
        <v>0</v>
      </c>
      <c r="BS1564" s="20">
        <v>10</v>
      </c>
      <c r="BT1564" s="20">
        <v>39393.939393939385</v>
      </c>
      <c r="BU1564" s="20">
        <v>390000</v>
      </c>
      <c r="BV1564" s="20">
        <v>9.0000000000000018</v>
      </c>
    </row>
    <row r="1565" spans="1:74">
      <c r="A1565" s="10">
        <f t="shared" si="98"/>
        <v>0</v>
      </c>
      <c r="B1565" s="10">
        <f t="shared" si="99"/>
        <v>0</v>
      </c>
      <c r="C1565" s="12">
        <f t="shared" si="100"/>
        <v>11</v>
      </c>
      <c r="D1565" s="12">
        <f t="shared" si="101"/>
        <v>12</v>
      </c>
      <c r="E1565" s="20" t="s">
        <v>114</v>
      </c>
      <c r="F1565" s="20" t="s">
        <v>3040</v>
      </c>
      <c r="G1565" s="20" t="s">
        <v>6211</v>
      </c>
      <c r="H1565" s="20" t="s">
        <v>6212</v>
      </c>
      <c r="I1565" s="20">
        <v>1</v>
      </c>
      <c r="J1565" s="20" t="s">
        <v>6213</v>
      </c>
      <c r="K1565" s="20" t="s">
        <v>6214</v>
      </c>
      <c r="L1565" s="20" t="s">
        <v>6215</v>
      </c>
      <c r="M1565" s="20" t="s">
        <v>3040</v>
      </c>
      <c r="N1565" s="20" t="s">
        <v>6144</v>
      </c>
      <c r="P1565" s="20" t="s">
        <v>3040</v>
      </c>
      <c r="Q1565" s="20" t="s">
        <v>3047</v>
      </c>
      <c r="R1565" s="20" t="s">
        <v>84</v>
      </c>
      <c r="S1565" s="20" t="s">
        <v>123</v>
      </c>
      <c r="T1565" s="20" t="s">
        <v>124</v>
      </c>
      <c r="U1565" s="20" t="s">
        <v>125</v>
      </c>
      <c r="V1565" s="20" t="s">
        <v>5502</v>
      </c>
      <c r="W1565" s="20">
        <v>2</v>
      </c>
      <c r="X1565" s="20" t="s">
        <v>5931</v>
      </c>
      <c r="Y1565" s="20" t="s">
        <v>6216</v>
      </c>
      <c r="Z1565" s="20">
        <v>1</v>
      </c>
      <c r="AA1565" s="20" t="s">
        <v>6217</v>
      </c>
      <c r="AB1565" s="20" t="s">
        <v>248</v>
      </c>
      <c r="AC1565" s="20" t="s">
        <v>249</v>
      </c>
      <c r="AD1565" s="20" t="s">
        <v>6218</v>
      </c>
      <c r="AE1565" s="20" t="s">
        <v>91</v>
      </c>
      <c r="AF1565" s="20">
        <v>1</v>
      </c>
      <c r="AG1565" s="20">
        <v>0</v>
      </c>
      <c r="AH1565" s="20">
        <v>1</v>
      </c>
      <c r="AI1565" s="4" t="s">
        <v>251</v>
      </c>
      <c r="AJ1565" s="20">
        <v>5</v>
      </c>
      <c r="AK1565" s="4" t="s">
        <v>1113</v>
      </c>
      <c r="AL1565" s="4">
        <v>6</v>
      </c>
      <c r="AM1565" s="4" t="s">
        <v>112</v>
      </c>
      <c r="AN1565" s="4" t="s">
        <v>95</v>
      </c>
      <c r="AO1565" s="4" t="s">
        <v>1018</v>
      </c>
      <c r="AP1565" s="4">
        <v>1</v>
      </c>
      <c r="AQ1565" s="20">
        <v>53000</v>
      </c>
      <c r="AR1565" s="4">
        <v>41971</v>
      </c>
      <c r="AS1565" s="20">
        <v>9636.363636363636</v>
      </c>
      <c r="AT1565" s="20">
        <v>0</v>
      </c>
      <c r="AU1565" s="20">
        <v>-9636.363636363636</v>
      </c>
      <c r="AV1565" s="20">
        <v>0</v>
      </c>
      <c r="AW1565" s="20">
        <v>0</v>
      </c>
      <c r="AX1565" s="20" t="s">
        <v>91</v>
      </c>
      <c r="AY1565" s="20">
        <v>0</v>
      </c>
      <c r="AZ1565" s="20">
        <v>0</v>
      </c>
      <c r="BA1565" s="20">
        <v>0</v>
      </c>
      <c r="BB1565" s="6">
        <v>41971</v>
      </c>
      <c r="BC1565" s="6">
        <v>0</v>
      </c>
      <c r="BD1565" s="6">
        <v>41976</v>
      </c>
      <c r="BE1565" s="6">
        <v>0</v>
      </c>
      <c r="BF1565" s="6">
        <v>41975</v>
      </c>
      <c r="BG1565" s="6">
        <v>0</v>
      </c>
      <c r="BH1565" s="6">
        <v>0</v>
      </c>
      <c r="BI1565" s="6">
        <v>0</v>
      </c>
      <c r="BJ1565" s="6">
        <v>0</v>
      </c>
      <c r="BK1565" s="4">
        <v>0</v>
      </c>
      <c r="BL1565" s="4">
        <v>0</v>
      </c>
      <c r="BM1565" s="20">
        <v>5</v>
      </c>
      <c r="BN1565" s="20">
        <v>0</v>
      </c>
      <c r="BO1565" s="20">
        <v>0</v>
      </c>
      <c r="BP1565" s="20">
        <v>0</v>
      </c>
      <c r="BQ1565" s="20">
        <v>0</v>
      </c>
      <c r="BR1565" s="20">
        <v>0</v>
      </c>
      <c r="BS1565" s="20">
        <v>5</v>
      </c>
      <c r="BT1565" s="20">
        <v>48181.818181818177</v>
      </c>
      <c r="BU1565" s="20">
        <v>265000</v>
      </c>
      <c r="BV1565" s="20">
        <v>5</v>
      </c>
    </row>
    <row r="1566" spans="1:74">
      <c r="A1566" s="10">
        <f t="shared" si="98"/>
        <v>0</v>
      </c>
      <c r="B1566" s="10">
        <f t="shared" si="99"/>
        <v>0</v>
      </c>
      <c r="C1566" s="12">
        <f t="shared" si="100"/>
        <v>11</v>
      </c>
      <c r="D1566" s="12">
        <f t="shared" si="101"/>
        <v>12</v>
      </c>
      <c r="E1566" s="20" t="s">
        <v>114</v>
      </c>
      <c r="F1566" s="20" t="s">
        <v>3040</v>
      </c>
      <c r="G1566" s="20" t="s">
        <v>6211</v>
      </c>
      <c r="H1566" s="20" t="s">
        <v>6219</v>
      </c>
      <c r="I1566" s="20">
        <v>2</v>
      </c>
      <c r="J1566" s="20" t="s">
        <v>6220</v>
      </c>
      <c r="K1566" s="20" t="s">
        <v>6221</v>
      </c>
      <c r="L1566" s="20" t="s">
        <v>6222</v>
      </c>
      <c r="M1566" s="20" t="s">
        <v>3040</v>
      </c>
      <c r="N1566" s="20" t="s">
        <v>6144</v>
      </c>
      <c r="P1566" s="20" t="s">
        <v>3040</v>
      </c>
      <c r="Q1566" s="20" t="s">
        <v>3047</v>
      </c>
      <c r="R1566" s="20" t="s">
        <v>84</v>
      </c>
      <c r="S1566" s="20" t="s">
        <v>123</v>
      </c>
      <c r="T1566" s="20" t="s">
        <v>124</v>
      </c>
      <c r="U1566" s="20" t="s">
        <v>125</v>
      </c>
      <c r="V1566" s="20" t="s">
        <v>5502</v>
      </c>
      <c r="W1566" s="20">
        <v>11</v>
      </c>
      <c r="X1566" s="20" t="s">
        <v>5792</v>
      </c>
      <c r="Y1566" s="20" t="s">
        <v>6223</v>
      </c>
      <c r="Z1566" s="20">
        <v>1</v>
      </c>
      <c r="AA1566" s="20" t="s">
        <v>6224</v>
      </c>
      <c r="AB1566" s="20" t="s">
        <v>176</v>
      </c>
      <c r="AC1566" s="20" t="s">
        <v>177</v>
      </c>
      <c r="AD1566" s="20" t="s">
        <v>6225</v>
      </c>
      <c r="AE1566" s="20" t="s">
        <v>91</v>
      </c>
      <c r="AF1566" s="20">
        <v>1</v>
      </c>
      <c r="AG1566" s="20">
        <v>0</v>
      </c>
      <c r="AH1566" s="20">
        <v>1</v>
      </c>
      <c r="AI1566" s="4" t="s">
        <v>251</v>
      </c>
      <c r="AJ1566" s="20">
        <v>5</v>
      </c>
      <c r="AK1566" s="4" t="s">
        <v>1113</v>
      </c>
      <c r="AL1566" s="4">
        <v>6</v>
      </c>
      <c r="AM1566" s="4" t="s">
        <v>112</v>
      </c>
      <c r="AN1566" s="4" t="s">
        <v>95</v>
      </c>
      <c r="AO1566" s="4" t="s">
        <v>1018</v>
      </c>
      <c r="AP1566" s="4">
        <v>1</v>
      </c>
      <c r="AQ1566" s="20">
        <v>49000</v>
      </c>
      <c r="AR1566" s="4">
        <v>41971</v>
      </c>
      <c r="AS1566" s="20">
        <v>8909.0909090909081</v>
      </c>
      <c r="AT1566" s="20">
        <v>0</v>
      </c>
      <c r="AU1566" s="20">
        <v>-8909.0909090909081</v>
      </c>
      <c r="AV1566" s="20">
        <v>0</v>
      </c>
      <c r="AW1566" s="20">
        <v>0</v>
      </c>
      <c r="AX1566" s="20" t="s">
        <v>91</v>
      </c>
      <c r="AY1566" s="20">
        <v>0</v>
      </c>
      <c r="AZ1566" s="20">
        <v>0</v>
      </c>
      <c r="BA1566" s="20">
        <v>0</v>
      </c>
      <c r="BB1566" s="6">
        <v>41971</v>
      </c>
      <c r="BC1566" s="6">
        <v>0</v>
      </c>
      <c r="BD1566" s="6">
        <v>41976</v>
      </c>
      <c r="BE1566" s="6">
        <v>0</v>
      </c>
      <c r="BF1566" s="6">
        <v>41975</v>
      </c>
      <c r="BG1566" s="6">
        <v>0</v>
      </c>
      <c r="BH1566" s="6">
        <v>0</v>
      </c>
      <c r="BI1566" s="6">
        <v>0</v>
      </c>
      <c r="BJ1566" s="6">
        <v>0</v>
      </c>
      <c r="BK1566" s="4">
        <v>0</v>
      </c>
      <c r="BL1566" s="4">
        <v>0</v>
      </c>
      <c r="BM1566" s="20">
        <v>5</v>
      </c>
      <c r="BN1566" s="20">
        <v>0</v>
      </c>
      <c r="BO1566" s="20">
        <v>0</v>
      </c>
      <c r="BP1566" s="20">
        <v>0</v>
      </c>
      <c r="BQ1566" s="20">
        <v>0</v>
      </c>
      <c r="BR1566" s="20">
        <v>0</v>
      </c>
      <c r="BS1566" s="20">
        <v>5</v>
      </c>
      <c r="BT1566" s="20">
        <v>44545.454545454544</v>
      </c>
      <c r="BU1566" s="20">
        <v>245000</v>
      </c>
      <c r="BV1566" s="20">
        <v>5</v>
      </c>
    </row>
    <row r="1567" spans="1:74">
      <c r="A1567" s="10">
        <f t="shared" si="98"/>
        <v>0</v>
      </c>
      <c r="B1567" s="10">
        <f t="shared" si="99"/>
        <v>0</v>
      </c>
      <c r="C1567" s="12">
        <f t="shared" si="100"/>
        <v>11</v>
      </c>
      <c r="D1567" s="12">
        <f t="shared" si="101"/>
        <v>12</v>
      </c>
      <c r="E1567" s="20" t="s">
        <v>114</v>
      </c>
      <c r="F1567" s="20" t="s">
        <v>3040</v>
      </c>
      <c r="G1567" s="20" t="s">
        <v>6211</v>
      </c>
      <c r="H1567" s="20" t="s">
        <v>6226</v>
      </c>
      <c r="I1567" s="20">
        <v>3</v>
      </c>
      <c r="J1567" s="20" t="s">
        <v>6227</v>
      </c>
      <c r="K1567" s="20" t="s">
        <v>6228</v>
      </c>
      <c r="L1567" s="20" t="s">
        <v>6222</v>
      </c>
      <c r="M1567" s="20" t="s">
        <v>3040</v>
      </c>
      <c r="N1567" s="20" t="s">
        <v>6144</v>
      </c>
      <c r="P1567" s="20" t="s">
        <v>3040</v>
      </c>
      <c r="Q1567" s="20" t="s">
        <v>3047</v>
      </c>
      <c r="R1567" s="20" t="s">
        <v>84</v>
      </c>
      <c r="S1567" s="20" t="s">
        <v>123</v>
      </c>
      <c r="T1567" s="20" t="s">
        <v>124</v>
      </c>
      <c r="U1567" s="20" t="s">
        <v>125</v>
      </c>
      <c r="V1567" s="20" t="s">
        <v>5502</v>
      </c>
      <c r="W1567" s="20">
        <v>11</v>
      </c>
      <c r="X1567" s="20" t="s">
        <v>5792</v>
      </c>
      <c r="Y1567" s="20" t="s">
        <v>6223</v>
      </c>
      <c r="Z1567" s="20">
        <v>1</v>
      </c>
      <c r="AA1567" s="20" t="s">
        <v>6229</v>
      </c>
      <c r="AB1567" s="20" t="s">
        <v>89</v>
      </c>
      <c r="AC1567" s="20" t="s">
        <v>90</v>
      </c>
      <c r="AD1567" s="20" t="s">
        <v>6230</v>
      </c>
      <c r="AE1567" s="20" t="s">
        <v>91</v>
      </c>
      <c r="AF1567" s="20">
        <v>1</v>
      </c>
      <c r="AG1567" s="20">
        <v>0</v>
      </c>
      <c r="AH1567" s="20">
        <v>1</v>
      </c>
      <c r="AI1567" s="4" t="s">
        <v>251</v>
      </c>
      <c r="AJ1567" s="20">
        <v>5</v>
      </c>
      <c r="AK1567" s="4" t="s">
        <v>1113</v>
      </c>
      <c r="AL1567" s="4">
        <v>6</v>
      </c>
      <c r="AM1567" s="4" t="s">
        <v>112</v>
      </c>
      <c r="AN1567" s="4" t="s">
        <v>95</v>
      </c>
      <c r="AO1567" s="4" t="s">
        <v>1018</v>
      </c>
      <c r="AP1567" s="4">
        <v>1</v>
      </c>
      <c r="AQ1567" s="20">
        <v>49000</v>
      </c>
      <c r="AR1567" s="4">
        <v>41971</v>
      </c>
      <c r="AS1567" s="20">
        <v>8909.0909090909081</v>
      </c>
      <c r="AT1567" s="20">
        <v>0</v>
      </c>
      <c r="AU1567" s="20">
        <v>-8909.0909090909081</v>
      </c>
      <c r="AV1567" s="20">
        <v>0</v>
      </c>
      <c r="AW1567" s="20">
        <v>0</v>
      </c>
      <c r="AX1567" s="20" t="s">
        <v>91</v>
      </c>
      <c r="AY1567" s="20">
        <v>0</v>
      </c>
      <c r="AZ1567" s="20">
        <v>0</v>
      </c>
      <c r="BA1567" s="20">
        <v>0</v>
      </c>
      <c r="BB1567" s="6">
        <v>41971</v>
      </c>
      <c r="BC1567" s="6">
        <v>0</v>
      </c>
      <c r="BD1567" s="6">
        <v>41976</v>
      </c>
      <c r="BE1567" s="6">
        <v>0</v>
      </c>
      <c r="BF1567" s="6">
        <v>41975</v>
      </c>
      <c r="BG1567" s="6">
        <v>0</v>
      </c>
      <c r="BH1567" s="6">
        <v>0</v>
      </c>
      <c r="BI1567" s="6">
        <v>0</v>
      </c>
      <c r="BJ1567" s="6">
        <v>0</v>
      </c>
      <c r="BK1567" s="4">
        <v>0</v>
      </c>
      <c r="BL1567" s="4">
        <v>0</v>
      </c>
      <c r="BM1567" s="20">
        <v>5</v>
      </c>
      <c r="BN1567" s="20">
        <v>0</v>
      </c>
      <c r="BO1567" s="20">
        <v>0</v>
      </c>
      <c r="BP1567" s="20">
        <v>0</v>
      </c>
      <c r="BQ1567" s="20">
        <v>0</v>
      </c>
      <c r="BR1567" s="20">
        <v>0</v>
      </c>
      <c r="BS1567" s="20">
        <v>5</v>
      </c>
      <c r="BT1567" s="20">
        <v>44545.454545454544</v>
      </c>
      <c r="BU1567" s="20">
        <v>245000</v>
      </c>
      <c r="BV1567" s="20">
        <v>5</v>
      </c>
    </row>
    <row r="1568" spans="1:74">
      <c r="A1568" s="10">
        <f t="shared" si="98"/>
        <v>0</v>
      </c>
      <c r="B1568" s="10">
        <f t="shared" si="99"/>
        <v>0</v>
      </c>
      <c r="C1568" s="12">
        <f t="shared" si="100"/>
        <v>11</v>
      </c>
      <c r="D1568" s="12">
        <f t="shared" si="101"/>
        <v>12</v>
      </c>
      <c r="E1568" s="20" t="s">
        <v>114</v>
      </c>
      <c r="F1568" s="20" t="s">
        <v>3040</v>
      </c>
      <c r="G1568" s="20" t="s">
        <v>6211</v>
      </c>
      <c r="H1568" s="20" t="s">
        <v>6231</v>
      </c>
      <c r="I1568" s="20">
        <v>4</v>
      </c>
      <c r="J1568" s="20" t="s">
        <v>6232</v>
      </c>
      <c r="K1568" s="20" t="s">
        <v>6233</v>
      </c>
      <c r="L1568" s="20" t="s">
        <v>6234</v>
      </c>
      <c r="M1568" s="20" t="s">
        <v>3040</v>
      </c>
      <c r="N1568" s="20" t="s">
        <v>6144</v>
      </c>
      <c r="P1568" s="20" t="s">
        <v>3040</v>
      </c>
      <c r="Q1568" s="20" t="s">
        <v>3047</v>
      </c>
      <c r="R1568" s="20" t="s">
        <v>84</v>
      </c>
      <c r="S1568" s="20" t="s">
        <v>123</v>
      </c>
      <c r="T1568" s="20" t="s">
        <v>124</v>
      </c>
      <c r="U1568" s="20" t="s">
        <v>125</v>
      </c>
      <c r="V1568" s="20" t="s">
        <v>5502</v>
      </c>
      <c r="W1568" s="20">
        <v>12</v>
      </c>
      <c r="X1568" s="20" t="s">
        <v>5800</v>
      </c>
      <c r="Y1568" s="20" t="s">
        <v>6235</v>
      </c>
      <c r="Z1568" s="20">
        <v>1</v>
      </c>
      <c r="AA1568" s="20" t="s">
        <v>6236</v>
      </c>
      <c r="AB1568" s="20" t="s">
        <v>248</v>
      </c>
      <c r="AC1568" s="20" t="s">
        <v>249</v>
      </c>
      <c r="AD1568" s="20" t="s">
        <v>6237</v>
      </c>
      <c r="AE1568" s="20" t="s">
        <v>91</v>
      </c>
      <c r="AF1568" s="20">
        <v>1</v>
      </c>
      <c r="AG1568" s="20">
        <v>0</v>
      </c>
      <c r="AH1568" s="20">
        <v>1</v>
      </c>
      <c r="AI1568" s="4" t="s">
        <v>251</v>
      </c>
      <c r="AJ1568" s="20">
        <v>5</v>
      </c>
      <c r="AK1568" s="4" t="s">
        <v>1113</v>
      </c>
      <c r="AL1568" s="4">
        <v>6</v>
      </c>
      <c r="AM1568" s="4" t="s">
        <v>112</v>
      </c>
      <c r="AN1568" s="4" t="s">
        <v>95</v>
      </c>
      <c r="AO1568" s="4" t="s">
        <v>1018</v>
      </c>
      <c r="AP1568" s="4">
        <v>1</v>
      </c>
      <c r="AQ1568" s="20">
        <v>49000</v>
      </c>
      <c r="AR1568" s="4">
        <v>41971</v>
      </c>
      <c r="AS1568" s="20">
        <v>8909.0909090909081</v>
      </c>
      <c r="AT1568" s="20">
        <v>0</v>
      </c>
      <c r="AU1568" s="20">
        <v>-8909.0909090909081</v>
      </c>
      <c r="AV1568" s="20">
        <v>0</v>
      </c>
      <c r="AW1568" s="20">
        <v>0</v>
      </c>
      <c r="AX1568" s="20" t="s">
        <v>91</v>
      </c>
      <c r="AY1568" s="20">
        <v>0</v>
      </c>
      <c r="AZ1568" s="20">
        <v>0</v>
      </c>
      <c r="BA1568" s="20">
        <v>0</v>
      </c>
      <c r="BB1568" s="6">
        <v>41971</v>
      </c>
      <c r="BC1568" s="6">
        <v>0</v>
      </c>
      <c r="BD1568" s="6">
        <v>41976</v>
      </c>
      <c r="BE1568" s="6">
        <v>0</v>
      </c>
      <c r="BF1568" s="6">
        <v>41975</v>
      </c>
      <c r="BG1568" s="6">
        <v>0</v>
      </c>
      <c r="BH1568" s="6">
        <v>0</v>
      </c>
      <c r="BI1568" s="6">
        <v>0</v>
      </c>
      <c r="BJ1568" s="6">
        <v>0</v>
      </c>
      <c r="BK1568" s="4">
        <v>0</v>
      </c>
      <c r="BL1568" s="4">
        <v>0</v>
      </c>
      <c r="BM1568" s="20">
        <v>5</v>
      </c>
      <c r="BN1568" s="20">
        <v>0</v>
      </c>
      <c r="BO1568" s="20">
        <v>0</v>
      </c>
      <c r="BP1568" s="20">
        <v>0</v>
      </c>
      <c r="BQ1568" s="20">
        <v>0</v>
      </c>
      <c r="BR1568" s="20">
        <v>0</v>
      </c>
      <c r="BS1568" s="20">
        <v>5</v>
      </c>
      <c r="BT1568" s="20">
        <v>44545.454545454544</v>
      </c>
      <c r="BU1568" s="20">
        <v>245000</v>
      </c>
      <c r="BV1568" s="20">
        <v>5</v>
      </c>
    </row>
    <row r="1569" spans="1:74">
      <c r="A1569" s="10">
        <f t="shared" si="98"/>
        <v>0</v>
      </c>
      <c r="B1569" s="10">
        <f t="shared" si="99"/>
        <v>0</v>
      </c>
      <c r="C1569" s="12">
        <f t="shared" si="100"/>
        <v>11</v>
      </c>
      <c r="D1569" s="12">
        <f t="shared" si="101"/>
        <v>12</v>
      </c>
      <c r="E1569" s="20" t="s">
        <v>114</v>
      </c>
      <c r="F1569" s="20" t="s">
        <v>3040</v>
      </c>
      <c r="G1569" s="20" t="s">
        <v>6211</v>
      </c>
      <c r="H1569" s="20" t="s">
        <v>6238</v>
      </c>
      <c r="I1569" s="20">
        <v>5</v>
      </c>
      <c r="J1569" s="20" t="s">
        <v>6239</v>
      </c>
      <c r="K1569" s="20" t="s">
        <v>6240</v>
      </c>
      <c r="L1569" s="20" t="s">
        <v>6241</v>
      </c>
      <c r="M1569" s="20" t="s">
        <v>3040</v>
      </c>
      <c r="N1569" s="20" t="s">
        <v>6144</v>
      </c>
      <c r="P1569" s="20" t="s">
        <v>3040</v>
      </c>
      <c r="Q1569" s="20" t="s">
        <v>3047</v>
      </c>
      <c r="R1569" s="20" t="s">
        <v>84</v>
      </c>
      <c r="S1569" s="20" t="s">
        <v>123</v>
      </c>
      <c r="T1569" s="20" t="s">
        <v>124</v>
      </c>
      <c r="U1569" s="20" t="s">
        <v>125</v>
      </c>
      <c r="V1569" s="20" t="s">
        <v>5502</v>
      </c>
      <c r="W1569" s="20">
        <v>304</v>
      </c>
      <c r="X1569" s="20">
        <v>304</v>
      </c>
      <c r="Y1569" s="20" t="s">
        <v>6242</v>
      </c>
      <c r="Z1569" s="20">
        <v>1</v>
      </c>
      <c r="AA1569" s="20" t="s">
        <v>6243</v>
      </c>
      <c r="AB1569" s="20" t="s">
        <v>248</v>
      </c>
      <c r="AC1569" s="20" t="s">
        <v>249</v>
      </c>
      <c r="AD1569" s="20" t="s">
        <v>6244</v>
      </c>
      <c r="AE1569" s="20" t="s">
        <v>400</v>
      </c>
      <c r="AF1569" s="20">
        <v>1</v>
      </c>
      <c r="AG1569" s="20">
        <v>0</v>
      </c>
      <c r="AH1569" s="20">
        <v>1</v>
      </c>
      <c r="AI1569" s="4" t="s">
        <v>251</v>
      </c>
      <c r="AJ1569" s="20">
        <v>5</v>
      </c>
      <c r="AK1569" s="4" t="s">
        <v>1113</v>
      </c>
      <c r="AL1569" s="4">
        <v>6</v>
      </c>
      <c r="AM1569" s="4" t="s">
        <v>112</v>
      </c>
      <c r="AN1569" s="4" t="s">
        <v>95</v>
      </c>
      <c r="AO1569" s="4" t="s">
        <v>1018</v>
      </c>
      <c r="AP1569" s="4">
        <v>1</v>
      </c>
      <c r="AQ1569" s="20">
        <v>49000</v>
      </c>
      <c r="AR1569" s="4">
        <v>41971</v>
      </c>
      <c r="AS1569" s="20">
        <v>8909.0909090909081</v>
      </c>
      <c r="AT1569" s="20">
        <v>0</v>
      </c>
      <c r="AU1569" s="20">
        <v>-8909.0909090909081</v>
      </c>
      <c r="AV1569" s="20">
        <v>0</v>
      </c>
      <c r="AW1569" s="20">
        <v>0</v>
      </c>
      <c r="AX1569" s="20" t="s">
        <v>91</v>
      </c>
      <c r="AY1569" s="20">
        <v>0</v>
      </c>
      <c r="AZ1569" s="20">
        <v>0</v>
      </c>
      <c r="BA1569" s="20">
        <v>0</v>
      </c>
      <c r="BB1569" s="6">
        <v>41971</v>
      </c>
      <c r="BC1569" s="6">
        <v>0</v>
      </c>
      <c r="BD1569" s="6">
        <v>41976</v>
      </c>
      <c r="BE1569" s="6">
        <v>0</v>
      </c>
      <c r="BF1569" s="6">
        <v>41975</v>
      </c>
      <c r="BG1569" s="6">
        <v>0</v>
      </c>
      <c r="BH1569" s="6">
        <v>0</v>
      </c>
      <c r="BI1569" s="6">
        <v>0</v>
      </c>
      <c r="BJ1569" s="6">
        <v>0</v>
      </c>
      <c r="BK1569" s="4">
        <v>0</v>
      </c>
      <c r="BL1569" s="4">
        <v>0</v>
      </c>
      <c r="BM1569" s="20">
        <v>5</v>
      </c>
      <c r="BN1569" s="20">
        <v>0</v>
      </c>
      <c r="BO1569" s="20">
        <v>0</v>
      </c>
      <c r="BP1569" s="20">
        <v>0</v>
      </c>
      <c r="BQ1569" s="20">
        <v>0</v>
      </c>
      <c r="BR1569" s="20">
        <v>0</v>
      </c>
      <c r="BS1569" s="20">
        <v>5</v>
      </c>
      <c r="BT1569" s="20">
        <v>44545.454545454544</v>
      </c>
      <c r="BU1569" s="20">
        <v>245000</v>
      </c>
      <c r="BV1569" s="20">
        <v>5</v>
      </c>
    </row>
    <row r="1570" spans="1:74">
      <c r="A1570" s="10">
        <f t="shared" si="98"/>
        <v>0</v>
      </c>
      <c r="B1570" s="10">
        <f t="shared" si="99"/>
        <v>0</v>
      </c>
      <c r="C1570" s="12" t="str">
        <f t="shared" si="100"/>
        <v/>
      </c>
      <c r="D1570" s="12" t="str">
        <f t="shared" si="101"/>
        <v/>
      </c>
      <c r="E1570" s="20" t="s">
        <v>91</v>
      </c>
      <c r="F1570" s="20" t="s">
        <v>91</v>
      </c>
      <c r="G1570" s="20" t="s">
        <v>91</v>
      </c>
      <c r="H1570" s="20" t="s">
        <v>91</v>
      </c>
      <c r="I1570" s="20">
        <v>0</v>
      </c>
      <c r="J1570" s="20" t="s">
        <v>103</v>
      </c>
      <c r="K1570" s="20" t="s">
        <v>104</v>
      </c>
      <c r="L1570" s="20">
        <v>0</v>
      </c>
      <c r="M1570" s="20" t="s">
        <v>105</v>
      </c>
      <c r="N1570" s="20" t="s">
        <v>91</v>
      </c>
      <c r="O1570" s="20" t="s">
        <v>6245</v>
      </c>
      <c r="Q1570" s="20" t="s">
        <v>91</v>
      </c>
      <c r="R1570" s="20" t="s">
        <v>91</v>
      </c>
      <c r="S1570" s="20" t="s">
        <v>91</v>
      </c>
      <c r="U1570" s="20" t="s">
        <v>91</v>
      </c>
      <c r="X1570" s="20" t="s">
        <v>91</v>
      </c>
      <c r="Y1570" s="20" t="s">
        <v>91</v>
      </c>
      <c r="Z1570" s="20">
        <v>5</v>
      </c>
      <c r="AB1570" s="20" t="s">
        <v>91</v>
      </c>
      <c r="AD1570" s="20" t="s">
        <v>91</v>
      </c>
      <c r="AE1570" s="20" t="s">
        <v>91</v>
      </c>
      <c r="AF1570" s="20">
        <v>5</v>
      </c>
      <c r="AG1570" s="20">
        <v>0</v>
      </c>
      <c r="AH1570" s="20">
        <v>1</v>
      </c>
      <c r="AM1570" s="4" t="s">
        <v>91</v>
      </c>
      <c r="AN1570" s="4" t="s">
        <v>95</v>
      </c>
      <c r="AP1570" s="4" t="s">
        <v>91</v>
      </c>
      <c r="AQ1570" s="20">
        <v>0</v>
      </c>
      <c r="AR1570" s="4">
        <v>0</v>
      </c>
      <c r="AS1570" s="20">
        <v>0</v>
      </c>
      <c r="AT1570" s="20">
        <v>0</v>
      </c>
      <c r="AU1570" s="20">
        <v>0</v>
      </c>
      <c r="AV1570" s="20">
        <v>0</v>
      </c>
      <c r="AW1570" s="20">
        <v>0</v>
      </c>
      <c r="AX1570" s="20" t="s">
        <v>91</v>
      </c>
      <c r="AY1570" s="20">
        <v>0</v>
      </c>
      <c r="AZ1570" s="20">
        <v>0</v>
      </c>
      <c r="BA1570" s="20">
        <v>0</v>
      </c>
      <c r="BB1570" s="6">
        <v>0</v>
      </c>
      <c r="BC1570" s="6">
        <v>0</v>
      </c>
      <c r="BD1570" s="6">
        <v>0</v>
      </c>
      <c r="BE1570" s="6">
        <v>0</v>
      </c>
      <c r="BF1570" s="6">
        <v>0</v>
      </c>
      <c r="BG1570" s="6">
        <v>0</v>
      </c>
      <c r="BH1570" s="6">
        <v>0</v>
      </c>
      <c r="BI1570" s="6">
        <v>0</v>
      </c>
      <c r="BJ1570" s="6">
        <v>0</v>
      </c>
      <c r="BK1570" s="4">
        <v>0</v>
      </c>
      <c r="BL1570" s="4">
        <v>0</v>
      </c>
      <c r="BM1570" s="20">
        <v>25</v>
      </c>
      <c r="BN1570" s="20">
        <v>0</v>
      </c>
      <c r="BO1570" s="20">
        <v>0</v>
      </c>
      <c r="BP1570" s="20">
        <v>0</v>
      </c>
      <c r="BQ1570" s="20">
        <v>0</v>
      </c>
      <c r="BR1570" s="20">
        <v>0</v>
      </c>
      <c r="BS1570" s="20">
        <v>25</v>
      </c>
      <c r="BT1570" s="20">
        <v>226363.63636363635</v>
      </c>
      <c r="BU1570" s="20">
        <v>1245000</v>
      </c>
      <c r="BV1570" s="20">
        <v>5</v>
      </c>
    </row>
    <row r="1571" spans="1:74">
      <c r="A1571" s="10">
        <f t="shared" si="98"/>
        <v>0</v>
      </c>
      <c r="B1571" s="10">
        <f t="shared" si="99"/>
        <v>0</v>
      </c>
      <c r="C1571" s="12">
        <f t="shared" si="100"/>
        <v>11</v>
      </c>
      <c r="D1571" s="12">
        <f t="shared" si="101"/>
        <v>12</v>
      </c>
      <c r="E1571" s="20" t="s">
        <v>574</v>
      </c>
      <c r="F1571" s="20" t="s">
        <v>6246</v>
      </c>
      <c r="G1571" s="20" t="s">
        <v>6247</v>
      </c>
      <c r="H1571" s="20" t="s">
        <v>6248</v>
      </c>
      <c r="I1571" s="20">
        <v>1</v>
      </c>
      <c r="J1571" s="20" t="s">
        <v>6249</v>
      </c>
      <c r="K1571" s="20" t="s">
        <v>6250</v>
      </c>
      <c r="L1571" s="20" t="s">
        <v>6251</v>
      </c>
      <c r="M1571" s="20" t="s">
        <v>3040</v>
      </c>
      <c r="N1571" s="20" t="s">
        <v>6252</v>
      </c>
      <c r="P1571" s="20" t="s">
        <v>3040</v>
      </c>
      <c r="Q1571" s="20" t="s">
        <v>3047</v>
      </c>
      <c r="R1571" s="20" t="s">
        <v>84</v>
      </c>
      <c r="S1571" s="20">
        <v>5</v>
      </c>
      <c r="T1571" s="20" t="s">
        <v>674</v>
      </c>
      <c r="U1571" s="20" t="s">
        <v>675</v>
      </c>
      <c r="V1571" s="20" t="s">
        <v>5502</v>
      </c>
      <c r="W1571" s="20">
        <v>5</v>
      </c>
      <c r="X1571" s="20" t="s">
        <v>5768</v>
      </c>
      <c r="Y1571" s="20" t="s">
        <v>6253</v>
      </c>
      <c r="Z1571" s="20">
        <v>0.33333333333333331</v>
      </c>
      <c r="AA1571" s="20" t="s">
        <v>6254</v>
      </c>
      <c r="AB1571" s="20" t="s">
        <v>248</v>
      </c>
      <c r="AC1571" s="20" t="s">
        <v>249</v>
      </c>
      <c r="AD1571" s="20" t="s">
        <v>6255</v>
      </c>
      <c r="AE1571" s="20" t="s">
        <v>91</v>
      </c>
      <c r="AF1571" s="20">
        <v>0.33333333333333331</v>
      </c>
      <c r="AG1571" s="20">
        <v>0</v>
      </c>
      <c r="AH1571" s="20">
        <v>1</v>
      </c>
      <c r="AI1571" s="4" t="s">
        <v>645</v>
      </c>
      <c r="AJ1571" s="20">
        <v>2</v>
      </c>
      <c r="AK1571" s="4" t="s">
        <v>679</v>
      </c>
      <c r="AL1571" s="4">
        <v>10</v>
      </c>
      <c r="AM1571" s="4">
        <v>10</v>
      </c>
      <c r="AN1571" s="4" t="s">
        <v>95</v>
      </c>
      <c r="AO1571" s="4" t="s">
        <v>680</v>
      </c>
      <c r="AP1571" s="4">
        <v>1</v>
      </c>
      <c r="AQ1571" s="20">
        <v>158000</v>
      </c>
      <c r="AR1571" s="4">
        <v>41971</v>
      </c>
      <c r="AS1571" s="20">
        <v>31919.191919191915</v>
      </c>
      <c r="AT1571" s="20">
        <v>0</v>
      </c>
      <c r="AU1571" s="20">
        <v>-31919.191919191915</v>
      </c>
      <c r="AV1571" s="20">
        <v>0</v>
      </c>
      <c r="AW1571" s="20">
        <v>0</v>
      </c>
      <c r="AX1571" s="20" t="s">
        <v>91</v>
      </c>
      <c r="AY1571" s="20">
        <v>0</v>
      </c>
      <c r="AZ1571" s="20">
        <v>0</v>
      </c>
      <c r="BA1571" s="20">
        <v>0</v>
      </c>
      <c r="BB1571" s="6">
        <v>41971</v>
      </c>
      <c r="BC1571" s="6">
        <v>0</v>
      </c>
      <c r="BD1571" s="6">
        <v>41976</v>
      </c>
      <c r="BE1571" s="6">
        <v>0</v>
      </c>
      <c r="BF1571" s="6">
        <v>41975</v>
      </c>
      <c r="BG1571" s="6">
        <v>0</v>
      </c>
      <c r="BH1571" s="6">
        <v>0</v>
      </c>
      <c r="BI1571" s="6">
        <v>0</v>
      </c>
      <c r="BJ1571" s="6">
        <v>0</v>
      </c>
      <c r="BK1571" s="4">
        <v>0</v>
      </c>
      <c r="BL1571" s="4">
        <v>0</v>
      </c>
      <c r="BM1571" s="20">
        <v>2</v>
      </c>
      <c r="BN1571" s="20">
        <v>0</v>
      </c>
      <c r="BO1571" s="20">
        <v>0</v>
      </c>
      <c r="BP1571" s="20">
        <v>0</v>
      </c>
      <c r="BQ1571" s="20">
        <v>0</v>
      </c>
      <c r="BR1571" s="20">
        <v>0</v>
      </c>
      <c r="BS1571" s="20">
        <v>2</v>
      </c>
      <c r="BT1571" s="20">
        <v>63838.38383838383</v>
      </c>
      <c r="BU1571" s="20">
        <v>316000</v>
      </c>
      <c r="BV1571" s="20">
        <v>4.5</v>
      </c>
    </row>
    <row r="1572" spans="1:74">
      <c r="A1572" s="10">
        <f t="shared" si="98"/>
        <v>0</v>
      </c>
      <c r="B1572" s="10">
        <f t="shared" si="99"/>
        <v>0</v>
      </c>
      <c r="C1572" s="12">
        <f t="shared" si="100"/>
        <v>11</v>
      </c>
      <c r="D1572" s="12">
        <f t="shared" si="101"/>
        <v>12</v>
      </c>
      <c r="E1572" s="20" t="s">
        <v>574</v>
      </c>
      <c r="F1572" s="20" t="s">
        <v>6246</v>
      </c>
      <c r="G1572" s="20" t="s">
        <v>6247</v>
      </c>
      <c r="H1572" s="20" t="s">
        <v>6248</v>
      </c>
      <c r="I1572" s="20">
        <v>1</v>
      </c>
      <c r="J1572" s="20" t="s">
        <v>6249</v>
      </c>
      <c r="K1572" s="20" t="s">
        <v>6256</v>
      </c>
      <c r="L1572" s="20" t="s">
        <v>6251</v>
      </c>
      <c r="M1572" s="20" t="s">
        <v>3040</v>
      </c>
      <c r="N1572" s="20" t="s">
        <v>6252</v>
      </c>
      <c r="P1572" s="20" t="s">
        <v>3040</v>
      </c>
      <c r="Q1572" s="20" t="s">
        <v>3047</v>
      </c>
      <c r="R1572" s="20" t="s">
        <v>84</v>
      </c>
      <c r="S1572" s="20">
        <v>5</v>
      </c>
      <c r="T1572" s="20" t="s">
        <v>674</v>
      </c>
      <c r="U1572" s="20" t="s">
        <v>675</v>
      </c>
      <c r="V1572" s="20" t="s">
        <v>5502</v>
      </c>
      <c r="W1572" s="20">
        <v>5</v>
      </c>
      <c r="X1572" s="20" t="s">
        <v>5768</v>
      </c>
      <c r="Y1572" s="20" t="s">
        <v>6253</v>
      </c>
      <c r="Z1572" s="20">
        <v>0.33333333333333331</v>
      </c>
      <c r="AA1572" s="20" t="s">
        <v>6257</v>
      </c>
      <c r="AB1572" s="20" t="s">
        <v>248</v>
      </c>
      <c r="AC1572" s="20" t="s">
        <v>249</v>
      </c>
      <c r="AD1572" s="20" t="s">
        <v>6255</v>
      </c>
      <c r="AE1572" s="20" t="s">
        <v>91</v>
      </c>
      <c r="AF1572" s="20">
        <v>0.33333333333333331</v>
      </c>
      <c r="AG1572" s="20">
        <v>0</v>
      </c>
      <c r="AH1572" s="20">
        <v>1</v>
      </c>
      <c r="AI1572" s="4" t="s">
        <v>647</v>
      </c>
      <c r="AJ1572" s="20">
        <v>2</v>
      </c>
      <c r="AK1572" s="4" t="s">
        <v>679</v>
      </c>
      <c r="AL1572" s="4">
        <v>10</v>
      </c>
      <c r="AM1572" s="4">
        <v>10</v>
      </c>
      <c r="AN1572" s="4" t="s">
        <v>95</v>
      </c>
      <c r="AO1572" s="4" t="s">
        <v>680</v>
      </c>
      <c r="AP1572" s="4">
        <v>1</v>
      </c>
      <c r="AQ1572" s="20">
        <v>158000</v>
      </c>
      <c r="AR1572" s="4">
        <v>41971</v>
      </c>
      <c r="AS1572" s="20">
        <v>31919.191919191915</v>
      </c>
      <c r="AT1572" s="20">
        <v>0</v>
      </c>
      <c r="AU1572" s="20">
        <v>-31919.191919191915</v>
      </c>
      <c r="AV1572" s="20">
        <v>0</v>
      </c>
      <c r="AW1572" s="20">
        <v>0</v>
      </c>
      <c r="AX1572" s="20" t="s">
        <v>91</v>
      </c>
      <c r="AY1572" s="20">
        <v>0</v>
      </c>
      <c r="AZ1572" s="20">
        <v>0</v>
      </c>
      <c r="BA1572" s="20">
        <v>0</v>
      </c>
      <c r="BB1572" s="6">
        <v>41971</v>
      </c>
      <c r="BC1572" s="6">
        <v>0</v>
      </c>
      <c r="BD1572" s="6">
        <v>41976</v>
      </c>
      <c r="BE1572" s="6">
        <v>0</v>
      </c>
      <c r="BF1572" s="6">
        <v>41975</v>
      </c>
      <c r="BG1572" s="6">
        <v>0</v>
      </c>
      <c r="BH1572" s="6">
        <v>0</v>
      </c>
      <c r="BI1572" s="6">
        <v>0</v>
      </c>
      <c r="BJ1572" s="6">
        <v>0</v>
      </c>
      <c r="BK1572" s="4">
        <v>0</v>
      </c>
      <c r="BL1572" s="4">
        <v>0</v>
      </c>
      <c r="BM1572" s="20">
        <v>2</v>
      </c>
      <c r="BN1572" s="20">
        <v>0</v>
      </c>
      <c r="BO1572" s="20">
        <v>0</v>
      </c>
      <c r="BP1572" s="20">
        <v>0</v>
      </c>
      <c r="BQ1572" s="20">
        <v>0</v>
      </c>
      <c r="BR1572" s="20">
        <v>0</v>
      </c>
      <c r="BS1572" s="20">
        <v>2</v>
      </c>
      <c r="BT1572" s="20">
        <v>63838.38383838383</v>
      </c>
      <c r="BU1572" s="20">
        <v>316000</v>
      </c>
      <c r="BV1572" s="20">
        <v>4.5</v>
      </c>
    </row>
    <row r="1573" spans="1:74">
      <c r="A1573" s="10">
        <f t="shared" si="98"/>
        <v>0</v>
      </c>
      <c r="B1573" s="10">
        <f t="shared" si="99"/>
        <v>0</v>
      </c>
      <c r="C1573" s="12">
        <f t="shared" si="100"/>
        <v>11</v>
      </c>
      <c r="D1573" s="12">
        <f t="shared" si="101"/>
        <v>12</v>
      </c>
      <c r="E1573" s="20" t="s">
        <v>574</v>
      </c>
      <c r="F1573" s="20" t="s">
        <v>6246</v>
      </c>
      <c r="G1573" s="20" t="s">
        <v>6247</v>
      </c>
      <c r="H1573" s="20" t="s">
        <v>6248</v>
      </c>
      <c r="I1573" s="20">
        <v>1</v>
      </c>
      <c r="J1573" s="20" t="s">
        <v>6249</v>
      </c>
      <c r="K1573" s="20" t="s">
        <v>6258</v>
      </c>
      <c r="L1573" s="20" t="s">
        <v>6251</v>
      </c>
      <c r="M1573" s="20" t="s">
        <v>3040</v>
      </c>
      <c r="N1573" s="20" t="s">
        <v>6252</v>
      </c>
      <c r="P1573" s="20" t="s">
        <v>3040</v>
      </c>
      <c r="Q1573" s="20" t="s">
        <v>3047</v>
      </c>
      <c r="R1573" s="20" t="s">
        <v>84</v>
      </c>
      <c r="S1573" s="20">
        <v>5</v>
      </c>
      <c r="T1573" s="20" t="s">
        <v>674</v>
      </c>
      <c r="U1573" s="20" t="s">
        <v>675</v>
      </c>
      <c r="V1573" s="20" t="s">
        <v>5502</v>
      </c>
      <c r="W1573" s="20">
        <v>5</v>
      </c>
      <c r="X1573" s="20" t="s">
        <v>5768</v>
      </c>
      <c r="Y1573" s="20" t="s">
        <v>6253</v>
      </c>
      <c r="Z1573" s="20">
        <v>0.33333333333333331</v>
      </c>
      <c r="AA1573" s="20" t="s">
        <v>6259</v>
      </c>
      <c r="AB1573" s="20" t="s">
        <v>248</v>
      </c>
      <c r="AC1573" s="20" t="s">
        <v>249</v>
      </c>
      <c r="AD1573" s="20" t="s">
        <v>6255</v>
      </c>
      <c r="AE1573" s="20" t="s">
        <v>91</v>
      </c>
      <c r="AF1573" s="20">
        <v>0.33333333333333331</v>
      </c>
      <c r="AG1573" s="20">
        <v>0</v>
      </c>
      <c r="AH1573" s="20">
        <v>1</v>
      </c>
      <c r="AI1573" s="4" t="s">
        <v>649</v>
      </c>
      <c r="AJ1573" s="20">
        <v>2</v>
      </c>
      <c r="AK1573" s="4" t="s">
        <v>679</v>
      </c>
      <c r="AL1573" s="4">
        <v>10</v>
      </c>
      <c r="AM1573" s="4">
        <v>10</v>
      </c>
      <c r="AN1573" s="4" t="s">
        <v>95</v>
      </c>
      <c r="AO1573" s="4" t="s">
        <v>680</v>
      </c>
      <c r="AP1573" s="4">
        <v>1</v>
      </c>
      <c r="AQ1573" s="20">
        <v>158000</v>
      </c>
      <c r="AR1573" s="4">
        <v>41971</v>
      </c>
      <c r="AS1573" s="20">
        <v>31919.191919191915</v>
      </c>
      <c r="AT1573" s="20">
        <v>0</v>
      </c>
      <c r="AU1573" s="20">
        <v>-31919.191919191915</v>
      </c>
      <c r="AV1573" s="20">
        <v>0</v>
      </c>
      <c r="AW1573" s="20">
        <v>0</v>
      </c>
      <c r="AX1573" s="20" t="s">
        <v>91</v>
      </c>
      <c r="AY1573" s="20">
        <v>0</v>
      </c>
      <c r="AZ1573" s="20">
        <v>0</v>
      </c>
      <c r="BA1573" s="20">
        <v>0</v>
      </c>
      <c r="BB1573" s="6">
        <v>41971</v>
      </c>
      <c r="BC1573" s="6">
        <v>0</v>
      </c>
      <c r="BD1573" s="6">
        <v>41976</v>
      </c>
      <c r="BE1573" s="6">
        <v>0</v>
      </c>
      <c r="BF1573" s="6">
        <v>41975</v>
      </c>
      <c r="BG1573" s="6">
        <v>0</v>
      </c>
      <c r="BH1573" s="6">
        <v>0</v>
      </c>
      <c r="BI1573" s="6">
        <v>0</v>
      </c>
      <c r="BJ1573" s="6">
        <v>0</v>
      </c>
      <c r="BK1573" s="4">
        <v>0</v>
      </c>
      <c r="BL1573" s="4">
        <v>0</v>
      </c>
      <c r="BM1573" s="20">
        <v>2</v>
      </c>
      <c r="BN1573" s="20">
        <v>0</v>
      </c>
      <c r="BO1573" s="20">
        <v>0</v>
      </c>
      <c r="BP1573" s="20">
        <v>0</v>
      </c>
      <c r="BQ1573" s="20">
        <v>0</v>
      </c>
      <c r="BR1573" s="20">
        <v>0</v>
      </c>
      <c r="BS1573" s="20">
        <v>2</v>
      </c>
      <c r="BT1573" s="20">
        <v>63838.38383838383</v>
      </c>
      <c r="BU1573" s="20">
        <v>316000</v>
      </c>
      <c r="BV1573" s="20">
        <v>4.5</v>
      </c>
    </row>
    <row r="1574" spans="1:74">
      <c r="A1574" s="10">
        <f t="shared" si="98"/>
        <v>0</v>
      </c>
      <c r="B1574" s="10">
        <f t="shared" si="99"/>
        <v>0</v>
      </c>
      <c r="C1574" s="12">
        <f t="shared" si="100"/>
        <v>11</v>
      </c>
      <c r="D1574" s="12">
        <f t="shared" si="101"/>
        <v>12</v>
      </c>
      <c r="E1574" s="20" t="s">
        <v>574</v>
      </c>
      <c r="F1574" s="20" t="s">
        <v>6246</v>
      </c>
      <c r="G1574" s="20" t="s">
        <v>6247</v>
      </c>
      <c r="H1574" s="20" t="s">
        <v>6260</v>
      </c>
      <c r="I1574" s="20">
        <v>2</v>
      </c>
      <c r="J1574" s="20" t="s">
        <v>6261</v>
      </c>
      <c r="K1574" s="20" t="s">
        <v>6262</v>
      </c>
      <c r="L1574" s="20" t="s">
        <v>6263</v>
      </c>
      <c r="M1574" s="20" t="s">
        <v>3040</v>
      </c>
      <c r="N1574" s="20" t="s">
        <v>6252</v>
      </c>
      <c r="P1574" s="20" t="s">
        <v>3040</v>
      </c>
      <c r="Q1574" s="20" t="s">
        <v>3047</v>
      </c>
      <c r="R1574" s="20" t="s">
        <v>84</v>
      </c>
      <c r="S1574" s="20">
        <v>5</v>
      </c>
      <c r="T1574" s="20" t="s">
        <v>674</v>
      </c>
      <c r="U1574" s="20" t="s">
        <v>675</v>
      </c>
      <c r="V1574" s="20" t="s">
        <v>5502</v>
      </c>
      <c r="W1574" s="20">
        <v>7</v>
      </c>
      <c r="X1574" s="20" t="s">
        <v>5626</v>
      </c>
      <c r="Y1574" s="20" t="s">
        <v>6264</v>
      </c>
      <c r="Z1574" s="20">
        <v>0.2</v>
      </c>
      <c r="AA1574" s="20" t="s">
        <v>6265</v>
      </c>
      <c r="AB1574" s="20" t="s">
        <v>248</v>
      </c>
      <c r="AC1574" s="20" t="s">
        <v>249</v>
      </c>
      <c r="AD1574" s="20" t="s">
        <v>6266</v>
      </c>
      <c r="AE1574" s="20" t="s">
        <v>91</v>
      </c>
      <c r="AF1574" s="20">
        <v>0.2</v>
      </c>
      <c r="AG1574" s="20">
        <v>0</v>
      </c>
      <c r="AH1574" s="20">
        <v>1</v>
      </c>
      <c r="AI1574" s="4" t="s">
        <v>643</v>
      </c>
      <c r="AJ1574" s="20">
        <v>2</v>
      </c>
      <c r="AK1574" s="4" t="s">
        <v>679</v>
      </c>
      <c r="AL1574" s="4">
        <v>10</v>
      </c>
      <c r="AM1574" s="4">
        <v>10</v>
      </c>
      <c r="AN1574" s="4" t="s">
        <v>95</v>
      </c>
      <c r="AO1574" s="4" t="s">
        <v>680</v>
      </c>
      <c r="AP1574" s="4">
        <v>1</v>
      </c>
      <c r="AQ1574" s="20">
        <v>278000</v>
      </c>
      <c r="AR1574" s="4">
        <v>41971</v>
      </c>
      <c r="AS1574" s="20">
        <v>56161.616161616155</v>
      </c>
      <c r="AT1574" s="20">
        <v>0</v>
      </c>
      <c r="AU1574" s="20">
        <v>-56161.616161616155</v>
      </c>
      <c r="AV1574" s="20">
        <v>0</v>
      </c>
      <c r="AW1574" s="20">
        <v>0</v>
      </c>
      <c r="AX1574" s="20" t="s">
        <v>91</v>
      </c>
      <c r="AY1574" s="20">
        <v>0</v>
      </c>
      <c r="AZ1574" s="20">
        <v>0</v>
      </c>
      <c r="BA1574" s="20">
        <v>0</v>
      </c>
      <c r="BB1574" s="6">
        <v>41971</v>
      </c>
      <c r="BC1574" s="6">
        <v>0</v>
      </c>
      <c r="BD1574" s="6">
        <v>41976</v>
      </c>
      <c r="BE1574" s="6">
        <v>0</v>
      </c>
      <c r="BF1574" s="6">
        <v>41975</v>
      </c>
      <c r="BG1574" s="6">
        <v>0</v>
      </c>
      <c r="BH1574" s="6">
        <v>0</v>
      </c>
      <c r="BI1574" s="6">
        <v>0</v>
      </c>
      <c r="BJ1574" s="6">
        <v>0</v>
      </c>
      <c r="BK1574" s="4">
        <v>0</v>
      </c>
      <c r="BL1574" s="4">
        <v>0</v>
      </c>
      <c r="BM1574" s="20">
        <v>2</v>
      </c>
      <c r="BN1574" s="20">
        <v>0</v>
      </c>
      <c r="BO1574" s="20">
        <v>0</v>
      </c>
      <c r="BP1574" s="20">
        <v>0</v>
      </c>
      <c r="BQ1574" s="20">
        <v>0</v>
      </c>
      <c r="BR1574" s="20">
        <v>0</v>
      </c>
      <c r="BS1574" s="20">
        <v>2</v>
      </c>
      <c r="BT1574" s="20">
        <v>112323.23232323231</v>
      </c>
      <c r="BU1574" s="20">
        <v>556000</v>
      </c>
      <c r="BV1574" s="20">
        <v>4.5</v>
      </c>
    </row>
    <row r="1575" spans="1:74">
      <c r="A1575" s="10">
        <f t="shared" si="98"/>
        <v>0</v>
      </c>
      <c r="B1575" s="10">
        <f t="shared" si="99"/>
        <v>0</v>
      </c>
      <c r="C1575" s="12">
        <f t="shared" si="100"/>
        <v>11</v>
      </c>
      <c r="D1575" s="12">
        <f t="shared" si="101"/>
        <v>12</v>
      </c>
      <c r="E1575" s="20" t="s">
        <v>574</v>
      </c>
      <c r="F1575" s="20" t="s">
        <v>6246</v>
      </c>
      <c r="G1575" s="20" t="s">
        <v>6247</v>
      </c>
      <c r="H1575" s="20" t="s">
        <v>6260</v>
      </c>
      <c r="I1575" s="20">
        <v>2</v>
      </c>
      <c r="J1575" s="20" t="s">
        <v>6261</v>
      </c>
      <c r="K1575" s="20" t="s">
        <v>6267</v>
      </c>
      <c r="L1575" s="20" t="s">
        <v>6263</v>
      </c>
      <c r="M1575" s="20" t="s">
        <v>3040</v>
      </c>
      <c r="N1575" s="20" t="s">
        <v>6252</v>
      </c>
      <c r="P1575" s="20" t="s">
        <v>3040</v>
      </c>
      <c r="Q1575" s="20" t="s">
        <v>3047</v>
      </c>
      <c r="R1575" s="20" t="s">
        <v>84</v>
      </c>
      <c r="S1575" s="20">
        <v>5</v>
      </c>
      <c r="T1575" s="20" t="s">
        <v>674</v>
      </c>
      <c r="U1575" s="20" t="s">
        <v>675</v>
      </c>
      <c r="V1575" s="20" t="s">
        <v>5502</v>
      </c>
      <c r="W1575" s="20">
        <v>7</v>
      </c>
      <c r="X1575" s="20" t="s">
        <v>5626</v>
      </c>
      <c r="Y1575" s="20" t="s">
        <v>6264</v>
      </c>
      <c r="Z1575" s="20">
        <v>0.2</v>
      </c>
      <c r="AA1575" s="20" t="s">
        <v>6268</v>
      </c>
      <c r="AB1575" s="20" t="s">
        <v>248</v>
      </c>
      <c r="AC1575" s="20" t="s">
        <v>249</v>
      </c>
      <c r="AD1575" s="20" t="s">
        <v>6266</v>
      </c>
      <c r="AE1575" s="20" t="s">
        <v>91</v>
      </c>
      <c r="AF1575" s="20">
        <v>0.2</v>
      </c>
      <c r="AG1575" s="20">
        <v>0</v>
      </c>
      <c r="AH1575" s="20">
        <v>1</v>
      </c>
      <c r="AI1575" s="4" t="s">
        <v>645</v>
      </c>
      <c r="AJ1575" s="20">
        <v>2</v>
      </c>
      <c r="AK1575" s="4" t="s">
        <v>679</v>
      </c>
      <c r="AL1575" s="4">
        <v>10</v>
      </c>
      <c r="AM1575" s="4">
        <v>10</v>
      </c>
      <c r="AN1575" s="4" t="s">
        <v>95</v>
      </c>
      <c r="AO1575" s="4" t="s">
        <v>680</v>
      </c>
      <c r="AP1575" s="4">
        <v>1</v>
      </c>
      <c r="AQ1575" s="20">
        <v>278000</v>
      </c>
      <c r="AR1575" s="4">
        <v>41971</v>
      </c>
      <c r="AS1575" s="20">
        <v>56161.616161616155</v>
      </c>
      <c r="AT1575" s="20">
        <v>0</v>
      </c>
      <c r="AU1575" s="20">
        <v>-56161.616161616155</v>
      </c>
      <c r="AV1575" s="20">
        <v>0</v>
      </c>
      <c r="AW1575" s="20">
        <v>0</v>
      </c>
      <c r="AX1575" s="20" t="s">
        <v>91</v>
      </c>
      <c r="AY1575" s="20">
        <v>0</v>
      </c>
      <c r="AZ1575" s="20">
        <v>0</v>
      </c>
      <c r="BA1575" s="20">
        <v>0</v>
      </c>
      <c r="BB1575" s="6">
        <v>41971</v>
      </c>
      <c r="BC1575" s="6">
        <v>0</v>
      </c>
      <c r="BD1575" s="6">
        <v>41976</v>
      </c>
      <c r="BE1575" s="6">
        <v>0</v>
      </c>
      <c r="BF1575" s="6">
        <v>41975</v>
      </c>
      <c r="BG1575" s="6">
        <v>0</v>
      </c>
      <c r="BH1575" s="6">
        <v>0</v>
      </c>
      <c r="BI1575" s="6">
        <v>0</v>
      </c>
      <c r="BJ1575" s="6">
        <v>0</v>
      </c>
      <c r="BK1575" s="4">
        <v>0</v>
      </c>
      <c r="BL1575" s="4">
        <v>0</v>
      </c>
      <c r="BM1575" s="20">
        <v>2</v>
      </c>
      <c r="BN1575" s="20">
        <v>0</v>
      </c>
      <c r="BO1575" s="20">
        <v>0</v>
      </c>
      <c r="BP1575" s="20">
        <v>0</v>
      </c>
      <c r="BQ1575" s="20">
        <v>0</v>
      </c>
      <c r="BR1575" s="20">
        <v>0</v>
      </c>
      <c r="BS1575" s="20">
        <v>2</v>
      </c>
      <c r="BT1575" s="20">
        <v>112323.23232323231</v>
      </c>
      <c r="BU1575" s="20">
        <v>556000</v>
      </c>
      <c r="BV1575" s="20">
        <v>4.5</v>
      </c>
    </row>
    <row r="1576" spans="1:74">
      <c r="A1576" s="10">
        <f t="shared" si="98"/>
        <v>0</v>
      </c>
      <c r="B1576" s="10">
        <f t="shared" si="99"/>
        <v>0</v>
      </c>
      <c r="C1576" s="12">
        <f t="shared" si="100"/>
        <v>11</v>
      </c>
      <c r="D1576" s="12">
        <f t="shared" si="101"/>
        <v>12</v>
      </c>
      <c r="E1576" s="20" t="s">
        <v>574</v>
      </c>
      <c r="F1576" s="20" t="s">
        <v>6246</v>
      </c>
      <c r="G1576" s="20" t="s">
        <v>6247</v>
      </c>
      <c r="H1576" s="20" t="s">
        <v>6260</v>
      </c>
      <c r="I1576" s="20">
        <v>2</v>
      </c>
      <c r="J1576" s="20" t="s">
        <v>6261</v>
      </c>
      <c r="K1576" s="20" t="s">
        <v>6269</v>
      </c>
      <c r="L1576" s="20" t="s">
        <v>6263</v>
      </c>
      <c r="M1576" s="20" t="s">
        <v>3040</v>
      </c>
      <c r="N1576" s="20" t="s">
        <v>6252</v>
      </c>
      <c r="P1576" s="20" t="s">
        <v>3040</v>
      </c>
      <c r="Q1576" s="20" t="s">
        <v>3047</v>
      </c>
      <c r="R1576" s="20" t="s">
        <v>84</v>
      </c>
      <c r="S1576" s="20">
        <v>5</v>
      </c>
      <c r="T1576" s="20" t="s">
        <v>674</v>
      </c>
      <c r="U1576" s="20" t="s">
        <v>675</v>
      </c>
      <c r="V1576" s="20" t="s">
        <v>5502</v>
      </c>
      <c r="W1576" s="20">
        <v>7</v>
      </c>
      <c r="X1576" s="20" t="s">
        <v>5626</v>
      </c>
      <c r="Y1576" s="20" t="s">
        <v>6264</v>
      </c>
      <c r="Z1576" s="20">
        <v>0.2</v>
      </c>
      <c r="AA1576" s="20" t="s">
        <v>6270</v>
      </c>
      <c r="AB1576" s="20" t="s">
        <v>248</v>
      </c>
      <c r="AC1576" s="20" t="s">
        <v>249</v>
      </c>
      <c r="AD1576" s="20" t="s">
        <v>6266</v>
      </c>
      <c r="AE1576" s="20" t="s">
        <v>91</v>
      </c>
      <c r="AF1576" s="20">
        <v>0.2</v>
      </c>
      <c r="AG1576" s="20">
        <v>0</v>
      </c>
      <c r="AH1576" s="20">
        <v>1</v>
      </c>
      <c r="AI1576" s="4" t="s">
        <v>647</v>
      </c>
      <c r="AJ1576" s="20">
        <v>2</v>
      </c>
      <c r="AK1576" s="4" t="s">
        <v>679</v>
      </c>
      <c r="AL1576" s="4">
        <v>10</v>
      </c>
      <c r="AM1576" s="4">
        <v>10</v>
      </c>
      <c r="AN1576" s="4" t="s">
        <v>95</v>
      </c>
      <c r="AO1576" s="4" t="s">
        <v>680</v>
      </c>
      <c r="AP1576" s="4">
        <v>1</v>
      </c>
      <c r="AQ1576" s="20">
        <v>278000</v>
      </c>
      <c r="AR1576" s="4">
        <v>41971</v>
      </c>
      <c r="AS1576" s="20">
        <v>56161.616161616155</v>
      </c>
      <c r="AT1576" s="20">
        <v>0</v>
      </c>
      <c r="AU1576" s="20">
        <v>-56161.616161616155</v>
      </c>
      <c r="AV1576" s="20">
        <v>0</v>
      </c>
      <c r="AW1576" s="20">
        <v>0</v>
      </c>
      <c r="AX1576" s="20" t="s">
        <v>91</v>
      </c>
      <c r="AY1576" s="20">
        <v>0</v>
      </c>
      <c r="AZ1576" s="20">
        <v>0</v>
      </c>
      <c r="BA1576" s="20">
        <v>0</v>
      </c>
      <c r="BB1576" s="6">
        <v>41971</v>
      </c>
      <c r="BC1576" s="6">
        <v>0</v>
      </c>
      <c r="BD1576" s="6">
        <v>41976</v>
      </c>
      <c r="BE1576" s="6">
        <v>0</v>
      </c>
      <c r="BF1576" s="6">
        <v>41975</v>
      </c>
      <c r="BG1576" s="6">
        <v>0</v>
      </c>
      <c r="BH1576" s="6">
        <v>0</v>
      </c>
      <c r="BI1576" s="6">
        <v>0</v>
      </c>
      <c r="BJ1576" s="6">
        <v>0</v>
      </c>
      <c r="BK1576" s="4">
        <v>0</v>
      </c>
      <c r="BL1576" s="4">
        <v>0</v>
      </c>
      <c r="BM1576" s="20">
        <v>2</v>
      </c>
      <c r="BN1576" s="20">
        <v>0</v>
      </c>
      <c r="BO1576" s="20">
        <v>0</v>
      </c>
      <c r="BP1576" s="20">
        <v>0</v>
      </c>
      <c r="BQ1576" s="20">
        <v>0</v>
      </c>
      <c r="BR1576" s="20">
        <v>0</v>
      </c>
      <c r="BS1576" s="20">
        <v>2</v>
      </c>
      <c r="BT1576" s="20">
        <v>112323.23232323231</v>
      </c>
      <c r="BU1576" s="20">
        <v>556000</v>
      </c>
      <c r="BV1576" s="20">
        <v>4.5</v>
      </c>
    </row>
    <row r="1577" spans="1:74">
      <c r="A1577" s="10">
        <f t="shared" si="98"/>
        <v>0</v>
      </c>
      <c r="B1577" s="10">
        <f t="shared" si="99"/>
        <v>0</v>
      </c>
      <c r="C1577" s="12">
        <f t="shared" si="100"/>
        <v>11</v>
      </c>
      <c r="D1577" s="12">
        <f t="shared" si="101"/>
        <v>12</v>
      </c>
      <c r="E1577" s="20" t="s">
        <v>574</v>
      </c>
      <c r="F1577" s="20" t="s">
        <v>6246</v>
      </c>
      <c r="G1577" s="20" t="s">
        <v>6247</v>
      </c>
      <c r="H1577" s="20" t="s">
        <v>6260</v>
      </c>
      <c r="I1577" s="20">
        <v>2</v>
      </c>
      <c r="J1577" s="20" t="s">
        <v>6261</v>
      </c>
      <c r="K1577" s="20" t="s">
        <v>6271</v>
      </c>
      <c r="L1577" s="20" t="s">
        <v>6263</v>
      </c>
      <c r="M1577" s="20" t="s">
        <v>3040</v>
      </c>
      <c r="N1577" s="20" t="s">
        <v>6252</v>
      </c>
      <c r="P1577" s="20" t="s">
        <v>3040</v>
      </c>
      <c r="Q1577" s="20" t="s">
        <v>3047</v>
      </c>
      <c r="R1577" s="20" t="s">
        <v>84</v>
      </c>
      <c r="S1577" s="20">
        <v>5</v>
      </c>
      <c r="T1577" s="20" t="s">
        <v>674</v>
      </c>
      <c r="U1577" s="20" t="s">
        <v>675</v>
      </c>
      <c r="V1577" s="20" t="s">
        <v>5502</v>
      </c>
      <c r="W1577" s="20">
        <v>7</v>
      </c>
      <c r="X1577" s="20" t="s">
        <v>5626</v>
      </c>
      <c r="Y1577" s="20" t="s">
        <v>6264</v>
      </c>
      <c r="Z1577" s="20">
        <v>0.2</v>
      </c>
      <c r="AA1577" s="20" t="s">
        <v>6272</v>
      </c>
      <c r="AB1577" s="20" t="s">
        <v>248</v>
      </c>
      <c r="AC1577" s="20" t="s">
        <v>249</v>
      </c>
      <c r="AD1577" s="20" t="s">
        <v>6266</v>
      </c>
      <c r="AE1577" s="20" t="s">
        <v>91</v>
      </c>
      <c r="AF1577" s="20">
        <v>0.2</v>
      </c>
      <c r="AG1577" s="20">
        <v>0</v>
      </c>
      <c r="AH1577" s="20">
        <v>1</v>
      </c>
      <c r="AI1577" s="4" t="s">
        <v>649</v>
      </c>
      <c r="AJ1577" s="20">
        <v>2</v>
      </c>
      <c r="AK1577" s="4" t="s">
        <v>679</v>
      </c>
      <c r="AL1577" s="4">
        <v>10</v>
      </c>
      <c r="AM1577" s="4">
        <v>10</v>
      </c>
      <c r="AN1577" s="4" t="s">
        <v>95</v>
      </c>
      <c r="AO1577" s="4" t="s">
        <v>680</v>
      </c>
      <c r="AP1577" s="4">
        <v>1</v>
      </c>
      <c r="AQ1577" s="20">
        <v>278000</v>
      </c>
      <c r="AR1577" s="4">
        <v>41971</v>
      </c>
      <c r="AS1577" s="20">
        <v>56161.616161616155</v>
      </c>
      <c r="AT1577" s="20">
        <v>0</v>
      </c>
      <c r="AU1577" s="20">
        <v>-56161.616161616155</v>
      </c>
      <c r="AV1577" s="20">
        <v>0</v>
      </c>
      <c r="AW1577" s="20">
        <v>0</v>
      </c>
      <c r="AX1577" s="20" t="s">
        <v>91</v>
      </c>
      <c r="AY1577" s="20">
        <v>0</v>
      </c>
      <c r="AZ1577" s="20">
        <v>0</v>
      </c>
      <c r="BA1577" s="20">
        <v>0</v>
      </c>
      <c r="BB1577" s="6">
        <v>41971</v>
      </c>
      <c r="BC1577" s="6">
        <v>0</v>
      </c>
      <c r="BD1577" s="6">
        <v>41976</v>
      </c>
      <c r="BE1577" s="6">
        <v>0</v>
      </c>
      <c r="BF1577" s="6">
        <v>41975</v>
      </c>
      <c r="BG1577" s="6">
        <v>0</v>
      </c>
      <c r="BH1577" s="6">
        <v>0</v>
      </c>
      <c r="BI1577" s="6">
        <v>0</v>
      </c>
      <c r="BJ1577" s="6">
        <v>0</v>
      </c>
      <c r="BK1577" s="4">
        <v>0</v>
      </c>
      <c r="BL1577" s="4">
        <v>0</v>
      </c>
      <c r="BM1577" s="20">
        <v>2</v>
      </c>
      <c r="BN1577" s="20">
        <v>0</v>
      </c>
      <c r="BO1577" s="20">
        <v>0</v>
      </c>
      <c r="BP1577" s="20">
        <v>0</v>
      </c>
      <c r="BQ1577" s="20">
        <v>0</v>
      </c>
      <c r="BR1577" s="20">
        <v>0</v>
      </c>
      <c r="BS1577" s="20">
        <v>2</v>
      </c>
      <c r="BT1577" s="20">
        <v>112323.23232323231</v>
      </c>
      <c r="BU1577" s="20">
        <v>556000</v>
      </c>
      <c r="BV1577" s="20">
        <v>4.5</v>
      </c>
    </row>
    <row r="1578" spans="1:74">
      <c r="A1578" s="10">
        <f t="shared" si="98"/>
        <v>0</v>
      </c>
      <c r="B1578" s="10">
        <f t="shared" si="99"/>
        <v>0</v>
      </c>
      <c r="C1578" s="12">
        <f t="shared" si="100"/>
        <v>11</v>
      </c>
      <c r="D1578" s="12">
        <f t="shared" si="101"/>
        <v>12</v>
      </c>
      <c r="E1578" s="20" t="s">
        <v>574</v>
      </c>
      <c r="F1578" s="20" t="s">
        <v>6246</v>
      </c>
      <c r="G1578" s="20" t="s">
        <v>6247</v>
      </c>
      <c r="H1578" s="20" t="s">
        <v>6260</v>
      </c>
      <c r="I1578" s="20">
        <v>2</v>
      </c>
      <c r="J1578" s="20" t="s">
        <v>6261</v>
      </c>
      <c r="K1578" s="20" t="s">
        <v>6273</v>
      </c>
      <c r="L1578" s="20" t="s">
        <v>6263</v>
      </c>
      <c r="M1578" s="20" t="s">
        <v>3040</v>
      </c>
      <c r="N1578" s="20" t="s">
        <v>6252</v>
      </c>
      <c r="P1578" s="20" t="s">
        <v>3040</v>
      </c>
      <c r="Q1578" s="20" t="s">
        <v>3047</v>
      </c>
      <c r="R1578" s="20" t="s">
        <v>84</v>
      </c>
      <c r="S1578" s="20">
        <v>5</v>
      </c>
      <c r="T1578" s="20" t="s">
        <v>674</v>
      </c>
      <c r="U1578" s="20" t="s">
        <v>675</v>
      </c>
      <c r="V1578" s="20" t="s">
        <v>5502</v>
      </c>
      <c r="W1578" s="20">
        <v>7</v>
      </c>
      <c r="X1578" s="20" t="s">
        <v>5626</v>
      </c>
      <c r="Y1578" s="20" t="s">
        <v>6264</v>
      </c>
      <c r="Z1578" s="20">
        <v>0.2</v>
      </c>
      <c r="AA1578" s="20" t="s">
        <v>6274</v>
      </c>
      <c r="AB1578" s="20" t="s">
        <v>248</v>
      </c>
      <c r="AC1578" s="20" t="s">
        <v>249</v>
      </c>
      <c r="AD1578" s="20" t="s">
        <v>6266</v>
      </c>
      <c r="AE1578" s="20" t="s">
        <v>91</v>
      </c>
      <c r="AF1578" s="20">
        <v>0.2</v>
      </c>
      <c r="AG1578" s="20">
        <v>0</v>
      </c>
      <c r="AH1578" s="20">
        <v>1</v>
      </c>
      <c r="AI1578" s="4" t="s">
        <v>651</v>
      </c>
      <c r="AJ1578" s="20">
        <v>2</v>
      </c>
      <c r="AK1578" s="4" t="s">
        <v>679</v>
      </c>
      <c r="AL1578" s="4">
        <v>10</v>
      </c>
      <c r="AM1578" s="4">
        <v>10</v>
      </c>
      <c r="AN1578" s="4" t="s">
        <v>95</v>
      </c>
      <c r="AO1578" s="4" t="s">
        <v>680</v>
      </c>
      <c r="AP1578" s="4">
        <v>1</v>
      </c>
      <c r="AQ1578" s="20">
        <v>278000</v>
      </c>
      <c r="AR1578" s="4">
        <v>41971</v>
      </c>
      <c r="AS1578" s="20">
        <v>56161.616161616155</v>
      </c>
      <c r="AT1578" s="20">
        <v>0</v>
      </c>
      <c r="AU1578" s="20">
        <v>-56161.616161616155</v>
      </c>
      <c r="AV1578" s="20">
        <v>0</v>
      </c>
      <c r="AW1578" s="20">
        <v>0</v>
      </c>
      <c r="AX1578" s="20" t="s">
        <v>91</v>
      </c>
      <c r="AY1578" s="20">
        <v>0</v>
      </c>
      <c r="AZ1578" s="20">
        <v>0</v>
      </c>
      <c r="BA1578" s="20">
        <v>0</v>
      </c>
      <c r="BB1578" s="6">
        <v>41971</v>
      </c>
      <c r="BC1578" s="6">
        <v>0</v>
      </c>
      <c r="BD1578" s="6">
        <v>41976</v>
      </c>
      <c r="BE1578" s="6">
        <v>0</v>
      </c>
      <c r="BF1578" s="6">
        <v>41975</v>
      </c>
      <c r="BG1578" s="6">
        <v>0</v>
      </c>
      <c r="BH1578" s="6">
        <v>0</v>
      </c>
      <c r="BI1578" s="6">
        <v>0</v>
      </c>
      <c r="BJ1578" s="6">
        <v>0</v>
      </c>
      <c r="BK1578" s="4">
        <v>0</v>
      </c>
      <c r="BL1578" s="4">
        <v>0</v>
      </c>
      <c r="BM1578" s="20">
        <v>2</v>
      </c>
      <c r="BN1578" s="20">
        <v>0</v>
      </c>
      <c r="BO1578" s="20">
        <v>0</v>
      </c>
      <c r="BP1578" s="20">
        <v>0</v>
      </c>
      <c r="BQ1578" s="20">
        <v>0</v>
      </c>
      <c r="BR1578" s="20">
        <v>0</v>
      </c>
      <c r="BS1578" s="20">
        <v>2</v>
      </c>
      <c r="BT1578" s="20">
        <v>112323.23232323231</v>
      </c>
      <c r="BU1578" s="20">
        <v>556000</v>
      </c>
      <c r="BV1578" s="20">
        <v>4.5</v>
      </c>
    </row>
    <row r="1579" spans="1:74">
      <c r="A1579" s="10">
        <f t="shared" si="98"/>
        <v>0</v>
      </c>
      <c r="B1579" s="10">
        <f t="shared" si="99"/>
        <v>0</v>
      </c>
      <c r="C1579" s="12">
        <f t="shared" si="100"/>
        <v>11</v>
      </c>
      <c r="D1579" s="12">
        <f t="shared" si="101"/>
        <v>12</v>
      </c>
      <c r="E1579" s="20" t="s">
        <v>574</v>
      </c>
      <c r="F1579" s="20" t="s">
        <v>6246</v>
      </c>
      <c r="G1579" s="20" t="s">
        <v>6247</v>
      </c>
      <c r="H1579" s="20" t="s">
        <v>6275</v>
      </c>
      <c r="I1579" s="20">
        <v>3</v>
      </c>
      <c r="J1579" s="20" t="s">
        <v>6276</v>
      </c>
      <c r="K1579" s="20" t="s">
        <v>6277</v>
      </c>
      <c r="L1579" s="20" t="s">
        <v>6263</v>
      </c>
      <c r="M1579" s="20" t="s">
        <v>3040</v>
      </c>
      <c r="N1579" s="20" t="s">
        <v>6252</v>
      </c>
      <c r="P1579" s="20" t="s">
        <v>3040</v>
      </c>
      <c r="Q1579" s="20" t="s">
        <v>3047</v>
      </c>
      <c r="R1579" s="20" t="s">
        <v>84</v>
      </c>
      <c r="S1579" s="20">
        <v>5</v>
      </c>
      <c r="T1579" s="20" t="s">
        <v>674</v>
      </c>
      <c r="U1579" s="20" t="s">
        <v>675</v>
      </c>
      <c r="V1579" s="20" t="s">
        <v>5502</v>
      </c>
      <c r="W1579" s="20">
        <v>7</v>
      </c>
      <c r="X1579" s="20" t="s">
        <v>5626</v>
      </c>
      <c r="Y1579" s="20" t="s">
        <v>6264</v>
      </c>
      <c r="Z1579" s="20">
        <v>0.2</v>
      </c>
      <c r="AA1579" s="20" t="s">
        <v>6278</v>
      </c>
      <c r="AB1579" s="20" t="s">
        <v>89</v>
      </c>
      <c r="AC1579" s="20" t="s">
        <v>90</v>
      </c>
      <c r="AD1579" s="20" t="s">
        <v>6279</v>
      </c>
      <c r="AE1579" s="20" t="s">
        <v>91</v>
      </c>
      <c r="AF1579" s="20">
        <v>0.2</v>
      </c>
      <c r="AG1579" s="20">
        <v>0</v>
      </c>
      <c r="AH1579" s="20">
        <v>1</v>
      </c>
      <c r="AI1579" s="4" t="s">
        <v>643</v>
      </c>
      <c r="AJ1579" s="20">
        <v>2</v>
      </c>
      <c r="AK1579" s="4" t="s">
        <v>679</v>
      </c>
      <c r="AL1579" s="4">
        <v>10</v>
      </c>
      <c r="AM1579" s="4">
        <v>10</v>
      </c>
      <c r="AN1579" s="4" t="s">
        <v>95</v>
      </c>
      <c r="AO1579" s="4" t="s">
        <v>680</v>
      </c>
      <c r="AP1579" s="4">
        <v>1</v>
      </c>
      <c r="AQ1579" s="20">
        <v>278000</v>
      </c>
      <c r="AR1579" s="4">
        <v>41971</v>
      </c>
      <c r="AS1579" s="20">
        <v>56161.616161616155</v>
      </c>
      <c r="AT1579" s="20">
        <v>0</v>
      </c>
      <c r="AU1579" s="20">
        <v>-56161.616161616155</v>
      </c>
      <c r="AV1579" s="20">
        <v>0</v>
      </c>
      <c r="AW1579" s="20">
        <v>0</v>
      </c>
      <c r="AX1579" s="20" t="s">
        <v>91</v>
      </c>
      <c r="AY1579" s="20">
        <v>0</v>
      </c>
      <c r="AZ1579" s="20">
        <v>0</v>
      </c>
      <c r="BA1579" s="20">
        <v>0</v>
      </c>
      <c r="BB1579" s="6">
        <v>41971</v>
      </c>
      <c r="BC1579" s="6">
        <v>0</v>
      </c>
      <c r="BD1579" s="6">
        <v>41976</v>
      </c>
      <c r="BE1579" s="6">
        <v>0</v>
      </c>
      <c r="BF1579" s="6">
        <v>41975</v>
      </c>
      <c r="BG1579" s="6">
        <v>0</v>
      </c>
      <c r="BH1579" s="6">
        <v>0</v>
      </c>
      <c r="BI1579" s="6">
        <v>0</v>
      </c>
      <c r="BJ1579" s="6">
        <v>0</v>
      </c>
      <c r="BK1579" s="4">
        <v>0</v>
      </c>
      <c r="BL1579" s="4">
        <v>0</v>
      </c>
      <c r="BM1579" s="20">
        <v>2</v>
      </c>
      <c r="BN1579" s="20">
        <v>0</v>
      </c>
      <c r="BO1579" s="20">
        <v>0</v>
      </c>
      <c r="BP1579" s="20">
        <v>0</v>
      </c>
      <c r="BQ1579" s="20">
        <v>0</v>
      </c>
      <c r="BR1579" s="20">
        <v>0</v>
      </c>
      <c r="BS1579" s="20">
        <v>2</v>
      </c>
      <c r="BT1579" s="20">
        <v>112323.23232323231</v>
      </c>
      <c r="BU1579" s="20">
        <v>556000</v>
      </c>
      <c r="BV1579" s="20">
        <v>4.5</v>
      </c>
    </row>
    <row r="1580" spans="1:74">
      <c r="A1580" s="10">
        <f t="shared" si="98"/>
        <v>0</v>
      </c>
      <c r="B1580" s="10">
        <f t="shared" si="99"/>
        <v>0</v>
      </c>
      <c r="C1580" s="12">
        <f t="shared" si="100"/>
        <v>11</v>
      </c>
      <c r="D1580" s="12">
        <f t="shared" si="101"/>
        <v>12</v>
      </c>
      <c r="E1580" s="20" t="s">
        <v>574</v>
      </c>
      <c r="F1580" s="20" t="s">
        <v>6246</v>
      </c>
      <c r="G1580" s="20" t="s">
        <v>6247</v>
      </c>
      <c r="H1580" s="20" t="s">
        <v>6275</v>
      </c>
      <c r="I1580" s="20">
        <v>3</v>
      </c>
      <c r="J1580" s="20" t="s">
        <v>6276</v>
      </c>
      <c r="K1580" s="20" t="s">
        <v>6280</v>
      </c>
      <c r="L1580" s="20" t="s">
        <v>6263</v>
      </c>
      <c r="M1580" s="20" t="s">
        <v>3040</v>
      </c>
      <c r="N1580" s="20" t="s">
        <v>6252</v>
      </c>
      <c r="P1580" s="20" t="s">
        <v>3040</v>
      </c>
      <c r="Q1580" s="20" t="s">
        <v>3047</v>
      </c>
      <c r="R1580" s="20" t="s">
        <v>84</v>
      </c>
      <c r="S1580" s="20">
        <v>5</v>
      </c>
      <c r="T1580" s="20" t="s">
        <v>674</v>
      </c>
      <c r="U1580" s="20" t="s">
        <v>675</v>
      </c>
      <c r="V1580" s="20" t="s">
        <v>5502</v>
      </c>
      <c r="W1580" s="20">
        <v>7</v>
      </c>
      <c r="X1580" s="20" t="s">
        <v>5626</v>
      </c>
      <c r="Y1580" s="20" t="s">
        <v>6264</v>
      </c>
      <c r="Z1580" s="20">
        <v>0.2</v>
      </c>
      <c r="AA1580" s="20" t="s">
        <v>6281</v>
      </c>
      <c r="AB1580" s="20" t="s">
        <v>89</v>
      </c>
      <c r="AC1580" s="20" t="s">
        <v>90</v>
      </c>
      <c r="AD1580" s="20" t="s">
        <v>6279</v>
      </c>
      <c r="AE1580" s="20" t="s">
        <v>91</v>
      </c>
      <c r="AF1580" s="20">
        <v>0.2</v>
      </c>
      <c r="AG1580" s="20">
        <v>0</v>
      </c>
      <c r="AH1580" s="20">
        <v>1</v>
      </c>
      <c r="AI1580" s="4" t="s">
        <v>645</v>
      </c>
      <c r="AJ1580" s="20">
        <v>2</v>
      </c>
      <c r="AK1580" s="4" t="s">
        <v>679</v>
      </c>
      <c r="AL1580" s="4">
        <v>10</v>
      </c>
      <c r="AM1580" s="4">
        <v>10</v>
      </c>
      <c r="AN1580" s="4" t="s">
        <v>95</v>
      </c>
      <c r="AO1580" s="4" t="s">
        <v>680</v>
      </c>
      <c r="AP1580" s="4">
        <v>1</v>
      </c>
      <c r="AQ1580" s="20">
        <v>278000</v>
      </c>
      <c r="AR1580" s="4">
        <v>41971</v>
      </c>
      <c r="AS1580" s="20">
        <v>56161.616161616155</v>
      </c>
      <c r="AT1580" s="20">
        <v>0</v>
      </c>
      <c r="AU1580" s="20">
        <v>-56161.616161616155</v>
      </c>
      <c r="AV1580" s="20">
        <v>0</v>
      </c>
      <c r="AW1580" s="20">
        <v>0</v>
      </c>
      <c r="AX1580" s="20" t="s">
        <v>91</v>
      </c>
      <c r="AY1580" s="20">
        <v>0</v>
      </c>
      <c r="AZ1580" s="20">
        <v>0</v>
      </c>
      <c r="BA1580" s="20">
        <v>0</v>
      </c>
      <c r="BB1580" s="6">
        <v>41971</v>
      </c>
      <c r="BC1580" s="6">
        <v>0</v>
      </c>
      <c r="BD1580" s="6">
        <v>41976</v>
      </c>
      <c r="BE1580" s="6">
        <v>0</v>
      </c>
      <c r="BF1580" s="6">
        <v>41975</v>
      </c>
      <c r="BG1580" s="6">
        <v>0</v>
      </c>
      <c r="BH1580" s="6">
        <v>0</v>
      </c>
      <c r="BI1580" s="6">
        <v>0</v>
      </c>
      <c r="BJ1580" s="6">
        <v>0</v>
      </c>
      <c r="BK1580" s="4">
        <v>0</v>
      </c>
      <c r="BL1580" s="4">
        <v>0</v>
      </c>
      <c r="BM1580" s="20">
        <v>2</v>
      </c>
      <c r="BN1580" s="20">
        <v>0</v>
      </c>
      <c r="BO1580" s="20">
        <v>0</v>
      </c>
      <c r="BP1580" s="20">
        <v>0</v>
      </c>
      <c r="BQ1580" s="20">
        <v>0</v>
      </c>
      <c r="BR1580" s="20">
        <v>0</v>
      </c>
      <c r="BS1580" s="20">
        <v>2</v>
      </c>
      <c r="BT1580" s="20">
        <v>112323.23232323231</v>
      </c>
      <c r="BU1580" s="20">
        <v>556000</v>
      </c>
      <c r="BV1580" s="20">
        <v>4.5</v>
      </c>
    </row>
    <row r="1581" spans="1:74">
      <c r="A1581" s="10">
        <f t="shared" si="98"/>
        <v>0</v>
      </c>
      <c r="B1581" s="10">
        <f t="shared" si="99"/>
        <v>0</v>
      </c>
      <c r="C1581" s="12">
        <f t="shared" si="100"/>
        <v>11</v>
      </c>
      <c r="D1581" s="12">
        <f t="shared" si="101"/>
        <v>12</v>
      </c>
      <c r="E1581" s="20" t="s">
        <v>574</v>
      </c>
      <c r="F1581" s="20" t="s">
        <v>6246</v>
      </c>
      <c r="G1581" s="20" t="s">
        <v>6247</v>
      </c>
      <c r="H1581" s="20" t="s">
        <v>6275</v>
      </c>
      <c r="I1581" s="20">
        <v>3</v>
      </c>
      <c r="J1581" s="20" t="s">
        <v>6276</v>
      </c>
      <c r="K1581" s="20" t="s">
        <v>6282</v>
      </c>
      <c r="L1581" s="20" t="s">
        <v>6263</v>
      </c>
      <c r="M1581" s="20" t="s">
        <v>3040</v>
      </c>
      <c r="N1581" s="20" t="s">
        <v>6252</v>
      </c>
      <c r="P1581" s="20" t="s">
        <v>3040</v>
      </c>
      <c r="Q1581" s="20" t="s">
        <v>3047</v>
      </c>
      <c r="R1581" s="20" t="s">
        <v>84</v>
      </c>
      <c r="S1581" s="20">
        <v>5</v>
      </c>
      <c r="T1581" s="20" t="s">
        <v>674</v>
      </c>
      <c r="U1581" s="20" t="s">
        <v>675</v>
      </c>
      <c r="V1581" s="20" t="s">
        <v>5502</v>
      </c>
      <c r="W1581" s="20">
        <v>7</v>
      </c>
      <c r="X1581" s="20" t="s">
        <v>5626</v>
      </c>
      <c r="Y1581" s="20" t="s">
        <v>6264</v>
      </c>
      <c r="Z1581" s="20">
        <v>0.2</v>
      </c>
      <c r="AA1581" s="20" t="s">
        <v>6283</v>
      </c>
      <c r="AB1581" s="20" t="s">
        <v>89</v>
      </c>
      <c r="AC1581" s="20" t="s">
        <v>90</v>
      </c>
      <c r="AD1581" s="20" t="s">
        <v>6279</v>
      </c>
      <c r="AE1581" s="20" t="s">
        <v>91</v>
      </c>
      <c r="AF1581" s="20">
        <v>0.2</v>
      </c>
      <c r="AG1581" s="20">
        <v>0</v>
      </c>
      <c r="AH1581" s="20">
        <v>1</v>
      </c>
      <c r="AI1581" s="4" t="s">
        <v>647</v>
      </c>
      <c r="AJ1581" s="20">
        <v>2</v>
      </c>
      <c r="AK1581" s="4" t="s">
        <v>679</v>
      </c>
      <c r="AL1581" s="4">
        <v>10</v>
      </c>
      <c r="AM1581" s="4">
        <v>10</v>
      </c>
      <c r="AN1581" s="4" t="s">
        <v>95</v>
      </c>
      <c r="AO1581" s="4" t="s">
        <v>680</v>
      </c>
      <c r="AP1581" s="4">
        <v>1</v>
      </c>
      <c r="AQ1581" s="20">
        <v>278000</v>
      </c>
      <c r="AR1581" s="4">
        <v>41971</v>
      </c>
      <c r="AS1581" s="20">
        <v>56161.616161616155</v>
      </c>
      <c r="AT1581" s="20">
        <v>0</v>
      </c>
      <c r="AU1581" s="20">
        <v>-56161.616161616155</v>
      </c>
      <c r="AV1581" s="20">
        <v>0</v>
      </c>
      <c r="AW1581" s="20">
        <v>0</v>
      </c>
      <c r="AX1581" s="20" t="s">
        <v>91</v>
      </c>
      <c r="AY1581" s="20">
        <v>0</v>
      </c>
      <c r="AZ1581" s="20">
        <v>0</v>
      </c>
      <c r="BA1581" s="20">
        <v>0</v>
      </c>
      <c r="BB1581" s="6">
        <v>41971</v>
      </c>
      <c r="BC1581" s="6">
        <v>0</v>
      </c>
      <c r="BD1581" s="6">
        <v>41976</v>
      </c>
      <c r="BE1581" s="6">
        <v>0</v>
      </c>
      <c r="BF1581" s="6">
        <v>41975</v>
      </c>
      <c r="BG1581" s="6">
        <v>0</v>
      </c>
      <c r="BH1581" s="6">
        <v>0</v>
      </c>
      <c r="BI1581" s="6">
        <v>0</v>
      </c>
      <c r="BJ1581" s="6">
        <v>0</v>
      </c>
      <c r="BK1581" s="4">
        <v>0</v>
      </c>
      <c r="BL1581" s="4">
        <v>0</v>
      </c>
      <c r="BM1581" s="20">
        <v>2</v>
      </c>
      <c r="BN1581" s="20">
        <v>0</v>
      </c>
      <c r="BO1581" s="20">
        <v>0</v>
      </c>
      <c r="BP1581" s="20">
        <v>0</v>
      </c>
      <c r="BQ1581" s="20">
        <v>0</v>
      </c>
      <c r="BR1581" s="20">
        <v>0</v>
      </c>
      <c r="BS1581" s="20">
        <v>2</v>
      </c>
      <c r="BT1581" s="20">
        <v>112323.23232323231</v>
      </c>
      <c r="BU1581" s="20">
        <v>556000</v>
      </c>
      <c r="BV1581" s="20">
        <v>4.5</v>
      </c>
    </row>
    <row r="1582" spans="1:74">
      <c r="A1582" s="10">
        <f t="shared" si="98"/>
        <v>0</v>
      </c>
      <c r="B1582" s="10">
        <f t="shared" si="99"/>
        <v>0</v>
      </c>
      <c r="C1582" s="12">
        <f t="shared" si="100"/>
        <v>11</v>
      </c>
      <c r="D1582" s="12">
        <f t="shared" si="101"/>
        <v>12</v>
      </c>
      <c r="E1582" s="20" t="s">
        <v>574</v>
      </c>
      <c r="F1582" s="20" t="s">
        <v>6246</v>
      </c>
      <c r="G1582" s="20" t="s">
        <v>6247</v>
      </c>
      <c r="H1582" s="20" t="s">
        <v>6275</v>
      </c>
      <c r="I1582" s="20">
        <v>3</v>
      </c>
      <c r="J1582" s="20" t="s">
        <v>6276</v>
      </c>
      <c r="K1582" s="20" t="s">
        <v>6284</v>
      </c>
      <c r="L1582" s="20" t="s">
        <v>6263</v>
      </c>
      <c r="M1582" s="20" t="s">
        <v>3040</v>
      </c>
      <c r="N1582" s="20" t="s">
        <v>6252</v>
      </c>
      <c r="P1582" s="20" t="s">
        <v>3040</v>
      </c>
      <c r="Q1582" s="20" t="s">
        <v>3047</v>
      </c>
      <c r="R1582" s="20" t="s">
        <v>84</v>
      </c>
      <c r="S1582" s="20">
        <v>5</v>
      </c>
      <c r="T1582" s="20" t="s">
        <v>674</v>
      </c>
      <c r="U1582" s="20" t="s">
        <v>675</v>
      </c>
      <c r="V1582" s="20" t="s">
        <v>5502</v>
      </c>
      <c r="W1582" s="20">
        <v>7</v>
      </c>
      <c r="X1582" s="20" t="s">
        <v>5626</v>
      </c>
      <c r="Y1582" s="20" t="s">
        <v>6264</v>
      </c>
      <c r="Z1582" s="20">
        <v>0.2</v>
      </c>
      <c r="AA1582" s="20" t="s">
        <v>6285</v>
      </c>
      <c r="AB1582" s="20" t="s">
        <v>89</v>
      </c>
      <c r="AC1582" s="20" t="s">
        <v>90</v>
      </c>
      <c r="AD1582" s="20" t="s">
        <v>6279</v>
      </c>
      <c r="AE1582" s="20" t="s">
        <v>91</v>
      </c>
      <c r="AF1582" s="20">
        <v>0.2</v>
      </c>
      <c r="AG1582" s="20">
        <v>0</v>
      </c>
      <c r="AH1582" s="20">
        <v>1</v>
      </c>
      <c r="AI1582" s="4" t="s">
        <v>649</v>
      </c>
      <c r="AJ1582" s="20">
        <v>2</v>
      </c>
      <c r="AK1582" s="4" t="s">
        <v>679</v>
      </c>
      <c r="AL1582" s="4">
        <v>10</v>
      </c>
      <c r="AM1582" s="4">
        <v>10</v>
      </c>
      <c r="AN1582" s="4" t="s">
        <v>95</v>
      </c>
      <c r="AO1582" s="4" t="s">
        <v>680</v>
      </c>
      <c r="AP1582" s="4">
        <v>1</v>
      </c>
      <c r="AQ1582" s="20">
        <v>278000</v>
      </c>
      <c r="AR1582" s="4">
        <v>41971</v>
      </c>
      <c r="AS1582" s="20">
        <v>56161.616161616155</v>
      </c>
      <c r="AT1582" s="20">
        <v>0</v>
      </c>
      <c r="AU1582" s="20">
        <v>-56161.616161616155</v>
      </c>
      <c r="AV1582" s="20">
        <v>0</v>
      </c>
      <c r="AW1582" s="20">
        <v>0</v>
      </c>
      <c r="AX1582" s="20" t="s">
        <v>91</v>
      </c>
      <c r="AY1582" s="20">
        <v>0</v>
      </c>
      <c r="AZ1582" s="20">
        <v>0</v>
      </c>
      <c r="BA1582" s="20">
        <v>0</v>
      </c>
      <c r="BB1582" s="6">
        <v>41971</v>
      </c>
      <c r="BC1582" s="6">
        <v>0</v>
      </c>
      <c r="BD1582" s="6">
        <v>41976</v>
      </c>
      <c r="BE1582" s="6">
        <v>0</v>
      </c>
      <c r="BF1582" s="6">
        <v>41975</v>
      </c>
      <c r="BG1582" s="6">
        <v>0</v>
      </c>
      <c r="BH1582" s="6">
        <v>0</v>
      </c>
      <c r="BI1582" s="6">
        <v>0</v>
      </c>
      <c r="BJ1582" s="6">
        <v>0</v>
      </c>
      <c r="BK1582" s="4">
        <v>0</v>
      </c>
      <c r="BL1582" s="4">
        <v>0</v>
      </c>
      <c r="BM1582" s="20">
        <v>2</v>
      </c>
      <c r="BN1582" s="20">
        <v>0</v>
      </c>
      <c r="BO1582" s="20">
        <v>0</v>
      </c>
      <c r="BP1582" s="20">
        <v>0</v>
      </c>
      <c r="BQ1582" s="20">
        <v>0</v>
      </c>
      <c r="BR1582" s="20">
        <v>0</v>
      </c>
      <c r="BS1582" s="20">
        <v>2</v>
      </c>
      <c r="BT1582" s="20">
        <v>112323.23232323231</v>
      </c>
      <c r="BU1582" s="20">
        <v>556000</v>
      </c>
      <c r="BV1582" s="20">
        <v>4.5</v>
      </c>
    </row>
    <row r="1583" spans="1:74">
      <c r="A1583" s="10">
        <f t="shared" si="98"/>
        <v>0</v>
      </c>
      <c r="B1583" s="10">
        <f t="shared" si="99"/>
        <v>0</v>
      </c>
      <c r="C1583" s="12">
        <f t="shared" si="100"/>
        <v>11</v>
      </c>
      <c r="D1583" s="12">
        <f t="shared" si="101"/>
        <v>12</v>
      </c>
      <c r="E1583" s="20" t="s">
        <v>574</v>
      </c>
      <c r="F1583" s="20" t="s">
        <v>6246</v>
      </c>
      <c r="G1583" s="20" t="s">
        <v>6247</v>
      </c>
      <c r="H1583" s="20" t="s">
        <v>6275</v>
      </c>
      <c r="I1583" s="20">
        <v>3</v>
      </c>
      <c r="J1583" s="20" t="s">
        <v>6276</v>
      </c>
      <c r="K1583" s="20" t="s">
        <v>6286</v>
      </c>
      <c r="L1583" s="20" t="s">
        <v>6263</v>
      </c>
      <c r="M1583" s="20" t="s">
        <v>3040</v>
      </c>
      <c r="N1583" s="20" t="s">
        <v>6252</v>
      </c>
      <c r="P1583" s="20" t="s">
        <v>3040</v>
      </c>
      <c r="Q1583" s="20" t="s">
        <v>3047</v>
      </c>
      <c r="R1583" s="20" t="s">
        <v>84</v>
      </c>
      <c r="S1583" s="20">
        <v>5</v>
      </c>
      <c r="T1583" s="20" t="s">
        <v>674</v>
      </c>
      <c r="U1583" s="20" t="s">
        <v>675</v>
      </c>
      <c r="V1583" s="20" t="s">
        <v>5502</v>
      </c>
      <c r="W1583" s="20">
        <v>7</v>
      </c>
      <c r="X1583" s="20" t="s">
        <v>5626</v>
      </c>
      <c r="Y1583" s="20" t="s">
        <v>6264</v>
      </c>
      <c r="Z1583" s="20">
        <v>0.2</v>
      </c>
      <c r="AA1583" s="20" t="s">
        <v>6287</v>
      </c>
      <c r="AB1583" s="20" t="s">
        <v>89</v>
      </c>
      <c r="AC1583" s="20" t="s">
        <v>90</v>
      </c>
      <c r="AD1583" s="20" t="s">
        <v>6279</v>
      </c>
      <c r="AE1583" s="20" t="s">
        <v>91</v>
      </c>
      <c r="AF1583" s="20">
        <v>0.2</v>
      </c>
      <c r="AG1583" s="20">
        <v>0</v>
      </c>
      <c r="AH1583" s="20">
        <v>1</v>
      </c>
      <c r="AI1583" s="4" t="s">
        <v>651</v>
      </c>
      <c r="AJ1583" s="20">
        <v>2</v>
      </c>
      <c r="AK1583" s="4" t="s">
        <v>679</v>
      </c>
      <c r="AL1583" s="4">
        <v>10</v>
      </c>
      <c r="AM1583" s="4">
        <v>10</v>
      </c>
      <c r="AN1583" s="4" t="s">
        <v>95</v>
      </c>
      <c r="AO1583" s="4" t="s">
        <v>680</v>
      </c>
      <c r="AP1583" s="4">
        <v>1</v>
      </c>
      <c r="AQ1583" s="20">
        <v>278000</v>
      </c>
      <c r="AR1583" s="4">
        <v>41971</v>
      </c>
      <c r="AS1583" s="20">
        <v>56161.616161616155</v>
      </c>
      <c r="AT1583" s="20">
        <v>0</v>
      </c>
      <c r="AU1583" s="20">
        <v>-56161.616161616155</v>
      </c>
      <c r="AV1583" s="20">
        <v>0</v>
      </c>
      <c r="AW1583" s="20">
        <v>0</v>
      </c>
      <c r="AX1583" s="20" t="s">
        <v>91</v>
      </c>
      <c r="AY1583" s="20">
        <v>0</v>
      </c>
      <c r="AZ1583" s="20">
        <v>0</v>
      </c>
      <c r="BA1583" s="20">
        <v>0</v>
      </c>
      <c r="BB1583" s="6">
        <v>41971</v>
      </c>
      <c r="BC1583" s="6">
        <v>0</v>
      </c>
      <c r="BD1583" s="6">
        <v>41976</v>
      </c>
      <c r="BE1583" s="6">
        <v>0</v>
      </c>
      <c r="BF1583" s="6">
        <v>41975</v>
      </c>
      <c r="BG1583" s="6">
        <v>0</v>
      </c>
      <c r="BH1583" s="6">
        <v>0</v>
      </c>
      <c r="BI1583" s="6">
        <v>0</v>
      </c>
      <c r="BJ1583" s="6">
        <v>0</v>
      </c>
      <c r="BK1583" s="4">
        <v>0</v>
      </c>
      <c r="BL1583" s="4">
        <v>0</v>
      </c>
      <c r="BM1583" s="20">
        <v>2</v>
      </c>
      <c r="BN1583" s="20">
        <v>0</v>
      </c>
      <c r="BO1583" s="20">
        <v>0</v>
      </c>
      <c r="BP1583" s="20">
        <v>0</v>
      </c>
      <c r="BQ1583" s="20">
        <v>0</v>
      </c>
      <c r="BR1583" s="20">
        <v>0</v>
      </c>
      <c r="BS1583" s="20">
        <v>2</v>
      </c>
      <c r="BT1583" s="20">
        <v>112323.23232323231</v>
      </c>
      <c r="BU1583" s="20">
        <v>556000</v>
      </c>
      <c r="BV1583" s="20">
        <v>4.5</v>
      </c>
    </row>
    <row r="1584" spans="1:74">
      <c r="A1584" s="10">
        <f t="shared" si="98"/>
        <v>0</v>
      </c>
      <c r="B1584" s="10">
        <f t="shared" si="99"/>
        <v>0</v>
      </c>
      <c r="C1584" s="12" t="str">
        <f t="shared" si="100"/>
        <v/>
      </c>
      <c r="D1584" s="12" t="str">
        <f t="shared" si="101"/>
        <v/>
      </c>
      <c r="E1584" s="20" t="s">
        <v>91</v>
      </c>
      <c r="F1584" s="20" t="s">
        <v>91</v>
      </c>
      <c r="G1584" s="20" t="s">
        <v>91</v>
      </c>
      <c r="H1584" s="20" t="s">
        <v>91</v>
      </c>
      <c r="I1584" s="20">
        <v>0</v>
      </c>
      <c r="J1584" s="20" t="s">
        <v>103</v>
      </c>
      <c r="K1584" s="20" t="s">
        <v>104</v>
      </c>
      <c r="L1584" s="20">
        <v>0</v>
      </c>
      <c r="M1584" s="20" t="s">
        <v>105</v>
      </c>
      <c r="N1584" s="20" t="s">
        <v>91</v>
      </c>
      <c r="O1584" s="20" t="s">
        <v>6288</v>
      </c>
      <c r="Q1584" s="20" t="s">
        <v>91</v>
      </c>
      <c r="R1584" s="20" t="s">
        <v>91</v>
      </c>
      <c r="S1584" s="20" t="s">
        <v>91</v>
      </c>
      <c r="U1584" s="20" t="s">
        <v>91</v>
      </c>
      <c r="X1584" s="20" t="s">
        <v>91</v>
      </c>
      <c r="Y1584" s="20" t="s">
        <v>91</v>
      </c>
      <c r="Z1584" s="20">
        <v>3.0000000000000004</v>
      </c>
      <c r="AB1584" s="20" t="s">
        <v>91</v>
      </c>
      <c r="AD1584" s="20" t="s">
        <v>91</v>
      </c>
      <c r="AE1584" s="20" t="s">
        <v>91</v>
      </c>
      <c r="AF1584" s="20">
        <v>3.0000000000000004</v>
      </c>
      <c r="AG1584" s="20">
        <v>0</v>
      </c>
      <c r="AH1584" s="20">
        <v>1</v>
      </c>
      <c r="AM1584" s="4" t="s">
        <v>91</v>
      </c>
      <c r="AN1584" s="4" t="s">
        <v>95</v>
      </c>
      <c r="AP1584" s="4" t="s">
        <v>91</v>
      </c>
      <c r="AQ1584" s="20">
        <v>0</v>
      </c>
      <c r="AR1584" s="4">
        <v>0</v>
      </c>
      <c r="AS1584" s="20">
        <v>0</v>
      </c>
      <c r="AT1584" s="20">
        <v>0</v>
      </c>
      <c r="AU1584" s="20">
        <v>0</v>
      </c>
      <c r="AV1584" s="20">
        <v>0</v>
      </c>
      <c r="AW1584" s="20">
        <v>0</v>
      </c>
      <c r="AX1584" s="20" t="s">
        <v>91</v>
      </c>
      <c r="AY1584" s="20">
        <v>0</v>
      </c>
      <c r="AZ1584" s="20">
        <v>0</v>
      </c>
      <c r="BA1584" s="20">
        <v>0</v>
      </c>
      <c r="BB1584" s="6">
        <v>0</v>
      </c>
      <c r="BC1584" s="6">
        <v>0</v>
      </c>
      <c r="BD1584" s="6">
        <v>0</v>
      </c>
      <c r="BE1584" s="6">
        <v>0</v>
      </c>
      <c r="BG1584" s="6">
        <v>0</v>
      </c>
      <c r="BH1584" s="6">
        <v>0</v>
      </c>
      <c r="BI1584" s="6">
        <v>0</v>
      </c>
      <c r="BJ1584" s="6">
        <v>0</v>
      </c>
      <c r="BK1584" s="4">
        <v>0</v>
      </c>
      <c r="BL1584" s="4">
        <v>0</v>
      </c>
      <c r="BM1584" s="20">
        <v>26</v>
      </c>
      <c r="BN1584" s="20">
        <v>0</v>
      </c>
      <c r="BO1584" s="20">
        <v>0</v>
      </c>
      <c r="BP1584" s="20">
        <v>0</v>
      </c>
      <c r="BQ1584" s="20">
        <v>0</v>
      </c>
      <c r="BR1584" s="20">
        <v>0</v>
      </c>
      <c r="BS1584" s="20">
        <v>26</v>
      </c>
      <c r="BT1584" s="20">
        <v>1314747.4747474748</v>
      </c>
      <c r="BU1584" s="20">
        <v>6508000</v>
      </c>
      <c r="BV1584" s="20">
        <v>4.4999999999999991</v>
      </c>
    </row>
    <row r="1585" spans="1:74">
      <c r="A1585" s="10">
        <f t="shared" si="98"/>
        <v>0</v>
      </c>
      <c r="B1585" s="10">
        <f t="shared" si="99"/>
        <v>0</v>
      </c>
      <c r="C1585" s="12">
        <f t="shared" si="100"/>
        <v>11</v>
      </c>
      <c r="D1585" s="12">
        <f t="shared" si="101"/>
        <v>12</v>
      </c>
      <c r="E1585" s="20" t="s">
        <v>424</v>
      </c>
      <c r="F1585" s="20" t="s">
        <v>2870</v>
      </c>
      <c r="G1585" s="20" t="s">
        <v>6289</v>
      </c>
      <c r="H1585" s="20" t="s">
        <v>6290</v>
      </c>
      <c r="I1585" s="20">
        <v>1</v>
      </c>
      <c r="J1585" s="20" t="s">
        <v>6291</v>
      </c>
      <c r="K1585" s="20" t="s">
        <v>6292</v>
      </c>
      <c r="L1585" s="20" t="s">
        <v>6293</v>
      </c>
      <c r="M1585" s="20" t="s">
        <v>2870</v>
      </c>
      <c r="N1585" s="20" t="s">
        <v>3059</v>
      </c>
      <c r="P1585" s="20" t="s">
        <v>2870</v>
      </c>
      <c r="Q1585" s="20" t="s">
        <v>2877</v>
      </c>
      <c r="R1585" s="20" t="s">
        <v>84</v>
      </c>
      <c r="S1585" s="20" t="s">
        <v>123</v>
      </c>
      <c r="T1585" s="20" t="s">
        <v>172</v>
      </c>
      <c r="U1585" s="20" t="s">
        <v>173</v>
      </c>
      <c r="V1585" s="20" t="s">
        <v>5502</v>
      </c>
      <c r="W1585" s="20">
        <v>404</v>
      </c>
      <c r="X1585" s="20">
        <v>404</v>
      </c>
      <c r="Y1585" s="20" t="s">
        <v>6294</v>
      </c>
      <c r="Z1585" s="20">
        <v>1</v>
      </c>
      <c r="AA1585" s="20" t="s">
        <v>6295</v>
      </c>
      <c r="AB1585" s="20" t="s">
        <v>109</v>
      </c>
      <c r="AC1585" s="20" t="s">
        <v>110</v>
      </c>
      <c r="AD1585" s="20" t="s">
        <v>6296</v>
      </c>
      <c r="AE1585" s="20" t="s">
        <v>400</v>
      </c>
      <c r="AF1585" s="20">
        <v>1</v>
      </c>
      <c r="AG1585" s="20">
        <v>0</v>
      </c>
      <c r="AH1585" s="20">
        <v>1</v>
      </c>
      <c r="AI1585" s="4" t="s">
        <v>251</v>
      </c>
      <c r="AJ1585" s="20">
        <v>5</v>
      </c>
      <c r="AK1585" s="4" t="s">
        <v>179</v>
      </c>
      <c r="AL1585" s="4">
        <v>48</v>
      </c>
      <c r="AM1585" s="4">
        <v>48</v>
      </c>
      <c r="AN1585" s="4" t="s">
        <v>95</v>
      </c>
      <c r="AO1585" s="4" t="s">
        <v>96</v>
      </c>
      <c r="AP1585" s="4">
        <v>1</v>
      </c>
      <c r="AQ1585" s="20">
        <v>49000</v>
      </c>
      <c r="AR1585" s="4">
        <v>41971</v>
      </c>
      <c r="AS1585" s="20">
        <v>7424.242424242424</v>
      </c>
      <c r="AT1585" s="20">
        <v>0</v>
      </c>
      <c r="AU1585" s="20">
        <v>-7424.242424242424</v>
      </c>
      <c r="AV1585" s="20">
        <v>0</v>
      </c>
      <c r="AW1585" s="20">
        <v>0</v>
      </c>
      <c r="AX1585" s="20" t="s">
        <v>91</v>
      </c>
      <c r="AY1585" s="20">
        <v>0</v>
      </c>
      <c r="AZ1585" s="20">
        <v>0</v>
      </c>
      <c r="BA1585" s="20">
        <v>0</v>
      </c>
      <c r="BB1585" s="6">
        <v>41971</v>
      </c>
      <c r="BC1585" s="6">
        <v>0</v>
      </c>
      <c r="BD1585" s="6">
        <v>41976</v>
      </c>
      <c r="BE1585" s="6">
        <v>0</v>
      </c>
      <c r="BF1585" s="6">
        <v>41975</v>
      </c>
      <c r="BG1585" s="6">
        <v>0</v>
      </c>
      <c r="BH1585" s="6">
        <v>0</v>
      </c>
      <c r="BI1585" s="6">
        <v>0</v>
      </c>
      <c r="BJ1585" s="6">
        <v>0</v>
      </c>
      <c r="BK1585" s="4">
        <v>0</v>
      </c>
      <c r="BL1585" s="4">
        <v>0</v>
      </c>
      <c r="BM1585" s="20">
        <v>5</v>
      </c>
      <c r="BN1585" s="20">
        <v>0</v>
      </c>
      <c r="BO1585" s="20">
        <v>0</v>
      </c>
      <c r="BP1585" s="20">
        <v>0</v>
      </c>
      <c r="BQ1585" s="20">
        <v>0</v>
      </c>
      <c r="BR1585" s="20">
        <v>0</v>
      </c>
      <c r="BS1585" s="20">
        <v>5</v>
      </c>
      <c r="BT1585" s="20">
        <v>37121.21212121212</v>
      </c>
      <c r="BU1585" s="20">
        <v>245000</v>
      </c>
      <c r="BV1585" s="20">
        <v>6</v>
      </c>
    </row>
    <row r="1586" spans="1:74">
      <c r="A1586" s="10">
        <f t="shared" si="98"/>
        <v>0</v>
      </c>
      <c r="B1586" s="10">
        <f t="shared" si="99"/>
        <v>0</v>
      </c>
      <c r="C1586" s="12">
        <f t="shared" si="100"/>
        <v>11</v>
      </c>
      <c r="D1586" s="12">
        <f t="shared" si="101"/>
        <v>12</v>
      </c>
      <c r="E1586" s="20" t="s">
        <v>424</v>
      </c>
      <c r="F1586" s="20" t="s">
        <v>2870</v>
      </c>
      <c r="G1586" s="20" t="s">
        <v>6289</v>
      </c>
      <c r="H1586" s="20" t="s">
        <v>6297</v>
      </c>
      <c r="I1586" s="20">
        <v>2</v>
      </c>
      <c r="J1586" s="20" t="s">
        <v>6298</v>
      </c>
      <c r="K1586" s="20" t="s">
        <v>6299</v>
      </c>
      <c r="L1586" s="20" t="s">
        <v>6300</v>
      </c>
      <c r="M1586" s="20" t="s">
        <v>2870</v>
      </c>
      <c r="N1586" s="20" t="s">
        <v>3059</v>
      </c>
      <c r="P1586" s="20" t="s">
        <v>2870</v>
      </c>
      <c r="Q1586" s="20" t="s">
        <v>2877</v>
      </c>
      <c r="R1586" s="20" t="s">
        <v>84</v>
      </c>
      <c r="S1586" s="20">
        <v>5</v>
      </c>
      <c r="T1586" s="20" t="s">
        <v>172</v>
      </c>
      <c r="U1586" s="20" t="s">
        <v>173</v>
      </c>
      <c r="V1586" s="20" t="s">
        <v>5502</v>
      </c>
      <c r="W1586" s="20">
        <v>2</v>
      </c>
      <c r="X1586" s="20" t="s">
        <v>5931</v>
      </c>
      <c r="Y1586" s="20" t="s">
        <v>6301</v>
      </c>
      <c r="Z1586" s="20">
        <v>1</v>
      </c>
      <c r="AA1586" s="20" t="s">
        <v>6302</v>
      </c>
      <c r="AB1586" s="20" t="s">
        <v>248</v>
      </c>
      <c r="AC1586" s="20" t="s">
        <v>249</v>
      </c>
      <c r="AD1586" s="20" t="s">
        <v>6303</v>
      </c>
      <c r="AE1586" s="20" t="s">
        <v>91</v>
      </c>
      <c r="AF1586" s="20">
        <v>1</v>
      </c>
      <c r="AG1586" s="20">
        <v>0</v>
      </c>
      <c r="AH1586" s="20">
        <v>1</v>
      </c>
      <c r="AI1586" s="4" t="s">
        <v>251</v>
      </c>
      <c r="AJ1586" s="20">
        <v>5</v>
      </c>
      <c r="AK1586" s="4" t="s">
        <v>179</v>
      </c>
      <c r="AL1586" s="4">
        <v>48</v>
      </c>
      <c r="AM1586" s="4">
        <v>48</v>
      </c>
      <c r="AN1586" s="4" t="s">
        <v>95</v>
      </c>
      <c r="AO1586" s="4" t="s">
        <v>96</v>
      </c>
      <c r="AP1586" s="4">
        <v>1</v>
      </c>
      <c r="AQ1586" s="20">
        <v>49000</v>
      </c>
      <c r="AR1586" s="4">
        <v>41971</v>
      </c>
      <c r="AS1586" s="20">
        <v>7424.242424242424</v>
      </c>
      <c r="AT1586" s="20">
        <v>0</v>
      </c>
      <c r="AU1586" s="20">
        <v>-7424.242424242424</v>
      </c>
      <c r="AV1586" s="20">
        <v>0</v>
      </c>
      <c r="AW1586" s="20">
        <v>0</v>
      </c>
      <c r="AX1586" s="20" t="s">
        <v>91</v>
      </c>
      <c r="AY1586" s="20">
        <v>0</v>
      </c>
      <c r="AZ1586" s="20">
        <v>0</v>
      </c>
      <c r="BA1586" s="20">
        <v>0</v>
      </c>
      <c r="BB1586" s="6">
        <v>41971</v>
      </c>
      <c r="BC1586" s="6">
        <v>0</v>
      </c>
      <c r="BD1586" s="6">
        <v>41976</v>
      </c>
      <c r="BE1586" s="6">
        <v>0</v>
      </c>
      <c r="BF1586" s="6">
        <v>41975</v>
      </c>
      <c r="BG1586" s="6">
        <v>0</v>
      </c>
      <c r="BH1586" s="6">
        <v>0</v>
      </c>
      <c r="BI1586" s="6">
        <v>0</v>
      </c>
      <c r="BJ1586" s="6">
        <v>0</v>
      </c>
      <c r="BK1586" s="4">
        <v>0</v>
      </c>
      <c r="BL1586" s="4">
        <v>0</v>
      </c>
      <c r="BM1586" s="20">
        <v>5</v>
      </c>
      <c r="BN1586" s="20">
        <v>0</v>
      </c>
      <c r="BO1586" s="20">
        <v>0</v>
      </c>
      <c r="BP1586" s="20">
        <v>0</v>
      </c>
      <c r="BQ1586" s="20">
        <v>0</v>
      </c>
      <c r="BR1586" s="20">
        <v>0</v>
      </c>
      <c r="BS1586" s="20">
        <v>5</v>
      </c>
      <c r="BT1586" s="20">
        <v>37121.21212121212</v>
      </c>
      <c r="BU1586" s="20">
        <v>245000</v>
      </c>
      <c r="BV1586" s="20">
        <v>6</v>
      </c>
    </row>
    <row r="1587" spans="1:74">
      <c r="A1587" s="10">
        <f t="shared" si="98"/>
        <v>0</v>
      </c>
      <c r="B1587" s="10">
        <f t="shared" si="99"/>
        <v>0</v>
      </c>
      <c r="C1587" s="12">
        <f t="shared" si="100"/>
        <v>11</v>
      </c>
      <c r="D1587" s="12">
        <f t="shared" si="101"/>
        <v>12</v>
      </c>
      <c r="E1587" s="20" t="s">
        <v>424</v>
      </c>
      <c r="F1587" s="20" t="s">
        <v>2870</v>
      </c>
      <c r="G1587" s="20" t="s">
        <v>6289</v>
      </c>
      <c r="H1587" s="20" t="s">
        <v>6304</v>
      </c>
      <c r="I1587" s="20">
        <v>3</v>
      </c>
      <c r="J1587" s="20" t="s">
        <v>6305</v>
      </c>
      <c r="K1587" s="20" t="s">
        <v>6306</v>
      </c>
      <c r="L1587" s="20" t="s">
        <v>6307</v>
      </c>
      <c r="M1587" s="20" t="s">
        <v>2870</v>
      </c>
      <c r="N1587" s="20" t="s">
        <v>3059</v>
      </c>
      <c r="P1587" s="20" t="s">
        <v>2870</v>
      </c>
      <c r="Q1587" s="20" t="s">
        <v>2877</v>
      </c>
      <c r="R1587" s="20" t="s">
        <v>84</v>
      </c>
      <c r="S1587" s="20">
        <v>5</v>
      </c>
      <c r="T1587" s="20" t="s">
        <v>172</v>
      </c>
      <c r="U1587" s="20" t="s">
        <v>173</v>
      </c>
      <c r="V1587" s="20" t="s">
        <v>5502</v>
      </c>
      <c r="W1587" s="20">
        <v>113</v>
      </c>
      <c r="X1587" s="20">
        <v>113</v>
      </c>
      <c r="Y1587" s="20" t="s">
        <v>6308</v>
      </c>
      <c r="Z1587" s="20">
        <v>1</v>
      </c>
      <c r="AA1587" s="20" t="s">
        <v>6309</v>
      </c>
      <c r="AB1587" s="20" t="s">
        <v>89</v>
      </c>
      <c r="AC1587" s="20" t="s">
        <v>90</v>
      </c>
      <c r="AD1587" s="20" t="s">
        <v>6310</v>
      </c>
      <c r="AE1587" s="20" t="s">
        <v>400</v>
      </c>
      <c r="AF1587" s="20">
        <v>1</v>
      </c>
      <c r="AG1587" s="20">
        <v>0</v>
      </c>
      <c r="AH1587" s="20">
        <v>1</v>
      </c>
      <c r="AI1587" s="4" t="s">
        <v>251</v>
      </c>
      <c r="AJ1587" s="20">
        <v>5</v>
      </c>
      <c r="AK1587" s="4" t="s">
        <v>179</v>
      </c>
      <c r="AL1587" s="4">
        <v>48</v>
      </c>
      <c r="AM1587" s="4">
        <v>48</v>
      </c>
      <c r="AN1587" s="4" t="s">
        <v>95</v>
      </c>
      <c r="AO1587" s="4" t="s">
        <v>96</v>
      </c>
      <c r="AP1587" s="4">
        <v>1</v>
      </c>
      <c r="AQ1587" s="20">
        <v>55000</v>
      </c>
      <c r="AR1587" s="4">
        <v>41971</v>
      </c>
      <c r="AS1587" s="20">
        <v>8333.3333333333321</v>
      </c>
      <c r="AT1587" s="20">
        <v>0</v>
      </c>
      <c r="AU1587" s="20">
        <v>-8333.3333333333321</v>
      </c>
      <c r="AV1587" s="20">
        <v>0</v>
      </c>
      <c r="AW1587" s="20">
        <v>0</v>
      </c>
      <c r="AX1587" s="20" t="s">
        <v>91</v>
      </c>
      <c r="AY1587" s="20">
        <v>0</v>
      </c>
      <c r="AZ1587" s="20">
        <v>0</v>
      </c>
      <c r="BA1587" s="20">
        <v>0</v>
      </c>
      <c r="BB1587" s="6">
        <v>41971</v>
      </c>
      <c r="BC1587" s="6">
        <v>0</v>
      </c>
      <c r="BD1587" s="6">
        <v>41976</v>
      </c>
      <c r="BE1587" s="6">
        <v>0</v>
      </c>
      <c r="BF1587" s="6">
        <v>41975</v>
      </c>
      <c r="BG1587" s="6">
        <v>0</v>
      </c>
      <c r="BH1587" s="6">
        <v>0</v>
      </c>
      <c r="BI1587" s="6">
        <v>0</v>
      </c>
      <c r="BJ1587" s="6">
        <v>0</v>
      </c>
      <c r="BK1587" s="4">
        <v>0</v>
      </c>
      <c r="BL1587" s="4">
        <v>0</v>
      </c>
      <c r="BM1587" s="20">
        <v>5</v>
      </c>
      <c r="BN1587" s="20">
        <v>0</v>
      </c>
      <c r="BO1587" s="20">
        <v>0</v>
      </c>
      <c r="BP1587" s="20">
        <v>0</v>
      </c>
      <c r="BQ1587" s="20">
        <v>0</v>
      </c>
      <c r="BR1587" s="20">
        <v>0</v>
      </c>
      <c r="BS1587" s="20">
        <v>5</v>
      </c>
      <c r="BT1587" s="20">
        <v>41666.666666666657</v>
      </c>
      <c r="BU1587" s="20">
        <v>275000</v>
      </c>
      <c r="BV1587" s="20">
        <v>6.0000000000000009</v>
      </c>
    </row>
    <row r="1588" spans="1:74">
      <c r="A1588" s="10">
        <f t="shared" si="98"/>
        <v>0</v>
      </c>
      <c r="B1588" s="10">
        <f t="shared" si="99"/>
        <v>0</v>
      </c>
      <c r="C1588" s="12">
        <f t="shared" si="100"/>
        <v>11</v>
      </c>
      <c r="D1588" s="12">
        <f t="shared" si="101"/>
        <v>12</v>
      </c>
      <c r="E1588" s="20" t="s">
        <v>424</v>
      </c>
      <c r="F1588" s="20" t="s">
        <v>2870</v>
      </c>
      <c r="G1588" s="20" t="s">
        <v>6289</v>
      </c>
      <c r="H1588" s="20" t="s">
        <v>6311</v>
      </c>
      <c r="I1588" s="20">
        <v>4</v>
      </c>
      <c r="J1588" s="20" t="s">
        <v>6312</v>
      </c>
      <c r="K1588" s="20" t="s">
        <v>6313</v>
      </c>
      <c r="L1588" s="20" t="s">
        <v>6314</v>
      </c>
      <c r="M1588" s="20" t="s">
        <v>2870</v>
      </c>
      <c r="N1588" s="20" t="s">
        <v>6315</v>
      </c>
      <c r="P1588" s="20" t="s">
        <v>2870</v>
      </c>
      <c r="Q1588" s="20" t="s">
        <v>2877</v>
      </c>
      <c r="R1588" s="20" t="s">
        <v>84</v>
      </c>
      <c r="S1588" s="20">
        <v>5</v>
      </c>
      <c r="T1588" s="20" t="s">
        <v>106</v>
      </c>
      <c r="U1588" s="20" t="s">
        <v>107</v>
      </c>
      <c r="V1588" s="20" t="s">
        <v>5502</v>
      </c>
      <c r="W1588" s="20">
        <v>7</v>
      </c>
      <c r="X1588" s="20" t="s">
        <v>5626</v>
      </c>
      <c r="Y1588" s="20" t="s">
        <v>6316</v>
      </c>
      <c r="Z1588" s="20">
        <v>1</v>
      </c>
      <c r="AA1588" s="20" t="s">
        <v>6317</v>
      </c>
      <c r="AB1588" s="20" t="s">
        <v>176</v>
      </c>
      <c r="AC1588" s="20" t="s">
        <v>177</v>
      </c>
      <c r="AD1588" s="20" t="s">
        <v>6318</v>
      </c>
      <c r="AE1588" s="20" t="s">
        <v>91</v>
      </c>
      <c r="AF1588" s="20">
        <v>1</v>
      </c>
      <c r="AG1588" s="20">
        <v>0</v>
      </c>
      <c r="AH1588" s="20">
        <v>1</v>
      </c>
      <c r="AI1588" s="4" t="s">
        <v>251</v>
      </c>
      <c r="AJ1588" s="20">
        <v>7</v>
      </c>
      <c r="AK1588" s="4" t="s">
        <v>179</v>
      </c>
      <c r="AL1588" s="4">
        <v>48</v>
      </c>
      <c r="AM1588" s="4">
        <v>48</v>
      </c>
      <c r="AN1588" s="4" t="s">
        <v>95</v>
      </c>
      <c r="AO1588" s="4" t="s">
        <v>96</v>
      </c>
      <c r="AP1588" s="4">
        <v>1</v>
      </c>
      <c r="AQ1588" s="20">
        <v>59000</v>
      </c>
      <c r="AR1588" s="4">
        <v>41971</v>
      </c>
      <c r="AS1588" s="20">
        <v>8939.3939393939381</v>
      </c>
      <c r="AT1588" s="20">
        <v>0</v>
      </c>
      <c r="AU1588" s="20">
        <v>-8939.3939393939381</v>
      </c>
      <c r="AV1588" s="20">
        <v>0</v>
      </c>
      <c r="AW1588" s="20">
        <v>0</v>
      </c>
      <c r="AX1588" s="20" t="s">
        <v>91</v>
      </c>
      <c r="AY1588" s="20">
        <v>0</v>
      </c>
      <c r="AZ1588" s="20">
        <v>0</v>
      </c>
      <c r="BA1588" s="20">
        <v>0</v>
      </c>
      <c r="BB1588" s="6">
        <v>41971</v>
      </c>
      <c r="BC1588" s="6">
        <v>0</v>
      </c>
      <c r="BD1588" s="6">
        <v>41976</v>
      </c>
      <c r="BE1588" s="6">
        <v>0</v>
      </c>
      <c r="BF1588" s="6">
        <v>41975</v>
      </c>
      <c r="BG1588" s="6">
        <v>0</v>
      </c>
      <c r="BH1588" s="6">
        <v>0</v>
      </c>
      <c r="BI1588" s="6">
        <v>0</v>
      </c>
      <c r="BJ1588" s="6">
        <v>0</v>
      </c>
      <c r="BK1588" s="4">
        <v>0</v>
      </c>
      <c r="BL1588" s="4">
        <v>0</v>
      </c>
      <c r="BM1588" s="20">
        <v>7</v>
      </c>
      <c r="BN1588" s="20">
        <v>0</v>
      </c>
      <c r="BO1588" s="20">
        <v>0</v>
      </c>
      <c r="BP1588" s="20">
        <v>0</v>
      </c>
      <c r="BQ1588" s="20">
        <v>0</v>
      </c>
      <c r="BR1588" s="20">
        <v>0</v>
      </c>
      <c r="BS1588" s="20">
        <v>7</v>
      </c>
      <c r="BT1588" s="20">
        <v>62575.757575757569</v>
      </c>
      <c r="BU1588" s="20">
        <v>413000</v>
      </c>
      <c r="BV1588" s="20">
        <v>6</v>
      </c>
    </row>
    <row r="1589" spans="1:74">
      <c r="A1589" s="10">
        <f t="shared" si="98"/>
        <v>0</v>
      </c>
      <c r="B1589" s="10">
        <f t="shared" si="99"/>
        <v>0</v>
      </c>
      <c r="C1589" s="12" t="str">
        <f t="shared" si="100"/>
        <v/>
      </c>
      <c r="D1589" s="12" t="str">
        <f t="shared" si="101"/>
        <v/>
      </c>
      <c r="E1589" s="20" t="s">
        <v>91</v>
      </c>
      <c r="F1589" s="20" t="s">
        <v>91</v>
      </c>
      <c r="G1589" s="20" t="s">
        <v>91</v>
      </c>
      <c r="H1589" s="20" t="s">
        <v>91</v>
      </c>
      <c r="I1589" s="20">
        <v>0</v>
      </c>
      <c r="J1589" s="20" t="s">
        <v>103</v>
      </c>
      <c r="K1589" s="20" t="s">
        <v>104</v>
      </c>
      <c r="L1589" s="20">
        <v>0</v>
      </c>
      <c r="M1589" s="20" t="s">
        <v>105</v>
      </c>
      <c r="N1589" s="20" t="s">
        <v>91</v>
      </c>
      <c r="O1589" s="20" t="s">
        <v>6319</v>
      </c>
      <c r="Q1589" s="20" t="s">
        <v>91</v>
      </c>
      <c r="R1589" s="20" t="s">
        <v>91</v>
      </c>
      <c r="S1589" s="20" t="s">
        <v>91</v>
      </c>
      <c r="U1589" s="20" t="s">
        <v>91</v>
      </c>
      <c r="X1589" s="20" t="s">
        <v>91</v>
      </c>
      <c r="Y1589" s="20" t="s">
        <v>91</v>
      </c>
      <c r="Z1589" s="20">
        <v>4</v>
      </c>
      <c r="AB1589" s="20" t="s">
        <v>91</v>
      </c>
      <c r="AD1589" s="20" t="s">
        <v>91</v>
      </c>
      <c r="AE1589" s="20" t="s">
        <v>91</v>
      </c>
      <c r="AF1589" s="20">
        <v>4</v>
      </c>
      <c r="AG1589" s="20">
        <v>0</v>
      </c>
      <c r="AH1589" s="20">
        <v>1</v>
      </c>
      <c r="AM1589" s="4" t="s">
        <v>91</v>
      </c>
      <c r="AN1589" s="4" t="s">
        <v>95</v>
      </c>
      <c r="AP1589" s="4" t="s">
        <v>91</v>
      </c>
      <c r="AQ1589" s="20">
        <v>0</v>
      </c>
      <c r="AR1589" s="4">
        <v>0</v>
      </c>
      <c r="AS1589" s="20">
        <v>0</v>
      </c>
      <c r="AT1589" s="20">
        <v>0</v>
      </c>
      <c r="AU1589" s="20">
        <v>0</v>
      </c>
      <c r="AV1589" s="20">
        <v>0</v>
      </c>
      <c r="AW1589" s="20">
        <v>0</v>
      </c>
      <c r="AX1589" s="20" t="s">
        <v>91</v>
      </c>
      <c r="AY1589" s="20">
        <v>0</v>
      </c>
      <c r="AZ1589" s="20">
        <v>0</v>
      </c>
      <c r="BA1589" s="20">
        <v>0</v>
      </c>
      <c r="BB1589" s="6">
        <v>0</v>
      </c>
      <c r="BC1589" s="6">
        <v>0</v>
      </c>
      <c r="BD1589" s="6">
        <v>0</v>
      </c>
      <c r="BE1589" s="6">
        <v>0</v>
      </c>
      <c r="BF1589" s="6">
        <v>0</v>
      </c>
      <c r="BG1589" s="6">
        <v>0</v>
      </c>
      <c r="BH1589" s="6">
        <v>0</v>
      </c>
      <c r="BI1589" s="6">
        <v>0</v>
      </c>
      <c r="BJ1589" s="6">
        <v>0</v>
      </c>
      <c r="BK1589" s="4">
        <v>0</v>
      </c>
      <c r="BL1589" s="4">
        <v>0</v>
      </c>
      <c r="BM1589" s="20">
        <v>22</v>
      </c>
      <c r="BN1589" s="20">
        <v>0</v>
      </c>
      <c r="BO1589" s="20">
        <v>0</v>
      </c>
      <c r="BP1589" s="20">
        <v>0</v>
      </c>
      <c r="BQ1589" s="20">
        <v>0</v>
      </c>
      <c r="BR1589" s="20">
        <v>0</v>
      </c>
      <c r="BS1589" s="20">
        <v>22</v>
      </c>
      <c r="BT1589" s="20">
        <v>178484.84848484845</v>
      </c>
      <c r="BU1589" s="20">
        <v>1178000</v>
      </c>
      <c r="BV1589" s="20">
        <v>6.0000000000000009</v>
      </c>
    </row>
    <row r="1590" spans="1:74">
      <c r="A1590" s="10">
        <f t="shared" si="98"/>
        <v>0</v>
      </c>
      <c r="B1590" s="10">
        <f t="shared" si="99"/>
        <v>0</v>
      </c>
      <c r="C1590" s="12">
        <f t="shared" si="100"/>
        <v>11</v>
      </c>
      <c r="D1590" s="12">
        <f t="shared" si="101"/>
        <v>12</v>
      </c>
      <c r="E1590" s="20" t="s">
        <v>386</v>
      </c>
      <c r="F1590" s="20" t="s">
        <v>4955</v>
      </c>
      <c r="G1590" s="20" t="s">
        <v>6320</v>
      </c>
      <c r="H1590" s="20" t="s">
        <v>6321</v>
      </c>
      <c r="I1590" s="20">
        <v>1</v>
      </c>
      <c r="J1590" s="20" t="s">
        <v>6322</v>
      </c>
      <c r="K1590" s="20" t="s">
        <v>6323</v>
      </c>
      <c r="L1590" s="20" t="s">
        <v>6324</v>
      </c>
      <c r="M1590" s="20" t="s">
        <v>4955</v>
      </c>
      <c r="N1590" s="20" t="s">
        <v>6325</v>
      </c>
      <c r="P1590" s="20" t="s">
        <v>4955</v>
      </c>
      <c r="Q1590" s="20" t="s">
        <v>4962</v>
      </c>
      <c r="R1590" s="20" t="s">
        <v>84</v>
      </c>
      <c r="S1590" s="20">
        <v>5</v>
      </c>
      <c r="T1590" s="20" t="s">
        <v>106</v>
      </c>
      <c r="U1590" s="20" t="s">
        <v>107</v>
      </c>
      <c r="V1590" s="20" t="s">
        <v>5502</v>
      </c>
      <c r="W1590" s="20">
        <v>11</v>
      </c>
      <c r="X1590" s="20" t="s">
        <v>5792</v>
      </c>
      <c r="Y1590" s="20" t="s">
        <v>6326</v>
      </c>
      <c r="Z1590" s="20">
        <v>1</v>
      </c>
      <c r="AA1590" s="20" t="s">
        <v>6327</v>
      </c>
      <c r="AB1590" s="20" t="s">
        <v>189</v>
      </c>
      <c r="AC1590" s="20" t="s">
        <v>190</v>
      </c>
      <c r="AD1590" s="20" t="s">
        <v>6328</v>
      </c>
      <c r="AE1590" s="20" t="s">
        <v>91</v>
      </c>
      <c r="AF1590" s="20">
        <v>1</v>
      </c>
      <c r="AG1590" s="20">
        <v>0</v>
      </c>
      <c r="AH1590" s="20">
        <v>1</v>
      </c>
      <c r="AI1590" s="4" t="s">
        <v>251</v>
      </c>
      <c r="AJ1590" s="20">
        <v>5</v>
      </c>
      <c r="AK1590" s="4" t="s">
        <v>111</v>
      </c>
      <c r="AL1590" s="4">
        <v>36</v>
      </c>
      <c r="AM1590" s="4">
        <v>36</v>
      </c>
      <c r="AN1590" s="4" t="s">
        <v>95</v>
      </c>
      <c r="AO1590" s="4" t="s">
        <v>96</v>
      </c>
      <c r="AP1590" s="4">
        <v>1</v>
      </c>
      <c r="AQ1590" s="20">
        <v>59000</v>
      </c>
      <c r="AR1590" s="4">
        <v>41971</v>
      </c>
      <c r="AS1590" s="20">
        <v>8939.3939393939381</v>
      </c>
      <c r="AT1590" s="20">
        <v>0</v>
      </c>
      <c r="AU1590" s="20">
        <v>-8939.3939393939381</v>
      </c>
      <c r="AV1590" s="20">
        <v>0</v>
      </c>
      <c r="AW1590" s="20">
        <v>0</v>
      </c>
      <c r="AX1590" s="20" t="s">
        <v>91</v>
      </c>
      <c r="AY1590" s="20">
        <v>0</v>
      </c>
      <c r="AZ1590" s="20">
        <v>0</v>
      </c>
      <c r="BA1590" s="20">
        <v>0</v>
      </c>
      <c r="BB1590" s="6">
        <v>41971</v>
      </c>
      <c r="BC1590" s="6">
        <v>0</v>
      </c>
      <c r="BD1590" s="6">
        <v>41976</v>
      </c>
      <c r="BE1590" s="6">
        <v>0</v>
      </c>
      <c r="BF1590" s="6">
        <v>41975</v>
      </c>
      <c r="BG1590" s="6">
        <v>0</v>
      </c>
      <c r="BH1590" s="6">
        <v>0</v>
      </c>
      <c r="BI1590" s="6">
        <v>0</v>
      </c>
      <c r="BJ1590" s="6">
        <v>0</v>
      </c>
      <c r="BK1590" s="4">
        <v>0</v>
      </c>
      <c r="BL1590" s="4">
        <v>0</v>
      </c>
      <c r="BM1590" s="20">
        <v>5</v>
      </c>
      <c r="BN1590" s="20">
        <v>0</v>
      </c>
      <c r="BO1590" s="20">
        <v>0</v>
      </c>
      <c r="BP1590" s="20">
        <v>0</v>
      </c>
      <c r="BQ1590" s="20">
        <v>0</v>
      </c>
      <c r="BR1590" s="20">
        <v>0</v>
      </c>
      <c r="BS1590" s="20">
        <v>5</v>
      </c>
      <c r="BT1590" s="20">
        <v>44696.969696969689</v>
      </c>
      <c r="BU1590" s="20">
        <v>295000</v>
      </c>
      <c r="BV1590" s="20">
        <v>6</v>
      </c>
    </row>
    <row r="1591" spans="1:74">
      <c r="A1591" s="10">
        <f t="shared" si="98"/>
        <v>0</v>
      </c>
      <c r="B1591" s="10">
        <f t="shared" si="99"/>
        <v>0</v>
      </c>
      <c r="C1591" s="12" t="str">
        <f t="shared" si="100"/>
        <v/>
      </c>
      <c r="D1591" s="12" t="str">
        <f t="shared" si="101"/>
        <v/>
      </c>
      <c r="E1591" s="20" t="s">
        <v>91</v>
      </c>
      <c r="F1591" s="20" t="s">
        <v>91</v>
      </c>
      <c r="G1591" s="20" t="s">
        <v>91</v>
      </c>
      <c r="H1591" s="20" t="s">
        <v>91</v>
      </c>
      <c r="I1591" s="20">
        <v>0</v>
      </c>
      <c r="J1591" s="20" t="s">
        <v>103</v>
      </c>
      <c r="K1591" s="20" t="s">
        <v>104</v>
      </c>
      <c r="L1591" s="20">
        <v>0</v>
      </c>
      <c r="M1591" s="20" t="s">
        <v>105</v>
      </c>
      <c r="N1591" s="20" t="s">
        <v>91</v>
      </c>
      <c r="O1591" s="20" t="s">
        <v>6329</v>
      </c>
      <c r="Q1591" s="20" t="s">
        <v>91</v>
      </c>
      <c r="R1591" s="20" t="s">
        <v>91</v>
      </c>
      <c r="S1591" s="20" t="s">
        <v>91</v>
      </c>
      <c r="U1591" s="20" t="s">
        <v>91</v>
      </c>
      <c r="X1591" s="20" t="s">
        <v>91</v>
      </c>
      <c r="Y1591" s="20" t="s">
        <v>91</v>
      </c>
      <c r="Z1591" s="20">
        <v>1</v>
      </c>
      <c r="AB1591" s="20" t="s">
        <v>91</v>
      </c>
      <c r="AD1591" s="20" t="s">
        <v>91</v>
      </c>
      <c r="AE1591" s="20" t="s">
        <v>91</v>
      </c>
      <c r="AF1591" s="20">
        <v>1</v>
      </c>
      <c r="AG1591" s="20">
        <v>0</v>
      </c>
      <c r="AH1591" s="20">
        <v>1</v>
      </c>
      <c r="AM1591" s="4" t="s">
        <v>91</v>
      </c>
      <c r="AN1591" s="4" t="s">
        <v>95</v>
      </c>
      <c r="AP1591" s="4" t="s">
        <v>91</v>
      </c>
      <c r="AQ1591" s="20">
        <v>0</v>
      </c>
      <c r="AR1591" s="4">
        <v>0</v>
      </c>
      <c r="AS1591" s="20">
        <v>0</v>
      </c>
      <c r="AT1591" s="20">
        <v>0</v>
      </c>
      <c r="AU1591" s="20">
        <v>0</v>
      </c>
      <c r="AV1591" s="20">
        <v>0</v>
      </c>
      <c r="AW1591" s="20">
        <v>0</v>
      </c>
      <c r="AX1591" s="20" t="s">
        <v>91</v>
      </c>
      <c r="AY1591" s="20">
        <v>0</v>
      </c>
      <c r="AZ1591" s="20">
        <v>0</v>
      </c>
      <c r="BA1591" s="20">
        <v>0</v>
      </c>
      <c r="BB1591" s="6">
        <v>0</v>
      </c>
      <c r="BC1591" s="6">
        <v>0</v>
      </c>
      <c r="BD1591" s="6">
        <v>0</v>
      </c>
      <c r="BE1591" s="6">
        <v>0</v>
      </c>
      <c r="BF1591" s="6">
        <v>0</v>
      </c>
      <c r="BG1591" s="6">
        <v>0</v>
      </c>
      <c r="BH1591" s="6">
        <v>0</v>
      </c>
      <c r="BI1591" s="6">
        <v>0</v>
      </c>
      <c r="BJ1591" s="6">
        <v>0</v>
      </c>
      <c r="BK1591" s="4">
        <v>0</v>
      </c>
      <c r="BL1591" s="4">
        <v>0</v>
      </c>
      <c r="BM1591" s="20">
        <v>5</v>
      </c>
      <c r="BN1591" s="20">
        <v>0</v>
      </c>
      <c r="BO1591" s="20">
        <v>0</v>
      </c>
      <c r="BP1591" s="20">
        <v>0</v>
      </c>
      <c r="BQ1591" s="20">
        <v>0</v>
      </c>
      <c r="BR1591" s="20">
        <v>0</v>
      </c>
      <c r="BS1591" s="20">
        <v>5</v>
      </c>
      <c r="BT1591" s="20">
        <v>44696.969696969689</v>
      </c>
      <c r="BU1591" s="20">
        <v>295000</v>
      </c>
      <c r="BV1591" s="20">
        <v>6</v>
      </c>
    </row>
    <row r="1592" spans="1:74">
      <c r="A1592" s="10">
        <f t="shared" si="98"/>
        <v>0</v>
      </c>
      <c r="B1592" s="10">
        <f t="shared" si="99"/>
        <v>0</v>
      </c>
      <c r="C1592" s="12">
        <f t="shared" si="100"/>
        <v>11</v>
      </c>
      <c r="D1592" s="12">
        <f t="shared" si="101"/>
        <v>12</v>
      </c>
      <c r="E1592" s="20" t="s">
        <v>386</v>
      </c>
      <c r="F1592" s="20" t="s">
        <v>4955</v>
      </c>
      <c r="G1592" s="20" t="s">
        <v>6330</v>
      </c>
      <c r="H1592" s="20" t="s">
        <v>6331</v>
      </c>
      <c r="I1592" s="20">
        <v>1</v>
      </c>
      <c r="J1592" s="20" t="s">
        <v>6332</v>
      </c>
      <c r="K1592" s="20" t="s">
        <v>6333</v>
      </c>
      <c r="L1592" s="20" t="s">
        <v>6334</v>
      </c>
      <c r="M1592" s="20" t="s">
        <v>4955</v>
      </c>
      <c r="N1592" s="20" t="s">
        <v>6335</v>
      </c>
      <c r="P1592" s="20" t="s">
        <v>4955</v>
      </c>
      <c r="Q1592" s="20" t="s">
        <v>4962</v>
      </c>
      <c r="R1592" s="20" t="s">
        <v>84</v>
      </c>
      <c r="S1592" s="20">
        <v>5</v>
      </c>
      <c r="T1592" s="20" t="s">
        <v>480</v>
      </c>
      <c r="U1592" s="20" t="s">
        <v>481</v>
      </c>
      <c r="V1592" s="20" t="s">
        <v>5502</v>
      </c>
      <c r="W1592" s="20">
        <v>305</v>
      </c>
      <c r="X1592" s="20">
        <v>305</v>
      </c>
      <c r="Y1592" s="20" t="s">
        <v>6336</v>
      </c>
      <c r="Z1592" s="20">
        <v>1</v>
      </c>
      <c r="AA1592" s="20" t="s">
        <v>6337</v>
      </c>
      <c r="AB1592" s="20" t="s">
        <v>176</v>
      </c>
      <c r="AC1592" s="20" t="s">
        <v>177</v>
      </c>
      <c r="AD1592" s="20" t="s">
        <v>6338</v>
      </c>
      <c r="AE1592" s="20" t="s">
        <v>400</v>
      </c>
      <c r="AF1592" s="20">
        <v>1</v>
      </c>
      <c r="AG1592" s="20">
        <v>0</v>
      </c>
      <c r="AH1592" s="20">
        <v>1</v>
      </c>
      <c r="AI1592" s="4" t="s">
        <v>251</v>
      </c>
      <c r="AJ1592" s="20">
        <v>5</v>
      </c>
      <c r="AK1592" s="4" t="s">
        <v>179</v>
      </c>
      <c r="AL1592" s="4">
        <v>49</v>
      </c>
      <c r="AM1592" s="4">
        <v>49</v>
      </c>
      <c r="AN1592" s="4" t="s">
        <v>95</v>
      </c>
      <c r="AO1592" s="4" t="s">
        <v>96</v>
      </c>
      <c r="AP1592" s="4">
        <v>1</v>
      </c>
      <c r="AQ1592" s="20">
        <v>79000</v>
      </c>
      <c r="AR1592" s="4">
        <v>41971</v>
      </c>
      <c r="AS1592" s="20">
        <v>11969.696969696968</v>
      </c>
      <c r="AT1592" s="20">
        <v>0</v>
      </c>
      <c r="AU1592" s="20">
        <v>-11969.696969696968</v>
      </c>
      <c r="AV1592" s="20">
        <v>0</v>
      </c>
      <c r="AW1592" s="20">
        <v>0</v>
      </c>
      <c r="AX1592" s="20" t="s">
        <v>91</v>
      </c>
      <c r="AY1592" s="20">
        <v>0</v>
      </c>
      <c r="AZ1592" s="20">
        <v>0</v>
      </c>
      <c r="BA1592" s="20">
        <v>0</v>
      </c>
      <c r="BB1592" s="6">
        <v>41971</v>
      </c>
      <c r="BC1592" s="6">
        <v>0</v>
      </c>
      <c r="BD1592" s="6">
        <v>41976</v>
      </c>
      <c r="BE1592" s="6">
        <v>0</v>
      </c>
      <c r="BF1592" s="6">
        <v>41975</v>
      </c>
      <c r="BG1592" s="6">
        <v>0</v>
      </c>
      <c r="BH1592" s="6">
        <v>0</v>
      </c>
      <c r="BI1592" s="6">
        <v>0</v>
      </c>
      <c r="BJ1592" s="6">
        <v>0</v>
      </c>
      <c r="BK1592" s="4">
        <v>0</v>
      </c>
      <c r="BL1592" s="4">
        <v>0</v>
      </c>
      <c r="BM1592" s="20">
        <v>5</v>
      </c>
      <c r="BN1592" s="20">
        <v>0</v>
      </c>
      <c r="BO1592" s="20">
        <v>0</v>
      </c>
      <c r="BP1592" s="20">
        <v>0</v>
      </c>
      <c r="BQ1592" s="20">
        <v>0</v>
      </c>
      <c r="BR1592" s="20">
        <v>0</v>
      </c>
      <c r="BS1592" s="20">
        <v>5</v>
      </c>
      <c r="BT1592" s="20">
        <v>59848.484848484841</v>
      </c>
      <c r="BU1592" s="20">
        <v>395000</v>
      </c>
      <c r="BV1592" s="20">
        <v>6</v>
      </c>
    </row>
    <row r="1593" spans="1:74">
      <c r="A1593" s="10">
        <f t="shared" si="98"/>
        <v>0</v>
      </c>
      <c r="B1593" s="10">
        <f t="shared" si="99"/>
        <v>0</v>
      </c>
      <c r="C1593" s="12" t="str">
        <f t="shared" si="100"/>
        <v/>
      </c>
      <c r="D1593" s="12" t="str">
        <f t="shared" si="101"/>
        <v/>
      </c>
      <c r="E1593" s="20" t="s">
        <v>91</v>
      </c>
      <c r="F1593" s="20" t="s">
        <v>91</v>
      </c>
      <c r="G1593" s="20" t="s">
        <v>91</v>
      </c>
      <c r="H1593" s="20" t="s">
        <v>91</v>
      </c>
      <c r="I1593" s="20">
        <v>0</v>
      </c>
      <c r="J1593" s="20" t="s">
        <v>103</v>
      </c>
      <c r="K1593" s="20" t="s">
        <v>104</v>
      </c>
      <c r="L1593" s="20">
        <v>0</v>
      </c>
      <c r="M1593" s="20" t="s">
        <v>105</v>
      </c>
      <c r="N1593" s="20" t="s">
        <v>91</v>
      </c>
      <c r="O1593" s="20" t="s">
        <v>6339</v>
      </c>
      <c r="Q1593" s="20" t="s">
        <v>91</v>
      </c>
      <c r="R1593" s="20" t="s">
        <v>91</v>
      </c>
      <c r="S1593" s="20" t="s">
        <v>91</v>
      </c>
      <c r="U1593" s="20" t="s">
        <v>91</v>
      </c>
      <c r="V1593" s="20" t="s">
        <v>87</v>
      </c>
      <c r="X1593" s="20" t="s">
        <v>91</v>
      </c>
      <c r="Y1593" s="20" t="s">
        <v>91</v>
      </c>
      <c r="Z1593" s="20">
        <v>1</v>
      </c>
      <c r="AB1593" s="20" t="s">
        <v>91</v>
      </c>
      <c r="AD1593" s="20" t="s">
        <v>91</v>
      </c>
      <c r="AE1593" s="20" t="s">
        <v>91</v>
      </c>
      <c r="AF1593" s="20">
        <v>1</v>
      </c>
      <c r="AG1593" s="20">
        <v>0</v>
      </c>
      <c r="AH1593" s="20">
        <v>1</v>
      </c>
      <c r="AM1593" s="4" t="s">
        <v>91</v>
      </c>
      <c r="AN1593" s="4" t="s">
        <v>95</v>
      </c>
      <c r="AP1593" s="4" t="s">
        <v>91</v>
      </c>
      <c r="AQ1593" s="20">
        <v>0</v>
      </c>
      <c r="AR1593" s="4">
        <v>0</v>
      </c>
      <c r="AS1593" s="20">
        <v>0</v>
      </c>
      <c r="AT1593" s="20">
        <v>0</v>
      </c>
      <c r="AU1593" s="20">
        <v>0</v>
      </c>
      <c r="AV1593" s="20">
        <v>0</v>
      </c>
      <c r="AW1593" s="20">
        <v>0</v>
      </c>
      <c r="AX1593" s="20" t="s">
        <v>91</v>
      </c>
      <c r="AY1593" s="20">
        <v>0</v>
      </c>
      <c r="AZ1593" s="20">
        <v>0</v>
      </c>
      <c r="BA1593" s="20">
        <v>0</v>
      </c>
      <c r="BB1593" s="6">
        <v>0</v>
      </c>
      <c r="BC1593" s="6">
        <v>0</v>
      </c>
      <c r="BD1593" s="6">
        <v>0</v>
      </c>
      <c r="BE1593" s="6">
        <v>0</v>
      </c>
      <c r="BF1593" s="6">
        <v>0</v>
      </c>
      <c r="BG1593" s="6">
        <v>0</v>
      </c>
      <c r="BH1593" s="6">
        <v>0</v>
      </c>
      <c r="BI1593" s="6">
        <v>0</v>
      </c>
      <c r="BJ1593" s="6">
        <v>0</v>
      </c>
      <c r="BK1593" s="4">
        <v>0</v>
      </c>
      <c r="BL1593" s="4">
        <v>0</v>
      </c>
      <c r="BM1593" s="20">
        <v>5</v>
      </c>
      <c r="BN1593" s="20">
        <v>0</v>
      </c>
      <c r="BO1593" s="20">
        <v>0</v>
      </c>
      <c r="BP1593" s="20">
        <v>0</v>
      </c>
      <c r="BQ1593" s="20">
        <v>0</v>
      </c>
      <c r="BR1593" s="20">
        <v>0</v>
      </c>
      <c r="BS1593" s="20">
        <v>5</v>
      </c>
      <c r="BT1593" s="20">
        <v>59848.484848484841</v>
      </c>
      <c r="BU1593" s="20">
        <v>395000</v>
      </c>
      <c r="BV1593" s="20">
        <v>6</v>
      </c>
    </row>
  </sheetData>
  <autoFilter ref="A2:BV1389"/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PIV</vt:lpstr>
      <vt:lpstr>기획현황취합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SONG</dc:creator>
  <cp:lastModifiedBy>RXK</cp:lastModifiedBy>
  <dcterms:created xsi:type="dcterms:W3CDTF">2012-05-24T06:20:51Z</dcterms:created>
  <dcterms:modified xsi:type="dcterms:W3CDTF">2015-01-02T07:03:30Z</dcterms:modified>
</cp:coreProperties>
</file>